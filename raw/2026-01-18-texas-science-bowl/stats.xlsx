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" sheetId="1" r:id="rId5"/>
    <sheet state="hidden" name="hidden_team" sheetId="2" r:id="rId6"/>
    <sheet state="hidden" name="teamStatsOverall" sheetId="3" r:id="rId7"/>
    <sheet state="visible" name="overall" sheetId="4" r:id="rId8"/>
    <sheet state="hidden" name="playerStatsOverall" sheetId="5" r:id="rId9"/>
    <sheet state="hidden" name="playerStatsMath" sheetId="6" r:id="rId10"/>
    <sheet state="visible" name="math" sheetId="7" r:id="rId11"/>
    <sheet state="hidden" name="playerStatsPhysics" sheetId="8" r:id="rId12"/>
    <sheet state="visible" name="physics" sheetId="9" r:id="rId13"/>
    <sheet state="hidden" name="playerStatsChemistry" sheetId="10" r:id="rId14"/>
    <sheet state="visible" name="chemistry" sheetId="11" r:id="rId15"/>
    <sheet state="hidden" name="playerStatsEarth and Space" sheetId="12" r:id="rId16"/>
    <sheet state="visible" name="earth and space" sheetId="13" r:id="rId17"/>
    <sheet state="visible" name="biology" sheetId="14" r:id="rId18"/>
    <sheet state="hidden" name="playerStatsBiology" sheetId="15" r:id="rId19"/>
  </sheets>
  <definedNames/>
  <calcPr/>
</workbook>
</file>

<file path=xl/sharedStrings.xml><?xml version="1.0" encoding="utf-8"?>
<sst xmlns="http://schemas.openxmlformats.org/spreadsheetml/2006/main" count="8817" uniqueCount="363">
  <si>
    <t>60kjxt2uux [Bridgeland HS]</t>
  </si>
  <si>
    <t>NoHo 1</t>
  </si>
  <si>
    <t>Amador Valley HS Gaurav G [Amador Valley HS]</t>
  </si>
  <si>
    <t>Arcadia 1</t>
  </si>
  <si>
    <t>Niskayuna HS</t>
  </si>
  <si>
    <t>Amador Valley HS Ritwik A [Amador Valley HS]</t>
  </si>
  <si>
    <t>Palo Alto</t>
  </si>
  <si>
    <t>The Catalysts</t>
  </si>
  <si>
    <t>Amador Valley HS Rohan G [Amador Valley HS]</t>
  </si>
  <si>
    <t>American Heritage Broward</t>
  </si>
  <si>
    <t>Amador Valley HS</t>
  </si>
  <si>
    <t>Amador Valley HS Samarth J [Amador Valley HS]</t>
  </si>
  <si>
    <t>American Heritage Broward Ariv B [American Heritage Broward]</t>
  </si>
  <si>
    <t>American Heritage Broward Arnav B [American Heritage Broward]</t>
  </si>
  <si>
    <t>Arcadia 2</t>
  </si>
  <si>
    <t>American Heritage Broward Daniel C [American Heritage Broward]</t>
  </si>
  <si>
    <t>Vancomycin</t>
  </si>
  <si>
    <t>American Heritage Broward Jason T [American Heritage Broward]</t>
  </si>
  <si>
    <t>Green Hope HS</t>
  </si>
  <si>
    <t>SciTech Dragons</t>
  </si>
  <si>
    <t>American Heritage Broward Rishitha M [American Heritage Broward]</t>
  </si>
  <si>
    <t>Seven Lakes</t>
  </si>
  <si>
    <t>Team</t>
  </si>
  <si>
    <t>BISV 1</t>
  </si>
  <si>
    <t>Arcadia 1 Austin Z [Arcadia 1]</t>
  </si>
  <si>
    <t>BISV 2</t>
  </si>
  <si>
    <t>Tossup PPG</t>
  </si>
  <si>
    <t>Bonus PPG</t>
  </si>
  <si>
    <t>Total PPG</t>
  </si>
  <si>
    <t>Arcadia 1 Ethan W [Arcadia 1]</t>
  </si>
  <si>
    <t>NPG</t>
  </si>
  <si>
    <t>Blair</t>
  </si>
  <si>
    <t>Correct Tossups</t>
  </si>
  <si>
    <t>Correct Bonuses</t>
  </si>
  <si>
    <t>Bridgeland HS</t>
  </si>
  <si>
    <t>Bonus Conversion</t>
  </si>
  <si>
    <t>Player</t>
  </si>
  <si>
    <t>Camas Papermakers</t>
  </si>
  <si>
    <t>Arcadia 1 Johnson P [Arcadia 1]</t>
  </si>
  <si>
    <t>Galen 2</t>
  </si>
  <si>
    <t>Arcadia 1 Kevin W [Arcadia 1]</t>
  </si>
  <si>
    <t>Chattahoochee HS</t>
  </si>
  <si>
    <t>Games</t>
  </si>
  <si>
    <t>Clemens HS</t>
  </si>
  <si>
    <t>Toss-Ups Heard</t>
  </si>
  <si>
    <t>PPG</t>
  </si>
  <si>
    <t>Arcadia 1 Paxton L [Arcadia 1]</t>
  </si>
  <si>
    <t>Galen 2 Ishaan K [Galen 2]</t>
  </si>
  <si>
    <t>Clements</t>
  </si>
  <si>
    <t>College Park</t>
  </si>
  <si>
    <t>Collierville</t>
  </si>
  <si>
    <t>Arcadia 2 Chris C [Arcadia 2]</t>
  </si>
  <si>
    <t>NoHo 1 Suzuko O [NoHo 1]</t>
  </si>
  <si>
    <t>Davidson Academy</t>
  </si>
  <si>
    <t>Arcadia 2 Henry Z [Arcadia 2]</t>
  </si>
  <si>
    <t>Arcadia 2 Jamie W [Arcadia 2]</t>
  </si>
  <si>
    <t>Dulles Dolls 1</t>
  </si>
  <si>
    <t>Galen 1</t>
  </si>
  <si>
    <t>Dulles Dolls 2</t>
  </si>
  <si>
    <t>Arcadia 2 Olivia Q [Arcadia 2]</t>
  </si>
  <si>
    <t>Eastlake</t>
  </si>
  <si>
    <t>Arcadia 2 Pruthwiraj V [Arcadia 2]</t>
  </si>
  <si>
    <t>Frazer Michael W [Frazer]</t>
  </si>
  <si>
    <t>Elkins HS</t>
  </si>
  <si>
    <t>ENHS</t>
  </si>
  <si>
    <t>BISV 1 Ethan G [BISV 1]</t>
  </si>
  <si>
    <t>Bridgeland HS Ben D [Bridgeland HS]</t>
  </si>
  <si>
    <t>Enloe</t>
  </si>
  <si>
    <t>BISV 1 Jonathan G [BISV 1]</t>
  </si>
  <si>
    <t>Frazer</t>
  </si>
  <si>
    <t>Enloe Kaiwen Y [Enloe]</t>
  </si>
  <si>
    <t>BISV 1 Liam T [BISV 1]</t>
  </si>
  <si>
    <t>Friendswood</t>
  </si>
  <si>
    <t>BISV 1 Naman S [BISV 1]</t>
  </si>
  <si>
    <t>Davidson Academy Lucas W [Davidson Academy]</t>
  </si>
  <si>
    <t>BISV 2 Aaron C [BISV 2]</t>
  </si>
  <si>
    <t>BISV 2 Lucas Q [BISV 2]</t>
  </si>
  <si>
    <t>Clemens HS Praneel A [Clemens HS]</t>
  </si>
  <si>
    <t>Will of A</t>
  </si>
  <si>
    <t>BISV 2 Eric G [BISV 2]</t>
  </si>
  <si>
    <t>Mira Loma HS Abhinav S [Mira Loma HS]</t>
  </si>
  <si>
    <t>University</t>
  </si>
  <si>
    <t>Gunn Varsity</t>
  </si>
  <si>
    <t>VMATHs Shaun I [VMATHs]</t>
  </si>
  <si>
    <t>Harvard-Westlake</t>
  </si>
  <si>
    <t>BISV 2 Jason Z [BISV 2]</t>
  </si>
  <si>
    <t>Hebron</t>
  </si>
  <si>
    <t>Ward Melville 1 Harry G [Ward Melville 1]</t>
  </si>
  <si>
    <t>BISV 2 Larry Z [BISV 2]</t>
  </si>
  <si>
    <t>LeBroncos</t>
  </si>
  <si>
    <t>Blair Kian D [Blair]</t>
  </si>
  <si>
    <t>Lexington</t>
  </si>
  <si>
    <t>Blair Chris W [Blair]</t>
  </si>
  <si>
    <t>Lynbrook Sohil R [Lynbrook]</t>
  </si>
  <si>
    <t>Blair Evan Z [Blair]</t>
  </si>
  <si>
    <t>Lubbock</t>
  </si>
  <si>
    <t>Blair Kevin F [Blair]</t>
  </si>
  <si>
    <t>Lynbrook</t>
  </si>
  <si>
    <t>OCSA Shannon I [OCSA]</t>
  </si>
  <si>
    <t>Lubbock Lishan P [Lubbock]</t>
  </si>
  <si>
    <t>Blair Sam E [Blair]</t>
  </si>
  <si>
    <t>Mira Loma</t>
  </si>
  <si>
    <t>Bridgeland HS Advaith B [Bridgeland HS]</t>
  </si>
  <si>
    <t>Ward Melville 1</t>
  </si>
  <si>
    <t>Naperville North</t>
  </si>
  <si>
    <t>Galen 1 Roshan A [Galen 1]</t>
  </si>
  <si>
    <t>Palo Alto Andrew W [Palo Alto]</t>
  </si>
  <si>
    <t>NoHo 2</t>
  </si>
  <si>
    <t>Bridgeland HS Carson P [Bridgeland HS]</t>
  </si>
  <si>
    <t>Bridgeland HS Shreshta P [Bridgeland HS]</t>
  </si>
  <si>
    <t>Bridgeland HS Tiger M [Bridgeland HS]</t>
  </si>
  <si>
    <t>Camas Papermakers Alexander Y [Camas Papermakers]</t>
  </si>
  <si>
    <t>Elkins HS Varrun A [Elkins HS]</t>
  </si>
  <si>
    <t>University Feodor Y [University]</t>
  </si>
  <si>
    <t>OCSA</t>
  </si>
  <si>
    <t>Camas Papermakers Shaunak D [Camas Papermakers]</t>
  </si>
  <si>
    <t>The Outliers</t>
  </si>
  <si>
    <t>Camas Papermakers Winston Z [Camas Papermakers]</t>
  </si>
  <si>
    <t>Phoenix</t>
  </si>
  <si>
    <t>WWPS 2 Aarush P [WWPS 2]</t>
  </si>
  <si>
    <t>Plano West</t>
  </si>
  <si>
    <t>Princeton</t>
  </si>
  <si>
    <t>Will of A Akhil B [Will of A]</t>
  </si>
  <si>
    <t>Chattahoochee HS Aarnav P [Chattahoochee HS]</t>
  </si>
  <si>
    <t>Chattahoochee HS Ilia M [Chattahoochee HS]</t>
  </si>
  <si>
    <t>Clements Yale Z [Clements]</t>
  </si>
  <si>
    <t>Research Triangle</t>
  </si>
  <si>
    <t>Chattahoochee HS Samy E [Chattahoochee HS]</t>
  </si>
  <si>
    <t>Chattahoochee HS Shaleen B [Chattahoochee HS]</t>
  </si>
  <si>
    <t>Synthase Sokheng T [Synthase]</t>
  </si>
  <si>
    <t>Chattahoochee HS Ved P [Chattahoochee HS]</t>
  </si>
  <si>
    <t>Whitney Young Andrew K [Whitney Young]</t>
  </si>
  <si>
    <t>Clemens HS Heidi L [Clemens HS]</t>
  </si>
  <si>
    <t>Synthase Norah N [Synthase]</t>
  </si>
  <si>
    <t>State College Area</t>
  </si>
  <si>
    <t>Gunn Varsity Neil D [Gunn Varsity]</t>
  </si>
  <si>
    <t>Synthase</t>
  </si>
  <si>
    <t>Clemens HS Saqib B [Clemens HS]</t>
  </si>
  <si>
    <t>Research Triangle HS Adhav K [Research Triangle HS]</t>
  </si>
  <si>
    <t>Clements Alex S [Clements]</t>
  </si>
  <si>
    <t>The Woodlands HS</t>
  </si>
  <si>
    <t>SciTech Dragons Adrian B [SciTech Dragons]</t>
  </si>
  <si>
    <t>Clements Alexander F [Clements]</t>
  </si>
  <si>
    <t>Timberline</t>
  </si>
  <si>
    <t>Clements Eric Z [Clements]</t>
  </si>
  <si>
    <t>College Park Shubam V [College Park]</t>
  </si>
  <si>
    <t>Eastlake HS</t>
  </si>
  <si>
    <t>Clements Matthew C [Clements]</t>
  </si>
  <si>
    <t>TJ</t>
  </si>
  <si>
    <t>Hebron HS Joshua T [Hebron HS]</t>
  </si>
  <si>
    <t>Dulles Dolls 1 Aditya P [Dulles Dolls 1]</t>
  </si>
  <si>
    <t>College Park Alex [College Park]</t>
  </si>
  <si>
    <t>College Park Saketh K [College Park]</t>
  </si>
  <si>
    <t>Gunn Varisty Neil D [Gunn Varsity]</t>
  </si>
  <si>
    <t>VMATHs</t>
  </si>
  <si>
    <t>TJ Eshaan S [TJ]</t>
  </si>
  <si>
    <t>College Park Shaan P [College Park]</t>
  </si>
  <si>
    <t>Timberline Isaac L [Timberline]</t>
  </si>
  <si>
    <t>Ward Melville 2</t>
  </si>
  <si>
    <t>Whitney Young</t>
  </si>
  <si>
    <t>College Park Varun V [College Park]</t>
  </si>
  <si>
    <t>Dulles Dolls 2 Veeraj S [Dulles Dolls 2]</t>
  </si>
  <si>
    <t>Collierville Charith N [Collierville]</t>
  </si>
  <si>
    <t>WWPS 1</t>
  </si>
  <si>
    <t>Lexington Simon Z [Lexington]</t>
  </si>
  <si>
    <t>Collierville Rehan K [Collierville]</t>
  </si>
  <si>
    <t>WWPS 2</t>
  </si>
  <si>
    <t>Collierville Sai B [Collierville]</t>
  </si>
  <si>
    <t>University Angelina Y [University]</t>
  </si>
  <si>
    <t>Collierville Shreyansh A [Collierville]</t>
  </si>
  <si>
    <t>Mira Loma HS</t>
  </si>
  <si>
    <t>Collierville Sumin Y [Collierville]</t>
  </si>
  <si>
    <t>Niskayuna HS Andrew Z [Niskayuna HS]</t>
  </si>
  <si>
    <t>Davidson Academy Alexander W [Davidson Academy]</t>
  </si>
  <si>
    <t>Davidson Academy Ethan C [Davidson Academy]</t>
  </si>
  <si>
    <t>Plano West Jayson Z [Plano West]</t>
  </si>
  <si>
    <t>Davidson Academy Filip R [Davidson Academy]</t>
  </si>
  <si>
    <t>Davidson Academy Shayan S [Davidson Academy]</t>
  </si>
  <si>
    <t>Dulles Dolls 1 Aastik B [Dulles Dolls 1]</t>
  </si>
  <si>
    <t>Dulles Dolls 1 Arnav D [Dulles Dolls 1]</t>
  </si>
  <si>
    <t>Eastlake HS Saahil D [Eastlake HS]</t>
  </si>
  <si>
    <t>Dulles Dolls 1 Mahith G [Dulles Dolls 1]</t>
  </si>
  <si>
    <t>Harvard-Westlake Lisa C [Harvard-Westlake]</t>
  </si>
  <si>
    <t>Dulles Dolls 1 Ronuk G [Dulles Dolls 1]</t>
  </si>
  <si>
    <t>Dulles Dolls 2 Akshita C [Dulles Dolls 2]</t>
  </si>
  <si>
    <t>LeBroncos Justin D [LeBroncos]</t>
  </si>
  <si>
    <t>Timberline Ethan P [Timberline]</t>
  </si>
  <si>
    <t>Eastlake HS Neal K [Eastlake HS]</t>
  </si>
  <si>
    <t>WWPS 1 Sanjay O [WWPS 1]</t>
  </si>
  <si>
    <t>Eastlake HS Saamik A [Eastlake HS]</t>
  </si>
  <si>
    <t>Eastlake HS Shivam C [Eastlake HS]</t>
  </si>
  <si>
    <t>Elkins HS Abhinav N [Elkins HS]</t>
  </si>
  <si>
    <t>Elkins HS Anirudh M [Elkins HS]</t>
  </si>
  <si>
    <t>WWPS 2 Samuel D [WWPS 2]</t>
  </si>
  <si>
    <t>Elkins HS Eashan S [Elkins HS]</t>
  </si>
  <si>
    <t>Elkins HS Krithik M [Elkins HS]</t>
  </si>
  <si>
    <t>ENHS Aaron S [ENHS]</t>
  </si>
  <si>
    <t>ENHS Josh R [ENHS]</t>
  </si>
  <si>
    <t>ENHS Kassi R [ENHS]</t>
  </si>
  <si>
    <t>ENHS Ray M [ENHS]</t>
  </si>
  <si>
    <t>Enloe Allen L [Enloe]</t>
  </si>
  <si>
    <t>Enloe Angelina L [Enloe]</t>
  </si>
  <si>
    <t>Gunn Varsity Kabir M [Gunn Varsity]</t>
  </si>
  <si>
    <t>Enloe Madhuram S [Enloe]</t>
  </si>
  <si>
    <t>Harvard-Westlake Troy G [Harvard-Westlake]</t>
  </si>
  <si>
    <t>Enloe Max X [Enloe]</t>
  </si>
  <si>
    <t>Frazer Jaganesh R [Frazer]</t>
  </si>
  <si>
    <t>NoHo 2 Kensuke O [NoHo 2]</t>
  </si>
  <si>
    <t>Frazer Tovy G [Frazer]</t>
  </si>
  <si>
    <t>Friendswood Ishan P [Friendswood]</t>
  </si>
  <si>
    <t>Friendswood Jason W [Friendswood]</t>
  </si>
  <si>
    <t>Friendswood Lilliana W [Friendswood]</t>
  </si>
  <si>
    <t>TJ Hrishi B [TJ]</t>
  </si>
  <si>
    <t>Friendswood Ransom T [Friendswood]</t>
  </si>
  <si>
    <t>Galen 1 Advaith M [Galen 1]</t>
  </si>
  <si>
    <t>TJ Sophia G [TJ]</t>
  </si>
  <si>
    <t>Vancomycin Ishaan A [Vancomycin]</t>
  </si>
  <si>
    <t>Galen 1 Anish A [Galen 1]</t>
  </si>
  <si>
    <t>WWPS 2 Akhil M [WWPS 2]</t>
  </si>
  <si>
    <t>Galen 1 Rutvik A [Galen 1]</t>
  </si>
  <si>
    <t>Galen 1 Theenash S [Galen 1]</t>
  </si>
  <si>
    <t>Mira Loma HS Krish S [Mira Loma HS]</t>
  </si>
  <si>
    <t>Galen 2 Abhiraam G [Galen 2]</t>
  </si>
  <si>
    <t>NoHo 2 Jake R [NoHo 2]</t>
  </si>
  <si>
    <t>Galen 2 Edward Z [Galen 2]</t>
  </si>
  <si>
    <t>Galen 2 Lucas J [Galen 2]</t>
  </si>
  <si>
    <t>Green Hope HS Aarush C [Green Hope HS]</t>
  </si>
  <si>
    <t>Green Hope HS Adhrit M [Green Hope HS]</t>
  </si>
  <si>
    <t>Naperville North Brayden L [Naperville North]</t>
  </si>
  <si>
    <t>Green Hope HS Ibrohim N [Green Hope HS]</t>
  </si>
  <si>
    <t>Seven Lakes Malachi D [Seven Lakes]</t>
  </si>
  <si>
    <t>Will of A Advik S [Will of A]</t>
  </si>
  <si>
    <t>Green Hope HS Justin J [Green Hope HS]</t>
  </si>
  <si>
    <t>Green Hope HS Kevin [Green Hope HS]</t>
  </si>
  <si>
    <t>Gunn Varisty Elliot B [Gunn Varsity]</t>
  </si>
  <si>
    <t>Gunn Varsity Ali S [Gunn Varsity]</t>
  </si>
  <si>
    <t>Harvard-Westlake Alex G [Harvard-Westlake]</t>
  </si>
  <si>
    <t>Harvard-Westlake Donovan B [Harvard-Westlake]</t>
  </si>
  <si>
    <t>Hebron HS Aman K [Hebron HS]</t>
  </si>
  <si>
    <t>Lexington Adam [Lexington]</t>
  </si>
  <si>
    <t>Hebron HS Keegan W [Hebron HS]</t>
  </si>
  <si>
    <t>Lubbock Seonho C [Lubbock]</t>
  </si>
  <si>
    <t>Hebron HS Manvith P [Hebron HS]</t>
  </si>
  <si>
    <t>kwkjzhvm06 [Blair]</t>
  </si>
  <si>
    <t>LeBroncos Achuth V [LeBroncos]</t>
  </si>
  <si>
    <t>NoHo 2 Nathaniel O [NoHo 2]</t>
  </si>
  <si>
    <t>Phoenix Edward X  [Phoenix]</t>
  </si>
  <si>
    <t>Princeton HS</t>
  </si>
  <si>
    <t>LeBroncos Majed A [LeBroncos]</t>
  </si>
  <si>
    <t>Princeton HS Gavin M [Princeton HS]</t>
  </si>
  <si>
    <t>LeBroncos Meera M [LeBroncos]</t>
  </si>
  <si>
    <t>LeBroncos Renard W [LeBroncos]</t>
  </si>
  <si>
    <t>Seven Lakes Eric Z [Seven Lakes]</t>
  </si>
  <si>
    <t>Lexington Akshay R [Lexington]</t>
  </si>
  <si>
    <t>State College Area William L [State College Area]</t>
  </si>
  <si>
    <t>Lexington Ayaan I [Lexington]</t>
  </si>
  <si>
    <t xml:space="preserve">Vancomycin Aahan M [Vancomycin] </t>
  </si>
  <si>
    <t>Lubbock Aqil T [Lubbock]</t>
  </si>
  <si>
    <t>Ward Melville 1 Anna X [Ward Melville 1]</t>
  </si>
  <si>
    <t>Lubbock Hansong Z [Lubbock]</t>
  </si>
  <si>
    <t>Ward Melville 2 Srihari K [Ward Melville 2]</t>
  </si>
  <si>
    <t>Will of A Albert C [Will of A]</t>
  </si>
  <si>
    <t>Lubbock Raaghav N [Lubbock]</t>
  </si>
  <si>
    <t>Lynbrook Alex M [Lynbrook]</t>
  </si>
  <si>
    <t>Lynbrook Evan L [Lynbrook]</t>
  </si>
  <si>
    <t>Lynbrook Philip K [Lynbrook]</t>
  </si>
  <si>
    <t>Lynbrook Ryan B [Lynbrook]</t>
  </si>
  <si>
    <t>OCSA Henry K [OCSA]</t>
  </si>
  <si>
    <t>Mira Loma HS Aaqil S [Mira Loma HS]</t>
  </si>
  <si>
    <t>Palo Alto Kevin P [Palo Alto]</t>
  </si>
  <si>
    <t>Mira Loma HS Sudeep S [Mira Loma HS]</t>
  </si>
  <si>
    <t>Princeton HS Alex S [Princeton HS]</t>
  </si>
  <si>
    <t>Princeton HS Rohan S [Princeton HS]</t>
  </si>
  <si>
    <t>Naperville North Nathan H [Naperville North]</t>
  </si>
  <si>
    <t>Seven Lakes Joanna Y [Seven Lakes]</t>
  </si>
  <si>
    <t>Naperville North Rishik M [Naperville North]</t>
  </si>
  <si>
    <t>Naperville North Yuhan C [Naperville North]</t>
  </si>
  <si>
    <t>Niskayuna HS Aarush I [Niskayuna HS]</t>
  </si>
  <si>
    <t>The Outliers Josh P [The Outliers]</t>
  </si>
  <si>
    <t>Niskayuna HS Daniel Y [Niskayuna HS]</t>
  </si>
  <si>
    <t>Niskayuna HS Ruchir B [Niskayuna HS]</t>
  </si>
  <si>
    <t>Niskayuna HS Tejas J [Niskayuna HS]</t>
  </si>
  <si>
    <t>NoHo 1 Charles H [NoHo 1]</t>
  </si>
  <si>
    <t>NoHo 1 Connor [NoHo 1]</t>
  </si>
  <si>
    <t>NoHo 1 Minghao G [NoHo 1]</t>
  </si>
  <si>
    <t>Phoenix Anya P [Phoenix]</t>
  </si>
  <si>
    <t>Phoenix Rithesh R [Phoenix]</t>
  </si>
  <si>
    <t>The Catalysts Atish A [The Catalysts]</t>
  </si>
  <si>
    <t>NoHo 2 Natahiel O [NoHo 2]</t>
  </si>
  <si>
    <t>The Catalysts Shreehan P [The Catalysts]</t>
  </si>
  <si>
    <t>ntkjzksicy [The Outliers]</t>
  </si>
  <si>
    <t>OCSA Armaan D [OCSA]</t>
  </si>
  <si>
    <t>Palo Alto Inhoo C [Palo Alto]</t>
  </si>
  <si>
    <t>Palo Alto Rasia Y [Palo Alto]</t>
  </si>
  <si>
    <t>Hebron HS</t>
  </si>
  <si>
    <t>Phoenix Edward X [Phoenix]</t>
  </si>
  <si>
    <t>Plano West Isabella W [Plano West]</t>
  </si>
  <si>
    <t>Phoenix Sachin S [Phoenix]</t>
  </si>
  <si>
    <t>Plano West Aarush [Plano West]</t>
  </si>
  <si>
    <t>Vancomycin Aahan M [Vancomycin]</t>
  </si>
  <si>
    <t>Plano West Samuel S [Plano West]</t>
  </si>
  <si>
    <t>Ward Melville 1 Eric L [Ward Melville 1]</t>
  </si>
  <si>
    <t>Whitney Young David C [Whitney Young]</t>
  </si>
  <si>
    <t>Research Triangle HS Jamir C [Research Triangle HS]</t>
  </si>
  <si>
    <t>Research Triangle HS Ryan C [Research Triangle HS]</t>
  </si>
  <si>
    <t>Research Triangle HS Sam K [Research Triangle HS]</t>
  </si>
  <si>
    <t>SciTech Dragons Aditya D [SciTech Dragons]</t>
  </si>
  <si>
    <t>Research Triangle HS</t>
  </si>
  <si>
    <t>SciTech Dragons Osric D [SciTech Dragons]</t>
  </si>
  <si>
    <t>SciTech Dragons Santiago O [SciTech Dragons]</t>
  </si>
  <si>
    <t>SciTech Dragons Sunny Z [SciTech Dragons]</t>
  </si>
  <si>
    <t>The Outliers Vedant B [The Outliers]</t>
  </si>
  <si>
    <t>Ward Melville 2 Kiaan B [Ward Melville 2]</t>
  </si>
  <si>
    <t>Seven Lakes Mia H [Seven Lakes]</t>
  </si>
  <si>
    <t>State College Area Aaron L [State College Area]</t>
  </si>
  <si>
    <t>State College Area Aidan L [State College Area]</t>
  </si>
  <si>
    <t>State College Area Evan Z [State College Area]</t>
  </si>
  <si>
    <t>Synthase Lucas W [Synthase]</t>
  </si>
  <si>
    <t>State College Area Reed P [State College Area]</t>
  </si>
  <si>
    <t>Synthase Shyam D [Synthase]</t>
  </si>
  <si>
    <t>The Catalysts Anaya T [The Catalysts]</t>
  </si>
  <si>
    <t>The Catalysts Vedant N [The Catalysts]</t>
  </si>
  <si>
    <t>The Outliers Vihaan N [The Outliers]</t>
  </si>
  <si>
    <t>The Catalysts Zavian M [The Catalysts]</t>
  </si>
  <si>
    <t>Timberline Enoch S [Timberline]</t>
  </si>
  <si>
    <t>The Outliers Shruthi K [The Outliers]</t>
  </si>
  <si>
    <t>The Outliers Tarun S [The Outliers]</t>
  </si>
  <si>
    <t>Ward Melville 2 Will S [Ward Melville 2]</t>
  </si>
  <si>
    <t>The Woodlands HS Benji F [The Woodlands HS]</t>
  </si>
  <si>
    <t>The Woodlands HS Camden C [The Woodlands HS]</t>
  </si>
  <si>
    <t>The Woodlands HS John C [The Woodlands HS]</t>
  </si>
  <si>
    <t>The Woodlands HS Kai C [The Woodlands HS]</t>
  </si>
  <si>
    <t>The Woodlands HS Liam T [The Woodlands HS]</t>
  </si>
  <si>
    <t>Timberline Aiden L [Timberline]</t>
  </si>
  <si>
    <t>TJ Justin [TJ]</t>
  </si>
  <si>
    <t>University Priya K [University]</t>
  </si>
  <si>
    <t>University Stephanie Y [University]</t>
  </si>
  <si>
    <t>University Timothy C [University]</t>
  </si>
  <si>
    <t>VMATHs Ishan P [VMATHs]</t>
  </si>
  <si>
    <t>VMATHs Marty H [VMATHs]</t>
  </si>
  <si>
    <t>VMATHs Uddip K [VMATHs]</t>
  </si>
  <si>
    <t>Ward Melville 2 Alan M [Ward Melville 2]</t>
  </si>
  <si>
    <t>Whitney Young Angelo L [Whitney Young]</t>
  </si>
  <si>
    <t>Whitney Young Chaniel K [Whitney Young]</t>
  </si>
  <si>
    <t>Will of A Skyler B [Will of A]</t>
  </si>
  <si>
    <t>WWPS 1 Abhinav A [WWPS 1]</t>
  </si>
  <si>
    <t>WWPS 1 Dennis J [WWPS 1]</t>
  </si>
  <si>
    <t>WWPS 1 Monish S [WWPS 1]</t>
  </si>
  <si>
    <t>WWPS 2 Anna Kang [WWPS 2]</t>
  </si>
  <si>
    <t>WWPS 2 Gyan C [WWPS 2]</t>
  </si>
  <si>
    <t>gamesPlayed</t>
  </si>
  <si>
    <t>tuh</t>
  </si>
  <si>
    <t>buzzes</t>
  </si>
  <si>
    <t>ppg</t>
  </si>
  <si>
    <t>npg</t>
  </si>
  <si>
    <t>bpg</t>
  </si>
  <si>
    <t>accuracy</t>
  </si>
  <si>
    <t>name</t>
  </si>
  <si>
    <t>Column 1</t>
  </si>
  <si>
    <t>Column 2</t>
  </si>
  <si>
    <t>query(playerStatsBiology!A:J, "select H, sum(A), sum(B), sum(I)/sum(A), sum(J)/sum(A) where H is not null group by H label H 'Player', sum(A) 'Games', sum(B) 'Toss-Ups Heard', sum(I)/sum(A) 'PPG', sum(J)/sum(A) 'NPG'")</t>
  </si>
  <si>
    <t>query('playerStatsChemistry'!A:J, "select H, sum(A), sum(B), sum(I)/sum(A), sum(J)/sum(A) where H is not null group by H label H 'Player', sum(A) 'Games', sum(B) 'Toss-Ups Heard', sum(I)/sum(A) 'PPG', sum(J)/sum(A) 'NPG'")</t>
  </si>
  <si>
    <t>query('playerStatsEarth and Space'!A:J, "select H, sum(A), sum(B), sum(I)/sum(A), sum(J)/sum(A) where H is not null group by H label H 'Player', sum(A) 'Games', sum(B) 'Toss-Ups Heard', sum(I)/sum(A) 'PPG', sum(J)/sum(A) 'NPG'")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</si>
</sst>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9" xfId="0" applyFont="1" applyNumberFormat="1"/>
    <xf borderId="0" fillId="0" fontId="1" numFmtId="0" xfId="0" applyAlignment="1" applyFont="1">
      <alignment readingOrder="0"/>
    </xf>
    <xf borderId="0" fillId="0" fontId="1" numFmtId="2" xfId="0" applyFont="1" applyNumberFormat="1"/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1" numFmtId="9" xfId="0" applyAlignment="1" applyFont="1" applyNumberFormat="1">
      <alignment readingOrder="0"/>
    </xf>
    <xf borderId="0" fillId="0" fontId="1" numFmtId="2" xfId="0" applyAlignment="1" applyFont="1" applyNumberFormat="1">
      <alignment horizontal="left" readingOrder="0" shrinkToFit="0" vertical="center" wrapText="0"/>
    </xf>
    <xf borderId="0" fillId="0" fontId="1" numFmtId="10" xfId="0" applyAlignment="1" applyFont="1" applyNumberFormat="1">
      <alignment horizontal="left" readingOrder="0"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2">
    <tableStyle count="4" pivot="0" name="tea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veral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yerStatsMat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t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yerStatsPhysic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ysic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yerStatsChemist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emist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yerStatsEarth and Spa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arth and spa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iolog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yerStatsBiolog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63" displayName="Table12" name="Table12" id="1">
  <tableColumns count="8">
    <tableColumn name="Team" id="1"/>
    <tableColumn name="Tossup PPG" id="2"/>
    <tableColumn name="Bonus PPG" id="3"/>
    <tableColumn name="Total PPG" id="4"/>
    <tableColumn name="NPG" id="5"/>
    <tableColumn name="Correct Tossups" id="6"/>
    <tableColumn name="Correct Bonuses" id="7"/>
    <tableColumn name="Bonus Conversion" id="8"/>
  </tableColumns>
  <tableStyleInfo name="team-style" showColumnStripes="0" showFirstColumn="1" showLastColumn="1" showRowStripes="1"/>
</table>
</file>

<file path=xl/tables/table2.xml><?xml version="1.0" encoding="utf-8"?>
<table xmlns="http://schemas.openxmlformats.org/spreadsheetml/2006/main" ref="A1:E273" displayName="Table11" name="Table11" id="2">
  <tableColumns count="5">
    <tableColumn name="Player" id="1"/>
    <tableColumn name="Games" id="2"/>
    <tableColumn name="Toss-Ups Heard" id="3"/>
    <tableColumn name="PPG" id="4"/>
    <tableColumn name="NPG" id="5"/>
  </tableColumns>
  <tableStyleInfo name="overall-style" showColumnStripes="0" showFirstColumn="1" showLastColumn="1" showRowStripes="1"/>
</table>
</file>

<file path=xl/tables/table3.xml><?xml version="1.0" encoding="utf-8"?>
<table xmlns="http://schemas.openxmlformats.org/spreadsheetml/2006/main" ref="A1:J463" displayName="Table9" name="Table9" id="3">
  <tableColumns count="10">
    <tableColumn name="gamesPlayed" id="1"/>
    <tableColumn name="tuh" id="2"/>
    <tableColumn name="buzzes" id="3"/>
    <tableColumn name="ppg" id="4"/>
    <tableColumn name="npg" id="5"/>
    <tableColumn name="bpg" id="6"/>
    <tableColumn name="accuracy" id="7"/>
    <tableColumn name="name" id="8"/>
    <tableColumn name="Column 1" id="9"/>
    <tableColumn name="Column 2" id="10"/>
  </tableColumns>
  <tableStyleInfo name="playerStatsMath-style" showColumnStripes="0" showFirstColumn="1" showLastColumn="1" showRowStripes="1"/>
</table>
</file>

<file path=xl/tables/table4.xml><?xml version="1.0" encoding="utf-8"?>
<table xmlns="http://schemas.openxmlformats.org/spreadsheetml/2006/main" ref="A1:E273" displayName="Table10" name="Table10" id="4">
  <tableColumns count="5">
    <tableColumn name="Player" id="1"/>
    <tableColumn name="Games" id="2"/>
    <tableColumn name="Toss-Ups Heard" id="3"/>
    <tableColumn name="PPG" id="4"/>
    <tableColumn name="NPG" id="5"/>
  </tableColumns>
  <tableStyleInfo name="math-style" showColumnStripes="0" showFirstColumn="1" showLastColumn="1" showRowStripes="1"/>
</table>
</file>

<file path=xl/tables/table5.xml><?xml version="1.0" encoding="utf-8"?>
<table xmlns="http://schemas.openxmlformats.org/spreadsheetml/2006/main" ref="A1:J463" displayName="Table7" name="Table7" id="5">
  <tableColumns count="10">
    <tableColumn name="gamesPlayed" id="1"/>
    <tableColumn name="tuh" id="2"/>
    <tableColumn name="buzzes" id="3"/>
    <tableColumn name="ppg" id="4"/>
    <tableColumn name="npg" id="5"/>
    <tableColumn name="bpg" id="6"/>
    <tableColumn name="accuracy" id="7"/>
    <tableColumn name="name" id="8"/>
    <tableColumn name="Column 1" id="9"/>
    <tableColumn name="Column 2" id="10"/>
  </tableColumns>
  <tableStyleInfo name="playerStatsPhysics-style" showColumnStripes="0" showFirstColumn="1" showLastColumn="1" showRowStripes="1"/>
</table>
</file>

<file path=xl/tables/table6.xml><?xml version="1.0" encoding="utf-8"?>
<table xmlns="http://schemas.openxmlformats.org/spreadsheetml/2006/main" ref="A1:E273" displayName="Table8" name="Table8" id="6">
  <tableColumns count="5">
    <tableColumn name="Player" id="1"/>
    <tableColumn name="Games" id="2"/>
    <tableColumn name="Toss-Ups Heard" id="3"/>
    <tableColumn name="PPG" id="4"/>
    <tableColumn name="NPG" id="5"/>
  </tableColumns>
  <tableStyleInfo name="physics-style" showColumnStripes="0" showFirstColumn="1" showLastColumn="1" showRowStripes="1"/>
</table>
</file>

<file path=xl/tables/table7.xml><?xml version="1.0" encoding="utf-8"?>
<table xmlns="http://schemas.openxmlformats.org/spreadsheetml/2006/main" ref="A1:J463" displayName="Table5" name="Table5" id="7">
  <tableColumns count="10">
    <tableColumn name="gamesPlayed" id="1"/>
    <tableColumn name="tuh" id="2"/>
    <tableColumn name="buzzes" id="3"/>
    <tableColumn name="ppg" id="4"/>
    <tableColumn name="npg" id="5"/>
    <tableColumn name="bpg" id="6"/>
    <tableColumn name="accuracy" id="7"/>
    <tableColumn name="name" id="8"/>
    <tableColumn name="Column 1" id="9"/>
    <tableColumn name="Column 2" id="10"/>
  </tableColumns>
  <tableStyleInfo name="playerStatsChemistry-style" showColumnStripes="0" showFirstColumn="1" showLastColumn="1" showRowStripes="1"/>
</table>
</file>

<file path=xl/tables/table8.xml><?xml version="1.0" encoding="utf-8"?>
<table xmlns="http://schemas.openxmlformats.org/spreadsheetml/2006/main" ref="A1:E273" displayName="Table6" name="Table6" id="8">
  <tableColumns count="5">
    <tableColumn name="Player" id="1"/>
    <tableColumn name="Games" id="2"/>
    <tableColumn name="Toss-Ups Heard" id="3"/>
    <tableColumn name="PPG" id="4"/>
    <tableColumn name="NPG" id="5"/>
  </tableColumns>
  <tableStyleInfo name="chemistry-style" showColumnStripes="0" showFirstColumn="1" showLastColumn="1" showRowStripes="1"/>
</table>
</file>

<file path=xl/tables/table9.xml><?xml version="1.0" encoding="utf-8"?>
<table xmlns="http://schemas.openxmlformats.org/spreadsheetml/2006/main" ref="A1:J463" displayName="Table3" name="Table3" id="9">
  <tableColumns count="10">
    <tableColumn name="gamesPlayed" id="1"/>
    <tableColumn name="tuh" id="2"/>
    <tableColumn name="buzzes" id="3"/>
    <tableColumn name="ppg" id="4"/>
    <tableColumn name="npg" id="5"/>
    <tableColumn name="bpg" id="6"/>
    <tableColumn name="accuracy" id="7"/>
    <tableColumn name="name" id="8"/>
    <tableColumn name="Column 1" id="9"/>
    <tableColumn name="Column 2" id="10"/>
  </tableColumns>
  <tableStyleInfo name="playerStatsEarth and Space-style" showColumnStripes="0" showFirstColumn="1" showLastColumn="1" showRowStripes="1"/>
</table>
</file>

<file path=xl/tables/table10.xml><?xml version="1.0" encoding="utf-8"?>
<table xmlns="http://schemas.openxmlformats.org/spreadsheetml/2006/main" ref="A1:E273" displayName="Table4" name="Table4" id="10">
  <tableColumns count="5">
    <tableColumn name="Player" id="1"/>
    <tableColumn name="Games" id="2"/>
    <tableColumn name="Toss-Ups Heard" id="3"/>
    <tableColumn name="PPG" id="4"/>
    <tableColumn name="NPG" id="5"/>
  </tableColumns>
  <tableStyleInfo name="earth and space-style" showColumnStripes="0" showFirstColumn="1" showLastColumn="1" showRowStripes="1"/>
</table>
</file>

<file path=xl/tables/table11.xml><?xml version="1.0" encoding="utf-8"?>
<table xmlns="http://schemas.openxmlformats.org/spreadsheetml/2006/main" ref="A1:E273" displayName="Table2" name="Table2" id="11">
  <tableColumns count="5">
    <tableColumn name="Player" id="1"/>
    <tableColumn name="Games" id="2"/>
    <tableColumn name="Toss-Ups Heard" id="3"/>
    <tableColumn name="PPG" id="4"/>
    <tableColumn name="NPG" id="5"/>
  </tableColumns>
  <tableStyleInfo name="biology-style" showColumnStripes="0" showFirstColumn="1" showLastColumn="1" showRowStripes="1"/>
</table>
</file>

<file path=xl/tables/table12.xml><?xml version="1.0" encoding="utf-8"?>
<table xmlns="http://schemas.openxmlformats.org/spreadsheetml/2006/main" ref="A1:J463" displayName="Table1" name="Table1" id="12">
  <tableColumns count="10">
    <tableColumn name="gamesPlayed" id="1"/>
    <tableColumn name="tuh" id="2"/>
    <tableColumn name="buzzes" id="3"/>
    <tableColumn name="ppg" id="4"/>
    <tableColumn name="npg" id="5"/>
    <tableColumn name="bpg" id="6"/>
    <tableColumn name="accuracy" id="7"/>
    <tableColumn name="name" id="8"/>
    <tableColumn name="Column 1" id="9"/>
    <tableColumn name="Column 2" id="10"/>
  </tableColumns>
  <tableStyleInfo name="playerStatsBiolog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9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0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7.88"/>
    <col customWidth="1" min="3" max="3" width="17.13"/>
    <col customWidth="1" min="4" max="4" width="16.13"/>
    <col customWidth="1" min="6" max="6" width="20.88"/>
    <col customWidth="1" min="7" max="7" width="21.0"/>
    <col customWidth="1" min="8" max="8" width="22.13"/>
  </cols>
  <sheetData>
    <row r="1" ht="22.5" customHeight="1">
      <c r="A1" s="8" t="s">
        <v>22</v>
      </c>
      <c r="B1" s="8" t="s">
        <v>26</v>
      </c>
      <c r="C1" s="8" t="s">
        <v>27</v>
      </c>
      <c r="D1" s="8" t="s">
        <v>28</v>
      </c>
      <c r="E1" s="8" t="s">
        <v>30</v>
      </c>
      <c r="F1" s="8" t="s">
        <v>32</v>
      </c>
      <c r="G1" s="8" t="s">
        <v>33</v>
      </c>
      <c r="H1" s="9" t="s">
        <v>35</v>
      </c>
    </row>
    <row r="2" ht="22.5" customHeight="1">
      <c r="A2" s="10" t="s">
        <v>39</v>
      </c>
      <c r="B2" s="10">
        <v>41.6</v>
      </c>
      <c r="C2" s="10">
        <v>106.0</v>
      </c>
      <c r="D2" s="10">
        <v>147.6</v>
      </c>
      <c r="E2" s="10">
        <v>2.2</v>
      </c>
      <c r="F2" s="14">
        <v>63.0</v>
      </c>
      <c r="G2" s="14">
        <v>53.0</v>
      </c>
      <c r="H2" s="15">
        <v>0.8412698412698413</v>
      </c>
    </row>
    <row r="3" ht="22.5" customHeight="1">
      <c r="A3" s="10" t="s">
        <v>57</v>
      </c>
      <c r="B3" s="10">
        <v>34.4</v>
      </c>
      <c r="C3" s="10">
        <v>96.0</v>
      </c>
      <c r="D3" s="10">
        <v>130.4</v>
      </c>
      <c r="E3" s="10">
        <v>3.4</v>
      </c>
      <c r="F3" s="14">
        <v>60.0</v>
      </c>
      <c r="G3" s="14">
        <v>48.0</v>
      </c>
      <c r="H3" s="15">
        <v>0.8</v>
      </c>
    </row>
    <row r="4" ht="22.5" customHeight="1">
      <c r="A4" s="10" t="s">
        <v>31</v>
      </c>
      <c r="B4" s="10">
        <v>38.4</v>
      </c>
      <c r="C4" s="10">
        <v>82.0</v>
      </c>
      <c r="D4" s="10">
        <v>120.4</v>
      </c>
      <c r="E4" s="10">
        <v>2.4</v>
      </c>
      <c r="F4" s="14">
        <v>60.0</v>
      </c>
      <c r="G4" s="14">
        <v>41.0</v>
      </c>
      <c r="H4" s="15">
        <v>0.6833333333333333</v>
      </c>
    </row>
    <row r="5" ht="22.5" customHeight="1">
      <c r="A5" s="10" t="s">
        <v>1</v>
      </c>
      <c r="B5" s="10">
        <v>37.6</v>
      </c>
      <c r="C5" s="10">
        <v>78.0</v>
      </c>
      <c r="D5" s="10">
        <v>115.6</v>
      </c>
      <c r="E5" s="10">
        <v>1.6</v>
      </c>
      <c r="F5" s="14">
        <v>55.0</v>
      </c>
      <c r="G5" s="14">
        <v>39.0</v>
      </c>
      <c r="H5" s="15">
        <v>0.7090909090909091</v>
      </c>
    </row>
    <row r="6" ht="22.5" customHeight="1">
      <c r="A6" s="10" t="s">
        <v>78</v>
      </c>
      <c r="B6" s="10">
        <v>28.8</v>
      </c>
      <c r="C6" s="10">
        <v>86.0</v>
      </c>
      <c r="D6" s="10">
        <v>114.8</v>
      </c>
      <c r="E6" s="10">
        <v>3.8</v>
      </c>
      <c r="F6" s="14">
        <v>55.0</v>
      </c>
      <c r="G6" s="14">
        <v>43.0</v>
      </c>
      <c r="H6" s="15">
        <v>0.7818181818181819</v>
      </c>
    </row>
    <row r="7" ht="22.5" customHeight="1">
      <c r="A7" s="10" t="s">
        <v>81</v>
      </c>
      <c r="B7" s="10">
        <v>29.6</v>
      </c>
      <c r="C7" s="10">
        <v>80.0</v>
      </c>
      <c r="D7" s="10">
        <v>109.6</v>
      </c>
      <c r="E7" s="10">
        <v>2.4</v>
      </c>
      <c r="F7" s="14">
        <v>49.0</v>
      </c>
      <c r="G7" s="14">
        <v>40.0</v>
      </c>
      <c r="H7" s="15">
        <v>0.8163265306122449</v>
      </c>
    </row>
    <row r="8" ht="22.5" customHeight="1">
      <c r="A8" s="10" t="s">
        <v>34</v>
      </c>
      <c r="B8" s="10">
        <v>32.8</v>
      </c>
      <c r="C8" s="10">
        <v>74.0</v>
      </c>
      <c r="D8" s="10">
        <v>106.8</v>
      </c>
      <c r="E8" s="10">
        <v>0.8</v>
      </c>
      <c r="F8" s="14">
        <v>45.0</v>
      </c>
      <c r="G8" s="14">
        <v>37.0</v>
      </c>
      <c r="H8" s="15">
        <v>0.8222222222222222</v>
      </c>
    </row>
    <row r="9" ht="22.5" customHeight="1">
      <c r="A9" s="10" t="s">
        <v>10</v>
      </c>
      <c r="B9" s="10">
        <v>21.6</v>
      </c>
      <c r="C9" s="10">
        <v>84.0</v>
      </c>
      <c r="D9" s="10">
        <v>105.6</v>
      </c>
      <c r="E9" s="10">
        <v>4.8</v>
      </c>
      <c r="F9" s="14">
        <v>51.0</v>
      </c>
      <c r="G9" s="14">
        <v>42.0</v>
      </c>
      <c r="H9" s="15">
        <v>0.8235294117647058</v>
      </c>
    </row>
    <row r="10" ht="22.5" customHeight="1">
      <c r="A10" s="10" t="s">
        <v>97</v>
      </c>
      <c r="B10" s="10">
        <v>35.2</v>
      </c>
      <c r="C10" s="10">
        <v>70.0</v>
      </c>
      <c r="D10" s="10">
        <v>105.2</v>
      </c>
      <c r="E10" s="10">
        <v>1.0</v>
      </c>
      <c r="F10" s="14">
        <v>49.0</v>
      </c>
      <c r="G10" s="14">
        <v>35.0</v>
      </c>
      <c r="H10" s="15">
        <v>0.7142857142857143</v>
      </c>
    </row>
    <row r="11" ht="22.5" customHeight="1">
      <c r="A11" s="10" t="s">
        <v>103</v>
      </c>
      <c r="B11" s="10">
        <v>31.0</v>
      </c>
      <c r="C11" s="10">
        <v>70.0</v>
      </c>
      <c r="D11" s="10">
        <v>101.0</v>
      </c>
      <c r="E11" s="10">
        <v>1.75</v>
      </c>
      <c r="F11" s="14">
        <v>38.0</v>
      </c>
      <c r="G11" s="14">
        <v>28.0</v>
      </c>
      <c r="H11" s="15">
        <v>0.7368421052631579</v>
      </c>
    </row>
    <row r="12" ht="22.5" customHeight="1">
      <c r="A12" s="10" t="s">
        <v>48</v>
      </c>
      <c r="B12" s="10">
        <v>32.8</v>
      </c>
      <c r="C12" s="10">
        <v>64.0</v>
      </c>
      <c r="D12" s="10">
        <v>96.8</v>
      </c>
      <c r="E12" s="10">
        <v>1.8</v>
      </c>
      <c r="F12" s="14">
        <v>50.0</v>
      </c>
      <c r="G12" s="14">
        <v>32.0</v>
      </c>
      <c r="H12" s="15">
        <v>0.64</v>
      </c>
    </row>
    <row r="13" ht="22.5" customHeight="1">
      <c r="A13" s="10" t="s">
        <v>63</v>
      </c>
      <c r="B13" s="10">
        <v>30.4</v>
      </c>
      <c r="C13" s="10">
        <v>66.0</v>
      </c>
      <c r="D13" s="10">
        <v>96.4</v>
      </c>
      <c r="E13" s="10">
        <v>1.4</v>
      </c>
      <c r="F13" s="14">
        <v>45.0</v>
      </c>
      <c r="G13" s="14">
        <v>33.0</v>
      </c>
      <c r="H13" s="15">
        <v>0.7333333333333333</v>
      </c>
    </row>
    <row r="14" ht="22.5" customHeight="1">
      <c r="A14" s="10" t="s">
        <v>56</v>
      </c>
      <c r="B14" s="10">
        <v>25.6</v>
      </c>
      <c r="C14" s="10">
        <v>68.0</v>
      </c>
      <c r="D14" s="10">
        <v>93.6</v>
      </c>
      <c r="E14" s="10">
        <v>2.2</v>
      </c>
      <c r="F14" s="14">
        <v>43.0</v>
      </c>
      <c r="G14" s="14">
        <v>34.0</v>
      </c>
      <c r="H14" s="15">
        <v>0.7906976744186046</v>
      </c>
    </row>
    <row r="15" ht="22.5" customHeight="1">
      <c r="A15" s="10" t="s">
        <v>67</v>
      </c>
      <c r="B15" s="10">
        <v>33.6</v>
      </c>
      <c r="C15" s="10">
        <v>60.0</v>
      </c>
      <c r="D15" s="10">
        <v>93.6</v>
      </c>
      <c r="E15" s="10">
        <v>1.4</v>
      </c>
      <c r="F15" s="14">
        <v>49.0</v>
      </c>
      <c r="G15" s="14">
        <v>30.0</v>
      </c>
      <c r="H15" s="15">
        <v>0.6122448979591837</v>
      </c>
    </row>
    <row r="16" ht="22.5" customHeight="1">
      <c r="A16" s="10" t="s">
        <v>95</v>
      </c>
      <c r="B16" s="10">
        <v>30.4</v>
      </c>
      <c r="C16" s="10">
        <v>62.0</v>
      </c>
      <c r="D16" s="10">
        <v>92.4</v>
      </c>
      <c r="E16" s="10">
        <v>1.0</v>
      </c>
      <c r="F16" s="14">
        <v>43.0</v>
      </c>
      <c r="G16" s="14">
        <v>31.0</v>
      </c>
      <c r="H16" s="15">
        <v>0.7209302325581396</v>
      </c>
    </row>
    <row r="17" ht="22.5" customHeight="1">
      <c r="A17" s="10" t="s">
        <v>53</v>
      </c>
      <c r="B17" s="10">
        <v>30.4</v>
      </c>
      <c r="C17" s="10">
        <v>62.0</v>
      </c>
      <c r="D17" s="10">
        <v>92.4</v>
      </c>
      <c r="E17" s="10">
        <v>1.8</v>
      </c>
      <c r="F17" s="14">
        <v>47.0</v>
      </c>
      <c r="G17" s="14">
        <v>31.0</v>
      </c>
      <c r="H17" s="15">
        <v>0.6595744680851064</v>
      </c>
    </row>
    <row r="18" ht="22.5" customHeight="1">
      <c r="A18" s="10" t="s">
        <v>69</v>
      </c>
      <c r="B18" s="10">
        <v>27.2</v>
      </c>
      <c r="C18" s="10">
        <v>64.0</v>
      </c>
      <c r="D18" s="10">
        <v>91.2</v>
      </c>
      <c r="E18" s="10">
        <v>0.8</v>
      </c>
      <c r="F18" s="14">
        <v>38.0</v>
      </c>
      <c r="G18" s="14">
        <v>32.0</v>
      </c>
      <c r="H18" s="15">
        <v>0.8421052631578947</v>
      </c>
    </row>
    <row r="19" ht="22.5" customHeight="1">
      <c r="A19" s="10" t="s">
        <v>43</v>
      </c>
      <c r="B19" s="10">
        <v>31.0</v>
      </c>
      <c r="C19" s="10">
        <v>60.0</v>
      </c>
      <c r="D19" s="10">
        <v>91.0</v>
      </c>
      <c r="E19" s="10">
        <v>2.75</v>
      </c>
      <c r="F19" s="14">
        <v>42.0</v>
      </c>
      <c r="G19" s="14">
        <v>24.0</v>
      </c>
      <c r="H19" s="15">
        <v>0.5714285714285714</v>
      </c>
    </row>
    <row r="20" ht="22.5" customHeight="1">
      <c r="A20" s="10" t="s">
        <v>146</v>
      </c>
      <c r="B20" s="10">
        <v>26.4</v>
      </c>
      <c r="C20" s="10">
        <v>64.0</v>
      </c>
      <c r="D20" s="10">
        <v>90.4</v>
      </c>
      <c r="E20" s="10">
        <v>2.2</v>
      </c>
      <c r="F20" s="14">
        <v>44.0</v>
      </c>
      <c r="G20" s="14">
        <v>32.0</v>
      </c>
      <c r="H20" s="15">
        <v>0.7272727272727273</v>
      </c>
    </row>
    <row r="21" ht="22.5" customHeight="1">
      <c r="A21" s="10" t="s">
        <v>148</v>
      </c>
      <c r="B21" s="10">
        <v>32.0</v>
      </c>
      <c r="C21" s="10">
        <v>56.0</v>
      </c>
      <c r="D21" s="10">
        <v>88.0</v>
      </c>
      <c r="E21" s="10">
        <v>1.8</v>
      </c>
      <c r="F21" s="14">
        <v>49.0</v>
      </c>
      <c r="G21" s="14">
        <v>28.0</v>
      </c>
      <c r="H21" s="15">
        <v>0.5714285714285714</v>
      </c>
    </row>
    <row r="22" ht="22.5" customHeight="1">
      <c r="A22" s="10" t="s">
        <v>89</v>
      </c>
      <c r="B22" s="10">
        <v>24.0</v>
      </c>
      <c r="C22" s="10">
        <v>60.0</v>
      </c>
      <c r="D22" s="10">
        <v>84.0</v>
      </c>
      <c r="E22" s="10">
        <v>2.0</v>
      </c>
      <c r="F22" s="14">
        <v>40.0</v>
      </c>
      <c r="G22" s="14">
        <v>30.0</v>
      </c>
      <c r="H22" s="15">
        <v>0.75</v>
      </c>
    </row>
    <row r="23" ht="22.5" customHeight="1">
      <c r="A23" s="10" t="s">
        <v>6</v>
      </c>
      <c r="B23" s="10">
        <v>29.6</v>
      </c>
      <c r="C23" s="10">
        <v>54.0</v>
      </c>
      <c r="D23" s="10">
        <v>83.6</v>
      </c>
      <c r="E23" s="10">
        <v>1.6</v>
      </c>
      <c r="F23" s="14">
        <v>45.0</v>
      </c>
      <c r="G23" s="14">
        <v>27.0</v>
      </c>
      <c r="H23" s="15">
        <v>0.6</v>
      </c>
    </row>
    <row r="24" ht="22.5" customHeight="1">
      <c r="A24" s="10" t="s">
        <v>114</v>
      </c>
      <c r="B24" s="10">
        <v>29.6</v>
      </c>
      <c r="C24" s="10">
        <v>52.0</v>
      </c>
      <c r="D24" s="10">
        <v>81.6</v>
      </c>
      <c r="E24" s="10">
        <v>1.2</v>
      </c>
      <c r="F24" s="14">
        <v>43.0</v>
      </c>
      <c r="G24" s="14">
        <v>26.0</v>
      </c>
      <c r="H24" s="15">
        <v>0.6046511627906976</v>
      </c>
    </row>
    <row r="25" ht="22.5" customHeight="1">
      <c r="A25" s="10" t="s">
        <v>170</v>
      </c>
      <c r="B25" s="10">
        <v>33.0</v>
      </c>
      <c r="C25" s="10">
        <v>45.0</v>
      </c>
      <c r="D25" s="10">
        <v>78.0</v>
      </c>
      <c r="E25" s="10">
        <v>0.75</v>
      </c>
      <c r="F25" s="14">
        <v>36.0</v>
      </c>
      <c r="G25" s="14">
        <v>18.0</v>
      </c>
      <c r="H25" s="15">
        <v>0.5</v>
      </c>
    </row>
    <row r="26" ht="22.5" customHeight="1">
      <c r="A26" s="10" t="s">
        <v>166</v>
      </c>
      <c r="B26" s="10">
        <v>28.0</v>
      </c>
      <c r="C26" s="10">
        <v>47.5</v>
      </c>
      <c r="D26" s="10">
        <v>75.5</v>
      </c>
      <c r="E26" s="10">
        <v>1.25</v>
      </c>
      <c r="F26" s="14">
        <v>33.0</v>
      </c>
      <c r="G26" s="14">
        <v>19.0</v>
      </c>
      <c r="H26" s="15">
        <v>0.5757575757575758</v>
      </c>
    </row>
    <row r="27" ht="22.5" customHeight="1">
      <c r="A27" s="10" t="s">
        <v>163</v>
      </c>
      <c r="B27" s="10">
        <v>15.2</v>
      </c>
      <c r="C27" s="10">
        <v>60.0</v>
      </c>
      <c r="D27" s="10">
        <v>75.2</v>
      </c>
      <c r="E27" s="10">
        <v>4.4</v>
      </c>
      <c r="F27" s="14">
        <v>41.0</v>
      </c>
      <c r="G27" s="14">
        <v>30.0</v>
      </c>
      <c r="H27" s="15">
        <v>0.7317073170731707</v>
      </c>
    </row>
    <row r="28" ht="22.5" customHeight="1">
      <c r="A28" s="10" t="s">
        <v>41</v>
      </c>
      <c r="B28" s="10">
        <v>27.2</v>
      </c>
      <c r="C28" s="10">
        <v>48.0</v>
      </c>
      <c r="D28" s="10">
        <v>75.2</v>
      </c>
      <c r="E28" s="10">
        <v>1.4</v>
      </c>
      <c r="F28" s="14">
        <v>41.0</v>
      </c>
      <c r="G28" s="14">
        <v>24.0</v>
      </c>
      <c r="H28" s="15">
        <v>0.5853658536585366</v>
      </c>
    </row>
    <row r="29" ht="22.5" customHeight="1">
      <c r="A29" s="10" t="s">
        <v>3</v>
      </c>
      <c r="B29" s="10">
        <v>27.2</v>
      </c>
      <c r="C29" s="10">
        <v>48.0</v>
      </c>
      <c r="D29" s="10">
        <v>75.2</v>
      </c>
      <c r="E29" s="10">
        <v>2.8</v>
      </c>
      <c r="F29" s="14">
        <v>48.0</v>
      </c>
      <c r="G29" s="14">
        <v>24.0</v>
      </c>
      <c r="H29" s="15">
        <v>0.5</v>
      </c>
    </row>
    <row r="30" ht="22.5" customHeight="1">
      <c r="A30" s="10" t="s">
        <v>19</v>
      </c>
      <c r="B30" s="10">
        <v>25.0</v>
      </c>
      <c r="C30" s="10">
        <v>50.0</v>
      </c>
      <c r="D30" s="10">
        <v>75.0</v>
      </c>
      <c r="E30" s="10">
        <v>1.0</v>
      </c>
      <c r="F30" s="14">
        <v>29.0</v>
      </c>
      <c r="G30" s="14">
        <v>20.0</v>
      </c>
      <c r="H30" s="15">
        <v>0.689655172413793</v>
      </c>
    </row>
    <row r="31" ht="22.5" customHeight="1">
      <c r="A31" s="10" t="s">
        <v>159</v>
      </c>
      <c r="B31" s="10">
        <v>20.8</v>
      </c>
      <c r="C31" s="10">
        <v>44.0</v>
      </c>
      <c r="D31" s="10">
        <v>64.8</v>
      </c>
      <c r="E31" s="10">
        <v>1.8</v>
      </c>
      <c r="F31" s="14">
        <v>35.0</v>
      </c>
      <c r="G31" s="14">
        <v>22.0</v>
      </c>
      <c r="H31" s="15">
        <v>0.6285714285714286</v>
      </c>
    </row>
    <row r="32" ht="22.5" customHeight="1">
      <c r="A32" s="10" t="s">
        <v>82</v>
      </c>
      <c r="B32" s="10">
        <v>24.8</v>
      </c>
      <c r="C32" s="10">
        <v>40.0</v>
      </c>
      <c r="D32" s="10">
        <v>64.8</v>
      </c>
      <c r="E32" s="10">
        <v>1.2</v>
      </c>
      <c r="F32" s="14">
        <v>37.0</v>
      </c>
      <c r="G32" s="14">
        <v>20.0</v>
      </c>
      <c r="H32" s="15">
        <v>0.5405405405405406</v>
      </c>
    </row>
    <row r="33" ht="22.5" customHeight="1">
      <c r="A33" s="10" t="s">
        <v>50</v>
      </c>
      <c r="B33" s="10">
        <v>22.4</v>
      </c>
      <c r="C33" s="10">
        <v>42.0</v>
      </c>
      <c r="D33" s="10">
        <v>64.4</v>
      </c>
      <c r="E33" s="10">
        <v>2.6</v>
      </c>
      <c r="F33" s="14">
        <v>41.0</v>
      </c>
      <c r="G33" s="14">
        <v>21.0</v>
      </c>
      <c r="H33" s="15">
        <v>0.5121951219512195</v>
      </c>
    </row>
    <row r="34" ht="22.5" customHeight="1">
      <c r="A34" s="10" t="s">
        <v>120</v>
      </c>
      <c r="B34" s="10">
        <v>24.0</v>
      </c>
      <c r="C34" s="10">
        <v>40.0</v>
      </c>
      <c r="D34" s="10">
        <v>64.0</v>
      </c>
      <c r="E34" s="10">
        <v>1.0</v>
      </c>
      <c r="F34" s="14">
        <v>28.0</v>
      </c>
      <c r="G34" s="14">
        <v>16.0</v>
      </c>
      <c r="H34" s="15">
        <v>0.5714285714285714</v>
      </c>
    </row>
    <row r="35" ht="22.5" customHeight="1">
      <c r="A35" s="10" t="s">
        <v>21</v>
      </c>
      <c r="B35" s="10">
        <v>21.6</v>
      </c>
      <c r="C35" s="10">
        <v>42.0</v>
      </c>
      <c r="D35" s="10">
        <v>63.6</v>
      </c>
      <c r="E35" s="10">
        <v>1.2</v>
      </c>
      <c r="F35" s="14">
        <v>33.0</v>
      </c>
      <c r="G35" s="14">
        <v>21.0</v>
      </c>
      <c r="H35" s="15">
        <v>0.6363636363636364</v>
      </c>
    </row>
    <row r="36" ht="22.5" customHeight="1">
      <c r="A36" s="10" t="s">
        <v>107</v>
      </c>
      <c r="B36" s="10">
        <v>20.0</v>
      </c>
      <c r="C36" s="10">
        <v>40.0</v>
      </c>
      <c r="D36" s="10">
        <v>60.0</v>
      </c>
      <c r="E36" s="10">
        <v>3.2</v>
      </c>
      <c r="F36" s="14">
        <v>41.0</v>
      </c>
      <c r="G36" s="14">
        <v>20.0</v>
      </c>
      <c r="H36" s="15">
        <v>0.4878048780487805</v>
      </c>
    </row>
    <row r="37" ht="22.5" customHeight="1">
      <c r="A37" s="10" t="s">
        <v>154</v>
      </c>
      <c r="B37" s="10">
        <v>26.666666666666668</v>
      </c>
      <c r="C37" s="10">
        <v>33.333333333333336</v>
      </c>
      <c r="D37" s="10">
        <v>60.0</v>
      </c>
      <c r="E37" s="10">
        <v>1.3333333333333333</v>
      </c>
      <c r="F37" s="14">
        <v>24.0</v>
      </c>
      <c r="G37" s="14">
        <v>10.0</v>
      </c>
      <c r="H37" s="15">
        <v>0.4166666666666667</v>
      </c>
    </row>
    <row r="38" ht="22.5" customHeight="1">
      <c r="A38" s="10" t="s">
        <v>9</v>
      </c>
      <c r="B38" s="10">
        <v>21.6</v>
      </c>
      <c r="C38" s="10">
        <v>36.0</v>
      </c>
      <c r="D38" s="10">
        <v>57.6</v>
      </c>
      <c r="E38" s="10">
        <v>2.0</v>
      </c>
      <c r="F38" s="14">
        <v>37.0</v>
      </c>
      <c r="G38" s="14">
        <v>18.0</v>
      </c>
      <c r="H38" s="15">
        <v>0.4864864864864865</v>
      </c>
    </row>
    <row r="39" ht="22.5" customHeight="1">
      <c r="A39" s="10" t="s">
        <v>91</v>
      </c>
      <c r="B39" s="10">
        <v>19.2</v>
      </c>
      <c r="C39" s="10">
        <v>38.0</v>
      </c>
      <c r="D39" s="10">
        <v>57.2</v>
      </c>
      <c r="E39" s="10">
        <v>2.8</v>
      </c>
      <c r="F39" s="14">
        <v>38.0</v>
      </c>
      <c r="G39" s="14">
        <v>19.0</v>
      </c>
      <c r="H39" s="15">
        <v>0.5</v>
      </c>
    </row>
    <row r="40" ht="22.5" customHeight="1">
      <c r="A40" s="10" t="s">
        <v>143</v>
      </c>
      <c r="B40" s="10">
        <v>28.0</v>
      </c>
      <c r="C40" s="10">
        <v>28.0</v>
      </c>
      <c r="D40" s="10">
        <v>56.0</v>
      </c>
      <c r="E40" s="10">
        <v>1.0</v>
      </c>
      <c r="F40" s="14">
        <v>40.0</v>
      </c>
      <c r="G40" s="14">
        <v>14.0</v>
      </c>
      <c r="H40" s="15">
        <v>0.35</v>
      </c>
    </row>
    <row r="41" ht="22.5" customHeight="1">
      <c r="A41" s="10" t="s">
        <v>247</v>
      </c>
      <c r="B41" s="10">
        <v>22.4</v>
      </c>
      <c r="C41" s="10">
        <v>30.0</v>
      </c>
      <c r="D41" s="10">
        <v>52.4</v>
      </c>
      <c r="E41" s="10">
        <v>0.4</v>
      </c>
      <c r="F41" s="14">
        <v>30.0</v>
      </c>
      <c r="G41" s="14">
        <v>15.0</v>
      </c>
      <c r="H41" s="15">
        <v>0.5</v>
      </c>
    </row>
    <row r="42" ht="22.5" customHeight="1">
      <c r="A42" s="10" t="s">
        <v>4</v>
      </c>
      <c r="B42" s="10">
        <v>18.4</v>
      </c>
      <c r="C42" s="10">
        <v>30.0</v>
      </c>
      <c r="D42" s="10">
        <v>48.4</v>
      </c>
      <c r="E42" s="10">
        <v>2.2</v>
      </c>
      <c r="F42" s="14">
        <v>34.0</v>
      </c>
      <c r="G42" s="14">
        <v>15.0</v>
      </c>
      <c r="H42" s="15">
        <v>0.44117647058823534</v>
      </c>
    </row>
    <row r="43" ht="22.5" customHeight="1">
      <c r="A43" s="10" t="s">
        <v>134</v>
      </c>
      <c r="B43" s="10">
        <v>13.6</v>
      </c>
      <c r="C43" s="10">
        <v>34.0</v>
      </c>
      <c r="D43" s="10">
        <v>47.6</v>
      </c>
      <c r="E43" s="10">
        <v>2.6</v>
      </c>
      <c r="F43" s="14">
        <v>30.0</v>
      </c>
      <c r="G43" s="14">
        <v>17.0</v>
      </c>
      <c r="H43" s="15">
        <v>0.5666666666666667</v>
      </c>
    </row>
    <row r="44" ht="22.5" customHeight="1">
      <c r="A44" s="10" t="s">
        <v>116</v>
      </c>
      <c r="B44" s="10">
        <v>19.2</v>
      </c>
      <c r="C44" s="10">
        <v>28.0</v>
      </c>
      <c r="D44" s="10">
        <v>47.2</v>
      </c>
      <c r="E44" s="10">
        <v>1.8</v>
      </c>
      <c r="F44" s="14">
        <v>33.0</v>
      </c>
      <c r="G44" s="14">
        <v>14.0</v>
      </c>
      <c r="H44" s="15">
        <v>0.4242424242424242</v>
      </c>
    </row>
    <row r="45" ht="22.5" customHeight="1">
      <c r="A45" s="10" t="s">
        <v>7</v>
      </c>
      <c r="B45" s="10">
        <v>20.0</v>
      </c>
      <c r="C45" s="10">
        <v>26.0</v>
      </c>
      <c r="D45" s="10">
        <v>46.0</v>
      </c>
      <c r="E45" s="10">
        <v>0.8</v>
      </c>
      <c r="F45" s="14">
        <v>29.0</v>
      </c>
      <c r="G45" s="14">
        <v>13.0</v>
      </c>
      <c r="H45" s="15">
        <v>0.44827586206896547</v>
      </c>
    </row>
    <row r="46" ht="22.5" customHeight="1">
      <c r="A46" s="10" t="s">
        <v>49</v>
      </c>
      <c r="B46" s="10">
        <v>20.0</v>
      </c>
      <c r="C46" s="10">
        <v>26.0</v>
      </c>
      <c r="D46" s="10">
        <v>46.0</v>
      </c>
      <c r="E46" s="10">
        <v>1.8</v>
      </c>
      <c r="F46" s="14">
        <v>34.0</v>
      </c>
      <c r="G46" s="14">
        <v>13.0</v>
      </c>
      <c r="H46" s="15">
        <v>0.3823529411764706</v>
      </c>
    </row>
    <row r="47" ht="22.5" customHeight="1">
      <c r="A47" s="10" t="s">
        <v>84</v>
      </c>
      <c r="B47" s="10">
        <v>21.6</v>
      </c>
      <c r="C47" s="10">
        <v>24.0</v>
      </c>
      <c r="D47" s="10">
        <v>45.6</v>
      </c>
      <c r="E47" s="10">
        <v>0.4</v>
      </c>
      <c r="F47" s="14">
        <v>29.0</v>
      </c>
      <c r="G47" s="14">
        <v>12.0</v>
      </c>
      <c r="H47" s="15">
        <v>0.4137931034482759</v>
      </c>
    </row>
    <row r="48" ht="22.5" customHeight="1">
      <c r="A48" s="10" t="s">
        <v>25</v>
      </c>
      <c r="B48" s="10">
        <v>16.8</v>
      </c>
      <c r="C48" s="10">
        <v>28.0</v>
      </c>
      <c r="D48" s="10">
        <v>44.8</v>
      </c>
      <c r="E48" s="10">
        <v>1.8</v>
      </c>
      <c r="F48" s="14">
        <v>30.0</v>
      </c>
      <c r="G48" s="14">
        <v>14.0</v>
      </c>
      <c r="H48" s="15">
        <v>0.4666666666666667</v>
      </c>
    </row>
    <row r="49" ht="22.5" customHeight="1">
      <c r="A49" s="10" t="s">
        <v>136</v>
      </c>
      <c r="B49" s="10">
        <v>24.8</v>
      </c>
      <c r="C49" s="10">
        <v>18.0</v>
      </c>
      <c r="D49" s="10">
        <v>42.8</v>
      </c>
      <c r="E49" s="10">
        <v>0.0</v>
      </c>
      <c r="F49" s="14">
        <v>31.0</v>
      </c>
      <c r="G49" s="14">
        <v>9.0</v>
      </c>
      <c r="H49" s="15">
        <v>0.2903225806451613</v>
      </c>
    </row>
    <row r="50" ht="22.5" customHeight="1">
      <c r="A50" s="10" t="s">
        <v>18</v>
      </c>
      <c r="B50" s="10">
        <v>15.2</v>
      </c>
      <c r="C50" s="10">
        <v>26.0</v>
      </c>
      <c r="D50" s="10">
        <v>41.2</v>
      </c>
      <c r="E50" s="10">
        <v>1.0</v>
      </c>
      <c r="F50" s="14">
        <v>24.0</v>
      </c>
      <c r="G50" s="14">
        <v>13.0</v>
      </c>
      <c r="H50" s="15">
        <v>0.5416666666666667</v>
      </c>
    </row>
    <row r="51" ht="22.5" customHeight="1">
      <c r="A51" s="10" t="s">
        <v>118</v>
      </c>
      <c r="B51" s="10">
        <v>13.6</v>
      </c>
      <c r="C51" s="10">
        <v>26.0</v>
      </c>
      <c r="D51" s="10">
        <v>39.6</v>
      </c>
      <c r="E51" s="10">
        <v>2.6</v>
      </c>
      <c r="F51" s="14">
        <v>30.0</v>
      </c>
      <c r="G51" s="14">
        <v>13.0</v>
      </c>
      <c r="H51" s="15">
        <v>0.4333333333333333</v>
      </c>
    </row>
    <row r="52" ht="22.5" customHeight="1">
      <c r="A52" s="10" t="s">
        <v>14</v>
      </c>
      <c r="B52" s="10">
        <v>24.0</v>
      </c>
      <c r="C52" s="10">
        <v>14.0</v>
      </c>
      <c r="D52" s="10">
        <v>38.0</v>
      </c>
      <c r="E52" s="10">
        <v>0.6</v>
      </c>
      <c r="F52" s="14">
        <v>33.0</v>
      </c>
      <c r="G52" s="14">
        <v>7.0</v>
      </c>
      <c r="H52" s="15">
        <v>0.2121212121212121</v>
      </c>
    </row>
    <row r="53" ht="22.5" customHeight="1">
      <c r="A53" s="10" t="s">
        <v>23</v>
      </c>
      <c r="B53" s="10">
        <v>12.8</v>
      </c>
      <c r="C53" s="10">
        <v>24.0</v>
      </c>
      <c r="D53" s="10">
        <v>36.8</v>
      </c>
      <c r="E53" s="10">
        <v>1.6</v>
      </c>
      <c r="F53" s="14">
        <v>24.0</v>
      </c>
      <c r="G53" s="14">
        <v>12.0</v>
      </c>
      <c r="H53" s="15">
        <v>0.5</v>
      </c>
    </row>
    <row r="54" ht="22.5" customHeight="1">
      <c r="A54" s="10" t="s">
        <v>158</v>
      </c>
      <c r="B54" s="10">
        <v>18.4</v>
      </c>
      <c r="C54" s="10">
        <v>18.0</v>
      </c>
      <c r="D54" s="10">
        <v>36.4</v>
      </c>
      <c r="E54" s="10">
        <v>0.8</v>
      </c>
      <c r="F54" s="14">
        <v>27.0</v>
      </c>
      <c r="G54" s="14">
        <v>9.0</v>
      </c>
      <c r="H54" s="15">
        <v>0.33333333333333337</v>
      </c>
    </row>
    <row r="55" ht="22.5" customHeight="1">
      <c r="A55" s="10" t="s">
        <v>64</v>
      </c>
      <c r="B55" s="10">
        <v>11.2</v>
      </c>
      <c r="C55" s="10">
        <v>24.0</v>
      </c>
      <c r="D55" s="10">
        <v>35.2</v>
      </c>
      <c r="E55" s="10">
        <v>1.0</v>
      </c>
      <c r="F55" s="14">
        <v>19.0</v>
      </c>
      <c r="G55" s="14">
        <v>12.0</v>
      </c>
      <c r="H55" s="15">
        <v>0.631578947368421</v>
      </c>
    </row>
    <row r="56" ht="22.5" customHeight="1">
      <c r="A56" s="10" t="s">
        <v>294</v>
      </c>
      <c r="B56" s="10">
        <v>18.4</v>
      </c>
      <c r="C56" s="10">
        <v>16.0</v>
      </c>
      <c r="D56" s="10">
        <v>34.4</v>
      </c>
      <c r="E56" s="10">
        <v>0.2</v>
      </c>
      <c r="F56" s="14">
        <v>24.0</v>
      </c>
      <c r="G56" s="14">
        <v>8.0</v>
      </c>
      <c r="H56" s="15">
        <v>0.33333333333333337</v>
      </c>
    </row>
    <row r="57" ht="22.5" customHeight="1">
      <c r="A57" s="10" t="s">
        <v>16</v>
      </c>
      <c r="B57" s="10">
        <v>16.0</v>
      </c>
      <c r="C57" s="10">
        <v>18.0</v>
      </c>
      <c r="D57" s="10">
        <v>34.0</v>
      </c>
      <c r="E57" s="10">
        <v>1.2</v>
      </c>
      <c r="F57" s="14">
        <v>26.0</v>
      </c>
      <c r="G57" s="14">
        <v>9.0</v>
      </c>
      <c r="H57" s="15">
        <v>0.34615384615384615</v>
      </c>
    </row>
    <row r="58" ht="22.5" customHeight="1">
      <c r="A58" s="10" t="s">
        <v>104</v>
      </c>
      <c r="B58" s="10">
        <v>18.4</v>
      </c>
      <c r="C58" s="10">
        <v>14.0</v>
      </c>
      <c r="D58" s="10">
        <v>32.4</v>
      </c>
      <c r="E58" s="10">
        <v>0.4</v>
      </c>
      <c r="F58" s="14">
        <v>25.0</v>
      </c>
      <c r="G58" s="14">
        <v>7.0</v>
      </c>
      <c r="H58" s="15">
        <v>0.27999999999999997</v>
      </c>
    </row>
    <row r="59" ht="22.5" customHeight="1">
      <c r="A59" s="10" t="s">
        <v>307</v>
      </c>
      <c r="B59" s="10">
        <v>16.8</v>
      </c>
      <c r="C59" s="10">
        <v>14.0</v>
      </c>
      <c r="D59" s="10">
        <v>30.8</v>
      </c>
      <c r="E59" s="10">
        <v>1.0</v>
      </c>
      <c r="F59" s="14">
        <v>26.0</v>
      </c>
      <c r="G59" s="14">
        <v>7.0</v>
      </c>
      <c r="H59" s="15">
        <v>0.2692307692307693</v>
      </c>
    </row>
    <row r="60" ht="22.5" customHeight="1">
      <c r="A60" s="10" t="s">
        <v>58</v>
      </c>
      <c r="B60" s="10">
        <v>15.2</v>
      </c>
      <c r="C60" s="10">
        <v>12.0</v>
      </c>
      <c r="D60" s="10">
        <v>27.2</v>
      </c>
      <c r="E60" s="10">
        <v>0.6</v>
      </c>
      <c r="F60" s="14">
        <v>22.0</v>
      </c>
      <c r="G60" s="14">
        <v>6.0</v>
      </c>
      <c r="H60" s="15">
        <v>0.2727272727272727</v>
      </c>
    </row>
    <row r="61" ht="22.5" customHeight="1">
      <c r="A61" s="10" t="s">
        <v>72</v>
      </c>
      <c r="B61" s="10">
        <v>14.4</v>
      </c>
      <c r="C61" s="10">
        <v>10.0</v>
      </c>
      <c r="D61" s="10">
        <v>24.4</v>
      </c>
      <c r="E61" s="10">
        <v>0.4</v>
      </c>
      <c r="F61" s="14">
        <v>20.0</v>
      </c>
      <c r="G61" s="14">
        <v>5.0</v>
      </c>
      <c r="H61" s="15">
        <v>0.25</v>
      </c>
    </row>
    <row r="62" ht="22.5" customHeight="1">
      <c r="A62" s="10" t="s">
        <v>37</v>
      </c>
      <c r="B62" s="10">
        <v>13.6</v>
      </c>
      <c r="C62" s="10">
        <v>6.0</v>
      </c>
      <c r="D62" s="10">
        <v>19.6</v>
      </c>
      <c r="E62" s="10">
        <v>0.4</v>
      </c>
      <c r="F62" s="14">
        <v>19.0</v>
      </c>
      <c r="G62" s="14">
        <v>3.0</v>
      </c>
      <c r="H62" s="15">
        <v>0.15789473684210525</v>
      </c>
    </row>
    <row r="63" ht="22.5" customHeight="1">
      <c r="A63" s="10" t="s">
        <v>140</v>
      </c>
      <c r="B63" s="10">
        <v>9.6</v>
      </c>
      <c r="C63" s="10">
        <v>8.0</v>
      </c>
      <c r="D63" s="10">
        <v>17.6</v>
      </c>
      <c r="E63" s="10">
        <v>0.4</v>
      </c>
      <c r="F63" s="14">
        <v>14.0</v>
      </c>
      <c r="G63" s="14">
        <v>4.0</v>
      </c>
      <c r="H63" s="15">
        <v>0.2857142857142857</v>
      </c>
    </row>
    <row r="64">
      <c r="H64" s="6"/>
    </row>
    <row r="65">
      <c r="H65" s="6"/>
    </row>
    <row r="66">
      <c r="H66" s="6"/>
    </row>
    <row r="67">
      <c r="H67" s="6"/>
    </row>
    <row r="68">
      <c r="H68" s="6"/>
    </row>
    <row r="69">
      <c r="H69" s="6"/>
    </row>
    <row r="70">
      <c r="H70" s="6"/>
    </row>
    <row r="71">
      <c r="H71" s="6"/>
    </row>
    <row r="72">
      <c r="H72" s="6"/>
    </row>
    <row r="73">
      <c r="H73" s="6"/>
    </row>
    <row r="74">
      <c r="H74" s="6"/>
    </row>
    <row r="75">
      <c r="H75" s="6"/>
    </row>
    <row r="76">
      <c r="H76" s="6"/>
    </row>
    <row r="77">
      <c r="H77" s="6"/>
    </row>
    <row r="78">
      <c r="H78" s="6"/>
    </row>
    <row r="79">
      <c r="H79" s="6"/>
    </row>
    <row r="80">
      <c r="H80" s="6"/>
    </row>
    <row r="81">
      <c r="H81" s="6"/>
    </row>
    <row r="82">
      <c r="H82" s="6"/>
    </row>
    <row r="83">
      <c r="H83" s="6"/>
    </row>
    <row r="84">
      <c r="H84" s="6"/>
    </row>
    <row r="85">
      <c r="H85" s="6"/>
    </row>
    <row r="86">
      <c r="H86" s="6"/>
    </row>
    <row r="87">
      <c r="H87" s="6"/>
    </row>
    <row r="88">
      <c r="H88" s="6"/>
    </row>
    <row r="89">
      <c r="H89" s="6"/>
    </row>
    <row r="90">
      <c r="H90" s="6"/>
    </row>
    <row r="91">
      <c r="H91" s="6"/>
    </row>
    <row r="92">
      <c r="H92" s="6"/>
    </row>
    <row r="93">
      <c r="H93" s="6"/>
    </row>
    <row r="94">
      <c r="H94" s="6"/>
    </row>
    <row r="95">
      <c r="H95" s="6"/>
    </row>
    <row r="96">
      <c r="H96" s="6"/>
    </row>
    <row r="97">
      <c r="H97" s="6"/>
    </row>
    <row r="98">
      <c r="H98" s="6"/>
    </row>
    <row r="99">
      <c r="H99" s="6"/>
    </row>
    <row r="100">
      <c r="H100" s="6"/>
    </row>
    <row r="101">
      <c r="H101" s="6"/>
    </row>
    <row r="102">
      <c r="H102" s="6"/>
    </row>
    <row r="103">
      <c r="H103" s="6"/>
    </row>
    <row r="104">
      <c r="H104" s="6"/>
    </row>
    <row r="105">
      <c r="H105" s="6"/>
    </row>
    <row r="106">
      <c r="H106" s="6"/>
    </row>
    <row r="107">
      <c r="H107" s="6"/>
    </row>
    <row r="108">
      <c r="H108" s="6"/>
    </row>
    <row r="109">
      <c r="H109" s="6"/>
    </row>
    <row r="110">
      <c r="H110" s="6"/>
    </row>
    <row r="111">
      <c r="H111" s="6"/>
    </row>
    <row r="112">
      <c r="H112" s="6"/>
    </row>
    <row r="113">
      <c r="H113" s="6"/>
    </row>
    <row r="114">
      <c r="H114" s="6"/>
    </row>
    <row r="115">
      <c r="H115" s="6"/>
    </row>
    <row r="116">
      <c r="H116" s="6"/>
    </row>
    <row r="117">
      <c r="H117" s="6"/>
    </row>
    <row r="118">
      <c r="H118" s="6"/>
    </row>
    <row r="119">
      <c r="H119" s="6"/>
    </row>
    <row r="120">
      <c r="H120" s="6"/>
    </row>
    <row r="121">
      <c r="H121" s="6"/>
    </row>
    <row r="122">
      <c r="H122" s="6"/>
    </row>
    <row r="123">
      <c r="H123" s="6"/>
    </row>
    <row r="124">
      <c r="H124" s="6"/>
    </row>
    <row r="125">
      <c r="H125" s="6"/>
    </row>
    <row r="126">
      <c r="H126" s="6"/>
    </row>
    <row r="127">
      <c r="H127" s="6"/>
    </row>
    <row r="128">
      <c r="H128" s="6"/>
    </row>
    <row r="129">
      <c r="H129" s="6"/>
    </row>
    <row r="130">
      <c r="H130" s="6"/>
    </row>
    <row r="131">
      <c r="H131" s="6"/>
    </row>
    <row r="132">
      <c r="H132" s="6"/>
    </row>
    <row r="133">
      <c r="H133" s="6"/>
    </row>
    <row r="134">
      <c r="H134" s="6"/>
    </row>
    <row r="135">
      <c r="H135" s="6"/>
    </row>
    <row r="136">
      <c r="H136" s="6"/>
    </row>
    <row r="137">
      <c r="H137" s="6"/>
    </row>
    <row r="138">
      <c r="H138" s="6"/>
    </row>
    <row r="139">
      <c r="H139" s="6"/>
    </row>
    <row r="140">
      <c r="H140" s="6"/>
    </row>
    <row r="141">
      <c r="H141" s="6"/>
    </row>
    <row r="142">
      <c r="H142" s="6"/>
    </row>
    <row r="143">
      <c r="H143" s="6"/>
    </row>
    <row r="144">
      <c r="H144" s="6"/>
    </row>
    <row r="145">
      <c r="H145" s="6"/>
    </row>
    <row r="146">
      <c r="H146" s="6"/>
    </row>
    <row r="147">
      <c r="H147" s="6"/>
    </row>
    <row r="148">
      <c r="H148" s="6"/>
    </row>
    <row r="149">
      <c r="H149" s="6"/>
    </row>
    <row r="150">
      <c r="H150" s="6"/>
    </row>
    <row r="151">
      <c r="H151" s="6"/>
    </row>
    <row r="152">
      <c r="H152" s="6"/>
    </row>
    <row r="153">
      <c r="H153" s="6"/>
    </row>
    <row r="154">
      <c r="H154" s="6"/>
    </row>
    <row r="155">
      <c r="H155" s="6"/>
    </row>
    <row r="156">
      <c r="H156" s="6"/>
    </row>
    <row r="157">
      <c r="H157" s="6"/>
    </row>
    <row r="158">
      <c r="H158" s="6"/>
    </row>
    <row r="159">
      <c r="H159" s="6"/>
    </row>
    <row r="160">
      <c r="H160" s="6"/>
    </row>
    <row r="161">
      <c r="H161" s="6"/>
    </row>
    <row r="162">
      <c r="H162" s="6"/>
    </row>
    <row r="163">
      <c r="H163" s="6"/>
    </row>
    <row r="164">
      <c r="H164" s="6"/>
    </row>
    <row r="165">
      <c r="H165" s="6"/>
    </row>
    <row r="166">
      <c r="H166" s="6"/>
    </row>
    <row r="167">
      <c r="H167" s="6"/>
    </row>
    <row r="168">
      <c r="H168" s="6"/>
    </row>
    <row r="169">
      <c r="H169" s="6"/>
    </row>
    <row r="170">
      <c r="H170" s="6"/>
    </row>
    <row r="171">
      <c r="H171" s="6"/>
    </row>
    <row r="172">
      <c r="H172" s="6"/>
    </row>
    <row r="173">
      <c r="H173" s="6"/>
    </row>
    <row r="174">
      <c r="H174" s="6"/>
    </row>
    <row r="175">
      <c r="H175" s="6"/>
    </row>
    <row r="176">
      <c r="H176" s="6"/>
    </row>
    <row r="177">
      <c r="H177" s="6"/>
    </row>
    <row r="178">
      <c r="H178" s="6"/>
    </row>
    <row r="179">
      <c r="H179" s="6"/>
    </row>
    <row r="180">
      <c r="H180" s="6"/>
    </row>
    <row r="181">
      <c r="H181" s="6"/>
    </row>
    <row r="182">
      <c r="H182" s="6"/>
    </row>
    <row r="183">
      <c r="H183" s="6"/>
    </row>
    <row r="184">
      <c r="H184" s="6"/>
    </row>
    <row r="185">
      <c r="H185" s="6"/>
    </row>
    <row r="186">
      <c r="H186" s="6"/>
    </row>
    <row r="187">
      <c r="H187" s="6"/>
    </row>
    <row r="188">
      <c r="H188" s="6"/>
    </row>
    <row r="189">
      <c r="H189" s="6"/>
    </row>
    <row r="190">
      <c r="H190" s="6"/>
    </row>
    <row r="191">
      <c r="H191" s="6"/>
    </row>
    <row r="192">
      <c r="H192" s="6"/>
    </row>
    <row r="193">
      <c r="H193" s="6"/>
    </row>
    <row r="194">
      <c r="H194" s="6"/>
    </row>
    <row r="195">
      <c r="H195" s="6"/>
    </row>
    <row r="196">
      <c r="H196" s="6"/>
    </row>
    <row r="197">
      <c r="H197" s="6"/>
    </row>
    <row r="198">
      <c r="H198" s="6"/>
    </row>
    <row r="199">
      <c r="H199" s="6"/>
    </row>
    <row r="200">
      <c r="H200" s="6"/>
    </row>
    <row r="201">
      <c r="H201" s="6"/>
    </row>
    <row r="202">
      <c r="H202" s="6"/>
    </row>
    <row r="203">
      <c r="H203" s="6"/>
    </row>
    <row r="204">
      <c r="H204" s="6"/>
    </row>
    <row r="205">
      <c r="H205" s="6"/>
    </row>
    <row r="206">
      <c r="H206" s="6"/>
    </row>
    <row r="207">
      <c r="H207" s="6"/>
    </row>
    <row r="208">
      <c r="H208" s="6"/>
    </row>
    <row r="209">
      <c r="H209" s="6"/>
    </row>
    <row r="210">
      <c r="H210" s="6"/>
    </row>
    <row r="211">
      <c r="H211" s="6"/>
    </row>
    <row r="212">
      <c r="H212" s="6"/>
    </row>
    <row r="213">
      <c r="H213" s="6"/>
    </row>
    <row r="214">
      <c r="H214" s="6"/>
    </row>
    <row r="215">
      <c r="H215" s="6"/>
    </row>
    <row r="216">
      <c r="H216" s="6"/>
    </row>
    <row r="217">
      <c r="H217" s="6"/>
    </row>
    <row r="218">
      <c r="H218" s="6"/>
    </row>
    <row r="219">
      <c r="H219" s="6"/>
    </row>
    <row r="220">
      <c r="H220" s="6"/>
    </row>
    <row r="221">
      <c r="H221" s="6"/>
    </row>
    <row r="222">
      <c r="H222" s="6"/>
    </row>
    <row r="223">
      <c r="H223" s="6"/>
    </row>
    <row r="224">
      <c r="H224" s="6"/>
    </row>
    <row r="225">
      <c r="H225" s="6"/>
    </row>
    <row r="226">
      <c r="H226" s="6"/>
    </row>
    <row r="227">
      <c r="H227" s="6"/>
    </row>
    <row r="228">
      <c r="H228" s="6"/>
    </row>
    <row r="229">
      <c r="H229" s="6"/>
    </row>
    <row r="230">
      <c r="H230" s="6"/>
    </row>
    <row r="231">
      <c r="H231" s="6"/>
    </row>
    <row r="232">
      <c r="H232" s="6"/>
    </row>
    <row r="233">
      <c r="H233" s="6"/>
    </row>
    <row r="234">
      <c r="H234" s="6"/>
    </row>
    <row r="235">
      <c r="H235" s="6"/>
    </row>
    <row r="236">
      <c r="H236" s="6"/>
    </row>
    <row r="237">
      <c r="H237" s="6"/>
    </row>
    <row r="238">
      <c r="H238" s="6"/>
    </row>
    <row r="239">
      <c r="H239" s="6"/>
    </row>
    <row r="240">
      <c r="H240" s="6"/>
    </row>
    <row r="241">
      <c r="H241" s="6"/>
    </row>
    <row r="242">
      <c r="H242" s="6"/>
    </row>
    <row r="243">
      <c r="H243" s="6"/>
    </row>
    <row r="244">
      <c r="H244" s="6"/>
    </row>
    <row r="245">
      <c r="H245" s="6"/>
    </row>
    <row r="246">
      <c r="H246" s="6"/>
    </row>
    <row r="247">
      <c r="H247" s="6"/>
    </row>
    <row r="248">
      <c r="H248" s="6"/>
    </row>
    <row r="249">
      <c r="H249" s="6"/>
    </row>
    <row r="250">
      <c r="H250" s="6"/>
    </row>
    <row r="251">
      <c r="H251" s="6"/>
    </row>
    <row r="252">
      <c r="H252" s="6"/>
    </row>
    <row r="253">
      <c r="H253" s="6"/>
    </row>
    <row r="254">
      <c r="H254" s="6"/>
    </row>
    <row r="255">
      <c r="H255" s="6"/>
    </row>
    <row r="256">
      <c r="H256" s="6"/>
    </row>
    <row r="257">
      <c r="H257" s="6"/>
    </row>
    <row r="258">
      <c r="H258" s="6"/>
    </row>
    <row r="259">
      <c r="H259" s="6"/>
    </row>
    <row r="260">
      <c r="H260" s="6"/>
    </row>
    <row r="261">
      <c r="H261" s="6"/>
    </row>
    <row r="262">
      <c r="H262" s="6"/>
    </row>
    <row r="263">
      <c r="H263" s="6"/>
    </row>
    <row r="264">
      <c r="H264" s="6"/>
    </row>
    <row r="265">
      <c r="H265" s="6"/>
    </row>
    <row r="266">
      <c r="H266" s="6"/>
    </row>
    <row r="267">
      <c r="H267" s="6"/>
    </row>
    <row r="268">
      <c r="H268" s="6"/>
    </row>
    <row r="269">
      <c r="H269" s="6"/>
    </row>
    <row r="270">
      <c r="H270" s="6"/>
    </row>
    <row r="271">
      <c r="H271" s="6"/>
    </row>
    <row r="272">
      <c r="H272" s="6"/>
    </row>
    <row r="273">
      <c r="H273" s="6"/>
    </row>
    <row r="274">
      <c r="H274" s="6"/>
    </row>
    <row r="275">
      <c r="H275" s="6"/>
    </row>
    <row r="276">
      <c r="H276" s="6"/>
    </row>
    <row r="277">
      <c r="H277" s="6"/>
    </row>
    <row r="278">
      <c r="H278" s="6"/>
    </row>
    <row r="279">
      <c r="H279" s="6"/>
    </row>
    <row r="280">
      <c r="H280" s="6"/>
    </row>
    <row r="281">
      <c r="H281" s="6"/>
    </row>
    <row r="282">
      <c r="H282" s="6"/>
    </row>
    <row r="283">
      <c r="H283" s="6"/>
    </row>
    <row r="284">
      <c r="H284" s="6"/>
    </row>
    <row r="285">
      <c r="H285" s="6"/>
    </row>
    <row r="286">
      <c r="H286" s="6"/>
    </row>
    <row r="287">
      <c r="H287" s="6"/>
    </row>
    <row r="288">
      <c r="H288" s="6"/>
    </row>
    <row r="289">
      <c r="H289" s="6"/>
    </row>
    <row r="290">
      <c r="H290" s="6"/>
    </row>
    <row r="291">
      <c r="H291" s="6"/>
    </row>
    <row r="292">
      <c r="H292" s="6"/>
    </row>
    <row r="293">
      <c r="H293" s="6"/>
    </row>
    <row r="294">
      <c r="H294" s="6"/>
    </row>
    <row r="295">
      <c r="H295" s="6"/>
    </row>
    <row r="296">
      <c r="H296" s="6"/>
    </row>
    <row r="297">
      <c r="H297" s="6"/>
    </row>
    <row r="298">
      <c r="H298" s="6"/>
    </row>
    <row r="299">
      <c r="H299" s="6"/>
    </row>
    <row r="300">
      <c r="H300" s="6"/>
    </row>
    <row r="301">
      <c r="H301" s="6"/>
    </row>
    <row r="302">
      <c r="H302" s="6"/>
    </row>
    <row r="303">
      <c r="H303" s="6"/>
    </row>
    <row r="304">
      <c r="H304" s="6"/>
    </row>
    <row r="305">
      <c r="H305" s="6"/>
    </row>
    <row r="306">
      <c r="H306" s="6"/>
    </row>
    <row r="307">
      <c r="H307" s="6"/>
    </row>
    <row r="308">
      <c r="H308" s="6"/>
    </row>
    <row r="309">
      <c r="H309" s="6"/>
    </row>
    <row r="310">
      <c r="H310" s="6"/>
    </row>
    <row r="311">
      <c r="H311" s="6"/>
    </row>
    <row r="312">
      <c r="H312" s="6"/>
    </row>
    <row r="313">
      <c r="H313" s="6"/>
    </row>
    <row r="314">
      <c r="H314" s="6"/>
    </row>
    <row r="315">
      <c r="H315" s="6"/>
    </row>
    <row r="316">
      <c r="H316" s="6"/>
    </row>
    <row r="317">
      <c r="H317" s="6"/>
    </row>
    <row r="318">
      <c r="H318" s="6"/>
    </row>
    <row r="319">
      <c r="H319" s="6"/>
    </row>
    <row r="320">
      <c r="H320" s="6"/>
    </row>
    <row r="321">
      <c r="H321" s="6"/>
    </row>
    <row r="322">
      <c r="H322" s="6"/>
    </row>
    <row r="323">
      <c r="H323" s="6"/>
    </row>
    <row r="324">
      <c r="H324" s="6"/>
    </row>
    <row r="325">
      <c r="H325" s="6"/>
    </row>
    <row r="326">
      <c r="H326" s="6"/>
    </row>
    <row r="327">
      <c r="H327" s="6"/>
    </row>
    <row r="328">
      <c r="H328" s="6"/>
    </row>
    <row r="329">
      <c r="H329" s="6"/>
    </row>
    <row r="330">
      <c r="H330" s="6"/>
    </row>
    <row r="331">
      <c r="H331" s="6"/>
    </row>
    <row r="332">
      <c r="H332" s="6"/>
    </row>
    <row r="333">
      <c r="H333" s="6"/>
    </row>
    <row r="334">
      <c r="H334" s="6"/>
    </row>
    <row r="335">
      <c r="H335" s="6"/>
    </row>
    <row r="336">
      <c r="H336" s="6"/>
    </row>
    <row r="337">
      <c r="H337" s="6"/>
    </row>
    <row r="338">
      <c r="H338" s="6"/>
    </row>
    <row r="339">
      <c r="H339" s="6"/>
    </row>
    <row r="340">
      <c r="H340" s="6"/>
    </row>
    <row r="341">
      <c r="H341" s="6"/>
    </row>
    <row r="342">
      <c r="H342" s="6"/>
    </row>
    <row r="343">
      <c r="H343" s="6"/>
    </row>
    <row r="344">
      <c r="H344" s="6"/>
    </row>
    <row r="345">
      <c r="H345" s="6"/>
    </row>
    <row r="346">
      <c r="H346" s="6"/>
    </row>
    <row r="347">
      <c r="H347" s="6"/>
    </row>
    <row r="348">
      <c r="H348" s="6"/>
    </row>
    <row r="349">
      <c r="H349" s="6"/>
    </row>
    <row r="350">
      <c r="H350" s="6"/>
    </row>
    <row r="351">
      <c r="H351" s="6"/>
    </row>
    <row r="352">
      <c r="H352" s="6"/>
    </row>
    <row r="353">
      <c r="H353" s="6"/>
    </row>
    <row r="354">
      <c r="H354" s="6"/>
    </row>
    <row r="355">
      <c r="H355" s="6"/>
    </row>
    <row r="356">
      <c r="H356" s="6"/>
    </row>
    <row r="357">
      <c r="H357" s="6"/>
    </row>
    <row r="358">
      <c r="H358" s="6"/>
    </row>
    <row r="359">
      <c r="H359" s="6"/>
    </row>
    <row r="360">
      <c r="H360" s="6"/>
    </row>
    <row r="361">
      <c r="H361" s="6"/>
    </row>
    <row r="362">
      <c r="H362" s="6"/>
    </row>
    <row r="363">
      <c r="H363" s="6"/>
    </row>
    <row r="364">
      <c r="H364" s="6"/>
    </row>
    <row r="365">
      <c r="H365" s="6"/>
    </row>
    <row r="366">
      <c r="H366" s="6"/>
    </row>
    <row r="367">
      <c r="H367" s="6"/>
    </row>
    <row r="368">
      <c r="H368" s="6"/>
    </row>
    <row r="369">
      <c r="H369" s="6"/>
    </row>
    <row r="370">
      <c r="H370" s="6"/>
    </row>
    <row r="371">
      <c r="H371" s="6"/>
    </row>
    <row r="372">
      <c r="H372" s="6"/>
    </row>
    <row r="373">
      <c r="H373" s="6"/>
    </row>
    <row r="374">
      <c r="H374" s="6"/>
    </row>
    <row r="375">
      <c r="H375" s="6"/>
    </row>
    <row r="376">
      <c r="H376" s="6"/>
    </row>
    <row r="377">
      <c r="H377" s="6"/>
    </row>
    <row r="378">
      <c r="H378" s="6"/>
    </row>
    <row r="379">
      <c r="H379" s="6"/>
    </row>
    <row r="380">
      <c r="H380" s="6"/>
    </row>
    <row r="381">
      <c r="H381" s="6"/>
    </row>
    <row r="382">
      <c r="H382" s="6"/>
    </row>
    <row r="383">
      <c r="H383" s="6"/>
    </row>
    <row r="384">
      <c r="H384" s="6"/>
    </row>
    <row r="385">
      <c r="H385" s="6"/>
    </row>
    <row r="386">
      <c r="H386" s="6"/>
    </row>
    <row r="387">
      <c r="H387" s="6"/>
    </row>
    <row r="388">
      <c r="H388" s="6"/>
    </row>
    <row r="389">
      <c r="H389" s="6"/>
    </row>
    <row r="390">
      <c r="H390" s="6"/>
    </row>
    <row r="391">
      <c r="H391" s="6"/>
    </row>
    <row r="392">
      <c r="H392" s="6"/>
    </row>
    <row r="393">
      <c r="H393" s="6"/>
    </row>
    <row r="394">
      <c r="H394" s="6"/>
    </row>
    <row r="395">
      <c r="H395" s="6"/>
    </row>
    <row r="396">
      <c r="H396" s="6"/>
    </row>
    <row r="397">
      <c r="H397" s="6"/>
    </row>
    <row r="398">
      <c r="H398" s="6"/>
    </row>
    <row r="399">
      <c r="H399" s="6"/>
    </row>
    <row r="400">
      <c r="H400" s="6"/>
    </row>
    <row r="401">
      <c r="H401" s="6"/>
    </row>
    <row r="402">
      <c r="H402" s="6"/>
    </row>
    <row r="403">
      <c r="H403" s="6"/>
    </row>
    <row r="404">
      <c r="H404" s="6"/>
    </row>
    <row r="405">
      <c r="H405" s="6"/>
    </row>
    <row r="406">
      <c r="H406" s="6"/>
    </row>
    <row r="407">
      <c r="H407" s="6"/>
    </row>
    <row r="408">
      <c r="H408" s="6"/>
    </row>
    <row r="409">
      <c r="H409" s="6"/>
    </row>
    <row r="410">
      <c r="H410" s="6"/>
    </row>
    <row r="411">
      <c r="H411" s="6"/>
    </row>
    <row r="412">
      <c r="H412" s="6"/>
    </row>
    <row r="413">
      <c r="H413" s="6"/>
    </row>
    <row r="414">
      <c r="H414" s="6"/>
    </row>
    <row r="415">
      <c r="H415" s="6"/>
    </row>
    <row r="416">
      <c r="H416" s="6"/>
    </row>
    <row r="417">
      <c r="H417" s="6"/>
    </row>
    <row r="418">
      <c r="H418" s="6"/>
    </row>
    <row r="419">
      <c r="H419" s="6"/>
    </row>
    <row r="420">
      <c r="H420" s="6"/>
    </row>
    <row r="421">
      <c r="H421" s="6"/>
    </row>
    <row r="422">
      <c r="H422" s="6"/>
    </row>
    <row r="423">
      <c r="H423" s="6"/>
    </row>
    <row r="424">
      <c r="H424" s="6"/>
    </row>
    <row r="425">
      <c r="H425" s="6"/>
    </row>
    <row r="426">
      <c r="H426" s="6"/>
    </row>
    <row r="427">
      <c r="H427" s="6"/>
    </row>
    <row r="428">
      <c r="H428" s="6"/>
    </row>
    <row r="429">
      <c r="H429" s="6"/>
    </row>
    <row r="430">
      <c r="H430" s="6"/>
    </row>
    <row r="431">
      <c r="H431" s="6"/>
    </row>
    <row r="432">
      <c r="H432" s="6"/>
    </row>
    <row r="433">
      <c r="H433" s="6"/>
    </row>
    <row r="434">
      <c r="H434" s="6"/>
    </row>
    <row r="435">
      <c r="H435" s="6"/>
    </row>
    <row r="436">
      <c r="H436" s="6"/>
    </row>
    <row r="437">
      <c r="H437" s="6"/>
    </row>
    <row r="438">
      <c r="H438" s="6"/>
    </row>
    <row r="439">
      <c r="H439" s="6"/>
    </row>
    <row r="440">
      <c r="H440" s="6"/>
    </row>
    <row r="441">
      <c r="H441" s="6"/>
    </row>
    <row r="442">
      <c r="H442" s="6"/>
    </row>
    <row r="443">
      <c r="H443" s="6"/>
    </row>
    <row r="444">
      <c r="H444" s="6"/>
    </row>
    <row r="445">
      <c r="H445" s="6"/>
    </row>
    <row r="446">
      <c r="H446" s="6"/>
    </row>
    <row r="447">
      <c r="H447" s="6"/>
    </row>
    <row r="448">
      <c r="H448" s="6"/>
    </row>
    <row r="449">
      <c r="H449" s="6"/>
    </row>
    <row r="450">
      <c r="H450" s="6"/>
    </row>
    <row r="451">
      <c r="H451" s="6"/>
    </row>
    <row r="452">
      <c r="H452" s="6"/>
    </row>
    <row r="453">
      <c r="H453" s="6"/>
    </row>
    <row r="454">
      <c r="H454" s="6"/>
    </row>
    <row r="455">
      <c r="H455" s="6"/>
    </row>
    <row r="456">
      <c r="H456" s="6"/>
    </row>
    <row r="457">
      <c r="H457" s="6"/>
    </row>
    <row r="458">
      <c r="H458" s="6"/>
    </row>
    <row r="459">
      <c r="H459" s="6"/>
    </row>
    <row r="460">
      <c r="H460" s="6"/>
    </row>
    <row r="461">
      <c r="H461" s="6"/>
    </row>
    <row r="462">
      <c r="H462" s="6"/>
    </row>
    <row r="463">
      <c r="H463" s="6"/>
    </row>
    <row r="464">
      <c r="H464" s="6"/>
    </row>
    <row r="465">
      <c r="H465" s="6"/>
    </row>
    <row r="466">
      <c r="H466" s="6"/>
    </row>
    <row r="467">
      <c r="H467" s="6"/>
    </row>
    <row r="468">
      <c r="H468" s="6"/>
    </row>
    <row r="469">
      <c r="H469" s="6"/>
    </row>
    <row r="470">
      <c r="H470" s="6"/>
    </row>
    <row r="471">
      <c r="H471" s="6"/>
    </row>
    <row r="472">
      <c r="H472" s="6"/>
    </row>
    <row r="473">
      <c r="H473" s="6"/>
    </row>
    <row r="474">
      <c r="H474" s="6"/>
    </row>
    <row r="475">
      <c r="H475" s="6"/>
    </row>
    <row r="476">
      <c r="H476" s="6"/>
    </row>
    <row r="477">
      <c r="H477" s="6"/>
    </row>
    <row r="478">
      <c r="H478" s="6"/>
    </row>
    <row r="479">
      <c r="H479" s="6"/>
    </row>
    <row r="480">
      <c r="H480" s="6"/>
    </row>
    <row r="481">
      <c r="H481" s="6"/>
    </row>
    <row r="482">
      <c r="H482" s="6"/>
    </row>
    <row r="483">
      <c r="H483" s="6"/>
    </row>
    <row r="484">
      <c r="H484" s="6"/>
    </row>
    <row r="485">
      <c r="H485" s="6"/>
    </row>
    <row r="486">
      <c r="H486" s="6"/>
    </row>
    <row r="487">
      <c r="H487" s="6"/>
    </row>
    <row r="488">
      <c r="H488" s="6"/>
    </row>
    <row r="489">
      <c r="H489" s="6"/>
    </row>
    <row r="490">
      <c r="H490" s="6"/>
    </row>
    <row r="491">
      <c r="H491" s="6"/>
    </row>
    <row r="492">
      <c r="H492" s="6"/>
    </row>
    <row r="493">
      <c r="H493" s="6"/>
    </row>
    <row r="494">
      <c r="H494" s="6"/>
    </row>
    <row r="495">
      <c r="H495" s="6"/>
    </row>
    <row r="496">
      <c r="H496" s="6"/>
    </row>
    <row r="497">
      <c r="H497" s="6"/>
    </row>
    <row r="498">
      <c r="H498" s="6"/>
    </row>
    <row r="499">
      <c r="H499" s="6"/>
    </row>
    <row r="500">
      <c r="H500" s="6"/>
    </row>
    <row r="501">
      <c r="H501" s="6"/>
    </row>
    <row r="502">
      <c r="H502" s="6"/>
    </row>
    <row r="503">
      <c r="H503" s="6"/>
    </row>
    <row r="504">
      <c r="H504" s="6"/>
    </row>
    <row r="505">
      <c r="H505" s="6"/>
    </row>
    <row r="506">
      <c r="H506" s="6"/>
    </row>
    <row r="507">
      <c r="H507" s="6"/>
    </row>
    <row r="508">
      <c r="H508" s="6"/>
    </row>
    <row r="509">
      <c r="H509" s="6"/>
    </row>
    <row r="510">
      <c r="H510" s="6"/>
    </row>
    <row r="511">
      <c r="H511" s="6"/>
    </row>
    <row r="512">
      <c r="H512" s="6"/>
    </row>
    <row r="513">
      <c r="H513" s="6"/>
    </row>
    <row r="514">
      <c r="H514" s="6"/>
    </row>
    <row r="515">
      <c r="H515" s="6"/>
    </row>
    <row r="516">
      <c r="H516" s="6"/>
    </row>
    <row r="517">
      <c r="H517" s="6"/>
    </row>
    <row r="518">
      <c r="H518" s="6"/>
    </row>
    <row r="519">
      <c r="H519" s="6"/>
    </row>
    <row r="520">
      <c r="H520" s="6"/>
    </row>
    <row r="521">
      <c r="H521" s="6"/>
    </row>
    <row r="522">
      <c r="H522" s="6"/>
    </row>
    <row r="523">
      <c r="H523" s="6"/>
    </row>
    <row r="524">
      <c r="H524" s="6"/>
    </row>
    <row r="525">
      <c r="H525" s="6"/>
    </row>
    <row r="526">
      <c r="H526" s="6"/>
    </row>
    <row r="527">
      <c r="H527" s="6"/>
    </row>
    <row r="528">
      <c r="H528" s="6"/>
    </row>
    <row r="529">
      <c r="H529" s="6"/>
    </row>
    <row r="530">
      <c r="H530" s="6"/>
    </row>
    <row r="531">
      <c r="H531" s="6"/>
    </row>
    <row r="532">
      <c r="H532" s="6"/>
    </row>
    <row r="533">
      <c r="H533" s="6"/>
    </row>
    <row r="534">
      <c r="H534" s="6"/>
    </row>
    <row r="535">
      <c r="H535" s="6"/>
    </row>
    <row r="536">
      <c r="H536" s="6"/>
    </row>
    <row r="537">
      <c r="H537" s="6"/>
    </row>
    <row r="538">
      <c r="H538" s="6"/>
    </row>
    <row r="539">
      <c r="H539" s="6"/>
    </row>
    <row r="540">
      <c r="H540" s="6"/>
    </row>
    <row r="541">
      <c r="H541" s="6"/>
    </row>
    <row r="542">
      <c r="H542" s="6"/>
    </row>
    <row r="543">
      <c r="H543" s="6"/>
    </row>
    <row r="544">
      <c r="H544" s="6"/>
    </row>
    <row r="545">
      <c r="H545" s="6"/>
    </row>
    <row r="546">
      <c r="H546" s="6"/>
    </row>
    <row r="547">
      <c r="H547" s="6"/>
    </row>
    <row r="548">
      <c r="H548" s="6"/>
    </row>
    <row r="549">
      <c r="H549" s="6"/>
    </row>
    <row r="550">
      <c r="H550" s="6"/>
    </row>
    <row r="551">
      <c r="H551" s="6"/>
    </row>
    <row r="552">
      <c r="H552" s="6"/>
    </row>
    <row r="553">
      <c r="H553" s="6"/>
    </row>
    <row r="554">
      <c r="H554" s="6"/>
    </row>
    <row r="555">
      <c r="H555" s="6"/>
    </row>
    <row r="556">
      <c r="H556" s="6"/>
    </row>
    <row r="557">
      <c r="H557" s="6"/>
    </row>
    <row r="558">
      <c r="H558" s="6"/>
    </row>
    <row r="559">
      <c r="H559" s="6"/>
    </row>
    <row r="560">
      <c r="H560" s="6"/>
    </row>
    <row r="561">
      <c r="H561" s="6"/>
    </row>
    <row r="562">
      <c r="H562" s="6"/>
    </row>
    <row r="563">
      <c r="H563" s="6"/>
    </row>
    <row r="564">
      <c r="H564" s="6"/>
    </row>
    <row r="565">
      <c r="H565" s="6"/>
    </row>
    <row r="566">
      <c r="H566" s="6"/>
    </row>
    <row r="567">
      <c r="H567" s="6"/>
    </row>
    <row r="568">
      <c r="H568" s="6"/>
    </row>
    <row r="569">
      <c r="H569" s="6"/>
    </row>
    <row r="570">
      <c r="H570" s="6"/>
    </row>
    <row r="571">
      <c r="H571" s="6"/>
    </row>
    <row r="572">
      <c r="H572" s="6"/>
    </row>
    <row r="573">
      <c r="H573" s="6"/>
    </row>
    <row r="574">
      <c r="H574" s="6"/>
    </row>
    <row r="575">
      <c r="H575" s="6"/>
    </row>
    <row r="576">
      <c r="H576" s="6"/>
    </row>
    <row r="577">
      <c r="H577" s="6"/>
    </row>
    <row r="578">
      <c r="H578" s="6"/>
    </row>
    <row r="579">
      <c r="H579" s="6"/>
    </row>
    <row r="580">
      <c r="H580" s="6"/>
    </row>
    <row r="581">
      <c r="H581" s="6"/>
    </row>
    <row r="582">
      <c r="H582" s="6"/>
    </row>
    <row r="583">
      <c r="H583" s="6"/>
    </row>
    <row r="584">
      <c r="H584" s="6"/>
    </row>
    <row r="585">
      <c r="H585" s="6"/>
    </row>
    <row r="586">
      <c r="H586" s="6"/>
    </row>
    <row r="587">
      <c r="H587" s="6"/>
    </row>
    <row r="588">
      <c r="H588" s="6"/>
    </row>
    <row r="589">
      <c r="H589" s="6"/>
    </row>
    <row r="590">
      <c r="H590" s="6"/>
    </row>
    <row r="591">
      <c r="H591" s="6"/>
    </row>
    <row r="592">
      <c r="H592" s="6"/>
    </row>
    <row r="593">
      <c r="H593" s="6"/>
    </row>
    <row r="594">
      <c r="H594" s="6"/>
    </row>
    <row r="595">
      <c r="H595" s="6"/>
    </row>
    <row r="596">
      <c r="H596" s="6"/>
    </row>
    <row r="597">
      <c r="H597" s="6"/>
    </row>
    <row r="598">
      <c r="H598" s="6"/>
    </row>
    <row r="599">
      <c r="H599" s="6"/>
    </row>
    <row r="600">
      <c r="H600" s="6"/>
    </row>
    <row r="601">
      <c r="H601" s="6"/>
    </row>
    <row r="602">
      <c r="H602" s="6"/>
    </row>
    <row r="603">
      <c r="H603" s="6"/>
    </row>
    <row r="604">
      <c r="H604" s="6"/>
    </row>
    <row r="605">
      <c r="H605" s="6"/>
    </row>
    <row r="606">
      <c r="H606" s="6"/>
    </row>
    <row r="607">
      <c r="H607" s="6"/>
    </row>
    <row r="608">
      <c r="H608" s="6"/>
    </row>
    <row r="609">
      <c r="H609" s="6"/>
    </row>
    <row r="610">
      <c r="H610" s="6"/>
    </row>
    <row r="611">
      <c r="H611" s="6"/>
    </row>
    <row r="612">
      <c r="H612" s="6"/>
    </row>
    <row r="613">
      <c r="H613" s="6"/>
    </row>
    <row r="614">
      <c r="H614" s="6"/>
    </row>
    <row r="615">
      <c r="H615" s="6"/>
    </row>
    <row r="616">
      <c r="H616" s="6"/>
    </row>
    <row r="617">
      <c r="H617" s="6"/>
    </row>
    <row r="618">
      <c r="H618" s="6"/>
    </row>
    <row r="619">
      <c r="H619" s="6"/>
    </row>
    <row r="620">
      <c r="H620" s="6"/>
    </row>
    <row r="621">
      <c r="H621" s="6"/>
    </row>
    <row r="622">
      <c r="H622" s="6"/>
    </row>
    <row r="623">
      <c r="H623" s="6"/>
    </row>
    <row r="624">
      <c r="H624" s="6"/>
    </row>
    <row r="625">
      <c r="H625" s="6"/>
    </row>
    <row r="626">
      <c r="H626" s="6"/>
    </row>
    <row r="627">
      <c r="H627" s="6"/>
    </row>
    <row r="628">
      <c r="H628" s="6"/>
    </row>
    <row r="629">
      <c r="H629" s="6"/>
    </row>
    <row r="630">
      <c r="H630" s="6"/>
    </row>
    <row r="631">
      <c r="H631" s="6"/>
    </row>
    <row r="632">
      <c r="H632" s="6"/>
    </row>
    <row r="633">
      <c r="H633" s="6"/>
    </row>
    <row r="634">
      <c r="H634" s="6"/>
    </row>
    <row r="635">
      <c r="H635" s="6"/>
    </row>
    <row r="636">
      <c r="H636" s="6"/>
    </row>
    <row r="637">
      <c r="H637" s="6"/>
    </row>
    <row r="638">
      <c r="H638" s="6"/>
    </row>
    <row r="639">
      <c r="H639" s="6"/>
    </row>
    <row r="640">
      <c r="H640" s="6"/>
    </row>
    <row r="641">
      <c r="H641" s="6"/>
    </row>
    <row r="642">
      <c r="H642" s="6"/>
    </row>
    <row r="643">
      <c r="H643" s="6"/>
    </row>
    <row r="644">
      <c r="H644" s="6"/>
    </row>
    <row r="645">
      <c r="H645" s="6"/>
    </row>
    <row r="646">
      <c r="H646" s="6"/>
    </row>
    <row r="647">
      <c r="H647" s="6"/>
    </row>
    <row r="648">
      <c r="H648" s="6"/>
    </row>
    <row r="649">
      <c r="H649" s="6"/>
    </row>
    <row r="650">
      <c r="H650" s="6"/>
    </row>
    <row r="651">
      <c r="H651" s="6"/>
    </row>
    <row r="652">
      <c r="H652" s="6"/>
    </row>
    <row r="653">
      <c r="H653" s="6"/>
    </row>
    <row r="654">
      <c r="H654" s="6"/>
    </row>
    <row r="655">
      <c r="H655" s="6"/>
    </row>
    <row r="656">
      <c r="H656" s="6"/>
    </row>
    <row r="657">
      <c r="H657" s="6"/>
    </row>
    <row r="658">
      <c r="H658" s="6"/>
    </row>
    <row r="659">
      <c r="H659" s="6"/>
    </row>
    <row r="660">
      <c r="H660" s="6"/>
    </row>
    <row r="661">
      <c r="H661" s="6"/>
    </row>
    <row r="662">
      <c r="H662" s="6"/>
    </row>
    <row r="663">
      <c r="H663" s="6"/>
    </row>
    <row r="664">
      <c r="H664" s="6"/>
    </row>
    <row r="665">
      <c r="H665" s="6"/>
    </row>
    <row r="666">
      <c r="H666" s="6"/>
    </row>
    <row r="667">
      <c r="H667" s="6"/>
    </row>
    <row r="668">
      <c r="H668" s="6"/>
    </row>
    <row r="669">
      <c r="H669" s="6"/>
    </row>
    <row r="670">
      <c r="H670" s="6"/>
    </row>
    <row r="671">
      <c r="H671" s="6"/>
    </row>
    <row r="672">
      <c r="H672" s="6"/>
    </row>
    <row r="673">
      <c r="H673" s="6"/>
    </row>
    <row r="674">
      <c r="H674" s="6"/>
    </row>
    <row r="675">
      <c r="H675" s="6"/>
    </row>
    <row r="676">
      <c r="H676" s="6"/>
    </row>
    <row r="677">
      <c r="H677" s="6"/>
    </row>
    <row r="678">
      <c r="H678" s="6"/>
    </row>
    <row r="679">
      <c r="H679" s="6"/>
    </row>
    <row r="680">
      <c r="H680" s="6"/>
    </row>
    <row r="681">
      <c r="H681" s="6"/>
    </row>
    <row r="682">
      <c r="H682" s="6"/>
    </row>
    <row r="683">
      <c r="H683" s="6"/>
    </row>
    <row r="684">
      <c r="H684" s="6"/>
    </row>
    <row r="685">
      <c r="H685" s="6"/>
    </row>
    <row r="686">
      <c r="H686" s="6"/>
    </row>
    <row r="687">
      <c r="H687" s="6"/>
    </row>
    <row r="688">
      <c r="H688" s="6"/>
    </row>
    <row r="689">
      <c r="H689" s="6"/>
    </row>
    <row r="690">
      <c r="H690" s="6"/>
    </row>
    <row r="691">
      <c r="H691" s="6"/>
    </row>
    <row r="692">
      <c r="H692" s="6"/>
    </row>
    <row r="693">
      <c r="H693" s="6"/>
    </row>
    <row r="694">
      <c r="H694" s="6"/>
    </row>
    <row r="695">
      <c r="H695" s="6"/>
    </row>
    <row r="696">
      <c r="H696" s="6"/>
    </row>
    <row r="697">
      <c r="H697" s="6"/>
    </row>
    <row r="698">
      <c r="H698" s="6"/>
    </row>
    <row r="699">
      <c r="H699" s="6"/>
    </row>
    <row r="700">
      <c r="H700" s="6"/>
    </row>
    <row r="701">
      <c r="H701" s="6"/>
    </row>
    <row r="702">
      <c r="H702" s="6"/>
    </row>
    <row r="703">
      <c r="H703" s="6"/>
    </row>
    <row r="704">
      <c r="H704" s="6"/>
    </row>
    <row r="705">
      <c r="H705" s="6"/>
    </row>
    <row r="706">
      <c r="H706" s="6"/>
    </row>
    <row r="707">
      <c r="H707" s="6"/>
    </row>
    <row r="708">
      <c r="H708" s="6"/>
    </row>
    <row r="709">
      <c r="H709" s="6"/>
    </row>
    <row r="710">
      <c r="H710" s="6"/>
    </row>
    <row r="711">
      <c r="H711" s="6"/>
    </row>
    <row r="712">
      <c r="H712" s="6"/>
    </row>
    <row r="713">
      <c r="H713" s="6"/>
    </row>
    <row r="714">
      <c r="H714" s="6"/>
    </row>
    <row r="715">
      <c r="H715" s="6"/>
    </row>
    <row r="716">
      <c r="H716" s="6"/>
    </row>
    <row r="717">
      <c r="H717" s="6"/>
    </row>
    <row r="718">
      <c r="H718" s="6"/>
    </row>
    <row r="719">
      <c r="H719" s="6"/>
    </row>
    <row r="720">
      <c r="H720" s="6"/>
    </row>
    <row r="721">
      <c r="H721" s="6"/>
    </row>
    <row r="722">
      <c r="H722" s="6"/>
    </row>
    <row r="723">
      <c r="H723" s="6"/>
    </row>
    <row r="724">
      <c r="H724" s="6"/>
    </row>
    <row r="725">
      <c r="H725" s="6"/>
    </row>
    <row r="726">
      <c r="H726" s="6"/>
    </row>
    <row r="727">
      <c r="H727" s="6"/>
    </row>
    <row r="728">
      <c r="H728" s="6"/>
    </row>
    <row r="729">
      <c r="H729" s="6"/>
    </row>
    <row r="730">
      <c r="H730" s="6"/>
    </row>
    <row r="731">
      <c r="H731" s="6"/>
    </row>
    <row r="732">
      <c r="H732" s="6"/>
    </row>
    <row r="733">
      <c r="H733" s="6"/>
    </row>
    <row r="734">
      <c r="H734" s="6"/>
    </row>
    <row r="735">
      <c r="H735" s="6"/>
    </row>
    <row r="736">
      <c r="H736" s="6"/>
    </row>
    <row r="737">
      <c r="H737" s="6"/>
    </row>
    <row r="738">
      <c r="H738" s="6"/>
    </row>
    <row r="739">
      <c r="H739" s="6"/>
    </row>
    <row r="740">
      <c r="H740" s="6"/>
    </row>
    <row r="741">
      <c r="H741" s="6"/>
    </row>
    <row r="742">
      <c r="H742" s="6"/>
    </row>
    <row r="743">
      <c r="H743" s="6"/>
    </row>
    <row r="744">
      <c r="H744" s="6"/>
    </row>
    <row r="745">
      <c r="H745" s="6"/>
    </row>
    <row r="746">
      <c r="H746" s="6"/>
    </row>
    <row r="747">
      <c r="H747" s="6"/>
    </row>
    <row r="748">
      <c r="H748" s="6"/>
    </row>
    <row r="749">
      <c r="H749" s="6"/>
    </row>
    <row r="750">
      <c r="H750" s="6"/>
    </row>
    <row r="751">
      <c r="H751" s="6"/>
    </row>
    <row r="752">
      <c r="H752" s="6"/>
    </row>
    <row r="753">
      <c r="H753" s="6"/>
    </row>
    <row r="754">
      <c r="H754" s="6"/>
    </row>
    <row r="755">
      <c r="H755" s="6"/>
    </row>
    <row r="756">
      <c r="H756" s="6"/>
    </row>
    <row r="757">
      <c r="H757" s="6"/>
    </row>
    <row r="758">
      <c r="H758" s="6"/>
    </row>
    <row r="759">
      <c r="H759" s="6"/>
    </row>
    <row r="760">
      <c r="H760" s="6"/>
    </row>
    <row r="761">
      <c r="H761" s="6"/>
    </row>
    <row r="762">
      <c r="H762" s="6"/>
    </row>
    <row r="763">
      <c r="H763" s="6"/>
    </row>
    <row r="764">
      <c r="H764" s="6"/>
    </row>
    <row r="765">
      <c r="H765" s="6"/>
    </row>
    <row r="766">
      <c r="H766" s="6"/>
    </row>
    <row r="767">
      <c r="H767" s="6"/>
    </row>
    <row r="768">
      <c r="H768" s="6"/>
    </row>
    <row r="769">
      <c r="H769" s="6"/>
    </row>
    <row r="770">
      <c r="H770" s="6"/>
    </row>
    <row r="771">
      <c r="H771" s="6"/>
    </row>
    <row r="772">
      <c r="H772" s="6"/>
    </row>
    <row r="773">
      <c r="H773" s="6"/>
    </row>
    <row r="774">
      <c r="H774" s="6"/>
    </row>
    <row r="775">
      <c r="H775" s="6"/>
    </row>
    <row r="776">
      <c r="H776" s="6"/>
    </row>
    <row r="777">
      <c r="H777" s="6"/>
    </row>
    <row r="778">
      <c r="H778" s="6"/>
    </row>
    <row r="779">
      <c r="H779" s="6"/>
    </row>
    <row r="780">
      <c r="H780" s="6"/>
    </row>
    <row r="781">
      <c r="H781" s="6"/>
    </row>
    <row r="782">
      <c r="H782" s="6"/>
    </row>
    <row r="783">
      <c r="H783" s="6"/>
    </row>
    <row r="784">
      <c r="H784" s="6"/>
    </row>
    <row r="785">
      <c r="H785" s="6"/>
    </row>
    <row r="786">
      <c r="H786" s="6"/>
    </row>
    <row r="787">
      <c r="H787" s="6"/>
    </row>
    <row r="788">
      <c r="H788" s="6"/>
    </row>
    <row r="789">
      <c r="H789" s="6"/>
    </row>
    <row r="790">
      <c r="H790" s="6"/>
    </row>
    <row r="791">
      <c r="H791" s="6"/>
    </row>
    <row r="792">
      <c r="H792" s="6"/>
    </row>
    <row r="793">
      <c r="H793" s="6"/>
    </row>
    <row r="794">
      <c r="H794" s="6"/>
    </row>
    <row r="795">
      <c r="H795" s="6"/>
    </row>
    <row r="796">
      <c r="H796" s="6"/>
    </row>
    <row r="797">
      <c r="H797" s="6"/>
    </row>
    <row r="798">
      <c r="H798" s="6"/>
    </row>
    <row r="799">
      <c r="H799" s="6"/>
    </row>
    <row r="800">
      <c r="H800" s="6"/>
    </row>
    <row r="801">
      <c r="H801" s="6"/>
    </row>
    <row r="802">
      <c r="H802" s="6"/>
    </row>
    <row r="803">
      <c r="H803" s="6"/>
    </row>
    <row r="804">
      <c r="H804" s="6"/>
    </row>
    <row r="805">
      <c r="H805" s="6"/>
    </row>
    <row r="806">
      <c r="H806" s="6"/>
    </row>
    <row r="807">
      <c r="H807" s="6"/>
    </row>
    <row r="808">
      <c r="H808" s="6"/>
    </row>
    <row r="809">
      <c r="H809" s="6"/>
    </row>
    <row r="810">
      <c r="H810" s="6"/>
    </row>
    <row r="811">
      <c r="H811" s="6"/>
    </row>
    <row r="812">
      <c r="H812" s="6"/>
    </row>
    <row r="813">
      <c r="H813" s="6"/>
    </row>
    <row r="814">
      <c r="H814" s="6"/>
    </row>
    <row r="815">
      <c r="H815" s="6"/>
    </row>
    <row r="816">
      <c r="H816" s="6"/>
    </row>
    <row r="817">
      <c r="H817" s="6"/>
    </row>
    <row r="818">
      <c r="H818" s="6"/>
    </row>
    <row r="819">
      <c r="H819" s="6"/>
    </row>
    <row r="820">
      <c r="H820" s="6"/>
    </row>
    <row r="821">
      <c r="H821" s="6"/>
    </row>
    <row r="822">
      <c r="H822" s="6"/>
    </row>
    <row r="823">
      <c r="H823" s="6"/>
    </row>
    <row r="824">
      <c r="H824" s="6"/>
    </row>
    <row r="825">
      <c r="H825" s="6"/>
    </row>
    <row r="826">
      <c r="H826" s="6"/>
    </row>
    <row r="827">
      <c r="H827" s="6"/>
    </row>
    <row r="828">
      <c r="H828" s="6"/>
    </row>
    <row r="829">
      <c r="H829" s="6"/>
    </row>
    <row r="830">
      <c r="H830" s="6"/>
    </row>
    <row r="831">
      <c r="H831" s="6"/>
    </row>
    <row r="832">
      <c r="H832" s="6"/>
    </row>
    <row r="833">
      <c r="H833" s="6"/>
    </row>
    <row r="834">
      <c r="H834" s="6"/>
    </row>
    <row r="835">
      <c r="H835" s="6"/>
    </row>
    <row r="836">
      <c r="H836" s="6"/>
    </row>
    <row r="837">
      <c r="H837" s="6"/>
    </row>
    <row r="838">
      <c r="H838" s="6"/>
    </row>
    <row r="839">
      <c r="H839" s="6"/>
    </row>
    <row r="840">
      <c r="H840" s="6"/>
    </row>
    <row r="841">
      <c r="H841" s="6"/>
    </row>
    <row r="842">
      <c r="H842" s="6"/>
    </row>
    <row r="843">
      <c r="H843" s="6"/>
    </row>
    <row r="844">
      <c r="H844" s="6"/>
    </row>
    <row r="845">
      <c r="H845" s="6"/>
    </row>
    <row r="846">
      <c r="H846" s="6"/>
    </row>
    <row r="847">
      <c r="H847" s="6"/>
    </row>
    <row r="848">
      <c r="H848" s="6"/>
    </row>
    <row r="849">
      <c r="H849" s="6"/>
    </row>
    <row r="850">
      <c r="H850" s="6"/>
    </row>
    <row r="851">
      <c r="H851" s="6"/>
    </row>
    <row r="852">
      <c r="H852" s="6"/>
    </row>
    <row r="853">
      <c r="H853" s="6"/>
    </row>
    <row r="854">
      <c r="H854" s="6"/>
    </row>
    <row r="855">
      <c r="H855" s="6"/>
    </row>
    <row r="856">
      <c r="H856" s="6"/>
    </row>
    <row r="857">
      <c r="H857" s="6"/>
    </row>
    <row r="858">
      <c r="H858" s="6"/>
    </row>
    <row r="859">
      <c r="H859" s="6"/>
    </row>
    <row r="860">
      <c r="H860" s="6"/>
    </row>
    <row r="861">
      <c r="H861" s="6"/>
    </row>
    <row r="862">
      <c r="H862" s="6"/>
    </row>
    <row r="863">
      <c r="H863" s="6"/>
    </row>
    <row r="864">
      <c r="H864" s="6"/>
    </row>
    <row r="865">
      <c r="H865" s="6"/>
    </row>
    <row r="866">
      <c r="H866" s="6"/>
    </row>
    <row r="867">
      <c r="H867" s="6"/>
    </row>
    <row r="868">
      <c r="H868" s="6"/>
    </row>
    <row r="869">
      <c r="H869" s="6"/>
    </row>
    <row r="870">
      <c r="H870" s="6"/>
    </row>
    <row r="871">
      <c r="H871" s="6"/>
    </row>
    <row r="872">
      <c r="H872" s="6"/>
    </row>
    <row r="873">
      <c r="H873" s="6"/>
    </row>
    <row r="874">
      <c r="H874" s="6"/>
    </row>
    <row r="875">
      <c r="H875" s="6"/>
    </row>
    <row r="876">
      <c r="H876" s="6"/>
    </row>
    <row r="877">
      <c r="H877" s="6"/>
    </row>
    <row r="878">
      <c r="H878" s="6"/>
    </row>
    <row r="879">
      <c r="H879" s="6"/>
    </row>
    <row r="880">
      <c r="H880" s="6"/>
    </row>
    <row r="881">
      <c r="H881" s="6"/>
    </row>
    <row r="882">
      <c r="H882" s="6"/>
    </row>
    <row r="883">
      <c r="H883" s="6"/>
    </row>
    <row r="884">
      <c r="H884" s="6"/>
    </row>
    <row r="885">
      <c r="H885" s="6"/>
    </row>
    <row r="886">
      <c r="H886" s="6"/>
    </row>
    <row r="887">
      <c r="H887" s="6"/>
    </row>
    <row r="888">
      <c r="H888" s="6"/>
    </row>
    <row r="889">
      <c r="H889" s="6"/>
    </row>
    <row r="890">
      <c r="H890" s="6"/>
    </row>
    <row r="891">
      <c r="H891" s="6"/>
    </row>
    <row r="892">
      <c r="H892" s="6"/>
    </row>
    <row r="893">
      <c r="H893" s="6"/>
    </row>
    <row r="894">
      <c r="H894" s="6"/>
    </row>
    <row r="895">
      <c r="H895" s="6"/>
    </row>
    <row r="896">
      <c r="H896" s="6"/>
    </row>
    <row r="897">
      <c r="H897" s="6"/>
    </row>
    <row r="898">
      <c r="H898" s="6"/>
    </row>
    <row r="899">
      <c r="H899" s="6"/>
    </row>
    <row r="900">
      <c r="H900" s="6"/>
    </row>
    <row r="901">
      <c r="H901" s="6"/>
    </row>
    <row r="902">
      <c r="H902" s="6"/>
    </row>
    <row r="903">
      <c r="H903" s="6"/>
    </row>
    <row r="904">
      <c r="H904" s="6"/>
    </row>
    <row r="905">
      <c r="H905" s="6"/>
    </row>
    <row r="906">
      <c r="H906" s="6"/>
    </row>
    <row r="907">
      <c r="H907" s="6"/>
    </row>
    <row r="908">
      <c r="H908" s="6"/>
    </row>
    <row r="909">
      <c r="H909" s="6"/>
    </row>
    <row r="910">
      <c r="H910" s="6"/>
    </row>
    <row r="911">
      <c r="H911" s="6"/>
    </row>
    <row r="912">
      <c r="H912" s="6"/>
    </row>
    <row r="913">
      <c r="H913" s="6"/>
    </row>
    <row r="914">
      <c r="H914" s="6"/>
    </row>
    <row r="915">
      <c r="H915" s="6"/>
    </row>
    <row r="916">
      <c r="H916" s="6"/>
    </row>
    <row r="917">
      <c r="H917" s="6"/>
    </row>
    <row r="918">
      <c r="H918" s="6"/>
    </row>
    <row r="919">
      <c r="H919" s="6"/>
    </row>
    <row r="920">
      <c r="H920" s="6"/>
    </row>
    <row r="921">
      <c r="H921" s="6"/>
    </row>
    <row r="922">
      <c r="H922" s="6"/>
    </row>
    <row r="923">
      <c r="H923" s="6"/>
    </row>
    <row r="924">
      <c r="H924" s="6"/>
    </row>
    <row r="925">
      <c r="H925" s="6"/>
    </row>
    <row r="926">
      <c r="H926" s="6"/>
    </row>
    <row r="927">
      <c r="H927" s="6"/>
    </row>
    <row r="928">
      <c r="H928" s="6"/>
    </row>
    <row r="929">
      <c r="H929" s="6"/>
    </row>
    <row r="930">
      <c r="H930" s="6"/>
    </row>
    <row r="931">
      <c r="H931" s="6"/>
    </row>
    <row r="932">
      <c r="H932" s="6"/>
    </row>
    <row r="933">
      <c r="H933" s="6"/>
    </row>
    <row r="934">
      <c r="H934" s="6"/>
    </row>
    <row r="935">
      <c r="H935" s="6"/>
    </row>
    <row r="936">
      <c r="H936" s="6"/>
    </row>
    <row r="937">
      <c r="H937" s="6"/>
    </row>
    <row r="938">
      <c r="H938" s="6"/>
    </row>
    <row r="939">
      <c r="H939" s="6"/>
    </row>
    <row r="940">
      <c r="H940" s="6"/>
    </row>
    <row r="941">
      <c r="H941" s="6"/>
    </row>
    <row r="942">
      <c r="H942" s="6"/>
    </row>
    <row r="943">
      <c r="H943" s="6"/>
    </row>
    <row r="944">
      <c r="H944" s="6"/>
    </row>
    <row r="945">
      <c r="H945" s="6"/>
    </row>
    <row r="946">
      <c r="H946" s="6"/>
    </row>
    <row r="947">
      <c r="H947" s="6"/>
    </row>
    <row r="948">
      <c r="H948" s="6"/>
    </row>
    <row r="949">
      <c r="H949" s="6"/>
    </row>
    <row r="950">
      <c r="H950" s="6"/>
    </row>
    <row r="951">
      <c r="H951" s="6"/>
    </row>
    <row r="952">
      <c r="H952" s="6"/>
    </row>
    <row r="953">
      <c r="H953" s="6"/>
    </row>
    <row r="954">
      <c r="H954" s="6"/>
    </row>
    <row r="955">
      <c r="H955" s="6"/>
    </row>
    <row r="956">
      <c r="H956" s="6"/>
    </row>
    <row r="957">
      <c r="H957" s="6"/>
    </row>
    <row r="958">
      <c r="H958" s="6"/>
    </row>
    <row r="959">
      <c r="H959" s="6"/>
    </row>
    <row r="960">
      <c r="H960" s="6"/>
    </row>
    <row r="961">
      <c r="H961" s="6"/>
    </row>
    <row r="962">
      <c r="H962" s="6"/>
    </row>
    <row r="963">
      <c r="H963" s="6"/>
    </row>
    <row r="964">
      <c r="H964" s="6"/>
    </row>
    <row r="965">
      <c r="H965" s="6"/>
    </row>
    <row r="966">
      <c r="H966" s="6"/>
    </row>
    <row r="967">
      <c r="H967" s="6"/>
    </row>
    <row r="968">
      <c r="H968" s="6"/>
    </row>
    <row r="969">
      <c r="H969" s="6"/>
    </row>
    <row r="970">
      <c r="H970" s="6"/>
    </row>
    <row r="971">
      <c r="H971" s="6"/>
    </row>
    <row r="972">
      <c r="H972" s="6"/>
    </row>
    <row r="973">
      <c r="H973" s="6"/>
    </row>
    <row r="974">
      <c r="H974" s="6"/>
    </row>
    <row r="975">
      <c r="H975" s="6"/>
    </row>
    <row r="976">
      <c r="H976" s="6"/>
    </row>
    <row r="977">
      <c r="H977" s="6"/>
    </row>
    <row r="978">
      <c r="H978" s="6"/>
    </row>
    <row r="979">
      <c r="H979" s="6"/>
    </row>
    <row r="980">
      <c r="H980" s="6"/>
    </row>
    <row r="981">
      <c r="H981" s="6"/>
    </row>
    <row r="982">
      <c r="H982" s="6"/>
    </row>
    <row r="983">
      <c r="H983" s="6"/>
    </row>
    <row r="984">
      <c r="H984" s="6"/>
    </row>
    <row r="985">
      <c r="H985" s="6"/>
    </row>
    <row r="986">
      <c r="H986" s="6"/>
    </row>
    <row r="987">
      <c r="H987" s="6"/>
    </row>
    <row r="988">
      <c r="H988" s="6"/>
    </row>
    <row r="989">
      <c r="H989" s="6"/>
    </row>
    <row r="990">
      <c r="H990" s="6"/>
    </row>
    <row r="991">
      <c r="H991" s="6"/>
    </row>
    <row r="992">
      <c r="H992" s="6"/>
    </row>
    <row r="993">
      <c r="H993" s="6"/>
    </row>
    <row r="994">
      <c r="H994" s="6"/>
    </row>
    <row r="995">
      <c r="H995" s="6"/>
    </row>
    <row r="996">
      <c r="H996" s="6"/>
    </row>
    <row r="997">
      <c r="H997" s="6"/>
    </row>
    <row r="998">
      <c r="H998" s="6"/>
    </row>
    <row r="999">
      <c r="H999" s="6"/>
    </row>
    <row r="1000">
      <c r="H1000" s="6"/>
    </row>
  </sheetData>
  <dataValidations>
    <dataValidation type="custom" allowBlank="1" showDropDown="1" sqref="B2:H63">
      <formula1>AND(ISNUMBER(B2),(NOT(OR(NOT(ISERROR(DATEVALUE(B2))), AND(ISNUMBER(B2), LEFT(CELL("format", B2))="D")))))</formula1>
    </dataValidation>
    <dataValidation allowBlank="1" showDropDown="1" sqref="A2:A63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</cols>
  <sheetData>
    <row r="1">
      <c r="A1" s="4" t="str">
        <f>IFERROR(__xludf.DUMMYFUNCTION("query(query({query(teamStatsOverall!A:K, ""select I, sum(J), sum(K) where I is not null group by I label I 'Team', sum(J) 'TPoints', sum(K) 'Negs'""), query(teamStatsOverall!M:U, ""select sum(N), sum(U) where M is not null group by M label sum(N) 'Games',"&amp;" sum(U) 'Points'"")}, ""select Col1, Col2/Col4, (Col5-Col2)/Col4, Col5/Col4, Col3/Col4, Col2/4+Col3, (Col5-Col2)/10, (Col5-Col2)/(Col2/4+Col3)/10 label Col2/Col4 'Tossup PPG', (Col5-Col2)/Col4 'Bonus PPG', Col5/Col4 'Total PPG', Col3/Col4 'NPG', Col2/4+Co"&amp;"l3 'Correct Tossups', (Col5-Col2)/10 'Correct Bonuses', (Col5-Col2)/(Col2/4+Col3)/10 'Bonus Conversion'""), ""select * ORDER BY Col4 DESC"")"),"Team")</f>
        <v>Team</v>
      </c>
      <c r="B1" s="4" t="str">
        <f>IFERROR(__xludf.DUMMYFUNCTION("""COMPUTED_VALUE"""),"Tossup PPG")</f>
        <v>Tossup PPG</v>
      </c>
      <c r="C1" s="4" t="str">
        <f>IFERROR(__xludf.DUMMYFUNCTION("""COMPUTED_VALUE"""),"Bonus PPG")</f>
        <v>Bonus PPG</v>
      </c>
      <c r="D1" s="4" t="str">
        <f>IFERROR(__xludf.DUMMYFUNCTION("""COMPUTED_VALUE"""),"Total PPG")</f>
        <v>Total PPG</v>
      </c>
      <c r="E1" s="4" t="str">
        <f>IFERROR(__xludf.DUMMYFUNCTION("""COMPUTED_VALUE"""),"NPG")</f>
        <v>NPG</v>
      </c>
      <c r="F1" s="1" t="str">
        <f>IFERROR(__xludf.DUMMYFUNCTION("""COMPUTED_VALUE"""),"Correct Tossups")</f>
        <v>Correct Tossups</v>
      </c>
      <c r="G1" s="1" t="str">
        <f>IFERROR(__xludf.DUMMYFUNCTION("""COMPUTED_VALUE"""),"Correct Bonuses")</f>
        <v>Correct Bonuses</v>
      </c>
      <c r="H1" s="1" t="str">
        <f>IFERROR(__xludf.DUMMYFUNCTION("""COMPUTED_VALUE"""),"Bonus Conversion")</f>
        <v>Bonus Conversion</v>
      </c>
    </row>
    <row r="2">
      <c r="A2" s="4" t="str">
        <f>IFERROR(__xludf.DUMMYFUNCTION("""COMPUTED_VALUE"""),"Galen 2")</f>
        <v>Galen 2</v>
      </c>
      <c r="B2" s="4">
        <f>IFERROR(__xludf.DUMMYFUNCTION("""COMPUTED_VALUE"""),41.6)</f>
        <v>41.6</v>
      </c>
      <c r="C2" s="4">
        <f>IFERROR(__xludf.DUMMYFUNCTION("""COMPUTED_VALUE"""),106.0)</f>
        <v>106</v>
      </c>
      <c r="D2" s="4">
        <f>IFERROR(__xludf.DUMMYFUNCTION("""COMPUTED_VALUE"""),147.6)</f>
        <v>147.6</v>
      </c>
      <c r="E2" s="4">
        <f>IFERROR(__xludf.DUMMYFUNCTION("""COMPUTED_VALUE"""),2.2)</f>
        <v>2.2</v>
      </c>
      <c r="F2" s="1">
        <f>IFERROR(__xludf.DUMMYFUNCTION("""COMPUTED_VALUE"""),63.0)</f>
        <v>63</v>
      </c>
      <c r="G2" s="1">
        <f>IFERROR(__xludf.DUMMYFUNCTION("""COMPUTED_VALUE"""),53.0)</f>
        <v>53</v>
      </c>
      <c r="H2" s="1">
        <f>IFERROR(__xludf.DUMMYFUNCTION("""COMPUTED_VALUE"""),0.8412698412698413)</f>
        <v>0.8412698413</v>
      </c>
    </row>
    <row r="3">
      <c r="A3" s="4" t="str">
        <f>IFERROR(__xludf.DUMMYFUNCTION("""COMPUTED_VALUE"""),"Galen 1")</f>
        <v>Galen 1</v>
      </c>
      <c r="B3" s="4">
        <f>IFERROR(__xludf.DUMMYFUNCTION("""COMPUTED_VALUE"""),34.4)</f>
        <v>34.4</v>
      </c>
      <c r="C3" s="4">
        <f>IFERROR(__xludf.DUMMYFUNCTION("""COMPUTED_VALUE"""),96.0)</f>
        <v>96</v>
      </c>
      <c r="D3" s="4">
        <f>IFERROR(__xludf.DUMMYFUNCTION("""COMPUTED_VALUE"""),130.4)</f>
        <v>130.4</v>
      </c>
      <c r="E3" s="4">
        <f>IFERROR(__xludf.DUMMYFUNCTION("""COMPUTED_VALUE"""),3.4)</f>
        <v>3.4</v>
      </c>
      <c r="F3" s="1">
        <f>IFERROR(__xludf.DUMMYFUNCTION("""COMPUTED_VALUE"""),60.0)</f>
        <v>60</v>
      </c>
      <c r="G3" s="1">
        <f>IFERROR(__xludf.DUMMYFUNCTION("""COMPUTED_VALUE"""),48.0)</f>
        <v>48</v>
      </c>
      <c r="H3" s="1">
        <f>IFERROR(__xludf.DUMMYFUNCTION("""COMPUTED_VALUE"""),0.8)</f>
        <v>0.8</v>
      </c>
    </row>
    <row r="4">
      <c r="A4" s="4" t="str">
        <f>IFERROR(__xludf.DUMMYFUNCTION("""COMPUTED_VALUE"""),"Blair")</f>
        <v>Blair</v>
      </c>
      <c r="B4" s="4">
        <f>IFERROR(__xludf.DUMMYFUNCTION("""COMPUTED_VALUE"""),38.4)</f>
        <v>38.4</v>
      </c>
      <c r="C4" s="4">
        <f>IFERROR(__xludf.DUMMYFUNCTION("""COMPUTED_VALUE"""),82.0)</f>
        <v>82</v>
      </c>
      <c r="D4" s="4">
        <f>IFERROR(__xludf.DUMMYFUNCTION("""COMPUTED_VALUE"""),120.4)</f>
        <v>120.4</v>
      </c>
      <c r="E4" s="4">
        <f>IFERROR(__xludf.DUMMYFUNCTION("""COMPUTED_VALUE"""),2.4)</f>
        <v>2.4</v>
      </c>
      <c r="F4" s="1">
        <f>IFERROR(__xludf.DUMMYFUNCTION("""COMPUTED_VALUE"""),60.0)</f>
        <v>60</v>
      </c>
      <c r="G4" s="1">
        <f>IFERROR(__xludf.DUMMYFUNCTION("""COMPUTED_VALUE"""),41.0)</f>
        <v>41</v>
      </c>
      <c r="H4" s="1">
        <f>IFERROR(__xludf.DUMMYFUNCTION("""COMPUTED_VALUE"""),0.6833333333333333)</f>
        <v>0.6833333333</v>
      </c>
    </row>
    <row r="5">
      <c r="A5" s="4" t="str">
        <f>IFERROR(__xludf.DUMMYFUNCTION("""COMPUTED_VALUE"""),"NoHo 1")</f>
        <v>NoHo 1</v>
      </c>
      <c r="B5" s="4">
        <f>IFERROR(__xludf.DUMMYFUNCTION("""COMPUTED_VALUE"""),37.6)</f>
        <v>37.6</v>
      </c>
      <c r="C5" s="4">
        <f>IFERROR(__xludf.DUMMYFUNCTION("""COMPUTED_VALUE"""),78.0)</f>
        <v>78</v>
      </c>
      <c r="D5" s="4">
        <f>IFERROR(__xludf.DUMMYFUNCTION("""COMPUTED_VALUE"""),115.6)</f>
        <v>115.6</v>
      </c>
      <c r="E5" s="4">
        <f>IFERROR(__xludf.DUMMYFUNCTION("""COMPUTED_VALUE"""),1.6)</f>
        <v>1.6</v>
      </c>
      <c r="F5" s="1">
        <f>IFERROR(__xludf.DUMMYFUNCTION("""COMPUTED_VALUE"""),55.0)</f>
        <v>55</v>
      </c>
      <c r="G5" s="1">
        <f>IFERROR(__xludf.DUMMYFUNCTION("""COMPUTED_VALUE"""),39.0)</f>
        <v>39</v>
      </c>
      <c r="H5" s="1">
        <f>IFERROR(__xludf.DUMMYFUNCTION("""COMPUTED_VALUE"""),0.7090909090909091)</f>
        <v>0.7090909091</v>
      </c>
    </row>
    <row r="6">
      <c r="A6" s="4" t="str">
        <f>IFERROR(__xludf.DUMMYFUNCTION("""COMPUTED_VALUE"""),"Will of A")</f>
        <v>Will of A</v>
      </c>
      <c r="B6" s="4">
        <f>IFERROR(__xludf.DUMMYFUNCTION("""COMPUTED_VALUE"""),28.8)</f>
        <v>28.8</v>
      </c>
      <c r="C6" s="4">
        <f>IFERROR(__xludf.DUMMYFUNCTION("""COMPUTED_VALUE"""),86.0)</f>
        <v>86</v>
      </c>
      <c r="D6" s="4">
        <f>IFERROR(__xludf.DUMMYFUNCTION("""COMPUTED_VALUE"""),114.8)</f>
        <v>114.8</v>
      </c>
      <c r="E6" s="4">
        <f>IFERROR(__xludf.DUMMYFUNCTION("""COMPUTED_VALUE"""),3.8)</f>
        <v>3.8</v>
      </c>
      <c r="F6" s="1">
        <f>IFERROR(__xludf.DUMMYFUNCTION("""COMPUTED_VALUE"""),55.0)</f>
        <v>55</v>
      </c>
      <c r="G6" s="1">
        <f>IFERROR(__xludf.DUMMYFUNCTION("""COMPUTED_VALUE"""),43.0)</f>
        <v>43</v>
      </c>
      <c r="H6" s="1">
        <f>IFERROR(__xludf.DUMMYFUNCTION("""COMPUTED_VALUE"""),0.7818181818181819)</f>
        <v>0.7818181818</v>
      </c>
    </row>
    <row r="7">
      <c r="A7" s="4" t="str">
        <f>IFERROR(__xludf.DUMMYFUNCTION("""COMPUTED_VALUE"""),"University")</f>
        <v>University</v>
      </c>
      <c r="B7" s="4">
        <f>IFERROR(__xludf.DUMMYFUNCTION("""COMPUTED_VALUE"""),29.6)</f>
        <v>29.6</v>
      </c>
      <c r="C7" s="4">
        <f>IFERROR(__xludf.DUMMYFUNCTION("""COMPUTED_VALUE"""),80.0)</f>
        <v>80</v>
      </c>
      <c r="D7" s="4">
        <f>IFERROR(__xludf.DUMMYFUNCTION("""COMPUTED_VALUE"""),109.6)</f>
        <v>109.6</v>
      </c>
      <c r="E7" s="4">
        <f>IFERROR(__xludf.DUMMYFUNCTION("""COMPUTED_VALUE"""),2.4)</f>
        <v>2.4</v>
      </c>
      <c r="F7" s="1">
        <f>IFERROR(__xludf.DUMMYFUNCTION("""COMPUTED_VALUE"""),49.0)</f>
        <v>49</v>
      </c>
      <c r="G7" s="1">
        <f>IFERROR(__xludf.DUMMYFUNCTION("""COMPUTED_VALUE"""),40.0)</f>
        <v>40</v>
      </c>
      <c r="H7" s="1">
        <f>IFERROR(__xludf.DUMMYFUNCTION("""COMPUTED_VALUE"""),0.8163265306122449)</f>
        <v>0.8163265306</v>
      </c>
    </row>
    <row r="8">
      <c r="A8" s="4" t="str">
        <f>IFERROR(__xludf.DUMMYFUNCTION("""COMPUTED_VALUE"""),"Bridgeland HS")</f>
        <v>Bridgeland HS</v>
      </c>
      <c r="B8" s="4">
        <f>IFERROR(__xludf.DUMMYFUNCTION("""COMPUTED_VALUE"""),32.8)</f>
        <v>32.8</v>
      </c>
      <c r="C8" s="4">
        <f>IFERROR(__xludf.DUMMYFUNCTION("""COMPUTED_VALUE"""),74.0)</f>
        <v>74</v>
      </c>
      <c r="D8" s="4">
        <f>IFERROR(__xludf.DUMMYFUNCTION("""COMPUTED_VALUE"""),106.8)</f>
        <v>106.8</v>
      </c>
      <c r="E8" s="4">
        <f>IFERROR(__xludf.DUMMYFUNCTION("""COMPUTED_VALUE"""),0.8)</f>
        <v>0.8</v>
      </c>
      <c r="F8" s="1">
        <f>IFERROR(__xludf.DUMMYFUNCTION("""COMPUTED_VALUE"""),45.0)</f>
        <v>45</v>
      </c>
      <c r="G8" s="1">
        <f>IFERROR(__xludf.DUMMYFUNCTION("""COMPUTED_VALUE"""),37.0)</f>
        <v>37</v>
      </c>
      <c r="H8" s="1">
        <f>IFERROR(__xludf.DUMMYFUNCTION("""COMPUTED_VALUE"""),0.8222222222222222)</f>
        <v>0.8222222222</v>
      </c>
    </row>
    <row r="9">
      <c r="A9" s="4" t="str">
        <f>IFERROR(__xludf.DUMMYFUNCTION("""COMPUTED_VALUE"""),"Amador Valley HS")</f>
        <v>Amador Valley HS</v>
      </c>
      <c r="B9" s="4">
        <f>IFERROR(__xludf.DUMMYFUNCTION("""COMPUTED_VALUE"""),21.6)</f>
        <v>21.6</v>
      </c>
      <c r="C9" s="4">
        <f>IFERROR(__xludf.DUMMYFUNCTION("""COMPUTED_VALUE"""),84.0)</f>
        <v>84</v>
      </c>
      <c r="D9" s="4">
        <f>IFERROR(__xludf.DUMMYFUNCTION("""COMPUTED_VALUE"""),105.6)</f>
        <v>105.6</v>
      </c>
      <c r="E9" s="4">
        <f>IFERROR(__xludf.DUMMYFUNCTION("""COMPUTED_VALUE"""),4.8)</f>
        <v>4.8</v>
      </c>
      <c r="F9" s="1">
        <f>IFERROR(__xludf.DUMMYFUNCTION("""COMPUTED_VALUE"""),51.0)</f>
        <v>51</v>
      </c>
      <c r="G9" s="1">
        <f>IFERROR(__xludf.DUMMYFUNCTION("""COMPUTED_VALUE"""),42.0)</f>
        <v>42</v>
      </c>
      <c r="H9" s="1">
        <f>IFERROR(__xludf.DUMMYFUNCTION("""COMPUTED_VALUE"""),0.8235294117647058)</f>
        <v>0.8235294118</v>
      </c>
    </row>
    <row r="10">
      <c r="A10" s="4" t="str">
        <f>IFERROR(__xludf.DUMMYFUNCTION("""COMPUTED_VALUE"""),"Lynbrook")</f>
        <v>Lynbrook</v>
      </c>
      <c r="B10" s="4">
        <f>IFERROR(__xludf.DUMMYFUNCTION("""COMPUTED_VALUE"""),35.2)</f>
        <v>35.2</v>
      </c>
      <c r="C10" s="4">
        <f>IFERROR(__xludf.DUMMYFUNCTION("""COMPUTED_VALUE"""),70.0)</f>
        <v>70</v>
      </c>
      <c r="D10" s="4">
        <f>IFERROR(__xludf.DUMMYFUNCTION("""COMPUTED_VALUE"""),105.2)</f>
        <v>105.2</v>
      </c>
      <c r="E10" s="4">
        <f>IFERROR(__xludf.DUMMYFUNCTION("""COMPUTED_VALUE"""),1.0)</f>
        <v>1</v>
      </c>
      <c r="F10" s="1">
        <f>IFERROR(__xludf.DUMMYFUNCTION("""COMPUTED_VALUE"""),49.0)</f>
        <v>49</v>
      </c>
      <c r="G10" s="1">
        <f>IFERROR(__xludf.DUMMYFUNCTION("""COMPUTED_VALUE"""),35.0)</f>
        <v>35</v>
      </c>
      <c r="H10" s="1">
        <f>IFERROR(__xludf.DUMMYFUNCTION("""COMPUTED_VALUE"""),0.7142857142857143)</f>
        <v>0.7142857143</v>
      </c>
    </row>
    <row r="11">
      <c r="A11" s="4" t="str">
        <f>IFERROR(__xludf.DUMMYFUNCTION("""COMPUTED_VALUE"""),"Ward Melville 1")</f>
        <v>Ward Melville 1</v>
      </c>
      <c r="B11" s="4">
        <f>IFERROR(__xludf.DUMMYFUNCTION("""COMPUTED_VALUE"""),31.0)</f>
        <v>31</v>
      </c>
      <c r="C11" s="4">
        <f>IFERROR(__xludf.DUMMYFUNCTION("""COMPUTED_VALUE"""),70.0)</f>
        <v>70</v>
      </c>
      <c r="D11" s="4">
        <f>IFERROR(__xludf.DUMMYFUNCTION("""COMPUTED_VALUE"""),101.0)</f>
        <v>101</v>
      </c>
      <c r="E11" s="4">
        <f>IFERROR(__xludf.DUMMYFUNCTION("""COMPUTED_VALUE"""),1.75)</f>
        <v>1.75</v>
      </c>
      <c r="F11" s="1">
        <f>IFERROR(__xludf.DUMMYFUNCTION("""COMPUTED_VALUE"""),38.0)</f>
        <v>38</v>
      </c>
      <c r="G11" s="1">
        <f>IFERROR(__xludf.DUMMYFUNCTION("""COMPUTED_VALUE"""),28.0)</f>
        <v>28</v>
      </c>
      <c r="H11" s="1">
        <f>IFERROR(__xludf.DUMMYFUNCTION("""COMPUTED_VALUE"""),0.7368421052631579)</f>
        <v>0.7368421053</v>
      </c>
    </row>
    <row r="12">
      <c r="A12" s="4" t="str">
        <f>IFERROR(__xludf.DUMMYFUNCTION("""COMPUTED_VALUE"""),"Clements")</f>
        <v>Clements</v>
      </c>
      <c r="B12" s="4">
        <f>IFERROR(__xludf.DUMMYFUNCTION("""COMPUTED_VALUE"""),32.8)</f>
        <v>32.8</v>
      </c>
      <c r="C12" s="4">
        <f>IFERROR(__xludf.DUMMYFUNCTION("""COMPUTED_VALUE"""),64.0)</f>
        <v>64</v>
      </c>
      <c r="D12" s="4">
        <f>IFERROR(__xludf.DUMMYFUNCTION("""COMPUTED_VALUE"""),96.8)</f>
        <v>96.8</v>
      </c>
      <c r="E12" s="4">
        <f>IFERROR(__xludf.DUMMYFUNCTION("""COMPUTED_VALUE"""),1.8)</f>
        <v>1.8</v>
      </c>
      <c r="F12" s="1">
        <f>IFERROR(__xludf.DUMMYFUNCTION("""COMPUTED_VALUE"""),50.0)</f>
        <v>50</v>
      </c>
      <c r="G12" s="1">
        <f>IFERROR(__xludf.DUMMYFUNCTION("""COMPUTED_VALUE"""),32.0)</f>
        <v>32</v>
      </c>
      <c r="H12" s="1">
        <f>IFERROR(__xludf.DUMMYFUNCTION("""COMPUTED_VALUE"""),0.64)</f>
        <v>0.64</v>
      </c>
    </row>
    <row r="13">
      <c r="A13" s="4" t="str">
        <f>IFERROR(__xludf.DUMMYFUNCTION("""COMPUTED_VALUE"""),"Elkins HS")</f>
        <v>Elkins HS</v>
      </c>
      <c r="B13" s="4">
        <f>IFERROR(__xludf.DUMMYFUNCTION("""COMPUTED_VALUE"""),30.4)</f>
        <v>30.4</v>
      </c>
      <c r="C13" s="4">
        <f>IFERROR(__xludf.DUMMYFUNCTION("""COMPUTED_VALUE"""),66.0)</f>
        <v>66</v>
      </c>
      <c r="D13" s="4">
        <f>IFERROR(__xludf.DUMMYFUNCTION("""COMPUTED_VALUE"""),96.4)</f>
        <v>96.4</v>
      </c>
      <c r="E13" s="4">
        <f>IFERROR(__xludf.DUMMYFUNCTION("""COMPUTED_VALUE"""),1.4)</f>
        <v>1.4</v>
      </c>
      <c r="F13" s="1">
        <f>IFERROR(__xludf.DUMMYFUNCTION("""COMPUTED_VALUE"""),45.0)</f>
        <v>45</v>
      </c>
      <c r="G13" s="1">
        <f>IFERROR(__xludf.DUMMYFUNCTION("""COMPUTED_VALUE"""),33.0)</f>
        <v>33</v>
      </c>
      <c r="H13" s="1">
        <f>IFERROR(__xludf.DUMMYFUNCTION("""COMPUTED_VALUE"""),0.7333333333333333)</f>
        <v>0.7333333333</v>
      </c>
    </row>
    <row r="14">
      <c r="A14" s="4" t="str">
        <f>IFERROR(__xludf.DUMMYFUNCTION("""COMPUTED_VALUE"""),"Dulles Dolls 1")</f>
        <v>Dulles Dolls 1</v>
      </c>
      <c r="B14" s="4">
        <f>IFERROR(__xludf.DUMMYFUNCTION("""COMPUTED_VALUE"""),25.6)</f>
        <v>25.6</v>
      </c>
      <c r="C14" s="4">
        <f>IFERROR(__xludf.DUMMYFUNCTION("""COMPUTED_VALUE"""),68.0)</f>
        <v>68</v>
      </c>
      <c r="D14" s="4">
        <f>IFERROR(__xludf.DUMMYFUNCTION("""COMPUTED_VALUE"""),93.6)</f>
        <v>93.6</v>
      </c>
      <c r="E14" s="4">
        <f>IFERROR(__xludf.DUMMYFUNCTION("""COMPUTED_VALUE"""),2.2)</f>
        <v>2.2</v>
      </c>
      <c r="F14" s="1">
        <f>IFERROR(__xludf.DUMMYFUNCTION("""COMPUTED_VALUE"""),43.0)</f>
        <v>43</v>
      </c>
      <c r="G14" s="1">
        <f>IFERROR(__xludf.DUMMYFUNCTION("""COMPUTED_VALUE"""),34.0)</f>
        <v>34</v>
      </c>
      <c r="H14" s="1">
        <f>IFERROR(__xludf.DUMMYFUNCTION("""COMPUTED_VALUE"""),0.7906976744186046)</f>
        <v>0.7906976744</v>
      </c>
    </row>
    <row r="15">
      <c r="A15" s="4" t="str">
        <f>IFERROR(__xludf.DUMMYFUNCTION("""COMPUTED_VALUE"""),"Enloe")</f>
        <v>Enloe</v>
      </c>
      <c r="B15" s="4">
        <f>IFERROR(__xludf.DUMMYFUNCTION("""COMPUTED_VALUE"""),33.6)</f>
        <v>33.6</v>
      </c>
      <c r="C15" s="4">
        <f>IFERROR(__xludf.DUMMYFUNCTION("""COMPUTED_VALUE"""),60.0)</f>
        <v>60</v>
      </c>
      <c r="D15" s="4">
        <f>IFERROR(__xludf.DUMMYFUNCTION("""COMPUTED_VALUE"""),93.6)</f>
        <v>93.6</v>
      </c>
      <c r="E15" s="4">
        <f>IFERROR(__xludf.DUMMYFUNCTION("""COMPUTED_VALUE"""),1.4)</f>
        <v>1.4</v>
      </c>
      <c r="F15" s="1">
        <f>IFERROR(__xludf.DUMMYFUNCTION("""COMPUTED_VALUE"""),49.0)</f>
        <v>49</v>
      </c>
      <c r="G15" s="1">
        <f>IFERROR(__xludf.DUMMYFUNCTION("""COMPUTED_VALUE"""),30.0)</f>
        <v>30</v>
      </c>
      <c r="H15" s="1">
        <f>IFERROR(__xludf.DUMMYFUNCTION("""COMPUTED_VALUE"""),0.6122448979591837)</f>
        <v>0.612244898</v>
      </c>
    </row>
    <row r="16">
      <c r="A16" s="4" t="str">
        <f>IFERROR(__xludf.DUMMYFUNCTION("""COMPUTED_VALUE"""),"Davidson Academy")</f>
        <v>Davidson Academy</v>
      </c>
      <c r="B16" s="4">
        <f>IFERROR(__xludf.DUMMYFUNCTION("""COMPUTED_VALUE"""),30.4)</f>
        <v>30.4</v>
      </c>
      <c r="C16" s="4">
        <f>IFERROR(__xludf.DUMMYFUNCTION("""COMPUTED_VALUE"""),62.0)</f>
        <v>62</v>
      </c>
      <c r="D16" s="4">
        <f>IFERROR(__xludf.DUMMYFUNCTION("""COMPUTED_VALUE"""),92.4)</f>
        <v>92.4</v>
      </c>
      <c r="E16" s="4">
        <f>IFERROR(__xludf.DUMMYFUNCTION("""COMPUTED_VALUE"""),1.8)</f>
        <v>1.8</v>
      </c>
      <c r="F16" s="1">
        <f>IFERROR(__xludf.DUMMYFUNCTION("""COMPUTED_VALUE"""),47.0)</f>
        <v>47</v>
      </c>
      <c r="G16" s="1">
        <f>IFERROR(__xludf.DUMMYFUNCTION("""COMPUTED_VALUE"""),31.0)</f>
        <v>31</v>
      </c>
      <c r="H16" s="1">
        <f>IFERROR(__xludf.DUMMYFUNCTION("""COMPUTED_VALUE"""),0.6595744680851064)</f>
        <v>0.6595744681</v>
      </c>
    </row>
    <row r="17">
      <c r="A17" s="4" t="str">
        <f>IFERROR(__xludf.DUMMYFUNCTION("""COMPUTED_VALUE"""),"Lubbock")</f>
        <v>Lubbock</v>
      </c>
      <c r="B17" s="4">
        <f>IFERROR(__xludf.DUMMYFUNCTION("""COMPUTED_VALUE"""),30.4)</f>
        <v>30.4</v>
      </c>
      <c r="C17" s="4">
        <f>IFERROR(__xludf.DUMMYFUNCTION("""COMPUTED_VALUE"""),62.0)</f>
        <v>62</v>
      </c>
      <c r="D17" s="4">
        <f>IFERROR(__xludf.DUMMYFUNCTION("""COMPUTED_VALUE"""),92.4)</f>
        <v>92.4</v>
      </c>
      <c r="E17" s="4">
        <f>IFERROR(__xludf.DUMMYFUNCTION("""COMPUTED_VALUE"""),1.0)</f>
        <v>1</v>
      </c>
      <c r="F17" s="1">
        <f>IFERROR(__xludf.DUMMYFUNCTION("""COMPUTED_VALUE"""),43.0)</f>
        <v>43</v>
      </c>
      <c r="G17" s="1">
        <f>IFERROR(__xludf.DUMMYFUNCTION("""COMPUTED_VALUE"""),31.0)</f>
        <v>31</v>
      </c>
      <c r="H17" s="1">
        <f>IFERROR(__xludf.DUMMYFUNCTION("""COMPUTED_VALUE"""),0.7209302325581396)</f>
        <v>0.7209302326</v>
      </c>
    </row>
    <row r="18">
      <c r="A18" s="4" t="str">
        <f>IFERROR(__xludf.DUMMYFUNCTION("""COMPUTED_VALUE"""),"Frazer")</f>
        <v>Frazer</v>
      </c>
      <c r="B18" s="4">
        <f>IFERROR(__xludf.DUMMYFUNCTION("""COMPUTED_VALUE"""),27.2)</f>
        <v>27.2</v>
      </c>
      <c r="C18" s="4">
        <f>IFERROR(__xludf.DUMMYFUNCTION("""COMPUTED_VALUE"""),64.0)</f>
        <v>64</v>
      </c>
      <c r="D18" s="4">
        <f>IFERROR(__xludf.DUMMYFUNCTION("""COMPUTED_VALUE"""),91.2)</f>
        <v>91.2</v>
      </c>
      <c r="E18" s="4">
        <f>IFERROR(__xludf.DUMMYFUNCTION("""COMPUTED_VALUE"""),0.8)</f>
        <v>0.8</v>
      </c>
      <c r="F18" s="1">
        <f>IFERROR(__xludf.DUMMYFUNCTION("""COMPUTED_VALUE"""),38.0)</f>
        <v>38</v>
      </c>
      <c r="G18" s="1">
        <f>IFERROR(__xludf.DUMMYFUNCTION("""COMPUTED_VALUE"""),32.0)</f>
        <v>32</v>
      </c>
      <c r="H18" s="1">
        <f>IFERROR(__xludf.DUMMYFUNCTION("""COMPUTED_VALUE"""),0.8421052631578947)</f>
        <v>0.8421052632</v>
      </c>
    </row>
    <row r="19">
      <c r="A19" s="4" t="str">
        <f>IFERROR(__xludf.DUMMYFUNCTION("""COMPUTED_VALUE"""),"Clemens HS")</f>
        <v>Clemens HS</v>
      </c>
      <c r="B19" s="4">
        <f>IFERROR(__xludf.DUMMYFUNCTION("""COMPUTED_VALUE"""),31.0)</f>
        <v>31</v>
      </c>
      <c r="C19" s="4">
        <f>IFERROR(__xludf.DUMMYFUNCTION("""COMPUTED_VALUE"""),60.0)</f>
        <v>60</v>
      </c>
      <c r="D19" s="4">
        <f>IFERROR(__xludf.DUMMYFUNCTION("""COMPUTED_VALUE"""),91.0)</f>
        <v>91</v>
      </c>
      <c r="E19" s="4">
        <f>IFERROR(__xludf.DUMMYFUNCTION("""COMPUTED_VALUE"""),2.75)</f>
        <v>2.75</v>
      </c>
      <c r="F19" s="1">
        <f>IFERROR(__xludf.DUMMYFUNCTION("""COMPUTED_VALUE"""),42.0)</f>
        <v>42</v>
      </c>
      <c r="G19" s="1">
        <f>IFERROR(__xludf.DUMMYFUNCTION("""COMPUTED_VALUE"""),24.0)</f>
        <v>24</v>
      </c>
      <c r="H19" s="1">
        <f>IFERROR(__xludf.DUMMYFUNCTION("""COMPUTED_VALUE"""),0.5714285714285714)</f>
        <v>0.5714285714</v>
      </c>
    </row>
    <row r="20">
      <c r="A20" s="4" t="str">
        <f>IFERROR(__xludf.DUMMYFUNCTION("""COMPUTED_VALUE"""),"Eastlake HS")</f>
        <v>Eastlake HS</v>
      </c>
      <c r="B20" s="4">
        <f>IFERROR(__xludf.DUMMYFUNCTION("""COMPUTED_VALUE"""),26.4)</f>
        <v>26.4</v>
      </c>
      <c r="C20" s="4">
        <f>IFERROR(__xludf.DUMMYFUNCTION("""COMPUTED_VALUE"""),64.0)</f>
        <v>64</v>
      </c>
      <c r="D20" s="4">
        <f>IFERROR(__xludf.DUMMYFUNCTION("""COMPUTED_VALUE"""),90.4)</f>
        <v>90.4</v>
      </c>
      <c r="E20" s="4">
        <f>IFERROR(__xludf.DUMMYFUNCTION("""COMPUTED_VALUE"""),2.2)</f>
        <v>2.2</v>
      </c>
      <c r="F20" s="1">
        <f>IFERROR(__xludf.DUMMYFUNCTION("""COMPUTED_VALUE"""),44.0)</f>
        <v>44</v>
      </c>
      <c r="G20" s="1">
        <f>IFERROR(__xludf.DUMMYFUNCTION("""COMPUTED_VALUE"""),32.0)</f>
        <v>32</v>
      </c>
      <c r="H20" s="1">
        <f>IFERROR(__xludf.DUMMYFUNCTION("""COMPUTED_VALUE"""),0.7272727272727273)</f>
        <v>0.7272727273</v>
      </c>
    </row>
    <row r="21">
      <c r="A21" s="4" t="str">
        <f>IFERROR(__xludf.DUMMYFUNCTION("""COMPUTED_VALUE"""),"TJ")</f>
        <v>TJ</v>
      </c>
      <c r="B21" s="4">
        <f>IFERROR(__xludf.DUMMYFUNCTION("""COMPUTED_VALUE"""),32.0)</f>
        <v>32</v>
      </c>
      <c r="C21" s="4">
        <f>IFERROR(__xludf.DUMMYFUNCTION("""COMPUTED_VALUE"""),56.0)</f>
        <v>56</v>
      </c>
      <c r="D21" s="4">
        <f>IFERROR(__xludf.DUMMYFUNCTION("""COMPUTED_VALUE"""),88.0)</f>
        <v>88</v>
      </c>
      <c r="E21" s="4">
        <f>IFERROR(__xludf.DUMMYFUNCTION("""COMPUTED_VALUE"""),1.8)</f>
        <v>1.8</v>
      </c>
      <c r="F21" s="1">
        <f>IFERROR(__xludf.DUMMYFUNCTION("""COMPUTED_VALUE"""),49.0)</f>
        <v>49</v>
      </c>
      <c r="G21" s="1">
        <f>IFERROR(__xludf.DUMMYFUNCTION("""COMPUTED_VALUE"""),28.0)</f>
        <v>28</v>
      </c>
      <c r="H21" s="1">
        <f>IFERROR(__xludf.DUMMYFUNCTION("""COMPUTED_VALUE"""),0.5714285714285714)</f>
        <v>0.5714285714</v>
      </c>
    </row>
    <row r="22">
      <c r="A22" s="4" t="str">
        <f>IFERROR(__xludf.DUMMYFUNCTION("""COMPUTED_VALUE"""),"LeBroncos")</f>
        <v>LeBroncos</v>
      </c>
      <c r="B22" s="4">
        <f>IFERROR(__xludf.DUMMYFUNCTION("""COMPUTED_VALUE"""),24.0)</f>
        <v>24</v>
      </c>
      <c r="C22" s="4">
        <f>IFERROR(__xludf.DUMMYFUNCTION("""COMPUTED_VALUE"""),60.0)</f>
        <v>60</v>
      </c>
      <c r="D22" s="4">
        <f>IFERROR(__xludf.DUMMYFUNCTION("""COMPUTED_VALUE"""),84.0)</f>
        <v>84</v>
      </c>
      <c r="E22" s="4">
        <f>IFERROR(__xludf.DUMMYFUNCTION("""COMPUTED_VALUE"""),2.0)</f>
        <v>2</v>
      </c>
      <c r="F22" s="1">
        <f>IFERROR(__xludf.DUMMYFUNCTION("""COMPUTED_VALUE"""),40.0)</f>
        <v>40</v>
      </c>
      <c r="G22" s="1">
        <f>IFERROR(__xludf.DUMMYFUNCTION("""COMPUTED_VALUE"""),30.0)</f>
        <v>30</v>
      </c>
      <c r="H22" s="1">
        <f>IFERROR(__xludf.DUMMYFUNCTION("""COMPUTED_VALUE"""),0.75)</f>
        <v>0.75</v>
      </c>
    </row>
    <row r="23">
      <c r="A23" s="4" t="str">
        <f>IFERROR(__xludf.DUMMYFUNCTION("""COMPUTED_VALUE"""),"Palo Alto")</f>
        <v>Palo Alto</v>
      </c>
      <c r="B23" s="4">
        <f>IFERROR(__xludf.DUMMYFUNCTION("""COMPUTED_VALUE"""),29.6)</f>
        <v>29.6</v>
      </c>
      <c r="C23" s="4">
        <f>IFERROR(__xludf.DUMMYFUNCTION("""COMPUTED_VALUE"""),54.0)</f>
        <v>54</v>
      </c>
      <c r="D23" s="4">
        <f>IFERROR(__xludf.DUMMYFUNCTION("""COMPUTED_VALUE"""),83.6)</f>
        <v>83.6</v>
      </c>
      <c r="E23" s="4">
        <f>IFERROR(__xludf.DUMMYFUNCTION("""COMPUTED_VALUE"""),1.6)</f>
        <v>1.6</v>
      </c>
      <c r="F23" s="1">
        <f>IFERROR(__xludf.DUMMYFUNCTION("""COMPUTED_VALUE"""),45.0)</f>
        <v>45</v>
      </c>
      <c r="G23" s="1">
        <f>IFERROR(__xludf.DUMMYFUNCTION("""COMPUTED_VALUE"""),27.0)</f>
        <v>27</v>
      </c>
      <c r="H23" s="1">
        <f>IFERROR(__xludf.DUMMYFUNCTION("""COMPUTED_VALUE"""),0.6)</f>
        <v>0.6</v>
      </c>
    </row>
    <row r="24">
      <c r="A24" s="4" t="str">
        <f>IFERROR(__xludf.DUMMYFUNCTION("""COMPUTED_VALUE"""),"OCSA")</f>
        <v>OCSA</v>
      </c>
      <c r="B24" s="4">
        <f>IFERROR(__xludf.DUMMYFUNCTION("""COMPUTED_VALUE"""),29.6)</f>
        <v>29.6</v>
      </c>
      <c r="C24" s="4">
        <f>IFERROR(__xludf.DUMMYFUNCTION("""COMPUTED_VALUE"""),52.0)</f>
        <v>52</v>
      </c>
      <c r="D24" s="4">
        <f>IFERROR(__xludf.DUMMYFUNCTION("""COMPUTED_VALUE"""),81.6)</f>
        <v>81.6</v>
      </c>
      <c r="E24" s="4">
        <f>IFERROR(__xludf.DUMMYFUNCTION("""COMPUTED_VALUE"""),1.2)</f>
        <v>1.2</v>
      </c>
      <c r="F24" s="1">
        <f>IFERROR(__xludf.DUMMYFUNCTION("""COMPUTED_VALUE"""),43.0)</f>
        <v>43</v>
      </c>
      <c r="G24" s="1">
        <f>IFERROR(__xludf.DUMMYFUNCTION("""COMPUTED_VALUE"""),26.0)</f>
        <v>26</v>
      </c>
      <c r="H24" s="1">
        <f>IFERROR(__xludf.DUMMYFUNCTION("""COMPUTED_VALUE"""),0.6046511627906976)</f>
        <v>0.6046511628</v>
      </c>
    </row>
    <row r="25">
      <c r="A25" s="4" t="str">
        <f>IFERROR(__xludf.DUMMYFUNCTION("""COMPUTED_VALUE"""),"Mira Loma HS")</f>
        <v>Mira Loma HS</v>
      </c>
      <c r="B25" s="4">
        <f>IFERROR(__xludf.DUMMYFUNCTION("""COMPUTED_VALUE"""),33.0)</f>
        <v>33</v>
      </c>
      <c r="C25" s="4">
        <f>IFERROR(__xludf.DUMMYFUNCTION("""COMPUTED_VALUE"""),45.0)</f>
        <v>45</v>
      </c>
      <c r="D25" s="4">
        <f>IFERROR(__xludf.DUMMYFUNCTION("""COMPUTED_VALUE"""),78.0)</f>
        <v>78</v>
      </c>
      <c r="E25" s="4">
        <f>IFERROR(__xludf.DUMMYFUNCTION("""COMPUTED_VALUE"""),0.75)</f>
        <v>0.75</v>
      </c>
      <c r="F25" s="1">
        <f>IFERROR(__xludf.DUMMYFUNCTION("""COMPUTED_VALUE"""),36.0)</f>
        <v>36</v>
      </c>
      <c r="G25" s="1">
        <f>IFERROR(__xludf.DUMMYFUNCTION("""COMPUTED_VALUE"""),18.0)</f>
        <v>18</v>
      </c>
      <c r="H25" s="1">
        <f>IFERROR(__xludf.DUMMYFUNCTION("""COMPUTED_VALUE"""),0.5)</f>
        <v>0.5</v>
      </c>
    </row>
    <row r="26">
      <c r="A26" s="4" t="str">
        <f>IFERROR(__xludf.DUMMYFUNCTION("""COMPUTED_VALUE"""),"WWPS 2")</f>
        <v>WWPS 2</v>
      </c>
      <c r="B26" s="4">
        <f>IFERROR(__xludf.DUMMYFUNCTION("""COMPUTED_VALUE"""),28.0)</f>
        <v>28</v>
      </c>
      <c r="C26" s="4">
        <f>IFERROR(__xludf.DUMMYFUNCTION("""COMPUTED_VALUE"""),47.5)</f>
        <v>47.5</v>
      </c>
      <c r="D26" s="4">
        <f>IFERROR(__xludf.DUMMYFUNCTION("""COMPUTED_VALUE"""),75.5)</f>
        <v>75.5</v>
      </c>
      <c r="E26" s="4">
        <f>IFERROR(__xludf.DUMMYFUNCTION("""COMPUTED_VALUE"""),1.25)</f>
        <v>1.25</v>
      </c>
      <c r="F26" s="1">
        <f>IFERROR(__xludf.DUMMYFUNCTION("""COMPUTED_VALUE"""),33.0)</f>
        <v>33</v>
      </c>
      <c r="G26" s="1">
        <f>IFERROR(__xludf.DUMMYFUNCTION("""COMPUTED_VALUE"""),19.0)</f>
        <v>19</v>
      </c>
      <c r="H26" s="1">
        <f>IFERROR(__xludf.DUMMYFUNCTION("""COMPUTED_VALUE"""),0.5757575757575758)</f>
        <v>0.5757575758</v>
      </c>
    </row>
    <row r="27">
      <c r="A27" s="4" t="str">
        <f>IFERROR(__xludf.DUMMYFUNCTION("""COMPUTED_VALUE"""),"Arcadia 1")</f>
        <v>Arcadia 1</v>
      </c>
      <c r="B27" s="4">
        <f>IFERROR(__xludf.DUMMYFUNCTION("""COMPUTED_VALUE"""),27.2)</f>
        <v>27.2</v>
      </c>
      <c r="C27" s="4">
        <f>IFERROR(__xludf.DUMMYFUNCTION("""COMPUTED_VALUE"""),48.0)</f>
        <v>48</v>
      </c>
      <c r="D27" s="4">
        <f>IFERROR(__xludf.DUMMYFUNCTION("""COMPUTED_VALUE"""),75.2)</f>
        <v>75.2</v>
      </c>
      <c r="E27" s="4">
        <f>IFERROR(__xludf.DUMMYFUNCTION("""COMPUTED_VALUE"""),2.8)</f>
        <v>2.8</v>
      </c>
      <c r="F27" s="1">
        <f>IFERROR(__xludf.DUMMYFUNCTION("""COMPUTED_VALUE"""),48.0)</f>
        <v>48</v>
      </c>
      <c r="G27" s="1">
        <f>IFERROR(__xludf.DUMMYFUNCTION("""COMPUTED_VALUE"""),24.0)</f>
        <v>24</v>
      </c>
      <c r="H27" s="1">
        <f>IFERROR(__xludf.DUMMYFUNCTION("""COMPUTED_VALUE"""),0.5)</f>
        <v>0.5</v>
      </c>
    </row>
    <row r="28">
      <c r="A28" s="4" t="str">
        <f>IFERROR(__xludf.DUMMYFUNCTION("""COMPUTED_VALUE"""),"Chattahoochee HS")</f>
        <v>Chattahoochee HS</v>
      </c>
      <c r="B28" s="4">
        <f>IFERROR(__xludf.DUMMYFUNCTION("""COMPUTED_VALUE"""),27.2)</f>
        <v>27.2</v>
      </c>
      <c r="C28" s="4">
        <f>IFERROR(__xludf.DUMMYFUNCTION("""COMPUTED_VALUE"""),48.0)</f>
        <v>48</v>
      </c>
      <c r="D28" s="4">
        <f>IFERROR(__xludf.DUMMYFUNCTION("""COMPUTED_VALUE"""),75.2)</f>
        <v>75.2</v>
      </c>
      <c r="E28" s="4">
        <f>IFERROR(__xludf.DUMMYFUNCTION("""COMPUTED_VALUE"""),1.4)</f>
        <v>1.4</v>
      </c>
      <c r="F28" s="1">
        <f>IFERROR(__xludf.DUMMYFUNCTION("""COMPUTED_VALUE"""),41.0)</f>
        <v>41</v>
      </c>
      <c r="G28" s="1">
        <f>IFERROR(__xludf.DUMMYFUNCTION("""COMPUTED_VALUE"""),24.0)</f>
        <v>24</v>
      </c>
      <c r="H28" s="1">
        <f>IFERROR(__xludf.DUMMYFUNCTION("""COMPUTED_VALUE"""),0.5853658536585366)</f>
        <v>0.5853658537</v>
      </c>
    </row>
    <row r="29">
      <c r="A29" s="4" t="str">
        <f>IFERROR(__xludf.DUMMYFUNCTION("""COMPUTED_VALUE"""),"WWPS 1")</f>
        <v>WWPS 1</v>
      </c>
      <c r="B29" s="4">
        <f>IFERROR(__xludf.DUMMYFUNCTION("""COMPUTED_VALUE"""),15.2)</f>
        <v>15.2</v>
      </c>
      <c r="C29" s="4">
        <f>IFERROR(__xludf.DUMMYFUNCTION("""COMPUTED_VALUE"""),60.0)</f>
        <v>60</v>
      </c>
      <c r="D29" s="4">
        <f>IFERROR(__xludf.DUMMYFUNCTION("""COMPUTED_VALUE"""),75.2)</f>
        <v>75.2</v>
      </c>
      <c r="E29" s="4">
        <f>IFERROR(__xludf.DUMMYFUNCTION("""COMPUTED_VALUE"""),4.4)</f>
        <v>4.4</v>
      </c>
      <c r="F29" s="1">
        <f>IFERROR(__xludf.DUMMYFUNCTION("""COMPUTED_VALUE"""),41.0)</f>
        <v>41</v>
      </c>
      <c r="G29" s="1">
        <f>IFERROR(__xludf.DUMMYFUNCTION("""COMPUTED_VALUE"""),30.0)</f>
        <v>30</v>
      </c>
      <c r="H29" s="1">
        <f>IFERROR(__xludf.DUMMYFUNCTION("""COMPUTED_VALUE"""),0.7317073170731707)</f>
        <v>0.7317073171</v>
      </c>
    </row>
    <row r="30">
      <c r="A30" s="4" t="str">
        <f>IFERROR(__xludf.DUMMYFUNCTION("""COMPUTED_VALUE"""),"SciTech Dragons")</f>
        <v>SciTech Dragons</v>
      </c>
      <c r="B30" s="4">
        <f>IFERROR(__xludf.DUMMYFUNCTION("""COMPUTED_VALUE"""),25.0)</f>
        <v>25</v>
      </c>
      <c r="C30" s="4">
        <f>IFERROR(__xludf.DUMMYFUNCTION("""COMPUTED_VALUE"""),50.0)</f>
        <v>50</v>
      </c>
      <c r="D30" s="4">
        <f>IFERROR(__xludf.DUMMYFUNCTION("""COMPUTED_VALUE"""),75.0)</f>
        <v>75</v>
      </c>
      <c r="E30" s="4">
        <f>IFERROR(__xludf.DUMMYFUNCTION("""COMPUTED_VALUE"""),1.0)</f>
        <v>1</v>
      </c>
      <c r="F30" s="1">
        <f>IFERROR(__xludf.DUMMYFUNCTION("""COMPUTED_VALUE"""),29.0)</f>
        <v>29</v>
      </c>
      <c r="G30" s="1">
        <f>IFERROR(__xludf.DUMMYFUNCTION("""COMPUTED_VALUE"""),20.0)</f>
        <v>20</v>
      </c>
      <c r="H30" s="1">
        <f>IFERROR(__xludf.DUMMYFUNCTION("""COMPUTED_VALUE"""),0.689655172413793)</f>
        <v>0.6896551724</v>
      </c>
    </row>
    <row r="31">
      <c r="A31" s="4" t="str">
        <f>IFERROR(__xludf.DUMMYFUNCTION("""COMPUTED_VALUE"""),"Gunn Varsity")</f>
        <v>Gunn Varsity</v>
      </c>
      <c r="B31" s="4">
        <f>IFERROR(__xludf.DUMMYFUNCTION("""COMPUTED_VALUE"""),24.8)</f>
        <v>24.8</v>
      </c>
      <c r="C31" s="4">
        <f>IFERROR(__xludf.DUMMYFUNCTION("""COMPUTED_VALUE"""),40.0)</f>
        <v>40</v>
      </c>
      <c r="D31" s="4">
        <f>IFERROR(__xludf.DUMMYFUNCTION("""COMPUTED_VALUE"""),64.8)</f>
        <v>64.8</v>
      </c>
      <c r="E31" s="4">
        <f>IFERROR(__xludf.DUMMYFUNCTION("""COMPUTED_VALUE"""),1.2)</f>
        <v>1.2</v>
      </c>
      <c r="F31" s="1">
        <f>IFERROR(__xludf.DUMMYFUNCTION("""COMPUTED_VALUE"""),37.0)</f>
        <v>37</v>
      </c>
      <c r="G31" s="1">
        <f>IFERROR(__xludf.DUMMYFUNCTION("""COMPUTED_VALUE"""),20.0)</f>
        <v>20</v>
      </c>
      <c r="H31" s="1">
        <f>IFERROR(__xludf.DUMMYFUNCTION("""COMPUTED_VALUE"""),0.5405405405405406)</f>
        <v>0.5405405405</v>
      </c>
    </row>
    <row r="32">
      <c r="A32" s="4" t="str">
        <f>IFERROR(__xludf.DUMMYFUNCTION("""COMPUTED_VALUE"""),"Whitney Young")</f>
        <v>Whitney Young</v>
      </c>
      <c r="B32" s="4">
        <f>IFERROR(__xludf.DUMMYFUNCTION("""COMPUTED_VALUE"""),20.8)</f>
        <v>20.8</v>
      </c>
      <c r="C32" s="4">
        <f>IFERROR(__xludf.DUMMYFUNCTION("""COMPUTED_VALUE"""),44.0)</f>
        <v>44</v>
      </c>
      <c r="D32" s="4">
        <f>IFERROR(__xludf.DUMMYFUNCTION("""COMPUTED_VALUE"""),64.8)</f>
        <v>64.8</v>
      </c>
      <c r="E32" s="4">
        <f>IFERROR(__xludf.DUMMYFUNCTION("""COMPUTED_VALUE"""),1.8)</f>
        <v>1.8</v>
      </c>
      <c r="F32" s="1">
        <f>IFERROR(__xludf.DUMMYFUNCTION("""COMPUTED_VALUE"""),35.0)</f>
        <v>35</v>
      </c>
      <c r="G32" s="1">
        <f>IFERROR(__xludf.DUMMYFUNCTION("""COMPUTED_VALUE"""),22.0)</f>
        <v>22</v>
      </c>
      <c r="H32" s="1">
        <f>IFERROR(__xludf.DUMMYFUNCTION("""COMPUTED_VALUE"""),0.6285714285714286)</f>
        <v>0.6285714286</v>
      </c>
    </row>
    <row r="33">
      <c r="A33" s="4" t="str">
        <f>IFERROR(__xludf.DUMMYFUNCTION("""COMPUTED_VALUE"""),"Collierville")</f>
        <v>Collierville</v>
      </c>
      <c r="B33" s="4">
        <f>IFERROR(__xludf.DUMMYFUNCTION("""COMPUTED_VALUE"""),22.4)</f>
        <v>22.4</v>
      </c>
      <c r="C33" s="4">
        <f>IFERROR(__xludf.DUMMYFUNCTION("""COMPUTED_VALUE"""),42.0)</f>
        <v>42</v>
      </c>
      <c r="D33" s="4">
        <f>IFERROR(__xludf.DUMMYFUNCTION("""COMPUTED_VALUE"""),64.4)</f>
        <v>64.4</v>
      </c>
      <c r="E33" s="4">
        <f>IFERROR(__xludf.DUMMYFUNCTION("""COMPUTED_VALUE"""),2.6)</f>
        <v>2.6</v>
      </c>
      <c r="F33" s="1">
        <f>IFERROR(__xludf.DUMMYFUNCTION("""COMPUTED_VALUE"""),41.0)</f>
        <v>41</v>
      </c>
      <c r="G33" s="1">
        <f>IFERROR(__xludf.DUMMYFUNCTION("""COMPUTED_VALUE"""),21.0)</f>
        <v>21</v>
      </c>
      <c r="H33" s="1">
        <f>IFERROR(__xludf.DUMMYFUNCTION("""COMPUTED_VALUE"""),0.5121951219512195)</f>
        <v>0.512195122</v>
      </c>
    </row>
    <row r="34">
      <c r="A34" s="4" t="str">
        <f>IFERROR(__xludf.DUMMYFUNCTION("""COMPUTED_VALUE"""),"Plano West")</f>
        <v>Plano West</v>
      </c>
      <c r="B34" s="4">
        <f>IFERROR(__xludf.DUMMYFUNCTION("""COMPUTED_VALUE"""),24.0)</f>
        <v>24</v>
      </c>
      <c r="C34" s="4">
        <f>IFERROR(__xludf.DUMMYFUNCTION("""COMPUTED_VALUE"""),40.0)</f>
        <v>40</v>
      </c>
      <c r="D34" s="4">
        <f>IFERROR(__xludf.DUMMYFUNCTION("""COMPUTED_VALUE"""),64.0)</f>
        <v>64</v>
      </c>
      <c r="E34" s="4">
        <f>IFERROR(__xludf.DUMMYFUNCTION("""COMPUTED_VALUE"""),1.0)</f>
        <v>1</v>
      </c>
      <c r="F34" s="1">
        <f>IFERROR(__xludf.DUMMYFUNCTION("""COMPUTED_VALUE"""),28.0)</f>
        <v>28</v>
      </c>
      <c r="G34" s="1">
        <f>IFERROR(__xludf.DUMMYFUNCTION("""COMPUTED_VALUE"""),16.0)</f>
        <v>16</v>
      </c>
      <c r="H34" s="1">
        <f>IFERROR(__xludf.DUMMYFUNCTION("""COMPUTED_VALUE"""),0.5714285714285714)</f>
        <v>0.5714285714</v>
      </c>
    </row>
    <row r="35">
      <c r="A35" s="4" t="str">
        <f>IFERROR(__xludf.DUMMYFUNCTION("""COMPUTED_VALUE"""),"Seven Lakes")</f>
        <v>Seven Lakes</v>
      </c>
      <c r="B35" s="4">
        <f>IFERROR(__xludf.DUMMYFUNCTION("""COMPUTED_VALUE"""),21.6)</f>
        <v>21.6</v>
      </c>
      <c r="C35" s="4">
        <f>IFERROR(__xludf.DUMMYFUNCTION("""COMPUTED_VALUE"""),42.0)</f>
        <v>42</v>
      </c>
      <c r="D35" s="4">
        <f>IFERROR(__xludf.DUMMYFUNCTION("""COMPUTED_VALUE"""),63.6)</f>
        <v>63.6</v>
      </c>
      <c r="E35" s="4">
        <f>IFERROR(__xludf.DUMMYFUNCTION("""COMPUTED_VALUE"""),1.2)</f>
        <v>1.2</v>
      </c>
      <c r="F35" s="1">
        <f>IFERROR(__xludf.DUMMYFUNCTION("""COMPUTED_VALUE"""),33.0)</f>
        <v>33</v>
      </c>
      <c r="G35" s="1">
        <f>IFERROR(__xludf.DUMMYFUNCTION("""COMPUTED_VALUE"""),21.0)</f>
        <v>21</v>
      </c>
      <c r="H35" s="1">
        <f>IFERROR(__xludf.DUMMYFUNCTION("""COMPUTED_VALUE"""),0.6363636363636364)</f>
        <v>0.6363636364</v>
      </c>
    </row>
    <row r="36">
      <c r="A36" s="4" t="str">
        <f>IFERROR(__xludf.DUMMYFUNCTION("""COMPUTED_VALUE"""),"NoHo 2")</f>
        <v>NoHo 2</v>
      </c>
      <c r="B36" s="4">
        <f>IFERROR(__xludf.DUMMYFUNCTION("""COMPUTED_VALUE"""),20.0)</f>
        <v>20</v>
      </c>
      <c r="C36" s="4">
        <f>IFERROR(__xludf.DUMMYFUNCTION("""COMPUTED_VALUE"""),40.0)</f>
        <v>40</v>
      </c>
      <c r="D36" s="4">
        <f>IFERROR(__xludf.DUMMYFUNCTION("""COMPUTED_VALUE"""),60.0)</f>
        <v>60</v>
      </c>
      <c r="E36" s="4">
        <f>IFERROR(__xludf.DUMMYFUNCTION("""COMPUTED_VALUE"""),3.2)</f>
        <v>3.2</v>
      </c>
      <c r="F36" s="1">
        <f>IFERROR(__xludf.DUMMYFUNCTION("""COMPUTED_VALUE"""),41.0)</f>
        <v>41</v>
      </c>
      <c r="G36" s="1">
        <f>IFERROR(__xludf.DUMMYFUNCTION("""COMPUTED_VALUE"""),20.0)</f>
        <v>20</v>
      </c>
      <c r="H36" s="1">
        <f>IFERROR(__xludf.DUMMYFUNCTION("""COMPUTED_VALUE"""),0.4878048780487805)</f>
        <v>0.487804878</v>
      </c>
    </row>
    <row r="37">
      <c r="A37" s="4" t="str">
        <f>IFERROR(__xludf.DUMMYFUNCTION("""COMPUTED_VALUE"""),"VMATHs")</f>
        <v>VMATHs</v>
      </c>
      <c r="B37" s="4">
        <f>IFERROR(__xludf.DUMMYFUNCTION("""COMPUTED_VALUE"""),26.666666666666668)</f>
        <v>26.66666667</v>
      </c>
      <c r="C37" s="4">
        <f>IFERROR(__xludf.DUMMYFUNCTION("""COMPUTED_VALUE"""),33.333333333333336)</f>
        <v>33.33333333</v>
      </c>
      <c r="D37" s="4">
        <f>IFERROR(__xludf.DUMMYFUNCTION("""COMPUTED_VALUE"""),60.0)</f>
        <v>60</v>
      </c>
      <c r="E37" s="4">
        <f>IFERROR(__xludf.DUMMYFUNCTION("""COMPUTED_VALUE"""),1.3333333333333333)</f>
        <v>1.333333333</v>
      </c>
      <c r="F37" s="1">
        <f>IFERROR(__xludf.DUMMYFUNCTION("""COMPUTED_VALUE"""),24.0)</f>
        <v>24</v>
      </c>
      <c r="G37" s="1">
        <f>IFERROR(__xludf.DUMMYFUNCTION("""COMPUTED_VALUE"""),10.0)</f>
        <v>10</v>
      </c>
      <c r="H37" s="1">
        <f>IFERROR(__xludf.DUMMYFUNCTION("""COMPUTED_VALUE"""),0.4166666666666667)</f>
        <v>0.4166666667</v>
      </c>
    </row>
    <row r="38">
      <c r="A38" s="4" t="str">
        <f>IFERROR(__xludf.DUMMYFUNCTION("""COMPUTED_VALUE"""),"American Heritage Broward")</f>
        <v>American Heritage Broward</v>
      </c>
      <c r="B38" s="4">
        <f>IFERROR(__xludf.DUMMYFUNCTION("""COMPUTED_VALUE"""),21.6)</f>
        <v>21.6</v>
      </c>
      <c r="C38" s="4">
        <f>IFERROR(__xludf.DUMMYFUNCTION("""COMPUTED_VALUE"""),36.0)</f>
        <v>36</v>
      </c>
      <c r="D38" s="4">
        <f>IFERROR(__xludf.DUMMYFUNCTION("""COMPUTED_VALUE"""),57.6)</f>
        <v>57.6</v>
      </c>
      <c r="E38" s="4">
        <f>IFERROR(__xludf.DUMMYFUNCTION("""COMPUTED_VALUE"""),2.0)</f>
        <v>2</v>
      </c>
      <c r="F38" s="1">
        <f>IFERROR(__xludf.DUMMYFUNCTION("""COMPUTED_VALUE"""),37.0)</f>
        <v>37</v>
      </c>
      <c r="G38" s="1">
        <f>IFERROR(__xludf.DUMMYFUNCTION("""COMPUTED_VALUE"""),18.0)</f>
        <v>18</v>
      </c>
      <c r="H38" s="1">
        <f>IFERROR(__xludf.DUMMYFUNCTION("""COMPUTED_VALUE"""),0.4864864864864865)</f>
        <v>0.4864864865</v>
      </c>
    </row>
    <row r="39">
      <c r="A39" s="4" t="str">
        <f>IFERROR(__xludf.DUMMYFUNCTION("""COMPUTED_VALUE"""),"Lexington")</f>
        <v>Lexington</v>
      </c>
      <c r="B39" s="4">
        <f>IFERROR(__xludf.DUMMYFUNCTION("""COMPUTED_VALUE"""),19.2)</f>
        <v>19.2</v>
      </c>
      <c r="C39" s="4">
        <f>IFERROR(__xludf.DUMMYFUNCTION("""COMPUTED_VALUE"""),38.0)</f>
        <v>38</v>
      </c>
      <c r="D39" s="4">
        <f>IFERROR(__xludf.DUMMYFUNCTION("""COMPUTED_VALUE"""),57.2)</f>
        <v>57.2</v>
      </c>
      <c r="E39" s="4">
        <f>IFERROR(__xludf.DUMMYFUNCTION("""COMPUTED_VALUE"""),2.8)</f>
        <v>2.8</v>
      </c>
      <c r="F39" s="1">
        <f>IFERROR(__xludf.DUMMYFUNCTION("""COMPUTED_VALUE"""),38.0)</f>
        <v>38</v>
      </c>
      <c r="G39" s="1">
        <f>IFERROR(__xludf.DUMMYFUNCTION("""COMPUTED_VALUE"""),19.0)</f>
        <v>19</v>
      </c>
      <c r="H39" s="1">
        <f>IFERROR(__xludf.DUMMYFUNCTION("""COMPUTED_VALUE"""),0.5)</f>
        <v>0.5</v>
      </c>
    </row>
    <row r="40">
      <c r="A40" s="4" t="str">
        <f>IFERROR(__xludf.DUMMYFUNCTION("""COMPUTED_VALUE"""),"Timberline")</f>
        <v>Timberline</v>
      </c>
      <c r="B40" s="4">
        <f>IFERROR(__xludf.DUMMYFUNCTION("""COMPUTED_VALUE"""),28.0)</f>
        <v>28</v>
      </c>
      <c r="C40" s="4">
        <f>IFERROR(__xludf.DUMMYFUNCTION("""COMPUTED_VALUE"""),28.0)</f>
        <v>28</v>
      </c>
      <c r="D40" s="4">
        <f>IFERROR(__xludf.DUMMYFUNCTION("""COMPUTED_VALUE"""),56.0)</f>
        <v>56</v>
      </c>
      <c r="E40" s="4">
        <f>IFERROR(__xludf.DUMMYFUNCTION("""COMPUTED_VALUE"""),1.0)</f>
        <v>1</v>
      </c>
      <c r="F40" s="1">
        <f>IFERROR(__xludf.DUMMYFUNCTION("""COMPUTED_VALUE"""),40.0)</f>
        <v>40</v>
      </c>
      <c r="G40" s="1">
        <f>IFERROR(__xludf.DUMMYFUNCTION("""COMPUTED_VALUE"""),14.0)</f>
        <v>14</v>
      </c>
      <c r="H40" s="1">
        <f>IFERROR(__xludf.DUMMYFUNCTION("""COMPUTED_VALUE"""),0.35)</f>
        <v>0.35</v>
      </c>
    </row>
    <row r="41">
      <c r="A41" s="4" t="str">
        <f>IFERROR(__xludf.DUMMYFUNCTION("""COMPUTED_VALUE"""),"Princeton HS")</f>
        <v>Princeton HS</v>
      </c>
      <c r="B41" s="4">
        <f>IFERROR(__xludf.DUMMYFUNCTION("""COMPUTED_VALUE"""),22.4)</f>
        <v>22.4</v>
      </c>
      <c r="C41" s="4">
        <f>IFERROR(__xludf.DUMMYFUNCTION("""COMPUTED_VALUE"""),30.0)</f>
        <v>30</v>
      </c>
      <c r="D41" s="4">
        <f>IFERROR(__xludf.DUMMYFUNCTION("""COMPUTED_VALUE"""),52.4)</f>
        <v>52.4</v>
      </c>
      <c r="E41" s="4">
        <f>IFERROR(__xludf.DUMMYFUNCTION("""COMPUTED_VALUE"""),0.4)</f>
        <v>0.4</v>
      </c>
      <c r="F41" s="1">
        <f>IFERROR(__xludf.DUMMYFUNCTION("""COMPUTED_VALUE"""),30.0)</f>
        <v>30</v>
      </c>
      <c r="G41" s="1">
        <f>IFERROR(__xludf.DUMMYFUNCTION("""COMPUTED_VALUE"""),15.0)</f>
        <v>15</v>
      </c>
      <c r="H41" s="1">
        <f>IFERROR(__xludf.DUMMYFUNCTION("""COMPUTED_VALUE"""),0.5)</f>
        <v>0.5</v>
      </c>
    </row>
    <row r="42">
      <c r="A42" s="4" t="str">
        <f>IFERROR(__xludf.DUMMYFUNCTION("""COMPUTED_VALUE"""),"Niskayuna HS")</f>
        <v>Niskayuna HS</v>
      </c>
      <c r="B42" s="4">
        <f>IFERROR(__xludf.DUMMYFUNCTION("""COMPUTED_VALUE"""),18.4)</f>
        <v>18.4</v>
      </c>
      <c r="C42" s="4">
        <f>IFERROR(__xludf.DUMMYFUNCTION("""COMPUTED_VALUE"""),30.0)</f>
        <v>30</v>
      </c>
      <c r="D42" s="4">
        <f>IFERROR(__xludf.DUMMYFUNCTION("""COMPUTED_VALUE"""),48.4)</f>
        <v>48.4</v>
      </c>
      <c r="E42" s="4">
        <f>IFERROR(__xludf.DUMMYFUNCTION("""COMPUTED_VALUE"""),2.2)</f>
        <v>2.2</v>
      </c>
      <c r="F42" s="1">
        <f>IFERROR(__xludf.DUMMYFUNCTION("""COMPUTED_VALUE"""),34.0)</f>
        <v>34</v>
      </c>
      <c r="G42" s="1">
        <f>IFERROR(__xludf.DUMMYFUNCTION("""COMPUTED_VALUE"""),15.0)</f>
        <v>15</v>
      </c>
      <c r="H42" s="1">
        <f>IFERROR(__xludf.DUMMYFUNCTION("""COMPUTED_VALUE"""),0.44117647058823534)</f>
        <v>0.4411764706</v>
      </c>
    </row>
    <row r="43">
      <c r="A43" s="4" t="str">
        <f>IFERROR(__xludf.DUMMYFUNCTION("""COMPUTED_VALUE"""),"State College Area")</f>
        <v>State College Area</v>
      </c>
      <c r="B43" s="4">
        <f>IFERROR(__xludf.DUMMYFUNCTION("""COMPUTED_VALUE"""),13.6)</f>
        <v>13.6</v>
      </c>
      <c r="C43" s="4">
        <f>IFERROR(__xludf.DUMMYFUNCTION("""COMPUTED_VALUE"""),34.0)</f>
        <v>34</v>
      </c>
      <c r="D43" s="4">
        <f>IFERROR(__xludf.DUMMYFUNCTION("""COMPUTED_VALUE"""),47.6)</f>
        <v>47.6</v>
      </c>
      <c r="E43" s="4">
        <f>IFERROR(__xludf.DUMMYFUNCTION("""COMPUTED_VALUE"""),2.6)</f>
        <v>2.6</v>
      </c>
      <c r="F43" s="1">
        <f>IFERROR(__xludf.DUMMYFUNCTION("""COMPUTED_VALUE"""),30.0)</f>
        <v>30</v>
      </c>
      <c r="G43" s="1">
        <f>IFERROR(__xludf.DUMMYFUNCTION("""COMPUTED_VALUE"""),17.0)</f>
        <v>17</v>
      </c>
      <c r="H43" s="1">
        <f>IFERROR(__xludf.DUMMYFUNCTION("""COMPUTED_VALUE"""),0.5666666666666667)</f>
        <v>0.5666666667</v>
      </c>
    </row>
    <row r="44">
      <c r="A44" s="4" t="str">
        <f>IFERROR(__xludf.DUMMYFUNCTION("""COMPUTED_VALUE"""),"The Outliers")</f>
        <v>The Outliers</v>
      </c>
      <c r="B44" s="4">
        <f>IFERROR(__xludf.DUMMYFUNCTION("""COMPUTED_VALUE"""),19.2)</f>
        <v>19.2</v>
      </c>
      <c r="C44" s="4">
        <f>IFERROR(__xludf.DUMMYFUNCTION("""COMPUTED_VALUE"""),28.0)</f>
        <v>28</v>
      </c>
      <c r="D44" s="4">
        <f>IFERROR(__xludf.DUMMYFUNCTION("""COMPUTED_VALUE"""),47.2)</f>
        <v>47.2</v>
      </c>
      <c r="E44" s="4">
        <f>IFERROR(__xludf.DUMMYFUNCTION("""COMPUTED_VALUE"""),1.8)</f>
        <v>1.8</v>
      </c>
      <c r="F44" s="1">
        <f>IFERROR(__xludf.DUMMYFUNCTION("""COMPUTED_VALUE"""),33.0)</f>
        <v>33</v>
      </c>
      <c r="G44" s="1">
        <f>IFERROR(__xludf.DUMMYFUNCTION("""COMPUTED_VALUE"""),14.0)</f>
        <v>14</v>
      </c>
      <c r="H44" s="1">
        <f>IFERROR(__xludf.DUMMYFUNCTION("""COMPUTED_VALUE"""),0.4242424242424242)</f>
        <v>0.4242424242</v>
      </c>
    </row>
    <row r="45">
      <c r="A45" s="4" t="str">
        <f>IFERROR(__xludf.DUMMYFUNCTION("""COMPUTED_VALUE"""),"College Park")</f>
        <v>College Park</v>
      </c>
      <c r="B45" s="4">
        <f>IFERROR(__xludf.DUMMYFUNCTION("""COMPUTED_VALUE"""),20.0)</f>
        <v>20</v>
      </c>
      <c r="C45" s="4">
        <f>IFERROR(__xludf.DUMMYFUNCTION("""COMPUTED_VALUE"""),26.0)</f>
        <v>26</v>
      </c>
      <c r="D45" s="4">
        <f>IFERROR(__xludf.DUMMYFUNCTION("""COMPUTED_VALUE"""),46.0)</f>
        <v>46</v>
      </c>
      <c r="E45" s="4">
        <f>IFERROR(__xludf.DUMMYFUNCTION("""COMPUTED_VALUE"""),1.8)</f>
        <v>1.8</v>
      </c>
      <c r="F45" s="1">
        <f>IFERROR(__xludf.DUMMYFUNCTION("""COMPUTED_VALUE"""),34.0)</f>
        <v>34</v>
      </c>
      <c r="G45" s="1">
        <f>IFERROR(__xludf.DUMMYFUNCTION("""COMPUTED_VALUE"""),13.0)</f>
        <v>13</v>
      </c>
      <c r="H45" s="1">
        <f>IFERROR(__xludf.DUMMYFUNCTION("""COMPUTED_VALUE"""),0.3823529411764706)</f>
        <v>0.3823529412</v>
      </c>
    </row>
    <row r="46">
      <c r="A46" s="4" t="str">
        <f>IFERROR(__xludf.DUMMYFUNCTION("""COMPUTED_VALUE"""),"The Catalysts")</f>
        <v>The Catalysts</v>
      </c>
      <c r="B46" s="4">
        <f>IFERROR(__xludf.DUMMYFUNCTION("""COMPUTED_VALUE"""),20.0)</f>
        <v>20</v>
      </c>
      <c r="C46" s="4">
        <f>IFERROR(__xludf.DUMMYFUNCTION("""COMPUTED_VALUE"""),26.0)</f>
        <v>26</v>
      </c>
      <c r="D46" s="4">
        <f>IFERROR(__xludf.DUMMYFUNCTION("""COMPUTED_VALUE"""),46.0)</f>
        <v>46</v>
      </c>
      <c r="E46" s="4">
        <f>IFERROR(__xludf.DUMMYFUNCTION("""COMPUTED_VALUE"""),0.8)</f>
        <v>0.8</v>
      </c>
      <c r="F46" s="1">
        <f>IFERROR(__xludf.DUMMYFUNCTION("""COMPUTED_VALUE"""),29.0)</f>
        <v>29</v>
      </c>
      <c r="G46" s="1">
        <f>IFERROR(__xludf.DUMMYFUNCTION("""COMPUTED_VALUE"""),13.0)</f>
        <v>13</v>
      </c>
      <c r="H46" s="1">
        <f>IFERROR(__xludf.DUMMYFUNCTION("""COMPUTED_VALUE"""),0.44827586206896547)</f>
        <v>0.4482758621</v>
      </c>
    </row>
    <row r="47">
      <c r="A47" s="4" t="str">
        <f>IFERROR(__xludf.DUMMYFUNCTION("""COMPUTED_VALUE"""),"Harvard-Westlake")</f>
        <v>Harvard-Westlake</v>
      </c>
      <c r="B47" s="4">
        <f>IFERROR(__xludf.DUMMYFUNCTION("""COMPUTED_VALUE"""),21.6)</f>
        <v>21.6</v>
      </c>
      <c r="C47" s="4">
        <f>IFERROR(__xludf.DUMMYFUNCTION("""COMPUTED_VALUE"""),24.0)</f>
        <v>24</v>
      </c>
      <c r="D47" s="4">
        <f>IFERROR(__xludf.DUMMYFUNCTION("""COMPUTED_VALUE"""),45.6)</f>
        <v>45.6</v>
      </c>
      <c r="E47" s="4">
        <f>IFERROR(__xludf.DUMMYFUNCTION("""COMPUTED_VALUE"""),0.4)</f>
        <v>0.4</v>
      </c>
      <c r="F47" s="1">
        <f>IFERROR(__xludf.DUMMYFUNCTION("""COMPUTED_VALUE"""),29.0)</f>
        <v>29</v>
      </c>
      <c r="G47" s="1">
        <f>IFERROR(__xludf.DUMMYFUNCTION("""COMPUTED_VALUE"""),12.0)</f>
        <v>12</v>
      </c>
      <c r="H47" s="1">
        <f>IFERROR(__xludf.DUMMYFUNCTION("""COMPUTED_VALUE"""),0.4137931034482759)</f>
        <v>0.4137931034</v>
      </c>
    </row>
    <row r="48">
      <c r="A48" s="4" t="str">
        <f>IFERROR(__xludf.DUMMYFUNCTION("""COMPUTED_VALUE"""),"BISV 2")</f>
        <v>BISV 2</v>
      </c>
      <c r="B48" s="4">
        <f>IFERROR(__xludf.DUMMYFUNCTION("""COMPUTED_VALUE"""),16.8)</f>
        <v>16.8</v>
      </c>
      <c r="C48" s="4">
        <f>IFERROR(__xludf.DUMMYFUNCTION("""COMPUTED_VALUE"""),28.0)</f>
        <v>28</v>
      </c>
      <c r="D48" s="4">
        <f>IFERROR(__xludf.DUMMYFUNCTION("""COMPUTED_VALUE"""),44.8)</f>
        <v>44.8</v>
      </c>
      <c r="E48" s="4">
        <f>IFERROR(__xludf.DUMMYFUNCTION("""COMPUTED_VALUE"""),1.8)</f>
        <v>1.8</v>
      </c>
      <c r="F48" s="1">
        <f>IFERROR(__xludf.DUMMYFUNCTION("""COMPUTED_VALUE"""),30.0)</f>
        <v>30</v>
      </c>
      <c r="G48" s="1">
        <f>IFERROR(__xludf.DUMMYFUNCTION("""COMPUTED_VALUE"""),14.0)</f>
        <v>14</v>
      </c>
      <c r="H48" s="1">
        <f>IFERROR(__xludf.DUMMYFUNCTION("""COMPUTED_VALUE"""),0.4666666666666667)</f>
        <v>0.4666666667</v>
      </c>
    </row>
    <row r="49">
      <c r="A49" s="4" t="str">
        <f>IFERROR(__xludf.DUMMYFUNCTION("""COMPUTED_VALUE"""),"Synthase")</f>
        <v>Synthase</v>
      </c>
      <c r="B49" s="4">
        <f>IFERROR(__xludf.DUMMYFUNCTION("""COMPUTED_VALUE"""),24.8)</f>
        <v>24.8</v>
      </c>
      <c r="C49" s="4">
        <f>IFERROR(__xludf.DUMMYFUNCTION("""COMPUTED_VALUE"""),18.0)</f>
        <v>18</v>
      </c>
      <c r="D49" s="4">
        <f>IFERROR(__xludf.DUMMYFUNCTION("""COMPUTED_VALUE"""),42.8)</f>
        <v>42.8</v>
      </c>
      <c r="E49" s="4">
        <f>IFERROR(__xludf.DUMMYFUNCTION("""COMPUTED_VALUE"""),0.0)</f>
        <v>0</v>
      </c>
      <c r="F49" s="1">
        <f>IFERROR(__xludf.DUMMYFUNCTION("""COMPUTED_VALUE"""),31.0)</f>
        <v>31</v>
      </c>
      <c r="G49" s="1">
        <f>IFERROR(__xludf.DUMMYFUNCTION("""COMPUTED_VALUE"""),9.0)</f>
        <v>9</v>
      </c>
      <c r="H49" s="1">
        <f>IFERROR(__xludf.DUMMYFUNCTION("""COMPUTED_VALUE"""),0.2903225806451613)</f>
        <v>0.2903225806</v>
      </c>
    </row>
    <row r="50">
      <c r="A50" s="4" t="str">
        <f>IFERROR(__xludf.DUMMYFUNCTION("""COMPUTED_VALUE"""),"Green Hope HS")</f>
        <v>Green Hope HS</v>
      </c>
      <c r="B50" s="4">
        <f>IFERROR(__xludf.DUMMYFUNCTION("""COMPUTED_VALUE"""),15.2)</f>
        <v>15.2</v>
      </c>
      <c r="C50" s="4">
        <f>IFERROR(__xludf.DUMMYFUNCTION("""COMPUTED_VALUE"""),26.0)</f>
        <v>26</v>
      </c>
      <c r="D50" s="4">
        <f>IFERROR(__xludf.DUMMYFUNCTION("""COMPUTED_VALUE"""),41.2)</f>
        <v>41.2</v>
      </c>
      <c r="E50" s="4">
        <f>IFERROR(__xludf.DUMMYFUNCTION("""COMPUTED_VALUE"""),1.0)</f>
        <v>1</v>
      </c>
      <c r="F50" s="1">
        <f>IFERROR(__xludf.DUMMYFUNCTION("""COMPUTED_VALUE"""),24.0)</f>
        <v>24</v>
      </c>
      <c r="G50" s="1">
        <f>IFERROR(__xludf.DUMMYFUNCTION("""COMPUTED_VALUE"""),13.0)</f>
        <v>13</v>
      </c>
      <c r="H50" s="1">
        <f>IFERROR(__xludf.DUMMYFUNCTION("""COMPUTED_VALUE"""),0.5416666666666667)</f>
        <v>0.5416666667</v>
      </c>
    </row>
    <row r="51">
      <c r="A51" s="4" t="str">
        <f>IFERROR(__xludf.DUMMYFUNCTION("""COMPUTED_VALUE"""),"Phoenix")</f>
        <v>Phoenix</v>
      </c>
      <c r="B51" s="4">
        <f>IFERROR(__xludf.DUMMYFUNCTION("""COMPUTED_VALUE"""),13.6)</f>
        <v>13.6</v>
      </c>
      <c r="C51" s="4">
        <f>IFERROR(__xludf.DUMMYFUNCTION("""COMPUTED_VALUE"""),26.0)</f>
        <v>26</v>
      </c>
      <c r="D51" s="4">
        <f>IFERROR(__xludf.DUMMYFUNCTION("""COMPUTED_VALUE"""),39.6)</f>
        <v>39.6</v>
      </c>
      <c r="E51" s="4">
        <f>IFERROR(__xludf.DUMMYFUNCTION("""COMPUTED_VALUE"""),2.6)</f>
        <v>2.6</v>
      </c>
      <c r="F51" s="1">
        <f>IFERROR(__xludf.DUMMYFUNCTION("""COMPUTED_VALUE"""),30.0)</f>
        <v>30</v>
      </c>
      <c r="G51" s="1">
        <f>IFERROR(__xludf.DUMMYFUNCTION("""COMPUTED_VALUE"""),13.0)</f>
        <v>13</v>
      </c>
      <c r="H51" s="1">
        <f>IFERROR(__xludf.DUMMYFUNCTION("""COMPUTED_VALUE"""),0.4333333333333333)</f>
        <v>0.4333333333</v>
      </c>
    </row>
    <row r="52">
      <c r="A52" s="4" t="str">
        <f>IFERROR(__xludf.DUMMYFUNCTION("""COMPUTED_VALUE"""),"Arcadia 2")</f>
        <v>Arcadia 2</v>
      </c>
      <c r="B52" s="4">
        <f>IFERROR(__xludf.DUMMYFUNCTION("""COMPUTED_VALUE"""),24.0)</f>
        <v>24</v>
      </c>
      <c r="C52" s="4">
        <f>IFERROR(__xludf.DUMMYFUNCTION("""COMPUTED_VALUE"""),14.0)</f>
        <v>14</v>
      </c>
      <c r="D52" s="4">
        <f>IFERROR(__xludf.DUMMYFUNCTION("""COMPUTED_VALUE"""),38.0)</f>
        <v>38</v>
      </c>
      <c r="E52" s="4">
        <f>IFERROR(__xludf.DUMMYFUNCTION("""COMPUTED_VALUE"""),0.6)</f>
        <v>0.6</v>
      </c>
      <c r="F52" s="1">
        <f>IFERROR(__xludf.DUMMYFUNCTION("""COMPUTED_VALUE"""),33.0)</f>
        <v>33</v>
      </c>
      <c r="G52" s="1">
        <f>IFERROR(__xludf.DUMMYFUNCTION("""COMPUTED_VALUE"""),7.0)</f>
        <v>7</v>
      </c>
      <c r="H52" s="1">
        <f>IFERROR(__xludf.DUMMYFUNCTION("""COMPUTED_VALUE"""),0.2121212121212121)</f>
        <v>0.2121212121</v>
      </c>
    </row>
    <row r="53">
      <c r="A53" s="4" t="str">
        <f>IFERROR(__xludf.DUMMYFUNCTION("""COMPUTED_VALUE"""),"BISV 1")</f>
        <v>BISV 1</v>
      </c>
      <c r="B53" s="4">
        <f>IFERROR(__xludf.DUMMYFUNCTION("""COMPUTED_VALUE"""),12.8)</f>
        <v>12.8</v>
      </c>
      <c r="C53" s="4">
        <f>IFERROR(__xludf.DUMMYFUNCTION("""COMPUTED_VALUE"""),24.0)</f>
        <v>24</v>
      </c>
      <c r="D53" s="4">
        <f>IFERROR(__xludf.DUMMYFUNCTION("""COMPUTED_VALUE"""),36.8)</f>
        <v>36.8</v>
      </c>
      <c r="E53" s="4">
        <f>IFERROR(__xludf.DUMMYFUNCTION("""COMPUTED_VALUE"""),1.6)</f>
        <v>1.6</v>
      </c>
      <c r="F53" s="1">
        <f>IFERROR(__xludf.DUMMYFUNCTION("""COMPUTED_VALUE"""),24.0)</f>
        <v>24</v>
      </c>
      <c r="G53" s="1">
        <f>IFERROR(__xludf.DUMMYFUNCTION("""COMPUTED_VALUE"""),12.0)</f>
        <v>12</v>
      </c>
      <c r="H53" s="1">
        <f>IFERROR(__xludf.DUMMYFUNCTION("""COMPUTED_VALUE"""),0.5)</f>
        <v>0.5</v>
      </c>
    </row>
    <row r="54">
      <c r="A54" s="4" t="str">
        <f>IFERROR(__xludf.DUMMYFUNCTION("""COMPUTED_VALUE"""),"Ward Melville 2")</f>
        <v>Ward Melville 2</v>
      </c>
      <c r="B54" s="4">
        <f>IFERROR(__xludf.DUMMYFUNCTION("""COMPUTED_VALUE"""),18.4)</f>
        <v>18.4</v>
      </c>
      <c r="C54" s="4">
        <f>IFERROR(__xludf.DUMMYFUNCTION("""COMPUTED_VALUE"""),18.0)</f>
        <v>18</v>
      </c>
      <c r="D54" s="4">
        <f>IFERROR(__xludf.DUMMYFUNCTION("""COMPUTED_VALUE"""),36.4)</f>
        <v>36.4</v>
      </c>
      <c r="E54" s="4">
        <f>IFERROR(__xludf.DUMMYFUNCTION("""COMPUTED_VALUE"""),0.8)</f>
        <v>0.8</v>
      </c>
      <c r="F54" s="1">
        <f>IFERROR(__xludf.DUMMYFUNCTION("""COMPUTED_VALUE"""),27.0)</f>
        <v>27</v>
      </c>
      <c r="G54" s="1">
        <f>IFERROR(__xludf.DUMMYFUNCTION("""COMPUTED_VALUE"""),9.0)</f>
        <v>9</v>
      </c>
      <c r="H54" s="1">
        <f>IFERROR(__xludf.DUMMYFUNCTION("""COMPUTED_VALUE"""),0.33333333333333337)</f>
        <v>0.3333333333</v>
      </c>
    </row>
    <row r="55">
      <c r="A55" s="4" t="str">
        <f>IFERROR(__xludf.DUMMYFUNCTION("""COMPUTED_VALUE"""),"ENHS")</f>
        <v>ENHS</v>
      </c>
      <c r="B55" s="4">
        <f>IFERROR(__xludf.DUMMYFUNCTION("""COMPUTED_VALUE"""),11.2)</f>
        <v>11.2</v>
      </c>
      <c r="C55" s="4">
        <f>IFERROR(__xludf.DUMMYFUNCTION("""COMPUTED_VALUE"""),24.0)</f>
        <v>24</v>
      </c>
      <c r="D55" s="4">
        <f>IFERROR(__xludf.DUMMYFUNCTION("""COMPUTED_VALUE"""),35.2)</f>
        <v>35.2</v>
      </c>
      <c r="E55" s="4">
        <f>IFERROR(__xludf.DUMMYFUNCTION("""COMPUTED_VALUE"""),1.0)</f>
        <v>1</v>
      </c>
      <c r="F55" s="1">
        <f>IFERROR(__xludf.DUMMYFUNCTION("""COMPUTED_VALUE"""),19.0)</f>
        <v>19</v>
      </c>
      <c r="G55" s="1">
        <f>IFERROR(__xludf.DUMMYFUNCTION("""COMPUTED_VALUE"""),12.0)</f>
        <v>12</v>
      </c>
      <c r="H55" s="1">
        <f>IFERROR(__xludf.DUMMYFUNCTION("""COMPUTED_VALUE"""),0.631578947368421)</f>
        <v>0.6315789474</v>
      </c>
    </row>
    <row r="56">
      <c r="A56" s="4" t="str">
        <f>IFERROR(__xludf.DUMMYFUNCTION("""COMPUTED_VALUE"""),"Hebron HS")</f>
        <v>Hebron HS</v>
      </c>
      <c r="B56" s="4">
        <f>IFERROR(__xludf.DUMMYFUNCTION("""COMPUTED_VALUE"""),18.4)</f>
        <v>18.4</v>
      </c>
      <c r="C56" s="4">
        <f>IFERROR(__xludf.DUMMYFUNCTION("""COMPUTED_VALUE"""),16.0)</f>
        <v>16</v>
      </c>
      <c r="D56" s="4">
        <f>IFERROR(__xludf.DUMMYFUNCTION("""COMPUTED_VALUE"""),34.4)</f>
        <v>34.4</v>
      </c>
      <c r="E56" s="4">
        <f>IFERROR(__xludf.DUMMYFUNCTION("""COMPUTED_VALUE"""),0.2)</f>
        <v>0.2</v>
      </c>
      <c r="F56" s="1">
        <f>IFERROR(__xludf.DUMMYFUNCTION("""COMPUTED_VALUE"""),24.0)</f>
        <v>24</v>
      </c>
      <c r="G56" s="1">
        <f>IFERROR(__xludf.DUMMYFUNCTION("""COMPUTED_VALUE"""),8.0)</f>
        <v>8</v>
      </c>
      <c r="H56" s="1">
        <f>IFERROR(__xludf.DUMMYFUNCTION("""COMPUTED_VALUE"""),0.33333333333333337)</f>
        <v>0.3333333333</v>
      </c>
    </row>
    <row r="57">
      <c r="A57" s="4" t="str">
        <f>IFERROR(__xludf.DUMMYFUNCTION("""COMPUTED_VALUE"""),"Vancomycin")</f>
        <v>Vancomycin</v>
      </c>
      <c r="B57" s="4">
        <f>IFERROR(__xludf.DUMMYFUNCTION("""COMPUTED_VALUE"""),16.0)</f>
        <v>16</v>
      </c>
      <c r="C57" s="4">
        <f>IFERROR(__xludf.DUMMYFUNCTION("""COMPUTED_VALUE"""),18.0)</f>
        <v>18</v>
      </c>
      <c r="D57" s="4">
        <f>IFERROR(__xludf.DUMMYFUNCTION("""COMPUTED_VALUE"""),34.0)</f>
        <v>34</v>
      </c>
      <c r="E57" s="4">
        <f>IFERROR(__xludf.DUMMYFUNCTION("""COMPUTED_VALUE"""),1.2)</f>
        <v>1.2</v>
      </c>
      <c r="F57" s="1">
        <f>IFERROR(__xludf.DUMMYFUNCTION("""COMPUTED_VALUE"""),26.0)</f>
        <v>26</v>
      </c>
      <c r="G57" s="1">
        <f>IFERROR(__xludf.DUMMYFUNCTION("""COMPUTED_VALUE"""),9.0)</f>
        <v>9</v>
      </c>
      <c r="H57" s="1">
        <f>IFERROR(__xludf.DUMMYFUNCTION("""COMPUTED_VALUE"""),0.34615384615384615)</f>
        <v>0.3461538462</v>
      </c>
    </row>
    <row r="58">
      <c r="A58" s="4" t="str">
        <f>IFERROR(__xludf.DUMMYFUNCTION("""COMPUTED_VALUE"""),"Naperville North")</f>
        <v>Naperville North</v>
      </c>
      <c r="B58" s="4">
        <f>IFERROR(__xludf.DUMMYFUNCTION("""COMPUTED_VALUE"""),18.4)</f>
        <v>18.4</v>
      </c>
      <c r="C58" s="4">
        <f>IFERROR(__xludf.DUMMYFUNCTION("""COMPUTED_VALUE"""),14.0)</f>
        <v>14</v>
      </c>
      <c r="D58" s="4">
        <f>IFERROR(__xludf.DUMMYFUNCTION("""COMPUTED_VALUE"""),32.4)</f>
        <v>32.4</v>
      </c>
      <c r="E58" s="4">
        <f>IFERROR(__xludf.DUMMYFUNCTION("""COMPUTED_VALUE"""),0.4)</f>
        <v>0.4</v>
      </c>
      <c r="F58" s="1">
        <f>IFERROR(__xludf.DUMMYFUNCTION("""COMPUTED_VALUE"""),25.0)</f>
        <v>25</v>
      </c>
      <c r="G58" s="1">
        <f>IFERROR(__xludf.DUMMYFUNCTION("""COMPUTED_VALUE"""),7.0)</f>
        <v>7</v>
      </c>
      <c r="H58" s="1">
        <f>IFERROR(__xludf.DUMMYFUNCTION("""COMPUTED_VALUE"""),0.27999999999999997)</f>
        <v>0.28</v>
      </c>
    </row>
    <row r="59">
      <c r="A59" s="4" t="str">
        <f>IFERROR(__xludf.DUMMYFUNCTION("""COMPUTED_VALUE"""),"Research Triangle HS")</f>
        <v>Research Triangle HS</v>
      </c>
      <c r="B59" s="4">
        <f>IFERROR(__xludf.DUMMYFUNCTION("""COMPUTED_VALUE"""),16.8)</f>
        <v>16.8</v>
      </c>
      <c r="C59" s="4">
        <f>IFERROR(__xludf.DUMMYFUNCTION("""COMPUTED_VALUE"""),14.0)</f>
        <v>14</v>
      </c>
      <c r="D59" s="4">
        <f>IFERROR(__xludf.DUMMYFUNCTION("""COMPUTED_VALUE"""),30.8)</f>
        <v>30.8</v>
      </c>
      <c r="E59" s="4">
        <f>IFERROR(__xludf.DUMMYFUNCTION("""COMPUTED_VALUE"""),1.0)</f>
        <v>1</v>
      </c>
      <c r="F59" s="1">
        <f>IFERROR(__xludf.DUMMYFUNCTION("""COMPUTED_VALUE"""),26.0)</f>
        <v>26</v>
      </c>
      <c r="G59" s="1">
        <f>IFERROR(__xludf.DUMMYFUNCTION("""COMPUTED_VALUE"""),7.0)</f>
        <v>7</v>
      </c>
      <c r="H59" s="1">
        <f>IFERROR(__xludf.DUMMYFUNCTION("""COMPUTED_VALUE"""),0.2692307692307693)</f>
        <v>0.2692307692</v>
      </c>
    </row>
    <row r="60">
      <c r="A60" s="4" t="str">
        <f>IFERROR(__xludf.DUMMYFUNCTION("""COMPUTED_VALUE"""),"Dulles Dolls 2")</f>
        <v>Dulles Dolls 2</v>
      </c>
      <c r="B60" s="4">
        <f>IFERROR(__xludf.DUMMYFUNCTION("""COMPUTED_VALUE"""),15.2)</f>
        <v>15.2</v>
      </c>
      <c r="C60" s="4">
        <f>IFERROR(__xludf.DUMMYFUNCTION("""COMPUTED_VALUE"""),12.0)</f>
        <v>12</v>
      </c>
      <c r="D60" s="4">
        <f>IFERROR(__xludf.DUMMYFUNCTION("""COMPUTED_VALUE"""),27.2)</f>
        <v>27.2</v>
      </c>
      <c r="E60" s="4">
        <f>IFERROR(__xludf.DUMMYFUNCTION("""COMPUTED_VALUE"""),0.6)</f>
        <v>0.6</v>
      </c>
      <c r="F60" s="1">
        <f>IFERROR(__xludf.DUMMYFUNCTION("""COMPUTED_VALUE"""),22.0)</f>
        <v>22</v>
      </c>
      <c r="G60" s="1">
        <f>IFERROR(__xludf.DUMMYFUNCTION("""COMPUTED_VALUE"""),6.0)</f>
        <v>6</v>
      </c>
      <c r="H60" s="1">
        <f>IFERROR(__xludf.DUMMYFUNCTION("""COMPUTED_VALUE"""),0.2727272727272727)</f>
        <v>0.2727272727</v>
      </c>
    </row>
    <row r="61">
      <c r="A61" s="4" t="str">
        <f>IFERROR(__xludf.DUMMYFUNCTION("""COMPUTED_VALUE"""),"Friendswood")</f>
        <v>Friendswood</v>
      </c>
      <c r="B61" s="4">
        <f>IFERROR(__xludf.DUMMYFUNCTION("""COMPUTED_VALUE"""),14.4)</f>
        <v>14.4</v>
      </c>
      <c r="C61" s="4">
        <f>IFERROR(__xludf.DUMMYFUNCTION("""COMPUTED_VALUE"""),10.0)</f>
        <v>10</v>
      </c>
      <c r="D61" s="4">
        <f>IFERROR(__xludf.DUMMYFUNCTION("""COMPUTED_VALUE"""),24.4)</f>
        <v>24.4</v>
      </c>
      <c r="E61" s="4">
        <f>IFERROR(__xludf.DUMMYFUNCTION("""COMPUTED_VALUE"""),0.4)</f>
        <v>0.4</v>
      </c>
      <c r="F61" s="1">
        <f>IFERROR(__xludf.DUMMYFUNCTION("""COMPUTED_VALUE"""),20.0)</f>
        <v>20</v>
      </c>
      <c r="G61" s="1">
        <f>IFERROR(__xludf.DUMMYFUNCTION("""COMPUTED_VALUE"""),5.0)</f>
        <v>5</v>
      </c>
      <c r="H61" s="1">
        <f>IFERROR(__xludf.DUMMYFUNCTION("""COMPUTED_VALUE"""),0.25)</f>
        <v>0.25</v>
      </c>
    </row>
    <row r="62">
      <c r="A62" s="4" t="str">
        <f>IFERROR(__xludf.DUMMYFUNCTION("""COMPUTED_VALUE"""),"Camas Papermakers")</f>
        <v>Camas Papermakers</v>
      </c>
      <c r="B62" s="4">
        <f>IFERROR(__xludf.DUMMYFUNCTION("""COMPUTED_VALUE"""),13.6)</f>
        <v>13.6</v>
      </c>
      <c r="C62" s="4">
        <f>IFERROR(__xludf.DUMMYFUNCTION("""COMPUTED_VALUE"""),6.0)</f>
        <v>6</v>
      </c>
      <c r="D62" s="4">
        <f>IFERROR(__xludf.DUMMYFUNCTION("""COMPUTED_VALUE"""),19.6)</f>
        <v>19.6</v>
      </c>
      <c r="E62" s="4">
        <f>IFERROR(__xludf.DUMMYFUNCTION("""COMPUTED_VALUE"""),0.4)</f>
        <v>0.4</v>
      </c>
      <c r="F62" s="1">
        <f>IFERROR(__xludf.DUMMYFUNCTION("""COMPUTED_VALUE"""),19.0)</f>
        <v>19</v>
      </c>
      <c r="G62" s="1">
        <f>IFERROR(__xludf.DUMMYFUNCTION("""COMPUTED_VALUE"""),3.0)</f>
        <v>3</v>
      </c>
      <c r="H62" s="1">
        <f>IFERROR(__xludf.DUMMYFUNCTION("""COMPUTED_VALUE"""),0.15789473684210525)</f>
        <v>0.1578947368</v>
      </c>
    </row>
    <row r="63">
      <c r="A63" s="4" t="str">
        <f>IFERROR(__xludf.DUMMYFUNCTION("""COMPUTED_VALUE"""),"The Woodlands HS")</f>
        <v>The Woodlands HS</v>
      </c>
      <c r="B63" s="4">
        <f>IFERROR(__xludf.DUMMYFUNCTION("""COMPUTED_VALUE"""),9.6)</f>
        <v>9.6</v>
      </c>
      <c r="C63" s="4">
        <f>IFERROR(__xludf.DUMMYFUNCTION("""COMPUTED_VALUE"""),8.0)</f>
        <v>8</v>
      </c>
      <c r="D63" s="4">
        <f>IFERROR(__xludf.DUMMYFUNCTION("""COMPUTED_VALUE"""),17.6)</f>
        <v>17.6</v>
      </c>
      <c r="E63" s="4">
        <f>IFERROR(__xludf.DUMMYFUNCTION("""COMPUTED_VALUE"""),0.4)</f>
        <v>0.4</v>
      </c>
      <c r="F63" s="1">
        <f>IFERROR(__xludf.DUMMYFUNCTION("""COMPUTED_VALUE"""),14.0)</f>
        <v>14</v>
      </c>
      <c r="G63" s="1">
        <f>IFERROR(__xludf.DUMMYFUNCTION("""COMPUTED_VALUE"""),4.0)</f>
        <v>4</v>
      </c>
      <c r="H63" s="1">
        <f>IFERROR(__xludf.DUMMYFUNCTION("""COMPUTED_VALUE"""),0.2857142857142857)</f>
        <v>0.2857142857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4.0</v>
      </c>
      <c r="C1" s="1">
        <v>0.0</v>
      </c>
      <c r="D1" s="1">
        <v>0.0</v>
      </c>
      <c r="E1" s="1">
        <v>0.0</v>
      </c>
      <c r="F1" s="1">
        <v>0.0</v>
      </c>
      <c r="G1" s="2">
        <v>0.0</v>
      </c>
      <c r="H1" s="1" t="s">
        <v>0</v>
      </c>
      <c r="I1" s="1" t="str">
        <f>IFERROR(__xludf.DUMMYFUNCTION("REGEXREPLACE(MID(H1, SEARCH(""["", H1) + 1, SEARCH(""]"", H1) - SEARCH(""["", H1) - 1), ""\[\]"","""")"),"Bridgeland HS")</f>
        <v>Bridgeland HS</v>
      </c>
      <c r="J1" s="1">
        <v>0.0</v>
      </c>
      <c r="K1" s="1">
        <v>0.0</v>
      </c>
      <c r="M1" s="3" t="s">
        <v>1</v>
      </c>
      <c r="N1" s="3">
        <v>1.0</v>
      </c>
      <c r="O1" s="3">
        <v>18.0</v>
      </c>
      <c r="P1" s="3">
        <v>15.0</v>
      </c>
      <c r="Q1" s="3">
        <v>122.0</v>
      </c>
      <c r="R1" s="3">
        <v>3.0</v>
      </c>
      <c r="S1" s="3">
        <v>9.0</v>
      </c>
      <c r="T1" s="5">
        <v>0.733</v>
      </c>
      <c r="U1" s="1">
        <f t="shared" ref="U1:U101" si="1">round(Q1*N1,0)</f>
        <v>122</v>
      </c>
    </row>
    <row r="2">
      <c r="A2" s="1">
        <v>4.0</v>
      </c>
      <c r="B2" s="1">
        <v>16.0</v>
      </c>
      <c r="C2" s="1">
        <v>0.0</v>
      </c>
      <c r="D2" s="1">
        <v>0.0</v>
      </c>
      <c r="E2" s="1">
        <v>0.0</v>
      </c>
      <c r="F2" s="1">
        <v>0.0</v>
      </c>
      <c r="G2" s="2">
        <v>0.0</v>
      </c>
      <c r="H2" s="1" t="s">
        <v>2</v>
      </c>
      <c r="I2" s="1" t="str">
        <f>IFERROR(__xludf.DUMMYFUNCTION("REGEXREPLACE(MID(H2, SEARCH(""["", H2) + 1, SEARCH(""]"", H2) - SEARCH(""["", H2) - 1), ""\[\]"","""")"),"Amador Valley HS")</f>
        <v>Amador Valley HS</v>
      </c>
      <c r="J2" s="1">
        <v>0.0</v>
      </c>
      <c r="K2" s="1">
        <v>0.0</v>
      </c>
      <c r="M2" s="3" t="s">
        <v>3</v>
      </c>
      <c r="N2" s="3">
        <v>1.0</v>
      </c>
      <c r="O2" s="3">
        <v>20.0</v>
      </c>
      <c r="P2" s="3">
        <v>17.0</v>
      </c>
      <c r="Q2" s="3">
        <v>50.0</v>
      </c>
      <c r="R2" s="3">
        <v>7.0</v>
      </c>
      <c r="S2" s="3">
        <v>5.0</v>
      </c>
      <c r="T2" s="5">
        <v>0.412</v>
      </c>
      <c r="U2" s="1">
        <f t="shared" si="1"/>
        <v>50</v>
      </c>
    </row>
    <row r="3">
      <c r="A3" s="1">
        <v>1.0</v>
      </c>
      <c r="B3" s="1">
        <v>4.0</v>
      </c>
      <c r="C3" s="1">
        <v>1.0</v>
      </c>
      <c r="D3" s="1">
        <v>-4.0</v>
      </c>
      <c r="E3" s="1">
        <v>1.0</v>
      </c>
      <c r="F3" s="1">
        <v>0.0</v>
      </c>
      <c r="G3" s="2">
        <v>0.0</v>
      </c>
      <c r="H3" s="1" t="s">
        <v>2</v>
      </c>
      <c r="I3" s="1" t="str">
        <f>IFERROR(__xludf.DUMMYFUNCTION("REGEXREPLACE(MID(H3, SEARCH(""["", H3) + 1, SEARCH(""]"", H3) - SEARCH(""["", H3) - 1), ""\[\]"","""")"),"Amador Valley HS")</f>
        <v>Amador Valley HS</v>
      </c>
      <c r="J3" s="1">
        <v>-4.0</v>
      </c>
      <c r="K3" s="1">
        <v>1.0</v>
      </c>
      <c r="M3" s="3" t="s">
        <v>4</v>
      </c>
      <c r="N3" s="3">
        <v>1.0</v>
      </c>
      <c r="O3" s="3">
        <v>19.0</v>
      </c>
      <c r="P3" s="3">
        <v>14.0</v>
      </c>
      <c r="Q3" s="3">
        <v>84.0</v>
      </c>
      <c r="R3" s="3">
        <v>3.0</v>
      </c>
      <c r="S3" s="3">
        <v>6.0</v>
      </c>
      <c r="T3" s="5">
        <v>0.643</v>
      </c>
      <c r="U3" s="1">
        <f t="shared" si="1"/>
        <v>84</v>
      </c>
    </row>
    <row r="4">
      <c r="A4" s="1">
        <v>1.0</v>
      </c>
      <c r="B4" s="1">
        <v>4.0</v>
      </c>
      <c r="C4" s="1">
        <v>1.0</v>
      </c>
      <c r="D4" s="1">
        <v>4.0</v>
      </c>
      <c r="E4" s="1">
        <v>0.0</v>
      </c>
      <c r="F4" s="1">
        <v>0.0</v>
      </c>
      <c r="G4" s="2">
        <v>1.0</v>
      </c>
      <c r="H4" s="1" t="s">
        <v>5</v>
      </c>
      <c r="I4" s="1" t="str">
        <f>IFERROR(__xludf.DUMMYFUNCTION("REGEXREPLACE(MID(H4, SEARCH(""["", H4) + 1, SEARCH(""]"", H4) - SEARCH(""["", H4) - 1), ""\[\]"","""")"),"Amador Valley HS")</f>
        <v>Amador Valley HS</v>
      </c>
      <c r="J4" s="1">
        <v>4.0</v>
      </c>
      <c r="K4" s="1">
        <v>0.0</v>
      </c>
      <c r="M4" s="3" t="s">
        <v>6</v>
      </c>
      <c r="N4" s="3">
        <v>1.0</v>
      </c>
      <c r="O4" s="3">
        <v>20.0</v>
      </c>
      <c r="P4" s="3">
        <v>15.0</v>
      </c>
      <c r="Q4" s="3">
        <v>156.0</v>
      </c>
      <c r="R4" s="3">
        <v>0.0</v>
      </c>
      <c r="S4" s="3">
        <v>10.0</v>
      </c>
      <c r="T4" s="5">
        <v>0.933</v>
      </c>
      <c r="U4" s="1">
        <f t="shared" si="1"/>
        <v>156</v>
      </c>
    </row>
    <row r="5">
      <c r="A5" s="1">
        <v>4.0</v>
      </c>
      <c r="B5" s="1">
        <v>16.0</v>
      </c>
      <c r="C5" s="1">
        <v>9.0</v>
      </c>
      <c r="D5" s="1">
        <v>6.0</v>
      </c>
      <c r="E5" s="1">
        <v>0.25</v>
      </c>
      <c r="F5" s="1">
        <v>0.0</v>
      </c>
      <c r="G5" s="6">
        <v>0.778</v>
      </c>
      <c r="H5" s="1" t="s">
        <v>5</v>
      </c>
      <c r="I5" s="1" t="str">
        <f>IFERROR(__xludf.DUMMYFUNCTION("REGEXREPLACE(MID(H5, SEARCH(""["", H5) + 1, SEARCH(""]"", H5) - SEARCH(""["", H5) - 1), ""\[\]"","""")"),"Amador Valley HS")</f>
        <v>Amador Valley HS</v>
      </c>
      <c r="J5" s="1">
        <v>24.0</v>
      </c>
      <c r="K5" s="1">
        <v>1.0</v>
      </c>
      <c r="M5" s="3" t="s">
        <v>7</v>
      </c>
      <c r="N5" s="3">
        <v>1.0</v>
      </c>
      <c r="O5" s="3">
        <v>20.0</v>
      </c>
      <c r="P5" s="3">
        <v>10.0</v>
      </c>
      <c r="Q5" s="3">
        <v>14.0</v>
      </c>
      <c r="R5" s="3">
        <v>1.0</v>
      </c>
      <c r="S5" s="3">
        <v>1.0</v>
      </c>
      <c r="T5" s="7">
        <v>0.2</v>
      </c>
      <c r="U5" s="1">
        <f t="shared" si="1"/>
        <v>14</v>
      </c>
    </row>
    <row r="6">
      <c r="A6" s="1">
        <v>1.0</v>
      </c>
      <c r="B6" s="1">
        <v>4.0</v>
      </c>
      <c r="C6" s="1">
        <v>1.0</v>
      </c>
      <c r="D6" s="1">
        <v>4.0</v>
      </c>
      <c r="E6" s="1">
        <v>0.0</v>
      </c>
      <c r="F6" s="1">
        <v>0.0</v>
      </c>
      <c r="G6" s="2">
        <v>1.0</v>
      </c>
      <c r="H6" s="1" t="s">
        <v>8</v>
      </c>
      <c r="I6" s="1" t="str">
        <f>IFERROR(__xludf.DUMMYFUNCTION("REGEXREPLACE(MID(H6, SEARCH(""["", H6) + 1, SEARCH(""]"", H6) - SEARCH(""["", H6) - 1), ""\[\]"","""")"),"Amador Valley HS")</f>
        <v>Amador Valley HS</v>
      </c>
      <c r="J6" s="1">
        <v>4.0</v>
      </c>
      <c r="K6" s="1">
        <v>0.0</v>
      </c>
      <c r="M6" s="3" t="s">
        <v>9</v>
      </c>
      <c r="N6" s="3">
        <v>1.0</v>
      </c>
      <c r="O6" s="3">
        <v>20.0</v>
      </c>
      <c r="P6" s="3">
        <v>13.0</v>
      </c>
      <c r="Q6" s="3">
        <v>70.0</v>
      </c>
      <c r="R6" s="3">
        <v>2.0</v>
      </c>
      <c r="S6" s="3">
        <v>5.0</v>
      </c>
      <c r="T6" s="5">
        <v>0.538</v>
      </c>
      <c r="U6" s="1">
        <f t="shared" si="1"/>
        <v>70</v>
      </c>
    </row>
    <row r="7">
      <c r="A7" s="1">
        <v>4.0</v>
      </c>
      <c r="B7" s="1">
        <v>16.0</v>
      </c>
      <c r="C7" s="1">
        <v>3.0</v>
      </c>
      <c r="D7" s="1">
        <v>-3.0</v>
      </c>
      <c r="E7" s="1">
        <v>0.75</v>
      </c>
      <c r="F7" s="1">
        <v>0.0</v>
      </c>
      <c r="G7" s="2">
        <v>0.0</v>
      </c>
      <c r="H7" s="1" t="s">
        <v>8</v>
      </c>
      <c r="I7" s="1" t="str">
        <f>IFERROR(__xludf.DUMMYFUNCTION("REGEXREPLACE(MID(H7, SEARCH(""["", H7) + 1, SEARCH(""]"", H7) - SEARCH(""["", H7) - 1), ""\[\]"","""")"),"Amador Valley HS")</f>
        <v>Amador Valley HS</v>
      </c>
      <c r="J7" s="1">
        <v>-12.0</v>
      </c>
      <c r="K7" s="1">
        <v>3.0</v>
      </c>
      <c r="M7" s="3" t="s">
        <v>10</v>
      </c>
      <c r="N7" s="3">
        <v>4.0</v>
      </c>
      <c r="O7" s="3">
        <v>80.0</v>
      </c>
      <c r="P7" s="3">
        <v>64.0</v>
      </c>
      <c r="Q7" s="3">
        <v>96.0</v>
      </c>
      <c r="R7" s="3">
        <v>5.25</v>
      </c>
      <c r="S7" s="3">
        <v>8.0</v>
      </c>
      <c r="T7" s="5">
        <v>0.578</v>
      </c>
      <c r="U7" s="1">
        <f t="shared" si="1"/>
        <v>384</v>
      </c>
    </row>
    <row r="8">
      <c r="A8" s="1">
        <v>4.0</v>
      </c>
      <c r="B8" s="1">
        <v>16.0</v>
      </c>
      <c r="C8" s="1">
        <v>0.0</v>
      </c>
      <c r="D8" s="1">
        <v>0.0</v>
      </c>
      <c r="E8" s="1">
        <v>0.0</v>
      </c>
      <c r="F8" s="1">
        <v>0.0</v>
      </c>
      <c r="G8" s="2">
        <v>0.0</v>
      </c>
      <c r="H8" s="1" t="s">
        <v>11</v>
      </c>
      <c r="I8" s="1" t="str">
        <f>IFERROR(__xludf.DUMMYFUNCTION("REGEXREPLACE(MID(H8, SEARCH(""["", H8) + 1, SEARCH(""]"", H8) - SEARCH(""["", H8) - 1), ""\[\]"","""")"),"Amador Valley HS")</f>
        <v>Amador Valley HS</v>
      </c>
      <c r="J8" s="1">
        <v>0.0</v>
      </c>
      <c r="K8" s="1">
        <v>0.0</v>
      </c>
      <c r="M8" s="3" t="s">
        <v>10</v>
      </c>
      <c r="N8" s="3">
        <v>1.0</v>
      </c>
      <c r="O8" s="3">
        <v>20.0</v>
      </c>
      <c r="P8" s="3">
        <v>18.0</v>
      </c>
      <c r="Q8" s="3">
        <v>144.0</v>
      </c>
      <c r="R8" s="3">
        <v>3.0</v>
      </c>
      <c r="S8" s="3">
        <v>10.0</v>
      </c>
      <c r="T8" s="5">
        <v>0.778</v>
      </c>
      <c r="U8" s="1">
        <f t="shared" si="1"/>
        <v>144</v>
      </c>
    </row>
    <row r="9">
      <c r="A9" s="1">
        <v>3.0</v>
      </c>
      <c r="B9" s="1">
        <v>12.0</v>
      </c>
      <c r="C9" s="1">
        <v>0.0</v>
      </c>
      <c r="D9" s="1">
        <v>0.0</v>
      </c>
      <c r="E9" s="1">
        <v>0.0</v>
      </c>
      <c r="F9" s="1">
        <v>0.0</v>
      </c>
      <c r="G9" s="2">
        <v>0.0</v>
      </c>
      <c r="H9" s="1" t="s">
        <v>12</v>
      </c>
      <c r="I9" s="1" t="str">
        <f>IFERROR(__xludf.DUMMYFUNCTION("REGEXREPLACE(MID(H9, SEARCH(""["", H9) + 1, SEARCH(""]"", H9) - SEARCH(""["", H9) - 1), ""\[\]"","""")"),"American Heritage Broward")</f>
        <v>American Heritage Broward</v>
      </c>
      <c r="J9" s="1">
        <v>0.0</v>
      </c>
      <c r="K9" s="1">
        <v>0.0</v>
      </c>
      <c r="M9" s="3" t="s">
        <v>9</v>
      </c>
      <c r="N9" s="3">
        <v>4.0</v>
      </c>
      <c r="O9" s="3">
        <v>79.0</v>
      </c>
      <c r="P9" s="3">
        <v>59.0</v>
      </c>
      <c r="Q9" s="3">
        <v>54.5</v>
      </c>
      <c r="R9" s="3">
        <v>2.0</v>
      </c>
      <c r="S9" s="3">
        <v>3.25</v>
      </c>
      <c r="T9" s="5">
        <v>0.508</v>
      </c>
      <c r="U9" s="1">
        <f t="shared" si="1"/>
        <v>218</v>
      </c>
    </row>
    <row r="10">
      <c r="A10" s="1">
        <v>4.0</v>
      </c>
      <c r="B10" s="1">
        <v>16.0</v>
      </c>
      <c r="C10" s="1">
        <v>2.0</v>
      </c>
      <c r="D10" s="1">
        <v>2.0</v>
      </c>
      <c r="E10" s="1">
        <v>0.0</v>
      </c>
      <c r="F10" s="1">
        <v>0.0</v>
      </c>
      <c r="G10" s="2">
        <v>1.0</v>
      </c>
      <c r="H10" s="1" t="s">
        <v>13</v>
      </c>
      <c r="I10" s="1" t="str">
        <f>IFERROR(__xludf.DUMMYFUNCTION("REGEXREPLACE(MID(H10, SEARCH(""["", H10) + 1, SEARCH(""]"", H10) - SEARCH(""["", H10) - 1), ""\[\]"","""")"),"American Heritage Broward")</f>
        <v>American Heritage Broward</v>
      </c>
      <c r="J10" s="1">
        <v>8.0</v>
      </c>
      <c r="K10" s="1">
        <v>0.0</v>
      </c>
      <c r="M10" s="3" t="s">
        <v>3</v>
      </c>
      <c r="N10" s="3">
        <v>3.0</v>
      </c>
      <c r="O10" s="3">
        <v>59.0</v>
      </c>
      <c r="P10" s="3">
        <v>45.0</v>
      </c>
      <c r="Q10" s="3">
        <v>74.67</v>
      </c>
      <c r="R10" s="3">
        <v>2.33</v>
      </c>
      <c r="S10" s="3">
        <v>4.67</v>
      </c>
      <c r="T10" s="5">
        <v>0.622</v>
      </c>
      <c r="U10" s="1">
        <f t="shared" si="1"/>
        <v>224</v>
      </c>
    </row>
    <row r="11">
      <c r="A11" s="1">
        <v>1.0</v>
      </c>
      <c r="B11" s="1">
        <v>4.0</v>
      </c>
      <c r="C11" s="1">
        <v>0.0</v>
      </c>
      <c r="D11" s="1">
        <v>0.0</v>
      </c>
      <c r="E11" s="1">
        <v>0.0</v>
      </c>
      <c r="F11" s="1">
        <v>0.0</v>
      </c>
      <c r="G11" s="2">
        <v>0.0</v>
      </c>
      <c r="H11" s="1" t="s">
        <v>13</v>
      </c>
      <c r="I11" s="1" t="str">
        <f>IFERROR(__xludf.DUMMYFUNCTION("REGEXREPLACE(MID(H11, SEARCH(""["", H11) + 1, SEARCH(""]"", H11) - SEARCH(""["", H11) - 1), ""\[\]"","""")"),"American Heritage Broward")</f>
        <v>American Heritage Broward</v>
      </c>
      <c r="J11" s="1">
        <v>0.0</v>
      </c>
      <c r="K11" s="1">
        <v>0.0</v>
      </c>
      <c r="M11" s="3" t="s">
        <v>14</v>
      </c>
      <c r="N11" s="3">
        <v>5.0</v>
      </c>
      <c r="O11" s="3">
        <v>97.0</v>
      </c>
      <c r="P11" s="3">
        <v>63.0</v>
      </c>
      <c r="Q11" s="3">
        <v>38.0</v>
      </c>
      <c r="R11" s="3">
        <v>0.6</v>
      </c>
      <c r="S11" s="3">
        <v>1.4</v>
      </c>
      <c r="T11" s="5">
        <v>0.524</v>
      </c>
      <c r="U11" s="1">
        <f t="shared" si="1"/>
        <v>190</v>
      </c>
    </row>
    <row r="12">
      <c r="A12" s="1">
        <v>1.0</v>
      </c>
      <c r="B12" s="1">
        <v>4.0</v>
      </c>
      <c r="C12" s="1">
        <v>0.0</v>
      </c>
      <c r="D12" s="1">
        <v>0.0</v>
      </c>
      <c r="E12" s="1">
        <v>0.0</v>
      </c>
      <c r="F12" s="1">
        <v>0.0</v>
      </c>
      <c r="G12" s="2">
        <v>0.0</v>
      </c>
      <c r="H12" s="1" t="s">
        <v>15</v>
      </c>
      <c r="I12" s="1" t="str">
        <f>IFERROR(__xludf.DUMMYFUNCTION("REGEXREPLACE(MID(H12, SEARCH(""["", H12) + 1, SEARCH(""]"", H12) - SEARCH(""["", H12) - 1), ""\[\]"","""")"),"American Heritage Broward")</f>
        <v>American Heritage Broward</v>
      </c>
      <c r="J12" s="1">
        <v>0.0</v>
      </c>
      <c r="K12" s="1">
        <v>0.0</v>
      </c>
      <c r="M12" s="3" t="s">
        <v>16</v>
      </c>
      <c r="N12" s="3">
        <v>1.0</v>
      </c>
      <c r="O12" s="3">
        <v>18.0</v>
      </c>
      <c r="P12" s="3">
        <v>7.0</v>
      </c>
      <c r="Q12" s="3">
        <v>56.0</v>
      </c>
      <c r="R12" s="3">
        <v>1.0</v>
      </c>
      <c r="S12" s="3">
        <v>4.0</v>
      </c>
      <c r="T12" s="5">
        <v>0.714</v>
      </c>
      <c r="U12" s="1">
        <f t="shared" si="1"/>
        <v>56</v>
      </c>
    </row>
    <row r="13">
      <c r="A13" s="1">
        <v>4.0</v>
      </c>
      <c r="B13" s="1">
        <v>16.0</v>
      </c>
      <c r="C13" s="1">
        <v>0.0</v>
      </c>
      <c r="D13" s="1">
        <v>0.0</v>
      </c>
      <c r="E13" s="1">
        <v>0.0</v>
      </c>
      <c r="F13" s="1">
        <v>0.0</v>
      </c>
      <c r="G13" s="2">
        <v>0.0</v>
      </c>
      <c r="H13" s="1" t="s">
        <v>15</v>
      </c>
      <c r="I13" s="1" t="str">
        <f>IFERROR(__xludf.DUMMYFUNCTION("REGEXREPLACE(MID(H13, SEARCH(""["", H13) + 1, SEARCH(""]"", H13) - SEARCH(""["", H13) - 1), ""\[\]"","""")"),"American Heritage Broward")</f>
        <v>American Heritage Broward</v>
      </c>
      <c r="J13" s="1">
        <v>0.0</v>
      </c>
      <c r="K13" s="1">
        <v>0.0</v>
      </c>
      <c r="M13" s="3" t="s">
        <v>3</v>
      </c>
      <c r="N13" s="3">
        <v>1.0</v>
      </c>
      <c r="O13" s="3">
        <v>20.0</v>
      </c>
      <c r="P13" s="3">
        <v>18.0</v>
      </c>
      <c r="Q13" s="3">
        <v>102.0</v>
      </c>
      <c r="R13" s="3">
        <v>0.0</v>
      </c>
      <c r="S13" s="3">
        <v>5.0</v>
      </c>
      <c r="T13" s="5">
        <v>0.722</v>
      </c>
      <c r="U13" s="1">
        <f t="shared" si="1"/>
        <v>102</v>
      </c>
    </row>
    <row r="14">
      <c r="A14" s="1">
        <v>4.0</v>
      </c>
      <c r="B14" s="1">
        <v>16.0</v>
      </c>
      <c r="C14" s="1">
        <v>12.0</v>
      </c>
      <c r="D14" s="1">
        <v>7.0</v>
      </c>
      <c r="E14" s="1">
        <v>0.5</v>
      </c>
      <c r="F14" s="1">
        <v>0.0</v>
      </c>
      <c r="G14" s="2">
        <v>0.75</v>
      </c>
      <c r="H14" s="1" t="s">
        <v>17</v>
      </c>
      <c r="I14" s="1" t="str">
        <f>IFERROR(__xludf.DUMMYFUNCTION("REGEXREPLACE(MID(H14, SEARCH(""["", H14) + 1, SEARCH(""]"", H14) - SEARCH(""["", H14) - 1), ""\[\]"","""")"),"American Heritage Broward")</f>
        <v>American Heritage Broward</v>
      </c>
      <c r="J14" s="1">
        <v>28.0</v>
      </c>
      <c r="K14" s="1">
        <v>2.0</v>
      </c>
      <c r="M14" s="3" t="s">
        <v>18</v>
      </c>
      <c r="N14" s="3">
        <v>1.0</v>
      </c>
      <c r="O14" s="3">
        <v>20.0</v>
      </c>
      <c r="P14" s="3">
        <v>12.0</v>
      </c>
      <c r="Q14" s="3">
        <v>62.0</v>
      </c>
      <c r="R14" s="3">
        <v>0.0</v>
      </c>
      <c r="S14" s="3">
        <v>3.0</v>
      </c>
      <c r="T14" s="5">
        <v>0.667</v>
      </c>
      <c r="U14" s="1">
        <f t="shared" si="1"/>
        <v>62</v>
      </c>
    </row>
    <row r="15">
      <c r="A15" s="1">
        <v>1.0</v>
      </c>
      <c r="B15" s="1">
        <v>4.0</v>
      </c>
      <c r="C15" s="1">
        <v>3.0</v>
      </c>
      <c r="D15" s="1">
        <v>4.0</v>
      </c>
      <c r="E15" s="1">
        <v>1.0</v>
      </c>
      <c r="F15" s="1">
        <v>0.0</v>
      </c>
      <c r="G15" s="6">
        <v>0.667</v>
      </c>
      <c r="H15" s="1" t="s">
        <v>17</v>
      </c>
      <c r="I15" s="1" t="str">
        <f>IFERROR(__xludf.DUMMYFUNCTION("REGEXREPLACE(MID(H15, SEARCH(""["", H15) + 1, SEARCH(""]"", H15) - SEARCH(""["", H15) - 1), ""\[\]"","""")"),"American Heritage Broward")</f>
        <v>American Heritage Broward</v>
      </c>
      <c r="J15" s="1">
        <v>4.0</v>
      </c>
      <c r="K15" s="1">
        <v>1.0</v>
      </c>
      <c r="M15" s="3" t="s">
        <v>19</v>
      </c>
      <c r="N15" s="3">
        <v>1.0</v>
      </c>
      <c r="O15" s="3">
        <v>19.0</v>
      </c>
      <c r="P15" s="3">
        <v>10.0</v>
      </c>
      <c r="Q15" s="3">
        <v>74.0</v>
      </c>
      <c r="R15" s="3">
        <v>1.0</v>
      </c>
      <c r="S15" s="3">
        <v>5.0</v>
      </c>
      <c r="T15" s="7">
        <v>0.7</v>
      </c>
      <c r="U15" s="1">
        <f t="shared" si="1"/>
        <v>74</v>
      </c>
    </row>
    <row r="16">
      <c r="A16" s="1">
        <v>1.0</v>
      </c>
      <c r="B16" s="1">
        <v>4.0</v>
      </c>
      <c r="C16" s="1">
        <v>0.0</v>
      </c>
      <c r="D16" s="1">
        <v>0.0</v>
      </c>
      <c r="E16" s="1">
        <v>0.0</v>
      </c>
      <c r="F16" s="1">
        <v>0.0</v>
      </c>
      <c r="G16" s="2">
        <v>0.0</v>
      </c>
      <c r="H16" s="1" t="s">
        <v>20</v>
      </c>
      <c r="I16" s="1" t="str">
        <f>IFERROR(__xludf.DUMMYFUNCTION("REGEXREPLACE(MID(H16, SEARCH(""["", H16) + 1, SEARCH(""]"", H16) - SEARCH(""["", H16) - 1), ""\[\]"","""")"),"American Heritage Broward")</f>
        <v>American Heritage Broward</v>
      </c>
      <c r="J16" s="1">
        <v>0.0</v>
      </c>
      <c r="K16" s="1">
        <v>0.0</v>
      </c>
      <c r="M16" s="3" t="s">
        <v>21</v>
      </c>
      <c r="N16" s="3">
        <v>2.0</v>
      </c>
      <c r="O16" s="3">
        <v>40.0</v>
      </c>
      <c r="P16" s="3">
        <v>23.0</v>
      </c>
      <c r="Q16" s="3">
        <v>60.0</v>
      </c>
      <c r="R16" s="3">
        <v>1.0</v>
      </c>
      <c r="S16" s="3">
        <v>4.0</v>
      </c>
      <c r="T16" s="5">
        <v>0.522</v>
      </c>
      <c r="U16" s="1">
        <f t="shared" si="1"/>
        <v>120</v>
      </c>
    </row>
    <row r="17">
      <c r="A17" s="1">
        <v>1.0</v>
      </c>
      <c r="B17" s="1">
        <v>4.0</v>
      </c>
      <c r="C17" s="1">
        <v>0.0</v>
      </c>
      <c r="D17" s="1">
        <v>0.0</v>
      </c>
      <c r="E17" s="1">
        <v>0.0</v>
      </c>
      <c r="F17" s="1">
        <v>0.0</v>
      </c>
      <c r="G17" s="2">
        <v>0.0</v>
      </c>
      <c r="H17" s="1" t="s">
        <v>20</v>
      </c>
      <c r="I17" s="1" t="str">
        <f>IFERROR(__xludf.DUMMYFUNCTION("REGEXREPLACE(MID(H17, SEARCH(""["", H17) + 1, SEARCH(""]"", H17) - SEARCH(""["", H17) - 1), ""\[\]"","""")"),"American Heritage Broward")</f>
        <v>American Heritage Broward</v>
      </c>
      <c r="J17" s="1">
        <v>0.0</v>
      </c>
      <c r="K17" s="1">
        <v>0.0</v>
      </c>
      <c r="M17" s="3" t="s">
        <v>23</v>
      </c>
      <c r="N17" s="3">
        <v>5.0</v>
      </c>
      <c r="O17" s="3">
        <v>96.0</v>
      </c>
      <c r="P17" s="3">
        <v>59.0</v>
      </c>
      <c r="Q17" s="3">
        <v>36.8</v>
      </c>
      <c r="R17" s="3">
        <v>1.6</v>
      </c>
      <c r="S17" s="3">
        <v>2.4</v>
      </c>
      <c r="T17" s="5">
        <v>0.407</v>
      </c>
      <c r="U17" s="1">
        <f t="shared" si="1"/>
        <v>184</v>
      </c>
    </row>
    <row r="18">
      <c r="A18" s="1">
        <v>1.0</v>
      </c>
      <c r="B18" s="1">
        <v>4.0</v>
      </c>
      <c r="C18" s="1">
        <v>0.0</v>
      </c>
      <c r="D18" s="1">
        <v>0.0</v>
      </c>
      <c r="E18" s="1">
        <v>0.0</v>
      </c>
      <c r="F18" s="1">
        <v>0.0</v>
      </c>
      <c r="G18" s="2">
        <v>0.0</v>
      </c>
      <c r="H18" s="1" t="s">
        <v>24</v>
      </c>
      <c r="I18" s="1" t="str">
        <f>IFERROR(__xludf.DUMMYFUNCTION("REGEXREPLACE(MID(H18, SEARCH(""["", H18) + 1, SEARCH(""]"", H18) - SEARCH(""["", H18) - 1), ""\[\]"","""")"),"Arcadia 1")</f>
        <v>Arcadia 1</v>
      </c>
      <c r="J18" s="1">
        <v>0.0</v>
      </c>
      <c r="K18" s="1">
        <v>0.0</v>
      </c>
      <c r="M18" s="3" t="s">
        <v>25</v>
      </c>
      <c r="N18" s="3">
        <v>4.0</v>
      </c>
      <c r="O18" s="3">
        <v>75.0</v>
      </c>
      <c r="P18" s="3">
        <v>44.0</v>
      </c>
      <c r="Q18" s="3">
        <v>27.0</v>
      </c>
      <c r="R18" s="3">
        <v>2.0</v>
      </c>
      <c r="S18" s="3">
        <v>1.5</v>
      </c>
      <c r="T18" s="5">
        <v>0.455</v>
      </c>
      <c r="U18" s="1">
        <f t="shared" si="1"/>
        <v>108</v>
      </c>
    </row>
    <row r="19">
      <c r="A19" s="1">
        <v>1.0</v>
      </c>
      <c r="B19" s="1">
        <v>4.0</v>
      </c>
      <c r="C19" s="1">
        <v>0.0</v>
      </c>
      <c r="D19" s="1">
        <v>0.0</v>
      </c>
      <c r="E19" s="1">
        <v>0.0</v>
      </c>
      <c r="F19" s="1">
        <v>0.0</v>
      </c>
      <c r="G19" s="2">
        <v>0.0</v>
      </c>
      <c r="H19" s="1" t="s">
        <v>24</v>
      </c>
      <c r="I19" s="1" t="str">
        <f>IFERROR(__xludf.DUMMYFUNCTION("REGEXREPLACE(MID(H19, SEARCH(""["", H19) + 1, SEARCH(""]"", H19) - SEARCH(""["", H19) - 1), ""\[\]"","""")"),"Arcadia 1")</f>
        <v>Arcadia 1</v>
      </c>
      <c r="J19" s="1">
        <v>0.0</v>
      </c>
      <c r="K19" s="1">
        <v>0.0</v>
      </c>
      <c r="M19" s="3" t="s">
        <v>25</v>
      </c>
      <c r="N19" s="3">
        <v>1.0</v>
      </c>
      <c r="O19" s="3">
        <v>20.0</v>
      </c>
      <c r="P19" s="3">
        <v>14.0</v>
      </c>
      <c r="Q19" s="3">
        <v>116.0</v>
      </c>
      <c r="R19" s="3">
        <v>1.0</v>
      </c>
      <c r="S19" s="3">
        <v>8.0</v>
      </c>
      <c r="T19" s="5">
        <v>0.714</v>
      </c>
      <c r="U19" s="1">
        <f t="shared" si="1"/>
        <v>116</v>
      </c>
    </row>
    <row r="20">
      <c r="A20" s="1">
        <v>1.0</v>
      </c>
      <c r="B20" s="1">
        <v>4.0</v>
      </c>
      <c r="C20" s="1">
        <v>2.0</v>
      </c>
      <c r="D20" s="1">
        <v>8.0</v>
      </c>
      <c r="E20" s="1">
        <v>0.0</v>
      </c>
      <c r="F20" s="1">
        <v>0.0</v>
      </c>
      <c r="G20" s="2">
        <v>1.0</v>
      </c>
      <c r="H20" s="1" t="s">
        <v>29</v>
      </c>
      <c r="I20" s="1" t="str">
        <f>IFERROR(__xludf.DUMMYFUNCTION("REGEXREPLACE(MID(H20, SEARCH(""["", H20) + 1, SEARCH(""]"", H20) - SEARCH(""["", H20) - 1), ""\[\]"","""")"),"Arcadia 1")</f>
        <v>Arcadia 1</v>
      </c>
      <c r="J20" s="1">
        <v>8.0</v>
      </c>
      <c r="K20" s="1">
        <v>0.0</v>
      </c>
      <c r="M20" s="3" t="s">
        <v>31</v>
      </c>
      <c r="N20" s="3">
        <v>5.0</v>
      </c>
      <c r="O20" s="3">
        <v>95.0</v>
      </c>
      <c r="P20" s="3">
        <v>84.0</v>
      </c>
      <c r="Q20" s="3">
        <v>120.4</v>
      </c>
      <c r="R20" s="3">
        <v>2.4</v>
      </c>
      <c r="S20" s="3">
        <v>8.2</v>
      </c>
      <c r="T20" s="5">
        <v>0.714</v>
      </c>
      <c r="U20" s="1">
        <f t="shared" si="1"/>
        <v>602</v>
      </c>
    </row>
    <row r="21">
      <c r="A21" s="1">
        <v>3.0</v>
      </c>
      <c r="B21" s="1">
        <v>11.0</v>
      </c>
      <c r="C21" s="1">
        <v>4.0</v>
      </c>
      <c r="D21" s="1">
        <v>2.67</v>
      </c>
      <c r="E21" s="1">
        <v>0.33</v>
      </c>
      <c r="F21" s="1">
        <v>0.0</v>
      </c>
      <c r="G21" s="2">
        <v>0.75</v>
      </c>
      <c r="H21" s="1" t="s">
        <v>29</v>
      </c>
      <c r="I21" s="1" t="str">
        <f>IFERROR(__xludf.DUMMYFUNCTION("REGEXREPLACE(MID(H21, SEARCH(""["", H21) + 1, SEARCH(""]"", H21) - SEARCH(""["", H21) - 1), ""\[\]"","""")"),"Arcadia 1")</f>
        <v>Arcadia 1</v>
      </c>
      <c r="J21" s="1">
        <v>8.0</v>
      </c>
      <c r="K21" s="1">
        <v>1.0</v>
      </c>
      <c r="M21" s="3" t="s">
        <v>34</v>
      </c>
      <c r="N21" s="3">
        <v>5.0</v>
      </c>
      <c r="O21" s="3">
        <v>100.0</v>
      </c>
      <c r="P21" s="3">
        <v>54.0</v>
      </c>
      <c r="Q21" s="3">
        <v>106.8</v>
      </c>
      <c r="R21" s="3">
        <v>0.8</v>
      </c>
      <c r="S21" s="3">
        <v>7.4</v>
      </c>
      <c r="T21" s="5">
        <v>0.833</v>
      </c>
      <c r="U21" s="1">
        <f t="shared" si="1"/>
        <v>534</v>
      </c>
    </row>
    <row r="22">
      <c r="A22" s="1">
        <v>1.0</v>
      </c>
      <c r="B22" s="1">
        <v>4.0</v>
      </c>
      <c r="C22" s="1">
        <v>2.0</v>
      </c>
      <c r="D22" s="1">
        <v>0.0</v>
      </c>
      <c r="E22" s="1">
        <v>1.0</v>
      </c>
      <c r="F22" s="1">
        <v>0.0</v>
      </c>
      <c r="G22" s="2">
        <v>0.5</v>
      </c>
      <c r="H22" s="1" t="s">
        <v>29</v>
      </c>
      <c r="I22" s="1" t="str">
        <f>IFERROR(__xludf.DUMMYFUNCTION("REGEXREPLACE(MID(H22, SEARCH(""["", H22) + 1, SEARCH(""]"", H22) - SEARCH(""["", H22) - 1), ""\[\]"","""")"),"Arcadia 1")</f>
        <v>Arcadia 1</v>
      </c>
      <c r="J22" s="1">
        <v>0.0</v>
      </c>
      <c r="K22" s="1">
        <v>1.0</v>
      </c>
      <c r="M22" s="3" t="s">
        <v>37</v>
      </c>
      <c r="N22" s="3">
        <v>2.0</v>
      </c>
      <c r="O22" s="3">
        <v>40.0</v>
      </c>
      <c r="P22" s="3">
        <v>23.0</v>
      </c>
      <c r="Q22" s="3">
        <v>23.0</v>
      </c>
      <c r="R22" s="3">
        <v>0.5</v>
      </c>
      <c r="S22" s="3">
        <v>0.5</v>
      </c>
      <c r="T22" s="5">
        <v>0.435</v>
      </c>
      <c r="U22" s="1">
        <f t="shared" si="1"/>
        <v>46</v>
      </c>
    </row>
    <row r="23">
      <c r="A23" s="1">
        <v>2.0</v>
      </c>
      <c r="B23" s="1">
        <v>7.0</v>
      </c>
      <c r="C23" s="1">
        <v>0.0</v>
      </c>
      <c r="D23" s="1">
        <v>0.0</v>
      </c>
      <c r="E23" s="1">
        <v>0.0</v>
      </c>
      <c r="F23" s="1">
        <v>0.0</v>
      </c>
      <c r="G23" s="2">
        <v>0.0</v>
      </c>
      <c r="H23" s="1" t="s">
        <v>38</v>
      </c>
      <c r="I23" s="1" t="str">
        <f>IFERROR(__xludf.DUMMYFUNCTION("REGEXREPLACE(MID(H23, SEARCH(""["", H23) + 1, SEARCH(""]"", H23) - SEARCH(""["", H23) - 1), ""\[\]"","""")"),"Arcadia 1")</f>
        <v>Arcadia 1</v>
      </c>
      <c r="J23" s="1">
        <v>0.0</v>
      </c>
      <c r="K23" s="1">
        <v>0.0</v>
      </c>
      <c r="M23" s="3" t="s">
        <v>37</v>
      </c>
      <c r="N23" s="3">
        <v>3.0</v>
      </c>
      <c r="O23" s="3">
        <v>59.0</v>
      </c>
      <c r="P23" s="3">
        <v>27.0</v>
      </c>
      <c r="Q23" s="3">
        <v>17.33</v>
      </c>
      <c r="R23" s="3">
        <v>0.33</v>
      </c>
      <c r="S23" s="3">
        <v>0.67</v>
      </c>
      <c r="T23" s="5">
        <v>0.333</v>
      </c>
      <c r="U23" s="1">
        <f t="shared" si="1"/>
        <v>52</v>
      </c>
    </row>
    <row r="24">
      <c r="A24" s="1">
        <v>1.0</v>
      </c>
      <c r="B24" s="1">
        <v>4.0</v>
      </c>
      <c r="C24" s="1">
        <v>0.0</v>
      </c>
      <c r="D24" s="1">
        <v>0.0</v>
      </c>
      <c r="E24" s="1">
        <v>0.0</v>
      </c>
      <c r="F24" s="1">
        <v>0.0</v>
      </c>
      <c r="G24" s="2">
        <v>0.0</v>
      </c>
      <c r="H24" s="1" t="s">
        <v>38</v>
      </c>
      <c r="I24" s="1" t="str">
        <f>IFERROR(__xludf.DUMMYFUNCTION("REGEXREPLACE(MID(H24, SEARCH(""["", H24) + 1, SEARCH(""]"", H24) - SEARCH(""["", H24) - 1), ""\[\]"","""")"),"Arcadia 1")</f>
        <v>Arcadia 1</v>
      </c>
      <c r="J24" s="1">
        <v>0.0</v>
      </c>
      <c r="K24" s="1">
        <v>0.0</v>
      </c>
      <c r="M24" s="3" t="s">
        <v>7</v>
      </c>
      <c r="N24" s="3">
        <v>2.0</v>
      </c>
      <c r="O24" s="3">
        <v>40.0</v>
      </c>
      <c r="P24" s="3">
        <v>35.0</v>
      </c>
      <c r="Q24" s="3">
        <v>44.0</v>
      </c>
      <c r="R24" s="3">
        <v>0.5</v>
      </c>
      <c r="S24" s="3">
        <v>2.0</v>
      </c>
      <c r="T24" s="5">
        <v>0.371</v>
      </c>
      <c r="U24" s="1">
        <f t="shared" si="1"/>
        <v>88</v>
      </c>
    </row>
    <row r="25">
      <c r="A25" s="1">
        <v>1.0</v>
      </c>
      <c r="B25" s="1">
        <v>4.0</v>
      </c>
      <c r="C25" s="1">
        <v>1.0</v>
      </c>
      <c r="D25" s="1">
        <v>4.0</v>
      </c>
      <c r="E25" s="1">
        <v>0.0</v>
      </c>
      <c r="F25" s="1">
        <v>0.0</v>
      </c>
      <c r="G25" s="2">
        <v>1.0</v>
      </c>
      <c r="H25" s="1" t="s">
        <v>40</v>
      </c>
      <c r="I25" s="1" t="str">
        <f>IFERROR(__xludf.DUMMYFUNCTION("REGEXREPLACE(MID(H25, SEARCH(""["", H25) + 1, SEARCH(""]"", H25) - SEARCH(""["", H25) - 1), ""\[\]"","""")"),"Arcadia 1")</f>
        <v>Arcadia 1</v>
      </c>
      <c r="J25" s="1">
        <v>4.0</v>
      </c>
      <c r="K25" s="1">
        <v>0.0</v>
      </c>
      <c r="M25" s="3" t="s">
        <v>41</v>
      </c>
      <c r="N25" s="3">
        <v>5.0</v>
      </c>
      <c r="O25" s="3">
        <v>99.0</v>
      </c>
      <c r="P25" s="3">
        <v>63.0</v>
      </c>
      <c r="Q25" s="3">
        <v>75.2</v>
      </c>
      <c r="R25" s="3">
        <v>1.4</v>
      </c>
      <c r="S25" s="3">
        <v>4.8</v>
      </c>
      <c r="T25" s="5">
        <v>0.651</v>
      </c>
      <c r="U25" s="1">
        <f t="shared" si="1"/>
        <v>376</v>
      </c>
    </row>
    <row r="26">
      <c r="A26" s="1">
        <v>3.0</v>
      </c>
      <c r="B26" s="1">
        <v>11.0</v>
      </c>
      <c r="C26" s="1">
        <v>4.0</v>
      </c>
      <c r="D26" s="1">
        <v>-2.67</v>
      </c>
      <c r="E26" s="1">
        <v>0.67</v>
      </c>
      <c r="F26" s="1">
        <v>0.0</v>
      </c>
      <c r="G26" s="2">
        <v>0.0</v>
      </c>
      <c r="H26" s="1" t="s">
        <v>40</v>
      </c>
      <c r="I26" s="1" t="str">
        <f>IFERROR(__xludf.DUMMYFUNCTION("REGEXREPLACE(MID(H26, SEARCH(""["", H26) + 1, SEARCH(""]"", H26) - SEARCH(""["", H26) - 1), ""\[\]"","""")"),"Arcadia 1")</f>
        <v>Arcadia 1</v>
      </c>
      <c r="J26" s="1">
        <v>-8.0</v>
      </c>
      <c r="K26" s="1">
        <v>2.0</v>
      </c>
      <c r="M26" s="3" t="s">
        <v>43</v>
      </c>
      <c r="N26" s="3">
        <v>3.0</v>
      </c>
      <c r="O26" s="3">
        <v>54.0</v>
      </c>
      <c r="P26" s="3">
        <v>49.0</v>
      </c>
      <c r="Q26" s="3">
        <v>80.0</v>
      </c>
      <c r="R26" s="3">
        <v>3.0</v>
      </c>
      <c r="S26" s="3">
        <v>5.33</v>
      </c>
      <c r="T26" s="5">
        <v>0.592</v>
      </c>
      <c r="U26" s="1">
        <f t="shared" si="1"/>
        <v>240</v>
      </c>
    </row>
    <row r="27">
      <c r="A27" s="1">
        <v>1.0</v>
      </c>
      <c r="B27" s="1">
        <v>4.0</v>
      </c>
      <c r="C27" s="1">
        <v>1.0</v>
      </c>
      <c r="D27" s="1">
        <v>-4.0</v>
      </c>
      <c r="E27" s="1">
        <v>1.0</v>
      </c>
      <c r="F27" s="1">
        <v>0.0</v>
      </c>
      <c r="G27" s="2">
        <v>0.0</v>
      </c>
      <c r="H27" s="1" t="s">
        <v>40</v>
      </c>
      <c r="I27" s="1" t="str">
        <f>IFERROR(__xludf.DUMMYFUNCTION("REGEXREPLACE(MID(H27, SEARCH(""["", H27) + 1, SEARCH(""]"", H27) - SEARCH(""["", H27) - 1), ""\[\]"","""")"),"Arcadia 1")</f>
        <v>Arcadia 1</v>
      </c>
      <c r="J27" s="1">
        <v>-4.0</v>
      </c>
      <c r="K27" s="1">
        <v>1.0</v>
      </c>
      <c r="M27" s="3" t="s">
        <v>43</v>
      </c>
      <c r="N27" s="3">
        <v>1.0</v>
      </c>
      <c r="O27" s="3">
        <v>20.0</v>
      </c>
      <c r="P27" s="3">
        <v>19.0</v>
      </c>
      <c r="Q27" s="3">
        <v>124.0</v>
      </c>
      <c r="R27" s="3">
        <v>2.0</v>
      </c>
      <c r="S27" s="3">
        <v>8.0</v>
      </c>
      <c r="T27" s="5">
        <v>0.684</v>
      </c>
      <c r="U27" s="1">
        <f t="shared" si="1"/>
        <v>124</v>
      </c>
    </row>
    <row r="28">
      <c r="A28" s="1">
        <v>3.0</v>
      </c>
      <c r="B28" s="1">
        <v>11.0</v>
      </c>
      <c r="C28" s="1">
        <v>1.0</v>
      </c>
      <c r="D28" s="1">
        <v>1.33</v>
      </c>
      <c r="E28" s="1">
        <v>0.0</v>
      </c>
      <c r="F28" s="1">
        <v>0.0</v>
      </c>
      <c r="G28" s="2">
        <v>1.0</v>
      </c>
      <c r="H28" s="1" t="s">
        <v>46</v>
      </c>
      <c r="I28" s="1" t="str">
        <f>IFERROR(__xludf.DUMMYFUNCTION("REGEXREPLACE(MID(H28, SEARCH(""["", H28) + 1, SEARCH(""]"", H28) - SEARCH(""["", H28) - 1), ""\[\]"","""")"),"Arcadia 1")</f>
        <v>Arcadia 1</v>
      </c>
      <c r="J28" s="1">
        <v>4.0</v>
      </c>
      <c r="K28" s="1">
        <v>0.0</v>
      </c>
      <c r="M28" s="3" t="s">
        <v>48</v>
      </c>
      <c r="N28" s="3">
        <v>5.0</v>
      </c>
      <c r="O28" s="3">
        <v>100.0</v>
      </c>
      <c r="P28" s="3">
        <v>70.0</v>
      </c>
      <c r="Q28" s="3">
        <v>96.8</v>
      </c>
      <c r="R28" s="3">
        <v>1.8</v>
      </c>
      <c r="S28" s="3">
        <v>6.4</v>
      </c>
      <c r="T28" s="5">
        <v>0.714</v>
      </c>
      <c r="U28" s="1">
        <f t="shared" si="1"/>
        <v>484</v>
      </c>
    </row>
    <row r="29">
      <c r="A29" s="1">
        <v>1.0</v>
      </c>
      <c r="B29" s="1">
        <v>4.0</v>
      </c>
      <c r="C29" s="1">
        <v>0.0</v>
      </c>
      <c r="D29" s="1">
        <v>0.0</v>
      </c>
      <c r="E29" s="1">
        <v>0.0</v>
      </c>
      <c r="F29" s="1">
        <v>0.0</v>
      </c>
      <c r="G29" s="2">
        <v>0.0</v>
      </c>
      <c r="H29" s="1" t="s">
        <v>46</v>
      </c>
      <c r="I29" s="1" t="str">
        <f>IFERROR(__xludf.DUMMYFUNCTION("REGEXREPLACE(MID(H29, SEARCH(""["", H29) + 1, SEARCH(""]"", H29) - SEARCH(""["", H29) - 1), ""\[\]"","""")"),"Arcadia 1")</f>
        <v>Arcadia 1</v>
      </c>
      <c r="J29" s="1">
        <v>0.0</v>
      </c>
      <c r="K29" s="1">
        <v>0.0</v>
      </c>
      <c r="M29" s="3" t="s">
        <v>49</v>
      </c>
      <c r="N29" s="3">
        <v>5.0</v>
      </c>
      <c r="O29" s="3">
        <v>97.0</v>
      </c>
      <c r="P29" s="3">
        <v>73.0</v>
      </c>
      <c r="Q29" s="3">
        <v>46.0</v>
      </c>
      <c r="R29" s="3">
        <v>1.8</v>
      </c>
      <c r="S29" s="3">
        <v>2.6</v>
      </c>
      <c r="T29" s="5">
        <v>0.466</v>
      </c>
      <c r="U29" s="1">
        <f t="shared" si="1"/>
        <v>230</v>
      </c>
    </row>
    <row r="30">
      <c r="A30" s="1">
        <v>1.0</v>
      </c>
      <c r="B30" s="1">
        <v>4.0</v>
      </c>
      <c r="C30" s="1">
        <v>0.0</v>
      </c>
      <c r="D30" s="1">
        <v>0.0</v>
      </c>
      <c r="E30" s="1">
        <v>0.0</v>
      </c>
      <c r="F30" s="1">
        <v>0.0</v>
      </c>
      <c r="G30" s="2">
        <v>0.0</v>
      </c>
      <c r="H30" s="1" t="s">
        <v>46</v>
      </c>
      <c r="I30" s="1" t="str">
        <f>IFERROR(__xludf.DUMMYFUNCTION("REGEXREPLACE(MID(H30, SEARCH(""["", H30) + 1, SEARCH(""]"", H30) - SEARCH(""["", H30) - 1), ""\[\]"","""")"),"Arcadia 1")</f>
        <v>Arcadia 1</v>
      </c>
      <c r="J30" s="1">
        <v>0.0</v>
      </c>
      <c r="K30" s="1">
        <v>0.0</v>
      </c>
      <c r="M30" s="3" t="s">
        <v>50</v>
      </c>
      <c r="N30" s="3">
        <v>5.0</v>
      </c>
      <c r="O30" s="3">
        <v>98.0</v>
      </c>
      <c r="P30" s="3">
        <v>69.0</v>
      </c>
      <c r="Q30" s="3">
        <v>64.4</v>
      </c>
      <c r="R30" s="3">
        <v>2.6</v>
      </c>
      <c r="S30" s="3">
        <v>4.2</v>
      </c>
      <c r="T30" s="5">
        <v>0.594</v>
      </c>
      <c r="U30" s="1">
        <f t="shared" si="1"/>
        <v>322</v>
      </c>
    </row>
    <row r="31">
      <c r="A31" s="1">
        <v>4.0</v>
      </c>
      <c r="B31" s="1">
        <v>16.0</v>
      </c>
      <c r="C31" s="1">
        <v>0.0</v>
      </c>
      <c r="D31" s="1">
        <v>0.0</v>
      </c>
      <c r="E31" s="1">
        <v>0.0</v>
      </c>
      <c r="F31" s="1">
        <v>0.0</v>
      </c>
      <c r="G31" s="2">
        <v>0.0</v>
      </c>
      <c r="H31" s="1" t="s">
        <v>51</v>
      </c>
      <c r="I31" s="1" t="str">
        <f>IFERROR(__xludf.DUMMYFUNCTION("REGEXREPLACE(MID(H31, SEARCH(""["", H31) + 1, SEARCH(""]"", H31) - SEARCH(""["", H31) - 1), ""\[\]"","""")"),"Arcadia 2")</f>
        <v>Arcadia 2</v>
      </c>
      <c r="J31" s="1">
        <v>0.0</v>
      </c>
      <c r="K31" s="1">
        <v>0.0</v>
      </c>
      <c r="M31" s="3" t="s">
        <v>53</v>
      </c>
      <c r="N31" s="3">
        <v>1.0</v>
      </c>
      <c r="O31" s="3">
        <v>20.0</v>
      </c>
      <c r="P31" s="3">
        <v>17.0</v>
      </c>
      <c r="Q31" s="3">
        <v>58.0</v>
      </c>
      <c r="R31" s="3">
        <v>0.0</v>
      </c>
      <c r="S31" s="3">
        <v>3.0</v>
      </c>
      <c r="T31" s="5">
        <v>0.412</v>
      </c>
      <c r="U31" s="1">
        <f t="shared" si="1"/>
        <v>58</v>
      </c>
    </row>
    <row r="32">
      <c r="A32" s="1">
        <v>5.0</v>
      </c>
      <c r="B32" s="1">
        <v>20.0</v>
      </c>
      <c r="C32" s="1">
        <v>2.0</v>
      </c>
      <c r="D32" s="1">
        <v>0.8</v>
      </c>
      <c r="E32" s="1">
        <v>0.0</v>
      </c>
      <c r="F32" s="1">
        <v>0.0</v>
      </c>
      <c r="G32" s="2">
        <v>0.5</v>
      </c>
      <c r="H32" s="1" t="s">
        <v>54</v>
      </c>
      <c r="I32" s="1" t="str">
        <f>IFERROR(__xludf.DUMMYFUNCTION("REGEXREPLACE(MID(H32, SEARCH(""["", H32) + 1, SEARCH(""]"", H32) - SEARCH(""["", H32) - 1), ""\[\]"","""")"),"Arcadia 2")</f>
        <v>Arcadia 2</v>
      </c>
      <c r="J32" s="1">
        <v>4.0</v>
      </c>
      <c r="K32" s="1">
        <v>0.0</v>
      </c>
      <c r="M32" s="3" t="s">
        <v>53</v>
      </c>
      <c r="N32" s="3">
        <v>4.0</v>
      </c>
      <c r="O32" s="3">
        <v>78.0</v>
      </c>
      <c r="P32" s="3">
        <v>55.0</v>
      </c>
      <c r="Q32" s="3">
        <v>101.0</v>
      </c>
      <c r="R32" s="3">
        <v>2.25</v>
      </c>
      <c r="S32" s="3">
        <v>7.0</v>
      </c>
      <c r="T32" s="5">
        <v>0.727</v>
      </c>
      <c r="U32" s="1">
        <f t="shared" si="1"/>
        <v>404</v>
      </c>
    </row>
    <row r="33">
      <c r="A33" s="1">
        <v>1.0</v>
      </c>
      <c r="B33" s="1">
        <v>4.0</v>
      </c>
      <c r="C33" s="1">
        <v>0.0</v>
      </c>
      <c r="D33" s="1">
        <v>0.0</v>
      </c>
      <c r="E33" s="1">
        <v>0.0</v>
      </c>
      <c r="F33" s="1">
        <v>0.0</v>
      </c>
      <c r="G33" s="2">
        <v>0.0</v>
      </c>
      <c r="H33" s="1" t="s">
        <v>55</v>
      </c>
      <c r="I33" s="1" t="str">
        <f>IFERROR(__xludf.DUMMYFUNCTION("REGEXREPLACE(MID(H33, SEARCH(""["", H33) + 1, SEARCH(""]"", H33) - SEARCH(""["", H33) - 1), ""\[\]"","""")"),"Arcadia 2")</f>
        <v>Arcadia 2</v>
      </c>
      <c r="J33" s="1">
        <v>0.0</v>
      </c>
      <c r="K33" s="1">
        <v>0.0</v>
      </c>
      <c r="M33" s="3" t="s">
        <v>56</v>
      </c>
      <c r="N33" s="3">
        <v>5.0</v>
      </c>
      <c r="O33" s="3">
        <v>97.0</v>
      </c>
      <c r="P33" s="3">
        <v>73.0</v>
      </c>
      <c r="Q33" s="3">
        <v>93.6</v>
      </c>
      <c r="R33" s="3">
        <v>2.2</v>
      </c>
      <c r="S33" s="3">
        <v>6.8</v>
      </c>
      <c r="T33" s="5">
        <v>0.589</v>
      </c>
      <c r="U33" s="1">
        <f t="shared" si="1"/>
        <v>468</v>
      </c>
    </row>
    <row r="34">
      <c r="A34" s="1">
        <v>1.0</v>
      </c>
      <c r="B34" s="1">
        <v>4.0</v>
      </c>
      <c r="C34" s="1">
        <v>1.0</v>
      </c>
      <c r="D34" s="1">
        <v>0.0</v>
      </c>
      <c r="E34" s="1">
        <v>0.0</v>
      </c>
      <c r="F34" s="1">
        <v>0.0</v>
      </c>
      <c r="G34" s="2">
        <v>0.0</v>
      </c>
      <c r="H34" s="1" t="s">
        <v>55</v>
      </c>
      <c r="I34" s="1" t="str">
        <f>IFERROR(__xludf.DUMMYFUNCTION("REGEXREPLACE(MID(H34, SEARCH(""["", H34) + 1, SEARCH(""]"", H34) - SEARCH(""["", H34) - 1), ""\[\]"","""")"),"Arcadia 2")</f>
        <v>Arcadia 2</v>
      </c>
      <c r="J34" s="1">
        <v>0.0</v>
      </c>
      <c r="K34" s="1">
        <v>0.0</v>
      </c>
      <c r="M34" s="3" t="s">
        <v>58</v>
      </c>
      <c r="N34" s="3">
        <v>5.0</v>
      </c>
      <c r="O34" s="3">
        <v>96.0</v>
      </c>
      <c r="P34" s="3">
        <v>49.0</v>
      </c>
      <c r="Q34" s="3">
        <v>27.2</v>
      </c>
      <c r="R34" s="3">
        <v>0.6</v>
      </c>
      <c r="S34" s="3">
        <v>1.2</v>
      </c>
      <c r="T34" s="5">
        <v>0.449</v>
      </c>
      <c r="U34" s="1">
        <f t="shared" si="1"/>
        <v>136</v>
      </c>
    </row>
    <row r="35">
      <c r="A35" s="1">
        <v>5.0</v>
      </c>
      <c r="B35" s="1">
        <v>20.0</v>
      </c>
      <c r="C35" s="1">
        <v>7.0</v>
      </c>
      <c r="D35" s="1">
        <v>3.2</v>
      </c>
      <c r="E35" s="1">
        <v>0.0</v>
      </c>
      <c r="F35" s="1">
        <v>0.0</v>
      </c>
      <c r="G35" s="6">
        <v>0.571</v>
      </c>
      <c r="H35" s="1" t="s">
        <v>59</v>
      </c>
      <c r="I35" s="1" t="str">
        <f>IFERROR(__xludf.DUMMYFUNCTION("REGEXREPLACE(MID(H35, SEARCH(""["", H35) + 1, SEARCH(""]"", H35) - SEARCH(""["", H35) - 1), ""\[\]"","""")"),"Arcadia 2")</f>
        <v>Arcadia 2</v>
      </c>
      <c r="J35" s="1">
        <v>16.0</v>
      </c>
      <c r="K35" s="1">
        <v>0.0</v>
      </c>
      <c r="M35" s="3" t="s">
        <v>60</v>
      </c>
      <c r="N35" s="3">
        <v>5.0</v>
      </c>
      <c r="O35" s="3">
        <v>100.0</v>
      </c>
      <c r="P35" s="3">
        <v>69.0</v>
      </c>
      <c r="Q35" s="3">
        <v>90.4</v>
      </c>
      <c r="R35" s="3">
        <v>2.2</v>
      </c>
      <c r="S35" s="3">
        <v>6.4</v>
      </c>
      <c r="T35" s="5">
        <v>0.638</v>
      </c>
      <c r="U35" s="1">
        <f t="shared" si="1"/>
        <v>452</v>
      </c>
    </row>
    <row r="36">
      <c r="A36" s="1">
        <v>4.0</v>
      </c>
      <c r="B36" s="1">
        <v>16.0</v>
      </c>
      <c r="C36" s="1">
        <v>0.0</v>
      </c>
      <c r="D36" s="1">
        <v>0.0</v>
      </c>
      <c r="E36" s="1">
        <v>0.0</v>
      </c>
      <c r="F36" s="1">
        <v>0.0</v>
      </c>
      <c r="G36" s="2">
        <v>0.0</v>
      </c>
      <c r="H36" s="1" t="s">
        <v>61</v>
      </c>
      <c r="I36" s="1" t="str">
        <f>IFERROR(__xludf.DUMMYFUNCTION("REGEXREPLACE(MID(H36, SEARCH(""["", H36) + 1, SEARCH(""]"", H36) - SEARCH(""["", H36) - 1), ""\[\]"","""")"),"Arcadia 2")</f>
        <v>Arcadia 2</v>
      </c>
      <c r="J36" s="1">
        <v>0.0</v>
      </c>
      <c r="K36" s="1">
        <v>0.0</v>
      </c>
      <c r="M36" s="3" t="s">
        <v>63</v>
      </c>
      <c r="N36" s="3">
        <v>5.0</v>
      </c>
      <c r="O36" s="3">
        <v>100.0</v>
      </c>
      <c r="P36" s="3">
        <v>69.0</v>
      </c>
      <c r="Q36" s="3">
        <v>96.4</v>
      </c>
      <c r="R36" s="3">
        <v>1.4</v>
      </c>
      <c r="S36" s="3">
        <v>6.6</v>
      </c>
      <c r="T36" s="5">
        <v>0.652</v>
      </c>
      <c r="U36" s="1">
        <f t="shared" si="1"/>
        <v>482</v>
      </c>
    </row>
    <row r="37">
      <c r="A37" s="1">
        <v>1.0</v>
      </c>
      <c r="B37" s="1">
        <v>4.0</v>
      </c>
      <c r="C37" s="1">
        <v>0.0</v>
      </c>
      <c r="D37" s="1">
        <v>0.0</v>
      </c>
      <c r="E37" s="1">
        <v>0.0</v>
      </c>
      <c r="F37" s="1">
        <v>0.0</v>
      </c>
      <c r="G37" s="2">
        <v>0.0</v>
      </c>
      <c r="H37" s="1" t="s">
        <v>61</v>
      </c>
      <c r="I37" s="1" t="str">
        <f>IFERROR(__xludf.DUMMYFUNCTION("REGEXREPLACE(MID(H37, SEARCH(""["", H37) + 1, SEARCH(""]"", H37) - SEARCH(""["", H37) - 1), ""\[\]"","""")"),"Arcadia 2")</f>
        <v>Arcadia 2</v>
      </c>
      <c r="J37" s="1">
        <v>0.0</v>
      </c>
      <c r="K37" s="1">
        <v>0.0</v>
      </c>
      <c r="M37" s="3" t="s">
        <v>64</v>
      </c>
      <c r="N37" s="3">
        <v>5.0</v>
      </c>
      <c r="O37" s="3">
        <v>96.0</v>
      </c>
      <c r="P37" s="3">
        <v>60.0</v>
      </c>
      <c r="Q37" s="3">
        <v>35.2</v>
      </c>
      <c r="R37" s="3">
        <v>1.0</v>
      </c>
      <c r="S37" s="3">
        <v>2.4</v>
      </c>
      <c r="T37" s="5">
        <v>0.317</v>
      </c>
      <c r="U37" s="1">
        <f t="shared" si="1"/>
        <v>176</v>
      </c>
    </row>
    <row r="38">
      <c r="A38" s="1">
        <v>2.0</v>
      </c>
      <c r="B38" s="1">
        <v>8.0</v>
      </c>
      <c r="C38" s="1">
        <v>0.0</v>
      </c>
      <c r="D38" s="1">
        <v>0.0</v>
      </c>
      <c r="E38" s="1">
        <v>0.0</v>
      </c>
      <c r="F38" s="1">
        <v>0.0</v>
      </c>
      <c r="G38" s="2">
        <v>0.0</v>
      </c>
      <c r="H38" s="1" t="s">
        <v>65</v>
      </c>
      <c r="I38" s="1" t="str">
        <f>IFERROR(__xludf.DUMMYFUNCTION("REGEXREPLACE(MID(H38, SEARCH(""["", H38) + 1, SEARCH(""]"", H38) - SEARCH(""["", H38) - 1), ""\[\]"","""")"),"BISV 1")</f>
        <v>BISV 1</v>
      </c>
      <c r="J38" s="1">
        <v>0.0</v>
      </c>
      <c r="K38" s="1">
        <v>0.0</v>
      </c>
      <c r="M38" s="3" t="s">
        <v>67</v>
      </c>
      <c r="N38" s="3">
        <v>5.0</v>
      </c>
      <c r="O38" s="3">
        <v>97.0</v>
      </c>
      <c r="P38" s="3">
        <v>74.0</v>
      </c>
      <c r="Q38" s="3">
        <v>93.6</v>
      </c>
      <c r="R38" s="3">
        <v>1.4</v>
      </c>
      <c r="S38" s="3">
        <v>6.0</v>
      </c>
      <c r="T38" s="5">
        <v>0.662</v>
      </c>
      <c r="U38" s="1">
        <f t="shared" si="1"/>
        <v>468</v>
      </c>
    </row>
    <row r="39">
      <c r="A39" s="1">
        <v>5.0</v>
      </c>
      <c r="B39" s="1">
        <v>20.0</v>
      </c>
      <c r="C39" s="1">
        <v>13.0</v>
      </c>
      <c r="D39" s="1">
        <v>6.4</v>
      </c>
      <c r="E39" s="1">
        <v>0.2</v>
      </c>
      <c r="F39" s="1">
        <v>0.0</v>
      </c>
      <c r="G39" s="6">
        <v>0.692</v>
      </c>
      <c r="H39" s="1" t="s">
        <v>68</v>
      </c>
      <c r="I39" s="1" t="str">
        <f>IFERROR(__xludf.DUMMYFUNCTION("REGEXREPLACE(MID(H39, SEARCH(""["", H39) + 1, SEARCH(""]"", H39) - SEARCH(""["", H39) - 1), ""\[\]"","""")"),"BISV 1")</f>
        <v>BISV 1</v>
      </c>
      <c r="J39" s="1">
        <v>32.0</v>
      </c>
      <c r="K39" s="1">
        <v>1.0</v>
      </c>
      <c r="M39" s="3" t="s">
        <v>69</v>
      </c>
      <c r="N39" s="3">
        <v>5.0</v>
      </c>
      <c r="O39" s="3">
        <v>99.0</v>
      </c>
      <c r="P39" s="3">
        <v>64.0</v>
      </c>
      <c r="Q39" s="3">
        <v>91.2</v>
      </c>
      <c r="R39" s="3">
        <v>0.8</v>
      </c>
      <c r="S39" s="3">
        <v>6.0</v>
      </c>
      <c r="T39" s="5">
        <v>0.672</v>
      </c>
      <c r="U39" s="1">
        <f t="shared" si="1"/>
        <v>456</v>
      </c>
    </row>
    <row r="40">
      <c r="A40" s="1">
        <v>5.0</v>
      </c>
      <c r="B40" s="1">
        <v>20.0</v>
      </c>
      <c r="C40" s="1">
        <v>1.0</v>
      </c>
      <c r="D40" s="1">
        <v>0.8</v>
      </c>
      <c r="E40" s="1">
        <v>0.0</v>
      </c>
      <c r="F40" s="1">
        <v>0.0</v>
      </c>
      <c r="G40" s="2">
        <v>1.0</v>
      </c>
      <c r="H40" s="1" t="s">
        <v>71</v>
      </c>
      <c r="I40" s="1" t="str">
        <f>IFERROR(__xludf.DUMMYFUNCTION("REGEXREPLACE(MID(H40, SEARCH(""["", H40) + 1, SEARCH(""]"", H40) - SEARCH(""["", H40) - 1), ""\[\]"","""")"),"BISV 1")</f>
        <v>BISV 1</v>
      </c>
      <c r="J40" s="1">
        <v>4.0</v>
      </c>
      <c r="K40" s="1">
        <v>0.0</v>
      </c>
      <c r="M40" s="3" t="s">
        <v>72</v>
      </c>
      <c r="N40" s="3">
        <v>5.0</v>
      </c>
      <c r="O40" s="3">
        <v>94.0</v>
      </c>
      <c r="P40" s="3">
        <v>56.0</v>
      </c>
      <c r="Q40" s="3">
        <v>24.4</v>
      </c>
      <c r="R40" s="3">
        <v>0.4</v>
      </c>
      <c r="S40" s="3">
        <v>1.0</v>
      </c>
      <c r="T40" s="5">
        <v>0.357</v>
      </c>
      <c r="U40" s="1">
        <f t="shared" si="1"/>
        <v>122</v>
      </c>
    </row>
    <row r="41">
      <c r="A41" s="1">
        <v>2.0</v>
      </c>
      <c r="B41" s="1">
        <v>8.0</v>
      </c>
      <c r="C41" s="1">
        <v>0.0</v>
      </c>
      <c r="D41" s="1">
        <v>0.0</v>
      </c>
      <c r="E41" s="1">
        <v>0.0</v>
      </c>
      <c r="F41" s="1">
        <v>0.0</v>
      </c>
      <c r="G41" s="2">
        <v>0.0</v>
      </c>
      <c r="H41" s="1" t="s">
        <v>73</v>
      </c>
      <c r="I41" s="1" t="str">
        <f>IFERROR(__xludf.DUMMYFUNCTION("REGEXREPLACE(MID(H41, SEARCH(""["", H41) + 1, SEARCH(""]"", H41) - SEARCH(""["", H41) - 1), ""\[\]"","""")"),"BISV 1")</f>
        <v>BISV 1</v>
      </c>
      <c r="J41" s="1">
        <v>0.0</v>
      </c>
      <c r="K41" s="1">
        <v>0.0</v>
      </c>
      <c r="M41" s="3" t="s">
        <v>57</v>
      </c>
      <c r="N41" s="3">
        <v>3.0</v>
      </c>
      <c r="O41" s="3">
        <v>60.0</v>
      </c>
      <c r="P41" s="3">
        <v>56.0</v>
      </c>
      <c r="Q41" s="3">
        <v>160.0</v>
      </c>
      <c r="R41" s="3">
        <v>3.0</v>
      </c>
      <c r="S41" s="3">
        <v>11.33</v>
      </c>
      <c r="T41" s="5">
        <v>0.786</v>
      </c>
      <c r="U41" s="1">
        <f t="shared" si="1"/>
        <v>480</v>
      </c>
    </row>
    <row r="42">
      <c r="A42" s="1">
        <v>1.0</v>
      </c>
      <c r="B42" s="1">
        <v>4.0</v>
      </c>
      <c r="C42" s="1">
        <v>0.0</v>
      </c>
      <c r="D42" s="1">
        <v>0.0</v>
      </c>
      <c r="E42" s="1">
        <v>0.0</v>
      </c>
      <c r="F42" s="1">
        <v>0.0</v>
      </c>
      <c r="G42" s="2">
        <v>0.0</v>
      </c>
      <c r="H42" s="1" t="s">
        <v>73</v>
      </c>
      <c r="I42" s="1" t="str">
        <f>IFERROR(__xludf.DUMMYFUNCTION("REGEXREPLACE(MID(H42, SEARCH(""["", H42) + 1, SEARCH(""]"", H42) - SEARCH(""["", H42) - 1), ""\[\]"","""")"),"BISV 1")</f>
        <v>BISV 1</v>
      </c>
      <c r="J42" s="1">
        <v>0.0</v>
      </c>
      <c r="K42" s="1">
        <v>0.0</v>
      </c>
      <c r="M42" s="3" t="s">
        <v>57</v>
      </c>
      <c r="N42" s="3">
        <v>1.0</v>
      </c>
      <c r="O42" s="3">
        <v>20.0</v>
      </c>
      <c r="P42" s="3">
        <v>15.0</v>
      </c>
      <c r="Q42" s="3">
        <v>136.0</v>
      </c>
      <c r="R42" s="3">
        <v>3.0</v>
      </c>
      <c r="S42" s="3">
        <v>10.0</v>
      </c>
      <c r="T42" s="7">
        <v>0.8</v>
      </c>
      <c r="U42" s="1">
        <f t="shared" si="1"/>
        <v>136</v>
      </c>
    </row>
    <row r="43">
      <c r="A43" s="1">
        <v>4.0</v>
      </c>
      <c r="B43" s="1">
        <v>16.0</v>
      </c>
      <c r="C43" s="1">
        <v>4.0</v>
      </c>
      <c r="D43" s="1">
        <v>1.0</v>
      </c>
      <c r="E43" s="1">
        <v>0.0</v>
      </c>
      <c r="F43" s="1">
        <v>0.0</v>
      </c>
      <c r="G43" s="2">
        <v>0.25</v>
      </c>
      <c r="H43" s="1" t="s">
        <v>75</v>
      </c>
      <c r="I43" s="1" t="str">
        <f>IFERROR(__xludf.DUMMYFUNCTION("REGEXREPLACE(MID(H43, SEARCH(""["", H43) + 1, SEARCH(""]"", H43) - SEARCH(""["", H43) - 1), ""\[\]"","""")"),"BISV 2")</f>
        <v>BISV 2</v>
      </c>
      <c r="J43" s="1">
        <v>4.0</v>
      </c>
      <c r="K43" s="1">
        <v>0.0</v>
      </c>
      <c r="M43" s="3" t="s">
        <v>39</v>
      </c>
      <c r="N43" s="3">
        <v>5.0</v>
      </c>
      <c r="O43" s="3">
        <v>100.0</v>
      </c>
      <c r="P43" s="3">
        <v>77.0</v>
      </c>
      <c r="Q43" s="3">
        <v>147.6</v>
      </c>
      <c r="R43" s="3">
        <v>2.2</v>
      </c>
      <c r="S43" s="3">
        <v>10.6</v>
      </c>
      <c r="T43" s="5">
        <v>0.818</v>
      </c>
      <c r="U43" s="1">
        <f t="shared" si="1"/>
        <v>738</v>
      </c>
    </row>
    <row r="44">
      <c r="A44" s="1">
        <v>1.0</v>
      </c>
      <c r="B44" s="1">
        <v>4.0</v>
      </c>
      <c r="C44" s="1">
        <v>0.0</v>
      </c>
      <c r="D44" s="1">
        <v>0.0</v>
      </c>
      <c r="E44" s="1">
        <v>0.0</v>
      </c>
      <c r="F44" s="1">
        <v>0.0</v>
      </c>
      <c r="G44" s="2">
        <v>0.0</v>
      </c>
      <c r="H44" s="1" t="s">
        <v>75</v>
      </c>
      <c r="I44" s="1" t="str">
        <f>IFERROR(__xludf.DUMMYFUNCTION("REGEXREPLACE(MID(H44, SEARCH(""["", H44) + 1, SEARCH(""]"", H44) - SEARCH(""["", H44) - 1), ""\[\]"","""")"),"BISV 2")</f>
        <v>BISV 2</v>
      </c>
      <c r="J44" s="1">
        <v>0.0</v>
      </c>
      <c r="K44" s="1">
        <v>0.0</v>
      </c>
      <c r="M44" s="3" t="s">
        <v>57</v>
      </c>
      <c r="N44" s="3">
        <v>1.0</v>
      </c>
      <c r="O44" s="3">
        <v>20.0</v>
      </c>
      <c r="P44" s="3">
        <v>16.0</v>
      </c>
      <c r="Q44" s="3">
        <v>36.0</v>
      </c>
      <c r="R44" s="3">
        <v>5.0</v>
      </c>
      <c r="S44" s="3">
        <v>4.0</v>
      </c>
      <c r="T44" s="7">
        <v>0.25</v>
      </c>
      <c r="U44" s="1">
        <f t="shared" si="1"/>
        <v>36</v>
      </c>
    </row>
    <row r="45">
      <c r="A45" s="1">
        <v>1.0</v>
      </c>
      <c r="B45" s="1">
        <v>4.0</v>
      </c>
      <c r="C45" s="1">
        <v>0.0</v>
      </c>
      <c r="D45" s="1">
        <v>0.0</v>
      </c>
      <c r="E45" s="1">
        <v>0.0</v>
      </c>
      <c r="F45" s="1">
        <v>0.0</v>
      </c>
      <c r="G45" s="2">
        <v>0.0</v>
      </c>
      <c r="H45" s="1" t="s">
        <v>79</v>
      </c>
      <c r="I45" s="1" t="str">
        <f>IFERROR(__xludf.DUMMYFUNCTION("REGEXREPLACE(MID(H45, SEARCH(""["", H45) + 1, SEARCH(""]"", H45) - SEARCH(""["", H45) - 1), ""\[\]"","""")"),"BISV 2")</f>
        <v>BISV 2</v>
      </c>
      <c r="J45" s="1">
        <v>0.0</v>
      </c>
      <c r="K45" s="1">
        <v>0.0</v>
      </c>
      <c r="M45" s="3" t="s">
        <v>18</v>
      </c>
      <c r="N45" s="3">
        <v>3.0</v>
      </c>
      <c r="O45" s="3">
        <v>56.0</v>
      </c>
      <c r="P45" s="3">
        <v>28.0</v>
      </c>
      <c r="Q45" s="3">
        <v>23.33</v>
      </c>
      <c r="R45" s="3">
        <v>1.33</v>
      </c>
      <c r="S45" s="3">
        <v>1.67</v>
      </c>
      <c r="T45" s="5">
        <v>0.321</v>
      </c>
      <c r="U45" s="1">
        <f t="shared" si="1"/>
        <v>70</v>
      </c>
    </row>
    <row r="46">
      <c r="A46" s="1">
        <v>2.0</v>
      </c>
      <c r="B46" s="1">
        <v>8.0</v>
      </c>
      <c r="C46" s="1">
        <v>0.0</v>
      </c>
      <c r="D46" s="1">
        <v>0.0</v>
      </c>
      <c r="E46" s="1">
        <v>0.0</v>
      </c>
      <c r="F46" s="1">
        <v>0.0</v>
      </c>
      <c r="G46" s="2">
        <v>0.0</v>
      </c>
      <c r="H46" s="1" t="s">
        <v>79</v>
      </c>
      <c r="I46" s="1" t="str">
        <f>IFERROR(__xludf.DUMMYFUNCTION("REGEXREPLACE(MID(H46, SEARCH(""["", H46) + 1, SEARCH(""]"", H46) - SEARCH(""["", H46) - 1), ""\[\]"","""")"),"BISV 2")</f>
        <v>BISV 2</v>
      </c>
      <c r="J46" s="1">
        <v>0.0</v>
      </c>
      <c r="K46" s="1">
        <v>0.0</v>
      </c>
      <c r="M46" s="3" t="s">
        <v>18</v>
      </c>
      <c r="N46" s="3">
        <v>1.0</v>
      </c>
      <c r="O46" s="3">
        <v>20.0</v>
      </c>
      <c r="P46" s="3">
        <v>11.0</v>
      </c>
      <c r="Q46" s="3">
        <v>74.0</v>
      </c>
      <c r="R46" s="3">
        <v>1.0</v>
      </c>
      <c r="S46" s="3">
        <v>5.0</v>
      </c>
      <c r="T46" s="5">
        <v>0.636</v>
      </c>
      <c r="U46" s="1">
        <f t="shared" si="1"/>
        <v>74</v>
      </c>
    </row>
    <row r="47">
      <c r="A47" s="1">
        <v>1.0</v>
      </c>
      <c r="B47" s="1">
        <v>4.0</v>
      </c>
      <c r="C47" s="1">
        <v>0.0</v>
      </c>
      <c r="D47" s="1">
        <v>0.0</v>
      </c>
      <c r="E47" s="1">
        <v>0.0</v>
      </c>
      <c r="F47" s="1">
        <v>0.0</v>
      </c>
      <c r="G47" s="2">
        <v>0.0</v>
      </c>
      <c r="H47" s="1" t="s">
        <v>79</v>
      </c>
      <c r="I47" s="1" t="str">
        <f>IFERROR(__xludf.DUMMYFUNCTION("REGEXREPLACE(MID(H47, SEARCH(""["", H47) + 1, SEARCH(""]"", H47) - SEARCH(""["", H47) - 1), ""\[\]"","""")"),"BISV 2")</f>
        <v>BISV 2</v>
      </c>
      <c r="J47" s="1">
        <v>0.0</v>
      </c>
      <c r="K47" s="1">
        <v>0.0</v>
      </c>
      <c r="M47" s="3" t="s">
        <v>82</v>
      </c>
      <c r="N47" s="3">
        <v>5.0</v>
      </c>
      <c r="O47" s="3">
        <v>97.0</v>
      </c>
      <c r="P47" s="3">
        <v>62.0</v>
      </c>
      <c r="Q47" s="3">
        <v>64.8</v>
      </c>
      <c r="R47" s="3">
        <v>1.2</v>
      </c>
      <c r="S47" s="3">
        <v>4.0</v>
      </c>
      <c r="T47" s="5">
        <v>0.597</v>
      </c>
      <c r="U47" s="1">
        <f t="shared" si="1"/>
        <v>324</v>
      </c>
    </row>
    <row r="48">
      <c r="A48" s="1">
        <v>1.0</v>
      </c>
      <c r="B48" s="1">
        <v>4.0</v>
      </c>
      <c r="C48" s="1">
        <v>0.0</v>
      </c>
      <c r="D48" s="1">
        <v>0.0</v>
      </c>
      <c r="E48" s="1">
        <v>0.0</v>
      </c>
      <c r="F48" s="1">
        <v>0.0</v>
      </c>
      <c r="G48" s="2">
        <v>0.0</v>
      </c>
      <c r="H48" s="1" t="s">
        <v>79</v>
      </c>
      <c r="I48" s="1" t="str">
        <f>IFERROR(__xludf.DUMMYFUNCTION("REGEXREPLACE(MID(H48, SEARCH(""["", H48) + 1, SEARCH(""]"", H48) - SEARCH(""["", H48) - 1), ""\[\]"","""")"),"BISV 2")</f>
        <v>BISV 2</v>
      </c>
      <c r="J48" s="1">
        <v>0.0</v>
      </c>
      <c r="K48" s="1">
        <v>0.0</v>
      </c>
      <c r="M48" s="3" t="s">
        <v>84</v>
      </c>
      <c r="N48" s="3">
        <v>5.0</v>
      </c>
      <c r="O48" s="3">
        <v>102.0</v>
      </c>
      <c r="P48" s="3">
        <v>51.0</v>
      </c>
      <c r="Q48" s="3">
        <v>45.6</v>
      </c>
      <c r="R48" s="3">
        <v>0.4</v>
      </c>
      <c r="S48" s="3">
        <v>2.4</v>
      </c>
      <c r="T48" s="5">
        <v>0.569</v>
      </c>
      <c r="U48" s="1">
        <f t="shared" si="1"/>
        <v>228</v>
      </c>
    </row>
    <row r="49">
      <c r="A49" s="1">
        <v>1.0</v>
      </c>
      <c r="B49" s="1">
        <v>4.0</v>
      </c>
      <c r="C49" s="1">
        <v>0.0</v>
      </c>
      <c r="D49" s="1">
        <v>0.0</v>
      </c>
      <c r="E49" s="1">
        <v>0.0</v>
      </c>
      <c r="F49" s="1">
        <v>0.0</v>
      </c>
      <c r="G49" s="2">
        <v>0.0</v>
      </c>
      <c r="H49" s="1" t="s">
        <v>85</v>
      </c>
      <c r="I49" s="1" t="str">
        <f>IFERROR(__xludf.DUMMYFUNCTION("REGEXREPLACE(MID(H49, SEARCH(""["", H49) + 1, SEARCH(""]"", H49) - SEARCH(""["", H49) - 1), ""\[\]"","""")"),"BISV 2")</f>
        <v>BISV 2</v>
      </c>
      <c r="J49" s="1">
        <v>0.0</v>
      </c>
      <c r="K49" s="1">
        <v>0.0</v>
      </c>
      <c r="M49" s="3" t="s">
        <v>86</v>
      </c>
      <c r="N49" s="3">
        <v>5.0</v>
      </c>
      <c r="O49" s="3">
        <v>99.0</v>
      </c>
      <c r="P49" s="3">
        <v>51.0</v>
      </c>
      <c r="Q49" s="3">
        <v>34.4</v>
      </c>
      <c r="R49" s="3">
        <v>0.2</v>
      </c>
      <c r="S49" s="3">
        <v>1.6</v>
      </c>
      <c r="T49" s="5">
        <v>0.471</v>
      </c>
      <c r="U49" s="1">
        <f t="shared" si="1"/>
        <v>172</v>
      </c>
    </row>
    <row r="50">
      <c r="A50" s="1">
        <v>1.0</v>
      </c>
      <c r="B50" s="1">
        <v>4.0</v>
      </c>
      <c r="C50" s="1">
        <v>2.0</v>
      </c>
      <c r="D50" s="1">
        <v>0.0</v>
      </c>
      <c r="E50" s="1">
        <v>1.0</v>
      </c>
      <c r="F50" s="1">
        <v>0.0</v>
      </c>
      <c r="G50" s="2">
        <v>0.5</v>
      </c>
      <c r="H50" s="1" t="s">
        <v>88</v>
      </c>
      <c r="I50" s="1" t="str">
        <f>IFERROR(__xludf.DUMMYFUNCTION("REGEXREPLACE(MID(H50, SEARCH(""["", H50) + 1, SEARCH(""]"", H50) - SEARCH(""["", H50) - 1), ""\[\]"","""")"),"BISV 2")</f>
        <v>BISV 2</v>
      </c>
      <c r="J50" s="1">
        <v>0.0</v>
      </c>
      <c r="K50" s="1">
        <v>1.0</v>
      </c>
      <c r="M50" s="3" t="s">
        <v>89</v>
      </c>
      <c r="N50" s="3">
        <v>3.0</v>
      </c>
      <c r="O50" s="3">
        <v>60.0</v>
      </c>
      <c r="P50" s="3">
        <v>39.0</v>
      </c>
      <c r="Q50" s="3">
        <v>108.67</v>
      </c>
      <c r="R50" s="3">
        <v>2.0</v>
      </c>
      <c r="S50" s="3">
        <v>7.67</v>
      </c>
      <c r="T50" s="5">
        <v>0.769</v>
      </c>
      <c r="U50" s="1">
        <f t="shared" si="1"/>
        <v>326</v>
      </c>
    </row>
    <row r="51">
      <c r="A51" s="1">
        <v>2.0</v>
      </c>
      <c r="B51" s="1">
        <v>8.0</v>
      </c>
      <c r="C51" s="1">
        <v>5.0</v>
      </c>
      <c r="D51" s="1">
        <v>-10.0</v>
      </c>
      <c r="E51" s="1">
        <v>2.5</v>
      </c>
      <c r="F51" s="1">
        <v>0.0</v>
      </c>
      <c r="G51" s="2">
        <v>0.0</v>
      </c>
      <c r="H51" s="1" t="s">
        <v>88</v>
      </c>
      <c r="I51" s="1" t="str">
        <f>IFERROR(__xludf.DUMMYFUNCTION("REGEXREPLACE(MID(H51, SEARCH(""["", H51) + 1, SEARCH(""]"", H51) - SEARCH(""["", H51) - 1), ""\[\]"","""")"),"BISV 2")</f>
        <v>BISV 2</v>
      </c>
      <c r="J51" s="1">
        <v>-20.0</v>
      </c>
      <c r="K51" s="1">
        <v>5.0</v>
      </c>
      <c r="M51" s="3" t="s">
        <v>89</v>
      </c>
      <c r="N51" s="3">
        <v>2.0</v>
      </c>
      <c r="O51" s="3">
        <v>40.0</v>
      </c>
      <c r="P51" s="3">
        <v>27.0</v>
      </c>
      <c r="Q51" s="3">
        <v>47.0</v>
      </c>
      <c r="R51" s="3">
        <v>2.0</v>
      </c>
      <c r="S51" s="3">
        <v>3.5</v>
      </c>
      <c r="T51" s="7">
        <v>0.37</v>
      </c>
      <c r="U51" s="1">
        <f t="shared" si="1"/>
        <v>94</v>
      </c>
    </row>
    <row r="52">
      <c r="A52" s="1">
        <v>1.0</v>
      </c>
      <c r="B52" s="1">
        <v>4.0</v>
      </c>
      <c r="C52" s="1">
        <v>1.0</v>
      </c>
      <c r="D52" s="1">
        <v>4.0</v>
      </c>
      <c r="E52" s="1">
        <v>0.0</v>
      </c>
      <c r="F52" s="1">
        <v>0.0</v>
      </c>
      <c r="G52" s="2">
        <v>1.0</v>
      </c>
      <c r="H52" s="1" t="s">
        <v>76</v>
      </c>
      <c r="I52" s="1" t="str">
        <f>IFERROR(__xludf.DUMMYFUNCTION("REGEXREPLACE(MID(H52, SEARCH(""["", H52) + 1, SEARCH(""]"", H52) - SEARCH(""["", H52) - 1), ""\[\]"","""")"),"BISV 2")</f>
        <v>BISV 2</v>
      </c>
      <c r="J52" s="1">
        <v>4.0</v>
      </c>
      <c r="K52" s="1">
        <v>0.0</v>
      </c>
      <c r="M52" s="3" t="s">
        <v>91</v>
      </c>
      <c r="N52" s="3">
        <v>4.0</v>
      </c>
      <c r="O52" s="3">
        <v>80.0</v>
      </c>
      <c r="P52" s="3">
        <v>58.0</v>
      </c>
      <c r="Q52" s="3">
        <v>59.0</v>
      </c>
      <c r="R52" s="3">
        <v>2.5</v>
      </c>
      <c r="S52" s="3">
        <v>4.0</v>
      </c>
      <c r="T52" s="7">
        <v>0.5</v>
      </c>
      <c r="U52" s="1">
        <f t="shared" si="1"/>
        <v>236</v>
      </c>
    </row>
    <row r="53">
      <c r="A53" s="1">
        <v>4.0</v>
      </c>
      <c r="B53" s="1">
        <v>16.0</v>
      </c>
      <c r="C53" s="1">
        <v>0.0</v>
      </c>
      <c r="D53" s="1">
        <v>0.0</v>
      </c>
      <c r="E53" s="1">
        <v>0.0</v>
      </c>
      <c r="F53" s="1">
        <v>0.0</v>
      </c>
      <c r="G53" s="2">
        <v>0.0</v>
      </c>
      <c r="H53" s="1" t="s">
        <v>92</v>
      </c>
      <c r="I53" s="1" t="str">
        <f>IFERROR(__xludf.DUMMYFUNCTION("REGEXREPLACE(MID(H53, SEARCH(""["", H53) + 1, SEARCH(""]"", H53) - SEARCH(""["", H53) - 1), ""\[\]"","""")"),"Blair")</f>
        <v>Blair</v>
      </c>
      <c r="J53" s="1">
        <v>0.0</v>
      </c>
      <c r="K53" s="1">
        <v>0.0</v>
      </c>
      <c r="M53" s="3" t="s">
        <v>91</v>
      </c>
      <c r="N53" s="3">
        <v>1.0</v>
      </c>
      <c r="O53" s="3">
        <v>20.0</v>
      </c>
      <c r="P53" s="3">
        <v>13.0</v>
      </c>
      <c r="Q53" s="3">
        <v>50.0</v>
      </c>
      <c r="R53" s="3">
        <v>4.0</v>
      </c>
      <c r="S53" s="3">
        <v>3.0</v>
      </c>
      <c r="T53" s="5">
        <v>0.692</v>
      </c>
      <c r="U53" s="1">
        <f t="shared" si="1"/>
        <v>50</v>
      </c>
    </row>
    <row r="54">
      <c r="A54" s="1">
        <v>3.0</v>
      </c>
      <c r="B54" s="1">
        <v>12.0</v>
      </c>
      <c r="C54" s="1">
        <v>0.0</v>
      </c>
      <c r="D54" s="1">
        <v>0.0</v>
      </c>
      <c r="E54" s="1">
        <v>0.0</v>
      </c>
      <c r="F54" s="1">
        <v>0.0</v>
      </c>
      <c r="G54" s="2">
        <v>0.0</v>
      </c>
      <c r="H54" s="1" t="s">
        <v>94</v>
      </c>
      <c r="I54" s="1" t="str">
        <f>IFERROR(__xludf.DUMMYFUNCTION("REGEXREPLACE(MID(H54, SEARCH(""["", H54) + 1, SEARCH(""]"", H54) - SEARCH(""["", H54) - 1), ""\[\]"","""")"),"Blair")</f>
        <v>Blair</v>
      </c>
      <c r="J54" s="1">
        <v>0.0</v>
      </c>
      <c r="K54" s="1">
        <v>0.0</v>
      </c>
      <c r="M54" s="3" t="s">
        <v>95</v>
      </c>
      <c r="N54" s="3">
        <v>3.0</v>
      </c>
      <c r="O54" s="3">
        <v>55.0</v>
      </c>
      <c r="P54" s="3">
        <v>39.0</v>
      </c>
      <c r="Q54" s="3">
        <v>96.0</v>
      </c>
      <c r="R54" s="3">
        <v>0.67</v>
      </c>
      <c r="S54" s="3">
        <v>6.0</v>
      </c>
      <c r="T54" s="5">
        <v>0.744</v>
      </c>
      <c r="U54" s="1">
        <f t="shared" si="1"/>
        <v>288</v>
      </c>
    </row>
    <row r="55">
      <c r="A55" s="1">
        <v>1.0</v>
      </c>
      <c r="B55" s="1">
        <v>4.0</v>
      </c>
      <c r="C55" s="1">
        <v>0.0</v>
      </c>
      <c r="D55" s="1">
        <v>0.0</v>
      </c>
      <c r="E55" s="1">
        <v>0.0</v>
      </c>
      <c r="F55" s="1">
        <v>0.0</v>
      </c>
      <c r="G55" s="2">
        <v>0.0</v>
      </c>
      <c r="H55" s="1" t="s">
        <v>96</v>
      </c>
      <c r="I55" s="1" t="str">
        <f>IFERROR(__xludf.DUMMYFUNCTION("REGEXREPLACE(MID(H55, SEARCH(""["", H55) + 1, SEARCH(""]"", H55) - SEARCH(""["", H55) - 1), ""\[\]"","""")"),"Blair")</f>
        <v>Blair</v>
      </c>
      <c r="J55" s="1">
        <v>0.0</v>
      </c>
      <c r="K55" s="1">
        <v>0.0</v>
      </c>
      <c r="M55" s="3" t="s">
        <v>95</v>
      </c>
      <c r="N55" s="3">
        <v>2.0</v>
      </c>
      <c r="O55" s="3">
        <v>39.0</v>
      </c>
      <c r="P55" s="3">
        <v>27.0</v>
      </c>
      <c r="Q55" s="3">
        <v>87.0</v>
      </c>
      <c r="R55" s="3">
        <v>1.5</v>
      </c>
      <c r="S55" s="3">
        <v>6.5</v>
      </c>
      <c r="T55" s="5">
        <v>0.519</v>
      </c>
      <c r="U55" s="1">
        <f t="shared" si="1"/>
        <v>174</v>
      </c>
    </row>
    <row r="56">
      <c r="A56" s="1">
        <v>4.0</v>
      </c>
      <c r="B56" s="1">
        <v>16.0</v>
      </c>
      <c r="C56" s="1">
        <v>1.0</v>
      </c>
      <c r="D56" s="1">
        <v>-1.0</v>
      </c>
      <c r="E56" s="1">
        <v>0.25</v>
      </c>
      <c r="F56" s="1">
        <v>0.0</v>
      </c>
      <c r="G56" s="2">
        <v>0.0</v>
      </c>
      <c r="H56" s="1" t="s">
        <v>96</v>
      </c>
      <c r="I56" s="1" t="str">
        <f>IFERROR(__xludf.DUMMYFUNCTION("REGEXREPLACE(MID(H56, SEARCH(""["", H56) + 1, SEARCH(""]"", H56) - SEARCH(""["", H56) - 1), ""\[\]"","""")"),"Blair")</f>
        <v>Blair</v>
      </c>
      <c r="J56" s="1">
        <v>-4.0</v>
      </c>
      <c r="K56" s="1">
        <v>1.0</v>
      </c>
      <c r="M56" s="3" t="s">
        <v>97</v>
      </c>
      <c r="N56" s="3">
        <v>1.0</v>
      </c>
      <c r="O56" s="3">
        <v>16.0</v>
      </c>
      <c r="P56" s="3">
        <v>11.0</v>
      </c>
      <c r="Q56" s="3">
        <v>114.0</v>
      </c>
      <c r="R56" s="3">
        <v>0.0</v>
      </c>
      <c r="S56" s="3">
        <v>7.0</v>
      </c>
      <c r="T56" s="7">
        <v>1.0</v>
      </c>
      <c r="U56" s="1">
        <f t="shared" si="1"/>
        <v>114</v>
      </c>
    </row>
    <row r="57">
      <c r="A57" s="1">
        <v>5.0</v>
      </c>
      <c r="B57" s="1">
        <v>20.0</v>
      </c>
      <c r="C57" s="1">
        <v>14.0</v>
      </c>
      <c r="D57" s="1">
        <v>9.6</v>
      </c>
      <c r="E57" s="1">
        <v>0.2</v>
      </c>
      <c r="F57" s="1">
        <v>0.0</v>
      </c>
      <c r="G57" s="6">
        <v>0.929</v>
      </c>
      <c r="H57" s="1" t="s">
        <v>90</v>
      </c>
      <c r="I57" s="1" t="str">
        <f>IFERROR(__xludf.DUMMYFUNCTION("REGEXREPLACE(MID(H57, SEARCH(""["", H57) + 1, SEARCH(""]"", H57) - SEARCH(""["", H57) - 1), ""\[\]"","""")"),"Blair")</f>
        <v>Blair</v>
      </c>
      <c r="J57" s="1">
        <v>48.0</v>
      </c>
      <c r="K57" s="1">
        <v>1.0</v>
      </c>
      <c r="M57" s="3" t="s">
        <v>97</v>
      </c>
      <c r="N57" s="3">
        <v>4.0</v>
      </c>
      <c r="O57" s="3">
        <v>79.0</v>
      </c>
      <c r="P57" s="3">
        <v>55.0</v>
      </c>
      <c r="Q57" s="3">
        <v>103.0</v>
      </c>
      <c r="R57" s="3">
        <v>1.25</v>
      </c>
      <c r="S57" s="3">
        <v>7.0</v>
      </c>
      <c r="T57" s="5">
        <v>0.691</v>
      </c>
      <c r="U57" s="1">
        <f t="shared" si="1"/>
        <v>412</v>
      </c>
    </row>
    <row r="58">
      <c r="A58" s="1">
        <v>4.0</v>
      </c>
      <c r="B58" s="1">
        <v>16.0</v>
      </c>
      <c r="C58" s="1">
        <v>1.0</v>
      </c>
      <c r="D58" s="1">
        <v>1.0</v>
      </c>
      <c r="E58" s="1">
        <v>0.0</v>
      </c>
      <c r="F58" s="1">
        <v>0.0</v>
      </c>
      <c r="G58" s="2">
        <v>1.0</v>
      </c>
      <c r="H58" s="1" t="s">
        <v>100</v>
      </c>
      <c r="I58" s="1" t="str">
        <f>IFERROR(__xludf.DUMMYFUNCTION("REGEXREPLACE(MID(H58, SEARCH(""["", H58) + 1, SEARCH(""]"", H58) - SEARCH(""["", H58) - 1), ""\[\]"","""")"),"Blair")</f>
        <v>Blair</v>
      </c>
      <c r="J58" s="1">
        <v>4.0</v>
      </c>
      <c r="K58" s="1">
        <v>0.0</v>
      </c>
      <c r="M58" s="3" t="s">
        <v>101</v>
      </c>
      <c r="N58" s="3">
        <v>4.0</v>
      </c>
      <c r="O58" s="3">
        <v>77.0</v>
      </c>
      <c r="P58" s="3">
        <v>53.0</v>
      </c>
      <c r="Q58" s="3">
        <v>78.0</v>
      </c>
      <c r="R58" s="3">
        <v>0.75</v>
      </c>
      <c r="S58" s="3">
        <v>4.5</v>
      </c>
      <c r="T58" s="5">
        <v>0.679</v>
      </c>
      <c r="U58" s="1">
        <f t="shared" si="1"/>
        <v>312</v>
      </c>
    </row>
    <row r="59">
      <c r="A59" s="1">
        <v>1.0</v>
      </c>
      <c r="B59" s="1">
        <v>4.0</v>
      </c>
      <c r="C59" s="1">
        <v>1.0</v>
      </c>
      <c r="D59" s="1">
        <v>4.0</v>
      </c>
      <c r="E59" s="1">
        <v>0.0</v>
      </c>
      <c r="F59" s="1">
        <v>0.0</v>
      </c>
      <c r="G59" s="2">
        <v>1.0</v>
      </c>
      <c r="H59" s="1" t="s">
        <v>102</v>
      </c>
      <c r="I59" s="1" t="str">
        <f>IFERROR(__xludf.DUMMYFUNCTION("REGEXREPLACE(MID(H59, SEARCH(""["", H59) + 1, SEARCH(""]"", H59) - SEARCH(""["", H59) - 1), ""\[\]"","""")"),"Bridgeland HS")</f>
        <v>Bridgeland HS</v>
      </c>
      <c r="J59" s="1">
        <v>4.0</v>
      </c>
      <c r="K59" s="1">
        <v>0.0</v>
      </c>
      <c r="M59" s="3" t="s">
        <v>104</v>
      </c>
      <c r="N59" s="3">
        <v>5.0</v>
      </c>
      <c r="O59" s="3">
        <v>94.0</v>
      </c>
      <c r="P59" s="3">
        <v>56.0</v>
      </c>
      <c r="Q59" s="3">
        <v>32.4</v>
      </c>
      <c r="R59" s="3">
        <v>0.4</v>
      </c>
      <c r="S59" s="3">
        <v>1.4</v>
      </c>
      <c r="T59" s="5">
        <v>0.446</v>
      </c>
      <c r="U59" s="1">
        <f t="shared" si="1"/>
        <v>162</v>
      </c>
    </row>
    <row r="60">
      <c r="A60" s="1">
        <v>1.0</v>
      </c>
      <c r="B60" s="1">
        <v>4.0</v>
      </c>
      <c r="C60" s="1">
        <v>0.0</v>
      </c>
      <c r="D60" s="1">
        <v>0.0</v>
      </c>
      <c r="E60" s="1">
        <v>0.0</v>
      </c>
      <c r="F60" s="1">
        <v>0.0</v>
      </c>
      <c r="G60" s="2">
        <v>0.0</v>
      </c>
      <c r="H60" s="1" t="s">
        <v>102</v>
      </c>
      <c r="I60" s="1" t="str">
        <f>IFERROR(__xludf.DUMMYFUNCTION("REGEXREPLACE(MID(H60, SEARCH(""["", H60) + 1, SEARCH(""]"", H60) - SEARCH(""["", H60) - 1), ""\[\]"","""")"),"Bridgeland HS")</f>
        <v>Bridgeland HS</v>
      </c>
      <c r="J60" s="1">
        <v>0.0</v>
      </c>
      <c r="K60" s="1">
        <v>0.0</v>
      </c>
      <c r="M60" s="3" t="s">
        <v>4</v>
      </c>
      <c r="N60" s="3">
        <v>4.0</v>
      </c>
      <c r="O60" s="3">
        <v>80.0</v>
      </c>
      <c r="P60" s="3">
        <v>50.0</v>
      </c>
      <c r="Q60" s="3">
        <v>39.5</v>
      </c>
      <c r="R60" s="3">
        <v>2.0</v>
      </c>
      <c r="S60" s="3">
        <v>2.25</v>
      </c>
      <c r="T60" s="7">
        <v>0.5</v>
      </c>
      <c r="U60" s="1">
        <f t="shared" si="1"/>
        <v>158</v>
      </c>
    </row>
    <row r="61">
      <c r="A61" s="1">
        <v>5.0</v>
      </c>
      <c r="B61" s="1">
        <v>20.0</v>
      </c>
      <c r="C61" s="1">
        <v>4.0</v>
      </c>
      <c r="D61" s="1">
        <v>1.6</v>
      </c>
      <c r="E61" s="1">
        <v>0.2</v>
      </c>
      <c r="F61" s="1">
        <v>0.0</v>
      </c>
      <c r="G61" s="2">
        <v>0.75</v>
      </c>
      <c r="H61" s="1" t="s">
        <v>66</v>
      </c>
      <c r="I61" s="1" t="str">
        <f>IFERROR(__xludf.DUMMYFUNCTION("REGEXREPLACE(MID(H61, SEARCH(""["", H61) + 1, SEARCH(""]"", H61) - SEARCH(""["", H61) - 1), ""\[\]"","""")"),"Bridgeland HS")</f>
        <v>Bridgeland HS</v>
      </c>
      <c r="J61" s="1">
        <v>8.0</v>
      </c>
      <c r="K61" s="1">
        <v>1.0</v>
      </c>
      <c r="M61" s="3" t="s">
        <v>107</v>
      </c>
      <c r="N61" s="3">
        <v>1.0</v>
      </c>
      <c r="O61" s="3">
        <v>20.0</v>
      </c>
      <c r="P61" s="3">
        <v>18.0</v>
      </c>
      <c r="Q61" s="3">
        <v>74.0</v>
      </c>
      <c r="R61" s="3">
        <v>3.0</v>
      </c>
      <c r="S61" s="3">
        <v>3.0</v>
      </c>
      <c r="T61" s="5">
        <v>0.778</v>
      </c>
      <c r="U61" s="1">
        <f t="shared" si="1"/>
        <v>74</v>
      </c>
    </row>
    <row r="62">
      <c r="A62" s="1">
        <v>2.0</v>
      </c>
      <c r="B62" s="1">
        <v>8.0</v>
      </c>
      <c r="C62" s="1">
        <v>1.0</v>
      </c>
      <c r="D62" s="1">
        <v>0.0</v>
      </c>
      <c r="E62" s="1">
        <v>0.0</v>
      </c>
      <c r="F62" s="1">
        <v>0.0</v>
      </c>
      <c r="G62" s="2">
        <v>0.0</v>
      </c>
      <c r="H62" s="1" t="s">
        <v>108</v>
      </c>
      <c r="I62" s="1" t="str">
        <f>IFERROR(__xludf.DUMMYFUNCTION("REGEXREPLACE(MID(H62, SEARCH(""["", H62) + 1, SEARCH(""]"", H62) - SEARCH(""["", H62) - 1), ""\[\]"","""")"),"Bridgeland HS")</f>
        <v>Bridgeland HS</v>
      </c>
      <c r="J62" s="1">
        <v>0.0</v>
      </c>
      <c r="K62" s="1">
        <v>0.0</v>
      </c>
      <c r="M62" s="3" t="s">
        <v>1</v>
      </c>
      <c r="N62" s="3">
        <v>3.0</v>
      </c>
      <c r="O62" s="3">
        <v>60.0</v>
      </c>
      <c r="P62" s="3">
        <v>45.0</v>
      </c>
      <c r="Q62" s="3">
        <v>132.0</v>
      </c>
      <c r="R62" s="3">
        <v>1.0</v>
      </c>
      <c r="S62" s="3">
        <v>8.67</v>
      </c>
      <c r="T62" s="5">
        <v>0.822</v>
      </c>
      <c r="U62" s="1">
        <f t="shared" si="1"/>
        <v>396</v>
      </c>
    </row>
    <row r="63">
      <c r="A63" s="1">
        <v>2.0</v>
      </c>
      <c r="B63" s="1">
        <v>8.0</v>
      </c>
      <c r="C63" s="1">
        <v>3.0</v>
      </c>
      <c r="D63" s="1">
        <v>6.0</v>
      </c>
      <c r="E63" s="1">
        <v>0.0</v>
      </c>
      <c r="F63" s="1">
        <v>0.0</v>
      </c>
      <c r="G63" s="2">
        <v>1.0</v>
      </c>
      <c r="H63" s="1" t="s">
        <v>109</v>
      </c>
      <c r="I63" s="1" t="str">
        <f>IFERROR(__xludf.DUMMYFUNCTION("REGEXREPLACE(MID(H63, SEARCH(""["", H63) + 1, SEARCH(""]"", H63) - SEARCH(""["", H63) - 1), ""\[\]"","""")"),"Bridgeland HS")</f>
        <v>Bridgeland HS</v>
      </c>
      <c r="J63" s="1">
        <v>12.0</v>
      </c>
      <c r="K63" s="1">
        <v>0.0</v>
      </c>
      <c r="M63" s="3" t="s">
        <v>107</v>
      </c>
      <c r="N63" s="3">
        <v>1.0</v>
      </c>
      <c r="O63" s="3">
        <v>20.0</v>
      </c>
      <c r="P63" s="3">
        <v>17.0</v>
      </c>
      <c r="Q63" s="3">
        <v>96.0</v>
      </c>
      <c r="R63" s="3">
        <v>2.0</v>
      </c>
      <c r="S63" s="3">
        <v>6.0</v>
      </c>
      <c r="T63" s="5">
        <v>0.647</v>
      </c>
      <c r="U63" s="1">
        <f t="shared" si="1"/>
        <v>96</v>
      </c>
    </row>
    <row r="64">
      <c r="A64" s="1">
        <v>1.0</v>
      </c>
      <c r="B64" s="1">
        <v>4.0</v>
      </c>
      <c r="C64" s="1">
        <v>0.0</v>
      </c>
      <c r="D64" s="1">
        <v>0.0</v>
      </c>
      <c r="E64" s="1">
        <v>0.0</v>
      </c>
      <c r="F64" s="1">
        <v>0.0</v>
      </c>
      <c r="G64" s="2">
        <v>0.0</v>
      </c>
      <c r="H64" s="1" t="s">
        <v>110</v>
      </c>
      <c r="I64" s="1" t="str">
        <f>IFERROR(__xludf.DUMMYFUNCTION("REGEXREPLACE(MID(H64, SEARCH(""["", H64) + 1, SEARCH(""]"", H64) - SEARCH(""["", H64) - 1), ""\[\]"","""")"),"Bridgeland HS")</f>
        <v>Bridgeland HS</v>
      </c>
      <c r="J64" s="1">
        <v>0.0</v>
      </c>
      <c r="K64" s="1">
        <v>0.0</v>
      </c>
      <c r="M64" s="3" t="s">
        <v>107</v>
      </c>
      <c r="N64" s="3">
        <v>2.0</v>
      </c>
      <c r="O64" s="3">
        <v>38.0</v>
      </c>
      <c r="P64" s="3">
        <v>24.0</v>
      </c>
      <c r="Q64" s="3">
        <v>31.0</v>
      </c>
      <c r="R64" s="3">
        <v>3.0</v>
      </c>
      <c r="S64" s="3">
        <v>2.5</v>
      </c>
      <c r="T64" s="5">
        <v>0.375</v>
      </c>
      <c r="U64" s="1">
        <f t="shared" si="1"/>
        <v>62</v>
      </c>
    </row>
    <row r="65">
      <c r="A65" s="1">
        <v>2.0</v>
      </c>
      <c r="B65" s="1">
        <v>8.0</v>
      </c>
      <c r="C65" s="1">
        <v>2.0</v>
      </c>
      <c r="D65" s="1">
        <v>2.0</v>
      </c>
      <c r="E65" s="1">
        <v>0.0</v>
      </c>
      <c r="F65" s="1">
        <v>0.0</v>
      </c>
      <c r="G65" s="2">
        <v>0.5</v>
      </c>
      <c r="H65" s="1" t="s">
        <v>111</v>
      </c>
      <c r="I65" s="1" t="str">
        <f>IFERROR(__xludf.DUMMYFUNCTION("REGEXREPLACE(MID(H65, SEARCH(""["", H65) + 1, SEARCH(""]"", H65) - SEARCH(""["", H65) - 1), ""\[\]"","""")"),"Camas Papermakers")</f>
        <v>Camas Papermakers</v>
      </c>
      <c r="J65" s="1">
        <v>4.0</v>
      </c>
      <c r="K65" s="1">
        <v>0.0</v>
      </c>
      <c r="M65" s="3" t="s">
        <v>1</v>
      </c>
      <c r="N65" s="3">
        <v>1.0</v>
      </c>
      <c r="O65" s="3">
        <v>20.0</v>
      </c>
      <c r="P65" s="3">
        <v>15.0</v>
      </c>
      <c r="Q65" s="3">
        <v>60.0</v>
      </c>
      <c r="R65" s="3">
        <v>2.0</v>
      </c>
      <c r="S65" s="3">
        <v>4.0</v>
      </c>
      <c r="T65" s="5">
        <v>0.467</v>
      </c>
      <c r="U65" s="1">
        <f t="shared" si="1"/>
        <v>60</v>
      </c>
    </row>
    <row r="66">
      <c r="A66" s="1">
        <v>2.0</v>
      </c>
      <c r="B66" s="1">
        <v>8.0</v>
      </c>
      <c r="C66" s="1">
        <v>2.0</v>
      </c>
      <c r="D66" s="1">
        <v>0.0</v>
      </c>
      <c r="E66" s="1">
        <v>0.0</v>
      </c>
      <c r="F66" s="1">
        <v>0.0</v>
      </c>
      <c r="G66" s="2">
        <v>0.0</v>
      </c>
      <c r="H66" s="1" t="s">
        <v>111</v>
      </c>
      <c r="I66" s="1" t="str">
        <f>IFERROR(__xludf.DUMMYFUNCTION("REGEXREPLACE(MID(H66, SEARCH(""["", H66) + 1, SEARCH(""]"", H66) - SEARCH(""["", H66) - 1), ""\[\]"","""")"),"Camas Papermakers")</f>
        <v>Camas Papermakers</v>
      </c>
      <c r="J66" s="1">
        <v>0.0</v>
      </c>
      <c r="K66" s="1">
        <v>0.0</v>
      </c>
      <c r="M66" s="3" t="s">
        <v>107</v>
      </c>
      <c r="N66" s="3">
        <v>1.0</v>
      </c>
      <c r="O66" s="3">
        <v>20.0</v>
      </c>
      <c r="P66" s="3">
        <v>13.0</v>
      </c>
      <c r="Q66" s="3">
        <v>68.0</v>
      </c>
      <c r="R66" s="3">
        <v>5.0</v>
      </c>
      <c r="S66" s="3">
        <v>6.0</v>
      </c>
      <c r="T66" s="5">
        <v>0.538</v>
      </c>
      <c r="U66" s="1">
        <f t="shared" si="1"/>
        <v>68</v>
      </c>
    </row>
    <row r="67">
      <c r="A67" s="1">
        <v>1.0</v>
      </c>
      <c r="B67" s="1">
        <v>4.0</v>
      </c>
      <c r="C67" s="1">
        <v>1.0</v>
      </c>
      <c r="D67" s="1">
        <v>0.0</v>
      </c>
      <c r="E67" s="1">
        <v>0.0</v>
      </c>
      <c r="F67" s="1">
        <v>0.0</v>
      </c>
      <c r="G67" s="2">
        <v>0.0</v>
      </c>
      <c r="H67" s="1" t="s">
        <v>111</v>
      </c>
      <c r="I67" s="1" t="str">
        <f>IFERROR(__xludf.DUMMYFUNCTION("REGEXREPLACE(MID(H67, SEARCH(""["", H67) + 1, SEARCH(""]"", H67) - SEARCH(""["", H67) - 1), ""\[\]"","""")"),"Camas Papermakers")</f>
        <v>Camas Papermakers</v>
      </c>
      <c r="J67" s="1">
        <v>0.0</v>
      </c>
      <c r="K67" s="1">
        <v>0.0</v>
      </c>
      <c r="M67" s="3" t="s">
        <v>114</v>
      </c>
      <c r="N67" s="3">
        <v>5.0</v>
      </c>
      <c r="O67" s="3">
        <v>98.0</v>
      </c>
      <c r="P67" s="3">
        <v>74.0</v>
      </c>
      <c r="Q67" s="3">
        <v>81.6</v>
      </c>
      <c r="R67" s="3">
        <v>1.2</v>
      </c>
      <c r="S67" s="3">
        <v>5.2</v>
      </c>
      <c r="T67" s="5">
        <v>0.581</v>
      </c>
      <c r="U67" s="1">
        <f t="shared" si="1"/>
        <v>408</v>
      </c>
    </row>
    <row r="68">
      <c r="A68" s="1">
        <v>2.0</v>
      </c>
      <c r="B68" s="1">
        <v>8.0</v>
      </c>
      <c r="C68" s="1">
        <v>1.0</v>
      </c>
      <c r="D68" s="1">
        <v>2.0</v>
      </c>
      <c r="E68" s="1">
        <v>0.0</v>
      </c>
      <c r="F68" s="1">
        <v>0.0</v>
      </c>
      <c r="G68" s="2">
        <v>1.0</v>
      </c>
      <c r="H68" s="1" t="s">
        <v>115</v>
      </c>
      <c r="I68" s="1" t="str">
        <f>IFERROR(__xludf.DUMMYFUNCTION("REGEXREPLACE(MID(H68, SEARCH(""["", H68) + 1, SEARCH(""]"", H68) - SEARCH(""["", H68) - 1), ""\[\]"","""")"),"Camas Papermakers")</f>
        <v>Camas Papermakers</v>
      </c>
      <c r="J68" s="1">
        <v>4.0</v>
      </c>
      <c r="K68" s="1">
        <v>0.0</v>
      </c>
      <c r="M68" s="3" t="s">
        <v>116</v>
      </c>
      <c r="N68" s="3">
        <v>1.0</v>
      </c>
      <c r="O68" s="3">
        <v>20.0</v>
      </c>
      <c r="P68" s="3">
        <v>15.0</v>
      </c>
      <c r="Q68" s="3">
        <v>72.0</v>
      </c>
      <c r="R68" s="3">
        <v>4.0</v>
      </c>
      <c r="S68" s="3">
        <v>6.0</v>
      </c>
      <c r="T68" s="5">
        <v>0.467</v>
      </c>
      <c r="U68" s="1">
        <f t="shared" si="1"/>
        <v>72</v>
      </c>
    </row>
    <row r="69">
      <c r="A69" s="1">
        <v>3.0</v>
      </c>
      <c r="B69" s="1">
        <v>12.0</v>
      </c>
      <c r="C69" s="1">
        <v>1.0</v>
      </c>
      <c r="D69" s="1">
        <v>0.0</v>
      </c>
      <c r="E69" s="1">
        <v>0.0</v>
      </c>
      <c r="F69" s="1">
        <v>0.0</v>
      </c>
      <c r="G69" s="2">
        <v>0.0</v>
      </c>
      <c r="H69" s="1" t="s">
        <v>115</v>
      </c>
      <c r="I69" s="1" t="str">
        <f>IFERROR(__xludf.DUMMYFUNCTION("REGEXREPLACE(MID(H69, SEARCH(""["", H69) + 1, SEARCH(""]"", H69) - SEARCH(""["", H69) - 1), ""\[\]"","""")"),"Camas Papermakers")</f>
        <v>Camas Papermakers</v>
      </c>
      <c r="J69" s="1">
        <v>0.0</v>
      </c>
      <c r="K69" s="1">
        <v>0.0</v>
      </c>
      <c r="M69" s="3" t="s">
        <v>6</v>
      </c>
      <c r="N69" s="3">
        <v>1.0</v>
      </c>
      <c r="O69" s="3">
        <v>20.0</v>
      </c>
      <c r="P69" s="3">
        <v>12.0</v>
      </c>
      <c r="Q69" s="3">
        <v>90.0</v>
      </c>
      <c r="R69" s="3">
        <v>3.0</v>
      </c>
      <c r="S69" s="3">
        <v>7.0</v>
      </c>
      <c r="T69" s="5">
        <v>0.667</v>
      </c>
      <c r="U69" s="1">
        <f t="shared" si="1"/>
        <v>90</v>
      </c>
    </row>
    <row r="70">
      <c r="A70" s="1">
        <v>2.0</v>
      </c>
      <c r="B70" s="1">
        <v>8.0</v>
      </c>
      <c r="C70" s="1">
        <v>0.0</v>
      </c>
      <c r="D70" s="1">
        <v>0.0</v>
      </c>
      <c r="E70" s="1">
        <v>0.0</v>
      </c>
      <c r="F70" s="1">
        <v>0.0</v>
      </c>
      <c r="G70" s="2">
        <v>0.0</v>
      </c>
      <c r="H70" s="1" t="s">
        <v>117</v>
      </c>
      <c r="I70" s="1" t="str">
        <f>IFERROR(__xludf.DUMMYFUNCTION("REGEXREPLACE(MID(H70, SEARCH(""["", H70) + 1, SEARCH(""]"", H70) - SEARCH(""["", H70) - 1), ""\[\]"","""")"),"Camas Papermakers")</f>
        <v>Camas Papermakers</v>
      </c>
      <c r="J70" s="1">
        <v>0.0</v>
      </c>
      <c r="K70" s="1">
        <v>0.0</v>
      </c>
      <c r="M70" s="3" t="s">
        <v>6</v>
      </c>
      <c r="N70" s="3">
        <v>3.0</v>
      </c>
      <c r="O70" s="3">
        <v>60.0</v>
      </c>
      <c r="P70" s="3">
        <v>39.0</v>
      </c>
      <c r="Q70" s="3">
        <v>57.33</v>
      </c>
      <c r="R70" s="3">
        <v>1.67</v>
      </c>
      <c r="S70" s="3">
        <v>3.33</v>
      </c>
      <c r="T70" s="7">
        <v>0.59</v>
      </c>
      <c r="U70" s="1">
        <f t="shared" si="1"/>
        <v>172</v>
      </c>
    </row>
    <row r="71">
      <c r="A71" s="1">
        <v>1.0</v>
      </c>
      <c r="B71" s="1">
        <v>4.0</v>
      </c>
      <c r="C71" s="1">
        <v>0.0</v>
      </c>
      <c r="D71" s="1">
        <v>0.0</v>
      </c>
      <c r="E71" s="1">
        <v>0.0</v>
      </c>
      <c r="F71" s="1">
        <v>0.0</v>
      </c>
      <c r="G71" s="2">
        <v>0.0</v>
      </c>
      <c r="H71" s="1" t="s">
        <v>117</v>
      </c>
      <c r="I71" s="1" t="str">
        <f>IFERROR(__xludf.DUMMYFUNCTION("REGEXREPLACE(MID(H71, SEARCH(""["", H71) + 1, SEARCH(""]"", H71) - SEARCH(""["", H71) - 1), ""\[\]"","""")"),"Camas Papermakers")</f>
        <v>Camas Papermakers</v>
      </c>
      <c r="J71" s="1">
        <v>0.0</v>
      </c>
      <c r="K71" s="1">
        <v>0.0</v>
      </c>
      <c r="M71" s="3" t="s">
        <v>118</v>
      </c>
      <c r="N71" s="3">
        <v>5.0</v>
      </c>
      <c r="O71" s="3">
        <v>98.0</v>
      </c>
      <c r="P71" s="3">
        <v>71.0</v>
      </c>
      <c r="Q71" s="3">
        <v>39.6</v>
      </c>
      <c r="R71" s="3">
        <v>2.6</v>
      </c>
      <c r="S71" s="3">
        <v>2.6</v>
      </c>
      <c r="T71" s="5">
        <v>0.423</v>
      </c>
      <c r="U71" s="1">
        <f t="shared" si="1"/>
        <v>198</v>
      </c>
    </row>
    <row r="72">
      <c r="A72" s="1">
        <v>1.0</v>
      </c>
      <c r="B72" s="1">
        <v>4.0</v>
      </c>
      <c r="C72" s="1">
        <v>0.0</v>
      </c>
      <c r="D72" s="1">
        <v>0.0</v>
      </c>
      <c r="E72" s="1">
        <v>0.0</v>
      </c>
      <c r="F72" s="1">
        <v>0.0</v>
      </c>
      <c r="G72" s="2">
        <v>0.0</v>
      </c>
      <c r="H72" s="1" t="s">
        <v>117</v>
      </c>
      <c r="I72" s="1" t="str">
        <f>IFERROR(__xludf.DUMMYFUNCTION("REGEXREPLACE(MID(H72, SEARCH(""["", H72) + 1, SEARCH(""]"", H72) - SEARCH(""["", H72) - 1), ""\[\]"","""")"),"Camas Papermakers")</f>
        <v>Camas Papermakers</v>
      </c>
      <c r="J72" s="1">
        <v>0.0</v>
      </c>
      <c r="K72" s="1">
        <v>0.0</v>
      </c>
      <c r="M72" s="3" t="s">
        <v>120</v>
      </c>
      <c r="N72" s="3">
        <v>4.0</v>
      </c>
      <c r="O72" s="3">
        <v>77.0</v>
      </c>
      <c r="P72" s="3">
        <v>53.0</v>
      </c>
      <c r="Q72" s="3">
        <v>64.0</v>
      </c>
      <c r="R72" s="3">
        <v>1.0</v>
      </c>
      <c r="S72" s="3">
        <v>4.0</v>
      </c>
      <c r="T72" s="5">
        <v>0.528</v>
      </c>
      <c r="U72" s="1">
        <f t="shared" si="1"/>
        <v>256</v>
      </c>
    </row>
    <row r="73">
      <c r="A73" s="1">
        <v>1.0</v>
      </c>
      <c r="B73" s="1">
        <v>4.0</v>
      </c>
      <c r="C73" s="1">
        <v>0.0</v>
      </c>
      <c r="D73" s="1">
        <v>0.0</v>
      </c>
      <c r="E73" s="1">
        <v>0.0</v>
      </c>
      <c r="F73" s="1">
        <v>0.0</v>
      </c>
      <c r="G73" s="2">
        <v>0.0</v>
      </c>
      <c r="H73" s="1" t="s">
        <v>117</v>
      </c>
      <c r="I73" s="1" t="str">
        <f>IFERROR(__xludf.DUMMYFUNCTION("REGEXREPLACE(MID(H73, SEARCH(""["", H73) + 1, SEARCH(""]"", H73) - SEARCH(""["", H73) - 1), ""\[\]"","""")"),"Camas Papermakers")</f>
        <v>Camas Papermakers</v>
      </c>
      <c r="J73" s="1">
        <v>0.0</v>
      </c>
      <c r="K73" s="1">
        <v>0.0</v>
      </c>
      <c r="M73" s="3" t="s">
        <v>121</v>
      </c>
      <c r="N73" s="3">
        <v>4.0</v>
      </c>
      <c r="O73" s="3">
        <v>80.0</v>
      </c>
      <c r="P73" s="3">
        <v>43.0</v>
      </c>
      <c r="Q73" s="3">
        <v>59.0</v>
      </c>
      <c r="R73" s="3">
        <v>0.5</v>
      </c>
      <c r="S73" s="3">
        <v>3.5</v>
      </c>
      <c r="T73" s="5">
        <v>0.605</v>
      </c>
      <c r="U73" s="1">
        <f t="shared" si="1"/>
        <v>236</v>
      </c>
    </row>
    <row r="74">
      <c r="A74" s="1">
        <v>3.0</v>
      </c>
      <c r="B74" s="1">
        <v>11.0</v>
      </c>
      <c r="C74" s="1">
        <v>5.0</v>
      </c>
      <c r="D74" s="1">
        <v>2.67</v>
      </c>
      <c r="E74" s="1">
        <v>0.0</v>
      </c>
      <c r="F74" s="1">
        <v>0.0</v>
      </c>
      <c r="G74" s="2">
        <v>0.4</v>
      </c>
      <c r="H74" s="1" t="s">
        <v>123</v>
      </c>
      <c r="I74" s="1" t="str">
        <f>IFERROR(__xludf.DUMMYFUNCTION("REGEXREPLACE(MID(H74, SEARCH(""["", H74) + 1, SEARCH(""]"", H74) - SEARCH(""["", H74) - 1), ""\[\]"","""")"),"Chattahoochee HS")</f>
        <v>Chattahoochee HS</v>
      </c>
      <c r="J74" s="1">
        <v>8.0</v>
      </c>
      <c r="K74" s="1">
        <v>0.0</v>
      </c>
      <c r="M74" s="3" t="s">
        <v>121</v>
      </c>
      <c r="N74" s="3">
        <v>1.0</v>
      </c>
      <c r="O74" s="3">
        <v>20.0</v>
      </c>
      <c r="P74" s="3">
        <v>15.0</v>
      </c>
      <c r="Q74" s="3">
        <v>26.0</v>
      </c>
      <c r="R74" s="3">
        <v>0.0</v>
      </c>
      <c r="S74" s="3">
        <v>1.0</v>
      </c>
      <c r="T74" s="5">
        <v>0.267</v>
      </c>
      <c r="U74" s="1">
        <f t="shared" si="1"/>
        <v>26</v>
      </c>
    </row>
    <row r="75">
      <c r="A75" s="1">
        <v>5.0</v>
      </c>
      <c r="B75" s="1">
        <v>19.0</v>
      </c>
      <c r="C75" s="1">
        <v>0.0</v>
      </c>
      <c r="D75" s="1">
        <v>0.0</v>
      </c>
      <c r="E75" s="1">
        <v>0.0</v>
      </c>
      <c r="F75" s="1">
        <v>0.0</v>
      </c>
      <c r="G75" s="2">
        <v>0.0</v>
      </c>
      <c r="H75" s="1" t="s">
        <v>124</v>
      </c>
      <c r="I75" s="1" t="str">
        <f>IFERROR(__xludf.DUMMYFUNCTION("REGEXREPLACE(MID(H75, SEARCH(""["", H75) + 1, SEARCH(""]"", H75) - SEARCH(""["", H75) - 1), ""\[\]"","""")"),"Chattahoochee HS")</f>
        <v>Chattahoochee HS</v>
      </c>
      <c r="J75" s="1">
        <v>0.0</v>
      </c>
      <c r="K75" s="1">
        <v>0.0</v>
      </c>
      <c r="M75" s="3" t="s">
        <v>126</v>
      </c>
      <c r="N75" s="3">
        <v>4.0</v>
      </c>
      <c r="O75" s="3">
        <v>78.0</v>
      </c>
      <c r="P75" s="3">
        <v>53.0</v>
      </c>
      <c r="Q75" s="3">
        <v>32.5</v>
      </c>
      <c r="R75" s="3">
        <v>0.75</v>
      </c>
      <c r="S75" s="3">
        <v>1.25</v>
      </c>
      <c r="T75" s="5">
        <v>0.434</v>
      </c>
      <c r="U75" s="1">
        <f t="shared" si="1"/>
        <v>130</v>
      </c>
    </row>
    <row r="76">
      <c r="A76" s="1">
        <v>5.0</v>
      </c>
      <c r="B76" s="1">
        <v>19.0</v>
      </c>
      <c r="C76" s="1">
        <v>3.0</v>
      </c>
      <c r="D76" s="1">
        <v>1.6</v>
      </c>
      <c r="E76" s="1">
        <v>0.0</v>
      </c>
      <c r="F76" s="1">
        <v>0.0</v>
      </c>
      <c r="G76" s="6">
        <v>0.667</v>
      </c>
      <c r="H76" s="1" t="s">
        <v>127</v>
      </c>
      <c r="I76" s="1" t="str">
        <f>IFERROR(__xludf.DUMMYFUNCTION("REGEXREPLACE(MID(H76, SEARCH(""["", H76) + 1, SEARCH(""]"", H76) - SEARCH(""["", H76) - 1), ""\[\]"","""")"),"Chattahoochee HS")</f>
        <v>Chattahoochee HS</v>
      </c>
      <c r="J76" s="1">
        <v>8.0</v>
      </c>
      <c r="K76" s="1">
        <v>0.0</v>
      </c>
      <c r="M76" s="3" t="s">
        <v>126</v>
      </c>
      <c r="N76" s="3">
        <v>1.0</v>
      </c>
      <c r="O76" s="3">
        <v>20.0</v>
      </c>
      <c r="P76" s="3">
        <v>5.0</v>
      </c>
      <c r="Q76" s="3">
        <v>24.0</v>
      </c>
      <c r="R76" s="3">
        <v>2.0</v>
      </c>
      <c r="S76" s="3">
        <v>2.0</v>
      </c>
      <c r="T76" s="7">
        <v>0.6</v>
      </c>
      <c r="U76" s="1">
        <f t="shared" si="1"/>
        <v>24</v>
      </c>
    </row>
    <row r="77">
      <c r="A77" s="1">
        <v>5.0</v>
      </c>
      <c r="B77" s="1">
        <v>19.0</v>
      </c>
      <c r="C77" s="1">
        <v>0.0</v>
      </c>
      <c r="D77" s="1">
        <v>0.0</v>
      </c>
      <c r="E77" s="1">
        <v>0.0</v>
      </c>
      <c r="F77" s="1">
        <v>0.0</v>
      </c>
      <c r="G77" s="2">
        <v>0.0</v>
      </c>
      <c r="H77" s="1" t="s">
        <v>128</v>
      </c>
      <c r="I77" s="1" t="str">
        <f>IFERROR(__xludf.DUMMYFUNCTION("REGEXREPLACE(MID(H77, SEARCH(""["", H77) + 1, SEARCH(""]"", H77) - SEARCH(""["", H77) - 1), ""\[\]"","""")"),"Chattahoochee HS")</f>
        <v>Chattahoochee HS</v>
      </c>
      <c r="J77" s="1">
        <v>0.0</v>
      </c>
      <c r="K77" s="1">
        <v>0.0</v>
      </c>
      <c r="M77" s="3" t="s">
        <v>19</v>
      </c>
      <c r="N77" s="3">
        <v>1.0</v>
      </c>
      <c r="O77" s="3">
        <v>18.0</v>
      </c>
      <c r="P77" s="3">
        <v>8.0</v>
      </c>
      <c r="Q77" s="3">
        <v>36.0</v>
      </c>
      <c r="R77" s="3">
        <v>0.0</v>
      </c>
      <c r="S77" s="3">
        <v>2.0</v>
      </c>
      <c r="T77" s="7">
        <v>0.5</v>
      </c>
      <c r="U77" s="1">
        <f t="shared" si="1"/>
        <v>36</v>
      </c>
    </row>
    <row r="78">
      <c r="A78" s="1">
        <v>4.0</v>
      </c>
      <c r="B78" s="1">
        <v>15.0</v>
      </c>
      <c r="C78" s="1">
        <v>1.0</v>
      </c>
      <c r="D78" s="1">
        <v>1.0</v>
      </c>
      <c r="E78" s="1">
        <v>0.0</v>
      </c>
      <c r="F78" s="1">
        <v>0.0</v>
      </c>
      <c r="G78" s="2">
        <v>1.0</v>
      </c>
      <c r="H78" s="1" t="s">
        <v>130</v>
      </c>
      <c r="I78" s="1" t="str">
        <f>IFERROR(__xludf.DUMMYFUNCTION("REGEXREPLACE(MID(H78, SEARCH(""["", H78) + 1, SEARCH(""]"", H78) - SEARCH(""["", H78) - 1), ""\[\]"","""")"),"Chattahoochee HS")</f>
        <v>Chattahoochee HS</v>
      </c>
      <c r="J78" s="1">
        <v>4.0</v>
      </c>
      <c r="K78" s="1">
        <v>0.0</v>
      </c>
      <c r="M78" s="3" t="s">
        <v>19</v>
      </c>
      <c r="N78" s="3">
        <v>1.0</v>
      </c>
      <c r="O78" s="3">
        <v>19.0</v>
      </c>
      <c r="P78" s="3">
        <v>13.0</v>
      </c>
      <c r="Q78" s="3">
        <v>122.0</v>
      </c>
      <c r="R78" s="3">
        <v>2.0</v>
      </c>
      <c r="S78" s="3">
        <v>9.0</v>
      </c>
      <c r="T78" s="5">
        <v>0.769</v>
      </c>
      <c r="U78" s="1">
        <f t="shared" si="1"/>
        <v>122</v>
      </c>
    </row>
    <row r="79">
      <c r="A79" s="1">
        <v>3.0</v>
      </c>
      <c r="B79" s="1">
        <v>12.0</v>
      </c>
      <c r="C79" s="1">
        <v>7.0</v>
      </c>
      <c r="D79" s="1">
        <v>6.67</v>
      </c>
      <c r="E79" s="1">
        <v>0.33</v>
      </c>
      <c r="F79" s="1">
        <v>0.0</v>
      </c>
      <c r="G79" s="6">
        <v>0.857</v>
      </c>
      <c r="H79" s="1" t="s">
        <v>132</v>
      </c>
      <c r="I79" s="1" t="str">
        <f>IFERROR(__xludf.DUMMYFUNCTION("REGEXREPLACE(MID(H79, SEARCH(""["", H79) + 1, SEARCH(""]"", H79) - SEARCH(""["", H79) - 1), ""\[\]"","""")"),"Clemens HS")</f>
        <v>Clemens HS</v>
      </c>
      <c r="J79" s="1">
        <v>20.0</v>
      </c>
      <c r="K79" s="1">
        <v>1.0</v>
      </c>
      <c r="M79" s="3" t="s">
        <v>19</v>
      </c>
      <c r="N79" s="3">
        <v>1.0</v>
      </c>
      <c r="O79" s="3">
        <v>17.0</v>
      </c>
      <c r="P79" s="3">
        <v>14.0</v>
      </c>
      <c r="Q79" s="3">
        <v>68.0</v>
      </c>
      <c r="R79" s="3">
        <v>1.0</v>
      </c>
      <c r="S79" s="3">
        <v>4.0</v>
      </c>
      <c r="T79" s="5">
        <v>0.571</v>
      </c>
      <c r="U79" s="1">
        <f t="shared" si="1"/>
        <v>68</v>
      </c>
    </row>
    <row r="80">
      <c r="A80" s="1">
        <v>1.0</v>
      </c>
      <c r="B80" s="1">
        <v>4.0</v>
      </c>
      <c r="C80" s="1">
        <v>2.0</v>
      </c>
      <c r="D80" s="1">
        <v>4.0</v>
      </c>
      <c r="E80" s="1">
        <v>0.0</v>
      </c>
      <c r="F80" s="1">
        <v>0.0</v>
      </c>
      <c r="G80" s="2">
        <v>0.5</v>
      </c>
      <c r="H80" s="1" t="s">
        <v>132</v>
      </c>
      <c r="I80" s="1" t="str">
        <f>IFERROR(__xludf.DUMMYFUNCTION("REGEXREPLACE(MID(H80, SEARCH(""["", H80) + 1, SEARCH(""]"", H80) - SEARCH(""["", H80) - 1), ""\[\]"","""")"),"Clemens HS")</f>
        <v>Clemens HS</v>
      </c>
      <c r="J80" s="1">
        <v>4.0</v>
      </c>
      <c r="K80" s="1">
        <v>0.0</v>
      </c>
      <c r="M80" s="3" t="s">
        <v>21</v>
      </c>
      <c r="N80" s="3">
        <v>3.0</v>
      </c>
      <c r="O80" s="3">
        <v>57.0</v>
      </c>
      <c r="P80" s="3">
        <v>33.0</v>
      </c>
      <c r="Q80" s="3">
        <v>66.0</v>
      </c>
      <c r="R80" s="3">
        <v>1.33</v>
      </c>
      <c r="S80" s="3">
        <v>4.33</v>
      </c>
      <c r="T80" s="5">
        <v>0.636</v>
      </c>
      <c r="U80" s="1">
        <f t="shared" si="1"/>
        <v>198</v>
      </c>
    </row>
    <row r="81">
      <c r="A81" s="1">
        <v>3.0</v>
      </c>
      <c r="B81" s="1">
        <v>12.0</v>
      </c>
      <c r="C81" s="1">
        <v>3.0</v>
      </c>
      <c r="D81" s="1">
        <v>4.0</v>
      </c>
      <c r="E81" s="1">
        <v>0.0</v>
      </c>
      <c r="F81" s="1">
        <v>0.0</v>
      </c>
      <c r="G81" s="2">
        <v>1.0</v>
      </c>
      <c r="H81" s="1" t="s">
        <v>77</v>
      </c>
      <c r="I81" s="1" t="str">
        <f>IFERROR(__xludf.DUMMYFUNCTION("REGEXREPLACE(MID(H81, SEARCH(""["", H81) + 1, SEARCH(""]"", H81) - SEARCH(""["", H81) - 1), ""\[\]"","""")"),"Clemens HS")</f>
        <v>Clemens HS</v>
      </c>
      <c r="J81" s="1">
        <v>12.0</v>
      </c>
      <c r="K81" s="1">
        <v>0.0</v>
      </c>
      <c r="M81" s="3" t="s">
        <v>134</v>
      </c>
      <c r="N81" s="3">
        <v>5.0</v>
      </c>
      <c r="O81" s="3">
        <v>99.0</v>
      </c>
      <c r="P81" s="3">
        <v>59.0</v>
      </c>
      <c r="Q81" s="3">
        <v>47.6</v>
      </c>
      <c r="R81" s="3">
        <v>2.6</v>
      </c>
      <c r="S81" s="3">
        <v>3.4</v>
      </c>
      <c r="T81" s="5">
        <v>0.508</v>
      </c>
      <c r="U81" s="1">
        <f t="shared" si="1"/>
        <v>238</v>
      </c>
    </row>
    <row r="82">
      <c r="A82" s="1">
        <v>1.0</v>
      </c>
      <c r="B82" s="1">
        <v>4.0</v>
      </c>
      <c r="C82" s="1">
        <v>0.0</v>
      </c>
      <c r="D82" s="1">
        <v>0.0</v>
      </c>
      <c r="E82" s="1">
        <v>0.0</v>
      </c>
      <c r="F82" s="1">
        <v>0.0</v>
      </c>
      <c r="G82" s="2">
        <v>0.0</v>
      </c>
      <c r="H82" s="1" t="s">
        <v>77</v>
      </c>
      <c r="I82" s="1" t="str">
        <f>IFERROR(__xludf.DUMMYFUNCTION("REGEXREPLACE(MID(H82, SEARCH(""["", H82) + 1, SEARCH(""]"", H82) - SEARCH(""["", H82) - 1), ""\[\]"","""")"),"Clemens HS")</f>
        <v>Clemens HS</v>
      </c>
      <c r="J82" s="1">
        <v>0.0</v>
      </c>
      <c r="K82" s="1">
        <v>0.0</v>
      </c>
      <c r="M82" s="3" t="s">
        <v>136</v>
      </c>
      <c r="N82" s="3">
        <v>5.0</v>
      </c>
      <c r="O82" s="3">
        <v>94.0</v>
      </c>
      <c r="P82" s="3">
        <v>57.0</v>
      </c>
      <c r="Q82" s="3">
        <v>42.8</v>
      </c>
      <c r="R82" s="3">
        <v>0.0</v>
      </c>
      <c r="S82" s="3">
        <v>1.8</v>
      </c>
      <c r="T82" s="5">
        <v>0.544</v>
      </c>
      <c r="U82" s="1">
        <f t="shared" si="1"/>
        <v>214</v>
      </c>
    </row>
    <row r="83">
      <c r="A83" s="1">
        <v>1.0</v>
      </c>
      <c r="B83" s="1">
        <v>4.0</v>
      </c>
      <c r="C83" s="1">
        <v>2.0</v>
      </c>
      <c r="D83" s="1">
        <v>8.0</v>
      </c>
      <c r="E83" s="1">
        <v>0.0</v>
      </c>
      <c r="F83" s="1">
        <v>0.0</v>
      </c>
      <c r="G83" s="2">
        <v>1.0</v>
      </c>
      <c r="H83" s="1" t="s">
        <v>137</v>
      </c>
      <c r="I83" s="1" t="str">
        <f>IFERROR(__xludf.DUMMYFUNCTION("REGEXREPLACE(MID(H83, SEARCH(""["", H83) + 1, SEARCH(""]"", H83) - SEARCH(""["", H83) - 1), ""\[\]"","""")"),"Clemens HS")</f>
        <v>Clemens HS</v>
      </c>
      <c r="J83" s="1">
        <v>8.0</v>
      </c>
      <c r="K83" s="1">
        <v>0.0</v>
      </c>
      <c r="M83" s="3" t="s">
        <v>7</v>
      </c>
      <c r="N83" s="3">
        <v>2.0</v>
      </c>
      <c r="O83" s="3">
        <v>39.0</v>
      </c>
      <c r="P83" s="3">
        <v>26.0</v>
      </c>
      <c r="Q83" s="3">
        <v>64.0</v>
      </c>
      <c r="R83" s="3">
        <v>1.0</v>
      </c>
      <c r="S83" s="3">
        <v>4.0</v>
      </c>
      <c r="T83" s="5">
        <v>0.538</v>
      </c>
      <c r="U83" s="1">
        <f t="shared" si="1"/>
        <v>128</v>
      </c>
    </row>
    <row r="84">
      <c r="A84" s="1">
        <v>1.0</v>
      </c>
      <c r="B84" s="1">
        <v>4.0</v>
      </c>
      <c r="C84" s="1">
        <v>1.0</v>
      </c>
      <c r="D84" s="1">
        <v>0.0</v>
      </c>
      <c r="E84" s="1">
        <v>0.0</v>
      </c>
      <c r="F84" s="1">
        <v>0.0</v>
      </c>
      <c r="G84" s="2">
        <v>0.0</v>
      </c>
      <c r="H84" s="1" t="s">
        <v>137</v>
      </c>
      <c r="I84" s="1" t="str">
        <f>IFERROR(__xludf.DUMMYFUNCTION("REGEXREPLACE(MID(H84, SEARCH(""["", H84) + 1, SEARCH(""]"", H84) - SEARCH(""["", H84) - 1), ""\[\]"","""")"),"Clemens HS")</f>
        <v>Clemens HS</v>
      </c>
      <c r="J84" s="1">
        <v>0.0</v>
      </c>
      <c r="K84" s="1">
        <v>0.0</v>
      </c>
      <c r="M84" s="3" t="s">
        <v>116</v>
      </c>
      <c r="N84" s="3">
        <v>4.0</v>
      </c>
      <c r="O84" s="3">
        <v>78.0</v>
      </c>
      <c r="P84" s="3">
        <v>48.0</v>
      </c>
      <c r="Q84" s="3">
        <v>41.0</v>
      </c>
      <c r="R84" s="3">
        <v>1.25</v>
      </c>
      <c r="S84" s="3">
        <v>2.0</v>
      </c>
      <c r="T84" s="5">
        <v>0.542</v>
      </c>
      <c r="U84" s="1">
        <f t="shared" si="1"/>
        <v>164</v>
      </c>
    </row>
    <row r="85">
      <c r="A85" s="1">
        <v>5.0</v>
      </c>
      <c r="B85" s="1">
        <v>20.0</v>
      </c>
      <c r="C85" s="1">
        <v>0.0</v>
      </c>
      <c r="D85" s="1">
        <v>0.0</v>
      </c>
      <c r="E85" s="1">
        <v>0.0</v>
      </c>
      <c r="F85" s="1">
        <v>0.0</v>
      </c>
      <c r="G85" s="2">
        <v>0.0</v>
      </c>
      <c r="H85" s="1" t="s">
        <v>139</v>
      </c>
      <c r="I85" s="1" t="str">
        <f>IFERROR(__xludf.DUMMYFUNCTION("REGEXREPLACE(MID(H85, SEARCH(""["", H85) + 1, SEARCH(""]"", H85) - SEARCH(""["", H85) - 1), ""\[\]"","""")"),"Clements")</f>
        <v>Clements</v>
      </c>
      <c r="J85" s="1">
        <v>0.0</v>
      </c>
      <c r="K85" s="1">
        <v>0.0</v>
      </c>
      <c r="M85" s="3" t="s">
        <v>140</v>
      </c>
      <c r="N85" s="3">
        <v>3.0</v>
      </c>
      <c r="O85" s="3">
        <v>60.0</v>
      </c>
      <c r="P85" s="3">
        <v>37.0</v>
      </c>
      <c r="Q85" s="3">
        <v>17.33</v>
      </c>
      <c r="R85" s="3">
        <v>0.33</v>
      </c>
      <c r="S85" s="3">
        <v>0.67</v>
      </c>
      <c r="T85" s="5">
        <v>0.243</v>
      </c>
      <c r="U85" s="1">
        <f t="shared" si="1"/>
        <v>52</v>
      </c>
    </row>
    <row r="86">
      <c r="A86" s="1">
        <v>1.0</v>
      </c>
      <c r="B86" s="1">
        <v>4.0</v>
      </c>
      <c r="C86" s="1">
        <v>0.0</v>
      </c>
      <c r="D86" s="1">
        <v>0.0</v>
      </c>
      <c r="E86" s="1">
        <v>0.0</v>
      </c>
      <c r="F86" s="1">
        <v>0.0</v>
      </c>
      <c r="G86" s="2">
        <v>0.0</v>
      </c>
      <c r="H86" s="1" t="s">
        <v>142</v>
      </c>
      <c r="I86" s="1" t="str">
        <f>IFERROR(__xludf.DUMMYFUNCTION("REGEXREPLACE(MID(H86, SEARCH(""["", H86) + 1, SEARCH(""]"", H86) - SEARCH(""["", H86) - 1), ""\[\]"","""")"),"Clements")</f>
        <v>Clements</v>
      </c>
      <c r="J86" s="1">
        <v>0.0</v>
      </c>
      <c r="K86" s="1">
        <v>0.0</v>
      </c>
      <c r="M86" s="3" t="s">
        <v>143</v>
      </c>
      <c r="N86" s="3">
        <v>1.0</v>
      </c>
      <c r="O86" s="3">
        <v>16.0</v>
      </c>
      <c r="P86" s="3">
        <v>14.0</v>
      </c>
      <c r="Q86" s="3">
        <v>64.0</v>
      </c>
      <c r="R86" s="3">
        <v>1.0</v>
      </c>
      <c r="S86" s="3">
        <v>4.0</v>
      </c>
      <c r="T86" s="7">
        <v>0.5</v>
      </c>
      <c r="U86" s="1">
        <f t="shared" si="1"/>
        <v>64</v>
      </c>
    </row>
    <row r="87">
      <c r="A87" s="1">
        <v>5.0</v>
      </c>
      <c r="B87" s="1">
        <v>20.0</v>
      </c>
      <c r="C87" s="1">
        <v>0.0</v>
      </c>
      <c r="D87" s="1">
        <v>0.0</v>
      </c>
      <c r="E87" s="1">
        <v>0.0</v>
      </c>
      <c r="F87" s="1">
        <v>0.0</v>
      </c>
      <c r="G87" s="2">
        <v>0.0</v>
      </c>
      <c r="H87" s="1" t="s">
        <v>144</v>
      </c>
      <c r="I87" s="1" t="str">
        <f>IFERROR(__xludf.DUMMYFUNCTION("REGEXREPLACE(MID(H87, SEARCH(""["", H87) + 1, SEARCH(""]"", H87) - SEARCH(""["", H87) - 1), ""\[\]"","""")"),"Clements")</f>
        <v>Clements</v>
      </c>
      <c r="J87" s="1">
        <v>0.0</v>
      </c>
      <c r="K87" s="1">
        <v>0.0</v>
      </c>
      <c r="M87" s="3" t="s">
        <v>143</v>
      </c>
      <c r="N87" s="3">
        <v>4.0</v>
      </c>
      <c r="O87" s="3">
        <v>79.0</v>
      </c>
      <c r="P87" s="3">
        <v>56.0</v>
      </c>
      <c r="Q87" s="3">
        <v>54.0</v>
      </c>
      <c r="R87" s="3">
        <v>1.0</v>
      </c>
      <c r="S87" s="3">
        <v>2.5</v>
      </c>
      <c r="T87" s="5">
        <v>0.589</v>
      </c>
      <c r="U87" s="1">
        <f t="shared" si="1"/>
        <v>216</v>
      </c>
    </row>
    <row r="88">
      <c r="A88" s="1">
        <v>1.0</v>
      </c>
      <c r="B88" s="1">
        <v>4.0</v>
      </c>
      <c r="C88" s="1">
        <v>2.0</v>
      </c>
      <c r="D88" s="1">
        <v>8.0</v>
      </c>
      <c r="E88" s="1">
        <v>0.0</v>
      </c>
      <c r="F88" s="1">
        <v>0.0</v>
      </c>
      <c r="G88" s="2">
        <v>1.0</v>
      </c>
      <c r="H88" s="1" t="s">
        <v>147</v>
      </c>
      <c r="I88" s="1" t="str">
        <f>IFERROR(__xludf.DUMMYFUNCTION("REGEXREPLACE(MID(H88, SEARCH(""["", H88) + 1, SEARCH(""]"", H88) - SEARCH(""["", H88) - 1), ""\[\]"","""")"),"Clements")</f>
        <v>Clements</v>
      </c>
      <c r="J88" s="1">
        <v>8.0</v>
      </c>
      <c r="K88" s="1">
        <v>0.0</v>
      </c>
      <c r="M88" s="3" t="s">
        <v>148</v>
      </c>
      <c r="N88" s="3">
        <v>5.0</v>
      </c>
      <c r="O88" s="3">
        <v>98.0</v>
      </c>
      <c r="P88" s="3">
        <v>73.0</v>
      </c>
      <c r="Q88" s="3">
        <v>88.0</v>
      </c>
      <c r="R88" s="3">
        <v>1.8</v>
      </c>
      <c r="S88" s="3">
        <v>5.6</v>
      </c>
      <c r="T88" s="5">
        <v>0.671</v>
      </c>
      <c r="U88" s="1">
        <f t="shared" si="1"/>
        <v>440</v>
      </c>
    </row>
    <row r="89">
      <c r="A89" s="1">
        <v>4.0</v>
      </c>
      <c r="B89" s="1">
        <v>16.0</v>
      </c>
      <c r="C89" s="1">
        <v>8.0</v>
      </c>
      <c r="D89" s="1">
        <v>6.0</v>
      </c>
      <c r="E89" s="1">
        <v>0.0</v>
      </c>
      <c r="F89" s="1">
        <v>0.0</v>
      </c>
      <c r="G89" s="2">
        <v>0.75</v>
      </c>
      <c r="H89" s="1" t="s">
        <v>147</v>
      </c>
      <c r="I89" s="1" t="str">
        <f>IFERROR(__xludf.DUMMYFUNCTION("REGEXREPLACE(MID(H89, SEARCH(""["", H89) + 1, SEARCH(""]"", H89) - SEARCH(""["", H89) - 1), ""\[\]"","""")"),"Clements")</f>
        <v>Clements</v>
      </c>
      <c r="J89" s="1">
        <v>24.0</v>
      </c>
      <c r="K89" s="1">
        <v>0.0</v>
      </c>
      <c r="M89" s="3" t="s">
        <v>140</v>
      </c>
      <c r="N89" s="3">
        <v>2.0</v>
      </c>
      <c r="O89" s="3">
        <v>38.0</v>
      </c>
      <c r="P89" s="3">
        <v>22.0</v>
      </c>
      <c r="Q89" s="3">
        <v>18.0</v>
      </c>
      <c r="R89" s="3">
        <v>0.5</v>
      </c>
      <c r="S89" s="3">
        <v>1.0</v>
      </c>
      <c r="T89" s="5">
        <v>0.227</v>
      </c>
      <c r="U89" s="1">
        <f t="shared" si="1"/>
        <v>36</v>
      </c>
    </row>
    <row r="90">
      <c r="A90" s="1">
        <v>4.0</v>
      </c>
      <c r="B90" s="1">
        <v>16.0</v>
      </c>
      <c r="C90" s="1">
        <v>3.0</v>
      </c>
      <c r="D90" s="1">
        <v>1.0</v>
      </c>
      <c r="E90" s="1">
        <v>0.25</v>
      </c>
      <c r="F90" s="1">
        <v>0.0</v>
      </c>
      <c r="G90" s="6">
        <v>0.667</v>
      </c>
      <c r="H90" s="1" t="s">
        <v>125</v>
      </c>
      <c r="I90" s="1" t="str">
        <f>IFERROR(__xludf.DUMMYFUNCTION("REGEXREPLACE(MID(H90, SEARCH(""["", H90) + 1, SEARCH(""]"", H90) - SEARCH(""["", H90) - 1), ""\[\]"","""")"),"Clements")</f>
        <v>Clements</v>
      </c>
      <c r="J90" s="1">
        <v>4.0</v>
      </c>
      <c r="K90" s="1">
        <v>1.0</v>
      </c>
      <c r="M90" s="3" t="s">
        <v>81</v>
      </c>
      <c r="N90" s="3">
        <v>5.0</v>
      </c>
      <c r="O90" s="3">
        <v>97.0</v>
      </c>
      <c r="P90" s="3">
        <v>72.0</v>
      </c>
      <c r="Q90" s="3">
        <v>109.6</v>
      </c>
      <c r="R90" s="3">
        <v>2.4</v>
      </c>
      <c r="S90" s="3">
        <v>8.0</v>
      </c>
      <c r="T90" s="5">
        <v>0.681</v>
      </c>
      <c r="U90" s="1">
        <f t="shared" si="1"/>
        <v>548</v>
      </c>
    </row>
    <row r="91">
      <c r="A91" s="1">
        <v>1.0</v>
      </c>
      <c r="B91" s="1">
        <v>4.0</v>
      </c>
      <c r="C91" s="1">
        <v>0.0</v>
      </c>
      <c r="D91" s="1">
        <v>0.0</v>
      </c>
      <c r="E91" s="1">
        <v>0.0</v>
      </c>
      <c r="F91" s="1">
        <v>0.0</v>
      </c>
      <c r="G91" s="2">
        <v>0.0</v>
      </c>
      <c r="H91" s="1" t="s">
        <v>151</v>
      </c>
      <c r="I91" s="1" t="str">
        <f>IFERROR(__xludf.DUMMYFUNCTION("REGEXREPLACE(MID(H91, SEARCH(""["", H91) + 1, SEARCH(""]"", H91) - SEARCH(""["", H91) - 1), ""\[\]"","""")"),"College Park")</f>
        <v>College Park</v>
      </c>
      <c r="J91" s="1">
        <v>0.0</v>
      </c>
      <c r="K91" s="1">
        <v>0.0</v>
      </c>
      <c r="M91" s="3" t="s">
        <v>16</v>
      </c>
      <c r="N91" s="3">
        <v>4.0</v>
      </c>
      <c r="O91" s="3">
        <v>76.0</v>
      </c>
      <c r="P91" s="3">
        <v>51.0</v>
      </c>
      <c r="Q91" s="3">
        <v>28.5</v>
      </c>
      <c r="R91" s="3">
        <v>1.25</v>
      </c>
      <c r="S91" s="3">
        <v>1.25</v>
      </c>
      <c r="T91" s="5">
        <v>0.412</v>
      </c>
      <c r="U91" s="1">
        <f t="shared" si="1"/>
        <v>114</v>
      </c>
    </row>
    <row r="92">
      <c r="A92" s="1">
        <v>3.0</v>
      </c>
      <c r="B92" s="1">
        <v>12.0</v>
      </c>
      <c r="C92" s="1">
        <v>6.0</v>
      </c>
      <c r="D92" s="1">
        <v>6.67</v>
      </c>
      <c r="E92" s="1">
        <v>0.0</v>
      </c>
      <c r="F92" s="1">
        <v>0.0</v>
      </c>
      <c r="G92" s="6">
        <v>0.833</v>
      </c>
      <c r="H92" s="1" t="s">
        <v>152</v>
      </c>
      <c r="I92" s="1" t="str">
        <f>IFERROR(__xludf.DUMMYFUNCTION("REGEXREPLACE(MID(H92, SEARCH(""["", H92) + 1, SEARCH(""]"", H92) - SEARCH(""["", H92) - 1), ""\[\]"","""")"),"College Park")</f>
        <v>College Park</v>
      </c>
      <c r="J92" s="1">
        <v>20.0</v>
      </c>
      <c r="K92" s="1">
        <v>0.0</v>
      </c>
      <c r="M92" s="3" t="s">
        <v>154</v>
      </c>
      <c r="N92" s="3">
        <v>1.0</v>
      </c>
      <c r="O92" s="3">
        <v>20.0</v>
      </c>
      <c r="P92" s="3">
        <v>15.0</v>
      </c>
      <c r="Q92" s="3">
        <v>82.0</v>
      </c>
      <c r="R92" s="3">
        <v>1.0</v>
      </c>
      <c r="S92" s="3">
        <v>5.0</v>
      </c>
      <c r="T92" s="7">
        <v>0.6</v>
      </c>
      <c r="U92" s="1">
        <f t="shared" si="1"/>
        <v>82</v>
      </c>
    </row>
    <row r="93">
      <c r="A93" s="1">
        <v>1.0</v>
      </c>
      <c r="B93" s="1">
        <v>4.0</v>
      </c>
      <c r="C93" s="1">
        <v>1.0</v>
      </c>
      <c r="D93" s="1">
        <v>4.0</v>
      </c>
      <c r="E93" s="1">
        <v>0.0</v>
      </c>
      <c r="F93" s="1">
        <v>0.0</v>
      </c>
      <c r="G93" s="2">
        <v>1.0</v>
      </c>
      <c r="H93" s="1" t="s">
        <v>152</v>
      </c>
      <c r="I93" s="1" t="str">
        <f>IFERROR(__xludf.DUMMYFUNCTION("REGEXREPLACE(MID(H93, SEARCH(""["", H93) + 1, SEARCH(""]"", H93) - SEARCH(""["", H93) - 1), ""\[\]"","""")"),"College Park")</f>
        <v>College Park</v>
      </c>
      <c r="J93" s="1">
        <v>4.0</v>
      </c>
      <c r="K93" s="1">
        <v>0.0</v>
      </c>
      <c r="M93" s="3" t="s">
        <v>154</v>
      </c>
      <c r="N93" s="3">
        <v>2.0</v>
      </c>
      <c r="O93" s="3">
        <v>40.0</v>
      </c>
      <c r="P93" s="3">
        <v>30.0</v>
      </c>
      <c r="Q93" s="3">
        <v>49.0</v>
      </c>
      <c r="R93" s="3">
        <v>1.5</v>
      </c>
      <c r="S93" s="3">
        <v>2.5</v>
      </c>
      <c r="T93" s="7">
        <v>0.5</v>
      </c>
      <c r="U93" s="1">
        <f t="shared" si="1"/>
        <v>98</v>
      </c>
    </row>
    <row r="94">
      <c r="A94" s="1">
        <v>2.0</v>
      </c>
      <c r="B94" s="1">
        <v>8.0</v>
      </c>
      <c r="C94" s="1">
        <v>1.0</v>
      </c>
      <c r="D94" s="1">
        <v>2.0</v>
      </c>
      <c r="E94" s="1">
        <v>0.0</v>
      </c>
      <c r="F94" s="1">
        <v>0.0</v>
      </c>
      <c r="G94" s="2">
        <v>1.0</v>
      </c>
      <c r="H94" s="1" t="s">
        <v>156</v>
      </c>
      <c r="I94" s="1" t="str">
        <f>IFERROR(__xludf.DUMMYFUNCTION("REGEXREPLACE(MID(H94, SEARCH(""["", H94) + 1, SEARCH(""]"", H94) - SEARCH(""["", H94) - 1), ""\[\]"","""")"),"College Park")</f>
        <v>College Park</v>
      </c>
      <c r="J94" s="1">
        <v>4.0</v>
      </c>
      <c r="K94" s="1">
        <v>0.0</v>
      </c>
      <c r="M94" s="3" t="s">
        <v>103</v>
      </c>
      <c r="N94" s="3">
        <v>3.0</v>
      </c>
      <c r="O94" s="3">
        <v>57.0</v>
      </c>
      <c r="P94" s="3">
        <v>42.0</v>
      </c>
      <c r="Q94" s="3">
        <v>110.0</v>
      </c>
      <c r="R94" s="3">
        <v>1.67</v>
      </c>
      <c r="S94" s="3">
        <v>7.67</v>
      </c>
      <c r="T94" s="5">
        <v>0.714</v>
      </c>
      <c r="U94" s="1">
        <f t="shared" si="1"/>
        <v>330</v>
      </c>
    </row>
    <row r="95">
      <c r="A95" s="1">
        <v>1.0</v>
      </c>
      <c r="B95" s="1">
        <v>4.0</v>
      </c>
      <c r="C95" s="1">
        <v>0.0</v>
      </c>
      <c r="D95" s="1">
        <v>0.0</v>
      </c>
      <c r="E95" s="1">
        <v>0.0</v>
      </c>
      <c r="F95" s="1">
        <v>0.0</v>
      </c>
      <c r="G95" s="2">
        <v>0.0</v>
      </c>
      <c r="H95" s="1" t="s">
        <v>156</v>
      </c>
      <c r="I95" s="1" t="str">
        <f>IFERROR(__xludf.DUMMYFUNCTION("REGEXREPLACE(MID(H95, SEARCH(""["", H95) + 1, SEARCH(""]"", H95) - SEARCH(""["", H95) - 1), ""\[\]"","""")"),"College Park")</f>
        <v>College Park</v>
      </c>
      <c r="J95" s="1">
        <v>0.0</v>
      </c>
      <c r="K95" s="1">
        <v>0.0</v>
      </c>
      <c r="M95" s="3" t="s">
        <v>103</v>
      </c>
      <c r="N95" s="3">
        <v>1.0</v>
      </c>
      <c r="O95" s="3">
        <v>20.0</v>
      </c>
      <c r="P95" s="3">
        <v>10.0</v>
      </c>
      <c r="Q95" s="3">
        <v>74.0</v>
      </c>
      <c r="R95" s="3">
        <v>2.0</v>
      </c>
      <c r="S95" s="3">
        <v>5.0</v>
      </c>
      <c r="T95" s="7">
        <v>0.8</v>
      </c>
      <c r="U95" s="1">
        <f t="shared" si="1"/>
        <v>74</v>
      </c>
    </row>
    <row r="96">
      <c r="A96" s="1">
        <v>1.0</v>
      </c>
      <c r="B96" s="1">
        <v>4.0</v>
      </c>
      <c r="C96" s="1">
        <v>3.0</v>
      </c>
      <c r="D96" s="1">
        <v>4.0</v>
      </c>
      <c r="E96" s="1">
        <v>1.0</v>
      </c>
      <c r="F96" s="1">
        <v>0.0</v>
      </c>
      <c r="G96" s="6">
        <v>0.667</v>
      </c>
      <c r="H96" s="1" t="s">
        <v>145</v>
      </c>
      <c r="I96" s="1" t="str">
        <f>IFERROR(__xludf.DUMMYFUNCTION("REGEXREPLACE(MID(H96, SEARCH(""["", H96) + 1, SEARCH(""]"", H96) - SEARCH(""["", H96) - 1), ""\[\]"","""")"),"College Park")</f>
        <v>College Park</v>
      </c>
      <c r="J96" s="1">
        <v>4.0</v>
      </c>
      <c r="K96" s="1">
        <v>1.0</v>
      </c>
      <c r="M96" s="3" t="s">
        <v>158</v>
      </c>
      <c r="N96" s="3">
        <v>5.0</v>
      </c>
      <c r="O96" s="3">
        <v>99.0</v>
      </c>
      <c r="P96" s="3">
        <v>60.0</v>
      </c>
      <c r="Q96" s="3">
        <v>36.4</v>
      </c>
      <c r="R96" s="3">
        <v>0.8</v>
      </c>
      <c r="S96" s="3">
        <v>1.8</v>
      </c>
      <c r="T96" s="7">
        <v>0.45</v>
      </c>
      <c r="U96" s="1">
        <f t="shared" si="1"/>
        <v>182</v>
      </c>
    </row>
    <row r="97">
      <c r="A97" s="1">
        <v>4.0</v>
      </c>
      <c r="B97" s="1">
        <v>16.0</v>
      </c>
      <c r="C97" s="1">
        <v>5.0</v>
      </c>
      <c r="D97" s="1">
        <v>3.0</v>
      </c>
      <c r="E97" s="1">
        <v>0.25</v>
      </c>
      <c r="F97" s="1">
        <v>0.0</v>
      </c>
      <c r="G97" s="2">
        <v>0.8</v>
      </c>
      <c r="H97" s="1" t="s">
        <v>145</v>
      </c>
      <c r="I97" s="1" t="str">
        <f>IFERROR(__xludf.DUMMYFUNCTION("REGEXREPLACE(MID(H97, SEARCH(""["", H97) + 1, SEARCH(""]"", H97) - SEARCH(""["", H97) - 1), ""\[\]"","""")"),"College Park")</f>
        <v>College Park</v>
      </c>
      <c r="J97" s="1">
        <v>12.0</v>
      </c>
      <c r="K97" s="1">
        <v>1.0</v>
      </c>
      <c r="M97" s="3" t="s">
        <v>159</v>
      </c>
      <c r="N97" s="3">
        <v>5.0</v>
      </c>
      <c r="O97" s="3">
        <v>100.0</v>
      </c>
      <c r="P97" s="3">
        <v>67.0</v>
      </c>
      <c r="Q97" s="3">
        <v>64.8</v>
      </c>
      <c r="R97" s="3">
        <v>1.8</v>
      </c>
      <c r="S97" s="3">
        <v>4.4</v>
      </c>
      <c r="T97" s="5">
        <v>0.522</v>
      </c>
      <c r="U97" s="1">
        <f t="shared" si="1"/>
        <v>324</v>
      </c>
    </row>
    <row r="98">
      <c r="A98" s="1">
        <v>1.0</v>
      </c>
      <c r="B98" s="1">
        <v>4.0</v>
      </c>
      <c r="C98" s="1">
        <v>1.0</v>
      </c>
      <c r="D98" s="1">
        <v>0.0</v>
      </c>
      <c r="E98" s="1">
        <v>0.0</v>
      </c>
      <c r="F98" s="1">
        <v>0.0</v>
      </c>
      <c r="G98" s="2">
        <v>0.0</v>
      </c>
      <c r="H98" s="1" t="s">
        <v>160</v>
      </c>
      <c r="I98" s="1" t="str">
        <f>IFERROR(__xludf.DUMMYFUNCTION("REGEXREPLACE(MID(H98, SEARCH(""["", H98) + 1, SEARCH(""]"", H98) - SEARCH(""["", H98) - 1), ""\[\]"","""")"),"College Park")</f>
        <v>College Park</v>
      </c>
      <c r="J98" s="1">
        <v>0.0</v>
      </c>
      <c r="K98" s="1">
        <v>0.0</v>
      </c>
      <c r="M98" s="3" t="s">
        <v>78</v>
      </c>
      <c r="N98" s="3">
        <v>5.0</v>
      </c>
      <c r="O98" s="3">
        <v>98.0</v>
      </c>
      <c r="P98" s="3">
        <v>82.0</v>
      </c>
      <c r="Q98" s="3">
        <v>114.8</v>
      </c>
      <c r="R98" s="3">
        <v>3.8</v>
      </c>
      <c r="S98" s="3">
        <v>8.6</v>
      </c>
      <c r="T98" s="5">
        <v>0.671</v>
      </c>
      <c r="U98" s="1">
        <f t="shared" si="1"/>
        <v>574</v>
      </c>
    </row>
    <row r="99">
      <c r="A99" s="1">
        <v>2.0</v>
      </c>
      <c r="B99" s="1">
        <v>8.0</v>
      </c>
      <c r="C99" s="1">
        <v>0.0</v>
      </c>
      <c r="D99" s="1">
        <v>0.0</v>
      </c>
      <c r="E99" s="1">
        <v>0.0</v>
      </c>
      <c r="F99" s="1">
        <v>0.0</v>
      </c>
      <c r="G99" s="2">
        <v>0.0</v>
      </c>
      <c r="H99" s="1" t="s">
        <v>162</v>
      </c>
      <c r="I99" s="1" t="str">
        <f>IFERROR(__xludf.DUMMYFUNCTION("REGEXREPLACE(MID(H99, SEARCH(""["", H99) + 1, SEARCH(""]"", H99) - SEARCH(""["", H99) - 1), ""\[\]"","""")"),"Collierville")</f>
        <v>Collierville</v>
      </c>
      <c r="J99" s="1">
        <v>0.0</v>
      </c>
      <c r="K99" s="1">
        <v>0.0</v>
      </c>
      <c r="M99" s="3" t="s">
        <v>163</v>
      </c>
      <c r="N99" s="3">
        <v>1.0</v>
      </c>
      <c r="O99" s="3">
        <v>20.0</v>
      </c>
      <c r="P99" s="3">
        <v>19.0</v>
      </c>
      <c r="Q99" s="3">
        <v>100.0</v>
      </c>
      <c r="R99" s="3">
        <v>5.0</v>
      </c>
      <c r="S99" s="3">
        <v>8.0</v>
      </c>
      <c r="T99" s="5">
        <v>0.526</v>
      </c>
      <c r="U99" s="1">
        <f t="shared" si="1"/>
        <v>100</v>
      </c>
    </row>
    <row r="100">
      <c r="A100" s="1">
        <v>2.0</v>
      </c>
      <c r="B100" s="1">
        <v>8.0</v>
      </c>
      <c r="C100" s="1">
        <v>0.0</v>
      </c>
      <c r="D100" s="1">
        <v>0.0</v>
      </c>
      <c r="E100" s="1">
        <v>0.0</v>
      </c>
      <c r="F100" s="1">
        <v>0.0</v>
      </c>
      <c r="G100" s="2">
        <v>0.0</v>
      </c>
      <c r="H100" s="1" t="s">
        <v>162</v>
      </c>
      <c r="I100" s="1" t="str">
        <f>IFERROR(__xludf.DUMMYFUNCTION("REGEXREPLACE(MID(H100, SEARCH(""["", H100) + 1, SEARCH(""]"", H100) - SEARCH(""["", H100) - 1), ""\[\]"","""")"),"Collierville")</f>
        <v>Collierville</v>
      </c>
      <c r="J100" s="1">
        <v>0.0</v>
      </c>
      <c r="K100" s="1">
        <v>0.0</v>
      </c>
      <c r="M100" s="3" t="s">
        <v>163</v>
      </c>
      <c r="N100" s="3">
        <v>4.0</v>
      </c>
      <c r="O100" s="3">
        <v>75.0</v>
      </c>
      <c r="P100" s="3">
        <v>64.0</v>
      </c>
      <c r="Q100" s="3">
        <v>69.0</v>
      </c>
      <c r="R100" s="3">
        <v>4.25</v>
      </c>
      <c r="S100" s="3">
        <v>5.5</v>
      </c>
      <c r="T100" s="5">
        <v>0.484</v>
      </c>
      <c r="U100" s="1">
        <f t="shared" si="1"/>
        <v>276</v>
      </c>
    </row>
    <row r="101">
      <c r="A101" s="1">
        <v>5.0</v>
      </c>
      <c r="B101" s="1">
        <v>20.0</v>
      </c>
      <c r="C101" s="1">
        <v>15.0</v>
      </c>
      <c r="D101" s="1">
        <v>4.8</v>
      </c>
      <c r="E101" s="1">
        <v>0.8</v>
      </c>
      <c r="F101" s="1">
        <v>0.0</v>
      </c>
      <c r="G101" s="6">
        <v>0.667</v>
      </c>
      <c r="H101" s="1" t="s">
        <v>165</v>
      </c>
      <c r="I101" s="1" t="str">
        <f>IFERROR(__xludf.DUMMYFUNCTION("REGEXREPLACE(MID(H101, SEARCH(""["", H101) + 1, SEARCH(""]"", H101) - SEARCH(""["", H101) - 1), ""\[\]"","""")"),"Collierville")</f>
        <v>Collierville</v>
      </c>
      <c r="J101" s="1">
        <v>24.0</v>
      </c>
      <c r="K101" s="1">
        <v>4.0</v>
      </c>
      <c r="M101" s="3" t="s">
        <v>166</v>
      </c>
      <c r="N101" s="3">
        <v>4.0</v>
      </c>
      <c r="O101" s="3">
        <v>76.0</v>
      </c>
      <c r="P101" s="3">
        <v>52.0</v>
      </c>
      <c r="Q101" s="3">
        <v>75.5</v>
      </c>
      <c r="R101" s="3">
        <v>1.25</v>
      </c>
      <c r="S101" s="3">
        <v>4.75</v>
      </c>
      <c r="T101" s="5">
        <v>0.635</v>
      </c>
      <c r="U101" s="1">
        <f t="shared" si="1"/>
        <v>302</v>
      </c>
    </row>
    <row r="102">
      <c r="A102" s="1">
        <v>1.0</v>
      </c>
      <c r="B102" s="1">
        <v>4.0</v>
      </c>
      <c r="C102" s="1">
        <v>0.0</v>
      </c>
      <c r="D102" s="1">
        <v>0.0</v>
      </c>
      <c r="E102" s="1">
        <v>0.0</v>
      </c>
      <c r="F102" s="1">
        <v>0.0</v>
      </c>
      <c r="G102" s="2">
        <v>0.0</v>
      </c>
      <c r="H102" s="1" t="s">
        <v>167</v>
      </c>
      <c r="I102" s="1" t="str">
        <f>IFERROR(__xludf.DUMMYFUNCTION("REGEXREPLACE(MID(H102, SEARCH(""["", H102) + 1, SEARCH(""]"", H102) - SEARCH(""["", H102) - 1), ""\[\]"","""")"),"Collierville")</f>
        <v>Collierville</v>
      </c>
      <c r="J102" s="1">
        <v>0.0</v>
      </c>
      <c r="K102" s="1">
        <v>0.0</v>
      </c>
    </row>
    <row r="103">
      <c r="A103" s="1">
        <v>5.0</v>
      </c>
      <c r="B103" s="1">
        <v>20.0</v>
      </c>
      <c r="C103" s="1">
        <v>0.0</v>
      </c>
      <c r="D103" s="1">
        <v>0.0</v>
      </c>
      <c r="E103" s="1">
        <v>0.0</v>
      </c>
      <c r="F103" s="1">
        <v>0.0</v>
      </c>
      <c r="G103" s="2">
        <v>0.0</v>
      </c>
      <c r="H103" s="1" t="s">
        <v>169</v>
      </c>
      <c r="I103" s="1" t="str">
        <f>IFERROR(__xludf.DUMMYFUNCTION("REGEXREPLACE(MID(H103, SEARCH(""["", H103) + 1, SEARCH(""]"", H103) - SEARCH(""["", H103) - 1), ""\[\]"","""")"),"Collierville")</f>
        <v>Collierville</v>
      </c>
      <c r="J103" s="1">
        <v>0.0</v>
      </c>
      <c r="K103" s="1">
        <v>0.0</v>
      </c>
    </row>
    <row r="104">
      <c r="A104" s="1">
        <v>3.0</v>
      </c>
      <c r="B104" s="1">
        <v>12.0</v>
      </c>
      <c r="C104" s="1">
        <v>0.0</v>
      </c>
      <c r="D104" s="1">
        <v>0.0</v>
      </c>
      <c r="E104" s="1">
        <v>0.0</v>
      </c>
      <c r="F104" s="1">
        <v>0.0</v>
      </c>
      <c r="G104" s="2">
        <v>0.0</v>
      </c>
      <c r="H104" s="1" t="s">
        <v>171</v>
      </c>
      <c r="I104" s="1" t="str">
        <f>IFERROR(__xludf.DUMMYFUNCTION("REGEXREPLACE(MID(H104, SEARCH(""["", H104) + 1, SEARCH(""]"", H104) - SEARCH(""["", H104) - 1), ""\[\]"","""")"),"Collierville")</f>
        <v>Collierville</v>
      </c>
      <c r="J104" s="1">
        <v>0.0</v>
      </c>
      <c r="K104" s="1">
        <v>0.0</v>
      </c>
    </row>
    <row r="105">
      <c r="A105" s="1">
        <v>4.0</v>
      </c>
      <c r="B105" s="1">
        <v>16.0</v>
      </c>
      <c r="C105" s="1">
        <v>3.0</v>
      </c>
      <c r="D105" s="1">
        <v>3.0</v>
      </c>
      <c r="E105" s="1">
        <v>0.0</v>
      </c>
      <c r="F105" s="1">
        <v>0.0</v>
      </c>
      <c r="G105" s="2">
        <v>1.0</v>
      </c>
      <c r="H105" s="1" t="s">
        <v>173</v>
      </c>
      <c r="I105" s="1" t="str">
        <f>IFERROR(__xludf.DUMMYFUNCTION("REGEXREPLACE(MID(H105, SEARCH(""["", H105) + 1, SEARCH(""]"", H105) - SEARCH(""["", H105) - 1), ""\[\]"","""")"),"Davidson Academy")</f>
        <v>Davidson Academy</v>
      </c>
      <c r="J105" s="1">
        <v>12.0</v>
      </c>
      <c r="K105" s="1">
        <v>0.0</v>
      </c>
    </row>
    <row r="106">
      <c r="A106" s="1">
        <v>1.0</v>
      </c>
      <c r="B106" s="1">
        <v>4.0</v>
      </c>
      <c r="C106" s="1">
        <v>0.0</v>
      </c>
      <c r="D106" s="1">
        <v>0.0</v>
      </c>
      <c r="E106" s="1">
        <v>0.0</v>
      </c>
      <c r="F106" s="1">
        <v>0.0</v>
      </c>
      <c r="G106" s="2">
        <v>0.0</v>
      </c>
      <c r="H106" s="1" t="s">
        <v>173</v>
      </c>
      <c r="I106" s="1" t="str">
        <f>IFERROR(__xludf.DUMMYFUNCTION("REGEXREPLACE(MID(H106, SEARCH(""["", H106) + 1, SEARCH(""]"", H106) - SEARCH(""["", H106) - 1), ""\[\]"","""")"),"Davidson Academy")</f>
        <v>Davidson Academy</v>
      </c>
      <c r="J106" s="1">
        <v>0.0</v>
      </c>
      <c r="K106" s="1">
        <v>0.0</v>
      </c>
    </row>
    <row r="107">
      <c r="A107" s="1">
        <v>1.0</v>
      </c>
      <c r="B107" s="1">
        <v>4.0</v>
      </c>
      <c r="C107" s="1">
        <v>0.0</v>
      </c>
      <c r="D107" s="1">
        <v>0.0</v>
      </c>
      <c r="E107" s="1">
        <v>0.0</v>
      </c>
      <c r="F107" s="1">
        <v>0.0</v>
      </c>
      <c r="G107" s="2">
        <v>0.0</v>
      </c>
      <c r="H107" s="1" t="s">
        <v>174</v>
      </c>
      <c r="I107" s="1" t="str">
        <f>IFERROR(__xludf.DUMMYFUNCTION("REGEXREPLACE(MID(H107, SEARCH(""["", H107) + 1, SEARCH(""]"", H107) - SEARCH(""["", H107) - 1), ""\[\]"","""")"),"Davidson Academy")</f>
        <v>Davidson Academy</v>
      </c>
      <c r="J107" s="1">
        <v>0.0</v>
      </c>
      <c r="K107" s="1">
        <v>0.0</v>
      </c>
    </row>
    <row r="108">
      <c r="A108" s="1">
        <v>1.0</v>
      </c>
      <c r="B108" s="1">
        <v>4.0</v>
      </c>
      <c r="C108" s="1">
        <v>1.0</v>
      </c>
      <c r="D108" s="1">
        <v>4.0</v>
      </c>
      <c r="E108" s="1">
        <v>0.0</v>
      </c>
      <c r="F108" s="1">
        <v>0.0</v>
      </c>
      <c r="G108" s="2">
        <v>1.0</v>
      </c>
      <c r="H108" s="1" t="s">
        <v>176</v>
      </c>
      <c r="I108" s="1" t="str">
        <f>IFERROR(__xludf.DUMMYFUNCTION("REGEXREPLACE(MID(H108, SEARCH(""["", H108) + 1, SEARCH(""]"", H108) - SEARCH(""["", H108) - 1), ""\[\]"","""")"),"Davidson Academy")</f>
        <v>Davidson Academy</v>
      </c>
      <c r="J108" s="1">
        <v>4.0</v>
      </c>
      <c r="K108" s="1">
        <v>0.0</v>
      </c>
    </row>
    <row r="109">
      <c r="A109" s="1">
        <v>4.0</v>
      </c>
      <c r="B109" s="1">
        <v>16.0</v>
      </c>
      <c r="C109" s="1">
        <v>9.0</v>
      </c>
      <c r="D109" s="1">
        <v>8.0</v>
      </c>
      <c r="E109" s="1">
        <v>0.0</v>
      </c>
      <c r="F109" s="1">
        <v>0.0</v>
      </c>
      <c r="G109" s="6">
        <v>0.889</v>
      </c>
      <c r="H109" s="1" t="s">
        <v>74</v>
      </c>
      <c r="I109" s="1" t="str">
        <f>IFERROR(__xludf.DUMMYFUNCTION("REGEXREPLACE(MID(H109, SEARCH(""["", H109) + 1, SEARCH(""]"", H109) - SEARCH(""["", H109) - 1), ""\[\]"","""")"),"Davidson Academy")</f>
        <v>Davidson Academy</v>
      </c>
      <c r="J109" s="1">
        <v>32.0</v>
      </c>
      <c r="K109" s="1">
        <v>0.0</v>
      </c>
    </row>
    <row r="110">
      <c r="A110" s="1">
        <v>1.0</v>
      </c>
      <c r="B110" s="1">
        <v>4.0</v>
      </c>
      <c r="C110" s="1">
        <v>0.0</v>
      </c>
      <c r="D110" s="1">
        <v>0.0</v>
      </c>
      <c r="E110" s="1">
        <v>0.0</v>
      </c>
      <c r="F110" s="1">
        <v>0.0</v>
      </c>
      <c r="G110" s="2">
        <v>0.0</v>
      </c>
      <c r="H110" s="1" t="s">
        <v>74</v>
      </c>
      <c r="I110" s="1" t="str">
        <f>IFERROR(__xludf.DUMMYFUNCTION("REGEXREPLACE(MID(H110, SEARCH(""["", H110) + 1, SEARCH(""]"", H110) - SEARCH(""["", H110) - 1), ""\[\]"","""")"),"Davidson Academy")</f>
        <v>Davidson Academy</v>
      </c>
      <c r="J110" s="1">
        <v>0.0</v>
      </c>
      <c r="K110" s="1">
        <v>0.0</v>
      </c>
    </row>
    <row r="111">
      <c r="A111" s="1">
        <v>1.0</v>
      </c>
      <c r="B111" s="1">
        <v>4.0</v>
      </c>
      <c r="C111" s="1">
        <v>1.0</v>
      </c>
      <c r="D111" s="1">
        <v>0.0</v>
      </c>
      <c r="E111" s="1">
        <v>0.0</v>
      </c>
      <c r="F111" s="1">
        <v>0.0</v>
      </c>
      <c r="G111" s="2">
        <v>0.0</v>
      </c>
      <c r="H111" s="1" t="s">
        <v>177</v>
      </c>
      <c r="I111" s="1" t="str">
        <f>IFERROR(__xludf.DUMMYFUNCTION("REGEXREPLACE(MID(H111, SEARCH(""["", H111) + 1, SEARCH(""]"", H111) - SEARCH(""["", H111) - 1), ""\[\]"","""")"),"Davidson Academy")</f>
        <v>Davidson Academy</v>
      </c>
      <c r="J111" s="1">
        <v>0.0</v>
      </c>
      <c r="K111" s="1">
        <v>0.0</v>
      </c>
    </row>
    <row r="112">
      <c r="A112" s="1">
        <v>4.0</v>
      </c>
      <c r="B112" s="1">
        <v>16.0</v>
      </c>
      <c r="C112" s="1">
        <v>0.0</v>
      </c>
      <c r="D112" s="1">
        <v>0.0</v>
      </c>
      <c r="E112" s="1">
        <v>0.0</v>
      </c>
      <c r="F112" s="1">
        <v>0.0</v>
      </c>
      <c r="G112" s="2">
        <v>0.0</v>
      </c>
      <c r="H112" s="1" t="s">
        <v>178</v>
      </c>
      <c r="I112" s="1" t="str">
        <f>IFERROR(__xludf.DUMMYFUNCTION("REGEXREPLACE(MID(H112, SEARCH(""["", H112) + 1, SEARCH(""]"", H112) - SEARCH(""["", H112) - 1), ""\[\]"","""")"),"Dulles Dolls 1")</f>
        <v>Dulles Dolls 1</v>
      </c>
      <c r="J112" s="1">
        <v>0.0</v>
      </c>
      <c r="K112" s="1">
        <v>0.0</v>
      </c>
    </row>
    <row r="113">
      <c r="A113" s="1">
        <v>1.0</v>
      </c>
      <c r="B113" s="1">
        <v>4.0</v>
      </c>
      <c r="C113" s="1">
        <v>0.0</v>
      </c>
      <c r="D113" s="1">
        <v>0.0</v>
      </c>
      <c r="E113" s="1">
        <v>0.0</v>
      </c>
      <c r="F113" s="1">
        <v>0.0</v>
      </c>
      <c r="G113" s="2">
        <v>0.0</v>
      </c>
      <c r="H113" s="1" t="s">
        <v>178</v>
      </c>
      <c r="I113" s="1" t="str">
        <f>IFERROR(__xludf.DUMMYFUNCTION("REGEXREPLACE(MID(H113, SEARCH(""["", H113) + 1, SEARCH(""]"", H113) - SEARCH(""["", H113) - 1), ""\[\]"","""")"),"Dulles Dolls 1")</f>
        <v>Dulles Dolls 1</v>
      </c>
      <c r="J113" s="1">
        <v>0.0</v>
      </c>
      <c r="K113" s="1">
        <v>0.0</v>
      </c>
    </row>
    <row r="114">
      <c r="A114" s="1">
        <v>3.0</v>
      </c>
      <c r="B114" s="1">
        <v>12.0</v>
      </c>
      <c r="C114" s="1">
        <v>0.0</v>
      </c>
      <c r="D114" s="1">
        <v>0.0</v>
      </c>
      <c r="E114" s="1">
        <v>0.0</v>
      </c>
      <c r="F114" s="1">
        <v>0.0</v>
      </c>
      <c r="G114" s="2">
        <v>0.0</v>
      </c>
      <c r="H114" s="1" t="s">
        <v>150</v>
      </c>
      <c r="I114" s="1" t="str">
        <f>IFERROR(__xludf.DUMMYFUNCTION("REGEXREPLACE(MID(H114, SEARCH(""["", H114) + 1, SEARCH(""]"", H114) - SEARCH(""["", H114) - 1), ""\[\]"","""")"),"Dulles Dolls 1")</f>
        <v>Dulles Dolls 1</v>
      </c>
      <c r="J114" s="1">
        <v>0.0</v>
      </c>
      <c r="K114" s="1">
        <v>0.0</v>
      </c>
    </row>
    <row r="115">
      <c r="A115" s="1">
        <v>1.0</v>
      </c>
      <c r="B115" s="1">
        <v>4.0</v>
      </c>
      <c r="C115" s="1">
        <v>0.0</v>
      </c>
      <c r="D115" s="1">
        <v>0.0</v>
      </c>
      <c r="E115" s="1">
        <v>0.0</v>
      </c>
      <c r="F115" s="1">
        <v>0.0</v>
      </c>
      <c r="G115" s="2">
        <v>0.0</v>
      </c>
      <c r="H115" s="1" t="s">
        <v>150</v>
      </c>
      <c r="I115" s="1" t="str">
        <f>IFERROR(__xludf.DUMMYFUNCTION("REGEXREPLACE(MID(H115, SEARCH(""["", H115) + 1, SEARCH(""]"", H115) - SEARCH(""["", H115) - 1), ""\[\]"","""")"),"Dulles Dolls 1")</f>
        <v>Dulles Dolls 1</v>
      </c>
      <c r="J115" s="1">
        <v>0.0</v>
      </c>
      <c r="K115" s="1">
        <v>0.0</v>
      </c>
    </row>
    <row r="116">
      <c r="A116" s="1">
        <v>2.0</v>
      </c>
      <c r="B116" s="1">
        <v>8.0</v>
      </c>
      <c r="C116" s="1">
        <v>0.0</v>
      </c>
      <c r="D116" s="1">
        <v>0.0</v>
      </c>
      <c r="E116" s="1">
        <v>0.0</v>
      </c>
      <c r="F116" s="1">
        <v>0.0</v>
      </c>
      <c r="G116" s="2">
        <v>0.0</v>
      </c>
      <c r="H116" s="1" t="s">
        <v>179</v>
      </c>
      <c r="I116" s="1" t="str">
        <f>IFERROR(__xludf.DUMMYFUNCTION("REGEXREPLACE(MID(H116, SEARCH(""["", H116) + 1, SEARCH(""]"", H116) - SEARCH(""["", H116) - 1), ""\[\]"","""")"),"Dulles Dolls 1")</f>
        <v>Dulles Dolls 1</v>
      </c>
      <c r="J116" s="1">
        <v>0.0</v>
      </c>
      <c r="K116" s="1">
        <v>0.0</v>
      </c>
    </row>
    <row r="117">
      <c r="A117" s="1">
        <v>1.0</v>
      </c>
      <c r="B117" s="1">
        <v>4.0</v>
      </c>
      <c r="C117" s="1">
        <v>0.0</v>
      </c>
      <c r="D117" s="1">
        <v>0.0</v>
      </c>
      <c r="E117" s="1">
        <v>0.0</v>
      </c>
      <c r="F117" s="1">
        <v>0.0</v>
      </c>
      <c r="G117" s="2">
        <v>0.0</v>
      </c>
      <c r="H117" s="1" t="s">
        <v>179</v>
      </c>
      <c r="I117" s="1" t="str">
        <f>IFERROR(__xludf.DUMMYFUNCTION("REGEXREPLACE(MID(H117, SEARCH(""["", H117) + 1, SEARCH(""]"", H117) - SEARCH(""["", H117) - 1), ""\[\]"","""")"),"Dulles Dolls 1")</f>
        <v>Dulles Dolls 1</v>
      </c>
      <c r="J117" s="1">
        <v>0.0</v>
      </c>
      <c r="K117" s="1">
        <v>0.0</v>
      </c>
    </row>
    <row r="118">
      <c r="A118" s="1">
        <v>2.0</v>
      </c>
      <c r="B118" s="1">
        <v>8.0</v>
      </c>
      <c r="C118" s="1">
        <v>0.0</v>
      </c>
      <c r="D118" s="1">
        <v>0.0</v>
      </c>
      <c r="E118" s="1">
        <v>0.0</v>
      </c>
      <c r="F118" s="1">
        <v>0.0</v>
      </c>
      <c r="G118" s="2">
        <v>0.0</v>
      </c>
      <c r="H118" s="1" t="s">
        <v>181</v>
      </c>
      <c r="I118" s="1" t="str">
        <f>IFERROR(__xludf.DUMMYFUNCTION("REGEXREPLACE(MID(H118, SEARCH(""["", H118) + 1, SEARCH(""]"", H118) - SEARCH(""["", H118) - 1), ""\[\]"","""")"),"Dulles Dolls 1")</f>
        <v>Dulles Dolls 1</v>
      </c>
      <c r="J118" s="1">
        <v>0.0</v>
      </c>
      <c r="K118" s="1">
        <v>0.0</v>
      </c>
    </row>
    <row r="119">
      <c r="A119" s="1">
        <v>4.0</v>
      </c>
      <c r="B119" s="1">
        <v>16.0</v>
      </c>
      <c r="C119" s="1">
        <v>15.0</v>
      </c>
      <c r="D119" s="1">
        <v>7.0</v>
      </c>
      <c r="E119" s="1">
        <v>0.75</v>
      </c>
      <c r="F119" s="1">
        <v>0.0</v>
      </c>
      <c r="G119" s="6">
        <v>0.667</v>
      </c>
      <c r="H119" s="1" t="s">
        <v>183</v>
      </c>
      <c r="I119" s="1" t="str">
        <f>IFERROR(__xludf.DUMMYFUNCTION("REGEXREPLACE(MID(H119, SEARCH(""["", H119) + 1, SEARCH(""]"", H119) - SEARCH(""["", H119) - 1), ""\[\]"","""")"),"Dulles Dolls 1")</f>
        <v>Dulles Dolls 1</v>
      </c>
      <c r="J119" s="1">
        <v>28.0</v>
      </c>
      <c r="K119" s="1">
        <v>3.0</v>
      </c>
    </row>
    <row r="120">
      <c r="A120" s="1">
        <v>1.0</v>
      </c>
      <c r="B120" s="1">
        <v>4.0</v>
      </c>
      <c r="C120" s="1">
        <v>3.0</v>
      </c>
      <c r="D120" s="1">
        <v>4.0</v>
      </c>
      <c r="E120" s="1">
        <v>1.0</v>
      </c>
      <c r="F120" s="1">
        <v>0.0</v>
      </c>
      <c r="G120" s="6">
        <v>0.667</v>
      </c>
      <c r="H120" s="1" t="s">
        <v>183</v>
      </c>
      <c r="I120" s="1" t="str">
        <f>IFERROR(__xludf.DUMMYFUNCTION("REGEXREPLACE(MID(H120, SEARCH(""["", H120) + 1, SEARCH(""]"", H120) - SEARCH(""["", H120) - 1), ""\[\]"","""")"),"Dulles Dolls 1")</f>
        <v>Dulles Dolls 1</v>
      </c>
      <c r="J120" s="1">
        <v>4.0</v>
      </c>
      <c r="K120" s="1">
        <v>1.0</v>
      </c>
    </row>
    <row r="121">
      <c r="A121" s="1">
        <v>1.0</v>
      </c>
      <c r="B121" s="1">
        <v>4.0</v>
      </c>
      <c r="C121" s="1">
        <v>1.0</v>
      </c>
      <c r="D121" s="1">
        <v>4.0</v>
      </c>
      <c r="E121" s="1">
        <v>0.0</v>
      </c>
      <c r="F121" s="1">
        <v>0.0</v>
      </c>
      <c r="G121" s="2">
        <v>1.0</v>
      </c>
      <c r="H121" s="1" t="s">
        <v>184</v>
      </c>
      <c r="I121" s="1" t="str">
        <f>IFERROR(__xludf.DUMMYFUNCTION("REGEXREPLACE(MID(H121, SEARCH(""["", H121) + 1, SEARCH(""]"", H121) - SEARCH(""["", H121) - 1), ""\[\]"","""")"),"Dulles Dolls 2")</f>
        <v>Dulles Dolls 2</v>
      </c>
      <c r="J121" s="1">
        <v>4.0</v>
      </c>
      <c r="K121" s="1">
        <v>0.0</v>
      </c>
    </row>
    <row r="122">
      <c r="A122" s="1">
        <v>3.0</v>
      </c>
      <c r="B122" s="1">
        <v>12.0</v>
      </c>
      <c r="C122" s="1">
        <v>0.0</v>
      </c>
      <c r="D122" s="1">
        <v>0.0</v>
      </c>
      <c r="E122" s="1">
        <v>0.0</v>
      </c>
      <c r="F122" s="1">
        <v>0.0</v>
      </c>
      <c r="G122" s="2">
        <v>0.0</v>
      </c>
      <c r="H122" s="1" t="s">
        <v>184</v>
      </c>
      <c r="I122" s="1" t="str">
        <f>IFERROR(__xludf.DUMMYFUNCTION("REGEXREPLACE(MID(H122, SEARCH(""["", H122) + 1, SEARCH(""]"", H122) - SEARCH(""["", H122) - 1), ""\[\]"","""")"),"Dulles Dolls 2")</f>
        <v>Dulles Dolls 2</v>
      </c>
      <c r="J122" s="1">
        <v>0.0</v>
      </c>
      <c r="K122" s="1">
        <v>0.0</v>
      </c>
    </row>
    <row r="123">
      <c r="A123" s="1">
        <v>1.0</v>
      </c>
      <c r="B123" s="1">
        <v>5.0</v>
      </c>
      <c r="C123" s="1">
        <v>0.0</v>
      </c>
      <c r="D123" s="1">
        <v>0.0</v>
      </c>
      <c r="E123" s="1">
        <v>0.0</v>
      </c>
      <c r="F123" s="1">
        <v>0.0</v>
      </c>
      <c r="G123" s="2">
        <v>0.0</v>
      </c>
      <c r="H123" s="1" t="s">
        <v>184</v>
      </c>
      <c r="I123" s="1" t="str">
        <f>IFERROR(__xludf.DUMMYFUNCTION("REGEXREPLACE(MID(H123, SEARCH(""["", H123) + 1, SEARCH(""]"", H123) - SEARCH(""["", H123) - 1), ""\[\]"","""")"),"Dulles Dolls 2")</f>
        <v>Dulles Dolls 2</v>
      </c>
      <c r="J123" s="1">
        <v>0.0</v>
      </c>
      <c r="K123" s="1">
        <v>0.0</v>
      </c>
    </row>
    <row r="124">
      <c r="A124" s="1">
        <v>4.0</v>
      </c>
      <c r="B124" s="1">
        <v>16.0</v>
      </c>
      <c r="C124" s="1">
        <v>8.0</v>
      </c>
      <c r="D124" s="1">
        <v>4.0</v>
      </c>
      <c r="E124" s="1">
        <v>0.5</v>
      </c>
      <c r="F124" s="1">
        <v>0.0</v>
      </c>
      <c r="G124" s="2">
        <v>0.75</v>
      </c>
      <c r="H124" s="1" t="s">
        <v>161</v>
      </c>
      <c r="I124" s="1" t="str">
        <f>IFERROR(__xludf.DUMMYFUNCTION("REGEXREPLACE(MID(H124, SEARCH(""["", H124) + 1, SEARCH(""]"", H124) - SEARCH(""["", H124) - 1), ""\[\]"","""")"),"Dulles Dolls 2")</f>
        <v>Dulles Dolls 2</v>
      </c>
      <c r="J124" s="1">
        <v>16.0</v>
      </c>
      <c r="K124" s="1">
        <v>2.0</v>
      </c>
    </row>
    <row r="125">
      <c r="A125" s="1">
        <v>1.0</v>
      </c>
      <c r="B125" s="1">
        <v>5.0</v>
      </c>
      <c r="C125" s="1">
        <v>1.0</v>
      </c>
      <c r="D125" s="1">
        <v>4.0</v>
      </c>
      <c r="E125" s="1">
        <v>0.0</v>
      </c>
      <c r="F125" s="1">
        <v>0.0</v>
      </c>
      <c r="G125" s="2">
        <v>1.0</v>
      </c>
      <c r="H125" s="1" t="s">
        <v>161</v>
      </c>
      <c r="I125" s="1" t="str">
        <f>IFERROR(__xludf.DUMMYFUNCTION("REGEXREPLACE(MID(H125, SEARCH(""["", H125) + 1, SEARCH(""]"", H125) - SEARCH(""["", H125) - 1), ""\[\]"","""")"),"Dulles Dolls 2")</f>
        <v>Dulles Dolls 2</v>
      </c>
      <c r="J125" s="1">
        <v>4.0</v>
      </c>
      <c r="K125" s="1">
        <v>0.0</v>
      </c>
    </row>
    <row r="126">
      <c r="A126" s="1">
        <v>3.0</v>
      </c>
      <c r="B126" s="1">
        <v>12.0</v>
      </c>
      <c r="C126" s="1">
        <v>7.0</v>
      </c>
      <c r="D126" s="1">
        <v>6.67</v>
      </c>
      <c r="E126" s="1">
        <v>0.33</v>
      </c>
      <c r="F126" s="1">
        <v>0.0</v>
      </c>
      <c r="G126" s="6">
        <v>0.857</v>
      </c>
      <c r="H126" s="1" t="s">
        <v>187</v>
      </c>
      <c r="I126" s="1" t="str">
        <f>IFERROR(__xludf.DUMMYFUNCTION("REGEXREPLACE(MID(H126, SEARCH(""["", H126) + 1, SEARCH(""]"", H126) - SEARCH(""["", H126) - 1), ""\[\]"","""")"),"Eastlake HS")</f>
        <v>Eastlake HS</v>
      </c>
      <c r="J126" s="1">
        <v>20.0</v>
      </c>
      <c r="K126" s="1">
        <v>1.0</v>
      </c>
    </row>
    <row r="127">
      <c r="A127" s="1">
        <v>5.0</v>
      </c>
      <c r="B127" s="1">
        <v>20.0</v>
      </c>
      <c r="C127" s="1">
        <v>11.0</v>
      </c>
      <c r="D127" s="1">
        <v>7.2</v>
      </c>
      <c r="E127" s="1">
        <v>0.0</v>
      </c>
      <c r="F127" s="1">
        <v>0.0</v>
      </c>
      <c r="G127" s="6">
        <v>0.818</v>
      </c>
      <c r="H127" s="1" t="s">
        <v>180</v>
      </c>
      <c r="I127" s="1" t="str">
        <f>IFERROR(__xludf.DUMMYFUNCTION("REGEXREPLACE(MID(H127, SEARCH(""["", H127) + 1, SEARCH(""]"", H127) - SEARCH(""["", H127) - 1), ""\[\]"","""")"),"Eastlake HS")</f>
        <v>Eastlake HS</v>
      </c>
      <c r="J127" s="1">
        <v>36.0</v>
      </c>
      <c r="K127" s="1">
        <v>0.0</v>
      </c>
    </row>
    <row r="128">
      <c r="A128" s="1">
        <v>4.0</v>
      </c>
      <c r="B128" s="1">
        <v>16.0</v>
      </c>
      <c r="C128" s="1">
        <v>0.0</v>
      </c>
      <c r="D128" s="1">
        <v>0.0</v>
      </c>
      <c r="E128" s="1">
        <v>0.0</v>
      </c>
      <c r="F128" s="1">
        <v>0.0</v>
      </c>
      <c r="G128" s="2">
        <v>0.0</v>
      </c>
      <c r="H128" s="1" t="s">
        <v>189</v>
      </c>
      <c r="I128" s="1" t="str">
        <f>IFERROR(__xludf.DUMMYFUNCTION("REGEXREPLACE(MID(H128, SEARCH(""["", H128) + 1, SEARCH(""]"", H128) - SEARCH(""["", H128) - 1), ""\[\]"","""")"),"Eastlake HS")</f>
        <v>Eastlake HS</v>
      </c>
      <c r="J128" s="1">
        <v>0.0</v>
      </c>
      <c r="K128" s="1">
        <v>0.0</v>
      </c>
    </row>
    <row r="129">
      <c r="A129" s="1">
        <v>5.0</v>
      </c>
      <c r="B129" s="1">
        <v>20.0</v>
      </c>
      <c r="C129" s="1">
        <v>0.0</v>
      </c>
      <c r="D129" s="1">
        <v>0.0</v>
      </c>
      <c r="E129" s="1">
        <v>0.0</v>
      </c>
      <c r="F129" s="1">
        <v>0.0</v>
      </c>
      <c r="G129" s="2">
        <v>0.0</v>
      </c>
      <c r="H129" s="1" t="s">
        <v>190</v>
      </c>
      <c r="I129" s="1" t="str">
        <f>IFERROR(__xludf.DUMMYFUNCTION("REGEXREPLACE(MID(H129, SEARCH(""["", H129) + 1, SEARCH(""]"", H129) - SEARCH(""["", H129) - 1), ""\[\]"","""")"),"Eastlake HS")</f>
        <v>Eastlake HS</v>
      </c>
      <c r="J129" s="1">
        <v>0.0</v>
      </c>
      <c r="K129" s="1">
        <v>0.0</v>
      </c>
    </row>
    <row r="130">
      <c r="A130" s="1">
        <v>3.0</v>
      </c>
      <c r="B130" s="1">
        <v>13.0</v>
      </c>
      <c r="C130" s="1">
        <v>0.0</v>
      </c>
      <c r="D130" s="1">
        <v>0.0</v>
      </c>
      <c r="E130" s="1">
        <v>0.0</v>
      </c>
      <c r="F130" s="1">
        <v>0.0</v>
      </c>
      <c r="G130" s="2">
        <v>0.0</v>
      </c>
      <c r="H130" s="1" t="s">
        <v>191</v>
      </c>
      <c r="I130" s="1" t="str">
        <f>IFERROR(__xludf.DUMMYFUNCTION("REGEXREPLACE(MID(H130, SEARCH(""["", H130) + 1, SEARCH(""]"", H130) - SEARCH(""["", H130) - 1), ""\[\]"","""")"),"Elkins HS")</f>
        <v>Elkins HS</v>
      </c>
      <c r="J130" s="1">
        <v>0.0</v>
      </c>
      <c r="K130" s="1">
        <v>0.0</v>
      </c>
    </row>
    <row r="131">
      <c r="A131" s="1">
        <v>1.0</v>
      </c>
      <c r="B131" s="1">
        <v>4.0</v>
      </c>
      <c r="C131" s="1">
        <v>1.0</v>
      </c>
      <c r="D131" s="1">
        <v>-4.0</v>
      </c>
      <c r="E131" s="1">
        <v>1.0</v>
      </c>
      <c r="F131" s="1">
        <v>0.0</v>
      </c>
      <c r="G131" s="2">
        <v>0.0</v>
      </c>
      <c r="H131" s="1" t="s">
        <v>191</v>
      </c>
      <c r="I131" s="1" t="str">
        <f>IFERROR(__xludf.DUMMYFUNCTION("REGEXREPLACE(MID(H131, SEARCH(""["", H131) + 1, SEARCH(""]"", H131) - SEARCH(""["", H131) - 1), ""\[\]"","""")"),"Elkins HS")</f>
        <v>Elkins HS</v>
      </c>
      <c r="J131" s="1">
        <v>-4.0</v>
      </c>
      <c r="K131" s="1">
        <v>1.0</v>
      </c>
    </row>
    <row r="132">
      <c r="A132" s="1">
        <v>2.0</v>
      </c>
      <c r="B132" s="1">
        <v>9.0</v>
      </c>
      <c r="C132" s="1">
        <v>0.0</v>
      </c>
      <c r="D132" s="1">
        <v>0.0</v>
      </c>
      <c r="E132" s="1">
        <v>0.0</v>
      </c>
      <c r="F132" s="1">
        <v>0.0</v>
      </c>
      <c r="G132" s="2">
        <v>0.0</v>
      </c>
      <c r="H132" s="1" t="s">
        <v>192</v>
      </c>
      <c r="I132" s="1" t="str">
        <f>IFERROR(__xludf.DUMMYFUNCTION("REGEXREPLACE(MID(H132, SEARCH(""["", H132) + 1, SEARCH(""]"", H132) - SEARCH(""["", H132) - 1), ""\[\]"","""")"),"Elkins HS")</f>
        <v>Elkins HS</v>
      </c>
      <c r="J132" s="1">
        <v>0.0</v>
      </c>
      <c r="K132" s="1">
        <v>0.0</v>
      </c>
    </row>
    <row r="133">
      <c r="A133" s="1">
        <v>1.0</v>
      </c>
      <c r="B133" s="1">
        <v>4.0</v>
      </c>
      <c r="C133" s="1">
        <v>0.0</v>
      </c>
      <c r="D133" s="1">
        <v>0.0</v>
      </c>
      <c r="E133" s="1">
        <v>0.0</v>
      </c>
      <c r="F133" s="1">
        <v>0.0</v>
      </c>
      <c r="G133" s="2">
        <v>0.0</v>
      </c>
      <c r="H133" s="1" t="s">
        <v>192</v>
      </c>
      <c r="I133" s="1" t="str">
        <f>IFERROR(__xludf.DUMMYFUNCTION("REGEXREPLACE(MID(H133, SEARCH(""["", H133) + 1, SEARCH(""]"", H133) - SEARCH(""["", H133) - 1), ""\[\]"","""")"),"Elkins HS")</f>
        <v>Elkins HS</v>
      </c>
      <c r="J133" s="1">
        <v>0.0</v>
      </c>
      <c r="K133" s="1">
        <v>0.0</v>
      </c>
    </row>
    <row r="134">
      <c r="A134" s="1">
        <v>1.0</v>
      </c>
      <c r="B134" s="1">
        <v>4.0</v>
      </c>
      <c r="C134" s="1">
        <v>0.0</v>
      </c>
      <c r="D134" s="1">
        <v>0.0</v>
      </c>
      <c r="E134" s="1">
        <v>0.0</v>
      </c>
      <c r="F134" s="1">
        <v>0.0</v>
      </c>
      <c r="G134" s="2">
        <v>0.0</v>
      </c>
      <c r="H134" s="1" t="s">
        <v>194</v>
      </c>
      <c r="I134" s="1" t="str">
        <f>IFERROR(__xludf.DUMMYFUNCTION("REGEXREPLACE(MID(H134, SEARCH(""["", H134) + 1, SEARCH(""]"", H134) - SEARCH(""["", H134) - 1), ""\[\]"","""")"),"Elkins HS")</f>
        <v>Elkins HS</v>
      </c>
      <c r="J134" s="1">
        <v>0.0</v>
      </c>
      <c r="K134" s="1">
        <v>0.0</v>
      </c>
    </row>
    <row r="135">
      <c r="A135" s="1">
        <v>1.0</v>
      </c>
      <c r="B135" s="1">
        <v>4.0</v>
      </c>
      <c r="C135" s="1">
        <v>0.0</v>
      </c>
      <c r="D135" s="1">
        <v>0.0</v>
      </c>
      <c r="E135" s="1">
        <v>0.0</v>
      </c>
      <c r="F135" s="1">
        <v>0.0</v>
      </c>
      <c r="G135" s="2">
        <v>0.0</v>
      </c>
      <c r="H135" s="1" t="s">
        <v>194</v>
      </c>
      <c r="I135" s="1" t="str">
        <f>IFERROR(__xludf.DUMMYFUNCTION("REGEXREPLACE(MID(H135, SEARCH(""["", H135) + 1, SEARCH(""]"", H135) - SEARCH(""["", H135) - 1), ""\[\]"","""")"),"Elkins HS")</f>
        <v>Elkins HS</v>
      </c>
      <c r="J135" s="1">
        <v>0.0</v>
      </c>
      <c r="K135" s="1">
        <v>0.0</v>
      </c>
    </row>
    <row r="136">
      <c r="A136" s="1">
        <v>1.0</v>
      </c>
      <c r="B136" s="1">
        <v>4.0</v>
      </c>
      <c r="C136" s="1">
        <v>0.0</v>
      </c>
      <c r="D136" s="1">
        <v>0.0</v>
      </c>
      <c r="E136" s="1">
        <v>0.0</v>
      </c>
      <c r="F136" s="1">
        <v>0.0</v>
      </c>
      <c r="G136" s="2">
        <v>0.0</v>
      </c>
      <c r="H136" s="1" t="s">
        <v>195</v>
      </c>
      <c r="I136" s="1" t="str">
        <f>IFERROR(__xludf.DUMMYFUNCTION("REGEXREPLACE(MID(H136, SEARCH(""["", H136) + 1, SEARCH(""]"", H136) - SEARCH(""["", H136) - 1), ""\[\]"","""")"),"Elkins HS")</f>
        <v>Elkins HS</v>
      </c>
      <c r="J136" s="1">
        <v>0.0</v>
      </c>
      <c r="K136" s="1">
        <v>0.0</v>
      </c>
    </row>
    <row r="137">
      <c r="A137" s="1">
        <v>4.0</v>
      </c>
      <c r="B137" s="1">
        <v>17.0</v>
      </c>
      <c r="C137" s="1">
        <v>0.0</v>
      </c>
      <c r="D137" s="1">
        <v>0.0</v>
      </c>
      <c r="E137" s="1">
        <v>0.0</v>
      </c>
      <c r="F137" s="1">
        <v>0.0</v>
      </c>
      <c r="G137" s="2">
        <v>0.0</v>
      </c>
      <c r="H137" s="1" t="s">
        <v>195</v>
      </c>
      <c r="I137" s="1" t="str">
        <f>IFERROR(__xludf.DUMMYFUNCTION("REGEXREPLACE(MID(H137, SEARCH(""["", H137) + 1, SEARCH(""]"", H137) - SEARCH(""["", H137) - 1), ""\[\]"","""")"),"Elkins HS")</f>
        <v>Elkins HS</v>
      </c>
      <c r="J137" s="1">
        <v>0.0</v>
      </c>
      <c r="K137" s="1">
        <v>0.0</v>
      </c>
    </row>
    <row r="138">
      <c r="A138" s="1">
        <v>4.0</v>
      </c>
      <c r="B138" s="1">
        <v>17.0</v>
      </c>
      <c r="C138" s="1">
        <v>13.0</v>
      </c>
      <c r="D138" s="1">
        <v>10.0</v>
      </c>
      <c r="E138" s="1">
        <v>0.25</v>
      </c>
      <c r="F138" s="1">
        <v>0.0</v>
      </c>
      <c r="G138" s="6">
        <v>0.846</v>
      </c>
      <c r="H138" s="1" t="s">
        <v>112</v>
      </c>
      <c r="I138" s="1" t="str">
        <f>IFERROR(__xludf.DUMMYFUNCTION("REGEXREPLACE(MID(H138, SEARCH(""["", H138) + 1, SEARCH(""]"", H138) - SEARCH(""["", H138) - 1), ""\[\]"","""")"),"Elkins HS")</f>
        <v>Elkins HS</v>
      </c>
      <c r="J138" s="1">
        <v>40.0</v>
      </c>
      <c r="K138" s="1">
        <v>1.0</v>
      </c>
    </row>
    <row r="139">
      <c r="A139" s="1">
        <v>1.0</v>
      </c>
      <c r="B139" s="1">
        <v>4.0</v>
      </c>
      <c r="C139" s="1">
        <v>1.0</v>
      </c>
      <c r="D139" s="1">
        <v>4.0</v>
      </c>
      <c r="E139" s="1">
        <v>0.0</v>
      </c>
      <c r="F139" s="1">
        <v>0.0</v>
      </c>
      <c r="G139" s="2">
        <v>1.0</v>
      </c>
      <c r="H139" s="1" t="s">
        <v>112</v>
      </c>
      <c r="I139" s="1" t="str">
        <f>IFERROR(__xludf.DUMMYFUNCTION("REGEXREPLACE(MID(H139, SEARCH(""["", H139) + 1, SEARCH(""]"", H139) - SEARCH(""["", H139) - 1), ""\[\]"","""")"),"Elkins HS")</f>
        <v>Elkins HS</v>
      </c>
      <c r="J139" s="1">
        <v>4.0</v>
      </c>
      <c r="K139" s="1">
        <v>0.0</v>
      </c>
    </row>
    <row r="140">
      <c r="A140" s="1">
        <v>1.0</v>
      </c>
      <c r="B140" s="1">
        <v>4.0</v>
      </c>
      <c r="C140" s="1">
        <v>0.0</v>
      </c>
      <c r="D140" s="1">
        <v>0.0</v>
      </c>
      <c r="E140" s="1">
        <v>0.0</v>
      </c>
      <c r="F140" s="1">
        <v>0.0</v>
      </c>
      <c r="G140" s="2">
        <v>0.0</v>
      </c>
      <c r="H140" s="1" t="s">
        <v>196</v>
      </c>
      <c r="I140" s="1" t="str">
        <f>IFERROR(__xludf.DUMMYFUNCTION("REGEXREPLACE(MID(H140, SEARCH(""["", H140) + 1, SEARCH(""]"", H140) - SEARCH(""["", H140) - 1), ""\[\]"","""")"),"ENHS")</f>
        <v>ENHS</v>
      </c>
      <c r="J140" s="1">
        <v>0.0</v>
      </c>
      <c r="K140" s="1">
        <v>0.0</v>
      </c>
    </row>
    <row r="141">
      <c r="A141" s="1">
        <v>5.0</v>
      </c>
      <c r="B141" s="1">
        <v>19.0</v>
      </c>
      <c r="C141" s="1">
        <v>10.0</v>
      </c>
      <c r="D141" s="1">
        <v>2.4</v>
      </c>
      <c r="E141" s="1">
        <v>0.0</v>
      </c>
      <c r="F141" s="1">
        <v>0.0</v>
      </c>
      <c r="G141" s="2">
        <v>0.3</v>
      </c>
      <c r="H141" s="1" t="s">
        <v>197</v>
      </c>
      <c r="I141" s="1" t="str">
        <f>IFERROR(__xludf.DUMMYFUNCTION("REGEXREPLACE(MID(H141, SEARCH(""["", H141) + 1, SEARCH(""]"", H141) - SEARCH(""["", H141) - 1), ""\[\]"","""")"),"ENHS")</f>
        <v>ENHS</v>
      </c>
      <c r="J141" s="1">
        <v>12.0</v>
      </c>
      <c r="K141" s="1">
        <v>0.0</v>
      </c>
    </row>
    <row r="142">
      <c r="A142" s="1">
        <v>2.0</v>
      </c>
      <c r="B142" s="1">
        <v>7.0</v>
      </c>
      <c r="C142" s="1">
        <v>0.0</v>
      </c>
      <c r="D142" s="1">
        <v>0.0</v>
      </c>
      <c r="E142" s="1">
        <v>0.0</v>
      </c>
      <c r="F142" s="1">
        <v>0.0</v>
      </c>
      <c r="G142" s="2">
        <v>0.0</v>
      </c>
      <c r="H142" s="1" t="s">
        <v>198</v>
      </c>
      <c r="I142" s="1" t="str">
        <f>IFERROR(__xludf.DUMMYFUNCTION("REGEXREPLACE(MID(H142, SEARCH(""["", H142) + 1, SEARCH(""]"", H142) - SEARCH(""["", H142) - 1), ""\[\]"","""")"),"ENHS")</f>
        <v>ENHS</v>
      </c>
      <c r="J142" s="1">
        <v>0.0</v>
      </c>
      <c r="K142" s="1">
        <v>0.0</v>
      </c>
    </row>
    <row r="143">
      <c r="A143" s="1">
        <v>5.0</v>
      </c>
      <c r="B143" s="1">
        <v>19.0</v>
      </c>
      <c r="C143" s="1">
        <v>1.0</v>
      </c>
      <c r="D143" s="1">
        <v>0.0</v>
      </c>
      <c r="E143" s="1">
        <v>0.0</v>
      </c>
      <c r="F143" s="1">
        <v>0.0</v>
      </c>
      <c r="G143" s="2">
        <v>0.0</v>
      </c>
      <c r="H143" s="1" t="s">
        <v>199</v>
      </c>
      <c r="I143" s="1" t="str">
        <f>IFERROR(__xludf.DUMMYFUNCTION("REGEXREPLACE(MID(H143, SEARCH(""["", H143) + 1, SEARCH(""]"", H143) - SEARCH(""["", H143) - 1), ""\[\]"","""")"),"ENHS")</f>
        <v>ENHS</v>
      </c>
      <c r="J143" s="1">
        <v>0.0</v>
      </c>
      <c r="K143" s="1">
        <v>0.0</v>
      </c>
    </row>
    <row r="144">
      <c r="A144" s="1">
        <v>3.0</v>
      </c>
      <c r="B144" s="1">
        <v>12.0</v>
      </c>
      <c r="C144" s="1">
        <v>0.0</v>
      </c>
      <c r="D144" s="1">
        <v>0.0</v>
      </c>
      <c r="E144" s="1">
        <v>0.0</v>
      </c>
      <c r="F144" s="1">
        <v>0.0</v>
      </c>
      <c r="G144" s="2">
        <v>0.0</v>
      </c>
      <c r="H144" s="1" t="s">
        <v>200</v>
      </c>
      <c r="I144" s="1" t="str">
        <f>IFERROR(__xludf.DUMMYFUNCTION("REGEXREPLACE(MID(H144, SEARCH(""["", H144) + 1, SEARCH(""]"", H144) - SEARCH(""["", H144) - 1), ""\[\]"","""")"),"Enloe")</f>
        <v>Enloe</v>
      </c>
      <c r="J144" s="1">
        <v>0.0</v>
      </c>
      <c r="K144" s="1">
        <v>0.0</v>
      </c>
    </row>
    <row r="145">
      <c r="A145" s="1">
        <v>3.0</v>
      </c>
      <c r="B145" s="1">
        <v>12.0</v>
      </c>
      <c r="C145" s="1">
        <v>1.0</v>
      </c>
      <c r="D145" s="1">
        <v>1.33</v>
      </c>
      <c r="E145" s="1">
        <v>0.0</v>
      </c>
      <c r="F145" s="1">
        <v>0.0</v>
      </c>
      <c r="G145" s="2">
        <v>1.0</v>
      </c>
      <c r="H145" s="1" t="s">
        <v>201</v>
      </c>
      <c r="I145" s="1" t="str">
        <f>IFERROR(__xludf.DUMMYFUNCTION("REGEXREPLACE(MID(H145, SEARCH(""["", H145) + 1, SEARCH(""]"", H145) - SEARCH(""["", H145) - 1), ""\[\]"","""")"),"Enloe")</f>
        <v>Enloe</v>
      </c>
      <c r="J145" s="1">
        <v>4.0</v>
      </c>
      <c r="K145" s="1">
        <v>0.0</v>
      </c>
    </row>
    <row r="146">
      <c r="A146" s="1">
        <v>5.0</v>
      </c>
      <c r="B146" s="1">
        <v>20.0</v>
      </c>
      <c r="C146" s="1">
        <v>11.0</v>
      </c>
      <c r="D146" s="1">
        <v>5.6</v>
      </c>
      <c r="E146" s="1">
        <v>0.2</v>
      </c>
      <c r="F146" s="1">
        <v>0.0</v>
      </c>
      <c r="G146" s="6">
        <v>0.727</v>
      </c>
      <c r="H146" s="1" t="s">
        <v>70</v>
      </c>
      <c r="I146" s="1" t="str">
        <f>IFERROR(__xludf.DUMMYFUNCTION("REGEXREPLACE(MID(H146, SEARCH(""["", H146) + 1, SEARCH(""]"", H146) - SEARCH(""["", H146) - 1), ""\[\]"","""")"),"Enloe")</f>
        <v>Enloe</v>
      </c>
      <c r="J146" s="1">
        <v>28.0</v>
      </c>
      <c r="K146" s="1">
        <v>1.0</v>
      </c>
    </row>
    <row r="147">
      <c r="A147" s="1">
        <v>1.0</v>
      </c>
      <c r="B147" s="1">
        <v>4.0</v>
      </c>
      <c r="C147" s="1">
        <v>0.0</v>
      </c>
      <c r="D147" s="1">
        <v>0.0</v>
      </c>
      <c r="E147" s="1">
        <v>0.0</v>
      </c>
      <c r="F147" s="1">
        <v>0.0</v>
      </c>
      <c r="G147" s="2">
        <v>0.0</v>
      </c>
      <c r="H147" s="1" t="s">
        <v>203</v>
      </c>
      <c r="I147" s="1" t="str">
        <f>IFERROR(__xludf.DUMMYFUNCTION("REGEXREPLACE(MID(H147, SEARCH(""["", H147) + 1, SEARCH(""]"", H147) - SEARCH(""["", H147) - 1), ""\[\]"","""")"),"Enloe")</f>
        <v>Enloe</v>
      </c>
      <c r="J147" s="1">
        <v>0.0</v>
      </c>
      <c r="K147" s="1">
        <v>0.0</v>
      </c>
    </row>
    <row r="148">
      <c r="A148" s="1">
        <v>2.0</v>
      </c>
      <c r="B148" s="1">
        <v>8.0</v>
      </c>
      <c r="C148" s="1">
        <v>0.0</v>
      </c>
      <c r="D148" s="1">
        <v>0.0</v>
      </c>
      <c r="E148" s="1">
        <v>0.0</v>
      </c>
      <c r="F148" s="1">
        <v>0.0</v>
      </c>
      <c r="G148" s="2">
        <v>0.0</v>
      </c>
      <c r="H148" s="1" t="s">
        <v>205</v>
      </c>
      <c r="I148" s="1" t="str">
        <f>IFERROR(__xludf.DUMMYFUNCTION("REGEXREPLACE(MID(H148, SEARCH(""["", H148) + 1, SEARCH(""]"", H148) - SEARCH(""["", H148) - 1), ""\[\]"","""")"),"Enloe")</f>
        <v>Enloe</v>
      </c>
      <c r="J148" s="1">
        <v>0.0</v>
      </c>
      <c r="K148" s="1">
        <v>0.0</v>
      </c>
    </row>
    <row r="149">
      <c r="A149" s="1">
        <v>1.0</v>
      </c>
      <c r="B149" s="1">
        <v>4.0</v>
      </c>
      <c r="C149" s="1">
        <v>0.0</v>
      </c>
      <c r="D149" s="1">
        <v>0.0</v>
      </c>
      <c r="E149" s="1">
        <v>0.0</v>
      </c>
      <c r="F149" s="1">
        <v>0.0</v>
      </c>
      <c r="G149" s="2">
        <v>0.0</v>
      </c>
      <c r="H149" s="1" t="s">
        <v>206</v>
      </c>
      <c r="I149" s="1" t="str">
        <f>IFERROR(__xludf.DUMMYFUNCTION("REGEXREPLACE(MID(H149, SEARCH(""["", H149) + 1, SEARCH(""]"", H149) - SEARCH(""["", H149) - 1), ""\[\]"","""")"),"Frazer")</f>
        <v>Frazer</v>
      </c>
      <c r="J149" s="1">
        <v>0.0</v>
      </c>
      <c r="K149" s="1">
        <v>0.0</v>
      </c>
    </row>
    <row r="150">
      <c r="A150" s="1">
        <v>5.0</v>
      </c>
      <c r="B150" s="1">
        <v>20.0</v>
      </c>
      <c r="C150" s="1">
        <v>9.0</v>
      </c>
      <c r="D150" s="1">
        <v>3.2</v>
      </c>
      <c r="E150" s="1">
        <v>0.0</v>
      </c>
      <c r="F150" s="1">
        <v>0.0</v>
      </c>
      <c r="G150" s="6">
        <v>0.444</v>
      </c>
      <c r="H150" s="1" t="s">
        <v>62</v>
      </c>
      <c r="I150" s="1" t="str">
        <f>IFERROR(__xludf.DUMMYFUNCTION("REGEXREPLACE(MID(H150, SEARCH(""["", H150) + 1, SEARCH(""]"", H150) - SEARCH(""["", H150) - 1), ""\[\]"","""")"),"Frazer")</f>
        <v>Frazer</v>
      </c>
      <c r="J150" s="1">
        <v>16.0</v>
      </c>
      <c r="K150" s="1">
        <v>0.0</v>
      </c>
    </row>
    <row r="151">
      <c r="A151" s="1">
        <v>1.0</v>
      </c>
      <c r="B151" s="1">
        <v>4.0</v>
      </c>
      <c r="C151" s="1">
        <v>0.0</v>
      </c>
      <c r="D151" s="1">
        <v>0.0</v>
      </c>
      <c r="E151" s="1">
        <v>0.0</v>
      </c>
      <c r="F151" s="1">
        <v>0.0</v>
      </c>
      <c r="G151" s="2">
        <v>0.0</v>
      </c>
      <c r="H151" s="1" t="s">
        <v>208</v>
      </c>
      <c r="I151" s="1" t="str">
        <f>IFERROR(__xludf.DUMMYFUNCTION("REGEXREPLACE(MID(H151, SEARCH(""["", H151) + 1, SEARCH(""]"", H151) - SEARCH(""["", H151) - 1), ""\[\]"","""")"),"Frazer")</f>
        <v>Frazer</v>
      </c>
      <c r="J151" s="1">
        <v>0.0</v>
      </c>
      <c r="K151" s="1">
        <v>0.0</v>
      </c>
    </row>
    <row r="152">
      <c r="A152" s="1">
        <v>5.0</v>
      </c>
      <c r="B152" s="1">
        <v>21.0</v>
      </c>
      <c r="C152" s="1">
        <v>0.0</v>
      </c>
      <c r="D152" s="1">
        <v>0.0</v>
      </c>
      <c r="E152" s="1">
        <v>0.0</v>
      </c>
      <c r="F152" s="1">
        <v>0.0</v>
      </c>
      <c r="G152" s="2">
        <v>0.0</v>
      </c>
      <c r="H152" s="1" t="s">
        <v>209</v>
      </c>
      <c r="I152" s="1" t="str">
        <f>IFERROR(__xludf.DUMMYFUNCTION("REGEXREPLACE(MID(H152, SEARCH(""["", H152) + 1, SEARCH(""]"", H152) - SEARCH(""["", H152) - 1), ""\[\]"","""")"),"Friendswood")</f>
        <v>Friendswood</v>
      </c>
      <c r="J152" s="1">
        <v>0.0</v>
      </c>
      <c r="K152" s="1">
        <v>0.0</v>
      </c>
    </row>
    <row r="153">
      <c r="A153" s="1">
        <v>5.0</v>
      </c>
      <c r="B153" s="1">
        <v>21.0</v>
      </c>
      <c r="C153" s="1">
        <v>1.0</v>
      </c>
      <c r="D153" s="1">
        <v>0.8</v>
      </c>
      <c r="E153" s="1">
        <v>0.0</v>
      </c>
      <c r="F153" s="1">
        <v>0.0</v>
      </c>
      <c r="G153" s="2">
        <v>1.0</v>
      </c>
      <c r="H153" s="1" t="s">
        <v>210</v>
      </c>
      <c r="I153" s="1" t="str">
        <f>IFERROR(__xludf.DUMMYFUNCTION("REGEXREPLACE(MID(H153, SEARCH(""["", H153) + 1, SEARCH(""]"", H153) - SEARCH(""["", H153) - 1), ""\[\]"","""")"),"Friendswood")</f>
        <v>Friendswood</v>
      </c>
      <c r="J153" s="1">
        <v>4.0</v>
      </c>
      <c r="K153" s="1">
        <v>0.0</v>
      </c>
    </row>
    <row r="154">
      <c r="A154" s="1">
        <v>5.0</v>
      </c>
      <c r="B154" s="1">
        <v>21.0</v>
      </c>
      <c r="C154" s="1">
        <v>3.0</v>
      </c>
      <c r="D154" s="1">
        <v>0.8</v>
      </c>
      <c r="E154" s="1">
        <v>0.0</v>
      </c>
      <c r="F154" s="1">
        <v>0.0</v>
      </c>
      <c r="G154" s="6">
        <v>0.333</v>
      </c>
      <c r="H154" s="1" t="s">
        <v>211</v>
      </c>
      <c r="I154" s="1" t="str">
        <f>IFERROR(__xludf.DUMMYFUNCTION("REGEXREPLACE(MID(H154, SEARCH(""["", H154) + 1, SEARCH(""]"", H154) - SEARCH(""["", H154) - 1), ""\[\]"","""")"),"Friendswood")</f>
        <v>Friendswood</v>
      </c>
      <c r="J154" s="1">
        <v>4.0</v>
      </c>
      <c r="K154" s="1">
        <v>0.0</v>
      </c>
    </row>
    <row r="155">
      <c r="A155" s="1">
        <v>5.0</v>
      </c>
      <c r="B155" s="1">
        <v>21.0</v>
      </c>
      <c r="C155" s="1">
        <v>4.0</v>
      </c>
      <c r="D155" s="1">
        <v>0.8</v>
      </c>
      <c r="E155" s="1">
        <v>0.0</v>
      </c>
      <c r="F155" s="1">
        <v>0.0</v>
      </c>
      <c r="G155" s="2">
        <v>0.25</v>
      </c>
      <c r="H155" s="1" t="s">
        <v>213</v>
      </c>
      <c r="I155" s="1" t="str">
        <f>IFERROR(__xludf.DUMMYFUNCTION("REGEXREPLACE(MID(H155, SEARCH(""["", H155) + 1, SEARCH(""]"", H155) - SEARCH(""["", H155) - 1), ""\[\]"","""")"),"Friendswood")</f>
        <v>Friendswood</v>
      </c>
      <c r="J155" s="1">
        <v>4.0</v>
      </c>
      <c r="K155" s="1">
        <v>0.0</v>
      </c>
    </row>
    <row r="156">
      <c r="A156" s="1">
        <v>1.0</v>
      </c>
      <c r="B156" s="1">
        <v>4.0</v>
      </c>
      <c r="C156" s="1">
        <v>0.0</v>
      </c>
      <c r="D156" s="1">
        <v>0.0</v>
      </c>
      <c r="E156" s="1">
        <v>0.0</v>
      </c>
      <c r="F156" s="1">
        <v>0.0</v>
      </c>
      <c r="G156" s="2">
        <v>0.0</v>
      </c>
      <c r="H156" s="1" t="s">
        <v>214</v>
      </c>
      <c r="I156" s="1" t="str">
        <f>IFERROR(__xludf.DUMMYFUNCTION("REGEXREPLACE(MID(H156, SEARCH(""["", H156) + 1, SEARCH(""]"", H156) - SEARCH(""["", H156) - 1), ""\[\]"","""")"),"Galen 1")</f>
        <v>Galen 1</v>
      </c>
      <c r="J156" s="1">
        <v>0.0</v>
      </c>
      <c r="K156" s="1">
        <v>0.0</v>
      </c>
    </row>
    <row r="157">
      <c r="A157" s="1">
        <v>2.0</v>
      </c>
      <c r="B157" s="1">
        <v>8.0</v>
      </c>
      <c r="C157" s="1">
        <v>0.0</v>
      </c>
      <c r="D157" s="1">
        <v>0.0</v>
      </c>
      <c r="E157" s="1">
        <v>0.0</v>
      </c>
      <c r="F157" s="1">
        <v>0.0</v>
      </c>
      <c r="G157" s="2">
        <v>0.0</v>
      </c>
      <c r="H157" s="1" t="s">
        <v>214</v>
      </c>
      <c r="I157" s="1" t="str">
        <f>IFERROR(__xludf.DUMMYFUNCTION("REGEXREPLACE(MID(H157, SEARCH(""["", H157) + 1, SEARCH(""]"", H157) - SEARCH(""["", H157) - 1), ""\[\]"","""")"),"Galen 1")</f>
        <v>Galen 1</v>
      </c>
      <c r="J157" s="1">
        <v>0.0</v>
      </c>
      <c r="K157" s="1">
        <v>0.0</v>
      </c>
    </row>
    <row r="158">
      <c r="A158" s="1">
        <v>1.0</v>
      </c>
      <c r="B158" s="1">
        <v>4.0</v>
      </c>
      <c r="C158" s="1">
        <v>0.0</v>
      </c>
      <c r="D158" s="1">
        <v>0.0</v>
      </c>
      <c r="E158" s="1">
        <v>0.0</v>
      </c>
      <c r="F158" s="1">
        <v>0.0</v>
      </c>
      <c r="G158" s="2">
        <v>0.0</v>
      </c>
      <c r="H158" s="1" t="s">
        <v>214</v>
      </c>
      <c r="I158" s="1" t="str">
        <f>IFERROR(__xludf.DUMMYFUNCTION("REGEXREPLACE(MID(H158, SEARCH(""["", H158) + 1, SEARCH(""]"", H158) - SEARCH(""["", H158) - 1), ""\[\]"","""")"),"Galen 1")</f>
        <v>Galen 1</v>
      </c>
      <c r="J158" s="1">
        <v>0.0</v>
      </c>
      <c r="K158" s="1">
        <v>0.0</v>
      </c>
    </row>
    <row r="159">
      <c r="A159" s="1">
        <v>1.0</v>
      </c>
      <c r="B159" s="1">
        <v>4.0</v>
      </c>
      <c r="C159" s="1">
        <v>0.0</v>
      </c>
      <c r="D159" s="1">
        <v>0.0</v>
      </c>
      <c r="E159" s="1">
        <v>0.0</v>
      </c>
      <c r="F159" s="1">
        <v>0.0</v>
      </c>
      <c r="G159" s="2">
        <v>0.0</v>
      </c>
      <c r="H159" s="1" t="s">
        <v>214</v>
      </c>
      <c r="I159" s="1" t="str">
        <f>IFERROR(__xludf.DUMMYFUNCTION("REGEXREPLACE(MID(H159, SEARCH(""["", H159) + 1, SEARCH(""]"", H159) - SEARCH(""["", H159) - 1), ""\[\]"","""")"),"Galen 1")</f>
        <v>Galen 1</v>
      </c>
      <c r="J159" s="1">
        <v>0.0</v>
      </c>
      <c r="K159" s="1">
        <v>0.0</v>
      </c>
    </row>
    <row r="160">
      <c r="A160" s="1">
        <v>2.0</v>
      </c>
      <c r="B160" s="1">
        <v>8.0</v>
      </c>
      <c r="C160" s="1">
        <v>4.0</v>
      </c>
      <c r="D160" s="1">
        <v>8.0</v>
      </c>
      <c r="E160" s="1">
        <v>0.0</v>
      </c>
      <c r="F160" s="1">
        <v>0.0</v>
      </c>
      <c r="G160" s="2">
        <v>1.0</v>
      </c>
      <c r="H160" s="1" t="s">
        <v>217</v>
      </c>
      <c r="I160" s="1" t="str">
        <f>IFERROR(__xludf.DUMMYFUNCTION("REGEXREPLACE(MID(H160, SEARCH(""["", H160) + 1, SEARCH(""]"", H160) - SEARCH(""["", H160) - 1), ""\[\]"","""")"),"Galen 1")</f>
        <v>Galen 1</v>
      </c>
      <c r="J160" s="1">
        <v>16.0</v>
      </c>
      <c r="K160" s="1">
        <v>0.0</v>
      </c>
    </row>
    <row r="161">
      <c r="A161" s="1">
        <v>1.0</v>
      </c>
      <c r="B161" s="1">
        <v>4.0</v>
      </c>
      <c r="C161" s="1">
        <v>1.0</v>
      </c>
      <c r="D161" s="1">
        <v>4.0</v>
      </c>
      <c r="E161" s="1">
        <v>0.0</v>
      </c>
      <c r="F161" s="1">
        <v>0.0</v>
      </c>
      <c r="G161" s="2">
        <v>1.0</v>
      </c>
      <c r="H161" s="1" t="s">
        <v>217</v>
      </c>
      <c r="I161" s="1" t="str">
        <f>IFERROR(__xludf.DUMMYFUNCTION("REGEXREPLACE(MID(H161, SEARCH(""["", H161) + 1, SEARCH(""]"", H161) - SEARCH(""["", H161) - 1), ""\[\]"","""")"),"Galen 1")</f>
        <v>Galen 1</v>
      </c>
      <c r="J161" s="1">
        <v>4.0</v>
      </c>
      <c r="K161" s="1">
        <v>0.0</v>
      </c>
    </row>
    <row r="162">
      <c r="A162" s="1">
        <v>3.0</v>
      </c>
      <c r="B162" s="1">
        <v>12.0</v>
      </c>
      <c r="C162" s="1">
        <v>0.0</v>
      </c>
      <c r="D162" s="1">
        <v>0.0</v>
      </c>
      <c r="E162" s="1">
        <v>0.0</v>
      </c>
      <c r="F162" s="1">
        <v>0.0</v>
      </c>
      <c r="G162" s="2">
        <v>0.0</v>
      </c>
      <c r="H162" s="1" t="s">
        <v>105</v>
      </c>
      <c r="I162" s="1" t="str">
        <f>IFERROR(__xludf.DUMMYFUNCTION("REGEXREPLACE(MID(H162, SEARCH(""["", H162) + 1, SEARCH(""]"", H162) - SEARCH(""["", H162) - 1), ""\[\]"","""")"),"Galen 1")</f>
        <v>Galen 1</v>
      </c>
      <c r="J162" s="1">
        <v>0.0</v>
      </c>
      <c r="K162" s="1">
        <v>0.0</v>
      </c>
    </row>
    <row r="163">
      <c r="A163" s="1">
        <v>1.0</v>
      </c>
      <c r="B163" s="1">
        <v>4.0</v>
      </c>
      <c r="C163" s="1">
        <v>0.0</v>
      </c>
      <c r="D163" s="1">
        <v>0.0</v>
      </c>
      <c r="E163" s="1">
        <v>0.0</v>
      </c>
      <c r="F163" s="1">
        <v>0.0</v>
      </c>
      <c r="G163" s="2">
        <v>0.0</v>
      </c>
      <c r="H163" s="1" t="s">
        <v>105</v>
      </c>
      <c r="I163" s="1" t="str">
        <f>IFERROR(__xludf.DUMMYFUNCTION("REGEXREPLACE(MID(H163, SEARCH(""["", H163) + 1, SEARCH(""]"", H163) - SEARCH(""["", H163) - 1), ""\[\]"","""")"),"Galen 1")</f>
        <v>Galen 1</v>
      </c>
      <c r="J163" s="1">
        <v>0.0</v>
      </c>
      <c r="K163" s="1">
        <v>0.0</v>
      </c>
    </row>
    <row r="164">
      <c r="A164" s="1">
        <v>1.0</v>
      </c>
      <c r="B164" s="1">
        <v>4.0</v>
      </c>
      <c r="C164" s="1">
        <v>0.0</v>
      </c>
      <c r="D164" s="1">
        <v>0.0</v>
      </c>
      <c r="E164" s="1">
        <v>0.0</v>
      </c>
      <c r="F164" s="1">
        <v>0.0</v>
      </c>
      <c r="G164" s="2">
        <v>0.0</v>
      </c>
      <c r="H164" s="1" t="s">
        <v>105</v>
      </c>
      <c r="I164" s="1" t="str">
        <f>IFERROR(__xludf.DUMMYFUNCTION("REGEXREPLACE(MID(H164, SEARCH(""["", H164) + 1, SEARCH(""]"", H164) - SEARCH(""["", H164) - 1), ""\[\]"","""")"),"Galen 1")</f>
        <v>Galen 1</v>
      </c>
      <c r="J164" s="1">
        <v>0.0</v>
      </c>
      <c r="K164" s="1">
        <v>0.0</v>
      </c>
    </row>
    <row r="165">
      <c r="A165" s="1">
        <v>1.0</v>
      </c>
      <c r="B165" s="1">
        <v>4.0</v>
      </c>
      <c r="C165" s="1">
        <v>0.0</v>
      </c>
      <c r="D165" s="1">
        <v>0.0</v>
      </c>
      <c r="E165" s="1">
        <v>0.0</v>
      </c>
      <c r="F165" s="1">
        <v>0.0</v>
      </c>
      <c r="G165" s="2">
        <v>0.0</v>
      </c>
      <c r="H165" s="1" t="s">
        <v>219</v>
      </c>
      <c r="I165" s="1" t="str">
        <f>IFERROR(__xludf.DUMMYFUNCTION("REGEXREPLACE(MID(H165, SEARCH(""["", H165) + 1, SEARCH(""]"", H165) - SEARCH(""["", H165) - 1), ""\[\]"","""")"),"Galen 1")</f>
        <v>Galen 1</v>
      </c>
      <c r="J165" s="1">
        <v>0.0</v>
      </c>
      <c r="K165" s="1">
        <v>0.0</v>
      </c>
    </row>
    <row r="166">
      <c r="A166" s="1">
        <v>2.0</v>
      </c>
      <c r="B166" s="1">
        <v>8.0</v>
      </c>
      <c r="C166" s="1">
        <v>7.0</v>
      </c>
      <c r="D166" s="1">
        <v>10.0</v>
      </c>
      <c r="E166" s="1">
        <v>0.5</v>
      </c>
      <c r="F166" s="1">
        <v>0.0</v>
      </c>
      <c r="G166" s="6">
        <v>0.857</v>
      </c>
      <c r="H166" s="1" t="s">
        <v>220</v>
      </c>
      <c r="I166" s="1" t="str">
        <f>IFERROR(__xludf.DUMMYFUNCTION("REGEXREPLACE(MID(H166, SEARCH(""["", H166) + 1, SEARCH(""]"", H166) - SEARCH(""["", H166) - 1), ""\[\]"","""")"),"Galen 1")</f>
        <v>Galen 1</v>
      </c>
      <c r="J166" s="1">
        <v>20.0</v>
      </c>
      <c r="K166" s="1">
        <v>1.0</v>
      </c>
    </row>
    <row r="167">
      <c r="A167" s="1">
        <v>1.0</v>
      </c>
      <c r="B167" s="1">
        <v>4.0</v>
      </c>
      <c r="C167" s="1">
        <v>1.0</v>
      </c>
      <c r="D167" s="1">
        <v>4.0</v>
      </c>
      <c r="E167" s="1">
        <v>0.0</v>
      </c>
      <c r="F167" s="1">
        <v>0.0</v>
      </c>
      <c r="G167" s="2">
        <v>1.0</v>
      </c>
      <c r="H167" s="1" t="s">
        <v>220</v>
      </c>
      <c r="I167" s="1" t="str">
        <f>IFERROR(__xludf.DUMMYFUNCTION("REGEXREPLACE(MID(H167, SEARCH(""["", H167) + 1, SEARCH(""]"", H167) - SEARCH(""["", H167) - 1), ""\[\]"","""")"),"Galen 1")</f>
        <v>Galen 1</v>
      </c>
      <c r="J167" s="1">
        <v>4.0</v>
      </c>
      <c r="K167" s="1">
        <v>0.0</v>
      </c>
    </row>
    <row r="168">
      <c r="A168" s="1">
        <v>1.0</v>
      </c>
      <c r="B168" s="1">
        <v>4.0</v>
      </c>
      <c r="C168" s="1">
        <v>3.0</v>
      </c>
      <c r="D168" s="1">
        <v>4.0</v>
      </c>
      <c r="E168" s="1">
        <v>1.0</v>
      </c>
      <c r="F168" s="1">
        <v>0.0</v>
      </c>
      <c r="G168" s="6">
        <v>0.667</v>
      </c>
      <c r="H168" s="1" t="s">
        <v>220</v>
      </c>
      <c r="I168" s="1" t="str">
        <f>IFERROR(__xludf.DUMMYFUNCTION("REGEXREPLACE(MID(H168, SEARCH(""["", H168) + 1, SEARCH(""]"", H168) - SEARCH(""["", H168) - 1), ""\[\]"","""")"),"Galen 1")</f>
        <v>Galen 1</v>
      </c>
      <c r="J168" s="1">
        <v>4.0</v>
      </c>
      <c r="K168" s="1">
        <v>1.0</v>
      </c>
    </row>
    <row r="169">
      <c r="A169" s="1">
        <v>1.0</v>
      </c>
      <c r="B169" s="1">
        <v>4.0</v>
      </c>
      <c r="C169" s="1">
        <v>1.0</v>
      </c>
      <c r="D169" s="1">
        <v>-4.0</v>
      </c>
      <c r="E169" s="1">
        <v>1.0</v>
      </c>
      <c r="F169" s="1">
        <v>0.0</v>
      </c>
      <c r="G169" s="2">
        <v>0.0</v>
      </c>
      <c r="H169" s="1" t="s">
        <v>220</v>
      </c>
      <c r="I169" s="1" t="str">
        <f>IFERROR(__xludf.DUMMYFUNCTION("REGEXREPLACE(MID(H169, SEARCH(""["", H169) + 1, SEARCH(""]"", H169) - SEARCH(""["", H169) - 1), ""\[\]"","""")"),"Galen 1")</f>
        <v>Galen 1</v>
      </c>
      <c r="J169" s="1">
        <v>-4.0</v>
      </c>
      <c r="K169" s="1">
        <v>1.0</v>
      </c>
    </row>
    <row r="170">
      <c r="A170" s="1">
        <v>1.0</v>
      </c>
      <c r="B170" s="1">
        <v>4.0</v>
      </c>
      <c r="C170" s="1">
        <v>2.0</v>
      </c>
      <c r="D170" s="1">
        <v>-4.0</v>
      </c>
      <c r="E170" s="1">
        <v>1.0</v>
      </c>
      <c r="F170" s="1">
        <v>0.0</v>
      </c>
      <c r="G170" s="2">
        <v>0.0</v>
      </c>
      <c r="H170" s="1" t="s">
        <v>222</v>
      </c>
      <c r="I170" s="1" t="str">
        <f>IFERROR(__xludf.DUMMYFUNCTION("REGEXREPLACE(MID(H170, SEARCH(""["", H170) + 1, SEARCH(""]"", H170) - SEARCH(""["", H170) - 1), ""\[\]"","""")"),"Galen 2")</f>
        <v>Galen 2</v>
      </c>
      <c r="J170" s="1">
        <v>-4.0</v>
      </c>
      <c r="K170" s="1">
        <v>1.0</v>
      </c>
    </row>
    <row r="171">
      <c r="A171" s="1">
        <v>4.0</v>
      </c>
      <c r="B171" s="1">
        <v>16.0</v>
      </c>
      <c r="C171" s="1">
        <v>3.0</v>
      </c>
      <c r="D171" s="1">
        <v>-1.0</v>
      </c>
      <c r="E171" s="1">
        <v>0.5</v>
      </c>
      <c r="F171" s="1">
        <v>0.0</v>
      </c>
      <c r="G171" s="6">
        <v>0.333</v>
      </c>
      <c r="H171" s="1" t="s">
        <v>222</v>
      </c>
      <c r="I171" s="1" t="str">
        <f>IFERROR(__xludf.DUMMYFUNCTION("REGEXREPLACE(MID(H171, SEARCH(""["", H171) + 1, SEARCH(""]"", H171) - SEARCH(""["", H171) - 1), ""\[\]"","""")"),"Galen 2")</f>
        <v>Galen 2</v>
      </c>
      <c r="J171" s="1">
        <v>-4.0</v>
      </c>
      <c r="K171" s="1">
        <v>2.0</v>
      </c>
    </row>
    <row r="172">
      <c r="A172" s="1">
        <v>2.0</v>
      </c>
      <c r="B172" s="1">
        <v>8.0</v>
      </c>
      <c r="C172" s="1">
        <v>0.0</v>
      </c>
      <c r="D172" s="1">
        <v>0.0</v>
      </c>
      <c r="E172" s="1">
        <v>0.0</v>
      </c>
      <c r="F172" s="1">
        <v>0.0</v>
      </c>
      <c r="G172" s="2">
        <v>0.0</v>
      </c>
      <c r="H172" s="1" t="s">
        <v>224</v>
      </c>
      <c r="I172" s="1" t="str">
        <f>IFERROR(__xludf.DUMMYFUNCTION("REGEXREPLACE(MID(H172, SEARCH(""["", H172) + 1, SEARCH(""]"", H172) - SEARCH(""["", H172) - 1), ""\[\]"","""")"),"Galen 2")</f>
        <v>Galen 2</v>
      </c>
      <c r="J172" s="1">
        <v>0.0</v>
      </c>
      <c r="K172" s="1">
        <v>0.0</v>
      </c>
    </row>
    <row r="173">
      <c r="A173" s="1">
        <v>5.0</v>
      </c>
      <c r="B173" s="1">
        <v>20.0</v>
      </c>
      <c r="C173" s="1">
        <v>6.0</v>
      </c>
      <c r="D173" s="1">
        <v>1.6</v>
      </c>
      <c r="E173" s="1">
        <v>0.4</v>
      </c>
      <c r="F173" s="1">
        <v>0.0</v>
      </c>
      <c r="G173" s="6">
        <v>0.667</v>
      </c>
      <c r="H173" s="1" t="s">
        <v>47</v>
      </c>
      <c r="I173" s="1" t="str">
        <f>IFERROR(__xludf.DUMMYFUNCTION("REGEXREPLACE(MID(H173, SEARCH(""["", H173) + 1, SEARCH(""]"", H173) - SEARCH(""["", H173) - 1), ""\[\]"","""")"),"Galen 2")</f>
        <v>Galen 2</v>
      </c>
      <c r="J173" s="1">
        <v>8.0</v>
      </c>
      <c r="K173" s="1">
        <v>2.0</v>
      </c>
    </row>
    <row r="174">
      <c r="A174" s="1">
        <v>1.0</v>
      </c>
      <c r="B174" s="1">
        <v>4.0</v>
      </c>
      <c r="C174" s="1">
        <v>0.0</v>
      </c>
      <c r="D174" s="1">
        <v>0.0</v>
      </c>
      <c r="E174" s="1">
        <v>0.0</v>
      </c>
      <c r="F174" s="1">
        <v>0.0</v>
      </c>
      <c r="G174" s="2">
        <v>0.0</v>
      </c>
      <c r="H174" s="1" t="s">
        <v>225</v>
      </c>
      <c r="I174" s="1" t="str">
        <f>IFERROR(__xludf.DUMMYFUNCTION("REGEXREPLACE(MID(H174, SEARCH(""["", H174) + 1, SEARCH(""]"", H174) - SEARCH(""["", H174) - 1), ""\[\]"","""")"),"Galen 2")</f>
        <v>Galen 2</v>
      </c>
      <c r="J174" s="1">
        <v>0.0</v>
      </c>
      <c r="K174" s="1">
        <v>0.0</v>
      </c>
    </row>
    <row r="175">
      <c r="A175" s="1">
        <v>1.0</v>
      </c>
      <c r="B175" s="1">
        <v>4.0</v>
      </c>
      <c r="C175" s="1">
        <v>0.0</v>
      </c>
      <c r="D175" s="1">
        <v>0.0</v>
      </c>
      <c r="E175" s="1">
        <v>0.0</v>
      </c>
      <c r="F175" s="1">
        <v>0.0</v>
      </c>
      <c r="G175" s="2">
        <v>0.0</v>
      </c>
      <c r="H175" s="1" t="s">
        <v>226</v>
      </c>
      <c r="I175" s="1" t="str">
        <f>IFERROR(__xludf.DUMMYFUNCTION("REGEXREPLACE(MID(H175, SEARCH(""["", H175) + 1, SEARCH(""]"", H175) - SEARCH(""["", H175) - 1), ""\[\]"","""")"),"Green Hope HS")</f>
        <v>Green Hope HS</v>
      </c>
      <c r="J175" s="1">
        <v>0.0</v>
      </c>
      <c r="K175" s="1">
        <v>0.0</v>
      </c>
    </row>
    <row r="176">
      <c r="A176" s="1">
        <v>3.0</v>
      </c>
      <c r="B176" s="1">
        <v>12.0</v>
      </c>
      <c r="C176" s="1">
        <v>0.0</v>
      </c>
      <c r="D176" s="1">
        <v>0.0</v>
      </c>
      <c r="E176" s="1">
        <v>0.0</v>
      </c>
      <c r="F176" s="1">
        <v>0.0</v>
      </c>
      <c r="G176" s="2">
        <v>0.0</v>
      </c>
      <c r="H176" s="1" t="s">
        <v>226</v>
      </c>
      <c r="I176" s="1" t="str">
        <f>IFERROR(__xludf.DUMMYFUNCTION("REGEXREPLACE(MID(H176, SEARCH(""["", H176) + 1, SEARCH(""]"", H176) - SEARCH(""["", H176) - 1), ""\[\]"","""")"),"Green Hope HS")</f>
        <v>Green Hope HS</v>
      </c>
      <c r="J176" s="1">
        <v>0.0</v>
      </c>
      <c r="K176" s="1">
        <v>0.0</v>
      </c>
    </row>
    <row r="177">
      <c r="A177" s="1">
        <v>1.0</v>
      </c>
      <c r="B177" s="1">
        <v>4.0</v>
      </c>
      <c r="C177" s="1">
        <v>0.0</v>
      </c>
      <c r="D177" s="1">
        <v>0.0</v>
      </c>
      <c r="E177" s="1">
        <v>0.0</v>
      </c>
      <c r="F177" s="1">
        <v>0.0</v>
      </c>
      <c r="G177" s="2">
        <v>0.0</v>
      </c>
      <c r="H177" s="1" t="s">
        <v>227</v>
      </c>
      <c r="I177" s="1" t="str">
        <f>IFERROR(__xludf.DUMMYFUNCTION("REGEXREPLACE(MID(H177, SEARCH(""["", H177) + 1, SEARCH(""]"", H177) - SEARCH(""["", H177) - 1), ""\[\]"","""")"),"Green Hope HS")</f>
        <v>Green Hope HS</v>
      </c>
      <c r="J177" s="1">
        <v>0.0</v>
      </c>
      <c r="K177" s="1">
        <v>0.0</v>
      </c>
    </row>
    <row r="178">
      <c r="A178" s="1">
        <v>1.0</v>
      </c>
      <c r="B178" s="1">
        <v>4.0</v>
      </c>
      <c r="C178" s="1">
        <v>0.0</v>
      </c>
      <c r="D178" s="1">
        <v>0.0</v>
      </c>
      <c r="E178" s="1">
        <v>0.0</v>
      </c>
      <c r="F178" s="1">
        <v>0.0</v>
      </c>
      <c r="G178" s="2">
        <v>0.0</v>
      </c>
      <c r="H178" s="1" t="s">
        <v>227</v>
      </c>
      <c r="I178" s="1" t="str">
        <f>IFERROR(__xludf.DUMMYFUNCTION("REGEXREPLACE(MID(H178, SEARCH(""["", H178) + 1, SEARCH(""]"", H178) - SEARCH(""["", H178) - 1), ""\[\]"","""")"),"Green Hope HS")</f>
        <v>Green Hope HS</v>
      </c>
      <c r="J178" s="1">
        <v>0.0</v>
      </c>
      <c r="K178" s="1">
        <v>0.0</v>
      </c>
    </row>
    <row r="179">
      <c r="A179" s="1">
        <v>3.0</v>
      </c>
      <c r="B179" s="1">
        <v>12.0</v>
      </c>
      <c r="C179" s="1">
        <v>0.0</v>
      </c>
      <c r="D179" s="1">
        <v>0.0</v>
      </c>
      <c r="E179" s="1">
        <v>0.0</v>
      </c>
      <c r="F179" s="1">
        <v>0.0</v>
      </c>
      <c r="G179" s="2">
        <v>0.0</v>
      </c>
      <c r="H179" s="1" t="s">
        <v>227</v>
      </c>
      <c r="I179" s="1" t="str">
        <f>IFERROR(__xludf.DUMMYFUNCTION("REGEXREPLACE(MID(H179, SEARCH(""["", H179) + 1, SEARCH(""]"", H179) - SEARCH(""["", H179) - 1), ""\[\]"","""")"),"Green Hope HS")</f>
        <v>Green Hope HS</v>
      </c>
      <c r="J179" s="1">
        <v>0.0</v>
      </c>
      <c r="K179" s="1">
        <v>0.0</v>
      </c>
    </row>
    <row r="180">
      <c r="A180" s="1">
        <v>1.0</v>
      </c>
      <c r="B180" s="1">
        <v>4.0</v>
      </c>
      <c r="C180" s="1">
        <v>0.0</v>
      </c>
      <c r="D180" s="1">
        <v>0.0</v>
      </c>
      <c r="E180" s="1">
        <v>0.0</v>
      </c>
      <c r="F180" s="1">
        <v>0.0</v>
      </c>
      <c r="G180" s="2">
        <v>0.0</v>
      </c>
      <c r="H180" s="1" t="s">
        <v>229</v>
      </c>
      <c r="I180" s="1" t="str">
        <f>IFERROR(__xludf.DUMMYFUNCTION("REGEXREPLACE(MID(H180, SEARCH(""["", H180) + 1, SEARCH(""]"", H180) - SEARCH(""["", H180) - 1), ""\[\]"","""")"),"Green Hope HS")</f>
        <v>Green Hope HS</v>
      </c>
      <c r="J180" s="1">
        <v>0.0</v>
      </c>
      <c r="K180" s="1">
        <v>0.0</v>
      </c>
    </row>
    <row r="181">
      <c r="A181" s="1">
        <v>1.0</v>
      </c>
      <c r="B181" s="1">
        <v>4.0</v>
      </c>
      <c r="C181" s="1">
        <v>1.0</v>
      </c>
      <c r="D181" s="1">
        <v>4.0</v>
      </c>
      <c r="E181" s="1">
        <v>0.0</v>
      </c>
      <c r="F181" s="1">
        <v>0.0</v>
      </c>
      <c r="G181" s="2">
        <v>1.0</v>
      </c>
      <c r="H181" s="1" t="s">
        <v>229</v>
      </c>
      <c r="I181" s="1" t="str">
        <f>IFERROR(__xludf.DUMMYFUNCTION("REGEXREPLACE(MID(H181, SEARCH(""["", H181) + 1, SEARCH(""]"", H181) - SEARCH(""["", H181) - 1), ""\[\]"","""")"),"Green Hope HS")</f>
        <v>Green Hope HS</v>
      </c>
      <c r="J181" s="1">
        <v>4.0</v>
      </c>
      <c r="K181" s="1">
        <v>0.0</v>
      </c>
    </row>
    <row r="182">
      <c r="A182" s="1">
        <v>2.0</v>
      </c>
      <c r="B182" s="1">
        <v>8.0</v>
      </c>
      <c r="C182" s="1">
        <v>3.0</v>
      </c>
      <c r="D182" s="1">
        <v>0.0</v>
      </c>
      <c r="E182" s="1">
        <v>0.5</v>
      </c>
      <c r="F182" s="1">
        <v>0.0</v>
      </c>
      <c r="G182" s="6">
        <v>0.333</v>
      </c>
      <c r="H182" s="1" t="s">
        <v>229</v>
      </c>
      <c r="I182" s="1" t="str">
        <f>IFERROR(__xludf.DUMMYFUNCTION("REGEXREPLACE(MID(H182, SEARCH(""["", H182) + 1, SEARCH(""]"", H182) - SEARCH(""["", H182) - 1), ""\[\]"","""")"),"Green Hope HS")</f>
        <v>Green Hope HS</v>
      </c>
      <c r="J182" s="1">
        <v>0.0</v>
      </c>
      <c r="K182" s="1">
        <v>1.0</v>
      </c>
    </row>
    <row r="183">
      <c r="A183" s="1">
        <v>1.0</v>
      </c>
      <c r="B183" s="1">
        <v>4.0</v>
      </c>
      <c r="C183" s="1">
        <v>3.0</v>
      </c>
      <c r="D183" s="1">
        <v>8.0</v>
      </c>
      <c r="E183" s="1">
        <v>0.0</v>
      </c>
      <c r="F183" s="1">
        <v>0.0</v>
      </c>
      <c r="G183" s="6">
        <v>0.667</v>
      </c>
      <c r="H183" s="1" t="s">
        <v>232</v>
      </c>
      <c r="I183" s="1" t="str">
        <f>IFERROR(__xludf.DUMMYFUNCTION("REGEXREPLACE(MID(H183, SEARCH(""["", H183) + 1, SEARCH(""]"", H183) - SEARCH(""["", H183) - 1), ""\[\]"","""")"),"Green Hope HS")</f>
        <v>Green Hope HS</v>
      </c>
      <c r="J183" s="1">
        <v>8.0</v>
      </c>
      <c r="K183" s="1">
        <v>0.0</v>
      </c>
    </row>
    <row r="184">
      <c r="A184" s="1">
        <v>3.0</v>
      </c>
      <c r="B184" s="1">
        <v>12.0</v>
      </c>
      <c r="C184" s="1">
        <v>3.0</v>
      </c>
      <c r="D184" s="1">
        <v>2.67</v>
      </c>
      <c r="E184" s="1">
        <v>0.0</v>
      </c>
      <c r="F184" s="1">
        <v>0.0</v>
      </c>
      <c r="G184" s="6">
        <v>0.667</v>
      </c>
      <c r="H184" s="1" t="s">
        <v>232</v>
      </c>
      <c r="I184" s="1" t="str">
        <f>IFERROR(__xludf.DUMMYFUNCTION("REGEXREPLACE(MID(H184, SEARCH(""["", H184) + 1, SEARCH(""]"", H184) - SEARCH(""["", H184) - 1), ""\[\]"","""")"),"Green Hope HS")</f>
        <v>Green Hope HS</v>
      </c>
      <c r="J184" s="1">
        <v>8.0</v>
      </c>
      <c r="K184" s="1">
        <v>0.0</v>
      </c>
    </row>
    <row r="185">
      <c r="A185" s="1">
        <v>1.0</v>
      </c>
      <c r="B185" s="1">
        <v>4.0</v>
      </c>
      <c r="C185" s="1">
        <v>1.0</v>
      </c>
      <c r="D185" s="1">
        <v>-4.0</v>
      </c>
      <c r="E185" s="1">
        <v>1.0</v>
      </c>
      <c r="F185" s="1">
        <v>0.0</v>
      </c>
      <c r="G185" s="2">
        <v>0.0</v>
      </c>
      <c r="H185" s="1" t="s">
        <v>232</v>
      </c>
      <c r="I185" s="1" t="str">
        <f>IFERROR(__xludf.DUMMYFUNCTION("REGEXREPLACE(MID(H185, SEARCH(""["", H185) + 1, SEARCH(""]"", H185) - SEARCH(""["", H185) - 1), ""\[\]"","""")"),"Green Hope HS")</f>
        <v>Green Hope HS</v>
      </c>
      <c r="J185" s="1">
        <v>-4.0</v>
      </c>
      <c r="K185" s="1">
        <v>1.0</v>
      </c>
    </row>
    <row r="186">
      <c r="A186" s="1">
        <v>1.0</v>
      </c>
      <c r="B186" s="1">
        <v>4.0</v>
      </c>
      <c r="C186" s="1">
        <v>0.0</v>
      </c>
      <c r="D186" s="1">
        <v>0.0</v>
      </c>
      <c r="E186" s="1">
        <v>0.0</v>
      </c>
      <c r="F186" s="1">
        <v>0.0</v>
      </c>
      <c r="G186" s="2">
        <v>0.0</v>
      </c>
      <c r="H186" s="1" t="s">
        <v>233</v>
      </c>
      <c r="I186" s="1" t="str">
        <f>IFERROR(__xludf.DUMMYFUNCTION("REGEXREPLACE(MID(H186, SEARCH(""["", H186) + 1, SEARCH(""]"", H186) - SEARCH(""["", H186) - 1), ""\[\]"","""")"),"Green Hope HS")</f>
        <v>Green Hope HS</v>
      </c>
      <c r="J186" s="1">
        <v>0.0</v>
      </c>
      <c r="K186" s="1">
        <v>0.0</v>
      </c>
    </row>
    <row r="187">
      <c r="A187" s="1">
        <v>1.0</v>
      </c>
      <c r="B187" s="1">
        <v>4.0</v>
      </c>
      <c r="C187" s="1">
        <v>0.0</v>
      </c>
      <c r="D187" s="1">
        <v>0.0</v>
      </c>
      <c r="E187" s="1">
        <v>0.0</v>
      </c>
      <c r="F187" s="1">
        <v>0.0</v>
      </c>
      <c r="G187" s="2">
        <v>0.0</v>
      </c>
      <c r="H187" s="1" t="s">
        <v>233</v>
      </c>
      <c r="I187" s="1" t="str">
        <f>IFERROR(__xludf.DUMMYFUNCTION("REGEXREPLACE(MID(H187, SEARCH(""["", H187) + 1, SEARCH(""]"", H187) - SEARCH(""["", H187) - 1), ""\[\]"","""")"),"Green Hope HS")</f>
        <v>Green Hope HS</v>
      </c>
      <c r="J187" s="1">
        <v>0.0</v>
      </c>
      <c r="K187" s="1">
        <v>0.0</v>
      </c>
    </row>
    <row r="188">
      <c r="A188" s="1">
        <v>1.0</v>
      </c>
      <c r="B188" s="1">
        <v>4.0</v>
      </c>
      <c r="C188" s="1">
        <v>0.0</v>
      </c>
      <c r="D188" s="1">
        <v>0.0</v>
      </c>
      <c r="E188" s="1">
        <v>0.0</v>
      </c>
      <c r="F188" s="1">
        <v>0.0</v>
      </c>
      <c r="G188" s="2">
        <v>0.0</v>
      </c>
      <c r="H188" s="1" t="s">
        <v>233</v>
      </c>
      <c r="I188" s="1" t="str">
        <f>IFERROR(__xludf.DUMMYFUNCTION("REGEXREPLACE(MID(H188, SEARCH(""["", H188) + 1, SEARCH(""]"", H188) - SEARCH(""["", H188) - 1), ""\[\]"","""")"),"Green Hope HS")</f>
        <v>Green Hope HS</v>
      </c>
      <c r="J188" s="1">
        <v>0.0</v>
      </c>
      <c r="K188" s="1">
        <v>0.0</v>
      </c>
    </row>
    <row r="189">
      <c r="A189" s="1">
        <v>1.0</v>
      </c>
      <c r="B189" s="1">
        <v>4.0</v>
      </c>
      <c r="C189" s="1">
        <v>0.0</v>
      </c>
      <c r="D189" s="1">
        <v>0.0</v>
      </c>
      <c r="E189" s="1">
        <v>0.0</v>
      </c>
      <c r="F189" s="1">
        <v>0.0</v>
      </c>
      <c r="G189" s="2">
        <v>0.0</v>
      </c>
      <c r="H189" s="1" t="s">
        <v>233</v>
      </c>
      <c r="I189" s="1" t="str">
        <f>IFERROR(__xludf.DUMMYFUNCTION("REGEXREPLACE(MID(H189, SEARCH(""["", H189) + 1, SEARCH(""]"", H189) - SEARCH(""["", H189) - 1), ""\[\]"","""")"),"Green Hope HS")</f>
        <v>Green Hope HS</v>
      </c>
      <c r="J189" s="1">
        <v>0.0</v>
      </c>
      <c r="K189" s="1">
        <v>0.0</v>
      </c>
    </row>
    <row r="190">
      <c r="A190" s="1">
        <v>2.0</v>
      </c>
      <c r="B190" s="1">
        <v>8.0</v>
      </c>
      <c r="C190" s="1">
        <v>1.0</v>
      </c>
      <c r="D190" s="1">
        <v>2.0</v>
      </c>
      <c r="E190" s="1">
        <v>0.0</v>
      </c>
      <c r="F190" s="1">
        <v>0.0</v>
      </c>
      <c r="G190" s="2">
        <v>1.0</v>
      </c>
      <c r="H190" s="1" t="s">
        <v>234</v>
      </c>
      <c r="I190" s="1" t="str">
        <f>IFERROR(__xludf.DUMMYFUNCTION("REGEXREPLACE(MID(H190, SEARCH(""["", H190) + 1, SEARCH(""]"", H190) - SEARCH(""["", H190) - 1), ""\[\]"","""")"),"Gunn Varsity")</f>
        <v>Gunn Varsity</v>
      </c>
      <c r="J190" s="1">
        <v>4.0</v>
      </c>
      <c r="K190" s="1">
        <v>0.0</v>
      </c>
    </row>
    <row r="191">
      <c r="A191" s="1">
        <v>1.0</v>
      </c>
      <c r="B191" s="1">
        <v>4.0</v>
      </c>
      <c r="C191" s="1">
        <v>0.0</v>
      </c>
      <c r="D191" s="1">
        <v>0.0</v>
      </c>
      <c r="E191" s="1">
        <v>0.0</v>
      </c>
      <c r="F191" s="1">
        <v>0.0</v>
      </c>
      <c r="G191" s="2">
        <v>0.0</v>
      </c>
      <c r="H191" s="1" t="s">
        <v>153</v>
      </c>
      <c r="I191" s="1" t="str">
        <f>IFERROR(__xludf.DUMMYFUNCTION("REGEXREPLACE(MID(H191, SEARCH(""["", H191) + 1, SEARCH(""]"", H191) - SEARCH(""["", H191) - 1), ""\[\]"","""")"),"Gunn Varsity")</f>
        <v>Gunn Varsity</v>
      </c>
      <c r="J191" s="1">
        <v>0.0</v>
      </c>
      <c r="K191" s="1">
        <v>0.0</v>
      </c>
    </row>
    <row r="192">
      <c r="A192" s="1">
        <v>4.0</v>
      </c>
      <c r="B192" s="1">
        <v>16.0</v>
      </c>
      <c r="C192" s="1">
        <v>0.0</v>
      </c>
      <c r="D192" s="1">
        <v>0.0</v>
      </c>
      <c r="E192" s="1">
        <v>0.0</v>
      </c>
      <c r="F192" s="1">
        <v>0.0</v>
      </c>
      <c r="G192" s="2">
        <v>0.0</v>
      </c>
      <c r="H192" s="1" t="s">
        <v>235</v>
      </c>
      <c r="I192" s="1" t="str">
        <f>IFERROR(__xludf.DUMMYFUNCTION("REGEXREPLACE(MID(H192, SEARCH(""["", H192) + 1, SEARCH(""]"", H192) - SEARCH(""["", H192) - 1), ""\[\]"","""")"),"Gunn Varsity")</f>
        <v>Gunn Varsity</v>
      </c>
      <c r="J192" s="1">
        <v>0.0</v>
      </c>
      <c r="K192" s="1">
        <v>0.0</v>
      </c>
    </row>
    <row r="193">
      <c r="A193" s="1">
        <v>1.0</v>
      </c>
      <c r="B193" s="1">
        <v>4.0</v>
      </c>
      <c r="C193" s="1">
        <v>2.0</v>
      </c>
      <c r="D193" s="1">
        <v>8.0</v>
      </c>
      <c r="E193" s="1">
        <v>0.0</v>
      </c>
      <c r="F193" s="1">
        <v>0.0</v>
      </c>
      <c r="G193" s="2">
        <v>1.0</v>
      </c>
      <c r="H193" s="1" t="s">
        <v>202</v>
      </c>
      <c r="I193" s="1" t="str">
        <f>IFERROR(__xludf.DUMMYFUNCTION("REGEXREPLACE(MID(H193, SEARCH(""["", H193) + 1, SEARCH(""]"", H193) - SEARCH(""["", H193) - 1), ""\[\]"","""")"),"Gunn Varsity")</f>
        <v>Gunn Varsity</v>
      </c>
      <c r="J193" s="1">
        <v>8.0</v>
      </c>
      <c r="K193" s="1">
        <v>0.0</v>
      </c>
    </row>
    <row r="194">
      <c r="A194" s="1">
        <v>4.0</v>
      </c>
      <c r="B194" s="1">
        <v>16.0</v>
      </c>
      <c r="C194" s="1">
        <v>8.0</v>
      </c>
      <c r="D194" s="1">
        <v>5.0</v>
      </c>
      <c r="E194" s="1">
        <v>0.25</v>
      </c>
      <c r="F194" s="1">
        <v>0.0</v>
      </c>
      <c r="G194" s="2">
        <v>0.75</v>
      </c>
      <c r="H194" s="1" t="s">
        <v>202</v>
      </c>
      <c r="I194" s="1" t="str">
        <f>IFERROR(__xludf.DUMMYFUNCTION("REGEXREPLACE(MID(H194, SEARCH(""["", H194) + 1, SEARCH(""]"", H194) - SEARCH(""["", H194) - 1), ""\[\]"","""")"),"Gunn Varsity")</f>
        <v>Gunn Varsity</v>
      </c>
      <c r="J194" s="1">
        <v>20.0</v>
      </c>
      <c r="K194" s="1">
        <v>1.0</v>
      </c>
    </row>
    <row r="195">
      <c r="A195" s="1">
        <v>1.0</v>
      </c>
      <c r="B195" s="1">
        <v>4.0</v>
      </c>
      <c r="C195" s="1">
        <v>0.0</v>
      </c>
      <c r="D195" s="1">
        <v>0.0</v>
      </c>
      <c r="E195" s="1">
        <v>0.0</v>
      </c>
      <c r="F195" s="1">
        <v>0.0</v>
      </c>
      <c r="G195" s="2">
        <v>0.0</v>
      </c>
      <c r="H195" s="1" t="s">
        <v>135</v>
      </c>
      <c r="I195" s="1" t="str">
        <f>IFERROR(__xludf.DUMMYFUNCTION("REGEXREPLACE(MID(H195, SEARCH(""["", H195) + 1, SEARCH(""]"", H195) - SEARCH(""["", H195) - 1), ""\[\]"","""")"),"Gunn Varsity")</f>
        <v>Gunn Varsity</v>
      </c>
      <c r="J195" s="1">
        <v>0.0</v>
      </c>
      <c r="K195" s="1">
        <v>0.0</v>
      </c>
    </row>
    <row r="196">
      <c r="A196" s="1">
        <v>3.0</v>
      </c>
      <c r="B196" s="1">
        <v>12.0</v>
      </c>
      <c r="C196" s="1">
        <v>0.0</v>
      </c>
      <c r="D196" s="1">
        <v>0.0</v>
      </c>
      <c r="E196" s="1">
        <v>0.0</v>
      </c>
      <c r="F196" s="1">
        <v>0.0</v>
      </c>
      <c r="G196" s="2">
        <v>0.0</v>
      </c>
      <c r="H196" s="1" t="s">
        <v>135</v>
      </c>
      <c r="I196" s="1" t="str">
        <f>IFERROR(__xludf.DUMMYFUNCTION("REGEXREPLACE(MID(H196, SEARCH(""["", H196) + 1, SEARCH(""]"", H196) - SEARCH(""["", H196) - 1), ""\[\]"","""")"),"Gunn Varsity")</f>
        <v>Gunn Varsity</v>
      </c>
      <c r="J196" s="1">
        <v>0.0</v>
      </c>
      <c r="K196" s="1">
        <v>0.0</v>
      </c>
    </row>
    <row r="197">
      <c r="A197" s="1">
        <v>1.0</v>
      </c>
      <c r="B197" s="1">
        <v>4.0</v>
      </c>
      <c r="C197" s="1">
        <v>0.0</v>
      </c>
      <c r="D197" s="1">
        <v>0.0</v>
      </c>
      <c r="E197" s="1">
        <v>0.0</v>
      </c>
      <c r="F197" s="1">
        <v>0.0</v>
      </c>
      <c r="G197" s="2">
        <v>0.0</v>
      </c>
      <c r="H197" s="1" t="s">
        <v>236</v>
      </c>
      <c r="I197" s="1" t="str">
        <f>IFERROR(__xludf.DUMMYFUNCTION("REGEXREPLACE(MID(H197, SEARCH(""["", H197) + 1, SEARCH(""]"", H197) - SEARCH(""["", H197) - 1), ""\[\]"","""")"),"Harvard-Westlake")</f>
        <v>Harvard-Westlake</v>
      </c>
      <c r="J197" s="1">
        <v>0.0</v>
      </c>
      <c r="K197" s="1">
        <v>0.0</v>
      </c>
    </row>
    <row r="198">
      <c r="A198" s="1">
        <v>1.0</v>
      </c>
      <c r="B198" s="1">
        <v>4.0</v>
      </c>
      <c r="C198" s="1">
        <v>0.0</v>
      </c>
      <c r="D198" s="1">
        <v>0.0</v>
      </c>
      <c r="E198" s="1">
        <v>0.0</v>
      </c>
      <c r="F198" s="1">
        <v>0.0</v>
      </c>
      <c r="G198" s="2">
        <v>0.0</v>
      </c>
      <c r="H198" s="1" t="s">
        <v>236</v>
      </c>
      <c r="I198" s="1" t="str">
        <f>IFERROR(__xludf.DUMMYFUNCTION("REGEXREPLACE(MID(H198, SEARCH(""["", H198) + 1, SEARCH(""]"", H198) - SEARCH(""["", H198) - 1), ""\[\]"","""")"),"Harvard-Westlake")</f>
        <v>Harvard-Westlake</v>
      </c>
      <c r="J198" s="1">
        <v>0.0</v>
      </c>
      <c r="K198" s="1">
        <v>0.0</v>
      </c>
    </row>
    <row r="199">
      <c r="A199" s="1">
        <v>1.0</v>
      </c>
      <c r="B199" s="1">
        <v>4.0</v>
      </c>
      <c r="C199" s="1">
        <v>1.0</v>
      </c>
      <c r="D199" s="1">
        <v>4.0</v>
      </c>
      <c r="E199" s="1">
        <v>0.0</v>
      </c>
      <c r="F199" s="1">
        <v>0.0</v>
      </c>
      <c r="G199" s="2">
        <v>1.0</v>
      </c>
      <c r="H199" s="1" t="s">
        <v>237</v>
      </c>
      <c r="I199" s="1" t="str">
        <f>IFERROR(__xludf.DUMMYFUNCTION("REGEXREPLACE(MID(H199, SEARCH(""["", H199) + 1, SEARCH(""]"", H199) - SEARCH(""["", H199) - 1), ""\[\]"","""")"),"Harvard-Westlake")</f>
        <v>Harvard-Westlake</v>
      </c>
      <c r="J199" s="1">
        <v>4.0</v>
      </c>
      <c r="K199" s="1">
        <v>0.0</v>
      </c>
    </row>
    <row r="200">
      <c r="A200" s="1">
        <v>5.0</v>
      </c>
      <c r="B200" s="1">
        <v>21.0</v>
      </c>
      <c r="C200" s="1">
        <v>8.0</v>
      </c>
      <c r="D200" s="1">
        <v>4.8</v>
      </c>
      <c r="E200" s="1">
        <v>0.0</v>
      </c>
      <c r="F200" s="1">
        <v>0.0</v>
      </c>
      <c r="G200" s="2">
        <v>0.75</v>
      </c>
      <c r="H200" s="1" t="s">
        <v>182</v>
      </c>
      <c r="I200" s="1" t="str">
        <f>IFERROR(__xludf.DUMMYFUNCTION("REGEXREPLACE(MID(H200, SEARCH(""["", H200) + 1, SEARCH(""]"", H200) - SEARCH(""["", H200) - 1), ""\[\]"","""")"),"Harvard-Westlake")</f>
        <v>Harvard-Westlake</v>
      </c>
      <c r="J200" s="1">
        <v>24.0</v>
      </c>
      <c r="K200" s="1">
        <v>0.0</v>
      </c>
    </row>
    <row r="201">
      <c r="A201" s="1">
        <v>5.0</v>
      </c>
      <c r="B201" s="1">
        <v>21.0</v>
      </c>
      <c r="C201" s="1">
        <v>2.0</v>
      </c>
      <c r="D201" s="1">
        <v>0.8</v>
      </c>
      <c r="E201" s="1">
        <v>0.0</v>
      </c>
      <c r="F201" s="1">
        <v>0.0</v>
      </c>
      <c r="G201" s="2">
        <v>0.5</v>
      </c>
      <c r="H201" s="1" t="s">
        <v>204</v>
      </c>
      <c r="I201" s="1" t="str">
        <f>IFERROR(__xludf.DUMMYFUNCTION("REGEXREPLACE(MID(H201, SEARCH(""["", H201) + 1, SEARCH(""]"", H201) - SEARCH(""["", H201) - 1), ""\[\]"","""")"),"Harvard-Westlake")</f>
        <v>Harvard-Westlake</v>
      </c>
      <c r="J201" s="1">
        <v>4.0</v>
      </c>
      <c r="K201" s="1">
        <v>0.0</v>
      </c>
    </row>
    <row r="202">
      <c r="A202" s="1">
        <v>3.0</v>
      </c>
      <c r="B202" s="1">
        <v>12.0</v>
      </c>
      <c r="C202" s="1">
        <v>7.0</v>
      </c>
      <c r="D202" s="1">
        <v>1.33</v>
      </c>
      <c r="E202" s="1">
        <v>0.33</v>
      </c>
      <c r="F202" s="1">
        <v>0.0</v>
      </c>
      <c r="G202" s="6">
        <v>0.286</v>
      </c>
      <c r="H202" s="1" t="s">
        <v>238</v>
      </c>
      <c r="I202" s="1" t="str">
        <f>IFERROR(__xludf.DUMMYFUNCTION("REGEXREPLACE(MID(H202, SEARCH(""["", H202) + 1, SEARCH(""]"", H202) - SEARCH(""["", H202) - 1), ""\[\]"","""")"),"Hebron HS")</f>
        <v>Hebron HS</v>
      </c>
      <c r="J202" s="1">
        <v>4.0</v>
      </c>
      <c r="K202" s="1">
        <v>1.0</v>
      </c>
    </row>
    <row r="203">
      <c r="A203" s="1">
        <v>5.0</v>
      </c>
      <c r="B203" s="1">
        <v>20.0</v>
      </c>
      <c r="C203" s="1">
        <v>1.0</v>
      </c>
      <c r="D203" s="1">
        <v>0.8</v>
      </c>
      <c r="E203" s="1">
        <v>0.0</v>
      </c>
      <c r="F203" s="1">
        <v>0.0</v>
      </c>
      <c r="G203" s="2">
        <v>1.0</v>
      </c>
      <c r="H203" s="1" t="s">
        <v>149</v>
      </c>
      <c r="I203" s="1" t="str">
        <f>IFERROR(__xludf.DUMMYFUNCTION("REGEXREPLACE(MID(H203, SEARCH(""["", H203) + 1, SEARCH(""]"", H203) - SEARCH(""["", H203) - 1), ""\[\]"","""")"),"Hebron HS")</f>
        <v>Hebron HS</v>
      </c>
      <c r="J203" s="1">
        <v>4.0</v>
      </c>
      <c r="K203" s="1">
        <v>0.0</v>
      </c>
    </row>
    <row r="204">
      <c r="A204" s="1">
        <v>3.0</v>
      </c>
      <c r="B204" s="1">
        <v>12.0</v>
      </c>
      <c r="C204" s="1">
        <v>1.0</v>
      </c>
      <c r="D204" s="1">
        <v>1.33</v>
      </c>
      <c r="E204" s="1">
        <v>0.0</v>
      </c>
      <c r="F204" s="1">
        <v>0.0</v>
      </c>
      <c r="G204" s="2">
        <v>1.0</v>
      </c>
      <c r="H204" s="1" t="s">
        <v>240</v>
      </c>
      <c r="I204" s="1" t="str">
        <f>IFERROR(__xludf.DUMMYFUNCTION("REGEXREPLACE(MID(H204, SEARCH(""["", H204) + 1, SEARCH(""]"", H204) - SEARCH(""["", H204) - 1), ""\[\]"","""")"),"Hebron HS")</f>
        <v>Hebron HS</v>
      </c>
      <c r="J204" s="1">
        <v>4.0</v>
      </c>
      <c r="K204" s="1">
        <v>0.0</v>
      </c>
    </row>
    <row r="205">
      <c r="A205" s="1">
        <v>1.0</v>
      </c>
      <c r="B205" s="1">
        <v>4.0</v>
      </c>
      <c r="C205" s="1">
        <v>0.0</v>
      </c>
      <c r="D205" s="1">
        <v>0.0</v>
      </c>
      <c r="E205" s="1">
        <v>0.0</v>
      </c>
      <c r="F205" s="1">
        <v>0.0</v>
      </c>
      <c r="G205" s="2">
        <v>0.0</v>
      </c>
      <c r="H205" s="1" t="s">
        <v>242</v>
      </c>
      <c r="I205" s="1" t="str">
        <f>IFERROR(__xludf.DUMMYFUNCTION("REGEXREPLACE(MID(H205, SEARCH(""["", H205) + 1, SEARCH(""]"", H205) - SEARCH(""["", H205) - 1), ""\[\]"","""")"),"Hebron HS")</f>
        <v>Hebron HS</v>
      </c>
      <c r="J205" s="1">
        <v>0.0</v>
      </c>
      <c r="K205" s="1">
        <v>0.0</v>
      </c>
    </row>
    <row r="206">
      <c r="A206" s="1">
        <v>1.0</v>
      </c>
      <c r="B206" s="1">
        <v>4.0</v>
      </c>
      <c r="C206" s="1">
        <v>0.0</v>
      </c>
      <c r="D206" s="1">
        <v>0.0</v>
      </c>
      <c r="E206" s="1">
        <v>0.0</v>
      </c>
      <c r="F206" s="1">
        <v>0.0</v>
      </c>
      <c r="G206" s="2">
        <v>0.0</v>
      </c>
      <c r="H206" s="1" t="s">
        <v>243</v>
      </c>
      <c r="I206" s="1" t="str">
        <f>IFERROR(__xludf.DUMMYFUNCTION("REGEXREPLACE(MID(H206, SEARCH(""["", H206) + 1, SEARCH(""]"", H206) - SEARCH(""["", H206) - 1), ""\[\]"","""")"),"Blair")</f>
        <v>Blair</v>
      </c>
      <c r="J206" s="1">
        <v>0.0</v>
      </c>
      <c r="K206" s="1">
        <v>0.0</v>
      </c>
    </row>
    <row r="207">
      <c r="A207" s="1">
        <v>3.0</v>
      </c>
      <c r="B207" s="1">
        <v>12.0</v>
      </c>
      <c r="C207" s="1">
        <v>7.0</v>
      </c>
      <c r="D207" s="1">
        <v>6.67</v>
      </c>
      <c r="E207" s="1">
        <v>0.33</v>
      </c>
      <c r="F207" s="1">
        <v>0.0</v>
      </c>
      <c r="G207" s="6">
        <v>0.857</v>
      </c>
      <c r="H207" s="1" t="s">
        <v>244</v>
      </c>
      <c r="I207" s="1" t="str">
        <f>IFERROR(__xludf.DUMMYFUNCTION("REGEXREPLACE(MID(H207, SEARCH(""["", H207) + 1, SEARCH(""]"", H207) - SEARCH(""["", H207) - 1), ""\[\]"","""")"),"LeBroncos")</f>
        <v>LeBroncos</v>
      </c>
      <c r="J207" s="1">
        <v>20.0</v>
      </c>
      <c r="K207" s="1">
        <v>1.0</v>
      </c>
    </row>
    <row r="208">
      <c r="A208" s="1">
        <v>2.0</v>
      </c>
      <c r="B208" s="1">
        <v>8.0</v>
      </c>
      <c r="C208" s="1">
        <v>5.0</v>
      </c>
      <c r="D208" s="1">
        <v>4.0</v>
      </c>
      <c r="E208" s="1">
        <v>0.5</v>
      </c>
      <c r="F208" s="1">
        <v>0.0</v>
      </c>
      <c r="G208" s="2">
        <v>0.6</v>
      </c>
      <c r="H208" s="1" t="s">
        <v>244</v>
      </c>
      <c r="I208" s="1" t="str">
        <f>IFERROR(__xludf.DUMMYFUNCTION("REGEXREPLACE(MID(H208, SEARCH(""["", H208) + 1, SEARCH(""]"", H208) - SEARCH(""["", H208) - 1), ""\[\]"","""")"),"LeBroncos")</f>
        <v>LeBroncos</v>
      </c>
      <c r="J208" s="1">
        <v>8.0</v>
      </c>
      <c r="K208" s="1">
        <v>1.0</v>
      </c>
    </row>
    <row r="209">
      <c r="A209" s="1">
        <v>3.0</v>
      </c>
      <c r="B209" s="1">
        <v>12.0</v>
      </c>
      <c r="C209" s="1">
        <v>1.0</v>
      </c>
      <c r="D209" s="1">
        <v>1.33</v>
      </c>
      <c r="E209" s="1">
        <v>0.0</v>
      </c>
      <c r="F209" s="1">
        <v>0.0</v>
      </c>
      <c r="G209" s="2">
        <v>1.0</v>
      </c>
      <c r="H209" s="1" t="s">
        <v>185</v>
      </c>
      <c r="I209" s="1" t="str">
        <f>IFERROR(__xludf.DUMMYFUNCTION("REGEXREPLACE(MID(H209, SEARCH(""["", H209) + 1, SEARCH(""]"", H209) - SEARCH(""["", H209) - 1), ""\[\]"","""")"),"LeBroncos")</f>
        <v>LeBroncos</v>
      </c>
      <c r="J209" s="1">
        <v>4.0</v>
      </c>
      <c r="K209" s="1">
        <v>0.0</v>
      </c>
    </row>
    <row r="210">
      <c r="A210" s="1">
        <v>2.0</v>
      </c>
      <c r="B210" s="1">
        <v>8.0</v>
      </c>
      <c r="C210" s="1">
        <v>0.0</v>
      </c>
      <c r="D210" s="1">
        <v>0.0</v>
      </c>
      <c r="E210" s="1">
        <v>0.0</v>
      </c>
      <c r="F210" s="1">
        <v>0.0</v>
      </c>
      <c r="G210" s="2">
        <v>0.0</v>
      </c>
      <c r="H210" s="1" t="s">
        <v>185</v>
      </c>
      <c r="I210" s="1" t="str">
        <f>IFERROR(__xludf.DUMMYFUNCTION("REGEXREPLACE(MID(H210, SEARCH(""["", H210) + 1, SEARCH(""]"", H210) - SEARCH(""["", H210) - 1), ""\[\]"","""")"),"LeBroncos")</f>
        <v>LeBroncos</v>
      </c>
      <c r="J210" s="1">
        <v>0.0</v>
      </c>
      <c r="K210" s="1">
        <v>0.0</v>
      </c>
    </row>
    <row r="211">
      <c r="A211" s="1">
        <v>3.0</v>
      </c>
      <c r="B211" s="1">
        <v>12.0</v>
      </c>
      <c r="C211" s="1">
        <v>0.0</v>
      </c>
      <c r="D211" s="1">
        <v>0.0</v>
      </c>
      <c r="E211" s="1">
        <v>0.0</v>
      </c>
      <c r="F211" s="1">
        <v>0.0</v>
      </c>
      <c r="G211" s="2">
        <v>0.0</v>
      </c>
      <c r="H211" s="1" t="s">
        <v>248</v>
      </c>
      <c r="I211" s="1" t="str">
        <f>IFERROR(__xludf.DUMMYFUNCTION("REGEXREPLACE(MID(H211, SEARCH(""["", H211) + 1, SEARCH(""]"", H211) - SEARCH(""["", H211) - 1), ""\[\]"","""")"),"LeBroncos")</f>
        <v>LeBroncos</v>
      </c>
      <c r="J211" s="1">
        <v>0.0</v>
      </c>
      <c r="K211" s="1">
        <v>0.0</v>
      </c>
    </row>
    <row r="212">
      <c r="A212" s="1">
        <v>2.0</v>
      </c>
      <c r="B212" s="1">
        <v>8.0</v>
      </c>
      <c r="C212" s="1">
        <v>0.0</v>
      </c>
      <c r="D212" s="1">
        <v>0.0</v>
      </c>
      <c r="E212" s="1">
        <v>0.0</v>
      </c>
      <c r="F212" s="1">
        <v>0.0</v>
      </c>
      <c r="G212" s="2">
        <v>0.0</v>
      </c>
      <c r="H212" s="1" t="s">
        <v>248</v>
      </c>
      <c r="I212" s="1" t="str">
        <f>IFERROR(__xludf.DUMMYFUNCTION("REGEXREPLACE(MID(H212, SEARCH(""["", H212) + 1, SEARCH(""]"", H212) - SEARCH(""["", H212) - 1), ""\[\]"","""")"),"LeBroncos")</f>
        <v>LeBroncos</v>
      </c>
      <c r="J212" s="1">
        <v>0.0</v>
      </c>
      <c r="K212" s="1">
        <v>0.0</v>
      </c>
    </row>
    <row r="213">
      <c r="A213" s="1">
        <v>2.0</v>
      </c>
      <c r="B213" s="1">
        <v>8.0</v>
      </c>
      <c r="C213" s="1">
        <v>0.0</v>
      </c>
      <c r="D213" s="1">
        <v>0.0</v>
      </c>
      <c r="E213" s="1">
        <v>0.0</v>
      </c>
      <c r="F213" s="1">
        <v>0.0</v>
      </c>
      <c r="G213" s="2">
        <v>0.0</v>
      </c>
      <c r="H213" s="1" t="s">
        <v>250</v>
      </c>
      <c r="I213" s="1" t="str">
        <f>IFERROR(__xludf.DUMMYFUNCTION("REGEXREPLACE(MID(H213, SEARCH(""["", H213) + 1, SEARCH(""]"", H213) - SEARCH(""["", H213) - 1), ""\[\]"","""")"),"LeBroncos")</f>
        <v>LeBroncos</v>
      </c>
      <c r="J213" s="1">
        <v>0.0</v>
      </c>
      <c r="K213" s="1">
        <v>0.0</v>
      </c>
    </row>
    <row r="214">
      <c r="A214" s="1">
        <v>1.0</v>
      </c>
      <c r="B214" s="1">
        <v>4.0</v>
      </c>
      <c r="C214" s="1">
        <v>0.0</v>
      </c>
      <c r="D214" s="1">
        <v>0.0</v>
      </c>
      <c r="E214" s="1">
        <v>0.0</v>
      </c>
      <c r="F214" s="1">
        <v>0.0</v>
      </c>
      <c r="G214" s="2">
        <v>0.0</v>
      </c>
      <c r="H214" s="1" t="s">
        <v>250</v>
      </c>
      <c r="I214" s="1" t="str">
        <f>IFERROR(__xludf.DUMMYFUNCTION("REGEXREPLACE(MID(H214, SEARCH(""["", H214) + 1, SEARCH(""]"", H214) - SEARCH(""["", H214) - 1), ""\[\]"","""")"),"LeBroncos")</f>
        <v>LeBroncos</v>
      </c>
      <c r="J214" s="1">
        <v>0.0</v>
      </c>
      <c r="K214" s="1">
        <v>0.0</v>
      </c>
    </row>
    <row r="215">
      <c r="A215" s="1">
        <v>1.0</v>
      </c>
      <c r="B215" s="1">
        <v>4.0</v>
      </c>
      <c r="C215" s="1">
        <v>0.0</v>
      </c>
      <c r="D215" s="1">
        <v>0.0</v>
      </c>
      <c r="E215" s="1">
        <v>0.0</v>
      </c>
      <c r="F215" s="1">
        <v>0.0</v>
      </c>
      <c r="G215" s="2">
        <v>0.0</v>
      </c>
      <c r="H215" s="1" t="s">
        <v>251</v>
      </c>
      <c r="I215" s="1" t="str">
        <f>IFERROR(__xludf.DUMMYFUNCTION("REGEXREPLACE(MID(H215, SEARCH(""["", H215) + 1, SEARCH(""]"", H215) - SEARCH(""["", H215) - 1), ""\[\]"","""")"),"LeBroncos")</f>
        <v>LeBroncos</v>
      </c>
      <c r="J215" s="1">
        <v>0.0</v>
      </c>
      <c r="K215" s="1">
        <v>0.0</v>
      </c>
    </row>
    <row r="216">
      <c r="A216" s="1">
        <v>1.0</v>
      </c>
      <c r="B216" s="1">
        <v>4.0</v>
      </c>
      <c r="C216" s="1">
        <v>0.0</v>
      </c>
      <c r="D216" s="1">
        <v>0.0</v>
      </c>
      <c r="E216" s="1">
        <v>0.0</v>
      </c>
      <c r="F216" s="1">
        <v>0.0</v>
      </c>
      <c r="G216" s="2">
        <v>0.0</v>
      </c>
      <c r="H216" s="1" t="s">
        <v>239</v>
      </c>
      <c r="I216" s="1" t="str">
        <f>IFERROR(__xludf.DUMMYFUNCTION("REGEXREPLACE(MID(H216, SEARCH(""["", H216) + 1, SEARCH(""]"", H216) - SEARCH(""["", H216) - 1), ""\[\]"","""")"),"Lexington")</f>
        <v>Lexington</v>
      </c>
      <c r="J216" s="1">
        <v>0.0</v>
      </c>
      <c r="K216" s="1">
        <v>0.0</v>
      </c>
    </row>
    <row r="217">
      <c r="A217" s="1">
        <v>4.0</v>
      </c>
      <c r="B217" s="1">
        <v>16.0</v>
      </c>
      <c r="C217" s="1">
        <v>1.0</v>
      </c>
      <c r="D217" s="1">
        <v>1.0</v>
      </c>
      <c r="E217" s="1">
        <v>0.0</v>
      </c>
      <c r="F217" s="1">
        <v>0.0</v>
      </c>
      <c r="G217" s="2">
        <v>1.0</v>
      </c>
      <c r="H217" s="1" t="s">
        <v>253</v>
      </c>
      <c r="I217" s="1" t="str">
        <f>IFERROR(__xludf.DUMMYFUNCTION("REGEXREPLACE(MID(H217, SEARCH(""["", H217) + 1, SEARCH(""]"", H217) - SEARCH(""["", H217) - 1), ""\[\]"","""")"),"Lexington")</f>
        <v>Lexington</v>
      </c>
      <c r="J217" s="1">
        <v>4.0</v>
      </c>
      <c r="K217" s="1">
        <v>0.0</v>
      </c>
    </row>
    <row r="218">
      <c r="A218" s="1">
        <v>1.0</v>
      </c>
      <c r="B218" s="1">
        <v>4.0</v>
      </c>
      <c r="C218" s="1">
        <v>0.0</v>
      </c>
      <c r="D218" s="1">
        <v>0.0</v>
      </c>
      <c r="E218" s="1">
        <v>0.0</v>
      </c>
      <c r="F218" s="1">
        <v>0.0</v>
      </c>
      <c r="G218" s="2">
        <v>0.0</v>
      </c>
      <c r="H218" s="1" t="s">
        <v>253</v>
      </c>
      <c r="I218" s="1" t="str">
        <f>IFERROR(__xludf.DUMMYFUNCTION("REGEXREPLACE(MID(H218, SEARCH(""["", H218) + 1, SEARCH(""]"", H218) - SEARCH(""["", H218) - 1), ""\[\]"","""")"),"Lexington")</f>
        <v>Lexington</v>
      </c>
      <c r="J218" s="1">
        <v>0.0</v>
      </c>
      <c r="K218" s="1">
        <v>0.0</v>
      </c>
    </row>
    <row r="219">
      <c r="A219" s="1">
        <v>4.0</v>
      </c>
      <c r="B219" s="1">
        <v>16.0</v>
      </c>
      <c r="C219" s="1">
        <v>0.0</v>
      </c>
      <c r="D219" s="1">
        <v>0.0</v>
      </c>
      <c r="E219" s="1">
        <v>0.0</v>
      </c>
      <c r="F219" s="1">
        <v>0.0</v>
      </c>
      <c r="G219" s="2">
        <v>0.0</v>
      </c>
      <c r="H219" s="1" t="s">
        <v>255</v>
      </c>
      <c r="I219" s="1" t="str">
        <f>IFERROR(__xludf.DUMMYFUNCTION("REGEXREPLACE(MID(H219, SEARCH(""["", H219) + 1, SEARCH(""]"", H219) - SEARCH(""["", H219) - 1), ""\[\]"","""")"),"Lexington")</f>
        <v>Lexington</v>
      </c>
      <c r="J219" s="1">
        <v>0.0</v>
      </c>
      <c r="K219" s="1">
        <v>0.0</v>
      </c>
    </row>
    <row r="220">
      <c r="A220" s="1">
        <v>1.0</v>
      </c>
      <c r="B220" s="1">
        <v>4.0</v>
      </c>
      <c r="C220" s="1">
        <v>0.0</v>
      </c>
      <c r="D220" s="1">
        <v>0.0</v>
      </c>
      <c r="E220" s="1">
        <v>0.0</v>
      </c>
      <c r="F220" s="1">
        <v>0.0</v>
      </c>
      <c r="G220" s="2">
        <v>0.0</v>
      </c>
      <c r="H220" s="1" t="s">
        <v>255</v>
      </c>
      <c r="I220" s="1" t="str">
        <f>IFERROR(__xludf.DUMMYFUNCTION("REGEXREPLACE(MID(H220, SEARCH(""["", H220) + 1, SEARCH(""]"", H220) - SEARCH(""["", H220) - 1), ""\[\]"","""")"),"Lexington")</f>
        <v>Lexington</v>
      </c>
      <c r="J220" s="1">
        <v>0.0</v>
      </c>
      <c r="K220" s="1">
        <v>0.0</v>
      </c>
    </row>
    <row r="221">
      <c r="A221" s="1">
        <v>4.0</v>
      </c>
      <c r="B221" s="1">
        <v>16.0</v>
      </c>
      <c r="C221" s="1">
        <v>13.0</v>
      </c>
      <c r="D221" s="1">
        <v>9.0</v>
      </c>
      <c r="E221" s="1">
        <v>0.25</v>
      </c>
      <c r="F221" s="1">
        <v>0.0</v>
      </c>
      <c r="G221" s="6">
        <v>0.769</v>
      </c>
      <c r="H221" s="1" t="s">
        <v>164</v>
      </c>
      <c r="I221" s="1" t="str">
        <f>IFERROR(__xludf.DUMMYFUNCTION("REGEXREPLACE(MID(H221, SEARCH(""["", H221) + 1, SEARCH(""]"", H221) - SEARCH(""["", H221) - 1), ""\[\]"","""")"),"Lexington")</f>
        <v>Lexington</v>
      </c>
      <c r="J221" s="1">
        <v>36.0</v>
      </c>
      <c r="K221" s="1">
        <v>1.0</v>
      </c>
    </row>
    <row r="222">
      <c r="A222" s="1">
        <v>1.0</v>
      </c>
      <c r="B222" s="1">
        <v>4.0</v>
      </c>
      <c r="C222" s="1">
        <v>1.0</v>
      </c>
      <c r="D222" s="1">
        <v>-4.0</v>
      </c>
      <c r="E222" s="1">
        <v>1.0</v>
      </c>
      <c r="F222" s="1">
        <v>0.0</v>
      </c>
      <c r="G222" s="2">
        <v>0.0</v>
      </c>
      <c r="H222" s="1" t="s">
        <v>164</v>
      </c>
      <c r="I222" s="1" t="str">
        <f>IFERROR(__xludf.DUMMYFUNCTION("REGEXREPLACE(MID(H222, SEARCH(""["", H222) + 1, SEARCH(""]"", H222) - SEARCH(""["", H222) - 1), ""\[\]"","""")"),"Lexington")</f>
        <v>Lexington</v>
      </c>
      <c r="J222" s="1">
        <v>-4.0</v>
      </c>
      <c r="K222" s="1">
        <v>1.0</v>
      </c>
    </row>
    <row r="223">
      <c r="A223" s="1">
        <v>1.0</v>
      </c>
      <c r="B223" s="1">
        <v>4.0</v>
      </c>
      <c r="C223" s="1">
        <v>0.0</v>
      </c>
      <c r="D223" s="1">
        <v>0.0</v>
      </c>
      <c r="E223" s="1">
        <v>0.0</v>
      </c>
      <c r="F223" s="1">
        <v>0.0</v>
      </c>
      <c r="G223" s="2">
        <v>0.0</v>
      </c>
      <c r="H223" s="1" t="s">
        <v>257</v>
      </c>
      <c r="I223" s="1" t="str">
        <f>IFERROR(__xludf.DUMMYFUNCTION("REGEXREPLACE(MID(H223, SEARCH(""["", H223) + 1, SEARCH(""]"", H223) - SEARCH(""["", H223) - 1), ""\[\]"","""")"),"Lubbock")</f>
        <v>Lubbock</v>
      </c>
      <c r="J223" s="1">
        <v>0.0</v>
      </c>
      <c r="K223" s="1">
        <v>0.0</v>
      </c>
    </row>
    <row r="224">
      <c r="A224" s="1">
        <v>1.0</v>
      </c>
      <c r="B224" s="1">
        <v>4.0</v>
      </c>
      <c r="C224" s="1">
        <v>0.0</v>
      </c>
      <c r="D224" s="1">
        <v>0.0</v>
      </c>
      <c r="E224" s="1">
        <v>0.0</v>
      </c>
      <c r="F224" s="1">
        <v>0.0</v>
      </c>
      <c r="G224" s="2">
        <v>0.0</v>
      </c>
      <c r="H224" s="1" t="s">
        <v>257</v>
      </c>
      <c r="I224" s="1" t="str">
        <f>IFERROR(__xludf.DUMMYFUNCTION("REGEXREPLACE(MID(H224, SEARCH(""["", H224) + 1, SEARCH(""]"", H224) - SEARCH(""["", H224) - 1), ""\[\]"","""")"),"Lubbock")</f>
        <v>Lubbock</v>
      </c>
      <c r="J224" s="1">
        <v>0.0</v>
      </c>
      <c r="K224" s="1">
        <v>0.0</v>
      </c>
    </row>
    <row r="225">
      <c r="A225" s="1">
        <v>2.0</v>
      </c>
      <c r="B225" s="1">
        <v>8.0</v>
      </c>
      <c r="C225" s="1">
        <v>1.0</v>
      </c>
      <c r="D225" s="1">
        <v>2.0</v>
      </c>
      <c r="E225" s="1">
        <v>0.0</v>
      </c>
      <c r="F225" s="1">
        <v>0.0</v>
      </c>
      <c r="G225" s="2">
        <v>1.0</v>
      </c>
      <c r="H225" s="1" t="s">
        <v>259</v>
      </c>
      <c r="I225" s="1" t="str">
        <f>IFERROR(__xludf.DUMMYFUNCTION("REGEXREPLACE(MID(H225, SEARCH(""["", H225) + 1, SEARCH(""]"", H225) - SEARCH(""["", H225) - 1), ""\[\]"","""")"),"Lubbock")</f>
        <v>Lubbock</v>
      </c>
      <c r="J225" s="1">
        <v>4.0</v>
      </c>
      <c r="K225" s="1">
        <v>0.0</v>
      </c>
    </row>
    <row r="226">
      <c r="A226" s="1">
        <v>2.0</v>
      </c>
      <c r="B226" s="1">
        <v>8.0</v>
      </c>
      <c r="C226" s="1">
        <v>0.0</v>
      </c>
      <c r="D226" s="1">
        <v>0.0</v>
      </c>
      <c r="E226" s="1">
        <v>0.0</v>
      </c>
      <c r="F226" s="1">
        <v>0.0</v>
      </c>
      <c r="G226" s="2">
        <v>0.0</v>
      </c>
      <c r="H226" s="1" t="s">
        <v>259</v>
      </c>
      <c r="I226" s="1" t="str">
        <f>IFERROR(__xludf.DUMMYFUNCTION("REGEXREPLACE(MID(H226, SEARCH(""["", H226) + 1, SEARCH(""]"", H226) - SEARCH(""["", H226) - 1), ""\[\]"","""")"),"Lubbock")</f>
        <v>Lubbock</v>
      </c>
      <c r="J226" s="1">
        <v>0.0</v>
      </c>
      <c r="K226" s="1">
        <v>0.0</v>
      </c>
    </row>
    <row r="227">
      <c r="A227" s="1">
        <v>2.0</v>
      </c>
      <c r="B227" s="1">
        <v>8.0</v>
      </c>
      <c r="C227" s="1">
        <v>0.0</v>
      </c>
      <c r="D227" s="1">
        <v>0.0</v>
      </c>
      <c r="E227" s="1">
        <v>0.0</v>
      </c>
      <c r="F227" s="1">
        <v>0.0</v>
      </c>
      <c r="G227" s="2">
        <v>1.0</v>
      </c>
      <c r="H227" s="1" t="s">
        <v>99</v>
      </c>
      <c r="I227" s="1" t="str">
        <f>IFERROR(__xludf.DUMMYFUNCTION("REGEXREPLACE(MID(H227, SEARCH(""["", H227) + 1, SEARCH(""]"", H227) - SEARCH(""["", H227) - 1), ""\[\]"","""")"),"Lubbock")</f>
        <v>Lubbock</v>
      </c>
      <c r="J227" s="1">
        <v>0.0</v>
      </c>
      <c r="K227" s="1">
        <v>0.0</v>
      </c>
    </row>
    <row r="228">
      <c r="A228" s="1">
        <v>3.0</v>
      </c>
      <c r="B228" s="1">
        <v>12.0</v>
      </c>
      <c r="C228" s="1">
        <v>0.0</v>
      </c>
      <c r="D228" s="1">
        <v>0.0</v>
      </c>
      <c r="E228" s="1">
        <v>0.0</v>
      </c>
      <c r="F228" s="1">
        <v>0.0</v>
      </c>
      <c r="G228" s="2">
        <v>0.0</v>
      </c>
      <c r="H228" s="1" t="s">
        <v>99</v>
      </c>
      <c r="I228" s="1" t="str">
        <f>IFERROR(__xludf.DUMMYFUNCTION("REGEXREPLACE(MID(H228, SEARCH(""["", H228) + 1, SEARCH(""]"", H228) - SEARCH(""["", H228) - 1), ""\[\]"","""")"),"Lubbock")</f>
        <v>Lubbock</v>
      </c>
      <c r="J228" s="1">
        <v>0.0</v>
      </c>
      <c r="K228" s="1">
        <v>0.0</v>
      </c>
    </row>
    <row r="229">
      <c r="A229" s="1">
        <v>1.0</v>
      </c>
      <c r="B229" s="1">
        <v>4.0</v>
      </c>
      <c r="C229" s="1">
        <v>2.0</v>
      </c>
      <c r="D229" s="1">
        <v>8.0</v>
      </c>
      <c r="E229" s="1">
        <v>0.0</v>
      </c>
      <c r="F229" s="1">
        <v>0.0</v>
      </c>
      <c r="G229" s="2">
        <v>1.0</v>
      </c>
      <c r="H229" s="1" t="s">
        <v>262</v>
      </c>
      <c r="I229" s="1" t="str">
        <f>IFERROR(__xludf.DUMMYFUNCTION("REGEXREPLACE(MID(H229, SEARCH(""["", H229) + 1, SEARCH(""]"", H229) - SEARCH(""["", H229) - 1), ""\[\]"","""")"),"Lubbock")</f>
        <v>Lubbock</v>
      </c>
      <c r="J229" s="1">
        <v>8.0</v>
      </c>
      <c r="K229" s="1">
        <v>0.0</v>
      </c>
    </row>
    <row r="230">
      <c r="A230" s="1">
        <v>3.0</v>
      </c>
      <c r="B230" s="1">
        <v>12.0</v>
      </c>
      <c r="C230" s="1">
        <v>7.0</v>
      </c>
      <c r="D230" s="1">
        <v>4.0</v>
      </c>
      <c r="E230" s="1">
        <v>0.33</v>
      </c>
      <c r="F230" s="1">
        <v>0.0</v>
      </c>
      <c r="G230" s="6">
        <v>0.571</v>
      </c>
      <c r="H230" s="1" t="s">
        <v>262</v>
      </c>
      <c r="I230" s="1" t="str">
        <f>IFERROR(__xludf.DUMMYFUNCTION("REGEXREPLACE(MID(H230, SEARCH(""["", H230) + 1, SEARCH(""]"", H230) - SEARCH(""["", H230) - 1), ""\[\]"","""")"),"Lubbock")</f>
        <v>Lubbock</v>
      </c>
      <c r="J230" s="1">
        <v>12.0</v>
      </c>
      <c r="K230" s="1">
        <v>1.0</v>
      </c>
    </row>
    <row r="231">
      <c r="A231" s="1">
        <v>1.0</v>
      </c>
      <c r="B231" s="1">
        <v>4.0</v>
      </c>
      <c r="C231" s="1">
        <v>1.0</v>
      </c>
      <c r="D231" s="1">
        <v>0.0</v>
      </c>
      <c r="E231" s="1">
        <v>0.0</v>
      </c>
      <c r="F231" s="1">
        <v>0.0</v>
      </c>
      <c r="G231" s="2">
        <v>0.0</v>
      </c>
      <c r="H231" s="1" t="s">
        <v>262</v>
      </c>
      <c r="I231" s="1" t="str">
        <f>IFERROR(__xludf.DUMMYFUNCTION("REGEXREPLACE(MID(H231, SEARCH(""["", H231) + 1, SEARCH(""]"", H231) - SEARCH(""["", H231) - 1), ""\[\]"","""")"),"Lubbock")</f>
        <v>Lubbock</v>
      </c>
      <c r="J231" s="1">
        <v>0.0</v>
      </c>
      <c r="K231" s="1">
        <v>0.0</v>
      </c>
    </row>
    <row r="232">
      <c r="A232" s="1">
        <v>1.0</v>
      </c>
      <c r="B232" s="1">
        <v>4.0</v>
      </c>
      <c r="C232" s="1">
        <v>0.0</v>
      </c>
      <c r="D232" s="1">
        <v>0.0</v>
      </c>
      <c r="E232" s="1">
        <v>0.0</v>
      </c>
      <c r="F232" s="1">
        <v>0.0</v>
      </c>
      <c r="G232" s="2">
        <v>0.0</v>
      </c>
      <c r="H232" s="1" t="s">
        <v>241</v>
      </c>
      <c r="I232" s="1" t="str">
        <f>IFERROR(__xludf.DUMMYFUNCTION("REGEXREPLACE(MID(H232, SEARCH(""["", H232) + 1, SEARCH(""]"", H232) - SEARCH(""["", H232) - 1), ""\[\]"","""")"),"Lubbock")</f>
        <v>Lubbock</v>
      </c>
      <c r="J232" s="1">
        <v>0.0</v>
      </c>
      <c r="K232" s="1">
        <v>0.0</v>
      </c>
    </row>
    <row r="233">
      <c r="A233" s="1">
        <v>1.0</v>
      </c>
      <c r="B233" s="1">
        <v>4.0</v>
      </c>
      <c r="C233" s="1">
        <v>0.0</v>
      </c>
      <c r="D233" s="1">
        <v>0.0</v>
      </c>
      <c r="E233" s="1">
        <v>0.0</v>
      </c>
      <c r="F233" s="1">
        <v>0.0</v>
      </c>
      <c r="G233" s="2">
        <v>0.0</v>
      </c>
      <c r="H233" s="1" t="s">
        <v>241</v>
      </c>
      <c r="I233" s="1" t="str">
        <f>IFERROR(__xludf.DUMMYFUNCTION("REGEXREPLACE(MID(H233, SEARCH(""["", H233) + 1, SEARCH(""]"", H233) - SEARCH(""["", H233) - 1), ""\[\]"","""")"),"Lubbock")</f>
        <v>Lubbock</v>
      </c>
      <c r="J233" s="1">
        <v>0.0</v>
      </c>
      <c r="K233" s="1">
        <v>0.0</v>
      </c>
    </row>
    <row r="234">
      <c r="A234" s="1">
        <v>1.0</v>
      </c>
      <c r="B234" s="1">
        <v>4.0</v>
      </c>
      <c r="C234" s="1">
        <v>0.0</v>
      </c>
      <c r="D234" s="1">
        <v>0.0</v>
      </c>
      <c r="E234" s="1">
        <v>0.0</v>
      </c>
      <c r="F234" s="1">
        <v>0.0</v>
      </c>
      <c r="G234" s="2">
        <v>0.0</v>
      </c>
      <c r="H234" s="1" t="s">
        <v>263</v>
      </c>
      <c r="I234" s="1" t="str">
        <f>IFERROR(__xludf.DUMMYFUNCTION("REGEXREPLACE(MID(H234, SEARCH(""["", H234) + 1, SEARCH(""]"", H234) - SEARCH(""["", H234) - 1), ""\[\]"","""")"),"Lynbrook")</f>
        <v>Lynbrook</v>
      </c>
      <c r="J234" s="1">
        <v>0.0</v>
      </c>
      <c r="K234" s="1">
        <v>0.0</v>
      </c>
    </row>
    <row r="235">
      <c r="A235" s="1">
        <v>2.0</v>
      </c>
      <c r="B235" s="1">
        <v>8.0</v>
      </c>
      <c r="C235" s="1">
        <v>1.0</v>
      </c>
      <c r="D235" s="1">
        <v>2.0</v>
      </c>
      <c r="E235" s="1">
        <v>0.0</v>
      </c>
      <c r="F235" s="1">
        <v>0.0</v>
      </c>
      <c r="G235" s="2">
        <v>1.0</v>
      </c>
      <c r="H235" s="1" t="s">
        <v>263</v>
      </c>
      <c r="I235" s="1" t="str">
        <f>IFERROR(__xludf.DUMMYFUNCTION("REGEXREPLACE(MID(H235, SEARCH(""["", H235) + 1, SEARCH(""]"", H235) - SEARCH(""["", H235) - 1), ""\[\]"","""")"),"Lynbrook")</f>
        <v>Lynbrook</v>
      </c>
      <c r="J235" s="1">
        <v>4.0</v>
      </c>
      <c r="K235" s="1">
        <v>0.0</v>
      </c>
    </row>
    <row r="236">
      <c r="A236" s="1">
        <v>1.0</v>
      </c>
      <c r="B236" s="1">
        <v>4.0</v>
      </c>
      <c r="C236" s="1">
        <v>0.0</v>
      </c>
      <c r="D236" s="1">
        <v>0.0</v>
      </c>
      <c r="E236" s="1">
        <v>0.0</v>
      </c>
      <c r="F236" s="1">
        <v>0.0</v>
      </c>
      <c r="G236" s="2">
        <v>0.0</v>
      </c>
      <c r="H236" s="1" t="s">
        <v>264</v>
      </c>
      <c r="I236" s="1" t="str">
        <f>IFERROR(__xludf.DUMMYFUNCTION("REGEXREPLACE(MID(H236, SEARCH(""["", H236) + 1, SEARCH(""]"", H236) - SEARCH(""["", H236) - 1), ""\[\]"","""")"),"Lynbrook")</f>
        <v>Lynbrook</v>
      </c>
      <c r="J236" s="1">
        <v>0.0</v>
      </c>
      <c r="K236" s="1">
        <v>0.0</v>
      </c>
    </row>
    <row r="237">
      <c r="A237" s="1">
        <v>3.0</v>
      </c>
      <c r="B237" s="1">
        <v>12.0</v>
      </c>
      <c r="C237" s="1">
        <v>0.0</v>
      </c>
      <c r="D237" s="1">
        <v>0.0</v>
      </c>
      <c r="E237" s="1">
        <v>0.0</v>
      </c>
      <c r="F237" s="1">
        <v>0.0</v>
      </c>
      <c r="G237" s="2">
        <v>0.0</v>
      </c>
      <c r="H237" s="1" t="s">
        <v>264</v>
      </c>
      <c r="I237" s="1" t="str">
        <f>IFERROR(__xludf.DUMMYFUNCTION("REGEXREPLACE(MID(H237, SEARCH(""["", H237) + 1, SEARCH(""]"", H237) - SEARCH(""["", H237) - 1), ""\[\]"","""")"),"Lynbrook")</f>
        <v>Lynbrook</v>
      </c>
      <c r="J237" s="1">
        <v>0.0</v>
      </c>
      <c r="K237" s="1">
        <v>0.0</v>
      </c>
    </row>
    <row r="238">
      <c r="A238" s="1">
        <v>1.0</v>
      </c>
      <c r="B238" s="1">
        <v>4.0</v>
      </c>
      <c r="C238" s="1">
        <v>1.0</v>
      </c>
      <c r="D238" s="1">
        <v>4.0</v>
      </c>
      <c r="E238" s="1">
        <v>0.0</v>
      </c>
      <c r="F238" s="1">
        <v>0.0</v>
      </c>
      <c r="G238" s="2">
        <v>1.0</v>
      </c>
      <c r="H238" s="1" t="s">
        <v>265</v>
      </c>
      <c r="I238" s="1" t="str">
        <f>IFERROR(__xludf.DUMMYFUNCTION("REGEXREPLACE(MID(H238, SEARCH(""["", H238) + 1, SEARCH(""]"", H238) - SEARCH(""["", H238) - 1), ""\[\]"","""")"),"Lynbrook")</f>
        <v>Lynbrook</v>
      </c>
      <c r="J238" s="1">
        <v>4.0</v>
      </c>
      <c r="K238" s="1">
        <v>0.0</v>
      </c>
    </row>
    <row r="239">
      <c r="A239" s="1">
        <v>4.0</v>
      </c>
      <c r="B239" s="1">
        <v>16.0</v>
      </c>
      <c r="C239" s="1">
        <v>0.0</v>
      </c>
      <c r="D239" s="1">
        <v>0.0</v>
      </c>
      <c r="E239" s="1">
        <v>0.0</v>
      </c>
      <c r="F239" s="1">
        <v>0.0</v>
      </c>
      <c r="G239" s="2">
        <v>0.0</v>
      </c>
      <c r="H239" s="1" t="s">
        <v>265</v>
      </c>
      <c r="I239" s="1" t="str">
        <f>IFERROR(__xludf.DUMMYFUNCTION("REGEXREPLACE(MID(H239, SEARCH(""["", H239) + 1, SEARCH(""]"", H239) - SEARCH(""["", H239) - 1), ""\[\]"","""")"),"Lynbrook")</f>
        <v>Lynbrook</v>
      </c>
      <c r="J239" s="1">
        <v>0.0</v>
      </c>
      <c r="K239" s="1">
        <v>0.0</v>
      </c>
    </row>
    <row r="240">
      <c r="A240" s="1">
        <v>4.0</v>
      </c>
      <c r="B240" s="1">
        <v>16.0</v>
      </c>
      <c r="C240" s="1">
        <v>0.0</v>
      </c>
      <c r="D240" s="1">
        <v>0.0</v>
      </c>
      <c r="E240" s="1">
        <v>0.0</v>
      </c>
      <c r="F240" s="1">
        <v>0.0</v>
      </c>
      <c r="G240" s="2">
        <v>0.0</v>
      </c>
      <c r="H240" s="1" t="s">
        <v>266</v>
      </c>
      <c r="I240" s="1" t="str">
        <f>IFERROR(__xludf.DUMMYFUNCTION("REGEXREPLACE(MID(H240, SEARCH(""["", H240) + 1, SEARCH(""]"", H240) - SEARCH(""["", H240) - 1), ""\[\]"","""")"),"Lynbrook")</f>
        <v>Lynbrook</v>
      </c>
      <c r="J240" s="1">
        <v>0.0</v>
      </c>
      <c r="K240" s="1">
        <v>0.0</v>
      </c>
    </row>
    <row r="241">
      <c r="A241" s="1">
        <v>1.0</v>
      </c>
      <c r="B241" s="1">
        <v>4.0</v>
      </c>
      <c r="C241" s="1">
        <v>2.0</v>
      </c>
      <c r="D241" s="1">
        <v>8.0</v>
      </c>
      <c r="E241" s="1">
        <v>0.0</v>
      </c>
      <c r="F241" s="1">
        <v>0.0</v>
      </c>
      <c r="G241" s="2">
        <v>1.0</v>
      </c>
      <c r="H241" s="1" t="s">
        <v>93</v>
      </c>
      <c r="I241" s="1" t="str">
        <f>IFERROR(__xludf.DUMMYFUNCTION("REGEXREPLACE(MID(H241, SEARCH(""["", H241) + 1, SEARCH(""]"", H241) - SEARCH(""["", H241) - 1), ""\[\]"","""")"),"Lynbrook")</f>
        <v>Lynbrook</v>
      </c>
      <c r="J241" s="1">
        <v>8.0</v>
      </c>
      <c r="K241" s="1">
        <v>0.0</v>
      </c>
    </row>
    <row r="242">
      <c r="A242" s="1">
        <v>4.0</v>
      </c>
      <c r="B242" s="1">
        <v>16.0</v>
      </c>
      <c r="C242" s="1">
        <v>4.0</v>
      </c>
      <c r="D242" s="1">
        <v>2.0</v>
      </c>
      <c r="E242" s="1">
        <v>0.0</v>
      </c>
      <c r="F242" s="1">
        <v>0.0</v>
      </c>
      <c r="G242" s="2">
        <v>0.5</v>
      </c>
      <c r="H242" s="1" t="s">
        <v>93</v>
      </c>
      <c r="I242" s="1" t="str">
        <f>IFERROR(__xludf.DUMMYFUNCTION("REGEXREPLACE(MID(H242, SEARCH(""["", H242) + 1, SEARCH(""]"", H242) - SEARCH(""["", H242) - 1), ""\[\]"","""")"),"Lynbrook")</f>
        <v>Lynbrook</v>
      </c>
      <c r="J242" s="1">
        <v>8.0</v>
      </c>
      <c r="K242" s="1">
        <v>0.0</v>
      </c>
    </row>
    <row r="243">
      <c r="A243" s="1">
        <v>1.0</v>
      </c>
      <c r="B243" s="1">
        <v>4.0</v>
      </c>
      <c r="C243" s="1">
        <v>0.0</v>
      </c>
      <c r="D243" s="1">
        <v>0.0</v>
      </c>
      <c r="E243" s="1">
        <v>0.0</v>
      </c>
      <c r="F243" s="1">
        <v>0.0</v>
      </c>
      <c r="G243" s="2">
        <v>0.0</v>
      </c>
      <c r="H243" s="1" t="s">
        <v>268</v>
      </c>
      <c r="I243" s="1" t="str">
        <f>IFERROR(__xludf.DUMMYFUNCTION("REGEXREPLACE(MID(H243, SEARCH(""["", H243) + 1, SEARCH(""]"", H243) - SEARCH(""["", H243) - 1), ""\[\]"","""")"),"Mira Loma HS")</f>
        <v>Mira Loma HS</v>
      </c>
      <c r="J243" s="1">
        <v>0.0</v>
      </c>
      <c r="K243" s="1">
        <v>0.0</v>
      </c>
    </row>
    <row r="244">
      <c r="A244" s="1">
        <v>4.0</v>
      </c>
      <c r="B244" s="1">
        <v>16.0</v>
      </c>
      <c r="C244" s="1">
        <v>5.0</v>
      </c>
      <c r="D244" s="1">
        <v>5.0</v>
      </c>
      <c r="E244" s="1">
        <v>0.0</v>
      </c>
      <c r="F244" s="1">
        <v>0.0</v>
      </c>
      <c r="G244" s="2">
        <v>1.0</v>
      </c>
      <c r="H244" s="1" t="s">
        <v>80</v>
      </c>
      <c r="I244" s="1" t="str">
        <f>IFERROR(__xludf.DUMMYFUNCTION("REGEXREPLACE(MID(H244, SEARCH(""["", H244) + 1, SEARCH(""]"", H244) - SEARCH(""["", H244) - 1), ""\[\]"","""")"),"Mira Loma HS")</f>
        <v>Mira Loma HS</v>
      </c>
      <c r="J244" s="1">
        <v>20.0</v>
      </c>
      <c r="K244" s="1">
        <v>0.0</v>
      </c>
    </row>
    <row r="245">
      <c r="A245" s="1">
        <v>3.0</v>
      </c>
      <c r="B245" s="1">
        <v>12.0</v>
      </c>
      <c r="C245" s="1">
        <v>8.0</v>
      </c>
      <c r="D245" s="1">
        <v>10.67</v>
      </c>
      <c r="E245" s="1">
        <v>0.0</v>
      </c>
      <c r="F245" s="1">
        <v>0.0</v>
      </c>
      <c r="G245" s="2">
        <v>1.0</v>
      </c>
      <c r="H245" s="1" t="s">
        <v>221</v>
      </c>
      <c r="I245" s="1" t="str">
        <f>IFERROR(__xludf.DUMMYFUNCTION("REGEXREPLACE(MID(H245, SEARCH(""["", H245) + 1, SEARCH(""]"", H245) - SEARCH(""["", H245) - 1), ""\[\]"","""")"),"Mira Loma HS")</f>
        <v>Mira Loma HS</v>
      </c>
      <c r="J245" s="1">
        <v>32.0</v>
      </c>
      <c r="K245" s="1">
        <v>0.0</v>
      </c>
    </row>
    <row r="246">
      <c r="A246" s="1">
        <v>1.0</v>
      </c>
      <c r="B246" s="1">
        <v>4.0</v>
      </c>
      <c r="C246" s="1">
        <v>0.0</v>
      </c>
      <c r="D246" s="1">
        <v>0.0</v>
      </c>
      <c r="E246" s="1">
        <v>0.0</v>
      </c>
      <c r="F246" s="1">
        <v>0.0</v>
      </c>
      <c r="G246" s="2">
        <v>0.0</v>
      </c>
      <c r="H246" s="1" t="s">
        <v>221</v>
      </c>
      <c r="I246" s="1" t="str">
        <f>IFERROR(__xludf.DUMMYFUNCTION("REGEXREPLACE(MID(H246, SEARCH(""["", H246) + 1, SEARCH(""]"", H246) - SEARCH(""["", H246) - 1), ""\[\]"","""")"),"Mira Loma HS")</f>
        <v>Mira Loma HS</v>
      </c>
      <c r="J246" s="1">
        <v>0.0</v>
      </c>
      <c r="K246" s="1">
        <v>0.0</v>
      </c>
    </row>
    <row r="247">
      <c r="A247" s="1">
        <v>1.0</v>
      </c>
      <c r="B247" s="1">
        <v>4.0</v>
      </c>
      <c r="C247" s="1">
        <v>1.0</v>
      </c>
      <c r="D247" s="1">
        <v>4.0</v>
      </c>
      <c r="E247" s="1">
        <v>0.0</v>
      </c>
      <c r="F247" s="1">
        <v>0.0</v>
      </c>
      <c r="G247" s="2">
        <v>1.0</v>
      </c>
      <c r="H247" s="1" t="s">
        <v>270</v>
      </c>
      <c r="I247" s="1" t="str">
        <f>IFERROR(__xludf.DUMMYFUNCTION("REGEXREPLACE(MID(H247, SEARCH(""["", H247) + 1, SEARCH(""]"", H247) - SEARCH(""["", H247) - 1), ""\[\]"","""")"),"Mira Loma HS")</f>
        <v>Mira Loma HS</v>
      </c>
      <c r="J247" s="1">
        <v>4.0</v>
      </c>
      <c r="K247" s="1">
        <v>0.0</v>
      </c>
    </row>
    <row r="248">
      <c r="A248" s="1">
        <v>1.0</v>
      </c>
      <c r="B248" s="1">
        <v>4.0</v>
      </c>
      <c r="C248" s="1">
        <v>0.0</v>
      </c>
      <c r="D248" s="1">
        <v>0.0</v>
      </c>
      <c r="E248" s="1">
        <v>0.0</v>
      </c>
      <c r="F248" s="1">
        <v>0.0</v>
      </c>
      <c r="G248" s="2">
        <v>0.0</v>
      </c>
      <c r="H248" s="1" t="s">
        <v>270</v>
      </c>
      <c r="I248" s="1" t="str">
        <f>IFERROR(__xludf.DUMMYFUNCTION("REGEXREPLACE(MID(H248, SEARCH(""["", H248) + 1, SEARCH(""]"", H248) - SEARCH(""["", H248) - 1), ""\[\]"","""")"),"Mira Loma HS")</f>
        <v>Mira Loma HS</v>
      </c>
      <c r="J248" s="1">
        <v>0.0</v>
      </c>
      <c r="K248" s="1">
        <v>0.0</v>
      </c>
    </row>
    <row r="249">
      <c r="A249" s="1">
        <v>1.0</v>
      </c>
      <c r="B249" s="1">
        <v>4.0</v>
      </c>
      <c r="C249" s="1">
        <v>1.0</v>
      </c>
      <c r="D249" s="1">
        <v>4.0</v>
      </c>
      <c r="E249" s="1">
        <v>0.0</v>
      </c>
      <c r="F249" s="1">
        <v>0.0</v>
      </c>
      <c r="G249" s="2">
        <v>1.0</v>
      </c>
      <c r="H249" s="1" t="s">
        <v>228</v>
      </c>
      <c r="I249" s="1" t="str">
        <f>IFERROR(__xludf.DUMMYFUNCTION("REGEXREPLACE(MID(H249, SEARCH(""["", H249) + 1, SEARCH(""]"", H249) - SEARCH(""["", H249) - 1), ""\[\]"","""")"),"Naperville North")</f>
        <v>Naperville North</v>
      </c>
      <c r="J249" s="1">
        <v>4.0</v>
      </c>
      <c r="K249" s="1">
        <v>0.0</v>
      </c>
    </row>
    <row r="250">
      <c r="A250" s="1">
        <v>4.0</v>
      </c>
      <c r="B250" s="1">
        <v>15.0</v>
      </c>
      <c r="C250" s="1">
        <v>4.0</v>
      </c>
      <c r="D250" s="1">
        <v>2.0</v>
      </c>
      <c r="E250" s="1">
        <v>0.0</v>
      </c>
      <c r="F250" s="1">
        <v>0.0</v>
      </c>
      <c r="G250" s="2">
        <v>0.5</v>
      </c>
      <c r="H250" s="1" t="s">
        <v>228</v>
      </c>
      <c r="I250" s="1" t="str">
        <f>IFERROR(__xludf.DUMMYFUNCTION("REGEXREPLACE(MID(H250, SEARCH(""["", H250) + 1, SEARCH(""]"", H250) - SEARCH(""["", H250) - 1), ""\[\]"","""")"),"Naperville North")</f>
        <v>Naperville North</v>
      </c>
      <c r="J250" s="1">
        <v>8.0</v>
      </c>
      <c r="K250" s="1">
        <v>0.0</v>
      </c>
    </row>
    <row r="251">
      <c r="A251" s="1">
        <v>1.0</v>
      </c>
      <c r="B251" s="1">
        <v>4.0</v>
      </c>
      <c r="C251" s="1">
        <v>0.0</v>
      </c>
      <c r="D251" s="1">
        <v>0.0</v>
      </c>
      <c r="E251" s="1">
        <v>0.0</v>
      </c>
      <c r="F251" s="1">
        <v>0.0</v>
      </c>
      <c r="G251" s="2">
        <v>0.0</v>
      </c>
      <c r="H251" s="1" t="s">
        <v>273</v>
      </c>
      <c r="I251" s="1" t="str">
        <f>IFERROR(__xludf.DUMMYFUNCTION("REGEXREPLACE(MID(H251, SEARCH(""["", H251) + 1, SEARCH(""]"", H251) - SEARCH(""["", H251) - 1), ""\[\]"","""")"),"Naperville North")</f>
        <v>Naperville North</v>
      </c>
      <c r="J251" s="1">
        <v>0.0</v>
      </c>
      <c r="K251" s="1">
        <v>0.0</v>
      </c>
    </row>
    <row r="252">
      <c r="A252" s="1">
        <v>3.0</v>
      </c>
      <c r="B252" s="1">
        <v>11.0</v>
      </c>
      <c r="C252" s="1">
        <v>2.0</v>
      </c>
      <c r="D252" s="1">
        <v>-1.33</v>
      </c>
      <c r="E252" s="1">
        <v>0.33</v>
      </c>
      <c r="F252" s="1">
        <v>0.0</v>
      </c>
      <c r="G252" s="2">
        <v>0.0</v>
      </c>
      <c r="H252" s="1" t="s">
        <v>273</v>
      </c>
      <c r="I252" s="1" t="str">
        <f>IFERROR(__xludf.DUMMYFUNCTION("REGEXREPLACE(MID(H252, SEARCH(""["", H252) + 1, SEARCH(""]"", H252) - SEARCH(""["", H252) - 1), ""\[\]"","""")"),"Naperville North")</f>
        <v>Naperville North</v>
      </c>
      <c r="J252" s="1">
        <v>-4.0</v>
      </c>
      <c r="K252" s="1">
        <v>1.0</v>
      </c>
    </row>
    <row r="253">
      <c r="A253" s="1">
        <v>1.0</v>
      </c>
      <c r="B253" s="1">
        <v>4.0</v>
      </c>
      <c r="C253" s="1">
        <v>0.0</v>
      </c>
      <c r="D253" s="1">
        <v>0.0</v>
      </c>
      <c r="E253" s="1">
        <v>0.0</v>
      </c>
      <c r="F253" s="1">
        <v>0.0</v>
      </c>
      <c r="G253" s="2">
        <v>0.0</v>
      </c>
      <c r="H253" s="1" t="s">
        <v>273</v>
      </c>
      <c r="I253" s="1" t="str">
        <f>IFERROR(__xludf.DUMMYFUNCTION("REGEXREPLACE(MID(H253, SEARCH(""["", H253) + 1, SEARCH(""]"", H253) - SEARCH(""["", H253) - 1), ""\[\]"","""")"),"Naperville North")</f>
        <v>Naperville North</v>
      </c>
      <c r="J253" s="1">
        <v>0.0</v>
      </c>
      <c r="K253" s="1">
        <v>0.0</v>
      </c>
    </row>
    <row r="254">
      <c r="A254" s="1">
        <v>3.0</v>
      </c>
      <c r="B254" s="1">
        <v>11.0</v>
      </c>
      <c r="C254" s="1">
        <v>5.0</v>
      </c>
      <c r="D254" s="1">
        <v>2.67</v>
      </c>
      <c r="E254" s="1">
        <v>0.0</v>
      </c>
      <c r="F254" s="1">
        <v>0.0</v>
      </c>
      <c r="G254" s="2">
        <v>0.4</v>
      </c>
      <c r="H254" s="1" t="s">
        <v>275</v>
      </c>
      <c r="I254" s="1" t="str">
        <f>IFERROR(__xludf.DUMMYFUNCTION("REGEXREPLACE(MID(H254, SEARCH(""["", H254) + 1, SEARCH(""]"", H254) - SEARCH(""["", H254) - 1), ""\[\]"","""")"),"Naperville North")</f>
        <v>Naperville North</v>
      </c>
      <c r="J254" s="1">
        <v>8.0</v>
      </c>
      <c r="K254" s="1">
        <v>0.0</v>
      </c>
    </row>
    <row r="255">
      <c r="A255" s="1">
        <v>1.0</v>
      </c>
      <c r="B255" s="1">
        <v>4.0</v>
      </c>
      <c r="C255" s="1">
        <v>0.0</v>
      </c>
      <c r="D255" s="1">
        <v>0.0</v>
      </c>
      <c r="E255" s="1">
        <v>0.0</v>
      </c>
      <c r="F255" s="1">
        <v>0.0</v>
      </c>
      <c r="G255" s="2">
        <v>0.0</v>
      </c>
      <c r="H255" s="1" t="s">
        <v>275</v>
      </c>
      <c r="I255" s="1" t="str">
        <f>IFERROR(__xludf.DUMMYFUNCTION("REGEXREPLACE(MID(H255, SEARCH(""["", H255) + 1, SEARCH(""]"", H255) - SEARCH(""["", H255) - 1), ""\[\]"","""")"),"Naperville North")</f>
        <v>Naperville North</v>
      </c>
      <c r="J255" s="1">
        <v>0.0</v>
      </c>
      <c r="K255" s="1">
        <v>0.0</v>
      </c>
    </row>
    <row r="256">
      <c r="A256" s="1">
        <v>2.0</v>
      </c>
      <c r="B256" s="1">
        <v>8.0</v>
      </c>
      <c r="C256" s="1">
        <v>0.0</v>
      </c>
      <c r="D256" s="1">
        <v>0.0</v>
      </c>
      <c r="E256" s="1">
        <v>0.0</v>
      </c>
      <c r="F256" s="1">
        <v>0.0</v>
      </c>
      <c r="G256" s="2">
        <v>0.0</v>
      </c>
      <c r="H256" s="1" t="s">
        <v>276</v>
      </c>
      <c r="I256" s="1" t="str">
        <f>IFERROR(__xludf.DUMMYFUNCTION("REGEXREPLACE(MID(H256, SEARCH(""["", H256) + 1, SEARCH(""]"", H256) - SEARCH(""["", H256) - 1), ""\[\]"","""")"),"Naperville North")</f>
        <v>Naperville North</v>
      </c>
      <c r="J256" s="1">
        <v>0.0</v>
      </c>
      <c r="K256" s="1">
        <v>0.0</v>
      </c>
    </row>
    <row r="257">
      <c r="A257" s="1">
        <v>2.0</v>
      </c>
      <c r="B257" s="1">
        <v>7.0</v>
      </c>
      <c r="C257" s="1">
        <v>0.0</v>
      </c>
      <c r="D257" s="1">
        <v>0.0</v>
      </c>
      <c r="E257" s="1">
        <v>0.0</v>
      </c>
      <c r="F257" s="1">
        <v>0.0</v>
      </c>
      <c r="G257" s="2">
        <v>0.0</v>
      </c>
      <c r="H257" s="1" t="s">
        <v>276</v>
      </c>
      <c r="I257" s="1" t="str">
        <f>IFERROR(__xludf.DUMMYFUNCTION("REGEXREPLACE(MID(H257, SEARCH(""["", H257) + 1, SEARCH(""]"", H257) - SEARCH(""["", H257) - 1), ""\[\]"","""")"),"Naperville North")</f>
        <v>Naperville North</v>
      </c>
      <c r="J257" s="1">
        <v>0.0</v>
      </c>
      <c r="K257" s="1">
        <v>0.0</v>
      </c>
    </row>
    <row r="258">
      <c r="A258" s="1">
        <v>4.0</v>
      </c>
      <c r="B258" s="1">
        <v>16.0</v>
      </c>
      <c r="C258" s="1">
        <v>8.0</v>
      </c>
      <c r="D258" s="1">
        <v>5.0</v>
      </c>
      <c r="E258" s="1">
        <v>0.25</v>
      </c>
      <c r="F258" s="1">
        <v>0.0</v>
      </c>
      <c r="G258" s="2">
        <v>0.75</v>
      </c>
      <c r="H258" s="1" t="s">
        <v>277</v>
      </c>
      <c r="I258" s="1" t="str">
        <f>IFERROR(__xludf.DUMMYFUNCTION("REGEXREPLACE(MID(H258, SEARCH(""["", H258) + 1, SEARCH(""]"", H258) - SEARCH(""["", H258) - 1), ""\[\]"","""")"),"Niskayuna HS")</f>
        <v>Niskayuna HS</v>
      </c>
      <c r="J258" s="1">
        <v>20.0</v>
      </c>
      <c r="K258" s="1">
        <v>1.0</v>
      </c>
    </row>
    <row r="259">
      <c r="A259" s="1">
        <v>1.0</v>
      </c>
      <c r="B259" s="1">
        <v>4.0</v>
      </c>
      <c r="C259" s="1">
        <v>0.0</v>
      </c>
      <c r="D259" s="1">
        <v>0.0</v>
      </c>
      <c r="E259" s="1">
        <v>0.0</v>
      </c>
      <c r="F259" s="1">
        <v>0.0</v>
      </c>
      <c r="G259" s="2">
        <v>0.0</v>
      </c>
      <c r="H259" s="1" t="s">
        <v>277</v>
      </c>
      <c r="I259" s="1" t="str">
        <f>IFERROR(__xludf.DUMMYFUNCTION("REGEXREPLACE(MID(H259, SEARCH(""["", H259) + 1, SEARCH(""]"", H259) - SEARCH(""["", H259) - 1), ""\[\]"","""")"),"Niskayuna HS")</f>
        <v>Niskayuna HS</v>
      </c>
      <c r="J259" s="1">
        <v>0.0</v>
      </c>
      <c r="K259" s="1">
        <v>0.0</v>
      </c>
    </row>
    <row r="260">
      <c r="A260" s="1">
        <v>1.0</v>
      </c>
      <c r="B260" s="1">
        <v>4.0</v>
      </c>
      <c r="C260" s="1">
        <v>0.0</v>
      </c>
      <c r="D260" s="1">
        <v>0.0</v>
      </c>
      <c r="E260" s="1">
        <v>0.0</v>
      </c>
      <c r="F260" s="1">
        <v>0.0</v>
      </c>
      <c r="G260" s="2">
        <v>0.0</v>
      </c>
      <c r="H260" s="1" t="s">
        <v>172</v>
      </c>
      <c r="I260" s="1" t="str">
        <f>IFERROR(__xludf.DUMMYFUNCTION("REGEXREPLACE(MID(H260, SEARCH(""["", H260) + 1, SEARCH(""]"", H260) - SEARCH(""["", H260) - 1), ""\[\]"","""")"),"Niskayuna HS")</f>
        <v>Niskayuna HS</v>
      </c>
      <c r="J260" s="1">
        <v>0.0</v>
      </c>
      <c r="K260" s="1">
        <v>0.0</v>
      </c>
    </row>
    <row r="261">
      <c r="A261" s="1">
        <v>3.0</v>
      </c>
      <c r="B261" s="1">
        <v>12.0</v>
      </c>
      <c r="C261" s="1">
        <v>0.0</v>
      </c>
      <c r="D261" s="1">
        <v>0.0</v>
      </c>
      <c r="E261" s="1">
        <v>0.0</v>
      </c>
      <c r="F261" s="1">
        <v>0.0</v>
      </c>
      <c r="G261" s="2">
        <v>0.0</v>
      </c>
      <c r="H261" s="1" t="s">
        <v>172</v>
      </c>
      <c r="I261" s="1" t="str">
        <f>IFERROR(__xludf.DUMMYFUNCTION("REGEXREPLACE(MID(H261, SEARCH(""["", H261) + 1, SEARCH(""]"", H261) - SEARCH(""["", H261) - 1), ""\[\]"","""")"),"Niskayuna HS")</f>
        <v>Niskayuna HS</v>
      </c>
      <c r="J261" s="1">
        <v>0.0</v>
      </c>
      <c r="K261" s="1">
        <v>0.0</v>
      </c>
    </row>
    <row r="262">
      <c r="A262" s="1">
        <v>1.0</v>
      </c>
      <c r="B262" s="1">
        <v>4.0</v>
      </c>
      <c r="C262" s="1">
        <v>4.0</v>
      </c>
      <c r="D262" s="1">
        <v>4.0</v>
      </c>
      <c r="E262" s="1">
        <v>1.0</v>
      </c>
      <c r="F262" s="1">
        <v>0.0</v>
      </c>
      <c r="G262" s="2">
        <v>0.5</v>
      </c>
      <c r="H262" s="1" t="s">
        <v>279</v>
      </c>
      <c r="I262" s="1" t="str">
        <f>IFERROR(__xludf.DUMMYFUNCTION("REGEXREPLACE(MID(H262, SEARCH(""["", H262) + 1, SEARCH(""]"", H262) - SEARCH(""["", H262) - 1), ""\[\]"","""")"),"Niskayuna HS")</f>
        <v>Niskayuna HS</v>
      </c>
      <c r="J262" s="1">
        <v>4.0</v>
      </c>
      <c r="K262" s="1">
        <v>1.0</v>
      </c>
    </row>
    <row r="263">
      <c r="A263" s="1">
        <v>4.0</v>
      </c>
      <c r="B263" s="1">
        <v>16.0</v>
      </c>
      <c r="C263" s="1">
        <v>1.0</v>
      </c>
      <c r="D263" s="1">
        <v>1.0</v>
      </c>
      <c r="E263" s="1">
        <v>0.0</v>
      </c>
      <c r="F263" s="1">
        <v>0.0</v>
      </c>
      <c r="G263" s="2">
        <v>1.0</v>
      </c>
      <c r="H263" s="1" t="s">
        <v>279</v>
      </c>
      <c r="I263" s="1" t="str">
        <f>IFERROR(__xludf.DUMMYFUNCTION("REGEXREPLACE(MID(H263, SEARCH(""["", H263) + 1, SEARCH(""]"", H263) - SEARCH(""["", H263) - 1), ""\[\]"","""")"),"Niskayuna HS")</f>
        <v>Niskayuna HS</v>
      </c>
      <c r="J263" s="1">
        <v>4.0</v>
      </c>
      <c r="K263" s="1">
        <v>0.0</v>
      </c>
    </row>
    <row r="264">
      <c r="A264" s="1">
        <v>1.0</v>
      </c>
      <c r="B264" s="1">
        <v>4.0</v>
      </c>
      <c r="C264" s="1">
        <v>0.0</v>
      </c>
      <c r="D264" s="1">
        <v>0.0</v>
      </c>
      <c r="E264" s="1">
        <v>0.0</v>
      </c>
      <c r="F264" s="1">
        <v>0.0</v>
      </c>
      <c r="G264" s="2">
        <v>0.0</v>
      </c>
      <c r="H264" s="1" t="s">
        <v>280</v>
      </c>
      <c r="I264" s="1" t="str">
        <f>IFERROR(__xludf.DUMMYFUNCTION("REGEXREPLACE(MID(H264, SEARCH(""["", H264) + 1, SEARCH(""]"", H264) - SEARCH(""["", H264) - 1), ""\[\]"","""")"),"Niskayuna HS")</f>
        <v>Niskayuna HS</v>
      </c>
      <c r="J264" s="1">
        <v>0.0</v>
      </c>
      <c r="K264" s="1">
        <v>0.0</v>
      </c>
    </row>
    <row r="265">
      <c r="A265" s="1">
        <v>1.0</v>
      </c>
      <c r="B265" s="1">
        <v>4.0</v>
      </c>
      <c r="C265" s="1">
        <v>0.0</v>
      </c>
      <c r="D265" s="1">
        <v>0.0</v>
      </c>
      <c r="E265" s="1">
        <v>0.0</v>
      </c>
      <c r="F265" s="1">
        <v>0.0</v>
      </c>
      <c r="G265" s="2">
        <v>0.0</v>
      </c>
      <c r="H265" s="1" t="s">
        <v>281</v>
      </c>
      <c r="I265" s="1" t="str">
        <f>IFERROR(__xludf.DUMMYFUNCTION("REGEXREPLACE(MID(H265, SEARCH(""["", H265) + 1, SEARCH(""]"", H265) - SEARCH(""["", H265) - 1), ""\[\]"","""")"),"Niskayuna HS")</f>
        <v>Niskayuna HS</v>
      </c>
      <c r="J265" s="1">
        <v>0.0</v>
      </c>
      <c r="K265" s="1">
        <v>0.0</v>
      </c>
    </row>
    <row r="266">
      <c r="A266" s="1">
        <v>4.0</v>
      </c>
      <c r="B266" s="1">
        <v>16.0</v>
      </c>
      <c r="C266" s="1">
        <v>0.0</v>
      </c>
      <c r="D266" s="1">
        <v>0.0</v>
      </c>
      <c r="E266" s="1">
        <v>0.0</v>
      </c>
      <c r="F266" s="1">
        <v>0.0</v>
      </c>
      <c r="G266" s="2">
        <v>0.0</v>
      </c>
      <c r="H266" s="1" t="s">
        <v>281</v>
      </c>
      <c r="I266" s="1" t="str">
        <f>IFERROR(__xludf.DUMMYFUNCTION("REGEXREPLACE(MID(H266, SEARCH(""["", H266) + 1, SEARCH(""]"", H266) - SEARCH(""["", H266) - 1), ""\[\]"","""")"),"Niskayuna HS")</f>
        <v>Niskayuna HS</v>
      </c>
      <c r="J266" s="1">
        <v>0.0</v>
      </c>
      <c r="K266" s="1">
        <v>0.0</v>
      </c>
    </row>
    <row r="267">
      <c r="A267" s="1">
        <v>2.0</v>
      </c>
      <c r="B267" s="1">
        <v>8.0</v>
      </c>
      <c r="C267" s="1">
        <v>0.0</v>
      </c>
      <c r="D267" s="1">
        <v>0.0</v>
      </c>
      <c r="E267" s="1">
        <v>0.0</v>
      </c>
      <c r="F267" s="1">
        <v>0.0</v>
      </c>
      <c r="G267" s="2">
        <v>0.0</v>
      </c>
      <c r="H267" s="1" t="s">
        <v>282</v>
      </c>
      <c r="I267" s="1" t="str">
        <f>IFERROR(__xludf.DUMMYFUNCTION("REGEXREPLACE(MID(H267, SEARCH(""["", H267) + 1, SEARCH(""]"", H267) - SEARCH(""["", H267) - 1), ""\[\]"","""")"),"NoHo 1")</f>
        <v>NoHo 1</v>
      </c>
      <c r="J267" s="1">
        <v>0.0</v>
      </c>
      <c r="K267" s="1">
        <v>0.0</v>
      </c>
    </row>
    <row r="268">
      <c r="A268" s="1">
        <v>1.0</v>
      </c>
      <c r="B268" s="1">
        <v>4.0</v>
      </c>
      <c r="C268" s="1">
        <v>0.0</v>
      </c>
      <c r="D268" s="1">
        <v>0.0</v>
      </c>
      <c r="E268" s="1">
        <v>0.0</v>
      </c>
      <c r="F268" s="1">
        <v>0.0</v>
      </c>
      <c r="G268" s="2">
        <v>0.0</v>
      </c>
      <c r="H268" s="1" t="s">
        <v>282</v>
      </c>
      <c r="I268" s="1" t="str">
        <f>IFERROR(__xludf.DUMMYFUNCTION("REGEXREPLACE(MID(H268, SEARCH(""["", H268) + 1, SEARCH(""]"", H268) - SEARCH(""["", H268) - 1), ""\[\]"","""")"),"NoHo 1")</f>
        <v>NoHo 1</v>
      </c>
      <c r="J268" s="1">
        <v>0.0</v>
      </c>
      <c r="K268" s="1">
        <v>0.0</v>
      </c>
    </row>
    <row r="269">
      <c r="A269" s="1">
        <v>3.0</v>
      </c>
      <c r="B269" s="1">
        <v>12.0</v>
      </c>
      <c r="C269" s="1">
        <v>0.0</v>
      </c>
      <c r="D269" s="1">
        <v>0.0</v>
      </c>
      <c r="E269" s="1">
        <v>0.0</v>
      </c>
      <c r="F269" s="1">
        <v>0.0</v>
      </c>
      <c r="G269" s="2">
        <v>0.0</v>
      </c>
      <c r="H269" s="1" t="s">
        <v>283</v>
      </c>
      <c r="I269" s="1" t="str">
        <f>IFERROR(__xludf.DUMMYFUNCTION("REGEXREPLACE(MID(H269, SEARCH(""["", H269) + 1, SEARCH(""]"", H269) - SEARCH(""["", H269) - 1), ""\[\]"","""")"),"NoHo 1")</f>
        <v>NoHo 1</v>
      </c>
      <c r="J269" s="1">
        <v>0.0</v>
      </c>
      <c r="K269" s="1">
        <v>0.0</v>
      </c>
    </row>
    <row r="270">
      <c r="A270" s="1">
        <v>1.0</v>
      </c>
      <c r="B270" s="1">
        <v>4.0</v>
      </c>
      <c r="C270" s="1">
        <v>0.0</v>
      </c>
      <c r="D270" s="1">
        <v>0.0</v>
      </c>
      <c r="E270" s="1">
        <v>0.0</v>
      </c>
      <c r="F270" s="1">
        <v>0.0</v>
      </c>
      <c r="G270" s="2">
        <v>0.0</v>
      </c>
      <c r="H270" s="1" t="s">
        <v>283</v>
      </c>
      <c r="I270" s="1" t="str">
        <f>IFERROR(__xludf.DUMMYFUNCTION("REGEXREPLACE(MID(H270, SEARCH(""["", H270) + 1, SEARCH(""]"", H270) - SEARCH(""["", H270) - 1), ""\[\]"","""")"),"NoHo 1")</f>
        <v>NoHo 1</v>
      </c>
      <c r="J270" s="1">
        <v>0.0</v>
      </c>
      <c r="K270" s="1">
        <v>0.0</v>
      </c>
    </row>
    <row r="271">
      <c r="A271" s="1">
        <v>1.0</v>
      </c>
      <c r="B271" s="1">
        <v>4.0</v>
      </c>
      <c r="C271" s="1">
        <v>0.0</v>
      </c>
      <c r="D271" s="1">
        <v>0.0</v>
      </c>
      <c r="E271" s="1">
        <v>0.0</v>
      </c>
      <c r="F271" s="1">
        <v>0.0</v>
      </c>
      <c r="G271" s="2">
        <v>0.0</v>
      </c>
      <c r="H271" s="1" t="s">
        <v>284</v>
      </c>
      <c r="I271" s="1" t="str">
        <f>IFERROR(__xludf.DUMMYFUNCTION("REGEXREPLACE(MID(H271, SEARCH(""["", H271) + 1, SEARCH(""]"", H271) - SEARCH(""["", H271) - 1), ""\[\]"","""")"),"NoHo 1")</f>
        <v>NoHo 1</v>
      </c>
      <c r="J271" s="1">
        <v>0.0</v>
      </c>
      <c r="K271" s="1">
        <v>0.0</v>
      </c>
    </row>
    <row r="272">
      <c r="A272" s="1">
        <v>1.0</v>
      </c>
      <c r="B272" s="1">
        <v>4.0</v>
      </c>
      <c r="C272" s="1">
        <v>0.0</v>
      </c>
      <c r="D272" s="1">
        <v>0.0</v>
      </c>
      <c r="E272" s="1">
        <v>0.0</v>
      </c>
      <c r="F272" s="1">
        <v>0.0</v>
      </c>
      <c r="G272" s="2">
        <v>0.0</v>
      </c>
      <c r="H272" s="1" t="s">
        <v>284</v>
      </c>
      <c r="I272" s="1" t="str">
        <f>IFERROR(__xludf.DUMMYFUNCTION("REGEXREPLACE(MID(H272, SEARCH(""["", H272) + 1, SEARCH(""]"", H272) - SEARCH(""["", H272) - 1), ""\[\]"","""")"),"NoHo 1")</f>
        <v>NoHo 1</v>
      </c>
      <c r="J272" s="1">
        <v>0.0</v>
      </c>
      <c r="K272" s="1">
        <v>0.0</v>
      </c>
    </row>
    <row r="273">
      <c r="A273" s="1">
        <v>3.0</v>
      </c>
      <c r="B273" s="1">
        <v>12.0</v>
      </c>
      <c r="C273" s="1">
        <v>11.0</v>
      </c>
      <c r="D273" s="1">
        <v>10.67</v>
      </c>
      <c r="E273" s="1">
        <v>0.33</v>
      </c>
      <c r="F273" s="1">
        <v>0.0</v>
      </c>
      <c r="G273" s="6">
        <v>0.818</v>
      </c>
      <c r="H273" s="1" t="s">
        <v>52</v>
      </c>
      <c r="I273" s="1" t="str">
        <f>IFERROR(__xludf.DUMMYFUNCTION("REGEXREPLACE(MID(H273, SEARCH(""["", H273) + 1, SEARCH(""]"", H273) - SEARCH(""["", H273) - 1), ""\[\]"","""")"),"NoHo 1")</f>
        <v>NoHo 1</v>
      </c>
      <c r="J273" s="1">
        <v>32.0</v>
      </c>
      <c r="K273" s="1">
        <v>1.0</v>
      </c>
    </row>
    <row r="274">
      <c r="A274" s="1">
        <v>1.0</v>
      </c>
      <c r="B274" s="1">
        <v>4.0</v>
      </c>
      <c r="C274" s="1">
        <v>3.0</v>
      </c>
      <c r="D274" s="1">
        <v>4.0</v>
      </c>
      <c r="E274" s="1">
        <v>1.0</v>
      </c>
      <c r="F274" s="1">
        <v>0.0</v>
      </c>
      <c r="G274" s="6">
        <v>0.667</v>
      </c>
      <c r="H274" s="1" t="s">
        <v>52</v>
      </c>
      <c r="I274" s="1" t="str">
        <f>IFERROR(__xludf.DUMMYFUNCTION("REGEXREPLACE(MID(H274, SEARCH(""["", H274) + 1, SEARCH(""]"", H274) - SEARCH(""["", H274) - 1), ""\[\]"","""")"),"NoHo 1")</f>
        <v>NoHo 1</v>
      </c>
      <c r="J274" s="1">
        <v>4.0</v>
      </c>
      <c r="K274" s="1">
        <v>1.0</v>
      </c>
    </row>
    <row r="275">
      <c r="A275" s="1">
        <v>1.0</v>
      </c>
      <c r="B275" s="1">
        <v>4.0</v>
      </c>
      <c r="C275" s="1">
        <v>2.0</v>
      </c>
      <c r="D275" s="1">
        <v>4.0</v>
      </c>
      <c r="E275" s="1">
        <v>0.0</v>
      </c>
      <c r="F275" s="1">
        <v>0.0</v>
      </c>
      <c r="G275" s="2">
        <v>0.5</v>
      </c>
      <c r="H275" s="1" t="s">
        <v>52</v>
      </c>
      <c r="I275" s="1" t="str">
        <f>IFERROR(__xludf.DUMMYFUNCTION("REGEXREPLACE(MID(H275, SEARCH(""["", H275) + 1, SEARCH(""]"", H275) - SEARCH(""["", H275) - 1), ""\[\]"","""")"),"NoHo 1")</f>
        <v>NoHo 1</v>
      </c>
      <c r="J275" s="1">
        <v>4.0</v>
      </c>
      <c r="K275" s="1">
        <v>0.0</v>
      </c>
    </row>
    <row r="276">
      <c r="A276" s="1">
        <v>1.0</v>
      </c>
      <c r="B276" s="1">
        <v>4.0</v>
      </c>
      <c r="C276" s="1">
        <v>3.0</v>
      </c>
      <c r="D276" s="1">
        <v>12.0</v>
      </c>
      <c r="E276" s="1">
        <v>0.0</v>
      </c>
      <c r="F276" s="1">
        <v>0.0</v>
      </c>
      <c r="G276" s="2">
        <v>1.0</v>
      </c>
      <c r="H276" s="1" t="s">
        <v>223</v>
      </c>
      <c r="I276" s="1" t="str">
        <f>IFERROR(__xludf.DUMMYFUNCTION("REGEXREPLACE(MID(H276, SEARCH(""["", H276) + 1, SEARCH(""]"", H276) - SEARCH(""["", H276) - 1), ""\[\]"","""")"),"NoHo 2")</f>
        <v>NoHo 2</v>
      </c>
      <c r="J276" s="1">
        <v>12.0</v>
      </c>
      <c r="K276" s="1">
        <v>0.0</v>
      </c>
    </row>
    <row r="277">
      <c r="A277" s="1">
        <v>1.0</v>
      </c>
      <c r="B277" s="1">
        <v>4.0</v>
      </c>
      <c r="C277" s="1">
        <v>2.0</v>
      </c>
      <c r="D277" s="1">
        <v>8.0</v>
      </c>
      <c r="E277" s="1">
        <v>0.0</v>
      </c>
      <c r="F277" s="1">
        <v>0.0</v>
      </c>
      <c r="G277" s="2">
        <v>1.0</v>
      </c>
      <c r="H277" s="1" t="s">
        <v>223</v>
      </c>
      <c r="I277" s="1" t="str">
        <f>IFERROR(__xludf.DUMMYFUNCTION("REGEXREPLACE(MID(H277, SEARCH(""["", H277) + 1, SEARCH(""]"", H277) - SEARCH(""["", H277) - 1), ""\[\]"","""")"),"NoHo 2")</f>
        <v>NoHo 2</v>
      </c>
      <c r="J277" s="1">
        <v>8.0</v>
      </c>
      <c r="K277" s="1">
        <v>0.0</v>
      </c>
    </row>
    <row r="278">
      <c r="A278" s="1">
        <v>1.0</v>
      </c>
      <c r="B278" s="1">
        <v>4.0</v>
      </c>
      <c r="C278" s="1">
        <v>4.0</v>
      </c>
      <c r="D278" s="1">
        <v>8.0</v>
      </c>
      <c r="E278" s="1">
        <v>1.0</v>
      </c>
      <c r="F278" s="1">
        <v>0.0</v>
      </c>
      <c r="G278" s="2">
        <v>0.75</v>
      </c>
      <c r="H278" s="1" t="s">
        <v>223</v>
      </c>
      <c r="I278" s="1" t="str">
        <f>IFERROR(__xludf.DUMMYFUNCTION("REGEXREPLACE(MID(H278, SEARCH(""["", H278) + 1, SEARCH(""]"", H278) - SEARCH(""["", H278) - 1), ""\[\]"","""")"),"NoHo 2")</f>
        <v>NoHo 2</v>
      </c>
      <c r="J278" s="1">
        <v>8.0</v>
      </c>
      <c r="K278" s="1">
        <v>1.0</v>
      </c>
    </row>
    <row r="279">
      <c r="A279" s="1">
        <v>1.0</v>
      </c>
      <c r="B279" s="1">
        <v>4.0</v>
      </c>
      <c r="C279" s="1">
        <v>3.0</v>
      </c>
      <c r="D279" s="1">
        <v>0.0</v>
      </c>
      <c r="E279" s="1">
        <v>1.0</v>
      </c>
      <c r="F279" s="1">
        <v>0.0</v>
      </c>
      <c r="G279" s="6">
        <v>0.333</v>
      </c>
      <c r="H279" s="1" t="s">
        <v>223</v>
      </c>
      <c r="I279" s="1" t="str">
        <f>IFERROR(__xludf.DUMMYFUNCTION("REGEXREPLACE(MID(H279, SEARCH(""["", H279) + 1, SEARCH(""]"", H279) - SEARCH(""["", H279) - 1), ""\[\]"","""")"),"NoHo 2")</f>
        <v>NoHo 2</v>
      </c>
      <c r="J279" s="1">
        <v>0.0</v>
      </c>
      <c r="K279" s="1">
        <v>1.0</v>
      </c>
    </row>
    <row r="280">
      <c r="A280" s="1">
        <v>1.0</v>
      </c>
      <c r="B280" s="1">
        <v>4.0</v>
      </c>
      <c r="C280" s="1">
        <v>2.0</v>
      </c>
      <c r="D280" s="1">
        <v>8.0</v>
      </c>
      <c r="E280" s="1">
        <v>0.0</v>
      </c>
      <c r="F280" s="1">
        <v>0.0</v>
      </c>
      <c r="G280" s="2">
        <v>1.0</v>
      </c>
      <c r="H280" s="1" t="s">
        <v>207</v>
      </c>
      <c r="I280" s="1" t="str">
        <f>IFERROR(__xludf.DUMMYFUNCTION("REGEXREPLACE(MID(H280, SEARCH(""["", H280) + 1, SEARCH(""]"", H280) - SEARCH(""["", H280) - 1), ""\[\]"","""")"),"NoHo 2")</f>
        <v>NoHo 2</v>
      </c>
      <c r="J280" s="1">
        <v>8.0</v>
      </c>
      <c r="K280" s="1">
        <v>0.0</v>
      </c>
    </row>
    <row r="281">
      <c r="A281" s="1">
        <v>1.0</v>
      </c>
      <c r="B281" s="1">
        <v>4.0</v>
      </c>
      <c r="C281" s="1">
        <v>0.0</v>
      </c>
      <c r="D281" s="1">
        <v>0.0</v>
      </c>
      <c r="E281" s="1">
        <v>0.0</v>
      </c>
      <c r="F281" s="1">
        <v>0.0</v>
      </c>
      <c r="G281" s="2">
        <v>0.0</v>
      </c>
      <c r="H281" s="1" t="s">
        <v>207</v>
      </c>
      <c r="I281" s="1" t="str">
        <f>IFERROR(__xludf.DUMMYFUNCTION("REGEXREPLACE(MID(H281, SEARCH(""["", H281) + 1, SEARCH(""]"", H281) - SEARCH(""["", H281) - 1), ""\[\]"","""")"),"NoHo 2")</f>
        <v>NoHo 2</v>
      </c>
      <c r="J281" s="1">
        <v>0.0</v>
      </c>
      <c r="K281" s="1">
        <v>0.0</v>
      </c>
    </row>
    <row r="282">
      <c r="A282" s="1">
        <v>2.0</v>
      </c>
      <c r="B282" s="1">
        <v>8.0</v>
      </c>
      <c r="C282" s="1">
        <v>0.0</v>
      </c>
      <c r="D282" s="1">
        <v>0.0</v>
      </c>
      <c r="E282" s="1">
        <v>0.0</v>
      </c>
      <c r="F282" s="1">
        <v>0.0</v>
      </c>
      <c r="G282" s="2">
        <v>0.0</v>
      </c>
      <c r="H282" s="1" t="s">
        <v>207</v>
      </c>
      <c r="I282" s="1" t="str">
        <f>IFERROR(__xludf.DUMMYFUNCTION("REGEXREPLACE(MID(H282, SEARCH(""["", H282) + 1, SEARCH(""]"", H282) - SEARCH(""["", H282) - 1), ""\[\]"","""")"),"NoHo 2")</f>
        <v>NoHo 2</v>
      </c>
      <c r="J282" s="1">
        <v>0.0</v>
      </c>
      <c r="K282" s="1">
        <v>0.0</v>
      </c>
    </row>
    <row r="283">
      <c r="A283" s="1">
        <v>1.0</v>
      </c>
      <c r="B283" s="1">
        <v>4.0</v>
      </c>
      <c r="C283" s="1">
        <v>0.0</v>
      </c>
      <c r="D283" s="1">
        <v>0.0</v>
      </c>
      <c r="E283" s="1">
        <v>0.0</v>
      </c>
      <c r="F283" s="1">
        <v>0.0</v>
      </c>
      <c r="G283" s="2">
        <v>0.0</v>
      </c>
      <c r="H283" s="1" t="s">
        <v>207</v>
      </c>
      <c r="I283" s="1" t="str">
        <f>IFERROR(__xludf.DUMMYFUNCTION("REGEXREPLACE(MID(H283, SEARCH(""["", H283) + 1, SEARCH(""]"", H283) - SEARCH(""["", H283) - 1), ""\[\]"","""")"),"NoHo 2")</f>
        <v>NoHo 2</v>
      </c>
      <c r="J283" s="1">
        <v>0.0</v>
      </c>
      <c r="K283" s="1">
        <v>0.0</v>
      </c>
    </row>
    <row r="284">
      <c r="A284" s="1">
        <v>1.0</v>
      </c>
      <c r="B284" s="1">
        <v>4.0</v>
      </c>
      <c r="C284" s="1">
        <v>1.0</v>
      </c>
      <c r="D284" s="1">
        <v>-4.0</v>
      </c>
      <c r="E284" s="1">
        <v>1.0</v>
      </c>
      <c r="F284" s="1">
        <v>0.0</v>
      </c>
      <c r="G284" s="2">
        <v>0.0</v>
      </c>
      <c r="H284" s="1" t="s">
        <v>288</v>
      </c>
      <c r="I284" s="1" t="str">
        <f>IFERROR(__xludf.DUMMYFUNCTION("REGEXREPLACE(MID(H284, SEARCH(""["", H284) + 1, SEARCH(""]"", H284) - SEARCH(""["", H284) - 1), ""\[\]"","""")"),"NoHo 2")</f>
        <v>NoHo 2</v>
      </c>
      <c r="J284" s="1">
        <v>-4.0</v>
      </c>
      <c r="K284" s="1">
        <v>1.0</v>
      </c>
    </row>
    <row r="285">
      <c r="A285" s="1">
        <v>1.0</v>
      </c>
      <c r="B285" s="1">
        <v>4.0</v>
      </c>
      <c r="C285" s="1">
        <v>0.0</v>
      </c>
      <c r="D285" s="1">
        <v>0.0</v>
      </c>
      <c r="E285" s="1">
        <v>0.0</v>
      </c>
      <c r="F285" s="1">
        <v>0.0</v>
      </c>
      <c r="G285" s="2">
        <v>0.0</v>
      </c>
      <c r="H285" s="1" t="s">
        <v>245</v>
      </c>
      <c r="I285" s="1" t="str">
        <f>IFERROR(__xludf.DUMMYFUNCTION("REGEXREPLACE(MID(H285, SEARCH(""["", H285) + 1, SEARCH(""]"", H285) - SEARCH(""["", H285) - 1), ""\[\]"","""")"),"NoHo 2")</f>
        <v>NoHo 2</v>
      </c>
      <c r="J285" s="1">
        <v>0.0</v>
      </c>
      <c r="K285" s="1">
        <v>0.0</v>
      </c>
    </row>
    <row r="286">
      <c r="A286" s="1">
        <v>1.0</v>
      </c>
      <c r="B286" s="1">
        <v>4.0</v>
      </c>
      <c r="C286" s="1">
        <v>0.0</v>
      </c>
      <c r="D286" s="1">
        <v>0.0</v>
      </c>
      <c r="E286" s="1">
        <v>0.0</v>
      </c>
      <c r="F286" s="1">
        <v>0.0</v>
      </c>
      <c r="G286" s="2">
        <v>0.0</v>
      </c>
      <c r="H286" s="1" t="s">
        <v>245</v>
      </c>
      <c r="I286" s="1" t="str">
        <f>IFERROR(__xludf.DUMMYFUNCTION("REGEXREPLACE(MID(H286, SEARCH(""["", H286) + 1, SEARCH(""]"", H286) - SEARCH(""["", H286) - 1), ""\[\]"","""")"),"NoHo 2")</f>
        <v>NoHo 2</v>
      </c>
      <c r="J286" s="1">
        <v>0.0</v>
      </c>
      <c r="K286" s="1">
        <v>0.0</v>
      </c>
    </row>
    <row r="287">
      <c r="A287" s="1">
        <v>1.0</v>
      </c>
      <c r="B287" s="1">
        <v>4.0</v>
      </c>
      <c r="C287" s="1">
        <v>0.0</v>
      </c>
      <c r="D287" s="1">
        <v>0.0</v>
      </c>
      <c r="E287" s="1">
        <v>0.0</v>
      </c>
      <c r="F287" s="1">
        <v>0.0</v>
      </c>
      <c r="G287" s="2">
        <v>0.0</v>
      </c>
      <c r="H287" s="1" t="s">
        <v>245</v>
      </c>
      <c r="I287" s="1" t="str">
        <f>IFERROR(__xludf.DUMMYFUNCTION("REGEXREPLACE(MID(H287, SEARCH(""["", H287) + 1, SEARCH(""]"", H287) - SEARCH(""["", H287) - 1), ""\[\]"","""")"),"NoHo 2")</f>
        <v>NoHo 2</v>
      </c>
      <c r="J287" s="1">
        <v>0.0</v>
      </c>
      <c r="K287" s="1">
        <v>0.0</v>
      </c>
    </row>
    <row r="288">
      <c r="A288" s="1">
        <v>1.0</v>
      </c>
      <c r="B288" s="1">
        <v>4.0</v>
      </c>
      <c r="C288" s="1">
        <v>1.0</v>
      </c>
      <c r="D288" s="1">
        <v>-4.0</v>
      </c>
      <c r="E288" s="1">
        <v>1.0</v>
      </c>
      <c r="F288" s="1">
        <v>0.0</v>
      </c>
      <c r="G288" s="2">
        <v>0.0</v>
      </c>
      <c r="H288" s="1" t="s">
        <v>290</v>
      </c>
      <c r="I288" s="1" t="str">
        <f>IFERROR(__xludf.DUMMYFUNCTION("REGEXREPLACE(MID(H288, SEARCH(""["", H288) + 1, SEARCH(""]"", H288) - SEARCH(""["", H288) - 1), ""\[\]"","""")"),"The Outliers")</f>
        <v>The Outliers</v>
      </c>
      <c r="J288" s="1">
        <v>-4.0</v>
      </c>
      <c r="K288" s="1">
        <v>1.0</v>
      </c>
    </row>
    <row r="289">
      <c r="A289" s="1">
        <v>4.0</v>
      </c>
      <c r="B289" s="1">
        <v>16.0</v>
      </c>
      <c r="C289" s="1">
        <v>0.0</v>
      </c>
      <c r="D289" s="1">
        <v>0.0</v>
      </c>
      <c r="E289" s="1">
        <v>0.0</v>
      </c>
      <c r="F289" s="1">
        <v>0.0</v>
      </c>
      <c r="G289" s="2">
        <v>0.0</v>
      </c>
      <c r="H289" s="1" t="s">
        <v>291</v>
      </c>
      <c r="I289" s="1" t="str">
        <f>IFERROR(__xludf.DUMMYFUNCTION("REGEXREPLACE(MID(H289, SEARCH(""["", H289) + 1, SEARCH(""]"", H289) - SEARCH(""["", H289) - 1), ""\[\]"","""")"),"OCSA")</f>
        <v>OCSA</v>
      </c>
      <c r="J289" s="1">
        <v>0.0</v>
      </c>
      <c r="K289" s="1">
        <v>0.0</v>
      </c>
    </row>
    <row r="290">
      <c r="A290" s="1">
        <v>5.0</v>
      </c>
      <c r="B290" s="1">
        <v>20.0</v>
      </c>
      <c r="C290" s="1">
        <v>13.0</v>
      </c>
      <c r="D290" s="1">
        <v>6.4</v>
      </c>
      <c r="E290" s="1">
        <v>0.2</v>
      </c>
      <c r="F290" s="1">
        <v>0.0</v>
      </c>
      <c r="G290" s="6">
        <v>0.692</v>
      </c>
      <c r="H290" s="1" t="s">
        <v>267</v>
      </c>
      <c r="I290" s="1" t="str">
        <f>IFERROR(__xludf.DUMMYFUNCTION("REGEXREPLACE(MID(H290, SEARCH(""["", H290) + 1, SEARCH(""]"", H290) - SEARCH(""["", H290) - 1), ""\[\]"","""")"),"OCSA")</f>
        <v>OCSA</v>
      </c>
      <c r="J290" s="1">
        <v>32.0</v>
      </c>
      <c r="K290" s="1">
        <v>1.0</v>
      </c>
    </row>
    <row r="291">
      <c r="A291" s="1">
        <v>5.0</v>
      </c>
      <c r="B291" s="1">
        <v>20.0</v>
      </c>
      <c r="C291" s="1">
        <v>0.0</v>
      </c>
      <c r="D291" s="1">
        <v>0.0</v>
      </c>
      <c r="E291" s="1">
        <v>0.0</v>
      </c>
      <c r="F291" s="1">
        <v>0.0</v>
      </c>
      <c r="G291" s="2">
        <v>0.0</v>
      </c>
      <c r="H291" s="1" t="s">
        <v>98</v>
      </c>
      <c r="I291" s="1" t="str">
        <f>IFERROR(__xludf.DUMMYFUNCTION("REGEXREPLACE(MID(H291, SEARCH(""["", H291) + 1, SEARCH(""]"", H291) - SEARCH(""["", H291) - 1), ""\[\]"","""")"),"OCSA")</f>
        <v>OCSA</v>
      </c>
      <c r="J291" s="1">
        <v>0.0</v>
      </c>
      <c r="K291" s="1">
        <v>0.0</v>
      </c>
    </row>
    <row r="292">
      <c r="A292" s="1">
        <v>1.0</v>
      </c>
      <c r="B292" s="1">
        <v>4.0</v>
      </c>
      <c r="C292" s="1">
        <v>0.0</v>
      </c>
      <c r="D292" s="1">
        <v>0.0</v>
      </c>
      <c r="E292" s="1">
        <v>0.0</v>
      </c>
      <c r="F292" s="1">
        <v>0.0</v>
      </c>
      <c r="G292" s="2">
        <v>0.0</v>
      </c>
      <c r="H292" s="1" t="s">
        <v>106</v>
      </c>
      <c r="I292" s="1" t="str">
        <f>IFERROR(__xludf.DUMMYFUNCTION("REGEXREPLACE(MID(H292, SEARCH(""["", H292) + 1, SEARCH(""]"", H292) - SEARCH(""["", H292) - 1), ""\[\]"","""")"),"Palo Alto")</f>
        <v>Palo Alto</v>
      </c>
      <c r="J292" s="1">
        <v>0.0</v>
      </c>
      <c r="K292" s="1">
        <v>0.0</v>
      </c>
    </row>
    <row r="293">
      <c r="A293" s="1">
        <v>3.0</v>
      </c>
      <c r="B293" s="1">
        <v>12.0</v>
      </c>
      <c r="C293" s="1">
        <v>0.0</v>
      </c>
      <c r="D293" s="1">
        <v>0.0</v>
      </c>
      <c r="E293" s="1">
        <v>0.0</v>
      </c>
      <c r="F293" s="1">
        <v>0.0</v>
      </c>
      <c r="G293" s="2">
        <v>0.0</v>
      </c>
      <c r="H293" s="1" t="s">
        <v>106</v>
      </c>
      <c r="I293" s="1" t="str">
        <f>IFERROR(__xludf.DUMMYFUNCTION("REGEXREPLACE(MID(H293, SEARCH(""["", H293) + 1, SEARCH(""]"", H293) - SEARCH(""["", H293) - 1), ""\[\]"","""")"),"Palo Alto")</f>
        <v>Palo Alto</v>
      </c>
      <c r="J293" s="1">
        <v>0.0</v>
      </c>
      <c r="K293" s="1">
        <v>0.0</v>
      </c>
    </row>
    <row r="294">
      <c r="A294" s="1">
        <v>1.0</v>
      </c>
      <c r="B294" s="1">
        <v>4.0</v>
      </c>
      <c r="C294" s="1">
        <v>0.0</v>
      </c>
      <c r="D294" s="1">
        <v>0.0</v>
      </c>
      <c r="E294" s="1">
        <v>0.0</v>
      </c>
      <c r="F294" s="1">
        <v>0.0</v>
      </c>
      <c r="G294" s="2">
        <v>0.0</v>
      </c>
      <c r="H294" s="1" t="s">
        <v>106</v>
      </c>
      <c r="I294" s="1" t="str">
        <f>IFERROR(__xludf.DUMMYFUNCTION("REGEXREPLACE(MID(H294, SEARCH(""["", H294) + 1, SEARCH(""]"", H294) - SEARCH(""["", H294) - 1), ""\[\]"","""")"),"Palo Alto")</f>
        <v>Palo Alto</v>
      </c>
      <c r="J294" s="1">
        <v>0.0</v>
      </c>
      <c r="K294" s="1">
        <v>0.0</v>
      </c>
    </row>
    <row r="295">
      <c r="A295" s="1">
        <v>2.0</v>
      </c>
      <c r="B295" s="1">
        <v>8.0</v>
      </c>
      <c r="C295" s="1">
        <v>0.0</v>
      </c>
      <c r="D295" s="1">
        <v>0.0</v>
      </c>
      <c r="E295" s="1">
        <v>0.0</v>
      </c>
      <c r="F295" s="1">
        <v>0.0</v>
      </c>
      <c r="G295" s="2">
        <v>0.0</v>
      </c>
      <c r="H295" s="1" t="s">
        <v>292</v>
      </c>
      <c r="I295" s="1" t="str">
        <f>IFERROR(__xludf.DUMMYFUNCTION("REGEXREPLACE(MID(H295, SEARCH(""["", H295) + 1, SEARCH(""]"", H295) - SEARCH(""["", H295) - 1), ""\[\]"","""")"),"Palo Alto")</f>
        <v>Palo Alto</v>
      </c>
      <c r="J295" s="1">
        <v>0.0</v>
      </c>
      <c r="K295" s="1">
        <v>0.0</v>
      </c>
    </row>
    <row r="296">
      <c r="A296" s="1">
        <v>1.0</v>
      </c>
      <c r="B296" s="1">
        <v>4.0</v>
      </c>
      <c r="C296" s="1">
        <v>0.0</v>
      </c>
      <c r="D296" s="1">
        <v>0.0</v>
      </c>
      <c r="E296" s="1">
        <v>0.0</v>
      </c>
      <c r="F296" s="1">
        <v>0.0</v>
      </c>
      <c r="G296" s="2">
        <v>0.0</v>
      </c>
      <c r="H296" s="1" t="s">
        <v>269</v>
      </c>
      <c r="I296" s="1" t="str">
        <f>IFERROR(__xludf.DUMMYFUNCTION("REGEXREPLACE(MID(H296, SEARCH(""["", H296) + 1, SEARCH(""]"", H296) - SEARCH(""["", H296) - 1), ""\[\]"","""")"),"Palo Alto")</f>
        <v>Palo Alto</v>
      </c>
      <c r="J296" s="1">
        <v>0.0</v>
      </c>
      <c r="K296" s="1">
        <v>0.0</v>
      </c>
    </row>
    <row r="297">
      <c r="A297" s="1">
        <v>3.0</v>
      </c>
      <c r="B297" s="1">
        <v>12.0</v>
      </c>
      <c r="C297" s="1">
        <v>0.0</v>
      </c>
      <c r="D297" s="1">
        <v>0.0</v>
      </c>
      <c r="E297" s="1">
        <v>0.0</v>
      </c>
      <c r="F297" s="1">
        <v>0.0</v>
      </c>
      <c r="G297" s="2">
        <v>0.0</v>
      </c>
      <c r="H297" s="1" t="s">
        <v>269</v>
      </c>
      <c r="I297" s="1" t="str">
        <f>IFERROR(__xludf.DUMMYFUNCTION("REGEXREPLACE(MID(H297, SEARCH(""["", H297) + 1, SEARCH(""]"", H297) - SEARCH(""["", H297) - 1), ""\[\]"","""")"),"Palo Alto")</f>
        <v>Palo Alto</v>
      </c>
      <c r="J297" s="1">
        <v>0.0</v>
      </c>
      <c r="K297" s="1">
        <v>0.0</v>
      </c>
    </row>
    <row r="298">
      <c r="A298" s="1">
        <v>1.0</v>
      </c>
      <c r="B298" s="1">
        <v>4.0</v>
      </c>
      <c r="C298" s="1">
        <v>0.0</v>
      </c>
      <c r="D298" s="1">
        <v>0.0</v>
      </c>
      <c r="E298" s="1">
        <v>0.0</v>
      </c>
      <c r="F298" s="1">
        <v>0.0</v>
      </c>
      <c r="G298" s="2">
        <v>0.0</v>
      </c>
      <c r="H298" s="1" t="s">
        <v>269</v>
      </c>
      <c r="I298" s="1" t="str">
        <f>IFERROR(__xludf.DUMMYFUNCTION("REGEXREPLACE(MID(H298, SEARCH(""["", H298) + 1, SEARCH(""]"", H298) - SEARCH(""["", H298) - 1), ""\[\]"","""")"),"Palo Alto")</f>
        <v>Palo Alto</v>
      </c>
      <c r="J298" s="1">
        <v>0.0</v>
      </c>
      <c r="K298" s="1">
        <v>0.0</v>
      </c>
    </row>
    <row r="299">
      <c r="A299" s="1">
        <v>1.0</v>
      </c>
      <c r="B299" s="1">
        <v>4.0</v>
      </c>
      <c r="C299" s="1">
        <v>2.0</v>
      </c>
      <c r="D299" s="1">
        <v>8.0</v>
      </c>
      <c r="E299" s="1">
        <v>0.0</v>
      </c>
      <c r="F299" s="1">
        <v>0.0</v>
      </c>
      <c r="G299" s="2">
        <v>1.0</v>
      </c>
      <c r="H299" s="1" t="s">
        <v>293</v>
      </c>
      <c r="I299" s="1" t="str">
        <f>IFERROR(__xludf.DUMMYFUNCTION("REGEXREPLACE(MID(H299, SEARCH(""["", H299) + 1, SEARCH(""]"", H299) - SEARCH(""["", H299) - 1), ""\[\]"","""")"),"Palo Alto")</f>
        <v>Palo Alto</v>
      </c>
      <c r="J299" s="1">
        <v>8.0</v>
      </c>
      <c r="K299" s="1">
        <v>0.0</v>
      </c>
    </row>
    <row r="300">
      <c r="A300" s="1">
        <v>1.0</v>
      </c>
      <c r="B300" s="1">
        <v>4.0</v>
      </c>
      <c r="C300" s="1">
        <v>1.0</v>
      </c>
      <c r="D300" s="1">
        <v>4.0</v>
      </c>
      <c r="E300" s="1">
        <v>0.0</v>
      </c>
      <c r="F300" s="1">
        <v>0.0</v>
      </c>
      <c r="G300" s="2">
        <v>1.0</v>
      </c>
      <c r="H300" s="1" t="s">
        <v>293</v>
      </c>
      <c r="I300" s="1" t="str">
        <f>IFERROR(__xludf.DUMMYFUNCTION("REGEXREPLACE(MID(H300, SEARCH(""["", H300) + 1, SEARCH(""]"", H300) - SEARCH(""["", H300) - 1), ""\[\]"","""")"),"Palo Alto")</f>
        <v>Palo Alto</v>
      </c>
      <c r="J300" s="1">
        <v>4.0</v>
      </c>
      <c r="K300" s="1">
        <v>0.0</v>
      </c>
    </row>
    <row r="301">
      <c r="A301" s="1">
        <v>3.0</v>
      </c>
      <c r="B301" s="1">
        <v>12.0</v>
      </c>
      <c r="C301" s="1">
        <v>7.0</v>
      </c>
      <c r="D301" s="1">
        <v>1.33</v>
      </c>
      <c r="E301" s="1">
        <v>1.0</v>
      </c>
      <c r="F301" s="1">
        <v>0.0</v>
      </c>
      <c r="G301" s="6">
        <v>0.571</v>
      </c>
      <c r="H301" s="1" t="s">
        <v>293</v>
      </c>
      <c r="I301" s="1" t="str">
        <f>IFERROR(__xludf.DUMMYFUNCTION("REGEXREPLACE(MID(H301, SEARCH(""["", H301) + 1, SEARCH(""]"", H301) - SEARCH(""["", H301) - 1), ""\[\]"","""")"),"Palo Alto")</f>
        <v>Palo Alto</v>
      </c>
      <c r="J301" s="1">
        <v>4.0</v>
      </c>
      <c r="K301" s="1">
        <v>3.0</v>
      </c>
    </row>
    <row r="302">
      <c r="A302" s="1">
        <v>5.0</v>
      </c>
      <c r="B302" s="1">
        <v>20.0</v>
      </c>
      <c r="C302" s="1">
        <v>11.0</v>
      </c>
      <c r="D302" s="1">
        <v>6.4</v>
      </c>
      <c r="E302" s="1">
        <v>0.0</v>
      </c>
      <c r="F302" s="1">
        <v>0.0</v>
      </c>
      <c r="G302" s="6">
        <v>0.727</v>
      </c>
      <c r="H302" s="1" t="s">
        <v>285</v>
      </c>
      <c r="I302" s="1" t="str">
        <f>IFERROR(__xludf.DUMMYFUNCTION("REGEXREPLACE(MID(H302, SEARCH(""["", H302) + 1, SEARCH(""]"", H302) - SEARCH(""["", H302) - 1), ""\[\]"","""")"),"Phoenix")</f>
        <v>Phoenix</v>
      </c>
      <c r="J302" s="1">
        <v>32.0</v>
      </c>
      <c r="K302" s="1">
        <v>0.0</v>
      </c>
    </row>
    <row r="303">
      <c r="A303" s="1">
        <v>1.0</v>
      </c>
      <c r="B303" s="1">
        <v>4.0</v>
      </c>
      <c r="C303" s="1">
        <v>0.0</v>
      </c>
      <c r="D303" s="1">
        <v>0.0</v>
      </c>
      <c r="E303" s="1">
        <v>0.0</v>
      </c>
      <c r="F303" s="1">
        <v>0.0</v>
      </c>
      <c r="G303" s="2">
        <v>0.0</v>
      </c>
      <c r="H303" s="1" t="s">
        <v>246</v>
      </c>
      <c r="I303" s="1" t="str">
        <f>IFERROR(__xludf.DUMMYFUNCTION("REGEXREPLACE(MID(H303, SEARCH(""["", H303) + 1, SEARCH(""]"", H303) - SEARCH(""["", H303) - 1), ""\[\]"","""")"),"Phoenix")</f>
        <v>Phoenix</v>
      </c>
      <c r="J303" s="1">
        <v>0.0</v>
      </c>
      <c r="K303" s="1">
        <v>0.0</v>
      </c>
    </row>
    <row r="304">
      <c r="A304" s="1">
        <v>4.0</v>
      </c>
      <c r="B304" s="1">
        <v>16.0</v>
      </c>
      <c r="C304" s="1">
        <v>1.0</v>
      </c>
      <c r="D304" s="1">
        <v>1.0</v>
      </c>
      <c r="E304" s="1">
        <v>0.0</v>
      </c>
      <c r="F304" s="1">
        <v>0.0</v>
      </c>
      <c r="G304" s="2">
        <v>1.0</v>
      </c>
      <c r="H304" s="1" t="s">
        <v>295</v>
      </c>
      <c r="I304" s="1" t="str">
        <f>IFERROR(__xludf.DUMMYFUNCTION("REGEXREPLACE(MID(H304, SEARCH(""["", H304) + 1, SEARCH(""]"", H304) - SEARCH(""["", H304) - 1), ""\[\]"","""")"),"Phoenix")</f>
        <v>Phoenix</v>
      </c>
      <c r="J304" s="1">
        <v>4.0</v>
      </c>
      <c r="K304" s="1">
        <v>0.0</v>
      </c>
    </row>
    <row r="305">
      <c r="A305" s="1">
        <v>5.0</v>
      </c>
      <c r="B305" s="1">
        <v>20.0</v>
      </c>
      <c r="C305" s="1">
        <v>1.0</v>
      </c>
      <c r="D305" s="1">
        <v>0.8</v>
      </c>
      <c r="E305" s="1">
        <v>0.0</v>
      </c>
      <c r="F305" s="1">
        <v>0.0</v>
      </c>
      <c r="G305" s="2">
        <v>1.0</v>
      </c>
      <c r="H305" s="1" t="s">
        <v>286</v>
      </c>
      <c r="I305" s="1" t="str">
        <f>IFERROR(__xludf.DUMMYFUNCTION("REGEXREPLACE(MID(H305, SEARCH(""["", H305) + 1, SEARCH(""]"", H305) - SEARCH(""["", H305) - 1), ""\[\]"","""")"),"Phoenix")</f>
        <v>Phoenix</v>
      </c>
      <c r="J305" s="1">
        <v>4.0</v>
      </c>
      <c r="K305" s="1">
        <v>0.0</v>
      </c>
    </row>
    <row r="306">
      <c r="A306" s="1">
        <v>5.0</v>
      </c>
      <c r="B306" s="1">
        <v>20.0</v>
      </c>
      <c r="C306" s="1">
        <v>0.0</v>
      </c>
      <c r="D306" s="1">
        <v>0.0</v>
      </c>
      <c r="E306" s="1">
        <v>0.0</v>
      </c>
      <c r="F306" s="1">
        <v>0.0</v>
      </c>
      <c r="G306" s="2">
        <v>0.0</v>
      </c>
      <c r="H306" s="1" t="s">
        <v>297</v>
      </c>
      <c r="I306" s="1" t="str">
        <f>IFERROR(__xludf.DUMMYFUNCTION("REGEXREPLACE(MID(H306, SEARCH(""["", H306) + 1, SEARCH(""]"", H306) - SEARCH(""["", H306) - 1), ""\[\]"","""")"),"Phoenix")</f>
        <v>Phoenix</v>
      </c>
      <c r="J306" s="1">
        <v>0.0</v>
      </c>
      <c r="K306" s="1">
        <v>0.0</v>
      </c>
    </row>
    <row r="307">
      <c r="A307" s="1">
        <v>3.0</v>
      </c>
      <c r="B307" s="1">
        <v>11.0</v>
      </c>
      <c r="C307" s="1">
        <v>0.0</v>
      </c>
      <c r="D307" s="1">
        <v>0.0</v>
      </c>
      <c r="E307" s="1">
        <v>0.0</v>
      </c>
      <c r="F307" s="1">
        <v>0.0</v>
      </c>
      <c r="G307" s="2">
        <v>0.0</v>
      </c>
      <c r="H307" s="1" t="s">
        <v>298</v>
      </c>
      <c r="I307" s="1" t="str">
        <f>IFERROR(__xludf.DUMMYFUNCTION("REGEXREPLACE(MID(H307, SEARCH(""["", H307) + 1, SEARCH(""]"", H307) - SEARCH(""["", H307) - 1), ""\[\]"","""")"),"Plano West")</f>
        <v>Plano West</v>
      </c>
      <c r="J307" s="1">
        <v>0.0</v>
      </c>
      <c r="K307" s="1">
        <v>0.0</v>
      </c>
    </row>
    <row r="308">
      <c r="A308" s="1">
        <v>4.0</v>
      </c>
      <c r="B308" s="1">
        <v>15.0</v>
      </c>
      <c r="C308" s="1">
        <v>2.0</v>
      </c>
      <c r="D308" s="1">
        <v>2.0</v>
      </c>
      <c r="E308" s="1">
        <v>0.0</v>
      </c>
      <c r="F308" s="1">
        <v>0.0</v>
      </c>
      <c r="G308" s="2">
        <v>1.0</v>
      </c>
      <c r="H308" s="1" t="s">
        <v>296</v>
      </c>
      <c r="I308" s="1" t="str">
        <f>IFERROR(__xludf.DUMMYFUNCTION("REGEXREPLACE(MID(H308, SEARCH(""["", H308) + 1, SEARCH(""]"", H308) - SEARCH(""["", H308) - 1), ""\[\]"","""")"),"Plano West")</f>
        <v>Plano West</v>
      </c>
      <c r="J308" s="1">
        <v>8.0</v>
      </c>
      <c r="K308" s="1">
        <v>0.0</v>
      </c>
    </row>
    <row r="309">
      <c r="A309" s="1">
        <v>4.0</v>
      </c>
      <c r="B309" s="1">
        <v>15.0</v>
      </c>
      <c r="C309" s="1">
        <v>0.0</v>
      </c>
      <c r="D309" s="1">
        <v>0.0</v>
      </c>
      <c r="E309" s="1">
        <v>0.0</v>
      </c>
      <c r="F309" s="1">
        <v>0.0</v>
      </c>
      <c r="G309" s="2">
        <v>0.0</v>
      </c>
      <c r="H309" s="1" t="s">
        <v>175</v>
      </c>
      <c r="I309" s="1" t="str">
        <f>IFERROR(__xludf.DUMMYFUNCTION("REGEXREPLACE(MID(H309, SEARCH(""["", H309) + 1, SEARCH(""]"", H309) - SEARCH(""["", H309) - 1), ""\[\]"","""")"),"Plano West")</f>
        <v>Plano West</v>
      </c>
      <c r="J309" s="1">
        <v>0.0</v>
      </c>
      <c r="K309" s="1">
        <v>0.0</v>
      </c>
    </row>
    <row r="310">
      <c r="A310" s="1">
        <v>4.0</v>
      </c>
      <c r="B310" s="1">
        <v>15.0</v>
      </c>
      <c r="C310" s="1">
        <v>11.0</v>
      </c>
      <c r="D310" s="1">
        <v>5.0</v>
      </c>
      <c r="E310" s="1">
        <v>0.5</v>
      </c>
      <c r="F310" s="1">
        <v>0.0</v>
      </c>
      <c r="G310" s="6">
        <v>0.636</v>
      </c>
      <c r="H310" s="1" t="s">
        <v>300</v>
      </c>
      <c r="I310" s="1" t="str">
        <f>IFERROR(__xludf.DUMMYFUNCTION("REGEXREPLACE(MID(H310, SEARCH(""["", H310) + 1, SEARCH(""]"", H310) - SEARCH(""["", H310) - 1), ""\[\]"","""")"),"Plano West")</f>
        <v>Plano West</v>
      </c>
      <c r="J310" s="1">
        <v>20.0</v>
      </c>
      <c r="K310" s="1">
        <v>2.0</v>
      </c>
    </row>
    <row r="311">
      <c r="A311" s="1">
        <v>4.0</v>
      </c>
      <c r="B311" s="1">
        <v>16.0</v>
      </c>
      <c r="C311" s="1">
        <v>0.0</v>
      </c>
      <c r="D311" s="1">
        <v>0.0</v>
      </c>
      <c r="E311" s="1">
        <v>0.0</v>
      </c>
      <c r="F311" s="1">
        <v>0.0</v>
      </c>
      <c r="G311" s="2">
        <v>0.0</v>
      </c>
      <c r="H311" s="1" t="s">
        <v>271</v>
      </c>
      <c r="I311" s="1" t="str">
        <f>IFERROR(__xludf.DUMMYFUNCTION("REGEXREPLACE(MID(H311, SEARCH(""["", H311) + 1, SEARCH(""]"", H311) - SEARCH(""["", H311) - 1), ""\[\]"","""")"),"Princeton HS")</f>
        <v>Princeton HS</v>
      </c>
      <c r="J311" s="1">
        <v>0.0</v>
      </c>
      <c r="K311" s="1">
        <v>0.0</v>
      </c>
    </row>
    <row r="312">
      <c r="A312" s="1">
        <v>1.0</v>
      </c>
      <c r="B312" s="1">
        <v>4.0</v>
      </c>
      <c r="C312" s="1">
        <v>0.0</v>
      </c>
      <c r="D312" s="1">
        <v>0.0</v>
      </c>
      <c r="E312" s="1">
        <v>0.0</v>
      </c>
      <c r="F312" s="1">
        <v>0.0</v>
      </c>
      <c r="G312" s="2">
        <v>0.0</v>
      </c>
      <c r="H312" s="1" t="s">
        <v>271</v>
      </c>
      <c r="I312" s="1" t="str">
        <f>IFERROR(__xludf.DUMMYFUNCTION("REGEXREPLACE(MID(H312, SEARCH(""["", H312) + 1, SEARCH(""]"", H312) - SEARCH(""["", H312) - 1), ""\[\]"","""")"),"Princeton HS")</f>
        <v>Princeton HS</v>
      </c>
      <c r="J312" s="1">
        <v>0.0</v>
      </c>
      <c r="K312" s="1">
        <v>0.0</v>
      </c>
    </row>
    <row r="313">
      <c r="A313" s="1">
        <v>4.0</v>
      </c>
      <c r="B313" s="1">
        <v>16.0</v>
      </c>
      <c r="C313" s="1">
        <v>2.0</v>
      </c>
      <c r="D313" s="1">
        <v>1.0</v>
      </c>
      <c r="E313" s="1">
        <v>0.0</v>
      </c>
      <c r="F313" s="1">
        <v>0.0</v>
      </c>
      <c r="G313" s="2">
        <v>0.5</v>
      </c>
      <c r="H313" s="1" t="s">
        <v>249</v>
      </c>
      <c r="I313" s="1" t="str">
        <f>IFERROR(__xludf.DUMMYFUNCTION("REGEXREPLACE(MID(H313, SEARCH(""["", H313) + 1, SEARCH(""]"", H313) - SEARCH(""["", H313) - 1), ""\[\]"","""")"),"Princeton HS")</f>
        <v>Princeton HS</v>
      </c>
      <c r="J313" s="1">
        <v>4.0</v>
      </c>
      <c r="K313" s="1">
        <v>0.0</v>
      </c>
    </row>
    <row r="314">
      <c r="A314" s="1">
        <v>1.0</v>
      </c>
      <c r="B314" s="1">
        <v>4.0</v>
      </c>
      <c r="C314" s="1">
        <v>1.0</v>
      </c>
      <c r="D314" s="1">
        <v>0.0</v>
      </c>
      <c r="E314" s="1">
        <v>0.0</v>
      </c>
      <c r="F314" s="1">
        <v>0.0</v>
      </c>
      <c r="G314" s="2">
        <v>0.0</v>
      </c>
      <c r="H314" s="1" t="s">
        <v>249</v>
      </c>
      <c r="I314" s="1" t="str">
        <f>IFERROR(__xludf.DUMMYFUNCTION("REGEXREPLACE(MID(H314, SEARCH(""["", H314) + 1, SEARCH(""]"", H314) - SEARCH(""["", H314) - 1), ""\[\]"","""")"),"Princeton HS")</f>
        <v>Princeton HS</v>
      </c>
      <c r="J314" s="1">
        <v>0.0</v>
      </c>
      <c r="K314" s="1">
        <v>0.0</v>
      </c>
    </row>
    <row r="315">
      <c r="A315" s="1">
        <v>4.0</v>
      </c>
      <c r="B315" s="1">
        <v>16.0</v>
      </c>
      <c r="C315" s="1">
        <v>5.0</v>
      </c>
      <c r="D315" s="1">
        <v>3.0</v>
      </c>
      <c r="E315" s="1">
        <v>0.25</v>
      </c>
      <c r="F315" s="1">
        <v>0.0</v>
      </c>
      <c r="G315" s="2">
        <v>0.8</v>
      </c>
      <c r="H315" s="1" t="s">
        <v>272</v>
      </c>
      <c r="I315" s="1" t="str">
        <f>IFERROR(__xludf.DUMMYFUNCTION("REGEXREPLACE(MID(H315, SEARCH(""["", H315) + 1, SEARCH(""]"", H315) - SEARCH(""["", H315) - 1), ""\[\]"","""")"),"Princeton HS")</f>
        <v>Princeton HS</v>
      </c>
      <c r="J315" s="1">
        <v>12.0</v>
      </c>
      <c r="K315" s="1">
        <v>1.0</v>
      </c>
    </row>
    <row r="316">
      <c r="A316" s="1">
        <v>1.0</v>
      </c>
      <c r="B316" s="1">
        <v>4.0</v>
      </c>
      <c r="C316" s="1">
        <v>0.0</v>
      </c>
      <c r="D316" s="1">
        <v>0.0</v>
      </c>
      <c r="E316" s="1">
        <v>0.0</v>
      </c>
      <c r="F316" s="1">
        <v>0.0</v>
      </c>
      <c r="G316" s="2">
        <v>0.0</v>
      </c>
      <c r="H316" s="1" t="s">
        <v>272</v>
      </c>
      <c r="I316" s="1" t="str">
        <f>IFERROR(__xludf.DUMMYFUNCTION("REGEXREPLACE(MID(H316, SEARCH(""["", H316) + 1, SEARCH(""]"", H316) - SEARCH(""["", H316) - 1), ""\[\]"","""")"),"Princeton HS")</f>
        <v>Princeton HS</v>
      </c>
      <c r="J316" s="1">
        <v>0.0</v>
      </c>
      <c r="K316" s="1">
        <v>0.0</v>
      </c>
    </row>
    <row r="317">
      <c r="A317" s="1">
        <v>4.0</v>
      </c>
      <c r="B317" s="1">
        <v>16.0</v>
      </c>
      <c r="C317" s="1">
        <v>7.0</v>
      </c>
      <c r="D317" s="1">
        <v>2.0</v>
      </c>
      <c r="E317" s="1">
        <v>0.0</v>
      </c>
      <c r="F317" s="1">
        <v>0.0</v>
      </c>
      <c r="G317" s="6">
        <v>0.286</v>
      </c>
      <c r="H317" s="1" t="s">
        <v>138</v>
      </c>
      <c r="I317" s="1" t="str">
        <f>IFERROR(__xludf.DUMMYFUNCTION("REGEXREPLACE(MID(H317, SEARCH(""["", H317) + 1, SEARCH(""]"", H317) - SEARCH(""["", H317) - 1), ""\[\]"","""")"),"Research Triangle HS")</f>
        <v>Research Triangle HS</v>
      </c>
      <c r="J317" s="1">
        <v>8.0</v>
      </c>
      <c r="K317" s="1">
        <v>0.0</v>
      </c>
    </row>
    <row r="318">
      <c r="A318" s="1">
        <v>1.0</v>
      </c>
      <c r="B318" s="1">
        <v>4.0</v>
      </c>
      <c r="C318" s="1">
        <v>1.0</v>
      </c>
      <c r="D318" s="1">
        <v>4.0</v>
      </c>
      <c r="E318" s="1">
        <v>0.0</v>
      </c>
      <c r="F318" s="1">
        <v>0.0</v>
      </c>
      <c r="G318" s="2">
        <v>1.0</v>
      </c>
      <c r="H318" s="3" t="s">
        <v>138</v>
      </c>
      <c r="I318" s="1" t="str">
        <f>IFERROR(__xludf.DUMMYFUNCTION("REGEXREPLACE(MID(H318, SEARCH(""["", H318) + 1, SEARCH(""]"", H318) - SEARCH(""["", H318) - 1), ""\[\]"","""")"),"Research Triangle HS")</f>
        <v>Research Triangle HS</v>
      </c>
      <c r="J318" s="1">
        <v>4.0</v>
      </c>
      <c r="K318" s="1">
        <v>0.0</v>
      </c>
    </row>
    <row r="319">
      <c r="A319" s="1">
        <v>2.0</v>
      </c>
      <c r="B319" s="1">
        <v>8.0</v>
      </c>
      <c r="C319" s="1">
        <v>0.0</v>
      </c>
      <c r="D319" s="1">
        <v>0.0</v>
      </c>
      <c r="E319" s="1">
        <v>0.0</v>
      </c>
      <c r="F319" s="1">
        <v>0.0</v>
      </c>
      <c r="G319" s="2">
        <v>0.0</v>
      </c>
      <c r="H319" s="1" t="s">
        <v>303</v>
      </c>
      <c r="I319" s="1" t="str">
        <f>IFERROR(__xludf.DUMMYFUNCTION("REGEXREPLACE(MID(H319, SEARCH(""["", H319) + 1, SEARCH(""]"", H319) - SEARCH(""["", H319) - 1), ""\[\]"","""")"),"Research Triangle HS")</f>
        <v>Research Triangle HS</v>
      </c>
      <c r="J319" s="1">
        <v>0.0</v>
      </c>
      <c r="K319" s="1">
        <v>0.0</v>
      </c>
    </row>
    <row r="320">
      <c r="A320" s="1">
        <v>4.0</v>
      </c>
      <c r="B320" s="1">
        <v>16.0</v>
      </c>
      <c r="C320" s="1">
        <v>0.0</v>
      </c>
      <c r="D320" s="1">
        <v>0.0</v>
      </c>
      <c r="E320" s="1">
        <v>0.0</v>
      </c>
      <c r="F320" s="1">
        <v>0.0</v>
      </c>
      <c r="G320" s="2">
        <v>0.0</v>
      </c>
      <c r="H320" s="1" t="s">
        <v>304</v>
      </c>
      <c r="I320" s="1" t="str">
        <f>IFERROR(__xludf.DUMMYFUNCTION("REGEXREPLACE(MID(H320, SEARCH(""["", H320) + 1, SEARCH(""]"", H320) - SEARCH(""["", H320) - 1), ""\[\]"","""")"),"Research Triangle HS")</f>
        <v>Research Triangle HS</v>
      </c>
      <c r="J320" s="1">
        <v>0.0</v>
      </c>
      <c r="K320" s="1">
        <v>0.0</v>
      </c>
    </row>
    <row r="321">
      <c r="A321" s="1">
        <v>1.0</v>
      </c>
      <c r="B321" s="1">
        <v>4.0</v>
      </c>
      <c r="C321" s="1">
        <v>0.0</v>
      </c>
      <c r="D321" s="1">
        <v>0.0</v>
      </c>
      <c r="E321" s="1">
        <v>0.0</v>
      </c>
      <c r="F321" s="1">
        <v>0.0</v>
      </c>
      <c r="G321" s="2">
        <v>0.0</v>
      </c>
      <c r="H321" s="1" t="s">
        <v>305</v>
      </c>
      <c r="I321" s="1" t="str">
        <f>IFERROR(__xludf.DUMMYFUNCTION("REGEXREPLACE(MID(H321, SEARCH(""["", H321) + 1, SEARCH(""]"", H321) - SEARCH(""["", H321) - 1), ""\[\]"","""")"),"Research Triangle HS")</f>
        <v>Research Triangle HS</v>
      </c>
      <c r="J321" s="1">
        <v>0.0</v>
      </c>
      <c r="K321" s="1">
        <v>0.0</v>
      </c>
    </row>
    <row r="322">
      <c r="A322" s="1">
        <v>1.0</v>
      </c>
      <c r="B322" s="1">
        <v>4.0</v>
      </c>
      <c r="C322" s="1">
        <v>2.0</v>
      </c>
      <c r="D322" s="1">
        <v>4.0</v>
      </c>
      <c r="E322" s="1">
        <v>0.0</v>
      </c>
      <c r="F322" s="1">
        <v>0.0</v>
      </c>
      <c r="G322" s="2">
        <v>0.5</v>
      </c>
      <c r="H322" s="1" t="s">
        <v>306</v>
      </c>
      <c r="I322" s="1" t="str">
        <f>IFERROR(__xludf.DUMMYFUNCTION("REGEXREPLACE(MID(H322, SEARCH(""["", H322) + 1, SEARCH(""]"", H322) - SEARCH(""["", H322) - 1), ""\[\]"","""")"),"SciTech Dragons")</f>
        <v>SciTech Dragons</v>
      </c>
      <c r="J322" s="1">
        <v>4.0</v>
      </c>
      <c r="K322" s="1">
        <v>0.0</v>
      </c>
    </row>
    <row r="323">
      <c r="A323" s="1">
        <v>1.0</v>
      </c>
      <c r="B323" s="1">
        <v>3.0</v>
      </c>
      <c r="C323" s="1">
        <v>1.0</v>
      </c>
      <c r="D323" s="1">
        <v>4.0</v>
      </c>
      <c r="E323" s="1">
        <v>0.0</v>
      </c>
      <c r="F323" s="1">
        <v>0.0</v>
      </c>
      <c r="G323" s="2">
        <v>1.0</v>
      </c>
      <c r="H323" s="1" t="s">
        <v>306</v>
      </c>
      <c r="I323" s="1" t="str">
        <f>IFERROR(__xludf.DUMMYFUNCTION("REGEXREPLACE(MID(H323, SEARCH(""["", H323) + 1, SEARCH(""]"", H323) - SEARCH(""["", H323) - 1), ""\[\]"","""")"),"SciTech Dragons")</f>
        <v>SciTech Dragons</v>
      </c>
      <c r="J323" s="1">
        <v>4.0</v>
      </c>
      <c r="K323" s="1">
        <v>0.0</v>
      </c>
    </row>
    <row r="324">
      <c r="A324" s="1">
        <v>1.0</v>
      </c>
      <c r="B324" s="1">
        <v>4.0</v>
      </c>
      <c r="C324" s="1">
        <v>1.0</v>
      </c>
      <c r="D324" s="1">
        <v>4.0</v>
      </c>
      <c r="E324" s="1">
        <v>0.0</v>
      </c>
      <c r="F324" s="1">
        <v>0.0</v>
      </c>
      <c r="G324" s="2">
        <v>1.0</v>
      </c>
      <c r="H324" s="1" t="s">
        <v>306</v>
      </c>
      <c r="I324" s="1" t="str">
        <f>IFERROR(__xludf.DUMMYFUNCTION("REGEXREPLACE(MID(H324, SEARCH(""["", H324) + 1, SEARCH(""]"", H324) - SEARCH(""["", H324) - 1), ""\[\]"","""")"),"SciTech Dragons")</f>
        <v>SciTech Dragons</v>
      </c>
      <c r="J324" s="1">
        <v>4.0</v>
      </c>
      <c r="K324" s="1">
        <v>0.0</v>
      </c>
    </row>
    <row r="325">
      <c r="A325" s="1">
        <v>1.0</v>
      </c>
      <c r="B325" s="1">
        <v>4.0</v>
      </c>
      <c r="C325" s="1">
        <v>1.0</v>
      </c>
      <c r="D325" s="1">
        <v>0.0</v>
      </c>
      <c r="E325" s="1">
        <v>0.0</v>
      </c>
      <c r="F325" s="1">
        <v>0.0</v>
      </c>
      <c r="G325" s="2">
        <v>0.0</v>
      </c>
      <c r="H325" s="1" t="s">
        <v>306</v>
      </c>
      <c r="I325" s="1" t="str">
        <f>IFERROR(__xludf.DUMMYFUNCTION("REGEXREPLACE(MID(H325, SEARCH(""["", H325) + 1, SEARCH(""]"", H325) - SEARCH(""["", H325) - 1), ""\[\]"","""")"),"SciTech Dragons")</f>
        <v>SciTech Dragons</v>
      </c>
      <c r="J325" s="1">
        <v>0.0</v>
      </c>
      <c r="K325" s="1">
        <v>0.0</v>
      </c>
    </row>
    <row r="326">
      <c r="A326" s="1">
        <v>1.0</v>
      </c>
      <c r="B326" s="1">
        <v>3.0</v>
      </c>
      <c r="C326" s="1">
        <v>2.0</v>
      </c>
      <c r="D326" s="1">
        <v>8.0</v>
      </c>
      <c r="E326" s="1">
        <v>0.0</v>
      </c>
      <c r="F326" s="1">
        <v>0.0</v>
      </c>
      <c r="G326" s="2">
        <v>1.0</v>
      </c>
      <c r="H326" s="1" t="s">
        <v>141</v>
      </c>
      <c r="I326" s="1" t="str">
        <f>IFERROR(__xludf.DUMMYFUNCTION("REGEXREPLACE(MID(H326, SEARCH(""["", H326) + 1, SEARCH(""]"", H326) - SEARCH(""["", H326) - 1), ""\[\]"","""")"),"SciTech Dragons")</f>
        <v>SciTech Dragons</v>
      </c>
      <c r="J326" s="1">
        <v>8.0</v>
      </c>
      <c r="K326" s="1">
        <v>0.0</v>
      </c>
    </row>
    <row r="327">
      <c r="A327" s="1">
        <v>1.0</v>
      </c>
      <c r="B327" s="1">
        <v>4.0</v>
      </c>
      <c r="C327" s="1">
        <v>1.0</v>
      </c>
      <c r="D327" s="1">
        <v>4.0</v>
      </c>
      <c r="E327" s="1">
        <v>0.0</v>
      </c>
      <c r="F327" s="1">
        <v>0.0</v>
      </c>
      <c r="G327" s="2">
        <v>1.0</v>
      </c>
      <c r="H327" s="1" t="s">
        <v>141</v>
      </c>
      <c r="I327" s="1" t="str">
        <f>IFERROR(__xludf.DUMMYFUNCTION("REGEXREPLACE(MID(H327, SEARCH(""["", H327) + 1, SEARCH(""]"", H327) - SEARCH(""["", H327) - 1), ""\[\]"","""")"),"SciTech Dragons")</f>
        <v>SciTech Dragons</v>
      </c>
      <c r="J327" s="1">
        <v>4.0</v>
      </c>
      <c r="K327" s="1">
        <v>0.0</v>
      </c>
    </row>
    <row r="328">
      <c r="A328" s="1">
        <v>1.0</v>
      </c>
      <c r="B328" s="1">
        <v>4.0</v>
      </c>
      <c r="C328" s="1">
        <v>0.0</v>
      </c>
      <c r="D328" s="1">
        <v>0.0</v>
      </c>
      <c r="E328" s="1">
        <v>0.0</v>
      </c>
      <c r="F328" s="1">
        <v>0.0</v>
      </c>
      <c r="G328" s="2">
        <v>0.0</v>
      </c>
      <c r="H328" s="1" t="s">
        <v>141</v>
      </c>
      <c r="I328" s="1" t="str">
        <f>IFERROR(__xludf.DUMMYFUNCTION("REGEXREPLACE(MID(H328, SEARCH(""["", H328) + 1, SEARCH(""]"", H328) - SEARCH(""["", H328) - 1), ""\[\]"","""")"),"SciTech Dragons")</f>
        <v>SciTech Dragons</v>
      </c>
      <c r="J328" s="1">
        <v>0.0</v>
      </c>
      <c r="K328" s="1">
        <v>0.0</v>
      </c>
    </row>
    <row r="329">
      <c r="A329" s="1">
        <v>1.0</v>
      </c>
      <c r="B329" s="1">
        <v>4.0</v>
      </c>
      <c r="C329" s="1">
        <v>0.0</v>
      </c>
      <c r="D329" s="1">
        <v>0.0</v>
      </c>
      <c r="E329" s="1">
        <v>0.0</v>
      </c>
      <c r="F329" s="1">
        <v>0.0</v>
      </c>
      <c r="G329" s="2">
        <v>0.0</v>
      </c>
      <c r="H329" s="1" t="s">
        <v>141</v>
      </c>
      <c r="I329" s="1" t="str">
        <f>IFERROR(__xludf.DUMMYFUNCTION("REGEXREPLACE(MID(H329, SEARCH(""["", H329) + 1, SEARCH(""]"", H329) - SEARCH(""["", H329) - 1), ""\[\]"","""")"),"SciTech Dragons")</f>
        <v>SciTech Dragons</v>
      </c>
      <c r="J329" s="1">
        <v>0.0</v>
      </c>
      <c r="K329" s="1">
        <v>0.0</v>
      </c>
    </row>
    <row r="330">
      <c r="A330" s="1">
        <v>1.0</v>
      </c>
      <c r="B330" s="1">
        <v>4.0</v>
      </c>
      <c r="C330" s="1">
        <v>0.0</v>
      </c>
      <c r="D330" s="1">
        <v>0.0</v>
      </c>
      <c r="E330" s="1">
        <v>0.0</v>
      </c>
      <c r="F330" s="1">
        <v>0.0</v>
      </c>
      <c r="G330" s="2">
        <v>0.0</v>
      </c>
      <c r="H330" s="1" t="s">
        <v>308</v>
      </c>
      <c r="I330" s="1" t="str">
        <f>IFERROR(__xludf.DUMMYFUNCTION("REGEXREPLACE(MID(H330, SEARCH(""["", H330) + 1, SEARCH(""]"", H330) - SEARCH(""["", H330) - 1), ""\[\]"","""")"),"SciTech Dragons")</f>
        <v>SciTech Dragons</v>
      </c>
      <c r="J330" s="1">
        <v>0.0</v>
      </c>
      <c r="K330" s="1">
        <v>0.0</v>
      </c>
    </row>
    <row r="331">
      <c r="A331" s="1">
        <v>1.0</v>
      </c>
      <c r="B331" s="1">
        <v>3.0</v>
      </c>
      <c r="C331" s="1">
        <v>0.0</v>
      </c>
      <c r="D331" s="1">
        <v>0.0</v>
      </c>
      <c r="E331" s="1">
        <v>0.0</v>
      </c>
      <c r="F331" s="1">
        <v>0.0</v>
      </c>
      <c r="G331" s="2">
        <v>0.0</v>
      </c>
      <c r="H331" s="1" t="s">
        <v>308</v>
      </c>
      <c r="I331" s="1" t="str">
        <f>IFERROR(__xludf.DUMMYFUNCTION("REGEXREPLACE(MID(H331, SEARCH(""["", H331) + 1, SEARCH(""]"", H331) - SEARCH(""["", H331) - 1), ""\[\]"","""")"),"SciTech Dragons")</f>
        <v>SciTech Dragons</v>
      </c>
      <c r="J331" s="1">
        <v>0.0</v>
      </c>
      <c r="K331" s="1">
        <v>0.0</v>
      </c>
    </row>
    <row r="332">
      <c r="A332" s="1">
        <v>1.0</v>
      </c>
      <c r="B332" s="1">
        <v>4.0</v>
      </c>
      <c r="C332" s="1">
        <v>0.0</v>
      </c>
      <c r="D332" s="1">
        <v>0.0</v>
      </c>
      <c r="E332" s="1">
        <v>0.0</v>
      </c>
      <c r="F332" s="1">
        <v>0.0</v>
      </c>
      <c r="G332" s="2">
        <v>0.0</v>
      </c>
      <c r="H332" s="1" t="s">
        <v>308</v>
      </c>
      <c r="I332" s="1" t="str">
        <f>IFERROR(__xludf.DUMMYFUNCTION("REGEXREPLACE(MID(H332, SEARCH(""["", H332) + 1, SEARCH(""]"", H332) - SEARCH(""["", H332) - 1), ""\[\]"","""")"),"SciTech Dragons")</f>
        <v>SciTech Dragons</v>
      </c>
      <c r="J332" s="1">
        <v>0.0</v>
      </c>
      <c r="K332" s="1">
        <v>0.0</v>
      </c>
    </row>
    <row r="333">
      <c r="A333" s="1">
        <v>1.0</v>
      </c>
      <c r="B333" s="1">
        <v>3.0</v>
      </c>
      <c r="C333" s="1">
        <v>0.0</v>
      </c>
      <c r="D333" s="1">
        <v>0.0</v>
      </c>
      <c r="E333" s="1">
        <v>0.0</v>
      </c>
      <c r="F333" s="1">
        <v>0.0</v>
      </c>
      <c r="G333" s="2">
        <v>0.0</v>
      </c>
      <c r="H333" s="1" t="s">
        <v>309</v>
      </c>
      <c r="I333" s="1" t="str">
        <f>IFERROR(__xludf.DUMMYFUNCTION("REGEXREPLACE(MID(H333, SEARCH(""["", H333) + 1, SEARCH(""]"", H333) - SEARCH(""["", H333) - 1), ""\[\]"","""")"),"SciTech Dragons")</f>
        <v>SciTech Dragons</v>
      </c>
      <c r="J333" s="1">
        <v>0.0</v>
      </c>
      <c r="K333" s="1">
        <v>0.0</v>
      </c>
    </row>
    <row r="334">
      <c r="A334" s="1">
        <v>1.0</v>
      </c>
      <c r="B334" s="1">
        <v>4.0</v>
      </c>
      <c r="C334" s="1">
        <v>0.0</v>
      </c>
      <c r="D334" s="1">
        <v>0.0</v>
      </c>
      <c r="E334" s="1">
        <v>0.0</v>
      </c>
      <c r="F334" s="1">
        <v>0.0</v>
      </c>
      <c r="G334" s="2">
        <v>0.0</v>
      </c>
      <c r="H334" s="1" t="s">
        <v>309</v>
      </c>
      <c r="I334" s="1" t="str">
        <f>IFERROR(__xludf.DUMMYFUNCTION("REGEXREPLACE(MID(H334, SEARCH(""["", H334) + 1, SEARCH(""]"", H334) - SEARCH(""["", H334) - 1), ""\[\]"","""")"),"SciTech Dragons")</f>
        <v>SciTech Dragons</v>
      </c>
      <c r="J334" s="1">
        <v>0.0</v>
      </c>
      <c r="K334" s="1">
        <v>0.0</v>
      </c>
    </row>
    <row r="335">
      <c r="A335" s="1">
        <v>1.0</v>
      </c>
      <c r="B335" s="1">
        <v>4.0</v>
      </c>
      <c r="C335" s="1">
        <v>0.0</v>
      </c>
      <c r="D335" s="1">
        <v>0.0</v>
      </c>
      <c r="E335" s="1">
        <v>0.0</v>
      </c>
      <c r="F335" s="1">
        <v>0.0</v>
      </c>
      <c r="G335" s="2">
        <v>0.0</v>
      </c>
      <c r="H335" s="1" t="s">
        <v>310</v>
      </c>
      <c r="I335" s="1" t="str">
        <f>IFERROR(__xludf.DUMMYFUNCTION("REGEXREPLACE(MID(H335, SEARCH(""["", H335) + 1, SEARCH(""]"", H335) - SEARCH(""["", H335) - 1), ""\[\]"","""")"),"SciTech Dragons")</f>
        <v>SciTech Dragons</v>
      </c>
      <c r="J335" s="1">
        <v>0.0</v>
      </c>
      <c r="K335" s="1">
        <v>0.0</v>
      </c>
    </row>
    <row r="336">
      <c r="A336" s="1">
        <v>1.0</v>
      </c>
      <c r="B336" s="1">
        <v>4.0</v>
      </c>
      <c r="C336" s="1">
        <v>0.0</v>
      </c>
      <c r="D336" s="1">
        <v>0.0</v>
      </c>
      <c r="E336" s="1">
        <v>0.0</v>
      </c>
      <c r="F336" s="1">
        <v>0.0</v>
      </c>
      <c r="G336" s="2">
        <v>0.0</v>
      </c>
      <c r="H336" s="1" t="s">
        <v>310</v>
      </c>
      <c r="I336" s="1" t="str">
        <f>IFERROR(__xludf.DUMMYFUNCTION("REGEXREPLACE(MID(H336, SEARCH(""["", H336) + 1, SEARCH(""]"", H336) - SEARCH(""["", H336) - 1), ""\[\]"","""")"),"SciTech Dragons")</f>
        <v>SciTech Dragons</v>
      </c>
      <c r="J336" s="1">
        <v>0.0</v>
      </c>
      <c r="K336" s="1">
        <v>0.0</v>
      </c>
    </row>
    <row r="337">
      <c r="A337" s="1">
        <v>1.0</v>
      </c>
      <c r="B337" s="1">
        <v>4.0</v>
      </c>
      <c r="C337" s="1">
        <v>0.0</v>
      </c>
      <c r="D337" s="1">
        <v>0.0</v>
      </c>
      <c r="E337" s="1">
        <v>0.0</v>
      </c>
      <c r="F337" s="1">
        <v>0.0</v>
      </c>
      <c r="G337" s="2">
        <v>0.0</v>
      </c>
      <c r="H337" s="1" t="s">
        <v>252</v>
      </c>
      <c r="I337" s="1" t="str">
        <f>IFERROR(__xludf.DUMMYFUNCTION("REGEXREPLACE(MID(H337, SEARCH(""["", H337) + 1, SEARCH(""]"", H337) - SEARCH(""["", H337) - 1), ""\[\]"","""")"),"Seven Lakes")</f>
        <v>Seven Lakes</v>
      </c>
      <c r="J337" s="1">
        <v>0.0</v>
      </c>
      <c r="K337" s="1">
        <v>0.0</v>
      </c>
    </row>
    <row r="338">
      <c r="A338" s="1">
        <v>2.0</v>
      </c>
      <c r="B338" s="1">
        <v>8.0</v>
      </c>
      <c r="C338" s="1">
        <v>0.0</v>
      </c>
      <c r="D338" s="1">
        <v>0.0</v>
      </c>
      <c r="E338" s="1">
        <v>0.0</v>
      </c>
      <c r="F338" s="1">
        <v>0.0</v>
      </c>
      <c r="G338" s="2">
        <v>0.0</v>
      </c>
      <c r="H338" s="1" t="s">
        <v>252</v>
      </c>
      <c r="I338" s="1" t="str">
        <f>IFERROR(__xludf.DUMMYFUNCTION("REGEXREPLACE(MID(H338, SEARCH(""["", H338) + 1, SEARCH(""]"", H338) - SEARCH(""["", H338) - 1), ""\[\]"","""")"),"Seven Lakes")</f>
        <v>Seven Lakes</v>
      </c>
      <c r="J338" s="1">
        <v>0.0</v>
      </c>
      <c r="K338" s="1">
        <v>0.0</v>
      </c>
    </row>
    <row r="339">
      <c r="A339" s="1">
        <v>3.0</v>
      </c>
      <c r="B339" s="1">
        <v>12.0</v>
      </c>
      <c r="C339" s="1">
        <v>0.0</v>
      </c>
      <c r="D339" s="1">
        <v>0.0</v>
      </c>
      <c r="E339" s="1">
        <v>0.0</v>
      </c>
      <c r="F339" s="1">
        <v>0.0</v>
      </c>
      <c r="G339" s="2">
        <v>0.0</v>
      </c>
      <c r="H339" s="1" t="s">
        <v>274</v>
      </c>
      <c r="I339" s="1" t="str">
        <f>IFERROR(__xludf.DUMMYFUNCTION("REGEXREPLACE(MID(H339, SEARCH(""["", H339) + 1, SEARCH(""]"", H339) - SEARCH(""["", H339) - 1), ""\[\]"","""")"),"Seven Lakes")</f>
        <v>Seven Lakes</v>
      </c>
      <c r="J339" s="1">
        <v>0.0</v>
      </c>
      <c r="K339" s="1">
        <v>0.0</v>
      </c>
    </row>
    <row r="340">
      <c r="A340" s="1">
        <v>2.0</v>
      </c>
      <c r="B340" s="1">
        <v>8.0</v>
      </c>
      <c r="C340" s="1">
        <v>0.0</v>
      </c>
      <c r="D340" s="1">
        <v>0.0</v>
      </c>
      <c r="E340" s="1">
        <v>0.0</v>
      </c>
      <c r="F340" s="1">
        <v>0.0</v>
      </c>
      <c r="G340" s="2">
        <v>0.0</v>
      </c>
      <c r="H340" s="1" t="s">
        <v>274</v>
      </c>
      <c r="I340" s="1" t="str">
        <f>IFERROR(__xludf.DUMMYFUNCTION("REGEXREPLACE(MID(H340, SEARCH(""["", H340) + 1, SEARCH(""]"", H340) - SEARCH(""["", H340) - 1), ""\[\]"","""")"),"Seven Lakes")</f>
        <v>Seven Lakes</v>
      </c>
      <c r="J340" s="1">
        <v>0.0</v>
      </c>
      <c r="K340" s="1">
        <v>0.0</v>
      </c>
    </row>
    <row r="341">
      <c r="A341" s="1">
        <v>2.0</v>
      </c>
      <c r="B341" s="1">
        <v>8.0</v>
      </c>
      <c r="C341" s="1">
        <v>7.0</v>
      </c>
      <c r="D341" s="1">
        <v>10.0</v>
      </c>
      <c r="E341" s="1">
        <v>0.5</v>
      </c>
      <c r="F341" s="1">
        <v>0.0</v>
      </c>
      <c r="G341" s="6">
        <v>0.857</v>
      </c>
      <c r="H341" s="1" t="s">
        <v>230</v>
      </c>
      <c r="I341" s="1" t="str">
        <f>IFERROR(__xludf.DUMMYFUNCTION("REGEXREPLACE(MID(H341, SEARCH(""["", H341) + 1, SEARCH(""]"", H341) - SEARCH(""["", H341) - 1), ""\[\]"","""")"),"Seven Lakes")</f>
        <v>Seven Lakes</v>
      </c>
      <c r="J341" s="1">
        <v>20.0</v>
      </c>
      <c r="K341" s="1">
        <v>1.0</v>
      </c>
    </row>
    <row r="342">
      <c r="A342" s="1">
        <v>3.0</v>
      </c>
      <c r="B342" s="1">
        <v>12.0</v>
      </c>
      <c r="C342" s="1">
        <v>11.0</v>
      </c>
      <c r="D342" s="1">
        <v>5.33</v>
      </c>
      <c r="E342" s="1">
        <v>1.0</v>
      </c>
      <c r="F342" s="1">
        <v>0.0</v>
      </c>
      <c r="G342" s="6">
        <v>0.636</v>
      </c>
      <c r="H342" s="1" t="s">
        <v>230</v>
      </c>
      <c r="I342" s="1" t="str">
        <f>IFERROR(__xludf.DUMMYFUNCTION("REGEXREPLACE(MID(H342, SEARCH(""["", H342) + 1, SEARCH(""]"", H342) - SEARCH(""["", H342) - 1), ""\[\]"","""")"),"Seven Lakes")</f>
        <v>Seven Lakes</v>
      </c>
      <c r="J342" s="1">
        <v>16.0</v>
      </c>
      <c r="K342" s="1">
        <v>3.0</v>
      </c>
    </row>
    <row r="343">
      <c r="A343" s="1">
        <v>1.0</v>
      </c>
      <c r="B343" s="1">
        <v>4.0</v>
      </c>
      <c r="C343" s="1">
        <v>0.0</v>
      </c>
      <c r="D343" s="1">
        <v>0.0</v>
      </c>
      <c r="E343" s="1">
        <v>0.0</v>
      </c>
      <c r="F343" s="1">
        <v>0.0</v>
      </c>
      <c r="G343" s="2">
        <v>0.0</v>
      </c>
      <c r="H343" s="1" t="s">
        <v>313</v>
      </c>
      <c r="I343" s="1" t="str">
        <f>IFERROR(__xludf.DUMMYFUNCTION("REGEXREPLACE(MID(H343, SEARCH(""["", H343) + 1, SEARCH(""]"", H343) - SEARCH(""["", H343) - 1), ""\[\]"","""")"),"Seven Lakes")</f>
        <v>Seven Lakes</v>
      </c>
      <c r="J343" s="1">
        <v>0.0</v>
      </c>
      <c r="K343" s="1">
        <v>0.0</v>
      </c>
    </row>
    <row r="344">
      <c r="A344" s="1">
        <v>1.0</v>
      </c>
      <c r="B344" s="1">
        <v>4.0</v>
      </c>
      <c r="C344" s="1">
        <v>0.0</v>
      </c>
      <c r="D344" s="1">
        <v>0.0</v>
      </c>
      <c r="E344" s="1">
        <v>0.0</v>
      </c>
      <c r="F344" s="1">
        <v>0.0</v>
      </c>
      <c r="G344" s="2">
        <v>0.0</v>
      </c>
      <c r="H344" s="1" t="s">
        <v>313</v>
      </c>
      <c r="I344" s="1" t="str">
        <f>IFERROR(__xludf.DUMMYFUNCTION("REGEXREPLACE(MID(H344, SEARCH(""["", H344) + 1, SEARCH(""]"", H344) - SEARCH(""["", H344) - 1), ""\[\]"","""")"),"Seven Lakes")</f>
        <v>Seven Lakes</v>
      </c>
      <c r="J344" s="1">
        <v>0.0</v>
      </c>
      <c r="K344" s="1">
        <v>0.0</v>
      </c>
    </row>
    <row r="345">
      <c r="A345" s="1">
        <v>2.0</v>
      </c>
      <c r="B345" s="1">
        <v>8.0</v>
      </c>
      <c r="C345" s="1">
        <v>0.0</v>
      </c>
      <c r="D345" s="1">
        <v>0.0</v>
      </c>
      <c r="E345" s="1">
        <v>0.0</v>
      </c>
      <c r="F345" s="1">
        <v>0.0</v>
      </c>
      <c r="G345" s="2">
        <v>0.0</v>
      </c>
      <c r="H345" s="1" t="s">
        <v>314</v>
      </c>
      <c r="I345" s="1" t="str">
        <f>IFERROR(__xludf.DUMMYFUNCTION("REGEXREPLACE(MID(H345, SEARCH(""["", H345) + 1, SEARCH(""]"", H345) - SEARCH(""["", H345) - 1), ""\[\]"","""")"),"State College Area")</f>
        <v>State College Area</v>
      </c>
      <c r="J345" s="1">
        <v>0.0</v>
      </c>
      <c r="K345" s="1">
        <v>0.0</v>
      </c>
    </row>
    <row r="346">
      <c r="A346" s="1">
        <v>1.0</v>
      </c>
      <c r="B346" s="1">
        <v>4.0</v>
      </c>
      <c r="C346" s="1">
        <v>0.0</v>
      </c>
      <c r="D346" s="1">
        <v>0.0</v>
      </c>
      <c r="E346" s="1">
        <v>0.0</v>
      </c>
      <c r="F346" s="1">
        <v>0.0</v>
      </c>
      <c r="G346" s="2">
        <v>0.0</v>
      </c>
      <c r="H346" s="1" t="s">
        <v>314</v>
      </c>
      <c r="I346" s="1" t="str">
        <f>IFERROR(__xludf.DUMMYFUNCTION("REGEXREPLACE(MID(H346, SEARCH(""["", H346) + 1, SEARCH(""]"", H346) - SEARCH(""["", H346) - 1), ""\[\]"","""")"),"State College Area")</f>
        <v>State College Area</v>
      </c>
      <c r="J346" s="1">
        <v>0.0</v>
      </c>
      <c r="K346" s="1">
        <v>0.0</v>
      </c>
    </row>
    <row r="347">
      <c r="A347" s="1">
        <v>1.0</v>
      </c>
      <c r="B347" s="1">
        <v>4.0</v>
      </c>
      <c r="C347" s="1">
        <v>1.0</v>
      </c>
      <c r="D347" s="1">
        <v>4.0</v>
      </c>
      <c r="E347" s="1">
        <v>0.0</v>
      </c>
      <c r="F347" s="1">
        <v>0.0</v>
      </c>
      <c r="G347" s="2">
        <v>1.0</v>
      </c>
      <c r="H347" s="1" t="s">
        <v>315</v>
      </c>
      <c r="I347" s="1" t="str">
        <f>IFERROR(__xludf.DUMMYFUNCTION("REGEXREPLACE(MID(H347, SEARCH(""["", H347) + 1, SEARCH(""]"", H347) - SEARCH(""["", H347) - 1), ""\[\]"","""")"),"State College Area")</f>
        <v>State College Area</v>
      </c>
      <c r="J347" s="1">
        <v>4.0</v>
      </c>
      <c r="K347" s="1">
        <v>0.0</v>
      </c>
    </row>
    <row r="348">
      <c r="A348" s="1">
        <v>3.0</v>
      </c>
      <c r="B348" s="1">
        <v>12.0</v>
      </c>
      <c r="C348" s="1">
        <v>0.0</v>
      </c>
      <c r="D348" s="1">
        <v>0.0</v>
      </c>
      <c r="E348" s="1">
        <v>0.0</v>
      </c>
      <c r="F348" s="1">
        <v>0.0</v>
      </c>
      <c r="G348" s="2">
        <v>0.0</v>
      </c>
      <c r="H348" s="1" t="s">
        <v>315</v>
      </c>
      <c r="I348" s="1" t="str">
        <f>IFERROR(__xludf.DUMMYFUNCTION("REGEXREPLACE(MID(H348, SEARCH(""["", H348) + 1, SEARCH(""]"", H348) - SEARCH(""["", H348) - 1), ""\[\]"","""")"),"State College Area")</f>
        <v>State College Area</v>
      </c>
      <c r="J348" s="1">
        <v>0.0</v>
      </c>
      <c r="K348" s="1">
        <v>0.0</v>
      </c>
    </row>
    <row r="349">
      <c r="A349" s="1">
        <v>1.0</v>
      </c>
      <c r="B349" s="1">
        <v>4.0</v>
      </c>
      <c r="C349" s="1">
        <v>0.0</v>
      </c>
      <c r="D349" s="1">
        <v>0.0</v>
      </c>
      <c r="E349" s="1">
        <v>0.0</v>
      </c>
      <c r="F349" s="1">
        <v>0.0</v>
      </c>
      <c r="G349" s="2">
        <v>0.0</v>
      </c>
      <c r="H349" s="1" t="s">
        <v>316</v>
      </c>
      <c r="I349" s="1" t="str">
        <f>IFERROR(__xludf.DUMMYFUNCTION("REGEXREPLACE(MID(H349, SEARCH(""["", H349) + 1, SEARCH(""]"", H349) - SEARCH(""["", H349) - 1), ""\[\]"","""")"),"State College Area")</f>
        <v>State College Area</v>
      </c>
      <c r="J349" s="1">
        <v>0.0</v>
      </c>
      <c r="K349" s="1">
        <v>0.0</v>
      </c>
    </row>
    <row r="350">
      <c r="A350" s="1">
        <v>3.0</v>
      </c>
      <c r="B350" s="1">
        <v>12.0</v>
      </c>
      <c r="C350" s="1">
        <v>0.0</v>
      </c>
      <c r="D350" s="1">
        <v>0.0</v>
      </c>
      <c r="E350" s="1">
        <v>0.0</v>
      </c>
      <c r="F350" s="1">
        <v>0.0</v>
      </c>
      <c r="G350" s="2">
        <v>0.0</v>
      </c>
      <c r="H350" s="1" t="s">
        <v>316</v>
      </c>
      <c r="I350" s="1" t="str">
        <f>IFERROR(__xludf.DUMMYFUNCTION("REGEXREPLACE(MID(H350, SEARCH(""["", H350) + 1, SEARCH(""]"", H350) - SEARCH(""["", H350) - 1), ""\[\]"","""")"),"State College Area")</f>
        <v>State College Area</v>
      </c>
      <c r="J350" s="1">
        <v>0.0</v>
      </c>
      <c r="K350" s="1">
        <v>0.0</v>
      </c>
    </row>
    <row r="351">
      <c r="A351" s="1">
        <v>1.0</v>
      </c>
      <c r="B351" s="1">
        <v>4.0</v>
      </c>
      <c r="C351" s="1">
        <v>1.0</v>
      </c>
      <c r="D351" s="1">
        <v>0.0</v>
      </c>
      <c r="E351" s="1">
        <v>0.0</v>
      </c>
      <c r="F351" s="1">
        <v>0.0</v>
      </c>
      <c r="G351" s="2">
        <v>0.0</v>
      </c>
      <c r="H351" s="1" t="s">
        <v>318</v>
      </c>
      <c r="I351" s="1" t="str">
        <f>IFERROR(__xludf.DUMMYFUNCTION("REGEXREPLACE(MID(H351, SEARCH(""["", H351) + 1, SEARCH(""]"", H351) - SEARCH(""["", H351) - 1), ""\[\]"","""")"),"State College Area")</f>
        <v>State College Area</v>
      </c>
      <c r="J351" s="1">
        <v>0.0</v>
      </c>
      <c r="K351" s="1">
        <v>0.0</v>
      </c>
    </row>
    <row r="352">
      <c r="A352" s="1">
        <v>1.0</v>
      </c>
      <c r="B352" s="1">
        <v>4.0</v>
      </c>
      <c r="C352" s="1">
        <v>1.0</v>
      </c>
      <c r="D352" s="1">
        <v>4.0</v>
      </c>
      <c r="E352" s="1">
        <v>0.0</v>
      </c>
      <c r="F352" s="1">
        <v>0.0</v>
      </c>
      <c r="G352" s="2">
        <v>1.0</v>
      </c>
      <c r="H352" s="1" t="s">
        <v>254</v>
      </c>
      <c r="I352" s="1" t="str">
        <f>IFERROR(__xludf.DUMMYFUNCTION("REGEXREPLACE(MID(H352, SEARCH(""["", H352) + 1, SEARCH(""]"", H352) - SEARCH(""["", H352) - 1), ""\[\]"","""")"),"State College Area")</f>
        <v>State College Area</v>
      </c>
      <c r="J352" s="1">
        <v>4.0</v>
      </c>
      <c r="K352" s="1">
        <v>0.0</v>
      </c>
    </row>
    <row r="353">
      <c r="A353" s="1">
        <v>4.0</v>
      </c>
      <c r="B353" s="1">
        <v>16.0</v>
      </c>
      <c r="C353" s="1">
        <v>3.0</v>
      </c>
      <c r="D353" s="1">
        <v>1.0</v>
      </c>
      <c r="E353" s="1">
        <v>0.0</v>
      </c>
      <c r="F353" s="1">
        <v>0.0</v>
      </c>
      <c r="G353" s="6">
        <v>0.333</v>
      </c>
      <c r="H353" s="1" t="s">
        <v>254</v>
      </c>
      <c r="I353" s="1" t="str">
        <f>IFERROR(__xludf.DUMMYFUNCTION("REGEXREPLACE(MID(H353, SEARCH(""["", H353) + 1, SEARCH(""]"", H353) - SEARCH(""["", H353) - 1), ""\[\]"","""")"),"State College Area")</f>
        <v>State College Area</v>
      </c>
      <c r="J353" s="1">
        <v>4.0</v>
      </c>
      <c r="K353" s="1">
        <v>0.0</v>
      </c>
    </row>
    <row r="354">
      <c r="A354" s="1">
        <v>1.0</v>
      </c>
      <c r="B354" s="1">
        <v>4.0</v>
      </c>
      <c r="C354" s="1">
        <v>0.0</v>
      </c>
      <c r="D354" s="1">
        <v>0.0</v>
      </c>
      <c r="E354" s="1">
        <v>0.0</v>
      </c>
      <c r="F354" s="1">
        <v>0.0</v>
      </c>
      <c r="G354" s="2">
        <v>0.0</v>
      </c>
      <c r="H354" s="1" t="s">
        <v>317</v>
      </c>
      <c r="I354" s="1" t="str">
        <f>IFERROR(__xludf.DUMMYFUNCTION("REGEXREPLACE(MID(H354, SEARCH(""["", H354) + 1, SEARCH(""]"", H354) - SEARCH(""["", H354) - 1), ""\[\]"","""")"),"Synthase")</f>
        <v>Synthase</v>
      </c>
      <c r="J354" s="1">
        <v>0.0</v>
      </c>
      <c r="K354" s="1">
        <v>0.0</v>
      </c>
    </row>
    <row r="355">
      <c r="A355" s="1">
        <v>2.0</v>
      </c>
      <c r="B355" s="1">
        <v>8.0</v>
      </c>
      <c r="C355" s="1">
        <v>0.0</v>
      </c>
      <c r="D355" s="1">
        <v>0.0</v>
      </c>
      <c r="E355" s="1">
        <v>0.0</v>
      </c>
      <c r="F355" s="1">
        <v>0.0</v>
      </c>
      <c r="G355" s="2">
        <v>0.0</v>
      </c>
      <c r="H355" s="1" t="s">
        <v>317</v>
      </c>
      <c r="I355" s="1" t="str">
        <f>IFERROR(__xludf.DUMMYFUNCTION("REGEXREPLACE(MID(H355, SEARCH(""["", H355) + 1, SEARCH(""]"", H355) - SEARCH(""["", H355) - 1), ""\[\]"","""")"),"Synthase")</f>
        <v>Synthase</v>
      </c>
      <c r="J355" s="1">
        <v>0.0</v>
      </c>
      <c r="K355" s="1">
        <v>0.0</v>
      </c>
    </row>
    <row r="356">
      <c r="A356" s="1">
        <v>1.0</v>
      </c>
      <c r="B356" s="1">
        <v>4.0</v>
      </c>
      <c r="C356" s="1">
        <v>0.0</v>
      </c>
      <c r="D356" s="1">
        <v>0.0</v>
      </c>
      <c r="E356" s="1">
        <v>0.0</v>
      </c>
      <c r="F356" s="1">
        <v>0.0</v>
      </c>
      <c r="G356" s="2">
        <v>0.0</v>
      </c>
      <c r="H356" s="1" t="s">
        <v>133</v>
      </c>
      <c r="I356" s="1" t="str">
        <f>IFERROR(__xludf.DUMMYFUNCTION("REGEXREPLACE(MID(H356, SEARCH(""["", H356) + 1, SEARCH(""]"", H356) - SEARCH(""["", H356) - 1), ""\[\]"","""")"),"Synthase")</f>
        <v>Synthase</v>
      </c>
      <c r="J356" s="1">
        <v>0.0</v>
      </c>
      <c r="K356" s="1">
        <v>0.0</v>
      </c>
    </row>
    <row r="357">
      <c r="A357" s="1">
        <v>2.0</v>
      </c>
      <c r="B357" s="1">
        <v>9.0</v>
      </c>
      <c r="C357" s="1">
        <v>1.0</v>
      </c>
      <c r="D357" s="1">
        <v>2.0</v>
      </c>
      <c r="E357" s="1">
        <v>0.0</v>
      </c>
      <c r="F357" s="1">
        <v>0.0</v>
      </c>
      <c r="G357" s="2">
        <v>1.0</v>
      </c>
      <c r="H357" s="1" t="s">
        <v>133</v>
      </c>
      <c r="I357" s="1" t="str">
        <f>IFERROR(__xludf.DUMMYFUNCTION("REGEXREPLACE(MID(H357, SEARCH(""["", H357) + 1, SEARCH(""]"", H357) - SEARCH(""["", H357) - 1), ""\[\]"","""")"),"Synthase")</f>
        <v>Synthase</v>
      </c>
      <c r="J357" s="1">
        <v>4.0</v>
      </c>
      <c r="K357" s="1">
        <v>0.0</v>
      </c>
    </row>
    <row r="358">
      <c r="A358" s="1">
        <v>1.0</v>
      </c>
      <c r="B358" s="1">
        <v>4.0</v>
      </c>
      <c r="C358" s="1">
        <v>0.0</v>
      </c>
      <c r="D358" s="1">
        <v>0.0</v>
      </c>
      <c r="E358" s="1">
        <v>0.0</v>
      </c>
      <c r="F358" s="1">
        <v>0.0</v>
      </c>
      <c r="G358" s="2">
        <v>0.0</v>
      </c>
      <c r="H358" s="1" t="s">
        <v>319</v>
      </c>
      <c r="I358" s="1" t="str">
        <f>IFERROR(__xludf.DUMMYFUNCTION("REGEXREPLACE(MID(H358, SEARCH(""["", H358) + 1, SEARCH(""]"", H358) - SEARCH(""["", H358) - 1), ""\[\]"","""")"),"Synthase")</f>
        <v>Synthase</v>
      </c>
      <c r="J358" s="1">
        <v>0.0</v>
      </c>
      <c r="K358" s="1">
        <v>0.0</v>
      </c>
    </row>
    <row r="359">
      <c r="A359" s="1">
        <v>5.0</v>
      </c>
      <c r="B359" s="1">
        <v>21.0</v>
      </c>
      <c r="C359" s="1">
        <v>14.0</v>
      </c>
      <c r="D359" s="1">
        <v>8.8</v>
      </c>
      <c r="E359" s="1">
        <v>0.0</v>
      </c>
      <c r="F359" s="1">
        <v>0.0</v>
      </c>
      <c r="G359" s="6">
        <v>0.786</v>
      </c>
      <c r="H359" s="1" t="s">
        <v>129</v>
      </c>
      <c r="I359" s="1" t="str">
        <f>IFERROR(__xludf.DUMMYFUNCTION("REGEXREPLACE(MID(H359, SEARCH(""["", H359) + 1, SEARCH(""]"", H359) - SEARCH(""["", H359) - 1), ""\[\]"","""")"),"Synthase")</f>
        <v>Synthase</v>
      </c>
      <c r="J359" s="1">
        <v>44.0</v>
      </c>
      <c r="K359" s="1">
        <v>0.0</v>
      </c>
    </row>
    <row r="360">
      <c r="A360" s="1">
        <v>2.0</v>
      </c>
      <c r="B360" s="1">
        <v>8.0</v>
      </c>
      <c r="C360" s="1">
        <v>0.0</v>
      </c>
      <c r="D360" s="1">
        <v>0.0</v>
      </c>
      <c r="E360" s="1">
        <v>0.0</v>
      </c>
      <c r="F360" s="1">
        <v>0.0</v>
      </c>
      <c r="G360" s="2">
        <v>0.0</v>
      </c>
      <c r="H360" s="1" t="s">
        <v>320</v>
      </c>
      <c r="I360" s="1" t="str">
        <f>IFERROR(__xludf.DUMMYFUNCTION("REGEXREPLACE(MID(H360, SEARCH(""["", H360) + 1, SEARCH(""]"", H360) - SEARCH(""["", H360) - 1), ""\[\]"","""")"),"The Catalysts")</f>
        <v>The Catalysts</v>
      </c>
      <c r="J360" s="1">
        <v>0.0</v>
      </c>
      <c r="K360" s="1">
        <v>0.0</v>
      </c>
    </row>
    <row r="361">
      <c r="A361" s="1">
        <v>1.0</v>
      </c>
      <c r="B361" s="1">
        <v>4.0</v>
      </c>
      <c r="C361" s="1">
        <v>0.0</v>
      </c>
      <c r="D361" s="1">
        <v>0.0</v>
      </c>
      <c r="E361" s="1">
        <v>0.0</v>
      </c>
      <c r="F361" s="1">
        <v>0.0</v>
      </c>
      <c r="G361" s="2">
        <v>0.0</v>
      </c>
      <c r="H361" s="1" t="s">
        <v>320</v>
      </c>
      <c r="I361" s="1" t="str">
        <f>IFERROR(__xludf.DUMMYFUNCTION("REGEXREPLACE(MID(H361, SEARCH(""["", H361) + 1, SEARCH(""]"", H361) - SEARCH(""["", H361) - 1), ""\[\]"","""")"),"The Catalysts")</f>
        <v>The Catalysts</v>
      </c>
      <c r="J361" s="1">
        <v>0.0</v>
      </c>
      <c r="K361" s="1">
        <v>0.0</v>
      </c>
    </row>
    <row r="362">
      <c r="A362" s="1">
        <v>2.0</v>
      </c>
      <c r="B362" s="1">
        <v>8.0</v>
      </c>
      <c r="C362" s="1">
        <v>0.0</v>
      </c>
      <c r="D362" s="1">
        <v>0.0</v>
      </c>
      <c r="E362" s="1">
        <v>0.0</v>
      </c>
      <c r="F362" s="1">
        <v>0.0</v>
      </c>
      <c r="G362" s="2">
        <v>0.0</v>
      </c>
      <c r="H362" s="1" t="s">
        <v>320</v>
      </c>
      <c r="I362" s="1" t="str">
        <f>IFERROR(__xludf.DUMMYFUNCTION("REGEXREPLACE(MID(H362, SEARCH(""["", H362) + 1, SEARCH(""]"", H362) - SEARCH(""["", H362) - 1), ""\[\]"","""")"),"The Catalysts")</f>
        <v>The Catalysts</v>
      </c>
      <c r="J362" s="1">
        <v>0.0</v>
      </c>
      <c r="K362" s="1">
        <v>0.0</v>
      </c>
    </row>
    <row r="363">
      <c r="A363" s="1">
        <v>2.0</v>
      </c>
      <c r="B363" s="1">
        <v>8.0</v>
      </c>
      <c r="C363" s="1">
        <v>6.0</v>
      </c>
      <c r="D363" s="1">
        <v>10.0</v>
      </c>
      <c r="E363" s="1">
        <v>0.0</v>
      </c>
      <c r="F363" s="1">
        <v>0.0</v>
      </c>
      <c r="G363" s="6">
        <v>0.833</v>
      </c>
      <c r="H363" s="1" t="s">
        <v>287</v>
      </c>
      <c r="I363" s="1" t="str">
        <f>IFERROR(__xludf.DUMMYFUNCTION("REGEXREPLACE(MID(H363, SEARCH(""["", H363) + 1, SEARCH(""]"", H363) - SEARCH(""["", H363) - 1), ""\[\]"","""")"),"The Catalysts")</f>
        <v>The Catalysts</v>
      </c>
      <c r="J363" s="1">
        <v>20.0</v>
      </c>
      <c r="K363" s="1">
        <v>0.0</v>
      </c>
    </row>
    <row r="364">
      <c r="A364" s="1">
        <v>2.0</v>
      </c>
      <c r="B364" s="1">
        <v>8.0</v>
      </c>
      <c r="C364" s="1">
        <v>4.0</v>
      </c>
      <c r="D364" s="1">
        <v>4.0</v>
      </c>
      <c r="E364" s="1">
        <v>0.5</v>
      </c>
      <c r="F364" s="1">
        <v>0.0</v>
      </c>
      <c r="G364" s="2">
        <v>0.75</v>
      </c>
      <c r="H364" s="1" t="s">
        <v>287</v>
      </c>
      <c r="I364" s="1" t="str">
        <f>IFERROR(__xludf.DUMMYFUNCTION("REGEXREPLACE(MID(H364, SEARCH(""["", H364) + 1, SEARCH(""]"", H364) - SEARCH(""["", H364) - 1), ""\[\]"","""")"),"The Catalysts")</f>
        <v>The Catalysts</v>
      </c>
      <c r="J364" s="1">
        <v>8.0</v>
      </c>
      <c r="K364" s="1">
        <v>1.0</v>
      </c>
    </row>
    <row r="365">
      <c r="A365" s="1">
        <v>1.0</v>
      </c>
      <c r="B365" s="1">
        <v>4.0</v>
      </c>
      <c r="C365" s="1">
        <v>2.0</v>
      </c>
      <c r="D365" s="1">
        <v>4.0</v>
      </c>
      <c r="E365" s="1">
        <v>0.0</v>
      </c>
      <c r="F365" s="1">
        <v>0.0</v>
      </c>
      <c r="G365" s="2">
        <v>0.5</v>
      </c>
      <c r="H365" s="1" t="s">
        <v>287</v>
      </c>
      <c r="I365" s="1" t="str">
        <f>IFERROR(__xludf.DUMMYFUNCTION("REGEXREPLACE(MID(H365, SEARCH(""["", H365) + 1, SEARCH(""]"", H365) - SEARCH(""["", H365) - 1), ""\[\]"","""")"),"The Catalysts")</f>
        <v>The Catalysts</v>
      </c>
      <c r="J365" s="1">
        <v>4.0</v>
      </c>
      <c r="K365" s="1">
        <v>0.0</v>
      </c>
    </row>
    <row r="366">
      <c r="A366" s="1">
        <v>2.0</v>
      </c>
      <c r="B366" s="1">
        <v>8.0</v>
      </c>
      <c r="C366" s="1">
        <v>0.0</v>
      </c>
      <c r="D366" s="1">
        <v>0.0</v>
      </c>
      <c r="E366" s="1">
        <v>0.0</v>
      </c>
      <c r="F366" s="1">
        <v>0.0</v>
      </c>
      <c r="G366" s="2">
        <v>0.0</v>
      </c>
      <c r="H366" s="1" t="s">
        <v>289</v>
      </c>
      <c r="I366" s="1" t="str">
        <f>IFERROR(__xludf.DUMMYFUNCTION("REGEXREPLACE(MID(H366, SEARCH(""["", H366) + 1, SEARCH(""]"", H366) - SEARCH(""["", H366) - 1), ""\[\]"","""")"),"The Catalysts")</f>
        <v>The Catalysts</v>
      </c>
      <c r="J366" s="1">
        <v>0.0</v>
      </c>
      <c r="K366" s="1">
        <v>0.0</v>
      </c>
    </row>
    <row r="367">
      <c r="A367" s="1">
        <v>1.0</v>
      </c>
      <c r="B367" s="1">
        <v>4.0</v>
      </c>
      <c r="C367" s="1">
        <v>0.0</v>
      </c>
      <c r="D367" s="1">
        <v>0.0</v>
      </c>
      <c r="E367" s="1">
        <v>0.0</v>
      </c>
      <c r="F367" s="1">
        <v>0.0</v>
      </c>
      <c r="G367" s="2">
        <v>0.0</v>
      </c>
      <c r="H367" s="1" t="s">
        <v>289</v>
      </c>
      <c r="I367" s="1" t="str">
        <f>IFERROR(__xludf.DUMMYFUNCTION("REGEXREPLACE(MID(H367, SEARCH(""["", H367) + 1, SEARCH(""]"", H367) - SEARCH(""["", H367) - 1), ""\[\]"","""")"),"The Catalysts")</f>
        <v>The Catalysts</v>
      </c>
      <c r="J367" s="1">
        <v>0.0</v>
      </c>
      <c r="K367" s="1">
        <v>0.0</v>
      </c>
    </row>
    <row r="368">
      <c r="A368" s="1">
        <v>2.0</v>
      </c>
      <c r="B368" s="1">
        <v>8.0</v>
      </c>
      <c r="C368" s="1">
        <v>0.0</v>
      </c>
      <c r="D368" s="1">
        <v>0.0</v>
      </c>
      <c r="E368" s="1">
        <v>0.0</v>
      </c>
      <c r="F368" s="1">
        <v>0.0</v>
      </c>
      <c r="G368" s="2">
        <v>0.0</v>
      </c>
      <c r="H368" s="1" t="s">
        <v>289</v>
      </c>
      <c r="I368" s="1" t="str">
        <f>IFERROR(__xludf.DUMMYFUNCTION("REGEXREPLACE(MID(H368, SEARCH(""["", H368) + 1, SEARCH(""]"", H368) - SEARCH(""["", H368) - 1), ""\[\]"","""")"),"The Catalysts")</f>
        <v>The Catalysts</v>
      </c>
      <c r="J368" s="1">
        <v>0.0</v>
      </c>
      <c r="K368" s="1">
        <v>0.0</v>
      </c>
    </row>
    <row r="369">
      <c r="A369" s="1">
        <v>2.0</v>
      </c>
      <c r="B369" s="1">
        <v>8.0</v>
      </c>
      <c r="C369" s="1">
        <v>3.0</v>
      </c>
      <c r="D369" s="1">
        <v>6.0</v>
      </c>
      <c r="E369" s="1">
        <v>0.0</v>
      </c>
      <c r="F369" s="1">
        <v>0.0</v>
      </c>
      <c r="G369" s="2">
        <v>1.0</v>
      </c>
      <c r="H369" s="1" t="s">
        <v>321</v>
      </c>
      <c r="I369" s="1" t="str">
        <f>IFERROR(__xludf.DUMMYFUNCTION("REGEXREPLACE(MID(H369, SEARCH(""["", H369) + 1, SEARCH(""]"", H369) - SEARCH(""["", H369) - 1), ""\[\]"","""")"),"The Catalysts")</f>
        <v>The Catalysts</v>
      </c>
      <c r="J369" s="1">
        <v>12.0</v>
      </c>
      <c r="K369" s="1">
        <v>0.0</v>
      </c>
    </row>
    <row r="370">
      <c r="A370" s="1">
        <v>1.0</v>
      </c>
      <c r="B370" s="1">
        <v>4.0</v>
      </c>
      <c r="C370" s="1">
        <v>1.0</v>
      </c>
      <c r="D370" s="1">
        <v>4.0</v>
      </c>
      <c r="E370" s="1">
        <v>0.0</v>
      </c>
      <c r="F370" s="1">
        <v>0.0</v>
      </c>
      <c r="G370" s="2">
        <v>1.0</v>
      </c>
      <c r="H370" s="1" t="s">
        <v>321</v>
      </c>
      <c r="I370" s="1" t="str">
        <f>IFERROR(__xludf.DUMMYFUNCTION("REGEXREPLACE(MID(H370, SEARCH(""["", H370) + 1, SEARCH(""]"", H370) - SEARCH(""["", H370) - 1), ""\[\]"","""")"),"The Catalysts")</f>
        <v>The Catalysts</v>
      </c>
      <c r="J370" s="1">
        <v>4.0</v>
      </c>
      <c r="K370" s="1">
        <v>0.0</v>
      </c>
    </row>
    <row r="371">
      <c r="A371" s="1">
        <v>1.0</v>
      </c>
      <c r="B371" s="1">
        <v>4.0</v>
      </c>
      <c r="C371" s="1">
        <v>1.0</v>
      </c>
      <c r="D371" s="1">
        <v>0.0</v>
      </c>
      <c r="E371" s="1">
        <v>0.0</v>
      </c>
      <c r="F371" s="1">
        <v>0.0</v>
      </c>
      <c r="G371" s="2">
        <v>0.0</v>
      </c>
      <c r="H371" s="1" t="s">
        <v>321</v>
      </c>
      <c r="I371" s="1" t="str">
        <f>IFERROR(__xludf.DUMMYFUNCTION("REGEXREPLACE(MID(H371, SEARCH(""["", H371) + 1, SEARCH(""]"", H371) - SEARCH(""["", H371) - 1), ""\[\]"","""")"),"The Catalysts")</f>
        <v>The Catalysts</v>
      </c>
      <c r="J371" s="1">
        <v>0.0</v>
      </c>
      <c r="K371" s="1">
        <v>0.0</v>
      </c>
    </row>
    <row r="372">
      <c r="A372" s="1">
        <v>2.0</v>
      </c>
      <c r="B372" s="1">
        <v>8.0</v>
      </c>
      <c r="C372" s="1">
        <v>0.0</v>
      </c>
      <c r="D372" s="1">
        <v>0.0</v>
      </c>
      <c r="E372" s="1">
        <v>0.0</v>
      </c>
      <c r="F372" s="1">
        <v>0.0</v>
      </c>
      <c r="G372" s="2">
        <v>0.0</v>
      </c>
      <c r="H372" s="1" t="s">
        <v>323</v>
      </c>
      <c r="I372" s="1" t="str">
        <f>IFERROR(__xludf.DUMMYFUNCTION("REGEXREPLACE(MID(H372, SEARCH(""["", H372) + 1, SEARCH(""]"", H372) - SEARCH(""["", H372) - 1), ""\[\]"","""")"),"The Catalysts")</f>
        <v>The Catalysts</v>
      </c>
      <c r="J372" s="1">
        <v>0.0</v>
      </c>
      <c r="K372" s="1">
        <v>0.0</v>
      </c>
    </row>
    <row r="373">
      <c r="A373" s="1">
        <v>1.0</v>
      </c>
      <c r="B373" s="1">
        <v>4.0</v>
      </c>
      <c r="C373" s="1">
        <v>0.0</v>
      </c>
      <c r="D373" s="1">
        <v>0.0</v>
      </c>
      <c r="E373" s="1">
        <v>0.0</v>
      </c>
      <c r="F373" s="1">
        <v>0.0</v>
      </c>
      <c r="G373" s="2">
        <v>0.0</v>
      </c>
      <c r="H373" s="1" t="s">
        <v>323</v>
      </c>
      <c r="I373" s="1" t="str">
        <f>IFERROR(__xludf.DUMMYFUNCTION("REGEXREPLACE(MID(H373, SEARCH(""["", H373) + 1, SEARCH(""]"", H373) - SEARCH(""["", H373) - 1), ""\[\]"","""")"),"The Catalysts")</f>
        <v>The Catalysts</v>
      </c>
      <c r="J373" s="1">
        <v>0.0</v>
      </c>
      <c r="K373" s="1">
        <v>0.0</v>
      </c>
    </row>
    <row r="374">
      <c r="A374" s="1">
        <v>2.0</v>
      </c>
      <c r="B374" s="1">
        <v>8.0</v>
      </c>
      <c r="C374" s="1">
        <v>0.0</v>
      </c>
      <c r="D374" s="1">
        <v>0.0</v>
      </c>
      <c r="E374" s="1">
        <v>0.0</v>
      </c>
      <c r="F374" s="1">
        <v>0.0</v>
      </c>
      <c r="G374" s="2">
        <v>0.0</v>
      </c>
      <c r="H374" s="1" t="s">
        <v>323</v>
      </c>
      <c r="I374" s="1" t="str">
        <f>IFERROR(__xludf.DUMMYFUNCTION("REGEXREPLACE(MID(H374, SEARCH(""["", H374) + 1, SEARCH(""]"", H374) - SEARCH(""["", H374) - 1), ""\[\]"","""")"),"The Catalysts")</f>
        <v>The Catalysts</v>
      </c>
      <c r="J374" s="1">
        <v>0.0</v>
      </c>
      <c r="K374" s="1">
        <v>0.0</v>
      </c>
    </row>
    <row r="375">
      <c r="A375" s="1">
        <v>3.0</v>
      </c>
      <c r="B375" s="1">
        <v>12.0</v>
      </c>
      <c r="C375" s="1">
        <v>0.0</v>
      </c>
      <c r="D375" s="1">
        <v>0.0</v>
      </c>
      <c r="E375" s="1">
        <v>0.0</v>
      </c>
      <c r="F375" s="1">
        <v>0.0</v>
      </c>
      <c r="G375" s="2">
        <v>0.0</v>
      </c>
      <c r="H375" s="1" t="s">
        <v>278</v>
      </c>
      <c r="I375" s="1" t="str">
        <f>IFERROR(__xludf.DUMMYFUNCTION("REGEXREPLACE(MID(H375, SEARCH(""["", H375) + 1, SEARCH(""]"", H375) - SEARCH(""["", H375) - 1), ""\[\]"","""")"),"The Outliers")</f>
        <v>The Outliers</v>
      </c>
      <c r="J375" s="1">
        <v>0.0</v>
      </c>
      <c r="K375" s="1">
        <v>0.0</v>
      </c>
    </row>
    <row r="376">
      <c r="A376" s="1">
        <v>1.0</v>
      </c>
      <c r="B376" s="1">
        <v>4.0</v>
      </c>
      <c r="C376" s="1">
        <v>1.0</v>
      </c>
      <c r="D376" s="1">
        <v>-4.0</v>
      </c>
      <c r="E376" s="1">
        <v>1.0</v>
      </c>
      <c r="F376" s="1">
        <v>0.0</v>
      </c>
      <c r="G376" s="2">
        <v>0.0</v>
      </c>
      <c r="H376" s="1" t="s">
        <v>278</v>
      </c>
      <c r="I376" s="1" t="str">
        <f>IFERROR(__xludf.DUMMYFUNCTION("REGEXREPLACE(MID(H376, SEARCH(""["", H376) + 1, SEARCH(""]"", H376) - SEARCH(""["", H376) - 1), ""\[\]"","""")"),"The Outliers")</f>
        <v>The Outliers</v>
      </c>
      <c r="J376" s="1">
        <v>-4.0</v>
      </c>
      <c r="K376" s="1">
        <v>1.0</v>
      </c>
    </row>
    <row r="377">
      <c r="A377" s="1">
        <v>4.0</v>
      </c>
      <c r="B377" s="1">
        <v>16.0</v>
      </c>
      <c r="C377" s="1">
        <v>4.0</v>
      </c>
      <c r="D377" s="1">
        <v>4.0</v>
      </c>
      <c r="E377" s="1">
        <v>0.0</v>
      </c>
      <c r="F377" s="1">
        <v>0.0</v>
      </c>
      <c r="G377" s="2">
        <v>1.0</v>
      </c>
      <c r="H377" s="1" t="s">
        <v>325</v>
      </c>
      <c r="I377" s="1" t="str">
        <f>IFERROR(__xludf.DUMMYFUNCTION("REGEXREPLACE(MID(H377, SEARCH(""["", H377) + 1, SEARCH(""]"", H377) - SEARCH(""["", H377) - 1), ""\[\]"","""")"),"The Outliers")</f>
        <v>The Outliers</v>
      </c>
      <c r="J377" s="1">
        <v>16.0</v>
      </c>
      <c r="K377" s="1">
        <v>0.0</v>
      </c>
    </row>
    <row r="378">
      <c r="A378" s="1">
        <v>1.0</v>
      </c>
      <c r="B378" s="1">
        <v>4.0</v>
      </c>
      <c r="C378" s="1">
        <v>0.0</v>
      </c>
      <c r="D378" s="1">
        <v>0.0</v>
      </c>
      <c r="E378" s="1">
        <v>0.0</v>
      </c>
      <c r="F378" s="1">
        <v>0.0</v>
      </c>
      <c r="G378" s="2">
        <v>0.0</v>
      </c>
      <c r="H378" s="1" t="s">
        <v>325</v>
      </c>
      <c r="I378" s="1" t="str">
        <f>IFERROR(__xludf.DUMMYFUNCTION("REGEXREPLACE(MID(H378, SEARCH(""["", H378) + 1, SEARCH(""]"", H378) - SEARCH(""["", H378) - 1), ""\[\]"","""")"),"The Outliers")</f>
        <v>The Outliers</v>
      </c>
      <c r="J378" s="1">
        <v>0.0</v>
      </c>
      <c r="K378" s="1">
        <v>0.0</v>
      </c>
    </row>
    <row r="379">
      <c r="A379" s="1">
        <v>2.0</v>
      </c>
      <c r="B379" s="1">
        <v>8.0</v>
      </c>
      <c r="C379" s="1">
        <v>3.0</v>
      </c>
      <c r="D379" s="1">
        <v>2.0</v>
      </c>
      <c r="E379" s="1">
        <v>0.0</v>
      </c>
      <c r="F379" s="1">
        <v>0.0</v>
      </c>
      <c r="G379" s="6">
        <v>0.333</v>
      </c>
      <c r="H379" s="1" t="s">
        <v>326</v>
      </c>
      <c r="I379" s="1" t="str">
        <f>IFERROR(__xludf.DUMMYFUNCTION("REGEXREPLACE(MID(H379, SEARCH(""["", H379) + 1, SEARCH(""]"", H379) - SEARCH(""["", H379) - 1), ""\[\]"","""")"),"The Outliers")</f>
        <v>The Outliers</v>
      </c>
      <c r="J379" s="1">
        <v>4.0</v>
      </c>
      <c r="K379" s="1">
        <v>0.0</v>
      </c>
    </row>
    <row r="380">
      <c r="A380" s="1">
        <v>1.0</v>
      </c>
      <c r="B380" s="1">
        <v>4.0</v>
      </c>
      <c r="C380" s="1">
        <v>2.0</v>
      </c>
      <c r="D380" s="1">
        <v>0.0</v>
      </c>
      <c r="E380" s="1">
        <v>1.0</v>
      </c>
      <c r="F380" s="1">
        <v>0.0</v>
      </c>
      <c r="G380" s="2">
        <v>0.5</v>
      </c>
      <c r="H380" s="1" t="s">
        <v>326</v>
      </c>
      <c r="I380" s="1" t="str">
        <f>IFERROR(__xludf.DUMMYFUNCTION("REGEXREPLACE(MID(H380, SEARCH(""["", H380) + 1, SEARCH(""]"", H380) - SEARCH(""["", H380) - 1), ""\[\]"","""")"),"The Outliers")</f>
        <v>The Outliers</v>
      </c>
      <c r="J380" s="1">
        <v>0.0</v>
      </c>
      <c r="K380" s="1">
        <v>1.0</v>
      </c>
    </row>
    <row r="381">
      <c r="A381" s="1">
        <v>4.0</v>
      </c>
      <c r="B381" s="1">
        <v>16.0</v>
      </c>
      <c r="C381" s="1">
        <v>2.0</v>
      </c>
      <c r="D381" s="1">
        <v>2.0</v>
      </c>
      <c r="E381" s="1">
        <v>0.0</v>
      </c>
      <c r="F381" s="1">
        <v>0.0</v>
      </c>
      <c r="G381" s="2">
        <v>1.0</v>
      </c>
      <c r="H381" s="1" t="s">
        <v>311</v>
      </c>
      <c r="I381" s="1" t="str">
        <f>IFERROR(__xludf.DUMMYFUNCTION("REGEXREPLACE(MID(H381, SEARCH(""["", H381) + 1, SEARCH(""]"", H381) - SEARCH(""["", H381) - 1), ""\[\]"","""")"),"The Outliers")</f>
        <v>The Outliers</v>
      </c>
      <c r="J381" s="1">
        <v>8.0</v>
      </c>
      <c r="K381" s="1">
        <v>0.0</v>
      </c>
    </row>
    <row r="382">
      <c r="A382" s="1">
        <v>1.0</v>
      </c>
      <c r="B382" s="1">
        <v>4.0</v>
      </c>
      <c r="C382" s="1">
        <v>0.0</v>
      </c>
      <c r="D382" s="1">
        <v>0.0</v>
      </c>
      <c r="E382" s="1">
        <v>0.0</v>
      </c>
      <c r="F382" s="1">
        <v>0.0</v>
      </c>
      <c r="G382" s="2">
        <v>0.0</v>
      </c>
      <c r="H382" s="1" t="s">
        <v>311</v>
      </c>
      <c r="I382" s="1" t="str">
        <f>IFERROR(__xludf.DUMMYFUNCTION("REGEXREPLACE(MID(H382, SEARCH(""["", H382) + 1, SEARCH(""]"", H382) - SEARCH(""["", H382) - 1), ""\[\]"","""")"),"The Outliers")</f>
        <v>The Outliers</v>
      </c>
      <c r="J382" s="1">
        <v>0.0</v>
      </c>
      <c r="K382" s="1">
        <v>0.0</v>
      </c>
    </row>
    <row r="383">
      <c r="A383" s="1">
        <v>3.0</v>
      </c>
      <c r="B383" s="1">
        <v>12.0</v>
      </c>
      <c r="C383" s="1">
        <v>0.0</v>
      </c>
      <c r="D383" s="1">
        <v>0.0</v>
      </c>
      <c r="E383" s="1">
        <v>0.0</v>
      </c>
      <c r="F383" s="1">
        <v>0.0</v>
      </c>
      <c r="G383" s="2">
        <v>0.0</v>
      </c>
      <c r="H383" s="1" t="s">
        <v>322</v>
      </c>
      <c r="I383" s="1" t="str">
        <f>IFERROR(__xludf.DUMMYFUNCTION("REGEXREPLACE(MID(H383, SEARCH(""["", H383) + 1, SEARCH(""]"", H383) - SEARCH(""["", H383) - 1), ""\[\]"","""")"),"The Outliers")</f>
        <v>The Outliers</v>
      </c>
      <c r="J383" s="1">
        <v>0.0</v>
      </c>
      <c r="K383" s="1">
        <v>0.0</v>
      </c>
    </row>
    <row r="384">
      <c r="A384" s="1">
        <v>1.0</v>
      </c>
      <c r="B384" s="1">
        <v>4.0</v>
      </c>
      <c r="C384" s="1">
        <v>0.0</v>
      </c>
      <c r="D384" s="1">
        <v>0.0</v>
      </c>
      <c r="E384" s="1">
        <v>0.0</v>
      </c>
      <c r="F384" s="1">
        <v>0.0</v>
      </c>
      <c r="G384" s="2">
        <v>0.0</v>
      </c>
      <c r="H384" s="1" t="s">
        <v>322</v>
      </c>
      <c r="I384" s="1" t="str">
        <f>IFERROR(__xludf.DUMMYFUNCTION("REGEXREPLACE(MID(H384, SEARCH(""["", H384) + 1, SEARCH(""]"", H384) - SEARCH(""["", H384) - 1), ""\[\]"","""")"),"The Outliers")</f>
        <v>The Outliers</v>
      </c>
      <c r="J384" s="1">
        <v>0.0</v>
      </c>
      <c r="K384" s="1">
        <v>0.0</v>
      </c>
    </row>
    <row r="385">
      <c r="A385" s="1">
        <v>3.0</v>
      </c>
      <c r="B385" s="1">
        <v>12.0</v>
      </c>
      <c r="C385" s="1">
        <v>2.0</v>
      </c>
      <c r="D385" s="1">
        <v>1.33</v>
      </c>
      <c r="E385" s="1">
        <v>0.0</v>
      </c>
      <c r="F385" s="1">
        <v>0.0</v>
      </c>
      <c r="G385" s="2">
        <v>0.5</v>
      </c>
      <c r="H385" s="1" t="s">
        <v>328</v>
      </c>
      <c r="I385" s="1" t="str">
        <f>IFERROR(__xludf.DUMMYFUNCTION("REGEXREPLACE(MID(H385, SEARCH(""["", H385) + 1, SEARCH(""]"", H385) - SEARCH(""["", H385) - 1), ""\[\]"","""")"),"The Woodlands HS")</f>
        <v>The Woodlands HS</v>
      </c>
      <c r="J385" s="1">
        <v>4.0</v>
      </c>
      <c r="K385" s="1">
        <v>0.0</v>
      </c>
    </row>
    <row r="386">
      <c r="A386" s="1">
        <v>3.0</v>
      </c>
      <c r="B386" s="1">
        <v>12.0</v>
      </c>
      <c r="C386" s="1">
        <v>2.0</v>
      </c>
      <c r="D386" s="1">
        <v>0.0</v>
      </c>
      <c r="E386" s="1">
        <v>0.0</v>
      </c>
      <c r="F386" s="1">
        <v>0.0</v>
      </c>
      <c r="G386" s="2">
        <v>0.0</v>
      </c>
      <c r="H386" s="1" t="s">
        <v>329</v>
      </c>
      <c r="I386" s="1" t="str">
        <f>IFERROR(__xludf.DUMMYFUNCTION("REGEXREPLACE(MID(H386, SEARCH(""["", H386) + 1, SEARCH(""]"", H386) - SEARCH(""["", H386) - 1), ""\[\]"","""")"),"The Woodlands HS")</f>
        <v>The Woodlands HS</v>
      </c>
      <c r="J386" s="1">
        <v>0.0</v>
      </c>
      <c r="K386" s="1">
        <v>0.0</v>
      </c>
    </row>
    <row r="387">
      <c r="A387" s="1">
        <v>1.0</v>
      </c>
      <c r="B387" s="1">
        <v>4.0</v>
      </c>
      <c r="C387" s="1">
        <v>0.0</v>
      </c>
      <c r="D387" s="1">
        <v>0.0</v>
      </c>
      <c r="E387" s="1">
        <v>0.0</v>
      </c>
      <c r="F387" s="1">
        <v>0.0</v>
      </c>
      <c r="G387" s="2">
        <v>0.0</v>
      </c>
      <c r="H387" s="1" t="s">
        <v>329</v>
      </c>
      <c r="I387" s="1" t="str">
        <f>IFERROR(__xludf.DUMMYFUNCTION("REGEXREPLACE(MID(H387, SEARCH(""["", H387) + 1, SEARCH(""]"", H387) - SEARCH(""["", H387) - 1), ""\[\]"","""")"),"The Woodlands HS")</f>
        <v>The Woodlands HS</v>
      </c>
      <c r="J387" s="1">
        <v>0.0</v>
      </c>
      <c r="K387" s="1">
        <v>0.0</v>
      </c>
    </row>
    <row r="388">
      <c r="A388" s="1">
        <v>2.0</v>
      </c>
      <c r="B388" s="1">
        <v>8.0</v>
      </c>
      <c r="C388" s="1">
        <v>1.0</v>
      </c>
      <c r="D388" s="1">
        <v>0.0</v>
      </c>
      <c r="E388" s="1">
        <v>0.0</v>
      </c>
      <c r="F388" s="1">
        <v>0.0</v>
      </c>
      <c r="G388" s="2">
        <v>0.0</v>
      </c>
      <c r="H388" s="1" t="s">
        <v>330</v>
      </c>
      <c r="I388" s="1" t="str">
        <f>IFERROR(__xludf.DUMMYFUNCTION("REGEXREPLACE(MID(H388, SEARCH(""["", H388) + 1, SEARCH(""]"", H388) - SEARCH(""["", H388) - 1), ""\[\]"","""")"),"The Woodlands HS")</f>
        <v>The Woodlands HS</v>
      </c>
      <c r="J388" s="1">
        <v>0.0</v>
      </c>
      <c r="K388" s="1">
        <v>0.0</v>
      </c>
    </row>
    <row r="389">
      <c r="A389" s="1">
        <v>3.0</v>
      </c>
      <c r="B389" s="1">
        <v>12.0</v>
      </c>
      <c r="C389" s="1">
        <v>1.0</v>
      </c>
      <c r="D389" s="1">
        <v>0.0</v>
      </c>
      <c r="E389" s="1">
        <v>0.0</v>
      </c>
      <c r="F389" s="1">
        <v>0.0</v>
      </c>
      <c r="G389" s="2">
        <v>0.0</v>
      </c>
      <c r="H389" s="1" t="s">
        <v>330</v>
      </c>
      <c r="I389" s="1" t="str">
        <f>IFERROR(__xludf.DUMMYFUNCTION("REGEXREPLACE(MID(H389, SEARCH(""["", H389) + 1, SEARCH(""]"", H389) - SEARCH(""["", H389) - 1), ""\[\]"","""")"),"The Woodlands HS")</f>
        <v>The Woodlands HS</v>
      </c>
      <c r="J389" s="1">
        <v>0.0</v>
      </c>
      <c r="K389" s="1">
        <v>0.0</v>
      </c>
    </row>
    <row r="390">
      <c r="A390" s="1">
        <v>2.0</v>
      </c>
      <c r="B390" s="1">
        <v>8.0</v>
      </c>
      <c r="C390" s="1">
        <v>2.0</v>
      </c>
      <c r="D390" s="1">
        <v>2.0</v>
      </c>
      <c r="E390" s="1">
        <v>0.0</v>
      </c>
      <c r="F390" s="1">
        <v>0.0</v>
      </c>
      <c r="G390" s="2">
        <v>0.5</v>
      </c>
      <c r="H390" s="1" t="s">
        <v>331</v>
      </c>
      <c r="I390" s="1" t="str">
        <f>IFERROR(__xludf.DUMMYFUNCTION("REGEXREPLACE(MID(H390, SEARCH(""["", H390) + 1, SEARCH(""]"", H390) - SEARCH(""["", H390) - 1), ""\[\]"","""")"),"The Woodlands HS")</f>
        <v>The Woodlands HS</v>
      </c>
      <c r="J390" s="1">
        <v>4.0</v>
      </c>
      <c r="K390" s="1">
        <v>0.0</v>
      </c>
    </row>
    <row r="391">
      <c r="A391" s="1">
        <v>2.0</v>
      </c>
      <c r="B391" s="1">
        <v>8.0</v>
      </c>
      <c r="C391" s="1">
        <v>1.0</v>
      </c>
      <c r="D391" s="1">
        <v>0.0</v>
      </c>
      <c r="E391" s="1">
        <v>0.0</v>
      </c>
      <c r="F391" s="1">
        <v>0.0</v>
      </c>
      <c r="G391" s="2">
        <v>0.0</v>
      </c>
      <c r="H391" s="1" t="s">
        <v>331</v>
      </c>
      <c r="I391" s="1" t="str">
        <f>IFERROR(__xludf.DUMMYFUNCTION("REGEXREPLACE(MID(H391, SEARCH(""["", H391) + 1, SEARCH(""]"", H391) - SEARCH(""["", H391) - 1), ""\[\]"","""")"),"The Woodlands HS")</f>
        <v>The Woodlands HS</v>
      </c>
      <c r="J391" s="1">
        <v>0.0</v>
      </c>
      <c r="K391" s="1">
        <v>0.0</v>
      </c>
    </row>
    <row r="392">
      <c r="A392" s="1">
        <v>1.0</v>
      </c>
      <c r="B392" s="1">
        <v>4.0</v>
      </c>
      <c r="C392" s="1">
        <v>0.0</v>
      </c>
      <c r="D392" s="1">
        <v>0.0</v>
      </c>
      <c r="E392" s="1">
        <v>0.0</v>
      </c>
      <c r="F392" s="1">
        <v>0.0</v>
      </c>
      <c r="G392" s="2">
        <v>0.0</v>
      </c>
      <c r="H392" s="1" t="s">
        <v>332</v>
      </c>
      <c r="I392" s="1" t="str">
        <f>IFERROR(__xludf.DUMMYFUNCTION("REGEXREPLACE(MID(H392, SEARCH(""["", H392) + 1, SEARCH(""]"", H392) - SEARCH(""["", H392) - 1), ""\[\]"","""")"),"The Woodlands HS")</f>
        <v>The Woodlands HS</v>
      </c>
      <c r="J392" s="1">
        <v>0.0</v>
      </c>
      <c r="K392" s="1">
        <v>0.0</v>
      </c>
    </row>
    <row r="393">
      <c r="A393" s="1">
        <v>1.0</v>
      </c>
      <c r="B393" s="1">
        <v>4.0</v>
      </c>
      <c r="C393" s="1">
        <v>0.0</v>
      </c>
      <c r="D393" s="1">
        <v>0.0</v>
      </c>
      <c r="E393" s="1">
        <v>0.0</v>
      </c>
      <c r="F393" s="1">
        <v>0.0</v>
      </c>
      <c r="G393" s="2">
        <v>0.0</v>
      </c>
      <c r="H393" s="1" t="s">
        <v>332</v>
      </c>
      <c r="I393" s="1" t="str">
        <f>IFERROR(__xludf.DUMMYFUNCTION("REGEXREPLACE(MID(H393, SEARCH(""["", H393) + 1, SEARCH(""]"", H393) - SEARCH(""["", H393) - 1), ""\[\]"","""")"),"The Woodlands HS")</f>
        <v>The Woodlands HS</v>
      </c>
      <c r="J393" s="1">
        <v>0.0</v>
      </c>
      <c r="K393" s="1">
        <v>0.0</v>
      </c>
    </row>
    <row r="394">
      <c r="A394" s="1">
        <v>1.0</v>
      </c>
      <c r="B394" s="1">
        <v>5.0</v>
      </c>
      <c r="C394" s="1">
        <v>1.0</v>
      </c>
      <c r="D394" s="1">
        <v>0.0</v>
      </c>
      <c r="E394" s="1">
        <v>0.0</v>
      </c>
      <c r="F394" s="1">
        <v>0.0</v>
      </c>
      <c r="G394" s="2">
        <v>0.0</v>
      </c>
      <c r="H394" s="1" t="s">
        <v>333</v>
      </c>
      <c r="I394" s="1" t="str">
        <f>IFERROR(__xludf.DUMMYFUNCTION("REGEXREPLACE(MID(H394, SEARCH(""["", H394) + 1, SEARCH(""]"", H394) - SEARCH(""["", H394) - 1), ""\[\]"","""")"),"Timberline")</f>
        <v>Timberline</v>
      </c>
      <c r="J394" s="1">
        <v>0.0</v>
      </c>
      <c r="K394" s="1">
        <v>0.0</v>
      </c>
    </row>
    <row r="395">
      <c r="A395" s="1">
        <v>3.0</v>
      </c>
      <c r="B395" s="1">
        <v>12.0</v>
      </c>
      <c r="C395" s="1">
        <v>0.0</v>
      </c>
      <c r="D395" s="1">
        <v>0.0</v>
      </c>
      <c r="E395" s="1">
        <v>0.0</v>
      </c>
      <c r="F395" s="1">
        <v>0.0</v>
      </c>
      <c r="G395" s="2">
        <v>0.0</v>
      </c>
      <c r="H395" s="1" t="s">
        <v>333</v>
      </c>
      <c r="I395" s="1" t="str">
        <f>IFERROR(__xludf.DUMMYFUNCTION("REGEXREPLACE(MID(H395, SEARCH(""["", H395) + 1, SEARCH(""]"", H395) - SEARCH(""["", H395) - 1), ""\[\]"","""")"),"Timberline")</f>
        <v>Timberline</v>
      </c>
      <c r="J395" s="1">
        <v>0.0</v>
      </c>
      <c r="K395" s="1">
        <v>0.0</v>
      </c>
    </row>
    <row r="396">
      <c r="A396" s="1">
        <v>1.0</v>
      </c>
      <c r="B396" s="1">
        <v>5.0</v>
      </c>
      <c r="C396" s="1">
        <v>1.0</v>
      </c>
      <c r="D396" s="1">
        <v>4.0</v>
      </c>
      <c r="E396" s="1">
        <v>0.0</v>
      </c>
      <c r="F396" s="1">
        <v>0.0</v>
      </c>
      <c r="G396" s="2">
        <v>1.0</v>
      </c>
      <c r="H396" s="1" t="s">
        <v>324</v>
      </c>
      <c r="I396" s="1" t="str">
        <f>IFERROR(__xludf.DUMMYFUNCTION("REGEXREPLACE(MID(H396, SEARCH(""["", H396) + 1, SEARCH(""]"", H396) - SEARCH(""["", H396) - 1), ""\[\]"","""")"),"Timberline")</f>
        <v>Timberline</v>
      </c>
      <c r="J396" s="1">
        <v>4.0</v>
      </c>
      <c r="K396" s="1">
        <v>0.0</v>
      </c>
    </row>
    <row r="397">
      <c r="A397" s="1">
        <v>3.0</v>
      </c>
      <c r="B397" s="1">
        <v>12.0</v>
      </c>
      <c r="C397" s="1">
        <v>1.0</v>
      </c>
      <c r="D397" s="1">
        <v>1.33</v>
      </c>
      <c r="E397" s="1">
        <v>0.0</v>
      </c>
      <c r="F397" s="1">
        <v>0.0</v>
      </c>
      <c r="G397" s="2">
        <v>1.0</v>
      </c>
      <c r="H397" s="1" t="s">
        <v>324</v>
      </c>
      <c r="I397" s="1" t="str">
        <f>IFERROR(__xludf.DUMMYFUNCTION("REGEXREPLACE(MID(H397, SEARCH(""["", H397) + 1, SEARCH(""]"", H397) - SEARCH(""["", H397) - 1), ""\[\]"","""")"),"Timberline")</f>
        <v>Timberline</v>
      </c>
      <c r="J397" s="1">
        <v>4.0</v>
      </c>
      <c r="K397" s="1">
        <v>0.0</v>
      </c>
    </row>
    <row r="398">
      <c r="A398" s="1">
        <v>1.0</v>
      </c>
      <c r="B398" s="1">
        <v>5.0</v>
      </c>
      <c r="C398" s="1">
        <v>2.0</v>
      </c>
      <c r="D398" s="1">
        <v>8.0</v>
      </c>
      <c r="E398" s="1">
        <v>0.0</v>
      </c>
      <c r="F398" s="1">
        <v>0.0</v>
      </c>
      <c r="G398" s="2">
        <v>1.0</v>
      </c>
      <c r="H398" s="1" t="s">
        <v>186</v>
      </c>
      <c r="I398" s="1" t="str">
        <f>IFERROR(__xludf.DUMMYFUNCTION("REGEXREPLACE(MID(H398, SEARCH(""["", H398) + 1, SEARCH(""]"", H398) - SEARCH(""["", H398) - 1), ""\[\]"","""")"),"Timberline")</f>
        <v>Timberline</v>
      </c>
      <c r="J398" s="1">
        <v>8.0</v>
      </c>
      <c r="K398" s="1">
        <v>0.0</v>
      </c>
    </row>
    <row r="399">
      <c r="A399" s="1">
        <v>4.0</v>
      </c>
      <c r="B399" s="1">
        <v>16.0</v>
      </c>
      <c r="C399" s="1">
        <v>6.0</v>
      </c>
      <c r="D399" s="1">
        <v>4.0</v>
      </c>
      <c r="E399" s="1">
        <v>0.0</v>
      </c>
      <c r="F399" s="1">
        <v>0.0</v>
      </c>
      <c r="G399" s="6">
        <v>0.667</v>
      </c>
      <c r="H399" s="1" t="s">
        <v>186</v>
      </c>
      <c r="I399" s="1" t="str">
        <f>IFERROR(__xludf.DUMMYFUNCTION("REGEXREPLACE(MID(H399, SEARCH(""["", H399) + 1, SEARCH(""]"", H399) - SEARCH(""["", H399) - 1), ""\[\]"","""")"),"Timberline")</f>
        <v>Timberline</v>
      </c>
      <c r="J399" s="1">
        <v>16.0</v>
      </c>
      <c r="K399" s="1">
        <v>0.0</v>
      </c>
    </row>
    <row r="400">
      <c r="A400" s="1">
        <v>1.0</v>
      </c>
      <c r="B400" s="1">
        <v>5.0</v>
      </c>
      <c r="C400" s="1">
        <v>0.0</v>
      </c>
      <c r="D400" s="1">
        <v>0.0</v>
      </c>
      <c r="E400" s="1">
        <v>0.0</v>
      </c>
      <c r="F400" s="1">
        <v>0.0</v>
      </c>
      <c r="G400" s="2">
        <v>0.0</v>
      </c>
      <c r="H400" s="1" t="s">
        <v>157</v>
      </c>
      <c r="I400" s="1" t="str">
        <f>IFERROR(__xludf.DUMMYFUNCTION("REGEXREPLACE(MID(H400, SEARCH(""["", H400) + 1, SEARCH(""]"", H400) - SEARCH(""["", H400) - 1), ""\[\]"","""")"),"Timberline")</f>
        <v>Timberline</v>
      </c>
      <c r="J400" s="1">
        <v>0.0</v>
      </c>
      <c r="K400" s="1">
        <v>0.0</v>
      </c>
    </row>
    <row r="401">
      <c r="A401" s="1">
        <v>4.0</v>
      </c>
      <c r="B401" s="1">
        <v>16.0</v>
      </c>
      <c r="C401" s="1">
        <v>1.0</v>
      </c>
      <c r="D401" s="1">
        <v>1.0</v>
      </c>
      <c r="E401" s="1">
        <v>0.0</v>
      </c>
      <c r="F401" s="1">
        <v>0.0</v>
      </c>
      <c r="G401" s="2">
        <v>1.0</v>
      </c>
      <c r="H401" s="1" t="s">
        <v>157</v>
      </c>
      <c r="I401" s="1" t="str">
        <f>IFERROR(__xludf.DUMMYFUNCTION("REGEXREPLACE(MID(H401, SEARCH(""["", H401) + 1, SEARCH(""]"", H401) - SEARCH(""["", H401) - 1), ""\[\]"","""")"),"Timberline")</f>
        <v>Timberline</v>
      </c>
      <c r="J401" s="1">
        <v>4.0</v>
      </c>
      <c r="K401" s="1">
        <v>0.0</v>
      </c>
    </row>
    <row r="402">
      <c r="A402" s="1">
        <v>5.0</v>
      </c>
      <c r="B402" s="1">
        <v>19.0</v>
      </c>
      <c r="C402" s="1">
        <v>0.0</v>
      </c>
      <c r="D402" s="1">
        <v>0.0</v>
      </c>
      <c r="E402" s="1">
        <v>0.0</v>
      </c>
      <c r="F402" s="1">
        <v>0.0</v>
      </c>
      <c r="G402" s="2">
        <v>0.0</v>
      </c>
      <c r="H402" s="1" t="s">
        <v>155</v>
      </c>
      <c r="I402" s="1" t="str">
        <f>IFERROR(__xludf.DUMMYFUNCTION("REGEXREPLACE(MID(H402, SEARCH(""["", H402) + 1, SEARCH(""]"", H402) - SEARCH(""["", H402) - 1), ""\[\]"","""")"),"TJ")</f>
        <v>TJ</v>
      </c>
      <c r="J402" s="1">
        <v>0.0</v>
      </c>
      <c r="K402" s="1">
        <v>0.0</v>
      </c>
    </row>
    <row r="403">
      <c r="A403" s="1">
        <v>5.0</v>
      </c>
      <c r="B403" s="1">
        <v>19.0</v>
      </c>
      <c r="C403" s="1">
        <v>0.0</v>
      </c>
      <c r="D403" s="1">
        <v>0.0</v>
      </c>
      <c r="E403" s="1">
        <v>0.0</v>
      </c>
      <c r="F403" s="1">
        <v>0.0</v>
      </c>
      <c r="G403" s="2">
        <v>0.0</v>
      </c>
      <c r="H403" s="1" t="s">
        <v>212</v>
      </c>
      <c r="I403" s="1" t="str">
        <f>IFERROR(__xludf.DUMMYFUNCTION("REGEXREPLACE(MID(H403, SEARCH(""["", H403) + 1, SEARCH(""]"", H403) - SEARCH(""["", H403) - 1), ""\[\]"","""")"),"TJ")</f>
        <v>TJ</v>
      </c>
      <c r="J403" s="1">
        <v>0.0</v>
      </c>
      <c r="K403" s="1">
        <v>0.0</v>
      </c>
    </row>
    <row r="404">
      <c r="A404" s="1">
        <v>1.0</v>
      </c>
      <c r="B404" s="1">
        <v>4.0</v>
      </c>
      <c r="C404" s="1">
        <v>1.0</v>
      </c>
      <c r="D404" s="1">
        <v>4.0</v>
      </c>
      <c r="E404" s="1">
        <v>0.0</v>
      </c>
      <c r="F404" s="1">
        <v>0.0</v>
      </c>
      <c r="G404" s="2">
        <v>1.0</v>
      </c>
      <c r="H404" s="1" t="s">
        <v>334</v>
      </c>
      <c r="I404" s="1" t="str">
        <f>IFERROR(__xludf.DUMMYFUNCTION("REGEXREPLACE(MID(H404, SEARCH(""["", H404) + 1, SEARCH(""]"", H404) - SEARCH(""["", H404) - 1), ""\[\]"","""")"),"TJ")</f>
        <v>TJ</v>
      </c>
      <c r="J404" s="1">
        <v>4.0</v>
      </c>
      <c r="K404" s="1">
        <v>0.0</v>
      </c>
    </row>
    <row r="405">
      <c r="A405" s="1">
        <v>5.0</v>
      </c>
      <c r="B405" s="1">
        <v>19.0</v>
      </c>
      <c r="C405" s="1">
        <v>14.0</v>
      </c>
      <c r="D405" s="1">
        <v>6.4</v>
      </c>
      <c r="E405" s="1">
        <v>0.4</v>
      </c>
      <c r="F405" s="1">
        <v>0.0</v>
      </c>
      <c r="G405" s="6">
        <v>0.714</v>
      </c>
      <c r="H405" s="1" t="s">
        <v>215</v>
      </c>
      <c r="I405" s="1" t="str">
        <f>IFERROR(__xludf.DUMMYFUNCTION("REGEXREPLACE(MID(H405, SEARCH(""["", H405) + 1, SEARCH(""]"", H405) - SEARCH(""["", H405) - 1), ""\[\]"","""")"),"TJ")</f>
        <v>TJ</v>
      </c>
      <c r="J405" s="1">
        <v>32.0</v>
      </c>
      <c r="K405" s="1">
        <v>2.0</v>
      </c>
    </row>
    <row r="406">
      <c r="A406" s="1">
        <v>2.0</v>
      </c>
      <c r="B406" s="1">
        <v>8.0</v>
      </c>
      <c r="C406" s="1">
        <v>7.0</v>
      </c>
      <c r="D406" s="1">
        <v>10.0</v>
      </c>
      <c r="E406" s="1">
        <v>0.5</v>
      </c>
      <c r="F406" s="1">
        <v>0.0</v>
      </c>
      <c r="G406" s="6">
        <v>0.857</v>
      </c>
      <c r="H406" s="1" t="s">
        <v>168</v>
      </c>
      <c r="I406" s="1" t="str">
        <f>IFERROR(__xludf.DUMMYFUNCTION("REGEXREPLACE(MID(H406, SEARCH(""["", H406) + 1, SEARCH(""]"", H406) - SEARCH(""["", H406) - 1), ""\[\]"","""")"),"University")</f>
        <v>University</v>
      </c>
      <c r="J406" s="1">
        <v>20.0</v>
      </c>
      <c r="K406" s="1">
        <v>1.0</v>
      </c>
    </row>
    <row r="407">
      <c r="A407" s="1">
        <v>3.0</v>
      </c>
      <c r="B407" s="1">
        <v>12.0</v>
      </c>
      <c r="C407" s="1">
        <v>8.0</v>
      </c>
      <c r="D407" s="1">
        <v>6.67</v>
      </c>
      <c r="E407" s="1">
        <v>0.33</v>
      </c>
      <c r="F407" s="1">
        <v>0.0</v>
      </c>
      <c r="G407" s="2">
        <v>0.75</v>
      </c>
      <c r="H407" s="1" t="s">
        <v>168</v>
      </c>
      <c r="I407" s="1" t="str">
        <f>IFERROR(__xludf.DUMMYFUNCTION("REGEXREPLACE(MID(H407, SEARCH(""["", H407) + 1, SEARCH(""]"", H407) - SEARCH(""["", H407) - 1), ""\[\]"","""")"),"University")</f>
        <v>University</v>
      </c>
      <c r="J407" s="1">
        <v>20.0</v>
      </c>
      <c r="K407" s="1">
        <v>1.0</v>
      </c>
    </row>
    <row r="408">
      <c r="A408" s="1">
        <v>1.0</v>
      </c>
      <c r="B408" s="1">
        <v>4.0</v>
      </c>
      <c r="C408" s="1">
        <v>0.0</v>
      </c>
      <c r="D408" s="1">
        <v>0.0</v>
      </c>
      <c r="E408" s="1">
        <v>0.0</v>
      </c>
      <c r="F408" s="1">
        <v>0.0</v>
      </c>
      <c r="G408" s="2">
        <v>0.0</v>
      </c>
      <c r="H408" s="1" t="s">
        <v>113</v>
      </c>
      <c r="I408" s="1" t="str">
        <f>IFERROR(__xludf.DUMMYFUNCTION("REGEXREPLACE(MID(H408, SEARCH(""["", H408) + 1, SEARCH(""]"", H408) - SEARCH(""["", H408) - 1), ""\[\]"","""")"),"University")</f>
        <v>University</v>
      </c>
      <c r="J408" s="1">
        <v>0.0</v>
      </c>
      <c r="K408" s="1">
        <v>0.0</v>
      </c>
    </row>
    <row r="409">
      <c r="A409" s="1">
        <v>1.0</v>
      </c>
      <c r="B409" s="1">
        <v>4.0</v>
      </c>
      <c r="C409" s="1">
        <v>0.0</v>
      </c>
      <c r="D409" s="1">
        <v>0.0</v>
      </c>
      <c r="E409" s="1">
        <v>0.0</v>
      </c>
      <c r="F409" s="1">
        <v>0.0</v>
      </c>
      <c r="G409" s="2">
        <v>0.0</v>
      </c>
      <c r="H409" s="1" t="s">
        <v>113</v>
      </c>
      <c r="I409" s="1" t="str">
        <f>IFERROR(__xludf.DUMMYFUNCTION("REGEXREPLACE(MID(H409, SEARCH(""["", H409) + 1, SEARCH(""]"", H409) - SEARCH(""["", H409) - 1), ""\[\]"","""")"),"University")</f>
        <v>University</v>
      </c>
      <c r="J409" s="1">
        <v>0.0</v>
      </c>
      <c r="K409" s="1">
        <v>0.0</v>
      </c>
    </row>
    <row r="410">
      <c r="A410" s="1">
        <v>3.0</v>
      </c>
      <c r="B410" s="1">
        <v>12.0</v>
      </c>
      <c r="C410" s="1">
        <v>0.0</v>
      </c>
      <c r="D410" s="1">
        <v>0.0</v>
      </c>
      <c r="E410" s="1">
        <v>0.0</v>
      </c>
      <c r="F410" s="1">
        <v>0.0</v>
      </c>
      <c r="G410" s="2">
        <v>0.0</v>
      </c>
      <c r="H410" s="1" t="s">
        <v>113</v>
      </c>
      <c r="I410" s="1" t="str">
        <f>IFERROR(__xludf.DUMMYFUNCTION("REGEXREPLACE(MID(H410, SEARCH(""["", H410) + 1, SEARCH(""]"", H410) - SEARCH(""["", H410) - 1), ""\[\]"","""")"),"University")</f>
        <v>University</v>
      </c>
      <c r="J410" s="1">
        <v>0.0</v>
      </c>
      <c r="K410" s="1">
        <v>0.0</v>
      </c>
    </row>
    <row r="411">
      <c r="A411" s="1">
        <v>1.0</v>
      </c>
      <c r="B411" s="1">
        <v>4.0</v>
      </c>
      <c r="C411" s="1">
        <v>0.0</v>
      </c>
      <c r="D411" s="1">
        <v>0.0</v>
      </c>
      <c r="E411" s="1">
        <v>0.0</v>
      </c>
      <c r="F411" s="1">
        <v>0.0</v>
      </c>
      <c r="G411" s="2">
        <v>0.0</v>
      </c>
      <c r="H411" s="1" t="s">
        <v>335</v>
      </c>
      <c r="I411" s="1" t="str">
        <f>IFERROR(__xludf.DUMMYFUNCTION("REGEXREPLACE(MID(H411, SEARCH(""["", H411) + 1, SEARCH(""]"", H411) - SEARCH(""["", H411) - 1), ""\[\]"","""")"),"University")</f>
        <v>University</v>
      </c>
      <c r="J411" s="1">
        <v>0.0</v>
      </c>
      <c r="K411" s="1">
        <v>0.0</v>
      </c>
    </row>
    <row r="412">
      <c r="A412" s="1">
        <v>2.0</v>
      </c>
      <c r="B412" s="1">
        <v>8.0</v>
      </c>
      <c r="C412" s="1">
        <v>0.0</v>
      </c>
      <c r="D412" s="1">
        <v>0.0</v>
      </c>
      <c r="E412" s="1">
        <v>0.0</v>
      </c>
      <c r="F412" s="1">
        <v>0.0</v>
      </c>
      <c r="G412" s="2">
        <v>0.0</v>
      </c>
      <c r="H412" s="1" t="s">
        <v>335</v>
      </c>
      <c r="I412" s="1" t="str">
        <f>IFERROR(__xludf.DUMMYFUNCTION("REGEXREPLACE(MID(H412, SEARCH(""["", H412) + 1, SEARCH(""]"", H412) - SEARCH(""["", H412) - 1), ""\[\]"","""")"),"University")</f>
        <v>University</v>
      </c>
      <c r="J412" s="1">
        <v>0.0</v>
      </c>
      <c r="K412" s="1">
        <v>0.0</v>
      </c>
    </row>
    <row r="413">
      <c r="A413" s="1">
        <v>1.0</v>
      </c>
      <c r="B413" s="1">
        <v>4.0</v>
      </c>
      <c r="C413" s="1">
        <v>1.0</v>
      </c>
      <c r="D413" s="1">
        <v>0.0</v>
      </c>
      <c r="E413" s="1">
        <v>0.0</v>
      </c>
      <c r="F413" s="1">
        <v>0.0</v>
      </c>
      <c r="G413" s="2">
        <v>0.0</v>
      </c>
      <c r="H413" s="1" t="s">
        <v>336</v>
      </c>
      <c r="I413" s="1" t="str">
        <f>IFERROR(__xludf.DUMMYFUNCTION("REGEXREPLACE(MID(H413, SEARCH(""["", H413) + 1, SEARCH(""]"", H413) - SEARCH(""["", H413) - 1), ""\[\]"","""")"),"University")</f>
        <v>University</v>
      </c>
      <c r="J413" s="1">
        <v>0.0</v>
      </c>
      <c r="K413" s="1">
        <v>0.0</v>
      </c>
    </row>
    <row r="414">
      <c r="A414" s="1">
        <v>1.0</v>
      </c>
      <c r="B414" s="1">
        <v>4.0</v>
      </c>
      <c r="C414" s="1">
        <v>1.0</v>
      </c>
      <c r="D414" s="1">
        <v>-4.0</v>
      </c>
      <c r="E414" s="1">
        <v>1.0</v>
      </c>
      <c r="F414" s="1">
        <v>0.0</v>
      </c>
      <c r="G414" s="2">
        <v>0.0</v>
      </c>
      <c r="H414" s="1" t="s">
        <v>336</v>
      </c>
      <c r="I414" s="1" t="str">
        <f>IFERROR(__xludf.DUMMYFUNCTION("REGEXREPLACE(MID(H414, SEARCH(""["", H414) + 1, SEARCH(""]"", H414) - SEARCH(""["", H414) - 1), ""\[\]"","""")"),"University")</f>
        <v>University</v>
      </c>
      <c r="J414" s="1">
        <v>-4.0</v>
      </c>
      <c r="K414" s="1">
        <v>1.0</v>
      </c>
    </row>
    <row r="415">
      <c r="A415" s="1">
        <v>2.0</v>
      </c>
      <c r="B415" s="1">
        <v>8.0</v>
      </c>
      <c r="C415" s="1">
        <v>0.0</v>
      </c>
      <c r="D415" s="1">
        <v>0.0</v>
      </c>
      <c r="E415" s="1">
        <v>0.0</v>
      </c>
      <c r="F415" s="1">
        <v>0.0</v>
      </c>
      <c r="G415" s="2">
        <v>0.0</v>
      </c>
      <c r="H415" s="1" t="s">
        <v>337</v>
      </c>
      <c r="I415" s="1" t="str">
        <f>IFERROR(__xludf.DUMMYFUNCTION("REGEXREPLACE(MID(H415, SEARCH(""["", H415) + 1, SEARCH(""]"", H415) - SEARCH(""["", H415) - 1), ""\[\]"","""")"),"University")</f>
        <v>University</v>
      </c>
      <c r="J415" s="1">
        <v>0.0</v>
      </c>
      <c r="K415" s="1">
        <v>0.0</v>
      </c>
    </row>
    <row r="416">
      <c r="A416" s="1">
        <v>3.0</v>
      </c>
      <c r="B416" s="1">
        <v>12.0</v>
      </c>
      <c r="C416" s="1">
        <v>0.0</v>
      </c>
      <c r="D416" s="1">
        <v>0.0</v>
      </c>
      <c r="E416" s="1">
        <v>0.0</v>
      </c>
      <c r="F416" s="1">
        <v>0.0</v>
      </c>
      <c r="G416" s="2">
        <v>0.0</v>
      </c>
      <c r="H416" s="1" t="s">
        <v>337</v>
      </c>
      <c r="I416" s="1" t="str">
        <f>IFERROR(__xludf.DUMMYFUNCTION("REGEXREPLACE(MID(H416, SEARCH(""["", H416) + 1, SEARCH(""]"", H416) - SEARCH(""["", H416) - 1), ""\[\]"","""")"),"University")</f>
        <v>University</v>
      </c>
      <c r="J416" s="1">
        <v>0.0</v>
      </c>
      <c r="K416" s="1">
        <v>0.0</v>
      </c>
    </row>
    <row r="417">
      <c r="A417" s="1">
        <v>4.0</v>
      </c>
      <c r="B417" s="1">
        <v>16.0</v>
      </c>
      <c r="C417" s="1">
        <v>1.0</v>
      </c>
      <c r="D417" s="1">
        <v>0.0</v>
      </c>
      <c r="E417" s="1">
        <v>0.0</v>
      </c>
      <c r="F417" s="1">
        <v>0.0</v>
      </c>
      <c r="G417" s="2">
        <v>0.0</v>
      </c>
      <c r="H417" s="1" t="s">
        <v>299</v>
      </c>
      <c r="I417" s="1" t="str">
        <f>IFERROR(__xludf.DUMMYFUNCTION("REGEXREPLACE(MID(H417, SEARCH(""["", H417) + 1, SEARCH(""]"", H417) - SEARCH(""["", H417) - 1), ""\[\]"","""")"),"Vancomycin")</f>
        <v>Vancomycin</v>
      </c>
      <c r="J417" s="1">
        <v>0.0</v>
      </c>
      <c r="K417" s="1">
        <v>0.0</v>
      </c>
    </row>
    <row r="418">
      <c r="A418" s="1">
        <v>1.0</v>
      </c>
      <c r="B418" s="1">
        <v>4.0</v>
      </c>
      <c r="C418" s="1">
        <v>0.0</v>
      </c>
      <c r="D418" s="1">
        <v>0.0</v>
      </c>
      <c r="E418" s="1">
        <v>0.0</v>
      </c>
      <c r="F418" s="1">
        <v>0.0</v>
      </c>
      <c r="G418" s="2">
        <v>0.0</v>
      </c>
      <c r="H418" s="1" t="s">
        <v>256</v>
      </c>
      <c r="I418" s="1" t="str">
        <f>IFERROR(__xludf.DUMMYFUNCTION("REGEXREPLACE(MID(H418, SEARCH(""["", H418) + 1, SEARCH(""]"", H418) - SEARCH(""["", H418) - 1), ""\[\]"","""")"),"Vancomycin")</f>
        <v>Vancomycin</v>
      </c>
      <c r="J418" s="1">
        <v>0.0</v>
      </c>
      <c r="K418" s="1">
        <v>0.0</v>
      </c>
    </row>
    <row r="419">
      <c r="A419" s="1">
        <v>3.0</v>
      </c>
      <c r="B419" s="1">
        <v>12.0</v>
      </c>
      <c r="C419" s="1">
        <v>8.0</v>
      </c>
      <c r="D419" s="1">
        <v>9.33</v>
      </c>
      <c r="E419" s="1">
        <v>0.0</v>
      </c>
      <c r="F419" s="1">
        <v>0.0</v>
      </c>
      <c r="G419" s="6">
        <v>0.875</v>
      </c>
      <c r="H419" s="1" t="s">
        <v>216</v>
      </c>
      <c r="I419" s="1" t="str">
        <f>IFERROR(__xludf.DUMMYFUNCTION("REGEXREPLACE(MID(H419, SEARCH(""["", H419) + 1, SEARCH(""]"", H419) - SEARCH(""["", H419) - 1), ""\[\]"","""")"),"Vancomycin")</f>
        <v>Vancomycin</v>
      </c>
      <c r="J419" s="1">
        <v>28.0</v>
      </c>
      <c r="K419" s="1">
        <v>0.0</v>
      </c>
    </row>
    <row r="420">
      <c r="A420" s="1">
        <v>1.0</v>
      </c>
      <c r="B420" s="1">
        <v>4.0</v>
      </c>
      <c r="C420" s="1">
        <v>2.0</v>
      </c>
      <c r="D420" s="1">
        <v>8.0</v>
      </c>
      <c r="E420" s="1">
        <v>0.0</v>
      </c>
      <c r="F420" s="1">
        <v>0.0</v>
      </c>
      <c r="G420" s="2">
        <v>1.0</v>
      </c>
      <c r="H420" s="1" t="s">
        <v>216</v>
      </c>
      <c r="I420" s="1" t="str">
        <f>IFERROR(__xludf.DUMMYFUNCTION("REGEXREPLACE(MID(H420, SEARCH(""["", H420) + 1, SEARCH(""]"", H420) - SEARCH(""["", H420) - 1), ""\[\]"","""")"),"Vancomycin")</f>
        <v>Vancomycin</v>
      </c>
      <c r="J420" s="1">
        <v>8.0</v>
      </c>
      <c r="K420" s="1">
        <v>0.0</v>
      </c>
    </row>
    <row r="421">
      <c r="A421" s="1">
        <v>1.0</v>
      </c>
      <c r="B421" s="1">
        <v>4.0</v>
      </c>
      <c r="C421" s="1">
        <v>3.0</v>
      </c>
      <c r="D421" s="1">
        <v>0.0</v>
      </c>
      <c r="E421" s="1">
        <v>1.0</v>
      </c>
      <c r="F421" s="1">
        <v>0.0</v>
      </c>
      <c r="G421" s="6">
        <v>0.333</v>
      </c>
      <c r="H421" s="1" t="s">
        <v>216</v>
      </c>
      <c r="I421" s="1" t="str">
        <f>IFERROR(__xludf.DUMMYFUNCTION("REGEXREPLACE(MID(H421, SEARCH(""["", H421) + 1, SEARCH(""]"", H421) - SEARCH(""["", H421) - 1), ""\[\]"","""")"),"Vancomycin")</f>
        <v>Vancomycin</v>
      </c>
      <c r="J421" s="1">
        <v>0.0</v>
      </c>
      <c r="K421" s="1">
        <v>1.0</v>
      </c>
    </row>
    <row r="422">
      <c r="A422" s="1">
        <v>1.0</v>
      </c>
      <c r="B422" s="1">
        <v>4.0</v>
      </c>
      <c r="C422" s="1">
        <v>0.0</v>
      </c>
      <c r="D422" s="1">
        <v>0.0</v>
      </c>
      <c r="E422" s="1">
        <v>0.0</v>
      </c>
      <c r="F422" s="1">
        <v>0.0</v>
      </c>
      <c r="G422" s="2">
        <v>0.0</v>
      </c>
      <c r="H422" s="1" t="s">
        <v>338</v>
      </c>
      <c r="I422" s="1" t="str">
        <f>IFERROR(__xludf.DUMMYFUNCTION("REGEXREPLACE(MID(H422, SEARCH(""["", H422) + 1, SEARCH(""]"", H422) - SEARCH(""["", H422) - 1), ""\[\]"","""")"),"VMATHs")</f>
        <v>VMATHs</v>
      </c>
      <c r="J422" s="1">
        <v>0.0</v>
      </c>
      <c r="K422" s="1">
        <v>0.0</v>
      </c>
    </row>
    <row r="423">
      <c r="A423" s="1">
        <v>1.0</v>
      </c>
      <c r="B423" s="1">
        <v>4.0</v>
      </c>
      <c r="C423" s="1">
        <v>0.0</v>
      </c>
      <c r="D423" s="1">
        <v>0.0</v>
      </c>
      <c r="E423" s="1">
        <v>0.0</v>
      </c>
      <c r="F423" s="1">
        <v>0.0</v>
      </c>
      <c r="G423" s="2">
        <v>0.0</v>
      </c>
      <c r="H423" s="1" t="s">
        <v>338</v>
      </c>
      <c r="I423" s="1" t="str">
        <f>IFERROR(__xludf.DUMMYFUNCTION("REGEXREPLACE(MID(H423, SEARCH(""["", H423) + 1, SEARCH(""]"", H423) - SEARCH(""["", H423) - 1), ""\[\]"","""")"),"VMATHs")</f>
        <v>VMATHs</v>
      </c>
      <c r="J423" s="1">
        <v>0.0</v>
      </c>
      <c r="K423" s="1">
        <v>0.0</v>
      </c>
    </row>
    <row r="424">
      <c r="A424" s="1">
        <v>1.0</v>
      </c>
      <c r="B424" s="1">
        <v>4.0</v>
      </c>
      <c r="C424" s="1">
        <v>0.0</v>
      </c>
      <c r="D424" s="1">
        <v>0.0</v>
      </c>
      <c r="E424" s="1">
        <v>0.0</v>
      </c>
      <c r="F424" s="1">
        <v>0.0</v>
      </c>
      <c r="G424" s="2">
        <v>0.0</v>
      </c>
      <c r="H424" s="1" t="s">
        <v>339</v>
      </c>
      <c r="I424" s="1" t="str">
        <f>IFERROR(__xludf.DUMMYFUNCTION("REGEXREPLACE(MID(H424, SEARCH(""["", H424) + 1, SEARCH(""]"", H424) - SEARCH(""["", H424) - 1), ""\[\]"","""")"),"VMATHs")</f>
        <v>VMATHs</v>
      </c>
      <c r="J424" s="1">
        <v>0.0</v>
      </c>
      <c r="K424" s="1">
        <v>0.0</v>
      </c>
    </row>
    <row r="425">
      <c r="A425" s="1">
        <v>2.0</v>
      </c>
      <c r="B425" s="1">
        <v>8.0</v>
      </c>
      <c r="C425" s="1">
        <v>7.0</v>
      </c>
      <c r="D425" s="1">
        <v>12.0</v>
      </c>
      <c r="E425" s="1">
        <v>0.0</v>
      </c>
      <c r="F425" s="1">
        <v>0.0</v>
      </c>
      <c r="G425" s="6">
        <v>0.857</v>
      </c>
      <c r="H425" s="1" t="s">
        <v>83</v>
      </c>
      <c r="I425" s="1" t="str">
        <f>IFERROR(__xludf.DUMMYFUNCTION("REGEXREPLACE(MID(H425, SEARCH(""["", H425) + 1, SEARCH(""]"", H425) - SEARCH(""["", H425) - 1), ""\[\]"","""")"),"VMATHs")</f>
        <v>VMATHs</v>
      </c>
      <c r="J425" s="1">
        <v>24.0</v>
      </c>
      <c r="K425" s="1">
        <v>0.0</v>
      </c>
    </row>
    <row r="426">
      <c r="A426" s="1">
        <v>1.0</v>
      </c>
      <c r="B426" s="1">
        <v>4.0</v>
      </c>
      <c r="C426" s="1">
        <v>4.0</v>
      </c>
      <c r="D426" s="1">
        <v>4.0</v>
      </c>
      <c r="E426" s="1">
        <v>1.0</v>
      </c>
      <c r="F426" s="1">
        <v>0.0</v>
      </c>
      <c r="G426" s="2">
        <v>0.5</v>
      </c>
      <c r="H426" s="1" t="s">
        <v>83</v>
      </c>
      <c r="I426" s="1" t="str">
        <f>IFERROR(__xludf.DUMMYFUNCTION("REGEXREPLACE(MID(H426, SEARCH(""["", H426) + 1, SEARCH(""]"", H426) - SEARCH(""["", H426) - 1), ""\[\]"","""")"),"VMATHs")</f>
        <v>VMATHs</v>
      </c>
      <c r="J426" s="1">
        <v>4.0</v>
      </c>
      <c r="K426" s="1">
        <v>1.0</v>
      </c>
    </row>
    <row r="427">
      <c r="A427" s="1">
        <v>1.0</v>
      </c>
      <c r="B427" s="1">
        <v>4.0</v>
      </c>
      <c r="C427" s="1">
        <v>0.0</v>
      </c>
      <c r="D427" s="1">
        <v>0.0</v>
      </c>
      <c r="E427" s="1">
        <v>0.0</v>
      </c>
      <c r="F427" s="1">
        <v>0.0</v>
      </c>
      <c r="G427" s="2">
        <v>0.0</v>
      </c>
      <c r="H427" s="1" t="s">
        <v>340</v>
      </c>
      <c r="I427" s="1" t="str">
        <f>IFERROR(__xludf.DUMMYFUNCTION("REGEXREPLACE(MID(H427, SEARCH(""["", H427) + 1, SEARCH(""]"", H427) - SEARCH(""["", H427) - 1), ""\[\]"","""")"),"VMATHs")</f>
        <v>VMATHs</v>
      </c>
      <c r="J427" s="1">
        <v>0.0</v>
      </c>
      <c r="K427" s="1">
        <v>0.0</v>
      </c>
    </row>
    <row r="428">
      <c r="A428" s="1">
        <v>1.0</v>
      </c>
      <c r="B428" s="1">
        <v>4.0</v>
      </c>
      <c r="C428" s="1">
        <v>0.0</v>
      </c>
      <c r="D428" s="1">
        <v>0.0</v>
      </c>
      <c r="E428" s="1">
        <v>0.0</v>
      </c>
      <c r="F428" s="1">
        <v>0.0</v>
      </c>
      <c r="G428" s="2">
        <v>0.0</v>
      </c>
      <c r="H428" s="1" t="s">
        <v>340</v>
      </c>
      <c r="I428" s="1" t="str">
        <f>IFERROR(__xludf.DUMMYFUNCTION("REGEXREPLACE(MID(H428, SEARCH(""["", H428) + 1, SEARCH(""]"", H428) - SEARCH(""["", H428) - 1), ""\[\]"","""")"),"VMATHs")</f>
        <v>VMATHs</v>
      </c>
      <c r="J428" s="1">
        <v>0.0</v>
      </c>
      <c r="K428" s="1">
        <v>0.0</v>
      </c>
    </row>
    <row r="429">
      <c r="A429" s="1">
        <v>3.0</v>
      </c>
      <c r="B429" s="1">
        <v>12.0</v>
      </c>
      <c r="C429" s="1">
        <v>1.0</v>
      </c>
      <c r="D429" s="1">
        <v>1.33</v>
      </c>
      <c r="E429" s="1">
        <v>0.0</v>
      </c>
      <c r="F429" s="1">
        <v>0.0</v>
      </c>
      <c r="G429" s="2">
        <v>1.0</v>
      </c>
      <c r="H429" s="1" t="s">
        <v>258</v>
      </c>
      <c r="I429" s="1" t="str">
        <f>IFERROR(__xludf.DUMMYFUNCTION("REGEXREPLACE(MID(H429, SEARCH(""["", H429) + 1, SEARCH(""]"", H429) - SEARCH(""["", H429) - 1), ""\[\]"","""")"),"Ward Melville 1")</f>
        <v>Ward Melville 1</v>
      </c>
      <c r="J429" s="1">
        <v>4.0</v>
      </c>
      <c r="K429" s="1">
        <v>0.0</v>
      </c>
    </row>
    <row r="430">
      <c r="A430" s="1">
        <v>1.0</v>
      </c>
      <c r="B430" s="1">
        <v>4.0</v>
      </c>
      <c r="C430" s="1">
        <v>3.0</v>
      </c>
      <c r="D430" s="1">
        <v>4.0</v>
      </c>
      <c r="E430" s="1">
        <v>1.0</v>
      </c>
      <c r="F430" s="1">
        <v>0.0</v>
      </c>
      <c r="G430" s="6">
        <v>0.667</v>
      </c>
      <c r="H430" s="1" t="s">
        <v>301</v>
      </c>
      <c r="I430" s="1" t="str">
        <f>IFERROR(__xludf.DUMMYFUNCTION("REGEXREPLACE(MID(H430, SEARCH(""["", H430) + 1, SEARCH(""]"", H430) - SEARCH(""["", H430) - 1), ""\[\]"","""")"),"Ward Melville 1")</f>
        <v>Ward Melville 1</v>
      </c>
      <c r="J430" s="1">
        <v>4.0</v>
      </c>
      <c r="K430" s="1">
        <v>1.0</v>
      </c>
    </row>
    <row r="431">
      <c r="A431" s="1">
        <v>1.0</v>
      </c>
      <c r="B431" s="1">
        <v>4.0</v>
      </c>
      <c r="C431" s="1">
        <v>2.0</v>
      </c>
      <c r="D431" s="1">
        <v>0.0</v>
      </c>
      <c r="E431" s="1">
        <v>1.0</v>
      </c>
      <c r="F431" s="1">
        <v>0.0</v>
      </c>
      <c r="G431" s="2">
        <v>0.5</v>
      </c>
      <c r="H431" s="1" t="s">
        <v>301</v>
      </c>
      <c r="I431" s="1" t="str">
        <f>IFERROR(__xludf.DUMMYFUNCTION("REGEXREPLACE(MID(H431, SEARCH(""["", H431) + 1, SEARCH(""]"", H431) - SEARCH(""["", H431) - 1), ""\[\]"","""")"),"Ward Melville 1")</f>
        <v>Ward Melville 1</v>
      </c>
      <c r="J431" s="1">
        <v>0.0</v>
      </c>
      <c r="K431" s="1">
        <v>1.0</v>
      </c>
    </row>
    <row r="432">
      <c r="A432" s="1">
        <v>2.0</v>
      </c>
      <c r="B432" s="1">
        <v>8.0</v>
      </c>
      <c r="C432" s="1">
        <v>1.0</v>
      </c>
      <c r="D432" s="1">
        <v>2.0</v>
      </c>
      <c r="E432" s="1">
        <v>0.0</v>
      </c>
      <c r="F432" s="1">
        <v>0.0</v>
      </c>
      <c r="G432" s="2">
        <v>1.0</v>
      </c>
      <c r="H432" s="1" t="s">
        <v>87</v>
      </c>
      <c r="I432" s="1" t="str">
        <f>IFERROR(__xludf.DUMMYFUNCTION("REGEXREPLACE(MID(H432, SEARCH(""["", H432) + 1, SEARCH(""]"", H432) - SEARCH(""["", H432) - 1), ""\[\]"","""")"),"Ward Melville 1")</f>
        <v>Ward Melville 1</v>
      </c>
      <c r="J432" s="1">
        <v>4.0</v>
      </c>
      <c r="K432" s="1">
        <v>0.0</v>
      </c>
    </row>
    <row r="433">
      <c r="A433" s="1">
        <v>1.0</v>
      </c>
      <c r="B433" s="1">
        <v>4.0</v>
      </c>
      <c r="C433" s="1">
        <v>0.0</v>
      </c>
      <c r="D433" s="1">
        <v>0.0</v>
      </c>
      <c r="E433" s="1">
        <v>0.0</v>
      </c>
      <c r="F433" s="1">
        <v>0.0</v>
      </c>
      <c r="G433" s="2">
        <v>0.0</v>
      </c>
      <c r="H433" s="1" t="s">
        <v>87</v>
      </c>
      <c r="I433" s="1" t="str">
        <f>IFERROR(__xludf.DUMMYFUNCTION("REGEXREPLACE(MID(H433, SEARCH(""["", H433) + 1, SEARCH(""]"", H433) - SEARCH(""["", H433) - 1), ""\[\]"","""")"),"Ward Melville 1")</f>
        <v>Ward Melville 1</v>
      </c>
      <c r="J433" s="1">
        <v>0.0</v>
      </c>
      <c r="K433" s="1">
        <v>0.0</v>
      </c>
    </row>
    <row r="434">
      <c r="A434" s="1">
        <v>1.0</v>
      </c>
      <c r="B434" s="1">
        <v>4.0</v>
      </c>
      <c r="C434" s="1">
        <v>0.0</v>
      </c>
      <c r="D434" s="1">
        <v>0.0</v>
      </c>
      <c r="E434" s="1">
        <v>0.0</v>
      </c>
      <c r="F434" s="1">
        <v>0.0</v>
      </c>
      <c r="G434" s="2">
        <v>0.0</v>
      </c>
      <c r="H434" s="1" t="s">
        <v>87</v>
      </c>
      <c r="I434" s="1" t="str">
        <f>IFERROR(__xludf.DUMMYFUNCTION("REGEXREPLACE(MID(H434, SEARCH(""["", H434) + 1, SEARCH(""]"", H434) - SEARCH(""["", H434) - 1), ""\[\]"","""")"),"Ward Melville 1")</f>
        <v>Ward Melville 1</v>
      </c>
      <c r="J434" s="1">
        <v>0.0</v>
      </c>
      <c r="K434" s="1">
        <v>0.0</v>
      </c>
    </row>
    <row r="435">
      <c r="A435" s="1">
        <v>1.0</v>
      </c>
      <c r="B435" s="1">
        <v>4.0</v>
      </c>
      <c r="C435" s="1">
        <v>0.0</v>
      </c>
      <c r="D435" s="1">
        <v>0.0</v>
      </c>
      <c r="E435" s="1">
        <v>0.0</v>
      </c>
      <c r="F435" s="1">
        <v>0.0</v>
      </c>
      <c r="G435" s="2">
        <v>0.0</v>
      </c>
      <c r="H435" s="1" t="s">
        <v>341</v>
      </c>
      <c r="I435" s="1" t="str">
        <f>IFERROR(__xludf.DUMMYFUNCTION("REGEXREPLACE(MID(H435, SEARCH(""["", H435) + 1, SEARCH(""]"", H435) - SEARCH(""["", H435) - 1), ""\[\]"","""")"),"Ward Melville 2")</f>
        <v>Ward Melville 2</v>
      </c>
      <c r="J435" s="1">
        <v>0.0</v>
      </c>
      <c r="K435" s="1">
        <v>0.0</v>
      </c>
    </row>
    <row r="436">
      <c r="A436" s="1">
        <v>1.0</v>
      </c>
      <c r="B436" s="1">
        <v>4.0</v>
      </c>
      <c r="C436" s="1">
        <v>0.0</v>
      </c>
      <c r="D436" s="1">
        <v>0.0</v>
      </c>
      <c r="E436" s="1">
        <v>0.0</v>
      </c>
      <c r="F436" s="1">
        <v>0.0</v>
      </c>
      <c r="G436" s="2">
        <v>0.0</v>
      </c>
      <c r="H436" s="1" t="s">
        <v>341</v>
      </c>
      <c r="I436" s="1" t="str">
        <f>IFERROR(__xludf.DUMMYFUNCTION("REGEXREPLACE(MID(H436, SEARCH(""["", H436) + 1, SEARCH(""]"", H436) - SEARCH(""["", H436) - 1), ""\[\]"","""")"),"Ward Melville 2")</f>
        <v>Ward Melville 2</v>
      </c>
      <c r="J436" s="1">
        <v>0.0</v>
      </c>
      <c r="K436" s="1">
        <v>0.0</v>
      </c>
    </row>
    <row r="437">
      <c r="A437" s="1">
        <v>5.0</v>
      </c>
      <c r="B437" s="1">
        <v>20.0</v>
      </c>
      <c r="C437" s="1">
        <v>11.0</v>
      </c>
      <c r="D437" s="1">
        <v>5.6</v>
      </c>
      <c r="E437" s="1">
        <v>0.2</v>
      </c>
      <c r="F437" s="1">
        <v>0.0</v>
      </c>
      <c r="G437" s="6">
        <v>0.727</v>
      </c>
      <c r="H437" s="1" t="s">
        <v>312</v>
      </c>
      <c r="I437" s="1" t="str">
        <f>IFERROR(__xludf.DUMMYFUNCTION("REGEXREPLACE(MID(H437, SEARCH(""["", H437) + 1, SEARCH(""]"", H437) - SEARCH(""["", H437) - 1), ""\[\]"","""")"),"Ward Melville 2")</f>
        <v>Ward Melville 2</v>
      </c>
      <c r="J437" s="1">
        <v>28.0</v>
      </c>
      <c r="K437" s="1">
        <v>1.0</v>
      </c>
    </row>
    <row r="438">
      <c r="A438" s="1">
        <v>1.0</v>
      </c>
      <c r="B438" s="1">
        <v>4.0</v>
      </c>
      <c r="C438" s="1">
        <v>0.0</v>
      </c>
      <c r="D438" s="1">
        <v>0.0</v>
      </c>
      <c r="E438" s="1">
        <v>0.0</v>
      </c>
      <c r="F438" s="1">
        <v>0.0</v>
      </c>
      <c r="G438" s="2">
        <v>0.0</v>
      </c>
      <c r="H438" s="1" t="s">
        <v>260</v>
      </c>
      <c r="I438" s="1" t="str">
        <f>IFERROR(__xludf.DUMMYFUNCTION("REGEXREPLACE(MID(H438, SEARCH(""["", H438) + 1, SEARCH(""]"", H438) - SEARCH(""["", H438) - 1), ""\[\]"","""")"),"Ward Melville 2")</f>
        <v>Ward Melville 2</v>
      </c>
      <c r="J438" s="1">
        <v>0.0</v>
      </c>
      <c r="K438" s="1">
        <v>0.0</v>
      </c>
    </row>
    <row r="439">
      <c r="A439" s="1">
        <v>4.0</v>
      </c>
      <c r="B439" s="1">
        <v>16.0</v>
      </c>
      <c r="C439" s="1">
        <v>0.0</v>
      </c>
      <c r="D439" s="1">
        <v>0.0</v>
      </c>
      <c r="E439" s="1">
        <v>0.0</v>
      </c>
      <c r="F439" s="1">
        <v>0.0</v>
      </c>
      <c r="G439" s="2">
        <v>0.0</v>
      </c>
      <c r="H439" s="1" t="s">
        <v>260</v>
      </c>
      <c r="I439" s="1" t="str">
        <f>IFERROR(__xludf.DUMMYFUNCTION("REGEXREPLACE(MID(H439, SEARCH(""["", H439) + 1, SEARCH(""]"", H439) - SEARCH(""["", H439) - 1), ""\[\]"","""")"),"Ward Melville 2")</f>
        <v>Ward Melville 2</v>
      </c>
      <c r="J439" s="1">
        <v>0.0</v>
      </c>
      <c r="K439" s="1">
        <v>0.0</v>
      </c>
    </row>
    <row r="440">
      <c r="A440" s="1">
        <v>4.0</v>
      </c>
      <c r="B440" s="1">
        <v>16.0</v>
      </c>
      <c r="C440" s="1">
        <v>0.0</v>
      </c>
      <c r="D440" s="1">
        <v>0.0</v>
      </c>
      <c r="E440" s="1">
        <v>0.0</v>
      </c>
      <c r="F440" s="1">
        <v>0.0</v>
      </c>
      <c r="G440" s="2">
        <v>0.0</v>
      </c>
      <c r="H440" s="1" t="s">
        <v>327</v>
      </c>
      <c r="I440" s="1" t="str">
        <f>IFERROR(__xludf.DUMMYFUNCTION("REGEXREPLACE(MID(H440, SEARCH(""["", H440) + 1, SEARCH(""]"", H440) - SEARCH(""["", H440) - 1), ""\[\]"","""")"),"Ward Melville 2")</f>
        <v>Ward Melville 2</v>
      </c>
      <c r="J440" s="1">
        <v>0.0</v>
      </c>
      <c r="K440" s="1">
        <v>0.0</v>
      </c>
    </row>
    <row r="441">
      <c r="A441" s="1">
        <v>5.0</v>
      </c>
      <c r="B441" s="1">
        <v>20.0</v>
      </c>
      <c r="C441" s="1">
        <v>2.0</v>
      </c>
      <c r="D441" s="1">
        <v>0.0</v>
      </c>
      <c r="E441" s="1">
        <v>0.2</v>
      </c>
      <c r="F441" s="1">
        <v>0.0</v>
      </c>
      <c r="G441" s="2">
        <v>0.5</v>
      </c>
      <c r="H441" s="1" t="s">
        <v>131</v>
      </c>
      <c r="I441" s="1" t="str">
        <f>IFERROR(__xludf.DUMMYFUNCTION("REGEXREPLACE(MID(H441, SEARCH(""["", H441) + 1, SEARCH(""]"", H441) - SEARCH(""["", H441) - 1), ""\[\]"","""")"),"Whitney Young")</f>
        <v>Whitney Young</v>
      </c>
      <c r="J441" s="1">
        <v>0.0</v>
      </c>
      <c r="K441" s="1">
        <v>1.0</v>
      </c>
    </row>
    <row r="442">
      <c r="A442" s="1">
        <v>2.0</v>
      </c>
      <c r="B442" s="1">
        <v>8.0</v>
      </c>
      <c r="C442" s="1">
        <v>0.0</v>
      </c>
      <c r="D442" s="1">
        <v>0.0</v>
      </c>
      <c r="E442" s="1">
        <v>0.0</v>
      </c>
      <c r="F442" s="1">
        <v>0.0</v>
      </c>
      <c r="G442" s="2">
        <v>0.0</v>
      </c>
      <c r="H442" s="1" t="s">
        <v>342</v>
      </c>
      <c r="I442" s="1" t="str">
        <f>IFERROR(__xludf.DUMMYFUNCTION("REGEXREPLACE(MID(H442, SEARCH(""["", H442) + 1, SEARCH(""]"", H442) - SEARCH(""["", H442) - 1), ""\[\]"","""")"),"Whitney Young")</f>
        <v>Whitney Young</v>
      </c>
      <c r="J442" s="1">
        <v>0.0</v>
      </c>
      <c r="K442" s="1">
        <v>0.0</v>
      </c>
    </row>
    <row r="443">
      <c r="A443" s="1">
        <v>1.0</v>
      </c>
      <c r="B443" s="1">
        <v>4.0</v>
      </c>
      <c r="C443" s="1">
        <v>1.0</v>
      </c>
      <c r="D443" s="1">
        <v>4.0</v>
      </c>
      <c r="E443" s="1">
        <v>0.0</v>
      </c>
      <c r="F443" s="1">
        <v>0.0</v>
      </c>
      <c r="G443" s="2">
        <v>1.0</v>
      </c>
      <c r="H443" s="1" t="s">
        <v>343</v>
      </c>
      <c r="I443" s="1" t="str">
        <f>IFERROR(__xludf.DUMMYFUNCTION("REGEXREPLACE(MID(H443, SEARCH(""["", H443) + 1, SEARCH(""]"", H443) - SEARCH(""["", H443) - 1), ""\[\]"","""")"),"Whitney Young")</f>
        <v>Whitney Young</v>
      </c>
      <c r="J443" s="1">
        <v>4.0</v>
      </c>
      <c r="K443" s="1">
        <v>0.0</v>
      </c>
    </row>
    <row r="444">
      <c r="A444" s="1">
        <v>4.0</v>
      </c>
      <c r="B444" s="1">
        <v>16.0</v>
      </c>
      <c r="C444" s="1">
        <v>11.0</v>
      </c>
      <c r="D444" s="1">
        <v>3.0</v>
      </c>
      <c r="E444" s="1">
        <v>0.5</v>
      </c>
      <c r="F444" s="1">
        <v>0.0</v>
      </c>
      <c r="G444" s="6">
        <v>0.455</v>
      </c>
      <c r="H444" s="1" t="s">
        <v>343</v>
      </c>
      <c r="I444" s="1" t="str">
        <f>IFERROR(__xludf.DUMMYFUNCTION("REGEXREPLACE(MID(H444, SEARCH(""["", H444) + 1, SEARCH(""]"", H444) - SEARCH(""["", H444) - 1), ""\[\]"","""")"),"Whitney Young")</f>
        <v>Whitney Young</v>
      </c>
      <c r="J444" s="1">
        <v>12.0</v>
      </c>
      <c r="K444" s="1">
        <v>2.0</v>
      </c>
    </row>
    <row r="445">
      <c r="A445" s="1">
        <v>2.0</v>
      </c>
      <c r="B445" s="1">
        <v>8.0</v>
      </c>
      <c r="C445" s="1">
        <v>0.0</v>
      </c>
      <c r="D445" s="1">
        <v>0.0</v>
      </c>
      <c r="E445" s="1">
        <v>0.0</v>
      </c>
      <c r="F445" s="1">
        <v>0.0</v>
      </c>
      <c r="G445" s="2">
        <v>0.0</v>
      </c>
      <c r="H445" s="1" t="s">
        <v>302</v>
      </c>
      <c r="I445" s="1" t="str">
        <f>IFERROR(__xludf.DUMMYFUNCTION("REGEXREPLACE(MID(H445, SEARCH(""["", H445) + 1, SEARCH(""]"", H445) - SEARCH(""["", H445) - 1), ""\[\]"","""")"),"Whitney Young")</f>
        <v>Whitney Young</v>
      </c>
      <c r="J445" s="1">
        <v>0.0</v>
      </c>
      <c r="K445" s="1">
        <v>0.0</v>
      </c>
    </row>
    <row r="446">
      <c r="A446" s="1">
        <v>5.0</v>
      </c>
      <c r="B446" s="1">
        <v>20.0</v>
      </c>
      <c r="C446" s="1">
        <v>8.0</v>
      </c>
      <c r="D446" s="1">
        <v>4.8</v>
      </c>
      <c r="E446" s="1">
        <v>0.2</v>
      </c>
      <c r="F446" s="1">
        <v>0.0</v>
      </c>
      <c r="G446" s="6">
        <v>0.875</v>
      </c>
      <c r="H446" s="1" t="s">
        <v>231</v>
      </c>
      <c r="I446" s="1" t="str">
        <f>IFERROR(__xludf.DUMMYFUNCTION("REGEXREPLACE(MID(H446, SEARCH(""["", H446) + 1, SEARCH(""]"", H446) - SEARCH(""["", H446) - 1), ""\[\]"","""")"),"Will of A")</f>
        <v>Will of A</v>
      </c>
      <c r="J446" s="1">
        <v>24.0</v>
      </c>
      <c r="K446" s="1">
        <v>1.0</v>
      </c>
    </row>
    <row r="447">
      <c r="A447" s="1">
        <v>5.0</v>
      </c>
      <c r="B447" s="1">
        <v>20.0</v>
      </c>
      <c r="C447" s="1">
        <v>8.0</v>
      </c>
      <c r="D447" s="1">
        <v>4.8</v>
      </c>
      <c r="E447" s="1">
        <v>0.2</v>
      </c>
      <c r="F447" s="1">
        <v>0.0</v>
      </c>
      <c r="G447" s="6">
        <v>0.875</v>
      </c>
      <c r="H447" s="1" t="s">
        <v>122</v>
      </c>
      <c r="I447" s="1" t="str">
        <f>IFERROR(__xludf.DUMMYFUNCTION("REGEXREPLACE(MID(H447, SEARCH(""["", H447) + 1, SEARCH(""]"", H447) - SEARCH(""["", H447) - 1), ""\[\]"","""")"),"Will of A")</f>
        <v>Will of A</v>
      </c>
      <c r="J447" s="1">
        <v>24.0</v>
      </c>
      <c r="K447" s="1">
        <v>1.0</v>
      </c>
    </row>
    <row r="448">
      <c r="A448" s="1">
        <v>3.0</v>
      </c>
      <c r="B448" s="1">
        <v>12.0</v>
      </c>
      <c r="C448" s="1">
        <v>0.0</v>
      </c>
      <c r="D448" s="1">
        <v>0.0</v>
      </c>
      <c r="E448" s="1">
        <v>0.0</v>
      </c>
      <c r="F448" s="1">
        <v>0.0</v>
      </c>
      <c r="G448" s="2">
        <v>0.0</v>
      </c>
      <c r="H448" s="1" t="s">
        <v>261</v>
      </c>
      <c r="I448" s="1" t="str">
        <f>IFERROR(__xludf.DUMMYFUNCTION("REGEXREPLACE(MID(H448, SEARCH(""["", H448) + 1, SEARCH(""]"", H448) - SEARCH(""["", H448) - 1), ""\[\]"","""")"),"Will of A")</f>
        <v>Will of A</v>
      </c>
      <c r="J448" s="1">
        <v>0.0</v>
      </c>
      <c r="K448" s="1">
        <v>0.0</v>
      </c>
    </row>
    <row r="449">
      <c r="A449" s="1">
        <v>5.0</v>
      </c>
      <c r="B449" s="1">
        <v>20.0</v>
      </c>
      <c r="C449" s="1">
        <v>0.0</v>
      </c>
      <c r="D449" s="1">
        <v>0.0</v>
      </c>
      <c r="E449" s="1">
        <v>0.0</v>
      </c>
      <c r="F449" s="1">
        <v>0.0</v>
      </c>
      <c r="G449" s="2">
        <v>0.0</v>
      </c>
      <c r="H449" s="1" t="s">
        <v>344</v>
      </c>
      <c r="I449" s="1" t="str">
        <f>IFERROR(__xludf.DUMMYFUNCTION("REGEXREPLACE(MID(H449, SEARCH(""["", H449) + 1, SEARCH(""]"", H449) - SEARCH(""["", H449) - 1), ""\[\]"","""")"),"Will of A")</f>
        <v>Will of A</v>
      </c>
      <c r="J449" s="1">
        <v>0.0</v>
      </c>
      <c r="K449" s="1">
        <v>0.0</v>
      </c>
    </row>
    <row r="450">
      <c r="A450" s="1">
        <v>4.0</v>
      </c>
      <c r="B450" s="1">
        <v>16.0</v>
      </c>
      <c r="C450" s="1">
        <v>8.0</v>
      </c>
      <c r="D450" s="1">
        <v>2.0</v>
      </c>
      <c r="E450" s="1">
        <v>0.25</v>
      </c>
      <c r="F450" s="1">
        <v>0.0</v>
      </c>
      <c r="G450" s="6">
        <v>0.375</v>
      </c>
      <c r="H450" s="1" t="s">
        <v>345</v>
      </c>
      <c r="I450" s="1" t="str">
        <f>IFERROR(__xludf.DUMMYFUNCTION("REGEXREPLACE(MID(H450, SEARCH(""["", H450) + 1, SEARCH(""]"", H450) - SEARCH(""["", H450) - 1), ""\[\]"","""")"),"WWPS 1")</f>
        <v>WWPS 1</v>
      </c>
      <c r="J450" s="1">
        <v>8.0</v>
      </c>
      <c r="K450" s="1">
        <v>1.0</v>
      </c>
    </row>
    <row r="451">
      <c r="A451" s="1">
        <v>1.0</v>
      </c>
      <c r="B451" s="1">
        <v>4.0</v>
      </c>
      <c r="C451" s="1">
        <v>2.0</v>
      </c>
      <c r="D451" s="1">
        <v>0.0</v>
      </c>
      <c r="E451" s="1">
        <v>1.0</v>
      </c>
      <c r="F451" s="1">
        <v>0.0</v>
      </c>
      <c r="G451" s="2">
        <v>0.5</v>
      </c>
      <c r="H451" s="1" t="s">
        <v>345</v>
      </c>
      <c r="I451" s="1" t="str">
        <f>IFERROR(__xludf.DUMMYFUNCTION("REGEXREPLACE(MID(H451, SEARCH(""["", H451) + 1, SEARCH(""]"", H451) - SEARCH(""["", H451) - 1), ""\[\]"","""")"),"WWPS 1")</f>
        <v>WWPS 1</v>
      </c>
      <c r="J451" s="1">
        <v>0.0</v>
      </c>
      <c r="K451" s="1">
        <v>1.0</v>
      </c>
    </row>
    <row r="452">
      <c r="A452" s="1">
        <v>4.0</v>
      </c>
      <c r="B452" s="1">
        <v>16.0</v>
      </c>
      <c r="C452" s="1">
        <v>0.0</v>
      </c>
      <c r="D452" s="1">
        <v>0.0</v>
      </c>
      <c r="E452" s="1">
        <v>0.0</v>
      </c>
      <c r="F452" s="1">
        <v>0.0</v>
      </c>
      <c r="G452" s="2">
        <v>0.0</v>
      </c>
      <c r="H452" s="1" t="s">
        <v>346</v>
      </c>
      <c r="I452" s="1" t="str">
        <f>IFERROR(__xludf.DUMMYFUNCTION("REGEXREPLACE(MID(H452, SEARCH(""["", H452) + 1, SEARCH(""]"", H452) - SEARCH(""["", H452) - 1), ""\[\]"","""")"),"WWPS 1")</f>
        <v>WWPS 1</v>
      </c>
      <c r="J452" s="1">
        <v>0.0</v>
      </c>
      <c r="K452" s="1">
        <v>0.0</v>
      </c>
    </row>
    <row r="453">
      <c r="A453" s="1">
        <v>1.0</v>
      </c>
      <c r="B453" s="1">
        <v>4.0</v>
      </c>
      <c r="C453" s="1">
        <v>0.0</v>
      </c>
      <c r="D453" s="1">
        <v>0.0</v>
      </c>
      <c r="E453" s="1">
        <v>0.0</v>
      </c>
      <c r="F453" s="1">
        <v>0.0</v>
      </c>
      <c r="G453" s="2">
        <v>0.0</v>
      </c>
      <c r="H453" s="1" t="s">
        <v>346</v>
      </c>
      <c r="I453" s="1" t="str">
        <f>IFERROR(__xludf.DUMMYFUNCTION("REGEXREPLACE(MID(H453, SEARCH(""["", H453) + 1, SEARCH(""]"", H453) - SEARCH(""["", H453) - 1), ""\[\]"","""")"),"WWPS 1")</f>
        <v>WWPS 1</v>
      </c>
      <c r="J453" s="1">
        <v>0.0</v>
      </c>
      <c r="K453" s="1">
        <v>0.0</v>
      </c>
    </row>
    <row r="454">
      <c r="A454" s="1">
        <v>1.0</v>
      </c>
      <c r="B454" s="1">
        <v>4.0</v>
      </c>
      <c r="C454" s="1">
        <v>2.0</v>
      </c>
      <c r="D454" s="1">
        <v>4.0</v>
      </c>
      <c r="E454" s="1">
        <v>0.0</v>
      </c>
      <c r="F454" s="1">
        <v>0.0</v>
      </c>
      <c r="G454" s="2">
        <v>0.5</v>
      </c>
      <c r="H454" s="1" t="s">
        <v>347</v>
      </c>
      <c r="I454" s="1" t="str">
        <f>IFERROR(__xludf.DUMMYFUNCTION("REGEXREPLACE(MID(H454, SEARCH(""["", H454) + 1, SEARCH(""]"", H454) - SEARCH(""["", H454) - 1), ""\[\]"","""")"),"WWPS 1")</f>
        <v>WWPS 1</v>
      </c>
      <c r="J454" s="1">
        <v>4.0</v>
      </c>
      <c r="K454" s="1">
        <v>0.0</v>
      </c>
    </row>
    <row r="455">
      <c r="A455" s="1">
        <v>4.0</v>
      </c>
      <c r="B455" s="1">
        <v>16.0</v>
      </c>
      <c r="C455" s="1">
        <v>1.0</v>
      </c>
      <c r="D455" s="1">
        <v>-1.0</v>
      </c>
      <c r="E455" s="1">
        <v>0.25</v>
      </c>
      <c r="F455" s="1">
        <v>0.0</v>
      </c>
      <c r="G455" s="2">
        <v>0.0</v>
      </c>
      <c r="H455" s="1" t="s">
        <v>347</v>
      </c>
      <c r="I455" s="1" t="str">
        <f>IFERROR(__xludf.DUMMYFUNCTION("REGEXREPLACE(MID(H455, SEARCH(""["", H455) + 1, SEARCH(""]"", H455) - SEARCH(""["", H455) - 1), ""\[\]"","""")"),"WWPS 1")</f>
        <v>WWPS 1</v>
      </c>
      <c r="J455" s="1">
        <v>-4.0</v>
      </c>
      <c r="K455" s="1">
        <v>1.0</v>
      </c>
    </row>
    <row r="456">
      <c r="A456" s="1">
        <v>4.0</v>
      </c>
      <c r="B456" s="1">
        <v>16.0</v>
      </c>
      <c r="C456" s="1">
        <v>0.0</v>
      </c>
      <c r="D456" s="1">
        <v>0.0</v>
      </c>
      <c r="E456" s="1">
        <v>0.0</v>
      </c>
      <c r="F456" s="1">
        <v>0.0</v>
      </c>
      <c r="G456" s="2">
        <v>0.0</v>
      </c>
      <c r="H456" s="1" t="s">
        <v>188</v>
      </c>
      <c r="I456" s="1" t="str">
        <f>IFERROR(__xludf.DUMMYFUNCTION("REGEXREPLACE(MID(H456, SEARCH(""["", H456) + 1, SEARCH(""]"", H456) - SEARCH(""["", H456) - 1), ""\[\]"","""")"),"WWPS 1")</f>
        <v>WWPS 1</v>
      </c>
      <c r="J456" s="1">
        <v>0.0</v>
      </c>
      <c r="K456" s="1">
        <v>0.0</v>
      </c>
    </row>
    <row r="457">
      <c r="A457" s="1">
        <v>1.0</v>
      </c>
      <c r="B457" s="1">
        <v>4.0</v>
      </c>
      <c r="C457" s="1">
        <v>0.0</v>
      </c>
      <c r="D457" s="1">
        <v>0.0</v>
      </c>
      <c r="E457" s="1">
        <v>0.0</v>
      </c>
      <c r="F457" s="1">
        <v>0.0</v>
      </c>
      <c r="G457" s="2">
        <v>0.0</v>
      </c>
      <c r="H457" s="1" t="s">
        <v>188</v>
      </c>
      <c r="I457" s="1" t="str">
        <f>IFERROR(__xludf.DUMMYFUNCTION("REGEXREPLACE(MID(H457, SEARCH(""["", H457) + 1, SEARCH(""]"", H457) - SEARCH(""["", H457) - 1), ""\[\]"","""")"),"WWPS 1")</f>
        <v>WWPS 1</v>
      </c>
      <c r="J457" s="1">
        <v>0.0</v>
      </c>
      <c r="K457" s="1">
        <v>0.0</v>
      </c>
    </row>
    <row r="458">
      <c r="A458" s="1">
        <v>3.0</v>
      </c>
      <c r="B458" s="1">
        <v>11.0</v>
      </c>
      <c r="C458" s="1">
        <v>0.0</v>
      </c>
      <c r="D458" s="1">
        <v>0.0</v>
      </c>
      <c r="E458" s="1">
        <v>0.0</v>
      </c>
      <c r="F458" s="1">
        <v>0.0</v>
      </c>
      <c r="G458" s="2">
        <v>0.0</v>
      </c>
      <c r="H458" s="1" t="s">
        <v>119</v>
      </c>
      <c r="I458" s="1" t="str">
        <f>IFERROR(__xludf.DUMMYFUNCTION("REGEXREPLACE(MID(H458, SEARCH(""["", H458) + 1, SEARCH(""]"", H458) - SEARCH(""["", H458) - 1), ""\[\]"","""")"),"WWPS 2")</f>
        <v>WWPS 2</v>
      </c>
      <c r="J458" s="1">
        <v>0.0</v>
      </c>
      <c r="K458" s="1">
        <v>0.0</v>
      </c>
    </row>
    <row r="459">
      <c r="A459" s="1">
        <v>3.0</v>
      </c>
      <c r="B459" s="1">
        <v>11.0</v>
      </c>
      <c r="C459" s="1">
        <v>1.0</v>
      </c>
      <c r="D459" s="1">
        <v>0.0</v>
      </c>
      <c r="E459" s="1">
        <v>0.0</v>
      </c>
      <c r="F459" s="1">
        <v>0.0</v>
      </c>
      <c r="G459" s="2">
        <v>0.0</v>
      </c>
      <c r="H459" s="1" t="s">
        <v>218</v>
      </c>
      <c r="I459" s="1" t="str">
        <f>IFERROR(__xludf.DUMMYFUNCTION("REGEXREPLACE(MID(H459, SEARCH(""["", H459) + 1, SEARCH(""]"", H459) - SEARCH(""["", H459) - 1), ""\[\]"","""")"),"WWPS 2")</f>
        <v>WWPS 2</v>
      </c>
      <c r="J459" s="1">
        <v>0.0</v>
      </c>
      <c r="K459" s="1">
        <v>0.0</v>
      </c>
    </row>
    <row r="460">
      <c r="A460" s="1">
        <v>2.0</v>
      </c>
      <c r="B460" s="1">
        <v>7.0</v>
      </c>
      <c r="C460" s="1">
        <v>3.0</v>
      </c>
      <c r="D460" s="1">
        <v>0.0</v>
      </c>
      <c r="E460" s="1">
        <v>0.0</v>
      </c>
      <c r="F460" s="1">
        <v>0.0</v>
      </c>
      <c r="G460" s="2">
        <v>0.0</v>
      </c>
      <c r="H460" s="1" t="s">
        <v>348</v>
      </c>
      <c r="I460" s="1" t="str">
        <f>IFERROR(__xludf.DUMMYFUNCTION("REGEXREPLACE(MID(H460, SEARCH(""["", H460) + 1, SEARCH(""]"", H460) - SEARCH(""["", H460) - 1), ""\[\]"","""")"),"WWPS 2")</f>
        <v>WWPS 2</v>
      </c>
      <c r="J460" s="1">
        <v>0.0</v>
      </c>
      <c r="K460" s="1">
        <v>0.0</v>
      </c>
    </row>
    <row r="461">
      <c r="A461" s="1">
        <v>3.0</v>
      </c>
      <c r="B461" s="1">
        <v>12.0</v>
      </c>
      <c r="C461" s="1">
        <v>0.0</v>
      </c>
      <c r="D461" s="1">
        <v>0.0</v>
      </c>
      <c r="E461" s="1">
        <v>0.0</v>
      </c>
      <c r="F461" s="1">
        <v>0.0</v>
      </c>
      <c r="G461" s="2">
        <v>0.0</v>
      </c>
      <c r="H461" s="1" t="s">
        <v>349</v>
      </c>
      <c r="I461" s="1" t="str">
        <f>IFERROR(__xludf.DUMMYFUNCTION("REGEXREPLACE(MID(H461, SEARCH(""["", H461) + 1, SEARCH(""]"", H461) - SEARCH(""["", H461) - 1), ""\[\]"","""")"),"WWPS 2")</f>
        <v>WWPS 2</v>
      </c>
      <c r="J461" s="1">
        <v>0.0</v>
      </c>
      <c r="K461" s="1">
        <v>0.0</v>
      </c>
    </row>
    <row r="462">
      <c r="A462" s="1">
        <v>4.0</v>
      </c>
      <c r="B462" s="1">
        <v>15.0</v>
      </c>
      <c r="C462" s="1">
        <v>0.0</v>
      </c>
      <c r="D462" s="1">
        <v>0.0</v>
      </c>
      <c r="E462" s="1">
        <v>0.0</v>
      </c>
      <c r="F462" s="1">
        <v>0.0</v>
      </c>
      <c r="G462" s="2">
        <v>0.0</v>
      </c>
      <c r="H462" s="1" t="s">
        <v>193</v>
      </c>
      <c r="I462" s="1" t="str">
        <f>IFERROR(__xludf.DUMMYFUNCTION("REGEXREPLACE(MID(H462, SEARCH(""["", H462) + 1, SEARCH(""]"", H462) - SEARCH(""["", H462) - 1), ""\[\]"","""")"),"WWPS 2")</f>
        <v>WWPS 2</v>
      </c>
      <c r="J462" s="1">
        <v>0.0</v>
      </c>
      <c r="K462" s="1">
        <v>0.0</v>
      </c>
    </row>
    <row r="463">
      <c r="A463" s="1">
        <v>1.0</v>
      </c>
      <c r="B463" s="1">
        <v>4.0</v>
      </c>
      <c r="C463" s="1">
        <v>0.0</v>
      </c>
      <c r="D463" s="1">
        <v>0.0</v>
      </c>
      <c r="E463" s="1">
        <v>0.0</v>
      </c>
      <c r="F463" s="1">
        <v>0.0</v>
      </c>
      <c r="G463" s="2">
        <v>0.0</v>
      </c>
      <c r="H463" s="1" t="s">
        <v>0</v>
      </c>
      <c r="I463" s="1" t="str">
        <f>IFERROR(__xludf.DUMMYFUNCTION("REGEXREPLACE(MID(H463, SEARCH(""["", H463) + 1, SEARCH(""]"", H463) - SEARCH(""["", H463) - 1), ""\[\]"","""")"),"Bridgeland HS")</f>
        <v>Bridgeland HS</v>
      </c>
      <c r="J463" s="1">
        <v>0.0</v>
      </c>
      <c r="K463" s="1">
        <v>0.0</v>
      </c>
    </row>
    <row r="464">
      <c r="A464" s="1">
        <v>4.0</v>
      </c>
      <c r="B464" s="1">
        <v>16.0</v>
      </c>
      <c r="C464" s="1">
        <v>0.0</v>
      </c>
      <c r="D464" s="1">
        <v>0.0</v>
      </c>
      <c r="E464" s="1">
        <v>0.0</v>
      </c>
      <c r="F464" s="1">
        <v>0.0</v>
      </c>
      <c r="G464" s="2">
        <v>0.0</v>
      </c>
      <c r="H464" s="1" t="s">
        <v>2</v>
      </c>
      <c r="I464" s="1" t="str">
        <f>IFERROR(__xludf.DUMMYFUNCTION("REGEXREPLACE(MID(H464, SEARCH(""["", H464) + 1, SEARCH(""]"", H464) - SEARCH(""["", H464) - 1), ""\[\]"","""")"),"Amador Valley HS")</f>
        <v>Amador Valley HS</v>
      </c>
      <c r="J464" s="1">
        <v>0.0</v>
      </c>
      <c r="K464" s="1">
        <v>0.0</v>
      </c>
    </row>
    <row r="465">
      <c r="A465" s="1">
        <v>1.0</v>
      </c>
      <c r="B465" s="1">
        <v>4.0</v>
      </c>
      <c r="C465" s="1">
        <v>0.0</v>
      </c>
      <c r="D465" s="1">
        <v>0.0</v>
      </c>
      <c r="E465" s="1">
        <v>0.0</v>
      </c>
      <c r="F465" s="1">
        <v>0.0</v>
      </c>
      <c r="G465" s="2">
        <v>0.0</v>
      </c>
      <c r="H465" s="1" t="s">
        <v>2</v>
      </c>
      <c r="I465" s="1" t="str">
        <f>IFERROR(__xludf.DUMMYFUNCTION("REGEXREPLACE(MID(H465, SEARCH(""["", H465) + 1, SEARCH(""]"", H465) - SEARCH(""["", H465) - 1), ""\[\]"","""")"),"Amador Valley HS")</f>
        <v>Amador Valley HS</v>
      </c>
      <c r="J465" s="1">
        <v>0.0</v>
      </c>
      <c r="K465" s="1">
        <v>0.0</v>
      </c>
    </row>
    <row r="466">
      <c r="A466" s="1">
        <v>4.0</v>
      </c>
      <c r="B466" s="1">
        <v>16.0</v>
      </c>
      <c r="C466" s="1">
        <v>4.0</v>
      </c>
      <c r="D466" s="1">
        <v>1.0</v>
      </c>
      <c r="E466" s="1">
        <v>0.25</v>
      </c>
      <c r="F466" s="1">
        <v>0.0</v>
      </c>
      <c r="G466" s="2">
        <v>0.5</v>
      </c>
      <c r="H466" s="1" t="s">
        <v>5</v>
      </c>
      <c r="I466" s="1" t="str">
        <f>IFERROR(__xludf.DUMMYFUNCTION("REGEXREPLACE(MID(H466, SEARCH(""["", H466) + 1, SEARCH(""]"", H466) - SEARCH(""["", H466) - 1), ""\[\]"","""")"),"Amador Valley HS")</f>
        <v>Amador Valley HS</v>
      </c>
      <c r="J466" s="1">
        <v>4.0</v>
      </c>
      <c r="K466" s="1">
        <v>1.0</v>
      </c>
    </row>
    <row r="467">
      <c r="A467" s="1">
        <v>1.0</v>
      </c>
      <c r="B467" s="1">
        <v>4.0</v>
      </c>
      <c r="C467" s="1">
        <v>1.0</v>
      </c>
      <c r="D467" s="1">
        <v>4.0</v>
      </c>
      <c r="E467" s="1">
        <v>0.0</v>
      </c>
      <c r="F467" s="1">
        <v>0.0</v>
      </c>
      <c r="G467" s="2">
        <v>1.0</v>
      </c>
      <c r="H467" s="1" t="s">
        <v>5</v>
      </c>
      <c r="I467" s="1" t="str">
        <f>IFERROR(__xludf.DUMMYFUNCTION("REGEXREPLACE(MID(H467, SEARCH(""["", H467) + 1, SEARCH(""]"", H467) - SEARCH(""["", H467) - 1), ""\[\]"","""")"),"Amador Valley HS")</f>
        <v>Amador Valley HS</v>
      </c>
      <c r="J467" s="1">
        <v>4.0</v>
      </c>
      <c r="K467" s="1">
        <v>0.0</v>
      </c>
    </row>
    <row r="468">
      <c r="A468" s="1">
        <v>4.0</v>
      </c>
      <c r="B468" s="1">
        <v>16.0</v>
      </c>
      <c r="C468" s="1">
        <v>4.0</v>
      </c>
      <c r="D468" s="1">
        <v>1.0</v>
      </c>
      <c r="E468" s="1">
        <v>0.25</v>
      </c>
      <c r="F468" s="1">
        <v>0.0</v>
      </c>
      <c r="G468" s="2">
        <v>0.5</v>
      </c>
      <c r="H468" s="1" t="s">
        <v>8</v>
      </c>
      <c r="I468" s="1" t="str">
        <f>IFERROR(__xludf.DUMMYFUNCTION("REGEXREPLACE(MID(H468, SEARCH(""["", H468) + 1, SEARCH(""]"", H468) - SEARCH(""["", H468) - 1), ""\[\]"","""")"),"Amador Valley HS")</f>
        <v>Amador Valley HS</v>
      </c>
      <c r="J468" s="1">
        <v>4.0</v>
      </c>
      <c r="K468" s="1">
        <v>1.0</v>
      </c>
    </row>
    <row r="469">
      <c r="A469" s="1">
        <v>1.0</v>
      </c>
      <c r="B469" s="1">
        <v>4.0</v>
      </c>
      <c r="C469" s="1">
        <v>3.0</v>
      </c>
      <c r="D469" s="1">
        <v>12.0</v>
      </c>
      <c r="E469" s="1">
        <v>0.0</v>
      </c>
      <c r="F469" s="1">
        <v>0.0</v>
      </c>
      <c r="G469" s="2">
        <v>1.0</v>
      </c>
      <c r="H469" s="1" t="s">
        <v>8</v>
      </c>
      <c r="I469" s="1" t="str">
        <f>IFERROR(__xludf.DUMMYFUNCTION("REGEXREPLACE(MID(H469, SEARCH(""["", H469) + 1, SEARCH(""]"", H469) - SEARCH(""["", H469) - 1), ""\[\]"","""")"),"Amador Valley HS")</f>
        <v>Amador Valley HS</v>
      </c>
      <c r="J469" s="1">
        <v>12.0</v>
      </c>
      <c r="K469" s="1">
        <v>0.0</v>
      </c>
    </row>
    <row r="470">
      <c r="A470" s="1">
        <v>4.0</v>
      </c>
      <c r="B470" s="1">
        <v>16.0</v>
      </c>
      <c r="C470" s="1">
        <v>5.0</v>
      </c>
      <c r="D470" s="1">
        <v>1.0</v>
      </c>
      <c r="E470" s="1">
        <v>0.5</v>
      </c>
      <c r="F470" s="1">
        <v>0.0</v>
      </c>
      <c r="G470" s="2">
        <v>0.6</v>
      </c>
      <c r="H470" s="1" t="s">
        <v>11</v>
      </c>
      <c r="I470" s="1" t="str">
        <f>IFERROR(__xludf.DUMMYFUNCTION("REGEXREPLACE(MID(H470, SEARCH(""["", H470) + 1, SEARCH(""]"", H470) - SEARCH(""["", H470) - 1), ""\[\]"","""")"),"Amador Valley HS")</f>
        <v>Amador Valley HS</v>
      </c>
      <c r="J470" s="1">
        <v>4.0</v>
      </c>
      <c r="K470" s="1">
        <v>2.0</v>
      </c>
    </row>
    <row r="471">
      <c r="A471" s="1">
        <v>3.0</v>
      </c>
      <c r="B471" s="1">
        <v>12.0</v>
      </c>
      <c r="C471" s="1">
        <v>3.0</v>
      </c>
      <c r="D471" s="1">
        <v>1.33</v>
      </c>
      <c r="E471" s="1">
        <v>0.0</v>
      </c>
      <c r="F471" s="1">
        <v>0.0</v>
      </c>
      <c r="G471" s="6">
        <v>0.333</v>
      </c>
      <c r="H471" s="1" t="s">
        <v>12</v>
      </c>
      <c r="I471" s="1" t="str">
        <f>IFERROR(__xludf.DUMMYFUNCTION("REGEXREPLACE(MID(H471, SEARCH(""["", H471) + 1, SEARCH(""]"", H471) - SEARCH(""["", H471) - 1), ""\[\]"","""")"),"American Heritage Broward")</f>
        <v>American Heritage Broward</v>
      </c>
      <c r="J471" s="1">
        <v>4.0</v>
      </c>
      <c r="K471" s="1">
        <v>0.0</v>
      </c>
    </row>
    <row r="472">
      <c r="A472" s="1">
        <v>1.0</v>
      </c>
      <c r="B472" s="1">
        <v>4.0</v>
      </c>
      <c r="C472" s="1">
        <v>0.0</v>
      </c>
      <c r="D472" s="1">
        <v>0.0</v>
      </c>
      <c r="E472" s="1">
        <v>0.0</v>
      </c>
      <c r="F472" s="1">
        <v>0.0</v>
      </c>
      <c r="G472" s="2">
        <v>0.0</v>
      </c>
      <c r="H472" s="1" t="s">
        <v>13</v>
      </c>
      <c r="I472" s="1" t="str">
        <f>IFERROR(__xludf.DUMMYFUNCTION("REGEXREPLACE(MID(H472, SEARCH(""["", H472) + 1, SEARCH(""]"", H472) - SEARCH(""["", H472) - 1), ""\[\]"","""")"),"American Heritage Broward")</f>
        <v>American Heritage Broward</v>
      </c>
      <c r="J472" s="1">
        <v>0.0</v>
      </c>
      <c r="K472" s="1">
        <v>0.0</v>
      </c>
    </row>
    <row r="473">
      <c r="A473" s="1">
        <v>4.0</v>
      </c>
      <c r="B473" s="1">
        <v>16.0</v>
      </c>
      <c r="C473" s="1">
        <v>3.0</v>
      </c>
      <c r="D473" s="1">
        <v>1.0</v>
      </c>
      <c r="E473" s="1">
        <v>0.0</v>
      </c>
      <c r="F473" s="1">
        <v>0.0</v>
      </c>
      <c r="G473" s="6">
        <v>0.333</v>
      </c>
      <c r="H473" s="1" t="s">
        <v>13</v>
      </c>
      <c r="I473" s="1" t="str">
        <f>IFERROR(__xludf.DUMMYFUNCTION("REGEXREPLACE(MID(H473, SEARCH(""["", H473) + 1, SEARCH(""]"", H473) - SEARCH(""["", H473) - 1), ""\[\]"","""")"),"American Heritage Broward")</f>
        <v>American Heritage Broward</v>
      </c>
      <c r="J473" s="1">
        <v>4.0</v>
      </c>
      <c r="K473" s="1">
        <v>0.0</v>
      </c>
    </row>
    <row r="474">
      <c r="A474" s="1">
        <v>1.0</v>
      </c>
      <c r="B474" s="1">
        <v>4.0</v>
      </c>
      <c r="C474" s="1">
        <v>0.0</v>
      </c>
      <c r="D474" s="1">
        <v>0.0</v>
      </c>
      <c r="E474" s="1">
        <v>0.0</v>
      </c>
      <c r="F474" s="1">
        <v>0.0</v>
      </c>
      <c r="G474" s="2">
        <v>0.0</v>
      </c>
      <c r="H474" s="1" t="s">
        <v>15</v>
      </c>
      <c r="I474" s="1" t="str">
        <f>IFERROR(__xludf.DUMMYFUNCTION("REGEXREPLACE(MID(H474, SEARCH(""["", H474) + 1, SEARCH(""]"", H474) - SEARCH(""["", H474) - 1), ""\[\]"","""")"),"American Heritage Broward")</f>
        <v>American Heritage Broward</v>
      </c>
      <c r="J474" s="1">
        <v>0.0</v>
      </c>
      <c r="K474" s="1">
        <v>0.0</v>
      </c>
    </row>
    <row r="475">
      <c r="A475" s="1">
        <v>4.0</v>
      </c>
      <c r="B475" s="1">
        <v>16.0</v>
      </c>
      <c r="C475" s="1">
        <v>0.0</v>
      </c>
      <c r="D475" s="1">
        <v>0.0</v>
      </c>
      <c r="E475" s="1">
        <v>0.0</v>
      </c>
      <c r="F475" s="1">
        <v>0.0</v>
      </c>
      <c r="G475" s="2">
        <v>0.0</v>
      </c>
      <c r="H475" s="1" t="s">
        <v>15</v>
      </c>
      <c r="I475" s="1" t="str">
        <f>IFERROR(__xludf.DUMMYFUNCTION("REGEXREPLACE(MID(H475, SEARCH(""["", H475) + 1, SEARCH(""]"", H475) - SEARCH(""["", H475) - 1), ""\[\]"","""")"),"American Heritage Broward")</f>
        <v>American Heritage Broward</v>
      </c>
      <c r="J475" s="1">
        <v>0.0</v>
      </c>
      <c r="K475" s="1">
        <v>0.0</v>
      </c>
    </row>
    <row r="476">
      <c r="A476" s="1">
        <v>1.0</v>
      </c>
      <c r="B476" s="1">
        <v>4.0</v>
      </c>
      <c r="C476" s="1">
        <v>0.0</v>
      </c>
      <c r="D476" s="1">
        <v>0.0</v>
      </c>
      <c r="E476" s="1">
        <v>0.0</v>
      </c>
      <c r="F476" s="1">
        <v>0.0</v>
      </c>
      <c r="G476" s="2">
        <v>0.0</v>
      </c>
      <c r="H476" s="1" t="s">
        <v>17</v>
      </c>
      <c r="I476" s="1" t="str">
        <f>IFERROR(__xludf.DUMMYFUNCTION("REGEXREPLACE(MID(H476, SEARCH(""["", H476) + 1, SEARCH(""]"", H476) - SEARCH(""["", H476) - 1), ""\[\]"","""")"),"American Heritage Broward")</f>
        <v>American Heritage Broward</v>
      </c>
      <c r="J476" s="1">
        <v>0.0</v>
      </c>
      <c r="K476" s="1">
        <v>0.0</v>
      </c>
    </row>
    <row r="477">
      <c r="A477" s="1">
        <v>4.0</v>
      </c>
      <c r="B477" s="1">
        <v>16.0</v>
      </c>
      <c r="C477" s="1">
        <v>5.0</v>
      </c>
      <c r="D477" s="1">
        <v>-1.0</v>
      </c>
      <c r="E477" s="1">
        <v>0.5</v>
      </c>
      <c r="F477" s="1">
        <v>0.0</v>
      </c>
      <c r="G477" s="2">
        <v>0.2</v>
      </c>
      <c r="H477" s="1" t="s">
        <v>17</v>
      </c>
      <c r="I477" s="1" t="str">
        <f>IFERROR(__xludf.DUMMYFUNCTION("REGEXREPLACE(MID(H477, SEARCH(""["", H477) + 1, SEARCH(""]"", H477) - SEARCH(""["", H477) - 1), ""\[\]"","""")"),"American Heritage Broward")</f>
        <v>American Heritage Broward</v>
      </c>
      <c r="J477" s="1">
        <v>-4.0</v>
      </c>
      <c r="K477" s="1">
        <v>2.0</v>
      </c>
    </row>
    <row r="478">
      <c r="A478" s="1">
        <v>1.0</v>
      </c>
      <c r="B478" s="1">
        <v>4.0</v>
      </c>
      <c r="C478" s="1">
        <v>1.0</v>
      </c>
      <c r="D478" s="1">
        <v>0.0</v>
      </c>
      <c r="E478" s="1">
        <v>0.0</v>
      </c>
      <c r="F478" s="1">
        <v>0.0</v>
      </c>
      <c r="G478" s="2">
        <v>0.0</v>
      </c>
      <c r="H478" s="1" t="s">
        <v>20</v>
      </c>
      <c r="I478" s="1" t="str">
        <f>IFERROR(__xludf.DUMMYFUNCTION("REGEXREPLACE(MID(H478, SEARCH(""["", H478) + 1, SEARCH(""]"", H478) - SEARCH(""["", H478) - 1), ""\[\]"","""")"),"American Heritage Broward")</f>
        <v>American Heritage Broward</v>
      </c>
      <c r="J478" s="1">
        <v>0.0</v>
      </c>
      <c r="K478" s="1">
        <v>0.0</v>
      </c>
    </row>
    <row r="479">
      <c r="A479" s="1">
        <v>1.0</v>
      </c>
      <c r="B479" s="1">
        <v>4.0</v>
      </c>
      <c r="C479" s="1">
        <v>2.0</v>
      </c>
      <c r="D479" s="1">
        <v>-4.0</v>
      </c>
      <c r="E479" s="1">
        <v>1.0</v>
      </c>
      <c r="F479" s="1">
        <v>0.0</v>
      </c>
      <c r="G479" s="2">
        <v>0.0</v>
      </c>
      <c r="H479" s="1" t="s">
        <v>20</v>
      </c>
      <c r="I479" s="1" t="str">
        <f>IFERROR(__xludf.DUMMYFUNCTION("REGEXREPLACE(MID(H479, SEARCH(""["", H479) + 1, SEARCH(""]"", H479) - SEARCH(""["", H479) - 1), ""\[\]"","""")"),"American Heritage Broward")</f>
        <v>American Heritage Broward</v>
      </c>
      <c r="J479" s="1">
        <v>-4.0</v>
      </c>
      <c r="K479" s="1">
        <v>1.0</v>
      </c>
    </row>
    <row r="480">
      <c r="A480" s="1">
        <v>1.0</v>
      </c>
      <c r="B480" s="1">
        <v>4.0</v>
      </c>
      <c r="C480" s="1">
        <v>0.0</v>
      </c>
      <c r="D480" s="1">
        <v>0.0</v>
      </c>
      <c r="E480" s="1">
        <v>0.0</v>
      </c>
      <c r="F480" s="1">
        <v>0.0</v>
      </c>
      <c r="G480" s="2">
        <v>0.0</v>
      </c>
      <c r="H480" s="1" t="s">
        <v>24</v>
      </c>
      <c r="I480" s="1" t="str">
        <f>IFERROR(__xludf.DUMMYFUNCTION("REGEXREPLACE(MID(H480, SEARCH(""["", H480) + 1, SEARCH(""]"", H480) - SEARCH(""["", H480) - 1), ""\[\]"","""")"),"Arcadia 1")</f>
        <v>Arcadia 1</v>
      </c>
      <c r="J480" s="1">
        <v>0.0</v>
      </c>
      <c r="K480" s="1">
        <v>0.0</v>
      </c>
    </row>
    <row r="481">
      <c r="A481" s="1">
        <v>1.0</v>
      </c>
      <c r="B481" s="1">
        <v>4.0</v>
      </c>
      <c r="C481" s="1">
        <v>0.0</v>
      </c>
      <c r="D481" s="1">
        <v>0.0</v>
      </c>
      <c r="E481" s="1">
        <v>0.0</v>
      </c>
      <c r="F481" s="1">
        <v>0.0</v>
      </c>
      <c r="G481" s="2">
        <v>0.0</v>
      </c>
      <c r="H481" s="1" t="s">
        <v>24</v>
      </c>
      <c r="I481" s="1" t="str">
        <f>IFERROR(__xludf.DUMMYFUNCTION("REGEXREPLACE(MID(H481, SEARCH(""["", H481) + 1, SEARCH(""]"", H481) - SEARCH(""["", H481) - 1), ""\[\]"","""")"),"Arcadia 1")</f>
        <v>Arcadia 1</v>
      </c>
      <c r="J481" s="1">
        <v>0.0</v>
      </c>
      <c r="K481" s="1">
        <v>0.0</v>
      </c>
    </row>
    <row r="482">
      <c r="A482" s="1">
        <v>3.0</v>
      </c>
      <c r="B482" s="1">
        <v>12.0</v>
      </c>
      <c r="C482" s="1">
        <v>4.0</v>
      </c>
      <c r="D482" s="1">
        <v>2.67</v>
      </c>
      <c r="E482" s="1">
        <v>0.0</v>
      </c>
      <c r="F482" s="1">
        <v>0.0</v>
      </c>
      <c r="G482" s="2">
        <v>0.5</v>
      </c>
      <c r="H482" s="1" t="s">
        <v>29</v>
      </c>
      <c r="I482" s="1" t="str">
        <f>IFERROR(__xludf.DUMMYFUNCTION("REGEXREPLACE(MID(H482, SEARCH(""["", H482) + 1, SEARCH(""]"", H482) - SEARCH(""["", H482) - 1), ""\[\]"","""")"),"Arcadia 1")</f>
        <v>Arcadia 1</v>
      </c>
      <c r="J482" s="1">
        <v>8.0</v>
      </c>
      <c r="K482" s="1">
        <v>0.0</v>
      </c>
    </row>
    <row r="483">
      <c r="A483" s="1">
        <v>1.0</v>
      </c>
      <c r="B483" s="1">
        <v>4.0</v>
      </c>
      <c r="C483" s="1">
        <v>3.0</v>
      </c>
      <c r="D483" s="1">
        <v>-4.0</v>
      </c>
      <c r="E483" s="1">
        <v>2.0</v>
      </c>
      <c r="F483" s="1">
        <v>0.0</v>
      </c>
      <c r="G483" s="6">
        <v>0.333</v>
      </c>
      <c r="H483" s="1" t="s">
        <v>29</v>
      </c>
      <c r="I483" s="1" t="str">
        <f>IFERROR(__xludf.DUMMYFUNCTION("REGEXREPLACE(MID(H483, SEARCH(""["", H483) + 1, SEARCH(""]"", H483) - SEARCH(""["", H483) - 1), ""\[\]"","""")"),"Arcadia 1")</f>
        <v>Arcadia 1</v>
      </c>
      <c r="J483" s="1">
        <v>-4.0</v>
      </c>
      <c r="K483" s="1">
        <v>2.0</v>
      </c>
    </row>
    <row r="484">
      <c r="A484" s="1">
        <v>1.0</v>
      </c>
      <c r="B484" s="1">
        <v>4.0</v>
      </c>
      <c r="C484" s="1">
        <v>4.0</v>
      </c>
      <c r="D484" s="1">
        <v>4.0</v>
      </c>
      <c r="E484" s="1">
        <v>0.0</v>
      </c>
      <c r="F484" s="1">
        <v>0.0</v>
      </c>
      <c r="G484" s="2">
        <v>0.25</v>
      </c>
      <c r="H484" s="1" t="s">
        <v>29</v>
      </c>
      <c r="I484" s="1" t="str">
        <f>IFERROR(__xludf.DUMMYFUNCTION("REGEXREPLACE(MID(H484, SEARCH(""["", H484) + 1, SEARCH(""]"", H484) - SEARCH(""["", H484) - 1), ""\[\]"","""")"),"Arcadia 1")</f>
        <v>Arcadia 1</v>
      </c>
      <c r="J484" s="1">
        <v>4.0</v>
      </c>
      <c r="K484" s="1">
        <v>0.0</v>
      </c>
    </row>
    <row r="485">
      <c r="A485" s="1">
        <v>2.0</v>
      </c>
      <c r="B485" s="1">
        <v>8.0</v>
      </c>
      <c r="C485" s="1">
        <v>0.0</v>
      </c>
      <c r="D485" s="1">
        <v>0.0</v>
      </c>
      <c r="E485" s="1">
        <v>0.0</v>
      </c>
      <c r="F485" s="1">
        <v>0.0</v>
      </c>
      <c r="G485" s="2">
        <v>0.0</v>
      </c>
      <c r="H485" s="1" t="s">
        <v>38</v>
      </c>
      <c r="I485" s="1" t="str">
        <f>IFERROR(__xludf.DUMMYFUNCTION("REGEXREPLACE(MID(H485, SEARCH(""["", H485) + 1, SEARCH(""]"", H485) - SEARCH(""["", H485) - 1), ""\[\]"","""")"),"Arcadia 1")</f>
        <v>Arcadia 1</v>
      </c>
      <c r="J485" s="1">
        <v>0.0</v>
      </c>
      <c r="K485" s="1">
        <v>0.0</v>
      </c>
    </row>
    <row r="486">
      <c r="A486" s="1">
        <v>1.0</v>
      </c>
      <c r="B486" s="1">
        <v>4.0</v>
      </c>
      <c r="C486" s="1">
        <v>0.0</v>
      </c>
      <c r="D486" s="1">
        <v>0.0</v>
      </c>
      <c r="E486" s="1">
        <v>0.0</v>
      </c>
      <c r="F486" s="1">
        <v>0.0</v>
      </c>
      <c r="G486" s="2">
        <v>0.0</v>
      </c>
      <c r="H486" s="1" t="s">
        <v>38</v>
      </c>
      <c r="I486" s="1" t="str">
        <f>IFERROR(__xludf.DUMMYFUNCTION("REGEXREPLACE(MID(H486, SEARCH(""["", H486) + 1, SEARCH(""]"", H486) - SEARCH(""["", H486) - 1), ""\[\]"","""")"),"Arcadia 1")</f>
        <v>Arcadia 1</v>
      </c>
      <c r="J486" s="1">
        <v>0.0</v>
      </c>
      <c r="K486" s="1">
        <v>0.0</v>
      </c>
    </row>
    <row r="487">
      <c r="A487" s="1">
        <v>3.0</v>
      </c>
      <c r="B487" s="1">
        <v>12.0</v>
      </c>
      <c r="C487" s="1">
        <v>1.0</v>
      </c>
      <c r="D487" s="1">
        <v>1.33</v>
      </c>
      <c r="E487" s="1">
        <v>0.0</v>
      </c>
      <c r="F487" s="1">
        <v>0.0</v>
      </c>
      <c r="G487" s="2">
        <v>1.0</v>
      </c>
      <c r="H487" s="1" t="s">
        <v>40</v>
      </c>
      <c r="I487" s="1" t="str">
        <f>IFERROR(__xludf.DUMMYFUNCTION("REGEXREPLACE(MID(H487, SEARCH(""["", H487) + 1, SEARCH(""]"", H487) - SEARCH(""["", H487) - 1), ""\[\]"","""")"),"Arcadia 1")</f>
        <v>Arcadia 1</v>
      </c>
      <c r="J487" s="1">
        <v>4.0</v>
      </c>
      <c r="K487" s="1">
        <v>0.0</v>
      </c>
    </row>
    <row r="488">
      <c r="A488" s="1">
        <v>1.0</v>
      </c>
      <c r="B488" s="1">
        <v>4.0</v>
      </c>
      <c r="C488" s="1">
        <v>1.0</v>
      </c>
      <c r="D488" s="1">
        <v>0.0</v>
      </c>
      <c r="E488" s="1">
        <v>0.0</v>
      </c>
      <c r="F488" s="1">
        <v>0.0</v>
      </c>
      <c r="G488" s="2">
        <v>0.0</v>
      </c>
      <c r="H488" s="1" t="s">
        <v>40</v>
      </c>
      <c r="I488" s="1" t="str">
        <f>IFERROR(__xludf.DUMMYFUNCTION("REGEXREPLACE(MID(H488, SEARCH(""["", H488) + 1, SEARCH(""]"", H488) - SEARCH(""["", H488) - 1), ""\[\]"","""")"),"Arcadia 1")</f>
        <v>Arcadia 1</v>
      </c>
      <c r="J488" s="1">
        <v>0.0</v>
      </c>
      <c r="K488" s="1">
        <v>0.0</v>
      </c>
    </row>
    <row r="489">
      <c r="A489" s="1">
        <v>1.0</v>
      </c>
      <c r="B489" s="1">
        <v>4.0</v>
      </c>
      <c r="C489" s="1">
        <v>0.0</v>
      </c>
      <c r="D489" s="1">
        <v>0.0</v>
      </c>
      <c r="E489" s="1">
        <v>0.0</v>
      </c>
      <c r="F489" s="1">
        <v>0.0</v>
      </c>
      <c r="G489" s="2">
        <v>0.0</v>
      </c>
      <c r="H489" s="1" t="s">
        <v>40</v>
      </c>
      <c r="I489" s="1" t="str">
        <f>IFERROR(__xludf.DUMMYFUNCTION("REGEXREPLACE(MID(H489, SEARCH(""["", H489) + 1, SEARCH(""]"", H489) - SEARCH(""["", H489) - 1), ""\[\]"","""")"),"Arcadia 1")</f>
        <v>Arcadia 1</v>
      </c>
      <c r="J489" s="1">
        <v>0.0</v>
      </c>
      <c r="K489" s="1">
        <v>0.0</v>
      </c>
    </row>
    <row r="490">
      <c r="A490" s="1">
        <v>3.0</v>
      </c>
      <c r="B490" s="1">
        <v>12.0</v>
      </c>
      <c r="C490" s="1">
        <v>2.0</v>
      </c>
      <c r="D490" s="1">
        <v>2.67</v>
      </c>
      <c r="E490" s="1">
        <v>0.0</v>
      </c>
      <c r="F490" s="1">
        <v>0.0</v>
      </c>
      <c r="G490" s="2">
        <v>1.0</v>
      </c>
      <c r="H490" s="1" t="s">
        <v>46</v>
      </c>
      <c r="I490" s="1" t="str">
        <f>IFERROR(__xludf.DUMMYFUNCTION("REGEXREPLACE(MID(H490, SEARCH(""["", H490) + 1, SEARCH(""]"", H490) - SEARCH(""["", H490) - 1), ""\[\]"","""")"),"Arcadia 1")</f>
        <v>Arcadia 1</v>
      </c>
      <c r="J490" s="1">
        <v>8.0</v>
      </c>
      <c r="K490" s="1">
        <v>0.0</v>
      </c>
    </row>
    <row r="491">
      <c r="A491" s="1">
        <v>1.0</v>
      </c>
      <c r="B491" s="1">
        <v>4.0</v>
      </c>
      <c r="C491" s="1">
        <v>0.0</v>
      </c>
      <c r="D491" s="1">
        <v>0.0</v>
      </c>
      <c r="E491" s="1">
        <v>0.0</v>
      </c>
      <c r="F491" s="1">
        <v>0.0</v>
      </c>
      <c r="G491" s="2">
        <v>0.0</v>
      </c>
      <c r="H491" s="1" t="s">
        <v>46</v>
      </c>
      <c r="I491" s="1" t="str">
        <f>IFERROR(__xludf.DUMMYFUNCTION("REGEXREPLACE(MID(H491, SEARCH(""["", H491) + 1, SEARCH(""]"", H491) - SEARCH(""["", H491) - 1), ""\[\]"","""")"),"Arcadia 1")</f>
        <v>Arcadia 1</v>
      </c>
      <c r="J491" s="1">
        <v>0.0</v>
      </c>
      <c r="K491" s="1">
        <v>0.0</v>
      </c>
    </row>
    <row r="492">
      <c r="A492" s="1">
        <v>1.0</v>
      </c>
      <c r="B492" s="1">
        <v>4.0</v>
      </c>
      <c r="C492" s="1">
        <v>0.0</v>
      </c>
      <c r="D492" s="1">
        <v>0.0</v>
      </c>
      <c r="E492" s="1">
        <v>0.0</v>
      </c>
      <c r="F492" s="1">
        <v>0.0</v>
      </c>
      <c r="G492" s="2">
        <v>0.0</v>
      </c>
      <c r="H492" s="1" t="s">
        <v>46</v>
      </c>
      <c r="I492" s="1" t="str">
        <f>IFERROR(__xludf.DUMMYFUNCTION("REGEXREPLACE(MID(H492, SEARCH(""["", H492) + 1, SEARCH(""]"", H492) - SEARCH(""["", H492) - 1), ""\[\]"","""")"),"Arcadia 1")</f>
        <v>Arcadia 1</v>
      </c>
      <c r="J492" s="1">
        <v>0.0</v>
      </c>
      <c r="K492" s="1">
        <v>0.0</v>
      </c>
    </row>
    <row r="493">
      <c r="A493" s="1">
        <v>4.0</v>
      </c>
      <c r="B493" s="1">
        <v>16.0</v>
      </c>
      <c r="C493" s="1">
        <v>7.0</v>
      </c>
      <c r="D493" s="1">
        <v>4.0</v>
      </c>
      <c r="E493" s="1">
        <v>0.25</v>
      </c>
      <c r="F493" s="1">
        <v>0.0</v>
      </c>
      <c r="G493" s="6">
        <v>0.714</v>
      </c>
      <c r="H493" s="1" t="s">
        <v>51</v>
      </c>
      <c r="I493" s="1" t="str">
        <f>IFERROR(__xludf.DUMMYFUNCTION("REGEXREPLACE(MID(H493, SEARCH(""["", H493) + 1, SEARCH(""]"", H493) - SEARCH(""["", H493) - 1), ""\[\]"","""")"),"Arcadia 2")</f>
        <v>Arcadia 2</v>
      </c>
      <c r="J493" s="1">
        <v>16.0</v>
      </c>
      <c r="K493" s="1">
        <v>1.0</v>
      </c>
    </row>
    <row r="494">
      <c r="A494" s="1">
        <v>5.0</v>
      </c>
      <c r="B494" s="1">
        <v>19.0</v>
      </c>
      <c r="C494" s="1">
        <v>1.0</v>
      </c>
      <c r="D494" s="1">
        <v>0.0</v>
      </c>
      <c r="E494" s="1">
        <v>0.0</v>
      </c>
      <c r="F494" s="1">
        <v>0.0</v>
      </c>
      <c r="G494" s="2">
        <v>0.0</v>
      </c>
      <c r="H494" s="1" t="s">
        <v>54</v>
      </c>
      <c r="I494" s="1" t="str">
        <f>IFERROR(__xludf.DUMMYFUNCTION("REGEXREPLACE(MID(H494, SEARCH(""["", H494) + 1, SEARCH(""]"", H494) - SEARCH(""["", H494) - 1), ""\[\]"","""")"),"Arcadia 2")</f>
        <v>Arcadia 2</v>
      </c>
      <c r="J494" s="1">
        <v>0.0</v>
      </c>
      <c r="K494" s="1">
        <v>0.0</v>
      </c>
    </row>
    <row r="495">
      <c r="A495" s="1">
        <v>1.0</v>
      </c>
      <c r="B495" s="1">
        <v>3.0</v>
      </c>
      <c r="C495" s="1">
        <v>1.0</v>
      </c>
      <c r="D495" s="1">
        <v>4.0</v>
      </c>
      <c r="E495" s="1">
        <v>0.0</v>
      </c>
      <c r="F495" s="1">
        <v>0.0</v>
      </c>
      <c r="G495" s="2">
        <v>1.0</v>
      </c>
      <c r="H495" s="1" t="s">
        <v>55</v>
      </c>
      <c r="I495" s="1" t="str">
        <f>IFERROR(__xludf.DUMMYFUNCTION("REGEXREPLACE(MID(H495, SEARCH(""["", H495) + 1, SEARCH(""]"", H495) - SEARCH(""["", H495) - 1), ""\[\]"","""")"),"Arcadia 2")</f>
        <v>Arcadia 2</v>
      </c>
      <c r="J495" s="1">
        <v>4.0</v>
      </c>
      <c r="K495" s="1">
        <v>0.0</v>
      </c>
    </row>
    <row r="496">
      <c r="A496" s="1">
        <v>1.0</v>
      </c>
      <c r="B496" s="1">
        <v>4.0</v>
      </c>
      <c r="C496" s="1">
        <v>0.0</v>
      </c>
      <c r="D496" s="1">
        <v>0.0</v>
      </c>
      <c r="E496" s="1">
        <v>0.0</v>
      </c>
      <c r="F496" s="1">
        <v>0.0</v>
      </c>
      <c r="G496" s="2">
        <v>0.0</v>
      </c>
      <c r="H496" s="1" t="s">
        <v>55</v>
      </c>
      <c r="I496" s="1" t="str">
        <f>IFERROR(__xludf.DUMMYFUNCTION("REGEXREPLACE(MID(H496, SEARCH(""["", H496) + 1, SEARCH(""]"", H496) - SEARCH(""["", H496) - 1), ""\[\]"","""")"),"Arcadia 2")</f>
        <v>Arcadia 2</v>
      </c>
      <c r="J496" s="1">
        <v>0.0</v>
      </c>
      <c r="K496" s="1">
        <v>0.0</v>
      </c>
    </row>
    <row r="497">
      <c r="A497" s="1">
        <v>5.0</v>
      </c>
      <c r="B497" s="1">
        <v>19.0</v>
      </c>
      <c r="C497" s="1">
        <v>0.0</v>
      </c>
      <c r="D497" s="1">
        <v>0.0</v>
      </c>
      <c r="E497" s="1">
        <v>0.0</v>
      </c>
      <c r="F497" s="1">
        <v>0.0</v>
      </c>
      <c r="G497" s="2">
        <v>0.0</v>
      </c>
      <c r="H497" s="1" t="s">
        <v>59</v>
      </c>
      <c r="I497" s="1" t="str">
        <f>IFERROR(__xludf.DUMMYFUNCTION("REGEXREPLACE(MID(H497, SEARCH(""["", H497) + 1, SEARCH(""]"", H497) - SEARCH(""["", H497) - 1), ""\[\]"","""")"),"Arcadia 2")</f>
        <v>Arcadia 2</v>
      </c>
      <c r="J497" s="1">
        <v>0.0</v>
      </c>
      <c r="K497" s="1">
        <v>0.0</v>
      </c>
    </row>
    <row r="498">
      <c r="A498" s="1">
        <v>1.0</v>
      </c>
      <c r="B498" s="1">
        <v>3.0</v>
      </c>
      <c r="C498" s="1">
        <v>2.0</v>
      </c>
      <c r="D498" s="1">
        <v>0.0</v>
      </c>
      <c r="E498" s="1">
        <v>0.0</v>
      </c>
      <c r="F498" s="1">
        <v>0.0</v>
      </c>
      <c r="G498" s="2">
        <v>0.0</v>
      </c>
      <c r="H498" s="1" t="s">
        <v>61</v>
      </c>
      <c r="I498" s="1" t="str">
        <f>IFERROR(__xludf.DUMMYFUNCTION("REGEXREPLACE(MID(H498, SEARCH(""["", H498) + 1, SEARCH(""]"", H498) - SEARCH(""["", H498) - 1), ""\[\]"","""")"),"Arcadia 2")</f>
        <v>Arcadia 2</v>
      </c>
      <c r="J498" s="1">
        <v>0.0</v>
      </c>
      <c r="K498" s="1">
        <v>0.0</v>
      </c>
    </row>
    <row r="499">
      <c r="A499" s="1">
        <v>4.0</v>
      </c>
      <c r="B499" s="1">
        <v>16.0</v>
      </c>
      <c r="C499" s="1">
        <v>5.0</v>
      </c>
      <c r="D499" s="1">
        <v>2.0</v>
      </c>
      <c r="E499" s="1">
        <v>0.0</v>
      </c>
      <c r="F499" s="1">
        <v>0.0</v>
      </c>
      <c r="G499" s="2">
        <v>0.4</v>
      </c>
      <c r="H499" s="1" t="s">
        <v>61</v>
      </c>
      <c r="I499" s="1" t="str">
        <f>IFERROR(__xludf.DUMMYFUNCTION("REGEXREPLACE(MID(H499, SEARCH(""["", H499) + 1, SEARCH(""]"", H499) - SEARCH(""["", H499) - 1), ""\[\]"","""")"),"Arcadia 2")</f>
        <v>Arcadia 2</v>
      </c>
      <c r="J499" s="1">
        <v>8.0</v>
      </c>
      <c r="K499" s="1">
        <v>0.0</v>
      </c>
    </row>
    <row r="500">
      <c r="A500" s="1">
        <v>2.0</v>
      </c>
      <c r="B500" s="1">
        <v>6.0</v>
      </c>
      <c r="C500" s="1">
        <v>0.0</v>
      </c>
      <c r="D500" s="1">
        <v>0.0</v>
      </c>
      <c r="E500" s="1">
        <v>0.0</v>
      </c>
      <c r="F500" s="1">
        <v>0.0</v>
      </c>
      <c r="G500" s="2">
        <v>0.0</v>
      </c>
      <c r="H500" s="1" t="s">
        <v>65</v>
      </c>
      <c r="I500" s="1" t="str">
        <f>IFERROR(__xludf.DUMMYFUNCTION("REGEXREPLACE(MID(H500, SEARCH(""["", H500) + 1, SEARCH(""]"", H500) - SEARCH(""["", H500) - 1), ""\[\]"","""")"),"BISV 1")</f>
        <v>BISV 1</v>
      </c>
      <c r="J500" s="1">
        <v>0.0</v>
      </c>
      <c r="K500" s="1">
        <v>0.0</v>
      </c>
    </row>
    <row r="501">
      <c r="A501" s="1">
        <v>5.0</v>
      </c>
      <c r="B501" s="1">
        <v>18.0</v>
      </c>
      <c r="C501" s="1">
        <v>1.0</v>
      </c>
      <c r="D501" s="1">
        <v>0.0</v>
      </c>
      <c r="E501" s="1">
        <v>0.0</v>
      </c>
      <c r="F501" s="1">
        <v>0.0</v>
      </c>
      <c r="G501" s="2">
        <v>0.0</v>
      </c>
      <c r="H501" s="1" t="s">
        <v>68</v>
      </c>
      <c r="I501" s="1" t="str">
        <f>IFERROR(__xludf.DUMMYFUNCTION("REGEXREPLACE(MID(H501, SEARCH(""["", H501) + 1, SEARCH(""]"", H501) - SEARCH(""["", H501) - 1), ""\[\]"","""")"),"BISV 1")</f>
        <v>BISV 1</v>
      </c>
      <c r="J501" s="1">
        <v>0.0</v>
      </c>
      <c r="K501" s="1">
        <v>0.0</v>
      </c>
    </row>
    <row r="502">
      <c r="A502" s="1">
        <v>5.0</v>
      </c>
      <c r="B502" s="1">
        <v>18.0</v>
      </c>
      <c r="C502" s="1">
        <v>4.0</v>
      </c>
      <c r="D502" s="1">
        <v>0.0</v>
      </c>
      <c r="E502" s="1">
        <v>0.0</v>
      </c>
      <c r="F502" s="1">
        <v>0.0</v>
      </c>
      <c r="G502" s="2">
        <v>0.0</v>
      </c>
      <c r="H502" s="1" t="s">
        <v>71</v>
      </c>
      <c r="I502" s="1" t="str">
        <f>IFERROR(__xludf.DUMMYFUNCTION("REGEXREPLACE(MID(H502, SEARCH(""["", H502) + 1, SEARCH(""]"", H502) - SEARCH(""["", H502) - 1), ""\[\]"","""")"),"BISV 1")</f>
        <v>BISV 1</v>
      </c>
      <c r="J502" s="1">
        <v>0.0</v>
      </c>
      <c r="K502" s="1">
        <v>0.0</v>
      </c>
    </row>
    <row r="503">
      <c r="A503" s="1">
        <v>1.0</v>
      </c>
      <c r="B503" s="1">
        <v>4.0</v>
      </c>
      <c r="C503" s="1">
        <v>3.0</v>
      </c>
      <c r="D503" s="1">
        <v>0.0</v>
      </c>
      <c r="E503" s="1">
        <v>1.0</v>
      </c>
      <c r="F503" s="1">
        <v>0.0</v>
      </c>
      <c r="G503" s="6">
        <v>0.333</v>
      </c>
      <c r="H503" s="1" t="s">
        <v>73</v>
      </c>
      <c r="I503" s="1" t="str">
        <f>IFERROR(__xludf.DUMMYFUNCTION("REGEXREPLACE(MID(H503, SEARCH(""["", H503) + 1, SEARCH(""]"", H503) - SEARCH(""["", H503) - 1), ""\[\]"","""")"),"BISV 1")</f>
        <v>BISV 1</v>
      </c>
      <c r="J503" s="1">
        <v>0.0</v>
      </c>
      <c r="K503" s="1">
        <v>1.0</v>
      </c>
    </row>
    <row r="504">
      <c r="A504" s="1">
        <v>2.0</v>
      </c>
      <c r="B504" s="1">
        <v>8.0</v>
      </c>
      <c r="C504" s="1">
        <v>2.0</v>
      </c>
      <c r="D504" s="1">
        <v>0.0</v>
      </c>
      <c r="E504" s="1">
        <v>0.0</v>
      </c>
      <c r="F504" s="1">
        <v>0.0</v>
      </c>
      <c r="G504" s="2">
        <v>0.0</v>
      </c>
      <c r="H504" s="1" t="s">
        <v>73</v>
      </c>
      <c r="I504" s="1" t="str">
        <f>IFERROR(__xludf.DUMMYFUNCTION("REGEXREPLACE(MID(H504, SEARCH(""["", H504) + 1, SEARCH(""]"", H504) - SEARCH(""["", H504) - 1), ""\[\]"","""")"),"BISV 1")</f>
        <v>BISV 1</v>
      </c>
      <c r="J504" s="1">
        <v>0.0</v>
      </c>
      <c r="K504" s="1">
        <v>0.0</v>
      </c>
    </row>
    <row r="505">
      <c r="A505" s="1">
        <v>1.0</v>
      </c>
      <c r="B505" s="1">
        <v>4.0</v>
      </c>
      <c r="C505" s="1">
        <v>0.0</v>
      </c>
      <c r="D505" s="1">
        <v>0.0</v>
      </c>
      <c r="E505" s="1">
        <v>0.0</v>
      </c>
      <c r="F505" s="1">
        <v>0.0</v>
      </c>
      <c r="G505" s="2">
        <v>0.0</v>
      </c>
      <c r="H505" s="1" t="s">
        <v>75</v>
      </c>
      <c r="I505" s="1" t="str">
        <f>IFERROR(__xludf.DUMMYFUNCTION("REGEXREPLACE(MID(H505, SEARCH(""["", H505) + 1, SEARCH(""]"", H505) - SEARCH(""["", H505) - 1), ""\[\]"","""")"),"BISV 2")</f>
        <v>BISV 2</v>
      </c>
      <c r="J505" s="1">
        <v>0.0</v>
      </c>
      <c r="K505" s="1">
        <v>0.0</v>
      </c>
    </row>
    <row r="506">
      <c r="A506" s="1">
        <v>4.0</v>
      </c>
      <c r="B506" s="1">
        <v>14.0</v>
      </c>
      <c r="C506" s="1">
        <v>12.0</v>
      </c>
      <c r="D506" s="1">
        <v>7.0</v>
      </c>
      <c r="E506" s="1">
        <v>0.25</v>
      </c>
      <c r="F506" s="1">
        <v>0.0</v>
      </c>
      <c r="G506" s="6">
        <v>0.667</v>
      </c>
      <c r="H506" s="1" t="s">
        <v>75</v>
      </c>
      <c r="I506" s="1" t="str">
        <f>IFERROR(__xludf.DUMMYFUNCTION("REGEXREPLACE(MID(H506, SEARCH(""["", H506) + 1, SEARCH(""]"", H506) - SEARCH(""["", H506) - 1), ""\[\]"","""")"),"BISV 2")</f>
        <v>BISV 2</v>
      </c>
      <c r="J506" s="1">
        <v>28.0</v>
      </c>
      <c r="K506" s="1">
        <v>1.0</v>
      </c>
    </row>
    <row r="507">
      <c r="A507" s="1">
        <v>1.0</v>
      </c>
      <c r="B507" s="1">
        <v>4.0</v>
      </c>
      <c r="C507" s="1">
        <v>0.0</v>
      </c>
      <c r="D507" s="1">
        <v>0.0</v>
      </c>
      <c r="E507" s="1">
        <v>0.0</v>
      </c>
      <c r="F507" s="1">
        <v>0.0</v>
      </c>
      <c r="G507" s="2">
        <v>0.0</v>
      </c>
      <c r="H507" s="1" t="s">
        <v>79</v>
      </c>
      <c r="I507" s="1" t="str">
        <f>IFERROR(__xludf.DUMMYFUNCTION("REGEXREPLACE(MID(H507, SEARCH(""["", H507) + 1, SEARCH(""]"", H507) - SEARCH(""["", H507) - 1), ""\[\]"","""")"),"BISV 2")</f>
        <v>BISV 2</v>
      </c>
      <c r="J507" s="1">
        <v>0.0</v>
      </c>
      <c r="K507" s="1">
        <v>0.0</v>
      </c>
    </row>
    <row r="508">
      <c r="A508" s="1">
        <v>2.0</v>
      </c>
      <c r="B508" s="1">
        <v>7.0</v>
      </c>
      <c r="C508" s="1">
        <v>0.0</v>
      </c>
      <c r="D508" s="1">
        <v>0.0</v>
      </c>
      <c r="E508" s="1">
        <v>0.0</v>
      </c>
      <c r="F508" s="1">
        <v>0.0</v>
      </c>
      <c r="G508" s="2">
        <v>0.0</v>
      </c>
      <c r="H508" s="1" t="s">
        <v>79</v>
      </c>
      <c r="I508" s="1" t="str">
        <f>IFERROR(__xludf.DUMMYFUNCTION("REGEXREPLACE(MID(H508, SEARCH(""["", H508) + 1, SEARCH(""]"", H508) - SEARCH(""["", H508) - 1), ""\[\]"","""")"),"BISV 2")</f>
        <v>BISV 2</v>
      </c>
      <c r="J508" s="1">
        <v>0.0</v>
      </c>
      <c r="K508" s="1">
        <v>0.0</v>
      </c>
    </row>
    <row r="509">
      <c r="A509" s="1">
        <v>1.0</v>
      </c>
      <c r="B509" s="1">
        <v>3.0</v>
      </c>
      <c r="C509" s="1">
        <v>0.0</v>
      </c>
      <c r="D509" s="1">
        <v>0.0</v>
      </c>
      <c r="E509" s="1">
        <v>0.0</v>
      </c>
      <c r="F509" s="1">
        <v>0.0</v>
      </c>
      <c r="G509" s="2">
        <v>0.0</v>
      </c>
      <c r="H509" s="1" t="s">
        <v>79</v>
      </c>
      <c r="I509" s="1" t="str">
        <f>IFERROR(__xludf.DUMMYFUNCTION("REGEXREPLACE(MID(H509, SEARCH(""["", H509) + 1, SEARCH(""]"", H509) - SEARCH(""["", H509) - 1), ""\[\]"","""")"),"BISV 2")</f>
        <v>BISV 2</v>
      </c>
      <c r="J509" s="1">
        <v>0.0</v>
      </c>
      <c r="K509" s="1">
        <v>0.0</v>
      </c>
    </row>
    <row r="510">
      <c r="A510" s="1">
        <v>1.0</v>
      </c>
      <c r="B510" s="1">
        <v>4.0</v>
      </c>
      <c r="C510" s="1">
        <v>0.0</v>
      </c>
      <c r="D510" s="1">
        <v>0.0</v>
      </c>
      <c r="E510" s="1">
        <v>0.0</v>
      </c>
      <c r="F510" s="1">
        <v>0.0</v>
      </c>
      <c r="G510" s="2">
        <v>0.0</v>
      </c>
      <c r="H510" s="1" t="s">
        <v>79</v>
      </c>
      <c r="I510" s="1" t="str">
        <f>IFERROR(__xludf.DUMMYFUNCTION("REGEXREPLACE(MID(H510, SEARCH(""["", H510) + 1, SEARCH(""]"", H510) - SEARCH(""["", H510) - 1), ""\[\]"","""")"),"BISV 2")</f>
        <v>BISV 2</v>
      </c>
      <c r="J510" s="1">
        <v>0.0</v>
      </c>
      <c r="K510" s="1">
        <v>0.0</v>
      </c>
    </row>
    <row r="511">
      <c r="A511" s="1">
        <v>1.0</v>
      </c>
      <c r="B511" s="1">
        <v>4.0</v>
      </c>
      <c r="C511" s="1">
        <v>0.0</v>
      </c>
      <c r="D511" s="1">
        <v>0.0</v>
      </c>
      <c r="E511" s="1">
        <v>0.0</v>
      </c>
      <c r="F511" s="1">
        <v>0.0</v>
      </c>
      <c r="G511" s="2">
        <v>0.0</v>
      </c>
      <c r="H511" s="1" t="s">
        <v>85</v>
      </c>
      <c r="I511" s="1" t="str">
        <f>IFERROR(__xludf.DUMMYFUNCTION("REGEXREPLACE(MID(H511, SEARCH(""["", H511) + 1, SEARCH(""]"", H511) - SEARCH(""["", H511) - 1), ""\[\]"","""")"),"BISV 2")</f>
        <v>BISV 2</v>
      </c>
      <c r="J511" s="1">
        <v>0.0</v>
      </c>
      <c r="K511" s="1">
        <v>0.0</v>
      </c>
    </row>
    <row r="512">
      <c r="A512" s="1">
        <v>1.0</v>
      </c>
      <c r="B512" s="1">
        <v>4.0</v>
      </c>
      <c r="C512" s="1">
        <v>0.0</v>
      </c>
      <c r="D512" s="1">
        <v>0.0</v>
      </c>
      <c r="E512" s="1">
        <v>0.0</v>
      </c>
      <c r="F512" s="1">
        <v>0.0</v>
      </c>
      <c r="G512" s="2">
        <v>0.0</v>
      </c>
      <c r="H512" s="1" t="s">
        <v>88</v>
      </c>
      <c r="I512" s="1" t="str">
        <f>IFERROR(__xludf.DUMMYFUNCTION("REGEXREPLACE(MID(H512, SEARCH(""["", H512) + 1, SEARCH(""]"", H512) - SEARCH(""["", H512) - 1), ""\[\]"","""")"),"BISV 2")</f>
        <v>BISV 2</v>
      </c>
      <c r="J512" s="1">
        <v>0.0</v>
      </c>
      <c r="K512" s="1">
        <v>0.0</v>
      </c>
    </row>
    <row r="513">
      <c r="A513" s="1">
        <v>2.0</v>
      </c>
      <c r="B513" s="1">
        <v>6.0</v>
      </c>
      <c r="C513" s="1">
        <v>0.0</v>
      </c>
      <c r="D513" s="1">
        <v>0.0</v>
      </c>
      <c r="E513" s="1">
        <v>0.0</v>
      </c>
      <c r="F513" s="1">
        <v>0.0</v>
      </c>
      <c r="G513" s="2">
        <v>0.0</v>
      </c>
      <c r="H513" s="1" t="s">
        <v>88</v>
      </c>
      <c r="I513" s="1" t="str">
        <f>IFERROR(__xludf.DUMMYFUNCTION("REGEXREPLACE(MID(H513, SEARCH(""["", H513) + 1, SEARCH(""]"", H513) - SEARCH(""["", H513) - 1), ""\[\]"","""")"),"BISV 2")</f>
        <v>BISV 2</v>
      </c>
      <c r="J513" s="1">
        <v>0.0</v>
      </c>
      <c r="K513" s="1">
        <v>0.0</v>
      </c>
    </row>
    <row r="514">
      <c r="A514" s="1">
        <v>1.0</v>
      </c>
      <c r="B514" s="1">
        <v>4.0</v>
      </c>
      <c r="C514" s="1">
        <v>1.0</v>
      </c>
      <c r="D514" s="1">
        <v>4.0</v>
      </c>
      <c r="E514" s="1">
        <v>0.0</v>
      </c>
      <c r="F514" s="1">
        <v>0.0</v>
      </c>
      <c r="G514" s="2">
        <v>1.0</v>
      </c>
      <c r="H514" s="1" t="s">
        <v>76</v>
      </c>
      <c r="I514" s="1" t="str">
        <f>IFERROR(__xludf.DUMMYFUNCTION("REGEXREPLACE(MID(H514, SEARCH(""["", H514) + 1, SEARCH(""]"", H514) - SEARCH(""["", H514) - 1), ""\[\]"","""")"),"BISV 2")</f>
        <v>BISV 2</v>
      </c>
      <c r="J514" s="1">
        <v>4.0</v>
      </c>
      <c r="K514" s="1">
        <v>0.0</v>
      </c>
    </row>
    <row r="515">
      <c r="A515" s="1">
        <v>4.0</v>
      </c>
      <c r="B515" s="1">
        <v>15.0</v>
      </c>
      <c r="C515" s="1">
        <v>0.0</v>
      </c>
      <c r="D515" s="1">
        <v>0.0</v>
      </c>
      <c r="E515" s="1">
        <v>0.0</v>
      </c>
      <c r="F515" s="1">
        <v>0.0</v>
      </c>
      <c r="G515" s="2">
        <v>0.0</v>
      </c>
      <c r="H515" s="1" t="s">
        <v>92</v>
      </c>
      <c r="I515" s="1" t="str">
        <f>IFERROR(__xludf.DUMMYFUNCTION("REGEXREPLACE(MID(H515, SEARCH(""["", H515) + 1, SEARCH(""]"", H515) - SEARCH(""["", H515) - 1), ""\[\]"","""")"),"Blair")</f>
        <v>Blair</v>
      </c>
      <c r="J515" s="1">
        <v>0.0</v>
      </c>
      <c r="K515" s="1">
        <v>0.0</v>
      </c>
    </row>
    <row r="516">
      <c r="A516" s="1">
        <v>3.0</v>
      </c>
      <c r="B516" s="1">
        <v>12.0</v>
      </c>
      <c r="C516" s="1">
        <v>5.0</v>
      </c>
      <c r="D516" s="1">
        <v>4.0</v>
      </c>
      <c r="E516" s="1">
        <v>0.33</v>
      </c>
      <c r="F516" s="1">
        <v>0.0</v>
      </c>
      <c r="G516" s="2">
        <v>0.8</v>
      </c>
      <c r="H516" s="1" t="s">
        <v>94</v>
      </c>
      <c r="I516" s="1" t="str">
        <f>IFERROR(__xludf.DUMMYFUNCTION("REGEXREPLACE(MID(H516, SEARCH(""["", H516) + 1, SEARCH(""]"", H516) - SEARCH(""["", H516) - 1), ""\[\]"","""")"),"Blair")</f>
        <v>Blair</v>
      </c>
      <c r="J516" s="1">
        <v>12.0</v>
      </c>
      <c r="K516" s="1">
        <v>1.0</v>
      </c>
    </row>
    <row r="517">
      <c r="A517" s="1">
        <v>4.0</v>
      </c>
      <c r="B517" s="1">
        <v>15.0</v>
      </c>
      <c r="C517" s="1">
        <v>6.0</v>
      </c>
      <c r="D517" s="1">
        <v>2.0</v>
      </c>
      <c r="E517" s="1">
        <v>0.5</v>
      </c>
      <c r="F517" s="1">
        <v>0.0</v>
      </c>
      <c r="G517" s="6">
        <v>0.667</v>
      </c>
      <c r="H517" s="1" t="s">
        <v>96</v>
      </c>
      <c r="I517" s="1" t="str">
        <f>IFERROR(__xludf.DUMMYFUNCTION("REGEXREPLACE(MID(H517, SEARCH(""["", H517) + 1, SEARCH(""]"", H517) - SEARCH(""["", H517) - 1), ""\[\]"","""")"),"Blair")</f>
        <v>Blair</v>
      </c>
      <c r="J517" s="1">
        <v>8.0</v>
      </c>
      <c r="K517" s="1">
        <v>2.0</v>
      </c>
    </row>
    <row r="518">
      <c r="A518" s="1">
        <v>1.0</v>
      </c>
      <c r="B518" s="1">
        <v>4.0</v>
      </c>
      <c r="C518" s="1">
        <v>2.0</v>
      </c>
      <c r="D518" s="1">
        <v>4.0</v>
      </c>
      <c r="E518" s="1">
        <v>0.0</v>
      </c>
      <c r="F518" s="1">
        <v>0.0</v>
      </c>
      <c r="G518" s="2">
        <v>0.5</v>
      </c>
      <c r="H518" s="1" t="s">
        <v>96</v>
      </c>
      <c r="I518" s="1" t="str">
        <f>IFERROR(__xludf.DUMMYFUNCTION("REGEXREPLACE(MID(H518, SEARCH(""["", H518) + 1, SEARCH(""]"", H518) - SEARCH(""["", H518) - 1), ""\[\]"","""")"),"Blair")</f>
        <v>Blair</v>
      </c>
      <c r="J518" s="1">
        <v>4.0</v>
      </c>
      <c r="K518" s="1">
        <v>0.0</v>
      </c>
    </row>
    <row r="519">
      <c r="A519" s="1">
        <v>5.0</v>
      </c>
      <c r="B519" s="1">
        <v>19.0</v>
      </c>
      <c r="C519" s="1">
        <v>5.0</v>
      </c>
      <c r="D519" s="1">
        <v>2.4</v>
      </c>
      <c r="E519" s="1">
        <v>0.0</v>
      </c>
      <c r="F519" s="1">
        <v>0.0</v>
      </c>
      <c r="G519" s="2">
        <v>0.6</v>
      </c>
      <c r="H519" s="1" t="s">
        <v>90</v>
      </c>
      <c r="I519" s="1" t="str">
        <f>IFERROR(__xludf.DUMMYFUNCTION("REGEXREPLACE(MID(H519, SEARCH(""["", H519) + 1, SEARCH(""]"", H519) - SEARCH(""["", H519) - 1), ""\[\]"","""")"),"Blair")</f>
        <v>Blair</v>
      </c>
      <c r="J519" s="1">
        <v>12.0</v>
      </c>
      <c r="K519" s="1">
        <v>0.0</v>
      </c>
    </row>
    <row r="520">
      <c r="A520" s="1">
        <v>4.0</v>
      </c>
      <c r="B520" s="1">
        <v>15.0</v>
      </c>
      <c r="C520" s="1">
        <v>1.0</v>
      </c>
      <c r="D520" s="1">
        <v>0.0</v>
      </c>
      <c r="E520" s="1">
        <v>0.0</v>
      </c>
      <c r="F520" s="1">
        <v>0.0</v>
      </c>
      <c r="G520" s="2">
        <v>0.0</v>
      </c>
      <c r="H520" s="1" t="s">
        <v>100</v>
      </c>
      <c r="I520" s="1" t="str">
        <f>IFERROR(__xludf.DUMMYFUNCTION("REGEXREPLACE(MID(H520, SEARCH(""["", H520) + 1, SEARCH(""]"", H520) - SEARCH(""["", H520) - 1), ""\[\]"","""")"),"Blair")</f>
        <v>Blair</v>
      </c>
      <c r="J520" s="1">
        <v>0.0</v>
      </c>
      <c r="K520" s="1">
        <v>0.0</v>
      </c>
    </row>
    <row r="521">
      <c r="A521" s="1">
        <v>1.0</v>
      </c>
      <c r="B521" s="1">
        <v>4.0</v>
      </c>
      <c r="C521" s="1">
        <v>1.0</v>
      </c>
      <c r="D521" s="1">
        <v>4.0</v>
      </c>
      <c r="E521" s="1">
        <v>0.0</v>
      </c>
      <c r="F521" s="1">
        <v>0.0</v>
      </c>
      <c r="G521" s="2">
        <v>1.0</v>
      </c>
      <c r="H521" s="1" t="s">
        <v>102</v>
      </c>
      <c r="I521" s="1" t="str">
        <f>IFERROR(__xludf.DUMMYFUNCTION("REGEXREPLACE(MID(H521, SEARCH(""["", H521) + 1, SEARCH(""]"", H521) - SEARCH(""["", H521) - 1), ""\[\]"","""")"),"Bridgeland HS")</f>
        <v>Bridgeland HS</v>
      </c>
      <c r="J521" s="1">
        <v>4.0</v>
      </c>
      <c r="K521" s="1">
        <v>0.0</v>
      </c>
    </row>
    <row r="522">
      <c r="A522" s="1">
        <v>1.0</v>
      </c>
      <c r="B522" s="1">
        <v>4.0</v>
      </c>
      <c r="C522" s="1">
        <v>1.0</v>
      </c>
      <c r="D522" s="1">
        <v>-4.0</v>
      </c>
      <c r="E522" s="1">
        <v>1.0</v>
      </c>
      <c r="F522" s="1">
        <v>0.0</v>
      </c>
      <c r="G522" s="2">
        <v>0.0</v>
      </c>
      <c r="H522" s="1" t="s">
        <v>102</v>
      </c>
      <c r="I522" s="1" t="str">
        <f>IFERROR(__xludf.DUMMYFUNCTION("REGEXREPLACE(MID(H522, SEARCH(""["", H522) + 1, SEARCH(""]"", H522) - SEARCH(""["", H522) - 1), ""\[\]"","""")"),"Bridgeland HS")</f>
        <v>Bridgeland HS</v>
      </c>
      <c r="J522" s="1">
        <v>-4.0</v>
      </c>
      <c r="K522" s="1">
        <v>1.0</v>
      </c>
    </row>
    <row r="523">
      <c r="A523" s="1">
        <v>5.0</v>
      </c>
      <c r="B523" s="1">
        <v>20.0</v>
      </c>
      <c r="C523" s="1">
        <v>10.0</v>
      </c>
      <c r="D523" s="1">
        <v>6.4</v>
      </c>
      <c r="E523" s="1">
        <v>0.2</v>
      </c>
      <c r="F523" s="1">
        <v>0.0</v>
      </c>
      <c r="G523" s="2">
        <v>0.9</v>
      </c>
      <c r="H523" s="1" t="s">
        <v>66</v>
      </c>
      <c r="I523" s="1" t="str">
        <f>IFERROR(__xludf.DUMMYFUNCTION("REGEXREPLACE(MID(H523, SEARCH(""["", H523) + 1, SEARCH(""]"", H523) - SEARCH(""["", H523) - 1), ""\[\]"","""")"),"Bridgeland HS")</f>
        <v>Bridgeland HS</v>
      </c>
      <c r="J523" s="1">
        <v>32.0</v>
      </c>
      <c r="K523" s="1">
        <v>1.0</v>
      </c>
    </row>
    <row r="524">
      <c r="A524" s="1">
        <v>2.0</v>
      </c>
      <c r="B524" s="1">
        <v>8.0</v>
      </c>
      <c r="C524" s="1">
        <v>2.0</v>
      </c>
      <c r="D524" s="1">
        <v>0.0</v>
      </c>
      <c r="E524" s="1">
        <v>0.0</v>
      </c>
      <c r="F524" s="1">
        <v>0.0</v>
      </c>
      <c r="G524" s="2">
        <v>0.0</v>
      </c>
      <c r="H524" s="1" t="s">
        <v>108</v>
      </c>
      <c r="I524" s="1" t="str">
        <f>IFERROR(__xludf.DUMMYFUNCTION("REGEXREPLACE(MID(H524, SEARCH(""["", H524) + 1, SEARCH(""]"", H524) - SEARCH(""["", H524) - 1), ""\[\]"","""")"),"Bridgeland HS")</f>
        <v>Bridgeland HS</v>
      </c>
      <c r="J524" s="1">
        <v>0.0</v>
      </c>
      <c r="K524" s="1">
        <v>0.0</v>
      </c>
    </row>
    <row r="525">
      <c r="A525" s="1">
        <v>2.0</v>
      </c>
      <c r="B525" s="1">
        <v>8.0</v>
      </c>
      <c r="C525" s="1">
        <v>0.0</v>
      </c>
      <c r="D525" s="1">
        <v>0.0</v>
      </c>
      <c r="E525" s="1">
        <v>0.0</v>
      </c>
      <c r="F525" s="1">
        <v>0.0</v>
      </c>
      <c r="G525" s="2">
        <v>0.0</v>
      </c>
      <c r="H525" s="1" t="s">
        <v>109</v>
      </c>
      <c r="I525" s="1" t="str">
        <f>IFERROR(__xludf.DUMMYFUNCTION("REGEXREPLACE(MID(H525, SEARCH(""["", H525) + 1, SEARCH(""]"", H525) - SEARCH(""["", H525) - 1), ""\[\]"","""")"),"Bridgeland HS")</f>
        <v>Bridgeland HS</v>
      </c>
      <c r="J525" s="1">
        <v>0.0</v>
      </c>
      <c r="K525" s="1">
        <v>0.0</v>
      </c>
    </row>
    <row r="526">
      <c r="A526" s="1">
        <v>1.0</v>
      </c>
      <c r="B526" s="1">
        <v>4.0</v>
      </c>
      <c r="C526" s="1">
        <v>0.0</v>
      </c>
      <c r="D526" s="1">
        <v>0.0</v>
      </c>
      <c r="E526" s="1">
        <v>0.0</v>
      </c>
      <c r="F526" s="1">
        <v>0.0</v>
      </c>
      <c r="G526" s="2">
        <v>0.0</v>
      </c>
      <c r="H526" s="1" t="s">
        <v>110</v>
      </c>
      <c r="I526" s="1" t="str">
        <f>IFERROR(__xludf.DUMMYFUNCTION("REGEXREPLACE(MID(H526, SEARCH(""["", H526) + 1, SEARCH(""]"", H526) - SEARCH(""["", H526) - 1), ""\[\]"","""")"),"Bridgeland HS")</f>
        <v>Bridgeland HS</v>
      </c>
      <c r="J526" s="1">
        <v>0.0</v>
      </c>
      <c r="K526" s="1">
        <v>0.0</v>
      </c>
    </row>
    <row r="527">
      <c r="A527" s="1">
        <v>2.0</v>
      </c>
      <c r="B527" s="1">
        <v>7.0</v>
      </c>
      <c r="C527" s="1">
        <v>2.0</v>
      </c>
      <c r="D527" s="1">
        <v>0.0</v>
      </c>
      <c r="E527" s="1">
        <v>0.0</v>
      </c>
      <c r="F527" s="1">
        <v>0.0</v>
      </c>
      <c r="G527" s="2">
        <v>0.0</v>
      </c>
      <c r="H527" s="1" t="s">
        <v>111</v>
      </c>
      <c r="I527" s="1" t="str">
        <f>IFERROR(__xludf.DUMMYFUNCTION("REGEXREPLACE(MID(H527, SEARCH(""["", H527) + 1, SEARCH(""]"", H527) - SEARCH(""["", H527) - 1), ""\[\]"","""")"),"Camas Papermakers")</f>
        <v>Camas Papermakers</v>
      </c>
      <c r="J527" s="1">
        <v>0.0</v>
      </c>
      <c r="K527" s="1">
        <v>0.0</v>
      </c>
    </row>
    <row r="528">
      <c r="A528" s="1">
        <v>1.0</v>
      </c>
      <c r="B528" s="1">
        <v>4.0</v>
      </c>
      <c r="C528" s="1">
        <v>2.0</v>
      </c>
      <c r="D528" s="1">
        <v>0.0</v>
      </c>
      <c r="E528" s="1">
        <v>0.0</v>
      </c>
      <c r="F528" s="1">
        <v>0.0</v>
      </c>
      <c r="G528" s="2">
        <v>0.0</v>
      </c>
      <c r="H528" s="1" t="s">
        <v>111</v>
      </c>
      <c r="I528" s="1" t="str">
        <f>IFERROR(__xludf.DUMMYFUNCTION("REGEXREPLACE(MID(H528, SEARCH(""["", H528) + 1, SEARCH(""]"", H528) - SEARCH(""["", H528) - 1), ""\[\]"","""")"),"Camas Papermakers")</f>
        <v>Camas Papermakers</v>
      </c>
      <c r="J528" s="1">
        <v>0.0</v>
      </c>
      <c r="K528" s="1">
        <v>0.0</v>
      </c>
    </row>
    <row r="529">
      <c r="A529" s="1">
        <v>2.0</v>
      </c>
      <c r="B529" s="1">
        <v>8.0</v>
      </c>
      <c r="C529" s="1">
        <v>3.0</v>
      </c>
      <c r="D529" s="1">
        <v>2.0</v>
      </c>
      <c r="E529" s="1">
        <v>0.0</v>
      </c>
      <c r="F529" s="1">
        <v>0.0</v>
      </c>
      <c r="G529" s="6">
        <v>0.333</v>
      </c>
      <c r="H529" s="1" t="s">
        <v>111</v>
      </c>
      <c r="I529" s="1" t="str">
        <f>IFERROR(__xludf.DUMMYFUNCTION("REGEXREPLACE(MID(H529, SEARCH(""["", H529) + 1, SEARCH(""]"", H529) - SEARCH(""["", H529) - 1), ""\[\]"","""")"),"Camas Papermakers")</f>
        <v>Camas Papermakers</v>
      </c>
      <c r="J529" s="1">
        <v>4.0</v>
      </c>
      <c r="K529" s="1">
        <v>0.0</v>
      </c>
    </row>
    <row r="530">
      <c r="A530" s="1">
        <v>3.0</v>
      </c>
      <c r="B530" s="1">
        <v>11.0</v>
      </c>
      <c r="C530" s="1">
        <v>2.0</v>
      </c>
      <c r="D530" s="1">
        <v>0.0</v>
      </c>
      <c r="E530" s="1">
        <v>0.0</v>
      </c>
      <c r="F530" s="1">
        <v>0.0</v>
      </c>
      <c r="G530" s="2">
        <v>0.0</v>
      </c>
      <c r="H530" s="1" t="s">
        <v>115</v>
      </c>
      <c r="I530" s="1" t="str">
        <f>IFERROR(__xludf.DUMMYFUNCTION("REGEXREPLACE(MID(H530, SEARCH(""["", H530) + 1, SEARCH(""]"", H530) - SEARCH(""["", H530) - 1), ""\[\]"","""")"),"Camas Papermakers")</f>
        <v>Camas Papermakers</v>
      </c>
      <c r="J530" s="1">
        <v>0.0</v>
      </c>
      <c r="K530" s="1">
        <v>0.0</v>
      </c>
    </row>
    <row r="531">
      <c r="A531" s="1">
        <v>2.0</v>
      </c>
      <c r="B531" s="1">
        <v>8.0</v>
      </c>
      <c r="C531" s="1">
        <v>1.0</v>
      </c>
      <c r="D531" s="1">
        <v>2.0</v>
      </c>
      <c r="E531" s="1">
        <v>0.0</v>
      </c>
      <c r="F531" s="1">
        <v>0.0</v>
      </c>
      <c r="G531" s="2">
        <v>1.0</v>
      </c>
      <c r="H531" s="1" t="s">
        <v>115</v>
      </c>
      <c r="I531" s="1" t="str">
        <f>IFERROR(__xludf.DUMMYFUNCTION("REGEXREPLACE(MID(H531, SEARCH(""["", H531) + 1, SEARCH(""]"", H531) - SEARCH(""["", H531) - 1), ""\[\]"","""")"),"Camas Papermakers")</f>
        <v>Camas Papermakers</v>
      </c>
      <c r="J531" s="1">
        <v>4.0</v>
      </c>
      <c r="K531" s="1">
        <v>0.0</v>
      </c>
    </row>
    <row r="532">
      <c r="A532" s="1">
        <v>2.0</v>
      </c>
      <c r="B532" s="1">
        <v>7.0</v>
      </c>
      <c r="C532" s="1">
        <v>0.0</v>
      </c>
      <c r="D532" s="1">
        <v>0.0</v>
      </c>
      <c r="E532" s="1">
        <v>0.0</v>
      </c>
      <c r="F532" s="1">
        <v>0.0</v>
      </c>
      <c r="G532" s="2">
        <v>0.0</v>
      </c>
      <c r="H532" s="1" t="s">
        <v>117</v>
      </c>
      <c r="I532" s="1" t="str">
        <f>IFERROR(__xludf.DUMMYFUNCTION("REGEXREPLACE(MID(H532, SEARCH(""["", H532) + 1, SEARCH(""]"", H532) - SEARCH(""["", H532) - 1), ""\[\]"","""")"),"Camas Papermakers")</f>
        <v>Camas Papermakers</v>
      </c>
      <c r="J532" s="1">
        <v>0.0</v>
      </c>
      <c r="K532" s="1">
        <v>0.0</v>
      </c>
    </row>
    <row r="533">
      <c r="A533" s="1">
        <v>1.0</v>
      </c>
      <c r="B533" s="1">
        <v>4.0</v>
      </c>
      <c r="C533" s="1">
        <v>0.0</v>
      </c>
      <c r="D533" s="1">
        <v>0.0</v>
      </c>
      <c r="E533" s="1">
        <v>0.0</v>
      </c>
      <c r="F533" s="1">
        <v>0.0</v>
      </c>
      <c r="G533" s="2">
        <v>0.0</v>
      </c>
      <c r="H533" s="1" t="s">
        <v>117</v>
      </c>
      <c r="I533" s="1" t="str">
        <f>IFERROR(__xludf.DUMMYFUNCTION("REGEXREPLACE(MID(H533, SEARCH(""["", H533) + 1, SEARCH(""]"", H533) - SEARCH(""["", H533) - 1), ""\[\]"","""")"),"Camas Papermakers")</f>
        <v>Camas Papermakers</v>
      </c>
      <c r="J533" s="1">
        <v>0.0</v>
      </c>
      <c r="K533" s="1">
        <v>0.0</v>
      </c>
    </row>
    <row r="534">
      <c r="A534" s="1">
        <v>1.0</v>
      </c>
      <c r="B534" s="1">
        <v>4.0</v>
      </c>
      <c r="C534" s="1">
        <v>0.0</v>
      </c>
      <c r="D534" s="1">
        <v>0.0</v>
      </c>
      <c r="E534" s="1">
        <v>0.0</v>
      </c>
      <c r="F534" s="1">
        <v>0.0</v>
      </c>
      <c r="G534" s="2">
        <v>0.0</v>
      </c>
      <c r="H534" s="1" t="s">
        <v>117</v>
      </c>
      <c r="I534" s="1" t="str">
        <f>IFERROR(__xludf.DUMMYFUNCTION("REGEXREPLACE(MID(H534, SEARCH(""["", H534) + 1, SEARCH(""]"", H534) - SEARCH(""["", H534) - 1), ""\[\]"","""")"),"Camas Papermakers")</f>
        <v>Camas Papermakers</v>
      </c>
      <c r="J534" s="1">
        <v>0.0</v>
      </c>
      <c r="K534" s="1">
        <v>0.0</v>
      </c>
    </row>
    <row r="535">
      <c r="A535" s="1">
        <v>1.0</v>
      </c>
      <c r="B535" s="1">
        <v>4.0</v>
      </c>
      <c r="C535" s="1">
        <v>0.0</v>
      </c>
      <c r="D535" s="1">
        <v>0.0</v>
      </c>
      <c r="E535" s="1">
        <v>0.0</v>
      </c>
      <c r="F535" s="1">
        <v>0.0</v>
      </c>
      <c r="G535" s="2">
        <v>0.0</v>
      </c>
      <c r="H535" s="1" t="s">
        <v>117</v>
      </c>
      <c r="I535" s="1" t="str">
        <f>IFERROR(__xludf.DUMMYFUNCTION("REGEXREPLACE(MID(H535, SEARCH(""["", H535) + 1, SEARCH(""]"", H535) - SEARCH(""["", H535) - 1), ""\[\]"","""")"),"Camas Papermakers")</f>
        <v>Camas Papermakers</v>
      </c>
      <c r="J535" s="1">
        <v>0.0</v>
      </c>
      <c r="K535" s="1">
        <v>0.0</v>
      </c>
    </row>
    <row r="536">
      <c r="A536" s="1">
        <v>3.0</v>
      </c>
      <c r="B536" s="1">
        <v>12.0</v>
      </c>
      <c r="C536" s="1">
        <v>1.0</v>
      </c>
      <c r="D536" s="1">
        <v>-1.33</v>
      </c>
      <c r="E536" s="1">
        <v>0.33</v>
      </c>
      <c r="F536" s="1">
        <v>0.0</v>
      </c>
      <c r="G536" s="2">
        <v>0.0</v>
      </c>
      <c r="H536" s="1" t="s">
        <v>123</v>
      </c>
      <c r="I536" s="1" t="str">
        <f>IFERROR(__xludf.DUMMYFUNCTION("REGEXREPLACE(MID(H536, SEARCH(""["", H536) + 1, SEARCH(""]"", H536) - SEARCH(""["", H536) - 1), ""\[\]"","""")"),"Chattahoochee HS")</f>
        <v>Chattahoochee HS</v>
      </c>
      <c r="J536" s="1">
        <v>-4.0</v>
      </c>
      <c r="K536" s="1">
        <v>1.0</v>
      </c>
    </row>
    <row r="537">
      <c r="A537" s="1">
        <v>5.0</v>
      </c>
      <c r="B537" s="1">
        <v>20.0</v>
      </c>
      <c r="C537" s="1">
        <v>0.0</v>
      </c>
      <c r="D537" s="1">
        <v>0.0</v>
      </c>
      <c r="E537" s="1">
        <v>0.0</v>
      </c>
      <c r="F537" s="1">
        <v>0.0</v>
      </c>
      <c r="G537" s="2">
        <v>0.0</v>
      </c>
      <c r="H537" s="1" t="s">
        <v>124</v>
      </c>
      <c r="I537" s="1" t="str">
        <f>IFERROR(__xludf.DUMMYFUNCTION("REGEXREPLACE(MID(H537, SEARCH(""["", H537) + 1, SEARCH(""]"", H537) - SEARCH(""["", H537) - 1), ""\[\]"","""")"),"Chattahoochee HS")</f>
        <v>Chattahoochee HS</v>
      </c>
      <c r="J537" s="1">
        <v>0.0</v>
      </c>
      <c r="K537" s="1">
        <v>0.0</v>
      </c>
    </row>
    <row r="538">
      <c r="A538" s="1">
        <v>5.0</v>
      </c>
      <c r="B538" s="1">
        <v>20.0</v>
      </c>
      <c r="C538" s="1">
        <v>2.0</v>
      </c>
      <c r="D538" s="1">
        <v>0.8</v>
      </c>
      <c r="E538" s="1">
        <v>0.0</v>
      </c>
      <c r="F538" s="1">
        <v>0.0</v>
      </c>
      <c r="G538" s="2">
        <v>0.5</v>
      </c>
      <c r="H538" s="1" t="s">
        <v>127</v>
      </c>
      <c r="I538" s="1" t="str">
        <f>IFERROR(__xludf.DUMMYFUNCTION("REGEXREPLACE(MID(H538, SEARCH(""["", H538) + 1, SEARCH(""]"", H538) - SEARCH(""["", H538) - 1), ""\[\]"","""")"),"Chattahoochee HS")</f>
        <v>Chattahoochee HS</v>
      </c>
      <c r="J538" s="1">
        <v>4.0</v>
      </c>
      <c r="K538" s="1">
        <v>0.0</v>
      </c>
    </row>
    <row r="539">
      <c r="A539" s="1">
        <v>5.0</v>
      </c>
      <c r="B539" s="1">
        <v>20.0</v>
      </c>
      <c r="C539" s="1">
        <v>9.0</v>
      </c>
      <c r="D539" s="1">
        <v>4.0</v>
      </c>
      <c r="E539" s="1">
        <v>0.2</v>
      </c>
      <c r="F539" s="1">
        <v>0.0</v>
      </c>
      <c r="G539" s="6">
        <v>0.667</v>
      </c>
      <c r="H539" s="1" t="s">
        <v>128</v>
      </c>
      <c r="I539" s="1" t="str">
        <f>IFERROR(__xludf.DUMMYFUNCTION("REGEXREPLACE(MID(H539, SEARCH(""["", H539) + 1, SEARCH(""]"", H539) - SEARCH(""["", H539) - 1), ""\[\]"","""")"),"Chattahoochee HS")</f>
        <v>Chattahoochee HS</v>
      </c>
      <c r="J539" s="1">
        <v>20.0</v>
      </c>
      <c r="K539" s="1">
        <v>1.0</v>
      </c>
    </row>
    <row r="540">
      <c r="A540" s="1">
        <v>4.0</v>
      </c>
      <c r="B540" s="1">
        <v>17.0</v>
      </c>
      <c r="C540" s="1">
        <v>1.0</v>
      </c>
      <c r="D540" s="1">
        <v>0.0</v>
      </c>
      <c r="E540" s="1">
        <v>0.0</v>
      </c>
      <c r="F540" s="1">
        <v>0.0</v>
      </c>
      <c r="G540" s="2">
        <v>0.0</v>
      </c>
      <c r="H540" s="1" t="s">
        <v>130</v>
      </c>
      <c r="I540" s="1" t="str">
        <f>IFERROR(__xludf.DUMMYFUNCTION("REGEXREPLACE(MID(H540, SEARCH(""["", H540) + 1, SEARCH(""]"", H540) - SEARCH(""["", H540) - 1), ""\[\]"","""")"),"Chattahoochee HS")</f>
        <v>Chattahoochee HS</v>
      </c>
      <c r="J540" s="1">
        <v>0.0</v>
      </c>
      <c r="K540" s="1">
        <v>0.0</v>
      </c>
    </row>
    <row r="541">
      <c r="A541" s="1">
        <v>1.0</v>
      </c>
      <c r="B541" s="1">
        <v>4.0</v>
      </c>
      <c r="C541" s="1">
        <v>0.0</v>
      </c>
      <c r="D541" s="1">
        <v>0.0</v>
      </c>
      <c r="E541" s="1">
        <v>0.0</v>
      </c>
      <c r="F541" s="1">
        <v>0.0</v>
      </c>
      <c r="G541" s="2">
        <v>0.0</v>
      </c>
      <c r="H541" s="1" t="s">
        <v>132</v>
      </c>
      <c r="I541" s="1" t="str">
        <f>IFERROR(__xludf.DUMMYFUNCTION("REGEXREPLACE(MID(H541, SEARCH(""["", H541) + 1, SEARCH(""]"", H541) - SEARCH(""["", H541) - 1), ""\[\]"","""")"),"Clemens HS")</f>
        <v>Clemens HS</v>
      </c>
      <c r="J541" s="1">
        <v>0.0</v>
      </c>
      <c r="K541" s="1">
        <v>0.0</v>
      </c>
    </row>
    <row r="542">
      <c r="A542" s="1">
        <v>3.0</v>
      </c>
      <c r="B542" s="1">
        <v>9.0</v>
      </c>
      <c r="C542" s="1">
        <v>0.0</v>
      </c>
      <c r="D542" s="1">
        <v>0.0</v>
      </c>
      <c r="E542" s="1">
        <v>0.0</v>
      </c>
      <c r="F542" s="1">
        <v>0.0</v>
      </c>
      <c r="G542" s="2">
        <v>0.0</v>
      </c>
      <c r="H542" s="1" t="s">
        <v>132</v>
      </c>
      <c r="I542" s="1" t="str">
        <f>IFERROR(__xludf.DUMMYFUNCTION("REGEXREPLACE(MID(H542, SEARCH(""["", H542) + 1, SEARCH(""]"", H542) - SEARCH(""["", H542) - 1), ""\[\]"","""")"),"Clemens HS")</f>
        <v>Clemens HS</v>
      </c>
      <c r="J542" s="1">
        <v>0.0</v>
      </c>
      <c r="K542" s="1">
        <v>0.0</v>
      </c>
    </row>
    <row r="543">
      <c r="A543" s="1">
        <v>1.0</v>
      </c>
      <c r="B543" s="1">
        <v>4.0</v>
      </c>
      <c r="C543" s="1">
        <v>4.0</v>
      </c>
      <c r="D543" s="1">
        <v>4.0</v>
      </c>
      <c r="E543" s="1">
        <v>1.0</v>
      </c>
      <c r="F543" s="1">
        <v>0.0</v>
      </c>
      <c r="G543" s="2">
        <v>0.5</v>
      </c>
      <c r="H543" s="1" t="s">
        <v>77</v>
      </c>
      <c r="I543" s="1" t="str">
        <f>IFERROR(__xludf.DUMMYFUNCTION("REGEXREPLACE(MID(H543, SEARCH(""["", H543) + 1, SEARCH(""]"", H543) - SEARCH(""["", H543) - 1), ""\[\]"","""")"),"Clemens HS")</f>
        <v>Clemens HS</v>
      </c>
      <c r="J543" s="1">
        <v>4.0</v>
      </c>
      <c r="K543" s="1">
        <v>1.0</v>
      </c>
    </row>
    <row r="544">
      <c r="A544" s="1">
        <v>3.0</v>
      </c>
      <c r="B544" s="1">
        <v>9.0</v>
      </c>
      <c r="C544" s="1">
        <v>9.0</v>
      </c>
      <c r="D544" s="1">
        <v>0.0</v>
      </c>
      <c r="E544" s="1">
        <v>1.0</v>
      </c>
      <c r="F544" s="1">
        <v>0.0</v>
      </c>
      <c r="G544" s="6">
        <v>0.333</v>
      </c>
      <c r="H544" s="1" t="s">
        <v>77</v>
      </c>
      <c r="I544" s="1" t="str">
        <f>IFERROR(__xludf.DUMMYFUNCTION("REGEXREPLACE(MID(H544, SEARCH(""["", H544) + 1, SEARCH(""]"", H544) - SEARCH(""["", H544) - 1), ""\[\]"","""")"),"Clemens HS")</f>
        <v>Clemens HS</v>
      </c>
      <c r="J544" s="1">
        <v>0.0</v>
      </c>
      <c r="K544" s="1">
        <v>3.0</v>
      </c>
    </row>
    <row r="545">
      <c r="A545" s="1">
        <v>1.0</v>
      </c>
      <c r="B545" s="1">
        <v>4.0</v>
      </c>
      <c r="C545" s="1">
        <v>0.0</v>
      </c>
      <c r="D545" s="1">
        <v>0.0</v>
      </c>
      <c r="E545" s="1">
        <v>0.0</v>
      </c>
      <c r="F545" s="1">
        <v>0.0</v>
      </c>
      <c r="G545" s="2">
        <v>0.0</v>
      </c>
      <c r="H545" s="1" t="s">
        <v>137</v>
      </c>
      <c r="I545" s="1" t="str">
        <f>IFERROR(__xludf.DUMMYFUNCTION("REGEXREPLACE(MID(H545, SEARCH(""["", H545) + 1, SEARCH(""]"", H545) - SEARCH(""["", H545) - 1), ""\[\]"","""")"),"Clemens HS")</f>
        <v>Clemens HS</v>
      </c>
      <c r="J545" s="1">
        <v>0.0</v>
      </c>
      <c r="K545" s="1">
        <v>0.0</v>
      </c>
    </row>
    <row r="546">
      <c r="A546" s="1">
        <v>1.0</v>
      </c>
      <c r="B546" s="1">
        <v>3.0</v>
      </c>
      <c r="C546" s="1">
        <v>0.0</v>
      </c>
      <c r="D546" s="1">
        <v>0.0</v>
      </c>
      <c r="E546" s="1">
        <v>0.0</v>
      </c>
      <c r="F546" s="1">
        <v>0.0</v>
      </c>
      <c r="G546" s="2">
        <v>0.0</v>
      </c>
      <c r="H546" s="1" t="s">
        <v>137</v>
      </c>
      <c r="I546" s="1" t="str">
        <f>IFERROR(__xludf.DUMMYFUNCTION("REGEXREPLACE(MID(H546, SEARCH(""["", H546) + 1, SEARCH(""]"", H546) - SEARCH(""["", H546) - 1), ""\[\]"","""")"),"Clemens HS")</f>
        <v>Clemens HS</v>
      </c>
      <c r="J546" s="1">
        <v>0.0</v>
      </c>
      <c r="K546" s="1">
        <v>0.0</v>
      </c>
    </row>
    <row r="547">
      <c r="A547" s="1">
        <v>5.0</v>
      </c>
      <c r="B547" s="1">
        <v>20.0</v>
      </c>
      <c r="C547" s="1">
        <v>0.0</v>
      </c>
      <c r="D547" s="1">
        <v>0.0</v>
      </c>
      <c r="E547" s="1">
        <v>0.0</v>
      </c>
      <c r="F547" s="1">
        <v>0.0</v>
      </c>
      <c r="G547" s="2">
        <v>0.0</v>
      </c>
      <c r="H547" s="1" t="s">
        <v>139</v>
      </c>
      <c r="I547" s="1" t="str">
        <f>IFERROR(__xludf.DUMMYFUNCTION("REGEXREPLACE(MID(H547, SEARCH(""["", H547) + 1, SEARCH(""]"", H547) - SEARCH(""["", H547) - 1), ""\[\]"","""")"),"Clements")</f>
        <v>Clements</v>
      </c>
      <c r="J547" s="1">
        <v>0.0</v>
      </c>
      <c r="K547" s="1">
        <v>0.0</v>
      </c>
    </row>
    <row r="548">
      <c r="A548" s="1">
        <v>1.0</v>
      </c>
      <c r="B548" s="1">
        <v>4.0</v>
      </c>
      <c r="C548" s="1">
        <v>0.0</v>
      </c>
      <c r="D548" s="1">
        <v>0.0</v>
      </c>
      <c r="E548" s="1">
        <v>0.0</v>
      </c>
      <c r="F548" s="1">
        <v>0.0</v>
      </c>
      <c r="G548" s="2">
        <v>0.0</v>
      </c>
      <c r="H548" s="1" t="s">
        <v>142</v>
      </c>
      <c r="I548" s="1" t="str">
        <f>IFERROR(__xludf.DUMMYFUNCTION("REGEXREPLACE(MID(H548, SEARCH(""["", H548) + 1, SEARCH(""]"", H548) - SEARCH(""["", H548) - 1), ""\[\]"","""")"),"Clements")</f>
        <v>Clements</v>
      </c>
      <c r="J548" s="1">
        <v>0.0</v>
      </c>
      <c r="K548" s="1">
        <v>0.0</v>
      </c>
    </row>
    <row r="549">
      <c r="A549" s="1">
        <v>5.0</v>
      </c>
      <c r="B549" s="1">
        <v>20.0</v>
      </c>
      <c r="C549" s="1">
        <v>0.0</v>
      </c>
      <c r="D549" s="1">
        <v>0.0</v>
      </c>
      <c r="E549" s="1">
        <v>0.0</v>
      </c>
      <c r="F549" s="1">
        <v>0.0</v>
      </c>
      <c r="G549" s="2">
        <v>0.0</v>
      </c>
      <c r="H549" s="1" t="s">
        <v>144</v>
      </c>
      <c r="I549" s="1" t="str">
        <f>IFERROR(__xludf.DUMMYFUNCTION("REGEXREPLACE(MID(H549, SEARCH(""["", H549) + 1, SEARCH(""]"", H549) - SEARCH(""["", H549) - 1), ""\[\]"","""")"),"Clements")</f>
        <v>Clements</v>
      </c>
      <c r="J549" s="1">
        <v>0.0</v>
      </c>
      <c r="K549" s="1">
        <v>0.0</v>
      </c>
    </row>
    <row r="550">
      <c r="A550" s="1">
        <v>4.0</v>
      </c>
      <c r="B550" s="1">
        <v>16.0</v>
      </c>
      <c r="C550" s="1">
        <v>0.0</v>
      </c>
      <c r="D550" s="1">
        <v>0.0</v>
      </c>
      <c r="E550" s="1">
        <v>0.0</v>
      </c>
      <c r="F550" s="1">
        <v>0.0</v>
      </c>
      <c r="G550" s="2">
        <v>0.0</v>
      </c>
      <c r="H550" s="1" t="s">
        <v>147</v>
      </c>
      <c r="I550" s="1" t="str">
        <f>IFERROR(__xludf.DUMMYFUNCTION("REGEXREPLACE(MID(H550, SEARCH(""["", H550) + 1, SEARCH(""]"", H550) - SEARCH(""["", H550) - 1), ""\[\]"","""")"),"Clements")</f>
        <v>Clements</v>
      </c>
      <c r="J550" s="1">
        <v>0.0</v>
      </c>
      <c r="K550" s="1">
        <v>0.0</v>
      </c>
    </row>
    <row r="551">
      <c r="A551" s="1">
        <v>1.0</v>
      </c>
      <c r="B551" s="1">
        <v>4.0</v>
      </c>
      <c r="C551" s="1">
        <v>0.0</v>
      </c>
      <c r="D551" s="1">
        <v>0.0</v>
      </c>
      <c r="E551" s="1">
        <v>0.0</v>
      </c>
      <c r="F551" s="1">
        <v>0.0</v>
      </c>
      <c r="G551" s="2">
        <v>0.0</v>
      </c>
      <c r="H551" s="1" t="s">
        <v>147</v>
      </c>
      <c r="I551" s="1" t="str">
        <f>IFERROR(__xludf.DUMMYFUNCTION("REGEXREPLACE(MID(H551, SEARCH(""["", H551) + 1, SEARCH(""]"", H551) - SEARCH(""["", H551) - 1), ""\[\]"","""")"),"Clements")</f>
        <v>Clements</v>
      </c>
      <c r="J551" s="1">
        <v>0.0</v>
      </c>
      <c r="K551" s="1">
        <v>0.0</v>
      </c>
    </row>
    <row r="552">
      <c r="A552" s="1">
        <v>4.0</v>
      </c>
      <c r="B552" s="1">
        <v>16.0</v>
      </c>
      <c r="C552" s="1">
        <v>13.0</v>
      </c>
      <c r="D552" s="1">
        <v>3.0</v>
      </c>
      <c r="E552" s="1">
        <v>1.0</v>
      </c>
      <c r="F552" s="1">
        <v>0.0</v>
      </c>
      <c r="G552" s="6">
        <v>0.538</v>
      </c>
      <c r="H552" s="1" t="s">
        <v>125</v>
      </c>
      <c r="I552" s="1" t="str">
        <f>IFERROR(__xludf.DUMMYFUNCTION("REGEXREPLACE(MID(H552, SEARCH(""["", H552) + 1, SEARCH(""]"", H552) - SEARCH(""["", H552) - 1), ""\[\]"","""")"),"Clements")</f>
        <v>Clements</v>
      </c>
      <c r="J552" s="1">
        <v>12.0</v>
      </c>
      <c r="K552" s="1">
        <v>4.0</v>
      </c>
    </row>
    <row r="553">
      <c r="A553" s="1">
        <v>1.0</v>
      </c>
      <c r="B553" s="1">
        <v>3.0</v>
      </c>
      <c r="C553" s="1">
        <v>0.0</v>
      </c>
      <c r="D553" s="1">
        <v>0.0</v>
      </c>
      <c r="E553" s="1">
        <v>0.0</v>
      </c>
      <c r="F553" s="1">
        <v>0.0</v>
      </c>
      <c r="G553" s="2">
        <v>0.0</v>
      </c>
      <c r="H553" s="1" t="s">
        <v>151</v>
      </c>
      <c r="I553" s="1" t="str">
        <f>IFERROR(__xludf.DUMMYFUNCTION("REGEXREPLACE(MID(H553, SEARCH(""["", H553) + 1, SEARCH(""]"", H553) - SEARCH(""["", H553) - 1), ""\[\]"","""")"),"College Park")</f>
        <v>College Park</v>
      </c>
      <c r="J553" s="1">
        <v>0.0</v>
      </c>
      <c r="K553" s="1">
        <v>0.0</v>
      </c>
    </row>
    <row r="554">
      <c r="A554" s="1">
        <v>1.0</v>
      </c>
      <c r="B554" s="1">
        <v>3.0</v>
      </c>
      <c r="C554" s="1">
        <v>0.0</v>
      </c>
      <c r="D554" s="1">
        <v>0.0</v>
      </c>
      <c r="E554" s="1">
        <v>0.0</v>
      </c>
      <c r="F554" s="1">
        <v>0.0</v>
      </c>
      <c r="G554" s="2">
        <v>0.0</v>
      </c>
      <c r="H554" s="1" t="s">
        <v>152</v>
      </c>
      <c r="I554" s="1" t="str">
        <f>IFERROR(__xludf.DUMMYFUNCTION("REGEXREPLACE(MID(H554, SEARCH(""["", H554) + 1, SEARCH(""]"", H554) - SEARCH(""["", H554) - 1), ""\[\]"","""")"),"College Park")</f>
        <v>College Park</v>
      </c>
      <c r="J554" s="1">
        <v>0.0</v>
      </c>
      <c r="K554" s="1">
        <v>0.0</v>
      </c>
    </row>
    <row r="555">
      <c r="A555" s="1">
        <v>3.0</v>
      </c>
      <c r="B555" s="1">
        <v>12.0</v>
      </c>
      <c r="C555" s="1">
        <v>0.0</v>
      </c>
      <c r="D555" s="1">
        <v>0.0</v>
      </c>
      <c r="E555" s="1">
        <v>0.0</v>
      </c>
      <c r="F555" s="1">
        <v>0.0</v>
      </c>
      <c r="G555" s="2">
        <v>0.0</v>
      </c>
      <c r="H555" s="1" t="s">
        <v>152</v>
      </c>
      <c r="I555" s="1" t="str">
        <f>IFERROR(__xludf.DUMMYFUNCTION("REGEXREPLACE(MID(H555, SEARCH(""["", H555) + 1, SEARCH(""]"", H555) - SEARCH(""["", H555) - 1), ""\[\]"","""")"),"College Park")</f>
        <v>College Park</v>
      </c>
      <c r="J555" s="1">
        <v>0.0</v>
      </c>
      <c r="K555" s="1">
        <v>0.0</v>
      </c>
    </row>
    <row r="556">
      <c r="A556" s="1">
        <v>1.0</v>
      </c>
      <c r="B556" s="1">
        <v>3.0</v>
      </c>
      <c r="C556" s="1">
        <v>0.0</v>
      </c>
      <c r="D556" s="1">
        <v>0.0</v>
      </c>
      <c r="E556" s="1">
        <v>0.0</v>
      </c>
      <c r="F556" s="1">
        <v>0.0</v>
      </c>
      <c r="G556" s="2">
        <v>0.0</v>
      </c>
      <c r="H556" s="1" t="s">
        <v>156</v>
      </c>
      <c r="I556" s="1" t="str">
        <f>IFERROR(__xludf.DUMMYFUNCTION("REGEXREPLACE(MID(H556, SEARCH(""["", H556) + 1, SEARCH(""]"", H556) - SEARCH(""["", H556) - 1), ""\[\]"","""")"),"College Park")</f>
        <v>College Park</v>
      </c>
      <c r="J556" s="1">
        <v>0.0</v>
      </c>
      <c r="K556" s="1">
        <v>0.0</v>
      </c>
    </row>
    <row r="557">
      <c r="A557" s="1">
        <v>2.0</v>
      </c>
      <c r="B557" s="1">
        <v>8.0</v>
      </c>
      <c r="C557" s="1">
        <v>1.0</v>
      </c>
      <c r="D557" s="1">
        <v>0.0</v>
      </c>
      <c r="E557" s="1">
        <v>0.0</v>
      </c>
      <c r="F557" s="1">
        <v>0.0</v>
      </c>
      <c r="G557" s="2">
        <v>0.0</v>
      </c>
      <c r="H557" s="1" t="s">
        <v>156</v>
      </c>
      <c r="I557" s="1" t="str">
        <f>IFERROR(__xludf.DUMMYFUNCTION("REGEXREPLACE(MID(H557, SEARCH(""["", H557) + 1, SEARCH(""]"", H557) - SEARCH(""["", H557) - 1), ""\[\]"","""")"),"College Park")</f>
        <v>College Park</v>
      </c>
      <c r="J557" s="1">
        <v>0.0</v>
      </c>
      <c r="K557" s="1">
        <v>0.0</v>
      </c>
    </row>
    <row r="558">
      <c r="A558" s="1">
        <v>1.0</v>
      </c>
      <c r="B558" s="1">
        <v>3.0</v>
      </c>
      <c r="C558" s="1">
        <v>3.0</v>
      </c>
      <c r="D558" s="1">
        <v>0.0</v>
      </c>
      <c r="E558" s="1">
        <v>1.0</v>
      </c>
      <c r="F558" s="1">
        <v>0.0</v>
      </c>
      <c r="G558" s="6">
        <v>0.333</v>
      </c>
      <c r="H558" s="1" t="s">
        <v>145</v>
      </c>
      <c r="I558" s="1" t="str">
        <f>IFERROR(__xludf.DUMMYFUNCTION("REGEXREPLACE(MID(H558, SEARCH(""["", H558) + 1, SEARCH(""]"", H558) - SEARCH(""["", H558) - 1), ""\[\]"","""")"),"College Park")</f>
        <v>College Park</v>
      </c>
      <c r="J558" s="1">
        <v>0.0</v>
      </c>
      <c r="K558" s="1">
        <v>1.0</v>
      </c>
    </row>
    <row r="559">
      <c r="A559" s="1">
        <v>4.0</v>
      </c>
      <c r="B559" s="1">
        <v>16.0</v>
      </c>
      <c r="C559" s="1">
        <v>12.0</v>
      </c>
      <c r="D559" s="1">
        <v>3.0</v>
      </c>
      <c r="E559" s="1">
        <v>0.25</v>
      </c>
      <c r="F559" s="1">
        <v>0.0</v>
      </c>
      <c r="G559" s="6">
        <v>0.333</v>
      </c>
      <c r="H559" s="1" t="s">
        <v>145</v>
      </c>
      <c r="I559" s="1" t="str">
        <f>IFERROR(__xludf.DUMMYFUNCTION("REGEXREPLACE(MID(H559, SEARCH(""["", H559) + 1, SEARCH(""]"", H559) - SEARCH(""["", H559) - 1), ""\[\]"","""")"),"College Park")</f>
        <v>College Park</v>
      </c>
      <c r="J559" s="1">
        <v>12.0</v>
      </c>
      <c r="K559" s="1">
        <v>1.0</v>
      </c>
    </row>
    <row r="560">
      <c r="A560" s="1">
        <v>1.0</v>
      </c>
      <c r="B560" s="1">
        <v>4.0</v>
      </c>
      <c r="C560" s="1">
        <v>0.0</v>
      </c>
      <c r="D560" s="1">
        <v>0.0</v>
      </c>
      <c r="E560" s="1">
        <v>0.0</v>
      </c>
      <c r="F560" s="1">
        <v>0.0</v>
      </c>
      <c r="G560" s="2">
        <v>0.0</v>
      </c>
      <c r="H560" s="1" t="s">
        <v>160</v>
      </c>
      <c r="I560" s="1" t="str">
        <f>IFERROR(__xludf.DUMMYFUNCTION("REGEXREPLACE(MID(H560, SEARCH(""["", H560) + 1, SEARCH(""]"", H560) - SEARCH(""["", H560) - 1), ""\[\]"","""")"),"College Park")</f>
        <v>College Park</v>
      </c>
      <c r="J560" s="1">
        <v>0.0</v>
      </c>
      <c r="K560" s="1">
        <v>0.0</v>
      </c>
    </row>
    <row r="561">
      <c r="A561" s="1">
        <v>2.0</v>
      </c>
      <c r="B561" s="1">
        <v>8.0</v>
      </c>
      <c r="C561" s="1">
        <v>1.0</v>
      </c>
      <c r="D561" s="1">
        <v>-2.0</v>
      </c>
      <c r="E561" s="1">
        <v>0.5</v>
      </c>
      <c r="F561" s="1">
        <v>0.0</v>
      </c>
      <c r="G561" s="2">
        <v>0.0</v>
      </c>
      <c r="H561" s="1" t="s">
        <v>162</v>
      </c>
      <c r="I561" s="1" t="str">
        <f>IFERROR(__xludf.DUMMYFUNCTION("REGEXREPLACE(MID(H561, SEARCH(""["", H561) + 1, SEARCH(""]"", H561) - SEARCH(""["", H561) - 1), ""\[\]"","""")"),"Collierville")</f>
        <v>Collierville</v>
      </c>
      <c r="J561" s="1">
        <v>-4.0</v>
      </c>
      <c r="K561" s="1">
        <v>1.0</v>
      </c>
    </row>
    <row r="562">
      <c r="A562" s="1">
        <v>2.0</v>
      </c>
      <c r="B562" s="1">
        <v>8.0</v>
      </c>
      <c r="C562" s="1">
        <v>0.0</v>
      </c>
      <c r="D562" s="1">
        <v>0.0</v>
      </c>
      <c r="E562" s="1">
        <v>0.0</v>
      </c>
      <c r="F562" s="1">
        <v>0.0</v>
      </c>
      <c r="G562" s="2">
        <v>0.0</v>
      </c>
      <c r="H562" s="1" t="s">
        <v>162</v>
      </c>
      <c r="I562" s="1" t="str">
        <f>IFERROR(__xludf.DUMMYFUNCTION("REGEXREPLACE(MID(H562, SEARCH(""["", H562) + 1, SEARCH(""]"", H562) - SEARCH(""["", H562) - 1), ""\[\]"","""")"),"Collierville")</f>
        <v>Collierville</v>
      </c>
      <c r="J562" s="1">
        <v>0.0</v>
      </c>
      <c r="K562" s="1">
        <v>0.0</v>
      </c>
    </row>
    <row r="563">
      <c r="A563" s="1">
        <v>5.0</v>
      </c>
      <c r="B563" s="1">
        <v>19.0</v>
      </c>
      <c r="C563" s="1">
        <v>3.0</v>
      </c>
      <c r="D563" s="1">
        <v>0.0</v>
      </c>
      <c r="E563" s="1">
        <v>0.0</v>
      </c>
      <c r="F563" s="1">
        <v>0.0</v>
      </c>
      <c r="G563" s="2">
        <v>0.0</v>
      </c>
      <c r="H563" s="1" t="s">
        <v>165</v>
      </c>
      <c r="I563" s="1" t="str">
        <f>IFERROR(__xludf.DUMMYFUNCTION("REGEXREPLACE(MID(H563, SEARCH(""["", H563) + 1, SEARCH(""]"", H563) - SEARCH(""["", H563) - 1), ""\[\]"","""")"),"Collierville")</f>
        <v>Collierville</v>
      </c>
      <c r="J563" s="1">
        <v>0.0</v>
      </c>
      <c r="K563" s="1">
        <v>0.0</v>
      </c>
    </row>
    <row r="564">
      <c r="A564" s="1">
        <v>1.0</v>
      </c>
      <c r="B564" s="1">
        <v>4.0</v>
      </c>
      <c r="C564" s="1">
        <v>0.0</v>
      </c>
      <c r="D564" s="1">
        <v>0.0</v>
      </c>
      <c r="E564" s="1">
        <v>0.0</v>
      </c>
      <c r="F564" s="1">
        <v>0.0</v>
      </c>
      <c r="G564" s="2">
        <v>0.0</v>
      </c>
      <c r="H564" s="1" t="s">
        <v>167</v>
      </c>
      <c r="I564" s="1" t="str">
        <f>IFERROR(__xludf.DUMMYFUNCTION("REGEXREPLACE(MID(H564, SEARCH(""["", H564) + 1, SEARCH(""]"", H564) - SEARCH(""["", H564) - 1), ""\[\]"","""")"),"Collierville")</f>
        <v>Collierville</v>
      </c>
      <c r="J564" s="1">
        <v>0.0</v>
      </c>
      <c r="K564" s="1">
        <v>0.0</v>
      </c>
    </row>
    <row r="565">
      <c r="A565" s="1">
        <v>5.0</v>
      </c>
      <c r="B565" s="1">
        <v>19.0</v>
      </c>
      <c r="C565" s="1">
        <v>2.0</v>
      </c>
      <c r="D565" s="1">
        <v>-0.8</v>
      </c>
      <c r="E565" s="1">
        <v>0.2</v>
      </c>
      <c r="F565" s="1">
        <v>0.0</v>
      </c>
      <c r="G565" s="2">
        <v>0.0</v>
      </c>
      <c r="H565" s="1" t="s">
        <v>169</v>
      </c>
      <c r="I565" s="1" t="str">
        <f>IFERROR(__xludf.DUMMYFUNCTION("REGEXREPLACE(MID(H565, SEARCH(""["", H565) + 1, SEARCH(""]"", H565) - SEARCH(""["", H565) - 1), ""\[\]"","""")"),"Collierville")</f>
        <v>Collierville</v>
      </c>
      <c r="J565" s="1">
        <v>-4.0</v>
      </c>
      <c r="K565" s="1">
        <v>1.0</v>
      </c>
    </row>
    <row r="566">
      <c r="A566" s="1">
        <v>3.0</v>
      </c>
      <c r="B566" s="1">
        <v>11.0</v>
      </c>
      <c r="C566" s="1">
        <v>9.0</v>
      </c>
      <c r="D566" s="1">
        <v>4.0</v>
      </c>
      <c r="E566" s="1">
        <v>1.0</v>
      </c>
      <c r="F566" s="1">
        <v>0.0</v>
      </c>
      <c r="G566" s="6">
        <v>0.667</v>
      </c>
      <c r="H566" s="1" t="s">
        <v>171</v>
      </c>
      <c r="I566" s="1" t="str">
        <f>IFERROR(__xludf.DUMMYFUNCTION("REGEXREPLACE(MID(H566, SEARCH(""["", H566) + 1, SEARCH(""]"", H566) - SEARCH(""["", H566) - 1), ""\[\]"","""")"),"Collierville")</f>
        <v>Collierville</v>
      </c>
      <c r="J566" s="1">
        <v>12.0</v>
      </c>
      <c r="K566" s="1">
        <v>3.0</v>
      </c>
    </row>
    <row r="567">
      <c r="A567" s="1">
        <v>4.0</v>
      </c>
      <c r="B567" s="1">
        <v>15.0</v>
      </c>
      <c r="C567" s="1">
        <v>9.0</v>
      </c>
      <c r="D567" s="1">
        <v>2.0</v>
      </c>
      <c r="E567" s="1">
        <v>0.75</v>
      </c>
      <c r="F567" s="1">
        <v>0.0</v>
      </c>
      <c r="G567" s="6">
        <v>0.556</v>
      </c>
      <c r="H567" s="1" t="s">
        <v>173</v>
      </c>
      <c r="I567" s="1" t="str">
        <f>IFERROR(__xludf.DUMMYFUNCTION("REGEXREPLACE(MID(H567, SEARCH(""["", H567) + 1, SEARCH(""]"", H567) - SEARCH(""["", H567) - 1), ""\[\]"","""")"),"Davidson Academy")</f>
        <v>Davidson Academy</v>
      </c>
      <c r="J567" s="1">
        <v>8.0</v>
      </c>
      <c r="K567" s="1">
        <v>3.0</v>
      </c>
    </row>
    <row r="568">
      <c r="A568" s="1">
        <v>1.0</v>
      </c>
      <c r="B568" s="1">
        <v>4.0</v>
      </c>
      <c r="C568" s="1">
        <v>2.0</v>
      </c>
      <c r="D568" s="1">
        <v>8.0</v>
      </c>
      <c r="E568" s="1">
        <v>0.0</v>
      </c>
      <c r="F568" s="1">
        <v>0.0</v>
      </c>
      <c r="G568" s="2">
        <v>1.0</v>
      </c>
      <c r="H568" s="1" t="s">
        <v>173</v>
      </c>
      <c r="I568" s="1" t="str">
        <f>IFERROR(__xludf.DUMMYFUNCTION("REGEXREPLACE(MID(H568, SEARCH(""["", H568) + 1, SEARCH(""]"", H568) - SEARCH(""["", H568) - 1), ""\[\]"","""")"),"Davidson Academy")</f>
        <v>Davidson Academy</v>
      </c>
      <c r="J568" s="1">
        <v>8.0</v>
      </c>
      <c r="K568" s="1">
        <v>0.0</v>
      </c>
    </row>
    <row r="569">
      <c r="A569" s="1">
        <v>1.0</v>
      </c>
      <c r="B569" s="1">
        <v>4.0</v>
      </c>
      <c r="C569" s="1">
        <v>0.0</v>
      </c>
      <c r="D569" s="1">
        <v>0.0</v>
      </c>
      <c r="E569" s="1">
        <v>0.0</v>
      </c>
      <c r="F569" s="1">
        <v>0.0</v>
      </c>
      <c r="G569" s="2">
        <v>0.0</v>
      </c>
      <c r="H569" s="1" t="s">
        <v>174</v>
      </c>
      <c r="I569" s="1" t="str">
        <f>IFERROR(__xludf.DUMMYFUNCTION("REGEXREPLACE(MID(H569, SEARCH(""["", H569) + 1, SEARCH(""]"", H569) - SEARCH(""["", H569) - 1), ""\[\]"","""")"),"Davidson Academy")</f>
        <v>Davidson Academy</v>
      </c>
      <c r="J569" s="1">
        <v>0.0</v>
      </c>
      <c r="K569" s="1">
        <v>0.0</v>
      </c>
    </row>
    <row r="570">
      <c r="A570" s="1">
        <v>1.0</v>
      </c>
      <c r="B570" s="1">
        <v>4.0</v>
      </c>
      <c r="C570" s="1">
        <v>0.0</v>
      </c>
      <c r="D570" s="1">
        <v>0.0</v>
      </c>
      <c r="E570" s="1">
        <v>0.0</v>
      </c>
      <c r="F570" s="1">
        <v>0.0</v>
      </c>
      <c r="G570" s="2">
        <v>0.0</v>
      </c>
      <c r="H570" s="1" t="s">
        <v>176</v>
      </c>
      <c r="I570" s="1" t="str">
        <f>IFERROR(__xludf.DUMMYFUNCTION("REGEXREPLACE(MID(H570, SEARCH(""["", H570) + 1, SEARCH(""]"", H570) - SEARCH(""["", H570) - 1), ""\[\]"","""")"),"Davidson Academy")</f>
        <v>Davidson Academy</v>
      </c>
      <c r="J570" s="1">
        <v>0.0</v>
      </c>
      <c r="K570" s="1">
        <v>0.0</v>
      </c>
    </row>
    <row r="571">
      <c r="A571" s="1">
        <v>4.0</v>
      </c>
      <c r="B571" s="1">
        <v>15.0</v>
      </c>
      <c r="C571" s="1">
        <v>2.0</v>
      </c>
      <c r="D571" s="1">
        <v>1.0</v>
      </c>
      <c r="E571" s="1">
        <v>0.0</v>
      </c>
      <c r="F571" s="1">
        <v>0.0</v>
      </c>
      <c r="G571" s="2">
        <v>0.5</v>
      </c>
      <c r="H571" s="1" t="s">
        <v>74</v>
      </c>
      <c r="I571" s="1" t="str">
        <f>IFERROR(__xludf.DUMMYFUNCTION("REGEXREPLACE(MID(H571, SEARCH(""["", H571) + 1, SEARCH(""]"", H571) - SEARCH(""["", H571) - 1), ""\[\]"","""")"),"Davidson Academy")</f>
        <v>Davidson Academy</v>
      </c>
      <c r="J571" s="1">
        <v>4.0</v>
      </c>
      <c r="K571" s="1">
        <v>0.0</v>
      </c>
    </row>
    <row r="572">
      <c r="A572" s="1">
        <v>1.0</v>
      </c>
      <c r="B572" s="1">
        <v>4.0</v>
      </c>
      <c r="C572" s="1">
        <v>1.0</v>
      </c>
      <c r="D572" s="1">
        <v>0.0</v>
      </c>
      <c r="E572" s="1">
        <v>0.0</v>
      </c>
      <c r="F572" s="1">
        <v>0.0</v>
      </c>
      <c r="G572" s="2">
        <v>0.0</v>
      </c>
      <c r="H572" s="1" t="s">
        <v>74</v>
      </c>
      <c r="I572" s="1" t="str">
        <f>IFERROR(__xludf.DUMMYFUNCTION("REGEXREPLACE(MID(H572, SEARCH(""["", H572) + 1, SEARCH(""]"", H572) - SEARCH(""["", H572) - 1), ""\[\]"","""")"),"Davidson Academy")</f>
        <v>Davidson Academy</v>
      </c>
      <c r="J572" s="1">
        <v>0.0</v>
      </c>
      <c r="K572" s="1">
        <v>0.0</v>
      </c>
    </row>
    <row r="573">
      <c r="A573" s="1">
        <v>1.0</v>
      </c>
      <c r="B573" s="1">
        <v>4.0</v>
      </c>
      <c r="C573" s="1">
        <v>0.0</v>
      </c>
      <c r="D573" s="1">
        <v>0.0</v>
      </c>
      <c r="E573" s="1">
        <v>0.0</v>
      </c>
      <c r="F573" s="1">
        <v>0.0</v>
      </c>
      <c r="G573" s="2">
        <v>0.0</v>
      </c>
      <c r="H573" s="1" t="s">
        <v>177</v>
      </c>
      <c r="I573" s="1" t="str">
        <f>IFERROR(__xludf.DUMMYFUNCTION("REGEXREPLACE(MID(H573, SEARCH(""["", H573) + 1, SEARCH(""]"", H573) - SEARCH(""["", H573) - 1), ""\[\]"","""")"),"Davidson Academy")</f>
        <v>Davidson Academy</v>
      </c>
      <c r="J573" s="1">
        <v>0.0</v>
      </c>
      <c r="K573" s="1">
        <v>0.0</v>
      </c>
    </row>
    <row r="574">
      <c r="A574" s="1">
        <v>4.0</v>
      </c>
      <c r="B574" s="1">
        <v>15.0</v>
      </c>
      <c r="C574" s="1">
        <v>12.0</v>
      </c>
      <c r="D574" s="1">
        <v>2.0</v>
      </c>
      <c r="E574" s="1">
        <v>0.75</v>
      </c>
      <c r="F574" s="1">
        <v>0.0</v>
      </c>
      <c r="G574" s="6">
        <v>0.417</v>
      </c>
      <c r="H574" s="1" t="s">
        <v>178</v>
      </c>
      <c r="I574" s="1" t="str">
        <f>IFERROR(__xludf.DUMMYFUNCTION("REGEXREPLACE(MID(H574, SEARCH(""["", H574) + 1, SEARCH(""]"", H574) - SEARCH(""["", H574) - 1), ""\[\]"","""")"),"Dulles Dolls 1")</f>
        <v>Dulles Dolls 1</v>
      </c>
      <c r="J574" s="1">
        <v>8.0</v>
      </c>
      <c r="K574" s="1">
        <v>3.0</v>
      </c>
    </row>
    <row r="575">
      <c r="A575" s="1">
        <v>1.0</v>
      </c>
      <c r="B575" s="1">
        <v>4.0</v>
      </c>
      <c r="C575" s="1">
        <v>4.0</v>
      </c>
      <c r="D575" s="1">
        <v>12.0</v>
      </c>
      <c r="E575" s="1">
        <v>0.0</v>
      </c>
      <c r="F575" s="1">
        <v>0.0</v>
      </c>
      <c r="G575" s="2">
        <v>0.75</v>
      </c>
      <c r="H575" s="1" t="s">
        <v>178</v>
      </c>
      <c r="I575" s="1" t="str">
        <f>IFERROR(__xludf.DUMMYFUNCTION("REGEXREPLACE(MID(H575, SEARCH(""["", H575) + 1, SEARCH(""]"", H575) - SEARCH(""["", H575) - 1), ""\[\]"","""")"),"Dulles Dolls 1")</f>
        <v>Dulles Dolls 1</v>
      </c>
      <c r="J575" s="1">
        <v>12.0</v>
      </c>
      <c r="K575" s="1">
        <v>0.0</v>
      </c>
    </row>
    <row r="576">
      <c r="A576" s="1">
        <v>3.0</v>
      </c>
      <c r="B576" s="1">
        <v>11.0</v>
      </c>
      <c r="C576" s="1">
        <v>0.0</v>
      </c>
      <c r="D576" s="1">
        <v>0.0</v>
      </c>
      <c r="E576" s="1">
        <v>0.0</v>
      </c>
      <c r="F576" s="1">
        <v>0.0</v>
      </c>
      <c r="G576" s="2">
        <v>0.0</v>
      </c>
      <c r="H576" s="1" t="s">
        <v>150</v>
      </c>
      <c r="I576" s="1" t="str">
        <f>IFERROR(__xludf.DUMMYFUNCTION("REGEXREPLACE(MID(H576, SEARCH(""["", H576) + 1, SEARCH(""]"", H576) - SEARCH(""["", H576) - 1), ""\[\]"","""")"),"Dulles Dolls 1")</f>
        <v>Dulles Dolls 1</v>
      </c>
      <c r="J576" s="1">
        <v>0.0</v>
      </c>
      <c r="K576" s="1">
        <v>0.0</v>
      </c>
    </row>
    <row r="577">
      <c r="A577" s="1">
        <v>1.0</v>
      </c>
      <c r="B577" s="1">
        <v>4.0</v>
      </c>
      <c r="C577" s="1">
        <v>0.0</v>
      </c>
      <c r="D577" s="1">
        <v>0.0</v>
      </c>
      <c r="E577" s="1">
        <v>0.0</v>
      </c>
      <c r="F577" s="1">
        <v>0.0</v>
      </c>
      <c r="G577" s="2">
        <v>0.0</v>
      </c>
      <c r="H577" s="1" t="s">
        <v>150</v>
      </c>
      <c r="I577" s="1" t="str">
        <f>IFERROR(__xludf.DUMMYFUNCTION("REGEXREPLACE(MID(H577, SEARCH(""["", H577) + 1, SEARCH(""]"", H577) - SEARCH(""["", H577) - 1), ""\[\]"","""")"),"Dulles Dolls 1")</f>
        <v>Dulles Dolls 1</v>
      </c>
      <c r="J577" s="1">
        <v>0.0</v>
      </c>
      <c r="K577" s="1">
        <v>0.0</v>
      </c>
    </row>
    <row r="578">
      <c r="A578" s="1">
        <v>2.0</v>
      </c>
      <c r="B578" s="1">
        <v>7.0</v>
      </c>
      <c r="C578" s="1">
        <v>0.0</v>
      </c>
      <c r="D578" s="1">
        <v>0.0</v>
      </c>
      <c r="E578" s="1">
        <v>0.0</v>
      </c>
      <c r="F578" s="1">
        <v>0.0</v>
      </c>
      <c r="G578" s="2">
        <v>0.0</v>
      </c>
      <c r="H578" s="1" t="s">
        <v>179</v>
      </c>
      <c r="I578" s="1" t="str">
        <f>IFERROR(__xludf.DUMMYFUNCTION("REGEXREPLACE(MID(H578, SEARCH(""["", H578) + 1, SEARCH(""]"", H578) - SEARCH(""["", H578) - 1), ""\[\]"","""")"),"Dulles Dolls 1")</f>
        <v>Dulles Dolls 1</v>
      </c>
      <c r="J578" s="1">
        <v>0.0</v>
      </c>
      <c r="K578" s="1">
        <v>0.0</v>
      </c>
    </row>
    <row r="579">
      <c r="A579" s="1">
        <v>1.0</v>
      </c>
      <c r="B579" s="1">
        <v>4.0</v>
      </c>
      <c r="C579" s="1">
        <v>0.0</v>
      </c>
      <c r="D579" s="1">
        <v>0.0</v>
      </c>
      <c r="E579" s="1">
        <v>0.0</v>
      </c>
      <c r="F579" s="1">
        <v>0.0</v>
      </c>
      <c r="G579" s="2">
        <v>0.0</v>
      </c>
      <c r="H579" s="1" t="s">
        <v>179</v>
      </c>
      <c r="I579" s="1" t="str">
        <f>IFERROR(__xludf.DUMMYFUNCTION("REGEXREPLACE(MID(H579, SEARCH(""["", H579) + 1, SEARCH(""]"", H579) - SEARCH(""["", H579) - 1), ""\[\]"","""")"),"Dulles Dolls 1")</f>
        <v>Dulles Dolls 1</v>
      </c>
      <c r="J579" s="1">
        <v>0.0</v>
      </c>
      <c r="K579" s="1">
        <v>0.0</v>
      </c>
    </row>
    <row r="580">
      <c r="A580" s="1">
        <v>2.0</v>
      </c>
      <c r="B580" s="1">
        <v>8.0</v>
      </c>
      <c r="C580" s="1">
        <v>0.0</v>
      </c>
      <c r="D580" s="1">
        <v>0.0</v>
      </c>
      <c r="E580" s="1">
        <v>0.0</v>
      </c>
      <c r="F580" s="1">
        <v>0.0</v>
      </c>
      <c r="G580" s="2">
        <v>0.0</v>
      </c>
      <c r="H580" s="1" t="s">
        <v>181</v>
      </c>
      <c r="I580" s="1" t="str">
        <f>IFERROR(__xludf.DUMMYFUNCTION("REGEXREPLACE(MID(H580, SEARCH(""["", H580) + 1, SEARCH(""]"", H580) - SEARCH(""["", H580) - 1), ""\[\]"","""")"),"Dulles Dolls 1")</f>
        <v>Dulles Dolls 1</v>
      </c>
      <c r="J580" s="1">
        <v>0.0</v>
      </c>
      <c r="K580" s="1">
        <v>0.0</v>
      </c>
    </row>
    <row r="581">
      <c r="A581" s="1">
        <v>4.0</v>
      </c>
      <c r="B581" s="1">
        <v>15.0</v>
      </c>
      <c r="C581" s="1">
        <v>0.0</v>
      </c>
      <c r="D581" s="1">
        <v>0.0</v>
      </c>
      <c r="E581" s="1">
        <v>0.0</v>
      </c>
      <c r="F581" s="1">
        <v>0.0</v>
      </c>
      <c r="G581" s="2">
        <v>0.0</v>
      </c>
      <c r="H581" s="1" t="s">
        <v>183</v>
      </c>
      <c r="I581" s="1" t="str">
        <f>IFERROR(__xludf.DUMMYFUNCTION("REGEXREPLACE(MID(H581, SEARCH(""["", H581) + 1, SEARCH(""]"", H581) - SEARCH(""["", H581) - 1), ""\[\]"","""")"),"Dulles Dolls 1")</f>
        <v>Dulles Dolls 1</v>
      </c>
      <c r="J581" s="1">
        <v>0.0</v>
      </c>
      <c r="K581" s="1">
        <v>0.0</v>
      </c>
    </row>
    <row r="582">
      <c r="A582" s="1">
        <v>1.0</v>
      </c>
      <c r="B582" s="1">
        <v>4.0</v>
      </c>
      <c r="C582" s="1">
        <v>0.0</v>
      </c>
      <c r="D582" s="1">
        <v>0.0</v>
      </c>
      <c r="E582" s="1">
        <v>0.0</v>
      </c>
      <c r="F582" s="1">
        <v>0.0</v>
      </c>
      <c r="G582" s="2">
        <v>0.0</v>
      </c>
      <c r="H582" s="1" t="s">
        <v>183</v>
      </c>
      <c r="I582" s="1" t="str">
        <f>IFERROR(__xludf.DUMMYFUNCTION("REGEXREPLACE(MID(H582, SEARCH(""["", H582) + 1, SEARCH(""]"", H582) - SEARCH(""["", H582) - 1), ""\[\]"","""")"),"Dulles Dolls 1")</f>
        <v>Dulles Dolls 1</v>
      </c>
      <c r="J582" s="1">
        <v>0.0</v>
      </c>
      <c r="K582" s="1">
        <v>0.0</v>
      </c>
    </row>
    <row r="583">
      <c r="A583" s="1">
        <v>1.0</v>
      </c>
      <c r="B583" s="1">
        <v>4.0</v>
      </c>
      <c r="C583" s="1">
        <v>0.0</v>
      </c>
      <c r="D583" s="1">
        <v>0.0</v>
      </c>
      <c r="E583" s="1">
        <v>0.0</v>
      </c>
      <c r="F583" s="1">
        <v>0.0</v>
      </c>
      <c r="G583" s="2">
        <v>0.0</v>
      </c>
      <c r="H583" s="1" t="s">
        <v>184</v>
      </c>
      <c r="I583" s="1" t="str">
        <f>IFERROR(__xludf.DUMMYFUNCTION("REGEXREPLACE(MID(H583, SEARCH(""["", H583) + 1, SEARCH(""]"", H583) - SEARCH(""["", H583) - 1), ""\[\]"","""")"),"Dulles Dolls 2")</f>
        <v>Dulles Dolls 2</v>
      </c>
      <c r="J583" s="1">
        <v>0.0</v>
      </c>
      <c r="K583" s="1">
        <v>0.0</v>
      </c>
    </row>
    <row r="584">
      <c r="A584" s="1">
        <v>1.0</v>
      </c>
      <c r="B584" s="1">
        <v>4.0</v>
      </c>
      <c r="C584" s="1">
        <v>3.0</v>
      </c>
      <c r="D584" s="1">
        <v>4.0</v>
      </c>
      <c r="E584" s="1">
        <v>0.0</v>
      </c>
      <c r="F584" s="1">
        <v>0.0</v>
      </c>
      <c r="G584" s="6">
        <v>0.333</v>
      </c>
      <c r="H584" s="1" t="s">
        <v>184</v>
      </c>
      <c r="I584" s="1" t="str">
        <f>IFERROR(__xludf.DUMMYFUNCTION("REGEXREPLACE(MID(H584, SEARCH(""["", H584) + 1, SEARCH(""]"", H584) - SEARCH(""["", H584) - 1), ""\[\]"","""")"),"Dulles Dolls 2")</f>
        <v>Dulles Dolls 2</v>
      </c>
      <c r="J584" s="1">
        <v>4.0</v>
      </c>
      <c r="K584" s="1">
        <v>0.0</v>
      </c>
    </row>
    <row r="585">
      <c r="A585" s="1">
        <v>3.0</v>
      </c>
      <c r="B585" s="1">
        <v>12.0</v>
      </c>
      <c r="C585" s="1">
        <v>3.0</v>
      </c>
      <c r="D585" s="1">
        <v>1.33</v>
      </c>
      <c r="E585" s="1">
        <v>0.0</v>
      </c>
      <c r="F585" s="1">
        <v>0.0</v>
      </c>
      <c r="G585" s="6">
        <v>0.333</v>
      </c>
      <c r="H585" s="1" t="s">
        <v>184</v>
      </c>
      <c r="I585" s="1" t="str">
        <f>IFERROR(__xludf.DUMMYFUNCTION("REGEXREPLACE(MID(H585, SEARCH(""["", H585) + 1, SEARCH(""]"", H585) - SEARCH(""["", H585) - 1), ""\[\]"","""")"),"Dulles Dolls 2")</f>
        <v>Dulles Dolls 2</v>
      </c>
      <c r="J585" s="1">
        <v>4.0</v>
      </c>
      <c r="K585" s="1">
        <v>0.0</v>
      </c>
    </row>
    <row r="586">
      <c r="A586" s="1">
        <v>4.0</v>
      </c>
      <c r="B586" s="1">
        <v>16.0</v>
      </c>
      <c r="C586" s="1">
        <v>3.0</v>
      </c>
      <c r="D586" s="1">
        <v>1.0</v>
      </c>
      <c r="E586" s="1">
        <v>0.0</v>
      </c>
      <c r="F586" s="1">
        <v>0.0</v>
      </c>
      <c r="G586" s="6">
        <v>0.333</v>
      </c>
      <c r="H586" s="1" t="s">
        <v>161</v>
      </c>
      <c r="I586" s="1" t="str">
        <f>IFERROR(__xludf.DUMMYFUNCTION("REGEXREPLACE(MID(H586, SEARCH(""["", H586) + 1, SEARCH(""]"", H586) - SEARCH(""["", H586) - 1), ""\[\]"","""")"),"Dulles Dolls 2")</f>
        <v>Dulles Dolls 2</v>
      </c>
      <c r="J586" s="1">
        <v>4.0</v>
      </c>
      <c r="K586" s="1">
        <v>0.0</v>
      </c>
    </row>
    <row r="587">
      <c r="A587" s="1">
        <v>1.0</v>
      </c>
      <c r="B587" s="1">
        <v>4.0</v>
      </c>
      <c r="C587" s="1">
        <v>1.0</v>
      </c>
      <c r="D587" s="1">
        <v>4.0</v>
      </c>
      <c r="E587" s="1">
        <v>0.0</v>
      </c>
      <c r="F587" s="1">
        <v>0.0</v>
      </c>
      <c r="G587" s="2">
        <v>1.0</v>
      </c>
      <c r="H587" s="1" t="s">
        <v>161</v>
      </c>
      <c r="I587" s="1" t="str">
        <f>IFERROR(__xludf.DUMMYFUNCTION("REGEXREPLACE(MID(H587, SEARCH(""["", H587) + 1, SEARCH(""]"", H587) - SEARCH(""["", H587) - 1), ""\[\]"","""")"),"Dulles Dolls 2")</f>
        <v>Dulles Dolls 2</v>
      </c>
      <c r="J587" s="1">
        <v>4.0</v>
      </c>
      <c r="K587" s="1">
        <v>0.0</v>
      </c>
    </row>
    <row r="588">
      <c r="A588" s="1">
        <v>3.0</v>
      </c>
      <c r="B588" s="1">
        <v>12.0</v>
      </c>
      <c r="C588" s="1">
        <v>0.0</v>
      </c>
      <c r="D588" s="1">
        <v>0.0</v>
      </c>
      <c r="E588" s="1">
        <v>0.0</v>
      </c>
      <c r="F588" s="1">
        <v>0.0</v>
      </c>
      <c r="G588" s="2">
        <v>0.0</v>
      </c>
      <c r="H588" s="1" t="s">
        <v>187</v>
      </c>
      <c r="I588" s="1" t="str">
        <f>IFERROR(__xludf.DUMMYFUNCTION("REGEXREPLACE(MID(H588, SEARCH(""["", H588) + 1, SEARCH(""]"", H588) - SEARCH(""["", H588) - 1), ""\[\]"","""")"),"Eastlake HS")</f>
        <v>Eastlake HS</v>
      </c>
      <c r="J588" s="1">
        <v>0.0</v>
      </c>
      <c r="K588" s="1">
        <v>0.0</v>
      </c>
    </row>
    <row r="589">
      <c r="A589" s="1">
        <v>5.0</v>
      </c>
      <c r="B589" s="1">
        <v>19.0</v>
      </c>
      <c r="C589" s="1">
        <v>11.0</v>
      </c>
      <c r="D589" s="1">
        <v>1.6</v>
      </c>
      <c r="E589" s="1">
        <v>0.6</v>
      </c>
      <c r="F589" s="1">
        <v>0.0</v>
      </c>
      <c r="G589" s="6">
        <v>0.455</v>
      </c>
      <c r="H589" s="1" t="s">
        <v>180</v>
      </c>
      <c r="I589" s="1" t="str">
        <f>IFERROR(__xludf.DUMMYFUNCTION("REGEXREPLACE(MID(H589, SEARCH(""["", H589) + 1, SEARCH(""]"", H589) - SEARCH(""["", H589) - 1), ""\[\]"","""")"),"Eastlake HS")</f>
        <v>Eastlake HS</v>
      </c>
      <c r="J589" s="1">
        <v>8.0</v>
      </c>
      <c r="K589" s="1">
        <v>3.0</v>
      </c>
    </row>
    <row r="590">
      <c r="A590" s="1">
        <v>4.0</v>
      </c>
      <c r="B590" s="1">
        <v>16.0</v>
      </c>
      <c r="C590" s="1">
        <v>0.0</v>
      </c>
      <c r="D590" s="1">
        <v>0.0</v>
      </c>
      <c r="E590" s="1">
        <v>0.0</v>
      </c>
      <c r="F590" s="1">
        <v>0.0</v>
      </c>
      <c r="G590" s="2">
        <v>0.0</v>
      </c>
      <c r="H590" s="1" t="s">
        <v>189</v>
      </c>
      <c r="I590" s="1" t="str">
        <f>IFERROR(__xludf.DUMMYFUNCTION("REGEXREPLACE(MID(H590, SEARCH(""["", H590) + 1, SEARCH(""]"", H590) - SEARCH(""["", H590) - 1), ""\[\]"","""")"),"Eastlake HS")</f>
        <v>Eastlake HS</v>
      </c>
      <c r="J590" s="1">
        <v>0.0</v>
      </c>
      <c r="K590" s="1">
        <v>0.0</v>
      </c>
    </row>
    <row r="591">
      <c r="A591" s="1">
        <v>5.0</v>
      </c>
      <c r="B591" s="1">
        <v>19.0</v>
      </c>
      <c r="C591" s="1">
        <v>1.0</v>
      </c>
      <c r="D591" s="1">
        <v>0.8</v>
      </c>
      <c r="E591" s="1">
        <v>0.0</v>
      </c>
      <c r="F591" s="1">
        <v>0.0</v>
      </c>
      <c r="G591" s="2">
        <v>1.0</v>
      </c>
      <c r="H591" s="1" t="s">
        <v>190</v>
      </c>
      <c r="I591" s="1" t="str">
        <f>IFERROR(__xludf.DUMMYFUNCTION("REGEXREPLACE(MID(H591, SEARCH(""["", H591) + 1, SEARCH(""]"", H591) - SEARCH(""["", H591) - 1), ""\[\]"","""")"),"Eastlake HS")</f>
        <v>Eastlake HS</v>
      </c>
      <c r="J591" s="1">
        <v>4.0</v>
      </c>
      <c r="K591" s="1">
        <v>0.0</v>
      </c>
    </row>
    <row r="592">
      <c r="A592" s="1">
        <v>1.0</v>
      </c>
      <c r="B592" s="1">
        <v>4.0</v>
      </c>
      <c r="C592" s="1">
        <v>1.0</v>
      </c>
      <c r="D592" s="1">
        <v>4.0</v>
      </c>
      <c r="E592" s="1">
        <v>0.0</v>
      </c>
      <c r="F592" s="1">
        <v>0.0</v>
      </c>
      <c r="G592" s="2">
        <v>1.0</v>
      </c>
      <c r="H592" s="1" t="s">
        <v>191</v>
      </c>
      <c r="I592" s="1" t="str">
        <f>IFERROR(__xludf.DUMMYFUNCTION("REGEXREPLACE(MID(H592, SEARCH(""["", H592) + 1, SEARCH(""]"", H592) - SEARCH(""["", H592) - 1), ""\[\]"","""")"),"Elkins HS")</f>
        <v>Elkins HS</v>
      </c>
      <c r="J592" s="1">
        <v>4.0</v>
      </c>
      <c r="K592" s="1">
        <v>0.0</v>
      </c>
    </row>
    <row r="593">
      <c r="A593" s="1">
        <v>3.0</v>
      </c>
      <c r="B593" s="1">
        <v>10.0</v>
      </c>
      <c r="C593" s="1">
        <v>3.0</v>
      </c>
      <c r="D593" s="1">
        <v>1.33</v>
      </c>
      <c r="E593" s="1">
        <v>0.0</v>
      </c>
      <c r="F593" s="1">
        <v>0.0</v>
      </c>
      <c r="G593" s="6">
        <v>0.333</v>
      </c>
      <c r="H593" s="1" t="s">
        <v>191</v>
      </c>
      <c r="I593" s="1" t="str">
        <f>IFERROR(__xludf.DUMMYFUNCTION("REGEXREPLACE(MID(H593, SEARCH(""["", H593) + 1, SEARCH(""]"", H593) - SEARCH(""["", H593) - 1), ""\[\]"","""")"),"Elkins HS")</f>
        <v>Elkins HS</v>
      </c>
      <c r="J593" s="1">
        <v>4.0</v>
      </c>
      <c r="K593" s="1">
        <v>0.0</v>
      </c>
    </row>
    <row r="594">
      <c r="A594" s="1">
        <v>2.0</v>
      </c>
      <c r="B594" s="1">
        <v>7.0</v>
      </c>
      <c r="C594" s="1">
        <v>1.0</v>
      </c>
      <c r="D594" s="1">
        <v>0.0</v>
      </c>
      <c r="E594" s="1">
        <v>0.0</v>
      </c>
      <c r="F594" s="1">
        <v>0.0</v>
      </c>
      <c r="G594" s="2">
        <v>0.0</v>
      </c>
      <c r="H594" s="1" t="s">
        <v>192</v>
      </c>
      <c r="I594" s="1" t="str">
        <f>IFERROR(__xludf.DUMMYFUNCTION("REGEXREPLACE(MID(H594, SEARCH(""["", H594) + 1, SEARCH(""]"", H594) - SEARCH(""["", H594) - 1), ""\[\]"","""")"),"Elkins HS")</f>
        <v>Elkins HS</v>
      </c>
      <c r="J594" s="1">
        <v>0.0</v>
      </c>
      <c r="K594" s="1">
        <v>0.0</v>
      </c>
    </row>
    <row r="595">
      <c r="A595" s="1">
        <v>1.0</v>
      </c>
      <c r="B595" s="1">
        <v>3.0</v>
      </c>
      <c r="C595" s="1">
        <v>1.0</v>
      </c>
      <c r="D595" s="1">
        <v>4.0</v>
      </c>
      <c r="E595" s="1">
        <v>0.0</v>
      </c>
      <c r="F595" s="1">
        <v>0.0</v>
      </c>
      <c r="G595" s="2">
        <v>1.0</v>
      </c>
      <c r="H595" s="1" t="s">
        <v>192</v>
      </c>
      <c r="I595" s="1" t="str">
        <f>IFERROR(__xludf.DUMMYFUNCTION("REGEXREPLACE(MID(H595, SEARCH(""["", H595) + 1, SEARCH(""]"", H595) - SEARCH(""["", H595) - 1), ""\[\]"","""")"),"Elkins HS")</f>
        <v>Elkins HS</v>
      </c>
      <c r="J595" s="1">
        <v>4.0</v>
      </c>
      <c r="K595" s="1">
        <v>0.0</v>
      </c>
    </row>
    <row r="596">
      <c r="A596" s="1">
        <v>1.0</v>
      </c>
      <c r="B596" s="1">
        <v>4.0</v>
      </c>
      <c r="C596" s="1">
        <v>3.0</v>
      </c>
      <c r="D596" s="1">
        <v>8.0</v>
      </c>
      <c r="E596" s="1">
        <v>0.0</v>
      </c>
      <c r="F596" s="1">
        <v>0.0</v>
      </c>
      <c r="G596" s="6">
        <v>0.667</v>
      </c>
      <c r="H596" s="1" t="s">
        <v>194</v>
      </c>
      <c r="I596" s="1" t="str">
        <f>IFERROR(__xludf.DUMMYFUNCTION("REGEXREPLACE(MID(H596, SEARCH(""["", H596) + 1, SEARCH(""]"", H596) - SEARCH(""["", H596) - 1), ""\[\]"","""")"),"Elkins HS")</f>
        <v>Elkins HS</v>
      </c>
      <c r="J596" s="1">
        <v>8.0</v>
      </c>
      <c r="K596" s="1">
        <v>0.0</v>
      </c>
    </row>
    <row r="597">
      <c r="A597" s="1">
        <v>1.0</v>
      </c>
      <c r="B597" s="1">
        <v>3.0</v>
      </c>
      <c r="C597" s="1">
        <v>1.0</v>
      </c>
      <c r="D597" s="1">
        <v>0.0</v>
      </c>
      <c r="E597" s="1">
        <v>0.0</v>
      </c>
      <c r="F597" s="1">
        <v>0.0</v>
      </c>
      <c r="G597" s="2">
        <v>0.0</v>
      </c>
      <c r="H597" s="1" t="s">
        <v>194</v>
      </c>
      <c r="I597" s="1" t="str">
        <f>IFERROR(__xludf.DUMMYFUNCTION("REGEXREPLACE(MID(H597, SEARCH(""["", H597) + 1, SEARCH(""]"", H597) - SEARCH(""["", H597) - 1), ""\[\]"","""")"),"Elkins HS")</f>
        <v>Elkins HS</v>
      </c>
      <c r="J597" s="1">
        <v>0.0</v>
      </c>
      <c r="K597" s="1">
        <v>0.0</v>
      </c>
    </row>
    <row r="598">
      <c r="A598" s="1">
        <v>1.0</v>
      </c>
      <c r="B598" s="1">
        <v>4.0</v>
      </c>
      <c r="C598" s="1">
        <v>0.0</v>
      </c>
      <c r="D598" s="1">
        <v>0.0</v>
      </c>
      <c r="E598" s="1">
        <v>0.0</v>
      </c>
      <c r="F598" s="1">
        <v>0.0</v>
      </c>
      <c r="G598" s="2">
        <v>0.0</v>
      </c>
      <c r="H598" s="1" t="s">
        <v>195</v>
      </c>
      <c r="I598" s="1" t="str">
        <f>IFERROR(__xludf.DUMMYFUNCTION("REGEXREPLACE(MID(H598, SEARCH(""["", H598) + 1, SEARCH(""]"", H598) - SEARCH(""["", H598) - 1), ""\[\]"","""")"),"Elkins HS")</f>
        <v>Elkins HS</v>
      </c>
      <c r="J598" s="1">
        <v>0.0</v>
      </c>
      <c r="K598" s="1">
        <v>0.0</v>
      </c>
    </row>
    <row r="599">
      <c r="A599" s="1">
        <v>4.0</v>
      </c>
      <c r="B599" s="1">
        <v>14.0</v>
      </c>
      <c r="C599" s="1">
        <v>1.0</v>
      </c>
      <c r="D599" s="1">
        <v>0.0</v>
      </c>
      <c r="E599" s="1">
        <v>0.0</v>
      </c>
      <c r="F599" s="1">
        <v>0.0</v>
      </c>
      <c r="G599" s="2">
        <v>0.0</v>
      </c>
      <c r="H599" s="1" t="s">
        <v>195</v>
      </c>
      <c r="I599" s="1" t="str">
        <f>IFERROR(__xludf.DUMMYFUNCTION("REGEXREPLACE(MID(H599, SEARCH(""["", H599) + 1, SEARCH(""]"", H599) - SEARCH(""["", H599) - 1), ""\[\]"","""")"),"Elkins HS")</f>
        <v>Elkins HS</v>
      </c>
      <c r="J599" s="1">
        <v>0.0</v>
      </c>
      <c r="K599" s="1">
        <v>0.0</v>
      </c>
    </row>
    <row r="600">
      <c r="A600" s="1">
        <v>4.0</v>
      </c>
      <c r="B600" s="1">
        <v>14.0</v>
      </c>
      <c r="C600" s="1">
        <v>2.0</v>
      </c>
      <c r="D600" s="1">
        <v>2.0</v>
      </c>
      <c r="E600" s="1">
        <v>0.0</v>
      </c>
      <c r="F600" s="1">
        <v>0.0</v>
      </c>
      <c r="G600" s="2">
        <v>1.0</v>
      </c>
      <c r="H600" s="1" t="s">
        <v>112</v>
      </c>
      <c r="I600" s="1" t="str">
        <f>IFERROR(__xludf.DUMMYFUNCTION("REGEXREPLACE(MID(H600, SEARCH(""["", H600) + 1, SEARCH(""]"", H600) - SEARCH(""["", H600) - 1), ""\[\]"","""")"),"Elkins HS")</f>
        <v>Elkins HS</v>
      </c>
      <c r="J600" s="1">
        <v>8.0</v>
      </c>
      <c r="K600" s="1">
        <v>0.0</v>
      </c>
    </row>
    <row r="601">
      <c r="A601" s="1">
        <v>1.0</v>
      </c>
      <c r="B601" s="1">
        <v>4.0</v>
      </c>
      <c r="C601" s="1">
        <v>0.0</v>
      </c>
      <c r="D601" s="1">
        <v>0.0</v>
      </c>
      <c r="E601" s="1">
        <v>0.0</v>
      </c>
      <c r="F601" s="1">
        <v>0.0</v>
      </c>
      <c r="G601" s="2">
        <v>0.0</v>
      </c>
      <c r="H601" s="1" t="s">
        <v>112</v>
      </c>
      <c r="I601" s="1" t="str">
        <f>IFERROR(__xludf.DUMMYFUNCTION("REGEXREPLACE(MID(H601, SEARCH(""["", H601) + 1, SEARCH(""]"", H601) - SEARCH(""["", H601) - 1), ""\[\]"","""")"),"Elkins HS")</f>
        <v>Elkins HS</v>
      </c>
      <c r="J601" s="1">
        <v>0.0</v>
      </c>
      <c r="K601" s="1">
        <v>0.0</v>
      </c>
    </row>
    <row r="602">
      <c r="A602" s="1">
        <v>1.0</v>
      </c>
      <c r="B602" s="1">
        <v>4.0</v>
      </c>
      <c r="C602" s="1">
        <v>1.0</v>
      </c>
      <c r="D602" s="1">
        <v>0.0</v>
      </c>
      <c r="E602" s="1">
        <v>0.0</v>
      </c>
      <c r="F602" s="1">
        <v>0.0</v>
      </c>
      <c r="G602" s="2">
        <v>0.0</v>
      </c>
      <c r="H602" s="1" t="s">
        <v>196</v>
      </c>
      <c r="I602" s="1" t="str">
        <f>IFERROR(__xludf.DUMMYFUNCTION("REGEXREPLACE(MID(H602, SEARCH(""["", H602) + 1, SEARCH(""]"", H602) - SEARCH(""["", H602) - 1), ""\[\]"","""")"),"ENHS")</f>
        <v>ENHS</v>
      </c>
      <c r="J602" s="1">
        <v>0.0</v>
      </c>
      <c r="K602" s="1">
        <v>0.0</v>
      </c>
    </row>
    <row r="603">
      <c r="A603" s="1">
        <v>5.0</v>
      </c>
      <c r="B603" s="1">
        <v>19.0</v>
      </c>
      <c r="C603" s="1">
        <v>6.0</v>
      </c>
      <c r="D603" s="1">
        <v>0.8</v>
      </c>
      <c r="E603" s="1">
        <v>0.0</v>
      </c>
      <c r="F603" s="1">
        <v>0.0</v>
      </c>
      <c r="G603" s="6">
        <v>0.167</v>
      </c>
      <c r="H603" s="1" t="s">
        <v>197</v>
      </c>
      <c r="I603" s="1" t="str">
        <f>IFERROR(__xludf.DUMMYFUNCTION("REGEXREPLACE(MID(H603, SEARCH(""["", H603) + 1, SEARCH(""]"", H603) - SEARCH(""["", H603) - 1), ""\[\]"","""")"),"ENHS")</f>
        <v>ENHS</v>
      </c>
      <c r="J603" s="1">
        <v>4.0</v>
      </c>
      <c r="K603" s="1">
        <v>0.0</v>
      </c>
    </row>
    <row r="604">
      <c r="A604" s="1">
        <v>2.0</v>
      </c>
      <c r="B604" s="1">
        <v>8.0</v>
      </c>
      <c r="C604" s="1">
        <v>2.0</v>
      </c>
      <c r="D604" s="1">
        <v>2.0</v>
      </c>
      <c r="E604" s="1">
        <v>0.0</v>
      </c>
      <c r="F604" s="1">
        <v>0.0</v>
      </c>
      <c r="G604" s="2">
        <v>0.5</v>
      </c>
      <c r="H604" s="1" t="s">
        <v>198</v>
      </c>
      <c r="I604" s="1" t="str">
        <f>IFERROR(__xludf.DUMMYFUNCTION("REGEXREPLACE(MID(H604, SEARCH(""["", H604) + 1, SEARCH(""]"", H604) - SEARCH(""["", H604) - 1), ""\[\]"","""")"),"ENHS")</f>
        <v>ENHS</v>
      </c>
      <c r="J604" s="1">
        <v>4.0</v>
      </c>
      <c r="K604" s="1">
        <v>0.0</v>
      </c>
    </row>
    <row r="605">
      <c r="A605" s="1">
        <v>5.0</v>
      </c>
      <c r="B605" s="1">
        <v>19.0</v>
      </c>
      <c r="C605" s="1">
        <v>3.0</v>
      </c>
      <c r="D605" s="1">
        <v>0.0</v>
      </c>
      <c r="E605" s="1">
        <v>0.2</v>
      </c>
      <c r="F605" s="1">
        <v>0.0</v>
      </c>
      <c r="G605" s="6">
        <v>0.333</v>
      </c>
      <c r="H605" s="1" t="s">
        <v>199</v>
      </c>
      <c r="I605" s="1" t="str">
        <f>IFERROR(__xludf.DUMMYFUNCTION("REGEXREPLACE(MID(H605, SEARCH(""["", H605) + 1, SEARCH(""]"", H605) - SEARCH(""["", H605) - 1), ""\[\]"","""")"),"ENHS")</f>
        <v>ENHS</v>
      </c>
      <c r="J605" s="1">
        <v>0.0</v>
      </c>
      <c r="K605" s="1">
        <v>1.0</v>
      </c>
    </row>
    <row r="606">
      <c r="A606" s="1">
        <v>3.0</v>
      </c>
      <c r="B606" s="1">
        <v>13.0</v>
      </c>
      <c r="C606" s="1">
        <v>0.0</v>
      </c>
      <c r="D606" s="1">
        <v>0.0</v>
      </c>
      <c r="E606" s="1">
        <v>0.0</v>
      </c>
      <c r="F606" s="1">
        <v>0.0</v>
      </c>
      <c r="G606" s="2">
        <v>0.0</v>
      </c>
      <c r="H606" s="1" t="s">
        <v>200</v>
      </c>
      <c r="I606" s="1" t="str">
        <f>IFERROR(__xludf.DUMMYFUNCTION("REGEXREPLACE(MID(H606, SEARCH(""["", H606) + 1, SEARCH(""]"", H606) - SEARCH(""["", H606) - 1), ""\[\]"","""")"),"Enloe")</f>
        <v>Enloe</v>
      </c>
      <c r="J606" s="1">
        <v>0.0</v>
      </c>
      <c r="K606" s="1">
        <v>0.0</v>
      </c>
    </row>
    <row r="607">
      <c r="A607" s="1">
        <v>3.0</v>
      </c>
      <c r="B607" s="1">
        <v>12.0</v>
      </c>
      <c r="C607" s="1">
        <v>4.0</v>
      </c>
      <c r="D607" s="1">
        <v>4.0</v>
      </c>
      <c r="E607" s="1">
        <v>0.0</v>
      </c>
      <c r="F607" s="1">
        <v>0.0</v>
      </c>
      <c r="G607" s="2">
        <v>0.75</v>
      </c>
      <c r="H607" s="1" t="s">
        <v>201</v>
      </c>
      <c r="I607" s="1" t="str">
        <f>IFERROR(__xludf.DUMMYFUNCTION("REGEXREPLACE(MID(H607, SEARCH(""["", H607) + 1, SEARCH(""]"", H607) - SEARCH(""["", H607) - 1), ""\[\]"","""")"),"Enloe")</f>
        <v>Enloe</v>
      </c>
      <c r="J607" s="1">
        <v>12.0</v>
      </c>
      <c r="K607" s="1">
        <v>0.0</v>
      </c>
    </row>
    <row r="608">
      <c r="A608" s="1">
        <v>5.0</v>
      </c>
      <c r="B608" s="1">
        <v>20.0</v>
      </c>
      <c r="C608" s="1">
        <v>12.0</v>
      </c>
      <c r="D608" s="1">
        <v>1.6</v>
      </c>
      <c r="E608" s="1">
        <v>0.4</v>
      </c>
      <c r="F608" s="1">
        <v>0.0</v>
      </c>
      <c r="G608" s="6">
        <v>0.333</v>
      </c>
      <c r="H608" s="1" t="s">
        <v>70</v>
      </c>
      <c r="I608" s="1" t="str">
        <f>IFERROR(__xludf.DUMMYFUNCTION("REGEXREPLACE(MID(H608, SEARCH(""["", H608) + 1, SEARCH(""]"", H608) - SEARCH(""["", H608) - 1), ""\[\]"","""")"),"Enloe")</f>
        <v>Enloe</v>
      </c>
      <c r="J608" s="1">
        <v>8.0</v>
      </c>
      <c r="K608" s="1">
        <v>2.0</v>
      </c>
    </row>
    <row r="609">
      <c r="A609" s="1">
        <v>1.0</v>
      </c>
      <c r="B609" s="1">
        <v>4.0</v>
      </c>
      <c r="C609" s="1">
        <v>0.0</v>
      </c>
      <c r="D609" s="1">
        <v>0.0</v>
      </c>
      <c r="E609" s="1">
        <v>0.0</v>
      </c>
      <c r="F609" s="1">
        <v>0.0</v>
      </c>
      <c r="G609" s="2">
        <v>0.0</v>
      </c>
      <c r="H609" s="1" t="s">
        <v>203</v>
      </c>
      <c r="I609" s="1" t="str">
        <f>IFERROR(__xludf.DUMMYFUNCTION("REGEXREPLACE(MID(H609, SEARCH(""["", H609) + 1, SEARCH(""]"", H609) - SEARCH(""["", H609) - 1), ""\[\]"","""")"),"Enloe")</f>
        <v>Enloe</v>
      </c>
      <c r="J609" s="1">
        <v>0.0</v>
      </c>
      <c r="K609" s="1">
        <v>0.0</v>
      </c>
    </row>
    <row r="610">
      <c r="A610" s="1">
        <v>2.0</v>
      </c>
      <c r="B610" s="1">
        <v>8.0</v>
      </c>
      <c r="C610" s="1">
        <v>0.0</v>
      </c>
      <c r="D610" s="1">
        <v>0.0</v>
      </c>
      <c r="E610" s="1">
        <v>0.0</v>
      </c>
      <c r="F610" s="1">
        <v>0.0</v>
      </c>
      <c r="G610" s="2">
        <v>0.0</v>
      </c>
      <c r="H610" s="1" t="s">
        <v>205</v>
      </c>
      <c r="I610" s="1" t="str">
        <f>IFERROR(__xludf.DUMMYFUNCTION("REGEXREPLACE(MID(H610, SEARCH(""["", H610) + 1, SEARCH(""]"", H610) - SEARCH(""["", H610) - 1), ""\[\]"","""")"),"Enloe")</f>
        <v>Enloe</v>
      </c>
      <c r="J610" s="1">
        <v>0.0</v>
      </c>
      <c r="K610" s="1">
        <v>0.0</v>
      </c>
    </row>
    <row r="611">
      <c r="A611" s="1">
        <v>1.0</v>
      </c>
      <c r="B611" s="1">
        <v>4.0</v>
      </c>
      <c r="C611" s="1">
        <v>1.0</v>
      </c>
      <c r="D611" s="1">
        <v>4.0</v>
      </c>
      <c r="E611" s="1">
        <v>0.0</v>
      </c>
      <c r="F611" s="1">
        <v>0.0</v>
      </c>
      <c r="G611" s="2">
        <v>1.0</v>
      </c>
      <c r="H611" s="1" t="s">
        <v>206</v>
      </c>
      <c r="I611" s="1" t="str">
        <f>IFERROR(__xludf.DUMMYFUNCTION("REGEXREPLACE(MID(H611, SEARCH(""["", H611) + 1, SEARCH(""]"", H611) - SEARCH(""["", H611) - 1), ""\[\]"","""")"),"Frazer")</f>
        <v>Frazer</v>
      </c>
      <c r="J611" s="1">
        <v>4.0</v>
      </c>
      <c r="K611" s="1">
        <v>0.0</v>
      </c>
    </row>
    <row r="612">
      <c r="A612" s="1">
        <v>5.0</v>
      </c>
      <c r="B612" s="1">
        <v>19.0</v>
      </c>
      <c r="C612" s="1">
        <v>14.0</v>
      </c>
      <c r="D612" s="1">
        <v>6.4</v>
      </c>
      <c r="E612" s="1">
        <v>0.2</v>
      </c>
      <c r="F612" s="1">
        <v>0.0</v>
      </c>
      <c r="G612" s="6">
        <v>0.643</v>
      </c>
      <c r="H612" s="1" t="s">
        <v>62</v>
      </c>
      <c r="I612" s="1" t="str">
        <f>IFERROR(__xludf.DUMMYFUNCTION("REGEXREPLACE(MID(H612, SEARCH(""["", H612) + 1, SEARCH(""]"", H612) - SEARCH(""["", H612) - 1), ""\[\]"","""")"),"Frazer")</f>
        <v>Frazer</v>
      </c>
      <c r="J612" s="1">
        <v>32.0</v>
      </c>
      <c r="K612" s="1">
        <v>1.0</v>
      </c>
    </row>
    <row r="613">
      <c r="A613" s="1">
        <v>1.0</v>
      </c>
      <c r="B613" s="1">
        <v>4.0</v>
      </c>
      <c r="C613" s="1">
        <v>0.0</v>
      </c>
      <c r="D613" s="1">
        <v>0.0</v>
      </c>
      <c r="E613" s="1">
        <v>0.0</v>
      </c>
      <c r="F613" s="1">
        <v>0.0</v>
      </c>
      <c r="G613" s="2">
        <v>0.0</v>
      </c>
      <c r="H613" s="1" t="s">
        <v>208</v>
      </c>
      <c r="I613" s="1" t="str">
        <f>IFERROR(__xludf.DUMMYFUNCTION("REGEXREPLACE(MID(H613, SEARCH(""["", H613) + 1, SEARCH(""]"", H613) - SEARCH(""["", H613) - 1), ""\[\]"","""")"),"Frazer")</f>
        <v>Frazer</v>
      </c>
      <c r="J613" s="1">
        <v>0.0</v>
      </c>
      <c r="K613" s="1">
        <v>0.0</v>
      </c>
    </row>
    <row r="614">
      <c r="A614" s="1">
        <v>5.0</v>
      </c>
      <c r="B614" s="1">
        <v>17.0</v>
      </c>
      <c r="C614" s="1">
        <v>1.0</v>
      </c>
      <c r="D614" s="1">
        <v>-0.8</v>
      </c>
      <c r="E614" s="1">
        <v>0.2</v>
      </c>
      <c r="F614" s="1">
        <v>0.0</v>
      </c>
      <c r="G614" s="2">
        <v>0.0</v>
      </c>
      <c r="H614" s="1" t="s">
        <v>209</v>
      </c>
      <c r="I614" s="1" t="str">
        <f>IFERROR(__xludf.DUMMYFUNCTION("REGEXREPLACE(MID(H614, SEARCH(""["", H614) + 1, SEARCH(""]"", H614) - SEARCH(""["", H614) - 1), ""\[\]"","""")"),"Friendswood")</f>
        <v>Friendswood</v>
      </c>
      <c r="J614" s="1">
        <v>-4.0</v>
      </c>
      <c r="K614" s="1">
        <v>1.0</v>
      </c>
    </row>
    <row r="615">
      <c r="A615" s="1">
        <v>5.0</v>
      </c>
      <c r="B615" s="1">
        <v>17.0</v>
      </c>
      <c r="C615" s="1">
        <v>4.0</v>
      </c>
      <c r="D615" s="1">
        <v>0.0</v>
      </c>
      <c r="E615" s="1">
        <v>0.0</v>
      </c>
      <c r="F615" s="1">
        <v>0.0</v>
      </c>
      <c r="G615" s="2">
        <v>0.0</v>
      </c>
      <c r="H615" s="1" t="s">
        <v>210</v>
      </c>
      <c r="I615" s="1" t="str">
        <f>IFERROR(__xludf.DUMMYFUNCTION("REGEXREPLACE(MID(H615, SEARCH(""["", H615) + 1, SEARCH(""]"", H615) - SEARCH(""["", H615) - 1), ""\[\]"","""")"),"Friendswood")</f>
        <v>Friendswood</v>
      </c>
      <c r="J615" s="1">
        <v>0.0</v>
      </c>
      <c r="K615" s="1">
        <v>0.0</v>
      </c>
    </row>
    <row r="616">
      <c r="A616" s="1">
        <v>5.0</v>
      </c>
      <c r="B616" s="1">
        <v>17.0</v>
      </c>
      <c r="C616" s="1">
        <v>2.0</v>
      </c>
      <c r="D616" s="1">
        <v>0.0</v>
      </c>
      <c r="E616" s="1">
        <v>0.0</v>
      </c>
      <c r="F616" s="1">
        <v>0.0</v>
      </c>
      <c r="G616" s="2">
        <v>0.0</v>
      </c>
      <c r="H616" s="1" t="s">
        <v>211</v>
      </c>
      <c r="I616" s="1" t="str">
        <f>IFERROR(__xludf.DUMMYFUNCTION("REGEXREPLACE(MID(H616, SEARCH(""["", H616) + 1, SEARCH(""]"", H616) - SEARCH(""["", H616) - 1), ""\[\]"","""")"),"Friendswood")</f>
        <v>Friendswood</v>
      </c>
      <c r="J616" s="1">
        <v>0.0</v>
      </c>
      <c r="K616" s="1">
        <v>0.0</v>
      </c>
    </row>
    <row r="617">
      <c r="A617" s="1">
        <v>5.0</v>
      </c>
      <c r="B617" s="1">
        <v>17.0</v>
      </c>
      <c r="C617" s="1">
        <v>3.0</v>
      </c>
      <c r="D617" s="1">
        <v>0.8</v>
      </c>
      <c r="E617" s="1">
        <v>0.0</v>
      </c>
      <c r="F617" s="1">
        <v>0.0</v>
      </c>
      <c r="G617" s="6">
        <v>0.333</v>
      </c>
      <c r="H617" s="1" t="s">
        <v>213</v>
      </c>
      <c r="I617" s="1" t="str">
        <f>IFERROR(__xludf.DUMMYFUNCTION("REGEXREPLACE(MID(H617, SEARCH(""["", H617) + 1, SEARCH(""]"", H617) - SEARCH(""["", H617) - 1), ""\[\]"","""")"),"Friendswood")</f>
        <v>Friendswood</v>
      </c>
      <c r="J617" s="1">
        <v>4.0</v>
      </c>
      <c r="K617" s="1">
        <v>0.0</v>
      </c>
    </row>
    <row r="618">
      <c r="A618" s="1">
        <v>1.0</v>
      </c>
      <c r="B618" s="1">
        <v>4.0</v>
      </c>
      <c r="C618" s="1">
        <v>0.0</v>
      </c>
      <c r="D618" s="1">
        <v>0.0</v>
      </c>
      <c r="E618" s="1">
        <v>0.0</v>
      </c>
      <c r="F618" s="1">
        <v>0.0</v>
      </c>
      <c r="G618" s="2">
        <v>0.0</v>
      </c>
      <c r="H618" s="1" t="s">
        <v>214</v>
      </c>
      <c r="I618" s="1" t="str">
        <f>IFERROR(__xludf.DUMMYFUNCTION("REGEXREPLACE(MID(H618, SEARCH(""["", H618) + 1, SEARCH(""]"", H618) - SEARCH(""["", H618) - 1), ""\[\]"","""")"),"Galen 1")</f>
        <v>Galen 1</v>
      </c>
      <c r="J618" s="1">
        <v>0.0</v>
      </c>
      <c r="K618" s="1">
        <v>0.0</v>
      </c>
    </row>
    <row r="619">
      <c r="A619" s="1">
        <v>2.0</v>
      </c>
      <c r="B619" s="1">
        <v>8.0</v>
      </c>
      <c r="C619" s="1">
        <v>0.0</v>
      </c>
      <c r="D619" s="1">
        <v>0.0</v>
      </c>
      <c r="E619" s="1">
        <v>0.0</v>
      </c>
      <c r="F619" s="1">
        <v>0.0</v>
      </c>
      <c r="G619" s="2">
        <v>0.0</v>
      </c>
      <c r="H619" s="1" t="s">
        <v>214</v>
      </c>
      <c r="I619" s="1" t="str">
        <f>IFERROR(__xludf.DUMMYFUNCTION("REGEXREPLACE(MID(H619, SEARCH(""["", H619) + 1, SEARCH(""]"", H619) - SEARCH(""["", H619) - 1), ""\[\]"","""")"),"Galen 1")</f>
        <v>Galen 1</v>
      </c>
      <c r="J619" s="1">
        <v>0.0</v>
      </c>
      <c r="K619" s="1">
        <v>0.0</v>
      </c>
    </row>
    <row r="620">
      <c r="A620" s="1">
        <v>1.0</v>
      </c>
      <c r="B620" s="1">
        <v>4.0</v>
      </c>
      <c r="C620" s="1">
        <v>0.0</v>
      </c>
      <c r="D620" s="1">
        <v>0.0</v>
      </c>
      <c r="E620" s="1">
        <v>0.0</v>
      </c>
      <c r="F620" s="1">
        <v>0.0</v>
      </c>
      <c r="G620" s="2">
        <v>0.0</v>
      </c>
      <c r="H620" s="1" t="s">
        <v>214</v>
      </c>
      <c r="I620" s="1" t="str">
        <f>IFERROR(__xludf.DUMMYFUNCTION("REGEXREPLACE(MID(H620, SEARCH(""["", H620) + 1, SEARCH(""]"", H620) - SEARCH(""["", H620) - 1), ""\[\]"","""")"),"Galen 1")</f>
        <v>Galen 1</v>
      </c>
      <c r="J620" s="1">
        <v>0.0</v>
      </c>
      <c r="K620" s="1">
        <v>0.0</v>
      </c>
    </row>
    <row r="621">
      <c r="A621" s="1">
        <v>1.0</v>
      </c>
      <c r="B621" s="1">
        <v>4.0</v>
      </c>
      <c r="C621" s="1">
        <v>0.0</v>
      </c>
      <c r="D621" s="1">
        <v>0.0</v>
      </c>
      <c r="E621" s="1">
        <v>0.0</v>
      </c>
      <c r="F621" s="1">
        <v>0.0</v>
      </c>
      <c r="G621" s="2">
        <v>0.0</v>
      </c>
      <c r="H621" s="1" t="s">
        <v>214</v>
      </c>
      <c r="I621" s="1" t="str">
        <f>IFERROR(__xludf.DUMMYFUNCTION("REGEXREPLACE(MID(H621, SEARCH(""["", H621) + 1, SEARCH(""]"", H621) - SEARCH(""["", H621) - 1), ""\[\]"","""")"),"Galen 1")</f>
        <v>Galen 1</v>
      </c>
      <c r="J621" s="1">
        <v>0.0</v>
      </c>
      <c r="K621" s="1">
        <v>0.0</v>
      </c>
    </row>
    <row r="622">
      <c r="A622" s="1">
        <v>2.0</v>
      </c>
      <c r="B622" s="1">
        <v>8.0</v>
      </c>
      <c r="C622" s="1">
        <v>0.0</v>
      </c>
      <c r="D622" s="1">
        <v>0.0</v>
      </c>
      <c r="E622" s="1">
        <v>0.0</v>
      </c>
      <c r="F622" s="1">
        <v>0.0</v>
      </c>
      <c r="G622" s="2">
        <v>0.0</v>
      </c>
      <c r="H622" s="1" t="s">
        <v>217</v>
      </c>
      <c r="I622" s="1" t="str">
        <f>IFERROR(__xludf.DUMMYFUNCTION("REGEXREPLACE(MID(H622, SEARCH(""["", H622) + 1, SEARCH(""]"", H622) - SEARCH(""["", H622) - 1), ""\[\]"","""")"),"Galen 1")</f>
        <v>Galen 1</v>
      </c>
      <c r="J622" s="1">
        <v>0.0</v>
      </c>
      <c r="K622" s="1">
        <v>0.0</v>
      </c>
    </row>
    <row r="623">
      <c r="A623" s="1">
        <v>1.0</v>
      </c>
      <c r="B623" s="1">
        <v>4.0</v>
      </c>
      <c r="C623" s="1">
        <v>0.0</v>
      </c>
      <c r="D623" s="1">
        <v>0.0</v>
      </c>
      <c r="E623" s="1">
        <v>0.0</v>
      </c>
      <c r="F623" s="1">
        <v>0.0</v>
      </c>
      <c r="G623" s="2">
        <v>0.0</v>
      </c>
      <c r="H623" s="1" t="s">
        <v>217</v>
      </c>
      <c r="I623" s="1" t="str">
        <f>IFERROR(__xludf.DUMMYFUNCTION("REGEXREPLACE(MID(H623, SEARCH(""["", H623) + 1, SEARCH(""]"", H623) - SEARCH(""["", H623) - 1), ""\[\]"","""")"),"Galen 1")</f>
        <v>Galen 1</v>
      </c>
      <c r="J623" s="1">
        <v>0.0</v>
      </c>
      <c r="K623" s="1">
        <v>0.0</v>
      </c>
    </row>
    <row r="624">
      <c r="A624" s="1">
        <v>3.0</v>
      </c>
      <c r="B624" s="1">
        <v>12.0</v>
      </c>
      <c r="C624" s="1">
        <v>9.0</v>
      </c>
      <c r="D624" s="1">
        <v>10.67</v>
      </c>
      <c r="E624" s="1">
        <v>0.0</v>
      </c>
      <c r="F624" s="1">
        <v>0.0</v>
      </c>
      <c r="G624" s="6">
        <v>0.889</v>
      </c>
      <c r="H624" s="1" t="s">
        <v>105</v>
      </c>
      <c r="I624" s="1" t="str">
        <f>IFERROR(__xludf.DUMMYFUNCTION("REGEXREPLACE(MID(H624, SEARCH(""["", H624) + 1, SEARCH(""]"", H624) - SEARCH(""["", H624) - 1), ""\[\]"","""")"),"Galen 1")</f>
        <v>Galen 1</v>
      </c>
      <c r="J624" s="1">
        <v>32.0</v>
      </c>
      <c r="K624" s="1">
        <v>0.0</v>
      </c>
    </row>
    <row r="625">
      <c r="A625" s="1">
        <v>1.0</v>
      </c>
      <c r="B625" s="1">
        <v>4.0</v>
      </c>
      <c r="C625" s="1">
        <v>4.0</v>
      </c>
      <c r="D625" s="1">
        <v>16.0</v>
      </c>
      <c r="E625" s="1">
        <v>0.0</v>
      </c>
      <c r="F625" s="1">
        <v>0.0</v>
      </c>
      <c r="G625" s="2">
        <v>1.0</v>
      </c>
      <c r="H625" s="1" t="s">
        <v>105</v>
      </c>
      <c r="I625" s="1" t="str">
        <f>IFERROR(__xludf.DUMMYFUNCTION("REGEXREPLACE(MID(H625, SEARCH(""["", H625) + 1, SEARCH(""]"", H625) - SEARCH(""["", H625) - 1), ""\[\]"","""")"),"Galen 1")</f>
        <v>Galen 1</v>
      </c>
      <c r="J625" s="1">
        <v>16.0</v>
      </c>
      <c r="K625" s="1">
        <v>0.0</v>
      </c>
    </row>
    <row r="626">
      <c r="A626" s="1">
        <v>1.0</v>
      </c>
      <c r="B626" s="1">
        <v>4.0</v>
      </c>
      <c r="C626" s="1">
        <v>3.0</v>
      </c>
      <c r="D626" s="1">
        <v>-8.0</v>
      </c>
      <c r="E626" s="1">
        <v>2.0</v>
      </c>
      <c r="F626" s="1">
        <v>0.0</v>
      </c>
      <c r="G626" s="2">
        <v>0.0</v>
      </c>
      <c r="H626" s="1" t="s">
        <v>105</v>
      </c>
      <c r="I626" s="1" t="str">
        <f>IFERROR(__xludf.DUMMYFUNCTION("REGEXREPLACE(MID(H626, SEARCH(""["", H626) + 1, SEARCH(""]"", H626) - SEARCH(""["", H626) - 1), ""\[\]"","""")"),"Galen 1")</f>
        <v>Galen 1</v>
      </c>
      <c r="J626" s="1">
        <v>-8.0</v>
      </c>
      <c r="K626" s="1">
        <v>2.0</v>
      </c>
    </row>
    <row r="627">
      <c r="A627" s="1">
        <v>1.0</v>
      </c>
      <c r="B627" s="1">
        <v>4.0</v>
      </c>
      <c r="C627" s="1">
        <v>1.0</v>
      </c>
      <c r="D627" s="1">
        <v>4.0</v>
      </c>
      <c r="E627" s="1">
        <v>0.0</v>
      </c>
      <c r="F627" s="1">
        <v>0.0</v>
      </c>
      <c r="G627" s="2">
        <v>1.0</v>
      </c>
      <c r="H627" s="1" t="s">
        <v>219</v>
      </c>
      <c r="I627" s="1" t="str">
        <f>IFERROR(__xludf.DUMMYFUNCTION("REGEXREPLACE(MID(H627, SEARCH(""["", H627) + 1, SEARCH(""]"", H627) - SEARCH(""["", H627) - 1), ""\[\]"","""")"),"Galen 1")</f>
        <v>Galen 1</v>
      </c>
      <c r="J627" s="1">
        <v>4.0</v>
      </c>
      <c r="K627" s="1">
        <v>0.0</v>
      </c>
    </row>
    <row r="628">
      <c r="A628" s="1">
        <v>1.0</v>
      </c>
      <c r="B628" s="1">
        <v>4.0</v>
      </c>
      <c r="C628" s="1">
        <v>0.0</v>
      </c>
      <c r="D628" s="1">
        <v>0.0</v>
      </c>
      <c r="E628" s="1">
        <v>0.0</v>
      </c>
      <c r="F628" s="1">
        <v>0.0</v>
      </c>
      <c r="G628" s="2">
        <v>0.0</v>
      </c>
      <c r="H628" s="1" t="s">
        <v>220</v>
      </c>
      <c r="I628" s="1" t="str">
        <f>IFERROR(__xludf.DUMMYFUNCTION("REGEXREPLACE(MID(H628, SEARCH(""["", H628) + 1, SEARCH(""]"", H628) - SEARCH(""["", H628) - 1), ""\[\]"","""")"),"Galen 1")</f>
        <v>Galen 1</v>
      </c>
      <c r="J628" s="1">
        <v>0.0</v>
      </c>
      <c r="K628" s="1">
        <v>0.0</v>
      </c>
    </row>
    <row r="629">
      <c r="A629" s="1">
        <v>2.0</v>
      </c>
      <c r="B629" s="1">
        <v>8.0</v>
      </c>
      <c r="C629" s="1">
        <v>0.0</v>
      </c>
      <c r="D629" s="1">
        <v>0.0</v>
      </c>
      <c r="E629" s="1">
        <v>0.0</v>
      </c>
      <c r="F629" s="1">
        <v>0.0</v>
      </c>
      <c r="G629" s="2">
        <v>0.0</v>
      </c>
      <c r="H629" s="1" t="s">
        <v>220</v>
      </c>
      <c r="I629" s="1" t="str">
        <f>IFERROR(__xludf.DUMMYFUNCTION("REGEXREPLACE(MID(H629, SEARCH(""["", H629) + 1, SEARCH(""]"", H629) - SEARCH(""["", H629) - 1), ""\[\]"","""")"),"Galen 1")</f>
        <v>Galen 1</v>
      </c>
      <c r="J629" s="1">
        <v>0.0</v>
      </c>
      <c r="K629" s="1">
        <v>0.0</v>
      </c>
    </row>
    <row r="630">
      <c r="A630" s="1">
        <v>1.0</v>
      </c>
      <c r="B630" s="1">
        <v>4.0</v>
      </c>
      <c r="C630" s="1">
        <v>0.0</v>
      </c>
      <c r="D630" s="1">
        <v>0.0</v>
      </c>
      <c r="E630" s="1">
        <v>0.0</v>
      </c>
      <c r="F630" s="1">
        <v>0.0</v>
      </c>
      <c r="G630" s="2">
        <v>0.0</v>
      </c>
      <c r="H630" s="1" t="s">
        <v>220</v>
      </c>
      <c r="I630" s="1" t="str">
        <f>IFERROR(__xludf.DUMMYFUNCTION("REGEXREPLACE(MID(H630, SEARCH(""["", H630) + 1, SEARCH(""]"", H630) - SEARCH(""["", H630) - 1), ""\[\]"","""")"),"Galen 1")</f>
        <v>Galen 1</v>
      </c>
      <c r="J630" s="1">
        <v>0.0</v>
      </c>
      <c r="K630" s="1">
        <v>0.0</v>
      </c>
    </row>
    <row r="631">
      <c r="A631" s="1">
        <v>1.0</v>
      </c>
      <c r="B631" s="1">
        <v>4.0</v>
      </c>
      <c r="C631" s="1">
        <v>0.0</v>
      </c>
      <c r="D631" s="1">
        <v>0.0</v>
      </c>
      <c r="E631" s="1">
        <v>0.0</v>
      </c>
      <c r="F631" s="1">
        <v>0.0</v>
      </c>
      <c r="G631" s="2">
        <v>0.0</v>
      </c>
      <c r="H631" s="1" t="s">
        <v>220</v>
      </c>
      <c r="I631" s="1" t="str">
        <f>IFERROR(__xludf.DUMMYFUNCTION("REGEXREPLACE(MID(H631, SEARCH(""["", H631) + 1, SEARCH(""]"", H631) - SEARCH(""["", H631) - 1), ""\[\]"","""")"),"Galen 1")</f>
        <v>Galen 1</v>
      </c>
      <c r="J631" s="1">
        <v>0.0</v>
      </c>
      <c r="K631" s="1">
        <v>0.0</v>
      </c>
    </row>
    <row r="632">
      <c r="A632" s="1">
        <v>4.0</v>
      </c>
      <c r="B632" s="1">
        <v>15.0</v>
      </c>
      <c r="C632" s="1">
        <v>2.0</v>
      </c>
      <c r="D632" s="1">
        <v>2.0</v>
      </c>
      <c r="E632" s="1">
        <v>0.0</v>
      </c>
      <c r="F632" s="1">
        <v>0.0</v>
      </c>
      <c r="G632" s="2">
        <v>1.0</v>
      </c>
      <c r="H632" s="1" t="s">
        <v>222</v>
      </c>
      <c r="I632" s="1" t="str">
        <f>IFERROR(__xludf.DUMMYFUNCTION("REGEXREPLACE(MID(H632, SEARCH(""["", H632) + 1, SEARCH(""]"", H632) - SEARCH(""["", H632) - 1), ""\[\]"","""")"),"Galen 2")</f>
        <v>Galen 2</v>
      </c>
      <c r="J632" s="1">
        <v>8.0</v>
      </c>
      <c r="K632" s="1">
        <v>0.0</v>
      </c>
    </row>
    <row r="633">
      <c r="A633" s="1">
        <v>1.0</v>
      </c>
      <c r="B633" s="1">
        <v>4.0</v>
      </c>
      <c r="C633" s="1">
        <v>0.0</v>
      </c>
      <c r="D633" s="1">
        <v>0.0</v>
      </c>
      <c r="E633" s="1">
        <v>0.0</v>
      </c>
      <c r="F633" s="1">
        <v>0.0</v>
      </c>
      <c r="G633" s="2">
        <v>0.0</v>
      </c>
      <c r="H633" s="1" t="s">
        <v>222</v>
      </c>
      <c r="I633" s="1" t="str">
        <f>IFERROR(__xludf.DUMMYFUNCTION("REGEXREPLACE(MID(H633, SEARCH(""["", H633) + 1, SEARCH(""]"", H633) - SEARCH(""["", H633) - 1), ""\[\]"","""")"),"Galen 2")</f>
        <v>Galen 2</v>
      </c>
      <c r="J633" s="1">
        <v>0.0</v>
      </c>
      <c r="K633" s="1">
        <v>0.0</v>
      </c>
    </row>
    <row r="634">
      <c r="A634" s="1">
        <v>2.0</v>
      </c>
      <c r="B634" s="1">
        <v>7.0</v>
      </c>
      <c r="C634" s="1">
        <v>0.0</v>
      </c>
      <c r="D634" s="1">
        <v>0.0</v>
      </c>
      <c r="E634" s="1">
        <v>0.0</v>
      </c>
      <c r="F634" s="1">
        <v>0.0</v>
      </c>
      <c r="G634" s="2">
        <v>0.0</v>
      </c>
      <c r="H634" s="1" t="s">
        <v>224</v>
      </c>
      <c r="I634" s="1" t="str">
        <f>IFERROR(__xludf.DUMMYFUNCTION("REGEXREPLACE(MID(H634, SEARCH(""["", H634) + 1, SEARCH(""]"", H634) - SEARCH(""["", H634) - 1), ""\[\]"","""")"),"Galen 2")</f>
        <v>Galen 2</v>
      </c>
      <c r="J634" s="1">
        <v>0.0</v>
      </c>
      <c r="K634" s="1">
        <v>0.0</v>
      </c>
    </row>
    <row r="635">
      <c r="A635" s="1">
        <v>5.0</v>
      </c>
      <c r="B635" s="1">
        <v>19.0</v>
      </c>
      <c r="C635" s="1">
        <v>15.0</v>
      </c>
      <c r="D635" s="1">
        <v>12.0</v>
      </c>
      <c r="E635" s="1">
        <v>0.0</v>
      </c>
      <c r="F635" s="1">
        <v>0.0</v>
      </c>
      <c r="G635" s="2">
        <v>1.0</v>
      </c>
      <c r="H635" s="1" t="s">
        <v>47</v>
      </c>
      <c r="I635" s="1" t="str">
        <f>IFERROR(__xludf.DUMMYFUNCTION("REGEXREPLACE(MID(H635, SEARCH(""["", H635) + 1, SEARCH(""]"", H635) - SEARCH(""["", H635) - 1), ""\[\]"","""")"),"Galen 2")</f>
        <v>Galen 2</v>
      </c>
      <c r="J635" s="1">
        <v>60.0</v>
      </c>
      <c r="K635" s="1">
        <v>0.0</v>
      </c>
    </row>
    <row r="636">
      <c r="A636" s="1">
        <v>1.0</v>
      </c>
      <c r="B636" s="1">
        <v>4.0</v>
      </c>
      <c r="C636" s="1">
        <v>0.0</v>
      </c>
      <c r="D636" s="1">
        <v>0.0</v>
      </c>
      <c r="E636" s="1">
        <v>0.0</v>
      </c>
      <c r="F636" s="1">
        <v>0.0</v>
      </c>
      <c r="G636" s="2">
        <v>0.0</v>
      </c>
      <c r="H636" s="1" t="s">
        <v>225</v>
      </c>
      <c r="I636" s="1" t="str">
        <f>IFERROR(__xludf.DUMMYFUNCTION("REGEXREPLACE(MID(H636, SEARCH(""["", H636) + 1, SEARCH(""]"", H636) - SEARCH(""["", H636) - 1), ""\[\]"","""")"),"Galen 2")</f>
        <v>Galen 2</v>
      </c>
      <c r="J636" s="1">
        <v>0.0</v>
      </c>
      <c r="K636" s="1">
        <v>0.0</v>
      </c>
    </row>
    <row r="637">
      <c r="A637" s="1">
        <v>1.0</v>
      </c>
      <c r="B637" s="1">
        <v>4.0</v>
      </c>
      <c r="C637" s="1">
        <v>1.0</v>
      </c>
      <c r="D637" s="1">
        <v>4.0</v>
      </c>
      <c r="E637" s="1">
        <v>0.0</v>
      </c>
      <c r="F637" s="1">
        <v>0.0</v>
      </c>
      <c r="G637" s="2">
        <v>1.0</v>
      </c>
      <c r="H637" s="1" t="s">
        <v>226</v>
      </c>
      <c r="I637" s="1" t="str">
        <f>IFERROR(__xludf.DUMMYFUNCTION("REGEXREPLACE(MID(H637, SEARCH(""["", H637) + 1, SEARCH(""]"", H637) - SEARCH(""["", H637) - 1), ""\[\]"","""")"),"Green Hope HS")</f>
        <v>Green Hope HS</v>
      </c>
      <c r="J637" s="1">
        <v>4.0</v>
      </c>
      <c r="K637" s="1">
        <v>0.0</v>
      </c>
    </row>
    <row r="638">
      <c r="A638" s="1">
        <v>3.0</v>
      </c>
      <c r="B638" s="1">
        <v>11.0</v>
      </c>
      <c r="C638" s="1">
        <v>1.0</v>
      </c>
      <c r="D638" s="1">
        <v>0.0</v>
      </c>
      <c r="E638" s="1">
        <v>0.0</v>
      </c>
      <c r="F638" s="1">
        <v>0.0</v>
      </c>
      <c r="G638" s="2">
        <v>0.0</v>
      </c>
      <c r="H638" s="1" t="s">
        <v>226</v>
      </c>
      <c r="I638" s="1" t="str">
        <f>IFERROR(__xludf.DUMMYFUNCTION("REGEXREPLACE(MID(H638, SEARCH(""["", H638) + 1, SEARCH(""]"", H638) - SEARCH(""["", H638) - 1), ""\[\]"","""")"),"Green Hope HS")</f>
        <v>Green Hope HS</v>
      </c>
      <c r="J638" s="1">
        <v>0.0</v>
      </c>
      <c r="K638" s="1">
        <v>0.0</v>
      </c>
    </row>
    <row r="639">
      <c r="A639" s="1">
        <v>1.0</v>
      </c>
      <c r="B639" s="1">
        <v>4.0</v>
      </c>
      <c r="C639" s="1">
        <v>1.0</v>
      </c>
      <c r="D639" s="1">
        <v>4.0</v>
      </c>
      <c r="E639" s="1">
        <v>0.0</v>
      </c>
      <c r="F639" s="1">
        <v>0.0</v>
      </c>
      <c r="G639" s="2">
        <v>1.0</v>
      </c>
      <c r="H639" s="1" t="s">
        <v>227</v>
      </c>
      <c r="I639" s="1" t="str">
        <f>IFERROR(__xludf.DUMMYFUNCTION("REGEXREPLACE(MID(H639, SEARCH(""["", H639) + 1, SEARCH(""]"", H639) - SEARCH(""["", H639) - 1), ""\[\]"","""")"),"Green Hope HS")</f>
        <v>Green Hope HS</v>
      </c>
      <c r="J639" s="1">
        <v>4.0</v>
      </c>
      <c r="K639" s="1">
        <v>0.0</v>
      </c>
    </row>
    <row r="640">
      <c r="A640" s="1">
        <v>1.0</v>
      </c>
      <c r="B640" s="1">
        <v>4.0</v>
      </c>
      <c r="C640" s="1">
        <v>0.0</v>
      </c>
      <c r="D640" s="1">
        <v>0.0</v>
      </c>
      <c r="E640" s="1">
        <v>0.0</v>
      </c>
      <c r="F640" s="1">
        <v>0.0</v>
      </c>
      <c r="G640" s="2">
        <v>0.0</v>
      </c>
      <c r="H640" s="1" t="s">
        <v>227</v>
      </c>
      <c r="I640" s="1" t="str">
        <f>IFERROR(__xludf.DUMMYFUNCTION("REGEXREPLACE(MID(H640, SEARCH(""["", H640) + 1, SEARCH(""]"", H640) - SEARCH(""["", H640) - 1), ""\[\]"","""")"),"Green Hope HS")</f>
        <v>Green Hope HS</v>
      </c>
      <c r="J640" s="1">
        <v>0.0</v>
      </c>
      <c r="K640" s="1">
        <v>0.0</v>
      </c>
    </row>
    <row r="641">
      <c r="A641" s="1">
        <v>3.0</v>
      </c>
      <c r="B641" s="1">
        <v>11.0</v>
      </c>
      <c r="C641" s="1">
        <v>1.0</v>
      </c>
      <c r="D641" s="1">
        <v>0.0</v>
      </c>
      <c r="E641" s="1">
        <v>0.0</v>
      </c>
      <c r="F641" s="1">
        <v>0.0</v>
      </c>
      <c r="G641" s="2">
        <v>0.0</v>
      </c>
      <c r="H641" s="1" t="s">
        <v>227</v>
      </c>
      <c r="I641" s="1" t="str">
        <f>IFERROR(__xludf.DUMMYFUNCTION("REGEXREPLACE(MID(H641, SEARCH(""["", H641) + 1, SEARCH(""]"", H641) - SEARCH(""["", H641) - 1), ""\[\]"","""")"),"Green Hope HS")</f>
        <v>Green Hope HS</v>
      </c>
      <c r="J641" s="1">
        <v>0.0</v>
      </c>
      <c r="K641" s="1">
        <v>0.0</v>
      </c>
    </row>
    <row r="642">
      <c r="A642" s="1">
        <v>1.0</v>
      </c>
      <c r="B642" s="1">
        <v>4.0</v>
      </c>
      <c r="C642" s="1">
        <v>0.0</v>
      </c>
      <c r="D642" s="1">
        <v>0.0</v>
      </c>
      <c r="E642" s="1">
        <v>0.0</v>
      </c>
      <c r="F642" s="1">
        <v>0.0</v>
      </c>
      <c r="G642" s="2">
        <v>0.0</v>
      </c>
      <c r="H642" s="1" t="s">
        <v>229</v>
      </c>
      <c r="I642" s="1" t="str">
        <f>IFERROR(__xludf.DUMMYFUNCTION("REGEXREPLACE(MID(H642, SEARCH(""["", H642) + 1, SEARCH(""]"", H642) - SEARCH(""["", H642) - 1), ""\[\]"","""")"),"Green Hope HS")</f>
        <v>Green Hope HS</v>
      </c>
      <c r="J642" s="1">
        <v>0.0</v>
      </c>
      <c r="K642" s="1">
        <v>0.0</v>
      </c>
    </row>
    <row r="643">
      <c r="A643" s="1">
        <v>1.0</v>
      </c>
      <c r="B643" s="1">
        <v>4.0</v>
      </c>
      <c r="C643" s="1">
        <v>1.0</v>
      </c>
      <c r="D643" s="1">
        <v>0.0</v>
      </c>
      <c r="E643" s="1">
        <v>0.0</v>
      </c>
      <c r="F643" s="1">
        <v>0.0</v>
      </c>
      <c r="G643" s="2">
        <v>0.0</v>
      </c>
      <c r="H643" s="1" t="s">
        <v>229</v>
      </c>
      <c r="I643" s="1" t="str">
        <f>IFERROR(__xludf.DUMMYFUNCTION("REGEXREPLACE(MID(H643, SEARCH(""["", H643) + 1, SEARCH(""]"", H643) - SEARCH(""["", H643) - 1), ""\[\]"","""")"),"Green Hope HS")</f>
        <v>Green Hope HS</v>
      </c>
      <c r="J643" s="1">
        <v>0.0</v>
      </c>
      <c r="K643" s="1">
        <v>0.0</v>
      </c>
    </row>
    <row r="644">
      <c r="A644" s="1">
        <v>2.0</v>
      </c>
      <c r="B644" s="1">
        <v>7.0</v>
      </c>
      <c r="C644" s="1">
        <v>0.0</v>
      </c>
      <c r="D644" s="1">
        <v>0.0</v>
      </c>
      <c r="E644" s="1">
        <v>0.0</v>
      </c>
      <c r="F644" s="1">
        <v>0.0</v>
      </c>
      <c r="G644" s="2">
        <v>0.0</v>
      </c>
      <c r="H644" s="1" t="s">
        <v>229</v>
      </c>
      <c r="I644" s="1" t="str">
        <f>IFERROR(__xludf.DUMMYFUNCTION("REGEXREPLACE(MID(H644, SEARCH(""["", H644) + 1, SEARCH(""]"", H644) - SEARCH(""["", H644) - 1), ""\[\]"","""")"),"Green Hope HS")</f>
        <v>Green Hope HS</v>
      </c>
      <c r="J644" s="1">
        <v>0.0</v>
      </c>
      <c r="K644" s="1">
        <v>0.0</v>
      </c>
    </row>
    <row r="645">
      <c r="A645" s="1">
        <v>1.0</v>
      </c>
      <c r="B645" s="1">
        <v>4.0</v>
      </c>
      <c r="C645" s="1">
        <v>0.0</v>
      </c>
      <c r="D645" s="1">
        <v>0.0</v>
      </c>
      <c r="E645" s="1">
        <v>0.0</v>
      </c>
      <c r="F645" s="1">
        <v>0.0</v>
      </c>
      <c r="G645" s="2">
        <v>0.0</v>
      </c>
      <c r="H645" s="1" t="s">
        <v>232</v>
      </c>
      <c r="I645" s="1" t="str">
        <f>IFERROR(__xludf.DUMMYFUNCTION("REGEXREPLACE(MID(H645, SEARCH(""["", H645) + 1, SEARCH(""]"", H645) - SEARCH(""["", H645) - 1), ""\[\]"","""")"),"Green Hope HS")</f>
        <v>Green Hope HS</v>
      </c>
      <c r="J645" s="1">
        <v>0.0</v>
      </c>
      <c r="K645" s="1">
        <v>0.0</v>
      </c>
    </row>
    <row r="646">
      <c r="A646" s="1">
        <v>1.0</v>
      </c>
      <c r="B646" s="1">
        <v>4.0</v>
      </c>
      <c r="C646" s="1">
        <v>0.0</v>
      </c>
      <c r="D646" s="1">
        <v>0.0</v>
      </c>
      <c r="E646" s="1">
        <v>0.0</v>
      </c>
      <c r="F646" s="1">
        <v>0.0</v>
      </c>
      <c r="G646" s="2">
        <v>0.0</v>
      </c>
      <c r="H646" s="1" t="s">
        <v>232</v>
      </c>
      <c r="I646" s="1" t="str">
        <f>IFERROR(__xludf.DUMMYFUNCTION("REGEXREPLACE(MID(H646, SEARCH(""["", H646) + 1, SEARCH(""]"", H646) - SEARCH(""["", H646) - 1), ""\[\]"","""")"),"Green Hope HS")</f>
        <v>Green Hope HS</v>
      </c>
      <c r="J646" s="1">
        <v>0.0</v>
      </c>
      <c r="K646" s="1">
        <v>0.0</v>
      </c>
    </row>
    <row r="647">
      <c r="A647" s="1">
        <v>3.0</v>
      </c>
      <c r="B647" s="1">
        <v>11.0</v>
      </c>
      <c r="C647" s="1">
        <v>0.0</v>
      </c>
      <c r="D647" s="1">
        <v>0.0</v>
      </c>
      <c r="E647" s="1">
        <v>0.0</v>
      </c>
      <c r="F647" s="1">
        <v>0.0</v>
      </c>
      <c r="G647" s="2">
        <v>0.0</v>
      </c>
      <c r="H647" s="1" t="s">
        <v>232</v>
      </c>
      <c r="I647" s="1" t="str">
        <f>IFERROR(__xludf.DUMMYFUNCTION("REGEXREPLACE(MID(H647, SEARCH(""["", H647) + 1, SEARCH(""]"", H647) - SEARCH(""["", H647) - 1), ""\[\]"","""")"),"Green Hope HS")</f>
        <v>Green Hope HS</v>
      </c>
      <c r="J647" s="1">
        <v>0.0</v>
      </c>
      <c r="K647" s="1">
        <v>0.0</v>
      </c>
    </row>
    <row r="648">
      <c r="A648" s="1">
        <v>1.0</v>
      </c>
      <c r="B648" s="1">
        <v>4.0</v>
      </c>
      <c r="C648" s="1">
        <v>0.0</v>
      </c>
      <c r="D648" s="1">
        <v>0.0</v>
      </c>
      <c r="E648" s="1">
        <v>0.0</v>
      </c>
      <c r="F648" s="1">
        <v>0.0</v>
      </c>
      <c r="G648" s="2">
        <v>0.0</v>
      </c>
      <c r="H648" s="1" t="s">
        <v>233</v>
      </c>
      <c r="I648" s="1" t="str">
        <f>IFERROR(__xludf.DUMMYFUNCTION("REGEXREPLACE(MID(H648, SEARCH(""["", H648) + 1, SEARCH(""]"", H648) - SEARCH(""["", H648) - 1), ""\[\]"","""")"),"Green Hope HS")</f>
        <v>Green Hope HS</v>
      </c>
      <c r="J648" s="1">
        <v>0.0</v>
      </c>
      <c r="K648" s="1">
        <v>0.0</v>
      </c>
    </row>
    <row r="649">
      <c r="A649" s="1">
        <v>1.0</v>
      </c>
      <c r="B649" s="1">
        <v>4.0</v>
      </c>
      <c r="C649" s="1">
        <v>0.0</v>
      </c>
      <c r="D649" s="1">
        <v>0.0</v>
      </c>
      <c r="E649" s="1">
        <v>0.0</v>
      </c>
      <c r="F649" s="1">
        <v>0.0</v>
      </c>
      <c r="G649" s="2">
        <v>0.0</v>
      </c>
      <c r="H649" s="1" t="s">
        <v>233</v>
      </c>
      <c r="I649" s="1" t="str">
        <f>IFERROR(__xludf.DUMMYFUNCTION("REGEXREPLACE(MID(H649, SEARCH(""["", H649) + 1, SEARCH(""]"", H649) - SEARCH(""["", H649) - 1), ""\[\]"","""")"),"Green Hope HS")</f>
        <v>Green Hope HS</v>
      </c>
      <c r="J649" s="1">
        <v>0.0</v>
      </c>
      <c r="K649" s="1">
        <v>0.0</v>
      </c>
    </row>
    <row r="650">
      <c r="A650" s="1">
        <v>1.0</v>
      </c>
      <c r="B650" s="1">
        <v>4.0</v>
      </c>
      <c r="C650" s="1">
        <v>0.0</v>
      </c>
      <c r="D650" s="1">
        <v>0.0</v>
      </c>
      <c r="E650" s="1">
        <v>0.0</v>
      </c>
      <c r="F650" s="1">
        <v>0.0</v>
      </c>
      <c r="G650" s="2">
        <v>0.0</v>
      </c>
      <c r="H650" s="1" t="s">
        <v>233</v>
      </c>
      <c r="I650" s="1" t="str">
        <f>IFERROR(__xludf.DUMMYFUNCTION("REGEXREPLACE(MID(H650, SEARCH(""["", H650) + 1, SEARCH(""]"", H650) - SEARCH(""["", H650) - 1), ""\[\]"","""")"),"Green Hope HS")</f>
        <v>Green Hope HS</v>
      </c>
      <c r="J650" s="1">
        <v>0.0</v>
      </c>
      <c r="K650" s="1">
        <v>0.0</v>
      </c>
    </row>
    <row r="651">
      <c r="A651" s="1">
        <v>1.0</v>
      </c>
      <c r="B651" s="1">
        <v>4.0</v>
      </c>
      <c r="C651" s="1">
        <v>0.0</v>
      </c>
      <c r="D651" s="1">
        <v>0.0</v>
      </c>
      <c r="E651" s="1">
        <v>0.0</v>
      </c>
      <c r="F651" s="1">
        <v>0.0</v>
      </c>
      <c r="G651" s="2">
        <v>0.0</v>
      </c>
      <c r="H651" s="1" t="s">
        <v>233</v>
      </c>
      <c r="I651" s="1" t="str">
        <f>IFERROR(__xludf.DUMMYFUNCTION("REGEXREPLACE(MID(H651, SEARCH(""["", H651) + 1, SEARCH(""]"", H651) - SEARCH(""["", H651) - 1), ""\[\]"","""")"),"Green Hope HS")</f>
        <v>Green Hope HS</v>
      </c>
      <c r="J651" s="1">
        <v>0.0</v>
      </c>
      <c r="K651" s="1">
        <v>0.0</v>
      </c>
    </row>
    <row r="652">
      <c r="A652" s="1">
        <v>2.0</v>
      </c>
      <c r="B652" s="1">
        <v>7.0</v>
      </c>
      <c r="C652" s="1">
        <v>0.0</v>
      </c>
      <c r="D652" s="1">
        <v>0.0</v>
      </c>
      <c r="E652" s="1">
        <v>0.0</v>
      </c>
      <c r="F652" s="1">
        <v>0.0</v>
      </c>
      <c r="G652" s="2">
        <v>0.0</v>
      </c>
      <c r="H652" s="1" t="s">
        <v>234</v>
      </c>
      <c r="I652" s="1" t="str">
        <f>IFERROR(__xludf.DUMMYFUNCTION("REGEXREPLACE(MID(H652, SEARCH(""["", H652) + 1, SEARCH(""]"", H652) - SEARCH(""["", H652) - 1), ""\[\]"","""")"),"Gunn Varsity")</f>
        <v>Gunn Varsity</v>
      </c>
      <c r="J652" s="1">
        <v>0.0</v>
      </c>
      <c r="K652" s="1">
        <v>0.0</v>
      </c>
    </row>
    <row r="653">
      <c r="A653" s="1">
        <v>1.0</v>
      </c>
      <c r="B653" s="1">
        <v>4.0</v>
      </c>
      <c r="C653" s="1">
        <v>0.0</v>
      </c>
      <c r="D653" s="1">
        <v>0.0</v>
      </c>
      <c r="E653" s="1">
        <v>0.0</v>
      </c>
      <c r="F653" s="1">
        <v>0.0</v>
      </c>
      <c r="G653" s="2">
        <v>0.0</v>
      </c>
      <c r="H653" s="1" t="s">
        <v>153</v>
      </c>
      <c r="I653" s="1" t="str">
        <f>IFERROR(__xludf.DUMMYFUNCTION("REGEXREPLACE(MID(H653, SEARCH(""["", H653) + 1, SEARCH(""]"", H653) - SEARCH(""["", H653) - 1), ""\[\]"","""")"),"Gunn Varsity")</f>
        <v>Gunn Varsity</v>
      </c>
      <c r="J653" s="1">
        <v>0.0</v>
      </c>
      <c r="K653" s="1">
        <v>0.0</v>
      </c>
    </row>
    <row r="654">
      <c r="A654" s="1">
        <v>4.0</v>
      </c>
      <c r="B654" s="1">
        <v>15.0</v>
      </c>
      <c r="C654" s="1">
        <v>8.0</v>
      </c>
      <c r="D654" s="1">
        <v>1.0</v>
      </c>
      <c r="E654" s="1">
        <v>0.0</v>
      </c>
      <c r="F654" s="1">
        <v>0.0</v>
      </c>
      <c r="G654" s="6">
        <v>0.125</v>
      </c>
      <c r="H654" s="1" t="s">
        <v>235</v>
      </c>
      <c r="I654" s="1" t="str">
        <f>IFERROR(__xludf.DUMMYFUNCTION("REGEXREPLACE(MID(H654, SEARCH(""["", H654) + 1, SEARCH(""]"", H654) - SEARCH(""["", H654) - 1), ""\[\]"","""")"),"Gunn Varsity")</f>
        <v>Gunn Varsity</v>
      </c>
      <c r="J654" s="1">
        <v>4.0</v>
      </c>
      <c r="K654" s="1">
        <v>0.0</v>
      </c>
    </row>
    <row r="655">
      <c r="A655" s="1">
        <v>4.0</v>
      </c>
      <c r="B655" s="1">
        <v>15.0</v>
      </c>
      <c r="C655" s="1">
        <v>0.0</v>
      </c>
      <c r="D655" s="1">
        <v>0.0</v>
      </c>
      <c r="E655" s="1">
        <v>0.0</v>
      </c>
      <c r="F655" s="1">
        <v>0.0</v>
      </c>
      <c r="G655" s="2">
        <v>0.0</v>
      </c>
      <c r="H655" s="1" t="s">
        <v>202</v>
      </c>
      <c r="I655" s="1" t="str">
        <f>IFERROR(__xludf.DUMMYFUNCTION("REGEXREPLACE(MID(H655, SEARCH(""["", H655) + 1, SEARCH(""]"", H655) - SEARCH(""["", H655) - 1), ""\[\]"","""")"),"Gunn Varsity")</f>
        <v>Gunn Varsity</v>
      </c>
      <c r="J655" s="1">
        <v>0.0</v>
      </c>
      <c r="K655" s="1">
        <v>0.0</v>
      </c>
    </row>
    <row r="656">
      <c r="A656" s="1">
        <v>1.0</v>
      </c>
      <c r="B656" s="1">
        <v>4.0</v>
      </c>
      <c r="C656" s="1">
        <v>0.0</v>
      </c>
      <c r="D656" s="1">
        <v>0.0</v>
      </c>
      <c r="E656" s="1">
        <v>0.0</v>
      </c>
      <c r="F656" s="1">
        <v>0.0</v>
      </c>
      <c r="G656" s="2">
        <v>0.0</v>
      </c>
      <c r="H656" s="1" t="s">
        <v>202</v>
      </c>
      <c r="I656" s="1" t="str">
        <f>IFERROR(__xludf.DUMMYFUNCTION("REGEXREPLACE(MID(H656, SEARCH(""["", H656) + 1, SEARCH(""]"", H656) - SEARCH(""["", H656) - 1), ""\[\]"","""")"),"Gunn Varsity")</f>
        <v>Gunn Varsity</v>
      </c>
      <c r="J656" s="1">
        <v>0.0</v>
      </c>
      <c r="K656" s="1">
        <v>0.0</v>
      </c>
    </row>
    <row r="657">
      <c r="A657" s="1">
        <v>3.0</v>
      </c>
      <c r="B657" s="1">
        <v>11.0</v>
      </c>
      <c r="C657" s="1">
        <v>0.0</v>
      </c>
      <c r="D657" s="1">
        <v>0.0</v>
      </c>
      <c r="E657" s="1">
        <v>0.0</v>
      </c>
      <c r="F657" s="1">
        <v>0.0</v>
      </c>
      <c r="G657" s="2">
        <v>0.0</v>
      </c>
      <c r="H657" s="1" t="s">
        <v>135</v>
      </c>
      <c r="I657" s="1" t="str">
        <f>IFERROR(__xludf.DUMMYFUNCTION("REGEXREPLACE(MID(H657, SEARCH(""["", H657) + 1, SEARCH(""]"", H657) - SEARCH(""["", H657) - 1), ""\[\]"","""")"),"Gunn Varsity")</f>
        <v>Gunn Varsity</v>
      </c>
      <c r="J657" s="1">
        <v>0.0</v>
      </c>
      <c r="K657" s="1">
        <v>0.0</v>
      </c>
    </row>
    <row r="658">
      <c r="A658" s="1">
        <v>1.0</v>
      </c>
      <c r="B658" s="1">
        <v>4.0</v>
      </c>
      <c r="C658" s="1">
        <v>0.0</v>
      </c>
      <c r="D658" s="1">
        <v>0.0</v>
      </c>
      <c r="E658" s="1">
        <v>0.0</v>
      </c>
      <c r="F658" s="1">
        <v>0.0</v>
      </c>
      <c r="G658" s="2">
        <v>0.0</v>
      </c>
      <c r="H658" s="1" t="s">
        <v>135</v>
      </c>
      <c r="I658" s="1" t="str">
        <f>IFERROR(__xludf.DUMMYFUNCTION("REGEXREPLACE(MID(H658, SEARCH(""["", H658) + 1, SEARCH(""]"", H658) - SEARCH(""["", H658) - 1), ""\[\]"","""")"),"Gunn Varsity")</f>
        <v>Gunn Varsity</v>
      </c>
      <c r="J658" s="1">
        <v>0.0</v>
      </c>
      <c r="K658" s="1">
        <v>0.0</v>
      </c>
    </row>
    <row r="659">
      <c r="A659" s="1">
        <v>1.0</v>
      </c>
      <c r="B659" s="1">
        <v>4.0</v>
      </c>
      <c r="C659" s="1">
        <v>0.0</v>
      </c>
      <c r="D659" s="1">
        <v>0.0</v>
      </c>
      <c r="E659" s="1">
        <v>0.0</v>
      </c>
      <c r="F659" s="1">
        <v>0.0</v>
      </c>
      <c r="G659" s="2">
        <v>0.0</v>
      </c>
      <c r="H659" s="1" t="s">
        <v>236</v>
      </c>
      <c r="I659" s="1" t="str">
        <f>IFERROR(__xludf.DUMMYFUNCTION("REGEXREPLACE(MID(H659, SEARCH(""["", H659) + 1, SEARCH(""]"", H659) - SEARCH(""["", H659) - 1), ""\[\]"","""")"),"Harvard-Westlake")</f>
        <v>Harvard-Westlake</v>
      </c>
      <c r="J659" s="1">
        <v>0.0</v>
      </c>
      <c r="K659" s="1">
        <v>0.0</v>
      </c>
    </row>
    <row r="660">
      <c r="A660" s="1">
        <v>1.0</v>
      </c>
      <c r="B660" s="1">
        <v>4.0</v>
      </c>
      <c r="C660" s="1">
        <v>0.0</v>
      </c>
      <c r="D660" s="1">
        <v>0.0</v>
      </c>
      <c r="E660" s="1">
        <v>0.0</v>
      </c>
      <c r="F660" s="1">
        <v>0.0</v>
      </c>
      <c r="G660" s="2">
        <v>0.0</v>
      </c>
      <c r="H660" s="1" t="s">
        <v>236</v>
      </c>
      <c r="I660" s="1" t="str">
        <f>IFERROR(__xludf.DUMMYFUNCTION("REGEXREPLACE(MID(H660, SEARCH(""["", H660) + 1, SEARCH(""]"", H660) - SEARCH(""["", H660) - 1), ""\[\]"","""")"),"Harvard-Westlake")</f>
        <v>Harvard-Westlake</v>
      </c>
      <c r="J660" s="1">
        <v>0.0</v>
      </c>
      <c r="K660" s="1">
        <v>0.0</v>
      </c>
    </row>
    <row r="661">
      <c r="A661" s="1">
        <v>1.0</v>
      </c>
      <c r="B661" s="1">
        <v>4.0</v>
      </c>
      <c r="C661" s="1">
        <v>0.0</v>
      </c>
      <c r="D661" s="1">
        <v>0.0</v>
      </c>
      <c r="E661" s="1">
        <v>0.0</v>
      </c>
      <c r="F661" s="1">
        <v>0.0</v>
      </c>
      <c r="G661" s="2">
        <v>0.0</v>
      </c>
      <c r="H661" s="1" t="s">
        <v>237</v>
      </c>
      <c r="I661" s="1" t="str">
        <f>IFERROR(__xludf.DUMMYFUNCTION("REGEXREPLACE(MID(H661, SEARCH(""["", H661) + 1, SEARCH(""]"", H661) - SEARCH(""["", H661) - 1), ""\[\]"","""")"),"Harvard-Westlake")</f>
        <v>Harvard-Westlake</v>
      </c>
      <c r="J661" s="1">
        <v>0.0</v>
      </c>
      <c r="K661" s="1">
        <v>0.0</v>
      </c>
    </row>
    <row r="662">
      <c r="A662" s="1">
        <v>5.0</v>
      </c>
      <c r="B662" s="1">
        <v>20.0</v>
      </c>
      <c r="C662" s="1">
        <v>0.0</v>
      </c>
      <c r="D662" s="1">
        <v>0.0</v>
      </c>
      <c r="E662" s="1">
        <v>0.0</v>
      </c>
      <c r="F662" s="1">
        <v>0.0</v>
      </c>
      <c r="G662" s="2">
        <v>0.0</v>
      </c>
      <c r="H662" s="1" t="s">
        <v>182</v>
      </c>
      <c r="I662" s="1" t="str">
        <f>IFERROR(__xludf.DUMMYFUNCTION("REGEXREPLACE(MID(H662, SEARCH(""["", H662) + 1, SEARCH(""]"", H662) - SEARCH(""["", H662) - 1), ""\[\]"","""")"),"Harvard-Westlake")</f>
        <v>Harvard-Westlake</v>
      </c>
      <c r="J662" s="1">
        <v>0.0</v>
      </c>
      <c r="K662" s="1">
        <v>0.0</v>
      </c>
    </row>
    <row r="663">
      <c r="A663" s="1">
        <v>5.0</v>
      </c>
      <c r="B663" s="1">
        <v>20.0</v>
      </c>
      <c r="C663" s="1">
        <v>10.0</v>
      </c>
      <c r="D663" s="1">
        <v>2.4</v>
      </c>
      <c r="E663" s="1">
        <v>0.2</v>
      </c>
      <c r="F663" s="1">
        <v>0.0</v>
      </c>
      <c r="G663" s="2">
        <v>0.4</v>
      </c>
      <c r="H663" s="1" t="s">
        <v>204</v>
      </c>
      <c r="I663" s="1" t="str">
        <f>IFERROR(__xludf.DUMMYFUNCTION("REGEXREPLACE(MID(H663, SEARCH(""["", H663) + 1, SEARCH(""]"", H663) - SEARCH(""["", H663) - 1), ""\[\]"","""")"),"Harvard-Westlake")</f>
        <v>Harvard-Westlake</v>
      </c>
      <c r="J663" s="1">
        <v>12.0</v>
      </c>
      <c r="K663" s="1">
        <v>1.0</v>
      </c>
    </row>
    <row r="664">
      <c r="A664" s="1">
        <v>3.0</v>
      </c>
      <c r="B664" s="1">
        <v>12.0</v>
      </c>
      <c r="C664" s="1">
        <v>1.0</v>
      </c>
      <c r="D664" s="1">
        <v>0.0</v>
      </c>
      <c r="E664" s="1">
        <v>0.0</v>
      </c>
      <c r="F664" s="1">
        <v>0.0</v>
      </c>
      <c r="G664" s="2">
        <v>0.0</v>
      </c>
      <c r="H664" s="1" t="s">
        <v>238</v>
      </c>
      <c r="I664" s="1" t="str">
        <f>IFERROR(__xludf.DUMMYFUNCTION("REGEXREPLACE(MID(H664, SEARCH(""["", H664) + 1, SEARCH(""]"", H664) - SEARCH(""["", H664) - 1), ""\[\]"","""")"),"Hebron HS")</f>
        <v>Hebron HS</v>
      </c>
      <c r="J664" s="1">
        <v>0.0</v>
      </c>
      <c r="K664" s="1">
        <v>0.0</v>
      </c>
    </row>
    <row r="665">
      <c r="A665" s="1">
        <v>5.0</v>
      </c>
      <c r="B665" s="1">
        <v>19.0</v>
      </c>
      <c r="C665" s="1">
        <v>2.0</v>
      </c>
      <c r="D665" s="1">
        <v>0.8</v>
      </c>
      <c r="E665" s="1">
        <v>0.0</v>
      </c>
      <c r="F665" s="1">
        <v>0.0</v>
      </c>
      <c r="G665" s="2">
        <v>0.5</v>
      </c>
      <c r="H665" s="1" t="s">
        <v>149</v>
      </c>
      <c r="I665" s="1" t="str">
        <f>IFERROR(__xludf.DUMMYFUNCTION("REGEXREPLACE(MID(H665, SEARCH(""["", H665) + 1, SEARCH(""]"", H665) - SEARCH(""["", H665) - 1), ""\[\]"","""")"),"Hebron HS")</f>
        <v>Hebron HS</v>
      </c>
      <c r="J665" s="1">
        <v>4.0</v>
      </c>
      <c r="K665" s="1">
        <v>0.0</v>
      </c>
    </row>
    <row r="666">
      <c r="A666" s="1">
        <v>3.0</v>
      </c>
      <c r="B666" s="1">
        <v>12.0</v>
      </c>
      <c r="C666" s="1">
        <v>5.0</v>
      </c>
      <c r="D666" s="1">
        <v>4.0</v>
      </c>
      <c r="E666" s="1">
        <v>0.0</v>
      </c>
      <c r="F666" s="1">
        <v>0.0</v>
      </c>
      <c r="G666" s="2">
        <v>0.6</v>
      </c>
      <c r="H666" s="1" t="s">
        <v>240</v>
      </c>
      <c r="I666" s="1" t="str">
        <f>IFERROR(__xludf.DUMMYFUNCTION("REGEXREPLACE(MID(H666, SEARCH(""["", H666) + 1, SEARCH(""]"", H666) - SEARCH(""["", H666) - 1), ""\[\]"","""")"),"Hebron HS")</f>
        <v>Hebron HS</v>
      </c>
      <c r="J666" s="1">
        <v>12.0</v>
      </c>
      <c r="K666" s="1">
        <v>0.0</v>
      </c>
    </row>
    <row r="667">
      <c r="A667" s="1">
        <v>1.0</v>
      </c>
      <c r="B667" s="1">
        <v>4.0</v>
      </c>
      <c r="C667" s="1">
        <v>0.0</v>
      </c>
      <c r="D667" s="1">
        <v>0.0</v>
      </c>
      <c r="E667" s="1">
        <v>0.0</v>
      </c>
      <c r="F667" s="1">
        <v>0.0</v>
      </c>
      <c r="G667" s="2">
        <v>0.0</v>
      </c>
      <c r="H667" s="1" t="s">
        <v>242</v>
      </c>
      <c r="I667" s="1" t="str">
        <f>IFERROR(__xludf.DUMMYFUNCTION("REGEXREPLACE(MID(H667, SEARCH(""["", H667) + 1, SEARCH(""]"", H667) - SEARCH(""["", H667) - 1), ""\[\]"","""")"),"Hebron HS")</f>
        <v>Hebron HS</v>
      </c>
      <c r="J667" s="1">
        <v>0.0</v>
      </c>
      <c r="K667" s="1">
        <v>0.0</v>
      </c>
    </row>
    <row r="668">
      <c r="A668" s="1">
        <v>1.0</v>
      </c>
      <c r="B668" s="1">
        <v>4.0</v>
      </c>
      <c r="C668" s="1">
        <v>0.0</v>
      </c>
      <c r="D668" s="1">
        <v>0.0</v>
      </c>
      <c r="E668" s="1">
        <v>0.0</v>
      </c>
      <c r="F668" s="1">
        <v>0.0</v>
      </c>
      <c r="G668" s="2">
        <v>0.0</v>
      </c>
      <c r="H668" s="1" t="s">
        <v>243</v>
      </c>
      <c r="I668" s="1" t="str">
        <f>IFERROR(__xludf.DUMMYFUNCTION("REGEXREPLACE(MID(H668, SEARCH(""["", H668) + 1, SEARCH(""]"", H668) - SEARCH(""["", H668) - 1), ""\[\]"","""")"),"Blair")</f>
        <v>Blair</v>
      </c>
      <c r="J668" s="1">
        <v>0.0</v>
      </c>
      <c r="K668" s="1">
        <v>0.0</v>
      </c>
    </row>
    <row r="669">
      <c r="A669" s="1">
        <v>3.0</v>
      </c>
      <c r="B669" s="1">
        <v>12.0</v>
      </c>
      <c r="C669" s="1">
        <v>0.0</v>
      </c>
      <c r="D669" s="1">
        <v>0.0</v>
      </c>
      <c r="E669" s="1">
        <v>0.0</v>
      </c>
      <c r="F669" s="1">
        <v>0.0</v>
      </c>
      <c r="G669" s="2">
        <v>0.0</v>
      </c>
      <c r="H669" s="1" t="s">
        <v>244</v>
      </c>
      <c r="I669" s="1" t="str">
        <f>IFERROR(__xludf.DUMMYFUNCTION("REGEXREPLACE(MID(H669, SEARCH(""["", H669) + 1, SEARCH(""]"", H669) - SEARCH(""["", H669) - 1), ""\[\]"","""")"),"LeBroncos")</f>
        <v>LeBroncos</v>
      </c>
      <c r="J669" s="1">
        <v>0.0</v>
      </c>
      <c r="K669" s="1">
        <v>0.0</v>
      </c>
    </row>
    <row r="670">
      <c r="A670" s="1">
        <v>2.0</v>
      </c>
      <c r="B670" s="1">
        <v>8.0</v>
      </c>
      <c r="C670" s="1">
        <v>0.0</v>
      </c>
      <c r="D670" s="1">
        <v>0.0</v>
      </c>
      <c r="E670" s="1">
        <v>0.0</v>
      </c>
      <c r="F670" s="1">
        <v>0.0</v>
      </c>
      <c r="G670" s="2">
        <v>0.0</v>
      </c>
      <c r="H670" s="1" t="s">
        <v>244</v>
      </c>
      <c r="I670" s="1" t="str">
        <f>IFERROR(__xludf.DUMMYFUNCTION("REGEXREPLACE(MID(H670, SEARCH(""["", H670) + 1, SEARCH(""]"", H670) - SEARCH(""["", H670) - 1), ""\[\]"","""")"),"LeBroncos")</f>
        <v>LeBroncos</v>
      </c>
      <c r="J670" s="1">
        <v>0.0</v>
      </c>
      <c r="K670" s="1">
        <v>0.0</v>
      </c>
    </row>
    <row r="671">
      <c r="A671" s="1">
        <v>3.0</v>
      </c>
      <c r="B671" s="1">
        <v>12.0</v>
      </c>
      <c r="C671" s="1">
        <v>0.0</v>
      </c>
      <c r="D671" s="1">
        <v>0.0</v>
      </c>
      <c r="E671" s="1">
        <v>0.0</v>
      </c>
      <c r="F671" s="1">
        <v>0.0</v>
      </c>
      <c r="G671" s="2">
        <v>0.0</v>
      </c>
      <c r="H671" s="1" t="s">
        <v>185</v>
      </c>
      <c r="I671" s="1" t="str">
        <f>IFERROR(__xludf.DUMMYFUNCTION("REGEXREPLACE(MID(H671, SEARCH(""["", H671) + 1, SEARCH(""]"", H671) - SEARCH(""["", H671) - 1), ""\[\]"","""")"),"LeBroncos")</f>
        <v>LeBroncos</v>
      </c>
      <c r="J671" s="1">
        <v>0.0</v>
      </c>
      <c r="K671" s="1">
        <v>0.0</v>
      </c>
    </row>
    <row r="672">
      <c r="A672" s="1">
        <v>2.0</v>
      </c>
      <c r="B672" s="1">
        <v>8.0</v>
      </c>
      <c r="C672" s="1">
        <v>0.0</v>
      </c>
      <c r="D672" s="1">
        <v>0.0</v>
      </c>
      <c r="E672" s="1">
        <v>0.0</v>
      </c>
      <c r="F672" s="1">
        <v>0.0</v>
      </c>
      <c r="G672" s="2">
        <v>0.0</v>
      </c>
      <c r="H672" s="1" t="s">
        <v>185</v>
      </c>
      <c r="I672" s="1" t="str">
        <f>IFERROR(__xludf.DUMMYFUNCTION("REGEXREPLACE(MID(H672, SEARCH(""["", H672) + 1, SEARCH(""]"", H672) - SEARCH(""["", H672) - 1), ""\[\]"","""")"),"LeBroncos")</f>
        <v>LeBroncos</v>
      </c>
      <c r="J672" s="1">
        <v>0.0</v>
      </c>
      <c r="K672" s="1">
        <v>0.0</v>
      </c>
    </row>
    <row r="673">
      <c r="A673" s="1">
        <v>3.0</v>
      </c>
      <c r="B673" s="1">
        <v>12.0</v>
      </c>
      <c r="C673" s="1">
        <v>4.0</v>
      </c>
      <c r="D673" s="1">
        <v>4.0</v>
      </c>
      <c r="E673" s="1">
        <v>0.0</v>
      </c>
      <c r="F673" s="1">
        <v>0.0</v>
      </c>
      <c r="G673" s="2">
        <v>0.75</v>
      </c>
      <c r="H673" s="1" t="s">
        <v>248</v>
      </c>
      <c r="I673" s="1" t="str">
        <f>IFERROR(__xludf.DUMMYFUNCTION("REGEXREPLACE(MID(H673, SEARCH(""["", H673) + 1, SEARCH(""]"", H673) - SEARCH(""["", H673) - 1), ""\[\]"","""")"),"LeBroncos")</f>
        <v>LeBroncos</v>
      </c>
      <c r="J673" s="1">
        <v>12.0</v>
      </c>
      <c r="K673" s="1">
        <v>0.0</v>
      </c>
    </row>
    <row r="674">
      <c r="A674" s="1">
        <v>2.0</v>
      </c>
      <c r="B674" s="1">
        <v>8.0</v>
      </c>
      <c r="C674" s="1">
        <v>3.0</v>
      </c>
      <c r="D674" s="1">
        <v>0.0</v>
      </c>
      <c r="E674" s="1">
        <v>0.0</v>
      </c>
      <c r="F674" s="1">
        <v>0.0</v>
      </c>
      <c r="G674" s="2">
        <v>0.0</v>
      </c>
      <c r="H674" s="1" t="s">
        <v>248</v>
      </c>
      <c r="I674" s="1" t="str">
        <f>IFERROR(__xludf.DUMMYFUNCTION("REGEXREPLACE(MID(H674, SEARCH(""["", H674) + 1, SEARCH(""]"", H674) - SEARCH(""["", H674) - 1), ""\[\]"","""")"),"LeBroncos")</f>
        <v>LeBroncos</v>
      </c>
      <c r="J674" s="1">
        <v>0.0</v>
      </c>
      <c r="K674" s="1">
        <v>0.0</v>
      </c>
    </row>
    <row r="675">
      <c r="A675" s="1">
        <v>2.0</v>
      </c>
      <c r="B675" s="1">
        <v>8.0</v>
      </c>
      <c r="C675" s="1">
        <v>2.0</v>
      </c>
      <c r="D675" s="1">
        <v>0.0</v>
      </c>
      <c r="E675" s="1">
        <v>0.5</v>
      </c>
      <c r="F675" s="1">
        <v>0.0</v>
      </c>
      <c r="G675" s="2">
        <v>0.5</v>
      </c>
      <c r="H675" s="1" t="s">
        <v>250</v>
      </c>
      <c r="I675" s="1" t="str">
        <f>IFERROR(__xludf.DUMMYFUNCTION("REGEXREPLACE(MID(H675, SEARCH(""["", H675) + 1, SEARCH(""]"", H675) - SEARCH(""["", H675) - 1), ""\[\]"","""")"),"LeBroncos")</f>
        <v>LeBroncos</v>
      </c>
      <c r="J675" s="1">
        <v>0.0</v>
      </c>
      <c r="K675" s="1">
        <v>1.0</v>
      </c>
    </row>
    <row r="676">
      <c r="A676" s="1">
        <v>1.0</v>
      </c>
      <c r="B676" s="1">
        <v>4.0</v>
      </c>
      <c r="C676" s="1">
        <v>1.0</v>
      </c>
      <c r="D676" s="1">
        <v>4.0</v>
      </c>
      <c r="E676" s="1">
        <v>0.0</v>
      </c>
      <c r="F676" s="1">
        <v>0.0</v>
      </c>
      <c r="G676" s="2">
        <v>1.0</v>
      </c>
      <c r="H676" s="1" t="s">
        <v>250</v>
      </c>
      <c r="I676" s="1" t="str">
        <f>IFERROR(__xludf.DUMMYFUNCTION("REGEXREPLACE(MID(H676, SEARCH(""["", H676) + 1, SEARCH(""]"", H676) - SEARCH(""["", H676) - 1), ""\[\]"","""")"),"LeBroncos")</f>
        <v>LeBroncos</v>
      </c>
      <c r="J676" s="1">
        <v>4.0</v>
      </c>
      <c r="K676" s="1">
        <v>0.0</v>
      </c>
    </row>
    <row r="677">
      <c r="A677" s="1">
        <v>1.0</v>
      </c>
      <c r="B677" s="1">
        <v>4.0</v>
      </c>
      <c r="C677" s="1">
        <v>1.0</v>
      </c>
      <c r="D677" s="1">
        <v>4.0</v>
      </c>
      <c r="E677" s="1">
        <v>0.0</v>
      </c>
      <c r="F677" s="1">
        <v>0.0</v>
      </c>
      <c r="G677" s="2">
        <v>1.0</v>
      </c>
      <c r="H677" s="1" t="s">
        <v>251</v>
      </c>
      <c r="I677" s="1" t="str">
        <f>IFERROR(__xludf.DUMMYFUNCTION("REGEXREPLACE(MID(H677, SEARCH(""["", H677) + 1, SEARCH(""]"", H677) - SEARCH(""["", H677) - 1), ""\[\]"","""")"),"LeBroncos")</f>
        <v>LeBroncos</v>
      </c>
      <c r="J677" s="1">
        <v>4.0</v>
      </c>
      <c r="K677" s="1">
        <v>0.0</v>
      </c>
    </row>
    <row r="678">
      <c r="A678" s="1">
        <v>1.0</v>
      </c>
      <c r="B678" s="1">
        <v>4.0</v>
      </c>
      <c r="C678" s="1">
        <v>0.0</v>
      </c>
      <c r="D678" s="1">
        <v>0.0</v>
      </c>
      <c r="E678" s="1">
        <v>0.0</v>
      </c>
      <c r="F678" s="1">
        <v>0.0</v>
      </c>
      <c r="G678" s="2">
        <v>0.0</v>
      </c>
      <c r="H678" s="1" t="s">
        <v>239</v>
      </c>
      <c r="I678" s="1" t="str">
        <f>IFERROR(__xludf.DUMMYFUNCTION("REGEXREPLACE(MID(H678, SEARCH(""["", H678) + 1, SEARCH(""]"", H678) - SEARCH(""["", H678) - 1), ""\[\]"","""")"),"Lexington")</f>
        <v>Lexington</v>
      </c>
      <c r="J678" s="1">
        <v>0.0</v>
      </c>
      <c r="K678" s="1">
        <v>0.0</v>
      </c>
    </row>
    <row r="679">
      <c r="A679" s="1">
        <v>4.0</v>
      </c>
      <c r="B679" s="1">
        <v>16.0</v>
      </c>
      <c r="C679" s="1">
        <v>11.0</v>
      </c>
      <c r="D679" s="1">
        <v>-2.0</v>
      </c>
      <c r="E679" s="1">
        <v>1.0</v>
      </c>
      <c r="F679" s="1">
        <v>0.0</v>
      </c>
      <c r="G679" s="6">
        <v>0.182</v>
      </c>
      <c r="H679" s="1" t="s">
        <v>253</v>
      </c>
      <c r="I679" s="1" t="str">
        <f>IFERROR(__xludf.DUMMYFUNCTION("REGEXREPLACE(MID(H679, SEARCH(""["", H679) + 1, SEARCH(""]"", H679) - SEARCH(""["", H679) - 1), ""\[\]"","""")"),"Lexington")</f>
        <v>Lexington</v>
      </c>
      <c r="J679" s="1">
        <v>-8.0</v>
      </c>
      <c r="K679" s="1">
        <v>4.0</v>
      </c>
    </row>
    <row r="680">
      <c r="A680" s="1">
        <v>1.0</v>
      </c>
      <c r="B680" s="1">
        <v>4.0</v>
      </c>
      <c r="C680" s="1">
        <v>4.0</v>
      </c>
      <c r="D680" s="1">
        <v>16.0</v>
      </c>
      <c r="E680" s="1">
        <v>0.0</v>
      </c>
      <c r="F680" s="1">
        <v>0.0</v>
      </c>
      <c r="G680" s="2">
        <v>1.0</v>
      </c>
      <c r="H680" s="1" t="s">
        <v>253</v>
      </c>
      <c r="I680" s="1" t="str">
        <f>IFERROR(__xludf.DUMMYFUNCTION("REGEXREPLACE(MID(H680, SEARCH(""["", H680) + 1, SEARCH(""]"", H680) - SEARCH(""["", H680) - 1), ""\[\]"","""")"),"Lexington")</f>
        <v>Lexington</v>
      </c>
      <c r="J680" s="1">
        <v>16.0</v>
      </c>
      <c r="K680" s="1">
        <v>0.0</v>
      </c>
    </row>
    <row r="681">
      <c r="A681" s="1">
        <v>4.0</v>
      </c>
      <c r="B681" s="1">
        <v>16.0</v>
      </c>
      <c r="C681" s="1">
        <v>1.0</v>
      </c>
      <c r="D681" s="1">
        <v>1.0</v>
      </c>
      <c r="E681" s="1">
        <v>0.0</v>
      </c>
      <c r="F681" s="1">
        <v>0.0</v>
      </c>
      <c r="G681" s="2">
        <v>1.0</v>
      </c>
      <c r="H681" s="1" t="s">
        <v>255</v>
      </c>
      <c r="I681" s="1" t="str">
        <f>IFERROR(__xludf.DUMMYFUNCTION("REGEXREPLACE(MID(H681, SEARCH(""["", H681) + 1, SEARCH(""]"", H681) - SEARCH(""["", H681) - 1), ""\[\]"","""")"),"Lexington")</f>
        <v>Lexington</v>
      </c>
      <c r="J681" s="1">
        <v>4.0</v>
      </c>
      <c r="K681" s="1">
        <v>0.0</v>
      </c>
    </row>
    <row r="682">
      <c r="A682" s="1">
        <v>1.0</v>
      </c>
      <c r="B682" s="1">
        <v>4.0</v>
      </c>
      <c r="C682" s="1">
        <v>0.0</v>
      </c>
      <c r="D682" s="1">
        <v>0.0</v>
      </c>
      <c r="E682" s="1">
        <v>0.0</v>
      </c>
      <c r="F682" s="1">
        <v>0.0</v>
      </c>
      <c r="G682" s="2">
        <v>0.0</v>
      </c>
      <c r="H682" s="1" t="s">
        <v>255</v>
      </c>
      <c r="I682" s="1" t="str">
        <f>IFERROR(__xludf.DUMMYFUNCTION("REGEXREPLACE(MID(H682, SEARCH(""["", H682) + 1, SEARCH(""]"", H682) - SEARCH(""["", H682) - 1), ""\[\]"","""")"),"Lexington")</f>
        <v>Lexington</v>
      </c>
      <c r="J682" s="1">
        <v>0.0</v>
      </c>
      <c r="K682" s="1">
        <v>0.0</v>
      </c>
    </row>
    <row r="683">
      <c r="A683" s="1">
        <v>4.0</v>
      </c>
      <c r="B683" s="1">
        <v>16.0</v>
      </c>
      <c r="C683" s="1">
        <v>1.0</v>
      </c>
      <c r="D683" s="1">
        <v>1.0</v>
      </c>
      <c r="E683" s="1">
        <v>0.0</v>
      </c>
      <c r="F683" s="1">
        <v>0.0</v>
      </c>
      <c r="G683" s="2">
        <v>1.0</v>
      </c>
      <c r="H683" s="1" t="s">
        <v>164</v>
      </c>
      <c r="I683" s="1" t="str">
        <f>IFERROR(__xludf.DUMMYFUNCTION("REGEXREPLACE(MID(H683, SEARCH(""["", H683) + 1, SEARCH(""]"", H683) - SEARCH(""["", H683) - 1), ""\[\]"","""")"),"Lexington")</f>
        <v>Lexington</v>
      </c>
      <c r="J683" s="1">
        <v>4.0</v>
      </c>
      <c r="K683" s="1">
        <v>0.0</v>
      </c>
    </row>
    <row r="684">
      <c r="A684" s="1">
        <v>1.0</v>
      </c>
      <c r="B684" s="1">
        <v>4.0</v>
      </c>
      <c r="C684" s="1">
        <v>0.0</v>
      </c>
      <c r="D684" s="1">
        <v>0.0</v>
      </c>
      <c r="E684" s="1">
        <v>0.0</v>
      </c>
      <c r="F684" s="1">
        <v>0.0</v>
      </c>
      <c r="G684" s="2">
        <v>0.0</v>
      </c>
      <c r="H684" s="1" t="s">
        <v>164</v>
      </c>
      <c r="I684" s="1" t="str">
        <f>IFERROR(__xludf.DUMMYFUNCTION("REGEXREPLACE(MID(H684, SEARCH(""["", H684) + 1, SEARCH(""]"", H684) - SEARCH(""["", H684) - 1), ""\[\]"","""")"),"Lexington")</f>
        <v>Lexington</v>
      </c>
      <c r="J684" s="1">
        <v>0.0</v>
      </c>
      <c r="K684" s="1">
        <v>0.0</v>
      </c>
    </row>
    <row r="685">
      <c r="A685" s="1">
        <v>1.0</v>
      </c>
      <c r="B685" s="1">
        <v>3.0</v>
      </c>
      <c r="C685" s="1">
        <v>2.0</v>
      </c>
      <c r="D685" s="1">
        <v>8.0</v>
      </c>
      <c r="E685" s="1">
        <v>0.0</v>
      </c>
      <c r="F685" s="1">
        <v>0.0</v>
      </c>
      <c r="G685" s="2">
        <v>1.0</v>
      </c>
      <c r="H685" s="1" t="s">
        <v>257</v>
      </c>
      <c r="I685" s="1" t="str">
        <f>IFERROR(__xludf.DUMMYFUNCTION("REGEXREPLACE(MID(H685, SEARCH(""["", H685) + 1, SEARCH(""]"", H685) - SEARCH(""["", H685) - 1), ""\[\]"","""")"),"Lubbock")</f>
        <v>Lubbock</v>
      </c>
      <c r="J685" s="1">
        <v>8.0</v>
      </c>
      <c r="K685" s="1">
        <v>0.0</v>
      </c>
    </row>
    <row r="686">
      <c r="A686" s="1">
        <v>1.0</v>
      </c>
      <c r="B686" s="1">
        <v>3.0</v>
      </c>
      <c r="C686" s="1">
        <v>1.0</v>
      </c>
      <c r="D686" s="1">
        <v>4.0</v>
      </c>
      <c r="E686" s="1">
        <v>0.0</v>
      </c>
      <c r="F686" s="1">
        <v>0.0</v>
      </c>
      <c r="G686" s="2">
        <v>1.0</v>
      </c>
      <c r="H686" s="1" t="s">
        <v>257</v>
      </c>
      <c r="I686" s="1" t="str">
        <f>IFERROR(__xludf.DUMMYFUNCTION("REGEXREPLACE(MID(H686, SEARCH(""["", H686) + 1, SEARCH(""]"", H686) - SEARCH(""["", H686) - 1), ""\[\]"","""")"),"Lubbock")</f>
        <v>Lubbock</v>
      </c>
      <c r="J686" s="1">
        <v>4.0</v>
      </c>
      <c r="K686" s="1">
        <v>0.0</v>
      </c>
    </row>
    <row r="687">
      <c r="A687" s="1">
        <v>2.0</v>
      </c>
      <c r="B687" s="1">
        <v>7.0</v>
      </c>
      <c r="C687" s="1">
        <v>1.0</v>
      </c>
      <c r="D687" s="1">
        <v>2.0</v>
      </c>
      <c r="E687" s="1">
        <v>0.0</v>
      </c>
      <c r="F687" s="1">
        <v>0.0</v>
      </c>
      <c r="G687" s="2">
        <v>1.0</v>
      </c>
      <c r="H687" s="1" t="s">
        <v>259</v>
      </c>
      <c r="I687" s="1" t="str">
        <f>IFERROR(__xludf.DUMMYFUNCTION("REGEXREPLACE(MID(H687, SEARCH(""["", H687) + 1, SEARCH(""]"", H687) - SEARCH(""["", H687) - 1), ""\[\]"","""")"),"Lubbock")</f>
        <v>Lubbock</v>
      </c>
      <c r="J687" s="1">
        <v>4.0</v>
      </c>
      <c r="K687" s="1">
        <v>0.0</v>
      </c>
    </row>
    <row r="688">
      <c r="A688" s="1">
        <v>2.0</v>
      </c>
      <c r="B688" s="1">
        <v>7.0</v>
      </c>
      <c r="C688" s="1">
        <v>1.0</v>
      </c>
      <c r="D688" s="1">
        <v>0.0</v>
      </c>
      <c r="E688" s="1">
        <v>0.0</v>
      </c>
      <c r="F688" s="1">
        <v>0.0</v>
      </c>
      <c r="G688" s="2">
        <v>0.0</v>
      </c>
      <c r="H688" s="1" t="s">
        <v>259</v>
      </c>
      <c r="I688" s="1" t="str">
        <f>IFERROR(__xludf.DUMMYFUNCTION("REGEXREPLACE(MID(H688, SEARCH(""["", H688) + 1, SEARCH(""]"", H688) - SEARCH(""["", H688) - 1), ""\[\]"","""")"),"Lubbock")</f>
        <v>Lubbock</v>
      </c>
      <c r="J688" s="1">
        <v>0.0</v>
      </c>
      <c r="K688" s="1">
        <v>0.0</v>
      </c>
    </row>
    <row r="689">
      <c r="A689" s="1">
        <v>3.0</v>
      </c>
      <c r="B689" s="1">
        <v>10.0</v>
      </c>
      <c r="C689" s="1">
        <v>0.0</v>
      </c>
      <c r="D689" s="1">
        <v>0.0</v>
      </c>
      <c r="E689" s="1">
        <v>0.0</v>
      </c>
      <c r="F689" s="1">
        <v>0.0</v>
      </c>
      <c r="G689" s="2">
        <v>0.0</v>
      </c>
      <c r="H689" s="1" t="s">
        <v>99</v>
      </c>
      <c r="I689" s="1" t="str">
        <f>IFERROR(__xludf.DUMMYFUNCTION("REGEXREPLACE(MID(H689, SEARCH(""["", H689) + 1, SEARCH(""]"", H689) - SEARCH(""["", H689) - 1), ""\[\]"","""")"),"Lubbock")</f>
        <v>Lubbock</v>
      </c>
      <c r="J689" s="1">
        <v>0.0</v>
      </c>
      <c r="K689" s="1">
        <v>0.0</v>
      </c>
    </row>
    <row r="690">
      <c r="A690" s="1">
        <v>2.0</v>
      </c>
      <c r="B690" s="1">
        <v>7.0</v>
      </c>
      <c r="C690" s="1">
        <v>0.0</v>
      </c>
      <c r="D690" s="1">
        <v>0.0</v>
      </c>
      <c r="E690" s="1">
        <v>0.0</v>
      </c>
      <c r="F690" s="1">
        <v>0.0</v>
      </c>
      <c r="G690" s="2">
        <v>0.0</v>
      </c>
      <c r="H690" s="1" t="s">
        <v>99</v>
      </c>
      <c r="I690" s="1" t="str">
        <f>IFERROR(__xludf.DUMMYFUNCTION("REGEXREPLACE(MID(H690, SEARCH(""["", H690) + 1, SEARCH(""]"", H690) - SEARCH(""["", H690) - 1), ""\[\]"","""")"),"Lubbock")</f>
        <v>Lubbock</v>
      </c>
      <c r="J690" s="1">
        <v>0.0</v>
      </c>
      <c r="K690" s="1">
        <v>0.0</v>
      </c>
    </row>
    <row r="691">
      <c r="A691" s="1">
        <v>3.0</v>
      </c>
      <c r="B691" s="1">
        <v>10.0</v>
      </c>
      <c r="C691" s="1">
        <v>1.0</v>
      </c>
      <c r="D691" s="1">
        <v>1.33</v>
      </c>
      <c r="E691" s="1">
        <v>0.0</v>
      </c>
      <c r="F691" s="1">
        <v>0.0</v>
      </c>
      <c r="G691" s="2">
        <v>1.0</v>
      </c>
      <c r="H691" s="1" t="s">
        <v>262</v>
      </c>
      <c r="I691" s="1" t="str">
        <f>IFERROR(__xludf.DUMMYFUNCTION("REGEXREPLACE(MID(H691, SEARCH(""["", H691) + 1, SEARCH(""]"", H691) - SEARCH(""["", H691) - 1), ""\[\]"","""")"),"Lubbock")</f>
        <v>Lubbock</v>
      </c>
      <c r="J691" s="1">
        <v>4.0</v>
      </c>
      <c r="K691" s="1">
        <v>0.0</v>
      </c>
    </row>
    <row r="692">
      <c r="A692" s="1">
        <v>1.0</v>
      </c>
      <c r="B692" s="1">
        <v>3.0</v>
      </c>
      <c r="C692" s="1">
        <v>0.0</v>
      </c>
      <c r="D692" s="1">
        <v>0.0</v>
      </c>
      <c r="E692" s="1">
        <v>0.0</v>
      </c>
      <c r="F692" s="1">
        <v>0.0</v>
      </c>
      <c r="G692" s="2">
        <v>0.0</v>
      </c>
      <c r="H692" s="1" t="s">
        <v>262</v>
      </c>
      <c r="I692" s="1" t="str">
        <f>IFERROR(__xludf.DUMMYFUNCTION("REGEXREPLACE(MID(H692, SEARCH(""["", H692) + 1, SEARCH(""]"", H692) - SEARCH(""["", H692) - 1), ""\[\]"","""")"),"Lubbock")</f>
        <v>Lubbock</v>
      </c>
      <c r="J692" s="1">
        <v>0.0</v>
      </c>
      <c r="K692" s="1">
        <v>0.0</v>
      </c>
    </row>
    <row r="693">
      <c r="A693" s="1">
        <v>1.0</v>
      </c>
      <c r="B693" s="1">
        <v>4.0</v>
      </c>
      <c r="C693" s="1">
        <v>1.0</v>
      </c>
      <c r="D693" s="1">
        <v>0.0</v>
      </c>
      <c r="E693" s="1">
        <v>0.0</v>
      </c>
      <c r="F693" s="1">
        <v>0.0</v>
      </c>
      <c r="G693" s="2">
        <v>0.0</v>
      </c>
      <c r="H693" s="1" t="s">
        <v>262</v>
      </c>
      <c r="I693" s="1" t="str">
        <f>IFERROR(__xludf.DUMMYFUNCTION("REGEXREPLACE(MID(H693, SEARCH(""["", H693) + 1, SEARCH(""]"", H693) - SEARCH(""["", H693) - 1), ""\[\]"","""")"),"Lubbock")</f>
        <v>Lubbock</v>
      </c>
      <c r="J693" s="1">
        <v>0.0</v>
      </c>
      <c r="K693" s="1">
        <v>0.0</v>
      </c>
    </row>
    <row r="694">
      <c r="A694" s="1">
        <v>1.0</v>
      </c>
      <c r="B694" s="1">
        <v>3.0</v>
      </c>
      <c r="C694" s="1">
        <v>0.0</v>
      </c>
      <c r="D694" s="1">
        <v>0.0</v>
      </c>
      <c r="E694" s="1">
        <v>0.0</v>
      </c>
      <c r="F694" s="1">
        <v>0.0</v>
      </c>
      <c r="G694" s="2">
        <v>0.0</v>
      </c>
      <c r="H694" s="1" t="s">
        <v>241</v>
      </c>
      <c r="I694" s="1" t="str">
        <f>IFERROR(__xludf.DUMMYFUNCTION("REGEXREPLACE(MID(H694, SEARCH(""["", H694) + 1, SEARCH(""]"", H694) - SEARCH(""["", H694) - 1), ""\[\]"","""")"),"Lubbock")</f>
        <v>Lubbock</v>
      </c>
      <c r="J694" s="1">
        <v>0.0</v>
      </c>
      <c r="K694" s="1">
        <v>0.0</v>
      </c>
    </row>
    <row r="695">
      <c r="A695" s="1">
        <v>1.0</v>
      </c>
      <c r="B695" s="1">
        <v>4.0</v>
      </c>
      <c r="C695" s="1">
        <v>0.0</v>
      </c>
      <c r="D695" s="1">
        <v>0.0</v>
      </c>
      <c r="E695" s="1">
        <v>0.0</v>
      </c>
      <c r="F695" s="1">
        <v>0.0</v>
      </c>
      <c r="G695" s="2">
        <v>0.0</v>
      </c>
      <c r="H695" s="1" t="s">
        <v>241</v>
      </c>
      <c r="I695" s="1" t="str">
        <f>IFERROR(__xludf.DUMMYFUNCTION("REGEXREPLACE(MID(H695, SEARCH(""["", H695) + 1, SEARCH(""]"", H695) - SEARCH(""["", H695) - 1), ""\[\]"","""")"),"Lubbock")</f>
        <v>Lubbock</v>
      </c>
      <c r="J695" s="1">
        <v>0.0</v>
      </c>
      <c r="K695" s="1">
        <v>0.0</v>
      </c>
    </row>
    <row r="696">
      <c r="A696" s="1">
        <v>2.0</v>
      </c>
      <c r="B696" s="1">
        <v>7.0</v>
      </c>
      <c r="C696" s="1">
        <v>1.0</v>
      </c>
      <c r="D696" s="1">
        <v>2.0</v>
      </c>
      <c r="E696" s="1">
        <v>0.0</v>
      </c>
      <c r="F696" s="1">
        <v>0.0</v>
      </c>
      <c r="G696" s="2">
        <v>1.0</v>
      </c>
      <c r="H696" s="1" t="s">
        <v>263</v>
      </c>
      <c r="I696" s="1" t="str">
        <f>IFERROR(__xludf.DUMMYFUNCTION("REGEXREPLACE(MID(H696, SEARCH(""["", H696) + 1, SEARCH(""]"", H696) - SEARCH(""["", H696) - 1), ""\[\]"","""")"),"Lynbrook")</f>
        <v>Lynbrook</v>
      </c>
      <c r="J696" s="1">
        <v>4.0</v>
      </c>
      <c r="K696" s="1">
        <v>0.0</v>
      </c>
    </row>
    <row r="697">
      <c r="A697" s="1">
        <v>1.0</v>
      </c>
      <c r="B697" s="1">
        <v>3.0</v>
      </c>
      <c r="C697" s="1">
        <v>0.0</v>
      </c>
      <c r="D697" s="1">
        <v>0.0</v>
      </c>
      <c r="E697" s="1">
        <v>0.0</v>
      </c>
      <c r="F697" s="1">
        <v>0.0</v>
      </c>
      <c r="G697" s="2">
        <v>0.0</v>
      </c>
      <c r="H697" s="1" t="s">
        <v>263</v>
      </c>
      <c r="I697" s="1" t="str">
        <f>IFERROR(__xludf.DUMMYFUNCTION("REGEXREPLACE(MID(H697, SEARCH(""["", H697) + 1, SEARCH(""]"", H697) - SEARCH(""["", H697) - 1), ""\[\]"","""")"),"Lynbrook")</f>
        <v>Lynbrook</v>
      </c>
      <c r="J697" s="1">
        <v>0.0</v>
      </c>
      <c r="K697" s="1">
        <v>0.0</v>
      </c>
    </row>
    <row r="698">
      <c r="A698" s="1">
        <v>1.0</v>
      </c>
      <c r="B698" s="1">
        <v>3.0</v>
      </c>
      <c r="C698" s="1">
        <v>0.0</v>
      </c>
      <c r="D698" s="1">
        <v>0.0</v>
      </c>
      <c r="E698" s="1">
        <v>0.0</v>
      </c>
      <c r="F698" s="1">
        <v>0.0</v>
      </c>
      <c r="G698" s="2">
        <v>0.0</v>
      </c>
      <c r="H698" s="1" t="s">
        <v>264</v>
      </c>
      <c r="I698" s="1" t="str">
        <f>IFERROR(__xludf.DUMMYFUNCTION("REGEXREPLACE(MID(H698, SEARCH(""["", H698) + 1, SEARCH(""]"", H698) - SEARCH(""["", H698) - 1), ""\[\]"","""")"),"Lynbrook")</f>
        <v>Lynbrook</v>
      </c>
      <c r="J698" s="1">
        <v>0.0</v>
      </c>
      <c r="K698" s="1">
        <v>0.0</v>
      </c>
    </row>
    <row r="699">
      <c r="A699" s="1">
        <v>3.0</v>
      </c>
      <c r="B699" s="1">
        <v>11.0</v>
      </c>
      <c r="C699" s="1">
        <v>0.0</v>
      </c>
      <c r="D699" s="1">
        <v>0.0</v>
      </c>
      <c r="E699" s="1">
        <v>0.0</v>
      </c>
      <c r="F699" s="1">
        <v>0.0</v>
      </c>
      <c r="G699" s="2">
        <v>0.0</v>
      </c>
      <c r="H699" s="1" t="s">
        <v>264</v>
      </c>
      <c r="I699" s="1" t="str">
        <f>IFERROR(__xludf.DUMMYFUNCTION("REGEXREPLACE(MID(H699, SEARCH(""["", H699) + 1, SEARCH(""]"", H699) - SEARCH(""["", H699) - 1), ""\[\]"","""")"),"Lynbrook")</f>
        <v>Lynbrook</v>
      </c>
      <c r="J699" s="1">
        <v>0.0</v>
      </c>
      <c r="K699" s="1">
        <v>0.0</v>
      </c>
    </row>
    <row r="700">
      <c r="A700" s="1">
        <v>1.0</v>
      </c>
      <c r="B700" s="1">
        <v>3.0</v>
      </c>
      <c r="C700" s="1">
        <v>0.0</v>
      </c>
      <c r="D700" s="1">
        <v>0.0</v>
      </c>
      <c r="E700" s="1">
        <v>0.0</v>
      </c>
      <c r="F700" s="1">
        <v>0.0</v>
      </c>
      <c r="G700" s="2">
        <v>0.0</v>
      </c>
      <c r="H700" s="1" t="s">
        <v>265</v>
      </c>
      <c r="I700" s="1" t="str">
        <f>IFERROR(__xludf.DUMMYFUNCTION("REGEXREPLACE(MID(H700, SEARCH(""["", H700) + 1, SEARCH(""]"", H700) - SEARCH(""["", H700) - 1), ""\[\]"","""")"),"Lynbrook")</f>
        <v>Lynbrook</v>
      </c>
      <c r="J700" s="1">
        <v>0.0</v>
      </c>
      <c r="K700" s="1">
        <v>0.0</v>
      </c>
    </row>
    <row r="701">
      <c r="A701" s="1">
        <v>4.0</v>
      </c>
      <c r="B701" s="1">
        <v>15.0</v>
      </c>
      <c r="C701" s="1">
        <v>8.0</v>
      </c>
      <c r="D701" s="1">
        <v>5.0</v>
      </c>
      <c r="E701" s="1">
        <v>0.0</v>
      </c>
      <c r="F701" s="1">
        <v>0.0</v>
      </c>
      <c r="G701" s="6">
        <v>0.625</v>
      </c>
      <c r="H701" s="1" t="s">
        <v>265</v>
      </c>
      <c r="I701" s="1" t="str">
        <f>IFERROR(__xludf.DUMMYFUNCTION("REGEXREPLACE(MID(H701, SEARCH(""["", H701) + 1, SEARCH(""]"", H701) - SEARCH(""["", H701) - 1), ""\[\]"","""")"),"Lynbrook")</f>
        <v>Lynbrook</v>
      </c>
      <c r="J701" s="1">
        <v>20.0</v>
      </c>
      <c r="K701" s="1">
        <v>0.0</v>
      </c>
    </row>
    <row r="702">
      <c r="A702" s="1">
        <v>4.0</v>
      </c>
      <c r="B702" s="1">
        <v>15.0</v>
      </c>
      <c r="C702" s="1">
        <v>1.0</v>
      </c>
      <c r="D702" s="1">
        <v>0.0</v>
      </c>
      <c r="E702" s="1">
        <v>0.0</v>
      </c>
      <c r="F702" s="1">
        <v>0.0</v>
      </c>
      <c r="G702" s="2">
        <v>0.0</v>
      </c>
      <c r="H702" s="1" t="s">
        <v>266</v>
      </c>
      <c r="I702" s="1" t="str">
        <f>IFERROR(__xludf.DUMMYFUNCTION("REGEXREPLACE(MID(H702, SEARCH(""["", H702) + 1, SEARCH(""]"", H702) - SEARCH(""["", H702) - 1), ""\[\]"","""")"),"Lynbrook")</f>
        <v>Lynbrook</v>
      </c>
      <c r="J702" s="1">
        <v>0.0</v>
      </c>
      <c r="K702" s="1">
        <v>0.0</v>
      </c>
    </row>
    <row r="703">
      <c r="A703" s="1">
        <v>1.0</v>
      </c>
      <c r="B703" s="1">
        <v>3.0</v>
      </c>
      <c r="C703" s="1">
        <v>1.0</v>
      </c>
      <c r="D703" s="1">
        <v>4.0</v>
      </c>
      <c r="E703" s="1">
        <v>0.0</v>
      </c>
      <c r="F703" s="1">
        <v>0.0</v>
      </c>
      <c r="G703" s="2">
        <v>1.0</v>
      </c>
      <c r="H703" s="1" t="s">
        <v>93</v>
      </c>
      <c r="I703" s="1" t="str">
        <f>IFERROR(__xludf.DUMMYFUNCTION("REGEXREPLACE(MID(H703, SEARCH(""["", H703) + 1, SEARCH(""]"", H703) - SEARCH(""["", H703) - 1), ""\[\]"","""")"),"Lynbrook")</f>
        <v>Lynbrook</v>
      </c>
      <c r="J703" s="1">
        <v>4.0</v>
      </c>
      <c r="K703" s="1">
        <v>0.0</v>
      </c>
    </row>
    <row r="704">
      <c r="A704" s="1">
        <v>4.0</v>
      </c>
      <c r="B704" s="1">
        <v>15.0</v>
      </c>
      <c r="C704" s="1">
        <v>1.0</v>
      </c>
      <c r="D704" s="1">
        <v>-1.0</v>
      </c>
      <c r="E704" s="1">
        <v>0.25</v>
      </c>
      <c r="F704" s="1">
        <v>0.0</v>
      </c>
      <c r="G704" s="2">
        <v>0.0</v>
      </c>
      <c r="H704" s="1" t="s">
        <v>93</v>
      </c>
      <c r="I704" s="1" t="str">
        <f>IFERROR(__xludf.DUMMYFUNCTION("REGEXREPLACE(MID(H704, SEARCH(""["", H704) + 1, SEARCH(""]"", H704) - SEARCH(""["", H704) - 1), ""\[\]"","""")"),"Lynbrook")</f>
        <v>Lynbrook</v>
      </c>
      <c r="J704" s="1">
        <v>-4.0</v>
      </c>
      <c r="K704" s="1">
        <v>1.0</v>
      </c>
    </row>
    <row r="705">
      <c r="A705" s="1">
        <v>1.0</v>
      </c>
      <c r="B705" s="1">
        <v>4.0</v>
      </c>
      <c r="C705" s="1">
        <v>0.0</v>
      </c>
      <c r="D705" s="1">
        <v>0.0</v>
      </c>
      <c r="E705" s="1">
        <v>0.0</v>
      </c>
      <c r="F705" s="1">
        <v>0.0</v>
      </c>
      <c r="G705" s="2">
        <v>0.0</v>
      </c>
      <c r="H705" s="1" t="s">
        <v>268</v>
      </c>
      <c r="I705" s="1" t="str">
        <f>IFERROR(__xludf.DUMMYFUNCTION("REGEXREPLACE(MID(H705, SEARCH(""["", H705) + 1, SEARCH(""]"", H705) - SEARCH(""["", H705) - 1), ""\[\]"","""")"),"Mira Loma HS")</f>
        <v>Mira Loma HS</v>
      </c>
      <c r="J705" s="1">
        <v>0.0</v>
      </c>
      <c r="K705" s="1">
        <v>0.0</v>
      </c>
    </row>
    <row r="706">
      <c r="A706" s="1">
        <v>4.0</v>
      </c>
      <c r="B706" s="1">
        <v>15.0</v>
      </c>
      <c r="C706" s="1">
        <v>8.0</v>
      </c>
      <c r="D706" s="1">
        <v>4.0</v>
      </c>
      <c r="E706" s="1">
        <v>0.0</v>
      </c>
      <c r="F706" s="1">
        <v>0.0</v>
      </c>
      <c r="G706" s="2">
        <v>0.5</v>
      </c>
      <c r="H706" s="1" t="s">
        <v>80</v>
      </c>
      <c r="I706" s="1" t="str">
        <f>IFERROR(__xludf.DUMMYFUNCTION("REGEXREPLACE(MID(H706, SEARCH(""["", H706) + 1, SEARCH(""]"", H706) - SEARCH(""["", H706) - 1), ""\[\]"","""")"),"Mira Loma HS")</f>
        <v>Mira Loma HS</v>
      </c>
      <c r="J706" s="1">
        <v>16.0</v>
      </c>
      <c r="K706" s="1">
        <v>0.0</v>
      </c>
    </row>
    <row r="707">
      <c r="A707" s="1">
        <v>1.0</v>
      </c>
      <c r="B707" s="1">
        <v>3.0</v>
      </c>
      <c r="C707" s="1">
        <v>0.0</v>
      </c>
      <c r="D707" s="1">
        <v>0.0</v>
      </c>
      <c r="E707" s="1">
        <v>0.0</v>
      </c>
      <c r="F707" s="1">
        <v>0.0</v>
      </c>
      <c r="G707" s="2">
        <v>0.0</v>
      </c>
      <c r="H707" s="1" t="s">
        <v>221</v>
      </c>
      <c r="I707" s="1" t="str">
        <f>IFERROR(__xludf.DUMMYFUNCTION("REGEXREPLACE(MID(H707, SEARCH(""["", H707) + 1, SEARCH(""]"", H707) - SEARCH(""["", H707) - 1), ""\[\]"","""")"),"Mira Loma HS")</f>
        <v>Mira Loma HS</v>
      </c>
      <c r="J707" s="1">
        <v>0.0</v>
      </c>
      <c r="K707" s="1">
        <v>0.0</v>
      </c>
    </row>
    <row r="708">
      <c r="A708" s="1">
        <v>3.0</v>
      </c>
      <c r="B708" s="1">
        <v>12.0</v>
      </c>
      <c r="C708" s="1">
        <v>0.0</v>
      </c>
      <c r="D708" s="1">
        <v>0.0</v>
      </c>
      <c r="E708" s="1">
        <v>0.0</v>
      </c>
      <c r="F708" s="1">
        <v>0.0</v>
      </c>
      <c r="G708" s="2">
        <v>0.0</v>
      </c>
      <c r="H708" s="1" t="s">
        <v>221</v>
      </c>
      <c r="I708" s="1" t="str">
        <f>IFERROR(__xludf.DUMMYFUNCTION("REGEXREPLACE(MID(H708, SEARCH(""["", H708) + 1, SEARCH(""]"", H708) - SEARCH(""["", H708) - 1), ""\[\]"","""")"),"Mira Loma HS")</f>
        <v>Mira Loma HS</v>
      </c>
      <c r="J708" s="1">
        <v>0.0</v>
      </c>
      <c r="K708" s="1">
        <v>0.0</v>
      </c>
    </row>
    <row r="709">
      <c r="A709" s="1">
        <v>1.0</v>
      </c>
      <c r="B709" s="1">
        <v>4.0</v>
      </c>
      <c r="C709" s="1">
        <v>1.0</v>
      </c>
      <c r="D709" s="1">
        <v>0.0</v>
      </c>
      <c r="E709" s="1">
        <v>0.0</v>
      </c>
      <c r="F709" s="1">
        <v>0.0</v>
      </c>
      <c r="G709" s="2">
        <v>0.0</v>
      </c>
      <c r="H709" s="1" t="s">
        <v>270</v>
      </c>
      <c r="I709" s="1" t="str">
        <f>IFERROR(__xludf.DUMMYFUNCTION("REGEXREPLACE(MID(H709, SEARCH(""["", H709) + 1, SEARCH(""]"", H709) - SEARCH(""["", H709) - 1), ""\[\]"","""")"),"Mira Loma HS")</f>
        <v>Mira Loma HS</v>
      </c>
      <c r="J709" s="1">
        <v>0.0</v>
      </c>
      <c r="K709" s="1">
        <v>0.0</v>
      </c>
    </row>
    <row r="710">
      <c r="A710" s="1">
        <v>1.0</v>
      </c>
      <c r="B710" s="1">
        <v>4.0</v>
      </c>
      <c r="C710" s="1">
        <v>0.0</v>
      </c>
      <c r="D710" s="1">
        <v>0.0</v>
      </c>
      <c r="E710" s="1">
        <v>0.0</v>
      </c>
      <c r="F710" s="1">
        <v>0.0</v>
      </c>
      <c r="G710" s="2">
        <v>0.0</v>
      </c>
      <c r="H710" s="1" t="s">
        <v>270</v>
      </c>
      <c r="I710" s="1" t="str">
        <f>IFERROR(__xludf.DUMMYFUNCTION("REGEXREPLACE(MID(H710, SEARCH(""["", H710) + 1, SEARCH(""]"", H710) - SEARCH(""["", H710) - 1), ""\[\]"","""")"),"Mira Loma HS")</f>
        <v>Mira Loma HS</v>
      </c>
      <c r="J710" s="1">
        <v>0.0</v>
      </c>
      <c r="K710" s="1">
        <v>0.0</v>
      </c>
    </row>
    <row r="711">
      <c r="A711" s="1">
        <v>1.0</v>
      </c>
      <c r="B711" s="1">
        <v>3.0</v>
      </c>
      <c r="C711" s="1">
        <v>1.0</v>
      </c>
      <c r="D711" s="1">
        <v>4.0</v>
      </c>
      <c r="E711" s="1">
        <v>0.0</v>
      </c>
      <c r="F711" s="1">
        <v>0.0</v>
      </c>
      <c r="G711" s="2">
        <v>1.0</v>
      </c>
      <c r="H711" s="1" t="s">
        <v>228</v>
      </c>
      <c r="I711" s="1" t="str">
        <f>IFERROR(__xludf.DUMMYFUNCTION("REGEXREPLACE(MID(H711, SEARCH(""["", H711) + 1, SEARCH(""]"", H711) - SEARCH(""["", H711) - 1), ""\[\]"","""")"),"Naperville North")</f>
        <v>Naperville North</v>
      </c>
      <c r="J711" s="1">
        <v>4.0</v>
      </c>
      <c r="K711" s="1">
        <v>0.0</v>
      </c>
    </row>
    <row r="712">
      <c r="A712" s="1">
        <v>4.0</v>
      </c>
      <c r="B712" s="1">
        <v>16.0</v>
      </c>
      <c r="C712" s="1">
        <v>2.0</v>
      </c>
      <c r="D712" s="1">
        <v>1.0</v>
      </c>
      <c r="E712" s="1">
        <v>0.0</v>
      </c>
      <c r="F712" s="1">
        <v>0.0</v>
      </c>
      <c r="G712" s="2">
        <v>0.5</v>
      </c>
      <c r="H712" s="1" t="s">
        <v>228</v>
      </c>
      <c r="I712" s="1" t="str">
        <f>IFERROR(__xludf.DUMMYFUNCTION("REGEXREPLACE(MID(H712, SEARCH(""["", H712) + 1, SEARCH(""]"", H712) - SEARCH(""["", H712) - 1), ""\[\]"","""")"),"Naperville North")</f>
        <v>Naperville North</v>
      </c>
      <c r="J712" s="1">
        <v>4.0</v>
      </c>
      <c r="K712" s="1">
        <v>0.0</v>
      </c>
    </row>
    <row r="713">
      <c r="A713" s="1">
        <v>1.0</v>
      </c>
      <c r="B713" s="1">
        <v>3.0</v>
      </c>
      <c r="C713" s="1">
        <v>1.0</v>
      </c>
      <c r="D713" s="1">
        <v>4.0</v>
      </c>
      <c r="E713" s="1">
        <v>0.0</v>
      </c>
      <c r="F713" s="1">
        <v>0.0</v>
      </c>
      <c r="G713" s="2">
        <v>1.0</v>
      </c>
      <c r="H713" s="1" t="s">
        <v>273</v>
      </c>
      <c r="I713" s="1" t="str">
        <f>IFERROR(__xludf.DUMMYFUNCTION("REGEXREPLACE(MID(H713, SEARCH(""["", H713) + 1, SEARCH(""]"", H713) - SEARCH(""["", H713) - 1), ""\[\]"","""")"),"Naperville North")</f>
        <v>Naperville North</v>
      </c>
      <c r="J713" s="1">
        <v>4.0</v>
      </c>
      <c r="K713" s="1">
        <v>0.0</v>
      </c>
    </row>
    <row r="714">
      <c r="A714" s="1">
        <v>3.0</v>
      </c>
      <c r="B714" s="1">
        <v>13.0</v>
      </c>
      <c r="C714" s="1">
        <v>3.0</v>
      </c>
      <c r="D714" s="1">
        <v>0.0</v>
      </c>
      <c r="E714" s="1">
        <v>0.0</v>
      </c>
      <c r="F714" s="1">
        <v>0.0</v>
      </c>
      <c r="G714" s="2">
        <v>0.0</v>
      </c>
      <c r="H714" s="1" t="s">
        <v>273</v>
      </c>
      <c r="I714" s="1" t="str">
        <f>IFERROR(__xludf.DUMMYFUNCTION("REGEXREPLACE(MID(H714, SEARCH(""["", H714) + 1, SEARCH(""]"", H714) - SEARCH(""["", H714) - 1), ""\[\]"","""")"),"Naperville North")</f>
        <v>Naperville North</v>
      </c>
      <c r="J714" s="1">
        <v>0.0</v>
      </c>
      <c r="K714" s="1">
        <v>0.0</v>
      </c>
    </row>
    <row r="715">
      <c r="A715" s="1">
        <v>1.0</v>
      </c>
      <c r="B715" s="1">
        <v>3.0</v>
      </c>
      <c r="C715" s="1">
        <v>0.0</v>
      </c>
      <c r="D715" s="1">
        <v>0.0</v>
      </c>
      <c r="E715" s="1">
        <v>0.0</v>
      </c>
      <c r="F715" s="1">
        <v>0.0</v>
      </c>
      <c r="G715" s="2">
        <v>0.0</v>
      </c>
      <c r="H715" s="1" t="s">
        <v>273</v>
      </c>
      <c r="I715" s="1" t="str">
        <f>IFERROR(__xludf.DUMMYFUNCTION("REGEXREPLACE(MID(H715, SEARCH(""["", H715) + 1, SEARCH(""]"", H715) - SEARCH(""["", H715) - 1), ""\[\]"","""")"),"Naperville North")</f>
        <v>Naperville North</v>
      </c>
      <c r="J715" s="1">
        <v>0.0</v>
      </c>
      <c r="K715" s="1">
        <v>0.0</v>
      </c>
    </row>
    <row r="716">
      <c r="A716" s="1">
        <v>1.0</v>
      </c>
      <c r="B716" s="1">
        <v>3.0</v>
      </c>
      <c r="C716" s="1">
        <v>0.0</v>
      </c>
      <c r="D716" s="1">
        <v>0.0</v>
      </c>
      <c r="E716" s="1">
        <v>0.0</v>
      </c>
      <c r="F716" s="1">
        <v>0.0</v>
      </c>
      <c r="G716" s="2">
        <v>0.0</v>
      </c>
      <c r="H716" s="1" t="s">
        <v>275</v>
      </c>
      <c r="I716" s="1" t="str">
        <f>IFERROR(__xludf.DUMMYFUNCTION("REGEXREPLACE(MID(H716, SEARCH(""["", H716) + 1, SEARCH(""]"", H716) - SEARCH(""["", H716) - 1), ""\[\]"","""")"),"Naperville North")</f>
        <v>Naperville North</v>
      </c>
      <c r="J716" s="1">
        <v>0.0</v>
      </c>
      <c r="K716" s="1">
        <v>0.0</v>
      </c>
    </row>
    <row r="717">
      <c r="A717" s="1">
        <v>3.0</v>
      </c>
      <c r="B717" s="1">
        <v>11.0</v>
      </c>
      <c r="C717" s="1">
        <v>0.0</v>
      </c>
      <c r="D717" s="1">
        <v>0.0</v>
      </c>
      <c r="E717" s="1">
        <v>0.0</v>
      </c>
      <c r="F717" s="1">
        <v>0.0</v>
      </c>
      <c r="G717" s="2">
        <v>0.0</v>
      </c>
      <c r="H717" s="1" t="s">
        <v>275</v>
      </c>
      <c r="I717" s="1" t="str">
        <f>IFERROR(__xludf.DUMMYFUNCTION("REGEXREPLACE(MID(H717, SEARCH(""["", H717) + 1, SEARCH(""]"", H717) - SEARCH(""["", H717) - 1), ""\[\]"","""")"),"Naperville North")</f>
        <v>Naperville North</v>
      </c>
      <c r="J717" s="1">
        <v>0.0</v>
      </c>
      <c r="K717" s="1">
        <v>0.0</v>
      </c>
    </row>
    <row r="718">
      <c r="A718" s="1">
        <v>2.0</v>
      </c>
      <c r="B718" s="1">
        <v>6.0</v>
      </c>
      <c r="C718" s="1">
        <v>2.0</v>
      </c>
      <c r="D718" s="1">
        <v>0.0</v>
      </c>
      <c r="E718" s="1">
        <v>0.0</v>
      </c>
      <c r="F718" s="1">
        <v>0.0</v>
      </c>
      <c r="G718" s="2">
        <v>0.0</v>
      </c>
      <c r="H718" s="1" t="s">
        <v>276</v>
      </c>
      <c r="I718" s="1" t="str">
        <f>IFERROR(__xludf.DUMMYFUNCTION("REGEXREPLACE(MID(H718, SEARCH(""["", H718) + 1, SEARCH(""]"", H718) - SEARCH(""["", H718) - 1), ""\[\]"","""")"),"Naperville North")</f>
        <v>Naperville North</v>
      </c>
      <c r="J718" s="1">
        <v>0.0</v>
      </c>
      <c r="K718" s="1">
        <v>0.0</v>
      </c>
    </row>
    <row r="719">
      <c r="A719" s="1">
        <v>2.0</v>
      </c>
      <c r="B719" s="1">
        <v>8.0</v>
      </c>
      <c r="C719" s="1">
        <v>1.0</v>
      </c>
      <c r="D719" s="1">
        <v>0.0</v>
      </c>
      <c r="E719" s="1">
        <v>0.0</v>
      </c>
      <c r="F719" s="1">
        <v>0.0</v>
      </c>
      <c r="G719" s="2">
        <v>0.0</v>
      </c>
      <c r="H719" s="1" t="s">
        <v>276</v>
      </c>
      <c r="I719" s="1" t="str">
        <f>IFERROR(__xludf.DUMMYFUNCTION("REGEXREPLACE(MID(H719, SEARCH(""["", H719) + 1, SEARCH(""]"", H719) - SEARCH(""["", H719) - 1), ""\[\]"","""")"),"Naperville North")</f>
        <v>Naperville North</v>
      </c>
      <c r="J719" s="1">
        <v>0.0</v>
      </c>
      <c r="K719" s="1">
        <v>0.0</v>
      </c>
    </row>
    <row r="720">
      <c r="A720" s="1">
        <v>1.0</v>
      </c>
      <c r="B720" s="1">
        <v>3.0</v>
      </c>
      <c r="C720" s="1">
        <v>1.0</v>
      </c>
      <c r="D720" s="1">
        <v>-4.0</v>
      </c>
      <c r="E720" s="1">
        <v>1.0</v>
      </c>
      <c r="F720" s="1">
        <v>0.0</v>
      </c>
      <c r="G720" s="2">
        <v>0.0</v>
      </c>
      <c r="H720" s="1" t="s">
        <v>277</v>
      </c>
      <c r="I720" s="1" t="str">
        <f>IFERROR(__xludf.DUMMYFUNCTION("REGEXREPLACE(MID(H720, SEARCH(""["", H720) + 1, SEARCH(""]"", H720) - SEARCH(""["", H720) - 1), ""\[\]"","""")"),"Niskayuna HS")</f>
        <v>Niskayuna HS</v>
      </c>
      <c r="J720" s="1">
        <v>-4.0</v>
      </c>
      <c r="K720" s="1">
        <v>1.0</v>
      </c>
    </row>
    <row r="721">
      <c r="A721" s="1">
        <v>4.0</v>
      </c>
      <c r="B721" s="1">
        <v>16.0</v>
      </c>
      <c r="C721" s="1">
        <v>3.0</v>
      </c>
      <c r="D721" s="1">
        <v>0.0</v>
      </c>
      <c r="E721" s="1">
        <v>0.0</v>
      </c>
      <c r="F721" s="1">
        <v>0.0</v>
      </c>
      <c r="G721" s="2">
        <v>0.0</v>
      </c>
      <c r="H721" s="1" t="s">
        <v>277</v>
      </c>
      <c r="I721" s="1" t="str">
        <f>IFERROR(__xludf.DUMMYFUNCTION("REGEXREPLACE(MID(H721, SEARCH(""["", H721) + 1, SEARCH(""]"", H721) - SEARCH(""["", H721) - 1), ""\[\]"","""")"),"Niskayuna HS")</f>
        <v>Niskayuna HS</v>
      </c>
      <c r="J721" s="1">
        <v>0.0</v>
      </c>
      <c r="K721" s="1">
        <v>0.0</v>
      </c>
    </row>
    <row r="722">
      <c r="A722" s="1">
        <v>1.0</v>
      </c>
      <c r="B722" s="1">
        <v>3.0</v>
      </c>
      <c r="C722" s="1">
        <v>0.0</v>
      </c>
      <c r="D722" s="1">
        <v>0.0</v>
      </c>
      <c r="E722" s="1">
        <v>0.0</v>
      </c>
      <c r="F722" s="1">
        <v>0.0</v>
      </c>
      <c r="G722" s="2">
        <v>0.0</v>
      </c>
      <c r="H722" s="1" t="s">
        <v>172</v>
      </c>
      <c r="I722" s="1" t="str">
        <f>IFERROR(__xludf.DUMMYFUNCTION("REGEXREPLACE(MID(H722, SEARCH(""["", H722) + 1, SEARCH(""]"", H722) - SEARCH(""["", H722) - 1), ""\[\]"","""")"),"Niskayuna HS")</f>
        <v>Niskayuna HS</v>
      </c>
      <c r="J722" s="1">
        <v>0.0</v>
      </c>
      <c r="K722" s="1">
        <v>0.0</v>
      </c>
    </row>
    <row r="723">
      <c r="A723" s="1">
        <v>3.0</v>
      </c>
      <c r="B723" s="1">
        <v>12.0</v>
      </c>
      <c r="C723" s="1">
        <v>0.0</v>
      </c>
      <c r="D723" s="1">
        <v>0.0</v>
      </c>
      <c r="E723" s="1">
        <v>0.0</v>
      </c>
      <c r="F723" s="1">
        <v>0.0</v>
      </c>
      <c r="G723" s="2">
        <v>0.0</v>
      </c>
      <c r="H723" s="1" t="s">
        <v>172</v>
      </c>
      <c r="I723" s="1" t="str">
        <f>IFERROR(__xludf.DUMMYFUNCTION("REGEXREPLACE(MID(H723, SEARCH(""["", H723) + 1, SEARCH(""]"", H723) - SEARCH(""["", H723) - 1), ""\[\]"","""")"),"Niskayuna HS")</f>
        <v>Niskayuna HS</v>
      </c>
      <c r="J723" s="1">
        <v>0.0</v>
      </c>
      <c r="K723" s="1">
        <v>0.0</v>
      </c>
    </row>
    <row r="724">
      <c r="A724" s="1">
        <v>1.0</v>
      </c>
      <c r="B724" s="1">
        <v>3.0</v>
      </c>
      <c r="C724" s="1">
        <v>0.0</v>
      </c>
      <c r="D724" s="1">
        <v>0.0</v>
      </c>
      <c r="E724" s="1">
        <v>0.0</v>
      </c>
      <c r="F724" s="1">
        <v>0.0</v>
      </c>
      <c r="G724" s="2">
        <v>0.0</v>
      </c>
      <c r="H724" s="1" t="s">
        <v>279</v>
      </c>
      <c r="I724" s="1" t="str">
        <f>IFERROR(__xludf.DUMMYFUNCTION("REGEXREPLACE(MID(H724, SEARCH(""["", H724) + 1, SEARCH(""]"", H724) - SEARCH(""["", H724) - 1), ""\[\]"","""")"),"Niskayuna HS")</f>
        <v>Niskayuna HS</v>
      </c>
      <c r="J724" s="1">
        <v>0.0</v>
      </c>
      <c r="K724" s="1">
        <v>0.0</v>
      </c>
    </row>
    <row r="725">
      <c r="A725" s="1">
        <v>4.0</v>
      </c>
      <c r="B725" s="1">
        <v>16.0</v>
      </c>
      <c r="C725" s="1">
        <v>7.0</v>
      </c>
      <c r="D725" s="1">
        <v>-1.0</v>
      </c>
      <c r="E725" s="1">
        <v>0.5</v>
      </c>
      <c r="F725" s="1">
        <v>0.0</v>
      </c>
      <c r="G725" s="6">
        <v>0.143</v>
      </c>
      <c r="H725" s="1" t="s">
        <v>279</v>
      </c>
      <c r="I725" s="1" t="str">
        <f>IFERROR(__xludf.DUMMYFUNCTION("REGEXREPLACE(MID(H725, SEARCH(""["", H725) + 1, SEARCH(""]"", H725) - SEARCH(""["", H725) - 1), ""\[\]"","""")"),"Niskayuna HS")</f>
        <v>Niskayuna HS</v>
      </c>
      <c r="J725" s="1">
        <v>-4.0</v>
      </c>
      <c r="K725" s="1">
        <v>2.0</v>
      </c>
    </row>
    <row r="726">
      <c r="A726" s="1">
        <v>1.0</v>
      </c>
      <c r="B726" s="1">
        <v>4.0</v>
      </c>
      <c r="C726" s="1">
        <v>0.0</v>
      </c>
      <c r="D726" s="1">
        <v>0.0</v>
      </c>
      <c r="E726" s="1">
        <v>0.0</v>
      </c>
      <c r="F726" s="1">
        <v>0.0</v>
      </c>
      <c r="G726" s="2">
        <v>0.0</v>
      </c>
      <c r="H726" s="1" t="s">
        <v>280</v>
      </c>
      <c r="I726" s="1" t="str">
        <f>IFERROR(__xludf.DUMMYFUNCTION("REGEXREPLACE(MID(H726, SEARCH(""["", H726) + 1, SEARCH(""]"", H726) - SEARCH(""["", H726) - 1), ""\[\]"","""")"),"Niskayuna HS")</f>
        <v>Niskayuna HS</v>
      </c>
      <c r="J726" s="1">
        <v>0.0</v>
      </c>
      <c r="K726" s="1">
        <v>0.0</v>
      </c>
    </row>
    <row r="727">
      <c r="A727" s="1">
        <v>1.0</v>
      </c>
      <c r="B727" s="1">
        <v>3.0</v>
      </c>
      <c r="C727" s="1">
        <v>1.0</v>
      </c>
      <c r="D727" s="1">
        <v>4.0</v>
      </c>
      <c r="E727" s="1">
        <v>0.0</v>
      </c>
      <c r="F727" s="1">
        <v>0.0</v>
      </c>
      <c r="G727" s="2">
        <v>1.0</v>
      </c>
      <c r="H727" s="1" t="s">
        <v>281</v>
      </c>
      <c r="I727" s="1" t="str">
        <f>IFERROR(__xludf.DUMMYFUNCTION("REGEXREPLACE(MID(H727, SEARCH(""["", H727) + 1, SEARCH(""]"", H727) - SEARCH(""["", H727) - 1), ""\[\]"","""")"),"Niskayuna HS")</f>
        <v>Niskayuna HS</v>
      </c>
      <c r="J727" s="1">
        <v>4.0</v>
      </c>
      <c r="K727" s="1">
        <v>0.0</v>
      </c>
    </row>
    <row r="728">
      <c r="A728" s="1">
        <v>4.0</v>
      </c>
      <c r="B728" s="1">
        <v>16.0</v>
      </c>
      <c r="C728" s="1">
        <v>0.0</v>
      </c>
      <c r="D728" s="1">
        <v>0.0</v>
      </c>
      <c r="E728" s="1">
        <v>0.0</v>
      </c>
      <c r="F728" s="1">
        <v>0.0</v>
      </c>
      <c r="G728" s="2">
        <v>0.0</v>
      </c>
      <c r="H728" s="1" t="s">
        <v>281</v>
      </c>
      <c r="I728" s="1" t="str">
        <f>IFERROR(__xludf.DUMMYFUNCTION("REGEXREPLACE(MID(H728, SEARCH(""["", H728) + 1, SEARCH(""]"", H728) - SEARCH(""["", H728) - 1), ""\[\]"","""")"),"Niskayuna HS")</f>
        <v>Niskayuna HS</v>
      </c>
      <c r="J728" s="1">
        <v>0.0</v>
      </c>
      <c r="K728" s="1">
        <v>0.0</v>
      </c>
    </row>
    <row r="729">
      <c r="A729" s="1">
        <v>2.0</v>
      </c>
      <c r="B729" s="1">
        <v>8.0</v>
      </c>
      <c r="C729" s="1">
        <v>0.0</v>
      </c>
      <c r="D729" s="1">
        <v>0.0</v>
      </c>
      <c r="E729" s="1">
        <v>0.0</v>
      </c>
      <c r="F729" s="1">
        <v>0.0</v>
      </c>
      <c r="G729" s="2">
        <v>0.0</v>
      </c>
      <c r="H729" s="1" t="s">
        <v>282</v>
      </c>
      <c r="I729" s="1" t="str">
        <f>IFERROR(__xludf.DUMMYFUNCTION("REGEXREPLACE(MID(H729, SEARCH(""["", H729) + 1, SEARCH(""]"", H729) - SEARCH(""["", H729) - 1), ""\[\]"","""")"),"NoHo 1")</f>
        <v>NoHo 1</v>
      </c>
      <c r="J729" s="1">
        <v>0.0</v>
      </c>
      <c r="K729" s="1">
        <v>0.0</v>
      </c>
    </row>
    <row r="730">
      <c r="A730" s="1">
        <v>1.0</v>
      </c>
      <c r="B730" s="1">
        <v>4.0</v>
      </c>
      <c r="C730" s="1">
        <v>0.0</v>
      </c>
      <c r="D730" s="1">
        <v>0.0</v>
      </c>
      <c r="E730" s="1">
        <v>0.0</v>
      </c>
      <c r="F730" s="1">
        <v>0.0</v>
      </c>
      <c r="G730" s="2">
        <v>0.0</v>
      </c>
      <c r="H730" s="1" t="s">
        <v>282</v>
      </c>
      <c r="I730" s="1" t="str">
        <f>IFERROR(__xludf.DUMMYFUNCTION("REGEXREPLACE(MID(H730, SEARCH(""["", H730) + 1, SEARCH(""]"", H730) - SEARCH(""["", H730) - 1), ""\[\]"","""")"),"NoHo 1")</f>
        <v>NoHo 1</v>
      </c>
      <c r="J730" s="1">
        <v>0.0</v>
      </c>
      <c r="K730" s="1">
        <v>0.0</v>
      </c>
    </row>
    <row r="731">
      <c r="A731" s="1">
        <v>3.0</v>
      </c>
      <c r="B731" s="1">
        <v>12.0</v>
      </c>
      <c r="C731" s="1">
        <v>6.0</v>
      </c>
      <c r="D731" s="1">
        <v>6.67</v>
      </c>
      <c r="E731" s="1">
        <v>0.0</v>
      </c>
      <c r="F731" s="1">
        <v>0.0</v>
      </c>
      <c r="G731" s="6">
        <v>0.833</v>
      </c>
      <c r="H731" s="1" t="s">
        <v>283</v>
      </c>
      <c r="I731" s="1" t="str">
        <f>IFERROR(__xludf.DUMMYFUNCTION("REGEXREPLACE(MID(H731, SEARCH(""["", H731) + 1, SEARCH(""]"", H731) - SEARCH(""["", H731) - 1), ""\[\]"","""")"),"NoHo 1")</f>
        <v>NoHo 1</v>
      </c>
      <c r="J731" s="1">
        <v>20.0</v>
      </c>
      <c r="K731" s="1">
        <v>0.0</v>
      </c>
    </row>
    <row r="732">
      <c r="A732" s="1">
        <v>1.0</v>
      </c>
      <c r="B732" s="1">
        <v>4.0</v>
      </c>
      <c r="C732" s="1">
        <v>3.0</v>
      </c>
      <c r="D732" s="1">
        <v>4.0</v>
      </c>
      <c r="E732" s="1">
        <v>0.0</v>
      </c>
      <c r="F732" s="1">
        <v>0.0</v>
      </c>
      <c r="G732" s="6">
        <v>0.333</v>
      </c>
      <c r="H732" s="1" t="s">
        <v>283</v>
      </c>
      <c r="I732" s="1" t="str">
        <f>IFERROR(__xludf.DUMMYFUNCTION("REGEXREPLACE(MID(H732, SEARCH(""["", H732) + 1, SEARCH(""]"", H732) - SEARCH(""["", H732) - 1), ""\[\]"","""")"),"NoHo 1")</f>
        <v>NoHo 1</v>
      </c>
      <c r="J732" s="1">
        <v>4.0</v>
      </c>
      <c r="K732" s="1">
        <v>0.0</v>
      </c>
    </row>
    <row r="733">
      <c r="A733" s="1">
        <v>1.0</v>
      </c>
      <c r="B733" s="1">
        <v>4.0</v>
      </c>
      <c r="C733" s="1">
        <v>0.0</v>
      </c>
      <c r="D733" s="1">
        <v>0.0</v>
      </c>
      <c r="E733" s="1">
        <v>0.0</v>
      </c>
      <c r="F733" s="1">
        <v>0.0</v>
      </c>
      <c r="G733" s="2">
        <v>0.0</v>
      </c>
      <c r="H733" s="1" t="s">
        <v>284</v>
      </c>
      <c r="I733" s="1" t="str">
        <f>IFERROR(__xludf.DUMMYFUNCTION("REGEXREPLACE(MID(H733, SEARCH(""["", H733) + 1, SEARCH(""]"", H733) - SEARCH(""["", H733) - 1), ""\[\]"","""")"),"NoHo 1")</f>
        <v>NoHo 1</v>
      </c>
      <c r="J733" s="1">
        <v>0.0</v>
      </c>
      <c r="K733" s="1">
        <v>0.0</v>
      </c>
    </row>
    <row r="734">
      <c r="A734" s="1">
        <v>1.0</v>
      </c>
      <c r="B734" s="1">
        <v>4.0</v>
      </c>
      <c r="C734" s="1">
        <v>0.0</v>
      </c>
      <c r="D734" s="1">
        <v>0.0</v>
      </c>
      <c r="E734" s="1">
        <v>0.0</v>
      </c>
      <c r="F734" s="1">
        <v>0.0</v>
      </c>
      <c r="G734" s="2">
        <v>0.0</v>
      </c>
      <c r="H734" s="1" t="s">
        <v>284</v>
      </c>
      <c r="I734" s="1" t="str">
        <f>IFERROR(__xludf.DUMMYFUNCTION("REGEXREPLACE(MID(H734, SEARCH(""["", H734) + 1, SEARCH(""]"", H734) - SEARCH(""["", H734) - 1), ""\[\]"","""")"),"NoHo 1")</f>
        <v>NoHo 1</v>
      </c>
      <c r="J734" s="1">
        <v>0.0</v>
      </c>
      <c r="K734" s="1">
        <v>0.0</v>
      </c>
    </row>
    <row r="735">
      <c r="A735" s="1">
        <v>1.0</v>
      </c>
      <c r="B735" s="1">
        <v>3.0</v>
      </c>
      <c r="C735" s="1">
        <v>3.0</v>
      </c>
      <c r="D735" s="1">
        <v>12.0</v>
      </c>
      <c r="E735" s="1">
        <v>0.0</v>
      </c>
      <c r="F735" s="1">
        <v>0.0</v>
      </c>
      <c r="G735" s="2">
        <v>1.0</v>
      </c>
      <c r="H735" s="1" t="s">
        <v>52</v>
      </c>
      <c r="I735" s="1" t="str">
        <f>IFERROR(__xludf.DUMMYFUNCTION("REGEXREPLACE(MID(H735, SEARCH(""["", H735) + 1, SEARCH(""]"", H735) - SEARCH(""["", H735) - 1), ""\[\]"","""")"),"NoHo 1")</f>
        <v>NoHo 1</v>
      </c>
      <c r="J735" s="1">
        <v>12.0</v>
      </c>
      <c r="K735" s="1">
        <v>0.0</v>
      </c>
    </row>
    <row r="736">
      <c r="A736" s="1">
        <v>3.0</v>
      </c>
      <c r="B736" s="1">
        <v>12.0</v>
      </c>
      <c r="C736" s="1">
        <v>6.0</v>
      </c>
      <c r="D736" s="1">
        <v>8.0</v>
      </c>
      <c r="E736" s="1">
        <v>0.0</v>
      </c>
      <c r="F736" s="1">
        <v>0.0</v>
      </c>
      <c r="G736" s="2">
        <v>1.0</v>
      </c>
      <c r="H736" s="1" t="s">
        <v>52</v>
      </c>
      <c r="I736" s="1" t="str">
        <f>IFERROR(__xludf.DUMMYFUNCTION("REGEXREPLACE(MID(H736, SEARCH(""["", H736) + 1, SEARCH(""]"", H736) - SEARCH(""["", H736) - 1), ""\[\]"","""")"),"NoHo 1")</f>
        <v>NoHo 1</v>
      </c>
      <c r="J736" s="1">
        <v>24.0</v>
      </c>
      <c r="K736" s="1">
        <v>0.0</v>
      </c>
    </row>
    <row r="737">
      <c r="A737" s="1">
        <v>1.0</v>
      </c>
      <c r="B737" s="1">
        <v>4.0</v>
      </c>
      <c r="C737" s="1">
        <v>1.0</v>
      </c>
      <c r="D737" s="1">
        <v>4.0</v>
      </c>
      <c r="E737" s="1">
        <v>0.0</v>
      </c>
      <c r="F737" s="1">
        <v>0.0</v>
      </c>
      <c r="G737" s="2">
        <v>1.0</v>
      </c>
      <c r="H737" s="1" t="s">
        <v>52</v>
      </c>
      <c r="I737" s="1" t="str">
        <f>IFERROR(__xludf.DUMMYFUNCTION("REGEXREPLACE(MID(H737, SEARCH(""["", H737) + 1, SEARCH(""]"", H737) - SEARCH(""["", H737) - 1), ""\[\]"","""")"),"NoHo 1")</f>
        <v>NoHo 1</v>
      </c>
      <c r="J737" s="1">
        <v>4.0</v>
      </c>
      <c r="K737" s="1">
        <v>0.0</v>
      </c>
    </row>
    <row r="738">
      <c r="A738" s="1">
        <v>1.0</v>
      </c>
      <c r="B738" s="1">
        <v>4.0</v>
      </c>
      <c r="C738" s="1">
        <v>0.0</v>
      </c>
      <c r="D738" s="1">
        <v>0.0</v>
      </c>
      <c r="E738" s="1">
        <v>0.0</v>
      </c>
      <c r="F738" s="1">
        <v>0.0</v>
      </c>
      <c r="G738" s="2">
        <v>0.0</v>
      </c>
      <c r="H738" s="1" t="s">
        <v>223</v>
      </c>
      <c r="I738" s="1" t="str">
        <f>IFERROR(__xludf.DUMMYFUNCTION("REGEXREPLACE(MID(H738, SEARCH(""["", H738) + 1, SEARCH(""]"", H738) - SEARCH(""["", H738) - 1), ""\[\]"","""")"),"NoHo 2")</f>
        <v>NoHo 2</v>
      </c>
      <c r="J738" s="1">
        <v>0.0</v>
      </c>
      <c r="K738" s="1">
        <v>0.0</v>
      </c>
    </row>
    <row r="739">
      <c r="A739" s="1">
        <v>1.0</v>
      </c>
      <c r="B739" s="1">
        <v>4.0</v>
      </c>
      <c r="C739" s="1">
        <v>0.0</v>
      </c>
      <c r="D739" s="1">
        <v>0.0</v>
      </c>
      <c r="E739" s="1">
        <v>0.0</v>
      </c>
      <c r="F739" s="1">
        <v>0.0</v>
      </c>
      <c r="G739" s="2">
        <v>0.0</v>
      </c>
      <c r="H739" s="1" t="s">
        <v>223</v>
      </c>
      <c r="I739" s="1" t="str">
        <f>IFERROR(__xludf.DUMMYFUNCTION("REGEXREPLACE(MID(H739, SEARCH(""["", H739) + 1, SEARCH(""]"", H739) - SEARCH(""["", H739) - 1), ""\[\]"","""")"),"NoHo 2")</f>
        <v>NoHo 2</v>
      </c>
      <c r="J739" s="1">
        <v>0.0</v>
      </c>
      <c r="K739" s="1">
        <v>0.0</v>
      </c>
    </row>
    <row r="740">
      <c r="A740" s="1">
        <v>1.0</v>
      </c>
      <c r="B740" s="1">
        <v>3.0</v>
      </c>
      <c r="C740" s="1">
        <v>0.0</v>
      </c>
      <c r="D740" s="1">
        <v>0.0</v>
      </c>
      <c r="E740" s="1">
        <v>0.0</v>
      </c>
      <c r="F740" s="1">
        <v>0.0</v>
      </c>
      <c r="G740" s="2">
        <v>0.0</v>
      </c>
      <c r="H740" s="1" t="s">
        <v>223</v>
      </c>
      <c r="I740" s="1" t="str">
        <f>IFERROR(__xludf.DUMMYFUNCTION("REGEXREPLACE(MID(H740, SEARCH(""["", H740) + 1, SEARCH(""]"", H740) - SEARCH(""["", H740) - 1), ""\[\]"","""")"),"NoHo 2")</f>
        <v>NoHo 2</v>
      </c>
      <c r="J740" s="1">
        <v>0.0</v>
      </c>
      <c r="K740" s="1">
        <v>0.0</v>
      </c>
    </row>
    <row r="741">
      <c r="A741" s="1">
        <v>1.0</v>
      </c>
      <c r="B741" s="1">
        <v>4.0</v>
      </c>
      <c r="C741" s="1">
        <v>0.0</v>
      </c>
      <c r="D741" s="1">
        <v>0.0</v>
      </c>
      <c r="E741" s="1">
        <v>0.0</v>
      </c>
      <c r="F741" s="1">
        <v>0.0</v>
      </c>
      <c r="G741" s="2">
        <v>0.0</v>
      </c>
      <c r="H741" s="1" t="s">
        <v>223</v>
      </c>
      <c r="I741" s="1" t="str">
        <f>IFERROR(__xludf.DUMMYFUNCTION("REGEXREPLACE(MID(H741, SEARCH(""["", H741) + 1, SEARCH(""]"", H741) - SEARCH(""["", H741) - 1), ""\[\]"","""")"),"NoHo 2")</f>
        <v>NoHo 2</v>
      </c>
      <c r="J741" s="1">
        <v>0.0</v>
      </c>
      <c r="K741" s="1">
        <v>0.0</v>
      </c>
    </row>
    <row r="742">
      <c r="A742" s="1">
        <v>1.0</v>
      </c>
      <c r="B742" s="1">
        <v>4.0</v>
      </c>
      <c r="C742" s="1">
        <v>4.0</v>
      </c>
      <c r="D742" s="1">
        <v>16.0</v>
      </c>
      <c r="E742" s="1">
        <v>0.0</v>
      </c>
      <c r="F742" s="1">
        <v>0.0</v>
      </c>
      <c r="G742" s="2">
        <v>1.0</v>
      </c>
      <c r="H742" s="1" t="s">
        <v>207</v>
      </c>
      <c r="I742" s="1" t="str">
        <f>IFERROR(__xludf.DUMMYFUNCTION("REGEXREPLACE(MID(H742, SEARCH(""["", H742) + 1, SEARCH(""]"", H742) - SEARCH(""["", H742) - 1), ""\[\]"","""")"),"NoHo 2")</f>
        <v>NoHo 2</v>
      </c>
      <c r="J742" s="1">
        <v>16.0</v>
      </c>
      <c r="K742" s="1">
        <v>0.0</v>
      </c>
    </row>
    <row r="743">
      <c r="A743" s="1">
        <v>1.0</v>
      </c>
      <c r="B743" s="1">
        <v>4.0</v>
      </c>
      <c r="C743" s="1">
        <v>3.0</v>
      </c>
      <c r="D743" s="1">
        <v>4.0</v>
      </c>
      <c r="E743" s="1">
        <v>1.0</v>
      </c>
      <c r="F743" s="1">
        <v>0.0</v>
      </c>
      <c r="G743" s="6">
        <v>0.667</v>
      </c>
      <c r="H743" s="1" t="s">
        <v>207</v>
      </c>
      <c r="I743" s="1" t="str">
        <f>IFERROR(__xludf.DUMMYFUNCTION("REGEXREPLACE(MID(H743, SEARCH(""["", H743) + 1, SEARCH(""]"", H743) - SEARCH(""["", H743) - 1), ""\[\]"","""")"),"NoHo 2")</f>
        <v>NoHo 2</v>
      </c>
      <c r="J743" s="1">
        <v>4.0</v>
      </c>
      <c r="K743" s="1">
        <v>1.0</v>
      </c>
    </row>
    <row r="744">
      <c r="A744" s="1">
        <v>1.0</v>
      </c>
      <c r="B744" s="1">
        <v>4.0</v>
      </c>
      <c r="C744" s="1">
        <v>4.0</v>
      </c>
      <c r="D744" s="1">
        <v>16.0</v>
      </c>
      <c r="E744" s="1">
        <v>0.0</v>
      </c>
      <c r="F744" s="1">
        <v>0.0</v>
      </c>
      <c r="G744" s="2">
        <v>1.0</v>
      </c>
      <c r="H744" s="1" t="s">
        <v>207</v>
      </c>
      <c r="I744" s="1" t="str">
        <f>IFERROR(__xludf.DUMMYFUNCTION("REGEXREPLACE(MID(H744, SEARCH(""["", H744) + 1, SEARCH(""]"", H744) - SEARCH(""["", H744) - 1), ""\[\]"","""")"),"NoHo 2")</f>
        <v>NoHo 2</v>
      </c>
      <c r="J744" s="1">
        <v>16.0</v>
      </c>
      <c r="K744" s="1">
        <v>0.0</v>
      </c>
    </row>
    <row r="745">
      <c r="A745" s="1">
        <v>2.0</v>
      </c>
      <c r="B745" s="1">
        <v>7.0</v>
      </c>
      <c r="C745" s="1">
        <v>4.0</v>
      </c>
      <c r="D745" s="1">
        <v>4.0</v>
      </c>
      <c r="E745" s="1">
        <v>0.0</v>
      </c>
      <c r="F745" s="1">
        <v>0.0</v>
      </c>
      <c r="G745" s="2">
        <v>0.5</v>
      </c>
      <c r="H745" s="1" t="s">
        <v>207</v>
      </c>
      <c r="I745" s="1" t="str">
        <f>IFERROR(__xludf.DUMMYFUNCTION("REGEXREPLACE(MID(H745, SEARCH(""["", H745) + 1, SEARCH(""]"", H745) - SEARCH(""["", H745) - 1), ""\[\]"","""")"),"NoHo 2")</f>
        <v>NoHo 2</v>
      </c>
      <c r="J745" s="1">
        <v>8.0</v>
      </c>
      <c r="K745" s="1">
        <v>0.0</v>
      </c>
    </row>
    <row r="746">
      <c r="A746" s="1">
        <v>1.0</v>
      </c>
      <c r="B746" s="1">
        <v>4.0</v>
      </c>
      <c r="C746" s="1">
        <v>0.0</v>
      </c>
      <c r="D746" s="1">
        <v>0.0</v>
      </c>
      <c r="E746" s="1">
        <v>0.0</v>
      </c>
      <c r="F746" s="1">
        <v>0.0</v>
      </c>
      <c r="G746" s="2">
        <v>0.0</v>
      </c>
      <c r="H746" s="1" t="s">
        <v>288</v>
      </c>
      <c r="I746" s="1" t="str">
        <f>IFERROR(__xludf.DUMMYFUNCTION("REGEXREPLACE(MID(H746, SEARCH(""["", H746) + 1, SEARCH(""]"", H746) - SEARCH(""["", H746) - 1), ""\[\]"","""")"),"NoHo 2")</f>
        <v>NoHo 2</v>
      </c>
      <c r="J746" s="1">
        <v>0.0</v>
      </c>
      <c r="K746" s="1">
        <v>0.0</v>
      </c>
    </row>
    <row r="747">
      <c r="A747" s="1">
        <v>1.0</v>
      </c>
      <c r="B747" s="1">
        <v>4.0</v>
      </c>
      <c r="C747" s="1">
        <v>1.0</v>
      </c>
      <c r="D747" s="1">
        <v>-4.0</v>
      </c>
      <c r="E747" s="1">
        <v>1.0</v>
      </c>
      <c r="F747" s="1">
        <v>0.0</v>
      </c>
      <c r="G747" s="2">
        <v>0.0</v>
      </c>
      <c r="H747" s="1" t="s">
        <v>245</v>
      </c>
      <c r="I747" s="1" t="str">
        <f>IFERROR(__xludf.DUMMYFUNCTION("REGEXREPLACE(MID(H747, SEARCH(""["", H747) + 1, SEARCH(""]"", H747) - SEARCH(""["", H747) - 1), ""\[\]"","""")"),"NoHo 2")</f>
        <v>NoHo 2</v>
      </c>
      <c r="J747" s="1">
        <v>-4.0</v>
      </c>
      <c r="K747" s="1">
        <v>1.0</v>
      </c>
    </row>
    <row r="748">
      <c r="A748" s="1">
        <v>1.0</v>
      </c>
      <c r="B748" s="1">
        <v>4.0</v>
      </c>
      <c r="C748" s="1">
        <v>0.0</v>
      </c>
      <c r="D748" s="1">
        <v>0.0</v>
      </c>
      <c r="E748" s="1">
        <v>0.0</v>
      </c>
      <c r="F748" s="1">
        <v>0.0</v>
      </c>
      <c r="G748" s="2">
        <v>0.0</v>
      </c>
      <c r="H748" s="1" t="s">
        <v>245</v>
      </c>
      <c r="I748" s="1" t="str">
        <f>IFERROR(__xludf.DUMMYFUNCTION("REGEXREPLACE(MID(H748, SEARCH(""["", H748) + 1, SEARCH(""]"", H748) - SEARCH(""["", H748) - 1), ""\[\]"","""")"),"NoHo 2")</f>
        <v>NoHo 2</v>
      </c>
      <c r="J748" s="1">
        <v>0.0</v>
      </c>
      <c r="K748" s="1">
        <v>0.0</v>
      </c>
    </row>
    <row r="749">
      <c r="A749" s="1">
        <v>1.0</v>
      </c>
      <c r="B749" s="1">
        <v>3.0</v>
      </c>
      <c r="C749" s="1">
        <v>0.0</v>
      </c>
      <c r="D749" s="1">
        <v>0.0</v>
      </c>
      <c r="E749" s="1">
        <v>0.0</v>
      </c>
      <c r="F749" s="1">
        <v>0.0</v>
      </c>
      <c r="G749" s="2">
        <v>0.0</v>
      </c>
      <c r="H749" s="1" t="s">
        <v>245</v>
      </c>
      <c r="I749" s="1" t="str">
        <f>IFERROR(__xludf.DUMMYFUNCTION("REGEXREPLACE(MID(H749, SEARCH(""["", H749) + 1, SEARCH(""]"", H749) - SEARCH(""["", H749) - 1), ""\[\]"","""")"),"NoHo 2")</f>
        <v>NoHo 2</v>
      </c>
      <c r="J749" s="1">
        <v>0.0</v>
      </c>
      <c r="K749" s="1">
        <v>0.0</v>
      </c>
    </row>
    <row r="750">
      <c r="A750" s="1">
        <v>1.0</v>
      </c>
      <c r="B750" s="1">
        <v>4.0</v>
      </c>
      <c r="C750" s="1">
        <v>0.0</v>
      </c>
      <c r="D750" s="1">
        <v>0.0</v>
      </c>
      <c r="E750" s="1">
        <v>0.0</v>
      </c>
      <c r="F750" s="1">
        <v>0.0</v>
      </c>
      <c r="G750" s="2">
        <v>0.0</v>
      </c>
      <c r="H750" s="1" t="s">
        <v>290</v>
      </c>
      <c r="I750" s="1" t="str">
        <f>IFERROR(__xludf.DUMMYFUNCTION("REGEXREPLACE(MID(H750, SEARCH(""["", H750) + 1, SEARCH(""]"", H750) - SEARCH(""["", H750) - 1), ""\[\]"","""")"),"The Outliers")</f>
        <v>The Outliers</v>
      </c>
      <c r="J750" s="1">
        <v>0.0</v>
      </c>
      <c r="K750" s="1">
        <v>0.0</v>
      </c>
    </row>
    <row r="751">
      <c r="A751" s="1">
        <v>4.0</v>
      </c>
      <c r="B751" s="1">
        <v>15.0</v>
      </c>
      <c r="C751" s="1">
        <v>7.0</v>
      </c>
      <c r="D751" s="1">
        <v>3.0</v>
      </c>
      <c r="E751" s="1">
        <v>0.0</v>
      </c>
      <c r="F751" s="1">
        <v>0.0</v>
      </c>
      <c r="G751" s="6">
        <v>0.429</v>
      </c>
      <c r="H751" s="1" t="s">
        <v>291</v>
      </c>
      <c r="I751" s="1" t="str">
        <f>IFERROR(__xludf.DUMMYFUNCTION("REGEXREPLACE(MID(H751, SEARCH(""["", H751) + 1, SEARCH(""]"", H751) - SEARCH(""["", H751) - 1), ""\[\]"","""")"),"OCSA")</f>
        <v>OCSA</v>
      </c>
      <c r="J751" s="1">
        <v>12.0</v>
      </c>
      <c r="K751" s="1">
        <v>0.0</v>
      </c>
    </row>
    <row r="752">
      <c r="A752" s="1">
        <v>5.0</v>
      </c>
      <c r="B752" s="1">
        <v>19.0</v>
      </c>
      <c r="C752" s="1">
        <v>0.0</v>
      </c>
      <c r="D752" s="1">
        <v>0.0</v>
      </c>
      <c r="E752" s="1">
        <v>0.0</v>
      </c>
      <c r="F752" s="1">
        <v>0.0</v>
      </c>
      <c r="G752" s="2">
        <v>0.0</v>
      </c>
      <c r="H752" s="1" t="s">
        <v>267</v>
      </c>
      <c r="I752" s="1" t="str">
        <f>IFERROR(__xludf.DUMMYFUNCTION("REGEXREPLACE(MID(H752, SEARCH(""["", H752) + 1, SEARCH(""]"", H752) - SEARCH(""["", H752) - 1), ""\[\]"","""")"),"OCSA")</f>
        <v>OCSA</v>
      </c>
      <c r="J752" s="1">
        <v>0.0</v>
      </c>
      <c r="K752" s="1">
        <v>0.0</v>
      </c>
    </row>
    <row r="753">
      <c r="A753" s="1">
        <v>5.0</v>
      </c>
      <c r="B753" s="1">
        <v>19.0</v>
      </c>
      <c r="C753" s="1">
        <v>9.0</v>
      </c>
      <c r="D753" s="1">
        <v>1.6</v>
      </c>
      <c r="E753" s="1">
        <v>0.4</v>
      </c>
      <c r="F753" s="1">
        <v>0.0</v>
      </c>
      <c r="G753" s="6">
        <v>0.444</v>
      </c>
      <c r="H753" s="1" t="s">
        <v>98</v>
      </c>
      <c r="I753" s="1" t="str">
        <f>IFERROR(__xludf.DUMMYFUNCTION("REGEXREPLACE(MID(H753, SEARCH(""["", H753) + 1, SEARCH(""]"", H753) - SEARCH(""["", H753) - 1), ""\[\]"","""")"),"OCSA")</f>
        <v>OCSA</v>
      </c>
      <c r="J753" s="1">
        <v>8.0</v>
      </c>
      <c r="K753" s="1">
        <v>2.0</v>
      </c>
    </row>
    <row r="754">
      <c r="A754" s="1">
        <v>1.0</v>
      </c>
      <c r="B754" s="1">
        <v>4.0</v>
      </c>
      <c r="C754" s="1">
        <v>1.0</v>
      </c>
      <c r="D754" s="1">
        <v>4.0</v>
      </c>
      <c r="E754" s="1">
        <v>0.0</v>
      </c>
      <c r="F754" s="1">
        <v>0.0</v>
      </c>
      <c r="G754" s="2">
        <v>1.0</v>
      </c>
      <c r="H754" s="1" t="s">
        <v>106</v>
      </c>
      <c r="I754" s="1" t="str">
        <f>IFERROR(__xludf.DUMMYFUNCTION("REGEXREPLACE(MID(H754, SEARCH(""["", H754) + 1, SEARCH(""]"", H754) - SEARCH(""["", H754) - 1), ""\[\]"","""")"),"Palo Alto")</f>
        <v>Palo Alto</v>
      </c>
      <c r="J754" s="1">
        <v>4.0</v>
      </c>
      <c r="K754" s="1">
        <v>0.0</v>
      </c>
    </row>
    <row r="755">
      <c r="A755" s="1">
        <v>3.0</v>
      </c>
      <c r="B755" s="1">
        <v>12.0</v>
      </c>
      <c r="C755" s="1">
        <v>2.0</v>
      </c>
      <c r="D755" s="1">
        <v>1.33</v>
      </c>
      <c r="E755" s="1">
        <v>0.0</v>
      </c>
      <c r="F755" s="1">
        <v>0.0</v>
      </c>
      <c r="G755" s="2">
        <v>0.5</v>
      </c>
      <c r="H755" s="1" t="s">
        <v>106</v>
      </c>
      <c r="I755" s="1" t="str">
        <f>IFERROR(__xludf.DUMMYFUNCTION("REGEXREPLACE(MID(H755, SEARCH(""["", H755) + 1, SEARCH(""]"", H755) - SEARCH(""["", H755) - 1), ""\[\]"","""")"),"Palo Alto")</f>
        <v>Palo Alto</v>
      </c>
      <c r="J755" s="1">
        <v>4.0</v>
      </c>
      <c r="K755" s="1">
        <v>0.0</v>
      </c>
    </row>
    <row r="756">
      <c r="A756" s="1">
        <v>1.0</v>
      </c>
      <c r="B756" s="1">
        <v>4.0</v>
      </c>
      <c r="C756" s="1">
        <v>2.0</v>
      </c>
      <c r="D756" s="1">
        <v>8.0</v>
      </c>
      <c r="E756" s="1">
        <v>0.0</v>
      </c>
      <c r="F756" s="1">
        <v>0.0</v>
      </c>
      <c r="G756" s="2">
        <v>1.0</v>
      </c>
      <c r="H756" s="1" t="s">
        <v>106</v>
      </c>
      <c r="I756" s="1" t="str">
        <f>IFERROR(__xludf.DUMMYFUNCTION("REGEXREPLACE(MID(H756, SEARCH(""["", H756) + 1, SEARCH(""]"", H756) - SEARCH(""["", H756) - 1), ""\[\]"","""")"),"Palo Alto")</f>
        <v>Palo Alto</v>
      </c>
      <c r="J756" s="1">
        <v>8.0</v>
      </c>
      <c r="K756" s="1">
        <v>0.0</v>
      </c>
    </row>
    <row r="757">
      <c r="A757" s="1">
        <v>2.0</v>
      </c>
      <c r="B757" s="1">
        <v>8.0</v>
      </c>
      <c r="C757" s="1">
        <v>0.0</v>
      </c>
      <c r="D757" s="1">
        <v>0.0</v>
      </c>
      <c r="E757" s="1">
        <v>0.0</v>
      </c>
      <c r="F757" s="1">
        <v>0.0</v>
      </c>
      <c r="G757" s="2">
        <v>0.0</v>
      </c>
      <c r="H757" s="1" t="s">
        <v>292</v>
      </c>
      <c r="I757" s="1" t="str">
        <f>IFERROR(__xludf.DUMMYFUNCTION("REGEXREPLACE(MID(H757, SEARCH(""["", H757) + 1, SEARCH(""]"", H757) - SEARCH(""["", H757) - 1), ""\[\]"","""")"),"Palo Alto")</f>
        <v>Palo Alto</v>
      </c>
      <c r="J757" s="1">
        <v>0.0</v>
      </c>
      <c r="K757" s="1">
        <v>0.0</v>
      </c>
    </row>
    <row r="758">
      <c r="A758" s="1">
        <v>1.0</v>
      </c>
      <c r="B758" s="1">
        <v>4.0</v>
      </c>
      <c r="C758" s="1">
        <v>2.0</v>
      </c>
      <c r="D758" s="1">
        <v>8.0</v>
      </c>
      <c r="E758" s="1">
        <v>0.0</v>
      </c>
      <c r="F758" s="1">
        <v>0.0</v>
      </c>
      <c r="G758" s="2">
        <v>1.0</v>
      </c>
      <c r="H758" s="1" t="s">
        <v>269</v>
      </c>
      <c r="I758" s="1" t="str">
        <f>IFERROR(__xludf.DUMMYFUNCTION("REGEXREPLACE(MID(H758, SEARCH(""["", H758) + 1, SEARCH(""]"", H758) - SEARCH(""["", H758) - 1), ""\[\]"","""")"),"Palo Alto")</f>
        <v>Palo Alto</v>
      </c>
      <c r="J758" s="1">
        <v>8.0</v>
      </c>
      <c r="K758" s="1">
        <v>0.0</v>
      </c>
    </row>
    <row r="759">
      <c r="A759" s="1">
        <v>3.0</v>
      </c>
      <c r="B759" s="1">
        <v>12.0</v>
      </c>
      <c r="C759" s="1">
        <v>6.0</v>
      </c>
      <c r="D759" s="1">
        <v>2.67</v>
      </c>
      <c r="E759" s="1">
        <v>0.0</v>
      </c>
      <c r="F759" s="1">
        <v>0.0</v>
      </c>
      <c r="G759" s="6">
        <v>0.333</v>
      </c>
      <c r="H759" s="1" t="s">
        <v>269</v>
      </c>
      <c r="I759" s="1" t="str">
        <f>IFERROR(__xludf.DUMMYFUNCTION("REGEXREPLACE(MID(H759, SEARCH(""["", H759) + 1, SEARCH(""]"", H759) - SEARCH(""["", H759) - 1), ""\[\]"","""")"),"Palo Alto")</f>
        <v>Palo Alto</v>
      </c>
      <c r="J759" s="1">
        <v>8.0</v>
      </c>
      <c r="K759" s="1">
        <v>0.0</v>
      </c>
    </row>
    <row r="760">
      <c r="A760" s="1">
        <v>1.0</v>
      </c>
      <c r="B760" s="1">
        <v>4.0</v>
      </c>
      <c r="C760" s="1">
        <v>1.0</v>
      </c>
      <c r="D760" s="1">
        <v>0.0</v>
      </c>
      <c r="E760" s="1">
        <v>0.0</v>
      </c>
      <c r="F760" s="1">
        <v>0.0</v>
      </c>
      <c r="G760" s="2">
        <v>0.0</v>
      </c>
      <c r="H760" s="1" t="s">
        <v>269</v>
      </c>
      <c r="I760" s="1" t="str">
        <f>IFERROR(__xludf.DUMMYFUNCTION("REGEXREPLACE(MID(H760, SEARCH(""["", H760) + 1, SEARCH(""]"", H760) - SEARCH(""["", H760) - 1), ""\[\]"","""")"),"Palo Alto")</f>
        <v>Palo Alto</v>
      </c>
      <c r="J760" s="1">
        <v>0.0</v>
      </c>
      <c r="K760" s="1">
        <v>0.0</v>
      </c>
    </row>
    <row r="761">
      <c r="A761" s="1">
        <v>1.0</v>
      </c>
      <c r="B761" s="1">
        <v>4.0</v>
      </c>
      <c r="C761" s="1">
        <v>0.0</v>
      </c>
      <c r="D761" s="1">
        <v>0.0</v>
      </c>
      <c r="E761" s="1">
        <v>0.0</v>
      </c>
      <c r="F761" s="1">
        <v>0.0</v>
      </c>
      <c r="G761" s="2">
        <v>0.0</v>
      </c>
      <c r="H761" s="1" t="s">
        <v>293</v>
      </c>
      <c r="I761" s="1" t="str">
        <f>IFERROR(__xludf.DUMMYFUNCTION("REGEXREPLACE(MID(H761, SEARCH(""["", H761) + 1, SEARCH(""]"", H761) - SEARCH(""["", H761) - 1), ""\[\]"","""")"),"Palo Alto")</f>
        <v>Palo Alto</v>
      </c>
      <c r="J761" s="1">
        <v>0.0</v>
      </c>
      <c r="K761" s="1">
        <v>0.0</v>
      </c>
    </row>
    <row r="762">
      <c r="A762" s="1">
        <v>3.0</v>
      </c>
      <c r="B762" s="1">
        <v>12.0</v>
      </c>
      <c r="C762" s="1">
        <v>0.0</v>
      </c>
      <c r="D762" s="1">
        <v>0.0</v>
      </c>
      <c r="E762" s="1">
        <v>0.0</v>
      </c>
      <c r="F762" s="1">
        <v>0.0</v>
      </c>
      <c r="G762" s="2">
        <v>0.0</v>
      </c>
      <c r="H762" s="1" t="s">
        <v>293</v>
      </c>
      <c r="I762" s="1" t="str">
        <f>IFERROR(__xludf.DUMMYFUNCTION("REGEXREPLACE(MID(H762, SEARCH(""["", H762) + 1, SEARCH(""]"", H762) - SEARCH(""["", H762) - 1), ""\[\]"","""")"),"Palo Alto")</f>
        <v>Palo Alto</v>
      </c>
      <c r="J762" s="1">
        <v>0.0</v>
      </c>
      <c r="K762" s="1">
        <v>0.0</v>
      </c>
    </row>
    <row r="763">
      <c r="A763" s="1">
        <v>1.0</v>
      </c>
      <c r="B763" s="1">
        <v>4.0</v>
      </c>
      <c r="C763" s="1">
        <v>0.0</v>
      </c>
      <c r="D763" s="1">
        <v>0.0</v>
      </c>
      <c r="E763" s="1">
        <v>0.0</v>
      </c>
      <c r="F763" s="1">
        <v>0.0</v>
      </c>
      <c r="G763" s="2">
        <v>0.0</v>
      </c>
      <c r="H763" s="1" t="s">
        <v>293</v>
      </c>
      <c r="I763" s="1" t="str">
        <f>IFERROR(__xludf.DUMMYFUNCTION("REGEXREPLACE(MID(H763, SEARCH(""["", H763) + 1, SEARCH(""]"", H763) - SEARCH(""["", H763) - 1), ""\[\]"","""")"),"Palo Alto")</f>
        <v>Palo Alto</v>
      </c>
      <c r="J763" s="1">
        <v>0.0</v>
      </c>
      <c r="K763" s="1">
        <v>0.0</v>
      </c>
    </row>
    <row r="764">
      <c r="A764" s="1">
        <v>5.0</v>
      </c>
      <c r="B764" s="1">
        <v>18.0</v>
      </c>
      <c r="C764" s="1">
        <v>0.0</v>
      </c>
      <c r="D764" s="1">
        <v>0.0</v>
      </c>
      <c r="E764" s="1">
        <v>0.0</v>
      </c>
      <c r="F764" s="1">
        <v>0.0</v>
      </c>
      <c r="G764" s="2">
        <v>0.0</v>
      </c>
      <c r="H764" s="1" t="s">
        <v>285</v>
      </c>
      <c r="I764" s="1" t="str">
        <f>IFERROR(__xludf.DUMMYFUNCTION("REGEXREPLACE(MID(H764, SEARCH(""["", H764) + 1, SEARCH(""]"", H764) - SEARCH(""["", H764) - 1), ""\[\]"","""")"),"Phoenix")</f>
        <v>Phoenix</v>
      </c>
      <c r="J764" s="1">
        <v>0.0</v>
      </c>
      <c r="K764" s="1">
        <v>0.0</v>
      </c>
    </row>
    <row r="765">
      <c r="A765" s="1">
        <v>1.0</v>
      </c>
      <c r="B765" s="1">
        <v>3.0</v>
      </c>
      <c r="C765" s="1">
        <v>0.0</v>
      </c>
      <c r="D765" s="1">
        <v>0.0</v>
      </c>
      <c r="E765" s="1">
        <v>0.0</v>
      </c>
      <c r="F765" s="1">
        <v>0.0</v>
      </c>
      <c r="G765" s="2">
        <v>0.0</v>
      </c>
      <c r="H765" s="1" t="s">
        <v>246</v>
      </c>
      <c r="I765" s="1" t="str">
        <f>IFERROR(__xludf.DUMMYFUNCTION("REGEXREPLACE(MID(H765, SEARCH(""["", H765) + 1, SEARCH(""]"", H765) - SEARCH(""["", H765) - 1), ""\[\]"","""")"),"Phoenix")</f>
        <v>Phoenix</v>
      </c>
      <c r="J765" s="1">
        <v>0.0</v>
      </c>
      <c r="K765" s="1">
        <v>0.0</v>
      </c>
    </row>
    <row r="766">
      <c r="A766" s="1">
        <v>4.0</v>
      </c>
      <c r="B766" s="1">
        <v>15.0</v>
      </c>
      <c r="C766" s="1">
        <v>0.0</v>
      </c>
      <c r="D766" s="1">
        <v>0.0</v>
      </c>
      <c r="E766" s="1">
        <v>0.0</v>
      </c>
      <c r="F766" s="1">
        <v>0.0</v>
      </c>
      <c r="G766" s="2">
        <v>0.0</v>
      </c>
      <c r="H766" s="1" t="s">
        <v>295</v>
      </c>
      <c r="I766" s="1" t="str">
        <f>IFERROR(__xludf.DUMMYFUNCTION("REGEXREPLACE(MID(H766, SEARCH(""["", H766) + 1, SEARCH(""]"", H766) - SEARCH(""["", H766) - 1), ""\[\]"","""")"),"Phoenix")</f>
        <v>Phoenix</v>
      </c>
      <c r="J766" s="1">
        <v>0.0</v>
      </c>
      <c r="K766" s="1">
        <v>0.0</v>
      </c>
    </row>
    <row r="767">
      <c r="A767" s="1">
        <v>5.0</v>
      </c>
      <c r="B767" s="1">
        <v>18.0</v>
      </c>
      <c r="C767" s="1">
        <v>3.0</v>
      </c>
      <c r="D767" s="1">
        <v>0.0</v>
      </c>
      <c r="E767" s="1">
        <v>0.2</v>
      </c>
      <c r="F767" s="1">
        <v>0.0</v>
      </c>
      <c r="G767" s="6">
        <v>0.333</v>
      </c>
      <c r="H767" s="1" t="s">
        <v>286</v>
      </c>
      <c r="I767" s="1" t="str">
        <f>IFERROR(__xludf.DUMMYFUNCTION("REGEXREPLACE(MID(H767, SEARCH(""["", H767) + 1, SEARCH(""]"", H767) - SEARCH(""["", H767) - 1), ""\[\]"","""")"),"Phoenix")</f>
        <v>Phoenix</v>
      </c>
      <c r="J767" s="1">
        <v>0.0</v>
      </c>
      <c r="K767" s="1">
        <v>1.0</v>
      </c>
    </row>
    <row r="768">
      <c r="A768" s="1">
        <v>5.0</v>
      </c>
      <c r="B768" s="1">
        <v>18.0</v>
      </c>
      <c r="C768" s="1">
        <v>14.0</v>
      </c>
      <c r="D768" s="1">
        <v>0.0</v>
      </c>
      <c r="E768" s="1">
        <v>0.8</v>
      </c>
      <c r="F768" s="1">
        <v>0.0</v>
      </c>
      <c r="G768" s="6">
        <v>0.286</v>
      </c>
      <c r="H768" s="1" t="s">
        <v>297</v>
      </c>
      <c r="I768" s="1" t="str">
        <f>IFERROR(__xludf.DUMMYFUNCTION("REGEXREPLACE(MID(H768, SEARCH(""["", H768) + 1, SEARCH(""]"", H768) - SEARCH(""["", H768) - 1), ""\[\]"","""")"),"Phoenix")</f>
        <v>Phoenix</v>
      </c>
      <c r="J768" s="1">
        <v>0.0</v>
      </c>
      <c r="K768" s="1">
        <v>4.0</v>
      </c>
    </row>
    <row r="769">
      <c r="A769" s="1">
        <v>3.0</v>
      </c>
      <c r="B769" s="1">
        <v>12.0</v>
      </c>
      <c r="C769" s="1">
        <v>2.0</v>
      </c>
      <c r="D769" s="1">
        <v>1.33</v>
      </c>
      <c r="E769" s="1">
        <v>0.0</v>
      </c>
      <c r="F769" s="1">
        <v>0.0</v>
      </c>
      <c r="G769" s="2">
        <v>0.5</v>
      </c>
      <c r="H769" s="1" t="s">
        <v>298</v>
      </c>
      <c r="I769" s="1" t="str">
        <f>IFERROR(__xludf.DUMMYFUNCTION("REGEXREPLACE(MID(H769, SEARCH(""["", H769) + 1, SEARCH(""]"", H769) - SEARCH(""["", H769) - 1), ""\[\]"","""")"),"Plano West")</f>
        <v>Plano West</v>
      </c>
      <c r="J769" s="1">
        <v>4.0</v>
      </c>
      <c r="K769" s="1">
        <v>0.0</v>
      </c>
    </row>
    <row r="770">
      <c r="A770" s="1">
        <v>4.0</v>
      </c>
      <c r="B770" s="1">
        <v>16.0</v>
      </c>
      <c r="C770" s="1">
        <v>10.0</v>
      </c>
      <c r="D770" s="1">
        <v>4.0</v>
      </c>
      <c r="E770" s="1">
        <v>0.0</v>
      </c>
      <c r="F770" s="1">
        <v>0.0</v>
      </c>
      <c r="G770" s="2">
        <v>0.4</v>
      </c>
      <c r="H770" s="1" t="s">
        <v>296</v>
      </c>
      <c r="I770" s="1" t="str">
        <f>IFERROR(__xludf.DUMMYFUNCTION("REGEXREPLACE(MID(H770, SEARCH(""["", H770) + 1, SEARCH(""]"", H770) - SEARCH(""["", H770) - 1), ""\[\]"","""")"),"Plano West")</f>
        <v>Plano West</v>
      </c>
      <c r="J770" s="1">
        <v>16.0</v>
      </c>
      <c r="K770" s="1">
        <v>0.0</v>
      </c>
    </row>
    <row r="771">
      <c r="A771" s="1">
        <v>4.0</v>
      </c>
      <c r="B771" s="1">
        <v>16.0</v>
      </c>
      <c r="C771" s="1">
        <v>1.0</v>
      </c>
      <c r="D771" s="1">
        <v>1.0</v>
      </c>
      <c r="E771" s="1">
        <v>0.0</v>
      </c>
      <c r="F771" s="1">
        <v>0.0</v>
      </c>
      <c r="G771" s="2">
        <v>1.0</v>
      </c>
      <c r="H771" s="1" t="s">
        <v>175</v>
      </c>
      <c r="I771" s="1" t="str">
        <f>IFERROR(__xludf.DUMMYFUNCTION("REGEXREPLACE(MID(H771, SEARCH(""["", H771) + 1, SEARCH(""]"", H771) - SEARCH(""["", H771) - 1), ""\[\]"","""")"),"Plano West")</f>
        <v>Plano West</v>
      </c>
      <c r="J771" s="1">
        <v>4.0</v>
      </c>
      <c r="K771" s="1">
        <v>0.0</v>
      </c>
    </row>
    <row r="772">
      <c r="A772" s="1">
        <v>4.0</v>
      </c>
      <c r="B772" s="1">
        <v>16.0</v>
      </c>
      <c r="C772" s="1">
        <v>0.0</v>
      </c>
      <c r="D772" s="1">
        <v>0.0</v>
      </c>
      <c r="E772" s="1">
        <v>0.0</v>
      </c>
      <c r="F772" s="1">
        <v>0.0</v>
      </c>
      <c r="G772" s="2">
        <v>0.0</v>
      </c>
      <c r="H772" s="1" t="s">
        <v>300</v>
      </c>
      <c r="I772" s="1" t="str">
        <f>IFERROR(__xludf.DUMMYFUNCTION("REGEXREPLACE(MID(H772, SEARCH(""["", H772) + 1, SEARCH(""]"", H772) - SEARCH(""["", H772) - 1), ""\[\]"","""")"),"Plano West")</f>
        <v>Plano West</v>
      </c>
      <c r="J772" s="1">
        <v>0.0</v>
      </c>
      <c r="K772" s="1">
        <v>0.0</v>
      </c>
    </row>
    <row r="773">
      <c r="A773" s="1">
        <v>4.0</v>
      </c>
      <c r="B773" s="1">
        <v>16.0</v>
      </c>
      <c r="C773" s="1">
        <v>2.0</v>
      </c>
      <c r="D773" s="1">
        <v>2.0</v>
      </c>
      <c r="E773" s="1">
        <v>0.0</v>
      </c>
      <c r="F773" s="1">
        <v>0.0</v>
      </c>
      <c r="G773" s="2">
        <v>1.0</v>
      </c>
      <c r="H773" s="1" t="s">
        <v>271</v>
      </c>
      <c r="I773" s="1" t="str">
        <f>IFERROR(__xludf.DUMMYFUNCTION("REGEXREPLACE(MID(H773, SEARCH(""["", H773) + 1, SEARCH(""]"", H773) - SEARCH(""["", H773) - 1), ""\[\]"","""")"),"Princeton HS")</f>
        <v>Princeton HS</v>
      </c>
      <c r="J773" s="1">
        <v>8.0</v>
      </c>
      <c r="K773" s="1">
        <v>0.0</v>
      </c>
    </row>
    <row r="774">
      <c r="A774" s="1">
        <v>1.0</v>
      </c>
      <c r="B774" s="1">
        <v>4.0</v>
      </c>
      <c r="C774" s="1">
        <v>1.0</v>
      </c>
      <c r="D774" s="1">
        <v>0.0</v>
      </c>
      <c r="E774" s="1">
        <v>0.0</v>
      </c>
      <c r="F774" s="1">
        <v>0.0</v>
      </c>
      <c r="G774" s="2">
        <v>0.0</v>
      </c>
      <c r="H774" s="1" t="s">
        <v>271</v>
      </c>
      <c r="I774" s="1" t="str">
        <f>IFERROR(__xludf.DUMMYFUNCTION("REGEXREPLACE(MID(H774, SEARCH(""["", H774) + 1, SEARCH(""]"", H774) - SEARCH(""["", H774) - 1), ""\[\]"","""")"),"Princeton HS")</f>
        <v>Princeton HS</v>
      </c>
      <c r="J774" s="1">
        <v>0.0</v>
      </c>
      <c r="K774" s="1">
        <v>0.0</v>
      </c>
    </row>
    <row r="775">
      <c r="A775" s="1">
        <v>4.0</v>
      </c>
      <c r="B775" s="1">
        <v>16.0</v>
      </c>
      <c r="C775" s="1">
        <v>0.0</v>
      </c>
      <c r="D775" s="1">
        <v>0.0</v>
      </c>
      <c r="E775" s="1">
        <v>0.0</v>
      </c>
      <c r="F775" s="1">
        <v>0.0</v>
      </c>
      <c r="G775" s="2">
        <v>0.0</v>
      </c>
      <c r="H775" s="1" t="s">
        <v>249</v>
      </c>
      <c r="I775" s="1" t="str">
        <f>IFERROR(__xludf.DUMMYFUNCTION("REGEXREPLACE(MID(H775, SEARCH(""["", H775) + 1, SEARCH(""]"", H775) - SEARCH(""["", H775) - 1), ""\[\]"","""")"),"Princeton HS")</f>
        <v>Princeton HS</v>
      </c>
      <c r="J775" s="1">
        <v>0.0</v>
      </c>
      <c r="K775" s="1">
        <v>0.0</v>
      </c>
    </row>
    <row r="776">
      <c r="A776" s="1">
        <v>1.0</v>
      </c>
      <c r="B776" s="1">
        <v>4.0</v>
      </c>
      <c r="C776" s="1">
        <v>1.0</v>
      </c>
      <c r="D776" s="1">
        <v>0.0</v>
      </c>
      <c r="E776" s="1">
        <v>0.0</v>
      </c>
      <c r="F776" s="1">
        <v>0.0</v>
      </c>
      <c r="G776" s="2">
        <v>0.0</v>
      </c>
      <c r="H776" s="1" t="s">
        <v>249</v>
      </c>
      <c r="I776" s="1" t="str">
        <f>IFERROR(__xludf.DUMMYFUNCTION("REGEXREPLACE(MID(H776, SEARCH(""["", H776) + 1, SEARCH(""]"", H776) - SEARCH(""["", H776) - 1), ""\[\]"","""")"),"Princeton HS")</f>
        <v>Princeton HS</v>
      </c>
      <c r="J776" s="1">
        <v>0.0</v>
      </c>
      <c r="K776" s="1">
        <v>0.0</v>
      </c>
    </row>
    <row r="777">
      <c r="A777" s="1">
        <v>4.0</v>
      </c>
      <c r="B777" s="1">
        <v>16.0</v>
      </c>
      <c r="C777" s="1">
        <v>8.0</v>
      </c>
      <c r="D777" s="1">
        <v>3.0</v>
      </c>
      <c r="E777" s="1">
        <v>0.0</v>
      </c>
      <c r="F777" s="1">
        <v>0.0</v>
      </c>
      <c r="G777" s="6">
        <v>0.375</v>
      </c>
      <c r="H777" s="1" t="s">
        <v>272</v>
      </c>
      <c r="I777" s="1" t="str">
        <f>IFERROR(__xludf.DUMMYFUNCTION("REGEXREPLACE(MID(H777, SEARCH(""["", H777) + 1, SEARCH(""]"", H777) - SEARCH(""["", H777) - 1), ""\[\]"","""")"),"Princeton HS")</f>
        <v>Princeton HS</v>
      </c>
      <c r="J777" s="1">
        <v>12.0</v>
      </c>
      <c r="K777" s="1">
        <v>0.0</v>
      </c>
    </row>
    <row r="778">
      <c r="A778" s="1">
        <v>1.0</v>
      </c>
      <c r="B778" s="1">
        <v>4.0</v>
      </c>
      <c r="C778" s="1">
        <v>2.0</v>
      </c>
      <c r="D778" s="1">
        <v>0.0</v>
      </c>
      <c r="E778" s="1">
        <v>0.0</v>
      </c>
      <c r="F778" s="1">
        <v>0.0</v>
      </c>
      <c r="G778" s="2">
        <v>0.0</v>
      </c>
      <c r="H778" s="1" t="s">
        <v>272</v>
      </c>
      <c r="I778" s="1" t="str">
        <f>IFERROR(__xludf.DUMMYFUNCTION("REGEXREPLACE(MID(H778, SEARCH(""["", H778) + 1, SEARCH(""]"", H778) - SEARCH(""["", H778) - 1), ""\[\]"","""")"),"Princeton HS")</f>
        <v>Princeton HS</v>
      </c>
      <c r="J778" s="1">
        <v>0.0</v>
      </c>
      <c r="K778" s="1">
        <v>0.0</v>
      </c>
    </row>
    <row r="779">
      <c r="A779" s="1">
        <v>4.0</v>
      </c>
      <c r="B779" s="1">
        <v>15.0</v>
      </c>
      <c r="C779" s="1">
        <v>10.0</v>
      </c>
      <c r="D779" s="1">
        <v>2.0</v>
      </c>
      <c r="E779" s="1">
        <v>0.25</v>
      </c>
      <c r="F779" s="1">
        <v>0.0</v>
      </c>
      <c r="G779" s="2">
        <v>0.3</v>
      </c>
      <c r="H779" s="1" t="s">
        <v>138</v>
      </c>
      <c r="I779" s="1" t="str">
        <f>IFERROR(__xludf.DUMMYFUNCTION("REGEXREPLACE(MID(H779, SEARCH(""["", H779) + 1, SEARCH(""]"", H779) - SEARCH(""["", H779) - 1), ""\[\]"","""")"),"Research Triangle HS")</f>
        <v>Research Triangle HS</v>
      </c>
      <c r="J779" s="1">
        <v>8.0</v>
      </c>
      <c r="K779" s="1">
        <v>1.0</v>
      </c>
    </row>
    <row r="780">
      <c r="A780" s="1">
        <v>1.0</v>
      </c>
      <c r="B780" s="1">
        <v>4.0</v>
      </c>
      <c r="C780" s="1">
        <v>3.0</v>
      </c>
      <c r="D780" s="1">
        <v>4.0</v>
      </c>
      <c r="E780" s="1">
        <v>1.0</v>
      </c>
      <c r="F780" s="1">
        <v>0.0</v>
      </c>
      <c r="G780" s="6">
        <v>0.667</v>
      </c>
      <c r="H780" s="3" t="s">
        <v>138</v>
      </c>
      <c r="I780" s="1" t="str">
        <f>IFERROR(__xludf.DUMMYFUNCTION("REGEXREPLACE(MID(H780, SEARCH(""["", H780) + 1, SEARCH(""]"", H780) - SEARCH(""["", H780) - 1), ""\[\]"","""")"),"Research Triangle HS")</f>
        <v>Research Triangle HS</v>
      </c>
      <c r="J780" s="1">
        <v>4.0</v>
      </c>
      <c r="K780" s="1">
        <v>1.0</v>
      </c>
    </row>
    <row r="781">
      <c r="A781" s="1">
        <v>2.0</v>
      </c>
      <c r="B781" s="1">
        <v>8.0</v>
      </c>
      <c r="C781" s="1">
        <v>0.0</v>
      </c>
      <c r="D781" s="1">
        <v>0.0</v>
      </c>
      <c r="E781" s="1">
        <v>0.0</v>
      </c>
      <c r="F781" s="1">
        <v>0.0</v>
      </c>
      <c r="G781" s="2">
        <v>0.0</v>
      </c>
      <c r="H781" s="1" t="s">
        <v>303</v>
      </c>
      <c r="I781" s="1" t="str">
        <f>IFERROR(__xludf.DUMMYFUNCTION("REGEXREPLACE(MID(H781, SEARCH(""["", H781) + 1, SEARCH(""]"", H781) - SEARCH(""["", H781) - 1), ""\[\]"","""")"),"Research Triangle HS")</f>
        <v>Research Triangle HS</v>
      </c>
      <c r="J781" s="1">
        <v>0.0</v>
      </c>
      <c r="K781" s="1">
        <v>0.0</v>
      </c>
    </row>
    <row r="782">
      <c r="A782" s="1">
        <v>4.0</v>
      </c>
      <c r="B782" s="1">
        <v>15.0</v>
      </c>
      <c r="C782" s="1">
        <v>0.0</v>
      </c>
      <c r="D782" s="1">
        <v>0.0</v>
      </c>
      <c r="E782" s="1">
        <v>0.0</v>
      </c>
      <c r="F782" s="1">
        <v>0.0</v>
      </c>
      <c r="G782" s="2">
        <v>0.0</v>
      </c>
      <c r="H782" s="1" t="s">
        <v>304</v>
      </c>
      <c r="I782" s="1" t="str">
        <f>IFERROR(__xludf.DUMMYFUNCTION("REGEXREPLACE(MID(H782, SEARCH(""["", H782) + 1, SEARCH(""]"", H782) - SEARCH(""["", H782) - 1), ""\[\]"","""")"),"Research Triangle HS")</f>
        <v>Research Triangle HS</v>
      </c>
      <c r="J782" s="1">
        <v>0.0</v>
      </c>
      <c r="K782" s="1">
        <v>0.0</v>
      </c>
    </row>
    <row r="783">
      <c r="A783" s="1">
        <v>1.0</v>
      </c>
      <c r="B783" s="1">
        <v>3.0</v>
      </c>
      <c r="C783" s="1">
        <v>1.0</v>
      </c>
      <c r="D783" s="1">
        <v>4.0</v>
      </c>
      <c r="E783" s="1">
        <v>0.0</v>
      </c>
      <c r="F783" s="1">
        <v>0.0</v>
      </c>
      <c r="G783" s="2">
        <v>1.0</v>
      </c>
      <c r="H783" s="1" t="s">
        <v>305</v>
      </c>
      <c r="I783" s="1" t="str">
        <f>IFERROR(__xludf.DUMMYFUNCTION("REGEXREPLACE(MID(H783, SEARCH(""["", H783) + 1, SEARCH(""]"", H783) - SEARCH(""["", H783) - 1), ""\[\]"","""")"),"Research Triangle HS")</f>
        <v>Research Triangle HS</v>
      </c>
      <c r="J783" s="1">
        <v>4.0</v>
      </c>
      <c r="K783" s="1">
        <v>0.0</v>
      </c>
    </row>
    <row r="784">
      <c r="A784" s="1">
        <v>1.0</v>
      </c>
      <c r="B784" s="1">
        <v>3.0</v>
      </c>
      <c r="C784" s="1">
        <v>0.0</v>
      </c>
      <c r="D784" s="1">
        <v>0.0</v>
      </c>
      <c r="E784" s="1">
        <v>0.0</v>
      </c>
      <c r="F784" s="1">
        <v>0.0</v>
      </c>
      <c r="G784" s="2">
        <v>0.0</v>
      </c>
      <c r="H784" s="1" t="s">
        <v>306</v>
      </c>
      <c r="I784" s="1" t="str">
        <f>IFERROR(__xludf.DUMMYFUNCTION("REGEXREPLACE(MID(H784, SEARCH(""["", H784) + 1, SEARCH(""]"", H784) - SEARCH(""["", H784) - 1), ""\[\]"","""")"),"SciTech Dragons")</f>
        <v>SciTech Dragons</v>
      </c>
      <c r="J784" s="1">
        <v>0.0</v>
      </c>
      <c r="K784" s="1">
        <v>0.0</v>
      </c>
    </row>
    <row r="785">
      <c r="A785" s="1">
        <v>1.0</v>
      </c>
      <c r="B785" s="1">
        <v>4.0</v>
      </c>
      <c r="C785" s="1">
        <v>1.0</v>
      </c>
      <c r="D785" s="1">
        <v>4.0</v>
      </c>
      <c r="E785" s="1">
        <v>0.0</v>
      </c>
      <c r="F785" s="1">
        <v>0.0</v>
      </c>
      <c r="G785" s="2">
        <v>1.0</v>
      </c>
      <c r="H785" s="1" t="s">
        <v>306</v>
      </c>
      <c r="I785" s="1" t="str">
        <f>IFERROR(__xludf.DUMMYFUNCTION("REGEXREPLACE(MID(H785, SEARCH(""["", H785) + 1, SEARCH(""]"", H785) - SEARCH(""["", H785) - 1), ""\[\]"","""")"),"SciTech Dragons")</f>
        <v>SciTech Dragons</v>
      </c>
      <c r="J785" s="1">
        <v>4.0</v>
      </c>
      <c r="K785" s="1">
        <v>0.0</v>
      </c>
    </row>
    <row r="786">
      <c r="A786" s="1">
        <v>1.0</v>
      </c>
      <c r="B786" s="1">
        <v>3.0</v>
      </c>
      <c r="C786" s="1">
        <v>0.0</v>
      </c>
      <c r="D786" s="1">
        <v>0.0</v>
      </c>
      <c r="E786" s="1">
        <v>0.0</v>
      </c>
      <c r="F786" s="1">
        <v>0.0</v>
      </c>
      <c r="G786" s="2">
        <v>0.0</v>
      </c>
      <c r="H786" s="1" t="s">
        <v>306</v>
      </c>
      <c r="I786" s="1" t="str">
        <f>IFERROR(__xludf.DUMMYFUNCTION("REGEXREPLACE(MID(H786, SEARCH(""["", H786) + 1, SEARCH(""]"", H786) - SEARCH(""["", H786) - 1), ""\[\]"","""")"),"SciTech Dragons")</f>
        <v>SciTech Dragons</v>
      </c>
      <c r="J786" s="1">
        <v>0.0</v>
      </c>
      <c r="K786" s="1">
        <v>0.0</v>
      </c>
    </row>
    <row r="787">
      <c r="A787" s="1">
        <v>1.0</v>
      </c>
      <c r="B787" s="1">
        <v>2.0</v>
      </c>
      <c r="C787" s="1">
        <v>0.0</v>
      </c>
      <c r="D787" s="1">
        <v>0.0</v>
      </c>
      <c r="E787" s="1">
        <v>0.0</v>
      </c>
      <c r="F787" s="1">
        <v>0.0</v>
      </c>
      <c r="G787" s="2">
        <v>0.0</v>
      </c>
      <c r="H787" s="1" t="s">
        <v>306</v>
      </c>
      <c r="I787" s="1" t="str">
        <f>IFERROR(__xludf.DUMMYFUNCTION("REGEXREPLACE(MID(H787, SEARCH(""["", H787) + 1, SEARCH(""]"", H787) - SEARCH(""["", H787) - 1), ""\[\]"","""")"),"SciTech Dragons")</f>
        <v>SciTech Dragons</v>
      </c>
      <c r="J787" s="1">
        <v>0.0</v>
      </c>
      <c r="K787" s="1">
        <v>0.0</v>
      </c>
    </row>
    <row r="788">
      <c r="A788" s="1">
        <v>1.0</v>
      </c>
      <c r="B788" s="1">
        <v>3.0</v>
      </c>
      <c r="C788" s="1">
        <v>1.0</v>
      </c>
      <c r="D788" s="1">
        <v>4.0</v>
      </c>
      <c r="E788" s="1">
        <v>0.0</v>
      </c>
      <c r="F788" s="1">
        <v>0.0</v>
      </c>
      <c r="G788" s="2">
        <v>1.0</v>
      </c>
      <c r="H788" s="1" t="s">
        <v>141</v>
      </c>
      <c r="I788" s="1" t="str">
        <f>IFERROR(__xludf.DUMMYFUNCTION("REGEXREPLACE(MID(H788, SEARCH(""["", H788) + 1, SEARCH(""]"", H788) - SEARCH(""["", H788) - 1), ""\[\]"","""")"),"SciTech Dragons")</f>
        <v>SciTech Dragons</v>
      </c>
      <c r="J788" s="1">
        <v>4.0</v>
      </c>
      <c r="K788" s="1">
        <v>0.0</v>
      </c>
    </row>
    <row r="789">
      <c r="A789" s="1">
        <v>1.0</v>
      </c>
      <c r="B789" s="1">
        <v>4.0</v>
      </c>
      <c r="C789" s="1">
        <v>0.0</v>
      </c>
      <c r="D789" s="1">
        <v>0.0</v>
      </c>
      <c r="E789" s="1">
        <v>0.0</v>
      </c>
      <c r="F789" s="1">
        <v>0.0</v>
      </c>
      <c r="G789" s="2">
        <v>0.0</v>
      </c>
      <c r="H789" s="1" t="s">
        <v>141</v>
      </c>
      <c r="I789" s="1" t="str">
        <f>IFERROR(__xludf.DUMMYFUNCTION("REGEXREPLACE(MID(H789, SEARCH(""["", H789) + 1, SEARCH(""]"", H789) - SEARCH(""["", H789) - 1), ""\[\]"","""")"),"SciTech Dragons")</f>
        <v>SciTech Dragons</v>
      </c>
      <c r="J789" s="1">
        <v>0.0</v>
      </c>
      <c r="K789" s="1">
        <v>0.0</v>
      </c>
    </row>
    <row r="790">
      <c r="A790" s="1">
        <v>1.0</v>
      </c>
      <c r="B790" s="1">
        <v>3.0</v>
      </c>
      <c r="C790" s="1">
        <v>1.0</v>
      </c>
      <c r="D790" s="1">
        <v>0.0</v>
      </c>
      <c r="E790" s="1">
        <v>0.0</v>
      </c>
      <c r="F790" s="1">
        <v>0.0</v>
      </c>
      <c r="G790" s="2">
        <v>0.0</v>
      </c>
      <c r="H790" s="1" t="s">
        <v>141</v>
      </c>
      <c r="I790" s="1" t="str">
        <f>IFERROR(__xludf.DUMMYFUNCTION("REGEXREPLACE(MID(H790, SEARCH(""["", H790) + 1, SEARCH(""]"", H790) - SEARCH(""["", H790) - 1), ""\[\]"","""")"),"SciTech Dragons")</f>
        <v>SciTech Dragons</v>
      </c>
      <c r="J790" s="1">
        <v>0.0</v>
      </c>
      <c r="K790" s="1">
        <v>0.0</v>
      </c>
    </row>
    <row r="791">
      <c r="A791" s="1">
        <v>1.0</v>
      </c>
      <c r="B791" s="1">
        <v>2.0</v>
      </c>
      <c r="C791" s="1">
        <v>2.0</v>
      </c>
      <c r="D791" s="1">
        <v>4.0</v>
      </c>
      <c r="E791" s="1">
        <v>0.0</v>
      </c>
      <c r="F791" s="1">
        <v>0.0</v>
      </c>
      <c r="G791" s="2">
        <v>0.5</v>
      </c>
      <c r="H791" s="1" t="s">
        <v>141</v>
      </c>
      <c r="I791" s="1" t="str">
        <f>IFERROR(__xludf.DUMMYFUNCTION("REGEXREPLACE(MID(H791, SEARCH(""["", H791) + 1, SEARCH(""]"", H791) - SEARCH(""["", H791) - 1), ""\[\]"","""")"),"SciTech Dragons")</f>
        <v>SciTech Dragons</v>
      </c>
      <c r="J791" s="1">
        <v>4.0</v>
      </c>
      <c r="K791" s="1">
        <v>0.0</v>
      </c>
    </row>
    <row r="792">
      <c r="A792" s="1">
        <v>1.0</v>
      </c>
      <c r="B792" s="1">
        <v>3.0</v>
      </c>
      <c r="C792" s="1">
        <v>1.0</v>
      </c>
      <c r="D792" s="1">
        <v>4.0</v>
      </c>
      <c r="E792" s="1">
        <v>0.0</v>
      </c>
      <c r="F792" s="1">
        <v>0.0</v>
      </c>
      <c r="G792" s="2">
        <v>1.0</v>
      </c>
      <c r="H792" s="1" t="s">
        <v>308</v>
      </c>
      <c r="I792" s="1" t="str">
        <f>IFERROR(__xludf.DUMMYFUNCTION("REGEXREPLACE(MID(H792, SEARCH(""["", H792) + 1, SEARCH(""]"", H792) - SEARCH(""["", H792) - 1), ""\[\]"","""")"),"SciTech Dragons")</f>
        <v>SciTech Dragons</v>
      </c>
      <c r="J792" s="1">
        <v>4.0</v>
      </c>
      <c r="K792" s="1">
        <v>0.0</v>
      </c>
    </row>
    <row r="793">
      <c r="A793" s="1">
        <v>1.0</v>
      </c>
      <c r="B793" s="1">
        <v>4.0</v>
      </c>
      <c r="C793" s="1">
        <v>3.0</v>
      </c>
      <c r="D793" s="1">
        <v>4.0</v>
      </c>
      <c r="E793" s="1">
        <v>1.0</v>
      </c>
      <c r="F793" s="1">
        <v>0.0</v>
      </c>
      <c r="G793" s="6">
        <v>0.667</v>
      </c>
      <c r="H793" s="1" t="s">
        <v>308</v>
      </c>
      <c r="I793" s="1" t="str">
        <f>IFERROR(__xludf.DUMMYFUNCTION("REGEXREPLACE(MID(H793, SEARCH(""["", H793) + 1, SEARCH(""]"", H793) - SEARCH(""["", H793) - 1), ""\[\]"","""")"),"SciTech Dragons")</f>
        <v>SciTech Dragons</v>
      </c>
      <c r="J793" s="1">
        <v>4.0</v>
      </c>
      <c r="K793" s="1">
        <v>1.0</v>
      </c>
    </row>
    <row r="794">
      <c r="A794" s="1">
        <v>1.0</v>
      </c>
      <c r="B794" s="1">
        <v>3.0</v>
      </c>
      <c r="C794" s="1">
        <v>2.0</v>
      </c>
      <c r="D794" s="1">
        <v>0.0</v>
      </c>
      <c r="E794" s="1">
        <v>1.0</v>
      </c>
      <c r="F794" s="1">
        <v>0.0</v>
      </c>
      <c r="G794" s="2">
        <v>0.5</v>
      </c>
      <c r="H794" s="1" t="s">
        <v>308</v>
      </c>
      <c r="I794" s="1" t="str">
        <f>IFERROR(__xludf.DUMMYFUNCTION("REGEXREPLACE(MID(H794, SEARCH(""["", H794) + 1, SEARCH(""]"", H794) - SEARCH(""["", H794) - 1), ""\[\]"","""")"),"SciTech Dragons")</f>
        <v>SciTech Dragons</v>
      </c>
      <c r="J794" s="1">
        <v>0.0</v>
      </c>
      <c r="K794" s="1">
        <v>1.0</v>
      </c>
    </row>
    <row r="795">
      <c r="A795" s="1">
        <v>1.0</v>
      </c>
      <c r="B795" s="1">
        <v>4.0</v>
      </c>
      <c r="C795" s="1">
        <v>0.0</v>
      </c>
      <c r="D795" s="1">
        <v>0.0</v>
      </c>
      <c r="E795" s="1">
        <v>0.0</v>
      </c>
      <c r="F795" s="1">
        <v>0.0</v>
      </c>
      <c r="G795" s="2">
        <v>0.0</v>
      </c>
      <c r="H795" s="1" t="s">
        <v>309</v>
      </c>
      <c r="I795" s="1" t="str">
        <f>IFERROR(__xludf.DUMMYFUNCTION("REGEXREPLACE(MID(H795, SEARCH(""["", H795) + 1, SEARCH(""]"", H795) - SEARCH(""["", H795) - 1), ""\[\]"","""")"),"SciTech Dragons")</f>
        <v>SciTech Dragons</v>
      </c>
      <c r="J795" s="1">
        <v>0.0</v>
      </c>
      <c r="K795" s="1">
        <v>0.0</v>
      </c>
    </row>
    <row r="796">
      <c r="A796" s="1">
        <v>1.0</v>
      </c>
      <c r="B796" s="1">
        <v>3.0</v>
      </c>
      <c r="C796" s="1">
        <v>0.0</v>
      </c>
      <c r="D796" s="1">
        <v>0.0</v>
      </c>
      <c r="E796" s="1">
        <v>0.0</v>
      </c>
      <c r="F796" s="1">
        <v>0.0</v>
      </c>
      <c r="G796" s="2">
        <v>0.0</v>
      </c>
      <c r="H796" s="1" t="s">
        <v>309</v>
      </c>
      <c r="I796" s="1" t="str">
        <f>IFERROR(__xludf.DUMMYFUNCTION("REGEXREPLACE(MID(H796, SEARCH(""["", H796) + 1, SEARCH(""]"", H796) - SEARCH(""["", H796) - 1), ""\[\]"","""")"),"SciTech Dragons")</f>
        <v>SciTech Dragons</v>
      </c>
      <c r="J796" s="1">
        <v>0.0</v>
      </c>
      <c r="K796" s="1">
        <v>0.0</v>
      </c>
    </row>
    <row r="797">
      <c r="A797" s="1">
        <v>1.0</v>
      </c>
      <c r="B797" s="1">
        <v>3.0</v>
      </c>
      <c r="C797" s="1">
        <v>0.0</v>
      </c>
      <c r="D797" s="1">
        <v>0.0</v>
      </c>
      <c r="E797" s="1">
        <v>0.0</v>
      </c>
      <c r="F797" s="1">
        <v>0.0</v>
      </c>
      <c r="G797" s="2">
        <v>0.0</v>
      </c>
      <c r="H797" s="1" t="s">
        <v>310</v>
      </c>
      <c r="I797" s="1" t="str">
        <f>IFERROR(__xludf.DUMMYFUNCTION("REGEXREPLACE(MID(H797, SEARCH(""["", H797) + 1, SEARCH(""]"", H797) - SEARCH(""["", H797) - 1), ""\[\]"","""")"),"SciTech Dragons")</f>
        <v>SciTech Dragons</v>
      </c>
      <c r="J797" s="1">
        <v>0.0</v>
      </c>
      <c r="K797" s="1">
        <v>0.0</v>
      </c>
    </row>
    <row r="798">
      <c r="A798" s="1">
        <v>1.0</v>
      </c>
      <c r="B798" s="1">
        <v>3.0</v>
      </c>
      <c r="C798" s="1">
        <v>0.0</v>
      </c>
      <c r="D798" s="1">
        <v>0.0</v>
      </c>
      <c r="E798" s="1">
        <v>0.0</v>
      </c>
      <c r="F798" s="1">
        <v>0.0</v>
      </c>
      <c r="G798" s="2">
        <v>0.0</v>
      </c>
      <c r="H798" s="1" t="s">
        <v>310</v>
      </c>
      <c r="I798" s="1" t="str">
        <f>IFERROR(__xludf.DUMMYFUNCTION("REGEXREPLACE(MID(H798, SEARCH(""["", H798) + 1, SEARCH(""]"", H798) - SEARCH(""["", H798) - 1), ""\[\]"","""")"),"SciTech Dragons")</f>
        <v>SciTech Dragons</v>
      </c>
      <c r="J798" s="1">
        <v>0.0</v>
      </c>
      <c r="K798" s="1">
        <v>0.0</v>
      </c>
    </row>
    <row r="799">
      <c r="A799" s="1">
        <v>1.0</v>
      </c>
      <c r="B799" s="1">
        <v>4.0</v>
      </c>
      <c r="C799" s="1">
        <v>0.0</v>
      </c>
      <c r="D799" s="1">
        <v>0.0</v>
      </c>
      <c r="E799" s="1">
        <v>0.0</v>
      </c>
      <c r="F799" s="1">
        <v>0.0</v>
      </c>
      <c r="G799" s="2">
        <v>0.0</v>
      </c>
      <c r="H799" s="1" t="s">
        <v>252</v>
      </c>
      <c r="I799" s="1" t="str">
        <f>IFERROR(__xludf.DUMMYFUNCTION("REGEXREPLACE(MID(H799, SEARCH(""["", H799) + 1, SEARCH(""]"", H799) - SEARCH(""["", H799) - 1), ""\[\]"","""")"),"Seven Lakes")</f>
        <v>Seven Lakes</v>
      </c>
      <c r="J799" s="1">
        <v>0.0</v>
      </c>
      <c r="K799" s="1">
        <v>0.0</v>
      </c>
    </row>
    <row r="800">
      <c r="A800" s="1">
        <v>2.0</v>
      </c>
      <c r="B800" s="1">
        <v>7.0</v>
      </c>
      <c r="C800" s="1">
        <v>0.0</v>
      </c>
      <c r="D800" s="1">
        <v>0.0</v>
      </c>
      <c r="E800" s="1">
        <v>0.0</v>
      </c>
      <c r="F800" s="1">
        <v>0.0</v>
      </c>
      <c r="G800" s="2">
        <v>0.0</v>
      </c>
      <c r="H800" s="1" t="s">
        <v>252</v>
      </c>
      <c r="I800" s="1" t="str">
        <f>IFERROR(__xludf.DUMMYFUNCTION("REGEXREPLACE(MID(H800, SEARCH(""["", H800) + 1, SEARCH(""]"", H800) - SEARCH(""["", H800) - 1), ""\[\]"","""")"),"Seven Lakes")</f>
        <v>Seven Lakes</v>
      </c>
      <c r="J800" s="1">
        <v>0.0</v>
      </c>
      <c r="K800" s="1">
        <v>0.0</v>
      </c>
    </row>
    <row r="801">
      <c r="A801" s="1">
        <v>3.0</v>
      </c>
      <c r="B801" s="1">
        <v>11.0</v>
      </c>
      <c r="C801" s="1">
        <v>2.0</v>
      </c>
      <c r="D801" s="1">
        <v>1.33</v>
      </c>
      <c r="E801" s="1">
        <v>0.0</v>
      </c>
      <c r="F801" s="1">
        <v>0.0</v>
      </c>
      <c r="G801" s="2">
        <v>0.5</v>
      </c>
      <c r="H801" s="1" t="s">
        <v>274</v>
      </c>
      <c r="I801" s="1" t="str">
        <f>IFERROR(__xludf.DUMMYFUNCTION("REGEXREPLACE(MID(H801, SEARCH(""["", H801) + 1, SEARCH(""]"", H801) - SEARCH(""["", H801) - 1), ""\[\]"","""")"),"Seven Lakes")</f>
        <v>Seven Lakes</v>
      </c>
      <c r="J801" s="1">
        <v>4.0</v>
      </c>
      <c r="K801" s="1">
        <v>0.0</v>
      </c>
    </row>
    <row r="802">
      <c r="A802" s="1">
        <v>2.0</v>
      </c>
      <c r="B802" s="1">
        <v>8.0</v>
      </c>
      <c r="C802" s="1">
        <v>0.0</v>
      </c>
      <c r="D802" s="1">
        <v>0.0</v>
      </c>
      <c r="E802" s="1">
        <v>0.0</v>
      </c>
      <c r="F802" s="1">
        <v>0.0</v>
      </c>
      <c r="G802" s="2">
        <v>0.0</v>
      </c>
      <c r="H802" s="1" t="s">
        <v>274</v>
      </c>
      <c r="I802" s="1" t="str">
        <f>IFERROR(__xludf.DUMMYFUNCTION("REGEXREPLACE(MID(H802, SEARCH(""["", H802) + 1, SEARCH(""]"", H802) - SEARCH(""["", H802) - 1), ""\[\]"","""")"),"Seven Lakes")</f>
        <v>Seven Lakes</v>
      </c>
      <c r="J802" s="1">
        <v>0.0</v>
      </c>
      <c r="K802" s="1">
        <v>0.0</v>
      </c>
    </row>
    <row r="803">
      <c r="A803" s="1">
        <v>3.0</v>
      </c>
      <c r="B803" s="1">
        <v>11.0</v>
      </c>
      <c r="C803" s="1">
        <v>1.0</v>
      </c>
      <c r="D803" s="1">
        <v>1.33</v>
      </c>
      <c r="E803" s="1">
        <v>0.0</v>
      </c>
      <c r="F803" s="1">
        <v>0.0</v>
      </c>
      <c r="G803" s="2">
        <v>1.0</v>
      </c>
      <c r="H803" s="1" t="s">
        <v>230</v>
      </c>
      <c r="I803" s="1" t="str">
        <f>IFERROR(__xludf.DUMMYFUNCTION("REGEXREPLACE(MID(H803, SEARCH(""["", H803) + 1, SEARCH(""]"", H803) - SEARCH(""["", H803) - 1), ""\[\]"","""")"),"Seven Lakes")</f>
        <v>Seven Lakes</v>
      </c>
      <c r="J803" s="1">
        <v>4.0</v>
      </c>
      <c r="K803" s="1">
        <v>0.0</v>
      </c>
    </row>
    <row r="804">
      <c r="A804" s="1">
        <v>2.0</v>
      </c>
      <c r="B804" s="1">
        <v>8.0</v>
      </c>
      <c r="C804" s="1">
        <v>3.0</v>
      </c>
      <c r="D804" s="1">
        <v>2.0</v>
      </c>
      <c r="E804" s="1">
        <v>0.0</v>
      </c>
      <c r="F804" s="1">
        <v>0.0</v>
      </c>
      <c r="G804" s="6">
        <v>0.333</v>
      </c>
      <c r="H804" s="1" t="s">
        <v>230</v>
      </c>
      <c r="I804" s="1" t="str">
        <f>IFERROR(__xludf.DUMMYFUNCTION("REGEXREPLACE(MID(H804, SEARCH(""["", H804) + 1, SEARCH(""]"", H804) - SEARCH(""["", H804) - 1), ""\[\]"","""")"),"Seven Lakes")</f>
        <v>Seven Lakes</v>
      </c>
      <c r="J804" s="1">
        <v>4.0</v>
      </c>
      <c r="K804" s="1">
        <v>0.0</v>
      </c>
    </row>
    <row r="805">
      <c r="A805" s="1">
        <v>1.0</v>
      </c>
      <c r="B805" s="1">
        <v>3.0</v>
      </c>
      <c r="C805" s="1">
        <v>0.0</v>
      </c>
      <c r="D805" s="1">
        <v>0.0</v>
      </c>
      <c r="E805" s="1">
        <v>0.0</v>
      </c>
      <c r="F805" s="1">
        <v>0.0</v>
      </c>
      <c r="G805" s="2">
        <v>0.0</v>
      </c>
      <c r="H805" s="1" t="s">
        <v>313</v>
      </c>
      <c r="I805" s="1" t="str">
        <f>IFERROR(__xludf.DUMMYFUNCTION("REGEXREPLACE(MID(H805, SEARCH(""["", H805) + 1, SEARCH(""]"", H805) - SEARCH(""["", H805) - 1), ""\[\]"","""")"),"Seven Lakes")</f>
        <v>Seven Lakes</v>
      </c>
      <c r="J805" s="1">
        <v>0.0</v>
      </c>
      <c r="K805" s="1">
        <v>0.0</v>
      </c>
    </row>
    <row r="806">
      <c r="A806" s="1">
        <v>1.0</v>
      </c>
      <c r="B806" s="1">
        <v>4.0</v>
      </c>
      <c r="C806" s="1">
        <v>2.0</v>
      </c>
      <c r="D806" s="1">
        <v>4.0</v>
      </c>
      <c r="E806" s="1">
        <v>0.0</v>
      </c>
      <c r="F806" s="1">
        <v>0.0</v>
      </c>
      <c r="G806" s="2">
        <v>0.5</v>
      </c>
      <c r="H806" s="1" t="s">
        <v>313</v>
      </c>
      <c r="I806" s="1" t="str">
        <f>IFERROR(__xludf.DUMMYFUNCTION("REGEXREPLACE(MID(H806, SEARCH(""["", H806) + 1, SEARCH(""]"", H806) - SEARCH(""["", H806) - 1), ""\[\]"","""")"),"Seven Lakes")</f>
        <v>Seven Lakes</v>
      </c>
      <c r="J806" s="1">
        <v>4.0</v>
      </c>
      <c r="K806" s="1">
        <v>0.0</v>
      </c>
    </row>
    <row r="807">
      <c r="A807" s="1">
        <v>2.0</v>
      </c>
      <c r="B807" s="1">
        <v>7.0</v>
      </c>
      <c r="C807" s="1">
        <v>0.0</v>
      </c>
      <c r="D807" s="1">
        <v>0.0</v>
      </c>
      <c r="E807" s="1">
        <v>0.0</v>
      </c>
      <c r="F807" s="1">
        <v>0.0</v>
      </c>
      <c r="G807" s="2">
        <v>0.0</v>
      </c>
      <c r="H807" s="1" t="s">
        <v>314</v>
      </c>
      <c r="I807" s="1" t="str">
        <f>IFERROR(__xludf.DUMMYFUNCTION("REGEXREPLACE(MID(H807, SEARCH(""["", H807) + 1, SEARCH(""]"", H807) - SEARCH(""["", H807) - 1), ""\[\]"","""")"),"State College Area")</f>
        <v>State College Area</v>
      </c>
      <c r="J807" s="1">
        <v>0.0</v>
      </c>
      <c r="K807" s="1">
        <v>0.0</v>
      </c>
    </row>
    <row r="808">
      <c r="A808" s="1">
        <v>1.0</v>
      </c>
      <c r="B808" s="1">
        <v>4.0</v>
      </c>
      <c r="C808" s="1">
        <v>0.0</v>
      </c>
      <c r="D808" s="1">
        <v>0.0</v>
      </c>
      <c r="E808" s="1">
        <v>0.0</v>
      </c>
      <c r="F808" s="1">
        <v>0.0</v>
      </c>
      <c r="G808" s="2">
        <v>0.0</v>
      </c>
      <c r="H808" s="1" t="s">
        <v>314</v>
      </c>
      <c r="I808" s="1" t="str">
        <f>IFERROR(__xludf.DUMMYFUNCTION("REGEXREPLACE(MID(H808, SEARCH(""["", H808) + 1, SEARCH(""]"", H808) - SEARCH(""["", H808) - 1), ""\[\]"","""")"),"State College Area")</f>
        <v>State College Area</v>
      </c>
      <c r="J808" s="1">
        <v>0.0</v>
      </c>
      <c r="K808" s="1">
        <v>0.0</v>
      </c>
    </row>
    <row r="809">
      <c r="A809" s="1">
        <v>3.0</v>
      </c>
      <c r="B809" s="1">
        <v>11.0</v>
      </c>
      <c r="C809" s="1">
        <v>2.0</v>
      </c>
      <c r="D809" s="1">
        <v>0.0</v>
      </c>
      <c r="E809" s="1">
        <v>0.33</v>
      </c>
      <c r="F809" s="1">
        <v>0.0</v>
      </c>
      <c r="G809" s="2">
        <v>0.5</v>
      </c>
      <c r="H809" s="1" t="s">
        <v>315</v>
      </c>
      <c r="I809" s="1" t="str">
        <f>IFERROR(__xludf.DUMMYFUNCTION("REGEXREPLACE(MID(H809, SEARCH(""["", H809) + 1, SEARCH(""]"", H809) - SEARCH(""["", H809) - 1), ""\[\]"","""")"),"State College Area")</f>
        <v>State College Area</v>
      </c>
      <c r="J809" s="1">
        <v>0.0</v>
      </c>
      <c r="K809" s="1">
        <v>1.0</v>
      </c>
    </row>
    <row r="810">
      <c r="A810" s="1">
        <v>1.0</v>
      </c>
      <c r="B810" s="1">
        <v>4.0</v>
      </c>
      <c r="C810" s="1">
        <v>0.0</v>
      </c>
      <c r="D810" s="1">
        <v>0.0</v>
      </c>
      <c r="E810" s="1">
        <v>0.0</v>
      </c>
      <c r="F810" s="1">
        <v>0.0</v>
      </c>
      <c r="G810" s="2">
        <v>0.0</v>
      </c>
      <c r="H810" s="1" t="s">
        <v>315</v>
      </c>
      <c r="I810" s="1" t="str">
        <f>IFERROR(__xludf.DUMMYFUNCTION("REGEXREPLACE(MID(H810, SEARCH(""["", H810) + 1, SEARCH(""]"", H810) - SEARCH(""["", H810) - 1), ""\[\]"","""")"),"State College Area")</f>
        <v>State College Area</v>
      </c>
      <c r="J810" s="1">
        <v>0.0</v>
      </c>
      <c r="K810" s="1">
        <v>0.0</v>
      </c>
    </row>
    <row r="811">
      <c r="A811" s="1">
        <v>3.0</v>
      </c>
      <c r="B811" s="1">
        <v>11.0</v>
      </c>
      <c r="C811" s="1">
        <v>2.0</v>
      </c>
      <c r="D811" s="1">
        <v>0.0</v>
      </c>
      <c r="E811" s="1">
        <v>0.0</v>
      </c>
      <c r="F811" s="1">
        <v>0.0</v>
      </c>
      <c r="G811" s="2">
        <v>0.0</v>
      </c>
      <c r="H811" s="1" t="s">
        <v>316</v>
      </c>
      <c r="I811" s="1" t="str">
        <f>IFERROR(__xludf.DUMMYFUNCTION("REGEXREPLACE(MID(H811, SEARCH(""["", H811) + 1, SEARCH(""]"", H811) - SEARCH(""["", H811) - 1), ""\[\]"","""")"),"State College Area")</f>
        <v>State College Area</v>
      </c>
      <c r="J811" s="1">
        <v>0.0</v>
      </c>
      <c r="K811" s="1">
        <v>0.0</v>
      </c>
    </row>
    <row r="812">
      <c r="A812" s="1">
        <v>1.0</v>
      </c>
      <c r="B812" s="1">
        <v>4.0</v>
      </c>
      <c r="C812" s="1">
        <v>1.0</v>
      </c>
      <c r="D812" s="1">
        <v>-4.0</v>
      </c>
      <c r="E812" s="1">
        <v>1.0</v>
      </c>
      <c r="F812" s="1">
        <v>0.0</v>
      </c>
      <c r="G812" s="2">
        <v>0.0</v>
      </c>
      <c r="H812" s="1" t="s">
        <v>316</v>
      </c>
      <c r="I812" s="1" t="str">
        <f>IFERROR(__xludf.DUMMYFUNCTION("REGEXREPLACE(MID(H812, SEARCH(""["", H812) + 1, SEARCH(""]"", H812) - SEARCH(""["", H812) - 1), ""\[\]"","""")"),"State College Area")</f>
        <v>State College Area</v>
      </c>
      <c r="J812" s="1">
        <v>-4.0</v>
      </c>
      <c r="K812" s="1">
        <v>1.0</v>
      </c>
    </row>
    <row r="813">
      <c r="A813" s="1">
        <v>1.0</v>
      </c>
      <c r="B813" s="1">
        <v>4.0</v>
      </c>
      <c r="C813" s="1">
        <v>0.0</v>
      </c>
      <c r="D813" s="1">
        <v>0.0</v>
      </c>
      <c r="E813" s="1">
        <v>0.0</v>
      </c>
      <c r="F813" s="1">
        <v>0.0</v>
      </c>
      <c r="G813" s="2">
        <v>0.0</v>
      </c>
      <c r="H813" s="1" t="s">
        <v>318</v>
      </c>
      <c r="I813" s="1" t="str">
        <f>IFERROR(__xludf.DUMMYFUNCTION("REGEXREPLACE(MID(H813, SEARCH(""["", H813) + 1, SEARCH(""]"", H813) - SEARCH(""["", H813) - 1), ""\[\]"","""")"),"State College Area")</f>
        <v>State College Area</v>
      </c>
      <c r="J813" s="1">
        <v>0.0</v>
      </c>
      <c r="K813" s="1">
        <v>0.0</v>
      </c>
    </row>
    <row r="814">
      <c r="A814" s="1">
        <v>4.0</v>
      </c>
      <c r="B814" s="1">
        <v>15.0</v>
      </c>
      <c r="C814" s="1">
        <v>3.0</v>
      </c>
      <c r="D814" s="1">
        <v>2.0</v>
      </c>
      <c r="E814" s="1">
        <v>0.0</v>
      </c>
      <c r="F814" s="1">
        <v>0.0</v>
      </c>
      <c r="G814" s="6">
        <v>0.667</v>
      </c>
      <c r="H814" s="1" t="s">
        <v>254</v>
      </c>
      <c r="I814" s="1" t="str">
        <f>IFERROR(__xludf.DUMMYFUNCTION("REGEXREPLACE(MID(H814, SEARCH(""["", H814) + 1, SEARCH(""]"", H814) - SEARCH(""["", H814) - 1), ""\[\]"","""")"),"State College Area")</f>
        <v>State College Area</v>
      </c>
      <c r="J814" s="1">
        <v>8.0</v>
      </c>
      <c r="K814" s="1">
        <v>0.0</v>
      </c>
    </row>
    <row r="815">
      <c r="A815" s="1">
        <v>1.0</v>
      </c>
      <c r="B815" s="1">
        <v>4.0</v>
      </c>
      <c r="C815" s="1">
        <v>2.0</v>
      </c>
      <c r="D815" s="1">
        <v>4.0</v>
      </c>
      <c r="E815" s="1">
        <v>0.0</v>
      </c>
      <c r="F815" s="1">
        <v>0.0</v>
      </c>
      <c r="G815" s="2">
        <v>0.5</v>
      </c>
      <c r="H815" s="1" t="s">
        <v>254</v>
      </c>
      <c r="I815" s="1" t="str">
        <f>IFERROR(__xludf.DUMMYFUNCTION("REGEXREPLACE(MID(H815, SEARCH(""["", H815) + 1, SEARCH(""]"", H815) - SEARCH(""["", H815) - 1), ""\[\]"","""")"),"State College Area")</f>
        <v>State College Area</v>
      </c>
      <c r="J815" s="1">
        <v>4.0</v>
      </c>
      <c r="K815" s="1">
        <v>0.0</v>
      </c>
    </row>
    <row r="816">
      <c r="A816" s="1">
        <v>1.0</v>
      </c>
      <c r="B816" s="1">
        <v>4.0</v>
      </c>
      <c r="C816" s="1">
        <v>0.0</v>
      </c>
      <c r="D816" s="1">
        <v>0.0</v>
      </c>
      <c r="E816" s="1">
        <v>0.0</v>
      </c>
      <c r="F816" s="1">
        <v>0.0</v>
      </c>
      <c r="G816" s="2">
        <v>0.0</v>
      </c>
      <c r="H816" s="1" t="s">
        <v>317</v>
      </c>
      <c r="I816" s="1" t="str">
        <f>IFERROR(__xludf.DUMMYFUNCTION("REGEXREPLACE(MID(H816, SEARCH(""["", H816) + 1, SEARCH(""]"", H816) - SEARCH(""["", H816) - 1), ""\[\]"","""")"),"Synthase")</f>
        <v>Synthase</v>
      </c>
      <c r="J816" s="1">
        <v>0.0</v>
      </c>
      <c r="K816" s="1">
        <v>0.0</v>
      </c>
    </row>
    <row r="817">
      <c r="A817" s="1">
        <v>2.0</v>
      </c>
      <c r="B817" s="1">
        <v>7.0</v>
      </c>
      <c r="C817" s="1">
        <v>0.0</v>
      </c>
      <c r="D817" s="1">
        <v>0.0</v>
      </c>
      <c r="E817" s="1">
        <v>0.0</v>
      </c>
      <c r="F817" s="1">
        <v>0.0</v>
      </c>
      <c r="G817" s="2">
        <v>0.0</v>
      </c>
      <c r="H817" s="1" t="s">
        <v>317</v>
      </c>
      <c r="I817" s="1" t="str">
        <f>IFERROR(__xludf.DUMMYFUNCTION("REGEXREPLACE(MID(H817, SEARCH(""["", H817) + 1, SEARCH(""]"", H817) - SEARCH(""["", H817) - 1), ""\[\]"","""")"),"Synthase")</f>
        <v>Synthase</v>
      </c>
      <c r="J817" s="1">
        <v>0.0</v>
      </c>
      <c r="K817" s="1">
        <v>0.0</v>
      </c>
    </row>
    <row r="818">
      <c r="A818" s="1">
        <v>2.0</v>
      </c>
      <c r="B818" s="1">
        <v>7.0</v>
      </c>
      <c r="C818" s="1">
        <v>1.0</v>
      </c>
      <c r="D818" s="1">
        <v>2.0</v>
      </c>
      <c r="E818" s="1">
        <v>0.0</v>
      </c>
      <c r="F818" s="1">
        <v>0.0</v>
      </c>
      <c r="G818" s="2">
        <v>1.0</v>
      </c>
      <c r="H818" s="1" t="s">
        <v>133</v>
      </c>
      <c r="I818" s="1" t="str">
        <f>IFERROR(__xludf.DUMMYFUNCTION("REGEXREPLACE(MID(H818, SEARCH(""["", H818) + 1, SEARCH(""]"", H818) - SEARCH(""["", H818) - 1), ""\[\]"","""")"),"Synthase")</f>
        <v>Synthase</v>
      </c>
      <c r="J818" s="1">
        <v>4.0</v>
      </c>
      <c r="K818" s="1">
        <v>0.0</v>
      </c>
    </row>
    <row r="819">
      <c r="A819" s="1">
        <v>1.0</v>
      </c>
      <c r="B819" s="1">
        <v>4.0</v>
      </c>
      <c r="C819" s="1">
        <v>2.0</v>
      </c>
      <c r="D819" s="1">
        <v>8.0</v>
      </c>
      <c r="E819" s="1">
        <v>0.0</v>
      </c>
      <c r="F819" s="1">
        <v>0.0</v>
      </c>
      <c r="G819" s="2">
        <v>1.0</v>
      </c>
      <c r="H819" s="1" t="s">
        <v>133</v>
      </c>
      <c r="I819" s="1" t="str">
        <f>IFERROR(__xludf.DUMMYFUNCTION("REGEXREPLACE(MID(H819, SEARCH(""["", H819) + 1, SEARCH(""]"", H819) - SEARCH(""["", H819) - 1), ""\[\]"","""")"),"Synthase")</f>
        <v>Synthase</v>
      </c>
      <c r="J819" s="1">
        <v>8.0</v>
      </c>
      <c r="K819" s="1">
        <v>0.0</v>
      </c>
    </row>
    <row r="820">
      <c r="A820" s="1">
        <v>1.0</v>
      </c>
      <c r="B820" s="1">
        <v>3.0</v>
      </c>
      <c r="C820" s="1">
        <v>1.0</v>
      </c>
      <c r="D820" s="1">
        <v>0.0</v>
      </c>
      <c r="E820" s="1">
        <v>0.0</v>
      </c>
      <c r="F820" s="1">
        <v>0.0</v>
      </c>
      <c r="G820" s="2">
        <v>0.0</v>
      </c>
      <c r="H820" s="1" t="s">
        <v>319</v>
      </c>
      <c r="I820" s="1" t="str">
        <f>IFERROR(__xludf.DUMMYFUNCTION("REGEXREPLACE(MID(H820, SEARCH(""["", H820) + 1, SEARCH(""]"", H820) - SEARCH(""["", H820) - 1), ""\[\]"","""")"),"Synthase")</f>
        <v>Synthase</v>
      </c>
      <c r="J820" s="1">
        <v>0.0</v>
      </c>
      <c r="K820" s="1">
        <v>0.0</v>
      </c>
    </row>
    <row r="821">
      <c r="A821" s="1">
        <v>5.0</v>
      </c>
      <c r="B821" s="1">
        <v>18.0</v>
      </c>
      <c r="C821" s="1">
        <v>6.0</v>
      </c>
      <c r="D821" s="1">
        <v>0.8</v>
      </c>
      <c r="E821" s="1">
        <v>0.0</v>
      </c>
      <c r="F821" s="1">
        <v>0.0</v>
      </c>
      <c r="G821" s="6">
        <v>0.167</v>
      </c>
      <c r="H821" s="1" t="s">
        <v>129</v>
      </c>
      <c r="I821" s="1" t="str">
        <f>IFERROR(__xludf.DUMMYFUNCTION("REGEXREPLACE(MID(H821, SEARCH(""["", H821) + 1, SEARCH(""]"", H821) - SEARCH(""["", H821) - 1), ""\[\]"","""")"),"Synthase")</f>
        <v>Synthase</v>
      </c>
      <c r="J821" s="1">
        <v>4.0</v>
      </c>
      <c r="K821" s="1">
        <v>0.0</v>
      </c>
    </row>
    <row r="822">
      <c r="A822" s="1">
        <v>2.0</v>
      </c>
      <c r="B822" s="1">
        <v>7.0</v>
      </c>
      <c r="C822" s="1">
        <v>0.0</v>
      </c>
      <c r="D822" s="1">
        <v>0.0</v>
      </c>
      <c r="E822" s="1">
        <v>0.0</v>
      </c>
      <c r="F822" s="1">
        <v>0.0</v>
      </c>
      <c r="G822" s="2">
        <v>0.0</v>
      </c>
      <c r="H822" s="1" t="s">
        <v>320</v>
      </c>
      <c r="I822" s="1" t="str">
        <f>IFERROR(__xludf.DUMMYFUNCTION("REGEXREPLACE(MID(H822, SEARCH(""["", H822) + 1, SEARCH(""]"", H822) - SEARCH(""["", H822) - 1), ""\[\]"","""")"),"The Catalysts")</f>
        <v>The Catalysts</v>
      </c>
      <c r="J822" s="1">
        <v>0.0</v>
      </c>
      <c r="K822" s="1">
        <v>0.0</v>
      </c>
    </row>
    <row r="823">
      <c r="A823" s="1">
        <v>1.0</v>
      </c>
      <c r="B823" s="1">
        <v>4.0</v>
      </c>
      <c r="C823" s="1">
        <v>0.0</v>
      </c>
      <c r="D823" s="1">
        <v>0.0</v>
      </c>
      <c r="E823" s="1">
        <v>0.0</v>
      </c>
      <c r="F823" s="1">
        <v>0.0</v>
      </c>
      <c r="G823" s="2">
        <v>0.0</v>
      </c>
      <c r="H823" s="1" t="s">
        <v>320</v>
      </c>
      <c r="I823" s="1" t="str">
        <f>IFERROR(__xludf.DUMMYFUNCTION("REGEXREPLACE(MID(H823, SEARCH(""["", H823) + 1, SEARCH(""]"", H823) - SEARCH(""["", H823) - 1), ""\[\]"","""")"),"The Catalysts")</f>
        <v>The Catalysts</v>
      </c>
      <c r="J823" s="1">
        <v>0.0</v>
      </c>
      <c r="K823" s="1">
        <v>0.0</v>
      </c>
    </row>
    <row r="824">
      <c r="A824" s="1">
        <v>2.0</v>
      </c>
      <c r="B824" s="1">
        <v>8.0</v>
      </c>
      <c r="C824" s="1">
        <v>0.0</v>
      </c>
      <c r="D824" s="1">
        <v>0.0</v>
      </c>
      <c r="E824" s="1">
        <v>0.0</v>
      </c>
      <c r="F824" s="1">
        <v>0.0</v>
      </c>
      <c r="G824" s="2">
        <v>0.0</v>
      </c>
      <c r="H824" s="1" t="s">
        <v>320</v>
      </c>
      <c r="I824" s="1" t="str">
        <f>IFERROR(__xludf.DUMMYFUNCTION("REGEXREPLACE(MID(H824, SEARCH(""["", H824) + 1, SEARCH(""]"", H824) - SEARCH(""["", H824) - 1), ""\[\]"","""")"),"The Catalysts")</f>
        <v>The Catalysts</v>
      </c>
      <c r="J824" s="1">
        <v>0.0</v>
      </c>
      <c r="K824" s="1">
        <v>0.0</v>
      </c>
    </row>
    <row r="825">
      <c r="A825" s="1">
        <v>2.0</v>
      </c>
      <c r="B825" s="1">
        <v>7.0</v>
      </c>
      <c r="C825" s="1">
        <v>0.0</v>
      </c>
      <c r="D825" s="1">
        <v>0.0</v>
      </c>
      <c r="E825" s="1">
        <v>0.0</v>
      </c>
      <c r="F825" s="1">
        <v>0.0</v>
      </c>
      <c r="G825" s="2">
        <v>0.0</v>
      </c>
      <c r="H825" s="1" t="s">
        <v>287</v>
      </c>
      <c r="I825" s="1" t="str">
        <f>IFERROR(__xludf.DUMMYFUNCTION("REGEXREPLACE(MID(H825, SEARCH(""["", H825) + 1, SEARCH(""]"", H825) - SEARCH(""["", H825) - 1), ""\[\]"","""")"),"The Catalysts")</f>
        <v>The Catalysts</v>
      </c>
      <c r="J825" s="1">
        <v>0.0</v>
      </c>
      <c r="K825" s="1">
        <v>0.0</v>
      </c>
    </row>
    <row r="826">
      <c r="A826" s="1">
        <v>1.0</v>
      </c>
      <c r="B826" s="1">
        <v>4.0</v>
      </c>
      <c r="C826" s="1">
        <v>0.0</v>
      </c>
      <c r="D826" s="1">
        <v>0.0</v>
      </c>
      <c r="E826" s="1">
        <v>0.0</v>
      </c>
      <c r="F826" s="1">
        <v>0.0</v>
      </c>
      <c r="G826" s="2">
        <v>0.0</v>
      </c>
      <c r="H826" s="1" t="s">
        <v>287</v>
      </c>
      <c r="I826" s="1" t="str">
        <f>IFERROR(__xludf.DUMMYFUNCTION("REGEXREPLACE(MID(H826, SEARCH(""["", H826) + 1, SEARCH(""]"", H826) - SEARCH(""["", H826) - 1), ""\[\]"","""")"),"The Catalysts")</f>
        <v>The Catalysts</v>
      </c>
      <c r="J826" s="1">
        <v>0.0</v>
      </c>
      <c r="K826" s="1">
        <v>0.0</v>
      </c>
    </row>
    <row r="827">
      <c r="A827" s="1">
        <v>2.0</v>
      </c>
      <c r="B827" s="1">
        <v>8.0</v>
      </c>
      <c r="C827" s="1">
        <v>0.0</v>
      </c>
      <c r="D827" s="1">
        <v>0.0</v>
      </c>
      <c r="E827" s="1">
        <v>0.0</v>
      </c>
      <c r="F827" s="1">
        <v>0.0</v>
      </c>
      <c r="G827" s="2">
        <v>0.0</v>
      </c>
      <c r="H827" s="1" t="s">
        <v>287</v>
      </c>
      <c r="I827" s="1" t="str">
        <f>IFERROR(__xludf.DUMMYFUNCTION("REGEXREPLACE(MID(H827, SEARCH(""["", H827) + 1, SEARCH(""]"", H827) - SEARCH(""["", H827) - 1), ""\[\]"","""")"),"The Catalysts")</f>
        <v>The Catalysts</v>
      </c>
      <c r="J827" s="1">
        <v>0.0</v>
      </c>
      <c r="K827" s="1">
        <v>0.0</v>
      </c>
    </row>
    <row r="828">
      <c r="A828" s="1">
        <v>2.0</v>
      </c>
      <c r="B828" s="1">
        <v>7.0</v>
      </c>
      <c r="C828" s="1">
        <v>6.0</v>
      </c>
      <c r="D828" s="1">
        <v>10.0</v>
      </c>
      <c r="E828" s="1">
        <v>0.0</v>
      </c>
      <c r="F828" s="1">
        <v>0.0</v>
      </c>
      <c r="G828" s="6">
        <v>0.833</v>
      </c>
      <c r="H828" s="1" t="s">
        <v>289</v>
      </c>
      <c r="I828" s="1" t="str">
        <f>IFERROR(__xludf.DUMMYFUNCTION("REGEXREPLACE(MID(H828, SEARCH(""["", H828) + 1, SEARCH(""]"", H828) - SEARCH(""["", H828) - 1), ""\[\]"","""")"),"The Catalysts")</f>
        <v>The Catalysts</v>
      </c>
      <c r="J828" s="1">
        <v>20.0</v>
      </c>
      <c r="K828" s="1">
        <v>0.0</v>
      </c>
    </row>
    <row r="829">
      <c r="A829" s="1">
        <v>1.0</v>
      </c>
      <c r="B829" s="1">
        <v>4.0</v>
      </c>
      <c r="C829" s="1">
        <v>3.0</v>
      </c>
      <c r="D829" s="1">
        <v>0.0</v>
      </c>
      <c r="E829" s="1">
        <v>0.0</v>
      </c>
      <c r="F829" s="1">
        <v>0.0</v>
      </c>
      <c r="G829" s="2">
        <v>0.0</v>
      </c>
      <c r="H829" s="1" t="s">
        <v>289</v>
      </c>
      <c r="I829" s="1" t="str">
        <f>IFERROR(__xludf.DUMMYFUNCTION("REGEXREPLACE(MID(H829, SEARCH(""["", H829) + 1, SEARCH(""]"", H829) - SEARCH(""["", H829) - 1), ""\[\]"","""")"),"The Catalysts")</f>
        <v>The Catalysts</v>
      </c>
      <c r="J829" s="1">
        <v>0.0</v>
      </c>
      <c r="K829" s="1">
        <v>0.0</v>
      </c>
    </row>
    <row r="830">
      <c r="A830" s="1">
        <v>2.0</v>
      </c>
      <c r="B830" s="1">
        <v>8.0</v>
      </c>
      <c r="C830" s="1">
        <v>6.0</v>
      </c>
      <c r="D830" s="1">
        <v>6.0</v>
      </c>
      <c r="E830" s="1">
        <v>0.0</v>
      </c>
      <c r="F830" s="1">
        <v>0.0</v>
      </c>
      <c r="G830" s="2">
        <v>0.5</v>
      </c>
      <c r="H830" s="1" t="s">
        <v>289</v>
      </c>
      <c r="I830" s="1" t="str">
        <f>IFERROR(__xludf.DUMMYFUNCTION("REGEXREPLACE(MID(H830, SEARCH(""["", H830) + 1, SEARCH(""]"", H830) - SEARCH(""["", H830) - 1), ""\[\]"","""")"),"The Catalysts")</f>
        <v>The Catalysts</v>
      </c>
      <c r="J830" s="1">
        <v>12.0</v>
      </c>
      <c r="K830" s="1">
        <v>0.0</v>
      </c>
    </row>
    <row r="831">
      <c r="A831" s="1">
        <v>2.0</v>
      </c>
      <c r="B831" s="1">
        <v>7.0</v>
      </c>
      <c r="C831" s="1">
        <v>0.0</v>
      </c>
      <c r="D831" s="1">
        <v>0.0</v>
      </c>
      <c r="E831" s="1">
        <v>0.0</v>
      </c>
      <c r="F831" s="1">
        <v>0.0</v>
      </c>
      <c r="G831" s="2">
        <v>0.0</v>
      </c>
      <c r="H831" s="1" t="s">
        <v>321</v>
      </c>
      <c r="I831" s="1" t="str">
        <f>IFERROR(__xludf.DUMMYFUNCTION("REGEXREPLACE(MID(H831, SEARCH(""["", H831) + 1, SEARCH(""]"", H831) - SEARCH(""["", H831) - 1), ""\[\]"","""")"),"The Catalysts")</f>
        <v>The Catalysts</v>
      </c>
      <c r="J831" s="1">
        <v>0.0</v>
      </c>
      <c r="K831" s="1">
        <v>0.0</v>
      </c>
    </row>
    <row r="832">
      <c r="A832" s="1">
        <v>1.0</v>
      </c>
      <c r="B832" s="1">
        <v>4.0</v>
      </c>
      <c r="C832" s="1">
        <v>0.0</v>
      </c>
      <c r="D832" s="1">
        <v>0.0</v>
      </c>
      <c r="E832" s="1">
        <v>0.0</v>
      </c>
      <c r="F832" s="1">
        <v>0.0</v>
      </c>
      <c r="G832" s="2">
        <v>0.0</v>
      </c>
      <c r="H832" s="1" t="s">
        <v>321</v>
      </c>
      <c r="I832" s="1" t="str">
        <f>IFERROR(__xludf.DUMMYFUNCTION("REGEXREPLACE(MID(H832, SEARCH(""["", H832) + 1, SEARCH(""]"", H832) - SEARCH(""["", H832) - 1), ""\[\]"","""")"),"The Catalysts")</f>
        <v>The Catalysts</v>
      </c>
      <c r="J832" s="1">
        <v>0.0</v>
      </c>
      <c r="K832" s="1">
        <v>0.0</v>
      </c>
    </row>
    <row r="833">
      <c r="A833" s="1">
        <v>1.0</v>
      </c>
      <c r="B833" s="1">
        <v>4.0</v>
      </c>
      <c r="C833" s="1">
        <v>0.0</v>
      </c>
      <c r="D833" s="1">
        <v>0.0</v>
      </c>
      <c r="E833" s="1">
        <v>0.0</v>
      </c>
      <c r="F833" s="1">
        <v>0.0</v>
      </c>
      <c r="G833" s="2">
        <v>0.0</v>
      </c>
      <c r="H833" s="1" t="s">
        <v>321</v>
      </c>
      <c r="I833" s="1" t="str">
        <f>IFERROR(__xludf.DUMMYFUNCTION("REGEXREPLACE(MID(H833, SEARCH(""["", H833) + 1, SEARCH(""]"", H833) - SEARCH(""["", H833) - 1), ""\[\]"","""")"),"The Catalysts")</f>
        <v>The Catalysts</v>
      </c>
      <c r="J833" s="1">
        <v>0.0</v>
      </c>
      <c r="K833" s="1">
        <v>0.0</v>
      </c>
    </row>
    <row r="834">
      <c r="A834" s="1">
        <v>2.0</v>
      </c>
      <c r="B834" s="1">
        <v>7.0</v>
      </c>
      <c r="C834" s="1">
        <v>0.0</v>
      </c>
      <c r="D834" s="1">
        <v>0.0</v>
      </c>
      <c r="E834" s="1">
        <v>0.0</v>
      </c>
      <c r="F834" s="1">
        <v>0.0</v>
      </c>
      <c r="G834" s="2">
        <v>0.0</v>
      </c>
      <c r="H834" s="1" t="s">
        <v>323</v>
      </c>
      <c r="I834" s="1" t="str">
        <f>IFERROR(__xludf.DUMMYFUNCTION("REGEXREPLACE(MID(H834, SEARCH(""["", H834) + 1, SEARCH(""]"", H834) - SEARCH(""["", H834) - 1), ""\[\]"","""")"),"The Catalysts")</f>
        <v>The Catalysts</v>
      </c>
      <c r="J834" s="1">
        <v>0.0</v>
      </c>
      <c r="K834" s="1">
        <v>0.0</v>
      </c>
    </row>
    <row r="835">
      <c r="A835" s="1">
        <v>1.0</v>
      </c>
      <c r="B835" s="1">
        <v>4.0</v>
      </c>
      <c r="C835" s="1">
        <v>0.0</v>
      </c>
      <c r="D835" s="1">
        <v>0.0</v>
      </c>
      <c r="E835" s="1">
        <v>0.0</v>
      </c>
      <c r="F835" s="1">
        <v>0.0</v>
      </c>
      <c r="G835" s="2">
        <v>0.0</v>
      </c>
      <c r="H835" s="1" t="s">
        <v>323</v>
      </c>
      <c r="I835" s="1" t="str">
        <f>IFERROR(__xludf.DUMMYFUNCTION("REGEXREPLACE(MID(H835, SEARCH(""["", H835) + 1, SEARCH(""]"", H835) - SEARCH(""["", H835) - 1), ""\[\]"","""")"),"The Catalysts")</f>
        <v>The Catalysts</v>
      </c>
      <c r="J835" s="1">
        <v>0.0</v>
      </c>
      <c r="K835" s="1">
        <v>0.0</v>
      </c>
    </row>
    <row r="836">
      <c r="A836" s="1">
        <v>2.0</v>
      </c>
      <c r="B836" s="1">
        <v>8.0</v>
      </c>
      <c r="C836" s="1">
        <v>0.0</v>
      </c>
      <c r="D836" s="1">
        <v>0.0</v>
      </c>
      <c r="E836" s="1">
        <v>0.0</v>
      </c>
      <c r="F836" s="1">
        <v>0.0</v>
      </c>
      <c r="G836" s="2">
        <v>0.0</v>
      </c>
      <c r="H836" s="1" t="s">
        <v>323</v>
      </c>
      <c r="I836" s="1" t="str">
        <f>IFERROR(__xludf.DUMMYFUNCTION("REGEXREPLACE(MID(H836, SEARCH(""["", H836) + 1, SEARCH(""]"", H836) - SEARCH(""["", H836) - 1), ""\[\]"","""")"),"The Catalysts")</f>
        <v>The Catalysts</v>
      </c>
      <c r="J836" s="1">
        <v>0.0</v>
      </c>
      <c r="K836" s="1">
        <v>0.0</v>
      </c>
    </row>
    <row r="837">
      <c r="A837" s="1">
        <v>1.0</v>
      </c>
      <c r="B837" s="1">
        <v>4.0</v>
      </c>
      <c r="C837" s="1">
        <v>0.0</v>
      </c>
      <c r="D837" s="1">
        <v>0.0</v>
      </c>
      <c r="E837" s="1">
        <v>0.0</v>
      </c>
      <c r="F837" s="1">
        <v>0.0</v>
      </c>
      <c r="G837" s="2">
        <v>0.0</v>
      </c>
      <c r="H837" s="1" t="s">
        <v>278</v>
      </c>
      <c r="I837" s="1" t="str">
        <f>IFERROR(__xludf.DUMMYFUNCTION("REGEXREPLACE(MID(H837, SEARCH(""["", H837) + 1, SEARCH(""]"", H837) - SEARCH(""["", H837) - 1), ""\[\]"","""")"),"The Outliers")</f>
        <v>The Outliers</v>
      </c>
      <c r="J837" s="1">
        <v>0.0</v>
      </c>
      <c r="K837" s="1">
        <v>0.0</v>
      </c>
    </row>
    <row r="838">
      <c r="A838" s="1">
        <v>3.0</v>
      </c>
      <c r="B838" s="1">
        <v>11.0</v>
      </c>
      <c r="C838" s="1">
        <v>0.0</v>
      </c>
      <c r="D838" s="1">
        <v>0.0</v>
      </c>
      <c r="E838" s="1">
        <v>0.0</v>
      </c>
      <c r="F838" s="1">
        <v>0.0</v>
      </c>
      <c r="G838" s="2">
        <v>0.0</v>
      </c>
      <c r="H838" s="1" t="s">
        <v>278</v>
      </c>
      <c r="I838" s="1" t="str">
        <f>IFERROR(__xludf.DUMMYFUNCTION("REGEXREPLACE(MID(H838, SEARCH(""["", H838) + 1, SEARCH(""]"", H838) - SEARCH(""["", H838) - 1), ""\[\]"","""")"),"The Outliers")</f>
        <v>The Outliers</v>
      </c>
      <c r="J838" s="1">
        <v>0.0</v>
      </c>
      <c r="K838" s="1">
        <v>0.0</v>
      </c>
    </row>
    <row r="839">
      <c r="A839" s="1">
        <v>1.0</v>
      </c>
      <c r="B839" s="1">
        <v>4.0</v>
      </c>
      <c r="C839" s="1">
        <v>0.0</v>
      </c>
      <c r="D839" s="1">
        <v>0.0</v>
      </c>
      <c r="E839" s="1">
        <v>0.0</v>
      </c>
      <c r="F839" s="1">
        <v>0.0</v>
      </c>
      <c r="G839" s="2">
        <v>0.0</v>
      </c>
      <c r="H839" s="1" t="s">
        <v>325</v>
      </c>
      <c r="I839" s="1" t="str">
        <f>IFERROR(__xludf.DUMMYFUNCTION("REGEXREPLACE(MID(H839, SEARCH(""["", H839) + 1, SEARCH(""]"", H839) - SEARCH(""["", H839) - 1), ""\[\]"","""")"),"The Outliers")</f>
        <v>The Outliers</v>
      </c>
      <c r="J839" s="1">
        <v>0.0</v>
      </c>
      <c r="K839" s="1">
        <v>0.0</v>
      </c>
    </row>
    <row r="840">
      <c r="A840" s="1">
        <v>4.0</v>
      </c>
      <c r="B840" s="1">
        <v>15.0</v>
      </c>
      <c r="C840" s="1">
        <v>0.0</v>
      </c>
      <c r="D840" s="1">
        <v>0.0</v>
      </c>
      <c r="E840" s="1">
        <v>0.0</v>
      </c>
      <c r="F840" s="1">
        <v>0.0</v>
      </c>
      <c r="G840" s="2">
        <v>0.0</v>
      </c>
      <c r="H840" s="1" t="s">
        <v>325</v>
      </c>
      <c r="I840" s="1" t="str">
        <f>IFERROR(__xludf.DUMMYFUNCTION("REGEXREPLACE(MID(H840, SEARCH(""["", H840) + 1, SEARCH(""]"", H840) - SEARCH(""["", H840) - 1), ""\[\]"","""")"),"The Outliers")</f>
        <v>The Outliers</v>
      </c>
      <c r="J840" s="1">
        <v>0.0</v>
      </c>
      <c r="K840" s="1">
        <v>0.0</v>
      </c>
    </row>
    <row r="841">
      <c r="A841" s="1">
        <v>1.0</v>
      </c>
      <c r="B841" s="1">
        <v>4.0</v>
      </c>
      <c r="C841" s="1">
        <v>0.0</v>
      </c>
      <c r="D841" s="1">
        <v>0.0</v>
      </c>
      <c r="E841" s="1">
        <v>0.0</v>
      </c>
      <c r="F841" s="1">
        <v>0.0</v>
      </c>
      <c r="G841" s="2">
        <v>0.0</v>
      </c>
      <c r="H841" s="1" t="s">
        <v>326</v>
      </c>
      <c r="I841" s="1" t="str">
        <f>IFERROR(__xludf.DUMMYFUNCTION("REGEXREPLACE(MID(H841, SEARCH(""["", H841) + 1, SEARCH(""]"", H841) - SEARCH(""["", H841) - 1), ""\[\]"","""")"),"The Outliers")</f>
        <v>The Outliers</v>
      </c>
      <c r="J841" s="1">
        <v>0.0</v>
      </c>
      <c r="K841" s="1">
        <v>0.0</v>
      </c>
    </row>
    <row r="842">
      <c r="A842" s="1">
        <v>2.0</v>
      </c>
      <c r="B842" s="1">
        <v>8.0</v>
      </c>
      <c r="C842" s="1">
        <v>0.0</v>
      </c>
      <c r="D842" s="1">
        <v>0.0</v>
      </c>
      <c r="E842" s="1">
        <v>0.0</v>
      </c>
      <c r="F842" s="1">
        <v>0.0</v>
      </c>
      <c r="G842" s="2">
        <v>0.0</v>
      </c>
      <c r="H842" s="1" t="s">
        <v>326</v>
      </c>
      <c r="I842" s="1" t="str">
        <f>IFERROR(__xludf.DUMMYFUNCTION("REGEXREPLACE(MID(H842, SEARCH(""["", H842) + 1, SEARCH(""]"", H842) - SEARCH(""["", H842) - 1), ""\[\]"","""")"),"The Outliers")</f>
        <v>The Outliers</v>
      </c>
      <c r="J842" s="1">
        <v>0.0</v>
      </c>
      <c r="K842" s="1">
        <v>0.0</v>
      </c>
    </row>
    <row r="843">
      <c r="A843" s="1">
        <v>1.0</v>
      </c>
      <c r="B843" s="1">
        <v>4.0</v>
      </c>
      <c r="C843" s="1">
        <v>4.0</v>
      </c>
      <c r="D843" s="1">
        <v>4.0</v>
      </c>
      <c r="E843" s="1">
        <v>1.0</v>
      </c>
      <c r="F843" s="1">
        <v>0.0</v>
      </c>
      <c r="G843" s="2">
        <v>0.5</v>
      </c>
      <c r="H843" s="1" t="s">
        <v>311</v>
      </c>
      <c r="I843" s="1" t="str">
        <f>IFERROR(__xludf.DUMMYFUNCTION("REGEXREPLACE(MID(H843, SEARCH(""["", H843) + 1, SEARCH(""]"", H843) - SEARCH(""["", H843) - 1), ""\[\]"","""")"),"The Outliers")</f>
        <v>The Outliers</v>
      </c>
      <c r="J843" s="1">
        <v>4.0</v>
      </c>
      <c r="K843" s="1">
        <v>1.0</v>
      </c>
    </row>
    <row r="844">
      <c r="A844" s="1">
        <v>4.0</v>
      </c>
      <c r="B844" s="1">
        <v>15.0</v>
      </c>
      <c r="C844" s="1">
        <v>9.0</v>
      </c>
      <c r="D844" s="1">
        <v>3.0</v>
      </c>
      <c r="E844" s="1">
        <v>0.25</v>
      </c>
      <c r="F844" s="1">
        <v>0.0</v>
      </c>
      <c r="G844" s="6">
        <v>0.444</v>
      </c>
      <c r="H844" s="1" t="s">
        <v>311</v>
      </c>
      <c r="I844" s="1" t="str">
        <f>IFERROR(__xludf.DUMMYFUNCTION("REGEXREPLACE(MID(H844, SEARCH(""["", H844) + 1, SEARCH(""]"", H844) - SEARCH(""["", H844) - 1), ""\[\]"","""")"),"The Outliers")</f>
        <v>The Outliers</v>
      </c>
      <c r="J844" s="1">
        <v>12.0</v>
      </c>
      <c r="K844" s="1">
        <v>1.0</v>
      </c>
    </row>
    <row r="845">
      <c r="A845" s="1">
        <v>1.0</v>
      </c>
      <c r="B845" s="1">
        <v>3.0</v>
      </c>
      <c r="C845" s="1">
        <v>1.0</v>
      </c>
      <c r="D845" s="1">
        <v>4.0</v>
      </c>
      <c r="E845" s="1">
        <v>0.0</v>
      </c>
      <c r="F845" s="1">
        <v>0.0</v>
      </c>
      <c r="G845" s="2">
        <v>1.0</v>
      </c>
      <c r="H845" s="1" t="s">
        <v>322</v>
      </c>
      <c r="I845" s="1" t="str">
        <f>IFERROR(__xludf.DUMMYFUNCTION("REGEXREPLACE(MID(H845, SEARCH(""["", H845) + 1, SEARCH(""]"", H845) - SEARCH(""["", H845) - 1), ""\[\]"","""")"),"The Outliers")</f>
        <v>The Outliers</v>
      </c>
      <c r="J845" s="1">
        <v>4.0</v>
      </c>
      <c r="K845" s="1">
        <v>0.0</v>
      </c>
    </row>
    <row r="846">
      <c r="A846" s="1">
        <v>3.0</v>
      </c>
      <c r="B846" s="1">
        <v>12.0</v>
      </c>
      <c r="C846" s="1">
        <v>2.0</v>
      </c>
      <c r="D846" s="1">
        <v>2.67</v>
      </c>
      <c r="E846" s="1">
        <v>0.0</v>
      </c>
      <c r="F846" s="1">
        <v>0.0</v>
      </c>
      <c r="G846" s="2">
        <v>1.0</v>
      </c>
      <c r="H846" s="1" t="s">
        <v>322</v>
      </c>
      <c r="I846" s="1" t="str">
        <f>IFERROR(__xludf.DUMMYFUNCTION("REGEXREPLACE(MID(H846, SEARCH(""["", H846) + 1, SEARCH(""]"", H846) - SEARCH(""["", H846) - 1), ""\[\]"","""")"),"The Outliers")</f>
        <v>The Outliers</v>
      </c>
      <c r="J846" s="1">
        <v>8.0</v>
      </c>
      <c r="K846" s="1">
        <v>0.0</v>
      </c>
    </row>
    <row r="847">
      <c r="A847" s="1">
        <v>3.0</v>
      </c>
      <c r="B847" s="1">
        <v>12.0</v>
      </c>
      <c r="C847" s="1">
        <v>3.0</v>
      </c>
      <c r="D847" s="1">
        <v>0.0</v>
      </c>
      <c r="E847" s="1">
        <v>0.0</v>
      </c>
      <c r="F847" s="1">
        <v>0.0</v>
      </c>
      <c r="G847" s="2">
        <v>0.0</v>
      </c>
      <c r="H847" s="1" t="s">
        <v>328</v>
      </c>
      <c r="I847" s="1" t="str">
        <f>IFERROR(__xludf.DUMMYFUNCTION("REGEXREPLACE(MID(H847, SEARCH(""["", H847) + 1, SEARCH(""]"", H847) - SEARCH(""["", H847) - 1), ""\[\]"","""")"),"The Woodlands HS")</f>
        <v>The Woodlands HS</v>
      </c>
      <c r="J847" s="1">
        <v>0.0</v>
      </c>
      <c r="K847" s="1">
        <v>0.0</v>
      </c>
    </row>
    <row r="848">
      <c r="A848" s="1">
        <v>3.0</v>
      </c>
      <c r="B848" s="1">
        <v>12.0</v>
      </c>
      <c r="C848" s="1">
        <v>1.0</v>
      </c>
      <c r="D848" s="1">
        <v>0.0</v>
      </c>
      <c r="E848" s="1">
        <v>0.0</v>
      </c>
      <c r="F848" s="1">
        <v>0.0</v>
      </c>
      <c r="G848" s="2">
        <v>0.0</v>
      </c>
      <c r="H848" s="1" t="s">
        <v>329</v>
      </c>
      <c r="I848" s="1" t="str">
        <f>IFERROR(__xludf.DUMMYFUNCTION("REGEXREPLACE(MID(H848, SEARCH(""["", H848) + 1, SEARCH(""]"", H848) - SEARCH(""["", H848) - 1), ""\[\]"","""")"),"The Woodlands HS")</f>
        <v>The Woodlands HS</v>
      </c>
      <c r="J848" s="1">
        <v>0.0</v>
      </c>
      <c r="K848" s="1">
        <v>0.0</v>
      </c>
    </row>
    <row r="849">
      <c r="A849" s="1">
        <v>1.0</v>
      </c>
      <c r="B849" s="1">
        <v>4.0</v>
      </c>
      <c r="C849" s="1">
        <v>0.0</v>
      </c>
      <c r="D849" s="1">
        <v>0.0</v>
      </c>
      <c r="E849" s="1">
        <v>0.0</v>
      </c>
      <c r="F849" s="1">
        <v>0.0</v>
      </c>
      <c r="G849" s="2">
        <v>0.0</v>
      </c>
      <c r="H849" s="1" t="s">
        <v>329</v>
      </c>
      <c r="I849" s="1" t="str">
        <f>IFERROR(__xludf.DUMMYFUNCTION("REGEXREPLACE(MID(H849, SEARCH(""["", H849) + 1, SEARCH(""]"", H849) - SEARCH(""["", H849) - 1), ""\[\]"","""")"),"The Woodlands HS")</f>
        <v>The Woodlands HS</v>
      </c>
      <c r="J849" s="1">
        <v>0.0</v>
      </c>
      <c r="K849" s="1">
        <v>0.0</v>
      </c>
    </row>
    <row r="850">
      <c r="A850" s="1">
        <v>2.0</v>
      </c>
      <c r="B850" s="1">
        <v>8.0</v>
      </c>
      <c r="C850" s="1">
        <v>5.0</v>
      </c>
      <c r="D850" s="1">
        <v>0.0</v>
      </c>
      <c r="E850" s="1">
        <v>0.5</v>
      </c>
      <c r="F850" s="1">
        <v>0.0</v>
      </c>
      <c r="G850" s="2">
        <v>0.2</v>
      </c>
      <c r="H850" s="1" t="s">
        <v>330</v>
      </c>
      <c r="I850" s="1" t="str">
        <f>IFERROR(__xludf.DUMMYFUNCTION("REGEXREPLACE(MID(H850, SEARCH(""["", H850) + 1, SEARCH(""]"", H850) - SEARCH(""["", H850) - 1), ""\[\]"","""")"),"The Woodlands HS")</f>
        <v>The Woodlands HS</v>
      </c>
      <c r="J850" s="1">
        <v>0.0</v>
      </c>
      <c r="K850" s="1">
        <v>1.0</v>
      </c>
    </row>
    <row r="851">
      <c r="A851" s="1">
        <v>3.0</v>
      </c>
      <c r="B851" s="1">
        <v>12.0</v>
      </c>
      <c r="C851" s="1">
        <v>6.0</v>
      </c>
      <c r="D851" s="1">
        <v>2.67</v>
      </c>
      <c r="E851" s="1">
        <v>0.0</v>
      </c>
      <c r="F851" s="1">
        <v>0.0</v>
      </c>
      <c r="G851" s="6">
        <v>0.333</v>
      </c>
      <c r="H851" s="1" t="s">
        <v>330</v>
      </c>
      <c r="I851" s="1" t="str">
        <f>IFERROR(__xludf.DUMMYFUNCTION("REGEXREPLACE(MID(H851, SEARCH(""["", H851) + 1, SEARCH(""]"", H851) - SEARCH(""["", H851) - 1), ""\[\]"","""")"),"The Woodlands HS")</f>
        <v>The Woodlands HS</v>
      </c>
      <c r="J851" s="1">
        <v>8.0</v>
      </c>
      <c r="K851" s="1">
        <v>0.0</v>
      </c>
    </row>
    <row r="852">
      <c r="A852" s="1">
        <v>2.0</v>
      </c>
      <c r="B852" s="1">
        <v>8.0</v>
      </c>
      <c r="C852" s="1">
        <v>0.0</v>
      </c>
      <c r="D852" s="1">
        <v>0.0</v>
      </c>
      <c r="E852" s="1">
        <v>0.0</v>
      </c>
      <c r="F852" s="1">
        <v>0.0</v>
      </c>
      <c r="G852" s="2">
        <v>0.0</v>
      </c>
      <c r="H852" s="1" t="s">
        <v>331</v>
      </c>
      <c r="I852" s="1" t="str">
        <f>IFERROR(__xludf.DUMMYFUNCTION("REGEXREPLACE(MID(H852, SEARCH(""["", H852) + 1, SEARCH(""]"", H852) - SEARCH(""["", H852) - 1), ""\[\]"","""")"),"The Woodlands HS")</f>
        <v>The Woodlands HS</v>
      </c>
      <c r="J852" s="1">
        <v>0.0</v>
      </c>
      <c r="K852" s="1">
        <v>0.0</v>
      </c>
    </row>
    <row r="853">
      <c r="A853" s="1">
        <v>2.0</v>
      </c>
      <c r="B853" s="1">
        <v>8.0</v>
      </c>
      <c r="C853" s="1">
        <v>0.0</v>
      </c>
      <c r="D853" s="1">
        <v>0.0</v>
      </c>
      <c r="E853" s="1">
        <v>0.0</v>
      </c>
      <c r="F853" s="1">
        <v>0.0</v>
      </c>
      <c r="G853" s="2">
        <v>0.0</v>
      </c>
      <c r="H853" s="1" t="s">
        <v>331</v>
      </c>
      <c r="I853" s="1" t="str">
        <f>IFERROR(__xludf.DUMMYFUNCTION("REGEXREPLACE(MID(H853, SEARCH(""["", H853) + 1, SEARCH(""]"", H853) - SEARCH(""["", H853) - 1), ""\[\]"","""")"),"The Woodlands HS")</f>
        <v>The Woodlands HS</v>
      </c>
      <c r="J853" s="1">
        <v>0.0</v>
      </c>
      <c r="K853" s="1">
        <v>0.0</v>
      </c>
    </row>
    <row r="854">
      <c r="A854" s="1">
        <v>1.0</v>
      </c>
      <c r="B854" s="1">
        <v>4.0</v>
      </c>
      <c r="C854" s="1">
        <v>0.0</v>
      </c>
      <c r="D854" s="1">
        <v>0.0</v>
      </c>
      <c r="E854" s="1">
        <v>0.0</v>
      </c>
      <c r="F854" s="1">
        <v>0.0</v>
      </c>
      <c r="G854" s="2">
        <v>0.0</v>
      </c>
      <c r="H854" s="1" t="s">
        <v>332</v>
      </c>
      <c r="I854" s="1" t="str">
        <f>IFERROR(__xludf.DUMMYFUNCTION("REGEXREPLACE(MID(H854, SEARCH(""["", H854) + 1, SEARCH(""]"", H854) - SEARCH(""["", H854) - 1), ""\[\]"","""")"),"The Woodlands HS")</f>
        <v>The Woodlands HS</v>
      </c>
      <c r="J854" s="1">
        <v>0.0</v>
      </c>
      <c r="K854" s="1">
        <v>0.0</v>
      </c>
    </row>
    <row r="855">
      <c r="A855" s="1">
        <v>1.0</v>
      </c>
      <c r="B855" s="1">
        <v>4.0</v>
      </c>
      <c r="C855" s="1">
        <v>1.0</v>
      </c>
      <c r="D855" s="1">
        <v>4.0</v>
      </c>
      <c r="E855" s="1">
        <v>0.0</v>
      </c>
      <c r="F855" s="1">
        <v>0.0</v>
      </c>
      <c r="G855" s="2">
        <v>1.0</v>
      </c>
      <c r="H855" s="1" t="s">
        <v>332</v>
      </c>
      <c r="I855" s="1" t="str">
        <f>IFERROR(__xludf.DUMMYFUNCTION("REGEXREPLACE(MID(H855, SEARCH(""["", H855) + 1, SEARCH(""]"", H855) - SEARCH(""["", H855) - 1), ""\[\]"","""")"),"The Woodlands HS")</f>
        <v>The Woodlands HS</v>
      </c>
      <c r="J855" s="1">
        <v>4.0</v>
      </c>
      <c r="K855" s="1">
        <v>0.0</v>
      </c>
    </row>
    <row r="856">
      <c r="A856" s="1">
        <v>1.0</v>
      </c>
      <c r="B856" s="1">
        <v>4.0</v>
      </c>
      <c r="C856" s="1">
        <v>0.0</v>
      </c>
      <c r="D856" s="1">
        <v>0.0</v>
      </c>
      <c r="E856" s="1">
        <v>0.0</v>
      </c>
      <c r="F856" s="1">
        <v>0.0</v>
      </c>
      <c r="G856" s="2">
        <v>0.0</v>
      </c>
      <c r="H856" s="1" t="s">
        <v>333</v>
      </c>
      <c r="I856" s="1" t="str">
        <f>IFERROR(__xludf.DUMMYFUNCTION("REGEXREPLACE(MID(H856, SEARCH(""["", H856) + 1, SEARCH(""]"", H856) - SEARCH(""["", H856) - 1), ""\[\]"","""")"),"Timberline")</f>
        <v>Timberline</v>
      </c>
      <c r="J856" s="1">
        <v>0.0</v>
      </c>
      <c r="K856" s="1">
        <v>0.0</v>
      </c>
    </row>
    <row r="857">
      <c r="A857" s="1">
        <v>3.0</v>
      </c>
      <c r="B857" s="1">
        <v>12.0</v>
      </c>
      <c r="C857" s="1">
        <v>0.0</v>
      </c>
      <c r="D857" s="1">
        <v>0.0</v>
      </c>
      <c r="E857" s="1">
        <v>0.0</v>
      </c>
      <c r="F857" s="1">
        <v>0.0</v>
      </c>
      <c r="G857" s="2">
        <v>0.0</v>
      </c>
      <c r="H857" s="1" t="s">
        <v>333</v>
      </c>
      <c r="I857" s="1" t="str">
        <f>IFERROR(__xludf.DUMMYFUNCTION("REGEXREPLACE(MID(H857, SEARCH(""["", H857) + 1, SEARCH(""]"", H857) - SEARCH(""["", H857) - 1), ""\[\]"","""")"),"Timberline")</f>
        <v>Timberline</v>
      </c>
      <c r="J857" s="1">
        <v>0.0</v>
      </c>
      <c r="K857" s="1">
        <v>0.0</v>
      </c>
    </row>
    <row r="858">
      <c r="A858" s="1">
        <v>3.0</v>
      </c>
      <c r="B858" s="1">
        <v>12.0</v>
      </c>
      <c r="C858" s="1">
        <v>0.0</v>
      </c>
      <c r="D858" s="1">
        <v>0.0</v>
      </c>
      <c r="E858" s="1">
        <v>0.0</v>
      </c>
      <c r="F858" s="1">
        <v>0.0</v>
      </c>
      <c r="G858" s="2">
        <v>0.0</v>
      </c>
      <c r="H858" s="1" t="s">
        <v>324</v>
      </c>
      <c r="I858" s="1" t="str">
        <f>IFERROR(__xludf.DUMMYFUNCTION("REGEXREPLACE(MID(H858, SEARCH(""["", H858) + 1, SEARCH(""]"", H858) - SEARCH(""["", H858) - 1), ""\[\]"","""")"),"Timberline")</f>
        <v>Timberline</v>
      </c>
      <c r="J858" s="1">
        <v>0.0</v>
      </c>
      <c r="K858" s="1">
        <v>0.0</v>
      </c>
    </row>
    <row r="859">
      <c r="A859" s="1">
        <v>1.0</v>
      </c>
      <c r="B859" s="1">
        <v>4.0</v>
      </c>
      <c r="C859" s="1">
        <v>0.0</v>
      </c>
      <c r="D859" s="1">
        <v>0.0</v>
      </c>
      <c r="E859" s="1">
        <v>0.0</v>
      </c>
      <c r="F859" s="1">
        <v>0.0</v>
      </c>
      <c r="G859" s="2">
        <v>0.0</v>
      </c>
      <c r="H859" s="1" t="s">
        <v>324</v>
      </c>
      <c r="I859" s="1" t="str">
        <f>IFERROR(__xludf.DUMMYFUNCTION("REGEXREPLACE(MID(H859, SEARCH(""["", H859) + 1, SEARCH(""]"", H859) - SEARCH(""["", H859) - 1), ""\[\]"","""")"),"Timberline")</f>
        <v>Timberline</v>
      </c>
      <c r="J859" s="1">
        <v>0.0</v>
      </c>
      <c r="K859" s="1">
        <v>0.0</v>
      </c>
    </row>
    <row r="860">
      <c r="A860" s="1">
        <v>4.0</v>
      </c>
      <c r="B860" s="1">
        <v>16.0</v>
      </c>
      <c r="C860" s="1">
        <v>0.0</v>
      </c>
      <c r="D860" s="1">
        <v>0.0</v>
      </c>
      <c r="E860" s="1">
        <v>0.0</v>
      </c>
      <c r="F860" s="1">
        <v>0.0</v>
      </c>
      <c r="G860" s="2">
        <v>0.0</v>
      </c>
      <c r="H860" s="1" t="s">
        <v>186</v>
      </c>
      <c r="I860" s="1" t="str">
        <f>IFERROR(__xludf.DUMMYFUNCTION("REGEXREPLACE(MID(H860, SEARCH(""["", H860) + 1, SEARCH(""]"", H860) - SEARCH(""["", H860) - 1), ""\[\]"","""")"),"Timberline")</f>
        <v>Timberline</v>
      </c>
      <c r="J860" s="1">
        <v>0.0</v>
      </c>
      <c r="K860" s="1">
        <v>0.0</v>
      </c>
    </row>
    <row r="861">
      <c r="A861" s="1">
        <v>1.0</v>
      </c>
      <c r="B861" s="1">
        <v>4.0</v>
      </c>
      <c r="C861" s="1">
        <v>0.0</v>
      </c>
      <c r="D861" s="1">
        <v>0.0</v>
      </c>
      <c r="E861" s="1">
        <v>0.0</v>
      </c>
      <c r="F861" s="1">
        <v>0.0</v>
      </c>
      <c r="G861" s="2">
        <v>0.0</v>
      </c>
      <c r="H861" s="1" t="s">
        <v>186</v>
      </c>
      <c r="I861" s="1" t="str">
        <f>IFERROR(__xludf.DUMMYFUNCTION("REGEXREPLACE(MID(H861, SEARCH(""["", H861) + 1, SEARCH(""]"", H861) - SEARCH(""["", H861) - 1), ""\[\]"","""")"),"Timberline")</f>
        <v>Timberline</v>
      </c>
      <c r="J861" s="1">
        <v>0.0</v>
      </c>
      <c r="K861" s="1">
        <v>0.0</v>
      </c>
    </row>
    <row r="862">
      <c r="A862" s="1">
        <v>4.0</v>
      </c>
      <c r="B862" s="1">
        <v>16.0</v>
      </c>
      <c r="C862" s="1">
        <v>13.0</v>
      </c>
      <c r="D862" s="1">
        <v>7.0</v>
      </c>
      <c r="E862" s="1">
        <v>0.25</v>
      </c>
      <c r="F862" s="1">
        <v>0.0</v>
      </c>
      <c r="G862" s="6">
        <v>0.615</v>
      </c>
      <c r="H862" s="1" t="s">
        <v>157</v>
      </c>
      <c r="I862" s="1" t="str">
        <f>IFERROR(__xludf.DUMMYFUNCTION("REGEXREPLACE(MID(H862, SEARCH(""["", H862) + 1, SEARCH(""]"", H862) - SEARCH(""["", H862) - 1), ""\[\]"","""")"),"Timberline")</f>
        <v>Timberline</v>
      </c>
      <c r="J862" s="1">
        <v>28.0</v>
      </c>
      <c r="K862" s="1">
        <v>1.0</v>
      </c>
    </row>
    <row r="863">
      <c r="A863" s="1">
        <v>1.0</v>
      </c>
      <c r="B863" s="1">
        <v>4.0</v>
      </c>
      <c r="C863" s="1">
        <v>4.0</v>
      </c>
      <c r="D863" s="1">
        <v>-4.0</v>
      </c>
      <c r="E863" s="1">
        <v>1.0</v>
      </c>
      <c r="F863" s="1">
        <v>0.0</v>
      </c>
      <c r="G863" s="2">
        <v>0.0</v>
      </c>
      <c r="H863" s="1" t="s">
        <v>157</v>
      </c>
      <c r="I863" s="1" t="str">
        <f>IFERROR(__xludf.DUMMYFUNCTION("REGEXREPLACE(MID(H863, SEARCH(""["", H863) + 1, SEARCH(""]"", H863) - SEARCH(""["", H863) - 1), ""\[\]"","""")"),"Timberline")</f>
        <v>Timberline</v>
      </c>
      <c r="J863" s="1">
        <v>-4.0</v>
      </c>
      <c r="K863" s="1">
        <v>1.0</v>
      </c>
    </row>
    <row r="864">
      <c r="A864" s="1">
        <v>5.0</v>
      </c>
      <c r="B864" s="1">
        <v>19.0</v>
      </c>
      <c r="C864" s="1">
        <v>2.0</v>
      </c>
      <c r="D864" s="1">
        <v>0.0</v>
      </c>
      <c r="E864" s="1">
        <v>0.0</v>
      </c>
      <c r="F864" s="1">
        <v>0.0</v>
      </c>
      <c r="G864" s="2">
        <v>0.0</v>
      </c>
      <c r="H864" s="1" t="s">
        <v>155</v>
      </c>
      <c r="I864" s="1" t="str">
        <f>IFERROR(__xludf.DUMMYFUNCTION("REGEXREPLACE(MID(H864, SEARCH(""["", H864) + 1, SEARCH(""]"", H864) - SEARCH(""["", H864) - 1), ""\[\]"","""")"),"TJ")</f>
        <v>TJ</v>
      </c>
      <c r="J864" s="1">
        <v>0.0</v>
      </c>
      <c r="K864" s="1">
        <v>0.0</v>
      </c>
    </row>
    <row r="865">
      <c r="A865" s="1">
        <v>5.0</v>
      </c>
      <c r="B865" s="1">
        <v>19.0</v>
      </c>
      <c r="C865" s="1">
        <v>0.0</v>
      </c>
      <c r="D865" s="1">
        <v>0.0</v>
      </c>
      <c r="E865" s="1">
        <v>0.0</v>
      </c>
      <c r="F865" s="1">
        <v>0.0</v>
      </c>
      <c r="G865" s="2">
        <v>0.0</v>
      </c>
      <c r="H865" s="1" t="s">
        <v>212</v>
      </c>
      <c r="I865" s="1" t="str">
        <f>IFERROR(__xludf.DUMMYFUNCTION("REGEXREPLACE(MID(H865, SEARCH(""["", H865) + 1, SEARCH(""]"", H865) - SEARCH(""["", H865) - 1), ""\[\]"","""")"),"TJ")</f>
        <v>TJ</v>
      </c>
      <c r="J865" s="1">
        <v>0.0</v>
      </c>
      <c r="K865" s="1">
        <v>0.0</v>
      </c>
    </row>
    <row r="866">
      <c r="A866" s="1">
        <v>1.0</v>
      </c>
      <c r="B866" s="1">
        <v>4.0</v>
      </c>
      <c r="C866" s="1">
        <v>0.0</v>
      </c>
      <c r="D866" s="1">
        <v>0.0</v>
      </c>
      <c r="E866" s="1">
        <v>0.0</v>
      </c>
      <c r="F866" s="1">
        <v>0.0</v>
      </c>
      <c r="G866" s="2">
        <v>0.0</v>
      </c>
      <c r="H866" s="1" t="s">
        <v>334</v>
      </c>
      <c r="I866" s="1" t="str">
        <f>IFERROR(__xludf.DUMMYFUNCTION("REGEXREPLACE(MID(H866, SEARCH(""["", H866) + 1, SEARCH(""]"", H866) - SEARCH(""["", H866) - 1), ""\[\]"","""")"),"TJ")</f>
        <v>TJ</v>
      </c>
      <c r="J866" s="1">
        <v>0.0</v>
      </c>
      <c r="K866" s="1">
        <v>0.0</v>
      </c>
    </row>
    <row r="867">
      <c r="A867" s="1">
        <v>5.0</v>
      </c>
      <c r="B867" s="1">
        <v>19.0</v>
      </c>
      <c r="C867" s="1">
        <v>11.0</v>
      </c>
      <c r="D867" s="1">
        <v>3.2</v>
      </c>
      <c r="E867" s="1">
        <v>0.4</v>
      </c>
      <c r="F867" s="1">
        <v>0.0</v>
      </c>
      <c r="G867" s="6">
        <v>0.545</v>
      </c>
      <c r="H867" s="1" t="s">
        <v>215</v>
      </c>
      <c r="I867" s="1" t="str">
        <f>IFERROR(__xludf.DUMMYFUNCTION("REGEXREPLACE(MID(H867, SEARCH(""["", H867) + 1, SEARCH(""]"", H867) - SEARCH(""["", H867) - 1), ""\[\]"","""")"),"TJ")</f>
        <v>TJ</v>
      </c>
      <c r="J867" s="1">
        <v>16.0</v>
      </c>
      <c r="K867" s="1">
        <v>2.0</v>
      </c>
    </row>
    <row r="868">
      <c r="A868" s="1">
        <v>2.0</v>
      </c>
      <c r="B868" s="1">
        <v>7.0</v>
      </c>
      <c r="C868" s="1">
        <v>2.0</v>
      </c>
      <c r="D868" s="1">
        <v>4.0</v>
      </c>
      <c r="E868" s="1">
        <v>0.0</v>
      </c>
      <c r="F868" s="1">
        <v>0.0</v>
      </c>
      <c r="G868" s="2">
        <v>1.0</v>
      </c>
      <c r="H868" s="1" t="s">
        <v>168</v>
      </c>
      <c r="I868" s="1" t="str">
        <f>IFERROR(__xludf.DUMMYFUNCTION("REGEXREPLACE(MID(H868, SEARCH(""["", H868) + 1, SEARCH(""]"", H868) - SEARCH(""["", H868) - 1), ""\[\]"","""")"),"University")</f>
        <v>University</v>
      </c>
      <c r="J868" s="1">
        <v>8.0</v>
      </c>
      <c r="K868" s="1">
        <v>0.0</v>
      </c>
    </row>
    <row r="869">
      <c r="A869" s="1">
        <v>3.0</v>
      </c>
      <c r="B869" s="1">
        <v>11.0</v>
      </c>
      <c r="C869" s="1">
        <v>4.0</v>
      </c>
      <c r="D869" s="1">
        <v>0.0</v>
      </c>
      <c r="E869" s="1">
        <v>0.33</v>
      </c>
      <c r="F869" s="1">
        <v>0.0</v>
      </c>
      <c r="G869" s="2">
        <v>0.25</v>
      </c>
      <c r="H869" s="1" t="s">
        <v>168</v>
      </c>
      <c r="I869" s="1" t="str">
        <f>IFERROR(__xludf.DUMMYFUNCTION("REGEXREPLACE(MID(H869, SEARCH(""["", H869) + 1, SEARCH(""]"", H869) - SEARCH(""["", H869) - 1), ""\[\]"","""")"),"University")</f>
        <v>University</v>
      </c>
      <c r="J869" s="1">
        <v>0.0</v>
      </c>
      <c r="K869" s="1">
        <v>1.0</v>
      </c>
    </row>
    <row r="870">
      <c r="A870" s="1">
        <v>1.0</v>
      </c>
      <c r="B870" s="1">
        <v>4.0</v>
      </c>
      <c r="C870" s="1">
        <v>1.0</v>
      </c>
      <c r="D870" s="1">
        <v>4.0</v>
      </c>
      <c r="E870" s="1">
        <v>0.0</v>
      </c>
      <c r="F870" s="1">
        <v>0.0</v>
      </c>
      <c r="G870" s="2">
        <v>1.0</v>
      </c>
      <c r="H870" s="1" t="s">
        <v>113</v>
      </c>
      <c r="I870" s="1" t="str">
        <f>IFERROR(__xludf.DUMMYFUNCTION("REGEXREPLACE(MID(H870, SEARCH(""["", H870) + 1, SEARCH(""]"", H870) - SEARCH(""["", H870) - 1), ""\[\]"","""")"),"University")</f>
        <v>University</v>
      </c>
      <c r="J870" s="1">
        <v>4.0</v>
      </c>
      <c r="K870" s="1">
        <v>0.0</v>
      </c>
    </row>
    <row r="871">
      <c r="A871" s="1">
        <v>1.0</v>
      </c>
      <c r="B871" s="1">
        <v>3.0</v>
      </c>
      <c r="C871" s="1">
        <v>1.0</v>
      </c>
      <c r="D871" s="1">
        <v>4.0</v>
      </c>
      <c r="E871" s="1">
        <v>0.0</v>
      </c>
      <c r="F871" s="1">
        <v>0.0</v>
      </c>
      <c r="G871" s="2">
        <v>1.0</v>
      </c>
      <c r="H871" s="1" t="s">
        <v>113</v>
      </c>
      <c r="I871" s="1" t="str">
        <f>IFERROR(__xludf.DUMMYFUNCTION("REGEXREPLACE(MID(H871, SEARCH(""["", H871) + 1, SEARCH(""]"", H871) - SEARCH(""["", H871) - 1), ""\[\]"","""")"),"University")</f>
        <v>University</v>
      </c>
      <c r="J871" s="1">
        <v>4.0</v>
      </c>
      <c r="K871" s="1">
        <v>0.0</v>
      </c>
    </row>
    <row r="872">
      <c r="A872" s="1">
        <v>3.0</v>
      </c>
      <c r="B872" s="1">
        <v>11.0</v>
      </c>
      <c r="C872" s="1">
        <v>0.0</v>
      </c>
      <c r="D872" s="1">
        <v>0.0</v>
      </c>
      <c r="E872" s="1">
        <v>0.0</v>
      </c>
      <c r="F872" s="1">
        <v>0.0</v>
      </c>
      <c r="G872" s="2">
        <v>0.0</v>
      </c>
      <c r="H872" s="1" t="s">
        <v>113</v>
      </c>
      <c r="I872" s="1" t="str">
        <f>IFERROR(__xludf.DUMMYFUNCTION("REGEXREPLACE(MID(H872, SEARCH(""["", H872) + 1, SEARCH(""]"", H872) - SEARCH(""["", H872) - 1), ""\[\]"","""")"),"University")</f>
        <v>University</v>
      </c>
      <c r="J872" s="1">
        <v>0.0</v>
      </c>
      <c r="K872" s="1">
        <v>0.0</v>
      </c>
    </row>
    <row r="873">
      <c r="A873" s="1">
        <v>1.0</v>
      </c>
      <c r="B873" s="1">
        <v>3.0</v>
      </c>
      <c r="C873" s="1">
        <v>1.0</v>
      </c>
      <c r="D873" s="1">
        <v>-4.0</v>
      </c>
      <c r="E873" s="1">
        <v>1.0</v>
      </c>
      <c r="F873" s="1">
        <v>0.0</v>
      </c>
      <c r="G873" s="2">
        <v>0.0</v>
      </c>
      <c r="H873" s="1" t="s">
        <v>335</v>
      </c>
      <c r="I873" s="1" t="str">
        <f>IFERROR(__xludf.DUMMYFUNCTION("REGEXREPLACE(MID(H873, SEARCH(""["", H873) + 1, SEARCH(""]"", H873) - SEARCH(""["", H873) - 1), ""\[\]"","""")"),"University")</f>
        <v>University</v>
      </c>
      <c r="J873" s="1">
        <v>-4.0</v>
      </c>
      <c r="K873" s="1">
        <v>1.0</v>
      </c>
    </row>
    <row r="874">
      <c r="A874" s="1">
        <v>2.0</v>
      </c>
      <c r="B874" s="1">
        <v>8.0</v>
      </c>
      <c r="C874" s="1">
        <v>3.0</v>
      </c>
      <c r="D874" s="1">
        <v>4.0</v>
      </c>
      <c r="E874" s="1">
        <v>0.0</v>
      </c>
      <c r="F874" s="1">
        <v>0.0</v>
      </c>
      <c r="G874" s="6">
        <v>0.667</v>
      </c>
      <c r="H874" s="1" t="s">
        <v>335</v>
      </c>
      <c r="I874" s="1" t="str">
        <f>IFERROR(__xludf.DUMMYFUNCTION("REGEXREPLACE(MID(H874, SEARCH(""["", H874) + 1, SEARCH(""]"", H874) - SEARCH(""["", H874) - 1), ""\[\]"","""")"),"University")</f>
        <v>University</v>
      </c>
      <c r="J874" s="1">
        <v>8.0</v>
      </c>
      <c r="K874" s="1">
        <v>0.0</v>
      </c>
    </row>
    <row r="875">
      <c r="A875" s="1">
        <v>1.0</v>
      </c>
      <c r="B875" s="1">
        <v>4.0</v>
      </c>
      <c r="C875" s="1">
        <v>0.0</v>
      </c>
      <c r="D875" s="1">
        <v>0.0</v>
      </c>
      <c r="E875" s="1">
        <v>0.0</v>
      </c>
      <c r="F875" s="1">
        <v>0.0</v>
      </c>
      <c r="G875" s="2">
        <v>0.0</v>
      </c>
      <c r="H875" s="1" t="s">
        <v>336</v>
      </c>
      <c r="I875" s="1" t="str">
        <f>IFERROR(__xludf.DUMMYFUNCTION("REGEXREPLACE(MID(H875, SEARCH(""["", H875) + 1, SEARCH(""]"", H875) - SEARCH(""["", H875) - 1), ""\[\]"","""")"),"University")</f>
        <v>University</v>
      </c>
      <c r="J875" s="1">
        <v>0.0</v>
      </c>
      <c r="K875" s="1">
        <v>0.0</v>
      </c>
    </row>
    <row r="876">
      <c r="A876" s="1">
        <v>1.0</v>
      </c>
      <c r="B876" s="1">
        <v>3.0</v>
      </c>
      <c r="C876" s="1">
        <v>0.0</v>
      </c>
      <c r="D876" s="1">
        <v>0.0</v>
      </c>
      <c r="E876" s="1">
        <v>0.0</v>
      </c>
      <c r="F876" s="1">
        <v>0.0</v>
      </c>
      <c r="G876" s="2">
        <v>0.0</v>
      </c>
      <c r="H876" s="1" t="s">
        <v>336</v>
      </c>
      <c r="I876" s="1" t="str">
        <f>IFERROR(__xludf.DUMMYFUNCTION("REGEXREPLACE(MID(H876, SEARCH(""["", H876) + 1, SEARCH(""]"", H876) - SEARCH(""["", H876) - 1), ""\[\]"","""")"),"University")</f>
        <v>University</v>
      </c>
      <c r="J876" s="1">
        <v>0.0</v>
      </c>
      <c r="K876" s="1">
        <v>0.0</v>
      </c>
    </row>
    <row r="877">
      <c r="A877" s="1">
        <v>2.0</v>
      </c>
      <c r="B877" s="1">
        <v>7.0</v>
      </c>
      <c r="C877" s="1">
        <v>2.0</v>
      </c>
      <c r="D877" s="1">
        <v>0.0</v>
      </c>
      <c r="E877" s="1">
        <v>0.5</v>
      </c>
      <c r="F877" s="1">
        <v>0.0</v>
      </c>
      <c r="G877" s="2">
        <v>0.5</v>
      </c>
      <c r="H877" s="1" t="s">
        <v>337</v>
      </c>
      <c r="I877" s="1" t="str">
        <f>IFERROR(__xludf.DUMMYFUNCTION("REGEXREPLACE(MID(H877, SEARCH(""["", H877) + 1, SEARCH(""]"", H877) - SEARCH(""["", H877) - 1), ""\[\]"","""")"),"University")</f>
        <v>University</v>
      </c>
      <c r="J877" s="1">
        <v>0.0</v>
      </c>
      <c r="K877" s="1">
        <v>1.0</v>
      </c>
    </row>
    <row r="878">
      <c r="A878" s="1">
        <v>3.0</v>
      </c>
      <c r="B878" s="1">
        <v>11.0</v>
      </c>
      <c r="C878" s="1">
        <v>1.0</v>
      </c>
      <c r="D878" s="1">
        <v>1.33</v>
      </c>
      <c r="E878" s="1">
        <v>0.0</v>
      </c>
      <c r="F878" s="1">
        <v>0.0</v>
      </c>
      <c r="G878" s="2">
        <v>1.0</v>
      </c>
      <c r="H878" s="1" t="s">
        <v>337</v>
      </c>
      <c r="I878" s="1" t="str">
        <f>IFERROR(__xludf.DUMMYFUNCTION("REGEXREPLACE(MID(H878, SEARCH(""["", H878) + 1, SEARCH(""]"", H878) - SEARCH(""["", H878) - 1), ""\[\]"","""")"),"University")</f>
        <v>University</v>
      </c>
      <c r="J878" s="1">
        <v>4.0</v>
      </c>
      <c r="K878" s="1">
        <v>0.0</v>
      </c>
    </row>
    <row r="879">
      <c r="A879" s="1">
        <v>4.0</v>
      </c>
      <c r="B879" s="1">
        <v>14.0</v>
      </c>
      <c r="C879" s="1">
        <v>2.0</v>
      </c>
      <c r="D879" s="1">
        <v>0.0</v>
      </c>
      <c r="E879" s="1">
        <v>0.0</v>
      </c>
      <c r="F879" s="1">
        <v>0.0</v>
      </c>
      <c r="G879" s="2">
        <v>0.0</v>
      </c>
      <c r="H879" s="1" t="s">
        <v>299</v>
      </c>
      <c r="I879" s="1" t="str">
        <f>IFERROR(__xludf.DUMMYFUNCTION("REGEXREPLACE(MID(H879, SEARCH(""["", H879) + 1, SEARCH(""]"", H879) - SEARCH(""["", H879) - 1), ""\[\]"","""")"),"Vancomycin")</f>
        <v>Vancomycin</v>
      </c>
      <c r="J879" s="1">
        <v>0.0</v>
      </c>
      <c r="K879" s="1">
        <v>0.0</v>
      </c>
    </row>
    <row r="880">
      <c r="A880" s="1">
        <v>1.0</v>
      </c>
      <c r="B880" s="1">
        <v>3.0</v>
      </c>
      <c r="C880" s="1">
        <v>0.0</v>
      </c>
      <c r="D880" s="1">
        <v>0.0</v>
      </c>
      <c r="E880" s="1">
        <v>0.0</v>
      </c>
      <c r="F880" s="1">
        <v>0.0</v>
      </c>
      <c r="G880" s="2">
        <v>0.0</v>
      </c>
      <c r="H880" s="1" t="s">
        <v>256</v>
      </c>
      <c r="I880" s="1" t="str">
        <f>IFERROR(__xludf.DUMMYFUNCTION("REGEXREPLACE(MID(H880, SEARCH(""["", H880) + 1, SEARCH(""]"", H880) - SEARCH(""["", H880) - 1), ""\[\]"","""")"),"Vancomycin")</f>
        <v>Vancomycin</v>
      </c>
      <c r="J880" s="1">
        <v>0.0</v>
      </c>
      <c r="K880" s="1">
        <v>0.0</v>
      </c>
    </row>
    <row r="881">
      <c r="A881" s="1">
        <v>1.0</v>
      </c>
      <c r="B881" s="1">
        <v>3.0</v>
      </c>
      <c r="C881" s="1">
        <v>0.0</v>
      </c>
      <c r="D881" s="1">
        <v>0.0</v>
      </c>
      <c r="E881" s="1">
        <v>0.0</v>
      </c>
      <c r="F881" s="1">
        <v>0.0</v>
      </c>
      <c r="G881" s="2">
        <v>0.0</v>
      </c>
      <c r="H881" s="1" t="s">
        <v>216</v>
      </c>
      <c r="I881" s="1" t="str">
        <f>IFERROR(__xludf.DUMMYFUNCTION("REGEXREPLACE(MID(H881, SEARCH(""["", H881) + 1, SEARCH(""]"", H881) - SEARCH(""["", H881) - 1), ""\[\]"","""")"),"Vancomycin")</f>
        <v>Vancomycin</v>
      </c>
      <c r="J881" s="1">
        <v>0.0</v>
      </c>
      <c r="K881" s="1">
        <v>0.0</v>
      </c>
    </row>
    <row r="882">
      <c r="A882" s="1">
        <v>1.0</v>
      </c>
      <c r="B882" s="1">
        <v>4.0</v>
      </c>
      <c r="C882" s="1">
        <v>2.0</v>
      </c>
      <c r="D882" s="1">
        <v>0.0</v>
      </c>
      <c r="E882" s="1">
        <v>0.0</v>
      </c>
      <c r="F882" s="1">
        <v>0.0</v>
      </c>
      <c r="G882" s="2">
        <v>0.0</v>
      </c>
      <c r="H882" s="1" t="s">
        <v>216</v>
      </c>
      <c r="I882" s="1" t="str">
        <f>IFERROR(__xludf.DUMMYFUNCTION("REGEXREPLACE(MID(H882, SEARCH(""["", H882) + 1, SEARCH(""]"", H882) - SEARCH(""["", H882) - 1), ""\[\]"","""")"),"Vancomycin")</f>
        <v>Vancomycin</v>
      </c>
      <c r="J882" s="1">
        <v>0.0</v>
      </c>
      <c r="K882" s="1">
        <v>0.0</v>
      </c>
    </row>
    <row r="883">
      <c r="A883" s="1">
        <v>3.0</v>
      </c>
      <c r="B883" s="1">
        <v>10.0</v>
      </c>
      <c r="C883" s="1">
        <v>4.0</v>
      </c>
      <c r="D883" s="1">
        <v>1.33</v>
      </c>
      <c r="E883" s="1">
        <v>0.0</v>
      </c>
      <c r="F883" s="1">
        <v>0.0</v>
      </c>
      <c r="G883" s="2">
        <v>0.25</v>
      </c>
      <c r="H883" s="1" t="s">
        <v>216</v>
      </c>
      <c r="I883" s="1" t="str">
        <f>IFERROR(__xludf.DUMMYFUNCTION("REGEXREPLACE(MID(H883, SEARCH(""["", H883) + 1, SEARCH(""]"", H883) - SEARCH(""["", H883) - 1), ""\[\]"","""")"),"Vancomycin")</f>
        <v>Vancomycin</v>
      </c>
      <c r="J883" s="1">
        <v>4.0</v>
      </c>
      <c r="K883" s="1">
        <v>0.0</v>
      </c>
    </row>
    <row r="884">
      <c r="A884" s="1">
        <v>1.0</v>
      </c>
      <c r="B884" s="1">
        <v>4.0</v>
      </c>
      <c r="C884" s="1">
        <v>1.0</v>
      </c>
      <c r="D884" s="1">
        <v>4.0</v>
      </c>
      <c r="E884" s="1">
        <v>0.0</v>
      </c>
      <c r="F884" s="1">
        <v>0.0</v>
      </c>
      <c r="G884" s="2">
        <v>1.0</v>
      </c>
      <c r="H884" s="1" t="s">
        <v>338</v>
      </c>
      <c r="I884" s="1" t="str">
        <f>IFERROR(__xludf.DUMMYFUNCTION("REGEXREPLACE(MID(H884, SEARCH(""["", H884) + 1, SEARCH(""]"", H884) - SEARCH(""["", H884) - 1), ""\[\]"","""")"),"VMATHs")</f>
        <v>VMATHs</v>
      </c>
      <c r="J884" s="1">
        <v>4.0</v>
      </c>
      <c r="K884" s="1">
        <v>0.0</v>
      </c>
    </row>
    <row r="885">
      <c r="A885" s="1">
        <v>1.0</v>
      </c>
      <c r="B885" s="1">
        <v>4.0</v>
      </c>
      <c r="C885" s="1">
        <v>1.0</v>
      </c>
      <c r="D885" s="1">
        <v>-4.0</v>
      </c>
      <c r="E885" s="1">
        <v>1.0</v>
      </c>
      <c r="F885" s="1">
        <v>0.0</v>
      </c>
      <c r="G885" s="2">
        <v>0.0</v>
      </c>
      <c r="H885" s="1" t="s">
        <v>338</v>
      </c>
      <c r="I885" s="1" t="str">
        <f>IFERROR(__xludf.DUMMYFUNCTION("REGEXREPLACE(MID(H885, SEARCH(""["", H885) + 1, SEARCH(""]"", H885) - SEARCH(""["", H885) - 1), ""\[\]"","""")"),"VMATHs")</f>
        <v>VMATHs</v>
      </c>
      <c r="J885" s="1">
        <v>-4.0</v>
      </c>
      <c r="K885" s="1">
        <v>1.0</v>
      </c>
    </row>
    <row r="886">
      <c r="A886" s="1">
        <v>1.0</v>
      </c>
      <c r="B886" s="1">
        <v>4.0</v>
      </c>
      <c r="C886" s="1">
        <v>0.0</v>
      </c>
      <c r="D886" s="1">
        <v>0.0</v>
      </c>
      <c r="E886" s="1">
        <v>0.0</v>
      </c>
      <c r="F886" s="1">
        <v>0.0</v>
      </c>
      <c r="G886" s="2">
        <v>0.0</v>
      </c>
      <c r="H886" s="1" t="s">
        <v>339</v>
      </c>
      <c r="I886" s="1" t="str">
        <f>IFERROR(__xludf.DUMMYFUNCTION("REGEXREPLACE(MID(H886, SEARCH(""["", H886) + 1, SEARCH(""]"", H886) - SEARCH(""["", H886) - 1), ""\[\]"","""")"),"VMATHs")</f>
        <v>VMATHs</v>
      </c>
      <c r="J886" s="1">
        <v>0.0</v>
      </c>
      <c r="K886" s="1">
        <v>0.0</v>
      </c>
    </row>
    <row r="887">
      <c r="A887" s="1">
        <v>1.0</v>
      </c>
      <c r="B887" s="1">
        <v>4.0</v>
      </c>
      <c r="C887" s="1">
        <v>2.0</v>
      </c>
      <c r="D887" s="1">
        <v>4.0</v>
      </c>
      <c r="E887" s="1">
        <v>0.0</v>
      </c>
      <c r="F887" s="1">
        <v>0.0</v>
      </c>
      <c r="G887" s="2">
        <v>0.5</v>
      </c>
      <c r="H887" s="1" t="s">
        <v>83</v>
      </c>
      <c r="I887" s="1" t="str">
        <f>IFERROR(__xludf.DUMMYFUNCTION("REGEXREPLACE(MID(H887, SEARCH(""["", H887) + 1, SEARCH(""]"", H887) - SEARCH(""["", H887) - 1), ""\[\]"","""")"),"VMATHs")</f>
        <v>VMATHs</v>
      </c>
      <c r="J887" s="1">
        <v>4.0</v>
      </c>
      <c r="K887" s="1">
        <v>0.0</v>
      </c>
    </row>
    <row r="888">
      <c r="A888" s="1">
        <v>2.0</v>
      </c>
      <c r="B888" s="1">
        <v>8.0</v>
      </c>
      <c r="C888" s="1">
        <v>5.0</v>
      </c>
      <c r="D888" s="1">
        <v>0.0</v>
      </c>
      <c r="E888" s="1">
        <v>0.5</v>
      </c>
      <c r="F888" s="1">
        <v>0.0</v>
      </c>
      <c r="G888" s="2">
        <v>0.2</v>
      </c>
      <c r="H888" s="1" t="s">
        <v>83</v>
      </c>
      <c r="I888" s="1" t="str">
        <f>IFERROR(__xludf.DUMMYFUNCTION("REGEXREPLACE(MID(H888, SEARCH(""["", H888) + 1, SEARCH(""]"", H888) - SEARCH(""["", H888) - 1), ""\[\]"","""")"),"VMATHs")</f>
        <v>VMATHs</v>
      </c>
      <c r="J888" s="1">
        <v>0.0</v>
      </c>
      <c r="K888" s="1">
        <v>1.0</v>
      </c>
    </row>
    <row r="889">
      <c r="A889" s="1">
        <v>1.0</v>
      </c>
      <c r="B889" s="1">
        <v>4.0</v>
      </c>
      <c r="C889" s="1">
        <v>1.0</v>
      </c>
      <c r="D889" s="1">
        <v>4.0</v>
      </c>
      <c r="E889" s="1">
        <v>0.0</v>
      </c>
      <c r="F889" s="1">
        <v>0.0</v>
      </c>
      <c r="G889" s="2">
        <v>1.0</v>
      </c>
      <c r="H889" s="1" t="s">
        <v>340</v>
      </c>
      <c r="I889" s="1" t="str">
        <f>IFERROR(__xludf.DUMMYFUNCTION("REGEXREPLACE(MID(H889, SEARCH(""["", H889) + 1, SEARCH(""]"", H889) - SEARCH(""["", H889) - 1), ""\[\]"","""")"),"VMATHs")</f>
        <v>VMATHs</v>
      </c>
      <c r="J889" s="1">
        <v>4.0</v>
      </c>
      <c r="K889" s="1">
        <v>0.0</v>
      </c>
    </row>
    <row r="890">
      <c r="A890" s="1">
        <v>1.0</v>
      </c>
      <c r="B890" s="1">
        <v>4.0</v>
      </c>
      <c r="C890" s="1">
        <v>1.0</v>
      </c>
      <c r="D890" s="1">
        <v>4.0</v>
      </c>
      <c r="E890" s="1">
        <v>0.0</v>
      </c>
      <c r="F890" s="1">
        <v>0.0</v>
      </c>
      <c r="G890" s="2">
        <v>1.0</v>
      </c>
      <c r="H890" s="1" t="s">
        <v>340</v>
      </c>
      <c r="I890" s="1" t="str">
        <f>IFERROR(__xludf.DUMMYFUNCTION("REGEXREPLACE(MID(H890, SEARCH(""["", H890) + 1, SEARCH(""]"", H890) - SEARCH(""["", H890) - 1), ""\[\]"","""")"),"VMATHs")</f>
        <v>VMATHs</v>
      </c>
      <c r="J890" s="1">
        <v>4.0</v>
      </c>
      <c r="K890" s="1">
        <v>0.0</v>
      </c>
    </row>
    <row r="891">
      <c r="A891" s="1">
        <v>3.0</v>
      </c>
      <c r="B891" s="1">
        <v>11.0</v>
      </c>
      <c r="C891" s="1">
        <v>0.0</v>
      </c>
      <c r="D891" s="1">
        <v>0.0</v>
      </c>
      <c r="E891" s="1">
        <v>0.0</v>
      </c>
      <c r="F891" s="1">
        <v>0.0</v>
      </c>
      <c r="G891" s="2">
        <v>0.0</v>
      </c>
      <c r="H891" s="1" t="s">
        <v>258</v>
      </c>
      <c r="I891" s="1" t="str">
        <f>IFERROR(__xludf.DUMMYFUNCTION("REGEXREPLACE(MID(H891, SEARCH(""["", H891) + 1, SEARCH(""]"", H891) - SEARCH(""["", H891) - 1), ""\[\]"","""")"),"Ward Melville 1")</f>
        <v>Ward Melville 1</v>
      </c>
      <c r="J891" s="1">
        <v>0.0</v>
      </c>
      <c r="K891" s="1">
        <v>0.0</v>
      </c>
    </row>
    <row r="892">
      <c r="A892" s="1">
        <v>1.0</v>
      </c>
      <c r="B892" s="1">
        <v>4.0</v>
      </c>
      <c r="C892" s="1">
        <v>0.0</v>
      </c>
      <c r="D892" s="1">
        <v>0.0</v>
      </c>
      <c r="E892" s="1">
        <v>0.0</v>
      </c>
      <c r="F892" s="1">
        <v>0.0</v>
      </c>
      <c r="G892" s="2">
        <v>0.0</v>
      </c>
      <c r="H892" s="1" t="s">
        <v>301</v>
      </c>
      <c r="I892" s="1" t="str">
        <f>IFERROR(__xludf.DUMMYFUNCTION("REGEXREPLACE(MID(H892, SEARCH(""["", H892) + 1, SEARCH(""]"", H892) - SEARCH(""["", H892) - 1), ""\[\]"","""")"),"Ward Melville 1")</f>
        <v>Ward Melville 1</v>
      </c>
      <c r="J892" s="1">
        <v>0.0</v>
      </c>
      <c r="K892" s="1">
        <v>0.0</v>
      </c>
    </row>
    <row r="893">
      <c r="A893" s="1">
        <v>1.0</v>
      </c>
      <c r="B893" s="1">
        <v>4.0</v>
      </c>
      <c r="C893" s="1">
        <v>0.0</v>
      </c>
      <c r="D893" s="1">
        <v>0.0</v>
      </c>
      <c r="E893" s="1">
        <v>0.0</v>
      </c>
      <c r="F893" s="1">
        <v>0.0</v>
      </c>
      <c r="G893" s="2">
        <v>0.0</v>
      </c>
      <c r="H893" s="1" t="s">
        <v>301</v>
      </c>
      <c r="I893" s="1" t="str">
        <f>IFERROR(__xludf.DUMMYFUNCTION("REGEXREPLACE(MID(H893, SEARCH(""["", H893) + 1, SEARCH(""]"", H893) - SEARCH(""["", H893) - 1), ""\[\]"","""")"),"Ward Melville 1")</f>
        <v>Ward Melville 1</v>
      </c>
      <c r="J893" s="1">
        <v>0.0</v>
      </c>
      <c r="K893" s="1">
        <v>0.0</v>
      </c>
    </row>
    <row r="894">
      <c r="A894" s="1">
        <v>2.0</v>
      </c>
      <c r="B894" s="1">
        <v>7.0</v>
      </c>
      <c r="C894" s="1">
        <v>7.0</v>
      </c>
      <c r="D894" s="1">
        <v>8.0</v>
      </c>
      <c r="E894" s="1">
        <v>0.5</v>
      </c>
      <c r="F894" s="1">
        <v>0.0</v>
      </c>
      <c r="G894" s="6">
        <v>0.714</v>
      </c>
      <c r="H894" s="1" t="s">
        <v>87</v>
      </c>
      <c r="I894" s="1" t="str">
        <f>IFERROR(__xludf.DUMMYFUNCTION("REGEXREPLACE(MID(H894, SEARCH(""["", H894) + 1, SEARCH(""]"", H894) - SEARCH(""["", H894) - 1), ""\[\]"","""")"),"Ward Melville 1")</f>
        <v>Ward Melville 1</v>
      </c>
      <c r="J894" s="1">
        <v>16.0</v>
      </c>
      <c r="K894" s="1">
        <v>1.0</v>
      </c>
    </row>
    <row r="895">
      <c r="A895" s="1">
        <v>1.0</v>
      </c>
      <c r="B895" s="1">
        <v>4.0</v>
      </c>
      <c r="C895" s="1">
        <v>0.0</v>
      </c>
      <c r="D895" s="1">
        <v>0.0</v>
      </c>
      <c r="E895" s="1">
        <v>0.0</v>
      </c>
      <c r="F895" s="1">
        <v>0.0</v>
      </c>
      <c r="G895" s="2">
        <v>0.0</v>
      </c>
      <c r="H895" s="1" t="s">
        <v>87</v>
      </c>
      <c r="I895" s="1" t="str">
        <f>IFERROR(__xludf.DUMMYFUNCTION("REGEXREPLACE(MID(H895, SEARCH(""["", H895) + 1, SEARCH(""]"", H895) - SEARCH(""["", H895) - 1), ""\[\]"","""")"),"Ward Melville 1")</f>
        <v>Ward Melville 1</v>
      </c>
      <c r="J895" s="1">
        <v>0.0</v>
      </c>
      <c r="K895" s="1">
        <v>0.0</v>
      </c>
    </row>
    <row r="896">
      <c r="A896" s="1">
        <v>1.0</v>
      </c>
      <c r="B896" s="1">
        <v>4.0</v>
      </c>
      <c r="C896" s="1">
        <v>3.0</v>
      </c>
      <c r="D896" s="1">
        <v>4.0</v>
      </c>
      <c r="E896" s="1">
        <v>0.0</v>
      </c>
      <c r="F896" s="1">
        <v>0.0</v>
      </c>
      <c r="G896" s="6">
        <v>0.333</v>
      </c>
      <c r="H896" s="1" t="s">
        <v>87</v>
      </c>
      <c r="I896" s="1" t="str">
        <f>IFERROR(__xludf.DUMMYFUNCTION("REGEXREPLACE(MID(H896, SEARCH(""["", H896) + 1, SEARCH(""]"", H896) - SEARCH(""["", H896) - 1), ""\[\]"","""")"),"Ward Melville 1")</f>
        <v>Ward Melville 1</v>
      </c>
      <c r="J896" s="1">
        <v>4.0</v>
      </c>
      <c r="K896" s="1">
        <v>0.0</v>
      </c>
    </row>
    <row r="897">
      <c r="A897" s="1">
        <v>1.0</v>
      </c>
      <c r="B897" s="1">
        <v>4.0</v>
      </c>
      <c r="C897" s="1">
        <v>0.0</v>
      </c>
      <c r="D897" s="1">
        <v>0.0</v>
      </c>
      <c r="E897" s="1">
        <v>0.0</v>
      </c>
      <c r="F897" s="1">
        <v>0.0</v>
      </c>
      <c r="G897" s="2">
        <v>0.0</v>
      </c>
      <c r="H897" s="1" t="s">
        <v>341</v>
      </c>
      <c r="I897" s="1" t="str">
        <f>IFERROR(__xludf.DUMMYFUNCTION("REGEXREPLACE(MID(H897, SEARCH(""["", H897) + 1, SEARCH(""]"", H897) - SEARCH(""["", H897) - 1), ""\[\]"","""")"),"Ward Melville 2")</f>
        <v>Ward Melville 2</v>
      </c>
      <c r="J897" s="1">
        <v>0.0</v>
      </c>
      <c r="K897" s="1">
        <v>0.0</v>
      </c>
    </row>
    <row r="898">
      <c r="A898" s="1">
        <v>1.0</v>
      </c>
      <c r="B898" s="1">
        <v>3.0</v>
      </c>
      <c r="C898" s="1">
        <v>0.0</v>
      </c>
      <c r="D898" s="1">
        <v>0.0</v>
      </c>
      <c r="E898" s="1">
        <v>0.0</v>
      </c>
      <c r="F898" s="1">
        <v>0.0</v>
      </c>
      <c r="G898" s="2">
        <v>0.0</v>
      </c>
      <c r="H898" s="1" t="s">
        <v>341</v>
      </c>
      <c r="I898" s="1" t="str">
        <f>IFERROR(__xludf.DUMMYFUNCTION("REGEXREPLACE(MID(H898, SEARCH(""["", H898) + 1, SEARCH(""]"", H898) - SEARCH(""["", H898) - 1), ""\[\]"","""")"),"Ward Melville 2")</f>
        <v>Ward Melville 2</v>
      </c>
      <c r="J898" s="1">
        <v>0.0</v>
      </c>
      <c r="K898" s="1">
        <v>0.0</v>
      </c>
    </row>
    <row r="899">
      <c r="A899" s="1">
        <v>5.0</v>
      </c>
      <c r="B899" s="1">
        <v>19.0</v>
      </c>
      <c r="C899" s="1">
        <v>5.0</v>
      </c>
      <c r="D899" s="1">
        <v>0.0</v>
      </c>
      <c r="E899" s="1">
        <v>0.2</v>
      </c>
      <c r="F899" s="1">
        <v>0.0</v>
      </c>
      <c r="G899" s="2">
        <v>0.2</v>
      </c>
      <c r="H899" s="1" t="s">
        <v>312</v>
      </c>
      <c r="I899" s="1" t="str">
        <f>IFERROR(__xludf.DUMMYFUNCTION("REGEXREPLACE(MID(H899, SEARCH(""["", H899) + 1, SEARCH(""]"", H899) - SEARCH(""["", H899) - 1), ""\[\]"","""")"),"Ward Melville 2")</f>
        <v>Ward Melville 2</v>
      </c>
      <c r="J899" s="1">
        <v>0.0</v>
      </c>
      <c r="K899" s="1">
        <v>1.0</v>
      </c>
    </row>
    <row r="900">
      <c r="A900" s="1">
        <v>4.0</v>
      </c>
      <c r="B900" s="1">
        <v>15.0</v>
      </c>
      <c r="C900" s="1">
        <v>6.0</v>
      </c>
      <c r="D900" s="1">
        <v>2.0</v>
      </c>
      <c r="E900" s="1">
        <v>0.0</v>
      </c>
      <c r="F900" s="1">
        <v>0.0</v>
      </c>
      <c r="G900" s="6">
        <v>0.333</v>
      </c>
      <c r="H900" s="1" t="s">
        <v>260</v>
      </c>
      <c r="I900" s="1" t="str">
        <f>IFERROR(__xludf.DUMMYFUNCTION("REGEXREPLACE(MID(H900, SEARCH(""["", H900) + 1, SEARCH(""]"", H900) - SEARCH(""["", H900) - 1), ""\[\]"","""")"),"Ward Melville 2")</f>
        <v>Ward Melville 2</v>
      </c>
      <c r="J900" s="1">
        <v>8.0</v>
      </c>
      <c r="K900" s="1">
        <v>0.0</v>
      </c>
    </row>
    <row r="901">
      <c r="A901" s="1">
        <v>1.0</v>
      </c>
      <c r="B901" s="1">
        <v>4.0</v>
      </c>
      <c r="C901" s="1">
        <v>2.0</v>
      </c>
      <c r="D901" s="1">
        <v>4.0</v>
      </c>
      <c r="E901" s="1">
        <v>0.0</v>
      </c>
      <c r="F901" s="1">
        <v>0.0</v>
      </c>
      <c r="G901" s="2">
        <v>0.5</v>
      </c>
      <c r="H901" s="1" t="s">
        <v>260</v>
      </c>
      <c r="I901" s="1" t="str">
        <f>IFERROR(__xludf.DUMMYFUNCTION("REGEXREPLACE(MID(H901, SEARCH(""["", H901) + 1, SEARCH(""]"", H901) - SEARCH(""["", H901) - 1), ""\[\]"","""")"),"Ward Melville 2")</f>
        <v>Ward Melville 2</v>
      </c>
      <c r="J901" s="1">
        <v>4.0</v>
      </c>
      <c r="K901" s="1">
        <v>0.0</v>
      </c>
    </row>
    <row r="902">
      <c r="A902" s="1">
        <v>4.0</v>
      </c>
      <c r="B902" s="1">
        <v>16.0</v>
      </c>
      <c r="C902" s="1">
        <v>0.0</v>
      </c>
      <c r="D902" s="1">
        <v>0.0</v>
      </c>
      <c r="E902" s="1">
        <v>0.0</v>
      </c>
      <c r="F902" s="1">
        <v>0.0</v>
      </c>
      <c r="G902" s="2">
        <v>0.0</v>
      </c>
      <c r="H902" s="1" t="s">
        <v>327</v>
      </c>
      <c r="I902" s="1" t="str">
        <f>IFERROR(__xludf.DUMMYFUNCTION("REGEXREPLACE(MID(H902, SEARCH(""["", H902) + 1, SEARCH(""]"", H902) - SEARCH(""["", H902) - 1), ""\[\]"","""")"),"Ward Melville 2")</f>
        <v>Ward Melville 2</v>
      </c>
      <c r="J902" s="1">
        <v>0.0</v>
      </c>
      <c r="K902" s="1">
        <v>0.0</v>
      </c>
    </row>
    <row r="903">
      <c r="A903" s="1">
        <v>5.0</v>
      </c>
      <c r="B903" s="1">
        <v>20.0</v>
      </c>
      <c r="C903" s="1">
        <v>16.0</v>
      </c>
      <c r="D903" s="1">
        <v>4.8</v>
      </c>
      <c r="E903" s="1">
        <v>0.4</v>
      </c>
      <c r="F903" s="1">
        <v>0.0</v>
      </c>
      <c r="G903" s="2">
        <v>0.5</v>
      </c>
      <c r="H903" s="1" t="s">
        <v>131</v>
      </c>
      <c r="I903" s="1" t="str">
        <f>IFERROR(__xludf.DUMMYFUNCTION("REGEXREPLACE(MID(H903, SEARCH(""["", H903) + 1, SEARCH(""]"", H903) - SEARCH(""["", H903) - 1), ""\[\]"","""")"),"Whitney Young")</f>
        <v>Whitney Young</v>
      </c>
      <c r="J903" s="1">
        <v>24.0</v>
      </c>
      <c r="K903" s="1">
        <v>2.0</v>
      </c>
    </row>
    <row r="904">
      <c r="A904" s="1">
        <v>2.0</v>
      </c>
      <c r="B904" s="1">
        <v>8.0</v>
      </c>
      <c r="C904" s="1">
        <v>0.0</v>
      </c>
      <c r="D904" s="1">
        <v>0.0</v>
      </c>
      <c r="E904" s="1">
        <v>0.0</v>
      </c>
      <c r="F904" s="1">
        <v>0.0</v>
      </c>
      <c r="G904" s="2">
        <v>0.0</v>
      </c>
      <c r="H904" s="1" t="s">
        <v>342</v>
      </c>
      <c r="I904" s="1" t="str">
        <f>IFERROR(__xludf.DUMMYFUNCTION("REGEXREPLACE(MID(H904, SEARCH(""["", H904) + 1, SEARCH(""]"", H904) - SEARCH(""["", H904) - 1), ""\[\]"","""")"),"Whitney Young")</f>
        <v>Whitney Young</v>
      </c>
      <c r="J904" s="1">
        <v>0.0</v>
      </c>
      <c r="K904" s="1">
        <v>0.0</v>
      </c>
    </row>
    <row r="905">
      <c r="A905" s="1">
        <v>4.0</v>
      </c>
      <c r="B905" s="1">
        <v>16.0</v>
      </c>
      <c r="C905" s="1">
        <v>0.0</v>
      </c>
      <c r="D905" s="1">
        <v>0.0</v>
      </c>
      <c r="E905" s="1">
        <v>0.0</v>
      </c>
      <c r="F905" s="1">
        <v>0.0</v>
      </c>
      <c r="G905" s="2">
        <v>0.0</v>
      </c>
      <c r="H905" s="1" t="s">
        <v>343</v>
      </c>
      <c r="I905" s="1" t="str">
        <f>IFERROR(__xludf.DUMMYFUNCTION("REGEXREPLACE(MID(H905, SEARCH(""["", H905) + 1, SEARCH(""]"", H905) - SEARCH(""["", H905) - 1), ""\[\]"","""")"),"Whitney Young")</f>
        <v>Whitney Young</v>
      </c>
      <c r="J905" s="1">
        <v>0.0</v>
      </c>
      <c r="K905" s="1">
        <v>0.0</v>
      </c>
    </row>
    <row r="906">
      <c r="A906" s="1">
        <v>1.0</v>
      </c>
      <c r="B906" s="1">
        <v>4.0</v>
      </c>
      <c r="C906" s="1">
        <v>0.0</v>
      </c>
      <c r="D906" s="1">
        <v>0.0</v>
      </c>
      <c r="E906" s="1">
        <v>0.0</v>
      </c>
      <c r="F906" s="1">
        <v>0.0</v>
      </c>
      <c r="G906" s="2">
        <v>0.0</v>
      </c>
      <c r="H906" s="1" t="s">
        <v>343</v>
      </c>
      <c r="I906" s="1" t="str">
        <f>IFERROR(__xludf.DUMMYFUNCTION("REGEXREPLACE(MID(H906, SEARCH(""["", H906) + 1, SEARCH(""]"", H906) - SEARCH(""["", H906) - 1), ""\[\]"","""")"),"Whitney Young")</f>
        <v>Whitney Young</v>
      </c>
      <c r="J906" s="1">
        <v>0.0</v>
      </c>
      <c r="K906" s="1">
        <v>0.0</v>
      </c>
    </row>
    <row r="907">
      <c r="A907" s="1">
        <v>2.0</v>
      </c>
      <c r="B907" s="1">
        <v>8.0</v>
      </c>
      <c r="C907" s="1">
        <v>0.0</v>
      </c>
      <c r="D907" s="1">
        <v>0.0</v>
      </c>
      <c r="E907" s="1">
        <v>0.0</v>
      </c>
      <c r="F907" s="1">
        <v>0.0</v>
      </c>
      <c r="G907" s="2">
        <v>0.0</v>
      </c>
      <c r="H907" s="1" t="s">
        <v>302</v>
      </c>
      <c r="I907" s="1" t="str">
        <f>IFERROR(__xludf.DUMMYFUNCTION("REGEXREPLACE(MID(H907, SEARCH(""["", H907) + 1, SEARCH(""]"", H907) - SEARCH(""["", H907) - 1), ""\[\]"","""")"),"Whitney Young")</f>
        <v>Whitney Young</v>
      </c>
      <c r="J907" s="1">
        <v>0.0</v>
      </c>
      <c r="K907" s="1">
        <v>0.0</v>
      </c>
    </row>
    <row r="908">
      <c r="A908" s="1">
        <v>5.0</v>
      </c>
      <c r="B908" s="1">
        <v>19.0</v>
      </c>
      <c r="C908" s="1">
        <v>0.0</v>
      </c>
      <c r="D908" s="1">
        <v>0.0</v>
      </c>
      <c r="E908" s="1">
        <v>0.0</v>
      </c>
      <c r="F908" s="1">
        <v>0.0</v>
      </c>
      <c r="G908" s="2">
        <v>0.0</v>
      </c>
      <c r="H908" s="1" t="s">
        <v>231</v>
      </c>
      <c r="I908" s="1" t="str">
        <f>IFERROR(__xludf.DUMMYFUNCTION("REGEXREPLACE(MID(H908, SEARCH(""["", H908) + 1, SEARCH(""]"", H908) - SEARCH(""["", H908) - 1), ""\[\]"","""")"),"Will of A")</f>
        <v>Will of A</v>
      </c>
      <c r="J908" s="1">
        <v>0.0</v>
      </c>
      <c r="K908" s="1">
        <v>0.0</v>
      </c>
    </row>
    <row r="909">
      <c r="A909" s="1">
        <v>5.0</v>
      </c>
      <c r="B909" s="1">
        <v>19.0</v>
      </c>
      <c r="C909" s="1">
        <v>15.0</v>
      </c>
      <c r="D909" s="1">
        <v>4.0</v>
      </c>
      <c r="E909" s="1">
        <v>1.0</v>
      </c>
      <c r="F909" s="1">
        <v>0.0</v>
      </c>
      <c r="G909" s="6">
        <v>0.667</v>
      </c>
      <c r="H909" s="1" t="s">
        <v>122</v>
      </c>
      <c r="I909" s="1" t="str">
        <f>IFERROR(__xludf.DUMMYFUNCTION("REGEXREPLACE(MID(H909, SEARCH(""["", H909) + 1, SEARCH(""]"", H909) - SEARCH(""["", H909) - 1), ""\[\]"","""")"),"Will of A")</f>
        <v>Will of A</v>
      </c>
      <c r="J909" s="1">
        <v>20.0</v>
      </c>
      <c r="K909" s="1">
        <v>5.0</v>
      </c>
    </row>
    <row r="910">
      <c r="A910" s="1">
        <v>3.0</v>
      </c>
      <c r="B910" s="1">
        <v>12.0</v>
      </c>
      <c r="C910" s="1">
        <v>0.0</v>
      </c>
      <c r="D910" s="1">
        <v>0.0</v>
      </c>
      <c r="E910" s="1">
        <v>0.0</v>
      </c>
      <c r="F910" s="1">
        <v>0.0</v>
      </c>
      <c r="G910" s="2">
        <v>0.0</v>
      </c>
      <c r="H910" s="1" t="s">
        <v>261</v>
      </c>
      <c r="I910" s="1" t="str">
        <f>IFERROR(__xludf.DUMMYFUNCTION("REGEXREPLACE(MID(H910, SEARCH(""["", H910) + 1, SEARCH(""]"", H910) - SEARCH(""["", H910) - 1), ""\[\]"","""")"),"Will of A")</f>
        <v>Will of A</v>
      </c>
      <c r="J910" s="1">
        <v>0.0</v>
      </c>
      <c r="K910" s="1">
        <v>0.0</v>
      </c>
    </row>
    <row r="911">
      <c r="A911" s="1">
        <v>5.0</v>
      </c>
      <c r="B911" s="1">
        <v>19.0</v>
      </c>
      <c r="C911" s="1">
        <v>2.0</v>
      </c>
      <c r="D911" s="1">
        <v>1.6</v>
      </c>
      <c r="E911" s="1">
        <v>0.0</v>
      </c>
      <c r="F911" s="1">
        <v>0.0</v>
      </c>
      <c r="G911" s="2">
        <v>1.0</v>
      </c>
      <c r="H911" s="1" t="s">
        <v>344</v>
      </c>
      <c r="I911" s="1" t="str">
        <f>IFERROR(__xludf.DUMMYFUNCTION("REGEXREPLACE(MID(H911, SEARCH(""["", H911) + 1, SEARCH(""]"", H911) - SEARCH(""["", H911) - 1), ""\[\]"","""")"),"Will of A")</f>
        <v>Will of A</v>
      </c>
      <c r="J911" s="1">
        <v>8.0</v>
      </c>
      <c r="K911" s="1">
        <v>0.0</v>
      </c>
    </row>
    <row r="912">
      <c r="A912" s="1">
        <v>4.0</v>
      </c>
      <c r="B912" s="1">
        <v>12.0</v>
      </c>
      <c r="C912" s="1">
        <v>8.0</v>
      </c>
      <c r="D912" s="1">
        <v>0.0</v>
      </c>
      <c r="E912" s="1">
        <v>0.75</v>
      </c>
      <c r="F912" s="1">
        <v>0.0</v>
      </c>
      <c r="G912" s="6">
        <v>0.375</v>
      </c>
      <c r="H912" s="1" t="s">
        <v>345</v>
      </c>
      <c r="I912" s="1" t="str">
        <f>IFERROR(__xludf.DUMMYFUNCTION("REGEXREPLACE(MID(H912, SEARCH(""["", H912) + 1, SEARCH(""]"", H912) - SEARCH(""["", H912) - 1), ""\[\]"","""")"),"WWPS 1")</f>
        <v>WWPS 1</v>
      </c>
      <c r="J912" s="1">
        <v>0.0</v>
      </c>
      <c r="K912" s="1">
        <v>3.0</v>
      </c>
    </row>
    <row r="913">
      <c r="A913" s="1">
        <v>1.0</v>
      </c>
      <c r="B913" s="1">
        <v>4.0</v>
      </c>
      <c r="C913" s="1">
        <v>3.0</v>
      </c>
      <c r="D913" s="1">
        <v>8.0</v>
      </c>
      <c r="E913" s="1">
        <v>0.0</v>
      </c>
      <c r="F913" s="1">
        <v>0.0</v>
      </c>
      <c r="G913" s="6">
        <v>0.667</v>
      </c>
      <c r="H913" s="1" t="s">
        <v>345</v>
      </c>
      <c r="I913" s="1" t="str">
        <f>IFERROR(__xludf.DUMMYFUNCTION("REGEXREPLACE(MID(H913, SEARCH(""["", H913) + 1, SEARCH(""]"", H913) - SEARCH(""["", H913) - 1), ""\[\]"","""")"),"WWPS 1")</f>
        <v>WWPS 1</v>
      </c>
      <c r="J913" s="1">
        <v>8.0</v>
      </c>
      <c r="K913" s="1">
        <v>0.0</v>
      </c>
    </row>
    <row r="914">
      <c r="A914" s="1">
        <v>4.0</v>
      </c>
      <c r="B914" s="1">
        <v>12.0</v>
      </c>
      <c r="C914" s="1">
        <v>0.0</v>
      </c>
      <c r="D914" s="1">
        <v>0.0</v>
      </c>
      <c r="E914" s="1">
        <v>0.0</v>
      </c>
      <c r="F914" s="1">
        <v>0.0</v>
      </c>
      <c r="G914" s="2">
        <v>0.0</v>
      </c>
      <c r="H914" s="1" t="s">
        <v>346</v>
      </c>
      <c r="I914" s="1" t="str">
        <f>IFERROR(__xludf.DUMMYFUNCTION("REGEXREPLACE(MID(H914, SEARCH(""["", H914) + 1, SEARCH(""]"", H914) - SEARCH(""["", H914) - 1), ""\[\]"","""")"),"WWPS 1")</f>
        <v>WWPS 1</v>
      </c>
      <c r="J914" s="1">
        <v>0.0</v>
      </c>
      <c r="K914" s="1">
        <v>0.0</v>
      </c>
    </row>
    <row r="915">
      <c r="A915" s="1">
        <v>1.0</v>
      </c>
      <c r="B915" s="1">
        <v>4.0</v>
      </c>
      <c r="C915" s="1">
        <v>0.0</v>
      </c>
      <c r="D915" s="1">
        <v>0.0</v>
      </c>
      <c r="E915" s="1">
        <v>0.0</v>
      </c>
      <c r="F915" s="1">
        <v>0.0</v>
      </c>
      <c r="G915" s="2">
        <v>0.0</v>
      </c>
      <c r="H915" s="1" t="s">
        <v>346</v>
      </c>
      <c r="I915" s="1" t="str">
        <f>IFERROR(__xludf.DUMMYFUNCTION("REGEXREPLACE(MID(H915, SEARCH(""["", H915) + 1, SEARCH(""]"", H915) - SEARCH(""["", H915) - 1), ""\[\]"","""")"),"WWPS 1")</f>
        <v>WWPS 1</v>
      </c>
      <c r="J915" s="1">
        <v>0.0</v>
      </c>
      <c r="K915" s="1">
        <v>0.0</v>
      </c>
    </row>
    <row r="916">
      <c r="A916" s="1">
        <v>1.0</v>
      </c>
      <c r="B916" s="1">
        <v>4.0</v>
      </c>
      <c r="C916" s="1">
        <v>0.0</v>
      </c>
      <c r="D916" s="1">
        <v>0.0</v>
      </c>
      <c r="E916" s="1">
        <v>0.0</v>
      </c>
      <c r="F916" s="1">
        <v>0.0</v>
      </c>
      <c r="G916" s="2">
        <v>0.0</v>
      </c>
      <c r="H916" s="1" t="s">
        <v>347</v>
      </c>
      <c r="I916" s="1" t="str">
        <f>IFERROR(__xludf.DUMMYFUNCTION("REGEXREPLACE(MID(H916, SEARCH(""["", H916) + 1, SEARCH(""]"", H916) - SEARCH(""["", H916) - 1), ""\[\]"","""")"),"WWPS 1")</f>
        <v>WWPS 1</v>
      </c>
      <c r="J916" s="1">
        <v>0.0</v>
      </c>
      <c r="K916" s="1">
        <v>0.0</v>
      </c>
    </row>
    <row r="917">
      <c r="A917" s="1">
        <v>4.0</v>
      </c>
      <c r="B917" s="1">
        <v>12.0</v>
      </c>
      <c r="C917" s="1">
        <v>2.0</v>
      </c>
      <c r="D917" s="1">
        <v>-2.0</v>
      </c>
      <c r="E917" s="1">
        <v>0.5</v>
      </c>
      <c r="F917" s="1">
        <v>0.0</v>
      </c>
      <c r="G917" s="2">
        <v>0.0</v>
      </c>
      <c r="H917" s="1" t="s">
        <v>347</v>
      </c>
      <c r="I917" s="1" t="str">
        <f>IFERROR(__xludf.DUMMYFUNCTION("REGEXREPLACE(MID(H917, SEARCH(""["", H917) + 1, SEARCH(""]"", H917) - SEARCH(""["", H917) - 1), ""\[\]"","""")"),"WWPS 1")</f>
        <v>WWPS 1</v>
      </c>
      <c r="J917" s="1">
        <v>-8.0</v>
      </c>
      <c r="K917" s="1">
        <v>2.0</v>
      </c>
    </row>
    <row r="918">
      <c r="A918" s="1">
        <v>4.0</v>
      </c>
      <c r="B918" s="1">
        <v>12.0</v>
      </c>
      <c r="C918" s="1">
        <v>1.0</v>
      </c>
      <c r="D918" s="1">
        <v>1.0</v>
      </c>
      <c r="E918" s="1">
        <v>0.0</v>
      </c>
      <c r="F918" s="1">
        <v>0.0</v>
      </c>
      <c r="G918" s="2">
        <v>1.0</v>
      </c>
      <c r="H918" s="1" t="s">
        <v>188</v>
      </c>
      <c r="I918" s="1" t="str">
        <f>IFERROR(__xludf.DUMMYFUNCTION("REGEXREPLACE(MID(H918, SEARCH(""["", H918) + 1, SEARCH(""]"", H918) - SEARCH(""["", H918) - 1), ""\[\]"","""")"),"WWPS 1")</f>
        <v>WWPS 1</v>
      </c>
      <c r="J918" s="1">
        <v>4.0</v>
      </c>
      <c r="K918" s="1">
        <v>0.0</v>
      </c>
    </row>
    <row r="919">
      <c r="A919" s="1">
        <v>1.0</v>
      </c>
      <c r="B919" s="1">
        <v>4.0</v>
      </c>
      <c r="C919" s="1">
        <v>0.0</v>
      </c>
      <c r="D919" s="1">
        <v>0.0</v>
      </c>
      <c r="E919" s="1">
        <v>0.0</v>
      </c>
      <c r="F919" s="1">
        <v>0.0</v>
      </c>
      <c r="G919" s="2">
        <v>0.0</v>
      </c>
      <c r="H919" s="1" t="s">
        <v>188</v>
      </c>
      <c r="I919" s="1" t="str">
        <f>IFERROR(__xludf.DUMMYFUNCTION("REGEXREPLACE(MID(H919, SEARCH(""["", H919) + 1, SEARCH(""]"", H919) - SEARCH(""["", H919) - 1), ""\[\]"","""")"),"WWPS 1")</f>
        <v>WWPS 1</v>
      </c>
      <c r="J919" s="1">
        <v>0.0</v>
      </c>
      <c r="K919" s="1">
        <v>0.0</v>
      </c>
    </row>
    <row r="920">
      <c r="A920" s="1">
        <v>3.0</v>
      </c>
      <c r="B920" s="1">
        <v>11.0</v>
      </c>
      <c r="C920" s="1">
        <v>1.0</v>
      </c>
      <c r="D920" s="1">
        <v>1.33</v>
      </c>
      <c r="E920" s="1">
        <v>0.0</v>
      </c>
      <c r="F920" s="1">
        <v>0.0</v>
      </c>
      <c r="G920" s="2">
        <v>1.0</v>
      </c>
      <c r="H920" s="1" t="s">
        <v>119</v>
      </c>
      <c r="I920" s="1" t="str">
        <f>IFERROR(__xludf.DUMMYFUNCTION("REGEXREPLACE(MID(H920, SEARCH(""["", H920) + 1, SEARCH(""]"", H920) - SEARCH(""["", H920) - 1), ""\[\]"","""")"),"WWPS 2")</f>
        <v>WWPS 2</v>
      </c>
      <c r="J920" s="1">
        <v>4.0</v>
      </c>
      <c r="K920" s="1">
        <v>0.0</v>
      </c>
    </row>
    <row r="921">
      <c r="A921" s="1">
        <v>3.0</v>
      </c>
      <c r="B921" s="1">
        <v>11.0</v>
      </c>
      <c r="C921" s="1">
        <v>5.0</v>
      </c>
      <c r="D921" s="1">
        <v>2.67</v>
      </c>
      <c r="E921" s="1">
        <v>0.33</v>
      </c>
      <c r="F921" s="1">
        <v>0.0</v>
      </c>
      <c r="G921" s="2">
        <v>0.6</v>
      </c>
      <c r="H921" s="1" t="s">
        <v>218</v>
      </c>
      <c r="I921" s="1" t="str">
        <f>IFERROR(__xludf.DUMMYFUNCTION("REGEXREPLACE(MID(H921, SEARCH(""["", H921) + 1, SEARCH(""]"", H921) - SEARCH(""["", H921) - 1), ""\[\]"","""")"),"WWPS 2")</f>
        <v>WWPS 2</v>
      </c>
      <c r="J921" s="1">
        <v>8.0</v>
      </c>
      <c r="K921" s="1">
        <v>1.0</v>
      </c>
    </row>
    <row r="922">
      <c r="A922" s="1">
        <v>2.0</v>
      </c>
      <c r="B922" s="1">
        <v>8.0</v>
      </c>
      <c r="C922" s="1">
        <v>0.0</v>
      </c>
      <c r="D922" s="1">
        <v>0.0</v>
      </c>
      <c r="E922" s="1">
        <v>0.0</v>
      </c>
      <c r="F922" s="1">
        <v>0.0</v>
      </c>
      <c r="G922" s="2">
        <v>0.0</v>
      </c>
      <c r="H922" s="1" t="s">
        <v>348</v>
      </c>
      <c r="I922" s="1" t="str">
        <f>IFERROR(__xludf.DUMMYFUNCTION("REGEXREPLACE(MID(H922, SEARCH(""["", H922) + 1, SEARCH(""]"", H922) - SEARCH(""["", H922) - 1), ""\[\]"","""")"),"WWPS 2")</f>
        <v>WWPS 2</v>
      </c>
      <c r="J922" s="1">
        <v>0.0</v>
      </c>
      <c r="K922" s="1">
        <v>0.0</v>
      </c>
    </row>
    <row r="923">
      <c r="A923" s="1">
        <v>3.0</v>
      </c>
      <c r="B923" s="1">
        <v>11.0</v>
      </c>
      <c r="C923" s="1">
        <v>4.0</v>
      </c>
      <c r="D923" s="1">
        <v>-1.33</v>
      </c>
      <c r="E923" s="1">
        <v>0.67</v>
      </c>
      <c r="F923" s="1">
        <v>0.0</v>
      </c>
      <c r="G923" s="2">
        <v>0.25</v>
      </c>
      <c r="H923" s="1" t="s">
        <v>349</v>
      </c>
      <c r="I923" s="1" t="str">
        <f>IFERROR(__xludf.DUMMYFUNCTION("REGEXREPLACE(MID(H923, SEARCH(""["", H923) + 1, SEARCH(""]"", H923) - SEARCH(""["", H923) - 1), ""\[\]"","""")"),"WWPS 2")</f>
        <v>WWPS 2</v>
      </c>
      <c r="J923" s="1">
        <v>-4.0</v>
      </c>
      <c r="K923" s="1">
        <v>2.0</v>
      </c>
    </row>
    <row r="924">
      <c r="A924" s="1">
        <v>4.0</v>
      </c>
      <c r="B924" s="1">
        <v>15.0</v>
      </c>
      <c r="C924" s="1">
        <v>0.0</v>
      </c>
      <c r="D924" s="1">
        <v>0.0</v>
      </c>
      <c r="E924" s="1">
        <v>0.0</v>
      </c>
      <c r="F924" s="1">
        <v>0.0</v>
      </c>
      <c r="G924" s="2">
        <v>0.0</v>
      </c>
      <c r="H924" s="1" t="s">
        <v>193</v>
      </c>
      <c r="I924" s="1" t="str">
        <f>IFERROR(__xludf.DUMMYFUNCTION("REGEXREPLACE(MID(H924, SEARCH(""["", H924) + 1, SEARCH(""]"", H924) - SEARCH(""["", H924) - 1), ""\[\]"","""")"),"WWPS 2")</f>
        <v>WWPS 2</v>
      </c>
      <c r="J924" s="1">
        <v>0.0</v>
      </c>
      <c r="K924" s="1">
        <v>0.0</v>
      </c>
    </row>
    <row r="925">
      <c r="A925" s="1">
        <v>1.0</v>
      </c>
      <c r="B925" s="1">
        <v>4.0</v>
      </c>
      <c r="C925" s="1">
        <v>0.0</v>
      </c>
      <c r="D925" s="1">
        <v>0.0</v>
      </c>
      <c r="E925" s="1">
        <v>0.0</v>
      </c>
      <c r="F925" s="1">
        <v>0.0</v>
      </c>
      <c r="G925" s="2">
        <v>0.0</v>
      </c>
      <c r="H925" s="1" t="s">
        <v>0</v>
      </c>
      <c r="I925" s="1" t="str">
        <f>IFERROR(__xludf.DUMMYFUNCTION("REGEXREPLACE(MID(H925, SEARCH(""["", H925) + 1, SEARCH(""]"", H925) - SEARCH(""["", H925) - 1), ""\[\]"","""")"),"Bridgeland HS")</f>
        <v>Bridgeland HS</v>
      </c>
      <c r="J925" s="1">
        <v>0.0</v>
      </c>
      <c r="K925" s="1">
        <v>0.0</v>
      </c>
    </row>
    <row r="926">
      <c r="A926" s="1">
        <v>4.0</v>
      </c>
      <c r="B926" s="1">
        <v>16.0</v>
      </c>
      <c r="C926" s="1">
        <v>13.0</v>
      </c>
      <c r="D926" s="1">
        <v>2.0</v>
      </c>
      <c r="E926" s="1">
        <v>1.25</v>
      </c>
      <c r="F926" s="1">
        <v>0.0</v>
      </c>
      <c r="G926" s="6">
        <v>0.538</v>
      </c>
      <c r="H926" s="1" t="s">
        <v>2</v>
      </c>
      <c r="I926" s="1" t="str">
        <f>IFERROR(__xludf.DUMMYFUNCTION("REGEXREPLACE(MID(H926, SEARCH(""["", H926) + 1, SEARCH(""]"", H926) - SEARCH(""["", H926) - 1), ""\[\]"","""")"),"Amador Valley HS")</f>
        <v>Amador Valley HS</v>
      </c>
      <c r="J926" s="1">
        <v>8.0</v>
      </c>
      <c r="K926" s="1">
        <v>5.0</v>
      </c>
    </row>
    <row r="927">
      <c r="A927" s="1">
        <v>1.0</v>
      </c>
      <c r="B927" s="1">
        <v>4.0</v>
      </c>
      <c r="C927" s="1">
        <v>1.0</v>
      </c>
      <c r="D927" s="1">
        <v>4.0</v>
      </c>
      <c r="E927" s="1">
        <v>0.0</v>
      </c>
      <c r="F927" s="1">
        <v>0.0</v>
      </c>
      <c r="G927" s="2">
        <v>1.0</v>
      </c>
      <c r="H927" s="1" t="s">
        <v>2</v>
      </c>
      <c r="I927" s="1" t="str">
        <f>IFERROR(__xludf.DUMMYFUNCTION("REGEXREPLACE(MID(H927, SEARCH(""["", H927) + 1, SEARCH(""]"", H927) - SEARCH(""["", H927) - 1), ""\[\]"","""")"),"Amador Valley HS")</f>
        <v>Amador Valley HS</v>
      </c>
      <c r="J927" s="1">
        <v>4.0</v>
      </c>
      <c r="K927" s="1">
        <v>0.0</v>
      </c>
    </row>
    <row r="928">
      <c r="A928" s="1">
        <v>4.0</v>
      </c>
      <c r="B928" s="1">
        <v>16.0</v>
      </c>
      <c r="C928" s="1">
        <v>0.0</v>
      </c>
      <c r="D928" s="1">
        <v>0.0</v>
      </c>
      <c r="E928" s="1">
        <v>0.0</v>
      </c>
      <c r="F928" s="1">
        <v>0.0</v>
      </c>
      <c r="G928" s="2">
        <v>0.0</v>
      </c>
      <c r="H928" s="1" t="s">
        <v>5</v>
      </c>
      <c r="I928" s="1" t="str">
        <f>IFERROR(__xludf.DUMMYFUNCTION("REGEXREPLACE(MID(H928, SEARCH(""["", H928) + 1, SEARCH(""]"", H928) - SEARCH(""["", H928) - 1), ""\[\]"","""")"),"Amador Valley HS")</f>
        <v>Amador Valley HS</v>
      </c>
      <c r="J928" s="1">
        <v>0.0</v>
      </c>
      <c r="K928" s="1">
        <v>0.0</v>
      </c>
    </row>
    <row r="929">
      <c r="A929" s="1">
        <v>1.0</v>
      </c>
      <c r="B929" s="1">
        <v>4.0</v>
      </c>
      <c r="C929" s="1">
        <v>0.0</v>
      </c>
      <c r="D929" s="1">
        <v>0.0</v>
      </c>
      <c r="E929" s="1">
        <v>0.0</v>
      </c>
      <c r="F929" s="1">
        <v>0.0</v>
      </c>
      <c r="G929" s="2">
        <v>0.0</v>
      </c>
      <c r="H929" s="1" t="s">
        <v>5</v>
      </c>
      <c r="I929" s="1" t="str">
        <f>IFERROR(__xludf.DUMMYFUNCTION("REGEXREPLACE(MID(H929, SEARCH(""["", H929) + 1, SEARCH(""]"", H929) - SEARCH(""["", H929) - 1), ""\[\]"","""")"),"Amador Valley HS")</f>
        <v>Amador Valley HS</v>
      </c>
      <c r="J929" s="1">
        <v>0.0</v>
      </c>
      <c r="K929" s="1">
        <v>0.0</v>
      </c>
    </row>
    <row r="930">
      <c r="A930" s="1">
        <v>4.0</v>
      </c>
      <c r="B930" s="1">
        <v>16.0</v>
      </c>
      <c r="C930" s="1">
        <v>2.0</v>
      </c>
      <c r="D930" s="1">
        <v>2.0</v>
      </c>
      <c r="E930" s="1">
        <v>0.0</v>
      </c>
      <c r="F930" s="1">
        <v>0.0</v>
      </c>
      <c r="G930" s="2">
        <v>1.0</v>
      </c>
      <c r="H930" s="1" t="s">
        <v>8</v>
      </c>
      <c r="I930" s="1" t="str">
        <f>IFERROR(__xludf.DUMMYFUNCTION("REGEXREPLACE(MID(H930, SEARCH(""["", H930) + 1, SEARCH(""]"", H930) - SEARCH(""["", H930) - 1), ""\[\]"","""")"),"Amador Valley HS")</f>
        <v>Amador Valley HS</v>
      </c>
      <c r="J930" s="1">
        <v>8.0</v>
      </c>
      <c r="K930" s="1">
        <v>0.0</v>
      </c>
    </row>
    <row r="931">
      <c r="A931" s="1">
        <v>1.0</v>
      </c>
      <c r="B931" s="1">
        <v>4.0</v>
      </c>
      <c r="C931" s="1">
        <v>3.0</v>
      </c>
      <c r="D931" s="1">
        <v>12.0</v>
      </c>
      <c r="E931" s="1">
        <v>0.0</v>
      </c>
      <c r="F931" s="1">
        <v>0.0</v>
      </c>
      <c r="G931" s="2">
        <v>1.0</v>
      </c>
      <c r="H931" s="1" t="s">
        <v>8</v>
      </c>
      <c r="I931" s="1" t="str">
        <f>IFERROR(__xludf.DUMMYFUNCTION("REGEXREPLACE(MID(H931, SEARCH(""["", H931) + 1, SEARCH(""]"", H931) - SEARCH(""["", H931) - 1), ""\[\]"","""")"),"Amador Valley HS")</f>
        <v>Amador Valley HS</v>
      </c>
      <c r="J931" s="1">
        <v>12.0</v>
      </c>
      <c r="K931" s="1">
        <v>0.0</v>
      </c>
    </row>
    <row r="932">
      <c r="A932" s="1">
        <v>4.0</v>
      </c>
      <c r="B932" s="1">
        <v>16.0</v>
      </c>
      <c r="C932" s="1">
        <v>0.0</v>
      </c>
      <c r="D932" s="1">
        <v>0.0</v>
      </c>
      <c r="E932" s="1">
        <v>0.0</v>
      </c>
      <c r="F932" s="1">
        <v>0.0</v>
      </c>
      <c r="G932" s="2">
        <v>0.0</v>
      </c>
      <c r="H932" s="1" t="s">
        <v>11</v>
      </c>
      <c r="I932" s="1" t="str">
        <f>IFERROR(__xludf.DUMMYFUNCTION("REGEXREPLACE(MID(H932, SEARCH(""["", H932) + 1, SEARCH(""]"", H932) - SEARCH(""["", H932) - 1), ""\[\]"","""")"),"Amador Valley HS")</f>
        <v>Amador Valley HS</v>
      </c>
      <c r="J932" s="1">
        <v>0.0</v>
      </c>
      <c r="K932" s="1">
        <v>0.0</v>
      </c>
    </row>
    <row r="933">
      <c r="A933" s="1">
        <v>3.0</v>
      </c>
      <c r="B933" s="1">
        <v>12.0</v>
      </c>
      <c r="C933" s="1">
        <v>4.0</v>
      </c>
      <c r="D933" s="1">
        <v>-1.33</v>
      </c>
      <c r="E933" s="1">
        <v>0.33</v>
      </c>
      <c r="F933" s="1">
        <v>0.0</v>
      </c>
      <c r="G933" s="2">
        <v>0.0</v>
      </c>
      <c r="H933" s="1" t="s">
        <v>12</v>
      </c>
      <c r="I933" s="1" t="str">
        <f>IFERROR(__xludf.DUMMYFUNCTION("REGEXREPLACE(MID(H933, SEARCH(""["", H933) + 1, SEARCH(""]"", H933) - SEARCH(""["", H933) - 1), ""\[\]"","""")"),"American Heritage Broward")</f>
        <v>American Heritage Broward</v>
      </c>
      <c r="J933" s="1">
        <v>-4.0</v>
      </c>
      <c r="K933" s="1">
        <v>1.0</v>
      </c>
    </row>
    <row r="934">
      <c r="A934" s="1">
        <v>1.0</v>
      </c>
      <c r="B934" s="1">
        <v>4.0</v>
      </c>
      <c r="C934" s="1">
        <v>1.0</v>
      </c>
      <c r="D934" s="1">
        <v>-4.0</v>
      </c>
      <c r="E934" s="1">
        <v>1.0</v>
      </c>
      <c r="F934" s="1">
        <v>0.0</v>
      </c>
      <c r="G934" s="2">
        <v>0.0</v>
      </c>
      <c r="H934" s="1" t="s">
        <v>13</v>
      </c>
      <c r="I934" s="1" t="str">
        <f>IFERROR(__xludf.DUMMYFUNCTION("REGEXREPLACE(MID(H934, SEARCH(""["", H934) + 1, SEARCH(""]"", H934) - SEARCH(""["", H934) - 1), ""\[\]"","""")"),"American Heritage Broward")</f>
        <v>American Heritage Broward</v>
      </c>
      <c r="J934" s="1">
        <v>-4.0</v>
      </c>
      <c r="K934" s="1">
        <v>1.0</v>
      </c>
    </row>
    <row r="935">
      <c r="A935" s="1">
        <v>4.0</v>
      </c>
      <c r="B935" s="1">
        <v>15.0</v>
      </c>
      <c r="C935" s="1">
        <v>0.0</v>
      </c>
      <c r="D935" s="1">
        <v>0.0</v>
      </c>
      <c r="E935" s="1">
        <v>0.0</v>
      </c>
      <c r="F935" s="1">
        <v>0.0</v>
      </c>
      <c r="G935" s="2">
        <v>0.0</v>
      </c>
      <c r="H935" s="1" t="s">
        <v>13</v>
      </c>
      <c r="I935" s="1" t="str">
        <f>IFERROR(__xludf.DUMMYFUNCTION("REGEXREPLACE(MID(H935, SEARCH(""["", H935) + 1, SEARCH(""]"", H935) - SEARCH(""["", H935) - 1), ""\[\]"","""")"),"American Heritage Broward")</f>
        <v>American Heritage Broward</v>
      </c>
      <c r="J935" s="1">
        <v>0.0</v>
      </c>
      <c r="K935" s="1">
        <v>0.0</v>
      </c>
    </row>
    <row r="936">
      <c r="A936" s="1">
        <v>1.0</v>
      </c>
      <c r="B936" s="1">
        <v>4.0</v>
      </c>
      <c r="C936" s="1">
        <v>0.0</v>
      </c>
      <c r="D936" s="1">
        <v>0.0</v>
      </c>
      <c r="E936" s="1">
        <v>0.0</v>
      </c>
      <c r="F936" s="1">
        <v>0.0</v>
      </c>
      <c r="G936" s="2">
        <v>0.0</v>
      </c>
      <c r="H936" s="1" t="s">
        <v>15</v>
      </c>
      <c r="I936" s="1" t="str">
        <f>IFERROR(__xludf.DUMMYFUNCTION("REGEXREPLACE(MID(H936, SEARCH(""["", H936) + 1, SEARCH(""]"", H936) - SEARCH(""["", H936) - 1), ""\[\]"","""")"),"American Heritage Broward")</f>
        <v>American Heritage Broward</v>
      </c>
      <c r="J936" s="1">
        <v>0.0</v>
      </c>
      <c r="K936" s="1">
        <v>0.0</v>
      </c>
    </row>
    <row r="937">
      <c r="A937" s="1">
        <v>4.0</v>
      </c>
      <c r="B937" s="1">
        <v>15.0</v>
      </c>
      <c r="C937" s="1">
        <v>4.0</v>
      </c>
      <c r="D937" s="1">
        <v>2.0</v>
      </c>
      <c r="E937" s="1">
        <v>0.25</v>
      </c>
      <c r="F937" s="1">
        <v>0.0</v>
      </c>
      <c r="G937" s="2">
        <v>0.75</v>
      </c>
      <c r="H937" s="1" t="s">
        <v>15</v>
      </c>
      <c r="I937" s="1" t="str">
        <f>IFERROR(__xludf.DUMMYFUNCTION("REGEXREPLACE(MID(H937, SEARCH(""["", H937) + 1, SEARCH(""]"", H937) - SEARCH(""["", H937) - 1), ""\[\]"","""")"),"American Heritage Broward")</f>
        <v>American Heritage Broward</v>
      </c>
      <c r="J937" s="1">
        <v>8.0</v>
      </c>
      <c r="K937" s="1">
        <v>1.0</v>
      </c>
    </row>
    <row r="938">
      <c r="A938" s="1">
        <v>1.0</v>
      </c>
      <c r="B938" s="1">
        <v>4.0</v>
      </c>
      <c r="C938" s="1">
        <v>1.0</v>
      </c>
      <c r="D938" s="1">
        <v>0.0</v>
      </c>
      <c r="E938" s="1">
        <v>0.0</v>
      </c>
      <c r="F938" s="1">
        <v>0.0</v>
      </c>
      <c r="G938" s="2">
        <v>0.0</v>
      </c>
      <c r="H938" s="1" t="s">
        <v>17</v>
      </c>
      <c r="I938" s="1" t="str">
        <f>IFERROR(__xludf.DUMMYFUNCTION("REGEXREPLACE(MID(H938, SEARCH(""["", H938) + 1, SEARCH(""]"", H938) - SEARCH(""["", H938) - 1), ""\[\]"","""")"),"American Heritage Broward")</f>
        <v>American Heritage Broward</v>
      </c>
      <c r="J938" s="1">
        <v>0.0</v>
      </c>
      <c r="K938" s="1">
        <v>0.0</v>
      </c>
    </row>
    <row r="939">
      <c r="A939" s="1">
        <v>4.0</v>
      </c>
      <c r="B939" s="1">
        <v>15.0</v>
      </c>
      <c r="C939" s="1">
        <v>1.0</v>
      </c>
      <c r="D939" s="1">
        <v>1.0</v>
      </c>
      <c r="E939" s="1">
        <v>0.0</v>
      </c>
      <c r="F939" s="1">
        <v>0.0</v>
      </c>
      <c r="G939" s="2">
        <v>1.0</v>
      </c>
      <c r="H939" s="1" t="s">
        <v>17</v>
      </c>
      <c r="I939" s="1" t="str">
        <f>IFERROR(__xludf.DUMMYFUNCTION("REGEXREPLACE(MID(H939, SEARCH(""["", H939) + 1, SEARCH(""]"", H939) - SEARCH(""["", H939) - 1), ""\[\]"","""")"),"American Heritage Broward")</f>
        <v>American Heritage Broward</v>
      </c>
      <c r="J939" s="1">
        <v>4.0</v>
      </c>
      <c r="K939" s="1">
        <v>0.0</v>
      </c>
    </row>
    <row r="940">
      <c r="A940" s="1">
        <v>1.0</v>
      </c>
      <c r="B940" s="1">
        <v>4.0</v>
      </c>
      <c r="C940" s="1">
        <v>1.0</v>
      </c>
      <c r="D940" s="1">
        <v>0.0</v>
      </c>
      <c r="E940" s="1">
        <v>0.0</v>
      </c>
      <c r="F940" s="1">
        <v>0.0</v>
      </c>
      <c r="G940" s="2">
        <v>0.0</v>
      </c>
      <c r="H940" s="1" t="s">
        <v>20</v>
      </c>
      <c r="I940" s="1" t="str">
        <f>IFERROR(__xludf.DUMMYFUNCTION("REGEXREPLACE(MID(H940, SEARCH(""["", H940) + 1, SEARCH(""]"", H940) - SEARCH(""["", H940) - 1), ""\[\]"","""")"),"American Heritage Broward")</f>
        <v>American Heritage Broward</v>
      </c>
      <c r="J940" s="1">
        <v>0.0</v>
      </c>
      <c r="K940" s="1">
        <v>0.0</v>
      </c>
    </row>
    <row r="941">
      <c r="A941" s="1">
        <v>1.0</v>
      </c>
      <c r="B941" s="1">
        <v>3.0</v>
      </c>
      <c r="C941" s="1">
        <v>0.0</v>
      </c>
      <c r="D941" s="1">
        <v>0.0</v>
      </c>
      <c r="E941" s="1">
        <v>0.0</v>
      </c>
      <c r="F941" s="1">
        <v>0.0</v>
      </c>
      <c r="G941" s="2">
        <v>0.0</v>
      </c>
      <c r="H941" s="1" t="s">
        <v>20</v>
      </c>
      <c r="I941" s="1" t="str">
        <f>IFERROR(__xludf.DUMMYFUNCTION("REGEXREPLACE(MID(H941, SEARCH(""["", H941) + 1, SEARCH(""]"", H941) - SEARCH(""["", H941) - 1), ""\[\]"","""")"),"American Heritage Broward")</f>
        <v>American Heritage Broward</v>
      </c>
      <c r="J941" s="1">
        <v>0.0</v>
      </c>
      <c r="K941" s="1">
        <v>0.0</v>
      </c>
    </row>
    <row r="942">
      <c r="A942" s="1">
        <v>1.0</v>
      </c>
      <c r="B942" s="1">
        <v>4.0</v>
      </c>
      <c r="C942" s="1">
        <v>0.0</v>
      </c>
      <c r="D942" s="1">
        <v>0.0</v>
      </c>
      <c r="E942" s="1">
        <v>0.0</v>
      </c>
      <c r="F942" s="1">
        <v>0.0</v>
      </c>
      <c r="G942" s="2">
        <v>0.0</v>
      </c>
      <c r="H942" s="1" t="s">
        <v>24</v>
      </c>
      <c r="I942" s="1" t="str">
        <f>IFERROR(__xludf.DUMMYFUNCTION("REGEXREPLACE(MID(H942, SEARCH(""["", H942) + 1, SEARCH(""]"", H942) - SEARCH(""["", H942) - 1), ""\[\]"","""")"),"Arcadia 1")</f>
        <v>Arcadia 1</v>
      </c>
      <c r="J942" s="1">
        <v>0.0</v>
      </c>
      <c r="K942" s="1">
        <v>0.0</v>
      </c>
    </row>
    <row r="943">
      <c r="A943" s="1">
        <v>1.0</v>
      </c>
      <c r="B943" s="1">
        <v>4.0</v>
      </c>
      <c r="C943" s="1">
        <v>0.0</v>
      </c>
      <c r="D943" s="1">
        <v>0.0</v>
      </c>
      <c r="E943" s="1">
        <v>0.0</v>
      </c>
      <c r="F943" s="1">
        <v>0.0</v>
      </c>
      <c r="G943" s="2">
        <v>0.0</v>
      </c>
      <c r="H943" s="1" t="s">
        <v>24</v>
      </c>
      <c r="I943" s="1" t="str">
        <f>IFERROR(__xludf.DUMMYFUNCTION("REGEXREPLACE(MID(H943, SEARCH(""["", H943) + 1, SEARCH(""]"", H943) - SEARCH(""["", H943) - 1), ""\[\]"","""")"),"Arcadia 1")</f>
        <v>Arcadia 1</v>
      </c>
      <c r="J943" s="1">
        <v>0.0</v>
      </c>
      <c r="K943" s="1">
        <v>0.0</v>
      </c>
    </row>
    <row r="944">
      <c r="A944" s="1">
        <v>3.0</v>
      </c>
      <c r="B944" s="1">
        <v>12.0</v>
      </c>
      <c r="C944" s="1">
        <v>6.0</v>
      </c>
      <c r="D944" s="1">
        <v>8.0</v>
      </c>
      <c r="E944" s="1">
        <v>0.0</v>
      </c>
      <c r="F944" s="1">
        <v>0.0</v>
      </c>
      <c r="G944" s="2">
        <v>1.0</v>
      </c>
      <c r="H944" s="1" t="s">
        <v>29</v>
      </c>
      <c r="I944" s="1" t="str">
        <f>IFERROR(__xludf.DUMMYFUNCTION("REGEXREPLACE(MID(H944, SEARCH(""["", H944) + 1, SEARCH(""]"", H944) - SEARCH(""["", H944) - 1), ""\[\]"","""")"),"Arcadia 1")</f>
        <v>Arcadia 1</v>
      </c>
      <c r="J944" s="1">
        <v>24.0</v>
      </c>
      <c r="K944" s="1">
        <v>0.0</v>
      </c>
    </row>
    <row r="945">
      <c r="A945" s="1">
        <v>1.0</v>
      </c>
      <c r="B945" s="1">
        <v>4.0</v>
      </c>
      <c r="C945" s="1">
        <v>3.0</v>
      </c>
      <c r="D945" s="1">
        <v>12.0</v>
      </c>
      <c r="E945" s="1">
        <v>0.0</v>
      </c>
      <c r="F945" s="1">
        <v>0.0</v>
      </c>
      <c r="G945" s="2">
        <v>1.0</v>
      </c>
      <c r="H945" s="1" t="s">
        <v>29</v>
      </c>
      <c r="I945" s="1" t="str">
        <f>IFERROR(__xludf.DUMMYFUNCTION("REGEXREPLACE(MID(H945, SEARCH(""["", H945) + 1, SEARCH(""]"", H945) - SEARCH(""["", H945) - 1), ""\[\]"","""")"),"Arcadia 1")</f>
        <v>Arcadia 1</v>
      </c>
      <c r="J945" s="1">
        <v>12.0</v>
      </c>
      <c r="K945" s="1">
        <v>0.0</v>
      </c>
    </row>
    <row r="946">
      <c r="A946" s="1">
        <v>1.0</v>
      </c>
      <c r="B946" s="1">
        <v>4.0</v>
      </c>
      <c r="C946" s="1">
        <v>0.0</v>
      </c>
      <c r="D946" s="1">
        <v>0.0</v>
      </c>
      <c r="E946" s="1">
        <v>0.0</v>
      </c>
      <c r="F946" s="1">
        <v>0.0</v>
      </c>
      <c r="G946" s="2">
        <v>0.0</v>
      </c>
      <c r="H946" s="1" t="s">
        <v>29</v>
      </c>
      <c r="I946" s="1" t="str">
        <f>IFERROR(__xludf.DUMMYFUNCTION("REGEXREPLACE(MID(H946, SEARCH(""["", H946) + 1, SEARCH(""]"", H946) - SEARCH(""["", H946) - 1), ""\[\]"","""")"),"Arcadia 1")</f>
        <v>Arcadia 1</v>
      </c>
      <c r="J946" s="1">
        <v>0.0</v>
      </c>
      <c r="K946" s="1">
        <v>0.0</v>
      </c>
    </row>
    <row r="947">
      <c r="A947" s="1">
        <v>2.0</v>
      </c>
      <c r="B947" s="1">
        <v>8.0</v>
      </c>
      <c r="C947" s="1">
        <v>0.0</v>
      </c>
      <c r="D947" s="1">
        <v>0.0</v>
      </c>
      <c r="E947" s="1">
        <v>0.0</v>
      </c>
      <c r="F947" s="1">
        <v>0.0</v>
      </c>
      <c r="G947" s="2">
        <v>0.0</v>
      </c>
      <c r="H947" s="1" t="s">
        <v>38</v>
      </c>
      <c r="I947" s="1" t="str">
        <f>IFERROR(__xludf.DUMMYFUNCTION("REGEXREPLACE(MID(H947, SEARCH(""["", H947) + 1, SEARCH(""]"", H947) - SEARCH(""["", H947) - 1), ""\[\]"","""")"),"Arcadia 1")</f>
        <v>Arcadia 1</v>
      </c>
      <c r="J947" s="1">
        <v>0.0</v>
      </c>
      <c r="K947" s="1">
        <v>0.0</v>
      </c>
    </row>
    <row r="948">
      <c r="A948" s="1">
        <v>1.0</v>
      </c>
      <c r="B948" s="1">
        <v>4.0</v>
      </c>
      <c r="C948" s="1">
        <v>0.0</v>
      </c>
      <c r="D948" s="1">
        <v>0.0</v>
      </c>
      <c r="E948" s="1">
        <v>0.0</v>
      </c>
      <c r="F948" s="1">
        <v>0.0</v>
      </c>
      <c r="G948" s="2">
        <v>0.0</v>
      </c>
      <c r="H948" s="1" t="s">
        <v>38</v>
      </c>
      <c r="I948" s="1" t="str">
        <f>IFERROR(__xludf.DUMMYFUNCTION("REGEXREPLACE(MID(H948, SEARCH(""["", H948) + 1, SEARCH(""]"", H948) - SEARCH(""["", H948) - 1), ""\[\]"","""")"),"Arcadia 1")</f>
        <v>Arcadia 1</v>
      </c>
      <c r="J948" s="1">
        <v>0.0</v>
      </c>
      <c r="K948" s="1">
        <v>0.0</v>
      </c>
    </row>
    <row r="949">
      <c r="A949" s="1">
        <v>3.0</v>
      </c>
      <c r="B949" s="1">
        <v>12.0</v>
      </c>
      <c r="C949" s="1">
        <v>0.0</v>
      </c>
      <c r="D949" s="1">
        <v>0.0</v>
      </c>
      <c r="E949" s="1">
        <v>0.0</v>
      </c>
      <c r="F949" s="1">
        <v>0.0</v>
      </c>
      <c r="G949" s="2">
        <v>0.0</v>
      </c>
      <c r="H949" s="1" t="s">
        <v>40</v>
      </c>
      <c r="I949" s="1" t="str">
        <f>IFERROR(__xludf.DUMMYFUNCTION("REGEXREPLACE(MID(H949, SEARCH(""["", H949) + 1, SEARCH(""]"", H949) - SEARCH(""["", H949) - 1), ""\[\]"","""")"),"Arcadia 1")</f>
        <v>Arcadia 1</v>
      </c>
      <c r="J949" s="1">
        <v>0.0</v>
      </c>
      <c r="K949" s="1">
        <v>0.0</v>
      </c>
    </row>
    <row r="950">
      <c r="A950" s="1">
        <v>1.0</v>
      </c>
      <c r="B950" s="1">
        <v>4.0</v>
      </c>
      <c r="C950" s="1">
        <v>0.0</v>
      </c>
      <c r="D950" s="1">
        <v>0.0</v>
      </c>
      <c r="E950" s="1">
        <v>0.0</v>
      </c>
      <c r="F950" s="1">
        <v>0.0</v>
      </c>
      <c r="G950" s="2">
        <v>0.0</v>
      </c>
      <c r="H950" s="1" t="s">
        <v>40</v>
      </c>
      <c r="I950" s="1" t="str">
        <f>IFERROR(__xludf.DUMMYFUNCTION("REGEXREPLACE(MID(H950, SEARCH(""["", H950) + 1, SEARCH(""]"", H950) - SEARCH(""["", H950) - 1), ""\[\]"","""")"),"Arcadia 1")</f>
        <v>Arcadia 1</v>
      </c>
      <c r="J950" s="1">
        <v>0.0</v>
      </c>
      <c r="K950" s="1">
        <v>0.0</v>
      </c>
    </row>
    <row r="951">
      <c r="A951" s="1">
        <v>1.0</v>
      </c>
      <c r="B951" s="1">
        <v>4.0</v>
      </c>
      <c r="C951" s="1">
        <v>2.0</v>
      </c>
      <c r="D951" s="1">
        <v>8.0</v>
      </c>
      <c r="E951" s="1">
        <v>0.0</v>
      </c>
      <c r="F951" s="1">
        <v>0.0</v>
      </c>
      <c r="G951" s="2">
        <v>1.0</v>
      </c>
      <c r="H951" s="1" t="s">
        <v>40</v>
      </c>
      <c r="I951" s="1" t="str">
        <f>IFERROR(__xludf.DUMMYFUNCTION("REGEXREPLACE(MID(H951, SEARCH(""["", H951) + 1, SEARCH(""]"", H951) - SEARCH(""["", H951) - 1), ""\[\]"","""")"),"Arcadia 1")</f>
        <v>Arcadia 1</v>
      </c>
      <c r="J951" s="1">
        <v>8.0</v>
      </c>
      <c r="K951" s="1">
        <v>0.0</v>
      </c>
    </row>
    <row r="952">
      <c r="A952" s="1">
        <v>3.0</v>
      </c>
      <c r="B952" s="1">
        <v>12.0</v>
      </c>
      <c r="C952" s="1">
        <v>5.0</v>
      </c>
      <c r="D952" s="1">
        <v>2.67</v>
      </c>
      <c r="E952" s="1">
        <v>0.33</v>
      </c>
      <c r="F952" s="1">
        <v>0.0</v>
      </c>
      <c r="G952" s="2">
        <v>0.6</v>
      </c>
      <c r="H952" s="1" t="s">
        <v>46</v>
      </c>
      <c r="I952" s="1" t="str">
        <f>IFERROR(__xludf.DUMMYFUNCTION("REGEXREPLACE(MID(H952, SEARCH(""["", H952) + 1, SEARCH(""]"", H952) - SEARCH(""["", H952) - 1), ""\[\]"","""")"),"Arcadia 1")</f>
        <v>Arcadia 1</v>
      </c>
      <c r="J952" s="1">
        <v>8.0</v>
      </c>
      <c r="K952" s="1">
        <v>1.0</v>
      </c>
    </row>
    <row r="953">
      <c r="A953" s="1">
        <v>1.0</v>
      </c>
      <c r="B953" s="1">
        <v>4.0</v>
      </c>
      <c r="C953" s="1">
        <v>1.0</v>
      </c>
      <c r="D953" s="1">
        <v>4.0</v>
      </c>
      <c r="E953" s="1">
        <v>0.0</v>
      </c>
      <c r="F953" s="1">
        <v>0.0</v>
      </c>
      <c r="G953" s="2">
        <v>1.0</v>
      </c>
      <c r="H953" s="1" t="s">
        <v>46</v>
      </c>
      <c r="I953" s="1" t="str">
        <f>IFERROR(__xludf.DUMMYFUNCTION("REGEXREPLACE(MID(H953, SEARCH(""["", H953) + 1, SEARCH(""]"", H953) - SEARCH(""["", H953) - 1), ""\[\]"","""")"),"Arcadia 1")</f>
        <v>Arcadia 1</v>
      </c>
      <c r="J953" s="1">
        <v>4.0</v>
      </c>
      <c r="K953" s="1">
        <v>0.0</v>
      </c>
    </row>
    <row r="954">
      <c r="A954" s="1">
        <v>1.0</v>
      </c>
      <c r="B954" s="1">
        <v>4.0</v>
      </c>
      <c r="C954" s="1">
        <v>1.0</v>
      </c>
      <c r="D954" s="1">
        <v>4.0</v>
      </c>
      <c r="E954" s="1">
        <v>0.0</v>
      </c>
      <c r="F954" s="1">
        <v>0.0</v>
      </c>
      <c r="G954" s="2">
        <v>1.0</v>
      </c>
      <c r="H954" s="1" t="s">
        <v>46</v>
      </c>
      <c r="I954" s="1" t="str">
        <f>IFERROR(__xludf.DUMMYFUNCTION("REGEXREPLACE(MID(H954, SEARCH(""["", H954) + 1, SEARCH(""]"", H954) - SEARCH(""["", H954) - 1), ""\[\]"","""")"),"Arcadia 1")</f>
        <v>Arcadia 1</v>
      </c>
      <c r="J954" s="1">
        <v>4.0</v>
      </c>
      <c r="K954" s="1">
        <v>0.0</v>
      </c>
    </row>
    <row r="955">
      <c r="A955" s="1">
        <v>4.0</v>
      </c>
      <c r="B955" s="1">
        <v>17.0</v>
      </c>
      <c r="C955" s="1">
        <v>0.0</v>
      </c>
      <c r="D955" s="1">
        <v>0.0</v>
      </c>
      <c r="E955" s="1">
        <v>0.0</v>
      </c>
      <c r="F955" s="1">
        <v>0.0</v>
      </c>
      <c r="G955" s="2">
        <v>0.0</v>
      </c>
      <c r="H955" s="1" t="s">
        <v>51</v>
      </c>
      <c r="I955" s="1" t="str">
        <f>IFERROR(__xludf.DUMMYFUNCTION("REGEXREPLACE(MID(H955, SEARCH(""["", H955) + 1, SEARCH(""]"", H955) - SEARCH(""["", H955) - 1), ""\[\]"","""")"),"Arcadia 2")</f>
        <v>Arcadia 2</v>
      </c>
      <c r="J955" s="1">
        <v>0.0</v>
      </c>
      <c r="K955" s="1">
        <v>0.0</v>
      </c>
    </row>
    <row r="956">
      <c r="A956" s="1">
        <v>5.0</v>
      </c>
      <c r="B956" s="1">
        <v>21.0</v>
      </c>
      <c r="C956" s="1">
        <v>12.0</v>
      </c>
      <c r="D956" s="1">
        <v>5.6</v>
      </c>
      <c r="E956" s="1">
        <v>0.2</v>
      </c>
      <c r="F956" s="1">
        <v>0.0</v>
      </c>
      <c r="G956" s="6">
        <v>0.667</v>
      </c>
      <c r="H956" s="1" t="s">
        <v>54</v>
      </c>
      <c r="I956" s="1" t="str">
        <f>IFERROR(__xludf.DUMMYFUNCTION("REGEXREPLACE(MID(H956, SEARCH(""["", H956) + 1, SEARCH(""]"", H956) - SEARCH(""["", H956) - 1), ""\[\]"","""")"),"Arcadia 2")</f>
        <v>Arcadia 2</v>
      </c>
      <c r="J956" s="1">
        <v>28.0</v>
      </c>
      <c r="K956" s="1">
        <v>1.0</v>
      </c>
    </row>
    <row r="957">
      <c r="A957" s="1">
        <v>1.0</v>
      </c>
      <c r="B957" s="1">
        <v>4.0</v>
      </c>
      <c r="C957" s="1">
        <v>0.0</v>
      </c>
      <c r="D957" s="1">
        <v>0.0</v>
      </c>
      <c r="E957" s="1">
        <v>0.0</v>
      </c>
      <c r="F957" s="1">
        <v>0.0</v>
      </c>
      <c r="G957" s="2">
        <v>0.0</v>
      </c>
      <c r="H957" s="1" t="s">
        <v>55</v>
      </c>
      <c r="I957" s="1" t="str">
        <f>IFERROR(__xludf.DUMMYFUNCTION("REGEXREPLACE(MID(H957, SEARCH(""["", H957) + 1, SEARCH(""]"", H957) - SEARCH(""["", H957) - 1), ""\[\]"","""")"),"Arcadia 2")</f>
        <v>Arcadia 2</v>
      </c>
      <c r="J957" s="1">
        <v>0.0</v>
      </c>
      <c r="K957" s="1">
        <v>0.0</v>
      </c>
    </row>
    <row r="958">
      <c r="A958" s="1">
        <v>1.0</v>
      </c>
      <c r="B958" s="1">
        <v>4.0</v>
      </c>
      <c r="C958" s="1">
        <v>0.0</v>
      </c>
      <c r="D958" s="1">
        <v>0.0</v>
      </c>
      <c r="E958" s="1">
        <v>0.0</v>
      </c>
      <c r="F958" s="1">
        <v>0.0</v>
      </c>
      <c r="G958" s="2">
        <v>0.0</v>
      </c>
      <c r="H958" s="1" t="s">
        <v>55</v>
      </c>
      <c r="I958" s="1" t="str">
        <f>IFERROR(__xludf.DUMMYFUNCTION("REGEXREPLACE(MID(H958, SEARCH(""["", H958) + 1, SEARCH(""]"", H958) - SEARCH(""["", H958) - 1), ""\[\]"","""")"),"Arcadia 2")</f>
        <v>Arcadia 2</v>
      </c>
      <c r="J958" s="1">
        <v>0.0</v>
      </c>
      <c r="K958" s="1">
        <v>0.0</v>
      </c>
    </row>
    <row r="959">
      <c r="A959" s="1">
        <v>5.0</v>
      </c>
      <c r="B959" s="1">
        <v>21.0</v>
      </c>
      <c r="C959" s="1">
        <v>0.0</v>
      </c>
      <c r="D959" s="1">
        <v>0.0</v>
      </c>
      <c r="E959" s="1">
        <v>0.0</v>
      </c>
      <c r="F959" s="1">
        <v>0.0</v>
      </c>
      <c r="G959" s="2">
        <v>0.0</v>
      </c>
      <c r="H959" s="1" t="s">
        <v>59</v>
      </c>
      <c r="I959" s="1" t="str">
        <f>IFERROR(__xludf.DUMMYFUNCTION("REGEXREPLACE(MID(H959, SEARCH(""["", H959) + 1, SEARCH(""]"", H959) - SEARCH(""["", H959) - 1), ""\[\]"","""")"),"Arcadia 2")</f>
        <v>Arcadia 2</v>
      </c>
      <c r="J959" s="1">
        <v>0.0</v>
      </c>
      <c r="K959" s="1">
        <v>0.0</v>
      </c>
    </row>
    <row r="960">
      <c r="A960" s="1">
        <v>1.0</v>
      </c>
      <c r="B960" s="1">
        <v>4.0</v>
      </c>
      <c r="C960" s="1">
        <v>3.0</v>
      </c>
      <c r="D960" s="1">
        <v>8.0</v>
      </c>
      <c r="E960" s="1">
        <v>0.0</v>
      </c>
      <c r="F960" s="1">
        <v>0.0</v>
      </c>
      <c r="G960" s="6">
        <v>0.667</v>
      </c>
      <c r="H960" s="1" t="s">
        <v>61</v>
      </c>
      <c r="I960" s="1" t="str">
        <f>IFERROR(__xludf.DUMMYFUNCTION("REGEXREPLACE(MID(H960, SEARCH(""["", H960) + 1, SEARCH(""]"", H960) - SEARCH(""["", H960) - 1), ""\[\]"","""")"),"Arcadia 2")</f>
        <v>Arcadia 2</v>
      </c>
      <c r="J960" s="1">
        <v>8.0</v>
      </c>
      <c r="K960" s="1">
        <v>0.0</v>
      </c>
    </row>
    <row r="961">
      <c r="A961" s="1">
        <v>4.0</v>
      </c>
      <c r="B961" s="1">
        <v>17.0</v>
      </c>
      <c r="C961" s="1">
        <v>4.0</v>
      </c>
      <c r="D961" s="1">
        <v>1.0</v>
      </c>
      <c r="E961" s="1">
        <v>0.0</v>
      </c>
      <c r="F961" s="1">
        <v>0.0</v>
      </c>
      <c r="G961" s="2">
        <v>0.25</v>
      </c>
      <c r="H961" s="1" t="s">
        <v>61</v>
      </c>
      <c r="I961" s="1" t="str">
        <f>IFERROR(__xludf.DUMMYFUNCTION("REGEXREPLACE(MID(H961, SEARCH(""["", H961) + 1, SEARCH(""]"", H961) - SEARCH(""["", H961) - 1), ""\[\]"","""")"),"Arcadia 2")</f>
        <v>Arcadia 2</v>
      </c>
      <c r="J961" s="1">
        <v>4.0</v>
      </c>
      <c r="K961" s="1">
        <v>0.0</v>
      </c>
    </row>
    <row r="962">
      <c r="A962" s="1">
        <v>2.0</v>
      </c>
      <c r="B962" s="1">
        <v>8.0</v>
      </c>
      <c r="C962" s="1">
        <v>0.0</v>
      </c>
      <c r="D962" s="1">
        <v>0.0</v>
      </c>
      <c r="E962" s="1">
        <v>0.0</v>
      </c>
      <c r="F962" s="1">
        <v>0.0</v>
      </c>
      <c r="G962" s="2">
        <v>0.0</v>
      </c>
      <c r="H962" s="1" t="s">
        <v>65</v>
      </c>
      <c r="I962" s="1" t="str">
        <f>IFERROR(__xludf.DUMMYFUNCTION("REGEXREPLACE(MID(H962, SEARCH(""["", H962) + 1, SEARCH(""]"", H962) - SEARCH(""["", H962) - 1), ""\[\]"","""")"),"BISV 1")</f>
        <v>BISV 1</v>
      </c>
      <c r="J962" s="1">
        <v>0.0</v>
      </c>
      <c r="K962" s="1">
        <v>0.0</v>
      </c>
    </row>
    <row r="963">
      <c r="A963" s="1">
        <v>5.0</v>
      </c>
      <c r="B963" s="1">
        <v>20.0</v>
      </c>
      <c r="C963" s="1">
        <v>4.0</v>
      </c>
      <c r="D963" s="1">
        <v>0.8</v>
      </c>
      <c r="E963" s="1">
        <v>0.2</v>
      </c>
      <c r="F963" s="1">
        <v>0.0</v>
      </c>
      <c r="G963" s="2">
        <v>0.5</v>
      </c>
      <c r="H963" s="1" t="s">
        <v>68</v>
      </c>
      <c r="I963" s="1" t="str">
        <f>IFERROR(__xludf.DUMMYFUNCTION("REGEXREPLACE(MID(H963, SEARCH(""["", H963) + 1, SEARCH(""]"", H963) - SEARCH(""["", H963) - 1), ""\[\]"","""")"),"BISV 1")</f>
        <v>BISV 1</v>
      </c>
      <c r="J963" s="1">
        <v>4.0</v>
      </c>
      <c r="K963" s="1">
        <v>1.0</v>
      </c>
    </row>
    <row r="964">
      <c r="A964" s="1">
        <v>5.0</v>
      </c>
      <c r="B964" s="1">
        <v>20.0</v>
      </c>
      <c r="C964" s="1">
        <v>5.0</v>
      </c>
      <c r="D964" s="1">
        <v>-0.8</v>
      </c>
      <c r="E964" s="1">
        <v>0.4</v>
      </c>
      <c r="F964" s="1">
        <v>0.0</v>
      </c>
      <c r="G964" s="2">
        <v>0.2</v>
      </c>
      <c r="H964" s="1" t="s">
        <v>71</v>
      </c>
      <c r="I964" s="1" t="str">
        <f>IFERROR(__xludf.DUMMYFUNCTION("REGEXREPLACE(MID(H964, SEARCH(""["", H964) + 1, SEARCH(""]"", H964) - SEARCH(""["", H964) - 1), ""\[\]"","""")"),"BISV 1")</f>
        <v>BISV 1</v>
      </c>
      <c r="J964" s="1">
        <v>-4.0</v>
      </c>
      <c r="K964" s="1">
        <v>2.0</v>
      </c>
    </row>
    <row r="965">
      <c r="A965" s="1">
        <v>1.0</v>
      </c>
      <c r="B965" s="1">
        <v>4.0</v>
      </c>
      <c r="C965" s="1">
        <v>0.0</v>
      </c>
      <c r="D965" s="1">
        <v>0.0</v>
      </c>
      <c r="E965" s="1">
        <v>0.0</v>
      </c>
      <c r="F965" s="1">
        <v>0.0</v>
      </c>
      <c r="G965" s="2">
        <v>0.0</v>
      </c>
      <c r="H965" s="1" t="s">
        <v>73</v>
      </c>
      <c r="I965" s="1" t="str">
        <f>IFERROR(__xludf.DUMMYFUNCTION("REGEXREPLACE(MID(H965, SEARCH(""["", H965) + 1, SEARCH(""]"", H965) - SEARCH(""["", H965) - 1), ""\[\]"","""")"),"BISV 1")</f>
        <v>BISV 1</v>
      </c>
      <c r="J965" s="1">
        <v>0.0</v>
      </c>
      <c r="K965" s="1">
        <v>0.0</v>
      </c>
    </row>
    <row r="966">
      <c r="A966" s="1">
        <v>2.0</v>
      </c>
      <c r="B966" s="1">
        <v>8.0</v>
      </c>
      <c r="C966" s="1">
        <v>2.0</v>
      </c>
      <c r="D966" s="1">
        <v>4.0</v>
      </c>
      <c r="E966" s="1">
        <v>0.0</v>
      </c>
      <c r="F966" s="1">
        <v>0.0</v>
      </c>
      <c r="G966" s="2">
        <v>1.0</v>
      </c>
      <c r="H966" s="1" t="s">
        <v>73</v>
      </c>
      <c r="I966" s="1" t="str">
        <f>IFERROR(__xludf.DUMMYFUNCTION("REGEXREPLACE(MID(H966, SEARCH(""["", H966) + 1, SEARCH(""]"", H966) - SEARCH(""["", H966) - 1), ""\[\]"","""")"),"BISV 1")</f>
        <v>BISV 1</v>
      </c>
      <c r="J966" s="1">
        <v>8.0</v>
      </c>
      <c r="K966" s="1">
        <v>0.0</v>
      </c>
    </row>
    <row r="967">
      <c r="A967" s="1">
        <v>1.0</v>
      </c>
      <c r="B967" s="1">
        <v>4.0</v>
      </c>
      <c r="C967" s="1">
        <v>0.0</v>
      </c>
      <c r="D967" s="1">
        <v>0.0</v>
      </c>
      <c r="E967" s="1">
        <v>0.0</v>
      </c>
      <c r="F967" s="1">
        <v>0.0</v>
      </c>
      <c r="G967" s="2">
        <v>0.0</v>
      </c>
      <c r="H967" s="1" t="s">
        <v>75</v>
      </c>
      <c r="I967" s="1" t="str">
        <f>IFERROR(__xludf.DUMMYFUNCTION("REGEXREPLACE(MID(H967, SEARCH(""["", H967) + 1, SEARCH(""]"", H967) - SEARCH(""["", H967) - 1), ""\[\]"","""")"),"BISV 2")</f>
        <v>BISV 2</v>
      </c>
      <c r="J967" s="1">
        <v>0.0</v>
      </c>
      <c r="K967" s="1">
        <v>0.0</v>
      </c>
    </row>
    <row r="968">
      <c r="A968" s="1">
        <v>4.0</v>
      </c>
      <c r="B968" s="1">
        <v>16.0</v>
      </c>
      <c r="C968" s="1">
        <v>4.0</v>
      </c>
      <c r="D968" s="1">
        <v>2.0</v>
      </c>
      <c r="E968" s="1">
        <v>0.0</v>
      </c>
      <c r="F968" s="1">
        <v>0.0</v>
      </c>
      <c r="G968" s="2">
        <v>0.5</v>
      </c>
      <c r="H968" s="1" t="s">
        <v>75</v>
      </c>
      <c r="I968" s="1" t="str">
        <f>IFERROR(__xludf.DUMMYFUNCTION("REGEXREPLACE(MID(H968, SEARCH(""["", H968) + 1, SEARCH(""]"", H968) - SEARCH(""["", H968) - 1), ""\[\]"","""")"),"BISV 2")</f>
        <v>BISV 2</v>
      </c>
      <c r="J968" s="1">
        <v>8.0</v>
      </c>
      <c r="K968" s="1">
        <v>0.0</v>
      </c>
    </row>
    <row r="969">
      <c r="A969" s="1">
        <v>1.0</v>
      </c>
      <c r="B969" s="1">
        <v>4.0</v>
      </c>
      <c r="C969" s="1">
        <v>0.0</v>
      </c>
      <c r="D969" s="1">
        <v>0.0</v>
      </c>
      <c r="E969" s="1">
        <v>0.0</v>
      </c>
      <c r="F969" s="1">
        <v>0.0</v>
      </c>
      <c r="G969" s="2">
        <v>0.0</v>
      </c>
      <c r="H969" s="1" t="s">
        <v>79</v>
      </c>
      <c r="I969" s="1" t="str">
        <f>IFERROR(__xludf.DUMMYFUNCTION("REGEXREPLACE(MID(H969, SEARCH(""["", H969) + 1, SEARCH(""]"", H969) - SEARCH(""["", H969) - 1), ""\[\]"","""")"),"BISV 2")</f>
        <v>BISV 2</v>
      </c>
      <c r="J969" s="1">
        <v>0.0</v>
      </c>
      <c r="K969" s="1">
        <v>0.0</v>
      </c>
    </row>
    <row r="970">
      <c r="A970" s="1">
        <v>2.0</v>
      </c>
      <c r="B970" s="1">
        <v>8.0</v>
      </c>
      <c r="C970" s="1">
        <v>0.0</v>
      </c>
      <c r="D970" s="1">
        <v>0.0</v>
      </c>
      <c r="E970" s="1">
        <v>0.0</v>
      </c>
      <c r="F970" s="1">
        <v>0.0</v>
      </c>
      <c r="G970" s="2">
        <v>0.0</v>
      </c>
      <c r="H970" s="1" t="s">
        <v>79</v>
      </c>
      <c r="I970" s="1" t="str">
        <f>IFERROR(__xludf.DUMMYFUNCTION("REGEXREPLACE(MID(H970, SEARCH(""["", H970) + 1, SEARCH(""]"", H970) - SEARCH(""["", H970) - 1), ""\[\]"","""")"),"BISV 2")</f>
        <v>BISV 2</v>
      </c>
      <c r="J970" s="1">
        <v>0.0</v>
      </c>
      <c r="K970" s="1">
        <v>0.0</v>
      </c>
    </row>
    <row r="971">
      <c r="A971" s="1">
        <v>1.0</v>
      </c>
      <c r="B971" s="1">
        <v>4.0</v>
      </c>
      <c r="C971" s="1">
        <v>1.0</v>
      </c>
      <c r="D971" s="1">
        <v>-4.0</v>
      </c>
      <c r="E971" s="1">
        <v>1.0</v>
      </c>
      <c r="F971" s="1">
        <v>0.0</v>
      </c>
      <c r="G971" s="2">
        <v>0.0</v>
      </c>
      <c r="H971" s="1" t="s">
        <v>79</v>
      </c>
      <c r="I971" s="1" t="str">
        <f>IFERROR(__xludf.DUMMYFUNCTION("REGEXREPLACE(MID(H971, SEARCH(""["", H971) + 1, SEARCH(""]"", H971) - SEARCH(""["", H971) - 1), ""\[\]"","""")"),"BISV 2")</f>
        <v>BISV 2</v>
      </c>
      <c r="J971" s="1">
        <v>-4.0</v>
      </c>
      <c r="K971" s="1">
        <v>1.0</v>
      </c>
    </row>
    <row r="972">
      <c r="A972" s="1">
        <v>1.0</v>
      </c>
      <c r="B972" s="1">
        <v>4.0</v>
      </c>
      <c r="C972" s="1">
        <v>0.0</v>
      </c>
      <c r="D972" s="1">
        <v>0.0</v>
      </c>
      <c r="E972" s="1">
        <v>0.0</v>
      </c>
      <c r="F972" s="1">
        <v>0.0</v>
      </c>
      <c r="G972" s="2">
        <v>0.0</v>
      </c>
      <c r="H972" s="1" t="s">
        <v>79</v>
      </c>
      <c r="I972" s="1" t="str">
        <f>IFERROR(__xludf.DUMMYFUNCTION("REGEXREPLACE(MID(H972, SEARCH(""["", H972) + 1, SEARCH(""]"", H972) - SEARCH(""["", H972) - 1), ""\[\]"","""")"),"BISV 2")</f>
        <v>BISV 2</v>
      </c>
      <c r="J972" s="1">
        <v>0.0</v>
      </c>
      <c r="K972" s="1">
        <v>0.0</v>
      </c>
    </row>
    <row r="973">
      <c r="A973" s="1">
        <v>1.0</v>
      </c>
      <c r="B973" s="1">
        <v>4.0</v>
      </c>
      <c r="C973" s="1">
        <v>0.0</v>
      </c>
      <c r="D973" s="1">
        <v>0.0</v>
      </c>
      <c r="E973" s="1">
        <v>0.0</v>
      </c>
      <c r="F973" s="1">
        <v>0.0</v>
      </c>
      <c r="G973" s="2">
        <v>0.0</v>
      </c>
      <c r="H973" s="1" t="s">
        <v>85</v>
      </c>
      <c r="I973" s="1" t="str">
        <f>IFERROR(__xludf.DUMMYFUNCTION("REGEXREPLACE(MID(H973, SEARCH(""["", H973) + 1, SEARCH(""]"", H973) - SEARCH(""["", H973) - 1), ""\[\]"","""")"),"BISV 2")</f>
        <v>BISV 2</v>
      </c>
      <c r="J973" s="1">
        <v>0.0</v>
      </c>
      <c r="K973" s="1">
        <v>0.0</v>
      </c>
    </row>
    <row r="974">
      <c r="A974" s="1">
        <v>1.0</v>
      </c>
      <c r="B974" s="1">
        <v>4.0</v>
      </c>
      <c r="C974" s="1">
        <v>2.0</v>
      </c>
      <c r="D974" s="1">
        <v>4.0</v>
      </c>
      <c r="E974" s="1">
        <v>0.0</v>
      </c>
      <c r="F974" s="1">
        <v>0.0</v>
      </c>
      <c r="G974" s="2">
        <v>0.5</v>
      </c>
      <c r="H974" s="1" t="s">
        <v>88</v>
      </c>
      <c r="I974" s="1" t="str">
        <f>IFERROR(__xludf.DUMMYFUNCTION("REGEXREPLACE(MID(H974, SEARCH(""["", H974) + 1, SEARCH(""]"", H974) - SEARCH(""["", H974) - 1), ""\[\]"","""")"),"BISV 2")</f>
        <v>BISV 2</v>
      </c>
      <c r="J974" s="1">
        <v>4.0</v>
      </c>
      <c r="K974" s="1">
        <v>0.0</v>
      </c>
    </row>
    <row r="975">
      <c r="A975" s="1">
        <v>2.0</v>
      </c>
      <c r="B975" s="1">
        <v>8.0</v>
      </c>
      <c r="C975" s="1">
        <v>0.0</v>
      </c>
      <c r="D975" s="1">
        <v>0.0</v>
      </c>
      <c r="E975" s="1">
        <v>0.0</v>
      </c>
      <c r="F975" s="1">
        <v>0.0</v>
      </c>
      <c r="G975" s="2">
        <v>0.0</v>
      </c>
      <c r="H975" s="1" t="s">
        <v>88</v>
      </c>
      <c r="I975" s="1" t="str">
        <f>IFERROR(__xludf.DUMMYFUNCTION("REGEXREPLACE(MID(H975, SEARCH(""["", H975) + 1, SEARCH(""]"", H975) - SEARCH(""["", H975) - 1), ""\[\]"","""")"),"BISV 2")</f>
        <v>BISV 2</v>
      </c>
      <c r="J975" s="1">
        <v>0.0</v>
      </c>
      <c r="K975" s="1">
        <v>0.0</v>
      </c>
    </row>
    <row r="976">
      <c r="A976" s="1">
        <v>1.0</v>
      </c>
      <c r="B976" s="1">
        <v>4.0</v>
      </c>
      <c r="C976" s="1">
        <v>2.0</v>
      </c>
      <c r="D976" s="1">
        <v>8.0</v>
      </c>
      <c r="E976" s="1">
        <v>0.0</v>
      </c>
      <c r="F976" s="1">
        <v>0.0</v>
      </c>
      <c r="G976" s="2">
        <v>1.0</v>
      </c>
      <c r="H976" s="1" t="s">
        <v>76</v>
      </c>
      <c r="I976" s="1" t="str">
        <f>IFERROR(__xludf.DUMMYFUNCTION("REGEXREPLACE(MID(H976, SEARCH(""["", H976) + 1, SEARCH(""]"", H976) - SEARCH(""["", H976) - 1), ""\[\]"","""")"),"BISV 2")</f>
        <v>BISV 2</v>
      </c>
      <c r="J976" s="1">
        <v>8.0</v>
      </c>
      <c r="K976" s="1">
        <v>0.0</v>
      </c>
    </row>
    <row r="977">
      <c r="A977" s="1">
        <v>4.0</v>
      </c>
      <c r="B977" s="1">
        <v>14.0</v>
      </c>
      <c r="C977" s="1">
        <v>0.0</v>
      </c>
      <c r="D977" s="1">
        <v>0.0</v>
      </c>
      <c r="E977" s="1">
        <v>0.0</v>
      </c>
      <c r="F977" s="1">
        <v>0.0</v>
      </c>
      <c r="G977" s="2">
        <v>0.0</v>
      </c>
      <c r="H977" s="1" t="s">
        <v>92</v>
      </c>
      <c r="I977" s="1" t="str">
        <f>IFERROR(__xludf.DUMMYFUNCTION("REGEXREPLACE(MID(H977, SEARCH(""["", H977) + 1, SEARCH(""]"", H977) - SEARCH(""["", H977) - 1), ""\[\]"","""")"),"Blair")</f>
        <v>Blair</v>
      </c>
      <c r="J977" s="1">
        <v>0.0</v>
      </c>
      <c r="K977" s="1">
        <v>0.0</v>
      </c>
    </row>
    <row r="978">
      <c r="A978" s="1">
        <v>3.0</v>
      </c>
      <c r="B978" s="1">
        <v>11.0</v>
      </c>
      <c r="C978" s="1">
        <v>0.0</v>
      </c>
      <c r="D978" s="1">
        <v>0.0</v>
      </c>
      <c r="E978" s="1">
        <v>0.0</v>
      </c>
      <c r="F978" s="1">
        <v>0.0</v>
      </c>
      <c r="G978" s="2">
        <v>0.0</v>
      </c>
      <c r="H978" s="1" t="s">
        <v>94</v>
      </c>
      <c r="I978" s="1" t="str">
        <f>IFERROR(__xludf.DUMMYFUNCTION("REGEXREPLACE(MID(H978, SEARCH(""["", H978) + 1, SEARCH(""]"", H978) - SEARCH(""["", H978) - 1), ""\[\]"","""")"),"Blair")</f>
        <v>Blair</v>
      </c>
      <c r="J978" s="1">
        <v>0.0</v>
      </c>
      <c r="K978" s="1">
        <v>0.0</v>
      </c>
    </row>
    <row r="979">
      <c r="A979" s="1">
        <v>4.0</v>
      </c>
      <c r="B979" s="1">
        <v>14.0</v>
      </c>
      <c r="C979" s="1">
        <v>0.0</v>
      </c>
      <c r="D979" s="1">
        <v>0.0</v>
      </c>
      <c r="E979" s="1">
        <v>0.0</v>
      </c>
      <c r="F979" s="1">
        <v>0.0</v>
      </c>
      <c r="G979" s="2">
        <v>0.0</v>
      </c>
      <c r="H979" s="1" t="s">
        <v>96</v>
      </c>
      <c r="I979" s="1" t="str">
        <f>IFERROR(__xludf.DUMMYFUNCTION("REGEXREPLACE(MID(H979, SEARCH(""["", H979) + 1, SEARCH(""]"", H979) - SEARCH(""["", H979) - 1), ""\[\]"","""")"),"Blair")</f>
        <v>Blair</v>
      </c>
      <c r="J979" s="1">
        <v>0.0</v>
      </c>
      <c r="K979" s="1">
        <v>0.0</v>
      </c>
    </row>
    <row r="980">
      <c r="A980" s="1">
        <v>1.0</v>
      </c>
      <c r="B980" s="1">
        <v>4.0</v>
      </c>
      <c r="C980" s="1">
        <v>0.0</v>
      </c>
      <c r="D980" s="1">
        <v>0.0</v>
      </c>
      <c r="E980" s="1">
        <v>0.0</v>
      </c>
      <c r="F980" s="1">
        <v>0.0</v>
      </c>
      <c r="G980" s="2">
        <v>0.0</v>
      </c>
      <c r="H980" s="1" t="s">
        <v>96</v>
      </c>
      <c r="I980" s="1" t="str">
        <f>IFERROR(__xludf.DUMMYFUNCTION("REGEXREPLACE(MID(H980, SEARCH(""["", H980) + 1, SEARCH(""]"", H980) - SEARCH(""["", H980) - 1), ""\[\]"","""")"),"Blair")</f>
        <v>Blair</v>
      </c>
      <c r="J980" s="1">
        <v>0.0</v>
      </c>
      <c r="K980" s="1">
        <v>0.0</v>
      </c>
    </row>
    <row r="981">
      <c r="A981" s="1">
        <v>5.0</v>
      </c>
      <c r="B981" s="1">
        <v>18.0</v>
      </c>
      <c r="C981" s="1">
        <v>9.0</v>
      </c>
      <c r="D981" s="1">
        <v>5.6</v>
      </c>
      <c r="E981" s="1">
        <v>0.0</v>
      </c>
      <c r="F981" s="1">
        <v>0.0</v>
      </c>
      <c r="G981" s="6">
        <v>0.778</v>
      </c>
      <c r="H981" s="1" t="s">
        <v>90</v>
      </c>
      <c r="I981" s="1" t="str">
        <f>IFERROR(__xludf.DUMMYFUNCTION("REGEXREPLACE(MID(H981, SEARCH(""["", H981) + 1, SEARCH(""]"", H981) - SEARCH(""["", H981) - 1), ""\[\]"","""")"),"Blair")</f>
        <v>Blair</v>
      </c>
      <c r="J981" s="1">
        <v>28.0</v>
      </c>
      <c r="K981" s="1">
        <v>0.0</v>
      </c>
    </row>
    <row r="982">
      <c r="A982" s="1">
        <v>4.0</v>
      </c>
      <c r="B982" s="1">
        <v>14.0</v>
      </c>
      <c r="C982" s="1">
        <v>5.0</v>
      </c>
      <c r="D982" s="1">
        <v>5.0</v>
      </c>
      <c r="E982" s="1">
        <v>0.0</v>
      </c>
      <c r="F982" s="1">
        <v>0.0</v>
      </c>
      <c r="G982" s="2">
        <v>1.0</v>
      </c>
      <c r="H982" s="1" t="s">
        <v>100</v>
      </c>
      <c r="I982" s="1" t="str">
        <f>IFERROR(__xludf.DUMMYFUNCTION("REGEXREPLACE(MID(H982, SEARCH(""["", H982) + 1, SEARCH(""]"", H982) - SEARCH(""["", H982) - 1), ""\[\]"","""")"),"Blair")</f>
        <v>Blair</v>
      </c>
      <c r="J982" s="1">
        <v>20.0</v>
      </c>
      <c r="K982" s="1">
        <v>0.0</v>
      </c>
    </row>
    <row r="983">
      <c r="A983" s="1">
        <v>1.0</v>
      </c>
      <c r="B983" s="1">
        <v>4.0</v>
      </c>
      <c r="C983" s="1">
        <v>0.0</v>
      </c>
      <c r="D983" s="1">
        <v>0.0</v>
      </c>
      <c r="E983" s="1">
        <v>0.0</v>
      </c>
      <c r="F983" s="1">
        <v>0.0</v>
      </c>
      <c r="G983" s="2">
        <v>0.0</v>
      </c>
      <c r="H983" s="1" t="s">
        <v>102</v>
      </c>
      <c r="I983" s="1" t="str">
        <f>IFERROR(__xludf.DUMMYFUNCTION("REGEXREPLACE(MID(H983, SEARCH(""["", H983) + 1, SEARCH(""]"", H983) - SEARCH(""["", H983) - 1), ""\[\]"","""")"),"Bridgeland HS")</f>
        <v>Bridgeland HS</v>
      </c>
      <c r="J983" s="1">
        <v>0.0</v>
      </c>
      <c r="K983" s="1">
        <v>0.0</v>
      </c>
    </row>
    <row r="984">
      <c r="A984" s="1">
        <v>1.0</v>
      </c>
      <c r="B984" s="1">
        <v>4.0</v>
      </c>
      <c r="C984" s="1">
        <v>0.0</v>
      </c>
      <c r="D984" s="1">
        <v>0.0</v>
      </c>
      <c r="E984" s="1">
        <v>0.0</v>
      </c>
      <c r="F984" s="1">
        <v>0.0</v>
      </c>
      <c r="G984" s="2">
        <v>0.0</v>
      </c>
      <c r="H984" s="1" t="s">
        <v>102</v>
      </c>
      <c r="I984" s="1" t="str">
        <f>IFERROR(__xludf.DUMMYFUNCTION("REGEXREPLACE(MID(H984, SEARCH(""["", H984) + 1, SEARCH(""]"", H984) - SEARCH(""["", H984) - 1), ""\[\]"","""")"),"Bridgeland HS")</f>
        <v>Bridgeland HS</v>
      </c>
      <c r="J984" s="1">
        <v>0.0</v>
      </c>
      <c r="K984" s="1">
        <v>0.0</v>
      </c>
    </row>
    <row r="985">
      <c r="A985" s="1">
        <v>5.0</v>
      </c>
      <c r="B985" s="1">
        <v>20.0</v>
      </c>
      <c r="C985" s="1">
        <v>9.0</v>
      </c>
      <c r="D985" s="1">
        <v>6.4</v>
      </c>
      <c r="E985" s="1">
        <v>0.0</v>
      </c>
      <c r="F985" s="1">
        <v>0.0</v>
      </c>
      <c r="G985" s="6">
        <v>0.889</v>
      </c>
      <c r="H985" s="1" t="s">
        <v>66</v>
      </c>
      <c r="I985" s="1" t="str">
        <f>IFERROR(__xludf.DUMMYFUNCTION("REGEXREPLACE(MID(H985, SEARCH(""["", H985) + 1, SEARCH(""]"", H985) - SEARCH(""["", H985) - 1), ""\[\]"","""")"),"Bridgeland HS")</f>
        <v>Bridgeland HS</v>
      </c>
      <c r="J985" s="1">
        <v>32.0</v>
      </c>
      <c r="K985" s="1">
        <v>0.0</v>
      </c>
    </row>
    <row r="986">
      <c r="A986" s="1">
        <v>2.0</v>
      </c>
      <c r="B986" s="1">
        <v>8.0</v>
      </c>
      <c r="C986" s="1">
        <v>0.0</v>
      </c>
      <c r="D986" s="1">
        <v>0.0</v>
      </c>
      <c r="E986" s="1">
        <v>0.0</v>
      </c>
      <c r="F986" s="1">
        <v>0.0</v>
      </c>
      <c r="G986" s="2">
        <v>0.0</v>
      </c>
      <c r="H986" s="1" t="s">
        <v>108</v>
      </c>
      <c r="I986" s="1" t="str">
        <f>IFERROR(__xludf.DUMMYFUNCTION("REGEXREPLACE(MID(H986, SEARCH(""["", H986) + 1, SEARCH(""]"", H986) - SEARCH(""["", H986) - 1), ""\[\]"","""")"),"Bridgeland HS")</f>
        <v>Bridgeland HS</v>
      </c>
      <c r="J986" s="1">
        <v>0.0</v>
      </c>
      <c r="K986" s="1">
        <v>0.0</v>
      </c>
    </row>
    <row r="987">
      <c r="A987" s="1">
        <v>2.0</v>
      </c>
      <c r="B987" s="1">
        <v>8.0</v>
      </c>
      <c r="C987" s="1">
        <v>0.0</v>
      </c>
      <c r="D987" s="1">
        <v>0.0</v>
      </c>
      <c r="E987" s="1">
        <v>0.0</v>
      </c>
      <c r="F987" s="1">
        <v>0.0</v>
      </c>
      <c r="G987" s="2">
        <v>0.0</v>
      </c>
      <c r="H987" s="1" t="s">
        <v>109</v>
      </c>
      <c r="I987" s="1" t="str">
        <f>IFERROR(__xludf.DUMMYFUNCTION("REGEXREPLACE(MID(H987, SEARCH(""["", H987) + 1, SEARCH(""]"", H987) - SEARCH(""["", H987) - 1), ""\[\]"","""")"),"Bridgeland HS")</f>
        <v>Bridgeland HS</v>
      </c>
      <c r="J987" s="1">
        <v>0.0</v>
      </c>
      <c r="K987" s="1">
        <v>0.0</v>
      </c>
    </row>
    <row r="988">
      <c r="A988" s="1">
        <v>1.0</v>
      </c>
      <c r="B988" s="1">
        <v>4.0</v>
      </c>
      <c r="C988" s="1">
        <v>1.0</v>
      </c>
      <c r="D988" s="1">
        <v>4.0</v>
      </c>
      <c r="E988" s="1">
        <v>0.0</v>
      </c>
      <c r="F988" s="1">
        <v>0.0</v>
      </c>
      <c r="G988" s="2">
        <v>1.0</v>
      </c>
      <c r="H988" s="1" t="s">
        <v>110</v>
      </c>
      <c r="I988" s="1" t="str">
        <f>IFERROR(__xludf.DUMMYFUNCTION("REGEXREPLACE(MID(H988, SEARCH(""["", H988) + 1, SEARCH(""]"", H988) - SEARCH(""["", H988) - 1), ""\[\]"","""")"),"Bridgeland HS")</f>
        <v>Bridgeland HS</v>
      </c>
      <c r="J988" s="1">
        <v>4.0</v>
      </c>
      <c r="K988" s="1">
        <v>0.0</v>
      </c>
    </row>
    <row r="989">
      <c r="A989" s="1">
        <v>2.0</v>
      </c>
      <c r="B989" s="1">
        <v>8.0</v>
      </c>
      <c r="C989" s="1">
        <v>1.0</v>
      </c>
      <c r="D989" s="1">
        <v>0.0</v>
      </c>
      <c r="E989" s="1">
        <v>0.0</v>
      </c>
      <c r="F989" s="1">
        <v>0.0</v>
      </c>
      <c r="G989" s="2">
        <v>0.0</v>
      </c>
      <c r="H989" s="1" t="s">
        <v>111</v>
      </c>
      <c r="I989" s="1" t="str">
        <f>IFERROR(__xludf.DUMMYFUNCTION("REGEXREPLACE(MID(H989, SEARCH(""["", H989) + 1, SEARCH(""]"", H989) - SEARCH(""["", H989) - 1), ""\[\]"","""")"),"Camas Papermakers")</f>
        <v>Camas Papermakers</v>
      </c>
      <c r="J989" s="1">
        <v>0.0</v>
      </c>
      <c r="K989" s="1">
        <v>0.0</v>
      </c>
    </row>
    <row r="990">
      <c r="A990" s="1">
        <v>1.0</v>
      </c>
      <c r="B990" s="1">
        <v>4.0</v>
      </c>
      <c r="C990" s="1">
        <v>0.0</v>
      </c>
      <c r="D990" s="1">
        <v>0.0</v>
      </c>
      <c r="E990" s="1">
        <v>0.0</v>
      </c>
      <c r="F990" s="1">
        <v>0.0</v>
      </c>
      <c r="G990" s="2">
        <v>0.0</v>
      </c>
      <c r="H990" s="1" t="s">
        <v>111</v>
      </c>
      <c r="I990" s="1" t="str">
        <f>IFERROR(__xludf.DUMMYFUNCTION("REGEXREPLACE(MID(H990, SEARCH(""["", H990) + 1, SEARCH(""]"", H990) - SEARCH(""["", H990) - 1), ""\[\]"","""")"),"Camas Papermakers")</f>
        <v>Camas Papermakers</v>
      </c>
      <c r="J990" s="1">
        <v>0.0</v>
      </c>
      <c r="K990" s="1">
        <v>0.0</v>
      </c>
    </row>
    <row r="991">
      <c r="A991" s="1">
        <v>2.0</v>
      </c>
      <c r="B991" s="1">
        <v>8.0</v>
      </c>
      <c r="C991" s="1">
        <v>0.0</v>
      </c>
      <c r="D991" s="1">
        <v>0.0</v>
      </c>
      <c r="E991" s="1">
        <v>0.0</v>
      </c>
      <c r="F991" s="1">
        <v>0.0</v>
      </c>
      <c r="G991" s="2">
        <v>0.0</v>
      </c>
      <c r="H991" s="1" t="s">
        <v>111</v>
      </c>
      <c r="I991" s="1" t="str">
        <f>IFERROR(__xludf.DUMMYFUNCTION("REGEXREPLACE(MID(H991, SEARCH(""["", H991) + 1, SEARCH(""]"", H991) - SEARCH(""["", H991) - 1), ""\[\]"","""")"),"Camas Papermakers")</f>
        <v>Camas Papermakers</v>
      </c>
      <c r="J991" s="1">
        <v>0.0</v>
      </c>
      <c r="K991" s="1">
        <v>0.0</v>
      </c>
    </row>
    <row r="992">
      <c r="A992" s="1">
        <v>3.0</v>
      </c>
      <c r="B992" s="1">
        <v>12.0</v>
      </c>
      <c r="C992" s="1">
        <v>5.0</v>
      </c>
      <c r="D992" s="1">
        <v>4.0</v>
      </c>
      <c r="E992" s="1">
        <v>0.0</v>
      </c>
      <c r="F992" s="1">
        <v>0.0</v>
      </c>
      <c r="G992" s="2">
        <v>0.6</v>
      </c>
      <c r="H992" s="1" t="s">
        <v>115</v>
      </c>
      <c r="I992" s="1" t="str">
        <f>IFERROR(__xludf.DUMMYFUNCTION("REGEXREPLACE(MID(H992, SEARCH(""["", H992) + 1, SEARCH(""]"", H992) - SEARCH(""["", H992) - 1), ""\[\]"","""")"),"Camas Papermakers")</f>
        <v>Camas Papermakers</v>
      </c>
      <c r="J992" s="1">
        <v>12.0</v>
      </c>
      <c r="K992" s="1">
        <v>0.0</v>
      </c>
    </row>
    <row r="993">
      <c r="A993" s="1">
        <v>2.0</v>
      </c>
      <c r="B993" s="1">
        <v>8.0</v>
      </c>
      <c r="C993" s="1">
        <v>4.0</v>
      </c>
      <c r="D993" s="1">
        <v>0.0</v>
      </c>
      <c r="E993" s="1">
        <v>0.0</v>
      </c>
      <c r="F993" s="1">
        <v>0.0</v>
      </c>
      <c r="G993" s="2">
        <v>0.0</v>
      </c>
      <c r="H993" s="1" t="s">
        <v>115</v>
      </c>
      <c r="I993" s="1" t="str">
        <f>IFERROR(__xludf.DUMMYFUNCTION("REGEXREPLACE(MID(H993, SEARCH(""["", H993) + 1, SEARCH(""]"", H993) - SEARCH(""["", H993) - 1), ""\[\]"","""")"),"Camas Papermakers")</f>
        <v>Camas Papermakers</v>
      </c>
      <c r="J993" s="1">
        <v>0.0</v>
      </c>
      <c r="K993" s="1">
        <v>0.0</v>
      </c>
    </row>
    <row r="994">
      <c r="A994" s="1">
        <v>2.0</v>
      </c>
      <c r="B994" s="1">
        <v>8.0</v>
      </c>
      <c r="C994" s="1">
        <v>0.0</v>
      </c>
      <c r="D994" s="1">
        <v>0.0</v>
      </c>
      <c r="E994" s="1">
        <v>0.0</v>
      </c>
      <c r="F994" s="1">
        <v>0.0</v>
      </c>
      <c r="G994" s="2">
        <v>0.0</v>
      </c>
      <c r="H994" s="1" t="s">
        <v>117</v>
      </c>
      <c r="I994" s="1" t="str">
        <f>IFERROR(__xludf.DUMMYFUNCTION("REGEXREPLACE(MID(H994, SEARCH(""["", H994) + 1, SEARCH(""]"", H994) - SEARCH(""["", H994) - 1), ""\[\]"","""")"),"Camas Papermakers")</f>
        <v>Camas Papermakers</v>
      </c>
      <c r="J994" s="1">
        <v>0.0</v>
      </c>
      <c r="K994" s="1">
        <v>0.0</v>
      </c>
    </row>
    <row r="995">
      <c r="A995" s="1">
        <v>1.0</v>
      </c>
      <c r="B995" s="1">
        <v>4.0</v>
      </c>
      <c r="C995" s="1">
        <v>0.0</v>
      </c>
      <c r="D995" s="1">
        <v>0.0</v>
      </c>
      <c r="E995" s="1">
        <v>0.0</v>
      </c>
      <c r="F995" s="1">
        <v>0.0</v>
      </c>
      <c r="G995" s="2">
        <v>0.0</v>
      </c>
      <c r="H995" s="1" t="s">
        <v>117</v>
      </c>
      <c r="I995" s="1" t="str">
        <f>IFERROR(__xludf.DUMMYFUNCTION("REGEXREPLACE(MID(H995, SEARCH(""["", H995) + 1, SEARCH(""]"", H995) - SEARCH(""["", H995) - 1), ""\[\]"","""")"),"Camas Papermakers")</f>
        <v>Camas Papermakers</v>
      </c>
      <c r="J995" s="1">
        <v>0.0</v>
      </c>
      <c r="K995" s="1">
        <v>0.0</v>
      </c>
    </row>
    <row r="996">
      <c r="A996" s="1">
        <v>1.0</v>
      </c>
      <c r="B996" s="1">
        <v>4.0</v>
      </c>
      <c r="C996" s="1">
        <v>1.0</v>
      </c>
      <c r="D996" s="1">
        <v>-4.0</v>
      </c>
      <c r="E996" s="1">
        <v>1.0</v>
      </c>
      <c r="F996" s="1">
        <v>0.0</v>
      </c>
      <c r="G996" s="2">
        <v>0.0</v>
      </c>
      <c r="H996" s="1" t="s">
        <v>117</v>
      </c>
      <c r="I996" s="1" t="str">
        <f>IFERROR(__xludf.DUMMYFUNCTION("REGEXREPLACE(MID(H996, SEARCH(""["", H996) + 1, SEARCH(""]"", H996) - SEARCH(""["", H996) - 1), ""\[\]"","""")"),"Camas Papermakers")</f>
        <v>Camas Papermakers</v>
      </c>
      <c r="J996" s="1">
        <v>-4.0</v>
      </c>
      <c r="K996" s="1">
        <v>1.0</v>
      </c>
    </row>
    <row r="997">
      <c r="A997" s="1">
        <v>1.0</v>
      </c>
      <c r="B997" s="1">
        <v>4.0</v>
      </c>
      <c r="C997" s="1">
        <v>0.0</v>
      </c>
      <c r="D997" s="1">
        <v>0.0</v>
      </c>
      <c r="E997" s="1">
        <v>0.0</v>
      </c>
      <c r="F997" s="1">
        <v>0.0</v>
      </c>
      <c r="G997" s="2">
        <v>0.0</v>
      </c>
      <c r="H997" s="1" t="s">
        <v>117</v>
      </c>
      <c r="I997" s="1" t="str">
        <f>IFERROR(__xludf.DUMMYFUNCTION("REGEXREPLACE(MID(H997, SEARCH(""["", H997) + 1, SEARCH(""]"", H997) - SEARCH(""["", H997) - 1), ""\[\]"","""")"),"Camas Papermakers")</f>
        <v>Camas Papermakers</v>
      </c>
      <c r="J997" s="1">
        <v>0.0</v>
      </c>
      <c r="K997" s="1">
        <v>0.0</v>
      </c>
    </row>
    <row r="998">
      <c r="A998" s="1">
        <v>3.0</v>
      </c>
      <c r="B998" s="1">
        <v>12.0</v>
      </c>
      <c r="C998" s="1">
        <v>4.0</v>
      </c>
      <c r="D998" s="1">
        <v>5.33</v>
      </c>
      <c r="E998" s="1">
        <v>0.0</v>
      </c>
      <c r="F998" s="1">
        <v>0.0</v>
      </c>
      <c r="G998" s="2">
        <v>1.0</v>
      </c>
      <c r="H998" s="1" t="s">
        <v>123</v>
      </c>
      <c r="I998" s="1" t="str">
        <f>IFERROR(__xludf.DUMMYFUNCTION("REGEXREPLACE(MID(H998, SEARCH(""["", H998) + 1, SEARCH(""]"", H998) - SEARCH(""["", H998) - 1), ""\[\]"","""")"),"Chattahoochee HS")</f>
        <v>Chattahoochee HS</v>
      </c>
      <c r="J998" s="1">
        <v>16.0</v>
      </c>
      <c r="K998" s="1">
        <v>0.0</v>
      </c>
    </row>
    <row r="999">
      <c r="A999" s="1">
        <v>5.0</v>
      </c>
      <c r="B999" s="1">
        <v>20.0</v>
      </c>
      <c r="C999" s="1">
        <v>0.0</v>
      </c>
      <c r="D999" s="1">
        <v>0.0</v>
      </c>
      <c r="E999" s="1">
        <v>0.0</v>
      </c>
      <c r="F999" s="1">
        <v>0.0</v>
      </c>
      <c r="G999" s="2">
        <v>0.0</v>
      </c>
      <c r="H999" s="1" t="s">
        <v>124</v>
      </c>
      <c r="I999" s="1" t="str">
        <f>IFERROR(__xludf.DUMMYFUNCTION("REGEXREPLACE(MID(H999, SEARCH(""["", H999) + 1, SEARCH(""]"", H999) - SEARCH(""["", H999) - 1), ""\[\]"","""")"),"Chattahoochee HS")</f>
        <v>Chattahoochee HS</v>
      </c>
      <c r="J999" s="1">
        <v>0.0</v>
      </c>
      <c r="K999" s="1">
        <v>0.0</v>
      </c>
    </row>
    <row r="1000">
      <c r="A1000" s="1">
        <v>5.0</v>
      </c>
      <c r="B1000" s="1">
        <v>20.0</v>
      </c>
      <c r="C1000" s="1">
        <v>5.0</v>
      </c>
      <c r="D1000" s="1">
        <v>4.0</v>
      </c>
      <c r="E1000" s="1">
        <v>0.0</v>
      </c>
      <c r="F1000" s="1">
        <v>0.0</v>
      </c>
      <c r="G1000" s="2">
        <v>1.0</v>
      </c>
      <c r="H1000" s="1" t="s">
        <v>127</v>
      </c>
      <c r="I1000" s="1" t="str">
        <f>IFERROR(__xludf.DUMMYFUNCTION("REGEXREPLACE(MID(H1000, SEARCH(""["", H1000) + 1, SEARCH(""]"", H1000) - SEARCH(""["", H1000) - 1), ""\[\]"","""")"),"Chattahoochee HS")</f>
        <v>Chattahoochee HS</v>
      </c>
      <c r="J1000" s="1">
        <v>20.0</v>
      </c>
      <c r="K1000" s="1">
        <v>0.0</v>
      </c>
    </row>
    <row r="1001">
      <c r="A1001" s="1">
        <v>5.0</v>
      </c>
      <c r="B1001" s="1">
        <v>20.0</v>
      </c>
      <c r="C1001" s="1">
        <v>1.0</v>
      </c>
      <c r="D1001" s="1">
        <v>0.8</v>
      </c>
      <c r="E1001" s="1">
        <v>0.0</v>
      </c>
      <c r="F1001" s="1">
        <v>0.0</v>
      </c>
      <c r="G1001" s="2">
        <v>1.0</v>
      </c>
      <c r="H1001" s="1" t="s">
        <v>128</v>
      </c>
      <c r="I1001" s="1" t="str">
        <f>IFERROR(__xludf.DUMMYFUNCTION("REGEXREPLACE(MID(H1001, SEARCH(""["", H1001) + 1, SEARCH(""]"", H1001) - SEARCH(""["", H1001) - 1), ""\[\]"","""")"),"Chattahoochee HS")</f>
        <v>Chattahoochee HS</v>
      </c>
      <c r="J1001" s="1">
        <v>4.0</v>
      </c>
      <c r="K1001" s="1">
        <v>0.0</v>
      </c>
    </row>
    <row r="1002">
      <c r="A1002" s="1">
        <v>4.0</v>
      </c>
      <c r="B1002" s="1">
        <v>16.0</v>
      </c>
      <c r="C1002" s="1">
        <v>6.0</v>
      </c>
      <c r="D1002" s="1">
        <v>3.0</v>
      </c>
      <c r="E1002" s="1">
        <v>0.25</v>
      </c>
      <c r="F1002" s="1">
        <v>0.0</v>
      </c>
      <c r="G1002" s="6">
        <v>0.667</v>
      </c>
      <c r="H1002" s="1" t="s">
        <v>130</v>
      </c>
      <c r="I1002" s="1" t="str">
        <f>IFERROR(__xludf.DUMMYFUNCTION("REGEXREPLACE(MID(H1002, SEARCH(""["", H1002) + 1, SEARCH(""]"", H1002) - SEARCH(""["", H1002) - 1), ""\[\]"","""")"),"Chattahoochee HS")</f>
        <v>Chattahoochee HS</v>
      </c>
      <c r="J1002" s="1">
        <v>12.0</v>
      </c>
      <c r="K1002" s="1">
        <v>1.0</v>
      </c>
    </row>
    <row r="1003">
      <c r="A1003" s="1">
        <v>1.0</v>
      </c>
      <c r="B1003" s="1">
        <v>4.0</v>
      </c>
      <c r="C1003" s="1">
        <v>0.0</v>
      </c>
      <c r="D1003" s="1">
        <v>0.0</v>
      </c>
      <c r="E1003" s="1">
        <v>0.0</v>
      </c>
      <c r="F1003" s="1">
        <v>0.0</v>
      </c>
      <c r="G1003" s="2">
        <v>0.0</v>
      </c>
      <c r="H1003" s="1" t="s">
        <v>132</v>
      </c>
      <c r="I1003" s="1" t="str">
        <f>IFERROR(__xludf.DUMMYFUNCTION("REGEXREPLACE(MID(H1003, SEARCH(""["", H1003) + 1, SEARCH(""]"", H1003) - SEARCH(""["", H1003) - 1), ""\[\]"","""")"),"Clemens HS")</f>
        <v>Clemens HS</v>
      </c>
      <c r="J1003" s="1">
        <v>0.0</v>
      </c>
      <c r="K1003" s="1">
        <v>0.0</v>
      </c>
    </row>
    <row r="1004">
      <c r="A1004" s="1">
        <v>3.0</v>
      </c>
      <c r="B1004" s="1">
        <v>11.0</v>
      </c>
      <c r="C1004" s="1">
        <v>0.0</v>
      </c>
      <c r="D1004" s="1">
        <v>0.0</v>
      </c>
      <c r="E1004" s="1">
        <v>0.0</v>
      </c>
      <c r="F1004" s="1">
        <v>0.0</v>
      </c>
      <c r="G1004" s="2">
        <v>0.0</v>
      </c>
      <c r="H1004" s="1" t="s">
        <v>132</v>
      </c>
      <c r="I1004" s="1" t="str">
        <f>IFERROR(__xludf.DUMMYFUNCTION("REGEXREPLACE(MID(H1004, SEARCH(""["", H1004) + 1, SEARCH(""]"", H1004) - SEARCH(""["", H1004) - 1), ""\[\]"","""")"),"Clemens HS")</f>
        <v>Clemens HS</v>
      </c>
      <c r="J1004" s="1">
        <v>0.0</v>
      </c>
      <c r="K1004" s="1">
        <v>0.0</v>
      </c>
    </row>
    <row r="1005">
      <c r="A1005" s="1">
        <v>1.0</v>
      </c>
      <c r="B1005" s="1">
        <v>4.0</v>
      </c>
      <c r="C1005" s="1">
        <v>3.0</v>
      </c>
      <c r="D1005" s="1">
        <v>12.0</v>
      </c>
      <c r="E1005" s="1">
        <v>0.0</v>
      </c>
      <c r="F1005" s="1">
        <v>0.0</v>
      </c>
      <c r="G1005" s="2">
        <v>1.0</v>
      </c>
      <c r="H1005" s="1" t="s">
        <v>77</v>
      </c>
      <c r="I1005" s="1" t="str">
        <f>IFERROR(__xludf.DUMMYFUNCTION("REGEXREPLACE(MID(H1005, SEARCH(""["", H1005) + 1, SEARCH(""]"", H1005) - SEARCH(""["", H1005) - 1), ""\[\]"","""")"),"Clemens HS")</f>
        <v>Clemens HS</v>
      </c>
      <c r="J1005" s="1">
        <v>12.0</v>
      </c>
      <c r="K1005" s="1">
        <v>0.0</v>
      </c>
    </row>
    <row r="1006">
      <c r="A1006" s="1">
        <v>3.0</v>
      </c>
      <c r="B1006" s="1">
        <v>11.0</v>
      </c>
      <c r="C1006" s="1">
        <v>9.0</v>
      </c>
      <c r="D1006" s="1">
        <v>0.0</v>
      </c>
      <c r="E1006" s="1">
        <v>1.33</v>
      </c>
      <c r="F1006" s="1">
        <v>0.0</v>
      </c>
      <c r="G1006" s="6">
        <v>0.444</v>
      </c>
      <c r="H1006" s="1" t="s">
        <v>77</v>
      </c>
      <c r="I1006" s="1" t="str">
        <f>IFERROR(__xludf.DUMMYFUNCTION("REGEXREPLACE(MID(H1006, SEARCH(""["", H1006) + 1, SEARCH(""]"", H1006) - SEARCH(""["", H1006) - 1), ""\[\]"","""")"),"Clemens HS")</f>
        <v>Clemens HS</v>
      </c>
      <c r="J1006" s="1">
        <v>0.0</v>
      </c>
      <c r="K1006" s="1">
        <v>4.0</v>
      </c>
    </row>
    <row r="1007">
      <c r="A1007" s="1">
        <v>1.0</v>
      </c>
      <c r="B1007" s="1">
        <v>4.0</v>
      </c>
      <c r="C1007" s="1">
        <v>1.0</v>
      </c>
      <c r="D1007" s="1">
        <v>0.0</v>
      </c>
      <c r="E1007" s="1">
        <v>0.0</v>
      </c>
      <c r="F1007" s="1">
        <v>0.0</v>
      </c>
      <c r="G1007" s="2">
        <v>0.0</v>
      </c>
      <c r="H1007" s="1" t="s">
        <v>137</v>
      </c>
      <c r="I1007" s="1" t="str">
        <f>IFERROR(__xludf.DUMMYFUNCTION("REGEXREPLACE(MID(H1007, SEARCH(""["", H1007) + 1, SEARCH(""]"", H1007) - SEARCH(""["", H1007) - 1), ""\[\]"","""")"),"Clemens HS")</f>
        <v>Clemens HS</v>
      </c>
      <c r="J1007" s="1">
        <v>0.0</v>
      </c>
      <c r="K1007" s="1">
        <v>0.0</v>
      </c>
    </row>
    <row r="1008">
      <c r="A1008" s="1">
        <v>1.0</v>
      </c>
      <c r="B1008" s="1">
        <v>3.0</v>
      </c>
      <c r="C1008" s="1">
        <v>1.0</v>
      </c>
      <c r="D1008" s="1">
        <v>0.0</v>
      </c>
      <c r="E1008" s="1">
        <v>0.0</v>
      </c>
      <c r="F1008" s="1">
        <v>0.0</v>
      </c>
      <c r="G1008" s="2">
        <v>0.0</v>
      </c>
      <c r="H1008" s="1" t="s">
        <v>137</v>
      </c>
      <c r="I1008" s="1" t="str">
        <f>IFERROR(__xludf.DUMMYFUNCTION("REGEXREPLACE(MID(H1008, SEARCH(""["", H1008) + 1, SEARCH(""]"", H1008) - SEARCH(""["", H1008) - 1), ""\[\]"","""")"),"Clemens HS")</f>
        <v>Clemens HS</v>
      </c>
      <c r="J1008" s="1">
        <v>0.0</v>
      </c>
      <c r="K1008" s="1">
        <v>0.0</v>
      </c>
    </row>
    <row r="1009">
      <c r="A1009" s="1">
        <v>5.0</v>
      </c>
      <c r="B1009" s="1">
        <v>20.0</v>
      </c>
      <c r="C1009" s="1">
        <v>3.0</v>
      </c>
      <c r="D1009" s="1">
        <v>-0.8</v>
      </c>
      <c r="E1009" s="1">
        <v>0.4</v>
      </c>
      <c r="F1009" s="1">
        <v>0.0</v>
      </c>
      <c r="G1009" s="6">
        <v>0.333</v>
      </c>
      <c r="H1009" s="1" t="s">
        <v>139</v>
      </c>
      <c r="I1009" s="1" t="str">
        <f>IFERROR(__xludf.DUMMYFUNCTION("REGEXREPLACE(MID(H1009, SEARCH(""["", H1009) + 1, SEARCH(""]"", H1009) - SEARCH(""["", H1009) - 1), ""\[\]"","""")"),"Clements")</f>
        <v>Clements</v>
      </c>
      <c r="J1009" s="1">
        <v>-4.0</v>
      </c>
      <c r="K1009" s="1">
        <v>2.0</v>
      </c>
    </row>
    <row r="1010">
      <c r="A1010" s="1">
        <v>1.0</v>
      </c>
      <c r="B1010" s="1">
        <v>4.0</v>
      </c>
      <c r="C1010" s="1">
        <v>0.0</v>
      </c>
      <c r="D1010" s="1">
        <v>0.0</v>
      </c>
      <c r="E1010" s="1">
        <v>0.0</v>
      </c>
      <c r="F1010" s="1">
        <v>0.0</v>
      </c>
      <c r="G1010" s="2">
        <v>0.0</v>
      </c>
      <c r="H1010" s="1" t="s">
        <v>142</v>
      </c>
      <c r="I1010" s="1" t="str">
        <f>IFERROR(__xludf.DUMMYFUNCTION("REGEXREPLACE(MID(H1010, SEARCH(""["", H1010) + 1, SEARCH(""]"", H1010) - SEARCH(""["", H1010) - 1), ""\[\]"","""")"),"Clements")</f>
        <v>Clements</v>
      </c>
      <c r="J1010" s="1">
        <v>0.0</v>
      </c>
      <c r="K1010" s="1">
        <v>0.0</v>
      </c>
    </row>
    <row r="1011">
      <c r="A1011" s="1">
        <v>5.0</v>
      </c>
      <c r="B1011" s="1">
        <v>20.0</v>
      </c>
      <c r="C1011" s="1">
        <v>2.0</v>
      </c>
      <c r="D1011" s="1">
        <v>0.0</v>
      </c>
      <c r="E1011" s="1">
        <v>0.2</v>
      </c>
      <c r="F1011" s="1">
        <v>0.0</v>
      </c>
      <c r="G1011" s="2">
        <v>0.5</v>
      </c>
      <c r="H1011" s="1" t="s">
        <v>144</v>
      </c>
      <c r="I1011" s="1" t="str">
        <f>IFERROR(__xludf.DUMMYFUNCTION("REGEXREPLACE(MID(H1011, SEARCH(""["", H1011) + 1, SEARCH(""]"", H1011) - SEARCH(""["", H1011) - 1), ""\[\]"","""")"),"Clements")</f>
        <v>Clements</v>
      </c>
      <c r="J1011" s="1">
        <v>0.0</v>
      </c>
      <c r="K1011" s="1">
        <v>1.0</v>
      </c>
    </row>
    <row r="1012">
      <c r="A1012" s="1">
        <v>4.0</v>
      </c>
      <c r="B1012" s="1">
        <v>16.0</v>
      </c>
      <c r="C1012" s="1">
        <v>0.0</v>
      </c>
      <c r="D1012" s="1">
        <v>0.0</v>
      </c>
      <c r="E1012" s="1">
        <v>0.0</v>
      </c>
      <c r="F1012" s="1">
        <v>0.0</v>
      </c>
      <c r="G1012" s="2">
        <v>0.0</v>
      </c>
      <c r="H1012" s="1" t="s">
        <v>147</v>
      </c>
      <c r="I1012" s="1" t="str">
        <f>IFERROR(__xludf.DUMMYFUNCTION("REGEXREPLACE(MID(H1012, SEARCH(""["", H1012) + 1, SEARCH(""]"", H1012) - SEARCH(""["", H1012) - 1), ""\[\]"","""")"),"Clements")</f>
        <v>Clements</v>
      </c>
      <c r="J1012" s="1">
        <v>0.0</v>
      </c>
      <c r="K1012" s="1">
        <v>0.0</v>
      </c>
    </row>
    <row r="1013">
      <c r="A1013" s="1">
        <v>1.0</v>
      </c>
      <c r="B1013" s="1">
        <v>4.0</v>
      </c>
      <c r="C1013" s="1">
        <v>0.0</v>
      </c>
      <c r="D1013" s="1">
        <v>0.0</v>
      </c>
      <c r="E1013" s="1">
        <v>0.0</v>
      </c>
      <c r="F1013" s="1">
        <v>0.0</v>
      </c>
      <c r="G1013" s="2">
        <v>0.0</v>
      </c>
      <c r="H1013" s="1" t="s">
        <v>147</v>
      </c>
      <c r="I1013" s="1" t="str">
        <f>IFERROR(__xludf.DUMMYFUNCTION("REGEXREPLACE(MID(H1013, SEARCH(""["", H1013) + 1, SEARCH(""]"", H1013) - SEARCH(""["", H1013) - 1), ""\[\]"","""")"),"Clements")</f>
        <v>Clements</v>
      </c>
      <c r="J1013" s="1">
        <v>0.0</v>
      </c>
      <c r="K1013" s="1">
        <v>0.0</v>
      </c>
    </row>
    <row r="1014">
      <c r="A1014" s="1">
        <v>4.0</v>
      </c>
      <c r="B1014" s="1">
        <v>16.0</v>
      </c>
      <c r="C1014" s="1">
        <v>9.0</v>
      </c>
      <c r="D1014" s="1">
        <v>8.0</v>
      </c>
      <c r="E1014" s="1">
        <v>0.0</v>
      </c>
      <c r="F1014" s="1">
        <v>0.0</v>
      </c>
      <c r="G1014" s="6">
        <v>0.889</v>
      </c>
      <c r="H1014" s="1" t="s">
        <v>125</v>
      </c>
      <c r="I1014" s="1" t="str">
        <f>IFERROR(__xludf.DUMMYFUNCTION("REGEXREPLACE(MID(H1014, SEARCH(""["", H1014) + 1, SEARCH(""]"", H1014) - SEARCH(""["", H1014) - 1), ""\[\]"","""")"),"Clements")</f>
        <v>Clements</v>
      </c>
      <c r="J1014" s="1">
        <v>32.0</v>
      </c>
      <c r="K1014" s="1">
        <v>0.0</v>
      </c>
    </row>
    <row r="1015">
      <c r="A1015" s="1">
        <v>1.0</v>
      </c>
      <c r="B1015" s="1">
        <v>4.0</v>
      </c>
      <c r="C1015" s="1">
        <v>2.0</v>
      </c>
      <c r="D1015" s="1">
        <v>4.0</v>
      </c>
      <c r="E1015" s="1">
        <v>0.0</v>
      </c>
      <c r="F1015" s="1">
        <v>0.0</v>
      </c>
      <c r="G1015" s="2">
        <v>0.5</v>
      </c>
      <c r="H1015" s="1" t="s">
        <v>151</v>
      </c>
      <c r="I1015" s="1" t="str">
        <f>IFERROR(__xludf.DUMMYFUNCTION("REGEXREPLACE(MID(H1015, SEARCH(""["", H1015) + 1, SEARCH(""]"", H1015) - SEARCH(""["", H1015) - 1), ""\[\]"","""")"),"College Park")</f>
        <v>College Park</v>
      </c>
      <c r="J1015" s="1">
        <v>4.0</v>
      </c>
      <c r="K1015" s="1">
        <v>0.0</v>
      </c>
    </row>
    <row r="1016">
      <c r="A1016" s="1">
        <v>1.0</v>
      </c>
      <c r="B1016" s="1">
        <v>4.0</v>
      </c>
      <c r="C1016" s="1">
        <v>1.0</v>
      </c>
      <c r="D1016" s="1">
        <v>4.0</v>
      </c>
      <c r="E1016" s="1">
        <v>0.0</v>
      </c>
      <c r="F1016" s="1">
        <v>0.0</v>
      </c>
      <c r="G1016" s="2">
        <v>1.0</v>
      </c>
      <c r="H1016" s="1" t="s">
        <v>152</v>
      </c>
      <c r="I1016" s="1" t="str">
        <f>IFERROR(__xludf.DUMMYFUNCTION("REGEXREPLACE(MID(H1016, SEARCH(""["", H1016) + 1, SEARCH(""]"", H1016) - SEARCH(""["", H1016) - 1), ""\[\]"","""")"),"College Park")</f>
        <v>College Park</v>
      </c>
      <c r="J1016" s="1">
        <v>4.0</v>
      </c>
      <c r="K1016" s="1">
        <v>0.0</v>
      </c>
    </row>
    <row r="1017">
      <c r="A1017" s="1">
        <v>3.0</v>
      </c>
      <c r="B1017" s="1">
        <v>12.0</v>
      </c>
      <c r="C1017" s="1">
        <v>0.0</v>
      </c>
      <c r="D1017" s="1">
        <v>0.0</v>
      </c>
      <c r="E1017" s="1">
        <v>0.0</v>
      </c>
      <c r="F1017" s="1">
        <v>0.0</v>
      </c>
      <c r="G1017" s="2">
        <v>0.0</v>
      </c>
      <c r="H1017" s="1" t="s">
        <v>152</v>
      </c>
      <c r="I1017" s="1" t="str">
        <f>IFERROR(__xludf.DUMMYFUNCTION("REGEXREPLACE(MID(H1017, SEARCH(""["", H1017) + 1, SEARCH(""]"", H1017) - SEARCH(""["", H1017) - 1), ""\[\]"","""")"),"College Park")</f>
        <v>College Park</v>
      </c>
      <c r="J1017" s="1">
        <v>0.0</v>
      </c>
      <c r="K1017" s="1">
        <v>0.0</v>
      </c>
    </row>
    <row r="1018">
      <c r="A1018" s="1">
        <v>1.0</v>
      </c>
      <c r="B1018" s="1">
        <v>4.0</v>
      </c>
      <c r="C1018" s="1">
        <v>1.0</v>
      </c>
      <c r="D1018" s="1">
        <v>0.0</v>
      </c>
      <c r="E1018" s="1">
        <v>0.0</v>
      </c>
      <c r="F1018" s="1">
        <v>0.0</v>
      </c>
      <c r="G1018" s="2">
        <v>0.0</v>
      </c>
      <c r="H1018" s="1" t="s">
        <v>156</v>
      </c>
      <c r="I1018" s="1" t="str">
        <f>IFERROR(__xludf.DUMMYFUNCTION("REGEXREPLACE(MID(H1018, SEARCH(""["", H1018) + 1, SEARCH(""]"", H1018) - SEARCH(""["", H1018) - 1), ""\[\]"","""")"),"College Park")</f>
        <v>College Park</v>
      </c>
      <c r="J1018" s="1">
        <v>0.0</v>
      </c>
      <c r="K1018" s="1">
        <v>0.0</v>
      </c>
    </row>
    <row r="1019">
      <c r="A1019" s="1">
        <v>2.0</v>
      </c>
      <c r="B1019" s="1">
        <v>8.0</v>
      </c>
      <c r="C1019" s="1">
        <v>0.0</v>
      </c>
      <c r="D1019" s="1">
        <v>0.0</v>
      </c>
      <c r="E1019" s="1">
        <v>0.0</v>
      </c>
      <c r="F1019" s="1">
        <v>0.0</v>
      </c>
      <c r="G1019" s="2">
        <v>0.0</v>
      </c>
      <c r="H1019" s="1" t="s">
        <v>156</v>
      </c>
      <c r="I1019" s="1" t="str">
        <f>IFERROR(__xludf.DUMMYFUNCTION("REGEXREPLACE(MID(H1019, SEARCH(""["", H1019) + 1, SEARCH(""]"", H1019) - SEARCH(""["", H1019) - 1), ""\[\]"","""")"),"College Park")</f>
        <v>College Park</v>
      </c>
      <c r="J1019" s="1">
        <v>0.0</v>
      </c>
      <c r="K1019" s="1">
        <v>0.0</v>
      </c>
    </row>
    <row r="1020">
      <c r="A1020" s="1">
        <v>1.0</v>
      </c>
      <c r="B1020" s="1">
        <v>4.0</v>
      </c>
      <c r="C1020" s="1">
        <v>0.0</v>
      </c>
      <c r="D1020" s="1">
        <v>0.0</v>
      </c>
      <c r="E1020" s="1">
        <v>0.0</v>
      </c>
      <c r="F1020" s="1">
        <v>0.0</v>
      </c>
      <c r="G1020" s="2">
        <v>0.0</v>
      </c>
      <c r="H1020" s="1" t="s">
        <v>145</v>
      </c>
      <c r="I1020" s="1" t="str">
        <f>IFERROR(__xludf.DUMMYFUNCTION("REGEXREPLACE(MID(H1020, SEARCH(""["", H1020) + 1, SEARCH(""]"", H1020) - SEARCH(""["", H1020) - 1), ""\[\]"","""")"),"College Park")</f>
        <v>College Park</v>
      </c>
      <c r="J1020" s="1">
        <v>0.0</v>
      </c>
      <c r="K1020" s="1">
        <v>0.0</v>
      </c>
    </row>
    <row r="1021">
      <c r="A1021" s="1">
        <v>4.0</v>
      </c>
      <c r="B1021" s="1">
        <v>16.0</v>
      </c>
      <c r="C1021" s="1">
        <v>10.0</v>
      </c>
      <c r="D1021" s="1">
        <v>6.0</v>
      </c>
      <c r="E1021" s="1">
        <v>0.5</v>
      </c>
      <c r="F1021" s="1">
        <v>0.0</v>
      </c>
      <c r="G1021" s="2">
        <v>0.8</v>
      </c>
      <c r="H1021" s="1" t="s">
        <v>145</v>
      </c>
      <c r="I1021" s="1" t="str">
        <f>IFERROR(__xludf.DUMMYFUNCTION("REGEXREPLACE(MID(H1021, SEARCH(""["", H1021) + 1, SEARCH(""]"", H1021) - SEARCH(""["", H1021) - 1), ""\[\]"","""")"),"College Park")</f>
        <v>College Park</v>
      </c>
      <c r="J1021" s="1">
        <v>24.0</v>
      </c>
      <c r="K1021" s="1">
        <v>2.0</v>
      </c>
    </row>
    <row r="1022">
      <c r="A1022" s="1">
        <v>1.0</v>
      </c>
      <c r="B1022" s="1">
        <v>4.0</v>
      </c>
      <c r="C1022" s="1">
        <v>0.0</v>
      </c>
      <c r="D1022" s="1">
        <v>0.0</v>
      </c>
      <c r="E1022" s="1">
        <v>0.0</v>
      </c>
      <c r="F1022" s="1">
        <v>0.0</v>
      </c>
      <c r="G1022" s="2">
        <v>0.0</v>
      </c>
      <c r="H1022" s="1" t="s">
        <v>160</v>
      </c>
      <c r="I1022" s="1" t="str">
        <f>IFERROR(__xludf.DUMMYFUNCTION("REGEXREPLACE(MID(H1022, SEARCH(""["", H1022) + 1, SEARCH(""]"", H1022) - SEARCH(""["", H1022) - 1), ""\[\]"","""")"),"College Park")</f>
        <v>College Park</v>
      </c>
      <c r="J1022" s="1">
        <v>0.0</v>
      </c>
      <c r="K1022" s="1">
        <v>0.0</v>
      </c>
    </row>
    <row r="1023">
      <c r="A1023" s="1">
        <v>2.0</v>
      </c>
      <c r="B1023" s="1">
        <v>8.0</v>
      </c>
      <c r="C1023" s="1">
        <v>0.0</v>
      </c>
      <c r="D1023" s="1">
        <v>0.0</v>
      </c>
      <c r="E1023" s="1">
        <v>0.0</v>
      </c>
      <c r="F1023" s="1">
        <v>0.0</v>
      </c>
      <c r="G1023" s="2">
        <v>0.0</v>
      </c>
      <c r="H1023" s="1" t="s">
        <v>162</v>
      </c>
      <c r="I1023" s="1" t="str">
        <f>IFERROR(__xludf.DUMMYFUNCTION("REGEXREPLACE(MID(H1023, SEARCH(""["", H1023) + 1, SEARCH(""]"", H1023) - SEARCH(""["", H1023) - 1), ""\[\]"","""")"),"Collierville")</f>
        <v>Collierville</v>
      </c>
      <c r="J1023" s="1">
        <v>0.0</v>
      </c>
      <c r="K1023" s="1">
        <v>0.0</v>
      </c>
    </row>
    <row r="1024">
      <c r="A1024" s="1">
        <v>2.0</v>
      </c>
      <c r="B1024" s="1">
        <v>8.0</v>
      </c>
      <c r="C1024" s="1">
        <v>0.0</v>
      </c>
      <c r="D1024" s="1">
        <v>0.0</v>
      </c>
      <c r="E1024" s="1">
        <v>0.0</v>
      </c>
      <c r="F1024" s="1">
        <v>0.0</v>
      </c>
      <c r="G1024" s="2">
        <v>0.0</v>
      </c>
      <c r="H1024" s="1" t="s">
        <v>162</v>
      </c>
      <c r="I1024" s="1" t="str">
        <f>IFERROR(__xludf.DUMMYFUNCTION("REGEXREPLACE(MID(H1024, SEARCH(""["", H1024) + 1, SEARCH(""]"", H1024) - SEARCH(""["", H1024) - 1), ""\[\]"","""")"),"Collierville")</f>
        <v>Collierville</v>
      </c>
      <c r="J1024" s="1">
        <v>0.0</v>
      </c>
      <c r="K1024" s="1">
        <v>0.0</v>
      </c>
    </row>
    <row r="1025">
      <c r="A1025" s="1">
        <v>5.0</v>
      </c>
      <c r="B1025" s="1">
        <v>20.0</v>
      </c>
      <c r="C1025" s="1">
        <v>10.0</v>
      </c>
      <c r="D1025" s="1">
        <v>4.8</v>
      </c>
      <c r="E1025" s="1">
        <v>0.2</v>
      </c>
      <c r="F1025" s="1">
        <v>0.0</v>
      </c>
      <c r="G1025" s="2">
        <v>0.7</v>
      </c>
      <c r="H1025" s="1" t="s">
        <v>165</v>
      </c>
      <c r="I1025" s="1" t="str">
        <f>IFERROR(__xludf.DUMMYFUNCTION("REGEXREPLACE(MID(H1025, SEARCH(""["", H1025) + 1, SEARCH(""]"", H1025) - SEARCH(""["", H1025) - 1), ""\[\]"","""")"),"Collierville")</f>
        <v>Collierville</v>
      </c>
      <c r="J1025" s="1">
        <v>24.0</v>
      </c>
      <c r="K1025" s="1">
        <v>1.0</v>
      </c>
    </row>
    <row r="1026">
      <c r="A1026" s="1">
        <v>1.0</v>
      </c>
      <c r="B1026" s="1">
        <v>4.0</v>
      </c>
      <c r="C1026" s="1">
        <v>0.0</v>
      </c>
      <c r="D1026" s="1">
        <v>0.0</v>
      </c>
      <c r="E1026" s="1">
        <v>0.0</v>
      </c>
      <c r="F1026" s="1">
        <v>0.0</v>
      </c>
      <c r="G1026" s="2">
        <v>0.0</v>
      </c>
      <c r="H1026" s="1" t="s">
        <v>167</v>
      </c>
      <c r="I1026" s="1" t="str">
        <f>IFERROR(__xludf.DUMMYFUNCTION("REGEXREPLACE(MID(H1026, SEARCH(""["", H1026) + 1, SEARCH(""]"", H1026) - SEARCH(""["", H1026) - 1), ""\[\]"","""")"),"Collierville")</f>
        <v>Collierville</v>
      </c>
      <c r="J1026" s="1">
        <v>0.0</v>
      </c>
      <c r="K1026" s="1">
        <v>0.0</v>
      </c>
    </row>
    <row r="1027">
      <c r="A1027" s="1">
        <v>5.0</v>
      </c>
      <c r="B1027" s="1">
        <v>20.0</v>
      </c>
      <c r="C1027" s="1">
        <v>0.0</v>
      </c>
      <c r="D1027" s="1">
        <v>0.0</v>
      </c>
      <c r="E1027" s="1">
        <v>0.0</v>
      </c>
      <c r="F1027" s="1">
        <v>0.0</v>
      </c>
      <c r="G1027" s="2">
        <v>0.0</v>
      </c>
      <c r="H1027" s="1" t="s">
        <v>169</v>
      </c>
      <c r="I1027" s="1" t="str">
        <f>IFERROR(__xludf.DUMMYFUNCTION("REGEXREPLACE(MID(H1027, SEARCH(""["", H1027) + 1, SEARCH(""]"", H1027) - SEARCH(""["", H1027) - 1), ""\[\]"","""")"),"Collierville")</f>
        <v>Collierville</v>
      </c>
      <c r="J1027" s="1">
        <v>0.0</v>
      </c>
      <c r="K1027" s="1">
        <v>0.0</v>
      </c>
    </row>
    <row r="1028">
      <c r="A1028" s="1">
        <v>3.0</v>
      </c>
      <c r="B1028" s="1">
        <v>12.0</v>
      </c>
      <c r="C1028" s="1">
        <v>4.0</v>
      </c>
      <c r="D1028" s="1">
        <v>5.33</v>
      </c>
      <c r="E1028" s="1">
        <v>0.0</v>
      </c>
      <c r="F1028" s="1">
        <v>0.0</v>
      </c>
      <c r="G1028" s="2">
        <v>1.0</v>
      </c>
      <c r="H1028" s="1" t="s">
        <v>171</v>
      </c>
      <c r="I1028" s="1" t="str">
        <f>IFERROR(__xludf.DUMMYFUNCTION("REGEXREPLACE(MID(H1028, SEARCH(""["", H1028) + 1, SEARCH(""]"", H1028) - SEARCH(""["", H1028) - 1), ""\[\]"","""")"),"Collierville")</f>
        <v>Collierville</v>
      </c>
      <c r="J1028" s="1">
        <v>16.0</v>
      </c>
      <c r="K1028" s="1">
        <v>0.0</v>
      </c>
    </row>
    <row r="1029">
      <c r="A1029" s="1">
        <v>4.0</v>
      </c>
      <c r="B1029" s="1">
        <v>16.0</v>
      </c>
      <c r="C1029" s="1">
        <v>0.0</v>
      </c>
      <c r="D1029" s="1">
        <v>0.0</v>
      </c>
      <c r="E1029" s="1">
        <v>0.0</v>
      </c>
      <c r="F1029" s="1">
        <v>0.0</v>
      </c>
      <c r="G1029" s="2">
        <v>0.0</v>
      </c>
      <c r="H1029" s="1" t="s">
        <v>173</v>
      </c>
      <c r="I1029" s="1" t="str">
        <f>IFERROR(__xludf.DUMMYFUNCTION("REGEXREPLACE(MID(H1029, SEARCH(""["", H1029) + 1, SEARCH(""]"", H1029) - SEARCH(""["", H1029) - 1), ""\[\]"","""")"),"Davidson Academy")</f>
        <v>Davidson Academy</v>
      </c>
      <c r="J1029" s="1">
        <v>0.0</v>
      </c>
      <c r="K1029" s="1">
        <v>0.0</v>
      </c>
    </row>
    <row r="1030">
      <c r="A1030" s="1">
        <v>1.0</v>
      </c>
      <c r="B1030" s="1">
        <v>4.0</v>
      </c>
      <c r="C1030" s="1">
        <v>0.0</v>
      </c>
      <c r="D1030" s="1">
        <v>0.0</v>
      </c>
      <c r="E1030" s="1">
        <v>0.0</v>
      </c>
      <c r="F1030" s="1">
        <v>0.0</v>
      </c>
      <c r="G1030" s="2">
        <v>0.0</v>
      </c>
      <c r="H1030" s="1" t="s">
        <v>173</v>
      </c>
      <c r="I1030" s="1" t="str">
        <f>IFERROR(__xludf.DUMMYFUNCTION("REGEXREPLACE(MID(H1030, SEARCH(""["", H1030) + 1, SEARCH(""]"", H1030) - SEARCH(""["", H1030) - 1), ""\[\]"","""")"),"Davidson Academy")</f>
        <v>Davidson Academy</v>
      </c>
      <c r="J1030" s="1">
        <v>0.0</v>
      </c>
      <c r="K1030" s="1">
        <v>0.0</v>
      </c>
    </row>
    <row r="1031">
      <c r="A1031" s="1">
        <v>1.0</v>
      </c>
      <c r="B1031" s="1">
        <v>4.0</v>
      </c>
      <c r="C1031" s="1">
        <v>0.0</v>
      </c>
      <c r="D1031" s="1">
        <v>0.0</v>
      </c>
      <c r="E1031" s="1">
        <v>0.0</v>
      </c>
      <c r="F1031" s="1">
        <v>0.0</v>
      </c>
      <c r="G1031" s="2">
        <v>0.0</v>
      </c>
      <c r="H1031" s="1" t="s">
        <v>174</v>
      </c>
      <c r="I1031" s="1" t="str">
        <f>IFERROR(__xludf.DUMMYFUNCTION("REGEXREPLACE(MID(H1031, SEARCH(""["", H1031) + 1, SEARCH(""]"", H1031) - SEARCH(""["", H1031) - 1), ""\[\]"","""")"),"Davidson Academy")</f>
        <v>Davidson Academy</v>
      </c>
      <c r="J1031" s="1">
        <v>0.0</v>
      </c>
      <c r="K1031" s="1">
        <v>0.0</v>
      </c>
    </row>
    <row r="1032">
      <c r="A1032" s="1">
        <v>1.0</v>
      </c>
      <c r="B1032" s="1">
        <v>4.0</v>
      </c>
      <c r="C1032" s="1">
        <v>1.0</v>
      </c>
      <c r="D1032" s="1">
        <v>0.0</v>
      </c>
      <c r="E1032" s="1">
        <v>0.0</v>
      </c>
      <c r="F1032" s="1">
        <v>0.0</v>
      </c>
      <c r="G1032" s="2">
        <v>0.0</v>
      </c>
      <c r="H1032" s="1" t="s">
        <v>176</v>
      </c>
      <c r="I1032" s="1" t="str">
        <f>IFERROR(__xludf.DUMMYFUNCTION("REGEXREPLACE(MID(H1032, SEARCH(""["", H1032) + 1, SEARCH(""]"", H1032) - SEARCH(""["", H1032) - 1), ""\[\]"","""")"),"Davidson Academy")</f>
        <v>Davidson Academy</v>
      </c>
      <c r="J1032" s="1">
        <v>0.0</v>
      </c>
      <c r="K1032" s="1">
        <v>0.0</v>
      </c>
    </row>
    <row r="1033">
      <c r="A1033" s="1">
        <v>4.0</v>
      </c>
      <c r="B1033" s="1">
        <v>16.0</v>
      </c>
      <c r="C1033" s="1">
        <v>14.0</v>
      </c>
      <c r="D1033" s="1">
        <v>10.0</v>
      </c>
      <c r="E1033" s="1">
        <v>0.5</v>
      </c>
      <c r="F1033" s="1">
        <v>0.0</v>
      </c>
      <c r="G1033" s="6">
        <v>0.857</v>
      </c>
      <c r="H1033" s="1" t="s">
        <v>74</v>
      </c>
      <c r="I1033" s="1" t="str">
        <f>IFERROR(__xludf.DUMMYFUNCTION("REGEXREPLACE(MID(H1033, SEARCH(""["", H1033) + 1, SEARCH(""]"", H1033) - SEARCH(""["", H1033) - 1), ""\[\]"","""")"),"Davidson Academy")</f>
        <v>Davidson Academy</v>
      </c>
      <c r="J1033" s="1">
        <v>40.0</v>
      </c>
      <c r="K1033" s="1">
        <v>2.0</v>
      </c>
    </row>
    <row r="1034">
      <c r="A1034" s="1">
        <v>1.0</v>
      </c>
      <c r="B1034" s="1">
        <v>4.0</v>
      </c>
      <c r="C1034" s="1">
        <v>3.0</v>
      </c>
      <c r="D1034" s="1">
        <v>8.0</v>
      </c>
      <c r="E1034" s="1">
        <v>0.0</v>
      </c>
      <c r="F1034" s="1">
        <v>0.0</v>
      </c>
      <c r="G1034" s="6">
        <v>0.667</v>
      </c>
      <c r="H1034" s="1" t="s">
        <v>74</v>
      </c>
      <c r="I1034" s="1" t="str">
        <f>IFERROR(__xludf.DUMMYFUNCTION("REGEXREPLACE(MID(H1034, SEARCH(""["", H1034) + 1, SEARCH(""]"", H1034) - SEARCH(""["", H1034) - 1), ""\[\]"","""")"),"Davidson Academy")</f>
        <v>Davidson Academy</v>
      </c>
      <c r="J1034" s="1">
        <v>8.0</v>
      </c>
      <c r="K1034" s="1">
        <v>0.0</v>
      </c>
    </row>
    <row r="1035">
      <c r="A1035" s="1">
        <v>1.0</v>
      </c>
      <c r="B1035" s="1">
        <v>4.0</v>
      </c>
      <c r="C1035" s="1">
        <v>0.0</v>
      </c>
      <c r="D1035" s="1">
        <v>0.0</v>
      </c>
      <c r="E1035" s="1">
        <v>0.0</v>
      </c>
      <c r="F1035" s="1">
        <v>0.0</v>
      </c>
      <c r="G1035" s="2">
        <v>0.0</v>
      </c>
      <c r="H1035" s="1" t="s">
        <v>177</v>
      </c>
      <c r="I1035" s="1" t="str">
        <f>IFERROR(__xludf.DUMMYFUNCTION("REGEXREPLACE(MID(H1035, SEARCH(""["", H1035) + 1, SEARCH(""]"", H1035) - SEARCH(""["", H1035) - 1), ""\[\]"","""")"),"Davidson Academy")</f>
        <v>Davidson Academy</v>
      </c>
      <c r="J1035" s="1">
        <v>0.0</v>
      </c>
      <c r="K1035" s="1">
        <v>0.0</v>
      </c>
    </row>
    <row r="1036">
      <c r="A1036" s="1">
        <v>4.0</v>
      </c>
      <c r="B1036" s="1">
        <v>16.0</v>
      </c>
      <c r="C1036" s="1">
        <v>0.0</v>
      </c>
      <c r="D1036" s="1">
        <v>0.0</v>
      </c>
      <c r="E1036" s="1">
        <v>0.0</v>
      </c>
      <c r="F1036" s="1">
        <v>0.0</v>
      </c>
      <c r="G1036" s="2">
        <v>0.0</v>
      </c>
      <c r="H1036" s="1" t="s">
        <v>178</v>
      </c>
      <c r="I1036" s="1" t="str">
        <f>IFERROR(__xludf.DUMMYFUNCTION("REGEXREPLACE(MID(H1036, SEARCH(""["", H1036) + 1, SEARCH(""]"", H1036) - SEARCH(""["", H1036) - 1), ""\[\]"","""")"),"Dulles Dolls 1")</f>
        <v>Dulles Dolls 1</v>
      </c>
      <c r="J1036" s="1">
        <v>0.0</v>
      </c>
      <c r="K1036" s="1">
        <v>0.0</v>
      </c>
    </row>
    <row r="1037">
      <c r="A1037" s="1">
        <v>1.0</v>
      </c>
      <c r="B1037" s="1">
        <v>4.0</v>
      </c>
      <c r="C1037" s="1">
        <v>0.0</v>
      </c>
      <c r="D1037" s="1">
        <v>0.0</v>
      </c>
      <c r="E1037" s="1">
        <v>0.0</v>
      </c>
      <c r="F1037" s="1">
        <v>0.0</v>
      </c>
      <c r="G1037" s="2">
        <v>0.0</v>
      </c>
      <c r="H1037" s="1" t="s">
        <v>178</v>
      </c>
      <c r="I1037" s="1" t="str">
        <f>IFERROR(__xludf.DUMMYFUNCTION("REGEXREPLACE(MID(H1037, SEARCH(""["", H1037) + 1, SEARCH(""]"", H1037) - SEARCH(""["", H1037) - 1), ""\[\]"","""")"),"Dulles Dolls 1")</f>
        <v>Dulles Dolls 1</v>
      </c>
      <c r="J1037" s="1">
        <v>0.0</v>
      </c>
      <c r="K1037" s="1">
        <v>0.0</v>
      </c>
    </row>
    <row r="1038">
      <c r="A1038" s="1">
        <v>3.0</v>
      </c>
      <c r="B1038" s="1">
        <v>12.0</v>
      </c>
      <c r="C1038" s="1">
        <v>9.0</v>
      </c>
      <c r="D1038" s="1">
        <v>9.33</v>
      </c>
      <c r="E1038" s="1">
        <v>0.0</v>
      </c>
      <c r="F1038" s="1">
        <v>0.0</v>
      </c>
      <c r="G1038" s="6">
        <v>0.778</v>
      </c>
      <c r="H1038" s="1" t="s">
        <v>150</v>
      </c>
      <c r="I1038" s="1" t="str">
        <f>IFERROR(__xludf.DUMMYFUNCTION("REGEXREPLACE(MID(H1038, SEARCH(""["", H1038) + 1, SEARCH(""]"", H1038) - SEARCH(""["", H1038) - 1), ""\[\]"","""")"),"Dulles Dolls 1")</f>
        <v>Dulles Dolls 1</v>
      </c>
      <c r="J1038" s="1">
        <v>28.0</v>
      </c>
      <c r="K1038" s="1">
        <v>0.0</v>
      </c>
    </row>
    <row r="1039">
      <c r="A1039" s="1">
        <v>1.0</v>
      </c>
      <c r="B1039" s="1">
        <v>4.0</v>
      </c>
      <c r="C1039" s="1">
        <v>1.0</v>
      </c>
      <c r="D1039" s="1">
        <v>4.0</v>
      </c>
      <c r="E1039" s="1">
        <v>0.0</v>
      </c>
      <c r="F1039" s="1">
        <v>0.0</v>
      </c>
      <c r="G1039" s="2">
        <v>1.0</v>
      </c>
      <c r="H1039" s="1" t="s">
        <v>150</v>
      </c>
      <c r="I1039" s="1" t="str">
        <f>IFERROR(__xludf.DUMMYFUNCTION("REGEXREPLACE(MID(H1039, SEARCH(""["", H1039) + 1, SEARCH(""]"", H1039) - SEARCH(""["", H1039) - 1), ""\[\]"","""")"),"Dulles Dolls 1")</f>
        <v>Dulles Dolls 1</v>
      </c>
      <c r="J1039" s="1">
        <v>4.0</v>
      </c>
      <c r="K1039" s="1">
        <v>0.0</v>
      </c>
    </row>
    <row r="1040">
      <c r="A1040" s="1">
        <v>2.0</v>
      </c>
      <c r="B1040" s="1">
        <v>8.0</v>
      </c>
      <c r="C1040" s="1">
        <v>0.0</v>
      </c>
      <c r="D1040" s="1">
        <v>0.0</v>
      </c>
      <c r="E1040" s="1">
        <v>0.0</v>
      </c>
      <c r="F1040" s="1">
        <v>0.0</v>
      </c>
      <c r="G1040" s="2">
        <v>0.0</v>
      </c>
      <c r="H1040" s="1" t="s">
        <v>179</v>
      </c>
      <c r="I1040" s="1" t="str">
        <f>IFERROR(__xludf.DUMMYFUNCTION("REGEXREPLACE(MID(H1040, SEARCH(""["", H1040) + 1, SEARCH(""]"", H1040) - SEARCH(""["", H1040) - 1), ""\[\]"","""")"),"Dulles Dolls 1")</f>
        <v>Dulles Dolls 1</v>
      </c>
      <c r="J1040" s="1">
        <v>0.0</v>
      </c>
      <c r="K1040" s="1">
        <v>0.0</v>
      </c>
    </row>
    <row r="1041">
      <c r="A1041" s="1">
        <v>1.0</v>
      </c>
      <c r="B1041" s="1">
        <v>4.0</v>
      </c>
      <c r="C1041" s="1">
        <v>0.0</v>
      </c>
      <c r="D1041" s="1">
        <v>0.0</v>
      </c>
      <c r="E1041" s="1">
        <v>0.0</v>
      </c>
      <c r="F1041" s="1">
        <v>0.0</v>
      </c>
      <c r="G1041" s="2">
        <v>0.0</v>
      </c>
      <c r="H1041" s="1" t="s">
        <v>179</v>
      </c>
      <c r="I1041" s="1" t="str">
        <f>IFERROR(__xludf.DUMMYFUNCTION("REGEXREPLACE(MID(H1041, SEARCH(""["", H1041) + 1, SEARCH(""]"", H1041) - SEARCH(""["", H1041) - 1), ""\[\]"","""")"),"Dulles Dolls 1")</f>
        <v>Dulles Dolls 1</v>
      </c>
      <c r="J1041" s="1">
        <v>0.0</v>
      </c>
      <c r="K1041" s="1">
        <v>0.0</v>
      </c>
    </row>
    <row r="1042">
      <c r="A1042" s="1">
        <v>2.0</v>
      </c>
      <c r="B1042" s="1">
        <v>8.0</v>
      </c>
      <c r="C1042" s="1">
        <v>0.0</v>
      </c>
      <c r="D1042" s="1">
        <v>0.0</v>
      </c>
      <c r="E1042" s="1">
        <v>0.0</v>
      </c>
      <c r="F1042" s="1">
        <v>0.0</v>
      </c>
      <c r="G1042" s="2">
        <v>0.0</v>
      </c>
      <c r="H1042" s="1" t="s">
        <v>181</v>
      </c>
      <c r="I1042" s="1" t="str">
        <f>IFERROR(__xludf.DUMMYFUNCTION("REGEXREPLACE(MID(H1042, SEARCH(""["", H1042) + 1, SEARCH(""]"", H1042) - SEARCH(""["", H1042) - 1), ""\[\]"","""")"),"Dulles Dolls 1")</f>
        <v>Dulles Dolls 1</v>
      </c>
      <c r="J1042" s="1">
        <v>0.0</v>
      </c>
      <c r="K1042" s="1">
        <v>0.0</v>
      </c>
    </row>
    <row r="1043">
      <c r="A1043" s="1">
        <v>4.0</v>
      </c>
      <c r="B1043" s="1">
        <v>16.0</v>
      </c>
      <c r="C1043" s="1">
        <v>1.0</v>
      </c>
      <c r="D1043" s="1">
        <v>1.0</v>
      </c>
      <c r="E1043" s="1">
        <v>0.0</v>
      </c>
      <c r="F1043" s="1">
        <v>0.0</v>
      </c>
      <c r="G1043" s="2">
        <v>1.0</v>
      </c>
      <c r="H1043" s="1" t="s">
        <v>183</v>
      </c>
      <c r="I1043" s="1" t="str">
        <f>IFERROR(__xludf.DUMMYFUNCTION("REGEXREPLACE(MID(H1043, SEARCH(""["", H1043) + 1, SEARCH(""]"", H1043) - SEARCH(""["", H1043) - 1), ""\[\]"","""")"),"Dulles Dolls 1")</f>
        <v>Dulles Dolls 1</v>
      </c>
      <c r="J1043" s="1">
        <v>4.0</v>
      </c>
      <c r="K1043" s="1">
        <v>0.0</v>
      </c>
    </row>
    <row r="1044">
      <c r="A1044" s="1">
        <v>1.0</v>
      </c>
      <c r="B1044" s="1">
        <v>4.0</v>
      </c>
      <c r="C1044" s="1">
        <v>0.0</v>
      </c>
      <c r="D1044" s="1">
        <v>0.0</v>
      </c>
      <c r="E1044" s="1">
        <v>0.0</v>
      </c>
      <c r="F1044" s="1">
        <v>0.0</v>
      </c>
      <c r="G1044" s="2">
        <v>0.0</v>
      </c>
      <c r="H1044" s="1" t="s">
        <v>183</v>
      </c>
      <c r="I1044" s="1" t="str">
        <f>IFERROR(__xludf.DUMMYFUNCTION("REGEXREPLACE(MID(H1044, SEARCH(""["", H1044) + 1, SEARCH(""]"", H1044) - SEARCH(""["", H1044) - 1), ""\[\]"","""")"),"Dulles Dolls 1")</f>
        <v>Dulles Dolls 1</v>
      </c>
      <c r="J1044" s="1">
        <v>0.0</v>
      </c>
      <c r="K1044" s="1">
        <v>0.0</v>
      </c>
    </row>
    <row r="1045">
      <c r="A1045" s="1">
        <v>1.0</v>
      </c>
      <c r="B1045" s="1">
        <v>4.0</v>
      </c>
      <c r="C1045" s="1">
        <v>2.0</v>
      </c>
      <c r="D1045" s="1">
        <v>8.0</v>
      </c>
      <c r="E1045" s="1">
        <v>0.0</v>
      </c>
      <c r="F1045" s="1">
        <v>0.0</v>
      </c>
      <c r="G1045" s="2">
        <v>1.0</v>
      </c>
      <c r="H1045" s="1" t="s">
        <v>184</v>
      </c>
      <c r="I1045" s="1" t="str">
        <f>IFERROR(__xludf.DUMMYFUNCTION("REGEXREPLACE(MID(H1045, SEARCH(""["", H1045) + 1, SEARCH(""]"", H1045) - SEARCH(""["", H1045) - 1), ""\[\]"","""")"),"Dulles Dolls 2")</f>
        <v>Dulles Dolls 2</v>
      </c>
      <c r="J1045" s="1">
        <v>8.0</v>
      </c>
      <c r="K1045" s="1">
        <v>0.0</v>
      </c>
    </row>
    <row r="1046">
      <c r="A1046" s="1">
        <v>1.0</v>
      </c>
      <c r="B1046" s="1">
        <v>0.0</v>
      </c>
      <c r="C1046" s="1">
        <v>0.0</v>
      </c>
      <c r="D1046" s="1">
        <v>0.0</v>
      </c>
      <c r="E1046" s="1">
        <v>0.0</v>
      </c>
      <c r="F1046" s="1">
        <v>0.0</v>
      </c>
      <c r="G1046" s="2">
        <v>0.0</v>
      </c>
      <c r="H1046" s="1" t="s">
        <v>184</v>
      </c>
      <c r="I1046" s="1" t="str">
        <f>IFERROR(__xludf.DUMMYFUNCTION("REGEXREPLACE(MID(H1046, SEARCH(""["", H1046) + 1, SEARCH(""]"", H1046) - SEARCH(""["", H1046) - 1), ""\[\]"","""")"),"Dulles Dolls 2")</f>
        <v>Dulles Dolls 2</v>
      </c>
      <c r="J1046" s="1">
        <v>0.0</v>
      </c>
      <c r="K1046" s="1">
        <v>0.0</v>
      </c>
    </row>
    <row r="1047">
      <c r="A1047" s="1">
        <v>3.0</v>
      </c>
      <c r="B1047" s="1">
        <v>12.0</v>
      </c>
      <c r="C1047" s="1">
        <v>3.0</v>
      </c>
      <c r="D1047" s="1">
        <v>0.0</v>
      </c>
      <c r="E1047" s="1">
        <v>0.0</v>
      </c>
      <c r="F1047" s="1">
        <v>0.0</v>
      </c>
      <c r="G1047" s="2">
        <v>0.0</v>
      </c>
      <c r="H1047" s="1" t="s">
        <v>184</v>
      </c>
      <c r="I1047" s="1" t="str">
        <f>IFERROR(__xludf.DUMMYFUNCTION("REGEXREPLACE(MID(H1047, SEARCH(""["", H1047) + 1, SEARCH(""]"", H1047) - SEARCH(""["", H1047) - 1), ""\[\]"","""")"),"Dulles Dolls 2")</f>
        <v>Dulles Dolls 2</v>
      </c>
      <c r="J1047" s="1">
        <v>0.0</v>
      </c>
      <c r="K1047" s="1">
        <v>0.0</v>
      </c>
    </row>
    <row r="1048">
      <c r="A1048" s="1">
        <v>4.0</v>
      </c>
      <c r="B1048" s="1">
        <v>16.0</v>
      </c>
      <c r="C1048" s="1">
        <v>7.0</v>
      </c>
      <c r="D1048" s="1">
        <v>2.0</v>
      </c>
      <c r="E1048" s="1">
        <v>0.25</v>
      </c>
      <c r="F1048" s="1">
        <v>0.0</v>
      </c>
      <c r="G1048" s="6">
        <v>0.429</v>
      </c>
      <c r="H1048" s="1" t="s">
        <v>161</v>
      </c>
      <c r="I1048" s="1" t="str">
        <f>IFERROR(__xludf.DUMMYFUNCTION("REGEXREPLACE(MID(H1048, SEARCH(""["", H1048) + 1, SEARCH(""]"", H1048) - SEARCH(""["", H1048) - 1), ""\[\]"","""")"),"Dulles Dolls 2")</f>
        <v>Dulles Dolls 2</v>
      </c>
      <c r="J1048" s="1">
        <v>8.0</v>
      </c>
      <c r="K1048" s="1">
        <v>1.0</v>
      </c>
    </row>
    <row r="1049">
      <c r="A1049" s="1">
        <v>1.0</v>
      </c>
      <c r="B1049" s="1">
        <v>0.0</v>
      </c>
      <c r="C1049" s="1">
        <v>0.0</v>
      </c>
      <c r="D1049" s="1">
        <v>0.0</v>
      </c>
      <c r="E1049" s="1">
        <v>0.0</v>
      </c>
      <c r="F1049" s="1">
        <v>0.0</v>
      </c>
      <c r="G1049" s="2">
        <v>0.0</v>
      </c>
      <c r="H1049" s="1" t="s">
        <v>161</v>
      </c>
      <c r="I1049" s="1" t="str">
        <f>IFERROR(__xludf.DUMMYFUNCTION("REGEXREPLACE(MID(H1049, SEARCH(""["", H1049) + 1, SEARCH(""]"", H1049) - SEARCH(""["", H1049) - 1), ""\[\]"","""")"),"Dulles Dolls 2")</f>
        <v>Dulles Dolls 2</v>
      </c>
      <c r="J1049" s="1">
        <v>0.0</v>
      </c>
      <c r="K1049" s="1">
        <v>0.0</v>
      </c>
    </row>
    <row r="1050">
      <c r="A1050" s="1">
        <v>3.0</v>
      </c>
      <c r="B1050" s="1">
        <v>12.0</v>
      </c>
      <c r="C1050" s="1">
        <v>0.0</v>
      </c>
      <c r="D1050" s="1">
        <v>0.0</v>
      </c>
      <c r="E1050" s="1">
        <v>0.0</v>
      </c>
      <c r="F1050" s="1">
        <v>0.0</v>
      </c>
      <c r="G1050" s="2">
        <v>0.0</v>
      </c>
      <c r="H1050" s="1" t="s">
        <v>187</v>
      </c>
      <c r="I1050" s="1" t="str">
        <f>IFERROR(__xludf.DUMMYFUNCTION("REGEXREPLACE(MID(H1050, SEARCH(""["", H1050) + 1, SEARCH(""]"", H1050) - SEARCH(""["", H1050) - 1), ""\[\]"","""")"),"Eastlake HS")</f>
        <v>Eastlake HS</v>
      </c>
      <c r="J1050" s="1">
        <v>0.0</v>
      </c>
      <c r="K1050" s="1">
        <v>0.0</v>
      </c>
    </row>
    <row r="1051">
      <c r="A1051" s="1">
        <v>5.0</v>
      </c>
      <c r="B1051" s="1">
        <v>20.0</v>
      </c>
      <c r="C1051" s="1">
        <v>6.0</v>
      </c>
      <c r="D1051" s="1">
        <v>0.0</v>
      </c>
      <c r="E1051" s="1">
        <v>0.4</v>
      </c>
      <c r="F1051" s="1">
        <v>0.0</v>
      </c>
      <c r="G1051" s="6">
        <v>0.333</v>
      </c>
      <c r="H1051" s="1" t="s">
        <v>180</v>
      </c>
      <c r="I1051" s="1" t="str">
        <f>IFERROR(__xludf.DUMMYFUNCTION("REGEXREPLACE(MID(H1051, SEARCH(""["", H1051) + 1, SEARCH(""]"", H1051) - SEARCH(""["", H1051) - 1), ""\[\]"","""")"),"Eastlake HS")</f>
        <v>Eastlake HS</v>
      </c>
      <c r="J1051" s="1">
        <v>0.0</v>
      </c>
      <c r="K1051" s="1">
        <v>2.0</v>
      </c>
    </row>
    <row r="1052">
      <c r="A1052" s="1">
        <v>4.0</v>
      </c>
      <c r="B1052" s="1">
        <v>16.0</v>
      </c>
      <c r="C1052" s="1">
        <v>0.0</v>
      </c>
      <c r="D1052" s="1">
        <v>0.0</v>
      </c>
      <c r="E1052" s="1">
        <v>0.0</v>
      </c>
      <c r="F1052" s="1">
        <v>0.0</v>
      </c>
      <c r="G1052" s="2">
        <v>0.0</v>
      </c>
      <c r="H1052" s="1" t="s">
        <v>189</v>
      </c>
      <c r="I1052" s="1" t="str">
        <f>IFERROR(__xludf.DUMMYFUNCTION("REGEXREPLACE(MID(H1052, SEARCH(""["", H1052) + 1, SEARCH(""]"", H1052) - SEARCH(""["", H1052) - 1), ""\[\]"","""")"),"Eastlake HS")</f>
        <v>Eastlake HS</v>
      </c>
      <c r="J1052" s="1">
        <v>0.0</v>
      </c>
      <c r="K1052" s="1">
        <v>0.0</v>
      </c>
    </row>
    <row r="1053">
      <c r="A1053" s="1">
        <v>5.0</v>
      </c>
      <c r="B1053" s="1">
        <v>20.0</v>
      </c>
      <c r="C1053" s="1">
        <v>3.0</v>
      </c>
      <c r="D1053" s="1">
        <v>-0.8</v>
      </c>
      <c r="E1053" s="1">
        <v>0.2</v>
      </c>
      <c r="F1053" s="1">
        <v>0.0</v>
      </c>
      <c r="G1053" s="2">
        <v>0.0</v>
      </c>
      <c r="H1053" s="1" t="s">
        <v>190</v>
      </c>
      <c r="I1053" s="1" t="str">
        <f>IFERROR(__xludf.DUMMYFUNCTION("REGEXREPLACE(MID(H1053, SEARCH(""["", H1053) + 1, SEARCH(""]"", H1053) - SEARCH(""["", H1053) - 1), ""\[\]"","""")"),"Eastlake HS")</f>
        <v>Eastlake HS</v>
      </c>
      <c r="J1053" s="1">
        <v>-4.0</v>
      </c>
      <c r="K1053" s="1">
        <v>1.0</v>
      </c>
    </row>
    <row r="1054">
      <c r="A1054" s="1">
        <v>1.0</v>
      </c>
      <c r="B1054" s="1">
        <v>4.0</v>
      </c>
      <c r="C1054" s="1">
        <v>0.0</v>
      </c>
      <c r="D1054" s="1">
        <v>0.0</v>
      </c>
      <c r="E1054" s="1">
        <v>0.0</v>
      </c>
      <c r="F1054" s="1">
        <v>0.0</v>
      </c>
      <c r="G1054" s="2">
        <v>0.0</v>
      </c>
      <c r="H1054" s="1" t="s">
        <v>191</v>
      </c>
      <c r="I1054" s="1" t="str">
        <f>IFERROR(__xludf.DUMMYFUNCTION("REGEXREPLACE(MID(H1054, SEARCH(""["", H1054) + 1, SEARCH(""]"", H1054) - SEARCH(""["", H1054) - 1), ""\[\]"","""")"),"Elkins HS")</f>
        <v>Elkins HS</v>
      </c>
      <c r="J1054" s="1">
        <v>0.0</v>
      </c>
      <c r="K1054" s="1">
        <v>0.0</v>
      </c>
    </row>
    <row r="1055">
      <c r="A1055" s="1">
        <v>3.0</v>
      </c>
      <c r="B1055" s="1">
        <v>12.0</v>
      </c>
      <c r="C1055" s="1">
        <v>0.0</v>
      </c>
      <c r="D1055" s="1">
        <v>0.0</v>
      </c>
      <c r="E1055" s="1">
        <v>0.0</v>
      </c>
      <c r="F1055" s="1">
        <v>0.0</v>
      </c>
      <c r="G1055" s="2">
        <v>0.0</v>
      </c>
      <c r="H1055" s="1" t="s">
        <v>191</v>
      </c>
      <c r="I1055" s="1" t="str">
        <f>IFERROR(__xludf.DUMMYFUNCTION("REGEXREPLACE(MID(H1055, SEARCH(""["", H1055) + 1, SEARCH(""]"", H1055) - SEARCH(""["", H1055) - 1), ""\[\]"","""")"),"Elkins HS")</f>
        <v>Elkins HS</v>
      </c>
      <c r="J1055" s="1">
        <v>0.0</v>
      </c>
      <c r="K1055" s="1">
        <v>0.0</v>
      </c>
    </row>
    <row r="1056">
      <c r="A1056" s="1">
        <v>2.0</v>
      </c>
      <c r="B1056" s="1">
        <v>8.0</v>
      </c>
      <c r="C1056" s="1">
        <v>1.0</v>
      </c>
      <c r="D1056" s="1">
        <v>2.0</v>
      </c>
      <c r="E1056" s="1">
        <v>0.0</v>
      </c>
      <c r="F1056" s="1">
        <v>0.0</v>
      </c>
      <c r="G1056" s="2">
        <v>1.0</v>
      </c>
      <c r="H1056" s="1" t="s">
        <v>192</v>
      </c>
      <c r="I1056" s="1" t="str">
        <f>IFERROR(__xludf.DUMMYFUNCTION("REGEXREPLACE(MID(H1056, SEARCH(""["", H1056) + 1, SEARCH(""]"", H1056) - SEARCH(""["", H1056) - 1), ""\[\]"","""")"),"Elkins HS")</f>
        <v>Elkins HS</v>
      </c>
      <c r="J1056" s="1">
        <v>4.0</v>
      </c>
      <c r="K1056" s="1">
        <v>0.0</v>
      </c>
    </row>
    <row r="1057">
      <c r="A1057" s="1">
        <v>1.0</v>
      </c>
      <c r="B1057" s="1">
        <v>4.0</v>
      </c>
      <c r="C1057" s="1">
        <v>1.0</v>
      </c>
      <c r="D1057" s="1">
        <v>4.0</v>
      </c>
      <c r="E1057" s="1">
        <v>0.0</v>
      </c>
      <c r="F1057" s="1">
        <v>0.0</v>
      </c>
      <c r="G1057" s="2">
        <v>1.0</v>
      </c>
      <c r="H1057" s="1" t="s">
        <v>192</v>
      </c>
      <c r="I1057" s="1" t="str">
        <f>IFERROR(__xludf.DUMMYFUNCTION("REGEXREPLACE(MID(H1057, SEARCH(""["", H1057) + 1, SEARCH(""]"", H1057) - SEARCH(""["", H1057) - 1), ""\[\]"","""")"),"Elkins HS")</f>
        <v>Elkins HS</v>
      </c>
      <c r="J1057" s="1">
        <v>4.0</v>
      </c>
      <c r="K1057" s="1">
        <v>0.0</v>
      </c>
    </row>
    <row r="1058">
      <c r="A1058" s="1">
        <v>1.0</v>
      </c>
      <c r="B1058" s="1">
        <v>4.0</v>
      </c>
      <c r="C1058" s="1">
        <v>0.0</v>
      </c>
      <c r="D1058" s="1">
        <v>0.0</v>
      </c>
      <c r="E1058" s="1">
        <v>0.0</v>
      </c>
      <c r="F1058" s="1">
        <v>0.0</v>
      </c>
      <c r="G1058" s="2">
        <v>0.0</v>
      </c>
      <c r="H1058" s="1" t="s">
        <v>194</v>
      </c>
      <c r="I1058" s="1" t="str">
        <f>IFERROR(__xludf.DUMMYFUNCTION("REGEXREPLACE(MID(H1058, SEARCH(""["", H1058) + 1, SEARCH(""]"", H1058) - SEARCH(""["", H1058) - 1), ""\[\]"","""")"),"Elkins HS")</f>
        <v>Elkins HS</v>
      </c>
      <c r="J1058" s="1">
        <v>0.0</v>
      </c>
      <c r="K1058" s="1">
        <v>0.0</v>
      </c>
    </row>
    <row r="1059">
      <c r="A1059" s="1">
        <v>1.0</v>
      </c>
      <c r="B1059" s="1">
        <v>4.0</v>
      </c>
      <c r="C1059" s="1">
        <v>0.0</v>
      </c>
      <c r="D1059" s="1">
        <v>0.0</v>
      </c>
      <c r="E1059" s="1">
        <v>0.0</v>
      </c>
      <c r="F1059" s="1">
        <v>0.0</v>
      </c>
      <c r="G1059" s="2">
        <v>0.0</v>
      </c>
      <c r="H1059" s="1" t="s">
        <v>194</v>
      </c>
      <c r="I1059" s="1" t="str">
        <f>IFERROR(__xludf.DUMMYFUNCTION("REGEXREPLACE(MID(H1059, SEARCH(""["", H1059) + 1, SEARCH(""]"", H1059) - SEARCH(""["", H1059) - 1), ""\[\]"","""")"),"Elkins HS")</f>
        <v>Elkins HS</v>
      </c>
      <c r="J1059" s="1">
        <v>0.0</v>
      </c>
      <c r="K1059" s="1">
        <v>0.0</v>
      </c>
    </row>
    <row r="1060">
      <c r="A1060" s="1">
        <v>1.0</v>
      </c>
      <c r="B1060" s="1">
        <v>4.0</v>
      </c>
      <c r="C1060" s="1">
        <v>0.0</v>
      </c>
      <c r="D1060" s="1">
        <v>0.0</v>
      </c>
      <c r="E1060" s="1">
        <v>0.0</v>
      </c>
      <c r="F1060" s="1">
        <v>0.0</v>
      </c>
      <c r="G1060" s="2">
        <v>0.0</v>
      </c>
      <c r="H1060" s="1" t="s">
        <v>195</v>
      </c>
      <c r="I1060" s="1" t="str">
        <f>IFERROR(__xludf.DUMMYFUNCTION("REGEXREPLACE(MID(H1060, SEARCH(""["", H1060) + 1, SEARCH(""]"", H1060) - SEARCH(""["", H1060) - 1), ""\[\]"","""")"),"Elkins HS")</f>
        <v>Elkins HS</v>
      </c>
      <c r="J1060" s="1">
        <v>0.0</v>
      </c>
      <c r="K1060" s="1">
        <v>0.0</v>
      </c>
    </row>
    <row r="1061">
      <c r="A1061" s="1">
        <v>4.0</v>
      </c>
      <c r="B1061" s="1">
        <v>15.0</v>
      </c>
      <c r="C1061" s="1">
        <v>0.0</v>
      </c>
      <c r="D1061" s="1">
        <v>0.0</v>
      </c>
      <c r="E1061" s="1">
        <v>0.0</v>
      </c>
      <c r="F1061" s="1">
        <v>0.0</v>
      </c>
      <c r="G1061" s="2">
        <v>0.0</v>
      </c>
      <c r="H1061" s="1" t="s">
        <v>195</v>
      </c>
      <c r="I1061" s="1" t="str">
        <f>IFERROR(__xludf.DUMMYFUNCTION("REGEXREPLACE(MID(H1061, SEARCH(""["", H1061) + 1, SEARCH(""]"", H1061) - SEARCH(""["", H1061) - 1), ""\[\]"","""")"),"Elkins HS")</f>
        <v>Elkins HS</v>
      </c>
      <c r="J1061" s="1">
        <v>0.0</v>
      </c>
      <c r="K1061" s="1">
        <v>0.0</v>
      </c>
    </row>
    <row r="1062">
      <c r="A1062" s="1">
        <v>4.0</v>
      </c>
      <c r="B1062" s="1">
        <v>15.0</v>
      </c>
      <c r="C1062" s="1">
        <v>8.0</v>
      </c>
      <c r="D1062" s="1">
        <v>2.0</v>
      </c>
      <c r="E1062" s="1">
        <v>0.5</v>
      </c>
      <c r="F1062" s="1">
        <v>0.0</v>
      </c>
      <c r="G1062" s="2">
        <v>0.5</v>
      </c>
      <c r="H1062" s="1" t="s">
        <v>112</v>
      </c>
      <c r="I1062" s="1" t="str">
        <f>IFERROR(__xludf.DUMMYFUNCTION("REGEXREPLACE(MID(H1062, SEARCH(""["", H1062) + 1, SEARCH(""]"", H1062) - SEARCH(""["", H1062) - 1), ""\[\]"","""")"),"Elkins HS")</f>
        <v>Elkins HS</v>
      </c>
      <c r="J1062" s="1">
        <v>8.0</v>
      </c>
      <c r="K1062" s="1">
        <v>2.0</v>
      </c>
    </row>
    <row r="1063">
      <c r="A1063" s="1">
        <v>1.0</v>
      </c>
      <c r="B1063" s="1">
        <v>4.0</v>
      </c>
      <c r="C1063" s="1">
        <v>4.0</v>
      </c>
      <c r="D1063" s="1">
        <v>12.0</v>
      </c>
      <c r="E1063" s="1">
        <v>0.0</v>
      </c>
      <c r="F1063" s="1">
        <v>0.0</v>
      </c>
      <c r="G1063" s="2">
        <v>0.75</v>
      </c>
      <c r="H1063" s="1" t="s">
        <v>112</v>
      </c>
      <c r="I1063" s="1" t="str">
        <f>IFERROR(__xludf.DUMMYFUNCTION("REGEXREPLACE(MID(H1063, SEARCH(""["", H1063) + 1, SEARCH(""]"", H1063) - SEARCH(""["", H1063) - 1), ""\[\]"","""")"),"Elkins HS")</f>
        <v>Elkins HS</v>
      </c>
      <c r="J1063" s="1">
        <v>12.0</v>
      </c>
      <c r="K1063" s="1">
        <v>0.0</v>
      </c>
    </row>
    <row r="1064">
      <c r="A1064" s="1">
        <v>1.0</v>
      </c>
      <c r="B1064" s="1">
        <v>4.0</v>
      </c>
      <c r="C1064" s="1">
        <v>0.0</v>
      </c>
      <c r="D1064" s="1">
        <v>0.0</v>
      </c>
      <c r="E1064" s="1">
        <v>0.0</v>
      </c>
      <c r="F1064" s="1">
        <v>0.0</v>
      </c>
      <c r="G1064" s="2">
        <v>0.0</v>
      </c>
      <c r="H1064" s="1" t="s">
        <v>196</v>
      </c>
      <c r="I1064" s="1" t="str">
        <f>IFERROR(__xludf.DUMMYFUNCTION("REGEXREPLACE(MID(H1064, SEARCH(""["", H1064) + 1, SEARCH(""]"", H1064) - SEARCH(""["", H1064) - 1), ""\[\]"","""")"),"ENHS")</f>
        <v>ENHS</v>
      </c>
      <c r="J1064" s="1">
        <v>0.0</v>
      </c>
      <c r="K1064" s="1">
        <v>0.0</v>
      </c>
    </row>
    <row r="1065">
      <c r="A1065" s="1">
        <v>5.0</v>
      </c>
      <c r="B1065" s="1">
        <v>20.0</v>
      </c>
      <c r="C1065" s="1">
        <v>3.0</v>
      </c>
      <c r="D1065" s="1">
        <v>0.0</v>
      </c>
      <c r="E1065" s="1">
        <v>0.2</v>
      </c>
      <c r="F1065" s="1">
        <v>0.0</v>
      </c>
      <c r="G1065" s="6">
        <v>0.333</v>
      </c>
      <c r="H1065" s="1" t="s">
        <v>197</v>
      </c>
      <c r="I1065" s="1" t="str">
        <f>IFERROR(__xludf.DUMMYFUNCTION("REGEXREPLACE(MID(H1065, SEARCH(""["", H1065) + 1, SEARCH(""]"", H1065) - SEARCH(""["", H1065) - 1), ""\[\]"","""")"),"ENHS")</f>
        <v>ENHS</v>
      </c>
      <c r="J1065" s="1">
        <v>0.0</v>
      </c>
      <c r="K1065" s="1">
        <v>1.0</v>
      </c>
    </row>
    <row r="1066">
      <c r="A1066" s="1">
        <v>2.0</v>
      </c>
      <c r="B1066" s="1">
        <v>8.0</v>
      </c>
      <c r="C1066" s="1">
        <v>0.0</v>
      </c>
      <c r="D1066" s="1">
        <v>0.0</v>
      </c>
      <c r="E1066" s="1">
        <v>0.0</v>
      </c>
      <c r="F1066" s="1">
        <v>0.0</v>
      </c>
      <c r="G1066" s="2">
        <v>0.0</v>
      </c>
      <c r="H1066" s="1" t="s">
        <v>198</v>
      </c>
      <c r="I1066" s="1" t="str">
        <f>IFERROR(__xludf.DUMMYFUNCTION("REGEXREPLACE(MID(H1066, SEARCH(""["", H1066) + 1, SEARCH(""]"", H1066) - SEARCH(""["", H1066) - 1), ""\[\]"","""")"),"ENHS")</f>
        <v>ENHS</v>
      </c>
      <c r="J1066" s="1">
        <v>0.0</v>
      </c>
      <c r="K1066" s="1">
        <v>0.0</v>
      </c>
    </row>
    <row r="1067">
      <c r="A1067" s="1">
        <v>5.0</v>
      </c>
      <c r="B1067" s="1">
        <v>20.0</v>
      </c>
      <c r="C1067" s="1">
        <v>9.0</v>
      </c>
      <c r="D1067" s="1">
        <v>2.4</v>
      </c>
      <c r="E1067" s="1">
        <v>0.2</v>
      </c>
      <c r="F1067" s="1">
        <v>0.0</v>
      </c>
      <c r="G1067" s="6">
        <v>0.444</v>
      </c>
      <c r="H1067" s="1" t="s">
        <v>199</v>
      </c>
      <c r="I1067" s="1" t="str">
        <f>IFERROR(__xludf.DUMMYFUNCTION("REGEXREPLACE(MID(H1067, SEARCH(""["", H1067) + 1, SEARCH(""]"", H1067) - SEARCH(""["", H1067) - 1), ""\[\]"","""")"),"ENHS")</f>
        <v>ENHS</v>
      </c>
      <c r="J1067" s="1">
        <v>12.0</v>
      </c>
      <c r="K1067" s="1">
        <v>1.0</v>
      </c>
    </row>
    <row r="1068">
      <c r="A1068" s="1">
        <v>3.0</v>
      </c>
      <c r="B1068" s="1">
        <v>11.0</v>
      </c>
      <c r="C1068" s="1">
        <v>0.0</v>
      </c>
      <c r="D1068" s="1">
        <v>0.0</v>
      </c>
      <c r="E1068" s="1">
        <v>0.0</v>
      </c>
      <c r="F1068" s="1">
        <v>0.0</v>
      </c>
      <c r="G1068" s="2">
        <v>0.0</v>
      </c>
      <c r="H1068" s="1" t="s">
        <v>200</v>
      </c>
      <c r="I1068" s="1" t="str">
        <f>IFERROR(__xludf.DUMMYFUNCTION("REGEXREPLACE(MID(H1068, SEARCH(""["", H1068) + 1, SEARCH(""]"", H1068) - SEARCH(""["", H1068) - 1), ""\[\]"","""")"),"Enloe")</f>
        <v>Enloe</v>
      </c>
      <c r="J1068" s="1">
        <v>0.0</v>
      </c>
      <c r="K1068" s="1">
        <v>0.0</v>
      </c>
    </row>
    <row r="1069">
      <c r="A1069" s="1">
        <v>3.0</v>
      </c>
      <c r="B1069" s="1">
        <v>11.0</v>
      </c>
      <c r="C1069" s="1">
        <v>0.0</v>
      </c>
      <c r="D1069" s="1">
        <v>0.0</v>
      </c>
      <c r="E1069" s="1">
        <v>0.0</v>
      </c>
      <c r="F1069" s="1">
        <v>0.0</v>
      </c>
      <c r="G1069" s="2">
        <v>0.0</v>
      </c>
      <c r="H1069" s="1" t="s">
        <v>201</v>
      </c>
      <c r="I1069" s="1" t="str">
        <f>IFERROR(__xludf.DUMMYFUNCTION("REGEXREPLACE(MID(H1069, SEARCH(""["", H1069) + 1, SEARCH(""]"", H1069) - SEARCH(""["", H1069) - 1), ""\[\]"","""")"),"Enloe")</f>
        <v>Enloe</v>
      </c>
      <c r="J1069" s="1">
        <v>0.0</v>
      </c>
      <c r="K1069" s="1">
        <v>0.0</v>
      </c>
    </row>
    <row r="1070">
      <c r="A1070" s="1">
        <v>5.0</v>
      </c>
      <c r="B1070" s="1">
        <v>19.0</v>
      </c>
      <c r="C1070" s="1">
        <v>10.0</v>
      </c>
      <c r="D1070" s="1">
        <v>7.2</v>
      </c>
      <c r="E1070" s="1">
        <v>0.0</v>
      </c>
      <c r="F1070" s="1">
        <v>0.0</v>
      </c>
      <c r="G1070" s="2">
        <v>0.9</v>
      </c>
      <c r="H1070" s="1" t="s">
        <v>70</v>
      </c>
      <c r="I1070" s="1" t="str">
        <f>IFERROR(__xludf.DUMMYFUNCTION("REGEXREPLACE(MID(H1070, SEARCH(""["", H1070) + 1, SEARCH(""]"", H1070) - SEARCH(""["", H1070) - 1), ""\[\]"","""")"),"Enloe")</f>
        <v>Enloe</v>
      </c>
      <c r="J1070" s="1">
        <v>36.0</v>
      </c>
      <c r="K1070" s="1">
        <v>0.0</v>
      </c>
    </row>
    <row r="1071">
      <c r="A1071" s="1">
        <v>1.0</v>
      </c>
      <c r="B1071" s="1">
        <v>4.0</v>
      </c>
      <c r="C1071" s="1">
        <v>0.0</v>
      </c>
      <c r="D1071" s="1">
        <v>0.0</v>
      </c>
      <c r="E1071" s="1">
        <v>0.0</v>
      </c>
      <c r="F1071" s="1">
        <v>0.0</v>
      </c>
      <c r="G1071" s="2">
        <v>0.0</v>
      </c>
      <c r="H1071" s="1" t="s">
        <v>203</v>
      </c>
      <c r="I1071" s="1" t="str">
        <f>IFERROR(__xludf.DUMMYFUNCTION("REGEXREPLACE(MID(H1071, SEARCH(""["", H1071) + 1, SEARCH(""]"", H1071) - SEARCH(""["", H1071) - 1), ""\[\]"","""")"),"Enloe")</f>
        <v>Enloe</v>
      </c>
      <c r="J1071" s="1">
        <v>0.0</v>
      </c>
      <c r="K1071" s="1">
        <v>0.0</v>
      </c>
    </row>
    <row r="1072">
      <c r="A1072" s="1">
        <v>2.0</v>
      </c>
      <c r="B1072" s="1">
        <v>8.0</v>
      </c>
      <c r="C1072" s="1">
        <v>0.0</v>
      </c>
      <c r="D1072" s="1">
        <v>0.0</v>
      </c>
      <c r="E1072" s="1">
        <v>0.0</v>
      </c>
      <c r="F1072" s="1">
        <v>0.0</v>
      </c>
      <c r="G1072" s="2">
        <v>0.0</v>
      </c>
      <c r="H1072" s="1" t="s">
        <v>205</v>
      </c>
      <c r="I1072" s="1" t="str">
        <f>IFERROR(__xludf.DUMMYFUNCTION("REGEXREPLACE(MID(H1072, SEARCH(""["", H1072) + 1, SEARCH(""]"", H1072) - SEARCH(""["", H1072) - 1), ""\[\]"","""")"),"Enloe")</f>
        <v>Enloe</v>
      </c>
      <c r="J1072" s="1">
        <v>0.0</v>
      </c>
      <c r="K1072" s="1">
        <v>0.0</v>
      </c>
    </row>
    <row r="1073">
      <c r="A1073" s="1">
        <v>1.0</v>
      </c>
      <c r="B1073" s="1">
        <v>4.0</v>
      </c>
      <c r="C1073" s="1">
        <v>0.0</v>
      </c>
      <c r="D1073" s="1">
        <v>0.0</v>
      </c>
      <c r="E1073" s="1">
        <v>0.0</v>
      </c>
      <c r="F1073" s="1">
        <v>0.0</v>
      </c>
      <c r="G1073" s="2">
        <v>0.0</v>
      </c>
      <c r="H1073" s="1" t="s">
        <v>206</v>
      </c>
      <c r="I1073" s="1" t="str">
        <f>IFERROR(__xludf.DUMMYFUNCTION("REGEXREPLACE(MID(H1073, SEARCH(""["", H1073) + 1, SEARCH(""]"", H1073) - SEARCH(""["", H1073) - 1), ""\[\]"","""")"),"Frazer")</f>
        <v>Frazer</v>
      </c>
      <c r="J1073" s="1">
        <v>0.0</v>
      </c>
      <c r="K1073" s="1">
        <v>0.0</v>
      </c>
    </row>
    <row r="1074">
      <c r="A1074" s="1">
        <v>5.0</v>
      </c>
      <c r="B1074" s="1">
        <v>20.0</v>
      </c>
      <c r="C1074" s="1">
        <v>10.0</v>
      </c>
      <c r="D1074" s="1">
        <v>3.2</v>
      </c>
      <c r="E1074" s="1">
        <v>0.2</v>
      </c>
      <c r="F1074" s="1">
        <v>0.0</v>
      </c>
      <c r="G1074" s="2">
        <v>0.5</v>
      </c>
      <c r="H1074" s="1" t="s">
        <v>62</v>
      </c>
      <c r="I1074" s="1" t="str">
        <f>IFERROR(__xludf.DUMMYFUNCTION("REGEXREPLACE(MID(H1074, SEARCH(""["", H1074) + 1, SEARCH(""]"", H1074) - SEARCH(""["", H1074) - 1), ""\[\]"","""")"),"Frazer")</f>
        <v>Frazer</v>
      </c>
      <c r="J1074" s="1">
        <v>16.0</v>
      </c>
      <c r="K1074" s="1">
        <v>1.0</v>
      </c>
    </row>
    <row r="1075">
      <c r="A1075" s="1">
        <v>1.0</v>
      </c>
      <c r="B1075" s="1">
        <v>4.0</v>
      </c>
      <c r="C1075" s="1">
        <v>0.0</v>
      </c>
      <c r="D1075" s="1">
        <v>0.0</v>
      </c>
      <c r="E1075" s="1">
        <v>0.0</v>
      </c>
      <c r="F1075" s="1">
        <v>0.0</v>
      </c>
      <c r="G1075" s="2">
        <v>0.0</v>
      </c>
      <c r="H1075" s="1" t="s">
        <v>208</v>
      </c>
      <c r="I1075" s="1" t="str">
        <f>IFERROR(__xludf.DUMMYFUNCTION("REGEXREPLACE(MID(H1075, SEARCH(""["", H1075) + 1, SEARCH(""]"", H1075) - SEARCH(""["", H1075) - 1), ""\[\]"","""")"),"Frazer")</f>
        <v>Frazer</v>
      </c>
      <c r="J1075" s="1">
        <v>0.0</v>
      </c>
      <c r="K1075" s="1">
        <v>0.0</v>
      </c>
    </row>
    <row r="1076">
      <c r="A1076" s="1">
        <v>5.0</v>
      </c>
      <c r="B1076" s="1">
        <v>16.0</v>
      </c>
      <c r="C1076" s="1">
        <v>2.0</v>
      </c>
      <c r="D1076" s="1">
        <v>0.0</v>
      </c>
      <c r="E1076" s="1">
        <v>0.0</v>
      </c>
      <c r="F1076" s="1">
        <v>0.0</v>
      </c>
      <c r="G1076" s="2">
        <v>0.0</v>
      </c>
      <c r="H1076" s="1" t="s">
        <v>209</v>
      </c>
      <c r="I1076" s="1" t="str">
        <f>IFERROR(__xludf.DUMMYFUNCTION("REGEXREPLACE(MID(H1076, SEARCH(""["", H1076) + 1, SEARCH(""]"", H1076) - SEARCH(""["", H1076) - 1), ""\[\]"","""")"),"Friendswood")</f>
        <v>Friendswood</v>
      </c>
      <c r="J1076" s="1">
        <v>0.0</v>
      </c>
      <c r="K1076" s="1">
        <v>0.0</v>
      </c>
    </row>
    <row r="1077">
      <c r="A1077" s="1">
        <v>5.0</v>
      </c>
      <c r="B1077" s="1">
        <v>16.0</v>
      </c>
      <c r="C1077" s="1">
        <v>4.0</v>
      </c>
      <c r="D1077" s="1">
        <v>0.8</v>
      </c>
      <c r="E1077" s="1">
        <v>0.0</v>
      </c>
      <c r="F1077" s="1">
        <v>0.0</v>
      </c>
      <c r="G1077" s="2">
        <v>0.25</v>
      </c>
      <c r="H1077" s="1" t="s">
        <v>210</v>
      </c>
      <c r="I1077" s="1" t="str">
        <f>IFERROR(__xludf.DUMMYFUNCTION("REGEXREPLACE(MID(H1077, SEARCH(""["", H1077) + 1, SEARCH(""]"", H1077) - SEARCH(""["", H1077) - 1), ""\[\]"","""")"),"Friendswood")</f>
        <v>Friendswood</v>
      </c>
      <c r="J1077" s="1">
        <v>4.0</v>
      </c>
      <c r="K1077" s="1">
        <v>0.0</v>
      </c>
    </row>
    <row r="1078">
      <c r="A1078" s="1">
        <v>5.0</v>
      </c>
      <c r="B1078" s="1">
        <v>16.0</v>
      </c>
      <c r="C1078" s="1">
        <v>0.0</v>
      </c>
      <c r="D1078" s="1">
        <v>0.0</v>
      </c>
      <c r="E1078" s="1">
        <v>0.0</v>
      </c>
      <c r="F1078" s="1">
        <v>0.0</v>
      </c>
      <c r="G1078" s="2">
        <v>0.0</v>
      </c>
      <c r="H1078" s="1" t="s">
        <v>211</v>
      </c>
      <c r="I1078" s="1" t="str">
        <f>IFERROR(__xludf.DUMMYFUNCTION("REGEXREPLACE(MID(H1078, SEARCH(""["", H1078) + 1, SEARCH(""]"", H1078) - SEARCH(""["", H1078) - 1), ""\[\]"","""")"),"Friendswood")</f>
        <v>Friendswood</v>
      </c>
      <c r="J1078" s="1">
        <v>0.0</v>
      </c>
      <c r="K1078" s="1">
        <v>0.0</v>
      </c>
    </row>
    <row r="1079">
      <c r="A1079" s="1">
        <v>5.0</v>
      </c>
      <c r="B1079" s="1">
        <v>16.0</v>
      </c>
      <c r="C1079" s="1">
        <v>2.0</v>
      </c>
      <c r="D1079" s="1">
        <v>-0.8</v>
      </c>
      <c r="E1079" s="1">
        <v>0.2</v>
      </c>
      <c r="F1079" s="1">
        <v>0.0</v>
      </c>
      <c r="G1079" s="2">
        <v>0.0</v>
      </c>
      <c r="H1079" s="1" t="s">
        <v>213</v>
      </c>
      <c r="I1079" s="1" t="str">
        <f>IFERROR(__xludf.DUMMYFUNCTION("REGEXREPLACE(MID(H1079, SEARCH(""["", H1079) + 1, SEARCH(""]"", H1079) - SEARCH(""["", H1079) - 1), ""\[\]"","""")"),"Friendswood")</f>
        <v>Friendswood</v>
      </c>
      <c r="J1079" s="1">
        <v>-4.0</v>
      </c>
      <c r="K1079" s="1">
        <v>1.0</v>
      </c>
    </row>
    <row r="1080">
      <c r="A1080" s="1">
        <v>1.0</v>
      </c>
      <c r="B1080" s="1">
        <v>4.0</v>
      </c>
      <c r="C1080" s="1">
        <v>1.0</v>
      </c>
      <c r="D1080" s="1">
        <v>4.0</v>
      </c>
      <c r="E1080" s="1">
        <v>0.0</v>
      </c>
      <c r="F1080" s="1">
        <v>0.0</v>
      </c>
      <c r="G1080" s="2">
        <v>1.0</v>
      </c>
      <c r="H1080" s="1" t="s">
        <v>214</v>
      </c>
      <c r="I1080" s="1" t="str">
        <f>IFERROR(__xludf.DUMMYFUNCTION("REGEXREPLACE(MID(H1080, SEARCH(""["", H1080) + 1, SEARCH(""]"", H1080) - SEARCH(""["", H1080) - 1), ""\[\]"","""")"),"Galen 1")</f>
        <v>Galen 1</v>
      </c>
      <c r="J1080" s="1">
        <v>4.0</v>
      </c>
      <c r="K1080" s="1">
        <v>0.0</v>
      </c>
    </row>
    <row r="1081">
      <c r="A1081" s="1">
        <v>2.0</v>
      </c>
      <c r="B1081" s="1">
        <v>8.0</v>
      </c>
      <c r="C1081" s="1">
        <v>0.0</v>
      </c>
      <c r="D1081" s="1">
        <v>0.0</v>
      </c>
      <c r="E1081" s="1">
        <v>0.0</v>
      </c>
      <c r="F1081" s="1">
        <v>0.0</v>
      </c>
      <c r="G1081" s="2">
        <v>0.0</v>
      </c>
      <c r="H1081" s="1" t="s">
        <v>214</v>
      </c>
      <c r="I1081" s="1" t="str">
        <f>IFERROR(__xludf.DUMMYFUNCTION("REGEXREPLACE(MID(H1081, SEARCH(""["", H1081) + 1, SEARCH(""]"", H1081) - SEARCH(""["", H1081) - 1), ""\[\]"","""")"),"Galen 1")</f>
        <v>Galen 1</v>
      </c>
      <c r="J1081" s="1">
        <v>0.0</v>
      </c>
      <c r="K1081" s="1">
        <v>0.0</v>
      </c>
    </row>
    <row r="1082">
      <c r="A1082" s="1">
        <v>1.0</v>
      </c>
      <c r="B1082" s="1">
        <v>4.0</v>
      </c>
      <c r="C1082" s="1">
        <v>0.0</v>
      </c>
      <c r="D1082" s="1">
        <v>0.0</v>
      </c>
      <c r="E1082" s="1">
        <v>0.0</v>
      </c>
      <c r="F1082" s="1">
        <v>0.0</v>
      </c>
      <c r="G1082" s="2">
        <v>0.0</v>
      </c>
      <c r="H1082" s="1" t="s">
        <v>214</v>
      </c>
      <c r="I1082" s="1" t="str">
        <f>IFERROR(__xludf.DUMMYFUNCTION("REGEXREPLACE(MID(H1082, SEARCH(""["", H1082) + 1, SEARCH(""]"", H1082) - SEARCH(""["", H1082) - 1), ""\[\]"","""")"),"Galen 1")</f>
        <v>Galen 1</v>
      </c>
      <c r="J1082" s="1">
        <v>0.0</v>
      </c>
      <c r="K1082" s="1">
        <v>0.0</v>
      </c>
    </row>
    <row r="1083">
      <c r="A1083" s="1">
        <v>1.0</v>
      </c>
      <c r="B1083" s="1">
        <v>4.0</v>
      </c>
      <c r="C1083" s="1">
        <v>0.0</v>
      </c>
      <c r="D1083" s="1">
        <v>0.0</v>
      </c>
      <c r="E1083" s="1">
        <v>0.0</v>
      </c>
      <c r="F1083" s="1">
        <v>0.0</v>
      </c>
      <c r="G1083" s="2">
        <v>0.0</v>
      </c>
      <c r="H1083" s="1" t="s">
        <v>214</v>
      </c>
      <c r="I1083" s="1" t="str">
        <f>IFERROR(__xludf.DUMMYFUNCTION("REGEXREPLACE(MID(H1083, SEARCH(""["", H1083) + 1, SEARCH(""]"", H1083) - SEARCH(""["", H1083) - 1), ""\[\]"","""")"),"Galen 1")</f>
        <v>Galen 1</v>
      </c>
      <c r="J1083" s="1">
        <v>0.0</v>
      </c>
      <c r="K1083" s="1">
        <v>0.0</v>
      </c>
    </row>
    <row r="1084">
      <c r="A1084" s="1">
        <v>2.0</v>
      </c>
      <c r="B1084" s="1">
        <v>8.0</v>
      </c>
      <c r="C1084" s="1">
        <v>0.0</v>
      </c>
      <c r="D1084" s="1">
        <v>0.0</v>
      </c>
      <c r="E1084" s="1">
        <v>0.0</v>
      </c>
      <c r="F1084" s="1">
        <v>0.0</v>
      </c>
      <c r="G1084" s="2">
        <v>0.0</v>
      </c>
      <c r="H1084" s="1" t="s">
        <v>217</v>
      </c>
      <c r="I1084" s="1" t="str">
        <f>IFERROR(__xludf.DUMMYFUNCTION("REGEXREPLACE(MID(H1084, SEARCH(""["", H1084) + 1, SEARCH(""]"", H1084) - SEARCH(""["", H1084) - 1), ""\[\]"","""")"),"Galen 1")</f>
        <v>Galen 1</v>
      </c>
      <c r="J1084" s="1">
        <v>0.0</v>
      </c>
      <c r="K1084" s="1">
        <v>0.0</v>
      </c>
    </row>
    <row r="1085">
      <c r="A1085" s="1">
        <v>1.0</v>
      </c>
      <c r="B1085" s="1">
        <v>4.0</v>
      </c>
      <c r="C1085" s="1">
        <v>1.0</v>
      </c>
      <c r="D1085" s="1">
        <v>-4.0</v>
      </c>
      <c r="E1085" s="1">
        <v>1.0</v>
      </c>
      <c r="F1085" s="1">
        <v>0.0</v>
      </c>
      <c r="G1085" s="2">
        <v>0.0</v>
      </c>
      <c r="H1085" s="1" t="s">
        <v>217</v>
      </c>
      <c r="I1085" s="1" t="str">
        <f>IFERROR(__xludf.DUMMYFUNCTION("REGEXREPLACE(MID(H1085, SEARCH(""["", H1085) + 1, SEARCH(""]"", H1085) - SEARCH(""["", H1085) - 1), ""\[\]"","""")"),"Galen 1")</f>
        <v>Galen 1</v>
      </c>
      <c r="J1085" s="1">
        <v>-4.0</v>
      </c>
      <c r="K1085" s="1">
        <v>1.0</v>
      </c>
    </row>
    <row r="1086">
      <c r="A1086" s="1">
        <v>3.0</v>
      </c>
      <c r="B1086" s="1">
        <v>12.0</v>
      </c>
      <c r="C1086" s="1">
        <v>6.0</v>
      </c>
      <c r="D1086" s="1">
        <v>5.33</v>
      </c>
      <c r="E1086" s="1">
        <v>0.33</v>
      </c>
      <c r="F1086" s="1">
        <v>0.0</v>
      </c>
      <c r="G1086" s="6">
        <v>0.833</v>
      </c>
      <c r="H1086" s="1" t="s">
        <v>105</v>
      </c>
      <c r="I1086" s="1" t="str">
        <f>IFERROR(__xludf.DUMMYFUNCTION("REGEXREPLACE(MID(H1086, SEARCH(""["", H1086) + 1, SEARCH(""]"", H1086) - SEARCH(""["", H1086) - 1), ""\[\]"","""")"),"Galen 1")</f>
        <v>Galen 1</v>
      </c>
      <c r="J1086" s="1">
        <v>16.0</v>
      </c>
      <c r="K1086" s="1">
        <v>1.0</v>
      </c>
    </row>
    <row r="1087">
      <c r="A1087" s="1">
        <v>1.0</v>
      </c>
      <c r="B1087" s="1">
        <v>4.0</v>
      </c>
      <c r="C1087" s="1">
        <v>0.0</v>
      </c>
      <c r="D1087" s="1">
        <v>0.0</v>
      </c>
      <c r="E1087" s="1">
        <v>0.0</v>
      </c>
      <c r="F1087" s="1">
        <v>0.0</v>
      </c>
      <c r="G1087" s="2">
        <v>0.0</v>
      </c>
      <c r="H1087" s="1" t="s">
        <v>105</v>
      </c>
      <c r="I1087" s="1" t="str">
        <f>IFERROR(__xludf.DUMMYFUNCTION("REGEXREPLACE(MID(H1087, SEARCH(""["", H1087) + 1, SEARCH(""]"", H1087) - SEARCH(""["", H1087) - 1), ""\[\]"","""")"),"Galen 1")</f>
        <v>Galen 1</v>
      </c>
      <c r="J1087" s="1">
        <v>0.0</v>
      </c>
      <c r="K1087" s="1">
        <v>0.0</v>
      </c>
    </row>
    <row r="1088">
      <c r="A1088" s="1">
        <v>1.0</v>
      </c>
      <c r="B1088" s="1">
        <v>4.0</v>
      </c>
      <c r="C1088" s="1">
        <v>1.0</v>
      </c>
      <c r="D1088" s="1">
        <v>4.0</v>
      </c>
      <c r="E1088" s="1">
        <v>0.0</v>
      </c>
      <c r="F1088" s="1">
        <v>0.0</v>
      </c>
      <c r="G1088" s="2">
        <v>1.0</v>
      </c>
      <c r="H1088" s="1" t="s">
        <v>105</v>
      </c>
      <c r="I1088" s="1" t="str">
        <f>IFERROR(__xludf.DUMMYFUNCTION("REGEXREPLACE(MID(H1088, SEARCH(""["", H1088) + 1, SEARCH(""]"", H1088) - SEARCH(""["", H1088) - 1), ""\[\]"","""")"),"Galen 1")</f>
        <v>Galen 1</v>
      </c>
      <c r="J1088" s="1">
        <v>4.0</v>
      </c>
      <c r="K1088" s="1">
        <v>0.0</v>
      </c>
    </row>
    <row r="1089">
      <c r="A1089" s="1">
        <v>1.0</v>
      </c>
      <c r="B1089" s="1">
        <v>4.0</v>
      </c>
      <c r="C1089" s="1">
        <v>0.0</v>
      </c>
      <c r="D1089" s="1">
        <v>0.0</v>
      </c>
      <c r="E1089" s="1">
        <v>0.0</v>
      </c>
      <c r="F1089" s="1">
        <v>0.0</v>
      </c>
      <c r="G1089" s="2">
        <v>0.0</v>
      </c>
      <c r="H1089" s="1" t="s">
        <v>219</v>
      </c>
      <c r="I1089" s="1" t="str">
        <f>IFERROR(__xludf.DUMMYFUNCTION("REGEXREPLACE(MID(H1089, SEARCH(""["", H1089) + 1, SEARCH(""]"", H1089) - SEARCH(""["", H1089) - 1), ""\[\]"","""")"),"Galen 1")</f>
        <v>Galen 1</v>
      </c>
      <c r="J1089" s="1">
        <v>0.0</v>
      </c>
      <c r="K1089" s="1">
        <v>0.0</v>
      </c>
    </row>
    <row r="1090">
      <c r="A1090" s="1">
        <v>1.0</v>
      </c>
      <c r="B1090" s="1">
        <v>4.0</v>
      </c>
      <c r="C1090" s="1">
        <v>1.0</v>
      </c>
      <c r="D1090" s="1">
        <v>4.0</v>
      </c>
      <c r="E1090" s="1">
        <v>0.0</v>
      </c>
      <c r="F1090" s="1">
        <v>0.0</v>
      </c>
      <c r="G1090" s="2">
        <v>1.0</v>
      </c>
      <c r="H1090" s="1" t="s">
        <v>220</v>
      </c>
      <c r="I1090" s="1" t="str">
        <f>IFERROR(__xludf.DUMMYFUNCTION("REGEXREPLACE(MID(H1090, SEARCH(""["", H1090) + 1, SEARCH(""]"", H1090) - SEARCH(""["", H1090) - 1), ""\[\]"","""")"),"Galen 1")</f>
        <v>Galen 1</v>
      </c>
      <c r="J1090" s="1">
        <v>4.0</v>
      </c>
      <c r="K1090" s="1">
        <v>0.0</v>
      </c>
    </row>
    <row r="1091">
      <c r="A1091" s="1">
        <v>2.0</v>
      </c>
      <c r="B1091" s="1">
        <v>8.0</v>
      </c>
      <c r="C1091" s="1">
        <v>4.0</v>
      </c>
      <c r="D1091" s="1">
        <v>4.0</v>
      </c>
      <c r="E1091" s="1">
        <v>0.5</v>
      </c>
      <c r="F1091" s="1">
        <v>0.0</v>
      </c>
      <c r="G1091" s="2">
        <v>0.75</v>
      </c>
      <c r="H1091" s="1" t="s">
        <v>220</v>
      </c>
      <c r="I1091" s="1" t="str">
        <f>IFERROR(__xludf.DUMMYFUNCTION("REGEXREPLACE(MID(H1091, SEARCH(""["", H1091) + 1, SEARCH(""]"", H1091) - SEARCH(""["", H1091) - 1), ""\[\]"","""")"),"Galen 1")</f>
        <v>Galen 1</v>
      </c>
      <c r="J1091" s="1">
        <v>8.0</v>
      </c>
      <c r="K1091" s="1">
        <v>1.0</v>
      </c>
    </row>
    <row r="1092">
      <c r="A1092" s="1">
        <v>1.0</v>
      </c>
      <c r="B1092" s="1">
        <v>4.0</v>
      </c>
      <c r="C1092" s="1">
        <v>2.0</v>
      </c>
      <c r="D1092" s="1">
        <v>8.0</v>
      </c>
      <c r="E1092" s="1">
        <v>0.0</v>
      </c>
      <c r="F1092" s="1">
        <v>0.0</v>
      </c>
      <c r="G1092" s="2">
        <v>1.0</v>
      </c>
      <c r="H1092" s="1" t="s">
        <v>220</v>
      </c>
      <c r="I1092" s="1" t="str">
        <f>IFERROR(__xludf.DUMMYFUNCTION("REGEXREPLACE(MID(H1092, SEARCH(""["", H1092) + 1, SEARCH(""]"", H1092) - SEARCH(""["", H1092) - 1), ""\[\]"","""")"),"Galen 1")</f>
        <v>Galen 1</v>
      </c>
      <c r="J1092" s="1">
        <v>8.0</v>
      </c>
      <c r="K1092" s="1">
        <v>0.0</v>
      </c>
    </row>
    <row r="1093">
      <c r="A1093" s="1">
        <v>1.0</v>
      </c>
      <c r="B1093" s="1">
        <v>4.0</v>
      </c>
      <c r="C1093" s="1">
        <v>3.0</v>
      </c>
      <c r="D1093" s="1">
        <v>-4.0</v>
      </c>
      <c r="E1093" s="1">
        <v>1.0</v>
      </c>
      <c r="F1093" s="1">
        <v>0.0</v>
      </c>
      <c r="G1093" s="2">
        <v>0.0</v>
      </c>
      <c r="H1093" s="1" t="s">
        <v>220</v>
      </c>
      <c r="I1093" s="1" t="str">
        <f>IFERROR(__xludf.DUMMYFUNCTION("REGEXREPLACE(MID(H1093, SEARCH(""["", H1093) + 1, SEARCH(""]"", H1093) - SEARCH(""["", H1093) - 1), ""\[\]"","""")"),"Galen 1")</f>
        <v>Galen 1</v>
      </c>
      <c r="J1093" s="1">
        <v>-4.0</v>
      </c>
      <c r="K1093" s="1">
        <v>1.0</v>
      </c>
    </row>
    <row r="1094">
      <c r="A1094" s="1">
        <v>4.0</v>
      </c>
      <c r="B1094" s="1">
        <v>15.0</v>
      </c>
      <c r="C1094" s="1">
        <v>2.0</v>
      </c>
      <c r="D1094" s="1">
        <v>0.0</v>
      </c>
      <c r="E1094" s="1">
        <v>0.25</v>
      </c>
      <c r="F1094" s="1">
        <v>0.0</v>
      </c>
      <c r="G1094" s="2">
        <v>0.5</v>
      </c>
      <c r="H1094" s="1" t="s">
        <v>222</v>
      </c>
      <c r="I1094" s="1" t="str">
        <f>IFERROR(__xludf.DUMMYFUNCTION("REGEXREPLACE(MID(H1094, SEARCH(""["", H1094) + 1, SEARCH(""]"", H1094) - SEARCH(""["", H1094) - 1), ""\[\]"","""")"),"Galen 2")</f>
        <v>Galen 2</v>
      </c>
      <c r="J1094" s="1">
        <v>0.0</v>
      </c>
      <c r="K1094" s="1">
        <v>1.0</v>
      </c>
    </row>
    <row r="1095">
      <c r="A1095" s="1">
        <v>1.0</v>
      </c>
      <c r="B1095" s="1">
        <v>4.0</v>
      </c>
      <c r="C1095" s="1">
        <v>2.0</v>
      </c>
      <c r="D1095" s="1">
        <v>4.0</v>
      </c>
      <c r="E1095" s="1">
        <v>0.0</v>
      </c>
      <c r="F1095" s="1">
        <v>0.0</v>
      </c>
      <c r="G1095" s="2">
        <v>0.5</v>
      </c>
      <c r="H1095" s="1" t="s">
        <v>222</v>
      </c>
      <c r="I1095" s="1" t="str">
        <f>IFERROR(__xludf.DUMMYFUNCTION("REGEXREPLACE(MID(H1095, SEARCH(""["", H1095) + 1, SEARCH(""]"", H1095) - SEARCH(""["", H1095) - 1), ""\[\]"","""")"),"Galen 2")</f>
        <v>Galen 2</v>
      </c>
      <c r="J1095" s="1">
        <v>4.0</v>
      </c>
      <c r="K1095" s="1">
        <v>0.0</v>
      </c>
    </row>
    <row r="1096">
      <c r="A1096" s="1">
        <v>2.0</v>
      </c>
      <c r="B1096" s="1">
        <v>8.0</v>
      </c>
      <c r="C1096" s="1">
        <v>2.0</v>
      </c>
      <c r="D1096" s="1">
        <v>4.0</v>
      </c>
      <c r="E1096" s="1">
        <v>0.0</v>
      </c>
      <c r="F1096" s="1">
        <v>0.0</v>
      </c>
      <c r="G1096" s="2">
        <v>1.0</v>
      </c>
      <c r="H1096" s="1" t="s">
        <v>224</v>
      </c>
      <c r="I1096" s="1" t="str">
        <f>IFERROR(__xludf.DUMMYFUNCTION("REGEXREPLACE(MID(H1096, SEARCH(""["", H1096) + 1, SEARCH(""]"", H1096) - SEARCH(""["", H1096) - 1), ""\[\]"","""")"),"Galen 2")</f>
        <v>Galen 2</v>
      </c>
      <c r="J1096" s="1">
        <v>8.0</v>
      </c>
      <c r="K1096" s="1">
        <v>0.0</v>
      </c>
    </row>
    <row r="1097">
      <c r="A1097" s="1">
        <v>5.0</v>
      </c>
      <c r="B1097" s="1">
        <v>19.0</v>
      </c>
      <c r="C1097" s="1">
        <v>9.0</v>
      </c>
      <c r="D1097" s="1">
        <v>5.6</v>
      </c>
      <c r="E1097" s="1">
        <v>0.2</v>
      </c>
      <c r="F1097" s="1">
        <v>0.0</v>
      </c>
      <c r="G1097" s="6">
        <v>0.889</v>
      </c>
      <c r="H1097" s="1" t="s">
        <v>47</v>
      </c>
      <c r="I1097" s="1" t="str">
        <f>IFERROR(__xludf.DUMMYFUNCTION("REGEXREPLACE(MID(H1097, SEARCH(""["", H1097) + 1, SEARCH(""]"", H1097) - SEARCH(""["", H1097) - 1), ""\[\]"","""")"),"Galen 2")</f>
        <v>Galen 2</v>
      </c>
      <c r="J1097" s="1">
        <v>28.0</v>
      </c>
      <c r="K1097" s="1">
        <v>1.0</v>
      </c>
    </row>
    <row r="1098">
      <c r="A1098" s="1">
        <v>1.0</v>
      </c>
      <c r="B1098" s="1">
        <v>3.0</v>
      </c>
      <c r="C1098" s="1">
        <v>1.0</v>
      </c>
      <c r="D1098" s="1">
        <v>4.0</v>
      </c>
      <c r="E1098" s="1">
        <v>0.0</v>
      </c>
      <c r="F1098" s="1">
        <v>0.0</v>
      </c>
      <c r="G1098" s="2">
        <v>1.0</v>
      </c>
      <c r="H1098" s="1" t="s">
        <v>225</v>
      </c>
      <c r="I1098" s="1" t="str">
        <f>IFERROR(__xludf.DUMMYFUNCTION("REGEXREPLACE(MID(H1098, SEARCH(""["", H1098) + 1, SEARCH(""]"", H1098) - SEARCH(""["", H1098) - 1), ""\[\]"","""")"),"Galen 2")</f>
        <v>Galen 2</v>
      </c>
      <c r="J1098" s="1">
        <v>4.0</v>
      </c>
      <c r="K1098" s="1">
        <v>0.0</v>
      </c>
    </row>
    <row r="1099">
      <c r="A1099" s="1">
        <v>1.0</v>
      </c>
      <c r="B1099" s="1">
        <v>4.0</v>
      </c>
      <c r="C1099" s="1">
        <v>0.0</v>
      </c>
      <c r="D1099" s="1">
        <v>0.0</v>
      </c>
      <c r="E1099" s="1">
        <v>0.0</v>
      </c>
      <c r="F1099" s="1">
        <v>0.0</v>
      </c>
      <c r="G1099" s="2">
        <v>0.0</v>
      </c>
      <c r="H1099" s="1" t="s">
        <v>226</v>
      </c>
      <c r="I1099" s="1" t="str">
        <f>IFERROR(__xludf.DUMMYFUNCTION("REGEXREPLACE(MID(H1099, SEARCH(""["", H1099) + 1, SEARCH(""]"", H1099) - SEARCH(""["", H1099) - 1), ""\[\]"","""")"),"Green Hope HS")</f>
        <v>Green Hope HS</v>
      </c>
      <c r="J1099" s="1">
        <v>0.0</v>
      </c>
      <c r="K1099" s="1">
        <v>0.0</v>
      </c>
    </row>
    <row r="1100">
      <c r="A1100" s="1">
        <v>3.0</v>
      </c>
      <c r="B1100" s="1">
        <v>11.0</v>
      </c>
      <c r="C1100" s="1">
        <v>0.0</v>
      </c>
      <c r="D1100" s="1">
        <v>0.0</v>
      </c>
      <c r="E1100" s="1">
        <v>0.0</v>
      </c>
      <c r="F1100" s="1">
        <v>0.0</v>
      </c>
      <c r="G1100" s="2">
        <v>0.0</v>
      </c>
      <c r="H1100" s="1" t="s">
        <v>226</v>
      </c>
      <c r="I1100" s="1" t="str">
        <f>IFERROR(__xludf.DUMMYFUNCTION("REGEXREPLACE(MID(H1100, SEARCH(""["", H1100) + 1, SEARCH(""]"", H1100) - SEARCH(""["", H1100) - 1), ""\[\]"","""")"),"Green Hope HS")</f>
        <v>Green Hope HS</v>
      </c>
      <c r="J1100" s="1">
        <v>0.0</v>
      </c>
      <c r="K1100" s="1">
        <v>0.0</v>
      </c>
    </row>
    <row r="1101">
      <c r="A1101" s="1">
        <v>1.0</v>
      </c>
      <c r="B1101" s="1">
        <v>4.0</v>
      </c>
      <c r="C1101" s="1">
        <v>2.0</v>
      </c>
      <c r="D1101" s="1">
        <v>4.0</v>
      </c>
      <c r="E1101" s="1">
        <v>0.0</v>
      </c>
      <c r="F1101" s="1">
        <v>0.0</v>
      </c>
      <c r="G1101" s="2">
        <v>0.5</v>
      </c>
      <c r="H1101" s="1" t="s">
        <v>227</v>
      </c>
      <c r="I1101" s="1" t="str">
        <f>IFERROR(__xludf.DUMMYFUNCTION("REGEXREPLACE(MID(H1101, SEARCH(""["", H1101) + 1, SEARCH(""]"", H1101) - SEARCH(""["", H1101) - 1), ""\[\]"","""")"),"Green Hope HS")</f>
        <v>Green Hope HS</v>
      </c>
      <c r="J1101" s="1">
        <v>4.0</v>
      </c>
      <c r="K1101" s="1">
        <v>0.0</v>
      </c>
    </row>
    <row r="1102">
      <c r="A1102" s="1">
        <v>1.0</v>
      </c>
      <c r="B1102" s="1">
        <v>4.0</v>
      </c>
      <c r="C1102" s="1">
        <v>0.0</v>
      </c>
      <c r="D1102" s="1">
        <v>0.0</v>
      </c>
      <c r="E1102" s="1">
        <v>0.0</v>
      </c>
      <c r="F1102" s="1">
        <v>0.0</v>
      </c>
      <c r="G1102" s="2">
        <v>0.0</v>
      </c>
      <c r="H1102" s="1" t="s">
        <v>227</v>
      </c>
      <c r="I1102" s="1" t="str">
        <f>IFERROR(__xludf.DUMMYFUNCTION("REGEXREPLACE(MID(H1102, SEARCH(""["", H1102) + 1, SEARCH(""]"", H1102) - SEARCH(""["", H1102) - 1), ""\[\]"","""")"),"Green Hope HS")</f>
        <v>Green Hope HS</v>
      </c>
      <c r="J1102" s="1">
        <v>0.0</v>
      </c>
      <c r="K1102" s="1">
        <v>0.0</v>
      </c>
    </row>
    <row r="1103">
      <c r="A1103" s="1">
        <v>3.0</v>
      </c>
      <c r="B1103" s="1">
        <v>11.0</v>
      </c>
      <c r="C1103" s="1">
        <v>6.0</v>
      </c>
      <c r="D1103" s="1">
        <v>2.67</v>
      </c>
      <c r="E1103" s="1">
        <v>0.0</v>
      </c>
      <c r="F1103" s="1">
        <v>0.0</v>
      </c>
      <c r="G1103" s="6">
        <v>0.333</v>
      </c>
      <c r="H1103" s="1" t="s">
        <v>227</v>
      </c>
      <c r="I1103" s="1" t="str">
        <f>IFERROR(__xludf.DUMMYFUNCTION("REGEXREPLACE(MID(H1103, SEARCH(""["", H1103) + 1, SEARCH(""]"", H1103) - SEARCH(""["", H1103) - 1), ""\[\]"","""")"),"Green Hope HS")</f>
        <v>Green Hope HS</v>
      </c>
      <c r="J1103" s="1">
        <v>8.0</v>
      </c>
      <c r="K1103" s="1">
        <v>0.0</v>
      </c>
    </row>
    <row r="1104">
      <c r="A1104" s="1">
        <v>1.0</v>
      </c>
      <c r="B1104" s="1">
        <v>4.0</v>
      </c>
      <c r="C1104" s="1">
        <v>0.0</v>
      </c>
      <c r="D1104" s="1">
        <v>0.0</v>
      </c>
      <c r="E1104" s="1">
        <v>0.0</v>
      </c>
      <c r="F1104" s="1">
        <v>0.0</v>
      </c>
      <c r="G1104" s="2">
        <v>0.0</v>
      </c>
      <c r="H1104" s="1" t="s">
        <v>229</v>
      </c>
      <c r="I1104" s="1" t="str">
        <f>IFERROR(__xludf.DUMMYFUNCTION("REGEXREPLACE(MID(H1104, SEARCH(""["", H1104) + 1, SEARCH(""]"", H1104) - SEARCH(""["", H1104) - 1), ""\[\]"","""")"),"Green Hope HS")</f>
        <v>Green Hope HS</v>
      </c>
      <c r="J1104" s="1">
        <v>0.0</v>
      </c>
      <c r="K1104" s="1">
        <v>0.0</v>
      </c>
    </row>
    <row r="1105">
      <c r="A1105" s="1">
        <v>1.0</v>
      </c>
      <c r="B1105" s="1">
        <v>4.0</v>
      </c>
      <c r="C1105" s="1">
        <v>0.0</v>
      </c>
      <c r="D1105" s="1">
        <v>0.0</v>
      </c>
      <c r="E1105" s="1">
        <v>0.0</v>
      </c>
      <c r="F1105" s="1">
        <v>0.0</v>
      </c>
      <c r="G1105" s="2">
        <v>0.0</v>
      </c>
      <c r="H1105" s="1" t="s">
        <v>229</v>
      </c>
      <c r="I1105" s="1" t="str">
        <f>IFERROR(__xludf.DUMMYFUNCTION("REGEXREPLACE(MID(H1105, SEARCH(""["", H1105) + 1, SEARCH(""]"", H1105) - SEARCH(""["", H1105) - 1), ""\[\]"","""")"),"Green Hope HS")</f>
        <v>Green Hope HS</v>
      </c>
      <c r="J1105" s="1">
        <v>0.0</v>
      </c>
      <c r="K1105" s="1">
        <v>0.0</v>
      </c>
    </row>
    <row r="1106">
      <c r="A1106" s="1">
        <v>2.0</v>
      </c>
      <c r="B1106" s="1">
        <v>7.0</v>
      </c>
      <c r="C1106" s="1">
        <v>0.0</v>
      </c>
      <c r="D1106" s="1">
        <v>0.0</v>
      </c>
      <c r="E1106" s="1">
        <v>0.0</v>
      </c>
      <c r="F1106" s="1">
        <v>0.0</v>
      </c>
      <c r="G1106" s="2">
        <v>0.0</v>
      </c>
      <c r="H1106" s="1" t="s">
        <v>229</v>
      </c>
      <c r="I1106" s="1" t="str">
        <f>IFERROR(__xludf.DUMMYFUNCTION("REGEXREPLACE(MID(H1106, SEARCH(""["", H1106) + 1, SEARCH(""]"", H1106) - SEARCH(""["", H1106) - 1), ""\[\]"","""")"),"Green Hope HS")</f>
        <v>Green Hope HS</v>
      </c>
      <c r="J1106" s="1">
        <v>0.0</v>
      </c>
      <c r="K1106" s="1">
        <v>0.0</v>
      </c>
    </row>
    <row r="1107">
      <c r="A1107" s="1">
        <v>1.0</v>
      </c>
      <c r="B1107" s="1">
        <v>4.0</v>
      </c>
      <c r="C1107" s="1">
        <v>0.0</v>
      </c>
      <c r="D1107" s="1">
        <v>0.0</v>
      </c>
      <c r="E1107" s="1">
        <v>0.0</v>
      </c>
      <c r="F1107" s="1">
        <v>0.0</v>
      </c>
      <c r="G1107" s="2">
        <v>0.0</v>
      </c>
      <c r="H1107" s="1" t="s">
        <v>232</v>
      </c>
      <c r="I1107" s="1" t="str">
        <f>IFERROR(__xludf.DUMMYFUNCTION("REGEXREPLACE(MID(H1107, SEARCH(""["", H1107) + 1, SEARCH(""]"", H1107) - SEARCH(""["", H1107) - 1), ""\[\]"","""")"),"Green Hope HS")</f>
        <v>Green Hope HS</v>
      </c>
      <c r="J1107" s="1">
        <v>0.0</v>
      </c>
      <c r="K1107" s="1">
        <v>0.0</v>
      </c>
    </row>
    <row r="1108">
      <c r="A1108" s="1">
        <v>1.0</v>
      </c>
      <c r="B1108" s="1">
        <v>4.0</v>
      </c>
      <c r="C1108" s="1">
        <v>0.0</v>
      </c>
      <c r="D1108" s="1">
        <v>0.0</v>
      </c>
      <c r="E1108" s="1">
        <v>0.0</v>
      </c>
      <c r="F1108" s="1">
        <v>0.0</v>
      </c>
      <c r="G1108" s="2">
        <v>0.0</v>
      </c>
      <c r="H1108" s="1" t="s">
        <v>232</v>
      </c>
      <c r="I1108" s="1" t="str">
        <f>IFERROR(__xludf.DUMMYFUNCTION("REGEXREPLACE(MID(H1108, SEARCH(""["", H1108) + 1, SEARCH(""]"", H1108) - SEARCH(""["", H1108) - 1), ""\[\]"","""")"),"Green Hope HS")</f>
        <v>Green Hope HS</v>
      </c>
      <c r="J1108" s="1">
        <v>0.0</v>
      </c>
      <c r="K1108" s="1">
        <v>0.0</v>
      </c>
    </row>
    <row r="1109">
      <c r="A1109" s="1">
        <v>3.0</v>
      </c>
      <c r="B1109" s="1">
        <v>11.0</v>
      </c>
      <c r="C1109" s="1">
        <v>2.0</v>
      </c>
      <c r="D1109" s="1">
        <v>0.0</v>
      </c>
      <c r="E1109" s="1">
        <v>0.33</v>
      </c>
      <c r="F1109" s="1">
        <v>0.0</v>
      </c>
      <c r="G1109" s="2">
        <v>0.5</v>
      </c>
      <c r="H1109" s="1" t="s">
        <v>232</v>
      </c>
      <c r="I1109" s="1" t="str">
        <f>IFERROR(__xludf.DUMMYFUNCTION("REGEXREPLACE(MID(H1109, SEARCH(""["", H1109) + 1, SEARCH(""]"", H1109) - SEARCH(""["", H1109) - 1), ""\[\]"","""")"),"Green Hope HS")</f>
        <v>Green Hope HS</v>
      </c>
      <c r="J1109" s="1">
        <v>0.0</v>
      </c>
      <c r="K1109" s="1">
        <v>1.0</v>
      </c>
    </row>
    <row r="1110">
      <c r="A1110" s="1">
        <v>1.0</v>
      </c>
      <c r="B1110" s="1">
        <v>4.0</v>
      </c>
      <c r="C1110" s="1">
        <v>1.0</v>
      </c>
      <c r="D1110" s="1">
        <v>4.0</v>
      </c>
      <c r="E1110" s="1">
        <v>0.0</v>
      </c>
      <c r="F1110" s="1">
        <v>0.0</v>
      </c>
      <c r="G1110" s="2">
        <v>1.0</v>
      </c>
      <c r="H1110" s="1" t="s">
        <v>233</v>
      </c>
      <c r="I1110" s="1" t="str">
        <f>IFERROR(__xludf.DUMMYFUNCTION("REGEXREPLACE(MID(H1110, SEARCH(""["", H1110) + 1, SEARCH(""]"", H1110) - SEARCH(""["", H1110) - 1), ""\[\]"","""")"),"Green Hope HS")</f>
        <v>Green Hope HS</v>
      </c>
      <c r="J1110" s="1">
        <v>4.0</v>
      </c>
      <c r="K1110" s="1">
        <v>0.0</v>
      </c>
    </row>
    <row r="1111">
      <c r="A1111" s="1">
        <v>1.0</v>
      </c>
      <c r="B1111" s="1">
        <v>4.0</v>
      </c>
      <c r="C1111" s="1">
        <v>0.0</v>
      </c>
      <c r="D1111" s="1">
        <v>0.0</v>
      </c>
      <c r="E1111" s="1">
        <v>0.0</v>
      </c>
      <c r="F1111" s="1">
        <v>0.0</v>
      </c>
      <c r="G1111" s="2">
        <v>0.0</v>
      </c>
      <c r="H1111" s="1" t="s">
        <v>233</v>
      </c>
      <c r="I1111" s="1" t="str">
        <f>IFERROR(__xludf.DUMMYFUNCTION("REGEXREPLACE(MID(H1111, SEARCH(""["", H1111) + 1, SEARCH(""]"", H1111) - SEARCH(""["", H1111) - 1), ""\[\]"","""")"),"Green Hope HS")</f>
        <v>Green Hope HS</v>
      </c>
      <c r="J1111" s="1">
        <v>0.0</v>
      </c>
      <c r="K1111" s="1">
        <v>0.0</v>
      </c>
    </row>
    <row r="1112">
      <c r="A1112" s="1">
        <v>1.0</v>
      </c>
      <c r="B1112" s="1">
        <v>4.0</v>
      </c>
      <c r="C1112" s="1">
        <v>0.0</v>
      </c>
      <c r="D1112" s="1">
        <v>0.0</v>
      </c>
      <c r="E1112" s="1">
        <v>0.0</v>
      </c>
      <c r="F1112" s="1">
        <v>0.0</v>
      </c>
      <c r="G1112" s="2">
        <v>0.0</v>
      </c>
      <c r="H1112" s="1" t="s">
        <v>233</v>
      </c>
      <c r="I1112" s="1" t="str">
        <f>IFERROR(__xludf.DUMMYFUNCTION("REGEXREPLACE(MID(H1112, SEARCH(""["", H1112) + 1, SEARCH(""]"", H1112) - SEARCH(""["", H1112) - 1), ""\[\]"","""")"),"Green Hope HS")</f>
        <v>Green Hope HS</v>
      </c>
      <c r="J1112" s="1">
        <v>0.0</v>
      </c>
      <c r="K1112" s="1">
        <v>0.0</v>
      </c>
    </row>
    <row r="1113">
      <c r="A1113" s="1">
        <v>1.0</v>
      </c>
      <c r="B1113" s="1">
        <v>4.0</v>
      </c>
      <c r="C1113" s="1">
        <v>0.0</v>
      </c>
      <c r="D1113" s="1">
        <v>0.0</v>
      </c>
      <c r="E1113" s="1">
        <v>0.0</v>
      </c>
      <c r="F1113" s="1">
        <v>0.0</v>
      </c>
      <c r="G1113" s="2">
        <v>0.0</v>
      </c>
      <c r="H1113" s="1" t="s">
        <v>233</v>
      </c>
      <c r="I1113" s="1" t="str">
        <f>IFERROR(__xludf.DUMMYFUNCTION("REGEXREPLACE(MID(H1113, SEARCH(""["", H1113) + 1, SEARCH(""]"", H1113) - SEARCH(""["", H1113) - 1), ""\[\]"","""")"),"Green Hope HS")</f>
        <v>Green Hope HS</v>
      </c>
      <c r="J1113" s="1">
        <v>0.0</v>
      </c>
      <c r="K1113" s="1">
        <v>0.0</v>
      </c>
    </row>
    <row r="1114">
      <c r="A1114" s="1">
        <v>2.0</v>
      </c>
      <c r="B1114" s="1">
        <v>8.0</v>
      </c>
      <c r="C1114" s="1">
        <v>1.0</v>
      </c>
      <c r="D1114" s="1">
        <v>2.0</v>
      </c>
      <c r="E1114" s="1">
        <v>0.0</v>
      </c>
      <c r="F1114" s="1">
        <v>0.0</v>
      </c>
      <c r="G1114" s="2">
        <v>1.0</v>
      </c>
      <c r="H1114" s="1" t="s">
        <v>234</v>
      </c>
      <c r="I1114" s="1" t="str">
        <f>IFERROR(__xludf.DUMMYFUNCTION("REGEXREPLACE(MID(H1114, SEARCH(""["", H1114) + 1, SEARCH(""]"", H1114) - SEARCH(""["", H1114) - 1), ""\[\]"","""")"),"Gunn Varsity")</f>
        <v>Gunn Varsity</v>
      </c>
      <c r="J1114" s="1">
        <v>4.0</v>
      </c>
      <c r="K1114" s="1">
        <v>0.0</v>
      </c>
    </row>
    <row r="1115">
      <c r="A1115" s="1">
        <v>1.0</v>
      </c>
      <c r="B1115" s="1">
        <v>4.0</v>
      </c>
      <c r="C1115" s="1">
        <v>2.0</v>
      </c>
      <c r="D1115" s="1">
        <v>-4.0</v>
      </c>
      <c r="E1115" s="1">
        <v>1.0</v>
      </c>
      <c r="F1115" s="1">
        <v>0.0</v>
      </c>
      <c r="G1115" s="2">
        <v>0.0</v>
      </c>
      <c r="H1115" s="1" t="s">
        <v>153</v>
      </c>
      <c r="I1115" s="1" t="str">
        <f>IFERROR(__xludf.DUMMYFUNCTION("REGEXREPLACE(MID(H1115, SEARCH(""["", H1115) + 1, SEARCH(""]"", H1115) - SEARCH(""["", H1115) - 1), ""\[\]"","""")"),"Gunn Varsity")</f>
        <v>Gunn Varsity</v>
      </c>
      <c r="J1115" s="1">
        <v>-4.0</v>
      </c>
      <c r="K1115" s="1">
        <v>1.0</v>
      </c>
    </row>
    <row r="1116">
      <c r="A1116" s="1">
        <v>4.0</v>
      </c>
      <c r="B1116" s="1">
        <v>16.0</v>
      </c>
      <c r="C1116" s="1">
        <v>0.0</v>
      </c>
      <c r="D1116" s="1">
        <v>0.0</v>
      </c>
      <c r="E1116" s="1">
        <v>0.0</v>
      </c>
      <c r="F1116" s="1">
        <v>0.0</v>
      </c>
      <c r="G1116" s="2">
        <v>0.0</v>
      </c>
      <c r="H1116" s="1" t="s">
        <v>235</v>
      </c>
      <c r="I1116" s="1" t="str">
        <f>IFERROR(__xludf.DUMMYFUNCTION("REGEXREPLACE(MID(H1116, SEARCH(""["", H1116) + 1, SEARCH(""]"", H1116) - SEARCH(""["", H1116) - 1), ""\[\]"","""")"),"Gunn Varsity")</f>
        <v>Gunn Varsity</v>
      </c>
      <c r="J1116" s="1">
        <v>0.0</v>
      </c>
      <c r="K1116" s="1">
        <v>0.0</v>
      </c>
    </row>
    <row r="1117">
      <c r="A1117" s="1">
        <v>4.0</v>
      </c>
      <c r="B1117" s="1">
        <v>16.0</v>
      </c>
      <c r="C1117" s="1">
        <v>4.0</v>
      </c>
      <c r="D1117" s="1">
        <v>2.0</v>
      </c>
      <c r="E1117" s="1">
        <v>0.0</v>
      </c>
      <c r="F1117" s="1">
        <v>0.0</v>
      </c>
      <c r="G1117" s="2">
        <v>0.5</v>
      </c>
      <c r="H1117" s="1" t="s">
        <v>202</v>
      </c>
      <c r="I1117" s="1" t="str">
        <f>IFERROR(__xludf.DUMMYFUNCTION("REGEXREPLACE(MID(H1117, SEARCH(""["", H1117) + 1, SEARCH(""]"", H1117) - SEARCH(""["", H1117) - 1), ""\[\]"","""")"),"Gunn Varsity")</f>
        <v>Gunn Varsity</v>
      </c>
      <c r="J1117" s="1">
        <v>8.0</v>
      </c>
      <c r="K1117" s="1">
        <v>0.0</v>
      </c>
    </row>
    <row r="1118">
      <c r="A1118" s="1">
        <v>1.0</v>
      </c>
      <c r="B1118" s="1">
        <v>4.0</v>
      </c>
      <c r="C1118" s="1">
        <v>2.0</v>
      </c>
      <c r="D1118" s="1">
        <v>8.0</v>
      </c>
      <c r="E1118" s="1">
        <v>0.0</v>
      </c>
      <c r="F1118" s="1">
        <v>0.0</v>
      </c>
      <c r="G1118" s="2">
        <v>1.0</v>
      </c>
      <c r="H1118" s="1" t="s">
        <v>202</v>
      </c>
      <c r="I1118" s="1" t="str">
        <f>IFERROR(__xludf.DUMMYFUNCTION("REGEXREPLACE(MID(H1118, SEARCH(""["", H1118) + 1, SEARCH(""]"", H1118) - SEARCH(""["", H1118) - 1), ""\[\]"","""")"),"Gunn Varsity")</f>
        <v>Gunn Varsity</v>
      </c>
      <c r="J1118" s="1">
        <v>8.0</v>
      </c>
      <c r="K1118" s="1">
        <v>0.0</v>
      </c>
    </row>
    <row r="1119">
      <c r="A1119" s="1">
        <v>3.0</v>
      </c>
      <c r="B1119" s="1">
        <v>12.0</v>
      </c>
      <c r="C1119" s="1">
        <v>5.0</v>
      </c>
      <c r="D1119" s="1">
        <v>2.67</v>
      </c>
      <c r="E1119" s="1">
        <v>0.33</v>
      </c>
      <c r="F1119" s="1">
        <v>0.0</v>
      </c>
      <c r="G1119" s="2">
        <v>0.6</v>
      </c>
      <c r="H1119" s="1" t="s">
        <v>135</v>
      </c>
      <c r="I1119" s="1" t="str">
        <f>IFERROR(__xludf.DUMMYFUNCTION("REGEXREPLACE(MID(H1119, SEARCH(""["", H1119) + 1, SEARCH(""]"", H1119) - SEARCH(""["", H1119) - 1), ""\[\]"","""")"),"Gunn Varsity")</f>
        <v>Gunn Varsity</v>
      </c>
      <c r="J1119" s="1">
        <v>8.0</v>
      </c>
      <c r="K1119" s="1">
        <v>1.0</v>
      </c>
    </row>
    <row r="1120">
      <c r="A1120" s="1">
        <v>1.0</v>
      </c>
      <c r="B1120" s="1">
        <v>4.0</v>
      </c>
      <c r="C1120" s="1">
        <v>1.0</v>
      </c>
      <c r="D1120" s="1">
        <v>4.0</v>
      </c>
      <c r="E1120" s="1">
        <v>0.0</v>
      </c>
      <c r="F1120" s="1">
        <v>0.0</v>
      </c>
      <c r="G1120" s="2">
        <v>1.0</v>
      </c>
      <c r="H1120" s="1" t="s">
        <v>135</v>
      </c>
      <c r="I1120" s="1" t="str">
        <f>IFERROR(__xludf.DUMMYFUNCTION("REGEXREPLACE(MID(H1120, SEARCH(""["", H1120) + 1, SEARCH(""]"", H1120) - SEARCH(""["", H1120) - 1), ""\[\]"","""")"),"Gunn Varsity")</f>
        <v>Gunn Varsity</v>
      </c>
      <c r="J1120" s="1">
        <v>4.0</v>
      </c>
      <c r="K1120" s="1">
        <v>0.0</v>
      </c>
    </row>
    <row r="1121">
      <c r="A1121" s="1">
        <v>1.0</v>
      </c>
      <c r="B1121" s="1">
        <v>4.0</v>
      </c>
      <c r="C1121" s="1">
        <v>0.0</v>
      </c>
      <c r="D1121" s="1">
        <v>0.0</v>
      </c>
      <c r="E1121" s="1">
        <v>0.0</v>
      </c>
      <c r="F1121" s="1">
        <v>0.0</v>
      </c>
      <c r="G1121" s="2">
        <v>0.0</v>
      </c>
      <c r="H1121" s="1" t="s">
        <v>236</v>
      </c>
      <c r="I1121" s="1" t="str">
        <f>IFERROR(__xludf.DUMMYFUNCTION("REGEXREPLACE(MID(H1121, SEARCH(""["", H1121) + 1, SEARCH(""]"", H1121) - SEARCH(""["", H1121) - 1), ""\[\]"","""")"),"Harvard-Westlake")</f>
        <v>Harvard-Westlake</v>
      </c>
      <c r="J1121" s="1">
        <v>0.0</v>
      </c>
      <c r="K1121" s="1">
        <v>0.0</v>
      </c>
    </row>
    <row r="1122">
      <c r="A1122" s="1">
        <v>1.0</v>
      </c>
      <c r="B1122" s="1">
        <v>4.0</v>
      </c>
      <c r="C1122" s="1">
        <v>0.0</v>
      </c>
      <c r="D1122" s="1">
        <v>0.0</v>
      </c>
      <c r="E1122" s="1">
        <v>0.0</v>
      </c>
      <c r="F1122" s="1">
        <v>0.0</v>
      </c>
      <c r="G1122" s="2">
        <v>0.0</v>
      </c>
      <c r="H1122" s="1" t="s">
        <v>236</v>
      </c>
      <c r="I1122" s="1" t="str">
        <f>IFERROR(__xludf.DUMMYFUNCTION("REGEXREPLACE(MID(H1122, SEARCH(""["", H1122) + 1, SEARCH(""]"", H1122) - SEARCH(""["", H1122) - 1), ""\[\]"","""")"),"Harvard-Westlake")</f>
        <v>Harvard-Westlake</v>
      </c>
      <c r="J1122" s="1">
        <v>0.0</v>
      </c>
      <c r="K1122" s="1">
        <v>0.0</v>
      </c>
    </row>
    <row r="1123">
      <c r="A1123" s="1">
        <v>1.0</v>
      </c>
      <c r="B1123" s="1">
        <v>4.0</v>
      </c>
      <c r="C1123" s="1">
        <v>0.0</v>
      </c>
      <c r="D1123" s="1">
        <v>0.0</v>
      </c>
      <c r="E1123" s="1">
        <v>0.0</v>
      </c>
      <c r="F1123" s="1">
        <v>0.0</v>
      </c>
      <c r="G1123" s="2">
        <v>0.0</v>
      </c>
      <c r="H1123" s="1" t="s">
        <v>237</v>
      </c>
      <c r="I1123" s="1" t="str">
        <f>IFERROR(__xludf.DUMMYFUNCTION("REGEXREPLACE(MID(H1123, SEARCH(""["", H1123) + 1, SEARCH(""]"", H1123) - SEARCH(""["", H1123) - 1), ""\[\]"","""")"),"Harvard-Westlake")</f>
        <v>Harvard-Westlake</v>
      </c>
      <c r="J1123" s="1">
        <v>0.0</v>
      </c>
      <c r="K1123" s="1">
        <v>0.0</v>
      </c>
    </row>
    <row r="1124">
      <c r="A1124" s="1">
        <v>5.0</v>
      </c>
      <c r="B1124" s="1">
        <v>20.0</v>
      </c>
      <c r="C1124" s="1">
        <v>5.0</v>
      </c>
      <c r="D1124" s="1">
        <v>2.4</v>
      </c>
      <c r="E1124" s="1">
        <v>0.0</v>
      </c>
      <c r="F1124" s="1">
        <v>0.0</v>
      </c>
      <c r="G1124" s="2">
        <v>0.6</v>
      </c>
      <c r="H1124" s="1" t="s">
        <v>182</v>
      </c>
      <c r="I1124" s="1" t="str">
        <f>IFERROR(__xludf.DUMMYFUNCTION("REGEXREPLACE(MID(H1124, SEARCH(""["", H1124) + 1, SEARCH(""]"", H1124) - SEARCH(""["", H1124) - 1), ""\[\]"","""")"),"Harvard-Westlake")</f>
        <v>Harvard-Westlake</v>
      </c>
      <c r="J1124" s="1">
        <v>12.0</v>
      </c>
      <c r="K1124" s="1">
        <v>0.0</v>
      </c>
    </row>
    <row r="1125">
      <c r="A1125" s="1">
        <v>5.0</v>
      </c>
      <c r="B1125" s="1">
        <v>20.0</v>
      </c>
      <c r="C1125" s="1">
        <v>7.0</v>
      </c>
      <c r="D1125" s="1">
        <v>3.2</v>
      </c>
      <c r="E1125" s="1">
        <v>0.0</v>
      </c>
      <c r="F1125" s="1">
        <v>0.0</v>
      </c>
      <c r="G1125" s="6">
        <v>0.571</v>
      </c>
      <c r="H1125" s="1" t="s">
        <v>204</v>
      </c>
      <c r="I1125" s="1" t="str">
        <f>IFERROR(__xludf.DUMMYFUNCTION("REGEXREPLACE(MID(H1125, SEARCH(""["", H1125) + 1, SEARCH(""]"", H1125) - SEARCH(""["", H1125) - 1), ""\[\]"","""")"),"Harvard-Westlake")</f>
        <v>Harvard-Westlake</v>
      </c>
      <c r="J1125" s="1">
        <v>16.0</v>
      </c>
      <c r="K1125" s="1">
        <v>0.0</v>
      </c>
    </row>
    <row r="1126">
      <c r="A1126" s="1">
        <v>3.0</v>
      </c>
      <c r="B1126" s="1">
        <v>12.0</v>
      </c>
      <c r="C1126" s="1">
        <v>2.0</v>
      </c>
      <c r="D1126" s="1">
        <v>1.33</v>
      </c>
      <c r="E1126" s="1">
        <v>0.0</v>
      </c>
      <c r="F1126" s="1">
        <v>0.0</v>
      </c>
      <c r="G1126" s="2">
        <v>0.5</v>
      </c>
      <c r="H1126" s="1" t="s">
        <v>238</v>
      </c>
      <c r="I1126" s="1" t="str">
        <f>IFERROR(__xludf.DUMMYFUNCTION("REGEXREPLACE(MID(H1126, SEARCH(""["", H1126) + 1, SEARCH(""]"", H1126) - SEARCH(""["", H1126) - 1), ""\[\]"","""")"),"Hebron HS")</f>
        <v>Hebron HS</v>
      </c>
      <c r="J1126" s="1">
        <v>4.0</v>
      </c>
      <c r="K1126" s="1">
        <v>0.0</v>
      </c>
    </row>
    <row r="1127">
      <c r="A1127" s="1">
        <v>5.0</v>
      </c>
      <c r="B1127" s="1">
        <v>20.0</v>
      </c>
      <c r="C1127" s="1">
        <v>4.0</v>
      </c>
      <c r="D1127" s="1">
        <v>1.6</v>
      </c>
      <c r="E1127" s="1">
        <v>0.0</v>
      </c>
      <c r="F1127" s="1">
        <v>0.0</v>
      </c>
      <c r="G1127" s="2">
        <v>0.5</v>
      </c>
      <c r="H1127" s="1" t="s">
        <v>149</v>
      </c>
      <c r="I1127" s="1" t="str">
        <f>IFERROR(__xludf.DUMMYFUNCTION("REGEXREPLACE(MID(H1127, SEARCH(""["", H1127) + 1, SEARCH(""]"", H1127) - SEARCH(""["", H1127) - 1), ""\[\]"","""")"),"Hebron HS")</f>
        <v>Hebron HS</v>
      </c>
      <c r="J1127" s="1">
        <v>8.0</v>
      </c>
      <c r="K1127" s="1">
        <v>0.0</v>
      </c>
    </row>
    <row r="1128">
      <c r="A1128" s="1">
        <v>3.0</v>
      </c>
      <c r="B1128" s="1">
        <v>12.0</v>
      </c>
      <c r="C1128" s="1">
        <v>1.0</v>
      </c>
      <c r="D1128" s="1">
        <v>1.33</v>
      </c>
      <c r="E1128" s="1">
        <v>0.0</v>
      </c>
      <c r="F1128" s="1">
        <v>0.0</v>
      </c>
      <c r="G1128" s="2">
        <v>1.0</v>
      </c>
      <c r="H1128" s="1" t="s">
        <v>240</v>
      </c>
      <c r="I1128" s="1" t="str">
        <f>IFERROR(__xludf.DUMMYFUNCTION("REGEXREPLACE(MID(H1128, SEARCH(""["", H1128) + 1, SEARCH(""]"", H1128) - SEARCH(""["", H1128) - 1), ""\[\]"","""")"),"Hebron HS")</f>
        <v>Hebron HS</v>
      </c>
      <c r="J1128" s="1">
        <v>4.0</v>
      </c>
      <c r="K1128" s="1">
        <v>0.0</v>
      </c>
    </row>
    <row r="1129">
      <c r="A1129" s="1">
        <v>1.0</v>
      </c>
      <c r="B1129" s="1">
        <v>4.0</v>
      </c>
      <c r="C1129" s="1">
        <v>1.0</v>
      </c>
      <c r="D1129" s="1">
        <v>0.0</v>
      </c>
      <c r="E1129" s="1">
        <v>0.0</v>
      </c>
      <c r="F1129" s="1">
        <v>0.0</v>
      </c>
      <c r="G1129" s="2">
        <v>0.0</v>
      </c>
      <c r="H1129" s="1" t="s">
        <v>242</v>
      </c>
      <c r="I1129" s="1" t="str">
        <f>IFERROR(__xludf.DUMMYFUNCTION("REGEXREPLACE(MID(H1129, SEARCH(""["", H1129) + 1, SEARCH(""]"", H1129) - SEARCH(""["", H1129) - 1), ""\[\]"","""")"),"Hebron HS")</f>
        <v>Hebron HS</v>
      </c>
      <c r="J1129" s="1">
        <v>0.0</v>
      </c>
      <c r="K1129" s="1">
        <v>0.0</v>
      </c>
    </row>
    <row r="1130">
      <c r="A1130" s="1">
        <v>1.0</v>
      </c>
      <c r="B1130" s="1">
        <v>4.0</v>
      </c>
      <c r="C1130" s="1">
        <v>1.0</v>
      </c>
      <c r="D1130" s="1">
        <v>-4.0</v>
      </c>
      <c r="E1130" s="1">
        <v>1.0</v>
      </c>
      <c r="F1130" s="1">
        <v>0.0</v>
      </c>
      <c r="G1130" s="2">
        <v>0.0</v>
      </c>
      <c r="H1130" s="1" t="s">
        <v>243</v>
      </c>
      <c r="I1130" s="1" t="str">
        <f>IFERROR(__xludf.DUMMYFUNCTION("REGEXREPLACE(MID(H1130, SEARCH(""["", H1130) + 1, SEARCH(""]"", H1130) - SEARCH(""["", H1130) - 1), ""\[\]"","""")"),"Blair")</f>
        <v>Blair</v>
      </c>
      <c r="J1130" s="1">
        <v>-4.0</v>
      </c>
      <c r="K1130" s="1">
        <v>1.0</v>
      </c>
    </row>
    <row r="1131">
      <c r="A1131" s="1">
        <v>3.0</v>
      </c>
      <c r="B1131" s="1">
        <v>12.0</v>
      </c>
      <c r="C1131" s="1">
        <v>0.0</v>
      </c>
      <c r="D1131" s="1">
        <v>0.0</v>
      </c>
      <c r="E1131" s="1">
        <v>0.0</v>
      </c>
      <c r="F1131" s="1">
        <v>0.0</v>
      </c>
      <c r="G1131" s="2">
        <v>0.0</v>
      </c>
      <c r="H1131" s="1" t="s">
        <v>244</v>
      </c>
      <c r="I1131" s="1" t="str">
        <f>IFERROR(__xludf.DUMMYFUNCTION("REGEXREPLACE(MID(H1131, SEARCH(""["", H1131) + 1, SEARCH(""]"", H1131) - SEARCH(""["", H1131) - 1), ""\[\]"","""")"),"LeBroncos")</f>
        <v>LeBroncos</v>
      </c>
      <c r="J1131" s="1">
        <v>0.0</v>
      </c>
      <c r="K1131" s="1">
        <v>0.0</v>
      </c>
    </row>
    <row r="1132">
      <c r="A1132" s="1">
        <v>2.0</v>
      </c>
      <c r="B1132" s="1">
        <v>8.0</v>
      </c>
      <c r="C1132" s="1">
        <v>0.0</v>
      </c>
      <c r="D1132" s="1">
        <v>0.0</v>
      </c>
      <c r="E1132" s="1">
        <v>0.0</v>
      </c>
      <c r="F1132" s="1">
        <v>0.0</v>
      </c>
      <c r="G1132" s="2">
        <v>0.0</v>
      </c>
      <c r="H1132" s="1" t="s">
        <v>244</v>
      </c>
      <c r="I1132" s="1" t="str">
        <f>IFERROR(__xludf.DUMMYFUNCTION("REGEXREPLACE(MID(H1132, SEARCH(""["", H1132) + 1, SEARCH(""]"", H1132) - SEARCH(""["", H1132) - 1), ""\[\]"","""")"),"LeBroncos")</f>
        <v>LeBroncos</v>
      </c>
      <c r="J1132" s="1">
        <v>0.0</v>
      </c>
      <c r="K1132" s="1">
        <v>0.0</v>
      </c>
    </row>
    <row r="1133">
      <c r="A1133" s="1">
        <v>3.0</v>
      </c>
      <c r="B1133" s="1">
        <v>12.0</v>
      </c>
      <c r="C1133" s="1">
        <v>10.0</v>
      </c>
      <c r="D1133" s="1">
        <v>9.33</v>
      </c>
      <c r="E1133" s="1">
        <v>0.33</v>
      </c>
      <c r="F1133" s="1">
        <v>0.0</v>
      </c>
      <c r="G1133" s="2">
        <v>0.8</v>
      </c>
      <c r="H1133" s="1" t="s">
        <v>185</v>
      </c>
      <c r="I1133" s="1" t="str">
        <f>IFERROR(__xludf.DUMMYFUNCTION("REGEXREPLACE(MID(H1133, SEARCH(""["", H1133) + 1, SEARCH(""]"", H1133) - SEARCH(""["", H1133) - 1), ""\[\]"","""")"),"LeBroncos")</f>
        <v>LeBroncos</v>
      </c>
      <c r="J1133" s="1">
        <v>28.0</v>
      </c>
      <c r="K1133" s="1">
        <v>1.0</v>
      </c>
    </row>
    <row r="1134">
      <c r="A1134" s="1">
        <v>2.0</v>
      </c>
      <c r="B1134" s="1">
        <v>8.0</v>
      </c>
      <c r="C1134" s="1">
        <v>5.0</v>
      </c>
      <c r="D1134" s="1">
        <v>8.0</v>
      </c>
      <c r="E1134" s="1">
        <v>0.0</v>
      </c>
      <c r="F1134" s="1">
        <v>0.0</v>
      </c>
      <c r="G1134" s="2">
        <v>0.8</v>
      </c>
      <c r="H1134" s="1" t="s">
        <v>185</v>
      </c>
      <c r="I1134" s="1" t="str">
        <f>IFERROR(__xludf.DUMMYFUNCTION("REGEXREPLACE(MID(H1134, SEARCH(""["", H1134) + 1, SEARCH(""]"", H1134) - SEARCH(""["", H1134) - 1), ""\[\]"","""")"),"LeBroncos")</f>
        <v>LeBroncos</v>
      </c>
      <c r="J1134" s="1">
        <v>16.0</v>
      </c>
      <c r="K1134" s="1">
        <v>0.0</v>
      </c>
    </row>
    <row r="1135">
      <c r="A1135" s="1">
        <v>3.0</v>
      </c>
      <c r="B1135" s="1">
        <v>12.0</v>
      </c>
      <c r="C1135" s="1">
        <v>0.0</v>
      </c>
      <c r="D1135" s="1">
        <v>0.0</v>
      </c>
      <c r="E1135" s="1">
        <v>0.0</v>
      </c>
      <c r="F1135" s="1">
        <v>0.0</v>
      </c>
      <c r="G1135" s="2">
        <v>0.0</v>
      </c>
      <c r="H1135" s="1" t="s">
        <v>248</v>
      </c>
      <c r="I1135" s="1" t="str">
        <f>IFERROR(__xludf.DUMMYFUNCTION("REGEXREPLACE(MID(H1135, SEARCH(""["", H1135) + 1, SEARCH(""]"", H1135) - SEARCH(""["", H1135) - 1), ""\[\]"","""")"),"LeBroncos")</f>
        <v>LeBroncos</v>
      </c>
      <c r="J1135" s="1">
        <v>0.0</v>
      </c>
      <c r="K1135" s="1">
        <v>0.0</v>
      </c>
    </row>
    <row r="1136">
      <c r="A1136" s="1">
        <v>2.0</v>
      </c>
      <c r="B1136" s="1">
        <v>8.0</v>
      </c>
      <c r="C1136" s="1">
        <v>0.0</v>
      </c>
      <c r="D1136" s="1">
        <v>0.0</v>
      </c>
      <c r="E1136" s="1">
        <v>0.0</v>
      </c>
      <c r="F1136" s="1">
        <v>0.0</v>
      </c>
      <c r="G1136" s="2">
        <v>0.0</v>
      </c>
      <c r="H1136" s="1" t="s">
        <v>248</v>
      </c>
      <c r="I1136" s="1" t="str">
        <f>IFERROR(__xludf.DUMMYFUNCTION("REGEXREPLACE(MID(H1136, SEARCH(""["", H1136) + 1, SEARCH(""]"", H1136) - SEARCH(""["", H1136) - 1), ""\[\]"","""")"),"LeBroncos")</f>
        <v>LeBroncos</v>
      </c>
      <c r="J1136" s="1">
        <v>0.0</v>
      </c>
      <c r="K1136" s="1">
        <v>0.0</v>
      </c>
    </row>
    <row r="1137">
      <c r="A1137" s="1">
        <v>2.0</v>
      </c>
      <c r="B1137" s="1">
        <v>8.0</v>
      </c>
      <c r="C1137" s="1">
        <v>0.0</v>
      </c>
      <c r="D1137" s="1">
        <v>0.0</v>
      </c>
      <c r="E1137" s="1">
        <v>0.0</v>
      </c>
      <c r="F1137" s="1">
        <v>0.0</v>
      </c>
      <c r="G1137" s="2">
        <v>0.0</v>
      </c>
      <c r="H1137" s="1" t="s">
        <v>250</v>
      </c>
      <c r="I1137" s="1" t="str">
        <f>IFERROR(__xludf.DUMMYFUNCTION("REGEXREPLACE(MID(H1137, SEARCH(""["", H1137) + 1, SEARCH(""]"", H1137) - SEARCH(""["", H1137) - 1), ""\[\]"","""")"),"LeBroncos")</f>
        <v>LeBroncos</v>
      </c>
      <c r="J1137" s="1">
        <v>0.0</v>
      </c>
      <c r="K1137" s="1">
        <v>0.0</v>
      </c>
    </row>
    <row r="1138">
      <c r="A1138" s="1">
        <v>1.0</v>
      </c>
      <c r="B1138" s="1">
        <v>4.0</v>
      </c>
      <c r="C1138" s="1">
        <v>0.0</v>
      </c>
      <c r="D1138" s="1">
        <v>0.0</v>
      </c>
      <c r="E1138" s="1">
        <v>0.0</v>
      </c>
      <c r="F1138" s="1">
        <v>0.0</v>
      </c>
      <c r="G1138" s="2">
        <v>0.0</v>
      </c>
      <c r="H1138" s="1" t="s">
        <v>250</v>
      </c>
      <c r="I1138" s="1" t="str">
        <f>IFERROR(__xludf.DUMMYFUNCTION("REGEXREPLACE(MID(H1138, SEARCH(""["", H1138) + 1, SEARCH(""]"", H1138) - SEARCH(""["", H1138) - 1), ""\[\]"","""")"),"LeBroncos")</f>
        <v>LeBroncos</v>
      </c>
      <c r="J1138" s="1">
        <v>0.0</v>
      </c>
      <c r="K1138" s="1">
        <v>0.0</v>
      </c>
    </row>
    <row r="1139">
      <c r="A1139" s="1">
        <v>1.0</v>
      </c>
      <c r="B1139" s="1">
        <v>4.0</v>
      </c>
      <c r="C1139" s="1">
        <v>0.0</v>
      </c>
      <c r="D1139" s="1">
        <v>0.0</v>
      </c>
      <c r="E1139" s="1">
        <v>0.0</v>
      </c>
      <c r="F1139" s="1">
        <v>0.0</v>
      </c>
      <c r="G1139" s="2">
        <v>0.0</v>
      </c>
      <c r="H1139" s="1" t="s">
        <v>251</v>
      </c>
      <c r="I1139" s="1" t="str">
        <f>IFERROR(__xludf.DUMMYFUNCTION("REGEXREPLACE(MID(H1139, SEARCH(""["", H1139) + 1, SEARCH(""]"", H1139) - SEARCH(""["", H1139) - 1), ""\[\]"","""")"),"LeBroncos")</f>
        <v>LeBroncos</v>
      </c>
      <c r="J1139" s="1">
        <v>0.0</v>
      </c>
      <c r="K1139" s="1">
        <v>0.0</v>
      </c>
    </row>
    <row r="1140">
      <c r="A1140" s="1">
        <v>1.0</v>
      </c>
      <c r="B1140" s="1">
        <v>4.0</v>
      </c>
      <c r="C1140" s="1">
        <v>0.0</v>
      </c>
      <c r="D1140" s="1">
        <v>0.0</v>
      </c>
      <c r="E1140" s="1">
        <v>0.0</v>
      </c>
      <c r="F1140" s="1">
        <v>0.0</v>
      </c>
      <c r="G1140" s="2">
        <v>0.0</v>
      </c>
      <c r="H1140" s="1" t="s">
        <v>239</v>
      </c>
      <c r="I1140" s="1" t="str">
        <f>IFERROR(__xludf.DUMMYFUNCTION("REGEXREPLACE(MID(H1140, SEARCH(""["", H1140) + 1, SEARCH(""]"", H1140) - SEARCH(""["", H1140) - 1), ""\[\]"","""")"),"Lexington")</f>
        <v>Lexington</v>
      </c>
      <c r="J1140" s="1">
        <v>0.0</v>
      </c>
      <c r="K1140" s="1">
        <v>0.0</v>
      </c>
    </row>
    <row r="1141">
      <c r="A1141" s="1">
        <v>4.0</v>
      </c>
      <c r="B1141" s="1">
        <v>16.0</v>
      </c>
      <c r="C1141" s="1">
        <v>1.0</v>
      </c>
      <c r="D1141" s="1">
        <v>-1.0</v>
      </c>
      <c r="E1141" s="1">
        <v>0.25</v>
      </c>
      <c r="F1141" s="1">
        <v>0.0</v>
      </c>
      <c r="G1141" s="2">
        <v>0.0</v>
      </c>
      <c r="H1141" s="1" t="s">
        <v>253</v>
      </c>
      <c r="I1141" s="1" t="str">
        <f>IFERROR(__xludf.DUMMYFUNCTION("REGEXREPLACE(MID(H1141, SEARCH(""["", H1141) + 1, SEARCH(""]"", H1141) - SEARCH(""["", H1141) - 1), ""\[\]"","""")"),"Lexington")</f>
        <v>Lexington</v>
      </c>
      <c r="J1141" s="1">
        <v>-4.0</v>
      </c>
      <c r="K1141" s="1">
        <v>1.0</v>
      </c>
    </row>
    <row r="1142">
      <c r="A1142" s="1">
        <v>1.0</v>
      </c>
      <c r="B1142" s="1">
        <v>4.0</v>
      </c>
      <c r="C1142" s="1">
        <v>0.0</v>
      </c>
      <c r="D1142" s="1">
        <v>0.0</v>
      </c>
      <c r="E1142" s="1">
        <v>0.0</v>
      </c>
      <c r="F1142" s="1">
        <v>0.0</v>
      </c>
      <c r="G1142" s="2">
        <v>0.0</v>
      </c>
      <c r="H1142" s="1" t="s">
        <v>253</v>
      </c>
      <c r="I1142" s="1" t="str">
        <f>IFERROR(__xludf.DUMMYFUNCTION("REGEXREPLACE(MID(H1142, SEARCH(""["", H1142) + 1, SEARCH(""]"", H1142) - SEARCH(""["", H1142) - 1), ""\[\]"","""")"),"Lexington")</f>
        <v>Lexington</v>
      </c>
      <c r="J1142" s="1">
        <v>0.0</v>
      </c>
      <c r="K1142" s="1">
        <v>0.0</v>
      </c>
    </row>
    <row r="1143">
      <c r="A1143" s="1">
        <v>4.0</v>
      </c>
      <c r="B1143" s="1">
        <v>16.0</v>
      </c>
      <c r="C1143" s="1">
        <v>2.0</v>
      </c>
      <c r="D1143" s="1">
        <v>0.0</v>
      </c>
      <c r="E1143" s="1">
        <v>0.0</v>
      </c>
      <c r="F1143" s="1">
        <v>0.0</v>
      </c>
      <c r="G1143" s="2">
        <v>0.0</v>
      </c>
      <c r="H1143" s="1" t="s">
        <v>255</v>
      </c>
      <c r="I1143" s="1" t="str">
        <f>IFERROR(__xludf.DUMMYFUNCTION("REGEXREPLACE(MID(H1143, SEARCH(""["", H1143) + 1, SEARCH(""]"", H1143) - SEARCH(""["", H1143) - 1), ""\[\]"","""")"),"Lexington")</f>
        <v>Lexington</v>
      </c>
      <c r="J1143" s="1">
        <v>0.0</v>
      </c>
      <c r="K1143" s="1">
        <v>0.0</v>
      </c>
    </row>
    <row r="1144">
      <c r="A1144" s="1">
        <v>1.0</v>
      </c>
      <c r="B1144" s="1">
        <v>4.0</v>
      </c>
      <c r="C1144" s="1">
        <v>0.0</v>
      </c>
      <c r="D1144" s="1">
        <v>0.0</v>
      </c>
      <c r="E1144" s="1">
        <v>0.0</v>
      </c>
      <c r="F1144" s="1">
        <v>0.0</v>
      </c>
      <c r="G1144" s="2">
        <v>0.0</v>
      </c>
      <c r="H1144" s="1" t="s">
        <v>255</v>
      </c>
      <c r="I1144" s="1" t="str">
        <f>IFERROR(__xludf.DUMMYFUNCTION("REGEXREPLACE(MID(H1144, SEARCH(""["", H1144) + 1, SEARCH(""]"", H1144) - SEARCH(""["", H1144) - 1), ""\[\]"","""")"),"Lexington")</f>
        <v>Lexington</v>
      </c>
      <c r="J1144" s="1">
        <v>0.0</v>
      </c>
      <c r="K1144" s="1">
        <v>0.0</v>
      </c>
    </row>
    <row r="1145">
      <c r="A1145" s="1">
        <v>4.0</v>
      </c>
      <c r="B1145" s="1">
        <v>16.0</v>
      </c>
      <c r="C1145" s="1">
        <v>5.0</v>
      </c>
      <c r="D1145" s="1">
        <v>2.0</v>
      </c>
      <c r="E1145" s="1">
        <v>0.25</v>
      </c>
      <c r="F1145" s="1">
        <v>0.0</v>
      </c>
      <c r="G1145" s="2">
        <v>0.6</v>
      </c>
      <c r="H1145" s="1" t="s">
        <v>164</v>
      </c>
      <c r="I1145" s="1" t="str">
        <f>IFERROR(__xludf.DUMMYFUNCTION("REGEXREPLACE(MID(H1145, SEARCH(""["", H1145) + 1, SEARCH(""]"", H1145) - SEARCH(""["", H1145) - 1), ""\[\]"","""")"),"Lexington")</f>
        <v>Lexington</v>
      </c>
      <c r="J1145" s="1">
        <v>8.0</v>
      </c>
      <c r="K1145" s="1">
        <v>1.0</v>
      </c>
    </row>
    <row r="1146">
      <c r="A1146" s="1">
        <v>1.0</v>
      </c>
      <c r="B1146" s="1">
        <v>4.0</v>
      </c>
      <c r="C1146" s="1">
        <v>2.0</v>
      </c>
      <c r="D1146" s="1">
        <v>8.0</v>
      </c>
      <c r="E1146" s="1">
        <v>0.0</v>
      </c>
      <c r="F1146" s="1">
        <v>0.0</v>
      </c>
      <c r="G1146" s="2">
        <v>1.0</v>
      </c>
      <c r="H1146" s="1" t="s">
        <v>164</v>
      </c>
      <c r="I1146" s="1" t="str">
        <f>IFERROR(__xludf.DUMMYFUNCTION("REGEXREPLACE(MID(H1146, SEARCH(""["", H1146) + 1, SEARCH(""]"", H1146) - SEARCH(""["", H1146) - 1), ""\[\]"","""")"),"Lexington")</f>
        <v>Lexington</v>
      </c>
      <c r="J1146" s="1">
        <v>8.0</v>
      </c>
      <c r="K1146" s="1">
        <v>0.0</v>
      </c>
    </row>
    <row r="1147">
      <c r="A1147" s="1">
        <v>1.0</v>
      </c>
      <c r="B1147" s="1">
        <v>4.0</v>
      </c>
      <c r="C1147" s="1">
        <v>1.0</v>
      </c>
      <c r="D1147" s="1">
        <v>0.0</v>
      </c>
      <c r="E1147" s="1">
        <v>0.0</v>
      </c>
      <c r="F1147" s="1">
        <v>0.0</v>
      </c>
      <c r="G1147" s="2">
        <v>0.0</v>
      </c>
      <c r="H1147" s="1" t="s">
        <v>257</v>
      </c>
      <c r="I1147" s="1" t="str">
        <f>IFERROR(__xludf.DUMMYFUNCTION("REGEXREPLACE(MID(H1147, SEARCH(""["", H1147) + 1, SEARCH(""]"", H1147) - SEARCH(""["", H1147) - 1), ""\[\]"","""")"),"Lubbock")</f>
        <v>Lubbock</v>
      </c>
      <c r="J1147" s="1">
        <v>0.0</v>
      </c>
      <c r="K1147" s="1">
        <v>0.0</v>
      </c>
    </row>
    <row r="1148">
      <c r="A1148" s="1">
        <v>1.0</v>
      </c>
      <c r="B1148" s="1">
        <v>4.0</v>
      </c>
      <c r="C1148" s="1">
        <v>0.0</v>
      </c>
      <c r="D1148" s="1">
        <v>0.0</v>
      </c>
      <c r="E1148" s="1">
        <v>0.0</v>
      </c>
      <c r="F1148" s="1">
        <v>0.0</v>
      </c>
      <c r="G1148" s="2">
        <v>0.0</v>
      </c>
      <c r="H1148" s="1" t="s">
        <v>257</v>
      </c>
      <c r="I1148" s="1" t="str">
        <f>IFERROR(__xludf.DUMMYFUNCTION("REGEXREPLACE(MID(H1148, SEARCH(""["", H1148) + 1, SEARCH(""]"", H1148) - SEARCH(""["", H1148) - 1), ""\[\]"","""")"),"Lubbock")</f>
        <v>Lubbock</v>
      </c>
      <c r="J1148" s="1">
        <v>0.0</v>
      </c>
      <c r="K1148" s="1">
        <v>0.0</v>
      </c>
    </row>
    <row r="1149">
      <c r="A1149" s="1">
        <v>2.0</v>
      </c>
      <c r="B1149" s="1">
        <v>8.0</v>
      </c>
      <c r="C1149" s="1">
        <v>0.0</v>
      </c>
      <c r="D1149" s="1">
        <v>0.0</v>
      </c>
      <c r="E1149" s="1">
        <v>0.0</v>
      </c>
      <c r="F1149" s="1">
        <v>0.0</v>
      </c>
      <c r="G1149" s="2">
        <v>0.0</v>
      </c>
      <c r="H1149" s="1" t="s">
        <v>259</v>
      </c>
      <c r="I1149" s="1" t="str">
        <f>IFERROR(__xludf.DUMMYFUNCTION("REGEXREPLACE(MID(H1149, SEARCH(""["", H1149) + 1, SEARCH(""]"", H1149) - SEARCH(""["", H1149) - 1), ""\[\]"","""")"),"Lubbock")</f>
        <v>Lubbock</v>
      </c>
      <c r="J1149" s="1">
        <v>0.0</v>
      </c>
      <c r="K1149" s="1">
        <v>0.0</v>
      </c>
    </row>
    <row r="1150">
      <c r="A1150" s="1">
        <v>2.0</v>
      </c>
      <c r="B1150" s="1">
        <v>8.0</v>
      </c>
      <c r="C1150" s="1">
        <v>0.0</v>
      </c>
      <c r="D1150" s="1">
        <v>0.0</v>
      </c>
      <c r="E1150" s="1">
        <v>0.0</v>
      </c>
      <c r="F1150" s="1">
        <v>0.0</v>
      </c>
      <c r="G1150" s="2">
        <v>0.0</v>
      </c>
      <c r="H1150" s="1" t="s">
        <v>259</v>
      </c>
      <c r="I1150" s="1" t="str">
        <f>IFERROR(__xludf.DUMMYFUNCTION("REGEXREPLACE(MID(H1150, SEARCH(""["", H1150) + 1, SEARCH(""]"", H1150) - SEARCH(""["", H1150) - 1), ""\[\]"","""")"),"Lubbock")</f>
        <v>Lubbock</v>
      </c>
      <c r="J1150" s="1">
        <v>0.0</v>
      </c>
      <c r="K1150" s="1">
        <v>0.0</v>
      </c>
    </row>
    <row r="1151">
      <c r="A1151" s="1">
        <v>3.0</v>
      </c>
      <c r="B1151" s="1">
        <v>12.0</v>
      </c>
      <c r="C1151" s="1">
        <v>7.0</v>
      </c>
      <c r="D1151" s="1">
        <v>8.0</v>
      </c>
      <c r="E1151" s="1">
        <v>0.0</v>
      </c>
      <c r="F1151" s="1">
        <v>0.0</v>
      </c>
      <c r="G1151" s="6">
        <v>0.857</v>
      </c>
      <c r="H1151" s="1" t="s">
        <v>99</v>
      </c>
      <c r="I1151" s="1" t="str">
        <f>IFERROR(__xludf.DUMMYFUNCTION("REGEXREPLACE(MID(H1151, SEARCH(""["", H1151) + 1, SEARCH(""]"", H1151) - SEARCH(""["", H1151) - 1), ""\[\]"","""")"),"Lubbock")</f>
        <v>Lubbock</v>
      </c>
      <c r="J1151" s="1">
        <v>24.0</v>
      </c>
      <c r="K1151" s="1">
        <v>0.0</v>
      </c>
    </row>
    <row r="1152">
      <c r="A1152" s="1">
        <v>2.0</v>
      </c>
      <c r="B1152" s="1">
        <v>8.0</v>
      </c>
      <c r="C1152" s="1">
        <v>8.0</v>
      </c>
      <c r="D1152" s="1">
        <v>14.0</v>
      </c>
      <c r="E1152" s="1">
        <v>0.0</v>
      </c>
      <c r="F1152" s="1">
        <v>0.0</v>
      </c>
      <c r="G1152" s="6">
        <v>0.857</v>
      </c>
      <c r="H1152" s="1" t="s">
        <v>99</v>
      </c>
      <c r="I1152" s="1" t="str">
        <f>IFERROR(__xludf.DUMMYFUNCTION("REGEXREPLACE(MID(H1152, SEARCH(""["", H1152) + 1, SEARCH(""]"", H1152) - SEARCH(""["", H1152) - 1), ""\[\]"","""")"),"Lubbock")</f>
        <v>Lubbock</v>
      </c>
      <c r="J1152" s="1">
        <v>28.0</v>
      </c>
      <c r="K1152" s="1">
        <v>0.0</v>
      </c>
    </row>
    <row r="1153">
      <c r="A1153" s="1">
        <v>3.0</v>
      </c>
      <c r="B1153" s="1">
        <v>12.0</v>
      </c>
      <c r="C1153" s="1">
        <v>0.0</v>
      </c>
      <c r="D1153" s="1">
        <v>0.0</v>
      </c>
      <c r="E1153" s="1">
        <v>0.0</v>
      </c>
      <c r="F1153" s="1">
        <v>0.0</v>
      </c>
      <c r="G1153" s="2">
        <v>0.0</v>
      </c>
      <c r="H1153" s="1" t="s">
        <v>262</v>
      </c>
      <c r="I1153" s="1" t="str">
        <f>IFERROR(__xludf.DUMMYFUNCTION("REGEXREPLACE(MID(H1153, SEARCH(""["", H1153) + 1, SEARCH(""]"", H1153) - SEARCH(""["", H1153) - 1), ""\[\]"","""")"),"Lubbock")</f>
        <v>Lubbock</v>
      </c>
      <c r="J1153" s="1">
        <v>0.0</v>
      </c>
      <c r="K1153" s="1">
        <v>0.0</v>
      </c>
    </row>
    <row r="1154">
      <c r="A1154" s="1">
        <v>1.0</v>
      </c>
      <c r="B1154" s="1">
        <v>4.0</v>
      </c>
      <c r="C1154" s="1">
        <v>0.0</v>
      </c>
      <c r="D1154" s="1">
        <v>0.0</v>
      </c>
      <c r="E1154" s="1">
        <v>0.0</v>
      </c>
      <c r="F1154" s="1">
        <v>0.0</v>
      </c>
      <c r="G1154" s="2">
        <v>0.0</v>
      </c>
      <c r="H1154" s="1" t="s">
        <v>262</v>
      </c>
      <c r="I1154" s="1" t="str">
        <f>IFERROR(__xludf.DUMMYFUNCTION("REGEXREPLACE(MID(H1154, SEARCH(""["", H1154) + 1, SEARCH(""]"", H1154) - SEARCH(""["", H1154) - 1), ""\[\]"","""")"),"Lubbock")</f>
        <v>Lubbock</v>
      </c>
      <c r="J1154" s="1">
        <v>0.0</v>
      </c>
      <c r="K1154" s="1">
        <v>0.0</v>
      </c>
    </row>
    <row r="1155">
      <c r="A1155" s="1">
        <v>1.0</v>
      </c>
      <c r="B1155" s="1">
        <v>4.0</v>
      </c>
      <c r="C1155" s="1">
        <v>0.0</v>
      </c>
      <c r="D1155" s="1">
        <v>0.0</v>
      </c>
      <c r="E1155" s="1">
        <v>0.0</v>
      </c>
      <c r="F1155" s="1">
        <v>0.0</v>
      </c>
      <c r="G1155" s="2">
        <v>0.0</v>
      </c>
      <c r="H1155" s="1" t="s">
        <v>262</v>
      </c>
      <c r="I1155" s="1" t="str">
        <f>IFERROR(__xludf.DUMMYFUNCTION("REGEXREPLACE(MID(H1155, SEARCH(""["", H1155) + 1, SEARCH(""]"", H1155) - SEARCH(""["", H1155) - 1), ""\[\]"","""")"),"Lubbock")</f>
        <v>Lubbock</v>
      </c>
      <c r="J1155" s="1">
        <v>0.0</v>
      </c>
      <c r="K1155" s="1">
        <v>0.0</v>
      </c>
    </row>
    <row r="1156">
      <c r="A1156" s="1">
        <v>1.0</v>
      </c>
      <c r="B1156" s="1">
        <v>4.0</v>
      </c>
      <c r="C1156" s="1">
        <v>0.0</v>
      </c>
      <c r="D1156" s="1">
        <v>0.0</v>
      </c>
      <c r="E1156" s="1">
        <v>0.0</v>
      </c>
      <c r="F1156" s="1">
        <v>0.0</v>
      </c>
      <c r="G1156" s="2">
        <v>0.0</v>
      </c>
      <c r="H1156" s="1" t="s">
        <v>241</v>
      </c>
      <c r="I1156" s="1" t="str">
        <f>IFERROR(__xludf.DUMMYFUNCTION("REGEXREPLACE(MID(H1156, SEARCH(""["", H1156) + 1, SEARCH(""]"", H1156) - SEARCH(""["", H1156) - 1), ""\[\]"","""")"),"Lubbock")</f>
        <v>Lubbock</v>
      </c>
      <c r="J1156" s="1">
        <v>0.0</v>
      </c>
      <c r="K1156" s="1">
        <v>0.0</v>
      </c>
    </row>
    <row r="1157">
      <c r="A1157" s="1">
        <v>1.0</v>
      </c>
      <c r="B1157" s="1">
        <v>4.0</v>
      </c>
      <c r="C1157" s="1">
        <v>0.0</v>
      </c>
      <c r="D1157" s="1">
        <v>0.0</v>
      </c>
      <c r="E1157" s="1">
        <v>0.0</v>
      </c>
      <c r="F1157" s="1">
        <v>0.0</v>
      </c>
      <c r="G1157" s="2">
        <v>0.0</v>
      </c>
      <c r="H1157" s="1" t="s">
        <v>241</v>
      </c>
      <c r="I1157" s="1" t="str">
        <f>IFERROR(__xludf.DUMMYFUNCTION("REGEXREPLACE(MID(H1157, SEARCH(""["", H1157) + 1, SEARCH(""]"", H1157) - SEARCH(""["", H1157) - 1), ""\[\]"","""")"),"Lubbock")</f>
        <v>Lubbock</v>
      </c>
      <c r="J1157" s="1">
        <v>0.0</v>
      </c>
      <c r="K1157" s="1">
        <v>0.0</v>
      </c>
    </row>
    <row r="1158">
      <c r="A1158" s="1">
        <v>2.0</v>
      </c>
      <c r="B1158" s="1">
        <v>8.0</v>
      </c>
      <c r="C1158" s="1">
        <v>1.0</v>
      </c>
      <c r="D1158" s="1">
        <v>2.0</v>
      </c>
      <c r="E1158" s="1">
        <v>0.0</v>
      </c>
      <c r="F1158" s="1">
        <v>0.0</v>
      </c>
      <c r="G1158" s="2">
        <v>1.0</v>
      </c>
      <c r="H1158" s="1" t="s">
        <v>263</v>
      </c>
      <c r="I1158" s="1" t="str">
        <f>IFERROR(__xludf.DUMMYFUNCTION("REGEXREPLACE(MID(H1158, SEARCH(""["", H1158) + 1, SEARCH(""]"", H1158) - SEARCH(""["", H1158) - 1), ""\[\]"","""")"),"Lynbrook")</f>
        <v>Lynbrook</v>
      </c>
      <c r="J1158" s="1">
        <v>4.0</v>
      </c>
      <c r="K1158" s="1">
        <v>0.0</v>
      </c>
    </row>
    <row r="1159">
      <c r="A1159" s="1">
        <v>1.0</v>
      </c>
      <c r="B1159" s="1">
        <v>4.0</v>
      </c>
      <c r="C1159" s="1">
        <v>0.0</v>
      </c>
      <c r="D1159" s="1">
        <v>0.0</v>
      </c>
      <c r="E1159" s="1">
        <v>0.0</v>
      </c>
      <c r="F1159" s="1">
        <v>0.0</v>
      </c>
      <c r="G1159" s="2">
        <v>0.0</v>
      </c>
      <c r="H1159" s="1" t="s">
        <v>263</v>
      </c>
      <c r="I1159" s="1" t="str">
        <f>IFERROR(__xludf.DUMMYFUNCTION("REGEXREPLACE(MID(H1159, SEARCH(""["", H1159) + 1, SEARCH(""]"", H1159) - SEARCH(""["", H1159) - 1), ""\[\]"","""")"),"Lynbrook")</f>
        <v>Lynbrook</v>
      </c>
      <c r="J1159" s="1">
        <v>0.0</v>
      </c>
      <c r="K1159" s="1">
        <v>0.0</v>
      </c>
    </row>
    <row r="1160">
      <c r="A1160" s="1">
        <v>1.0</v>
      </c>
      <c r="B1160" s="1">
        <v>3.0</v>
      </c>
      <c r="C1160" s="1">
        <v>1.0</v>
      </c>
      <c r="D1160" s="1">
        <v>4.0</v>
      </c>
      <c r="E1160" s="1">
        <v>0.0</v>
      </c>
      <c r="F1160" s="1">
        <v>0.0</v>
      </c>
      <c r="G1160" s="2">
        <v>1.0</v>
      </c>
      <c r="H1160" s="1" t="s">
        <v>264</v>
      </c>
      <c r="I1160" s="1" t="str">
        <f>IFERROR(__xludf.DUMMYFUNCTION("REGEXREPLACE(MID(H1160, SEARCH(""["", H1160) + 1, SEARCH(""]"", H1160) - SEARCH(""["", H1160) - 1), ""\[\]"","""")"),"Lynbrook")</f>
        <v>Lynbrook</v>
      </c>
      <c r="J1160" s="1">
        <v>4.0</v>
      </c>
      <c r="K1160" s="1">
        <v>0.0</v>
      </c>
    </row>
    <row r="1161">
      <c r="A1161" s="1">
        <v>3.0</v>
      </c>
      <c r="B1161" s="1">
        <v>12.0</v>
      </c>
      <c r="C1161" s="1">
        <v>7.0</v>
      </c>
      <c r="D1161" s="1">
        <v>5.33</v>
      </c>
      <c r="E1161" s="1">
        <v>0.33</v>
      </c>
      <c r="F1161" s="1">
        <v>0.0</v>
      </c>
      <c r="G1161" s="6">
        <v>0.714</v>
      </c>
      <c r="H1161" s="1" t="s">
        <v>264</v>
      </c>
      <c r="I1161" s="1" t="str">
        <f>IFERROR(__xludf.DUMMYFUNCTION("REGEXREPLACE(MID(H1161, SEARCH(""["", H1161) + 1, SEARCH(""]"", H1161) - SEARCH(""["", H1161) - 1), ""\[\]"","""")"),"Lynbrook")</f>
        <v>Lynbrook</v>
      </c>
      <c r="J1161" s="1">
        <v>16.0</v>
      </c>
      <c r="K1161" s="1">
        <v>1.0</v>
      </c>
    </row>
    <row r="1162">
      <c r="A1162" s="1">
        <v>1.0</v>
      </c>
      <c r="B1162" s="1">
        <v>3.0</v>
      </c>
      <c r="C1162" s="1">
        <v>0.0</v>
      </c>
      <c r="D1162" s="1">
        <v>0.0</v>
      </c>
      <c r="E1162" s="1">
        <v>0.0</v>
      </c>
      <c r="F1162" s="1">
        <v>0.0</v>
      </c>
      <c r="G1162" s="2">
        <v>0.0</v>
      </c>
      <c r="H1162" s="1" t="s">
        <v>265</v>
      </c>
      <c r="I1162" s="1" t="str">
        <f>IFERROR(__xludf.DUMMYFUNCTION("REGEXREPLACE(MID(H1162, SEARCH(""["", H1162) + 1, SEARCH(""]"", H1162) - SEARCH(""["", H1162) - 1), ""\[\]"","""")"),"Lynbrook")</f>
        <v>Lynbrook</v>
      </c>
      <c r="J1162" s="1">
        <v>0.0</v>
      </c>
      <c r="K1162" s="1">
        <v>0.0</v>
      </c>
    </row>
    <row r="1163">
      <c r="A1163" s="1">
        <v>4.0</v>
      </c>
      <c r="B1163" s="1">
        <v>16.0</v>
      </c>
      <c r="C1163" s="1">
        <v>0.0</v>
      </c>
      <c r="D1163" s="1">
        <v>0.0</v>
      </c>
      <c r="E1163" s="1">
        <v>0.0</v>
      </c>
      <c r="F1163" s="1">
        <v>0.0</v>
      </c>
      <c r="G1163" s="2">
        <v>0.0</v>
      </c>
      <c r="H1163" s="1" t="s">
        <v>265</v>
      </c>
      <c r="I1163" s="1" t="str">
        <f>IFERROR(__xludf.DUMMYFUNCTION("REGEXREPLACE(MID(H1163, SEARCH(""["", H1163) + 1, SEARCH(""]"", H1163) - SEARCH(""["", H1163) - 1), ""\[\]"","""")"),"Lynbrook")</f>
        <v>Lynbrook</v>
      </c>
      <c r="J1163" s="1">
        <v>0.0</v>
      </c>
      <c r="K1163" s="1">
        <v>0.0</v>
      </c>
    </row>
    <row r="1164">
      <c r="A1164" s="1">
        <v>4.0</v>
      </c>
      <c r="B1164" s="1">
        <v>16.0</v>
      </c>
      <c r="C1164" s="1">
        <v>1.0</v>
      </c>
      <c r="D1164" s="1">
        <v>1.0</v>
      </c>
      <c r="E1164" s="1">
        <v>0.0</v>
      </c>
      <c r="F1164" s="1">
        <v>0.0</v>
      </c>
      <c r="G1164" s="2">
        <v>1.0</v>
      </c>
      <c r="H1164" s="1" t="s">
        <v>266</v>
      </c>
      <c r="I1164" s="1" t="str">
        <f>IFERROR(__xludf.DUMMYFUNCTION("REGEXREPLACE(MID(H1164, SEARCH(""["", H1164) + 1, SEARCH(""]"", H1164) - SEARCH(""["", H1164) - 1), ""\[\]"","""")"),"Lynbrook")</f>
        <v>Lynbrook</v>
      </c>
      <c r="J1164" s="1">
        <v>4.0</v>
      </c>
      <c r="K1164" s="1">
        <v>0.0</v>
      </c>
    </row>
    <row r="1165">
      <c r="A1165" s="1">
        <v>1.0</v>
      </c>
      <c r="B1165" s="1">
        <v>3.0</v>
      </c>
      <c r="C1165" s="1">
        <v>1.0</v>
      </c>
      <c r="D1165" s="1">
        <v>4.0</v>
      </c>
      <c r="E1165" s="1">
        <v>0.0</v>
      </c>
      <c r="F1165" s="1">
        <v>0.0</v>
      </c>
      <c r="G1165" s="2">
        <v>1.0</v>
      </c>
      <c r="H1165" s="1" t="s">
        <v>93</v>
      </c>
      <c r="I1165" s="1" t="str">
        <f>IFERROR(__xludf.DUMMYFUNCTION("REGEXREPLACE(MID(H1165, SEARCH(""["", H1165) + 1, SEARCH(""]"", H1165) - SEARCH(""["", H1165) - 1), ""\[\]"","""")"),"Lynbrook")</f>
        <v>Lynbrook</v>
      </c>
      <c r="J1165" s="1">
        <v>4.0</v>
      </c>
      <c r="K1165" s="1">
        <v>0.0</v>
      </c>
    </row>
    <row r="1166">
      <c r="A1166" s="1">
        <v>4.0</v>
      </c>
      <c r="B1166" s="1">
        <v>16.0</v>
      </c>
      <c r="C1166" s="1">
        <v>3.0</v>
      </c>
      <c r="D1166" s="1">
        <v>3.0</v>
      </c>
      <c r="E1166" s="1">
        <v>0.0</v>
      </c>
      <c r="F1166" s="1">
        <v>0.0</v>
      </c>
      <c r="G1166" s="2">
        <v>1.0</v>
      </c>
      <c r="H1166" s="1" t="s">
        <v>93</v>
      </c>
      <c r="I1166" s="1" t="str">
        <f>IFERROR(__xludf.DUMMYFUNCTION("REGEXREPLACE(MID(H1166, SEARCH(""["", H1166) + 1, SEARCH(""]"", H1166) - SEARCH(""["", H1166) - 1), ""\[\]"","""")"),"Lynbrook")</f>
        <v>Lynbrook</v>
      </c>
      <c r="J1166" s="1">
        <v>12.0</v>
      </c>
      <c r="K1166" s="1">
        <v>0.0</v>
      </c>
    </row>
    <row r="1167">
      <c r="A1167" s="1">
        <v>1.0</v>
      </c>
      <c r="B1167" s="1">
        <v>4.0</v>
      </c>
      <c r="C1167" s="1">
        <v>0.0</v>
      </c>
      <c r="D1167" s="1">
        <v>0.0</v>
      </c>
      <c r="E1167" s="1">
        <v>0.0</v>
      </c>
      <c r="F1167" s="1">
        <v>0.0</v>
      </c>
      <c r="G1167" s="2">
        <v>0.0</v>
      </c>
      <c r="H1167" s="1" t="s">
        <v>268</v>
      </c>
      <c r="I1167" s="1" t="str">
        <f>IFERROR(__xludf.DUMMYFUNCTION("REGEXREPLACE(MID(H1167, SEARCH(""["", H1167) + 1, SEARCH(""]"", H1167) - SEARCH(""["", H1167) - 1), ""\[\]"","""")"),"Mira Loma HS")</f>
        <v>Mira Loma HS</v>
      </c>
      <c r="J1167" s="1">
        <v>0.0</v>
      </c>
      <c r="K1167" s="1">
        <v>0.0</v>
      </c>
    </row>
    <row r="1168">
      <c r="A1168" s="1">
        <v>4.0</v>
      </c>
      <c r="B1168" s="1">
        <v>16.0</v>
      </c>
      <c r="C1168" s="1">
        <v>13.0</v>
      </c>
      <c r="D1168" s="1">
        <v>10.0</v>
      </c>
      <c r="E1168" s="1">
        <v>0.25</v>
      </c>
      <c r="F1168" s="1">
        <v>0.0</v>
      </c>
      <c r="G1168" s="6">
        <v>0.846</v>
      </c>
      <c r="H1168" s="1" t="s">
        <v>80</v>
      </c>
      <c r="I1168" s="1" t="str">
        <f>IFERROR(__xludf.DUMMYFUNCTION("REGEXREPLACE(MID(H1168, SEARCH(""["", H1168) + 1, SEARCH(""]"", H1168) - SEARCH(""["", H1168) - 1), ""\[\]"","""")"),"Mira Loma HS")</f>
        <v>Mira Loma HS</v>
      </c>
      <c r="J1168" s="1">
        <v>40.0</v>
      </c>
      <c r="K1168" s="1">
        <v>1.0</v>
      </c>
    </row>
    <row r="1169">
      <c r="A1169" s="1">
        <v>1.0</v>
      </c>
      <c r="B1169" s="1">
        <v>4.0</v>
      </c>
      <c r="C1169" s="1">
        <v>1.0</v>
      </c>
      <c r="D1169" s="1">
        <v>4.0</v>
      </c>
      <c r="E1169" s="1">
        <v>0.0</v>
      </c>
      <c r="F1169" s="1">
        <v>0.0</v>
      </c>
      <c r="G1169" s="2">
        <v>1.0</v>
      </c>
      <c r="H1169" s="1" t="s">
        <v>221</v>
      </c>
      <c r="I1169" s="1" t="str">
        <f>IFERROR(__xludf.DUMMYFUNCTION("REGEXREPLACE(MID(H1169, SEARCH(""["", H1169) + 1, SEARCH(""]"", H1169) - SEARCH(""["", H1169) - 1), ""\[\]"","""")"),"Mira Loma HS")</f>
        <v>Mira Loma HS</v>
      </c>
      <c r="J1169" s="1">
        <v>4.0</v>
      </c>
      <c r="K1169" s="1">
        <v>0.0</v>
      </c>
    </row>
    <row r="1170">
      <c r="A1170" s="1">
        <v>3.0</v>
      </c>
      <c r="B1170" s="1">
        <v>12.0</v>
      </c>
      <c r="C1170" s="1">
        <v>0.0</v>
      </c>
      <c r="D1170" s="1">
        <v>0.0</v>
      </c>
      <c r="E1170" s="1">
        <v>0.0</v>
      </c>
      <c r="F1170" s="1">
        <v>0.0</v>
      </c>
      <c r="G1170" s="2">
        <v>0.0</v>
      </c>
      <c r="H1170" s="1" t="s">
        <v>221</v>
      </c>
      <c r="I1170" s="1" t="str">
        <f>IFERROR(__xludf.DUMMYFUNCTION("REGEXREPLACE(MID(H1170, SEARCH(""["", H1170) + 1, SEARCH(""]"", H1170) - SEARCH(""["", H1170) - 1), ""\[\]"","""")"),"Mira Loma HS")</f>
        <v>Mira Loma HS</v>
      </c>
      <c r="J1170" s="1">
        <v>0.0</v>
      </c>
      <c r="K1170" s="1">
        <v>0.0</v>
      </c>
    </row>
    <row r="1171">
      <c r="A1171" s="1">
        <v>1.0</v>
      </c>
      <c r="B1171" s="1">
        <v>4.0</v>
      </c>
      <c r="C1171" s="1">
        <v>0.0</v>
      </c>
      <c r="D1171" s="1">
        <v>0.0</v>
      </c>
      <c r="E1171" s="1">
        <v>0.0</v>
      </c>
      <c r="F1171" s="1">
        <v>0.0</v>
      </c>
      <c r="G1171" s="2">
        <v>0.0</v>
      </c>
      <c r="H1171" s="1" t="s">
        <v>270</v>
      </c>
      <c r="I1171" s="1" t="str">
        <f>IFERROR(__xludf.DUMMYFUNCTION("REGEXREPLACE(MID(H1171, SEARCH(""["", H1171) + 1, SEARCH(""]"", H1171) - SEARCH(""["", H1171) - 1), ""\[\]"","""")"),"Mira Loma HS")</f>
        <v>Mira Loma HS</v>
      </c>
      <c r="J1171" s="1">
        <v>0.0</v>
      </c>
      <c r="K1171" s="1">
        <v>0.0</v>
      </c>
    </row>
    <row r="1172">
      <c r="A1172" s="1">
        <v>1.0</v>
      </c>
      <c r="B1172" s="1">
        <v>4.0</v>
      </c>
      <c r="C1172" s="1">
        <v>0.0</v>
      </c>
      <c r="D1172" s="1">
        <v>0.0</v>
      </c>
      <c r="E1172" s="1">
        <v>0.0</v>
      </c>
      <c r="F1172" s="1">
        <v>0.0</v>
      </c>
      <c r="G1172" s="2">
        <v>0.0</v>
      </c>
      <c r="H1172" s="1" t="s">
        <v>270</v>
      </c>
      <c r="I1172" s="1" t="str">
        <f>IFERROR(__xludf.DUMMYFUNCTION("REGEXREPLACE(MID(H1172, SEARCH(""["", H1172) + 1, SEARCH(""]"", H1172) - SEARCH(""["", H1172) - 1), ""\[\]"","""")"),"Mira Loma HS")</f>
        <v>Mira Loma HS</v>
      </c>
      <c r="J1172" s="1">
        <v>0.0</v>
      </c>
      <c r="K1172" s="1">
        <v>0.0</v>
      </c>
    </row>
    <row r="1173">
      <c r="A1173" s="1">
        <v>1.0</v>
      </c>
      <c r="B1173" s="1">
        <v>4.0</v>
      </c>
      <c r="C1173" s="1">
        <v>0.0</v>
      </c>
      <c r="D1173" s="1">
        <v>0.0</v>
      </c>
      <c r="E1173" s="1">
        <v>0.0</v>
      </c>
      <c r="F1173" s="1">
        <v>0.0</v>
      </c>
      <c r="G1173" s="2">
        <v>0.0</v>
      </c>
      <c r="H1173" s="1" t="s">
        <v>228</v>
      </c>
      <c r="I1173" s="1" t="str">
        <f>IFERROR(__xludf.DUMMYFUNCTION("REGEXREPLACE(MID(H1173, SEARCH(""["", H1173) + 1, SEARCH(""]"", H1173) - SEARCH(""["", H1173) - 1), ""\[\]"","""")"),"Naperville North")</f>
        <v>Naperville North</v>
      </c>
      <c r="J1173" s="1">
        <v>0.0</v>
      </c>
      <c r="K1173" s="1">
        <v>0.0</v>
      </c>
    </row>
    <row r="1174">
      <c r="A1174" s="1">
        <v>4.0</v>
      </c>
      <c r="B1174" s="1">
        <v>16.0</v>
      </c>
      <c r="C1174" s="1">
        <v>5.0</v>
      </c>
      <c r="D1174" s="1">
        <v>3.0</v>
      </c>
      <c r="E1174" s="1">
        <v>0.0</v>
      </c>
      <c r="F1174" s="1">
        <v>0.0</v>
      </c>
      <c r="G1174" s="2">
        <v>0.6</v>
      </c>
      <c r="H1174" s="1" t="s">
        <v>228</v>
      </c>
      <c r="I1174" s="1" t="str">
        <f>IFERROR(__xludf.DUMMYFUNCTION("REGEXREPLACE(MID(H1174, SEARCH(""["", H1174) + 1, SEARCH(""]"", H1174) - SEARCH(""["", H1174) - 1), ""\[\]"","""")"),"Naperville North")</f>
        <v>Naperville North</v>
      </c>
      <c r="J1174" s="1">
        <v>12.0</v>
      </c>
      <c r="K1174" s="1">
        <v>0.0</v>
      </c>
    </row>
    <row r="1175">
      <c r="A1175" s="1">
        <v>1.0</v>
      </c>
      <c r="B1175" s="1">
        <v>4.0</v>
      </c>
      <c r="C1175" s="1">
        <v>1.0</v>
      </c>
      <c r="D1175" s="1">
        <v>0.0</v>
      </c>
      <c r="E1175" s="1">
        <v>0.0</v>
      </c>
      <c r="F1175" s="1">
        <v>0.0</v>
      </c>
      <c r="G1175" s="2">
        <v>0.0</v>
      </c>
      <c r="H1175" s="1" t="s">
        <v>273</v>
      </c>
      <c r="I1175" s="1" t="str">
        <f>IFERROR(__xludf.DUMMYFUNCTION("REGEXREPLACE(MID(H1175, SEARCH(""["", H1175) + 1, SEARCH(""]"", H1175) - SEARCH(""["", H1175) - 1), ""\[\]"","""")"),"Naperville North")</f>
        <v>Naperville North</v>
      </c>
      <c r="J1175" s="1">
        <v>0.0</v>
      </c>
      <c r="K1175" s="1">
        <v>0.0</v>
      </c>
    </row>
    <row r="1176">
      <c r="A1176" s="1">
        <v>3.0</v>
      </c>
      <c r="B1176" s="1">
        <v>12.0</v>
      </c>
      <c r="C1176" s="1">
        <v>2.0</v>
      </c>
      <c r="D1176" s="1">
        <v>1.33</v>
      </c>
      <c r="E1176" s="1">
        <v>0.0</v>
      </c>
      <c r="F1176" s="1">
        <v>0.0</v>
      </c>
      <c r="G1176" s="2">
        <v>0.5</v>
      </c>
      <c r="H1176" s="1" t="s">
        <v>273</v>
      </c>
      <c r="I1176" s="1" t="str">
        <f>IFERROR(__xludf.DUMMYFUNCTION("REGEXREPLACE(MID(H1176, SEARCH(""["", H1176) + 1, SEARCH(""]"", H1176) - SEARCH(""["", H1176) - 1), ""\[\]"","""")"),"Naperville North")</f>
        <v>Naperville North</v>
      </c>
      <c r="J1176" s="1">
        <v>4.0</v>
      </c>
      <c r="K1176" s="1">
        <v>0.0</v>
      </c>
    </row>
    <row r="1177">
      <c r="A1177" s="1">
        <v>1.0</v>
      </c>
      <c r="B1177" s="1">
        <v>4.0</v>
      </c>
      <c r="C1177" s="1">
        <v>1.0</v>
      </c>
      <c r="D1177" s="1">
        <v>4.0</v>
      </c>
      <c r="E1177" s="1">
        <v>0.0</v>
      </c>
      <c r="F1177" s="1">
        <v>0.0</v>
      </c>
      <c r="G1177" s="2">
        <v>1.0</v>
      </c>
      <c r="H1177" s="1" t="s">
        <v>273</v>
      </c>
      <c r="I1177" s="1" t="str">
        <f>IFERROR(__xludf.DUMMYFUNCTION("REGEXREPLACE(MID(H1177, SEARCH(""["", H1177) + 1, SEARCH(""]"", H1177) - SEARCH(""["", H1177) - 1), ""\[\]"","""")"),"Naperville North")</f>
        <v>Naperville North</v>
      </c>
      <c r="J1177" s="1">
        <v>4.0</v>
      </c>
      <c r="K1177" s="1">
        <v>0.0</v>
      </c>
    </row>
    <row r="1178">
      <c r="A1178" s="1">
        <v>1.0</v>
      </c>
      <c r="B1178" s="1">
        <v>4.0</v>
      </c>
      <c r="C1178" s="1">
        <v>1.0</v>
      </c>
      <c r="D1178" s="1">
        <v>0.0</v>
      </c>
      <c r="E1178" s="1">
        <v>0.0</v>
      </c>
      <c r="F1178" s="1">
        <v>0.0</v>
      </c>
      <c r="G1178" s="2">
        <v>0.0</v>
      </c>
      <c r="H1178" s="1" t="s">
        <v>275</v>
      </c>
      <c r="I1178" s="1" t="str">
        <f>IFERROR(__xludf.DUMMYFUNCTION("REGEXREPLACE(MID(H1178, SEARCH(""["", H1178) + 1, SEARCH(""]"", H1178) - SEARCH(""["", H1178) - 1), ""\[\]"","""")"),"Naperville North")</f>
        <v>Naperville North</v>
      </c>
      <c r="J1178" s="1">
        <v>0.0</v>
      </c>
      <c r="K1178" s="1">
        <v>0.0</v>
      </c>
    </row>
    <row r="1179">
      <c r="A1179" s="1">
        <v>3.0</v>
      </c>
      <c r="B1179" s="1">
        <v>13.0</v>
      </c>
      <c r="C1179" s="1">
        <v>2.0</v>
      </c>
      <c r="D1179" s="1">
        <v>-1.33</v>
      </c>
      <c r="E1179" s="1">
        <v>0.33</v>
      </c>
      <c r="F1179" s="1">
        <v>0.0</v>
      </c>
      <c r="G1179" s="2">
        <v>0.0</v>
      </c>
      <c r="H1179" s="1" t="s">
        <v>275</v>
      </c>
      <c r="I1179" s="1" t="str">
        <f>IFERROR(__xludf.DUMMYFUNCTION("REGEXREPLACE(MID(H1179, SEARCH(""["", H1179) + 1, SEARCH(""]"", H1179) - SEARCH(""["", H1179) - 1), ""\[\]"","""")"),"Naperville North")</f>
        <v>Naperville North</v>
      </c>
      <c r="J1179" s="1">
        <v>-4.0</v>
      </c>
      <c r="K1179" s="1">
        <v>1.0</v>
      </c>
    </row>
    <row r="1180">
      <c r="A1180" s="1">
        <v>2.0</v>
      </c>
      <c r="B1180" s="1">
        <v>8.0</v>
      </c>
      <c r="C1180" s="1">
        <v>0.0</v>
      </c>
      <c r="D1180" s="1">
        <v>0.0</v>
      </c>
      <c r="E1180" s="1">
        <v>0.0</v>
      </c>
      <c r="F1180" s="1">
        <v>0.0</v>
      </c>
      <c r="G1180" s="2">
        <v>0.0</v>
      </c>
      <c r="H1180" s="1" t="s">
        <v>276</v>
      </c>
      <c r="I1180" s="1" t="str">
        <f>IFERROR(__xludf.DUMMYFUNCTION("REGEXREPLACE(MID(H1180, SEARCH(""["", H1180) + 1, SEARCH(""]"", H1180) - SEARCH(""["", H1180) - 1), ""\[\]"","""")"),"Naperville North")</f>
        <v>Naperville North</v>
      </c>
      <c r="J1180" s="1">
        <v>0.0</v>
      </c>
      <c r="K1180" s="1">
        <v>0.0</v>
      </c>
    </row>
    <row r="1181">
      <c r="A1181" s="1">
        <v>2.0</v>
      </c>
      <c r="B1181" s="1">
        <v>9.0</v>
      </c>
      <c r="C1181" s="1">
        <v>1.0</v>
      </c>
      <c r="D1181" s="1">
        <v>2.0</v>
      </c>
      <c r="E1181" s="1">
        <v>0.0</v>
      </c>
      <c r="F1181" s="1">
        <v>0.0</v>
      </c>
      <c r="G1181" s="2">
        <v>1.0</v>
      </c>
      <c r="H1181" s="1" t="s">
        <v>276</v>
      </c>
      <c r="I1181" s="1" t="str">
        <f>IFERROR(__xludf.DUMMYFUNCTION("REGEXREPLACE(MID(H1181, SEARCH(""["", H1181) + 1, SEARCH(""]"", H1181) - SEARCH(""["", H1181) - 1), ""\[\]"","""")"),"Naperville North")</f>
        <v>Naperville North</v>
      </c>
      <c r="J1181" s="1">
        <v>4.0</v>
      </c>
      <c r="K1181" s="1">
        <v>0.0</v>
      </c>
    </row>
    <row r="1182">
      <c r="A1182" s="1">
        <v>1.0</v>
      </c>
      <c r="B1182" s="1">
        <v>4.0</v>
      </c>
      <c r="C1182" s="1">
        <v>0.0</v>
      </c>
      <c r="D1182" s="1">
        <v>0.0</v>
      </c>
      <c r="E1182" s="1">
        <v>0.0</v>
      </c>
      <c r="F1182" s="1">
        <v>0.0</v>
      </c>
      <c r="G1182" s="2">
        <v>0.0</v>
      </c>
      <c r="H1182" s="1" t="s">
        <v>277</v>
      </c>
      <c r="I1182" s="1" t="str">
        <f>IFERROR(__xludf.DUMMYFUNCTION("REGEXREPLACE(MID(H1182, SEARCH(""["", H1182) + 1, SEARCH(""]"", H1182) - SEARCH(""["", H1182) - 1), ""\[\]"","""")"),"Niskayuna HS")</f>
        <v>Niskayuna HS</v>
      </c>
      <c r="J1182" s="1">
        <v>0.0</v>
      </c>
      <c r="K1182" s="1">
        <v>0.0</v>
      </c>
    </row>
    <row r="1183">
      <c r="A1183" s="1">
        <v>4.0</v>
      </c>
      <c r="B1183" s="1">
        <v>16.0</v>
      </c>
      <c r="C1183" s="1">
        <v>3.0</v>
      </c>
      <c r="D1183" s="1">
        <v>0.0</v>
      </c>
      <c r="E1183" s="1">
        <v>0.25</v>
      </c>
      <c r="F1183" s="1">
        <v>0.0</v>
      </c>
      <c r="G1183" s="6">
        <v>0.333</v>
      </c>
      <c r="H1183" s="1" t="s">
        <v>277</v>
      </c>
      <c r="I1183" s="1" t="str">
        <f>IFERROR(__xludf.DUMMYFUNCTION("REGEXREPLACE(MID(H1183, SEARCH(""["", H1183) + 1, SEARCH(""]"", H1183) - SEARCH(""["", H1183) - 1), ""\[\]"","""")"),"Niskayuna HS")</f>
        <v>Niskayuna HS</v>
      </c>
      <c r="J1183" s="1">
        <v>0.0</v>
      </c>
      <c r="K1183" s="1">
        <v>1.0</v>
      </c>
    </row>
    <row r="1184">
      <c r="A1184" s="1">
        <v>1.0</v>
      </c>
      <c r="B1184" s="1">
        <v>4.0</v>
      </c>
      <c r="C1184" s="1">
        <v>0.0</v>
      </c>
      <c r="D1184" s="1">
        <v>0.0</v>
      </c>
      <c r="E1184" s="1">
        <v>0.0</v>
      </c>
      <c r="F1184" s="1">
        <v>0.0</v>
      </c>
      <c r="G1184" s="2">
        <v>0.0</v>
      </c>
      <c r="H1184" s="1" t="s">
        <v>172</v>
      </c>
      <c r="I1184" s="1" t="str">
        <f>IFERROR(__xludf.DUMMYFUNCTION("REGEXREPLACE(MID(H1184, SEARCH(""["", H1184) + 1, SEARCH(""]"", H1184) - SEARCH(""["", H1184) - 1), ""\[\]"","""")"),"Niskayuna HS")</f>
        <v>Niskayuna HS</v>
      </c>
      <c r="J1184" s="1">
        <v>0.0</v>
      </c>
      <c r="K1184" s="1">
        <v>0.0</v>
      </c>
    </row>
    <row r="1185">
      <c r="A1185" s="1">
        <v>3.0</v>
      </c>
      <c r="B1185" s="1">
        <v>12.0</v>
      </c>
      <c r="C1185" s="1">
        <v>0.0</v>
      </c>
      <c r="D1185" s="1">
        <v>0.0</v>
      </c>
      <c r="E1185" s="1">
        <v>0.0</v>
      </c>
      <c r="F1185" s="1">
        <v>0.0</v>
      </c>
      <c r="G1185" s="2">
        <v>0.0</v>
      </c>
      <c r="H1185" s="1" t="s">
        <v>172</v>
      </c>
      <c r="I1185" s="1" t="str">
        <f>IFERROR(__xludf.DUMMYFUNCTION("REGEXREPLACE(MID(H1185, SEARCH(""["", H1185) + 1, SEARCH(""]"", H1185) - SEARCH(""["", H1185) - 1), ""\[\]"","""")"),"Niskayuna HS")</f>
        <v>Niskayuna HS</v>
      </c>
      <c r="J1185" s="1">
        <v>0.0</v>
      </c>
      <c r="K1185" s="1">
        <v>0.0</v>
      </c>
    </row>
    <row r="1186">
      <c r="A1186" s="1">
        <v>1.0</v>
      </c>
      <c r="B1186" s="1">
        <v>4.0</v>
      </c>
      <c r="C1186" s="1">
        <v>0.0</v>
      </c>
      <c r="D1186" s="1">
        <v>0.0</v>
      </c>
      <c r="E1186" s="1">
        <v>0.0</v>
      </c>
      <c r="F1186" s="1">
        <v>0.0</v>
      </c>
      <c r="G1186" s="2">
        <v>0.0</v>
      </c>
      <c r="H1186" s="1" t="s">
        <v>279</v>
      </c>
      <c r="I1186" s="1" t="str">
        <f>IFERROR(__xludf.DUMMYFUNCTION("REGEXREPLACE(MID(H1186, SEARCH(""["", H1186) + 1, SEARCH(""]"", H1186) - SEARCH(""["", H1186) - 1), ""\[\]"","""")"),"Niskayuna HS")</f>
        <v>Niskayuna HS</v>
      </c>
      <c r="J1186" s="1">
        <v>0.0</v>
      </c>
      <c r="K1186" s="1">
        <v>0.0</v>
      </c>
    </row>
    <row r="1187">
      <c r="A1187" s="1">
        <v>4.0</v>
      </c>
      <c r="B1187" s="1">
        <v>16.0</v>
      </c>
      <c r="C1187" s="1">
        <v>4.0</v>
      </c>
      <c r="D1187" s="1">
        <v>1.0</v>
      </c>
      <c r="E1187" s="1">
        <v>0.25</v>
      </c>
      <c r="F1187" s="1">
        <v>0.0</v>
      </c>
      <c r="G1187" s="2">
        <v>0.5</v>
      </c>
      <c r="H1187" s="1" t="s">
        <v>279</v>
      </c>
      <c r="I1187" s="1" t="str">
        <f>IFERROR(__xludf.DUMMYFUNCTION("REGEXREPLACE(MID(H1187, SEARCH(""["", H1187) + 1, SEARCH(""]"", H1187) - SEARCH(""["", H1187) - 1), ""\[\]"","""")"),"Niskayuna HS")</f>
        <v>Niskayuna HS</v>
      </c>
      <c r="J1187" s="1">
        <v>4.0</v>
      </c>
      <c r="K1187" s="1">
        <v>1.0</v>
      </c>
    </row>
    <row r="1188">
      <c r="A1188" s="1">
        <v>1.0</v>
      </c>
      <c r="B1188" s="1">
        <v>4.0</v>
      </c>
      <c r="C1188" s="1">
        <v>0.0</v>
      </c>
      <c r="D1188" s="1">
        <v>0.0</v>
      </c>
      <c r="E1188" s="1">
        <v>0.0</v>
      </c>
      <c r="F1188" s="1">
        <v>0.0</v>
      </c>
      <c r="G1188" s="2">
        <v>0.0</v>
      </c>
      <c r="H1188" s="1" t="s">
        <v>280</v>
      </c>
      <c r="I1188" s="1" t="str">
        <f>IFERROR(__xludf.DUMMYFUNCTION("REGEXREPLACE(MID(H1188, SEARCH(""["", H1188) + 1, SEARCH(""]"", H1188) - SEARCH(""["", H1188) - 1), ""\[\]"","""")"),"Niskayuna HS")</f>
        <v>Niskayuna HS</v>
      </c>
      <c r="J1188" s="1">
        <v>0.0</v>
      </c>
      <c r="K1188" s="1">
        <v>0.0</v>
      </c>
    </row>
    <row r="1189">
      <c r="A1189" s="1">
        <v>1.0</v>
      </c>
      <c r="B1189" s="1">
        <v>4.0</v>
      </c>
      <c r="C1189" s="1">
        <v>1.0</v>
      </c>
      <c r="D1189" s="1">
        <v>4.0</v>
      </c>
      <c r="E1189" s="1">
        <v>0.0</v>
      </c>
      <c r="F1189" s="1">
        <v>0.0</v>
      </c>
      <c r="G1189" s="2">
        <v>1.0</v>
      </c>
      <c r="H1189" s="1" t="s">
        <v>281</v>
      </c>
      <c r="I1189" s="1" t="str">
        <f>IFERROR(__xludf.DUMMYFUNCTION("REGEXREPLACE(MID(H1189, SEARCH(""["", H1189) + 1, SEARCH(""]"", H1189) - SEARCH(""["", H1189) - 1), ""\[\]"","""")"),"Niskayuna HS")</f>
        <v>Niskayuna HS</v>
      </c>
      <c r="J1189" s="1">
        <v>4.0</v>
      </c>
      <c r="K1189" s="1">
        <v>0.0</v>
      </c>
    </row>
    <row r="1190">
      <c r="A1190" s="1">
        <v>4.0</v>
      </c>
      <c r="B1190" s="1">
        <v>16.0</v>
      </c>
      <c r="C1190" s="1">
        <v>0.0</v>
      </c>
      <c r="D1190" s="1">
        <v>0.0</v>
      </c>
      <c r="E1190" s="1">
        <v>0.0</v>
      </c>
      <c r="F1190" s="1">
        <v>0.0</v>
      </c>
      <c r="G1190" s="2">
        <v>0.0</v>
      </c>
      <c r="H1190" s="1" t="s">
        <v>281</v>
      </c>
      <c r="I1190" s="1" t="str">
        <f>IFERROR(__xludf.DUMMYFUNCTION("REGEXREPLACE(MID(H1190, SEARCH(""["", H1190) + 1, SEARCH(""]"", H1190) - SEARCH(""["", H1190) - 1), ""\[\]"","""")"),"Niskayuna HS")</f>
        <v>Niskayuna HS</v>
      </c>
      <c r="J1190" s="1">
        <v>0.0</v>
      </c>
      <c r="K1190" s="1">
        <v>0.0</v>
      </c>
    </row>
    <row r="1191">
      <c r="A1191" s="1">
        <v>2.0</v>
      </c>
      <c r="B1191" s="1">
        <v>8.0</v>
      </c>
      <c r="C1191" s="1">
        <v>0.0</v>
      </c>
      <c r="D1191" s="1">
        <v>0.0</v>
      </c>
      <c r="E1191" s="1">
        <v>0.0</v>
      </c>
      <c r="F1191" s="1">
        <v>0.0</v>
      </c>
      <c r="G1191" s="2">
        <v>0.0</v>
      </c>
      <c r="H1191" s="1" t="s">
        <v>282</v>
      </c>
      <c r="I1191" s="1" t="str">
        <f>IFERROR(__xludf.DUMMYFUNCTION("REGEXREPLACE(MID(H1191, SEARCH(""["", H1191) + 1, SEARCH(""]"", H1191) - SEARCH(""["", H1191) - 1), ""\[\]"","""")"),"NoHo 1")</f>
        <v>NoHo 1</v>
      </c>
      <c r="J1191" s="1">
        <v>0.0</v>
      </c>
      <c r="K1191" s="1">
        <v>0.0</v>
      </c>
    </row>
    <row r="1192">
      <c r="A1192" s="1">
        <v>1.0</v>
      </c>
      <c r="B1192" s="1">
        <v>4.0</v>
      </c>
      <c r="C1192" s="1">
        <v>0.0</v>
      </c>
      <c r="D1192" s="1">
        <v>0.0</v>
      </c>
      <c r="E1192" s="1">
        <v>0.0</v>
      </c>
      <c r="F1192" s="1">
        <v>0.0</v>
      </c>
      <c r="G1192" s="2">
        <v>0.0</v>
      </c>
      <c r="H1192" s="1" t="s">
        <v>282</v>
      </c>
      <c r="I1192" s="1" t="str">
        <f>IFERROR(__xludf.DUMMYFUNCTION("REGEXREPLACE(MID(H1192, SEARCH(""["", H1192) + 1, SEARCH(""]"", H1192) - SEARCH(""["", H1192) - 1), ""\[\]"","""")"),"NoHo 1")</f>
        <v>NoHo 1</v>
      </c>
      <c r="J1192" s="1">
        <v>0.0</v>
      </c>
      <c r="K1192" s="1">
        <v>0.0</v>
      </c>
    </row>
    <row r="1193">
      <c r="A1193" s="1">
        <v>3.0</v>
      </c>
      <c r="B1193" s="1">
        <v>12.0</v>
      </c>
      <c r="C1193" s="1">
        <v>0.0</v>
      </c>
      <c r="D1193" s="1">
        <v>0.0</v>
      </c>
      <c r="E1193" s="1">
        <v>0.0</v>
      </c>
      <c r="F1193" s="1">
        <v>0.0</v>
      </c>
      <c r="G1193" s="2">
        <v>0.0</v>
      </c>
      <c r="H1193" s="1" t="s">
        <v>283</v>
      </c>
      <c r="I1193" s="1" t="str">
        <f>IFERROR(__xludf.DUMMYFUNCTION("REGEXREPLACE(MID(H1193, SEARCH(""["", H1193) + 1, SEARCH(""]"", H1193) - SEARCH(""["", H1193) - 1), ""\[\]"","""")"),"NoHo 1")</f>
        <v>NoHo 1</v>
      </c>
      <c r="J1193" s="1">
        <v>0.0</v>
      </c>
      <c r="K1193" s="1">
        <v>0.0</v>
      </c>
    </row>
    <row r="1194">
      <c r="A1194" s="1">
        <v>1.0</v>
      </c>
      <c r="B1194" s="1">
        <v>4.0</v>
      </c>
      <c r="C1194" s="1">
        <v>0.0</v>
      </c>
      <c r="D1194" s="1">
        <v>0.0</v>
      </c>
      <c r="E1194" s="1">
        <v>0.0</v>
      </c>
      <c r="F1194" s="1">
        <v>0.0</v>
      </c>
      <c r="G1194" s="2">
        <v>0.0</v>
      </c>
      <c r="H1194" s="1" t="s">
        <v>283</v>
      </c>
      <c r="I1194" s="1" t="str">
        <f>IFERROR(__xludf.DUMMYFUNCTION("REGEXREPLACE(MID(H1194, SEARCH(""["", H1194) + 1, SEARCH(""]"", H1194) - SEARCH(""["", H1194) - 1), ""\[\]"","""")"),"NoHo 1")</f>
        <v>NoHo 1</v>
      </c>
      <c r="J1194" s="1">
        <v>0.0</v>
      </c>
      <c r="K1194" s="1">
        <v>0.0</v>
      </c>
    </row>
    <row r="1195">
      <c r="A1195" s="1">
        <v>1.0</v>
      </c>
      <c r="B1195" s="1">
        <v>4.0</v>
      </c>
      <c r="C1195" s="1">
        <v>0.0</v>
      </c>
      <c r="D1195" s="1">
        <v>0.0</v>
      </c>
      <c r="E1195" s="1">
        <v>0.0</v>
      </c>
      <c r="F1195" s="1">
        <v>0.0</v>
      </c>
      <c r="G1195" s="2">
        <v>0.0</v>
      </c>
      <c r="H1195" s="1" t="s">
        <v>284</v>
      </c>
      <c r="I1195" s="1" t="str">
        <f>IFERROR(__xludf.DUMMYFUNCTION("REGEXREPLACE(MID(H1195, SEARCH(""["", H1195) + 1, SEARCH(""]"", H1195) - SEARCH(""["", H1195) - 1), ""\[\]"","""")"),"NoHo 1")</f>
        <v>NoHo 1</v>
      </c>
      <c r="J1195" s="1">
        <v>0.0</v>
      </c>
      <c r="K1195" s="1">
        <v>0.0</v>
      </c>
    </row>
    <row r="1196">
      <c r="A1196" s="1">
        <v>1.0</v>
      </c>
      <c r="B1196" s="1">
        <v>4.0</v>
      </c>
      <c r="C1196" s="1">
        <v>0.0</v>
      </c>
      <c r="D1196" s="1">
        <v>0.0</v>
      </c>
      <c r="E1196" s="1">
        <v>0.0</v>
      </c>
      <c r="F1196" s="1">
        <v>0.0</v>
      </c>
      <c r="G1196" s="2">
        <v>0.0</v>
      </c>
      <c r="H1196" s="1" t="s">
        <v>284</v>
      </c>
      <c r="I1196" s="1" t="str">
        <f>IFERROR(__xludf.DUMMYFUNCTION("REGEXREPLACE(MID(H1196, SEARCH(""["", H1196) + 1, SEARCH(""]"", H1196) - SEARCH(""["", H1196) - 1), ""\[\]"","""")"),"NoHo 1")</f>
        <v>NoHo 1</v>
      </c>
      <c r="J1196" s="1">
        <v>0.0</v>
      </c>
      <c r="K1196" s="1">
        <v>0.0</v>
      </c>
    </row>
    <row r="1197">
      <c r="A1197" s="1">
        <v>1.0</v>
      </c>
      <c r="B1197" s="1">
        <v>4.0</v>
      </c>
      <c r="C1197" s="1">
        <v>4.0</v>
      </c>
      <c r="D1197" s="1">
        <v>4.0</v>
      </c>
      <c r="E1197" s="1">
        <v>1.0</v>
      </c>
      <c r="F1197" s="1">
        <v>0.0</v>
      </c>
      <c r="G1197" s="2">
        <v>0.5</v>
      </c>
      <c r="H1197" s="1" t="s">
        <v>52</v>
      </c>
      <c r="I1197" s="1" t="str">
        <f>IFERROR(__xludf.DUMMYFUNCTION("REGEXREPLACE(MID(H1197, SEARCH(""["", H1197) + 1, SEARCH(""]"", H1197) - SEARCH(""["", H1197) - 1), ""\[\]"","""")"),"NoHo 1")</f>
        <v>NoHo 1</v>
      </c>
      <c r="J1197" s="1">
        <v>4.0</v>
      </c>
      <c r="K1197" s="1">
        <v>1.0</v>
      </c>
    </row>
    <row r="1198">
      <c r="A1198" s="1">
        <v>3.0</v>
      </c>
      <c r="B1198" s="1">
        <v>12.0</v>
      </c>
      <c r="C1198" s="1">
        <v>5.0</v>
      </c>
      <c r="D1198" s="1">
        <v>6.67</v>
      </c>
      <c r="E1198" s="1">
        <v>0.0</v>
      </c>
      <c r="F1198" s="1">
        <v>0.0</v>
      </c>
      <c r="G1198" s="2">
        <v>1.0</v>
      </c>
      <c r="H1198" s="1" t="s">
        <v>52</v>
      </c>
      <c r="I1198" s="1" t="str">
        <f>IFERROR(__xludf.DUMMYFUNCTION("REGEXREPLACE(MID(H1198, SEARCH(""["", H1198) + 1, SEARCH(""]"", H1198) - SEARCH(""["", H1198) - 1), ""\[\]"","""")"),"NoHo 1")</f>
        <v>NoHo 1</v>
      </c>
      <c r="J1198" s="1">
        <v>20.0</v>
      </c>
      <c r="K1198" s="1">
        <v>0.0</v>
      </c>
    </row>
    <row r="1199">
      <c r="A1199" s="1">
        <v>1.0</v>
      </c>
      <c r="B1199" s="1">
        <v>4.0</v>
      </c>
      <c r="C1199" s="1">
        <v>3.0</v>
      </c>
      <c r="D1199" s="1">
        <v>0.0</v>
      </c>
      <c r="E1199" s="1">
        <v>1.0</v>
      </c>
      <c r="F1199" s="1">
        <v>0.0</v>
      </c>
      <c r="G1199" s="6">
        <v>0.333</v>
      </c>
      <c r="H1199" s="1" t="s">
        <v>52</v>
      </c>
      <c r="I1199" s="1" t="str">
        <f>IFERROR(__xludf.DUMMYFUNCTION("REGEXREPLACE(MID(H1199, SEARCH(""["", H1199) + 1, SEARCH(""]"", H1199) - SEARCH(""["", H1199) - 1), ""\[\]"","""")"),"NoHo 1")</f>
        <v>NoHo 1</v>
      </c>
      <c r="J1199" s="1">
        <v>0.0</v>
      </c>
      <c r="K1199" s="1">
        <v>1.0</v>
      </c>
    </row>
    <row r="1200">
      <c r="A1200" s="1">
        <v>1.0</v>
      </c>
      <c r="B1200" s="1">
        <v>4.0</v>
      </c>
      <c r="C1200" s="1">
        <v>0.0</v>
      </c>
      <c r="D1200" s="1">
        <v>0.0</v>
      </c>
      <c r="E1200" s="1">
        <v>0.0</v>
      </c>
      <c r="F1200" s="1">
        <v>0.0</v>
      </c>
      <c r="G1200" s="2">
        <v>0.0</v>
      </c>
      <c r="H1200" s="1" t="s">
        <v>223</v>
      </c>
      <c r="I1200" s="1" t="str">
        <f>IFERROR(__xludf.DUMMYFUNCTION("REGEXREPLACE(MID(H1200, SEARCH(""["", H1200) + 1, SEARCH(""]"", H1200) - SEARCH(""["", H1200) - 1), ""\[\]"","""")"),"NoHo 2")</f>
        <v>NoHo 2</v>
      </c>
      <c r="J1200" s="1">
        <v>0.0</v>
      </c>
      <c r="K1200" s="1">
        <v>0.0</v>
      </c>
    </row>
    <row r="1201">
      <c r="A1201" s="1">
        <v>1.0</v>
      </c>
      <c r="B1201" s="1">
        <v>4.0</v>
      </c>
      <c r="C1201" s="1">
        <v>0.0</v>
      </c>
      <c r="D1201" s="1">
        <v>0.0</v>
      </c>
      <c r="E1201" s="1">
        <v>0.0</v>
      </c>
      <c r="F1201" s="1">
        <v>0.0</v>
      </c>
      <c r="G1201" s="2">
        <v>0.0</v>
      </c>
      <c r="H1201" s="1" t="s">
        <v>223</v>
      </c>
      <c r="I1201" s="1" t="str">
        <f>IFERROR(__xludf.DUMMYFUNCTION("REGEXREPLACE(MID(H1201, SEARCH(""["", H1201) + 1, SEARCH(""]"", H1201) - SEARCH(""["", H1201) - 1), ""\[\]"","""")"),"NoHo 2")</f>
        <v>NoHo 2</v>
      </c>
      <c r="J1201" s="1">
        <v>0.0</v>
      </c>
      <c r="K1201" s="1">
        <v>0.0</v>
      </c>
    </row>
    <row r="1202">
      <c r="A1202" s="1">
        <v>1.0</v>
      </c>
      <c r="B1202" s="1">
        <v>4.0</v>
      </c>
      <c r="C1202" s="1">
        <v>0.0</v>
      </c>
      <c r="D1202" s="1">
        <v>0.0</v>
      </c>
      <c r="E1202" s="1">
        <v>0.0</v>
      </c>
      <c r="F1202" s="1">
        <v>0.0</v>
      </c>
      <c r="G1202" s="2">
        <v>0.0</v>
      </c>
      <c r="H1202" s="1" t="s">
        <v>223</v>
      </c>
      <c r="I1202" s="1" t="str">
        <f>IFERROR(__xludf.DUMMYFUNCTION("REGEXREPLACE(MID(H1202, SEARCH(""["", H1202) + 1, SEARCH(""]"", H1202) - SEARCH(""["", H1202) - 1), ""\[\]"","""")"),"NoHo 2")</f>
        <v>NoHo 2</v>
      </c>
      <c r="J1202" s="1">
        <v>0.0</v>
      </c>
      <c r="K1202" s="1">
        <v>0.0</v>
      </c>
    </row>
    <row r="1203">
      <c r="A1203" s="1">
        <v>1.0</v>
      </c>
      <c r="B1203" s="1">
        <v>4.0</v>
      </c>
      <c r="C1203" s="1">
        <v>1.0</v>
      </c>
      <c r="D1203" s="1">
        <v>-4.0</v>
      </c>
      <c r="E1203" s="1">
        <v>1.0</v>
      </c>
      <c r="F1203" s="1">
        <v>0.0</v>
      </c>
      <c r="G1203" s="2">
        <v>0.0</v>
      </c>
      <c r="H1203" s="1" t="s">
        <v>223</v>
      </c>
      <c r="I1203" s="1" t="str">
        <f>IFERROR(__xludf.DUMMYFUNCTION("REGEXREPLACE(MID(H1203, SEARCH(""["", H1203) + 1, SEARCH(""]"", H1203) - SEARCH(""["", H1203) - 1), ""\[\]"","""")"),"NoHo 2")</f>
        <v>NoHo 2</v>
      </c>
      <c r="J1203" s="1">
        <v>-4.0</v>
      </c>
      <c r="K1203" s="1">
        <v>1.0</v>
      </c>
    </row>
    <row r="1204">
      <c r="A1204" s="1">
        <v>1.0</v>
      </c>
      <c r="B1204" s="1">
        <v>4.0</v>
      </c>
      <c r="C1204" s="1">
        <v>0.0</v>
      </c>
      <c r="D1204" s="1">
        <v>0.0</v>
      </c>
      <c r="E1204" s="1">
        <v>0.0</v>
      </c>
      <c r="F1204" s="1">
        <v>0.0</v>
      </c>
      <c r="G1204" s="2">
        <v>0.0</v>
      </c>
      <c r="H1204" s="1" t="s">
        <v>207</v>
      </c>
      <c r="I1204" s="1" t="str">
        <f>IFERROR(__xludf.DUMMYFUNCTION("REGEXREPLACE(MID(H1204, SEARCH(""["", H1204) + 1, SEARCH(""]"", H1204) - SEARCH(""["", H1204) - 1), ""\[\]"","""")"),"NoHo 2")</f>
        <v>NoHo 2</v>
      </c>
      <c r="J1204" s="1">
        <v>0.0</v>
      </c>
      <c r="K1204" s="1">
        <v>0.0</v>
      </c>
    </row>
    <row r="1205">
      <c r="A1205" s="1">
        <v>1.0</v>
      </c>
      <c r="B1205" s="1">
        <v>4.0</v>
      </c>
      <c r="C1205" s="1">
        <v>0.0</v>
      </c>
      <c r="D1205" s="1">
        <v>0.0</v>
      </c>
      <c r="E1205" s="1">
        <v>0.0</v>
      </c>
      <c r="F1205" s="1">
        <v>0.0</v>
      </c>
      <c r="G1205" s="2">
        <v>0.0</v>
      </c>
      <c r="H1205" s="1" t="s">
        <v>207</v>
      </c>
      <c r="I1205" s="1" t="str">
        <f>IFERROR(__xludf.DUMMYFUNCTION("REGEXREPLACE(MID(H1205, SEARCH(""["", H1205) + 1, SEARCH(""]"", H1205) - SEARCH(""["", H1205) - 1), ""\[\]"","""")"),"NoHo 2")</f>
        <v>NoHo 2</v>
      </c>
      <c r="J1205" s="1">
        <v>0.0</v>
      </c>
      <c r="K1205" s="1">
        <v>0.0</v>
      </c>
    </row>
    <row r="1206">
      <c r="A1206" s="1">
        <v>1.0</v>
      </c>
      <c r="B1206" s="1">
        <v>4.0</v>
      </c>
      <c r="C1206" s="1">
        <v>1.0</v>
      </c>
      <c r="D1206" s="1">
        <v>4.0</v>
      </c>
      <c r="E1206" s="1">
        <v>0.0</v>
      </c>
      <c r="F1206" s="1">
        <v>0.0</v>
      </c>
      <c r="G1206" s="2">
        <v>1.0</v>
      </c>
      <c r="H1206" s="1" t="s">
        <v>207</v>
      </c>
      <c r="I1206" s="1" t="str">
        <f>IFERROR(__xludf.DUMMYFUNCTION("REGEXREPLACE(MID(H1206, SEARCH(""["", H1206) + 1, SEARCH(""]"", H1206) - SEARCH(""["", H1206) - 1), ""\[\]"","""")"),"NoHo 2")</f>
        <v>NoHo 2</v>
      </c>
      <c r="J1206" s="1">
        <v>4.0</v>
      </c>
      <c r="K1206" s="1">
        <v>0.0</v>
      </c>
    </row>
    <row r="1207">
      <c r="A1207" s="1">
        <v>2.0</v>
      </c>
      <c r="B1207" s="1">
        <v>8.0</v>
      </c>
      <c r="C1207" s="1">
        <v>1.0</v>
      </c>
      <c r="D1207" s="1">
        <v>-2.0</v>
      </c>
      <c r="E1207" s="1">
        <v>0.5</v>
      </c>
      <c r="F1207" s="1">
        <v>0.0</v>
      </c>
      <c r="G1207" s="2">
        <v>0.0</v>
      </c>
      <c r="H1207" s="1" t="s">
        <v>207</v>
      </c>
      <c r="I1207" s="1" t="str">
        <f>IFERROR(__xludf.DUMMYFUNCTION("REGEXREPLACE(MID(H1207, SEARCH(""["", H1207) + 1, SEARCH(""]"", H1207) - SEARCH(""["", H1207) - 1), ""\[\]"","""")"),"NoHo 2")</f>
        <v>NoHo 2</v>
      </c>
      <c r="J1207" s="1">
        <v>-4.0</v>
      </c>
      <c r="K1207" s="1">
        <v>1.0</v>
      </c>
    </row>
    <row r="1208">
      <c r="A1208" s="1">
        <v>1.0</v>
      </c>
      <c r="B1208" s="1">
        <v>4.0</v>
      </c>
      <c r="C1208" s="1">
        <v>0.0</v>
      </c>
      <c r="D1208" s="1">
        <v>0.0</v>
      </c>
      <c r="E1208" s="1">
        <v>0.0</v>
      </c>
      <c r="F1208" s="1">
        <v>0.0</v>
      </c>
      <c r="G1208" s="2">
        <v>0.0</v>
      </c>
      <c r="H1208" s="1" t="s">
        <v>288</v>
      </c>
      <c r="I1208" s="1" t="str">
        <f>IFERROR(__xludf.DUMMYFUNCTION("REGEXREPLACE(MID(H1208, SEARCH(""["", H1208) + 1, SEARCH(""]"", H1208) - SEARCH(""["", H1208) - 1), ""\[\]"","""")"),"NoHo 2")</f>
        <v>NoHo 2</v>
      </c>
      <c r="J1208" s="1">
        <v>0.0</v>
      </c>
      <c r="K1208" s="1">
        <v>0.0</v>
      </c>
    </row>
    <row r="1209">
      <c r="A1209" s="1">
        <v>1.0</v>
      </c>
      <c r="B1209" s="1">
        <v>4.0</v>
      </c>
      <c r="C1209" s="1">
        <v>4.0</v>
      </c>
      <c r="D1209" s="1">
        <v>16.0</v>
      </c>
      <c r="E1209" s="1">
        <v>0.0</v>
      </c>
      <c r="F1209" s="1">
        <v>0.0</v>
      </c>
      <c r="G1209" s="2">
        <v>1.0</v>
      </c>
      <c r="H1209" s="1" t="s">
        <v>245</v>
      </c>
      <c r="I1209" s="1" t="str">
        <f>IFERROR(__xludf.DUMMYFUNCTION("REGEXREPLACE(MID(H1209, SEARCH(""["", H1209) + 1, SEARCH(""]"", H1209) - SEARCH(""["", H1209) - 1), ""\[\]"","""")"),"NoHo 2")</f>
        <v>NoHo 2</v>
      </c>
      <c r="J1209" s="1">
        <v>16.0</v>
      </c>
      <c r="K1209" s="1">
        <v>0.0</v>
      </c>
    </row>
    <row r="1210">
      <c r="A1210" s="1">
        <v>1.0</v>
      </c>
      <c r="B1210" s="1">
        <v>4.0</v>
      </c>
      <c r="C1210" s="1">
        <v>3.0</v>
      </c>
      <c r="D1210" s="1">
        <v>4.0</v>
      </c>
      <c r="E1210" s="1">
        <v>1.0</v>
      </c>
      <c r="F1210" s="1">
        <v>0.0</v>
      </c>
      <c r="G1210" s="6">
        <v>0.667</v>
      </c>
      <c r="H1210" s="1" t="s">
        <v>245</v>
      </c>
      <c r="I1210" s="1" t="str">
        <f>IFERROR(__xludf.DUMMYFUNCTION("REGEXREPLACE(MID(H1210, SEARCH(""["", H1210) + 1, SEARCH(""]"", H1210) - SEARCH(""["", H1210) - 1), ""\[\]"","""")"),"NoHo 2")</f>
        <v>NoHo 2</v>
      </c>
      <c r="J1210" s="1">
        <v>4.0</v>
      </c>
      <c r="K1210" s="1">
        <v>1.0</v>
      </c>
    </row>
    <row r="1211">
      <c r="A1211" s="1">
        <v>1.0</v>
      </c>
      <c r="B1211" s="1">
        <v>4.0</v>
      </c>
      <c r="C1211" s="1">
        <v>0.0</v>
      </c>
      <c r="D1211" s="1">
        <v>0.0</v>
      </c>
      <c r="E1211" s="1">
        <v>0.0</v>
      </c>
      <c r="F1211" s="1">
        <v>0.0</v>
      </c>
      <c r="G1211" s="2">
        <v>0.0</v>
      </c>
      <c r="H1211" s="1" t="s">
        <v>245</v>
      </c>
      <c r="I1211" s="1" t="str">
        <f>IFERROR(__xludf.DUMMYFUNCTION("REGEXREPLACE(MID(H1211, SEARCH(""["", H1211) + 1, SEARCH(""]"", H1211) - SEARCH(""["", H1211) - 1), ""\[\]"","""")"),"NoHo 2")</f>
        <v>NoHo 2</v>
      </c>
      <c r="J1211" s="1">
        <v>0.0</v>
      </c>
      <c r="K1211" s="1">
        <v>0.0</v>
      </c>
    </row>
    <row r="1212">
      <c r="A1212" s="1">
        <v>1.0</v>
      </c>
      <c r="B1212" s="1">
        <v>4.0</v>
      </c>
      <c r="C1212" s="1">
        <v>0.0</v>
      </c>
      <c r="D1212" s="1">
        <v>0.0</v>
      </c>
      <c r="E1212" s="1">
        <v>0.0</v>
      </c>
      <c r="F1212" s="1">
        <v>0.0</v>
      </c>
      <c r="G1212" s="2">
        <v>0.0</v>
      </c>
      <c r="H1212" s="1" t="s">
        <v>290</v>
      </c>
      <c r="I1212" s="1" t="str">
        <f>IFERROR(__xludf.DUMMYFUNCTION("REGEXREPLACE(MID(H1212, SEARCH(""["", H1212) + 1, SEARCH(""]"", H1212) - SEARCH(""["", H1212) - 1), ""\[\]"","""")"),"The Outliers")</f>
        <v>The Outliers</v>
      </c>
      <c r="J1212" s="1">
        <v>0.0</v>
      </c>
      <c r="K1212" s="1">
        <v>0.0</v>
      </c>
    </row>
    <row r="1213">
      <c r="A1213" s="1">
        <v>4.0</v>
      </c>
      <c r="B1213" s="1">
        <v>16.0</v>
      </c>
      <c r="C1213" s="1">
        <v>0.0</v>
      </c>
      <c r="D1213" s="1">
        <v>0.0</v>
      </c>
      <c r="E1213" s="1">
        <v>0.0</v>
      </c>
      <c r="F1213" s="1">
        <v>0.0</v>
      </c>
      <c r="G1213" s="2">
        <v>0.0</v>
      </c>
      <c r="H1213" s="1" t="s">
        <v>291</v>
      </c>
      <c r="I1213" s="1" t="str">
        <f>IFERROR(__xludf.DUMMYFUNCTION("REGEXREPLACE(MID(H1213, SEARCH(""["", H1213) + 1, SEARCH(""]"", H1213) - SEARCH(""["", H1213) - 1), ""\[\]"","""")"),"OCSA")</f>
        <v>OCSA</v>
      </c>
      <c r="J1213" s="1">
        <v>0.0</v>
      </c>
      <c r="K1213" s="1">
        <v>0.0</v>
      </c>
    </row>
    <row r="1214">
      <c r="A1214" s="1">
        <v>5.0</v>
      </c>
      <c r="B1214" s="1">
        <v>20.0</v>
      </c>
      <c r="C1214" s="1">
        <v>0.0</v>
      </c>
      <c r="D1214" s="1">
        <v>0.0</v>
      </c>
      <c r="E1214" s="1">
        <v>0.0</v>
      </c>
      <c r="F1214" s="1">
        <v>0.0</v>
      </c>
      <c r="G1214" s="2">
        <v>0.0</v>
      </c>
      <c r="H1214" s="1" t="s">
        <v>267</v>
      </c>
      <c r="I1214" s="1" t="str">
        <f>IFERROR(__xludf.DUMMYFUNCTION("REGEXREPLACE(MID(H1214, SEARCH(""["", H1214) + 1, SEARCH(""]"", H1214) - SEARCH(""["", H1214) - 1), ""\[\]"","""")"),"OCSA")</f>
        <v>OCSA</v>
      </c>
      <c r="J1214" s="1">
        <v>0.0</v>
      </c>
      <c r="K1214" s="1">
        <v>0.0</v>
      </c>
    </row>
    <row r="1215">
      <c r="A1215" s="1">
        <v>5.0</v>
      </c>
      <c r="B1215" s="1">
        <v>20.0</v>
      </c>
      <c r="C1215" s="1">
        <v>17.0</v>
      </c>
      <c r="D1215" s="1">
        <v>12.0</v>
      </c>
      <c r="E1215" s="1">
        <v>0.0</v>
      </c>
      <c r="F1215" s="1">
        <v>0.0</v>
      </c>
      <c r="G1215" s="6">
        <v>0.882</v>
      </c>
      <c r="H1215" s="1" t="s">
        <v>98</v>
      </c>
      <c r="I1215" s="1" t="str">
        <f>IFERROR(__xludf.DUMMYFUNCTION("REGEXREPLACE(MID(H1215, SEARCH(""["", H1215) + 1, SEARCH(""]"", H1215) - SEARCH(""["", H1215) - 1), ""\[\]"","""")"),"OCSA")</f>
        <v>OCSA</v>
      </c>
      <c r="J1215" s="1">
        <v>60.0</v>
      </c>
      <c r="K1215" s="1">
        <v>0.0</v>
      </c>
    </row>
    <row r="1216">
      <c r="A1216" s="1">
        <v>1.0</v>
      </c>
      <c r="B1216" s="1">
        <v>4.0</v>
      </c>
      <c r="C1216" s="1">
        <v>1.0</v>
      </c>
      <c r="D1216" s="1">
        <v>0.0</v>
      </c>
      <c r="E1216" s="1">
        <v>0.0</v>
      </c>
      <c r="F1216" s="1">
        <v>0.0</v>
      </c>
      <c r="G1216" s="2">
        <v>0.0</v>
      </c>
      <c r="H1216" s="1" t="s">
        <v>106</v>
      </c>
      <c r="I1216" s="1" t="str">
        <f>IFERROR(__xludf.DUMMYFUNCTION("REGEXREPLACE(MID(H1216, SEARCH(""["", H1216) + 1, SEARCH(""]"", H1216) - SEARCH(""["", H1216) - 1), ""\[\]"","""")"),"Palo Alto")</f>
        <v>Palo Alto</v>
      </c>
      <c r="J1216" s="1">
        <v>0.0</v>
      </c>
      <c r="K1216" s="1">
        <v>0.0</v>
      </c>
    </row>
    <row r="1217">
      <c r="A1217" s="1">
        <v>3.0</v>
      </c>
      <c r="B1217" s="1">
        <v>12.0</v>
      </c>
      <c r="C1217" s="1">
        <v>1.0</v>
      </c>
      <c r="D1217" s="1">
        <v>1.33</v>
      </c>
      <c r="E1217" s="1">
        <v>0.0</v>
      </c>
      <c r="F1217" s="1">
        <v>0.0</v>
      </c>
      <c r="G1217" s="2">
        <v>1.0</v>
      </c>
      <c r="H1217" s="1" t="s">
        <v>106</v>
      </c>
      <c r="I1217" s="1" t="str">
        <f>IFERROR(__xludf.DUMMYFUNCTION("REGEXREPLACE(MID(H1217, SEARCH(""["", H1217) + 1, SEARCH(""]"", H1217) - SEARCH(""["", H1217) - 1), ""\[\]"","""")"),"Palo Alto")</f>
        <v>Palo Alto</v>
      </c>
      <c r="J1217" s="1">
        <v>4.0</v>
      </c>
      <c r="K1217" s="1">
        <v>0.0</v>
      </c>
    </row>
    <row r="1218">
      <c r="A1218" s="1">
        <v>1.0</v>
      </c>
      <c r="B1218" s="1">
        <v>4.0</v>
      </c>
      <c r="C1218" s="1">
        <v>1.0</v>
      </c>
      <c r="D1218" s="1">
        <v>4.0</v>
      </c>
      <c r="E1218" s="1">
        <v>0.0</v>
      </c>
      <c r="F1218" s="1">
        <v>0.0</v>
      </c>
      <c r="G1218" s="2">
        <v>1.0</v>
      </c>
      <c r="H1218" s="1" t="s">
        <v>106</v>
      </c>
      <c r="I1218" s="1" t="str">
        <f>IFERROR(__xludf.DUMMYFUNCTION("REGEXREPLACE(MID(H1218, SEARCH(""["", H1218) + 1, SEARCH(""]"", H1218) - SEARCH(""["", H1218) - 1), ""\[\]"","""")"),"Palo Alto")</f>
        <v>Palo Alto</v>
      </c>
      <c r="J1218" s="1">
        <v>4.0</v>
      </c>
      <c r="K1218" s="1">
        <v>0.0</v>
      </c>
    </row>
    <row r="1219">
      <c r="A1219" s="1">
        <v>2.0</v>
      </c>
      <c r="B1219" s="1">
        <v>8.0</v>
      </c>
      <c r="C1219" s="1">
        <v>2.0</v>
      </c>
      <c r="D1219" s="1">
        <v>4.0</v>
      </c>
      <c r="E1219" s="1">
        <v>0.0</v>
      </c>
      <c r="F1219" s="1">
        <v>0.0</v>
      </c>
      <c r="G1219" s="2">
        <v>1.0</v>
      </c>
      <c r="H1219" s="1" t="s">
        <v>292</v>
      </c>
      <c r="I1219" s="1" t="str">
        <f>IFERROR(__xludf.DUMMYFUNCTION("REGEXREPLACE(MID(H1219, SEARCH(""["", H1219) + 1, SEARCH(""]"", H1219) - SEARCH(""["", H1219) - 1), ""\[\]"","""")"),"Palo Alto")</f>
        <v>Palo Alto</v>
      </c>
      <c r="J1219" s="1">
        <v>8.0</v>
      </c>
      <c r="K1219" s="1">
        <v>0.0</v>
      </c>
    </row>
    <row r="1220">
      <c r="A1220" s="1">
        <v>1.0</v>
      </c>
      <c r="B1220" s="1">
        <v>4.0</v>
      </c>
      <c r="C1220" s="1">
        <v>0.0</v>
      </c>
      <c r="D1220" s="1">
        <v>0.0</v>
      </c>
      <c r="E1220" s="1">
        <v>0.0</v>
      </c>
      <c r="F1220" s="1">
        <v>0.0</v>
      </c>
      <c r="G1220" s="2">
        <v>0.0</v>
      </c>
      <c r="H1220" s="1" t="s">
        <v>269</v>
      </c>
      <c r="I1220" s="1" t="str">
        <f>IFERROR(__xludf.DUMMYFUNCTION("REGEXREPLACE(MID(H1220, SEARCH(""["", H1220) + 1, SEARCH(""]"", H1220) - SEARCH(""["", H1220) - 1), ""\[\]"","""")"),"Palo Alto")</f>
        <v>Palo Alto</v>
      </c>
      <c r="J1220" s="1">
        <v>0.0</v>
      </c>
      <c r="K1220" s="1">
        <v>0.0</v>
      </c>
    </row>
    <row r="1221">
      <c r="A1221" s="1">
        <v>3.0</v>
      </c>
      <c r="B1221" s="1">
        <v>12.0</v>
      </c>
      <c r="C1221" s="1">
        <v>3.0</v>
      </c>
      <c r="D1221" s="1">
        <v>1.33</v>
      </c>
      <c r="E1221" s="1">
        <v>0.33</v>
      </c>
      <c r="F1221" s="1">
        <v>0.0</v>
      </c>
      <c r="G1221" s="6">
        <v>0.667</v>
      </c>
      <c r="H1221" s="1" t="s">
        <v>269</v>
      </c>
      <c r="I1221" s="1" t="str">
        <f>IFERROR(__xludf.DUMMYFUNCTION("REGEXREPLACE(MID(H1221, SEARCH(""["", H1221) + 1, SEARCH(""]"", H1221) - SEARCH(""["", H1221) - 1), ""\[\]"","""")"),"Palo Alto")</f>
        <v>Palo Alto</v>
      </c>
      <c r="J1221" s="1">
        <v>4.0</v>
      </c>
      <c r="K1221" s="1">
        <v>1.0</v>
      </c>
    </row>
    <row r="1222">
      <c r="A1222" s="1">
        <v>1.0</v>
      </c>
      <c r="B1222" s="1">
        <v>4.0</v>
      </c>
      <c r="C1222" s="1">
        <v>2.0</v>
      </c>
      <c r="D1222" s="1">
        <v>8.0</v>
      </c>
      <c r="E1222" s="1">
        <v>0.0</v>
      </c>
      <c r="F1222" s="1">
        <v>0.0</v>
      </c>
      <c r="G1222" s="2">
        <v>1.0</v>
      </c>
      <c r="H1222" s="1" t="s">
        <v>269</v>
      </c>
      <c r="I1222" s="1" t="str">
        <f>IFERROR(__xludf.DUMMYFUNCTION("REGEXREPLACE(MID(H1222, SEARCH(""["", H1222) + 1, SEARCH(""]"", H1222) - SEARCH(""["", H1222) - 1), ""\[\]"","""")"),"Palo Alto")</f>
        <v>Palo Alto</v>
      </c>
      <c r="J1222" s="1">
        <v>8.0</v>
      </c>
      <c r="K1222" s="1">
        <v>0.0</v>
      </c>
    </row>
    <row r="1223">
      <c r="A1223" s="1">
        <v>1.0</v>
      </c>
      <c r="B1223" s="1">
        <v>4.0</v>
      </c>
      <c r="C1223" s="1">
        <v>0.0</v>
      </c>
      <c r="D1223" s="1">
        <v>0.0</v>
      </c>
      <c r="E1223" s="1">
        <v>0.0</v>
      </c>
      <c r="F1223" s="1">
        <v>0.0</v>
      </c>
      <c r="G1223" s="2">
        <v>0.0</v>
      </c>
      <c r="H1223" s="1" t="s">
        <v>293</v>
      </c>
      <c r="I1223" s="1" t="str">
        <f>IFERROR(__xludf.DUMMYFUNCTION("REGEXREPLACE(MID(H1223, SEARCH(""["", H1223) + 1, SEARCH(""]"", H1223) - SEARCH(""["", H1223) - 1), ""\[\]"","""")"),"Palo Alto")</f>
        <v>Palo Alto</v>
      </c>
      <c r="J1223" s="1">
        <v>0.0</v>
      </c>
      <c r="K1223" s="1">
        <v>0.0</v>
      </c>
    </row>
    <row r="1224">
      <c r="A1224" s="1">
        <v>3.0</v>
      </c>
      <c r="B1224" s="1">
        <v>12.0</v>
      </c>
      <c r="C1224" s="1">
        <v>0.0</v>
      </c>
      <c r="D1224" s="1">
        <v>0.0</v>
      </c>
      <c r="E1224" s="1">
        <v>0.0</v>
      </c>
      <c r="F1224" s="1">
        <v>0.0</v>
      </c>
      <c r="G1224" s="2">
        <v>0.0</v>
      </c>
      <c r="H1224" s="1" t="s">
        <v>293</v>
      </c>
      <c r="I1224" s="1" t="str">
        <f>IFERROR(__xludf.DUMMYFUNCTION("REGEXREPLACE(MID(H1224, SEARCH(""["", H1224) + 1, SEARCH(""]"", H1224) - SEARCH(""["", H1224) - 1), ""\[\]"","""")"),"Palo Alto")</f>
        <v>Palo Alto</v>
      </c>
      <c r="J1224" s="1">
        <v>0.0</v>
      </c>
      <c r="K1224" s="1">
        <v>0.0</v>
      </c>
    </row>
    <row r="1225">
      <c r="A1225" s="1">
        <v>1.0</v>
      </c>
      <c r="B1225" s="1">
        <v>4.0</v>
      </c>
      <c r="C1225" s="1">
        <v>0.0</v>
      </c>
      <c r="D1225" s="1">
        <v>0.0</v>
      </c>
      <c r="E1225" s="1">
        <v>0.0</v>
      </c>
      <c r="F1225" s="1">
        <v>0.0</v>
      </c>
      <c r="G1225" s="2">
        <v>0.0</v>
      </c>
      <c r="H1225" s="1" t="s">
        <v>293</v>
      </c>
      <c r="I1225" s="1" t="str">
        <f>IFERROR(__xludf.DUMMYFUNCTION("REGEXREPLACE(MID(H1225, SEARCH(""["", H1225) + 1, SEARCH(""]"", H1225) - SEARCH(""["", H1225) - 1), ""\[\]"","""")"),"Palo Alto")</f>
        <v>Palo Alto</v>
      </c>
      <c r="J1225" s="1">
        <v>0.0</v>
      </c>
      <c r="K1225" s="1">
        <v>0.0</v>
      </c>
    </row>
    <row r="1226">
      <c r="A1226" s="1">
        <v>5.0</v>
      </c>
      <c r="B1226" s="1">
        <v>20.0</v>
      </c>
      <c r="C1226" s="1">
        <v>0.0</v>
      </c>
      <c r="D1226" s="1">
        <v>0.0</v>
      </c>
      <c r="E1226" s="1">
        <v>0.0</v>
      </c>
      <c r="F1226" s="1">
        <v>0.0</v>
      </c>
      <c r="G1226" s="2">
        <v>0.0</v>
      </c>
      <c r="H1226" s="1" t="s">
        <v>285</v>
      </c>
      <c r="I1226" s="1" t="str">
        <f>IFERROR(__xludf.DUMMYFUNCTION("REGEXREPLACE(MID(H1226, SEARCH(""["", H1226) + 1, SEARCH(""]"", H1226) - SEARCH(""["", H1226) - 1), ""\[\]"","""")"),"Phoenix")</f>
        <v>Phoenix</v>
      </c>
      <c r="J1226" s="1">
        <v>0.0</v>
      </c>
      <c r="K1226" s="1">
        <v>0.0</v>
      </c>
    </row>
    <row r="1227">
      <c r="A1227" s="1">
        <v>1.0</v>
      </c>
      <c r="B1227" s="1">
        <v>4.0</v>
      </c>
      <c r="C1227" s="1">
        <v>0.0</v>
      </c>
      <c r="D1227" s="1">
        <v>0.0</v>
      </c>
      <c r="E1227" s="1">
        <v>0.0</v>
      </c>
      <c r="F1227" s="1">
        <v>0.0</v>
      </c>
      <c r="G1227" s="2">
        <v>0.0</v>
      </c>
      <c r="H1227" s="1" t="s">
        <v>246</v>
      </c>
      <c r="I1227" s="1" t="str">
        <f>IFERROR(__xludf.DUMMYFUNCTION("REGEXREPLACE(MID(H1227, SEARCH(""["", H1227) + 1, SEARCH(""]"", H1227) - SEARCH(""["", H1227) - 1), ""\[\]"","""")"),"Phoenix")</f>
        <v>Phoenix</v>
      </c>
      <c r="J1227" s="1">
        <v>0.0</v>
      </c>
      <c r="K1227" s="1">
        <v>0.0</v>
      </c>
    </row>
    <row r="1228">
      <c r="A1228" s="1">
        <v>4.0</v>
      </c>
      <c r="B1228" s="1">
        <v>16.0</v>
      </c>
      <c r="C1228" s="1">
        <v>2.0</v>
      </c>
      <c r="D1228" s="1">
        <v>-1.0</v>
      </c>
      <c r="E1228" s="1">
        <v>0.25</v>
      </c>
      <c r="F1228" s="1">
        <v>0.0</v>
      </c>
      <c r="G1228" s="2">
        <v>0.0</v>
      </c>
      <c r="H1228" s="1" t="s">
        <v>295</v>
      </c>
      <c r="I1228" s="1" t="str">
        <f>IFERROR(__xludf.DUMMYFUNCTION("REGEXREPLACE(MID(H1228, SEARCH(""["", H1228) + 1, SEARCH(""]"", H1228) - SEARCH(""["", H1228) - 1), ""\[\]"","""")"),"Phoenix")</f>
        <v>Phoenix</v>
      </c>
      <c r="J1228" s="1">
        <v>-4.0</v>
      </c>
      <c r="K1228" s="1">
        <v>1.0</v>
      </c>
    </row>
    <row r="1229">
      <c r="A1229" s="1">
        <v>5.0</v>
      </c>
      <c r="B1229" s="1">
        <v>20.0</v>
      </c>
      <c r="C1229" s="1">
        <v>9.0</v>
      </c>
      <c r="D1229" s="1">
        <v>4.0</v>
      </c>
      <c r="E1229" s="1">
        <v>0.2</v>
      </c>
      <c r="F1229" s="1">
        <v>0.0</v>
      </c>
      <c r="G1229" s="6">
        <v>0.667</v>
      </c>
      <c r="H1229" s="1" t="s">
        <v>286</v>
      </c>
      <c r="I1229" s="1" t="str">
        <f>IFERROR(__xludf.DUMMYFUNCTION("REGEXREPLACE(MID(H1229, SEARCH(""["", H1229) + 1, SEARCH(""]"", H1229) - SEARCH(""["", H1229) - 1), ""\[\]"","""")"),"Phoenix")</f>
        <v>Phoenix</v>
      </c>
      <c r="J1229" s="1">
        <v>20.0</v>
      </c>
      <c r="K1229" s="1">
        <v>1.0</v>
      </c>
    </row>
    <row r="1230">
      <c r="A1230" s="1">
        <v>5.0</v>
      </c>
      <c r="B1230" s="1">
        <v>20.0</v>
      </c>
      <c r="C1230" s="1">
        <v>0.0</v>
      </c>
      <c r="D1230" s="1">
        <v>0.0</v>
      </c>
      <c r="E1230" s="1">
        <v>0.0</v>
      </c>
      <c r="F1230" s="1">
        <v>0.0</v>
      </c>
      <c r="G1230" s="2">
        <v>0.0</v>
      </c>
      <c r="H1230" s="1" t="s">
        <v>297</v>
      </c>
      <c r="I1230" s="1" t="str">
        <f>IFERROR(__xludf.DUMMYFUNCTION("REGEXREPLACE(MID(H1230, SEARCH(""["", H1230) + 1, SEARCH(""]"", H1230) - SEARCH(""["", H1230) - 1), ""\[\]"","""")"),"Phoenix")</f>
        <v>Phoenix</v>
      </c>
      <c r="J1230" s="1">
        <v>0.0</v>
      </c>
      <c r="K1230" s="1">
        <v>0.0</v>
      </c>
    </row>
    <row r="1231">
      <c r="A1231" s="1">
        <v>3.0</v>
      </c>
      <c r="B1231" s="1">
        <v>12.0</v>
      </c>
      <c r="C1231" s="1">
        <v>1.0</v>
      </c>
      <c r="D1231" s="1">
        <v>1.33</v>
      </c>
      <c r="E1231" s="1">
        <v>0.0</v>
      </c>
      <c r="F1231" s="1">
        <v>0.0</v>
      </c>
      <c r="G1231" s="2">
        <v>1.0</v>
      </c>
      <c r="H1231" s="1" t="s">
        <v>298</v>
      </c>
      <c r="I1231" s="1" t="str">
        <f>IFERROR(__xludf.DUMMYFUNCTION("REGEXREPLACE(MID(H1231, SEARCH(""["", H1231) + 1, SEARCH(""]"", H1231) - SEARCH(""["", H1231) - 1), ""\[\]"","""")"),"Plano West")</f>
        <v>Plano West</v>
      </c>
      <c r="J1231" s="1">
        <v>4.0</v>
      </c>
      <c r="K1231" s="1">
        <v>0.0</v>
      </c>
    </row>
    <row r="1232">
      <c r="A1232" s="1">
        <v>4.0</v>
      </c>
      <c r="B1232" s="1">
        <v>16.0</v>
      </c>
      <c r="C1232" s="1">
        <v>3.0</v>
      </c>
      <c r="D1232" s="1">
        <v>0.0</v>
      </c>
      <c r="E1232" s="1">
        <v>0.0</v>
      </c>
      <c r="F1232" s="1">
        <v>0.0</v>
      </c>
      <c r="G1232" s="2">
        <v>0.0</v>
      </c>
      <c r="H1232" s="1" t="s">
        <v>296</v>
      </c>
      <c r="I1232" s="1" t="str">
        <f>IFERROR(__xludf.DUMMYFUNCTION("REGEXREPLACE(MID(H1232, SEARCH(""["", H1232) + 1, SEARCH(""]"", H1232) - SEARCH(""["", H1232) - 1), ""\[\]"","""")"),"Plano West")</f>
        <v>Plano West</v>
      </c>
      <c r="J1232" s="1">
        <v>0.0</v>
      </c>
      <c r="K1232" s="1">
        <v>0.0</v>
      </c>
    </row>
    <row r="1233">
      <c r="A1233" s="1">
        <v>4.0</v>
      </c>
      <c r="B1233" s="1">
        <v>16.0</v>
      </c>
      <c r="C1233" s="1">
        <v>4.0</v>
      </c>
      <c r="D1233" s="1">
        <v>2.0</v>
      </c>
      <c r="E1233" s="1">
        <v>0.25</v>
      </c>
      <c r="F1233" s="1">
        <v>0.0</v>
      </c>
      <c r="G1233" s="2">
        <v>0.75</v>
      </c>
      <c r="H1233" s="1" t="s">
        <v>175</v>
      </c>
      <c r="I1233" s="1" t="str">
        <f>IFERROR(__xludf.DUMMYFUNCTION("REGEXREPLACE(MID(H1233, SEARCH(""["", H1233) + 1, SEARCH(""]"", H1233) - SEARCH(""["", H1233) - 1), ""\[\]"","""")"),"Plano West")</f>
        <v>Plano West</v>
      </c>
      <c r="J1233" s="1">
        <v>8.0</v>
      </c>
      <c r="K1233" s="1">
        <v>1.0</v>
      </c>
    </row>
    <row r="1234">
      <c r="A1234" s="1">
        <v>4.0</v>
      </c>
      <c r="B1234" s="1">
        <v>16.0</v>
      </c>
      <c r="C1234" s="1">
        <v>0.0</v>
      </c>
      <c r="D1234" s="1">
        <v>0.0</v>
      </c>
      <c r="E1234" s="1">
        <v>0.0</v>
      </c>
      <c r="F1234" s="1">
        <v>0.0</v>
      </c>
      <c r="G1234" s="2">
        <v>0.0</v>
      </c>
      <c r="H1234" s="1" t="s">
        <v>300</v>
      </c>
      <c r="I1234" s="1" t="str">
        <f>IFERROR(__xludf.DUMMYFUNCTION("REGEXREPLACE(MID(H1234, SEARCH(""["", H1234) + 1, SEARCH(""]"", H1234) - SEARCH(""["", H1234) - 1), ""\[\]"","""")"),"Plano West")</f>
        <v>Plano West</v>
      </c>
      <c r="J1234" s="1">
        <v>0.0</v>
      </c>
      <c r="K1234" s="1">
        <v>0.0</v>
      </c>
    </row>
    <row r="1235">
      <c r="A1235" s="1">
        <v>4.0</v>
      </c>
      <c r="B1235" s="1">
        <v>16.0</v>
      </c>
      <c r="C1235" s="1">
        <v>0.0</v>
      </c>
      <c r="D1235" s="1">
        <v>0.0</v>
      </c>
      <c r="E1235" s="1">
        <v>0.0</v>
      </c>
      <c r="F1235" s="1">
        <v>0.0</v>
      </c>
      <c r="G1235" s="2">
        <v>0.0</v>
      </c>
      <c r="H1235" s="1" t="s">
        <v>271</v>
      </c>
      <c r="I1235" s="1" t="str">
        <f>IFERROR(__xludf.DUMMYFUNCTION("REGEXREPLACE(MID(H1235, SEARCH(""["", H1235) + 1, SEARCH(""]"", H1235) - SEARCH(""["", H1235) - 1), ""\[\]"","""")"),"Princeton HS")</f>
        <v>Princeton HS</v>
      </c>
      <c r="J1235" s="1">
        <v>0.0</v>
      </c>
      <c r="K1235" s="1">
        <v>0.0</v>
      </c>
    </row>
    <row r="1236">
      <c r="A1236" s="1">
        <v>1.0</v>
      </c>
      <c r="B1236" s="1">
        <v>4.0</v>
      </c>
      <c r="C1236" s="1">
        <v>0.0</v>
      </c>
      <c r="D1236" s="1">
        <v>0.0</v>
      </c>
      <c r="E1236" s="1">
        <v>0.0</v>
      </c>
      <c r="F1236" s="1">
        <v>0.0</v>
      </c>
      <c r="G1236" s="2">
        <v>0.0</v>
      </c>
      <c r="H1236" s="1" t="s">
        <v>271</v>
      </c>
      <c r="I1236" s="1" t="str">
        <f>IFERROR(__xludf.DUMMYFUNCTION("REGEXREPLACE(MID(H1236, SEARCH(""["", H1236) + 1, SEARCH(""]"", H1236) - SEARCH(""["", H1236) - 1), ""\[\]"","""")"),"Princeton HS")</f>
        <v>Princeton HS</v>
      </c>
      <c r="J1236" s="1">
        <v>0.0</v>
      </c>
      <c r="K1236" s="1">
        <v>0.0</v>
      </c>
    </row>
    <row r="1237">
      <c r="A1237" s="1">
        <v>4.0</v>
      </c>
      <c r="B1237" s="1">
        <v>16.0</v>
      </c>
      <c r="C1237" s="1">
        <v>6.0</v>
      </c>
      <c r="D1237" s="1">
        <v>4.0</v>
      </c>
      <c r="E1237" s="1">
        <v>0.0</v>
      </c>
      <c r="F1237" s="1">
        <v>0.0</v>
      </c>
      <c r="G1237" s="6">
        <v>0.667</v>
      </c>
      <c r="H1237" s="1" t="s">
        <v>249</v>
      </c>
      <c r="I1237" s="1" t="str">
        <f>IFERROR(__xludf.DUMMYFUNCTION("REGEXREPLACE(MID(H1237, SEARCH(""["", H1237) + 1, SEARCH(""]"", H1237) - SEARCH(""["", H1237) - 1), ""\[\]"","""")"),"Princeton HS")</f>
        <v>Princeton HS</v>
      </c>
      <c r="J1237" s="1">
        <v>16.0</v>
      </c>
      <c r="K1237" s="1">
        <v>0.0</v>
      </c>
    </row>
    <row r="1238">
      <c r="A1238" s="1">
        <v>1.0</v>
      </c>
      <c r="B1238" s="1">
        <v>4.0</v>
      </c>
      <c r="C1238" s="1">
        <v>1.0</v>
      </c>
      <c r="D1238" s="1">
        <v>4.0</v>
      </c>
      <c r="E1238" s="1">
        <v>0.0</v>
      </c>
      <c r="F1238" s="1">
        <v>0.0</v>
      </c>
      <c r="G1238" s="2">
        <v>1.0</v>
      </c>
      <c r="H1238" s="1" t="s">
        <v>249</v>
      </c>
      <c r="I1238" s="1" t="str">
        <f>IFERROR(__xludf.DUMMYFUNCTION("REGEXREPLACE(MID(H1238, SEARCH(""["", H1238) + 1, SEARCH(""]"", H1238) - SEARCH(""["", H1238) - 1), ""\[\]"","""")"),"Princeton HS")</f>
        <v>Princeton HS</v>
      </c>
      <c r="J1238" s="1">
        <v>4.0</v>
      </c>
      <c r="K1238" s="1">
        <v>0.0</v>
      </c>
    </row>
    <row r="1239">
      <c r="A1239" s="1">
        <v>4.0</v>
      </c>
      <c r="B1239" s="1">
        <v>16.0</v>
      </c>
      <c r="C1239" s="1">
        <v>2.0</v>
      </c>
      <c r="D1239" s="1">
        <v>2.0</v>
      </c>
      <c r="E1239" s="1">
        <v>0.0</v>
      </c>
      <c r="F1239" s="1">
        <v>0.0</v>
      </c>
      <c r="G1239" s="2">
        <v>1.0</v>
      </c>
      <c r="H1239" s="1" t="s">
        <v>272</v>
      </c>
      <c r="I1239" s="1" t="str">
        <f>IFERROR(__xludf.DUMMYFUNCTION("REGEXREPLACE(MID(H1239, SEARCH(""["", H1239) + 1, SEARCH(""]"", H1239) - SEARCH(""["", H1239) - 1), ""\[\]"","""")"),"Princeton HS")</f>
        <v>Princeton HS</v>
      </c>
      <c r="J1239" s="1">
        <v>8.0</v>
      </c>
      <c r="K1239" s="1">
        <v>0.0</v>
      </c>
    </row>
    <row r="1240">
      <c r="A1240" s="1">
        <v>1.0</v>
      </c>
      <c r="B1240" s="1">
        <v>4.0</v>
      </c>
      <c r="C1240" s="1">
        <v>2.0</v>
      </c>
      <c r="D1240" s="1">
        <v>0.0</v>
      </c>
      <c r="E1240" s="1">
        <v>0.0</v>
      </c>
      <c r="F1240" s="1">
        <v>0.0</v>
      </c>
      <c r="G1240" s="2">
        <v>0.0</v>
      </c>
      <c r="H1240" s="1" t="s">
        <v>272</v>
      </c>
      <c r="I1240" s="1" t="str">
        <f>IFERROR(__xludf.DUMMYFUNCTION("REGEXREPLACE(MID(H1240, SEARCH(""["", H1240) + 1, SEARCH(""]"", H1240) - SEARCH(""["", H1240) - 1), ""\[\]"","""")"),"Princeton HS")</f>
        <v>Princeton HS</v>
      </c>
      <c r="J1240" s="1">
        <v>0.0</v>
      </c>
      <c r="K1240" s="1">
        <v>0.0</v>
      </c>
    </row>
    <row r="1241">
      <c r="A1241" s="1">
        <v>4.0</v>
      </c>
      <c r="B1241" s="1">
        <v>16.0</v>
      </c>
      <c r="C1241" s="1">
        <v>10.0</v>
      </c>
      <c r="D1241" s="1">
        <v>3.0</v>
      </c>
      <c r="E1241" s="1">
        <v>0.25</v>
      </c>
      <c r="F1241" s="1">
        <v>0.0</v>
      </c>
      <c r="G1241" s="2">
        <v>0.4</v>
      </c>
      <c r="H1241" s="1" t="s">
        <v>138</v>
      </c>
      <c r="I1241" s="1" t="str">
        <f>IFERROR(__xludf.DUMMYFUNCTION("REGEXREPLACE(MID(H1241, SEARCH(""["", H1241) + 1, SEARCH(""]"", H1241) - SEARCH(""["", H1241) - 1), ""\[\]"","""")"),"Research Triangle HS")</f>
        <v>Research Triangle HS</v>
      </c>
      <c r="J1241" s="1">
        <v>12.0</v>
      </c>
      <c r="K1241" s="1">
        <v>1.0</v>
      </c>
    </row>
    <row r="1242">
      <c r="A1242" s="1">
        <v>1.0</v>
      </c>
      <c r="B1242" s="1">
        <v>4.0</v>
      </c>
      <c r="C1242" s="1">
        <v>0.0</v>
      </c>
      <c r="D1242" s="1">
        <v>0.0</v>
      </c>
      <c r="E1242" s="1">
        <v>0.0</v>
      </c>
      <c r="F1242" s="1">
        <v>0.0</v>
      </c>
      <c r="G1242" s="2">
        <v>0.0</v>
      </c>
      <c r="H1242" s="3" t="s">
        <v>138</v>
      </c>
      <c r="I1242" s="1" t="str">
        <f>IFERROR(__xludf.DUMMYFUNCTION("REGEXREPLACE(MID(H1242, SEARCH(""["", H1242) + 1, SEARCH(""]"", H1242) - SEARCH(""["", H1242) - 1), ""\[\]"","""")"),"Research Triangle HS")</f>
        <v>Research Triangle HS</v>
      </c>
      <c r="J1242" s="1">
        <v>0.0</v>
      </c>
      <c r="K1242" s="1">
        <v>0.0</v>
      </c>
    </row>
    <row r="1243">
      <c r="A1243" s="1">
        <v>2.0</v>
      </c>
      <c r="B1243" s="1">
        <v>8.0</v>
      </c>
      <c r="C1243" s="1">
        <v>0.0</v>
      </c>
      <c r="D1243" s="1">
        <v>0.0</v>
      </c>
      <c r="E1243" s="1">
        <v>0.0</v>
      </c>
      <c r="F1243" s="1">
        <v>0.0</v>
      </c>
      <c r="G1243" s="2">
        <v>0.0</v>
      </c>
      <c r="H1243" s="1" t="s">
        <v>303</v>
      </c>
      <c r="I1243" s="1" t="str">
        <f>IFERROR(__xludf.DUMMYFUNCTION("REGEXREPLACE(MID(H1243, SEARCH(""["", H1243) + 1, SEARCH(""]"", H1243) - SEARCH(""["", H1243) - 1), ""\[\]"","""")"),"Research Triangle HS")</f>
        <v>Research Triangle HS</v>
      </c>
      <c r="J1243" s="1">
        <v>0.0</v>
      </c>
      <c r="K1243" s="1">
        <v>0.0</v>
      </c>
    </row>
    <row r="1244">
      <c r="A1244" s="1">
        <v>4.0</v>
      </c>
      <c r="B1244" s="1">
        <v>16.0</v>
      </c>
      <c r="C1244" s="1">
        <v>0.0</v>
      </c>
      <c r="D1244" s="1">
        <v>0.0</v>
      </c>
      <c r="E1244" s="1">
        <v>0.0</v>
      </c>
      <c r="F1244" s="1">
        <v>0.0</v>
      </c>
      <c r="G1244" s="2">
        <v>0.0</v>
      </c>
      <c r="H1244" s="1" t="s">
        <v>304</v>
      </c>
      <c r="I1244" s="1" t="str">
        <f>IFERROR(__xludf.DUMMYFUNCTION("REGEXREPLACE(MID(H1244, SEARCH(""["", H1244) + 1, SEARCH(""]"", H1244) - SEARCH(""["", H1244) - 1), ""\[\]"","""")"),"Research Triangle HS")</f>
        <v>Research Triangle HS</v>
      </c>
      <c r="J1244" s="1">
        <v>0.0</v>
      </c>
      <c r="K1244" s="1">
        <v>0.0</v>
      </c>
    </row>
    <row r="1245">
      <c r="A1245" s="1">
        <v>1.0</v>
      </c>
      <c r="B1245" s="1">
        <v>4.0</v>
      </c>
      <c r="C1245" s="1">
        <v>0.0</v>
      </c>
      <c r="D1245" s="1">
        <v>0.0</v>
      </c>
      <c r="E1245" s="1">
        <v>0.0</v>
      </c>
      <c r="F1245" s="1">
        <v>0.0</v>
      </c>
      <c r="G1245" s="2">
        <v>0.0</v>
      </c>
      <c r="H1245" s="1" t="s">
        <v>305</v>
      </c>
      <c r="I1245" s="1" t="str">
        <f>IFERROR(__xludf.DUMMYFUNCTION("REGEXREPLACE(MID(H1245, SEARCH(""["", H1245) + 1, SEARCH(""]"", H1245) - SEARCH(""["", H1245) - 1), ""\[\]"","""")"),"Research Triangle HS")</f>
        <v>Research Triangle HS</v>
      </c>
      <c r="J1245" s="1">
        <v>0.0</v>
      </c>
      <c r="K1245" s="1">
        <v>0.0</v>
      </c>
    </row>
    <row r="1246">
      <c r="A1246" s="1">
        <v>1.0</v>
      </c>
      <c r="B1246" s="1">
        <v>4.0</v>
      </c>
      <c r="C1246" s="1">
        <v>2.0</v>
      </c>
      <c r="D1246" s="1">
        <v>8.0</v>
      </c>
      <c r="E1246" s="1">
        <v>0.0</v>
      </c>
      <c r="F1246" s="1">
        <v>0.0</v>
      </c>
      <c r="G1246" s="2">
        <v>1.0</v>
      </c>
      <c r="H1246" s="1" t="s">
        <v>306</v>
      </c>
      <c r="I1246" s="1" t="str">
        <f>IFERROR(__xludf.DUMMYFUNCTION("REGEXREPLACE(MID(H1246, SEARCH(""["", H1246) + 1, SEARCH(""]"", H1246) - SEARCH(""["", H1246) - 1), ""\[\]"","""")"),"SciTech Dragons")</f>
        <v>SciTech Dragons</v>
      </c>
      <c r="J1246" s="1">
        <v>8.0</v>
      </c>
      <c r="K1246" s="1">
        <v>0.0</v>
      </c>
    </row>
    <row r="1247">
      <c r="A1247" s="1">
        <v>1.0</v>
      </c>
      <c r="B1247" s="1">
        <v>4.0</v>
      </c>
      <c r="C1247" s="1">
        <v>0.0</v>
      </c>
      <c r="D1247" s="1">
        <v>0.0</v>
      </c>
      <c r="E1247" s="1">
        <v>0.0</v>
      </c>
      <c r="F1247" s="1">
        <v>0.0</v>
      </c>
      <c r="G1247" s="2">
        <v>0.0</v>
      </c>
      <c r="H1247" s="1" t="s">
        <v>306</v>
      </c>
      <c r="I1247" s="1" t="str">
        <f>IFERROR(__xludf.DUMMYFUNCTION("REGEXREPLACE(MID(H1247, SEARCH(""["", H1247) + 1, SEARCH(""]"", H1247) - SEARCH(""["", H1247) - 1), ""\[\]"","""")"),"SciTech Dragons")</f>
        <v>SciTech Dragons</v>
      </c>
      <c r="J1247" s="1">
        <v>0.0</v>
      </c>
      <c r="K1247" s="1">
        <v>0.0</v>
      </c>
    </row>
    <row r="1248">
      <c r="A1248" s="1">
        <v>1.0</v>
      </c>
      <c r="B1248" s="1">
        <v>4.0</v>
      </c>
      <c r="C1248" s="1">
        <v>0.0</v>
      </c>
      <c r="D1248" s="1">
        <v>0.0</v>
      </c>
      <c r="E1248" s="1">
        <v>0.0</v>
      </c>
      <c r="F1248" s="1">
        <v>0.0</v>
      </c>
      <c r="G1248" s="2">
        <v>0.0</v>
      </c>
      <c r="H1248" s="1" t="s">
        <v>306</v>
      </c>
      <c r="I1248" s="1" t="str">
        <f>IFERROR(__xludf.DUMMYFUNCTION("REGEXREPLACE(MID(H1248, SEARCH(""["", H1248) + 1, SEARCH(""]"", H1248) - SEARCH(""["", H1248) - 1), ""\[\]"","""")"),"SciTech Dragons")</f>
        <v>SciTech Dragons</v>
      </c>
      <c r="J1248" s="1">
        <v>0.0</v>
      </c>
      <c r="K1248" s="1">
        <v>0.0</v>
      </c>
    </row>
    <row r="1249">
      <c r="A1249" s="1">
        <v>1.0</v>
      </c>
      <c r="B1249" s="1">
        <v>4.0</v>
      </c>
      <c r="C1249" s="1">
        <v>1.0</v>
      </c>
      <c r="D1249" s="1">
        <v>0.0</v>
      </c>
      <c r="E1249" s="1">
        <v>0.0</v>
      </c>
      <c r="F1249" s="1">
        <v>0.0</v>
      </c>
      <c r="G1249" s="2">
        <v>0.0</v>
      </c>
      <c r="H1249" s="1" t="s">
        <v>306</v>
      </c>
      <c r="I1249" s="1" t="str">
        <f>IFERROR(__xludf.DUMMYFUNCTION("REGEXREPLACE(MID(H1249, SEARCH(""["", H1249) + 1, SEARCH(""]"", H1249) - SEARCH(""["", H1249) - 1), ""\[\]"","""")"),"SciTech Dragons")</f>
        <v>SciTech Dragons</v>
      </c>
      <c r="J1249" s="1">
        <v>0.0</v>
      </c>
      <c r="K1249" s="1">
        <v>0.0</v>
      </c>
    </row>
    <row r="1250">
      <c r="A1250" s="1">
        <v>1.0</v>
      </c>
      <c r="B1250" s="1">
        <v>4.0</v>
      </c>
      <c r="C1250" s="1">
        <v>0.0</v>
      </c>
      <c r="D1250" s="1">
        <v>0.0</v>
      </c>
      <c r="E1250" s="1">
        <v>0.0</v>
      </c>
      <c r="F1250" s="1">
        <v>0.0</v>
      </c>
      <c r="G1250" s="2">
        <v>0.0</v>
      </c>
      <c r="H1250" s="1" t="s">
        <v>141</v>
      </c>
      <c r="I1250" s="1" t="str">
        <f>IFERROR(__xludf.DUMMYFUNCTION("REGEXREPLACE(MID(H1250, SEARCH(""["", H1250) + 1, SEARCH(""]"", H1250) - SEARCH(""["", H1250) - 1), ""\[\]"","""")"),"SciTech Dragons")</f>
        <v>SciTech Dragons</v>
      </c>
      <c r="J1250" s="1">
        <v>0.0</v>
      </c>
      <c r="K1250" s="1">
        <v>0.0</v>
      </c>
    </row>
    <row r="1251">
      <c r="A1251" s="1">
        <v>1.0</v>
      </c>
      <c r="B1251" s="1">
        <v>4.0</v>
      </c>
      <c r="C1251" s="1">
        <v>0.0</v>
      </c>
      <c r="D1251" s="1">
        <v>0.0</v>
      </c>
      <c r="E1251" s="1">
        <v>0.0</v>
      </c>
      <c r="F1251" s="1">
        <v>0.0</v>
      </c>
      <c r="G1251" s="2">
        <v>0.0</v>
      </c>
      <c r="H1251" s="1" t="s">
        <v>141</v>
      </c>
      <c r="I1251" s="1" t="str">
        <f>IFERROR(__xludf.DUMMYFUNCTION("REGEXREPLACE(MID(H1251, SEARCH(""["", H1251) + 1, SEARCH(""]"", H1251) - SEARCH(""["", H1251) - 1), ""\[\]"","""")"),"SciTech Dragons")</f>
        <v>SciTech Dragons</v>
      </c>
      <c r="J1251" s="1">
        <v>0.0</v>
      </c>
      <c r="K1251" s="1">
        <v>0.0</v>
      </c>
    </row>
    <row r="1252">
      <c r="A1252" s="1">
        <v>1.0</v>
      </c>
      <c r="B1252" s="1">
        <v>4.0</v>
      </c>
      <c r="C1252" s="1">
        <v>4.0</v>
      </c>
      <c r="D1252" s="1">
        <v>12.0</v>
      </c>
      <c r="E1252" s="1">
        <v>0.0</v>
      </c>
      <c r="F1252" s="1">
        <v>0.0</v>
      </c>
      <c r="G1252" s="2">
        <v>0.75</v>
      </c>
      <c r="H1252" s="1" t="s">
        <v>141</v>
      </c>
      <c r="I1252" s="1" t="str">
        <f>IFERROR(__xludf.DUMMYFUNCTION("REGEXREPLACE(MID(H1252, SEARCH(""["", H1252) + 1, SEARCH(""]"", H1252) - SEARCH(""["", H1252) - 1), ""\[\]"","""")"),"SciTech Dragons")</f>
        <v>SciTech Dragons</v>
      </c>
      <c r="J1252" s="1">
        <v>12.0</v>
      </c>
      <c r="K1252" s="1">
        <v>0.0</v>
      </c>
    </row>
    <row r="1253">
      <c r="A1253" s="1">
        <v>1.0</v>
      </c>
      <c r="B1253" s="1">
        <v>4.0</v>
      </c>
      <c r="C1253" s="1">
        <v>0.0</v>
      </c>
      <c r="D1253" s="1">
        <v>0.0</v>
      </c>
      <c r="E1253" s="1">
        <v>0.0</v>
      </c>
      <c r="F1253" s="1">
        <v>0.0</v>
      </c>
      <c r="G1253" s="2">
        <v>0.0</v>
      </c>
      <c r="H1253" s="1" t="s">
        <v>141</v>
      </c>
      <c r="I1253" s="1" t="str">
        <f>IFERROR(__xludf.DUMMYFUNCTION("REGEXREPLACE(MID(H1253, SEARCH(""["", H1253) + 1, SEARCH(""]"", H1253) - SEARCH(""["", H1253) - 1), ""\[\]"","""")"),"SciTech Dragons")</f>
        <v>SciTech Dragons</v>
      </c>
      <c r="J1253" s="1">
        <v>0.0</v>
      </c>
      <c r="K1253" s="1">
        <v>0.0</v>
      </c>
    </row>
    <row r="1254">
      <c r="A1254" s="1">
        <v>1.0</v>
      </c>
      <c r="B1254" s="1">
        <v>4.0</v>
      </c>
      <c r="C1254" s="1">
        <v>1.0</v>
      </c>
      <c r="D1254" s="1">
        <v>4.0</v>
      </c>
      <c r="E1254" s="1">
        <v>0.0</v>
      </c>
      <c r="F1254" s="1">
        <v>0.0</v>
      </c>
      <c r="G1254" s="2">
        <v>1.0</v>
      </c>
      <c r="H1254" s="1" t="s">
        <v>308</v>
      </c>
      <c r="I1254" s="1" t="str">
        <f>IFERROR(__xludf.DUMMYFUNCTION("REGEXREPLACE(MID(H1254, SEARCH(""["", H1254) + 1, SEARCH(""]"", H1254) - SEARCH(""["", H1254) - 1), ""\[\]"","""")"),"SciTech Dragons")</f>
        <v>SciTech Dragons</v>
      </c>
      <c r="J1254" s="1">
        <v>4.0</v>
      </c>
      <c r="K1254" s="1">
        <v>0.0</v>
      </c>
    </row>
    <row r="1255">
      <c r="A1255" s="1">
        <v>1.0</v>
      </c>
      <c r="B1255" s="1">
        <v>4.0</v>
      </c>
      <c r="C1255" s="1">
        <v>2.0</v>
      </c>
      <c r="D1255" s="1">
        <v>8.0</v>
      </c>
      <c r="E1255" s="1">
        <v>0.0</v>
      </c>
      <c r="F1255" s="1">
        <v>0.0</v>
      </c>
      <c r="G1255" s="2">
        <v>1.0</v>
      </c>
      <c r="H1255" s="1" t="s">
        <v>308</v>
      </c>
      <c r="I1255" s="1" t="str">
        <f>IFERROR(__xludf.DUMMYFUNCTION("REGEXREPLACE(MID(H1255, SEARCH(""["", H1255) + 1, SEARCH(""]"", H1255) - SEARCH(""["", H1255) - 1), ""\[\]"","""")"),"SciTech Dragons")</f>
        <v>SciTech Dragons</v>
      </c>
      <c r="J1255" s="1">
        <v>8.0</v>
      </c>
      <c r="K1255" s="1">
        <v>0.0</v>
      </c>
    </row>
    <row r="1256">
      <c r="A1256" s="1">
        <v>1.0</v>
      </c>
      <c r="B1256" s="1">
        <v>4.0</v>
      </c>
      <c r="C1256" s="1">
        <v>0.0</v>
      </c>
      <c r="D1256" s="1">
        <v>0.0</v>
      </c>
      <c r="E1256" s="1">
        <v>0.0</v>
      </c>
      <c r="F1256" s="1">
        <v>0.0</v>
      </c>
      <c r="G1256" s="2">
        <v>0.0</v>
      </c>
      <c r="H1256" s="1" t="s">
        <v>308</v>
      </c>
      <c r="I1256" s="1" t="str">
        <f>IFERROR(__xludf.DUMMYFUNCTION("REGEXREPLACE(MID(H1256, SEARCH(""["", H1256) + 1, SEARCH(""]"", H1256) - SEARCH(""["", H1256) - 1), ""\[\]"","""")"),"SciTech Dragons")</f>
        <v>SciTech Dragons</v>
      </c>
      <c r="J1256" s="1">
        <v>0.0</v>
      </c>
      <c r="K1256" s="1">
        <v>0.0</v>
      </c>
    </row>
    <row r="1257">
      <c r="A1257" s="1">
        <v>1.0</v>
      </c>
      <c r="B1257" s="1">
        <v>4.0</v>
      </c>
      <c r="C1257" s="1">
        <v>0.0</v>
      </c>
      <c r="D1257" s="1">
        <v>0.0</v>
      </c>
      <c r="E1257" s="1">
        <v>0.0</v>
      </c>
      <c r="F1257" s="1">
        <v>0.0</v>
      </c>
      <c r="G1257" s="2">
        <v>0.0</v>
      </c>
      <c r="H1257" s="1" t="s">
        <v>309</v>
      </c>
      <c r="I1257" s="1" t="str">
        <f>IFERROR(__xludf.DUMMYFUNCTION("REGEXREPLACE(MID(H1257, SEARCH(""["", H1257) + 1, SEARCH(""]"", H1257) - SEARCH(""["", H1257) - 1), ""\[\]"","""")"),"SciTech Dragons")</f>
        <v>SciTech Dragons</v>
      </c>
      <c r="J1257" s="1">
        <v>0.0</v>
      </c>
      <c r="K1257" s="1">
        <v>0.0</v>
      </c>
    </row>
    <row r="1258">
      <c r="A1258" s="1">
        <v>1.0</v>
      </c>
      <c r="B1258" s="1">
        <v>4.0</v>
      </c>
      <c r="C1258" s="1">
        <v>0.0</v>
      </c>
      <c r="D1258" s="1">
        <v>0.0</v>
      </c>
      <c r="E1258" s="1">
        <v>0.0</v>
      </c>
      <c r="F1258" s="1">
        <v>0.0</v>
      </c>
      <c r="G1258" s="2">
        <v>0.0</v>
      </c>
      <c r="H1258" s="1" t="s">
        <v>309</v>
      </c>
      <c r="I1258" s="1" t="str">
        <f>IFERROR(__xludf.DUMMYFUNCTION("REGEXREPLACE(MID(H1258, SEARCH(""["", H1258) + 1, SEARCH(""]"", H1258) - SEARCH(""["", H1258) - 1), ""\[\]"","""")"),"SciTech Dragons")</f>
        <v>SciTech Dragons</v>
      </c>
      <c r="J1258" s="1">
        <v>0.0</v>
      </c>
      <c r="K1258" s="1">
        <v>0.0</v>
      </c>
    </row>
    <row r="1259">
      <c r="A1259" s="1">
        <v>1.0</v>
      </c>
      <c r="B1259" s="1">
        <v>4.0</v>
      </c>
      <c r="C1259" s="1">
        <v>0.0</v>
      </c>
      <c r="D1259" s="1">
        <v>0.0</v>
      </c>
      <c r="E1259" s="1">
        <v>0.0</v>
      </c>
      <c r="F1259" s="1">
        <v>0.0</v>
      </c>
      <c r="G1259" s="2">
        <v>0.0</v>
      </c>
      <c r="H1259" s="1" t="s">
        <v>310</v>
      </c>
      <c r="I1259" s="1" t="str">
        <f>IFERROR(__xludf.DUMMYFUNCTION("REGEXREPLACE(MID(H1259, SEARCH(""["", H1259) + 1, SEARCH(""]"", H1259) - SEARCH(""["", H1259) - 1), ""\[\]"","""")"),"SciTech Dragons")</f>
        <v>SciTech Dragons</v>
      </c>
      <c r="J1259" s="1">
        <v>0.0</v>
      </c>
      <c r="K1259" s="1">
        <v>0.0</v>
      </c>
    </row>
    <row r="1260">
      <c r="A1260" s="1">
        <v>1.0</v>
      </c>
      <c r="B1260" s="1">
        <v>4.0</v>
      </c>
      <c r="C1260" s="1">
        <v>0.0</v>
      </c>
      <c r="D1260" s="1">
        <v>0.0</v>
      </c>
      <c r="E1260" s="1">
        <v>0.0</v>
      </c>
      <c r="F1260" s="1">
        <v>0.0</v>
      </c>
      <c r="G1260" s="2">
        <v>0.0</v>
      </c>
      <c r="H1260" s="1" t="s">
        <v>310</v>
      </c>
      <c r="I1260" s="1" t="str">
        <f>IFERROR(__xludf.DUMMYFUNCTION("REGEXREPLACE(MID(H1260, SEARCH(""["", H1260) + 1, SEARCH(""]"", H1260) - SEARCH(""["", H1260) - 1), ""\[\]"","""")"),"SciTech Dragons")</f>
        <v>SciTech Dragons</v>
      </c>
      <c r="J1260" s="1">
        <v>0.0</v>
      </c>
      <c r="K1260" s="1">
        <v>0.0</v>
      </c>
    </row>
    <row r="1261">
      <c r="A1261" s="1">
        <v>1.0</v>
      </c>
      <c r="B1261" s="1">
        <v>4.0</v>
      </c>
      <c r="C1261" s="1">
        <v>1.0</v>
      </c>
      <c r="D1261" s="1">
        <v>4.0</v>
      </c>
      <c r="E1261" s="1">
        <v>0.0</v>
      </c>
      <c r="F1261" s="1">
        <v>0.0</v>
      </c>
      <c r="G1261" s="2">
        <v>1.0</v>
      </c>
      <c r="H1261" s="1" t="s">
        <v>252</v>
      </c>
      <c r="I1261" s="1" t="str">
        <f>IFERROR(__xludf.DUMMYFUNCTION("REGEXREPLACE(MID(H1261, SEARCH(""["", H1261) + 1, SEARCH(""]"", H1261) - SEARCH(""["", H1261) - 1), ""\[\]"","""")"),"Seven Lakes")</f>
        <v>Seven Lakes</v>
      </c>
      <c r="J1261" s="1">
        <v>4.0</v>
      </c>
      <c r="K1261" s="1">
        <v>0.0</v>
      </c>
    </row>
    <row r="1262">
      <c r="A1262" s="1">
        <v>2.0</v>
      </c>
      <c r="B1262" s="1">
        <v>8.0</v>
      </c>
      <c r="C1262" s="1">
        <v>0.0</v>
      </c>
      <c r="D1262" s="1">
        <v>0.0</v>
      </c>
      <c r="E1262" s="1">
        <v>0.0</v>
      </c>
      <c r="F1262" s="1">
        <v>0.0</v>
      </c>
      <c r="G1262" s="2">
        <v>0.0</v>
      </c>
      <c r="H1262" s="1" t="s">
        <v>252</v>
      </c>
      <c r="I1262" s="1" t="str">
        <f>IFERROR(__xludf.DUMMYFUNCTION("REGEXREPLACE(MID(H1262, SEARCH(""["", H1262) + 1, SEARCH(""]"", H1262) - SEARCH(""["", H1262) - 1), ""\[\]"","""")"),"Seven Lakes")</f>
        <v>Seven Lakes</v>
      </c>
      <c r="J1262" s="1">
        <v>0.0</v>
      </c>
      <c r="K1262" s="1">
        <v>0.0</v>
      </c>
    </row>
    <row r="1263">
      <c r="A1263" s="1">
        <v>3.0</v>
      </c>
      <c r="B1263" s="1">
        <v>12.0</v>
      </c>
      <c r="C1263" s="1">
        <v>4.0</v>
      </c>
      <c r="D1263" s="1">
        <v>4.0</v>
      </c>
      <c r="E1263" s="1">
        <v>0.0</v>
      </c>
      <c r="F1263" s="1">
        <v>0.0</v>
      </c>
      <c r="G1263" s="2">
        <v>0.75</v>
      </c>
      <c r="H1263" s="1" t="s">
        <v>274</v>
      </c>
      <c r="I1263" s="1" t="str">
        <f>IFERROR(__xludf.DUMMYFUNCTION("REGEXREPLACE(MID(H1263, SEARCH(""["", H1263) + 1, SEARCH(""]"", H1263) - SEARCH(""["", H1263) - 1), ""\[\]"","""")"),"Seven Lakes")</f>
        <v>Seven Lakes</v>
      </c>
      <c r="J1263" s="1">
        <v>12.0</v>
      </c>
      <c r="K1263" s="1">
        <v>0.0</v>
      </c>
    </row>
    <row r="1264">
      <c r="A1264" s="1">
        <v>2.0</v>
      </c>
      <c r="B1264" s="1">
        <v>8.0</v>
      </c>
      <c r="C1264" s="1">
        <v>4.0</v>
      </c>
      <c r="D1264" s="1">
        <v>6.0</v>
      </c>
      <c r="E1264" s="1">
        <v>0.0</v>
      </c>
      <c r="F1264" s="1">
        <v>0.0</v>
      </c>
      <c r="G1264" s="2">
        <v>0.75</v>
      </c>
      <c r="H1264" s="1" t="s">
        <v>274</v>
      </c>
      <c r="I1264" s="1" t="str">
        <f>IFERROR(__xludf.DUMMYFUNCTION("REGEXREPLACE(MID(H1264, SEARCH(""["", H1264) + 1, SEARCH(""]"", H1264) - SEARCH(""["", H1264) - 1), ""\[\]"","""")"),"Seven Lakes")</f>
        <v>Seven Lakes</v>
      </c>
      <c r="J1264" s="1">
        <v>12.0</v>
      </c>
      <c r="K1264" s="1">
        <v>0.0</v>
      </c>
    </row>
    <row r="1265">
      <c r="A1265" s="1">
        <v>3.0</v>
      </c>
      <c r="B1265" s="1">
        <v>12.0</v>
      </c>
      <c r="C1265" s="1">
        <v>3.0</v>
      </c>
      <c r="D1265" s="1">
        <v>1.33</v>
      </c>
      <c r="E1265" s="1">
        <v>0.33</v>
      </c>
      <c r="F1265" s="1">
        <v>0.0</v>
      </c>
      <c r="G1265" s="6">
        <v>0.667</v>
      </c>
      <c r="H1265" s="1" t="s">
        <v>230</v>
      </c>
      <c r="I1265" s="1" t="str">
        <f>IFERROR(__xludf.DUMMYFUNCTION("REGEXREPLACE(MID(H1265, SEARCH(""["", H1265) + 1, SEARCH(""]"", H1265) - SEARCH(""["", H1265) - 1), ""\[\]"","""")"),"Seven Lakes")</f>
        <v>Seven Lakes</v>
      </c>
      <c r="J1265" s="1">
        <v>4.0</v>
      </c>
      <c r="K1265" s="1">
        <v>1.0</v>
      </c>
    </row>
    <row r="1266">
      <c r="A1266" s="1">
        <v>2.0</v>
      </c>
      <c r="B1266" s="1">
        <v>8.0</v>
      </c>
      <c r="C1266" s="1">
        <v>1.0</v>
      </c>
      <c r="D1266" s="1">
        <v>-2.0</v>
      </c>
      <c r="E1266" s="1">
        <v>0.5</v>
      </c>
      <c r="F1266" s="1">
        <v>0.0</v>
      </c>
      <c r="G1266" s="2">
        <v>0.0</v>
      </c>
      <c r="H1266" s="1" t="s">
        <v>230</v>
      </c>
      <c r="I1266" s="1" t="str">
        <f>IFERROR(__xludf.DUMMYFUNCTION("REGEXREPLACE(MID(H1266, SEARCH(""["", H1266) + 1, SEARCH(""]"", H1266) - SEARCH(""["", H1266) - 1), ""\[\]"","""")"),"Seven Lakes")</f>
        <v>Seven Lakes</v>
      </c>
      <c r="J1266" s="1">
        <v>-4.0</v>
      </c>
      <c r="K1266" s="1">
        <v>1.0</v>
      </c>
    </row>
    <row r="1267">
      <c r="A1267" s="1">
        <v>1.0</v>
      </c>
      <c r="B1267" s="1">
        <v>4.0</v>
      </c>
      <c r="C1267" s="1">
        <v>0.0</v>
      </c>
      <c r="D1267" s="1">
        <v>0.0</v>
      </c>
      <c r="E1267" s="1">
        <v>0.0</v>
      </c>
      <c r="F1267" s="1">
        <v>0.0</v>
      </c>
      <c r="G1267" s="2">
        <v>0.0</v>
      </c>
      <c r="H1267" s="1" t="s">
        <v>313</v>
      </c>
      <c r="I1267" s="1" t="str">
        <f>IFERROR(__xludf.DUMMYFUNCTION("REGEXREPLACE(MID(H1267, SEARCH(""["", H1267) + 1, SEARCH(""]"", H1267) - SEARCH(""["", H1267) - 1), ""\[\]"","""")"),"Seven Lakes")</f>
        <v>Seven Lakes</v>
      </c>
      <c r="J1267" s="1">
        <v>0.0</v>
      </c>
      <c r="K1267" s="1">
        <v>0.0</v>
      </c>
    </row>
    <row r="1268">
      <c r="A1268" s="1">
        <v>1.0</v>
      </c>
      <c r="B1268" s="1">
        <v>4.0</v>
      </c>
      <c r="C1268" s="1">
        <v>0.0</v>
      </c>
      <c r="D1268" s="1">
        <v>0.0</v>
      </c>
      <c r="E1268" s="1">
        <v>0.0</v>
      </c>
      <c r="F1268" s="1">
        <v>0.0</v>
      </c>
      <c r="G1268" s="2">
        <v>0.0</v>
      </c>
      <c r="H1268" s="1" t="s">
        <v>313</v>
      </c>
      <c r="I1268" s="1" t="str">
        <f>IFERROR(__xludf.DUMMYFUNCTION("REGEXREPLACE(MID(H1268, SEARCH(""["", H1268) + 1, SEARCH(""]"", H1268) - SEARCH(""["", H1268) - 1), ""\[\]"","""")"),"Seven Lakes")</f>
        <v>Seven Lakes</v>
      </c>
      <c r="J1268" s="1">
        <v>0.0</v>
      </c>
      <c r="K1268" s="1">
        <v>0.0</v>
      </c>
    </row>
    <row r="1269">
      <c r="A1269" s="1">
        <v>2.0</v>
      </c>
      <c r="B1269" s="1">
        <v>8.0</v>
      </c>
      <c r="C1269" s="1">
        <v>0.0</v>
      </c>
      <c r="D1269" s="1">
        <v>0.0</v>
      </c>
      <c r="E1269" s="1">
        <v>0.0</v>
      </c>
      <c r="F1269" s="1">
        <v>0.0</v>
      </c>
      <c r="G1269" s="2">
        <v>0.0</v>
      </c>
      <c r="H1269" s="1" t="s">
        <v>314</v>
      </c>
      <c r="I1269" s="1" t="str">
        <f>IFERROR(__xludf.DUMMYFUNCTION("REGEXREPLACE(MID(H1269, SEARCH(""["", H1269) + 1, SEARCH(""]"", H1269) - SEARCH(""["", H1269) - 1), ""\[\]"","""")"),"State College Area")</f>
        <v>State College Area</v>
      </c>
      <c r="J1269" s="1">
        <v>0.0</v>
      </c>
      <c r="K1269" s="1">
        <v>0.0</v>
      </c>
    </row>
    <row r="1270">
      <c r="A1270" s="1">
        <v>1.0</v>
      </c>
      <c r="B1270" s="1">
        <v>4.0</v>
      </c>
      <c r="C1270" s="1">
        <v>2.0</v>
      </c>
      <c r="D1270" s="1">
        <v>8.0</v>
      </c>
      <c r="E1270" s="1">
        <v>0.0</v>
      </c>
      <c r="F1270" s="1">
        <v>0.0</v>
      </c>
      <c r="G1270" s="2">
        <v>1.0</v>
      </c>
      <c r="H1270" s="1" t="s">
        <v>314</v>
      </c>
      <c r="I1270" s="1" t="str">
        <f>IFERROR(__xludf.DUMMYFUNCTION("REGEXREPLACE(MID(H1270, SEARCH(""["", H1270) + 1, SEARCH(""]"", H1270) - SEARCH(""["", H1270) - 1), ""\[\]"","""")"),"State College Area")</f>
        <v>State College Area</v>
      </c>
      <c r="J1270" s="1">
        <v>8.0</v>
      </c>
      <c r="K1270" s="1">
        <v>0.0</v>
      </c>
    </row>
    <row r="1271">
      <c r="A1271" s="1">
        <v>3.0</v>
      </c>
      <c r="B1271" s="1">
        <v>12.0</v>
      </c>
      <c r="C1271" s="1">
        <v>3.0</v>
      </c>
      <c r="D1271" s="1">
        <v>-1.33</v>
      </c>
      <c r="E1271" s="1">
        <v>0.67</v>
      </c>
      <c r="F1271" s="1">
        <v>0.0</v>
      </c>
      <c r="G1271" s="6">
        <v>0.333</v>
      </c>
      <c r="H1271" s="1" t="s">
        <v>315</v>
      </c>
      <c r="I1271" s="1" t="str">
        <f>IFERROR(__xludf.DUMMYFUNCTION("REGEXREPLACE(MID(H1271, SEARCH(""["", H1271) + 1, SEARCH(""]"", H1271) - SEARCH(""["", H1271) - 1), ""\[\]"","""")"),"State College Area")</f>
        <v>State College Area</v>
      </c>
      <c r="J1271" s="1">
        <v>-4.0</v>
      </c>
      <c r="K1271" s="1">
        <v>2.0</v>
      </c>
    </row>
    <row r="1272">
      <c r="A1272" s="1">
        <v>1.0</v>
      </c>
      <c r="B1272" s="1">
        <v>4.0</v>
      </c>
      <c r="C1272" s="1">
        <v>0.0</v>
      </c>
      <c r="D1272" s="1">
        <v>0.0</v>
      </c>
      <c r="E1272" s="1">
        <v>0.0</v>
      </c>
      <c r="F1272" s="1">
        <v>0.0</v>
      </c>
      <c r="G1272" s="2">
        <v>0.0</v>
      </c>
      <c r="H1272" s="1" t="s">
        <v>315</v>
      </c>
      <c r="I1272" s="1" t="str">
        <f>IFERROR(__xludf.DUMMYFUNCTION("REGEXREPLACE(MID(H1272, SEARCH(""["", H1272) + 1, SEARCH(""]"", H1272) - SEARCH(""["", H1272) - 1), ""\[\]"","""")"),"State College Area")</f>
        <v>State College Area</v>
      </c>
      <c r="J1272" s="1">
        <v>0.0</v>
      </c>
      <c r="K1272" s="1">
        <v>0.0</v>
      </c>
    </row>
    <row r="1273">
      <c r="A1273" s="1">
        <v>3.0</v>
      </c>
      <c r="B1273" s="1">
        <v>12.0</v>
      </c>
      <c r="C1273" s="1">
        <v>2.0</v>
      </c>
      <c r="D1273" s="1">
        <v>2.67</v>
      </c>
      <c r="E1273" s="1">
        <v>0.0</v>
      </c>
      <c r="F1273" s="1">
        <v>0.0</v>
      </c>
      <c r="G1273" s="2">
        <v>1.0</v>
      </c>
      <c r="H1273" s="1" t="s">
        <v>316</v>
      </c>
      <c r="I1273" s="1" t="str">
        <f>IFERROR(__xludf.DUMMYFUNCTION("REGEXREPLACE(MID(H1273, SEARCH(""["", H1273) + 1, SEARCH(""]"", H1273) - SEARCH(""["", H1273) - 1), ""\[\]"","""")"),"State College Area")</f>
        <v>State College Area</v>
      </c>
      <c r="J1273" s="1">
        <v>8.0</v>
      </c>
      <c r="K1273" s="1">
        <v>0.0</v>
      </c>
    </row>
    <row r="1274">
      <c r="A1274" s="1">
        <v>1.0</v>
      </c>
      <c r="B1274" s="1">
        <v>4.0</v>
      </c>
      <c r="C1274" s="1">
        <v>1.0</v>
      </c>
      <c r="D1274" s="1">
        <v>4.0</v>
      </c>
      <c r="E1274" s="1">
        <v>0.0</v>
      </c>
      <c r="F1274" s="1">
        <v>0.0</v>
      </c>
      <c r="G1274" s="2">
        <v>1.0</v>
      </c>
      <c r="H1274" s="1" t="s">
        <v>316</v>
      </c>
      <c r="I1274" s="1" t="str">
        <f>IFERROR(__xludf.DUMMYFUNCTION("REGEXREPLACE(MID(H1274, SEARCH(""["", H1274) + 1, SEARCH(""]"", H1274) - SEARCH(""["", H1274) - 1), ""\[\]"","""")"),"State College Area")</f>
        <v>State College Area</v>
      </c>
      <c r="J1274" s="1">
        <v>4.0</v>
      </c>
      <c r="K1274" s="1">
        <v>0.0</v>
      </c>
    </row>
    <row r="1275">
      <c r="A1275" s="1">
        <v>1.0</v>
      </c>
      <c r="B1275" s="1">
        <v>4.0</v>
      </c>
      <c r="C1275" s="1">
        <v>0.0</v>
      </c>
      <c r="D1275" s="1">
        <v>0.0</v>
      </c>
      <c r="E1275" s="1">
        <v>0.0</v>
      </c>
      <c r="F1275" s="1">
        <v>0.0</v>
      </c>
      <c r="G1275" s="2">
        <v>0.0</v>
      </c>
      <c r="H1275" s="1" t="s">
        <v>318</v>
      </c>
      <c r="I1275" s="1" t="str">
        <f>IFERROR(__xludf.DUMMYFUNCTION("REGEXREPLACE(MID(H1275, SEARCH(""["", H1275) + 1, SEARCH(""]"", H1275) - SEARCH(""["", H1275) - 1), ""\[\]"","""")"),"State College Area")</f>
        <v>State College Area</v>
      </c>
      <c r="J1275" s="1">
        <v>0.0</v>
      </c>
      <c r="K1275" s="1">
        <v>0.0</v>
      </c>
    </row>
    <row r="1276">
      <c r="A1276" s="1">
        <v>4.0</v>
      </c>
      <c r="B1276" s="1">
        <v>16.0</v>
      </c>
      <c r="C1276" s="1">
        <v>4.0</v>
      </c>
      <c r="D1276" s="1">
        <v>0.0</v>
      </c>
      <c r="E1276" s="1">
        <v>0.5</v>
      </c>
      <c r="F1276" s="1">
        <v>0.0</v>
      </c>
      <c r="G1276" s="2">
        <v>0.5</v>
      </c>
      <c r="H1276" s="1" t="s">
        <v>254</v>
      </c>
      <c r="I1276" s="1" t="str">
        <f>IFERROR(__xludf.DUMMYFUNCTION("REGEXREPLACE(MID(H1276, SEARCH(""["", H1276) + 1, SEARCH(""]"", H1276) - SEARCH(""["", H1276) - 1), ""\[\]"","""")"),"State College Area")</f>
        <v>State College Area</v>
      </c>
      <c r="J1276" s="1">
        <v>0.0</v>
      </c>
      <c r="K1276" s="1">
        <v>2.0</v>
      </c>
    </row>
    <row r="1277">
      <c r="A1277" s="1">
        <v>1.0</v>
      </c>
      <c r="B1277" s="1">
        <v>4.0</v>
      </c>
      <c r="C1277" s="1">
        <v>0.0</v>
      </c>
      <c r="D1277" s="1">
        <v>0.0</v>
      </c>
      <c r="E1277" s="1">
        <v>0.0</v>
      </c>
      <c r="F1277" s="1">
        <v>0.0</v>
      </c>
      <c r="G1277" s="2">
        <v>0.0</v>
      </c>
      <c r="H1277" s="1" t="s">
        <v>254</v>
      </c>
      <c r="I1277" s="1" t="str">
        <f>IFERROR(__xludf.DUMMYFUNCTION("REGEXREPLACE(MID(H1277, SEARCH(""["", H1277) + 1, SEARCH(""]"", H1277) - SEARCH(""["", H1277) - 1), ""\[\]"","""")"),"State College Area")</f>
        <v>State College Area</v>
      </c>
      <c r="J1277" s="1">
        <v>0.0</v>
      </c>
      <c r="K1277" s="1">
        <v>0.0</v>
      </c>
    </row>
    <row r="1278">
      <c r="A1278" s="1">
        <v>1.0</v>
      </c>
      <c r="B1278" s="1">
        <v>4.0</v>
      </c>
      <c r="C1278" s="1">
        <v>0.0</v>
      </c>
      <c r="D1278" s="1">
        <v>0.0</v>
      </c>
      <c r="E1278" s="1">
        <v>0.0</v>
      </c>
      <c r="F1278" s="1">
        <v>0.0</v>
      </c>
      <c r="G1278" s="2">
        <v>0.0</v>
      </c>
      <c r="H1278" s="1" t="s">
        <v>317</v>
      </c>
      <c r="I1278" s="1" t="str">
        <f>IFERROR(__xludf.DUMMYFUNCTION("REGEXREPLACE(MID(H1278, SEARCH(""["", H1278) + 1, SEARCH(""]"", H1278) - SEARCH(""["", H1278) - 1), ""\[\]"","""")"),"Synthase")</f>
        <v>Synthase</v>
      </c>
      <c r="J1278" s="1">
        <v>0.0</v>
      </c>
      <c r="K1278" s="1">
        <v>0.0</v>
      </c>
    </row>
    <row r="1279">
      <c r="A1279" s="1">
        <v>2.0</v>
      </c>
      <c r="B1279" s="1">
        <v>7.0</v>
      </c>
      <c r="C1279" s="1">
        <v>1.0</v>
      </c>
      <c r="D1279" s="1">
        <v>0.0</v>
      </c>
      <c r="E1279" s="1">
        <v>0.0</v>
      </c>
      <c r="F1279" s="1">
        <v>0.0</v>
      </c>
      <c r="G1279" s="2">
        <v>0.0</v>
      </c>
      <c r="H1279" s="1" t="s">
        <v>317</v>
      </c>
      <c r="I1279" s="1" t="str">
        <f>IFERROR(__xludf.DUMMYFUNCTION("REGEXREPLACE(MID(H1279, SEARCH(""["", H1279) + 1, SEARCH(""]"", H1279) - SEARCH(""["", H1279) - 1), ""\[\]"","""")"),"Synthase")</f>
        <v>Synthase</v>
      </c>
      <c r="J1279" s="1">
        <v>0.0</v>
      </c>
      <c r="K1279" s="1">
        <v>0.0</v>
      </c>
    </row>
    <row r="1280">
      <c r="A1280" s="1">
        <v>2.0</v>
      </c>
      <c r="B1280" s="1">
        <v>4.0</v>
      </c>
      <c r="C1280" s="1">
        <v>2.0</v>
      </c>
      <c r="D1280" s="1">
        <v>0.0</v>
      </c>
      <c r="E1280" s="1">
        <v>0.0</v>
      </c>
      <c r="F1280" s="1">
        <v>0.0</v>
      </c>
      <c r="G1280" s="2">
        <v>0.0</v>
      </c>
      <c r="H1280" s="1" t="s">
        <v>133</v>
      </c>
      <c r="I1280" s="1" t="str">
        <f>IFERROR(__xludf.DUMMYFUNCTION("REGEXREPLACE(MID(H1280, SEARCH(""["", H1280) + 1, SEARCH(""]"", H1280) - SEARCH(""["", H1280) - 1), ""\[\]"","""")"),"Synthase")</f>
        <v>Synthase</v>
      </c>
      <c r="J1280" s="1">
        <v>0.0</v>
      </c>
      <c r="K1280" s="1">
        <v>0.0</v>
      </c>
    </row>
    <row r="1281">
      <c r="A1281" s="1">
        <v>1.0</v>
      </c>
      <c r="B1281" s="1">
        <v>3.0</v>
      </c>
      <c r="C1281" s="1">
        <v>0.0</v>
      </c>
      <c r="D1281" s="1">
        <v>0.0</v>
      </c>
      <c r="E1281" s="1">
        <v>0.0</v>
      </c>
      <c r="F1281" s="1">
        <v>0.0</v>
      </c>
      <c r="G1281" s="2">
        <v>0.0</v>
      </c>
      <c r="H1281" s="1" t="s">
        <v>133</v>
      </c>
      <c r="I1281" s="1" t="str">
        <f>IFERROR(__xludf.DUMMYFUNCTION("REGEXREPLACE(MID(H1281, SEARCH(""["", H1281) + 1, SEARCH(""]"", H1281) - SEARCH(""["", H1281) - 1), ""\[\]"","""")"),"Synthase")</f>
        <v>Synthase</v>
      </c>
      <c r="J1281" s="1">
        <v>0.0</v>
      </c>
      <c r="K1281" s="1">
        <v>0.0</v>
      </c>
    </row>
    <row r="1282">
      <c r="A1282" s="1">
        <v>1.0</v>
      </c>
      <c r="B1282" s="1">
        <v>4.0</v>
      </c>
      <c r="C1282" s="1">
        <v>1.0</v>
      </c>
      <c r="D1282" s="1">
        <v>0.0</v>
      </c>
      <c r="E1282" s="1">
        <v>0.0</v>
      </c>
      <c r="F1282" s="1">
        <v>0.0</v>
      </c>
      <c r="G1282" s="2">
        <v>0.0</v>
      </c>
      <c r="H1282" s="1" t="s">
        <v>319</v>
      </c>
      <c r="I1282" s="1" t="str">
        <f>IFERROR(__xludf.DUMMYFUNCTION("REGEXREPLACE(MID(H1282, SEARCH(""["", H1282) + 1, SEARCH(""]"", H1282) - SEARCH(""["", H1282) - 1), ""\[\]"","""")"),"Synthase")</f>
        <v>Synthase</v>
      </c>
      <c r="J1282" s="1">
        <v>0.0</v>
      </c>
      <c r="K1282" s="1">
        <v>0.0</v>
      </c>
    </row>
    <row r="1283">
      <c r="A1283" s="1">
        <v>5.0</v>
      </c>
      <c r="B1283" s="1">
        <v>15.0</v>
      </c>
      <c r="C1283" s="1">
        <v>4.0</v>
      </c>
      <c r="D1283" s="1">
        <v>2.4</v>
      </c>
      <c r="E1283" s="1">
        <v>0.0</v>
      </c>
      <c r="F1283" s="1">
        <v>0.0</v>
      </c>
      <c r="G1283" s="2">
        <v>0.75</v>
      </c>
      <c r="H1283" s="1" t="s">
        <v>129</v>
      </c>
      <c r="I1283" s="1" t="str">
        <f>IFERROR(__xludf.DUMMYFUNCTION("REGEXREPLACE(MID(H1283, SEARCH(""["", H1283) + 1, SEARCH(""]"", H1283) - SEARCH(""["", H1283) - 1), ""\[\]"","""")"),"Synthase")</f>
        <v>Synthase</v>
      </c>
      <c r="J1283" s="1">
        <v>12.0</v>
      </c>
      <c r="K1283" s="1">
        <v>0.0</v>
      </c>
    </row>
    <row r="1284">
      <c r="A1284" s="1">
        <v>2.0</v>
      </c>
      <c r="B1284" s="1">
        <v>8.0</v>
      </c>
      <c r="C1284" s="1">
        <v>0.0</v>
      </c>
      <c r="D1284" s="1">
        <v>0.0</v>
      </c>
      <c r="E1284" s="1">
        <v>0.0</v>
      </c>
      <c r="F1284" s="1">
        <v>0.0</v>
      </c>
      <c r="G1284" s="2">
        <v>0.0</v>
      </c>
      <c r="H1284" s="1" t="s">
        <v>320</v>
      </c>
      <c r="I1284" s="1" t="str">
        <f>IFERROR(__xludf.DUMMYFUNCTION("REGEXREPLACE(MID(H1284, SEARCH(""["", H1284) + 1, SEARCH(""]"", H1284) - SEARCH(""["", H1284) - 1), ""\[\]"","""")"),"The Catalysts")</f>
        <v>The Catalysts</v>
      </c>
      <c r="J1284" s="1">
        <v>0.0</v>
      </c>
      <c r="K1284" s="1">
        <v>0.0</v>
      </c>
    </row>
    <row r="1285">
      <c r="A1285" s="1">
        <v>1.0</v>
      </c>
      <c r="B1285" s="1">
        <v>4.0</v>
      </c>
      <c r="C1285" s="1">
        <v>0.0</v>
      </c>
      <c r="D1285" s="1">
        <v>0.0</v>
      </c>
      <c r="E1285" s="1">
        <v>0.0</v>
      </c>
      <c r="F1285" s="1">
        <v>0.0</v>
      </c>
      <c r="G1285" s="2">
        <v>0.0</v>
      </c>
      <c r="H1285" s="1" t="s">
        <v>320</v>
      </c>
      <c r="I1285" s="1" t="str">
        <f>IFERROR(__xludf.DUMMYFUNCTION("REGEXREPLACE(MID(H1285, SEARCH(""["", H1285) + 1, SEARCH(""]"", H1285) - SEARCH(""["", H1285) - 1), ""\[\]"","""")"),"The Catalysts")</f>
        <v>The Catalysts</v>
      </c>
      <c r="J1285" s="1">
        <v>0.0</v>
      </c>
      <c r="K1285" s="1">
        <v>0.0</v>
      </c>
    </row>
    <row r="1286">
      <c r="A1286" s="1">
        <v>2.0</v>
      </c>
      <c r="B1286" s="1">
        <v>8.0</v>
      </c>
      <c r="C1286" s="1">
        <v>2.0</v>
      </c>
      <c r="D1286" s="1">
        <v>2.0</v>
      </c>
      <c r="E1286" s="1">
        <v>0.0</v>
      </c>
      <c r="F1286" s="1">
        <v>0.0</v>
      </c>
      <c r="G1286" s="2">
        <v>0.5</v>
      </c>
      <c r="H1286" s="1" t="s">
        <v>320</v>
      </c>
      <c r="I1286" s="1" t="str">
        <f>IFERROR(__xludf.DUMMYFUNCTION("REGEXREPLACE(MID(H1286, SEARCH(""["", H1286) + 1, SEARCH(""]"", H1286) - SEARCH(""["", H1286) - 1), ""\[\]"","""")"),"The Catalysts")</f>
        <v>The Catalysts</v>
      </c>
      <c r="J1286" s="1">
        <v>4.0</v>
      </c>
      <c r="K1286" s="1">
        <v>0.0</v>
      </c>
    </row>
    <row r="1287">
      <c r="A1287" s="1">
        <v>2.0</v>
      </c>
      <c r="B1287" s="1">
        <v>8.0</v>
      </c>
      <c r="C1287" s="1">
        <v>0.0</v>
      </c>
      <c r="D1287" s="1">
        <v>0.0</v>
      </c>
      <c r="E1287" s="1">
        <v>0.0</v>
      </c>
      <c r="F1287" s="1">
        <v>0.0</v>
      </c>
      <c r="G1287" s="2">
        <v>0.0</v>
      </c>
      <c r="H1287" s="1" t="s">
        <v>287</v>
      </c>
      <c r="I1287" s="1" t="str">
        <f>IFERROR(__xludf.DUMMYFUNCTION("REGEXREPLACE(MID(H1287, SEARCH(""["", H1287) + 1, SEARCH(""]"", H1287) - SEARCH(""["", H1287) - 1), ""\[\]"","""")"),"The Catalysts")</f>
        <v>The Catalysts</v>
      </c>
      <c r="J1287" s="1">
        <v>0.0</v>
      </c>
      <c r="K1287" s="1">
        <v>0.0</v>
      </c>
    </row>
    <row r="1288">
      <c r="A1288" s="1">
        <v>1.0</v>
      </c>
      <c r="B1288" s="1">
        <v>4.0</v>
      </c>
      <c r="C1288" s="1">
        <v>0.0</v>
      </c>
      <c r="D1288" s="1">
        <v>0.0</v>
      </c>
      <c r="E1288" s="1">
        <v>0.0</v>
      </c>
      <c r="F1288" s="1">
        <v>0.0</v>
      </c>
      <c r="G1288" s="2">
        <v>0.0</v>
      </c>
      <c r="H1288" s="1" t="s">
        <v>287</v>
      </c>
      <c r="I1288" s="1" t="str">
        <f>IFERROR(__xludf.DUMMYFUNCTION("REGEXREPLACE(MID(H1288, SEARCH(""["", H1288) + 1, SEARCH(""]"", H1288) - SEARCH(""["", H1288) - 1), ""\[\]"","""")"),"The Catalysts")</f>
        <v>The Catalysts</v>
      </c>
      <c r="J1288" s="1">
        <v>0.0</v>
      </c>
      <c r="K1288" s="1">
        <v>0.0</v>
      </c>
    </row>
    <row r="1289">
      <c r="A1289" s="1">
        <v>2.0</v>
      </c>
      <c r="B1289" s="1">
        <v>8.0</v>
      </c>
      <c r="C1289" s="1">
        <v>0.0</v>
      </c>
      <c r="D1289" s="1">
        <v>0.0</v>
      </c>
      <c r="E1289" s="1">
        <v>0.0</v>
      </c>
      <c r="F1289" s="1">
        <v>0.0</v>
      </c>
      <c r="G1289" s="2">
        <v>0.0</v>
      </c>
      <c r="H1289" s="1" t="s">
        <v>287</v>
      </c>
      <c r="I1289" s="1" t="str">
        <f>IFERROR(__xludf.DUMMYFUNCTION("REGEXREPLACE(MID(H1289, SEARCH(""["", H1289) + 1, SEARCH(""]"", H1289) - SEARCH(""["", H1289) - 1), ""\[\]"","""")"),"The Catalysts")</f>
        <v>The Catalysts</v>
      </c>
      <c r="J1289" s="1">
        <v>0.0</v>
      </c>
      <c r="K1289" s="1">
        <v>0.0</v>
      </c>
    </row>
    <row r="1290">
      <c r="A1290" s="1">
        <v>2.0</v>
      </c>
      <c r="B1290" s="1">
        <v>8.0</v>
      </c>
      <c r="C1290" s="1">
        <v>0.0</v>
      </c>
      <c r="D1290" s="1">
        <v>0.0</v>
      </c>
      <c r="E1290" s="1">
        <v>0.0</v>
      </c>
      <c r="F1290" s="1">
        <v>0.0</v>
      </c>
      <c r="G1290" s="2">
        <v>0.0</v>
      </c>
      <c r="H1290" s="1" t="s">
        <v>289</v>
      </c>
      <c r="I1290" s="1" t="str">
        <f>IFERROR(__xludf.DUMMYFUNCTION("REGEXREPLACE(MID(H1290, SEARCH(""["", H1290) + 1, SEARCH(""]"", H1290) - SEARCH(""["", H1290) - 1), ""\[\]"","""")"),"The Catalysts")</f>
        <v>The Catalysts</v>
      </c>
      <c r="J1290" s="1">
        <v>0.0</v>
      </c>
      <c r="K1290" s="1">
        <v>0.0</v>
      </c>
    </row>
    <row r="1291">
      <c r="A1291" s="1">
        <v>1.0</v>
      </c>
      <c r="B1291" s="1">
        <v>4.0</v>
      </c>
      <c r="C1291" s="1">
        <v>0.0</v>
      </c>
      <c r="D1291" s="1">
        <v>0.0</v>
      </c>
      <c r="E1291" s="1">
        <v>0.0</v>
      </c>
      <c r="F1291" s="1">
        <v>0.0</v>
      </c>
      <c r="G1291" s="2">
        <v>0.0</v>
      </c>
      <c r="H1291" s="1" t="s">
        <v>289</v>
      </c>
      <c r="I1291" s="1" t="str">
        <f>IFERROR(__xludf.DUMMYFUNCTION("REGEXREPLACE(MID(H1291, SEARCH(""["", H1291) + 1, SEARCH(""]"", H1291) - SEARCH(""["", H1291) - 1), ""\[\]"","""")"),"The Catalysts")</f>
        <v>The Catalysts</v>
      </c>
      <c r="J1291" s="1">
        <v>0.0</v>
      </c>
      <c r="K1291" s="1">
        <v>0.0</v>
      </c>
    </row>
    <row r="1292">
      <c r="A1292" s="1">
        <v>2.0</v>
      </c>
      <c r="B1292" s="1">
        <v>8.0</v>
      </c>
      <c r="C1292" s="1">
        <v>0.0</v>
      </c>
      <c r="D1292" s="1">
        <v>0.0</v>
      </c>
      <c r="E1292" s="1">
        <v>0.0</v>
      </c>
      <c r="F1292" s="1">
        <v>0.0</v>
      </c>
      <c r="G1292" s="2">
        <v>0.0</v>
      </c>
      <c r="H1292" s="1" t="s">
        <v>289</v>
      </c>
      <c r="I1292" s="1" t="str">
        <f>IFERROR(__xludf.DUMMYFUNCTION("REGEXREPLACE(MID(H1292, SEARCH(""["", H1292) + 1, SEARCH(""]"", H1292) - SEARCH(""["", H1292) - 1), ""\[\]"","""")"),"The Catalysts")</f>
        <v>The Catalysts</v>
      </c>
      <c r="J1292" s="1">
        <v>0.0</v>
      </c>
      <c r="K1292" s="1">
        <v>0.0</v>
      </c>
    </row>
    <row r="1293">
      <c r="A1293" s="1">
        <v>2.0</v>
      </c>
      <c r="B1293" s="1">
        <v>8.0</v>
      </c>
      <c r="C1293" s="1">
        <v>0.0</v>
      </c>
      <c r="D1293" s="1">
        <v>0.0</v>
      </c>
      <c r="E1293" s="1">
        <v>0.0</v>
      </c>
      <c r="F1293" s="1">
        <v>0.0</v>
      </c>
      <c r="G1293" s="2">
        <v>0.0</v>
      </c>
      <c r="H1293" s="1" t="s">
        <v>321</v>
      </c>
      <c r="I1293" s="1" t="str">
        <f>IFERROR(__xludf.DUMMYFUNCTION("REGEXREPLACE(MID(H1293, SEARCH(""["", H1293) + 1, SEARCH(""]"", H1293) - SEARCH(""["", H1293) - 1), ""\[\]"","""")"),"The Catalysts")</f>
        <v>The Catalysts</v>
      </c>
      <c r="J1293" s="1">
        <v>0.0</v>
      </c>
      <c r="K1293" s="1">
        <v>0.0</v>
      </c>
    </row>
    <row r="1294">
      <c r="A1294" s="1">
        <v>1.0</v>
      </c>
      <c r="B1294" s="1">
        <v>4.0</v>
      </c>
      <c r="C1294" s="1">
        <v>0.0</v>
      </c>
      <c r="D1294" s="1">
        <v>0.0</v>
      </c>
      <c r="E1294" s="1">
        <v>0.0</v>
      </c>
      <c r="F1294" s="1">
        <v>0.0</v>
      </c>
      <c r="G1294" s="2">
        <v>0.0</v>
      </c>
      <c r="H1294" s="1" t="s">
        <v>321</v>
      </c>
      <c r="I1294" s="1" t="str">
        <f>IFERROR(__xludf.DUMMYFUNCTION("REGEXREPLACE(MID(H1294, SEARCH(""["", H1294) + 1, SEARCH(""]"", H1294) - SEARCH(""["", H1294) - 1), ""\[\]"","""")"),"The Catalysts")</f>
        <v>The Catalysts</v>
      </c>
      <c r="J1294" s="1">
        <v>0.0</v>
      </c>
      <c r="K1294" s="1">
        <v>0.0</v>
      </c>
    </row>
    <row r="1295">
      <c r="A1295" s="1">
        <v>1.0</v>
      </c>
      <c r="B1295" s="1">
        <v>4.0</v>
      </c>
      <c r="C1295" s="1">
        <v>0.0</v>
      </c>
      <c r="D1295" s="1">
        <v>0.0</v>
      </c>
      <c r="E1295" s="1">
        <v>0.0</v>
      </c>
      <c r="F1295" s="1">
        <v>0.0</v>
      </c>
      <c r="G1295" s="2">
        <v>0.0</v>
      </c>
      <c r="H1295" s="1" t="s">
        <v>321</v>
      </c>
      <c r="I1295" s="1" t="str">
        <f>IFERROR(__xludf.DUMMYFUNCTION("REGEXREPLACE(MID(H1295, SEARCH(""["", H1295) + 1, SEARCH(""]"", H1295) - SEARCH(""["", H1295) - 1), ""\[\]"","""")"),"The Catalysts")</f>
        <v>The Catalysts</v>
      </c>
      <c r="J1295" s="1">
        <v>0.0</v>
      </c>
      <c r="K1295" s="1">
        <v>0.0</v>
      </c>
    </row>
    <row r="1296">
      <c r="A1296" s="1">
        <v>2.0</v>
      </c>
      <c r="B1296" s="1">
        <v>8.0</v>
      </c>
      <c r="C1296" s="1">
        <v>5.0</v>
      </c>
      <c r="D1296" s="1">
        <v>4.0</v>
      </c>
      <c r="E1296" s="1">
        <v>0.0</v>
      </c>
      <c r="F1296" s="1">
        <v>0.0</v>
      </c>
      <c r="G1296" s="2">
        <v>0.4</v>
      </c>
      <c r="H1296" s="1" t="s">
        <v>323</v>
      </c>
      <c r="I1296" s="1" t="str">
        <f>IFERROR(__xludf.DUMMYFUNCTION("REGEXREPLACE(MID(H1296, SEARCH(""["", H1296) + 1, SEARCH(""]"", H1296) - SEARCH(""["", H1296) - 1), ""\[\]"","""")"),"The Catalysts")</f>
        <v>The Catalysts</v>
      </c>
      <c r="J1296" s="1">
        <v>8.0</v>
      </c>
      <c r="K1296" s="1">
        <v>0.0</v>
      </c>
    </row>
    <row r="1297">
      <c r="A1297" s="1">
        <v>1.0</v>
      </c>
      <c r="B1297" s="1">
        <v>4.0</v>
      </c>
      <c r="C1297" s="1">
        <v>2.0</v>
      </c>
      <c r="D1297" s="1">
        <v>0.0</v>
      </c>
      <c r="E1297" s="1">
        <v>1.0</v>
      </c>
      <c r="F1297" s="1">
        <v>0.0</v>
      </c>
      <c r="G1297" s="2">
        <v>0.5</v>
      </c>
      <c r="H1297" s="1" t="s">
        <v>323</v>
      </c>
      <c r="I1297" s="1" t="str">
        <f>IFERROR(__xludf.DUMMYFUNCTION("REGEXREPLACE(MID(H1297, SEARCH(""["", H1297) + 1, SEARCH(""]"", H1297) - SEARCH(""["", H1297) - 1), ""\[\]"","""")"),"The Catalysts")</f>
        <v>The Catalysts</v>
      </c>
      <c r="J1297" s="1">
        <v>0.0</v>
      </c>
      <c r="K1297" s="1">
        <v>1.0</v>
      </c>
    </row>
    <row r="1298">
      <c r="A1298" s="1">
        <v>2.0</v>
      </c>
      <c r="B1298" s="1">
        <v>8.0</v>
      </c>
      <c r="C1298" s="1">
        <v>3.0</v>
      </c>
      <c r="D1298" s="1">
        <v>-2.0</v>
      </c>
      <c r="E1298" s="1">
        <v>0.5</v>
      </c>
      <c r="F1298" s="1">
        <v>0.0</v>
      </c>
      <c r="G1298" s="2">
        <v>0.0</v>
      </c>
      <c r="H1298" s="1" t="s">
        <v>323</v>
      </c>
      <c r="I1298" s="1" t="str">
        <f>IFERROR(__xludf.DUMMYFUNCTION("REGEXREPLACE(MID(H1298, SEARCH(""["", H1298) + 1, SEARCH(""]"", H1298) - SEARCH(""["", H1298) - 1), ""\[\]"","""")"),"The Catalysts")</f>
        <v>The Catalysts</v>
      </c>
      <c r="J1298" s="1">
        <v>-4.0</v>
      </c>
      <c r="K1298" s="1">
        <v>1.0</v>
      </c>
    </row>
    <row r="1299">
      <c r="A1299" s="1">
        <v>1.0</v>
      </c>
      <c r="B1299" s="1">
        <v>4.0</v>
      </c>
      <c r="C1299" s="1">
        <v>0.0</v>
      </c>
      <c r="D1299" s="1">
        <v>0.0</v>
      </c>
      <c r="E1299" s="1">
        <v>0.0</v>
      </c>
      <c r="F1299" s="1">
        <v>0.0</v>
      </c>
      <c r="G1299" s="2">
        <v>0.0</v>
      </c>
      <c r="H1299" s="1" t="s">
        <v>278</v>
      </c>
      <c r="I1299" s="1" t="str">
        <f>IFERROR(__xludf.DUMMYFUNCTION("REGEXREPLACE(MID(H1299, SEARCH(""["", H1299) + 1, SEARCH(""]"", H1299) - SEARCH(""["", H1299) - 1), ""\[\]"","""")"),"The Outliers")</f>
        <v>The Outliers</v>
      </c>
      <c r="J1299" s="1">
        <v>0.0</v>
      </c>
      <c r="K1299" s="1">
        <v>0.0</v>
      </c>
    </row>
    <row r="1300">
      <c r="A1300" s="1">
        <v>3.0</v>
      </c>
      <c r="B1300" s="1">
        <v>12.0</v>
      </c>
      <c r="C1300" s="1">
        <v>2.0</v>
      </c>
      <c r="D1300" s="1">
        <v>0.0</v>
      </c>
      <c r="E1300" s="1">
        <v>0.33</v>
      </c>
      <c r="F1300" s="1">
        <v>0.0</v>
      </c>
      <c r="G1300" s="2">
        <v>0.5</v>
      </c>
      <c r="H1300" s="1" t="s">
        <v>278</v>
      </c>
      <c r="I1300" s="1" t="str">
        <f>IFERROR(__xludf.DUMMYFUNCTION("REGEXREPLACE(MID(H1300, SEARCH(""["", H1300) + 1, SEARCH(""]"", H1300) - SEARCH(""["", H1300) - 1), ""\[\]"","""")"),"The Outliers")</f>
        <v>The Outliers</v>
      </c>
      <c r="J1300" s="1">
        <v>0.0</v>
      </c>
      <c r="K1300" s="1">
        <v>1.0</v>
      </c>
    </row>
    <row r="1301">
      <c r="A1301" s="1">
        <v>1.0</v>
      </c>
      <c r="B1301" s="1">
        <v>4.0</v>
      </c>
      <c r="C1301" s="1">
        <v>1.0</v>
      </c>
      <c r="D1301" s="1">
        <v>4.0</v>
      </c>
      <c r="E1301" s="1">
        <v>0.0</v>
      </c>
      <c r="F1301" s="1">
        <v>0.0</v>
      </c>
      <c r="G1301" s="2">
        <v>1.0</v>
      </c>
      <c r="H1301" s="1" t="s">
        <v>325</v>
      </c>
      <c r="I1301" s="1" t="str">
        <f>IFERROR(__xludf.DUMMYFUNCTION("REGEXREPLACE(MID(H1301, SEARCH(""["", H1301) + 1, SEARCH(""]"", H1301) - SEARCH(""["", H1301) - 1), ""\[\]"","""")"),"The Outliers")</f>
        <v>The Outliers</v>
      </c>
      <c r="J1301" s="1">
        <v>4.0</v>
      </c>
      <c r="K1301" s="1">
        <v>0.0</v>
      </c>
    </row>
    <row r="1302">
      <c r="A1302" s="1">
        <v>4.0</v>
      </c>
      <c r="B1302" s="1">
        <v>16.0</v>
      </c>
      <c r="C1302" s="1">
        <v>1.0</v>
      </c>
      <c r="D1302" s="1">
        <v>1.0</v>
      </c>
      <c r="E1302" s="1">
        <v>0.0</v>
      </c>
      <c r="F1302" s="1">
        <v>0.0</v>
      </c>
      <c r="G1302" s="2">
        <v>1.0</v>
      </c>
      <c r="H1302" s="1" t="s">
        <v>325</v>
      </c>
      <c r="I1302" s="1" t="str">
        <f>IFERROR(__xludf.DUMMYFUNCTION("REGEXREPLACE(MID(H1302, SEARCH(""["", H1302) + 1, SEARCH(""]"", H1302) - SEARCH(""["", H1302) - 1), ""\[\]"","""")"),"The Outliers")</f>
        <v>The Outliers</v>
      </c>
      <c r="J1302" s="1">
        <v>4.0</v>
      </c>
      <c r="K1302" s="1">
        <v>0.0</v>
      </c>
    </row>
    <row r="1303">
      <c r="A1303" s="1">
        <v>1.0</v>
      </c>
      <c r="B1303" s="1">
        <v>4.0</v>
      </c>
      <c r="C1303" s="1">
        <v>3.0</v>
      </c>
      <c r="D1303" s="1">
        <v>4.0</v>
      </c>
      <c r="E1303" s="1">
        <v>0.0</v>
      </c>
      <c r="F1303" s="1">
        <v>0.0</v>
      </c>
      <c r="G1303" s="6">
        <v>0.333</v>
      </c>
      <c r="H1303" s="1" t="s">
        <v>326</v>
      </c>
      <c r="I1303" s="1" t="str">
        <f>IFERROR(__xludf.DUMMYFUNCTION("REGEXREPLACE(MID(H1303, SEARCH(""["", H1303) + 1, SEARCH(""]"", H1303) - SEARCH(""["", H1303) - 1), ""\[\]"","""")"),"The Outliers")</f>
        <v>The Outliers</v>
      </c>
      <c r="J1303" s="1">
        <v>4.0</v>
      </c>
      <c r="K1303" s="1">
        <v>0.0</v>
      </c>
    </row>
    <row r="1304">
      <c r="A1304" s="1">
        <v>2.0</v>
      </c>
      <c r="B1304" s="1">
        <v>8.0</v>
      </c>
      <c r="C1304" s="1">
        <v>4.0</v>
      </c>
      <c r="D1304" s="1">
        <v>-2.0</v>
      </c>
      <c r="E1304" s="1">
        <v>0.5</v>
      </c>
      <c r="F1304" s="1">
        <v>0.0</v>
      </c>
      <c r="G1304" s="2">
        <v>0.0</v>
      </c>
      <c r="H1304" s="1" t="s">
        <v>326</v>
      </c>
      <c r="I1304" s="1" t="str">
        <f>IFERROR(__xludf.DUMMYFUNCTION("REGEXREPLACE(MID(H1304, SEARCH(""["", H1304) + 1, SEARCH(""]"", H1304) - SEARCH(""["", H1304) - 1), ""\[\]"","""")"),"The Outliers")</f>
        <v>The Outliers</v>
      </c>
      <c r="J1304" s="1">
        <v>-4.0</v>
      </c>
      <c r="K1304" s="1">
        <v>1.0</v>
      </c>
    </row>
    <row r="1305">
      <c r="A1305" s="1">
        <v>1.0</v>
      </c>
      <c r="B1305" s="1">
        <v>4.0</v>
      </c>
      <c r="C1305" s="1">
        <v>0.0</v>
      </c>
      <c r="D1305" s="1">
        <v>0.0</v>
      </c>
      <c r="E1305" s="1">
        <v>0.0</v>
      </c>
      <c r="F1305" s="1">
        <v>0.0</v>
      </c>
      <c r="G1305" s="2">
        <v>0.0</v>
      </c>
      <c r="H1305" s="1" t="s">
        <v>311</v>
      </c>
      <c r="I1305" s="1" t="str">
        <f>IFERROR(__xludf.DUMMYFUNCTION("REGEXREPLACE(MID(H1305, SEARCH(""["", H1305) + 1, SEARCH(""]"", H1305) - SEARCH(""["", H1305) - 1), ""\[\]"","""")"),"The Outliers")</f>
        <v>The Outliers</v>
      </c>
      <c r="J1305" s="1">
        <v>0.0</v>
      </c>
      <c r="K1305" s="1">
        <v>0.0</v>
      </c>
    </row>
    <row r="1306">
      <c r="A1306" s="1">
        <v>4.0</v>
      </c>
      <c r="B1306" s="1">
        <v>16.0</v>
      </c>
      <c r="C1306" s="1">
        <v>1.0</v>
      </c>
      <c r="D1306" s="1">
        <v>0.0</v>
      </c>
      <c r="E1306" s="1">
        <v>0.0</v>
      </c>
      <c r="F1306" s="1">
        <v>0.0</v>
      </c>
      <c r="G1306" s="2">
        <v>0.0</v>
      </c>
      <c r="H1306" s="1" t="s">
        <v>311</v>
      </c>
      <c r="I1306" s="1" t="str">
        <f>IFERROR(__xludf.DUMMYFUNCTION("REGEXREPLACE(MID(H1306, SEARCH(""["", H1306) + 1, SEARCH(""]"", H1306) - SEARCH(""["", H1306) - 1), ""\[\]"","""")"),"The Outliers")</f>
        <v>The Outliers</v>
      </c>
      <c r="J1306" s="1">
        <v>0.0</v>
      </c>
      <c r="K1306" s="1">
        <v>0.0</v>
      </c>
    </row>
    <row r="1307">
      <c r="A1307" s="1">
        <v>1.0</v>
      </c>
      <c r="B1307" s="1">
        <v>4.0</v>
      </c>
      <c r="C1307" s="1">
        <v>0.0</v>
      </c>
      <c r="D1307" s="1">
        <v>0.0</v>
      </c>
      <c r="E1307" s="1">
        <v>0.0</v>
      </c>
      <c r="F1307" s="1">
        <v>0.0</v>
      </c>
      <c r="G1307" s="2">
        <v>0.0</v>
      </c>
      <c r="H1307" s="1" t="s">
        <v>322</v>
      </c>
      <c r="I1307" s="1" t="str">
        <f>IFERROR(__xludf.DUMMYFUNCTION("REGEXREPLACE(MID(H1307, SEARCH(""["", H1307) + 1, SEARCH(""]"", H1307) - SEARCH(""["", H1307) - 1), ""\[\]"","""")"),"The Outliers")</f>
        <v>The Outliers</v>
      </c>
      <c r="J1307" s="1">
        <v>0.0</v>
      </c>
      <c r="K1307" s="1">
        <v>0.0</v>
      </c>
    </row>
    <row r="1308">
      <c r="A1308" s="1">
        <v>3.0</v>
      </c>
      <c r="B1308" s="1">
        <v>12.0</v>
      </c>
      <c r="C1308" s="1">
        <v>1.0</v>
      </c>
      <c r="D1308" s="1">
        <v>1.33</v>
      </c>
      <c r="E1308" s="1">
        <v>0.0</v>
      </c>
      <c r="F1308" s="1">
        <v>0.0</v>
      </c>
      <c r="G1308" s="2">
        <v>1.0</v>
      </c>
      <c r="H1308" s="1" t="s">
        <v>322</v>
      </c>
      <c r="I1308" s="1" t="str">
        <f>IFERROR(__xludf.DUMMYFUNCTION("REGEXREPLACE(MID(H1308, SEARCH(""["", H1308) + 1, SEARCH(""]"", H1308) - SEARCH(""["", H1308) - 1), ""\[\]"","""")"),"The Outliers")</f>
        <v>The Outliers</v>
      </c>
      <c r="J1308" s="1">
        <v>4.0</v>
      </c>
      <c r="K1308" s="1">
        <v>0.0</v>
      </c>
    </row>
    <row r="1309">
      <c r="A1309" s="1">
        <v>3.0</v>
      </c>
      <c r="B1309" s="1">
        <v>12.0</v>
      </c>
      <c r="C1309" s="1">
        <v>1.0</v>
      </c>
      <c r="D1309" s="1">
        <v>0.0</v>
      </c>
      <c r="E1309" s="1">
        <v>0.0</v>
      </c>
      <c r="F1309" s="1">
        <v>0.0</v>
      </c>
      <c r="G1309" s="2">
        <v>0.0</v>
      </c>
      <c r="H1309" s="1" t="s">
        <v>328</v>
      </c>
      <c r="I1309" s="1" t="str">
        <f>IFERROR(__xludf.DUMMYFUNCTION("REGEXREPLACE(MID(H1309, SEARCH(""["", H1309) + 1, SEARCH(""]"", H1309) - SEARCH(""["", H1309) - 1), ""\[\]"","""")"),"The Woodlands HS")</f>
        <v>The Woodlands HS</v>
      </c>
      <c r="J1309" s="1">
        <v>0.0</v>
      </c>
      <c r="K1309" s="1">
        <v>0.0</v>
      </c>
    </row>
    <row r="1310">
      <c r="A1310" s="1">
        <v>3.0</v>
      </c>
      <c r="B1310" s="1">
        <v>12.0</v>
      </c>
      <c r="C1310" s="1">
        <v>3.0</v>
      </c>
      <c r="D1310" s="1">
        <v>1.33</v>
      </c>
      <c r="E1310" s="1">
        <v>0.0</v>
      </c>
      <c r="F1310" s="1">
        <v>0.0</v>
      </c>
      <c r="G1310" s="6">
        <v>0.333</v>
      </c>
      <c r="H1310" s="1" t="s">
        <v>329</v>
      </c>
      <c r="I1310" s="1" t="str">
        <f>IFERROR(__xludf.DUMMYFUNCTION("REGEXREPLACE(MID(H1310, SEARCH(""["", H1310) + 1, SEARCH(""]"", H1310) - SEARCH(""["", H1310) - 1), ""\[\]"","""")"),"The Woodlands HS")</f>
        <v>The Woodlands HS</v>
      </c>
      <c r="J1310" s="1">
        <v>4.0</v>
      </c>
      <c r="K1310" s="1">
        <v>0.0</v>
      </c>
    </row>
    <row r="1311">
      <c r="A1311" s="1">
        <v>1.0</v>
      </c>
      <c r="B1311" s="1">
        <v>3.0</v>
      </c>
      <c r="C1311" s="1">
        <v>0.0</v>
      </c>
      <c r="D1311" s="1">
        <v>0.0</v>
      </c>
      <c r="E1311" s="1">
        <v>0.0</v>
      </c>
      <c r="F1311" s="1">
        <v>0.0</v>
      </c>
      <c r="G1311" s="2">
        <v>0.0</v>
      </c>
      <c r="H1311" s="1" t="s">
        <v>329</v>
      </c>
      <c r="I1311" s="1" t="str">
        <f>IFERROR(__xludf.DUMMYFUNCTION("REGEXREPLACE(MID(H1311, SEARCH(""["", H1311) + 1, SEARCH(""]"", H1311) - SEARCH(""["", H1311) - 1), ""\[\]"","""")"),"The Woodlands HS")</f>
        <v>The Woodlands HS</v>
      </c>
      <c r="J1311" s="1">
        <v>0.0</v>
      </c>
      <c r="K1311" s="1">
        <v>0.0</v>
      </c>
    </row>
    <row r="1312">
      <c r="A1312" s="1">
        <v>2.0</v>
      </c>
      <c r="B1312" s="1">
        <v>7.0</v>
      </c>
      <c r="C1312" s="1">
        <v>2.0</v>
      </c>
      <c r="D1312" s="1">
        <v>0.0</v>
      </c>
      <c r="E1312" s="1">
        <v>0.0</v>
      </c>
      <c r="F1312" s="1">
        <v>0.0</v>
      </c>
      <c r="G1312" s="2">
        <v>0.0</v>
      </c>
      <c r="H1312" s="1" t="s">
        <v>330</v>
      </c>
      <c r="I1312" s="1" t="str">
        <f>IFERROR(__xludf.DUMMYFUNCTION("REGEXREPLACE(MID(H1312, SEARCH(""["", H1312) + 1, SEARCH(""]"", H1312) - SEARCH(""["", H1312) - 1), ""\[\]"","""")"),"The Woodlands HS")</f>
        <v>The Woodlands HS</v>
      </c>
      <c r="J1312" s="1">
        <v>0.0</v>
      </c>
      <c r="K1312" s="1">
        <v>0.0</v>
      </c>
    </row>
    <row r="1313">
      <c r="A1313" s="1">
        <v>3.0</v>
      </c>
      <c r="B1313" s="1">
        <v>12.0</v>
      </c>
      <c r="C1313" s="1">
        <v>4.0</v>
      </c>
      <c r="D1313" s="1">
        <v>1.33</v>
      </c>
      <c r="E1313" s="1">
        <v>0.0</v>
      </c>
      <c r="F1313" s="1">
        <v>0.0</v>
      </c>
      <c r="G1313" s="2">
        <v>0.25</v>
      </c>
      <c r="H1313" s="1" t="s">
        <v>330</v>
      </c>
      <c r="I1313" s="1" t="str">
        <f>IFERROR(__xludf.DUMMYFUNCTION("REGEXREPLACE(MID(H1313, SEARCH(""["", H1313) + 1, SEARCH(""]"", H1313) - SEARCH(""["", H1313) - 1), ""\[\]"","""")"),"The Woodlands HS")</f>
        <v>The Woodlands HS</v>
      </c>
      <c r="J1313" s="1">
        <v>4.0</v>
      </c>
      <c r="K1313" s="1">
        <v>0.0</v>
      </c>
    </row>
    <row r="1314">
      <c r="A1314" s="1">
        <v>2.0</v>
      </c>
      <c r="B1314" s="1">
        <v>7.0</v>
      </c>
      <c r="C1314" s="1">
        <v>0.0</v>
      </c>
      <c r="D1314" s="1">
        <v>0.0</v>
      </c>
      <c r="E1314" s="1">
        <v>0.0</v>
      </c>
      <c r="F1314" s="1">
        <v>0.0</v>
      </c>
      <c r="G1314" s="2">
        <v>0.0</v>
      </c>
      <c r="H1314" s="1" t="s">
        <v>331</v>
      </c>
      <c r="I1314" s="1" t="str">
        <f>IFERROR(__xludf.DUMMYFUNCTION("REGEXREPLACE(MID(H1314, SEARCH(""["", H1314) + 1, SEARCH(""]"", H1314) - SEARCH(""["", H1314) - 1), ""\[\]"","""")"),"The Woodlands HS")</f>
        <v>The Woodlands HS</v>
      </c>
      <c r="J1314" s="1">
        <v>0.0</v>
      </c>
      <c r="K1314" s="1">
        <v>0.0</v>
      </c>
    </row>
    <row r="1315">
      <c r="A1315" s="1">
        <v>2.0</v>
      </c>
      <c r="B1315" s="1">
        <v>8.0</v>
      </c>
      <c r="C1315" s="1">
        <v>0.0</v>
      </c>
      <c r="D1315" s="1">
        <v>0.0</v>
      </c>
      <c r="E1315" s="1">
        <v>0.0</v>
      </c>
      <c r="F1315" s="1">
        <v>0.0</v>
      </c>
      <c r="G1315" s="2">
        <v>0.0</v>
      </c>
      <c r="H1315" s="1" t="s">
        <v>331</v>
      </c>
      <c r="I1315" s="1" t="str">
        <f>IFERROR(__xludf.DUMMYFUNCTION("REGEXREPLACE(MID(H1315, SEARCH(""["", H1315) + 1, SEARCH(""]"", H1315) - SEARCH(""["", H1315) - 1), ""\[\]"","""")"),"The Woodlands HS")</f>
        <v>The Woodlands HS</v>
      </c>
      <c r="J1315" s="1">
        <v>0.0</v>
      </c>
      <c r="K1315" s="1">
        <v>0.0</v>
      </c>
    </row>
    <row r="1316">
      <c r="A1316" s="1">
        <v>1.0</v>
      </c>
      <c r="B1316" s="1">
        <v>4.0</v>
      </c>
      <c r="C1316" s="1">
        <v>0.0</v>
      </c>
      <c r="D1316" s="1">
        <v>0.0</v>
      </c>
      <c r="E1316" s="1">
        <v>0.0</v>
      </c>
      <c r="F1316" s="1">
        <v>0.0</v>
      </c>
      <c r="G1316" s="2">
        <v>0.0</v>
      </c>
      <c r="H1316" s="1" t="s">
        <v>332</v>
      </c>
      <c r="I1316" s="1" t="str">
        <f>IFERROR(__xludf.DUMMYFUNCTION("REGEXREPLACE(MID(H1316, SEARCH(""["", H1316) + 1, SEARCH(""]"", H1316) - SEARCH(""["", H1316) - 1), ""\[\]"","""")"),"The Woodlands HS")</f>
        <v>The Woodlands HS</v>
      </c>
      <c r="J1316" s="1">
        <v>0.0</v>
      </c>
      <c r="K1316" s="1">
        <v>0.0</v>
      </c>
    </row>
    <row r="1317">
      <c r="A1317" s="1">
        <v>1.0</v>
      </c>
      <c r="B1317" s="1">
        <v>3.0</v>
      </c>
      <c r="C1317" s="1">
        <v>1.0</v>
      </c>
      <c r="D1317" s="1">
        <v>0.0</v>
      </c>
      <c r="E1317" s="1">
        <v>0.0</v>
      </c>
      <c r="F1317" s="1">
        <v>0.0</v>
      </c>
      <c r="G1317" s="2">
        <v>0.0</v>
      </c>
      <c r="H1317" s="1" t="s">
        <v>332</v>
      </c>
      <c r="I1317" s="1" t="str">
        <f>IFERROR(__xludf.DUMMYFUNCTION("REGEXREPLACE(MID(H1317, SEARCH(""["", H1317) + 1, SEARCH(""]"", H1317) - SEARCH(""["", H1317) - 1), ""\[\]"","""")"),"The Woodlands HS")</f>
        <v>The Woodlands HS</v>
      </c>
      <c r="J1317" s="1">
        <v>0.0</v>
      </c>
      <c r="K1317" s="1">
        <v>0.0</v>
      </c>
    </row>
    <row r="1318">
      <c r="A1318" s="1">
        <v>1.0</v>
      </c>
      <c r="B1318" s="1">
        <v>0.0</v>
      </c>
      <c r="C1318" s="1">
        <v>0.0</v>
      </c>
      <c r="D1318" s="1">
        <v>0.0</v>
      </c>
      <c r="E1318" s="1">
        <v>0.0</v>
      </c>
      <c r="F1318" s="1">
        <v>0.0</v>
      </c>
      <c r="G1318" s="2">
        <v>0.0</v>
      </c>
      <c r="H1318" s="1" t="s">
        <v>333</v>
      </c>
      <c r="I1318" s="1" t="str">
        <f>IFERROR(__xludf.DUMMYFUNCTION("REGEXREPLACE(MID(H1318, SEARCH(""["", H1318) + 1, SEARCH(""]"", H1318) - SEARCH(""["", H1318) - 1), ""\[\]"","""")"),"Timberline")</f>
        <v>Timberline</v>
      </c>
      <c r="J1318" s="1">
        <v>0.0</v>
      </c>
      <c r="K1318" s="1">
        <v>0.0</v>
      </c>
    </row>
    <row r="1319">
      <c r="A1319" s="1">
        <v>3.0</v>
      </c>
      <c r="B1319" s="1">
        <v>12.0</v>
      </c>
      <c r="C1319" s="1">
        <v>0.0</v>
      </c>
      <c r="D1319" s="1">
        <v>0.0</v>
      </c>
      <c r="E1319" s="1">
        <v>0.0</v>
      </c>
      <c r="F1319" s="1">
        <v>0.0</v>
      </c>
      <c r="G1319" s="2">
        <v>0.0</v>
      </c>
      <c r="H1319" s="1" t="s">
        <v>333</v>
      </c>
      <c r="I1319" s="1" t="str">
        <f>IFERROR(__xludf.DUMMYFUNCTION("REGEXREPLACE(MID(H1319, SEARCH(""["", H1319) + 1, SEARCH(""]"", H1319) - SEARCH(""["", H1319) - 1), ""\[\]"","""")"),"Timberline")</f>
        <v>Timberline</v>
      </c>
      <c r="J1319" s="1">
        <v>0.0</v>
      </c>
      <c r="K1319" s="1">
        <v>0.0</v>
      </c>
    </row>
    <row r="1320">
      <c r="A1320" s="1">
        <v>3.0</v>
      </c>
      <c r="B1320" s="1">
        <v>12.0</v>
      </c>
      <c r="C1320" s="1">
        <v>0.0</v>
      </c>
      <c r="D1320" s="1">
        <v>0.0</v>
      </c>
      <c r="E1320" s="1">
        <v>0.0</v>
      </c>
      <c r="F1320" s="1">
        <v>0.0</v>
      </c>
      <c r="G1320" s="2">
        <v>0.0</v>
      </c>
      <c r="H1320" s="1" t="s">
        <v>324</v>
      </c>
      <c r="I1320" s="1" t="str">
        <f>IFERROR(__xludf.DUMMYFUNCTION("REGEXREPLACE(MID(H1320, SEARCH(""["", H1320) + 1, SEARCH(""]"", H1320) - SEARCH(""["", H1320) - 1), ""\[\]"","""")"),"Timberline")</f>
        <v>Timberline</v>
      </c>
      <c r="J1320" s="1">
        <v>0.0</v>
      </c>
      <c r="K1320" s="1">
        <v>0.0</v>
      </c>
    </row>
    <row r="1321">
      <c r="A1321" s="1">
        <v>1.0</v>
      </c>
      <c r="B1321" s="1">
        <v>0.0</v>
      </c>
      <c r="C1321" s="1">
        <v>0.0</v>
      </c>
      <c r="D1321" s="1">
        <v>0.0</v>
      </c>
      <c r="E1321" s="1">
        <v>0.0</v>
      </c>
      <c r="F1321" s="1">
        <v>0.0</v>
      </c>
      <c r="G1321" s="2">
        <v>0.0</v>
      </c>
      <c r="H1321" s="1" t="s">
        <v>324</v>
      </c>
      <c r="I1321" s="1" t="str">
        <f>IFERROR(__xludf.DUMMYFUNCTION("REGEXREPLACE(MID(H1321, SEARCH(""["", H1321) + 1, SEARCH(""]"", H1321) - SEARCH(""["", H1321) - 1), ""\[\]"","""")"),"Timberline")</f>
        <v>Timberline</v>
      </c>
      <c r="J1321" s="1">
        <v>0.0</v>
      </c>
      <c r="K1321" s="1">
        <v>0.0</v>
      </c>
    </row>
    <row r="1322">
      <c r="A1322" s="1">
        <v>4.0</v>
      </c>
      <c r="B1322" s="1">
        <v>16.0</v>
      </c>
      <c r="C1322" s="1">
        <v>7.0</v>
      </c>
      <c r="D1322" s="1">
        <v>6.0</v>
      </c>
      <c r="E1322" s="1">
        <v>0.0</v>
      </c>
      <c r="F1322" s="1">
        <v>0.0</v>
      </c>
      <c r="G1322" s="6">
        <v>0.857</v>
      </c>
      <c r="H1322" s="1" t="s">
        <v>186</v>
      </c>
      <c r="I1322" s="1" t="str">
        <f>IFERROR(__xludf.DUMMYFUNCTION("REGEXREPLACE(MID(H1322, SEARCH(""["", H1322) + 1, SEARCH(""]"", H1322) - SEARCH(""["", H1322) - 1), ""\[\]"","""")"),"Timberline")</f>
        <v>Timberline</v>
      </c>
      <c r="J1322" s="1">
        <v>24.0</v>
      </c>
      <c r="K1322" s="1">
        <v>0.0</v>
      </c>
    </row>
    <row r="1323">
      <c r="A1323" s="1">
        <v>1.0</v>
      </c>
      <c r="B1323" s="1">
        <v>0.0</v>
      </c>
      <c r="C1323" s="1">
        <v>0.0</v>
      </c>
      <c r="D1323" s="1">
        <v>0.0</v>
      </c>
      <c r="E1323" s="1">
        <v>0.0</v>
      </c>
      <c r="F1323" s="1">
        <v>0.0</v>
      </c>
      <c r="G1323" s="2">
        <v>0.0</v>
      </c>
      <c r="H1323" s="1" t="s">
        <v>186</v>
      </c>
      <c r="I1323" s="1" t="str">
        <f>IFERROR(__xludf.DUMMYFUNCTION("REGEXREPLACE(MID(H1323, SEARCH(""["", H1323) + 1, SEARCH(""]"", H1323) - SEARCH(""["", H1323) - 1), ""\[\]"","""")"),"Timberline")</f>
        <v>Timberline</v>
      </c>
      <c r="J1323" s="1">
        <v>0.0</v>
      </c>
      <c r="K1323" s="1">
        <v>0.0</v>
      </c>
    </row>
    <row r="1324">
      <c r="A1324" s="1">
        <v>4.0</v>
      </c>
      <c r="B1324" s="1">
        <v>16.0</v>
      </c>
      <c r="C1324" s="1">
        <v>5.0</v>
      </c>
      <c r="D1324" s="1">
        <v>4.0</v>
      </c>
      <c r="E1324" s="1">
        <v>0.0</v>
      </c>
      <c r="F1324" s="1">
        <v>0.0</v>
      </c>
      <c r="G1324" s="2">
        <v>0.8</v>
      </c>
      <c r="H1324" s="1" t="s">
        <v>157</v>
      </c>
      <c r="I1324" s="1" t="str">
        <f>IFERROR(__xludf.DUMMYFUNCTION("REGEXREPLACE(MID(H1324, SEARCH(""["", H1324) + 1, SEARCH(""]"", H1324) - SEARCH(""["", H1324) - 1), ""\[\]"","""")"),"Timberline")</f>
        <v>Timberline</v>
      </c>
      <c r="J1324" s="1">
        <v>16.0</v>
      </c>
      <c r="K1324" s="1">
        <v>0.0</v>
      </c>
    </row>
    <row r="1325">
      <c r="A1325" s="1">
        <v>1.0</v>
      </c>
      <c r="B1325" s="1">
        <v>0.0</v>
      </c>
      <c r="C1325" s="1">
        <v>0.0</v>
      </c>
      <c r="D1325" s="1">
        <v>0.0</v>
      </c>
      <c r="E1325" s="1">
        <v>0.0</v>
      </c>
      <c r="F1325" s="1">
        <v>0.0</v>
      </c>
      <c r="G1325" s="2">
        <v>0.0</v>
      </c>
      <c r="H1325" s="1" t="s">
        <v>157</v>
      </c>
      <c r="I1325" s="1" t="str">
        <f>IFERROR(__xludf.DUMMYFUNCTION("REGEXREPLACE(MID(H1325, SEARCH(""["", H1325) + 1, SEARCH(""]"", H1325) - SEARCH(""["", H1325) - 1), ""\[\]"","""")"),"Timberline")</f>
        <v>Timberline</v>
      </c>
      <c r="J1325" s="1">
        <v>0.0</v>
      </c>
      <c r="K1325" s="1">
        <v>0.0</v>
      </c>
    </row>
    <row r="1326">
      <c r="A1326" s="1">
        <v>5.0</v>
      </c>
      <c r="B1326" s="1">
        <v>20.0</v>
      </c>
      <c r="C1326" s="1">
        <v>1.0</v>
      </c>
      <c r="D1326" s="1">
        <v>0.8</v>
      </c>
      <c r="E1326" s="1">
        <v>0.0</v>
      </c>
      <c r="F1326" s="1">
        <v>0.0</v>
      </c>
      <c r="G1326" s="2">
        <v>1.0</v>
      </c>
      <c r="H1326" s="1" t="s">
        <v>155</v>
      </c>
      <c r="I1326" s="1" t="str">
        <f>IFERROR(__xludf.DUMMYFUNCTION("REGEXREPLACE(MID(H1326, SEARCH(""["", H1326) + 1, SEARCH(""]"", H1326) - SEARCH(""["", H1326) - 1), ""\[\]"","""")"),"TJ")</f>
        <v>TJ</v>
      </c>
      <c r="J1326" s="1">
        <v>4.0</v>
      </c>
      <c r="K1326" s="1">
        <v>0.0</v>
      </c>
    </row>
    <row r="1327">
      <c r="A1327" s="1">
        <v>5.0</v>
      </c>
      <c r="B1327" s="1">
        <v>20.0</v>
      </c>
      <c r="C1327" s="1">
        <v>12.0</v>
      </c>
      <c r="D1327" s="1">
        <v>6.4</v>
      </c>
      <c r="E1327" s="1">
        <v>0.2</v>
      </c>
      <c r="F1327" s="1">
        <v>0.0</v>
      </c>
      <c r="G1327" s="2">
        <v>0.75</v>
      </c>
      <c r="H1327" s="1" t="s">
        <v>212</v>
      </c>
      <c r="I1327" s="1" t="str">
        <f>IFERROR(__xludf.DUMMYFUNCTION("REGEXREPLACE(MID(H1327, SEARCH(""["", H1327) + 1, SEARCH(""]"", H1327) - SEARCH(""["", H1327) - 1), ""\[\]"","""")"),"TJ")</f>
        <v>TJ</v>
      </c>
      <c r="J1327" s="1">
        <v>32.0</v>
      </c>
      <c r="K1327" s="1">
        <v>1.0</v>
      </c>
    </row>
    <row r="1328">
      <c r="A1328" s="1">
        <v>1.0</v>
      </c>
      <c r="B1328" s="1">
        <v>4.0</v>
      </c>
      <c r="C1328" s="1">
        <v>0.0</v>
      </c>
      <c r="D1328" s="1">
        <v>0.0</v>
      </c>
      <c r="E1328" s="1">
        <v>0.0</v>
      </c>
      <c r="F1328" s="1">
        <v>0.0</v>
      </c>
      <c r="G1328" s="2">
        <v>0.0</v>
      </c>
      <c r="H1328" s="1" t="s">
        <v>334</v>
      </c>
      <c r="I1328" s="1" t="str">
        <f>IFERROR(__xludf.DUMMYFUNCTION("REGEXREPLACE(MID(H1328, SEARCH(""["", H1328) + 1, SEARCH(""]"", H1328) - SEARCH(""["", H1328) - 1), ""\[\]"","""")"),"TJ")</f>
        <v>TJ</v>
      </c>
      <c r="J1328" s="1">
        <v>0.0</v>
      </c>
      <c r="K1328" s="1">
        <v>0.0</v>
      </c>
    </row>
    <row r="1329">
      <c r="A1329" s="1">
        <v>5.0</v>
      </c>
      <c r="B1329" s="1">
        <v>20.0</v>
      </c>
      <c r="C1329" s="1">
        <v>0.0</v>
      </c>
      <c r="D1329" s="1">
        <v>0.0</v>
      </c>
      <c r="E1329" s="1">
        <v>0.0</v>
      </c>
      <c r="F1329" s="1">
        <v>0.0</v>
      </c>
      <c r="G1329" s="2">
        <v>0.0</v>
      </c>
      <c r="H1329" s="1" t="s">
        <v>215</v>
      </c>
      <c r="I1329" s="1" t="str">
        <f>IFERROR(__xludf.DUMMYFUNCTION("REGEXREPLACE(MID(H1329, SEARCH(""["", H1329) + 1, SEARCH(""]"", H1329) - SEARCH(""["", H1329) - 1), ""\[\]"","""")"),"TJ")</f>
        <v>TJ</v>
      </c>
      <c r="J1329" s="1">
        <v>0.0</v>
      </c>
      <c r="K1329" s="1">
        <v>0.0</v>
      </c>
    </row>
    <row r="1330">
      <c r="A1330" s="1">
        <v>2.0</v>
      </c>
      <c r="B1330" s="1">
        <v>7.0</v>
      </c>
      <c r="C1330" s="1">
        <v>1.0</v>
      </c>
      <c r="D1330" s="1">
        <v>2.0</v>
      </c>
      <c r="E1330" s="1">
        <v>0.0</v>
      </c>
      <c r="F1330" s="1">
        <v>0.0</v>
      </c>
      <c r="G1330" s="2">
        <v>1.0</v>
      </c>
      <c r="H1330" s="1" t="s">
        <v>168</v>
      </c>
      <c r="I1330" s="1" t="str">
        <f>IFERROR(__xludf.DUMMYFUNCTION("REGEXREPLACE(MID(H1330, SEARCH(""["", H1330) + 1, SEARCH(""]"", H1330) - SEARCH(""["", H1330) - 1), ""\[\]"","""")"),"University")</f>
        <v>University</v>
      </c>
      <c r="J1330" s="1">
        <v>4.0</v>
      </c>
      <c r="K1330" s="1">
        <v>0.0</v>
      </c>
    </row>
    <row r="1331">
      <c r="A1331" s="1">
        <v>3.0</v>
      </c>
      <c r="B1331" s="1">
        <v>12.0</v>
      </c>
      <c r="C1331" s="1">
        <v>1.0</v>
      </c>
      <c r="D1331" s="1">
        <v>1.33</v>
      </c>
      <c r="E1331" s="1">
        <v>0.0</v>
      </c>
      <c r="F1331" s="1">
        <v>0.0</v>
      </c>
      <c r="G1331" s="2">
        <v>1.0</v>
      </c>
      <c r="H1331" s="1" t="s">
        <v>168</v>
      </c>
      <c r="I1331" s="1" t="str">
        <f>IFERROR(__xludf.DUMMYFUNCTION("REGEXREPLACE(MID(H1331, SEARCH(""["", H1331) + 1, SEARCH(""]"", H1331) - SEARCH(""["", H1331) - 1), ""\[\]"","""")"),"University")</f>
        <v>University</v>
      </c>
      <c r="J1331" s="1">
        <v>4.0</v>
      </c>
      <c r="K1331" s="1">
        <v>0.0</v>
      </c>
    </row>
    <row r="1332">
      <c r="A1332" s="1">
        <v>1.0</v>
      </c>
      <c r="B1332" s="1">
        <v>4.0</v>
      </c>
      <c r="C1332" s="1">
        <v>1.0</v>
      </c>
      <c r="D1332" s="1">
        <v>4.0</v>
      </c>
      <c r="E1332" s="1">
        <v>0.0</v>
      </c>
      <c r="F1332" s="1">
        <v>0.0</v>
      </c>
      <c r="G1332" s="2">
        <v>1.0</v>
      </c>
      <c r="H1332" s="1" t="s">
        <v>113</v>
      </c>
      <c r="I1332" s="1" t="str">
        <f>IFERROR(__xludf.DUMMYFUNCTION("REGEXREPLACE(MID(H1332, SEARCH(""["", H1332) + 1, SEARCH(""]"", H1332) - SEARCH(""["", H1332) - 1), ""\[\]"","""")"),"University")</f>
        <v>University</v>
      </c>
      <c r="J1332" s="1">
        <v>4.0</v>
      </c>
      <c r="K1332" s="1">
        <v>0.0</v>
      </c>
    </row>
    <row r="1333">
      <c r="A1333" s="1">
        <v>1.0</v>
      </c>
      <c r="B1333" s="1">
        <v>4.0</v>
      </c>
      <c r="C1333" s="1">
        <v>0.0</v>
      </c>
      <c r="D1333" s="1">
        <v>0.0</v>
      </c>
      <c r="E1333" s="1">
        <v>0.0</v>
      </c>
      <c r="F1333" s="1">
        <v>0.0</v>
      </c>
      <c r="G1333" s="2">
        <v>0.0</v>
      </c>
      <c r="H1333" s="1" t="s">
        <v>113</v>
      </c>
      <c r="I1333" s="1" t="str">
        <f>IFERROR(__xludf.DUMMYFUNCTION("REGEXREPLACE(MID(H1333, SEARCH(""["", H1333) + 1, SEARCH(""]"", H1333) - SEARCH(""["", H1333) - 1), ""\[\]"","""")"),"University")</f>
        <v>University</v>
      </c>
      <c r="J1333" s="1">
        <v>0.0</v>
      </c>
      <c r="K1333" s="1">
        <v>0.0</v>
      </c>
    </row>
    <row r="1334">
      <c r="A1334" s="1">
        <v>3.0</v>
      </c>
      <c r="B1334" s="1">
        <v>12.0</v>
      </c>
      <c r="C1334" s="1">
        <v>5.0</v>
      </c>
      <c r="D1334" s="1">
        <v>2.67</v>
      </c>
      <c r="E1334" s="1">
        <v>0.33</v>
      </c>
      <c r="F1334" s="1">
        <v>0.0</v>
      </c>
      <c r="G1334" s="2">
        <v>0.6</v>
      </c>
      <c r="H1334" s="1" t="s">
        <v>113</v>
      </c>
      <c r="I1334" s="1" t="str">
        <f>IFERROR(__xludf.DUMMYFUNCTION("REGEXREPLACE(MID(H1334, SEARCH(""["", H1334) + 1, SEARCH(""]"", H1334) - SEARCH(""["", H1334) - 1), ""\[\]"","""")"),"University")</f>
        <v>University</v>
      </c>
      <c r="J1334" s="1">
        <v>8.0</v>
      </c>
      <c r="K1334" s="1">
        <v>1.0</v>
      </c>
    </row>
    <row r="1335">
      <c r="A1335" s="1">
        <v>1.0</v>
      </c>
      <c r="B1335" s="1">
        <v>4.0</v>
      </c>
      <c r="C1335" s="1">
        <v>0.0</v>
      </c>
      <c r="D1335" s="1">
        <v>0.0</v>
      </c>
      <c r="E1335" s="1">
        <v>0.0</v>
      </c>
      <c r="F1335" s="1">
        <v>0.0</v>
      </c>
      <c r="G1335" s="2">
        <v>0.0</v>
      </c>
      <c r="H1335" s="1" t="s">
        <v>335</v>
      </c>
      <c r="I1335" s="1" t="str">
        <f>IFERROR(__xludf.DUMMYFUNCTION("REGEXREPLACE(MID(H1335, SEARCH(""["", H1335) + 1, SEARCH(""]"", H1335) - SEARCH(""["", H1335) - 1), ""\[\]"","""")"),"University")</f>
        <v>University</v>
      </c>
      <c r="J1335" s="1">
        <v>0.0</v>
      </c>
      <c r="K1335" s="1">
        <v>0.0</v>
      </c>
    </row>
    <row r="1336">
      <c r="A1336" s="1">
        <v>2.0</v>
      </c>
      <c r="B1336" s="1">
        <v>8.0</v>
      </c>
      <c r="C1336" s="1">
        <v>0.0</v>
      </c>
      <c r="D1336" s="1">
        <v>0.0</v>
      </c>
      <c r="E1336" s="1">
        <v>0.0</v>
      </c>
      <c r="F1336" s="1">
        <v>0.0</v>
      </c>
      <c r="G1336" s="2">
        <v>0.0</v>
      </c>
      <c r="H1336" s="1" t="s">
        <v>335</v>
      </c>
      <c r="I1336" s="1" t="str">
        <f>IFERROR(__xludf.DUMMYFUNCTION("REGEXREPLACE(MID(H1336, SEARCH(""["", H1336) + 1, SEARCH(""]"", H1336) - SEARCH(""["", H1336) - 1), ""\[\]"","""")"),"University")</f>
        <v>University</v>
      </c>
      <c r="J1336" s="1">
        <v>0.0</v>
      </c>
      <c r="K1336" s="1">
        <v>0.0</v>
      </c>
    </row>
    <row r="1337">
      <c r="A1337" s="1">
        <v>1.0</v>
      </c>
      <c r="B1337" s="1">
        <v>4.0</v>
      </c>
      <c r="C1337" s="1">
        <v>0.0</v>
      </c>
      <c r="D1337" s="1">
        <v>0.0</v>
      </c>
      <c r="E1337" s="1">
        <v>0.0</v>
      </c>
      <c r="F1337" s="1">
        <v>0.0</v>
      </c>
      <c r="G1337" s="2">
        <v>0.0</v>
      </c>
      <c r="H1337" s="1" t="s">
        <v>336</v>
      </c>
      <c r="I1337" s="1" t="str">
        <f>IFERROR(__xludf.DUMMYFUNCTION("REGEXREPLACE(MID(H1337, SEARCH(""["", H1337) + 1, SEARCH(""]"", H1337) - SEARCH(""["", H1337) - 1), ""\[\]"","""")"),"University")</f>
        <v>University</v>
      </c>
      <c r="J1337" s="1">
        <v>0.0</v>
      </c>
      <c r="K1337" s="1">
        <v>0.0</v>
      </c>
    </row>
    <row r="1338">
      <c r="A1338" s="1">
        <v>1.0</v>
      </c>
      <c r="B1338" s="1">
        <v>4.0</v>
      </c>
      <c r="C1338" s="1">
        <v>0.0</v>
      </c>
      <c r="D1338" s="1">
        <v>0.0</v>
      </c>
      <c r="E1338" s="1">
        <v>0.0</v>
      </c>
      <c r="F1338" s="1">
        <v>0.0</v>
      </c>
      <c r="G1338" s="2">
        <v>0.0</v>
      </c>
      <c r="H1338" s="1" t="s">
        <v>336</v>
      </c>
      <c r="I1338" s="1" t="str">
        <f>IFERROR(__xludf.DUMMYFUNCTION("REGEXREPLACE(MID(H1338, SEARCH(""["", H1338) + 1, SEARCH(""]"", H1338) - SEARCH(""["", H1338) - 1), ""\[\]"","""")"),"University")</f>
        <v>University</v>
      </c>
      <c r="J1338" s="1">
        <v>0.0</v>
      </c>
      <c r="K1338" s="1">
        <v>0.0</v>
      </c>
    </row>
    <row r="1339">
      <c r="A1339" s="1">
        <v>2.0</v>
      </c>
      <c r="B1339" s="1">
        <v>8.0</v>
      </c>
      <c r="C1339" s="1">
        <v>0.0</v>
      </c>
      <c r="D1339" s="1">
        <v>0.0</v>
      </c>
      <c r="E1339" s="1">
        <v>0.0</v>
      </c>
      <c r="F1339" s="1">
        <v>0.0</v>
      </c>
      <c r="G1339" s="2">
        <v>0.0</v>
      </c>
      <c r="H1339" s="1" t="s">
        <v>337</v>
      </c>
      <c r="I1339" s="1" t="str">
        <f>IFERROR(__xludf.DUMMYFUNCTION("REGEXREPLACE(MID(H1339, SEARCH(""["", H1339) + 1, SEARCH(""]"", H1339) - SEARCH(""["", H1339) - 1), ""\[\]"","""")"),"University")</f>
        <v>University</v>
      </c>
      <c r="J1339" s="1">
        <v>0.0</v>
      </c>
      <c r="K1339" s="1">
        <v>0.0</v>
      </c>
    </row>
    <row r="1340">
      <c r="A1340" s="1">
        <v>3.0</v>
      </c>
      <c r="B1340" s="1">
        <v>12.0</v>
      </c>
      <c r="C1340" s="1">
        <v>0.0</v>
      </c>
      <c r="D1340" s="1">
        <v>0.0</v>
      </c>
      <c r="E1340" s="1">
        <v>0.0</v>
      </c>
      <c r="F1340" s="1">
        <v>0.0</v>
      </c>
      <c r="G1340" s="2">
        <v>0.0</v>
      </c>
      <c r="H1340" s="1" t="s">
        <v>337</v>
      </c>
      <c r="I1340" s="1" t="str">
        <f>IFERROR(__xludf.DUMMYFUNCTION("REGEXREPLACE(MID(H1340, SEARCH(""["", H1340) + 1, SEARCH(""]"", H1340) - SEARCH(""["", H1340) - 1), ""\[\]"","""")"),"University")</f>
        <v>University</v>
      </c>
      <c r="J1340" s="1">
        <v>0.0</v>
      </c>
      <c r="K1340" s="1">
        <v>0.0</v>
      </c>
    </row>
    <row r="1341">
      <c r="A1341" s="1">
        <v>4.0</v>
      </c>
      <c r="B1341" s="1">
        <v>16.0</v>
      </c>
      <c r="C1341" s="1">
        <v>4.0</v>
      </c>
      <c r="D1341" s="1">
        <v>2.0</v>
      </c>
      <c r="E1341" s="1">
        <v>0.0</v>
      </c>
      <c r="F1341" s="1">
        <v>0.0</v>
      </c>
      <c r="G1341" s="2">
        <v>0.5</v>
      </c>
      <c r="H1341" s="1" t="s">
        <v>299</v>
      </c>
      <c r="I1341" s="1" t="str">
        <f>IFERROR(__xludf.DUMMYFUNCTION("REGEXREPLACE(MID(H1341, SEARCH(""["", H1341) + 1, SEARCH(""]"", H1341) - SEARCH(""["", H1341) - 1), ""\[\]"","""")"),"Vancomycin")</f>
        <v>Vancomycin</v>
      </c>
      <c r="J1341" s="1">
        <v>8.0</v>
      </c>
      <c r="K1341" s="1">
        <v>0.0</v>
      </c>
    </row>
    <row r="1342">
      <c r="A1342" s="1">
        <v>1.0</v>
      </c>
      <c r="B1342" s="1">
        <v>4.0</v>
      </c>
      <c r="C1342" s="1">
        <v>1.0</v>
      </c>
      <c r="D1342" s="1">
        <v>0.0</v>
      </c>
      <c r="E1342" s="1">
        <v>0.0</v>
      </c>
      <c r="F1342" s="1">
        <v>0.0</v>
      </c>
      <c r="G1342" s="2">
        <v>0.0</v>
      </c>
      <c r="H1342" s="1" t="s">
        <v>256</v>
      </c>
      <c r="I1342" s="1" t="str">
        <f>IFERROR(__xludf.DUMMYFUNCTION("REGEXREPLACE(MID(H1342, SEARCH(""["", H1342) + 1, SEARCH(""]"", H1342) - SEARCH(""["", H1342) - 1), ""\[\]"","""")"),"Vancomycin")</f>
        <v>Vancomycin</v>
      </c>
      <c r="J1342" s="1">
        <v>0.0</v>
      </c>
      <c r="K1342" s="1">
        <v>0.0</v>
      </c>
    </row>
    <row r="1343">
      <c r="A1343" s="1">
        <v>1.0</v>
      </c>
      <c r="B1343" s="1">
        <v>4.0</v>
      </c>
      <c r="C1343" s="1">
        <v>2.0</v>
      </c>
      <c r="D1343" s="1">
        <v>0.0</v>
      </c>
      <c r="E1343" s="1">
        <v>1.0</v>
      </c>
      <c r="F1343" s="1">
        <v>0.0</v>
      </c>
      <c r="G1343" s="2">
        <v>0.5</v>
      </c>
      <c r="H1343" s="1" t="s">
        <v>216</v>
      </c>
      <c r="I1343" s="1" t="str">
        <f>IFERROR(__xludf.DUMMYFUNCTION("REGEXREPLACE(MID(H1343, SEARCH(""["", H1343) + 1, SEARCH(""]"", H1343) - SEARCH(""["", H1343) - 1), ""\[\]"","""")"),"Vancomycin")</f>
        <v>Vancomycin</v>
      </c>
      <c r="J1343" s="1">
        <v>0.0</v>
      </c>
      <c r="K1343" s="1">
        <v>1.0</v>
      </c>
    </row>
    <row r="1344">
      <c r="A1344" s="1">
        <v>1.0</v>
      </c>
      <c r="B1344" s="1">
        <v>4.0</v>
      </c>
      <c r="C1344" s="1">
        <v>2.0</v>
      </c>
      <c r="D1344" s="1">
        <v>8.0</v>
      </c>
      <c r="E1344" s="1">
        <v>0.0</v>
      </c>
      <c r="F1344" s="1">
        <v>0.0</v>
      </c>
      <c r="G1344" s="2">
        <v>1.0</v>
      </c>
      <c r="H1344" s="1" t="s">
        <v>216</v>
      </c>
      <c r="I1344" s="1" t="str">
        <f>IFERROR(__xludf.DUMMYFUNCTION("REGEXREPLACE(MID(H1344, SEARCH(""["", H1344) + 1, SEARCH(""]"", H1344) - SEARCH(""["", H1344) - 1), ""\[\]"","""")"),"Vancomycin")</f>
        <v>Vancomycin</v>
      </c>
      <c r="J1344" s="1">
        <v>8.0</v>
      </c>
      <c r="K1344" s="1">
        <v>0.0</v>
      </c>
    </row>
    <row r="1345">
      <c r="A1345" s="1">
        <v>3.0</v>
      </c>
      <c r="B1345" s="1">
        <v>12.0</v>
      </c>
      <c r="C1345" s="1">
        <v>5.0</v>
      </c>
      <c r="D1345" s="1">
        <v>-1.33</v>
      </c>
      <c r="E1345" s="1">
        <v>0.67</v>
      </c>
      <c r="F1345" s="1">
        <v>0.0</v>
      </c>
      <c r="G1345" s="2">
        <v>0.2</v>
      </c>
      <c r="H1345" s="1" t="s">
        <v>216</v>
      </c>
      <c r="I1345" s="1" t="str">
        <f>IFERROR(__xludf.DUMMYFUNCTION("REGEXREPLACE(MID(H1345, SEARCH(""["", H1345) + 1, SEARCH(""]"", H1345) - SEARCH(""["", H1345) - 1), ""\[\]"","""")"),"Vancomycin")</f>
        <v>Vancomycin</v>
      </c>
      <c r="J1345" s="1">
        <v>-4.0</v>
      </c>
      <c r="K1345" s="1">
        <v>2.0</v>
      </c>
    </row>
    <row r="1346">
      <c r="A1346" s="1">
        <v>1.0</v>
      </c>
      <c r="B1346" s="1">
        <v>4.0</v>
      </c>
      <c r="C1346" s="1">
        <v>0.0</v>
      </c>
      <c r="D1346" s="1">
        <v>0.0</v>
      </c>
      <c r="E1346" s="1">
        <v>0.0</v>
      </c>
      <c r="F1346" s="1">
        <v>0.0</v>
      </c>
      <c r="G1346" s="2">
        <v>0.0</v>
      </c>
      <c r="H1346" s="1" t="s">
        <v>338</v>
      </c>
      <c r="I1346" s="1" t="str">
        <f>IFERROR(__xludf.DUMMYFUNCTION("REGEXREPLACE(MID(H1346, SEARCH(""["", H1346) + 1, SEARCH(""]"", H1346) - SEARCH(""["", H1346) - 1), ""\[\]"","""")"),"VMATHs")</f>
        <v>VMATHs</v>
      </c>
      <c r="J1346" s="1">
        <v>0.0</v>
      </c>
      <c r="K1346" s="1">
        <v>0.0</v>
      </c>
    </row>
    <row r="1347">
      <c r="A1347" s="1">
        <v>1.0</v>
      </c>
      <c r="B1347" s="1">
        <v>4.0</v>
      </c>
      <c r="C1347" s="1">
        <v>0.0</v>
      </c>
      <c r="D1347" s="1">
        <v>0.0</v>
      </c>
      <c r="E1347" s="1">
        <v>0.0</v>
      </c>
      <c r="F1347" s="1">
        <v>0.0</v>
      </c>
      <c r="G1347" s="2">
        <v>0.0</v>
      </c>
      <c r="H1347" s="1" t="s">
        <v>338</v>
      </c>
      <c r="I1347" s="1" t="str">
        <f>IFERROR(__xludf.DUMMYFUNCTION("REGEXREPLACE(MID(H1347, SEARCH(""["", H1347) + 1, SEARCH(""]"", H1347) - SEARCH(""["", H1347) - 1), ""\[\]"","""")"),"VMATHs")</f>
        <v>VMATHs</v>
      </c>
      <c r="J1347" s="1">
        <v>0.0</v>
      </c>
      <c r="K1347" s="1">
        <v>0.0</v>
      </c>
    </row>
    <row r="1348">
      <c r="A1348" s="1">
        <v>1.0</v>
      </c>
      <c r="B1348" s="1">
        <v>4.0</v>
      </c>
      <c r="C1348" s="1">
        <v>0.0</v>
      </c>
      <c r="D1348" s="1">
        <v>0.0</v>
      </c>
      <c r="E1348" s="1">
        <v>0.0</v>
      </c>
      <c r="F1348" s="1">
        <v>0.0</v>
      </c>
      <c r="G1348" s="2">
        <v>0.0</v>
      </c>
      <c r="H1348" s="1" t="s">
        <v>339</v>
      </c>
      <c r="I1348" s="1" t="str">
        <f>IFERROR(__xludf.DUMMYFUNCTION("REGEXREPLACE(MID(H1348, SEARCH(""["", H1348) + 1, SEARCH(""]"", H1348) - SEARCH(""["", H1348) - 1), ""\[\]"","""")"),"VMATHs")</f>
        <v>VMATHs</v>
      </c>
      <c r="J1348" s="1">
        <v>0.0</v>
      </c>
      <c r="K1348" s="1">
        <v>0.0</v>
      </c>
    </row>
    <row r="1349">
      <c r="A1349" s="1">
        <v>1.0</v>
      </c>
      <c r="B1349" s="1">
        <v>4.0</v>
      </c>
      <c r="C1349" s="1">
        <v>2.0</v>
      </c>
      <c r="D1349" s="1">
        <v>8.0</v>
      </c>
      <c r="E1349" s="1">
        <v>0.0</v>
      </c>
      <c r="F1349" s="1">
        <v>0.0</v>
      </c>
      <c r="G1349" s="2">
        <v>1.0</v>
      </c>
      <c r="H1349" s="1" t="s">
        <v>83</v>
      </c>
      <c r="I1349" s="1" t="str">
        <f>IFERROR(__xludf.DUMMYFUNCTION("REGEXREPLACE(MID(H1349, SEARCH(""["", H1349) + 1, SEARCH(""]"", H1349) - SEARCH(""["", H1349) - 1), ""\[\]"","""")"),"VMATHs")</f>
        <v>VMATHs</v>
      </c>
      <c r="J1349" s="1">
        <v>8.0</v>
      </c>
      <c r="K1349" s="1">
        <v>0.0</v>
      </c>
    </row>
    <row r="1350">
      <c r="A1350" s="1">
        <v>2.0</v>
      </c>
      <c r="B1350" s="1">
        <v>8.0</v>
      </c>
      <c r="C1350" s="1">
        <v>7.0</v>
      </c>
      <c r="D1350" s="1">
        <v>8.0</v>
      </c>
      <c r="E1350" s="1">
        <v>0.5</v>
      </c>
      <c r="F1350" s="1">
        <v>0.0</v>
      </c>
      <c r="G1350" s="6">
        <v>0.714</v>
      </c>
      <c r="H1350" s="1" t="s">
        <v>83</v>
      </c>
      <c r="I1350" s="1" t="str">
        <f>IFERROR(__xludf.DUMMYFUNCTION("REGEXREPLACE(MID(H1350, SEARCH(""["", H1350) + 1, SEARCH(""]"", H1350) - SEARCH(""["", H1350) - 1), ""\[\]"","""")"),"VMATHs")</f>
        <v>VMATHs</v>
      </c>
      <c r="J1350" s="1">
        <v>16.0</v>
      </c>
      <c r="K1350" s="1">
        <v>1.0</v>
      </c>
    </row>
    <row r="1351">
      <c r="A1351" s="1">
        <v>1.0</v>
      </c>
      <c r="B1351" s="1">
        <v>4.0</v>
      </c>
      <c r="C1351" s="1">
        <v>0.0</v>
      </c>
      <c r="D1351" s="1">
        <v>0.0</v>
      </c>
      <c r="E1351" s="1">
        <v>0.0</v>
      </c>
      <c r="F1351" s="1">
        <v>0.0</v>
      </c>
      <c r="G1351" s="2">
        <v>0.0</v>
      </c>
      <c r="H1351" s="1" t="s">
        <v>340</v>
      </c>
      <c r="I1351" s="1" t="str">
        <f>IFERROR(__xludf.DUMMYFUNCTION("REGEXREPLACE(MID(H1351, SEARCH(""["", H1351) + 1, SEARCH(""]"", H1351) - SEARCH(""["", H1351) - 1), ""\[\]"","""")"),"VMATHs")</f>
        <v>VMATHs</v>
      </c>
      <c r="J1351" s="1">
        <v>0.0</v>
      </c>
      <c r="K1351" s="1">
        <v>0.0</v>
      </c>
    </row>
    <row r="1352">
      <c r="A1352" s="1">
        <v>1.0</v>
      </c>
      <c r="B1352" s="1">
        <v>4.0</v>
      </c>
      <c r="C1352" s="1">
        <v>0.0</v>
      </c>
      <c r="D1352" s="1">
        <v>0.0</v>
      </c>
      <c r="E1352" s="1">
        <v>0.0</v>
      </c>
      <c r="F1352" s="1">
        <v>0.0</v>
      </c>
      <c r="G1352" s="2">
        <v>0.0</v>
      </c>
      <c r="H1352" s="1" t="s">
        <v>340</v>
      </c>
      <c r="I1352" s="1" t="str">
        <f>IFERROR(__xludf.DUMMYFUNCTION("REGEXREPLACE(MID(H1352, SEARCH(""["", H1352) + 1, SEARCH(""]"", H1352) - SEARCH(""["", H1352) - 1), ""\[\]"","""")"),"VMATHs")</f>
        <v>VMATHs</v>
      </c>
      <c r="J1352" s="1">
        <v>0.0</v>
      </c>
      <c r="K1352" s="1">
        <v>0.0</v>
      </c>
    </row>
    <row r="1353">
      <c r="A1353" s="1">
        <v>3.0</v>
      </c>
      <c r="B1353" s="1">
        <v>12.0</v>
      </c>
      <c r="C1353" s="1">
        <v>5.0</v>
      </c>
      <c r="D1353" s="1">
        <v>6.67</v>
      </c>
      <c r="E1353" s="1">
        <v>0.0</v>
      </c>
      <c r="F1353" s="1">
        <v>0.0</v>
      </c>
      <c r="G1353" s="2">
        <v>1.0</v>
      </c>
      <c r="H1353" s="1" t="s">
        <v>258</v>
      </c>
      <c r="I1353" s="1" t="str">
        <f>IFERROR(__xludf.DUMMYFUNCTION("REGEXREPLACE(MID(H1353, SEARCH(""["", H1353) + 1, SEARCH(""]"", H1353) - SEARCH(""["", H1353) - 1), ""\[\]"","""")"),"Ward Melville 1")</f>
        <v>Ward Melville 1</v>
      </c>
      <c r="J1353" s="1">
        <v>20.0</v>
      </c>
      <c r="K1353" s="1">
        <v>0.0</v>
      </c>
    </row>
    <row r="1354">
      <c r="A1354" s="1">
        <v>1.0</v>
      </c>
      <c r="B1354" s="1">
        <v>4.0</v>
      </c>
      <c r="C1354" s="1">
        <v>2.0</v>
      </c>
      <c r="D1354" s="1">
        <v>8.0</v>
      </c>
      <c r="E1354" s="1">
        <v>0.0</v>
      </c>
      <c r="F1354" s="1">
        <v>0.0</v>
      </c>
      <c r="G1354" s="2">
        <v>1.0</v>
      </c>
      <c r="H1354" s="1" t="s">
        <v>301</v>
      </c>
      <c r="I1354" s="1" t="str">
        <f>IFERROR(__xludf.DUMMYFUNCTION("REGEXREPLACE(MID(H1354, SEARCH(""["", H1354) + 1, SEARCH(""]"", H1354) - SEARCH(""["", H1354) - 1), ""\[\]"","""")"),"Ward Melville 1")</f>
        <v>Ward Melville 1</v>
      </c>
      <c r="J1354" s="1">
        <v>8.0</v>
      </c>
      <c r="K1354" s="1">
        <v>0.0</v>
      </c>
    </row>
    <row r="1355">
      <c r="A1355" s="1">
        <v>1.0</v>
      </c>
      <c r="B1355" s="1">
        <v>4.0</v>
      </c>
      <c r="C1355" s="1">
        <v>1.0</v>
      </c>
      <c r="D1355" s="1">
        <v>0.0</v>
      </c>
      <c r="E1355" s="1">
        <v>0.0</v>
      </c>
      <c r="F1355" s="1">
        <v>0.0</v>
      </c>
      <c r="G1355" s="2">
        <v>0.0</v>
      </c>
      <c r="H1355" s="1" t="s">
        <v>301</v>
      </c>
      <c r="I1355" s="1" t="str">
        <f>IFERROR(__xludf.DUMMYFUNCTION("REGEXREPLACE(MID(H1355, SEARCH(""["", H1355) + 1, SEARCH(""]"", H1355) - SEARCH(""["", H1355) - 1), ""\[\]"","""")"),"Ward Melville 1")</f>
        <v>Ward Melville 1</v>
      </c>
      <c r="J1355" s="1">
        <v>0.0</v>
      </c>
      <c r="K1355" s="1">
        <v>0.0</v>
      </c>
    </row>
    <row r="1356">
      <c r="A1356" s="1">
        <v>2.0</v>
      </c>
      <c r="B1356" s="1">
        <v>8.0</v>
      </c>
      <c r="C1356" s="1">
        <v>2.0</v>
      </c>
      <c r="D1356" s="1">
        <v>4.0</v>
      </c>
      <c r="E1356" s="1">
        <v>0.0</v>
      </c>
      <c r="F1356" s="1">
        <v>0.0</v>
      </c>
      <c r="G1356" s="2">
        <v>1.0</v>
      </c>
      <c r="H1356" s="1" t="s">
        <v>87</v>
      </c>
      <c r="I1356" s="1" t="str">
        <f>IFERROR(__xludf.DUMMYFUNCTION("REGEXREPLACE(MID(H1356, SEARCH(""["", H1356) + 1, SEARCH(""]"", H1356) - SEARCH(""["", H1356) - 1), ""\[\]"","""")"),"Ward Melville 1")</f>
        <v>Ward Melville 1</v>
      </c>
      <c r="J1356" s="1">
        <v>8.0</v>
      </c>
      <c r="K1356" s="1">
        <v>0.0</v>
      </c>
    </row>
    <row r="1357">
      <c r="A1357" s="1">
        <v>1.0</v>
      </c>
      <c r="B1357" s="1">
        <v>4.0</v>
      </c>
      <c r="C1357" s="1">
        <v>0.0</v>
      </c>
      <c r="D1357" s="1">
        <v>0.0</v>
      </c>
      <c r="E1357" s="1">
        <v>0.0</v>
      </c>
      <c r="F1357" s="1">
        <v>0.0</v>
      </c>
      <c r="G1357" s="2">
        <v>0.0</v>
      </c>
      <c r="H1357" s="1" t="s">
        <v>87</v>
      </c>
      <c r="I1357" s="1" t="str">
        <f>IFERROR(__xludf.DUMMYFUNCTION("REGEXREPLACE(MID(H1357, SEARCH(""["", H1357) + 1, SEARCH(""]"", H1357) - SEARCH(""["", H1357) - 1), ""\[\]"","""")"),"Ward Melville 1")</f>
        <v>Ward Melville 1</v>
      </c>
      <c r="J1357" s="1">
        <v>0.0</v>
      </c>
      <c r="K1357" s="1">
        <v>0.0</v>
      </c>
    </row>
    <row r="1358">
      <c r="A1358" s="1">
        <v>1.0</v>
      </c>
      <c r="B1358" s="1">
        <v>4.0</v>
      </c>
      <c r="C1358" s="1">
        <v>0.0</v>
      </c>
      <c r="D1358" s="1">
        <v>0.0</v>
      </c>
      <c r="E1358" s="1">
        <v>0.0</v>
      </c>
      <c r="F1358" s="1">
        <v>0.0</v>
      </c>
      <c r="G1358" s="2">
        <v>0.0</v>
      </c>
      <c r="H1358" s="1" t="s">
        <v>87</v>
      </c>
      <c r="I1358" s="1" t="str">
        <f>IFERROR(__xludf.DUMMYFUNCTION("REGEXREPLACE(MID(H1358, SEARCH(""["", H1358) + 1, SEARCH(""]"", H1358) - SEARCH(""["", H1358) - 1), ""\[\]"","""")"),"Ward Melville 1")</f>
        <v>Ward Melville 1</v>
      </c>
      <c r="J1358" s="1">
        <v>0.0</v>
      </c>
      <c r="K1358" s="1">
        <v>0.0</v>
      </c>
    </row>
    <row r="1359">
      <c r="A1359" s="1">
        <v>1.0</v>
      </c>
      <c r="B1359" s="1">
        <v>4.0</v>
      </c>
      <c r="C1359" s="1">
        <v>0.0</v>
      </c>
      <c r="D1359" s="1">
        <v>0.0</v>
      </c>
      <c r="E1359" s="1">
        <v>0.0</v>
      </c>
      <c r="F1359" s="1">
        <v>0.0</v>
      </c>
      <c r="G1359" s="2">
        <v>0.0</v>
      </c>
      <c r="H1359" s="1" t="s">
        <v>341</v>
      </c>
      <c r="I1359" s="1" t="str">
        <f>IFERROR(__xludf.DUMMYFUNCTION("REGEXREPLACE(MID(H1359, SEARCH(""["", H1359) + 1, SEARCH(""]"", H1359) - SEARCH(""["", H1359) - 1), ""\[\]"","""")"),"Ward Melville 2")</f>
        <v>Ward Melville 2</v>
      </c>
      <c r="J1359" s="1">
        <v>0.0</v>
      </c>
      <c r="K1359" s="1">
        <v>0.0</v>
      </c>
    </row>
    <row r="1360">
      <c r="A1360" s="1">
        <v>1.0</v>
      </c>
      <c r="B1360" s="1">
        <v>4.0</v>
      </c>
      <c r="C1360" s="1">
        <v>1.0</v>
      </c>
      <c r="D1360" s="1">
        <v>0.0</v>
      </c>
      <c r="E1360" s="1">
        <v>0.0</v>
      </c>
      <c r="F1360" s="1">
        <v>0.0</v>
      </c>
      <c r="G1360" s="2">
        <v>0.0</v>
      </c>
      <c r="H1360" s="1" t="s">
        <v>341</v>
      </c>
      <c r="I1360" s="1" t="str">
        <f>IFERROR(__xludf.DUMMYFUNCTION("REGEXREPLACE(MID(H1360, SEARCH(""["", H1360) + 1, SEARCH(""]"", H1360) - SEARCH(""["", H1360) - 1), ""\[\]"","""")"),"Ward Melville 2")</f>
        <v>Ward Melville 2</v>
      </c>
      <c r="J1360" s="1">
        <v>0.0</v>
      </c>
      <c r="K1360" s="1">
        <v>0.0</v>
      </c>
    </row>
    <row r="1361">
      <c r="A1361" s="1">
        <v>5.0</v>
      </c>
      <c r="B1361" s="1">
        <v>20.0</v>
      </c>
      <c r="C1361" s="1">
        <v>1.0</v>
      </c>
      <c r="D1361" s="1">
        <v>0.0</v>
      </c>
      <c r="E1361" s="1">
        <v>0.0</v>
      </c>
      <c r="F1361" s="1">
        <v>0.0</v>
      </c>
      <c r="G1361" s="2">
        <v>0.0</v>
      </c>
      <c r="H1361" s="1" t="s">
        <v>312</v>
      </c>
      <c r="I1361" s="1" t="str">
        <f>IFERROR(__xludf.DUMMYFUNCTION("REGEXREPLACE(MID(H1361, SEARCH(""["", H1361) + 1, SEARCH(""]"", H1361) - SEARCH(""["", H1361) - 1), ""\[\]"","""")"),"Ward Melville 2")</f>
        <v>Ward Melville 2</v>
      </c>
      <c r="J1361" s="1">
        <v>0.0</v>
      </c>
      <c r="K1361" s="1">
        <v>0.0</v>
      </c>
    </row>
    <row r="1362">
      <c r="A1362" s="1">
        <v>4.0</v>
      </c>
      <c r="B1362" s="1">
        <v>16.0</v>
      </c>
      <c r="C1362" s="1">
        <v>7.0</v>
      </c>
      <c r="D1362" s="1">
        <v>6.0</v>
      </c>
      <c r="E1362" s="1">
        <v>0.0</v>
      </c>
      <c r="F1362" s="1">
        <v>0.0</v>
      </c>
      <c r="G1362" s="6">
        <v>0.857</v>
      </c>
      <c r="H1362" s="1" t="s">
        <v>260</v>
      </c>
      <c r="I1362" s="1" t="str">
        <f>IFERROR(__xludf.DUMMYFUNCTION("REGEXREPLACE(MID(H1362, SEARCH(""["", H1362) + 1, SEARCH(""]"", H1362) - SEARCH(""["", H1362) - 1), ""\[\]"","""")"),"Ward Melville 2")</f>
        <v>Ward Melville 2</v>
      </c>
      <c r="J1362" s="1">
        <v>24.0</v>
      </c>
      <c r="K1362" s="1">
        <v>0.0</v>
      </c>
    </row>
    <row r="1363">
      <c r="A1363" s="1">
        <v>1.0</v>
      </c>
      <c r="B1363" s="1">
        <v>4.0</v>
      </c>
      <c r="C1363" s="1">
        <v>0.0</v>
      </c>
      <c r="D1363" s="1">
        <v>0.0</v>
      </c>
      <c r="E1363" s="1">
        <v>0.0</v>
      </c>
      <c r="F1363" s="1">
        <v>0.0</v>
      </c>
      <c r="G1363" s="2">
        <v>0.0</v>
      </c>
      <c r="H1363" s="1" t="s">
        <v>260</v>
      </c>
      <c r="I1363" s="1" t="str">
        <f>IFERROR(__xludf.DUMMYFUNCTION("REGEXREPLACE(MID(H1363, SEARCH(""["", H1363) + 1, SEARCH(""]"", H1363) - SEARCH(""["", H1363) - 1), ""\[\]"","""")"),"Ward Melville 2")</f>
        <v>Ward Melville 2</v>
      </c>
      <c r="J1363" s="1">
        <v>0.0</v>
      </c>
      <c r="K1363" s="1">
        <v>0.0</v>
      </c>
    </row>
    <row r="1364">
      <c r="A1364" s="1">
        <v>4.0</v>
      </c>
      <c r="B1364" s="1">
        <v>16.0</v>
      </c>
      <c r="C1364" s="1">
        <v>1.0</v>
      </c>
      <c r="D1364" s="1">
        <v>1.0</v>
      </c>
      <c r="E1364" s="1">
        <v>0.0</v>
      </c>
      <c r="F1364" s="1">
        <v>0.0</v>
      </c>
      <c r="G1364" s="2">
        <v>1.0</v>
      </c>
      <c r="H1364" s="1" t="s">
        <v>327</v>
      </c>
      <c r="I1364" s="1" t="str">
        <f>IFERROR(__xludf.DUMMYFUNCTION("REGEXREPLACE(MID(H1364, SEARCH(""["", H1364) + 1, SEARCH(""]"", H1364) - SEARCH(""["", H1364) - 1), ""\[\]"","""")"),"Ward Melville 2")</f>
        <v>Ward Melville 2</v>
      </c>
      <c r="J1364" s="1">
        <v>4.0</v>
      </c>
      <c r="K1364" s="1">
        <v>0.0</v>
      </c>
    </row>
    <row r="1365">
      <c r="A1365" s="1">
        <v>5.0</v>
      </c>
      <c r="B1365" s="1">
        <v>20.0</v>
      </c>
      <c r="C1365" s="1">
        <v>7.0</v>
      </c>
      <c r="D1365" s="1">
        <v>1.6</v>
      </c>
      <c r="E1365" s="1">
        <v>0.2</v>
      </c>
      <c r="F1365" s="1">
        <v>0.0</v>
      </c>
      <c r="G1365" s="6">
        <v>0.429</v>
      </c>
      <c r="H1365" s="1" t="s">
        <v>131</v>
      </c>
      <c r="I1365" s="1" t="str">
        <f>IFERROR(__xludf.DUMMYFUNCTION("REGEXREPLACE(MID(H1365, SEARCH(""["", H1365) + 1, SEARCH(""]"", H1365) - SEARCH(""["", H1365) - 1), ""\[\]"","""")"),"Whitney Young")</f>
        <v>Whitney Young</v>
      </c>
      <c r="J1365" s="1">
        <v>8.0</v>
      </c>
      <c r="K1365" s="1">
        <v>1.0</v>
      </c>
    </row>
    <row r="1366">
      <c r="A1366" s="1">
        <v>2.0</v>
      </c>
      <c r="B1366" s="1">
        <v>8.0</v>
      </c>
      <c r="C1366" s="1">
        <v>0.0</v>
      </c>
      <c r="D1366" s="1">
        <v>0.0</v>
      </c>
      <c r="E1366" s="1">
        <v>0.0</v>
      </c>
      <c r="F1366" s="1">
        <v>0.0</v>
      </c>
      <c r="G1366" s="2">
        <v>0.0</v>
      </c>
      <c r="H1366" s="1" t="s">
        <v>342</v>
      </c>
      <c r="I1366" s="1" t="str">
        <f>IFERROR(__xludf.DUMMYFUNCTION("REGEXREPLACE(MID(H1366, SEARCH(""["", H1366) + 1, SEARCH(""]"", H1366) - SEARCH(""["", H1366) - 1), ""\[\]"","""")"),"Whitney Young")</f>
        <v>Whitney Young</v>
      </c>
      <c r="J1366" s="1">
        <v>0.0</v>
      </c>
      <c r="K1366" s="1">
        <v>0.0</v>
      </c>
    </row>
    <row r="1367">
      <c r="A1367" s="1">
        <v>4.0</v>
      </c>
      <c r="B1367" s="1">
        <v>16.0</v>
      </c>
      <c r="C1367" s="1">
        <v>2.0</v>
      </c>
      <c r="D1367" s="1">
        <v>1.0</v>
      </c>
      <c r="E1367" s="1">
        <v>0.0</v>
      </c>
      <c r="F1367" s="1">
        <v>0.0</v>
      </c>
      <c r="G1367" s="2">
        <v>0.5</v>
      </c>
      <c r="H1367" s="1" t="s">
        <v>343</v>
      </c>
      <c r="I1367" s="1" t="str">
        <f>IFERROR(__xludf.DUMMYFUNCTION("REGEXREPLACE(MID(H1367, SEARCH(""["", H1367) + 1, SEARCH(""]"", H1367) - SEARCH(""["", H1367) - 1), ""\[\]"","""")"),"Whitney Young")</f>
        <v>Whitney Young</v>
      </c>
      <c r="J1367" s="1">
        <v>4.0</v>
      </c>
      <c r="K1367" s="1">
        <v>0.0</v>
      </c>
    </row>
    <row r="1368">
      <c r="A1368" s="1">
        <v>1.0</v>
      </c>
      <c r="B1368" s="1">
        <v>4.0</v>
      </c>
      <c r="C1368" s="1">
        <v>0.0</v>
      </c>
      <c r="D1368" s="1">
        <v>0.0</v>
      </c>
      <c r="E1368" s="1">
        <v>0.0</v>
      </c>
      <c r="F1368" s="1">
        <v>0.0</v>
      </c>
      <c r="G1368" s="2">
        <v>0.0</v>
      </c>
      <c r="H1368" s="1" t="s">
        <v>343</v>
      </c>
      <c r="I1368" s="1" t="str">
        <f>IFERROR(__xludf.DUMMYFUNCTION("REGEXREPLACE(MID(H1368, SEARCH(""["", H1368) + 1, SEARCH(""]"", H1368) - SEARCH(""["", H1368) - 1), ""\[\]"","""")"),"Whitney Young")</f>
        <v>Whitney Young</v>
      </c>
      <c r="J1368" s="1">
        <v>0.0</v>
      </c>
      <c r="K1368" s="1">
        <v>0.0</v>
      </c>
    </row>
    <row r="1369">
      <c r="A1369" s="1">
        <v>2.0</v>
      </c>
      <c r="B1369" s="1">
        <v>8.0</v>
      </c>
      <c r="C1369" s="1">
        <v>0.0</v>
      </c>
      <c r="D1369" s="1">
        <v>0.0</v>
      </c>
      <c r="E1369" s="1">
        <v>0.0</v>
      </c>
      <c r="F1369" s="1">
        <v>0.0</v>
      </c>
      <c r="G1369" s="2">
        <v>0.0</v>
      </c>
      <c r="H1369" s="1" t="s">
        <v>302</v>
      </c>
      <c r="I1369" s="1" t="str">
        <f>IFERROR(__xludf.DUMMYFUNCTION("REGEXREPLACE(MID(H1369, SEARCH(""["", H1369) + 1, SEARCH(""]"", H1369) - SEARCH(""["", H1369) - 1), ""\[\]"","""")"),"Whitney Young")</f>
        <v>Whitney Young</v>
      </c>
      <c r="J1369" s="1">
        <v>0.0</v>
      </c>
      <c r="K1369" s="1">
        <v>0.0</v>
      </c>
    </row>
    <row r="1370">
      <c r="A1370" s="1">
        <v>5.0</v>
      </c>
      <c r="B1370" s="1">
        <v>20.0</v>
      </c>
      <c r="C1370" s="1">
        <v>0.0</v>
      </c>
      <c r="D1370" s="1">
        <v>0.0</v>
      </c>
      <c r="E1370" s="1">
        <v>0.0</v>
      </c>
      <c r="F1370" s="1">
        <v>0.0</v>
      </c>
      <c r="G1370" s="2">
        <v>0.0</v>
      </c>
      <c r="H1370" s="1" t="s">
        <v>231</v>
      </c>
      <c r="I1370" s="1" t="str">
        <f>IFERROR(__xludf.DUMMYFUNCTION("REGEXREPLACE(MID(H1370, SEARCH(""["", H1370) + 1, SEARCH(""]"", H1370) - SEARCH(""["", H1370) - 1), ""\[\]"","""")"),"Will of A")</f>
        <v>Will of A</v>
      </c>
      <c r="J1370" s="1">
        <v>0.0</v>
      </c>
      <c r="K1370" s="1">
        <v>0.0</v>
      </c>
    </row>
    <row r="1371">
      <c r="A1371" s="1">
        <v>5.0</v>
      </c>
      <c r="B1371" s="1">
        <v>20.0</v>
      </c>
      <c r="C1371" s="1">
        <v>13.0</v>
      </c>
      <c r="D1371" s="1">
        <v>5.6</v>
      </c>
      <c r="E1371" s="1">
        <v>0.6</v>
      </c>
      <c r="F1371" s="1">
        <v>0.0</v>
      </c>
      <c r="G1371" s="6">
        <v>0.769</v>
      </c>
      <c r="H1371" s="1" t="s">
        <v>122</v>
      </c>
      <c r="I1371" s="1" t="str">
        <f>IFERROR(__xludf.DUMMYFUNCTION("REGEXREPLACE(MID(H1371, SEARCH(""["", H1371) + 1, SEARCH(""]"", H1371) - SEARCH(""["", H1371) - 1), ""\[\]"","""")"),"Will of A")</f>
        <v>Will of A</v>
      </c>
      <c r="J1371" s="1">
        <v>28.0</v>
      </c>
      <c r="K1371" s="1">
        <v>3.0</v>
      </c>
    </row>
    <row r="1372">
      <c r="A1372" s="1">
        <v>3.0</v>
      </c>
      <c r="B1372" s="1">
        <v>12.0</v>
      </c>
      <c r="C1372" s="1">
        <v>0.0</v>
      </c>
      <c r="D1372" s="1">
        <v>0.0</v>
      </c>
      <c r="E1372" s="1">
        <v>0.0</v>
      </c>
      <c r="F1372" s="1">
        <v>0.0</v>
      </c>
      <c r="G1372" s="2">
        <v>0.0</v>
      </c>
      <c r="H1372" s="1" t="s">
        <v>261</v>
      </c>
      <c r="I1372" s="1" t="str">
        <f>IFERROR(__xludf.DUMMYFUNCTION("REGEXREPLACE(MID(H1372, SEARCH(""["", H1372) + 1, SEARCH(""]"", H1372) - SEARCH(""["", H1372) - 1), ""\[\]"","""")"),"Will of A")</f>
        <v>Will of A</v>
      </c>
      <c r="J1372" s="1">
        <v>0.0</v>
      </c>
      <c r="K1372" s="1">
        <v>0.0</v>
      </c>
    </row>
    <row r="1373">
      <c r="A1373" s="1">
        <v>5.0</v>
      </c>
      <c r="B1373" s="1">
        <v>20.0</v>
      </c>
      <c r="C1373" s="1">
        <v>5.0</v>
      </c>
      <c r="D1373" s="1">
        <v>-0.8</v>
      </c>
      <c r="E1373" s="1">
        <v>0.4</v>
      </c>
      <c r="F1373" s="1">
        <v>0.0</v>
      </c>
      <c r="G1373" s="2">
        <v>0.2</v>
      </c>
      <c r="H1373" s="1" t="s">
        <v>344</v>
      </c>
      <c r="I1373" s="1" t="str">
        <f>IFERROR(__xludf.DUMMYFUNCTION("REGEXREPLACE(MID(H1373, SEARCH(""["", H1373) + 1, SEARCH(""]"", H1373) - SEARCH(""["", H1373) - 1), ""\[\]"","""")"),"Will of A")</f>
        <v>Will of A</v>
      </c>
      <c r="J1373" s="1">
        <v>-4.0</v>
      </c>
      <c r="K1373" s="1">
        <v>2.0</v>
      </c>
    </row>
    <row r="1374">
      <c r="A1374" s="1">
        <v>4.0</v>
      </c>
      <c r="B1374" s="1">
        <v>16.0</v>
      </c>
      <c r="C1374" s="1">
        <v>0.0</v>
      </c>
      <c r="D1374" s="1">
        <v>0.0</v>
      </c>
      <c r="E1374" s="1">
        <v>0.0</v>
      </c>
      <c r="F1374" s="1">
        <v>0.0</v>
      </c>
      <c r="G1374" s="2">
        <v>0.0</v>
      </c>
      <c r="H1374" s="1" t="s">
        <v>345</v>
      </c>
      <c r="I1374" s="1" t="str">
        <f>IFERROR(__xludf.DUMMYFUNCTION("REGEXREPLACE(MID(H1374, SEARCH(""["", H1374) + 1, SEARCH(""]"", H1374) - SEARCH(""["", H1374) - 1), ""\[\]"","""")"),"WWPS 1")</f>
        <v>WWPS 1</v>
      </c>
      <c r="J1374" s="1">
        <v>0.0</v>
      </c>
      <c r="K1374" s="1">
        <v>0.0</v>
      </c>
    </row>
    <row r="1375">
      <c r="A1375" s="1">
        <v>1.0</v>
      </c>
      <c r="B1375" s="1">
        <v>4.0</v>
      </c>
      <c r="C1375" s="1">
        <v>0.0</v>
      </c>
      <c r="D1375" s="1">
        <v>0.0</v>
      </c>
      <c r="E1375" s="1">
        <v>0.0</v>
      </c>
      <c r="F1375" s="1">
        <v>0.0</v>
      </c>
      <c r="G1375" s="2">
        <v>0.0</v>
      </c>
      <c r="H1375" s="1" t="s">
        <v>345</v>
      </c>
      <c r="I1375" s="1" t="str">
        <f>IFERROR(__xludf.DUMMYFUNCTION("REGEXREPLACE(MID(H1375, SEARCH(""["", H1375) + 1, SEARCH(""]"", H1375) - SEARCH(""["", H1375) - 1), ""\[\]"","""")"),"WWPS 1")</f>
        <v>WWPS 1</v>
      </c>
      <c r="J1375" s="1">
        <v>0.0</v>
      </c>
      <c r="K1375" s="1">
        <v>0.0</v>
      </c>
    </row>
    <row r="1376">
      <c r="A1376" s="1">
        <v>4.0</v>
      </c>
      <c r="B1376" s="1">
        <v>16.0</v>
      </c>
      <c r="C1376" s="1">
        <v>0.0</v>
      </c>
      <c r="D1376" s="1">
        <v>0.0</v>
      </c>
      <c r="E1376" s="1">
        <v>0.0</v>
      </c>
      <c r="F1376" s="1">
        <v>0.0</v>
      </c>
      <c r="G1376" s="2">
        <v>0.0</v>
      </c>
      <c r="H1376" s="1" t="s">
        <v>346</v>
      </c>
      <c r="I1376" s="1" t="str">
        <f>IFERROR(__xludf.DUMMYFUNCTION("REGEXREPLACE(MID(H1376, SEARCH(""["", H1376) + 1, SEARCH(""]"", H1376) - SEARCH(""["", H1376) - 1), ""\[\]"","""")"),"WWPS 1")</f>
        <v>WWPS 1</v>
      </c>
      <c r="J1376" s="1">
        <v>0.0</v>
      </c>
      <c r="K1376" s="1">
        <v>0.0</v>
      </c>
    </row>
    <row r="1377">
      <c r="A1377" s="1">
        <v>1.0</v>
      </c>
      <c r="B1377" s="1">
        <v>4.0</v>
      </c>
      <c r="C1377" s="1">
        <v>0.0</v>
      </c>
      <c r="D1377" s="1">
        <v>0.0</v>
      </c>
      <c r="E1377" s="1">
        <v>0.0</v>
      </c>
      <c r="F1377" s="1">
        <v>0.0</v>
      </c>
      <c r="G1377" s="2">
        <v>0.0</v>
      </c>
      <c r="H1377" s="1" t="s">
        <v>346</v>
      </c>
      <c r="I1377" s="1" t="str">
        <f>IFERROR(__xludf.DUMMYFUNCTION("REGEXREPLACE(MID(H1377, SEARCH(""["", H1377) + 1, SEARCH(""]"", H1377) - SEARCH(""["", H1377) - 1), ""\[\]"","""")"),"WWPS 1")</f>
        <v>WWPS 1</v>
      </c>
      <c r="J1377" s="1">
        <v>0.0</v>
      </c>
      <c r="K1377" s="1">
        <v>0.0</v>
      </c>
    </row>
    <row r="1378">
      <c r="A1378" s="1">
        <v>1.0</v>
      </c>
      <c r="B1378" s="1">
        <v>4.0</v>
      </c>
      <c r="C1378" s="1">
        <v>0.0</v>
      </c>
      <c r="D1378" s="1">
        <v>0.0</v>
      </c>
      <c r="E1378" s="1">
        <v>0.0</v>
      </c>
      <c r="F1378" s="1">
        <v>0.0</v>
      </c>
      <c r="G1378" s="2">
        <v>0.0</v>
      </c>
      <c r="H1378" s="1" t="s">
        <v>347</v>
      </c>
      <c r="I1378" s="1" t="str">
        <f>IFERROR(__xludf.DUMMYFUNCTION("REGEXREPLACE(MID(H1378, SEARCH(""["", H1378) + 1, SEARCH(""]"", H1378) - SEARCH(""["", H1378) - 1), ""\[\]"","""")"),"WWPS 1")</f>
        <v>WWPS 1</v>
      </c>
      <c r="J1378" s="1">
        <v>0.0</v>
      </c>
      <c r="K1378" s="1">
        <v>0.0</v>
      </c>
    </row>
    <row r="1379">
      <c r="A1379" s="1">
        <v>4.0</v>
      </c>
      <c r="B1379" s="1">
        <v>16.0</v>
      </c>
      <c r="C1379" s="1">
        <v>0.0</v>
      </c>
      <c r="D1379" s="1">
        <v>0.0</v>
      </c>
      <c r="E1379" s="1">
        <v>0.0</v>
      </c>
      <c r="F1379" s="1">
        <v>0.0</v>
      </c>
      <c r="G1379" s="2">
        <v>0.0</v>
      </c>
      <c r="H1379" s="1" t="s">
        <v>347</v>
      </c>
      <c r="I1379" s="1" t="str">
        <f>IFERROR(__xludf.DUMMYFUNCTION("REGEXREPLACE(MID(H1379, SEARCH(""["", H1379) + 1, SEARCH(""]"", H1379) - SEARCH(""["", H1379) - 1), ""\[\]"","""")"),"WWPS 1")</f>
        <v>WWPS 1</v>
      </c>
      <c r="J1379" s="1">
        <v>0.0</v>
      </c>
      <c r="K1379" s="1">
        <v>0.0</v>
      </c>
    </row>
    <row r="1380">
      <c r="A1380" s="1">
        <v>4.0</v>
      </c>
      <c r="B1380" s="1">
        <v>16.0</v>
      </c>
      <c r="C1380" s="1">
        <v>15.0</v>
      </c>
      <c r="D1380" s="1">
        <v>10.0</v>
      </c>
      <c r="E1380" s="1">
        <v>0.5</v>
      </c>
      <c r="F1380" s="1">
        <v>0.0</v>
      </c>
      <c r="G1380" s="2">
        <v>0.8</v>
      </c>
      <c r="H1380" s="1" t="s">
        <v>188</v>
      </c>
      <c r="I1380" s="1" t="str">
        <f>IFERROR(__xludf.DUMMYFUNCTION("REGEXREPLACE(MID(H1380, SEARCH(""["", H1380) + 1, SEARCH(""]"", H1380) - SEARCH(""["", H1380) - 1), ""\[\]"","""")"),"WWPS 1")</f>
        <v>WWPS 1</v>
      </c>
      <c r="J1380" s="1">
        <v>40.0</v>
      </c>
      <c r="K1380" s="1">
        <v>2.0</v>
      </c>
    </row>
    <row r="1381">
      <c r="A1381" s="1">
        <v>1.0</v>
      </c>
      <c r="B1381" s="1">
        <v>4.0</v>
      </c>
      <c r="C1381" s="1">
        <v>4.0</v>
      </c>
      <c r="D1381" s="1">
        <v>12.0</v>
      </c>
      <c r="E1381" s="1">
        <v>0.0</v>
      </c>
      <c r="F1381" s="1">
        <v>0.0</v>
      </c>
      <c r="G1381" s="2">
        <v>0.75</v>
      </c>
      <c r="H1381" s="1" t="s">
        <v>188</v>
      </c>
      <c r="I1381" s="1" t="str">
        <f>IFERROR(__xludf.DUMMYFUNCTION("REGEXREPLACE(MID(H1381, SEARCH(""["", H1381) + 1, SEARCH(""]"", H1381) - SEARCH(""["", H1381) - 1), ""\[\]"","""")"),"WWPS 1")</f>
        <v>WWPS 1</v>
      </c>
      <c r="J1381" s="1">
        <v>12.0</v>
      </c>
      <c r="K1381" s="1">
        <v>0.0</v>
      </c>
    </row>
    <row r="1382">
      <c r="A1382" s="1">
        <v>3.0</v>
      </c>
      <c r="B1382" s="1">
        <v>12.0</v>
      </c>
      <c r="C1382" s="1">
        <v>6.0</v>
      </c>
      <c r="D1382" s="1">
        <v>8.0</v>
      </c>
      <c r="E1382" s="1">
        <v>0.0</v>
      </c>
      <c r="F1382" s="1">
        <v>0.0</v>
      </c>
      <c r="G1382" s="2">
        <v>1.0</v>
      </c>
      <c r="H1382" s="1" t="s">
        <v>119</v>
      </c>
      <c r="I1382" s="1" t="str">
        <f>IFERROR(__xludf.DUMMYFUNCTION("REGEXREPLACE(MID(H1382, SEARCH(""["", H1382) + 1, SEARCH(""]"", H1382) - SEARCH(""["", H1382) - 1), ""\[\]"","""")"),"WWPS 2")</f>
        <v>WWPS 2</v>
      </c>
      <c r="J1382" s="1">
        <v>24.0</v>
      </c>
      <c r="K1382" s="1">
        <v>0.0</v>
      </c>
    </row>
    <row r="1383">
      <c r="A1383" s="1">
        <v>3.0</v>
      </c>
      <c r="B1383" s="1">
        <v>12.0</v>
      </c>
      <c r="C1383" s="1">
        <v>6.0</v>
      </c>
      <c r="D1383" s="1">
        <v>2.67</v>
      </c>
      <c r="E1383" s="1">
        <v>0.33</v>
      </c>
      <c r="F1383" s="1">
        <v>0.0</v>
      </c>
      <c r="G1383" s="2">
        <v>0.5</v>
      </c>
      <c r="H1383" s="1" t="s">
        <v>218</v>
      </c>
      <c r="I1383" s="1" t="str">
        <f>IFERROR(__xludf.DUMMYFUNCTION("REGEXREPLACE(MID(H1383, SEARCH(""["", H1383) + 1, SEARCH(""]"", H1383) - SEARCH(""["", H1383) - 1), ""\[\]"","""")"),"WWPS 2")</f>
        <v>WWPS 2</v>
      </c>
      <c r="J1383" s="1">
        <v>8.0</v>
      </c>
      <c r="K1383" s="1">
        <v>1.0</v>
      </c>
    </row>
    <row r="1384">
      <c r="A1384" s="1">
        <v>2.0</v>
      </c>
      <c r="B1384" s="1">
        <v>8.0</v>
      </c>
      <c r="C1384" s="1">
        <v>1.0</v>
      </c>
      <c r="D1384" s="1">
        <v>0.0</v>
      </c>
      <c r="E1384" s="1">
        <v>0.0</v>
      </c>
      <c r="F1384" s="1">
        <v>0.0</v>
      </c>
      <c r="G1384" s="2">
        <v>0.0</v>
      </c>
      <c r="H1384" s="1" t="s">
        <v>348</v>
      </c>
      <c r="I1384" s="1" t="str">
        <f>IFERROR(__xludf.DUMMYFUNCTION("REGEXREPLACE(MID(H1384, SEARCH(""["", H1384) + 1, SEARCH(""]"", H1384) - SEARCH(""["", H1384) - 1), ""\[\]"","""")"),"WWPS 2")</f>
        <v>WWPS 2</v>
      </c>
      <c r="J1384" s="1">
        <v>0.0</v>
      </c>
      <c r="K1384" s="1">
        <v>0.0</v>
      </c>
    </row>
    <row r="1385">
      <c r="A1385" s="1">
        <v>3.0</v>
      </c>
      <c r="B1385" s="1">
        <v>12.0</v>
      </c>
      <c r="C1385" s="1">
        <v>0.0</v>
      </c>
      <c r="D1385" s="1">
        <v>0.0</v>
      </c>
      <c r="E1385" s="1">
        <v>0.0</v>
      </c>
      <c r="F1385" s="1">
        <v>0.0</v>
      </c>
      <c r="G1385" s="2">
        <v>0.0</v>
      </c>
      <c r="H1385" s="1" t="s">
        <v>349</v>
      </c>
      <c r="I1385" s="1" t="str">
        <f>IFERROR(__xludf.DUMMYFUNCTION("REGEXREPLACE(MID(H1385, SEARCH(""["", H1385) + 1, SEARCH(""]"", H1385) - SEARCH(""["", H1385) - 1), ""\[\]"","""")"),"WWPS 2")</f>
        <v>WWPS 2</v>
      </c>
      <c r="J1385" s="1">
        <v>0.0</v>
      </c>
      <c r="K1385" s="1">
        <v>0.0</v>
      </c>
    </row>
    <row r="1386">
      <c r="A1386" s="1">
        <v>4.0</v>
      </c>
      <c r="B1386" s="1">
        <v>16.0</v>
      </c>
      <c r="C1386" s="1">
        <v>1.0</v>
      </c>
      <c r="D1386" s="1">
        <v>1.0</v>
      </c>
      <c r="E1386" s="1">
        <v>0.0</v>
      </c>
      <c r="F1386" s="1">
        <v>0.0</v>
      </c>
      <c r="G1386" s="2">
        <v>1.0</v>
      </c>
      <c r="H1386" s="1" t="s">
        <v>193</v>
      </c>
      <c r="I1386" s="1" t="str">
        <f>IFERROR(__xludf.DUMMYFUNCTION("REGEXREPLACE(MID(H1386, SEARCH(""["", H1386) + 1, SEARCH(""]"", H1386) - SEARCH(""["", H1386) - 1), ""\[\]"","""")"),"WWPS 2")</f>
        <v>WWPS 2</v>
      </c>
      <c r="J1386" s="1">
        <v>4.0</v>
      </c>
      <c r="K1386" s="1">
        <v>0.0</v>
      </c>
    </row>
    <row r="1387">
      <c r="A1387" s="1">
        <v>1.0</v>
      </c>
      <c r="B1387" s="1">
        <v>4.0</v>
      </c>
      <c r="C1387" s="1">
        <v>1.0</v>
      </c>
      <c r="D1387" s="1">
        <v>0.0</v>
      </c>
      <c r="E1387" s="1">
        <v>0.0</v>
      </c>
      <c r="F1387" s="1">
        <v>0.0</v>
      </c>
      <c r="G1387" s="2">
        <v>0.0</v>
      </c>
      <c r="H1387" s="1" t="s">
        <v>0</v>
      </c>
      <c r="I1387" s="1" t="str">
        <f>IFERROR(__xludf.DUMMYFUNCTION("REGEXREPLACE(MID(H1387, SEARCH(""["", H1387) + 1, SEARCH(""]"", H1387) - SEARCH(""["", H1387) - 1), ""\[\]"","""")"),"Bridgeland HS")</f>
        <v>Bridgeland HS</v>
      </c>
      <c r="J1387" s="1">
        <v>0.0</v>
      </c>
      <c r="K1387" s="1">
        <v>0.0</v>
      </c>
    </row>
    <row r="1388">
      <c r="A1388" s="1">
        <v>4.0</v>
      </c>
      <c r="B1388" s="1">
        <v>16.0</v>
      </c>
      <c r="C1388" s="1">
        <v>3.0</v>
      </c>
      <c r="D1388" s="1">
        <v>1.0</v>
      </c>
      <c r="E1388" s="1">
        <v>0.25</v>
      </c>
      <c r="F1388" s="1">
        <v>0.0</v>
      </c>
      <c r="G1388" s="6">
        <v>0.667</v>
      </c>
      <c r="H1388" s="1" t="s">
        <v>2</v>
      </c>
      <c r="I1388" s="1" t="str">
        <f>IFERROR(__xludf.DUMMYFUNCTION("REGEXREPLACE(MID(H1388, SEARCH(""["", H1388) + 1, SEARCH(""]"", H1388) - SEARCH(""["", H1388) - 1), ""\[\]"","""")"),"Amador Valley HS")</f>
        <v>Amador Valley HS</v>
      </c>
      <c r="J1388" s="1">
        <v>4.0</v>
      </c>
      <c r="K1388" s="1">
        <v>1.0</v>
      </c>
    </row>
    <row r="1389">
      <c r="A1389" s="1">
        <v>1.0</v>
      </c>
      <c r="B1389" s="1">
        <v>4.0</v>
      </c>
      <c r="C1389" s="1">
        <v>0.0</v>
      </c>
      <c r="D1389" s="1">
        <v>0.0</v>
      </c>
      <c r="E1389" s="1">
        <v>0.0</v>
      </c>
      <c r="F1389" s="1">
        <v>0.0</v>
      </c>
      <c r="G1389" s="2">
        <v>0.0</v>
      </c>
      <c r="H1389" s="1" t="s">
        <v>2</v>
      </c>
      <c r="I1389" s="1" t="str">
        <f>IFERROR(__xludf.DUMMYFUNCTION("REGEXREPLACE(MID(H1389, SEARCH(""["", H1389) + 1, SEARCH(""]"", H1389) - SEARCH(""["", H1389) - 1), ""\[\]"","""")"),"Amador Valley HS")</f>
        <v>Amador Valley HS</v>
      </c>
      <c r="J1389" s="1">
        <v>0.0</v>
      </c>
      <c r="K1389" s="1">
        <v>0.0</v>
      </c>
    </row>
    <row r="1390">
      <c r="A1390" s="1">
        <v>4.0</v>
      </c>
      <c r="B1390" s="1">
        <v>16.0</v>
      </c>
      <c r="C1390" s="1">
        <v>0.0</v>
      </c>
      <c r="D1390" s="1">
        <v>0.0</v>
      </c>
      <c r="E1390" s="1">
        <v>0.0</v>
      </c>
      <c r="F1390" s="1">
        <v>0.0</v>
      </c>
      <c r="G1390" s="2">
        <v>0.0</v>
      </c>
      <c r="H1390" s="1" t="s">
        <v>5</v>
      </c>
      <c r="I1390" s="1" t="str">
        <f>IFERROR(__xludf.DUMMYFUNCTION("REGEXREPLACE(MID(H1390, SEARCH(""["", H1390) + 1, SEARCH(""]"", H1390) - SEARCH(""["", H1390) - 1), ""\[\]"","""")"),"Amador Valley HS")</f>
        <v>Amador Valley HS</v>
      </c>
      <c r="J1390" s="1">
        <v>0.0</v>
      </c>
      <c r="K1390" s="1">
        <v>0.0</v>
      </c>
    </row>
    <row r="1391">
      <c r="A1391" s="1">
        <v>1.0</v>
      </c>
      <c r="B1391" s="1">
        <v>4.0</v>
      </c>
      <c r="C1391" s="1">
        <v>0.0</v>
      </c>
      <c r="D1391" s="1">
        <v>0.0</v>
      </c>
      <c r="E1391" s="1">
        <v>0.0</v>
      </c>
      <c r="F1391" s="1">
        <v>0.0</v>
      </c>
      <c r="G1391" s="2">
        <v>0.0</v>
      </c>
      <c r="H1391" s="1" t="s">
        <v>5</v>
      </c>
      <c r="I1391" s="1" t="str">
        <f>IFERROR(__xludf.DUMMYFUNCTION("REGEXREPLACE(MID(H1391, SEARCH(""["", H1391) + 1, SEARCH(""]"", H1391) - SEARCH(""["", H1391) - 1), ""\[\]"","""")"),"Amador Valley HS")</f>
        <v>Amador Valley HS</v>
      </c>
      <c r="J1391" s="1">
        <v>0.0</v>
      </c>
      <c r="K1391" s="1">
        <v>0.0</v>
      </c>
    </row>
    <row r="1392">
      <c r="A1392" s="1">
        <v>4.0</v>
      </c>
      <c r="B1392" s="1">
        <v>16.0</v>
      </c>
      <c r="C1392" s="1">
        <v>9.0</v>
      </c>
      <c r="D1392" s="1">
        <v>-1.0</v>
      </c>
      <c r="E1392" s="1">
        <v>1.0</v>
      </c>
      <c r="F1392" s="1">
        <v>0.0</v>
      </c>
      <c r="G1392" s="6">
        <v>0.333</v>
      </c>
      <c r="H1392" s="1" t="s">
        <v>8</v>
      </c>
      <c r="I1392" s="1" t="str">
        <f>IFERROR(__xludf.DUMMYFUNCTION("REGEXREPLACE(MID(H1392, SEARCH(""["", H1392) + 1, SEARCH(""]"", H1392) - SEARCH(""["", H1392) - 1), ""\[\]"","""")"),"Amador Valley HS")</f>
        <v>Amador Valley HS</v>
      </c>
      <c r="J1392" s="1">
        <v>-4.0</v>
      </c>
      <c r="K1392" s="1">
        <v>4.0</v>
      </c>
    </row>
    <row r="1393">
      <c r="A1393" s="1">
        <v>1.0</v>
      </c>
      <c r="B1393" s="1">
        <v>4.0</v>
      </c>
      <c r="C1393" s="1">
        <v>4.0</v>
      </c>
      <c r="D1393" s="1">
        <v>8.0</v>
      </c>
      <c r="E1393" s="1">
        <v>1.0</v>
      </c>
      <c r="F1393" s="1">
        <v>0.0</v>
      </c>
      <c r="G1393" s="2">
        <v>0.75</v>
      </c>
      <c r="H1393" s="1" t="s">
        <v>8</v>
      </c>
      <c r="I1393" s="1" t="str">
        <f>IFERROR(__xludf.DUMMYFUNCTION("REGEXREPLACE(MID(H1393, SEARCH(""["", H1393) + 1, SEARCH(""]"", H1393) - SEARCH(""["", H1393) - 1), ""\[\]"","""")"),"Amador Valley HS")</f>
        <v>Amador Valley HS</v>
      </c>
      <c r="J1393" s="1">
        <v>8.0</v>
      </c>
      <c r="K1393" s="1">
        <v>1.0</v>
      </c>
    </row>
    <row r="1394">
      <c r="A1394" s="1">
        <v>4.0</v>
      </c>
      <c r="B1394" s="1">
        <v>16.0</v>
      </c>
      <c r="C1394" s="1">
        <v>0.0</v>
      </c>
      <c r="D1394" s="1">
        <v>0.0</v>
      </c>
      <c r="E1394" s="1">
        <v>0.0</v>
      </c>
      <c r="F1394" s="1">
        <v>0.0</v>
      </c>
      <c r="G1394" s="2">
        <v>0.0</v>
      </c>
      <c r="H1394" s="1" t="s">
        <v>11</v>
      </c>
      <c r="I1394" s="1" t="str">
        <f>IFERROR(__xludf.DUMMYFUNCTION("REGEXREPLACE(MID(H1394, SEARCH(""["", H1394) + 1, SEARCH(""]"", H1394) - SEARCH(""["", H1394) - 1), ""\[\]"","""")"),"Amador Valley HS")</f>
        <v>Amador Valley HS</v>
      </c>
      <c r="J1394" s="1">
        <v>0.0</v>
      </c>
      <c r="K1394" s="1">
        <v>0.0</v>
      </c>
    </row>
    <row r="1395">
      <c r="A1395" s="1">
        <v>3.0</v>
      </c>
      <c r="B1395" s="1">
        <v>12.0</v>
      </c>
      <c r="C1395" s="1">
        <v>1.0</v>
      </c>
      <c r="D1395" s="1">
        <v>0.0</v>
      </c>
      <c r="E1395" s="1">
        <v>0.0</v>
      </c>
      <c r="F1395" s="1">
        <v>0.0</v>
      </c>
      <c r="G1395" s="2">
        <v>0.0</v>
      </c>
      <c r="H1395" s="1" t="s">
        <v>12</v>
      </c>
      <c r="I1395" s="1" t="str">
        <f>IFERROR(__xludf.DUMMYFUNCTION("REGEXREPLACE(MID(H1395, SEARCH(""["", H1395) + 1, SEARCH(""]"", H1395) - SEARCH(""["", H1395) - 1), ""\[\]"","""")"),"American Heritage Broward")</f>
        <v>American Heritage Broward</v>
      </c>
      <c r="J1395" s="1">
        <v>0.0</v>
      </c>
      <c r="K1395" s="1">
        <v>0.0</v>
      </c>
    </row>
    <row r="1396">
      <c r="A1396" s="1">
        <v>1.0</v>
      </c>
      <c r="B1396" s="1">
        <v>4.0</v>
      </c>
      <c r="C1396" s="1">
        <v>1.0</v>
      </c>
      <c r="D1396" s="1">
        <v>4.0</v>
      </c>
      <c r="E1396" s="1">
        <v>0.0</v>
      </c>
      <c r="F1396" s="1">
        <v>0.0</v>
      </c>
      <c r="G1396" s="2">
        <v>1.0</v>
      </c>
      <c r="H1396" s="1" t="s">
        <v>13</v>
      </c>
      <c r="I1396" s="1" t="str">
        <f>IFERROR(__xludf.DUMMYFUNCTION("REGEXREPLACE(MID(H1396, SEARCH(""["", H1396) + 1, SEARCH(""]"", H1396) - SEARCH(""["", H1396) - 1), ""\[\]"","""")"),"American Heritage Broward")</f>
        <v>American Heritage Broward</v>
      </c>
      <c r="J1396" s="1">
        <v>4.0</v>
      </c>
      <c r="K1396" s="1">
        <v>0.0</v>
      </c>
    </row>
    <row r="1397">
      <c r="A1397" s="1">
        <v>4.0</v>
      </c>
      <c r="B1397" s="1">
        <v>16.0</v>
      </c>
      <c r="C1397" s="1">
        <v>1.0</v>
      </c>
      <c r="D1397" s="1">
        <v>0.0</v>
      </c>
      <c r="E1397" s="1">
        <v>0.0</v>
      </c>
      <c r="F1397" s="1">
        <v>0.0</v>
      </c>
      <c r="G1397" s="2">
        <v>0.0</v>
      </c>
      <c r="H1397" s="1" t="s">
        <v>13</v>
      </c>
      <c r="I1397" s="1" t="str">
        <f>IFERROR(__xludf.DUMMYFUNCTION("REGEXREPLACE(MID(H1397, SEARCH(""["", H1397) + 1, SEARCH(""]"", H1397) - SEARCH(""["", H1397) - 1), ""\[\]"","""")"),"American Heritage Broward")</f>
        <v>American Heritage Broward</v>
      </c>
      <c r="J1397" s="1">
        <v>0.0</v>
      </c>
      <c r="K1397" s="1">
        <v>0.0</v>
      </c>
    </row>
    <row r="1398">
      <c r="A1398" s="1">
        <v>1.0</v>
      </c>
      <c r="B1398" s="1">
        <v>4.0</v>
      </c>
      <c r="C1398" s="1">
        <v>2.0</v>
      </c>
      <c r="D1398" s="1">
        <v>4.0</v>
      </c>
      <c r="E1398" s="1">
        <v>0.0</v>
      </c>
      <c r="F1398" s="1">
        <v>0.0</v>
      </c>
      <c r="G1398" s="2">
        <v>0.5</v>
      </c>
      <c r="H1398" s="1" t="s">
        <v>15</v>
      </c>
      <c r="I1398" s="1" t="str">
        <f>IFERROR(__xludf.DUMMYFUNCTION("REGEXREPLACE(MID(H1398, SEARCH(""["", H1398) + 1, SEARCH(""]"", H1398) - SEARCH(""["", H1398) - 1), ""\[\]"","""")"),"American Heritage Broward")</f>
        <v>American Heritage Broward</v>
      </c>
      <c r="J1398" s="1">
        <v>4.0</v>
      </c>
      <c r="K1398" s="1">
        <v>0.0</v>
      </c>
    </row>
    <row r="1399">
      <c r="A1399" s="1">
        <v>4.0</v>
      </c>
      <c r="B1399" s="1">
        <v>16.0</v>
      </c>
      <c r="C1399" s="1">
        <v>7.0</v>
      </c>
      <c r="D1399" s="1">
        <v>4.0</v>
      </c>
      <c r="E1399" s="1">
        <v>0.25</v>
      </c>
      <c r="F1399" s="1">
        <v>0.0</v>
      </c>
      <c r="G1399" s="6">
        <v>0.714</v>
      </c>
      <c r="H1399" s="1" t="s">
        <v>15</v>
      </c>
      <c r="I1399" s="1" t="str">
        <f>IFERROR(__xludf.DUMMYFUNCTION("REGEXREPLACE(MID(H1399, SEARCH(""["", H1399) + 1, SEARCH(""]"", H1399) - SEARCH(""["", H1399) - 1), ""\[\]"","""")"),"American Heritage Broward")</f>
        <v>American Heritage Broward</v>
      </c>
      <c r="J1399" s="1">
        <v>16.0</v>
      </c>
      <c r="K1399" s="1">
        <v>1.0</v>
      </c>
    </row>
    <row r="1400">
      <c r="A1400" s="1">
        <v>1.0</v>
      </c>
      <c r="B1400" s="1">
        <v>4.0</v>
      </c>
      <c r="C1400" s="1">
        <v>0.0</v>
      </c>
      <c r="D1400" s="1">
        <v>0.0</v>
      </c>
      <c r="E1400" s="1">
        <v>0.0</v>
      </c>
      <c r="F1400" s="1">
        <v>0.0</v>
      </c>
      <c r="G1400" s="2">
        <v>0.0</v>
      </c>
      <c r="H1400" s="1" t="s">
        <v>17</v>
      </c>
      <c r="I1400" s="1" t="str">
        <f>IFERROR(__xludf.DUMMYFUNCTION("REGEXREPLACE(MID(H1400, SEARCH(""["", H1400) + 1, SEARCH(""]"", H1400) - SEARCH(""["", H1400) - 1), ""\[\]"","""")"),"American Heritage Broward")</f>
        <v>American Heritage Broward</v>
      </c>
      <c r="J1400" s="1">
        <v>0.0</v>
      </c>
      <c r="K1400" s="1">
        <v>0.0</v>
      </c>
    </row>
    <row r="1401">
      <c r="A1401" s="1">
        <v>4.0</v>
      </c>
      <c r="B1401" s="1">
        <v>16.0</v>
      </c>
      <c r="C1401" s="1">
        <v>2.0</v>
      </c>
      <c r="D1401" s="1">
        <v>1.0</v>
      </c>
      <c r="E1401" s="1">
        <v>0.0</v>
      </c>
      <c r="F1401" s="1">
        <v>0.0</v>
      </c>
      <c r="G1401" s="2">
        <v>0.5</v>
      </c>
      <c r="H1401" s="1" t="s">
        <v>17</v>
      </c>
      <c r="I1401" s="1" t="str">
        <f>IFERROR(__xludf.DUMMYFUNCTION("REGEXREPLACE(MID(H1401, SEARCH(""["", H1401) + 1, SEARCH(""]"", H1401) - SEARCH(""["", H1401) - 1), ""\[\]"","""")"),"American Heritage Broward")</f>
        <v>American Heritage Broward</v>
      </c>
      <c r="J1401" s="1">
        <v>4.0</v>
      </c>
      <c r="K1401" s="1">
        <v>0.0</v>
      </c>
    </row>
    <row r="1402">
      <c r="A1402" s="1">
        <v>1.0</v>
      </c>
      <c r="B1402" s="1">
        <v>4.0</v>
      </c>
      <c r="C1402" s="1">
        <v>0.0</v>
      </c>
      <c r="D1402" s="1">
        <v>0.0</v>
      </c>
      <c r="E1402" s="1">
        <v>0.0</v>
      </c>
      <c r="F1402" s="1">
        <v>0.0</v>
      </c>
      <c r="G1402" s="2">
        <v>0.0</v>
      </c>
      <c r="H1402" s="1" t="s">
        <v>20</v>
      </c>
      <c r="I1402" s="1" t="str">
        <f>IFERROR(__xludf.DUMMYFUNCTION("REGEXREPLACE(MID(H1402, SEARCH(""["", H1402) + 1, SEARCH(""]"", H1402) - SEARCH(""["", H1402) - 1), ""\[\]"","""")"),"American Heritage Broward")</f>
        <v>American Heritage Broward</v>
      </c>
      <c r="J1402" s="1">
        <v>0.0</v>
      </c>
      <c r="K1402" s="1">
        <v>0.0</v>
      </c>
    </row>
    <row r="1403">
      <c r="A1403" s="1">
        <v>1.0</v>
      </c>
      <c r="B1403" s="1">
        <v>4.0</v>
      </c>
      <c r="C1403" s="1">
        <v>0.0</v>
      </c>
      <c r="D1403" s="1">
        <v>0.0</v>
      </c>
      <c r="E1403" s="1">
        <v>0.0</v>
      </c>
      <c r="F1403" s="1">
        <v>0.0</v>
      </c>
      <c r="G1403" s="2">
        <v>0.0</v>
      </c>
      <c r="H1403" s="1" t="s">
        <v>20</v>
      </c>
      <c r="I1403" s="1" t="str">
        <f>IFERROR(__xludf.DUMMYFUNCTION("REGEXREPLACE(MID(H1403, SEARCH(""["", H1403) + 1, SEARCH(""]"", H1403) - SEARCH(""["", H1403) - 1), ""\[\]"","""")"),"American Heritage Broward")</f>
        <v>American Heritage Broward</v>
      </c>
      <c r="J1403" s="1">
        <v>0.0</v>
      </c>
      <c r="K1403" s="1">
        <v>0.0</v>
      </c>
    </row>
    <row r="1404">
      <c r="A1404" s="1">
        <v>1.0</v>
      </c>
      <c r="B1404" s="1">
        <v>4.0</v>
      </c>
      <c r="C1404" s="1">
        <v>1.0</v>
      </c>
      <c r="D1404" s="1">
        <v>-4.0</v>
      </c>
      <c r="E1404" s="1">
        <v>1.0</v>
      </c>
      <c r="F1404" s="1">
        <v>0.0</v>
      </c>
      <c r="G1404" s="2">
        <v>0.0</v>
      </c>
      <c r="H1404" s="1" t="s">
        <v>24</v>
      </c>
      <c r="I1404" s="1" t="str">
        <f>IFERROR(__xludf.DUMMYFUNCTION("REGEXREPLACE(MID(H1404, SEARCH(""["", H1404) + 1, SEARCH(""]"", H1404) - SEARCH(""["", H1404) - 1), ""\[\]"","""")"),"Arcadia 1")</f>
        <v>Arcadia 1</v>
      </c>
      <c r="J1404" s="1">
        <v>-4.0</v>
      </c>
      <c r="K1404" s="1">
        <v>1.0</v>
      </c>
    </row>
    <row r="1405">
      <c r="A1405" s="1">
        <v>1.0</v>
      </c>
      <c r="B1405" s="1">
        <v>4.0</v>
      </c>
      <c r="C1405" s="1">
        <v>3.0</v>
      </c>
      <c r="D1405" s="1">
        <v>12.0</v>
      </c>
      <c r="E1405" s="1">
        <v>0.0</v>
      </c>
      <c r="F1405" s="1">
        <v>0.0</v>
      </c>
      <c r="G1405" s="2">
        <v>1.0</v>
      </c>
      <c r="H1405" s="1" t="s">
        <v>24</v>
      </c>
      <c r="I1405" s="1" t="str">
        <f>IFERROR(__xludf.DUMMYFUNCTION("REGEXREPLACE(MID(H1405, SEARCH(""["", H1405) + 1, SEARCH(""]"", H1405) - SEARCH(""["", H1405) - 1), ""\[\]"","""")"),"Arcadia 1")</f>
        <v>Arcadia 1</v>
      </c>
      <c r="J1405" s="1">
        <v>12.0</v>
      </c>
      <c r="K1405" s="1">
        <v>0.0</v>
      </c>
    </row>
    <row r="1406">
      <c r="A1406" s="1">
        <v>3.0</v>
      </c>
      <c r="B1406" s="1">
        <v>12.0</v>
      </c>
      <c r="C1406" s="1">
        <v>2.0</v>
      </c>
      <c r="D1406" s="1">
        <v>1.33</v>
      </c>
      <c r="E1406" s="1">
        <v>0.0</v>
      </c>
      <c r="F1406" s="1">
        <v>0.0</v>
      </c>
      <c r="G1406" s="2">
        <v>0.5</v>
      </c>
      <c r="H1406" s="1" t="s">
        <v>29</v>
      </c>
      <c r="I1406" s="1" t="str">
        <f>IFERROR(__xludf.DUMMYFUNCTION("REGEXREPLACE(MID(H1406, SEARCH(""["", H1406) + 1, SEARCH(""]"", H1406) - SEARCH(""["", H1406) - 1), ""\[\]"","""")"),"Arcadia 1")</f>
        <v>Arcadia 1</v>
      </c>
      <c r="J1406" s="1">
        <v>4.0</v>
      </c>
      <c r="K1406" s="1">
        <v>0.0</v>
      </c>
    </row>
    <row r="1407">
      <c r="A1407" s="1">
        <v>1.0</v>
      </c>
      <c r="B1407" s="1">
        <v>4.0</v>
      </c>
      <c r="C1407" s="1">
        <v>1.0</v>
      </c>
      <c r="D1407" s="1">
        <v>-4.0</v>
      </c>
      <c r="E1407" s="1">
        <v>1.0</v>
      </c>
      <c r="F1407" s="1">
        <v>0.0</v>
      </c>
      <c r="G1407" s="2">
        <v>0.0</v>
      </c>
      <c r="H1407" s="1" t="s">
        <v>29</v>
      </c>
      <c r="I1407" s="1" t="str">
        <f>IFERROR(__xludf.DUMMYFUNCTION("REGEXREPLACE(MID(H1407, SEARCH(""["", H1407) + 1, SEARCH(""]"", H1407) - SEARCH(""["", H1407) - 1), ""\[\]"","""")"),"Arcadia 1")</f>
        <v>Arcadia 1</v>
      </c>
      <c r="J1407" s="1">
        <v>-4.0</v>
      </c>
      <c r="K1407" s="1">
        <v>1.0</v>
      </c>
    </row>
    <row r="1408">
      <c r="A1408" s="1">
        <v>1.0</v>
      </c>
      <c r="B1408" s="1">
        <v>4.0</v>
      </c>
      <c r="C1408" s="1">
        <v>4.0</v>
      </c>
      <c r="D1408" s="1">
        <v>12.0</v>
      </c>
      <c r="E1408" s="1">
        <v>0.0</v>
      </c>
      <c r="F1408" s="1">
        <v>0.0</v>
      </c>
      <c r="G1408" s="2">
        <v>0.75</v>
      </c>
      <c r="H1408" s="1" t="s">
        <v>29</v>
      </c>
      <c r="I1408" s="1" t="str">
        <f>IFERROR(__xludf.DUMMYFUNCTION("REGEXREPLACE(MID(H1408, SEARCH(""["", H1408) + 1, SEARCH(""]"", H1408) - SEARCH(""["", H1408) - 1), ""\[\]"","""")"),"Arcadia 1")</f>
        <v>Arcadia 1</v>
      </c>
      <c r="J1408" s="1">
        <v>12.0</v>
      </c>
      <c r="K1408" s="1">
        <v>0.0</v>
      </c>
    </row>
    <row r="1409">
      <c r="A1409" s="1">
        <v>2.0</v>
      </c>
      <c r="B1409" s="1">
        <v>8.0</v>
      </c>
      <c r="C1409" s="1">
        <v>1.0</v>
      </c>
      <c r="D1409" s="1">
        <v>2.0</v>
      </c>
      <c r="E1409" s="1">
        <v>0.0</v>
      </c>
      <c r="F1409" s="1">
        <v>0.0</v>
      </c>
      <c r="G1409" s="2">
        <v>1.0</v>
      </c>
      <c r="H1409" s="1" t="s">
        <v>38</v>
      </c>
      <c r="I1409" s="1" t="str">
        <f>IFERROR(__xludf.DUMMYFUNCTION("REGEXREPLACE(MID(H1409, SEARCH(""["", H1409) + 1, SEARCH(""]"", H1409) - SEARCH(""["", H1409) - 1), ""\[\]"","""")"),"Arcadia 1")</f>
        <v>Arcadia 1</v>
      </c>
      <c r="J1409" s="1">
        <v>4.0</v>
      </c>
      <c r="K1409" s="1">
        <v>0.0</v>
      </c>
    </row>
    <row r="1410">
      <c r="A1410" s="1">
        <v>1.0</v>
      </c>
      <c r="B1410" s="1">
        <v>4.0</v>
      </c>
      <c r="C1410" s="1">
        <v>0.0</v>
      </c>
      <c r="D1410" s="1">
        <v>0.0</v>
      </c>
      <c r="E1410" s="1">
        <v>0.0</v>
      </c>
      <c r="F1410" s="1">
        <v>0.0</v>
      </c>
      <c r="G1410" s="2">
        <v>0.0</v>
      </c>
      <c r="H1410" s="1" t="s">
        <v>38</v>
      </c>
      <c r="I1410" s="1" t="str">
        <f>IFERROR(__xludf.DUMMYFUNCTION("REGEXREPLACE(MID(H1410, SEARCH(""["", H1410) + 1, SEARCH(""]"", H1410) - SEARCH(""["", H1410) - 1), ""\[\]"","""")"),"Arcadia 1")</f>
        <v>Arcadia 1</v>
      </c>
      <c r="J1410" s="1">
        <v>0.0</v>
      </c>
      <c r="K1410" s="1">
        <v>0.0</v>
      </c>
    </row>
    <row r="1411">
      <c r="A1411" s="1">
        <v>3.0</v>
      </c>
      <c r="B1411" s="1">
        <v>12.0</v>
      </c>
      <c r="C1411" s="1">
        <v>3.0</v>
      </c>
      <c r="D1411" s="1">
        <v>0.0</v>
      </c>
      <c r="E1411" s="1">
        <v>0.33</v>
      </c>
      <c r="F1411" s="1">
        <v>0.0</v>
      </c>
      <c r="G1411" s="6">
        <v>0.333</v>
      </c>
      <c r="H1411" s="1" t="s">
        <v>40</v>
      </c>
      <c r="I1411" s="1" t="str">
        <f>IFERROR(__xludf.DUMMYFUNCTION("REGEXREPLACE(MID(H1411, SEARCH(""["", H1411) + 1, SEARCH(""]"", H1411) - SEARCH(""["", H1411) - 1), ""\[\]"","""")"),"Arcadia 1")</f>
        <v>Arcadia 1</v>
      </c>
      <c r="J1411" s="1">
        <v>0.0</v>
      </c>
      <c r="K1411" s="1">
        <v>1.0</v>
      </c>
    </row>
    <row r="1412">
      <c r="A1412" s="1">
        <v>1.0</v>
      </c>
      <c r="B1412" s="1">
        <v>4.0</v>
      </c>
      <c r="C1412" s="1">
        <v>1.0</v>
      </c>
      <c r="D1412" s="1">
        <v>4.0</v>
      </c>
      <c r="E1412" s="1">
        <v>0.0</v>
      </c>
      <c r="F1412" s="1">
        <v>0.0</v>
      </c>
      <c r="G1412" s="2">
        <v>1.0</v>
      </c>
      <c r="H1412" s="1" t="s">
        <v>40</v>
      </c>
      <c r="I1412" s="1" t="str">
        <f>IFERROR(__xludf.DUMMYFUNCTION("REGEXREPLACE(MID(H1412, SEARCH(""["", H1412) + 1, SEARCH(""]"", H1412) - SEARCH(""["", H1412) - 1), ""\[\]"","""")"),"Arcadia 1")</f>
        <v>Arcadia 1</v>
      </c>
      <c r="J1412" s="1">
        <v>4.0</v>
      </c>
      <c r="K1412" s="1">
        <v>0.0</v>
      </c>
    </row>
    <row r="1413">
      <c r="A1413" s="1">
        <v>1.0</v>
      </c>
      <c r="B1413" s="1">
        <v>4.0</v>
      </c>
      <c r="C1413" s="1">
        <v>0.0</v>
      </c>
      <c r="D1413" s="1">
        <v>0.0</v>
      </c>
      <c r="E1413" s="1">
        <v>0.0</v>
      </c>
      <c r="F1413" s="1">
        <v>0.0</v>
      </c>
      <c r="G1413" s="2">
        <v>0.0</v>
      </c>
      <c r="H1413" s="1" t="s">
        <v>40</v>
      </c>
      <c r="I1413" s="1" t="str">
        <f>IFERROR(__xludf.DUMMYFUNCTION("REGEXREPLACE(MID(H1413, SEARCH(""["", H1413) + 1, SEARCH(""]"", H1413) - SEARCH(""["", H1413) - 1), ""\[\]"","""")"),"Arcadia 1")</f>
        <v>Arcadia 1</v>
      </c>
      <c r="J1413" s="1">
        <v>0.0</v>
      </c>
      <c r="K1413" s="1">
        <v>0.0</v>
      </c>
    </row>
    <row r="1414">
      <c r="A1414" s="1">
        <v>3.0</v>
      </c>
      <c r="B1414" s="1">
        <v>12.0</v>
      </c>
      <c r="C1414" s="1">
        <v>0.0</v>
      </c>
      <c r="D1414" s="1">
        <v>0.0</v>
      </c>
      <c r="E1414" s="1">
        <v>0.0</v>
      </c>
      <c r="F1414" s="1">
        <v>0.0</v>
      </c>
      <c r="G1414" s="2">
        <v>0.0</v>
      </c>
      <c r="H1414" s="1" t="s">
        <v>46</v>
      </c>
      <c r="I1414" s="1" t="str">
        <f>IFERROR(__xludf.DUMMYFUNCTION("REGEXREPLACE(MID(H1414, SEARCH(""["", H1414) + 1, SEARCH(""]"", H1414) - SEARCH(""["", H1414) - 1), ""\[\]"","""")"),"Arcadia 1")</f>
        <v>Arcadia 1</v>
      </c>
      <c r="J1414" s="1">
        <v>0.0</v>
      </c>
      <c r="K1414" s="1">
        <v>0.0</v>
      </c>
    </row>
    <row r="1415">
      <c r="A1415" s="1">
        <v>1.0</v>
      </c>
      <c r="B1415" s="1">
        <v>4.0</v>
      </c>
      <c r="C1415" s="1">
        <v>1.0</v>
      </c>
      <c r="D1415" s="1">
        <v>0.0</v>
      </c>
      <c r="E1415" s="1">
        <v>0.0</v>
      </c>
      <c r="F1415" s="1">
        <v>0.0</v>
      </c>
      <c r="G1415" s="2">
        <v>0.0</v>
      </c>
      <c r="H1415" s="1" t="s">
        <v>46</v>
      </c>
      <c r="I1415" s="1" t="str">
        <f>IFERROR(__xludf.DUMMYFUNCTION("REGEXREPLACE(MID(H1415, SEARCH(""["", H1415) + 1, SEARCH(""]"", H1415) - SEARCH(""["", H1415) - 1), ""\[\]"","""")"),"Arcadia 1")</f>
        <v>Arcadia 1</v>
      </c>
      <c r="J1415" s="1">
        <v>0.0</v>
      </c>
      <c r="K1415" s="1">
        <v>0.0</v>
      </c>
    </row>
    <row r="1416">
      <c r="A1416" s="1">
        <v>1.0</v>
      </c>
      <c r="B1416" s="1">
        <v>4.0</v>
      </c>
      <c r="C1416" s="1">
        <v>0.0</v>
      </c>
      <c r="D1416" s="1">
        <v>0.0</v>
      </c>
      <c r="E1416" s="1">
        <v>0.0</v>
      </c>
      <c r="F1416" s="1">
        <v>0.0</v>
      </c>
      <c r="G1416" s="2">
        <v>0.0</v>
      </c>
      <c r="H1416" s="1" t="s">
        <v>46</v>
      </c>
      <c r="I1416" s="1" t="str">
        <f>IFERROR(__xludf.DUMMYFUNCTION("REGEXREPLACE(MID(H1416, SEARCH(""["", H1416) + 1, SEARCH(""]"", H1416) - SEARCH(""["", H1416) - 1), ""\[\]"","""")"),"Arcadia 1")</f>
        <v>Arcadia 1</v>
      </c>
      <c r="J1416" s="1">
        <v>0.0</v>
      </c>
      <c r="K1416" s="1">
        <v>0.0</v>
      </c>
    </row>
    <row r="1417">
      <c r="A1417" s="1">
        <v>4.0</v>
      </c>
      <c r="B1417" s="1">
        <v>16.0</v>
      </c>
      <c r="C1417" s="1">
        <v>1.0</v>
      </c>
      <c r="D1417" s="1">
        <v>1.0</v>
      </c>
      <c r="E1417" s="1">
        <v>0.0</v>
      </c>
      <c r="F1417" s="1">
        <v>0.0</v>
      </c>
      <c r="G1417" s="2">
        <v>1.0</v>
      </c>
      <c r="H1417" s="1" t="s">
        <v>51</v>
      </c>
      <c r="I1417" s="1" t="str">
        <f>IFERROR(__xludf.DUMMYFUNCTION("REGEXREPLACE(MID(H1417, SEARCH(""["", H1417) + 1, SEARCH(""]"", H1417) - SEARCH(""["", H1417) - 1), ""\[\]"","""")"),"Arcadia 2")</f>
        <v>Arcadia 2</v>
      </c>
      <c r="J1417" s="1">
        <v>4.0</v>
      </c>
      <c r="K1417" s="1">
        <v>0.0</v>
      </c>
    </row>
    <row r="1418">
      <c r="A1418" s="1">
        <v>5.0</v>
      </c>
      <c r="B1418" s="1">
        <v>19.0</v>
      </c>
      <c r="C1418" s="1">
        <v>5.0</v>
      </c>
      <c r="D1418" s="1">
        <v>1.6</v>
      </c>
      <c r="E1418" s="1">
        <v>0.2</v>
      </c>
      <c r="F1418" s="1">
        <v>0.0</v>
      </c>
      <c r="G1418" s="2">
        <v>0.6</v>
      </c>
      <c r="H1418" s="1" t="s">
        <v>54</v>
      </c>
      <c r="I1418" s="1" t="str">
        <f>IFERROR(__xludf.DUMMYFUNCTION("REGEXREPLACE(MID(H1418, SEARCH(""["", H1418) + 1, SEARCH(""]"", H1418) - SEARCH(""["", H1418) - 1), ""\[\]"","""")"),"Arcadia 2")</f>
        <v>Arcadia 2</v>
      </c>
      <c r="J1418" s="1">
        <v>8.0</v>
      </c>
      <c r="K1418" s="1">
        <v>1.0</v>
      </c>
    </row>
    <row r="1419">
      <c r="A1419" s="1">
        <v>1.0</v>
      </c>
      <c r="B1419" s="1">
        <v>3.0</v>
      </c>
      <c r="C1419" s="1">
        <v>0.0</v>
      </c>
      <c r="D1419" s="1">
        <v>0.0</v>
      </c>
      <c r="E1419" s="1">
        <v>0.0</v>
      </c>
      <c r="F1419" s="1">
        <v>0.0</v>
      </c>
      <c r="G1419" s="2">
        <v>0.0</v>
      </c>
      <c r="H1419" s="1" t="s">
        <v>55</v>
      </c>
      <c r="I1419" s="1" t="str">
        <f>IFERROR(__xludf.DUMMYFUNCTION("REGEXREPLACE(MID(H1419, SEARCH(""["", H1419) + 1, SEARCH(""]"", H1419) - SEARCH(""["", H1419) - 1), ""\[\]"","""")"),"Arcadia 2")</f>
        <v>Arcadia 2</v>
      </c>
      <c r="J1419" s="1">
        <v>0.0</v>
      </c>
      <c r="K1419" s="1">
        <v>0.0</v>
      </c>
    </row>
    <row r="1420">
      <c r="A1420" s="1">
        <v>1.0</v>
      </c>
      <c r="B1420" s="1">
        <v>4.0</v>
      </c>
      <c r="C1420" s="1">
        <v>0.0</v>
      </c>
      <c r="D1420" s="1">
        <v>0.0</v>
      </c>
      <c r="E1420" s="1">
        <v>0.0</v>
      </c>
      <c r="F1420" s="1">
        <v>0.0</v>
      </c>
      <c r="G1420" s="2">
        <v>0.0</v>
      </c>
      <c r="H1420" s="1" t="s">
        <v>55</v>
      </c>
      <c r="I1420" s="1" t="str">
        <f>IFERROR(__xludf.DUMMYFUNCTION("REGEXREPLACE(MID(H1420, SEARCH(""["", H1420) + 1, SEARCH(""]"", H1420) - SEARCH(""["", H1420) - 1), ""\[\]"","""")"),"Arcadia 2")</f>
        <v>Arcadia 2</v>
      </c>
      <c r="J1420" s="1">
        <v>0.0</v>
      </c>
      <c r="K1420" s="1">
        <v>0.0</v>
      </c>
    </row>
    <row r="1421">
      <c r="A1421" s="1">
        <v>5.0</v>
      </c>
      <c r="B1421" s="1">
        <v>19.0</v>
      </c>
      <c r="C1421" s="1">
        <v>0.0</v>
      </c>
      <c r="D1421" s="1">
        <v>0.0</v>
      </c>
      <c r="E1421" s="1">
        <v>0.0</v>
      </c>
      <c r="F1421" s="1">
        <v>0.0</v>
      </c>
      <c r="G1421" s="2">
        <v>0.0</v>
      </c>
      <c r="H1421" s="1" t="s">
        <v>59</v>
      </c>
      <c r="I1421" s="1" t="str">
        <f>IFERROR(__xludf.DUMMYFUNCTION("REGEXREPLACE(MID(H1421, SEARCH(""["", H1421) + 1, SEARCH(""]"", H1421) - SEARCH(""["", H1421) - 1), ""\[\]"","""")"),"Arcadia 2")</f>
        <v>Arcadia 2</v>
      </c>
      <c r="J1421" s="1">
        <v>0.0</v>
      </c>
      <c r="K1421" s="1">
        <v>0.0</v>
      </c>
    </row>
    <row r="1422">
      <c r="A1422" s="1">
        <v>1.0</v>
      </c>
      <c r="B1422" s="1">
        <v>3.0</v>
      </c>
      <c r="C1422" s="1">
        <v>0.0</v>
      </c>
      <c r="D1422" s="1">
        <v>0.0</v>
      </c>
      <c r="E1422" s="1">
        <v>0.0</v>
      </c>
      <c r="F1422" s="1">
        <v>0.0</v>
      </c>
      <c r="G1422" s="2">
        <v>0.0</v>
      </c>
      <c r="H1422" s="1" t="s">
        <v>61</v>
      </c>
      <c r="I1422" s="1" t="str">
        <f>IFERROR(__xludf.DUMMYFUNCTION("REGEXREPLACE(MID(H1422, SEARCH(""["", H1422) + 1, SEARCH(""]"", H1422) - SEARCH(""["", H1422) - 1), ""\[\]"","""")"),"Arcadia 2")</f>
        <v>Arcadia 2</v>
      </c>
      <c r="J1422" s="1">
        <v>0.0</v>
      </c>
      <c r="K1422" s="1">
        <v>0.0</v>
      </c>
    </row>
    <row r="1423">
      <c r="A1423" s="1">
        <v>4.0</v>
      </c>
      <c r="B1423" s="1">
        <v>16.0</v>
      </c>
      <c r="C1423" s="1">
        <v>6.0</v>
      </c>
      <c r="D1423" s="1">
        <v>3.0</v>
      </c>
      <c r="E1423" s="1">
        <v>0.0</v>
      </c>
      <c r="F1423" s="1">
        <v>0.0</v>
      </c>
      <c r="G1423" s="2">
        <v>0.5</v>
      </c>
      <c r="H1423" s="1" t="s">
        <v>61</v>
      </c>
      <c r="I1423" s="1" t="str">
        <f>IFERROR(__xludf.DUMMYFUNCTION("REGEXREPLACE(MID(H1423, SEARCH(""["", H1423) + 1, SEARCH(""]"", H1423) - SEARCH(""["", H1423) - 1), ""\[\]"","""")"),"Arcadia 2")</f>
        <v>Arcadia 2</v>
      </c>
      <c r="J1423" s="1">
        <v>12.0</v>
      </c>
      <c r="K1423" s="1">
        <v>0.0</v>
      </c>
    </row>
    <row r="1424">
      <c r="A1424" s="1">
        <v>2.0</v>
      </c>
      <c r="B1424" s="1">
        <v>7.0</v>
      </c>
      <c r="C1424" s="1">
        <v>0.0</v>
      </c>
      <c r="D1424" s="1">
        <v>0.0</v>
      </c>
      <c r="E1424" s="1">
        <v>0.0</v>
      </c>
      <c r="F1424" s="1">
        <v>0.0</v>
      </c>
      <c r="G1424" s="2">
        <v>0.0</v>
      </c>
      <c r="H1424" s="1" t="s">
        <v>65</v>
      </c>
      <c r="I1424" s="1" t="str">
        <f>IFERROR(__xludf.DUMMYFUNCTION("REGEXREPLACE(MID(H1424, SEARCH(""["", H1424) + 1, SEARCH(""]"", H1424) - SEARCH(""["", H1424) - 1), ""\[\]"","""")"),"BISV 1")</f>
        <v>BISV 1</v>
      </c>
      <c r="J1424" s="1">
        <v>0.0</v>
      </c>
      <c r="K1424" s="1">
        <v>0.0</v>
      </c>
    </row>
    <row r="1425">
      <c r="A1425" s="1">
        <v>5.0</v>
      </c>
      <c r="B1425" s="1">
        <v>19.0</v>
      </c>
      <c r="C1425" s="1">
        <v>0.0</v>
      </c>
      <c r="D1425" s="1">
        <v>0.0</v>
      </c>
      <c r="E1425" s="1">
        <v>0.0</v>
      </c>
      <c r="F1425" s="1">
        <v>0.0</v>
      </c>
      <c r="G1425" s="2">
        <v>0.0</v>
      </c>
      <c r="H1425" s="1" t="s">
        <v>68</v>
      </c>
      <c r="I1425" s="1" t="str">
        <f>IFERROR(__xludf.DUMMYFUNCTION("REGEXREPLACE(MID(H1425, SEARCH(""["", H1425) + 1, SEARCH(""]"", H1425) - SEARCH(""["", H1425) - 1), ""\[\]"","""")"),"BISV 1")</f>
        <v>BISV 1</v>
      </c>
      <c r="J1425" s="1">
        <v>0.0</v>
      </c>
      <c r="K1425" s="1">
        <v>0.0</v>
      </c>
    </row>
    <row r="1426">
      <c r="A1426" s="1">
        <v>5.0</v>
      </c>
      <c r="B1426" s="1">
        <v>19.0</v>
      </c>
      <c r="C1426" s="1">
        <v>11.0</v>
      </c>
      <c r="D1426" s="1">
        <v>2.4</v>
      </c>
      <c r="E1426" s="1">
        <v>0.4</v>
      </c>
      <c r="F1426" s="1">
        <v>0.0</v>
      </c>
      <c r="G1426" s="6">
        <v>0.455</v>
      </c>
      <c r="H1426" s="1" t="s">
        <v>71</v>
      </c>
      <c r="I1426" s="1" t="str">
        <f>IFERROR(__xludf.DUMMYFUNCTION("REGEXREPLACE(MID(H1426, SEARCH(""["", H1426) + 1, SEARCH(""]"", H1426) - SEARCH(""["", H1426) - 1), ""\[\]"","""")"),"BISV 1")</f>
        <v>BISV 1</v>
      </c>
      <c r="J1426" s="1">
        <v>12.0</v>
      </c>
      <c r="K1426" s="1">
        <v>2.0</v>
      </c>
    </row>
    <row r="1427">
      <c r="A1427" s="1">
        <v>1.0</v>
      </c>
      <c r="B1427" s="1">
        <v>4.0</v>
      </c>
      <c r="C1427" s="1">
        <v>2.0</v>
      </c>
      <c r="D1427" s="1">
        <v>0.0</v>
      </c>
      <c r="E1427" s="1">
        <v>1.0</v>
      </c>
      <c r="F1427" s="1">
        <v>0.0</v>
      </c>
      <c r="G1427" s="2">
        <v>0.5</v>
      </c>
      <c r="H1427" s="1" t="s">
        <v>73</v>
      </c>
      <c r="I1427" s="1" t="str">
        <f>IFERROR(__xludf.DUMMYFUNCTION("REGEXREPLACE(MID(H1427, SEARCH(""["", H1427) + 1, SEARCH(""]"", H1427) - SEARCH(""["", H1427) - 1), ""\[\]"","""")"),"BISV 1")</f>
        <v>BISV 1</v>
      </c>
      <c r="J1427" s="1">
        <v>0.0</v>
      </c>
      <c r="K1427" s="1">
        <v>1.0</v>
      </c>
    </row>
    <row r="1428">
      <c r="A1428" s="1">
        <v>2.0</v>
      </c>
      <c r="B1428" s="1">
        <v>8.0</v>
      </c>
      <c r="C1428" s="1">
        <v>1.0</v>
      </c>
      <c r="D1428" s="1">
        <v>2.0</v>
      </c>
      <c r="E1428" s="1">
        <v>0.0</v>
      </c>
      <c r="F1428" s="1">
        <v>0.0</v>
      </c>
      <c r="G1428" s="2">
        <v>1.0</v>
      </c>
      <c r="H1428" s="1" t="s">
        <v>73</v>
      </c>
      <c r="I1428" s="1" t="str">
        <f>IFERROR(__xludf.DUMMYFUNCTION("REGEXREPLACE(MID(H1428, SEARCH(""["", H1428) + 1, SEARCH(""]"", H1428) - SEARCH(""["", H1428) - 1), ""\[\]"","""")"),"BISV 1")</f>
        <v>BISV 1</v>
      </c>
      <c r="J1428" s="1">
        <v>4.0</v>
      </c>
      <c r="K1428" s="1">
        <v>0.0</v>
      </c>
    </row>
    <row r="1429">
      <c r="A1429" s="1">
        <v>1.0</v>
      </c>
      <c r="B1429" s="1">
        <v>4.0</v>
      </c>
      <c r="C1429" s="1">
        <v>1.0</v>
      </c>
      <c r="D1429" s="1">
        <v>4.0</v>
      </c>
      <c r="E1429" s="1">
        <v>0.0</v>
      </c>
      <c r="F1429" s="1">
        <v>0.0</v>
      </c>
      <c r="G1429" s="2">
        <v>1.0</v>
      </c>
      <c r="H1429" s="1" t="s">
        <v>75</v>
      </c>
      <c r="I1429" s="1" t="str">
        <f>IFERROR(__xludf.DUMMYFUNCTION("REGEXREPLACE(MID(H1429, SEARCH(""["", H1429) + 1, SEARCH(""]"", H1429) - SEARCH(""["", H1429) - 1), ""\[\]"","""")"),"BISV 2")</f>
        <v>BISV 2</v>
      </c>
      <c r="J1429" s="1">
        <v>4.0</v>
      </c>
      <c r="K1429" s="1">
        <v>0.0</v>
      </c>
    </row>
    <row r="1430">
      <c r="A1430" s="1">
        <v>4.0</v>
      </c>
      <c r="B1430" s="1">
        <v>14.0</v>
      </c>
      <c r="C1430" s="1">
        <v>5.0</v>
      </c>
      <c r="D1430" s="1">
        <v>1.0</v>
      </c>
      <c r="E1430" s="1">
        <v>0.0</v>
      </c>
      <c r="F1430" s="1">
        <v>0.0</v>
      </c>
      <c r="G1430" s="2">
        <v>0.2</v>
      </c>
      <c r="H1430" s="1" t="s">
        <v>75</v>
      </c>
      <c r="I1430" s="1" t="str">
        <f>IFERROR(__xludf.DUMMYFUNCTION("REGEXREPLACE(MID(H1430, SEARCH(""["", H1430) + 1, SEARCH(""]"", H1430) - SEARCH(""["", H1430) - 1), ""\[\]"","""")"),"BISV 2")</f>
        <v>BISV 2</v>
      </c>
      <c r="J1430" s="1">
        <v>4.0</v>
      </c>
      <c r="K1430" s="1">
        <v>0.0</v>
      </c>
    </row>
    <row r="1431">
      <c r="A1431" s="1">
        <v>1.0</v>
      </c>
      <c r="B1431" s="1">
        <v>4.0</v>
      </c>
      <c r="C1431" s="1">
        <v>0.0</v>
      </c>
      <c r="D1431" s="1">
        <v>0.0</v>
      </c>
      <c r="E1431" s="1">
        <v>0.0</v>
      </c>
      <c r="F1431" s="1">
        <v>0.0</v>
      </c>
      <c r="G1431" s="2">
        <v>0.0</v>
      </c>
      <c r="H1431" s="1" t="s">
        <v>79</v>
      </c>
      <c r="I1431" s="1" t="str">
        <f>IFERROR(__xludf.DUMMYFUNCTION("REGEXREPLACE(MID(H1431, SEARCH(""["", H1431) + 1, SEARCH(""]"", H1431) - SEARCH(""["", H1431) - 1), ""\[\]"","""")"),"BISV 2")</f>
        <v>BISV 2</v>
      </c>
      <c r="J1431" s="1">
        <v>0.0</v>
      </c>
      <c r="K1431" s="1">
        <v>0.0</v>
      </c>
    </row>
    <row r="1432">
      <c r="A1432" s="1">
        <v>2.0</v>
      </c>
      <c r="B1432" s="1">
        <v>7.0</v>
      </c>
      <c r="C1432" s="1">
        <v>1.0</v>
      </c>
      <c r="D1432" s="1">
        <v>2.0</v>
      </c>
      <c r="E1432" s="1">
        <v>0.0</v>
      </c>
      <c r="F1432" s="1">
        <v>0.0</v>
      </c>
      <c r="G1432" s="2">
        <v>1.0</v>
      </c>
      <c r="H1432" s="1" t="s">
        <v>79</v>
      </c>
      <c r="I1432" s="1" t="str">
        <f>IFERROR(__xludf.DUMMYFUNCTION("REGEXREPLACE(MID(H1432, SEARCH(""["", H1432) + 1, SEARCH(""]"", H1432) - SEARCH(""["", H1432) - 1), ""\[\]"","""")"),"BISV 2")</f>
        <v>BISV 2</v>
      </c>
      <c r="J1432" s="1">
        <v>4.0</v>
      </c>
      <c r="K1432" s="1">
        <v>0.0</v>
      </c>
    </row>
    <row r="1433">
      <c r="A1433" s="1">
        <v>1.0</v>
      </c>
      <c r="B1433" s="1">
        <v>3.0</v>
      </c>
      <c r="C1433" s="1">
        <v>1.0</v>
      </c>
      <c r="D1433" s="1">
        <v>4.0</v>
      </c>
      <c r="E1433" s="1">
        <v>0.0</v>
      </c>
      <c r="F1433" s="1">
        <v>0.0</v>
      </c>
      <c r="G1433" s="2">
        <v>1.0</v>
      </c>
      <c r="H1433" s="1" t="s">
        <v>79</v>
      </c>
      <c r="I1433" s="1" t="str">
        <f>IFERROR(__xludf.DUMMYFUNCTION("REGEXREPLACE(MID(H1433, SEARCH(""["", H1433) + 1, SEARCH(""]"", H1433) - SEARCH(""["", H1433) - 1), ""\[\]"","""")"),"BISV 2")</f>
        <v>BISV 2</v>
      </c>
      <c r="J1433" s="1">
        <v>4.0</v>
      </c>
      <c r="K1433" s="1">
        <v>0.0</v>
      </c>
    </row>
    <row r="1434">
      <c r="A1434" s="1">
        <v>1.0</v>
      </c>
      <c r="B1434" s="1">
        <v>4.0</v>
      </c>
      <c r="C1434" s="1">
        <v>1.0</v>
      </c>
      <c r="D1434" s="1">
        <v>4.0</v>
      </c>
      <c r="E1434" s="1">
        <v>0.0</v>
      </c>
      <c r="F1434" s="1">
        <v>0.0</v>
      </c>
      <c r="G1434" s="2">
        <v>1.0</v>
      </c>
      <c r="H1434" s="1" t="s">
        <v>79</v>
      </c>
      <c r="I1434" s="1" t="str">
        <f>IFERROR(__xludf.DUMMYFUNCTION("REGEXREPLACE(MID(H1434, SEARCH(""["", H1434) + 1, SEARCH(""]"", H1434) - SEARCH(""["", H1434) - 1), ""\[\]"","""")"),"BISV 2")</f>
        <v>BISV 2</v>
      </c>
      <c r="J1434" s="1">
        <v>4.0</v>
      </c>
      <c r="K1434" s="1">
        <v>0.0</v>
      </c>
    </row>
    <row r="1435">
      <c r="A1435" s="1">
        <v>1.0</v>
      </c>
      <c r="B1435" s="1">
        <v>4.0</v>
      </c>
      <c r="C1435" s="1">
        <v>1.0</v>
      </c>
      <c r="D1435" s="1">
        <v>4.0</v>
      </c>
      <c r="E1435" s="1">
        <v>0.0</v>
      </c>
      <c r="F1435" s="1">
        <v>0.0</v>
      </c>
      <c r="G1435" s="2">
        <v>1.0</v>
      </c>
      <c r="H1435" s="1" t="s">
        <v>85</v>
      </c>
      <c r="I1435" s="1" t="str">
        <f>IFERROR(__xludf.DUMMYFUNCTION("REGEXREPLACE(MID(H1435, SEARCH(""["", H1435) + 1, SEARCH(""]"", H1435) - SEARCH(""["", H1435) - 1), ""\[\]"","""")"),"BISV 2")</f>
        <v>BISV 2</v>
      </c>
      <c r="J1435" s="1">
        <v>4.0</v>
      </c>
      <c r="K1435" s="1">
        <v>0.0</v>
      </c>
    </row>
    <row r="1436">
      <c r="A1436" s="1">
        <v>1.0</v>
      </c>
      <c r="B1436" s="1">
        <v>4.0</v>
      </c>
      <c r="C1436" s="1">
        <v>0.0</v>
      </c>
      <c r="D1436" s="1">
        <v>0.0</v>
      </c>
      <c r="E1436" s="1">
        <v>0.0</v>
      </c>
      <c r="F1436" s="1">
        <v>0.0</v>
      </c>
      <c r="G1436" s="2">
        <v>0.0</v>
      </c>
      <c r="H1436" s="1" t="s">
        <v>88</v>
      </c>
      <c r="I1436" s="1" t="str">
        <f>IFERROR(__xludf.DUMMYFUNCTION("REGEXREPLACE(MID(H1436, SEARCH(""["", H1436) + 1, SEARCH(""]"", H1436) - SEARCH(""["", H1436) - 1), ""\[\]"","""")"),"BISV 2")</f>
        <v>BISV 2</v>
      </c>
      <c r="J1436" s="1">
        <v>0.0</v>
      </c>
      <c r="K1436" s="1">
        <v>0.0</v>
      </c>
    </row>
    <row r="1437">
      <c r="A1437" s="1">
        <v>2.0</v>
      </c>
      <c r="B1437" s="1">
        <v>6.0</v>
      </c>
      <c r="C1437" s="1">
        <v>0.0</v>
      </c>
      <c r="D1437" s="1">
        <v>0.0</v>
      </c>
      <c r="E1437" s="1">
        <v>0.0</v>
      </c>
      <c r="F1437" s="1">
        <v>0.0</v>
      </c>
      <c r="G1437" s="2">
        <v>0.0</v>
      </c>
      <c r="H1437" s="1" t="s">
        <v>88</v>
      </c>
      <c r="I1437" s="1" t="str">
        <f>IFERROR(__xludf.DUMMYFUNCTION("REGEXREPLACE(MID(H1437, SEARCH(""["", H1437) + 1, SEARCH(""]"", H1437) - SEARCH(""["", H1437) - 1), ""\[\]"","""")"),"BISV 2")</f>
        <v>BISV 2</v>
      </c>
      <c r="J1437" s="1">
        <v>0.0</v>
      </c>
      <c r="K1437" s="1">
        <v>0.0</v>
      </c>
    </row>
    <row r="1438">
      <c r="A1438" s="1">
        <v>1.0</v>
      </c>
      <c r="B1438" s="1">
        <v>4.0</v>
      </c>
      <c r="C1438" s="1">
        <v>2.0</v>
      </c>
      <c r="D1438" s="1">
        <v>8.0</v>
      </c>
      <c r="E1438" s="1">
        <v>0.0</v>
      </c>
      <c r="F1438" s="1">
        <v>0.0</v>
      </c>
      <c r="G1438" s="2">
        <v>1.0</v>
      </c>
      <c r="H1438" s="1" t="s">
        <v>76</v>
      </c>
      <c r="I1438" s="1" t="str">
        <f>IFERROR(__xludf.DUMMYFUNCTION("REGEXREPLACE(MID(H1438, SEARCH(""["", H1438) + 1, SEARCH(""]"", H1438) - SEARCH(""["", H1438) - 1), ""\[\]"","""")"),"BISV 2")</f>
        <v>BISV 2</v>
      </c>
      <c r="J1438" s="1">
        <v>8.0</v>
      </c>
      <c r="K1438" s="1">
        <v>0.0</v>
      </c>
    </row>
    <row r="1439">
      <c r="A1439" s="1">
        <v>4.0</v>
      </c>
      <c r="B1439" s="1">
        <v>15.0</v>
      </c>
      <c r="C1439" s="1">
        <v>6.0</v>
      </c>
      <c r="D1439" s="1">
        <v>0.0</v>
      </c>
      <c r="E1439" s="1">
        <v>0.5</v>
      </c>
      <c r="F1439" s="1">
        <v>0.0</v>
      </c>
      <c r="G1439" s="6">
        <v>0.333</v>
      </c>
      <c r="H1439" s="1" t="s">
        <v>92</v>
      </c>
      <c r="I1439" s="1" t="str">
        <f>IFERROR(__xludf.DUMMYFUNCTION("REGEXREPLACE(MID(H1439, SEARCH(""["", H1439) + 1, SEARCH(""]"", H1439) - SEARCH(""["", H1439) - 1), ""\[\]"","""")"),"Blair")</f>
        <v>Blair</v>
      </c>
      <c r="J1439" s="1">
        <v>0.0</v>
      </c>
      <c r="K1439" s="1">
        <v>2.0</v>
      </c>
    </row>
    <row r="1440">
      <c r="A1440" s="1">
        <v>3.0</v>
      </c>
      <c r="B1440" s="1">
        <v>12.0</v>
      </c>
      <c r="C1440" s="1">
        <v>6.0</v>
      </c>
      <c r="D1440" s="1">
        <v>2.67</v>
      </c>
      <c r="E1440" s="1">
        <v>0.33</v>
      </c>
      <c r="F1440" s="1">
        <v>0.0</v>
      </c>
      <c r="G1440" s="2">
        <v>0.5</v>
      </c>
      <c r="H1440" s="1" t="s">
        <v>94</v>
      </c>
      <c r="I1440" s="1" t="str">
        <f>IFERROR(__xludf.DUMMYFUNCTION("REGEXREPLACE(MID(H1440, SEARCH(""["", H1440) + 1, SEARCH(""]"", H1440) - SEARCH(""["", H1440) - 1), ""\[\]"","""")"),"Blair")</f>
        <v>Blair</v>
      </c>
      <c r="J1440" s="1">
        <v>8.0</v>
      </c>
      <c r="K1440" s="1">
        <v>1.0</v>
      </c>
    </row>
    <row r="1441">
      <c r="A1441" s="1">
        <v>4.0</v>
      </c>
      <c r="B1441" s="1">
        <v>15.0</v>
      </c>
      <c r="C1441" s="1">
        <v>2.0</v>
      </c>
      <c r="D1441" s="1">
        <v>2.0</v>
      </c>
      <c r="E1441" s="1">
        <v>0.0</v>
      </c>
      <c r="F1441" s="1">
        <v>0.0</v>
      </c>
      <c r="G1441" s="2">
        <v>1.0</v>
      </c>
      <c r="H1441" s="1" t="s">
        <v>96</v>
      </c>
      <c r="I1441" s="1" t="str">
        <f>IFERROR(__xludf.DUMMYFUNCTION("REGEXREPLACE(MID(H1441, SEARCH(""["", H1441) + 1, SEARCH(""]"", H1441) - SEARCH(""["", H1441) - 1), ""\[\]"","""")"),"Blair")</f>
        <v>Blair</v>
      </c>
      <c r="J1441" s="1">
        <v>8.0</v>
      </c>
      <c r="K1441" s="1">
        <v>0.0</v>
      </c>
    </row>
    <row r="1442">
      <c r="A1442" s="1">
        <v>1.0</v>
      </c>
      <c r="B1442" s="1">
        <v>4.0</v>
      </c>
      <c r="C1442" s="1">
        <v>0.0</v>
      </c>
      <c r="D1442" s="1">
        <v>0.0</v>
      </c>
      <c r="E1442" s="1">
        <v>0.0</v>
      </c>
      <c r="F1442" s="1">
        <v>0.0</v>
      </c>
      <c r="G1442" s="2">
        <v>0.0</v>
      </c>
      <c r="H1442" s="1" t="s">
        <v>96</v>
      </c>
      <c r="I1442" s="1" t="str">
        <f>IFERROR(__xludf.DUMMYFUNCTION("REGEXREPLACE(MID(H1442, SEARCH(""["", H1442) + 1, SEARCH(""]"", H1442) - SEARCH(""["", H1442) - 1), ""\[\]"","""")"),"Blair")</f>
        <v>Blair</v>
      </c>
      <c r="J1442" s="1">
        <v>0.0</v>
      </c>
      <c r="K1442" s="1">
        <v>0.0</v>
      </c>
    </row>
    <row r="1443">
      <c r="A1443" s="1">
        <v>5.0</v>
      </c>
      <c r="B1443" s="1">
        <v>19.0</v>
      </c>
      <c r="C1443" s="1">
        <v>3.0</v>
      </c>
      <c r="D1443" s="1">
        <v>2.4</v>
      </c>
      <c r="E1443" s="1">
        <v>0.0</v>
      </c>
      <c r="F1443" s="1">
        <v>0.0</v>
      </c>
      <c r="G1443" s="2">
        <v>1.0</v>
      </c>
      <c r="H1443" s="1" t="s">
        <v>90</v>
      </c>
      <c r="I1443" s="1" t="str">
        <f>IFERROR(__xludf.DUMMYFUNCTION("REGEXREPLACE(MID(H1443, SEARCH(""["", H1443) + 1, SEARCH(""]"", H1443) - SEARCH(""["", H1443) - 1), ""\[\]"","""")"),"Blair")</f>
        <v>Blair</v>
      </c>
      <c r="J1443" s="1">
        <v>12.0</v>
      </c>
      <c r="K1443" s="1">
        <v>0.0</v>
      </c>
    </row>
    <row r="1444">
      <c r="A1444" s="1">
        <v>4.0</v>
      </c>
      <c r="B1444" s="1">
        <v>15.0</v>
      </c>
      <c r="C1444" s="1">
        <v>1.0</v>
      </c>
      <c r="D1444" s="1">
        <v>-1.0</v>
      </c>
      <c r="E1444" s="1">
        <v>0.25</v>
      </c>
      <c r="F1444" s="1">
        <v>0.0</v>
      </c>
      <c r="G1444" s="2">
        <v>0.0</v>
      </c>
      <c r="H1444" s="1" t="s">
        <v>100</v>
      </c>
      <c r="I1444" s="1" t="str">
        <f>IFERROR(__xludf.DUMMYFUNCTION("REGEXREPLACE(MID(H1444, SEARCH(""["", H1444) + 1, SEARCH(""]"", H1444) - SEARCH(""["", H1444) - 1), ""\[\]"","""")"),"Blair")</f>
        <v>Blair</v>
      </c>
      <c r="J1444" s="1">
        <v>-4.0</v>
      </c>
      <c r="K1444" s="1">
        <v>1.0</v>
      </c>
    </row>
    <row r="1445">
      <c r="A1445" s="1">
        <v>1.0</v>
      </c>
      <c r="B1445" s="1">
        <v>4.0</v>
      </c>
      <c r="C1445" s="1">
        <v>1.0</v>
      </c>
      <c r="D1445" s="1">
        <v>4.0</v>
      </c>
      <c r="E1445" s="1">
        <v>0.0</v>
      </c>
      <c r="F1445" s="1">
        <v>0.0</v>
      </c>
      <c r="G1445" s="2">
        <v>1.0</v>
      </c>
      <c r="H1445" s="1" t="s">
        <v>102</v>
      </c>
      <c r="I1445" s="1" t="str">
        <f>IFERROR(__xludf.DUMMYFUNCTION("REGEXREPLACE(MID(H1445, SEARCH(""["", H1445) + 1, SEARCH(""]"", H1445) - SEARCH(""["", H1445) - 1), ""\[\]"","""")"),"Bridgeland HS")</f>
        <v>Bridgeland HS</v>
      </c>
      <c r="J1445" s="1">
        <v>4.0</v>
      </c>
      <c r="K1445" s="1">
        <v>0.0</v>
      </c>
    </row>
    <row r="1446">
      <c r="A1446" s="1">
        <v>1.0</v>
      </c>
      <c r="B1446" s="1">
        <v>4.0</v>
      </c>
      <c r="C1446" s="1">
        <v>0.0</v>
      </c>
      <c r="D1446" s="1">
        <v>0.0</v>
      </c>
      <c r="E1446" s="1">
        <v>0.0</v>
      </c>
      <c r="F1446" s="1">
        <v>0.0</v>
      </c>
      <c r="G1446" s="2">
        <v>0.0</v>
      </c>
      <c r="H1446" s="1" t="s">
        <v>102</v>
      </c>
      <c r="I1446" s="1" t="str">
        <f>IFERROR(__xludf.DUMMYFUNCTION("REGEXREPLACE(MID(H1446, SEARCH(""["", H1446) + 1, SEARCH(""]"", H1446) - SEARCH(""["", H1446) - 1), ""\[\]"","""")"),"Bridgeland HS")</f>
        <v>Bridgeland HS</v>
      </c>
      <c r="J1446" s="1">
        <v>0.0</v>
      </c>
      <c r="K1446" s="1">
        <v>0.0</v>
      </c>
    </row>
    <row r="1447">
      <c r="A1447" s="1">
        <v>5.0</v>
      </c>
      <c r="B1447" s="1">
        <v>20.0</v>
      </c>
      <c r="C1447" s="1">
        <v>10.0</v>
      </c>
      <c r="D1447" s="1">
        <v>6.4</v>
      </c>
      <c r="E1447" s="1">
        <v>0.2</v>
      </c>
      <c r="F1447" s="1">
        <v>0.0</v>
      </c>
      <c r="G1447" s="2">
        <v>0.9</v>
      </c>
      <c r="H1447" s="1" t="s">
        <v>66</v>
      </c>
      <c r="I1447" s="1" t="str">
        <f>IFERROR(__xludf.DUMMYFUNCTION("REGEXREPLACE(MID(H1447, SEARCH(""["", H1447) + 1, SEARCH(""]"", H1447) - SEARCH(""["", H1447) - 1), ""\[\]"","""")"),"Bridgeland HS")</f>
        <v>Bridgeland HS</v>
      </c>
      <c r="J1447" s="1">
        <v>32.0</v>
      </c>
      <c r="K1447" s="1">
        <v>1.0</v>
      </c>
    </row>
    <row r="1448">
      <c r="A1448" s="1">
        <v>2.0</v>
      </c>
      <c r="B1448" s="1">
        <v>8.0</v>
      </c>
      <c r="C1448" s="1">
        <v>1.0</v>
      </c>
      <c r="D1448" s="1">
        <v>2.0</v>
      </c>
      <c r="E1448" s="1">
        <v>0.0</v>
      </c>
      <c r="F1448" s="1">
        <v>0.0</v>
      </c>
      <c r="G1448" s="2">
        <v>1.0</v>
      </c>
      <c r="H1448" s="1" t="s">
        <v>108</v>
      </c>
      <c r="I1448" s="1" t="str">
        <f>IFERROR(__xludf.DUMMYFUNCTION("REGEXREPLACE(MID(H1448, SEARCH(""["", H1448) + 1, SEARCH(""]"", H1448) - SEARCH(""["", H1448) - 1), ""\[\]"","""")"),"Bridgeland HS")</f>
        <v>Bridgeland HS</v>
      </c>
      <c r="J1448" s="1">
        <v>4.0</v>
      </c>
      <c r="K1448" s="1">
        <v>0.0</v>
      </c>
    </row>
    <row r="1449">
      <c r="A1449" s="1">
        <v>2.0</v>
      </c>
      <c r="B1449" s="1">
        <v>8.0</v>
      </c>
      <c r="C1449" s="1">
        <v>1.0</v>
      </c>
      <c r="D1449" s="1">
        <v>2.0</v>
      </c>
      <c r="E1449" s="1">
        <v>0.0</v>
      </c>
      <c r="F1449" s="1">
        <v>0.0</v>
      </c>
      <c r="G1449" s="2">
        <v>1.0</v>
      </c>
      <c r="H1449" s="1" t="s">
        <v>109</v>
      </c>
      <c r="I1449" s="1" t="str">
        <f>IFERROR(__xludf.DUMMYFUNCTION("REGEXREPLACE(MID(H1449, SEARCH(""["", H1449) + 1, SEARCH(""]"", H1449) - SEARCH(""["", H1449) - 1), ""\[\]"","""")"),"Bridgeland HS")</f>
        <v>Bridgeland HS</v>
      </c>
      <c r="J1449" s="1">
        <v>4.0</v>
      </c>
      <c r="K1449" s="1">
        <v>0.0</v>
      </c>
    </row>
    <row r="1450">
      <c r="A1450" s="1">
        <v>1.0</v>
      </c>
      <c r="B1450" s="1">
        <v>4.0</v>
      </c>
      <c r="C1450" s="1">
        <v>0.0</v>
      </c>
      <c r="D1450" s="1">
        <v>0.0</v>
      </c>
      <c r="E1450" s="1">
        <v>0.0</v>
      </c>
      <c r="F1450" s="1">
        <v>0.0</v>
      </c>
      <c r="G1450" s="2">
        <v>0.0</v>
      </c>
      <c r="H1450" s="1" t="s">
        <v>110</v>
      </c>
      <c r="I1450" s="1" t="str">
        <f>IFERROR(__xludf.DUMMYFUNCTION("REGEXREPLACE(MID(H1450, SEARCH(""["", H1450) + 1, SEARCH(""]"", H1450) - SEARCH(""["", H1450) - 1), ""\[\]"","""")"),"Bridgeland HS")</f>
        <v>Bridgeland HS</v>
      </c>
      <c r="J1450" s="1">
        <v>0.0</v>
      </c>
      <c r="K1450" s="1">
        <v>0.0</v>
      </c>
    </row>
    <row r="1451">
      <c r="A1451" s="1">
        <v>2.0</v>
      </c>
      <c r="B1451" s="1">
        <v>8.0</v>
      </c>
      <c r="C1451" s="1">
        <v>4.0</v>
      </c>
      <c r="D1451" s="1">
        <v>2.0</v>
      </c>
      <c r="E1451" s="1">
        <v>0.0</v>
      </c>
      <c r="F1451" s="1">
        <v>0.0</v>
      </c>
      <c r="G1451" s="2">
        <v>0.25</v>
      </c>
      <c r="H1451" s="1" t="s">
        <v>111</v>
      </c>
      <c r="I1451" s="1" t="str">
        <f>IFERROR(__xludf.DUMMYFUNCTION("REGEXREPLACE(MID(H1451, SEARCH(""["", H1451) + 1, SEARCH(""]"", H1451) - SEARCH(""["", H1451) - 1), ""\[\]"","""")"),"Camas Papermakers")</f>
        <v>Camas Papermakers</v>
      </c>
      <c r="J1451" s="1">
        <v>4.0</v>
      </c>
      <c r="K1451" s="1">
        <v>0.0</v>
      </c>
    </row>
    <row r="1452">
      <c r="A1452" s="1">
        <v>1.0</v>
      </c>
      <c r="B1452" s="1">
        <v>4.0</v>
      </c>
      <c r="C1452" s="1">
        <v>4.0</v>
      </c>
      <c r="D1452" s="1">
        <v>4.0</v>
      </c>
      <c r="E1452" s="1">
        <v>1.0</v>
      </c>
      <c r="F1452" s="1">
        <v>0.0</v>
      </c>
      <c r="G1452" s="2">
        <v>0.5</v>
      </c>
      <c r="H1452" s="1" t="s">
        <v>111</v>
      </c>
      <c r="I1452" s="1" t="str">
        <f>IFERROR(__xludf.DUMMYFUNCTION("REGEXREPLACE(MID(H1452, SEARCH(""["", H1452) + 1, SEARCH(""]"", H1452) - SEARCH(""["", H1452) - 1), ""\[\]"","""")"),"Camas Papermakers")</f>
        <v>Camas Papermakers</v>
      </c>
      <c r="J1452" s="1">
        <v>4.0</v>
      </c>
      <c r="K1452" s="1">
        <v>1.0</v>
      </c>
    </row>
    <row r="1453">
      <c r="A1453" s="1">
        <v>2.0</v>
      </c>
      <c r="B1453" s="1">
        <v>8.0</v>
      </c>
      <c r="C1453" s="1">
        <v>5.0</v>
      </c>
      <c r="D1453" s="1">
        <v>6.0</v>
      </c>
      <c r="E1453" s="1">
        <v>0.0</v>
      </c>
      <c r="F1453" s="1">
        <v>0.0</v>
      </c>
      <c r="G1453" s="2">
        <v>0.6</v>
      </c>
      <c r="H1453" s="1" t="s">
        <v>111</v>
      </c>
      <c r="I1453" s="1" t="str">
        <f>IFERROR(__xludf.DUMMYFUNCTION("REGEXREPLACE(MID(H1453, SEARCH(""["", H1453) + 1, SEARCH(""]"", H1453) - SEARCH(""["", H1453) - 1), ""\[\]"","""")"),"Camas Papermakers")</f>
        <v>Camas Papermakers</v>
      </c>
      <c r="J1453" s="1">
        <v>12.0</v>
      </c>
      <c r="K1453" s="1">
        <v>0.0</v>
      </c>
    </row>
    <row r="1454">
      <c r="A1454" s="1">
        <v>3.0</v>
      </c>
      <c r="B1454" s="1">
        <v>12.0</v>
      </c>
      <c r="C1454" s="1">
        <v>0.0</v>
      </c>
      <c r="D1454" s="1">
        <v>0.0</v>
      </c>
      <c r="E1454" s="1">
        <v>0.0</v>
      </c>
      <c r="F1454" s="1">
        <v>0.0</v>
      </c>
      <c r="G1454" s="2">
        <v>0.0</v>
      </c>
      <c r="H1454" s="1" t="s">
        <v>115</v>
      </c>
      <c r="I1454" s="1" t="str">
        <f>IFERROR(__xludf.DUMMYFUNCTION("REGEXREPLACE(MID(H1454, SEARCH(""["", H1454) + 1, SEARCH(""]"", H1454) - SEARCH(""["", H1454) - 1), ""\[\]"","""")"),"Camas Papermakers")</f>
        <v>Camas Papermakers</v>
      </c>
      <c r="J1454" s="1">
        <v>0.0</v>
      </c>
      <c r="K1454" s="1">
        <v>0.0</v>
      </c>
    </row>
    <row r="1455">
      <c r="A1455" s="1">
        <v>2.0</v>
      </c>
      <c r="B1455" s="1">
        <v>8.0</v>
      </c>
      <c r="C1455" s="1">
        <v>0.0</v>
      </c>
      <c r="D1455" s="1">
        <v>0.0</v>
      </c>
      <c r="E1455" s="1">
        <v>0.0</v>
      </c>
      <c r="F1455" s="1">
        <v>0.0</v>
      </c>
      <c r="G1455" s="2">
        <v>0.0</v>
      </c>
      <c r="H1455" s="1" t="s">
        <v>115</v>
      </c>
      <c r="I1455" s="1" t="str">
        <f>IFERROR(__xludf.DUMMYFUNCTION("REGEXREPLACE(MID(H1455, SEARCH(""["", H1455) + 1, SEARCH(""]"", H1455) - SEARCH(""["", H1455) - 1), ""\[\]"","""")"),"Camas Papermakers")</f>
        <v>Camas Papermakers</v>
      </c>
      <c r="J1455" s="1">
        <v>0.0</v>
      </c>
      <c r="K1455" s="1">
        <v>0.0</v>
      </c>
    </row>
    <row r="1456">
      <c r="A1456" s="1">
        <v>2.0</v>
      </c>
      <c r="B1456" s="1">
        <v>8.0</v>
      </c>
      <c r="C1456" s="1">
        <v>0.0</v>
      </c>
      <c r="D1456" s="1">
        <v>0.0</v>
      </c>
      <c r="E1456" s="1">
        <v>0.0</v>
      </c>
      <c r="F1456" s="1">
        <v>0.0</v>
      </c>
      <c r="G1456" s="2">
        <v>0.0</v>
      </c>
      <c r="H1456" s="1" t="s">
        <v>117</v>
      </c>
      <c r="I1456" s="1" t="str">
        <f>IFERROR(__xludf.DUMMYFUNCTION("REGEXREPLACE(MID(H1456, SEARCH(""["", H1456) + 1, SEARCH(""]"", H1456) - SEARCH(""["", H1456) - 1), ""\[\]"","""")"),"Camas Papermakers")</f>
        <v>Camas Papermakers</v>
      </c>
      <c r="J1456" s="1">
        <v>0.0</v>
      </c>
      <c r="K1456" s="1">
        <v>0.0</v>
      </c>
    </row>
    <row r="1457">
      <c r="A1457" s="1">
        <v>1.0</v>
      </c>
      <c r="B1457" s="1">
        <v>4.0</v>
      </c>
      <c r="C1457" s="1">
        <v>0.0</v>
      </c>
      <c r="D1457" s="1">
        <v>0.0</v>
      </c>
      <c r="E1457" s="1">
        <v>0.0</v>
      </c>
      <c r="F1457" s="1">
        <v>0.0</v>
      </c>
      <c r="G1457" s="2">
        <v>0.0</v>
      </c>
      <c r="H1457" s="1" t="s">
        <v>117</v>
      </c>
      <c r="I1457" s="1" t="str">
        <f>IFERROR(__xludf.DUMMYFUNCTION("REGEXREPLACE(MID(H1457, SEARCH(""["", H1457) + 1, SEARCH(""]"", H1457) - SEARCH(""["", H1457) - 1), ""\[\]"","""")"),"Camas Papermakers")</f>
        <v>Camas Papermakers</v>
      </c>
      <c r="J1457" s="1">
        <v>0.0</v>
      </c>
      <c r="K1457" s="1">
        <v>0.0</v>
      </c>
    </row>
    <row r="1458">
      <c r="A1458" s="1">
        <v>1.0</v>
      </c>
      <c r="B1458" s="1">
        <v>4.0</v>
      </c>
      <c r="C1458" s="1">
        <v>0.0</v>
      </c>
      <c r="D1458" s="1">
        <v>0.0</v>
      </c>
      <c r="E1458" s="1">
        <v>0.0</v>
      </c>
      <c r="F1458" s="1">
        <v>0.0</v>
      </c>
      <c r="G1458" s="2">
        <v>0.0</v>
      </c>
      <c r="H1458" s="1" t="s">
        <v>117</v>
      </c>
      <c r="I1458" s="1" t="str">
        <f>IFERROR(__xludf.DUMMYFUNCTION("REGEXREPLACE(MID(H1458, SEARCH(""["", H1458) + 1, SEARCH(""]"", H1458) - SEARCH(""["", H1458) - 1), ""\[\]"","""")"),"Camas Papermakers")</f>
        <v>Camas Papermakers</v>
      </c>
      <c r="J1458" s="1">
        <v>0.0</v>
      </c>
      <c r="K1458" s="1">
        <v>0.0</v>
      </c>
    </row>
    <row r="1459">
      <c r="A1459" s="1">
        <v>1.0</v>
      </c>
      <c r="B1459" s="1">
        <v>4.0</v>
      </c>
      <c r="C1459" s="1">
        <v>0.0</v>
      </c>
      <c r="D1459" s="1">
        <v>0.0</v>
      </c>
      <c r="E1459" s="1">
        <v>0.0</v>
      </c>
      <c r="F1459" s="1">
        <v>0.0</v>
      </c>
      <c r="G1459" s="2">
        <v>0.0</v>
      </c>
      <c r="H1459" s="1" t="s">
        <v>117</v>
      </c>
      <c r="I1459" s="1" t="str">
        <f>IFERROR(__xludf.DUMMYFUNCTION("REGEXREPLACE(MID(H1459, SEARCH(""["", H1459) + 1, SEARCH(""]"", H1459) - SEARCH(""["", H1459) - 1), ""\[\]"","""")"),"Camas Papermakers")</f>
        <v>Camas Papermakers</v>
      </c>
      <c r="J1459" s="1">
        <v>0.0</v>
      </c>
      <c r="K1459" s="1">
        <v>0.0</v>
      </c>
    </row>
    <row r="1460">
      <c r="A1460" s="1">
        <v>3.0</v>
      </c>
      <c r="B1460" s="1">
        <v>13.0</v>
      </c>
      <c r="C1460" s="1">
        <v>2.0</v>
      </c>
      <c r="D1460" s="1">
        <v>2.67</v>
      </c>
      <c r="E1460" s="1">
        <v>0.0</v>
      </c>
      <c r="F1460" s="1">
        <v>0.0</v>
      </c>
      <c r="G1460" s="2">
        <v>1.0</v>
      </c>
      <c r="H1460" s="1" t="s">
        <v>123</v>
      </c>
      <c r="I1460" s="1" t="str">
        <f>IFERROR(__xludf.DUMMYFUNCTION("REGEXREPLACE(MID(H1460, SEARCH(""["", H1460) + 1, SEARCH(""]"", H1460) - SEARCH(""["", H1460) - 1), ""\[\]"","""")"),"Chattahoochee HS")</f>
        <v>Chattahoochee HS</v>
      </c>
      <c r="J1460" s="1">
        <v>8.0</v>
      </c>
      <c r="K1460" s="1">
        <v>0.0</v>
      </c>
    </row>
    <row r="1461">
      <c r="A1461" s="1">
        <v>5.0</v>
      </c>
      <c r="B1461" s="1">
        <v>21.0</v>
      </c>
      <c r="C1461" s="1">
        <v>5.0</v>
      </c>
      <c r="D1461" s="1">
        <v>3.2</v>
      </c>
      <c r="E1461" s="1">
        <v>0.0</v>
      </c>
      <c r="F1461" s="1">
        <v>0.0</v>
      </c>
      <c r="G1461" s="2">
        <v>0.8</v>
      </c>
      <c r="H1461" s="1" t="s">
        <v>124</v>
      </c>
      <c r="I1461" s="1" t="str">
        <f>IFERROR(__xludf.DUMMYFUNCTION("REGEXREPLACE(MID(H1461, SEARCH(""["", H1461) + 1, SEARCH(""]"", H1461) - SEARCH(""["", H1461) - 1), ""\[\]"","""")"),"Chattahoochee HS")</f>
        <v>Chattahoochee HS</v>
      </c>
      <c r="J1461" s="1">
        <v>16.0</v>
      </c>
      <c r="K1461" s="1">
        <v>0.0</v>
      </c>
    </row>
    <row r="1462">
      <c r="A1462" s="1">
        <v>5.0</v>
      </c>
      <c r="B1462" s="1">
        <v>21.0</v>
      </c>
      <c r="C1462" s="1">
        <v>4.0</v>
      </c>
      <c r="D1462" s="1">
        <v>0.0</v>
      </c>
      <c r="E1462" s="1">
        <v>0.4</v>
      </c>
      <c r="F1462" s="1">
        <v>0.0</v>
      </c>
      <c r="G1462" s="2">
        <v>0.5</v>
      </c>
      <c r="H1462" s="1" t="s">
        <v>127</v>
      </c>
      <c r="I1462" s="1" t="str">
        <f>IFERROR(__xludf.DUMMYFUNCTION("REGEXREPLACE(MID(H1462, SEARCH(""["", H1462) + 1, SEARCH(""]"", H1462) - SEARCH(""["", H1462) - 1), ""\[\]"","""")"),"Chattahoochee HS")</f>
        <v>Chattahoochee HS</v>
      </c>
      <c r="J1462" s="1">
        <v>0.0</v>
      </c>
      <c r="K1462" s="1">
        <v>2.0</v>
      </c>
    </row>
    <row r="1463">
      <c r="A1463" s="1">
        <v>5.0</v>
      </c>
      <c r="B1463" s="1">
        <v>21.0</v>
      </c>
      <c r="C1463" s="1">
        <v>4.0</v>
      </c>
      <c r="D1463" s="1">
        <v>0.0</v>
      </c>
      <c r="E1463" s="1">
        <v>0.2</v>
      </c>
      <c r="F1463" s="1">
        <v>0.0</v>
      </c>
      <c r="G1463" s="2">
        <v>0.25</v>
      </c>
      <c r="H1463" s="1" t="s">
        <v>128</v>
      </c>
      <c r="I1463" s="1" t="str">
        <f>IFERROR(__xludf.DUMMYFUNCTION("REGEXREPLACE(MID(H1463, SEARCH(""["", H1463) + 1, SEARCH(""]"", H1463) - SEARCH(""["", H1463) - 1), ""\[\]"","""")"),"Chattahoochee HS")</f>
        <v>Chattahoochee HS</v>
      </c>
      <c r="J1463" s="1">
        <v>0.0</v>
      </c>
      <c r="K1463" s="1">
        <v>1.0</v>
      </c>
    </row>
    <row r="1464">
      <c r="A1464" s="1">
        <v>4.0</v>
      </c>
      <c r="B1464" s="1">
        <v>16.0</v>
      </c>
      <c r="C1464" s="1">
        <v>2.0</v>
      </c>
      <c r="D1464" s="1">
        <v>-1.0</v>
      </c>
      <c r="E1464" s="1">
        <v>0.25</v>
      </c>
      <c r="F1464" s="1">
        <v>0.0</v>
      </c>
      <c r="G1464" s="2">
        <v>0.0</v>
      </c>
      <c r="H1464" s="1" t="s">
        <v>130</v>
      </c>
      <c r="I1464" s="1" t="str">
        <f>IFERROR(__xludf.DUMMYFUNCTION("REGEXREPLACE(MID(H1464, SEARCH(""["", H1464) + 1, SEARCH(""]"", H1464) - SEARCH(""["", H1464) - 1), ""\[\]"","""")"),"Chattahoochee HS")</f>
        <v>Chattahoochee HS</v>
      </c>
      <c r="J1464" s="1">
        <v>-4.0</v>
      </c>
      <c r="K1464" s="1">
        <v>1.0</v>
      </c>
    </row>
    <row r="1465">
      <c r="A1465" s="1">
        <v>1.0</v>
      </c>
      <c r="B1465" s="1">
        <v>4.0</v>
      </c>
      <c r="C1465" s="1">
        <v>0.0</v>
      </c>
      <c r="D1465" s="1">
        <v>0.0</v>
      </c>
      <c r="E1465" s="1">
        <v>0.0</v>
      </c>
      <c r="F1465" s="1">
        <v>0.0</v>
      </c>
      <c r="G1465" s="2">
        <v>0.0</v>
      </c>
      <c r="H1465" s="1" t="s">
        <v>132</v>
      </c>
      <c r="I1465" s="1" t="str">
        <f>IFERROR(__xludf.DUMMYFUNCTION("REGEXREPLACE(MID(H1465, SEARCH(""["", H1465) + 1, SEARCH(""]"", H1465) - SEARCH(""["", H1465) - 1), ""\[\]"","""")"),"Clemens HS")</f>
        <v>Clemens HS</v>
      </c>
      <c r="J1465" s="1">
        <v>0.0</v>
      </c>
      <c r="K1465" s="1">
        <v>0.0</v>
      </c>
    </row>
    <row r="1466">
      <c r="A1466" s="1">
        <v>3.0</v>
      </c>
      <c r="B1466" s="1">
        <v>11.0</v>
      </c>
      <c r="C1466" s="1">
        <v>0.0</v>
      </c>
      <c r="D1466" s="1">
        <v>0.0</v>
      </c>
      <c r="E1466" s="1">
        <v>0.0</v>
      </c>
      <c r="F1466" s="1">
        <v>0.0</v>
      </c>
      <c r="G1466" s="2">
        <v>0.0</v>
      </c>
      <c r="H1466" s="1" t="s">
        <v>132</v>
      </c>
      <c r="I1466" s="1" t="str">
        <f>IFERROR(__xludf.DUMMYFUNCTION("REGEXREPLACE(MID(H1466, SEARCH(""["", H1466) + 1, SEARCH(""]"", H1466) - SEARCH(""["", H1466) - 1), ""\[\]"","""")"),"Clemens HS")</f>
        <v>Clemens HS</v>
      </c>
      <c r="J1466" s="1">
        <v>0.0</v>
      </c>
      <c r="K1466" s="1">
        <v>0.0</v>
      </c>
    </row>
    <row r="1467">
      <c r="A1467" s="1">
        <v>1.0</v>
      </c>
      <c r="B1467" s="1">
        <v>4.0</v>
      </c>
      <c r="C1467" s="1">
        <v>4.0</v>
      </c>
      <c r="D1467" s="1">
        <v>8.0</v>
      </c>
      <c r="E1467" s="1">
        <v>1.0</v>
      </c>
      <c r="F1467" s="1">
        <v>0.0</v>
      </c>
      <c r="G1467" s="2">
        <v>0.75</v>
      </c>
      <c r="H1467" s="1" t="s">
        <v>77</v>
      </c>
      <c r="I1467" s="1" t="str">
        <f>IFERROR(__xludf.DUMMYFUNCTION("REGEXREPLACE(MID(H1467, SEARCH(""["", H1467) + 1, SEARCH(""]"", H1467) - SEARCH(""["", H1467) - 1), ""\[\]"","""")"),"Clemens HS")</f>
        <v>Clemens HS</v>
      </c>
      <c r="J1467" s="1">
        <v>8.0</v>
      </c>
      <c r="K1467" s="1">
        <v>1.0</v>
      </c>
    </row>
    <row r="1468">
      <c r="A1468" s="1">
        <v>3.0</v>
      </c>
      <c r="B1468" s="1">
        <v>11.0</v>
      </c>
      <c r="C1468" s="1">
        <v>11.0</v>
      </c>
      <c r="D1468" s="1">
        <v>10.67</v>
      </c>
      <c r="E1468" s="1">
        <v>0.33</v>
      </c>
      <c r="F1468" s="1">
        <v>0.0</v>
      </c>
      <c r="G1468" s="6">
        <v>0.818</v>
      </c>
      <c r="H1468" s="1" t="s">
        <v>77</v>
      </c>
      <c r="I1468" s="1" t="str">
        <f>IFERROR(__xludf.DUMMYFUNCTION("REGEXREPLACE(MID(H1468, SEARCH(""["", H1468) + 1, SEARCH(""]"", H1468) - SEARCH(""["", H1468) - 1), ""\[\]"","""")"),"Clemens HS")</f>
        <v>Clemens HS</v>
      </c>
      <c r="J1468" s="1">
        <v>32.0</v>
      </c>
      <c r="K1468" s="1">
        <v>1.0</v>
      </c>
    </row>
    <row r="1469">
      <c r="A1469" s="1">
        <v>1.0</v>
      </c>
      <c r="B1469" s="1">
        <v>4.0</v>
      </c>
      <c r="C1469" s="1">
        <v>0.0</v>
      </c>
      <c r="D1469" s="1">
        <v>0.0</v>
      </c>
      <c r="E1469" s="1">
        <v>0.0</v>
      </c>
      <c r="F1469" s="1">
        <v>0.0</v>
      </c>
      <c r="G1469" s="2">
        <v>0.0</v>
      </c>
      <c r="H1469" s="1" t="s">
        <v>137</v>
      </c>
      <c r="I1469" s="1" t="str">
        <f>IFERROR(__xludf.DUMMYFUNCTION("REGEXREPLACE(MID(H1469, SEARCH(""["", H1469) + 1, SEARCH(""]"", H1469) - SEARCH(""["", H1469) - 1), ""\[\]"","""")"),"Clemens HS")</f>
        <v>Clemens HS</v>
      </c>
      <c r="J1469" s="1">
        <v>0.0</v>
      </c>
      <c r="K1469" s="1">
        <v>0.0</v>
      </c>
    </row>
    <row r="1470">
      <c r="A1470" s="1">
        <v>1.0</v>
      </c>
      <c r="B1470" s="1">
        <v>3.0</v>
      </c>
      <c r="C1470" s="1">
        <v>0.0</v>
      </c>
      <c r="D1470" s="1">
        <v>0.0</v>
      </c>
      <c r="E1470" s="1">
        <v>0.0</v>
      </c>
      <c r="F1470" s="1">
        <v>0.0</v>
      </c>
      <c r="G1470" s="2">
        <v>0.0</v>
      </c>
      <c r="H1470" s="1" t="s">
        <v>137</v>
      </c>
      <c r="I1470" s="1" t="str">
        <f>IFERROR(__xludf.DUMMYFUNCTION("REGEXREPLACE(MID(H1470, SEARCH(""["", H1470) + 1, SEARCH(""]"", H1470) - SEARCH(""["", H1470) - 1), ""\[\]"","""")"),"Clemens HS")</f>
        <v>Clemens HS</v>
      </c>
      <c r="J1470" s="1">
        <v>0.0</v>
      </c>
      <c r="K1470" s="1">
        <v>0.0</v>
      </c>
    </row>
    <row r="1471">
      <c r="A1471" s="1">
        <v>5.0</v>
      </c>
      <c r="B1471" s="1">
        <v>20.0</v>
      </c>
      <c r="C1471" s="1">
        <v>3.0</v>
      </c>
      <c r="D1471" s="1">
        <v>2.4</v>
      </c>
      <c r="E1471" s="1">
        <v>0.0</v>
      </c>
      <c r="F1471" s="1">
        <v>0.0</v>
      </c>
      <c r="G1471" s="2">
        <v>1.0</v>
      </c>
      <c r="H1471" s="1" t="s">
        <v>139</v>
      </c>
      <c r="I1471" s="1" t="str">
        <f>IFERROR(__xludf.DUMMYFUNCTION("REGEXREPLACE(MID(H1471, SEARCH(""["", H1471) + 1, SEARCH(""]"", H1471) - SEARCH(""["", H1471) - 1), ""\[\]"","""")"),"Clements")</f>
        <v>Clements</v>
      </c>
      <c r="J1471" s="1">
        <v>12.0</v>
      </c>
      <c r="K1471" s="1">
        <v>0.0</v>
      </c>
    </row>
    <row r="1472">
      <c r="A1472" s="1">
        <v>1.0</v>
      </c>
      <c r="B1472" s="1">
        <v>4.0</v>
      </c>
      <c r="C1472" s="1">
        <v>1.0</v>
      </c>
      <c r="D1472" s="1">
        <v>0.0</v>
      </c>
      <c r="E1472" s="1">
        <v>0.0</v>
      </c>
      <c r="F1472" s="1">
        <v>0.0</v>
      </c>
      <c r="G1472" s="2">
        <v>0.0</v>
      </c>
      <c r="H1472" s="1" t="s">
        <v>142</v>
      </c>
      <c r="I1472" s="1" t="str">
        <f>IFERROR(__xludf.DUMMYFUNCTION("REGEXREPLACE(MID(H1472, SEARCH(""["", H1472) + 1, SEARCH(""]"", H1472) - SEARCH(""["", H1472) - 1), ""\[\]"","""")"),"Clements")</f>
        <v>Clements</v>
      </c>
      <c r="J1472" s="1">
        <v>0.0</v>
      </c>
      <c r="K1472" s="1">
        <v>0.0</v>
      </c>
    </row>
    <row r="1473">
      <c r="A1473" s="1">
        <v>5.0</v>
      </c>
      <c r="B1473" s="1">
        <v>20.0</v>
      </c>
      <c r="C1473" s="1">
        <v>7.0</v>
      </c>
      <c r="D1473" s="1">
        <v>4.0</v>
      </c>
      <c r="E1473" s="1">
        <v>0.0</v>
      </c>
      <c r="F1473" s="1">
        <v>0.0</v>
      </c>
      <c r="G1473" s="6">
        <v>0.714</v>
      </c>
      <c r="H1473" s="1" t="s">
        <v>144</v>
      </c>
      <c r="I1473" s="1" t="str">
        <f>IFERROR(__xludf.DUMMYFUNCTION("REGEXREPLACE(MID(H1473, SEARCH(""["", H1473) + 1, SEARCH(""]"", H1473) - SEARCH(""["", H1473) - 1), ""\[\]"","""")"),"Clements")</f>
        <v>Clements</v>
      </c>
      <c r="J1473" s="1">
        <v>20.0</v>
      </c>
      <c r="K1473" s="1">
        <v>0.0</v>
      </c>
    </row>
    <row r="1474">
      <c r="A1474" s="1">
        <v>4.0</v>
      </c>
      <c r="B1474" s="1">
        <v>16.0</v>
      </c>
      <c r="C1474" s="1">
        <v>0.0</v>
      </c>
      <c r="D1474" s="1">
        <v>0.0</v>
      </c>
      <c r="E1474" s="1">
        <v>0.0</v>
      </c>
      <c r="F1474" s="1">
        <v>0.0</v>
      </c>
      <c r="G1474" s="2">
        <v>0.0</v>
      </c>
      <c r="H1474" s="1" t="s">
        <v>147</v>
      </c>
      <c r="I1474" s="1" t="str">
        <f>IFERROR(__xludf.DUMMYFUNCTION("REGEXREPLACE(MID(H1474, SEARCH(""["", H1474) + 1, SEARCH(""]"", H1474) - SEARCH(""["", H1474) - 1), ""\[\]"","""")"),"Clements")</f>
        <v>Clements</v>
      </c>
      <c r="J1474" s="1">
        <v>0.0</v>
      </c>
      <c r="K1474" s="1">
        <v>0.0</v>
      </c>
    </row>
    <row r="1475">
      <c r="A1475" s="1">
        <v>1.0</v>
      </c>
      <c r="B1475" s="1">
        <v>4.0</v>
      </c>
      <c r="C1475" s="1">
        <v>0.0</v>
      </c>
      <c r="D1475" s="1">
        <v>0.0</v>
      </c>
      <c r="E1475" s="1">
        <v>0.0</v>
      </c>
      <c r="F1475" s="1">
        <v>0.0</v>
      </c>
      <c r="G1475" s="2">
        <v>0.0</v>
      </c>
      <c r="H1475" s="1" t="s">
        <v>147</v>
      </c>
      <c r="I1475" s="1" t="str">
        <f>IFERROR(__xludf.DUMMYFUNCTION("REGEXREPLACE(MID(H1475, SEARCH(""["", H1475) + 1, SEARCH(""]"", H1475) - SEARCH(""["", H1475) - 1), ""\[\]"","""")"),"Clements")</f>
        <v>Clements</v>
      </c>
      <c r="J1475" s="1">
        <v>0.0</v>
      </c>
      <c r="K1475" s="1">
        <v>0.0</v>
      </c>
    </row>
    <row r="1476">
      <c r="A1476" s="1">
        <v>4.0</v>
      </c>
      <c r="B1476" s="1">
        <v>16.0</v>
      </c>
      <c r="C1476" s="1">
        <v>3.0</v>
      </c>
      <c r="D1476" s="1">
        <v>2.0</v>
      </c>
      <c r="E1476" s="1">
        <v>0.0</v>
      </c>
      <c r="F1476" s="1">
        <v>0.0</v>
      </c>
      <c r="G1476" s="6">
        <v>0.667</v>
      </c>
      <c r="H1476" s="1" t="s">
        <v>125</v>
      </c>
      <c r="I1476" s="1" t="str">
        <f>IFERROR(__xludf.DUMMYFUNCTION("REGEXREPLACE(MID(H1476, SEARCH(""["", H1476) + 1, SEARCH(""]"", H1476) - SEARCH(""["", H1476) - 1), ""\[\]"","""")"),"Clements")</f>
        <v>Clements</v>
      </c>
      <c r="J1476" s="1">
        <v>8.0</v>
      </c>
      <c r="K1476" s="1">
        <v>0.0</v>
      </c>
    </row>
    <row r="1477">
      <c r="A1477" s="1">
        <v>1.0</v>
      </c>
      <c r="B1477" s="1">
        <v>3.0</v>
      </c>
      <c r="C1477" s="1">
        <v>1.0</v>
      </c>
      <c r="D1477" s="1">
        <v>0.0</v>
      </c>
      <c r="E1477" s="1">
        <v>0.0</v>
      </c>
      <c r="F1477" s="1">
        <v>0.0</v>
      </c>
      <c r="G1477" s="2">
        <v>0.0</v>
      </c>
      <c r="H1477" s="1" t="s">
        <v>151</v>
      </c>
      <c r="I1477" s="1" t="str">
        <f>IFERROR(__xludf.DUMMYFUNCTION("REGEXREPLACE(MID(H1477, SEARCH(""["", H1477) + 1, SEARCH(""]"", H1477) - SEARCH(""["", H1477) - 1), ""\[\]"","""")"),"College Park")</f>
        <v>College Park</v>
      </c>
      <c r="J1477" s="1">
        <v>0.0</v>
      </c>
      <c r="K1477" s="1">
        <v>0.0</v>
      </c>
    </row>
    <row r="1478">
      <c r="A1478" s="1">
        <v>1.0</v>
      </c>
      <c r="B1478" s="1">
        <v>3.0</v>
      </c>
      <c r="C1478" s="1">
        <v>0.0</v>
      </c>
      <c r="D1478" s="1">
        <v>0.0</v>
      </c>
      <c r="E1478" s="1">
        <v>0.0</v>
      </c>
      <c r="F1478" s="1">
        <v>0.0</v>
      </c>
      <c r="G1478" s="2">
        <v>0.0</v>
      </c>
      <c r="H1478" s="1" t="s">
        <v>152</v>
      </c>
      <c r="I1478" s="1" t="str">
        <f>IFERROR(__xludf.DUMMYFUNCTION("REGEXREPLACE(MID(H1478, SEARCH(""["", H1478) + 1, SEARCH(""]"", H1478) - SEARCH(""["", H1478) - 1), ""\[\]"","""")"),"College Park")</f>
        <v>College Park</v>
      </c>
      <c r="J1478" s="1">
        <v>0.0</v>
      </c>
      <c r="K1478" s="1">
        <v>0.0</v>
      </c>
    </row>
    <row r="1479">
      <c r="A1479" s="1">
        <v>3.0</v>
      </c>
      <c r="B1479" s="1">
        <v>12.0</v>
      </c>
      <c r="C1479" s="1">
        <v>0.0</v>
      </c>
      <c r="D1479" s="1">
        <v>0.0</v>
      </c>
      <c r="E1479" s="1">
        <v>0.0</v>
      </c>
      <c r="F1479" s="1">
        <v>0.0</v>
      </c>
      <c r="G1479" s="2">
        <v>0.0</v>
      </c>
      <c r="H1479" s="1" t="s">
        <v>152</v>
      </c>
      <c r="I1479" s="1" t="str">
        <f>IFERROR(__xludf.DUMMYFUNCTION("REGEXREPLACE(MID(H1479, SEARCH(""["", H1479) + 1, SEARCH(""]"", H1479) - SEARCH(""["", H1479) - 1), ""\[\]"","""")"),"College Park")</f>
        <v>College Park</v>
      </c>
      <c r="J1479" s="1">
        <v>0.0</v>
      </c>
      <c r="K1479" s="1">
        <v>0.0</v>
      </c>
    </row>
    <row r="1480">
      <c r="A1480" s="1">
        <v>1.0</v>
      </c>
      <c r="B1480" s="1">
        <v>3.0</v>
      </c>
      <c r="C1480" s="1">
        <v>0.0</v>
      </c>
      <c r="D1480" s="1">
        <v>0.0</v>
      </c>
      <c r="E1480" s="1">
        <v>0.0</v>
      </c>
      <c r="F1480" s="1">
        <v>0.0</v>
      </c>
      <c r="G1480" s="2">
        <v>0.0</v>
      </c>
      <c r="H1480" s="1" t="s">
        <v>156</v>
      </c>
      <c r="I1480" s="1" t="str">
        <f>IFERROR(__xludf.DUMMYFUNCTION("REGEXREPLACE(MID(H1480, SEARCH(""["", H1480) + 1, SEARCH(""]"", H1480) - SEARCH(""["", H1480) - 1), ""\[\]"","""")"),"College Park")</f>
        <v>College Park</v>
      </c>
      <c r="J1480" s="1">
        <v>0.0</v>
      </c>
      <c r="K1480" s="1">
        <v>0.0</v>
      </c>
    </row>
    <row r="1481">
      <c r="A1481" s="1">
        <v>2.0</v>
      </c>
      <c r="B1481" s="1">
        <v>8.0</v>
      </c>
      <c r="C1481" s="1">
        <v>1.0</v>
      </c>
      <c r="D1481" s="1">
        <v>0.0</v>
      </c>
      <c r="E1481" s="1">
        <v>0.0</v>
      </c>
      <c r="F1481" s="1">
        <v>0.0</v>
      </c>
      <c r="G1481" s="2">
        <v>0.0</v>
      </c>
      <c r="H1481" s="1" t="s">
        <v>156</v>
      </c>
      <c r="I1481" s="1" t="str">
        <f>IFERROR(__xludf.DUMMYFUNCTION("REGEXREPLACE(MID(H1481, SEARCH(""["", H1481) + 1, SEARCH(""]"", H1481) - SEARCH(""["", H1481) - 1), ""\[\]"","""")"),"College Park")</f>
        <v>College Park</v>
      </c>
      <c r="J1481" s="1">
        <v>0.0</v>
      </c>
      <c r="K1481" s="1">
        <v>0.0</v>
      </c>
    </row>
    <row r="1482">
      <c r="A1482" s="1">
        <v>1.0</v>
      </c>
      <c r="B1482" s="1">
        <v>3.0</v>
      </c>
      <c r="C1482" s="1">
        <v>2.0</v>
      </c>
      <c r="D1482" s="1">
        <v>-4.0</v>
      </c>
      <c r="E1482" s="1">
        <v>1.0</v>
      </c>
      <c r="F1482" s="1">
        <v>0.0</v>
      </c>
      <c r="G1482" s="2">
        <v>0.0</v>
      </c>
      <c r="H1482" s="1" t="s">
        <v>145</v>
      </c>
      <c r="I1482" s="1" t="str">
        <f>IFERROR(__xludf.DUMMYFUNCTION("REGEXREPLACE(MID(H1482, SEARCH(""["", H1482) + 1, SEARCH(""]"", H1482) - SEARCH(""["", H1482) - 1), ""\[\]"","""")"),"College Park")</f>
        <v>College Park</v>
      </c>
      <c r="J1482" s="1">
        <v>-4.0</v>
      </c>
      <c r="K1482" s="1">
        <v>1.0</v>
      </c>
    </row>
    <row r="1483">
      <c r="A1483" s="1">
        <v>4.0</v>
      </c>
      <c r="B1483" s="1">
        <v>16.0</v>
      </c>
      <c r="C1483" s="1">
        <v>10.0</v>
      </c>
      <c r="D1483" s="1">
        <v>2.0</v>
      </c>
      <c r="E1483" s="1">
        <v>0.25</v>
      </c>
      <c r="F1483" s="1">
        <v>0.0</v>
      </c>
      <c r="G1483" s="2">
        <v>0.3</v>
      </c>
      <c r="H1483" s="1" t="s">
        <v>145</v>
      </c>
      <c r="I1483" s="1" t="str">
        <f>IFERROR(__xludf.DUMMYFUNCTION("REGEXREPLACE(MID(H1483, SEARCH(""["", H1483) + 1, SEARCH(""]"", H1483) - SEARCH(""["", H1483) - 1), ""\[\]"","""")"),"College Park")</f>
        <v>College Park</v>
      </c>
      <c r="J1483" s="1">
        <v>8.0</v>
      </c>
      <c r="K1483" s="1">
        <v>1.0</v>
      </c>
    </row>
    <row r="1484">
      <c r="A1484" s="1">
        <v>1.0</v>
      </c>
      <c r="B1484" s="1">
        <v>4.0</v>
      </c>
      <c r="C1484" s="1">
        <v>1.0</v>
      </c>
      <c r="D1484" s="1">
        <v>0.0</v>
      </c>
      <c r="E1484" s="1">
        <v>0.0</v>
      </c>
      <c r="F1484" s="1">
        <v>0.0</v>
      </c>
      <c r="G1484" s="2">
        <v>0.0</v>
      </c>
      <c r="H1484" s="1" t="s">
        <v>160</v>
      </c>
      <c r="I1484" s="1" t="str">
        <f>IFERROR(__xludf.DUMMYFUNCTION("REGEXREPLACE(MID(H1484, SEARCH(""["", H1484) + 1, SEARCH(""]"", H1484) - SEARCH(""["", H1484) - 1), ""\[\]"","""")"),"College Park")</f>
        <v>College Park</v>
      </c>
      <c r="J1484" s="1">
        <v>0.0</v>
      </c>
      <c r="K1484" s="1">
        <v>0.0</v>
      </c>
    </row>
    <row r="1485">
      <c r="A1485" s="1">
        <v>2.0</v>
      </c>
      <c r="B1485" s="1">
        <v>8.0</v>
      </c>
      <c r="C1485" s="1">
        <v>1.0</v>
      </c>
      <c r="D1485" s="1">
        <v>2.0</v>
      </c>
      <c r="E1485" s="1">
        <v>0.0</v>
      </c>
      <c r="F1485" s="1">
        <v>0.0</v>
      </c>
      <c r="G1485" s="2">
        <v>1.0</v>
      </c>
      <c r="H1485" s="1" t="s">
        <v>162</v>
      </c>
      <c r="I1485" s="1" t="str">
        <f>IFERROR(__xludf.DUMMYFUNCTION("REGEXREPLACE(MID(H1485, SEARCH(""["", H1485) + 1, SEARCH(""]"", H1485) - SEARCH(""["", H1485) - 1), ""\[\]"","""")"),"Collierville")</f>
        <v>Collierville</v>
      </c>
      <c r="J1485" s="1">
        <v>4.0</v>
      </c>
      <c r="K1485" s="1">
        <v>0.0</v>
      </c>
    </row>
    <row r="1486">
      <c r="A1486" s="1">
        <v>2.0</v>
      </c>
      <c r="B1486" s="1">
        <v>8.0</v>
      </c>
      <c r="C1486" s="1">
        <v>2.0</v>
      </c>
      <c r="D1486" s="1">
        <v>0.0</v>
      </c>
      <c r="E1486" s="1">
        <v>0.5</v>
      </c>
      <c r="F1486" s="1">
        <v>0.0</v>
      </c>
      <c r="G1486" s="2">
        <v>0.5</v>
      </c>
      <c r="H1486" s="1" t="s">
        <v>162</v>
      </c>
      <c r="I1486" s="1" t="str">
        <f>IFERROR(__xludf.DUMMYFUNCTION("REGEXREPLACE(MID(H1486, SEARCH(""["", H1486) + 1, SEARCH(""]"", H1486) - SEARCH(""["", H1486) - 1), ""\[\]"","""")"),"Collierville")</f>
        <v>Collierville</v>
      </c>
      <c r="J1486" s="1">
        <v>0.0</v>
      </c>
      <c r="K1486" s="1">
        <v>1.0</v>
      </c>
    </row>
    <row r="1487">
      <c r="A1487" s="1">
        <v>5.0</v>
      </c>
      <c r="B1487" s="1">
        <v>19.0</v>
      </c>
      <c r="C1487" s="1">
        <v>1.0</v>
      </c>
      <c r="D1487" s="1">
        <v>-0.8</v>
      </c>
      <c r="E1487" s="1">
        <v>0.2</v>
      </c>
      <c r="F1487" s="1">
        <v>0.0</v>
      </c>
      <c r="G1487" s="2">
        <v>0.0</v>
      </c>
      <c r="H1487" s="1" t="s">
        <v>165</v>
      </c>
      <c r="I1487" s="1" t="str">
        <f>IFERROR(__xludf.DUMMYFUNCTION("REGEXREPLACE(MID(H1487, SEARCH(""["", H1487) + 1, SEARCH(""]"", H1487) - SEARCH(""["", H1487) - 1), ""\[\]"","""")"),"Collierville")</f>
        <v>Collierville</v>
      </c>
      <c r="J1487" s="1">
        <v>-4.0</v>
      </c>
      <c r="K1487" s="1">
        <v>1.0</v>
      </c>
    </row>
    <row r="1488">
      <c r="A1488" s="1">
        <v>1.0</v>
      </c>
      <c r="B1488" s="1">
        <v>4.0</v>
      </c>
      <c r="C1488" s="1">
        <v>1.0</v>
      </c>
      <c r="D1488" s="1">
        <v>4.0</v>
      </c>
      <c r="E1488" s="1">
        <v>0.0</v>
      </c>
      <c r="F1488" s="1">
        <v>0.0</v>
      </c>
      <c r="G1488" s="2">
        <v>1.0</v>
      </c>
      <c r="H1488" s="1" t="s">
        <v>167</v>
      </c>
      <c r="I1488" s="1" t="str">
        <f>IFERROR(__xludf.DUMMYFUNCTION("REGEXREPLACE(MID(H1488, SEARCH(""["", H1488) + 1, SEARCH(""]"", H1488) - SEARCH(""["", H1488) - 1), ""\[\]"","""")"),"Collierville")</f>
        <v>Collierville</v>
      </c>
      <c r="J1488" s="1">
        <v>4.0</v>
      </c>
      <c r="K1488" s="1">
        <v>0.0</v>
      </c>
    </row>
    <row r="1489">
      <c r="A1489" s="1">
        <v>5.0</v>
      </c>
      <c r="B1489" s="1">
        <v>19.0</v>
      </c>
      <c r="C1489" s="1">
        <v>8.0</v>
      </c>
      <c r="D1489" s="1">
        <v>4.0</v>
      </c>
      <c r="E1489" s="1">
        <v>0.0</v>
      </c>
      <c r="F1489" s="1">
        <v>0.0</v>
      </c>
      <c r="G1489" s="6">
        <v>0.625</v>
      </c>
      <c r="H1489" s="1" t="s">
        <v>169</v>
      </c>
      <c r="I1489" s="1" t="str">
        <f>IFERROR(__xludf.DUMMYFUNCTION("REGEXREPLACE(MID(H1489, SEARCH(""["", H1489) + 1, SEARCH(""]"", H1489) - SEARCH(""["", H1489) - 1), ""\[\]"","""")"),"Collierville")</f>
        <v>Collierville</v>
      </c>
      <c r="J1489" s="1">
        <v>20.0</v>
      </c>
      <c r="K1489" s="1">
        <v>0.0</v>
      </c>
    </row>
    <row r="1490">
      <c r="A1490" s="1">
        <v>3.0</v>
      </c>
      <c r="B1490" s="1">
        <v>11.0</v>
      </c>
      <c r="C1490" s="1">
        <v>1.0</v>
      </c>
      <c r="D1490" s="1">
        <v>-1.33</v>
      </c>
      <c r="E1490" s="1">
        <v>0.33</v>
      </c>
      <c r="F1490" s="1">
        <v>0.0</v>
      </c>
      <c r="G1490" s="2">
        <v>0.0</v>
      </c>
      <c r="H1490" s="1" t="s">
        <v>171</v>
      </c>
      <c r="I1490" s="1" t="str">
        <f>IFERROR(__xludf.DUMMYFUNCTION("REGEXREPLACE(MID(H1490, SEARCH(""["", H1490) + 1, SEARCH(""]"", H1490) - SEARCH(""["", H1490) - 1), ""\[\]"","""")"),"Collierville")</f>
        <v>Collierville</v>
      </c>
      <c r="J1490" s="1">
        <v>-4.0</v>
      </c>
      <c r="K1490" s="1">
        <v>1.0</v>
      </c>
    </row>
    <row r="1491">
      <c r="A1491" s="1">
        <v>4.0</v>
      </c>
      <c r="B1491" s="1">
        <v>15.0</v>
      </c>
      <c r="C1491" s="1">
        <v>1.0</v>
      </c>
      <c r="D1491" s="1">
        <v>-1.0</v>
      </c>
      <c r="E1491" s="1">
        <v>0.25</v>
      </c>
      <c r="F1491" s="1">
        <v>0.0</v>
      </c>
      <c r="G1491" s="2">
        <v>0.0</v>
      </c>
      <c r="H1491" s="1" t="s">
        <v>173</v>
      </c>
      <c r="I1491" s="1" t="str">
        <f>IFERROR(__xludf.DUMMYFUNCTION("REGEXREPLACE(MID(H1491, SEARCH(""["", H1491) + 1, SEARCH(""]"", H1491) - SEARCH(""["", H1491) - 1), ""\[\]"","""")"),"Davidson Academy")</f>
        <v>Davidson Academy</v>
      </c>
      <c r="J1491" s="1">
        <v>-4.0</v>
      </c>
      <c r="K1491" s="1">
        <v>1.0</v>
      </c>
    </row>
    <row r="1492">
      <c r="A1492" s="1">
        <v>1.0</v>
      </c>
      <c r="B1492" s="1">
        <v>4.0</v>
      </c>
      <c r="C1492" s="1">
        <v>0.0</v>
      </c>
      <c r="D1492" s="1">
        <v>0.0</v>
      </c>
      <c r="E1492" s="1">
        <v>0.0</v>
      </c>
      <c r="F1492" s="1">
        <v>0.0</v>
      </c>
      <c r="G1492" s="2">
        <v>0.0</v>
      </c>
      <c r="H1492" s="1" t="s">
        <v>173</v>
      </c>
      <c r="I1492" s="1" t="str">
        <f>IFERROR(__xludf.DUMMYFUNCTION("REGEXREPLACE(MID(H1492, SEARCH(""["", H1492) + 1, SEARCH(""]"", H1492) - SEARCH(""["", H1492) - 1), ""\[\]"","""")"),"Davidson Academy")</f>
        <v>Davidson Academy</v>
      </c>
      <c r="J1492" s="1">
        <v>0.0</v>
      </c>
      <c r="K1492" s="1">
        <v>0.0</v>
      </c>
    </row>
    <row r="1493">
      <c r="A1493" s="1">
        <v>1.0</v>
      </c>
      <c r="B1493" s="1">
        <v>4.0</v>
      </c>
      <c r="C1493" s="1">
        <v>0.0</v>
      </c>
      <c r="D1493" s="1">
        <v>0.0</v>
      </c>
      <c r="E1493" s="1">
        <v>0.0</v>
      </c>
      <c r="F1493" s="1">
        <v>0.0</v>
      </c>
      <c r="G1493" s="2">
        <v>0.0</v>
      </c>
      <c r="H1493" s="1" t="s">
        <v>174</v>
      </c>
      <c r="I1493" s="1" t="str">
        <f>IFERROR(__xludf.DUMMYFUNCTION("REGEXREPLACE(MID(H1493, SEARCH(""["", H1493) + 1, SEARCH(""]"", H1493) - SEARCH(""["", H1493) - 1), ""\[\]"","""")"),"Davidson Academy")</f>
        <v>Davidson Academy</v>
      </c>
      <c r="J1493" s="1">
        <v>0.0</v>
      </c>
      <c r="K1493" s="1">
        <v>0.0</v>
      </c>
    </row>
    <row r="1494">
      <c r="A1494" s="1">
        <v>1.0</v>
      </c>
      <c r="B1494" s="1">
        <v>4.0</v>
      </c>
      <c r="C1494" s="1">
        <v>0.0</v>
      </c>
      <c r="D1494" s="1">
        <v>0.0</v>
      </c>
      <c r="E1494" s="1">
        <v>0.0</v>
      </c>
      <c r="F1494" s="1">
        <v>0.0</v>
      </c>
      <c r="G1494" s="2">
        <v>0.0</v>
      </c>
      <c r="H1494" s="1" t="s">
        <v>176</v>
      </c>
      <c r="I1494" s="1" t="str">
        <f>IFERROR(__xludf.DUMMYFUNCTION("REGEXREPLACE(MID(H1494, SEARCH(""["", H1494) + 1, SEARCH(""]"", H1494) - SEARCH(""["", H1494) - 1), ""\[\]"","""")"),"Davidson Academy")</f>
        <v>Davidson Academy</v>
      </c>
      <c r="J1494" s="1">
        <v>0.0</v>
      </c>
      <c r="K1494" s="1">
        <v>0.0</v>
      </c>
    </row>
    <row r="1495">
      <c r="A1495" s="1">
        <v>4.0</v>
      </c>
      <c r="B1495" s="1">
        <v>15.0</v>
      </c>
      <c r="C1495" s="1">
        <v>9.0</v>
      </c>
      <c r="D1495" s="1">
        <v>5.0</v>
      </c>
      <c r="E1495" s="1">
        <v>0.5</v>
      </c>
      <c r="F1495" s="1">
        <v>0.0</v>
      </c>
      <c r="G1495" s="6">
        <v>0.778</v>
      </c>
      <c r="H1495" s="1" t="s">
        <v>74</v>
      </c>
      <c r="I1495" s="1" t="str">
        <f>IFERROR(__xludf.DUMMYFUNCTION("REGEXREPLACE(MID(H1495, SEARCH(""["", H1495) + 1, SEARCH(""]"", H1495) - SEARCH(""["", H1495) - 1), ""\[\]"","""")"),"Davidson Academy")</f>
        <v>Davidson Academy</v>
      </c>
      <c r="J1495" s="1">
        <v>20.0</v>
      </c>
      <c r="K1495" s="1">
        <v>2.0</v>
      </c>
    </row>
    <row r="1496">
      <c r="A1496" s="1">
        <v>1.0</v>
      </c>
      <c r="B1496" s="1">
        <v>4.0</v>
      </c>
      <c r="C1496" s="1">
        <v>4.0</v>
      </c>
      <c r="D1496" s="1">
        <v>4.0</v>
      </c>
      <c r="E1496" s="1">
        <v>0.0</v>
      </c>
      <c r="F1496" s="1">
        <v>0.0</v>
      </c>
      <c r="G1496" s="2">
        <v>0.25</v>
      </c>
      <c r="H1496" s="1" t="s">
        <v>74</v>
      </c>
      <c r="I1496" s="1" t="str">
        <f>IFERROR(__xludf.DUMMYFUNCTION("REGEXREPLACE(MID(H1496, SEARCH(""["", H1496) + 1, SEARCH(""]"", H1496) - SEARCH(""["", H1496) - 1), ""\[\]"","""")"),"Davidson Academy")</f>
        <v>Davidson Academy</v>
      </c>
      <c r="J1496" s="1">
        <v>4.0</v>
      </c>
      <c r="K1496" s="1">
        <v>0.0</v>
      </c>
    </row>
    <row r="1497">
      <c r="A1497" s="1">
        <v>1.0</v>
      </c>
      <c r="B1497" s="1">
        <v>4.0</v>
      </c>
      <c r="C1497" s="1">
        <v>0.0</v>
      </c>
      <c r="D1497" s="1">
        <v>0.0</v>
      </c>
      <c r="E1497" s="1">
        <v>0.0</v>
      </c>
      <c r="F1497" s="1">
        <v>0.0</v>
      </c>
      <c r="G1497" s="2">
        <v>0.0</v>
      </c>
      <c r="H1497" s="1" t="s">
        <v>177</v>
      </c>
      <c r="I1497" s="1" t="str">
        <f>IFERROR(__xludf.DUMMYFUNCTION("REGEXREPLACE(MID(H1497, SEARCH(""["", H1497) + 1, SEARCH(""]"", H1497) - SEARCH(""["", H1497) - 1), ""\[\]"","""")"),"Davidson Academy")</f>
        <v>Davidson Academy</v>
      </c>
      <c r="J1497" s="1">
        <v>0.0</v>
      </c>
      <c r="K1497" s="1">
        <v>0.0</v>
      </c>
    </row>
    <row r="1498">
      <c r="A1498" s="1">
        <v>4.0</v>
      </c>
      <c r="B1498" s="1">
        <v>15.0</v>
      </c>
      <c r="C1498" s="1">
        <v>0.0</v>
      </c>
      <c r="D1498" s="1">
        <v>0.0</v>
      </c>
      <c r="E1498" s="1">
        <v>0.0</v>
      </c>
      <c r="F1498" s="1">
        <v>0.0</v>
      </c>
      <c r="G1498" s="2">
        <v>0.0</v>
      </c>
      <c r="H1498" s="1" t="s">
        <v>178</v>
      </c>
      <c r="I1498" s="1" t="str">
        <f>IFERROR(__xludf.DUMMYFUNCTION("REGEXREPLACE(MID(H1498, SEARCH(""["", H1498) + 1, SEARCH(""]"", H1498) - SEARCH(""["", H1498) - 1), ""\[\]"","""")"),"Dulles Dolls 1")</f>
        <v>Dulles Dolls 1</v>
      </c>
      <c r="J1498" s="1">
        <v>0.0</v>
      </c>
      <c r="K1498" s="1">
        <v>0.0</v>
      </c>
    </row>
    <row r="1499">
      <c r="A1499" s="1">
        <v>1.0</v>
      </c>
      <c r="B1499" s="1">
        <v>4.0</v>
      </c>
      <c r="C1499" s="1">
        <v>0.0</v>
      </c>
      <c r="D1499" s="1">
        <v>0.0</v>
      </c>
      <c r="E1499" s="1">
        <v>0.0</v>
      </c>
      <c r="F1499" s="1">
        <v>0.0</v>
      </c>
      <c r="G1499" s="2">
        <v>0.0</v>
      </c>
      <c r="H1499" s="1" t="s">
        <v>178</v>
      </c>
      <c r="I1499" s="1" t="str">
        <f>IFERROR(__xludf.DUMMYFUNCTION("REGEXREPLACE(MID(H1499, SEARCH(""["", H1499) + 1, SEARCH(""]"", H1499) - SEARCH(""["", H1499) - 1), ""\[\]"","""")"),"Dulles Dolls 1")</f>
        <v>Dulles Dolls 1</v>
      </c>
      <c r="J1499" s="1">
        <v>0.0</v>
      </c>
      <c r="K1499" s="1">
        <v>0.0</v>
      </c>
    </row>
    <row r="1500">
      <c r="A1500" s="1">
        <v>3.0</v>
      </c>
      <c r="B1500" s="1">
        <v>11.0</v>
      </c>
      <c r="C1500" s="1">
        <v>1.0</v>
      </c>
      <c r="D1500" s="1">
        <v>1.33</v>
      </c>
      <c r="E1500" s="1">
        <v>0.0</v>
      </c>
      <c r="F1500" s="1">
        <v>0.0</v>
      </c>
      <c r="G1500" s="2">
        <v>1.0</v>
      </c>
      <c r="H1500" s="1" t="s">
        <v>150</v>
      </c>
      <c r="I1500" s="1" t="str">
        <f>IFERROR(__xludf.DUMMYFUNCTION("REGEXREPLACE(MID(H1500, SEARCH(""["", H1500) + 1, SEARCH(""]"", H1500) - SEARCH(""["", H1500) - 1), ""\[\]"","""")"),"Dulles Dolls 1")</f>
        <v>Dulles Dolls 1</v>
      </c>
      <c r="J1500" s="1">
        <v>4.0</v>
      </c>
      <c r="K1500" s="1">
        <v>0.0</v>
      </c>
    </row>
    <row r="1501">
      <c r="A1501" s="1">
        <v>1.0</v>
      </c>
      <c r="B1501" s="1">
        <v>4.0</v>
      </c>
      <c r="C1501" s="1">
        <v>1.0</v>
      </c>
      <c r="D1501" s="1">
        <v>4.0</v>
      </c>
      <c r="E1501" s="1">
        <v>0.0</v>
      </c>
      <c r="F1501" s="1">
        <v>0.0</v>
      </c>
      <c r="G1501" s="2">
        <v>1.0</v>
      </c>
      <c r="H1501" s="1" t="s">
        <v>150</v>
      </c>
      <c r="I1501" s="1" t="str">
        <f>IFERROR(__xludf.DUMMYFUNCTION("REGEXREPLACE(MID(H1501, SEARCH(""["", H1501) + 1, SEARCH(""]"", H1501) - SEARCH(""["", H1501) - 1), ""\[\]"","""")"),"Dulles Dolls 1")</f>
        <v>Dulles Dolls 1</v>
      </c>
      <c r="J1501" s="1">
        <v>4.0</v>
      </c>
      <c r="K1501" s="1">
        <v>0.0</v>
      </c>
    </row>
    <row r="1502">
      <c r="A1502" s="1">
        <v>2.0</v>
      </c>
      <c r="B1502" s="1">
        <v>7.0</v>
      </c>
      <c r="C1502" s="1">
        <v>5.0</v>
      </c>
      <c r="D1502" s="1">
        <v>-6.0</v>
      </c>
      <c r="E1502" s="1">
        <v>1.5</v>
      </c>
      <c r="F1502" s="1">
        <v>0.0</v>
      </c>
      <c r="G1502" s="2">
        <v>0.0</v>
      </c>
      <c r="H1502" s="1" t="s">
        <v>179</v>
      </c>
      <c r="I1502" s="1" t="str">
        <f>IFERROR(__xludf.DUMMYFUNCTION("REGEXREPLACE(MID(H1502, SEARCH(""["", H1502) + 1, SEARCH(""]"", H1502) - SEARCH(""["", H1502) - 1), ""\[\]"","""")"),"Dulles Dolls 1")</f>
        <v>Dulles Dolls 1</v>
      </c>
      <c r="J1502" s="1">
        <v>-12.0</v>
      </c>
      <c r="K1502" s="1">
        <v>3.0</v>
      </c>
    </row>
    <row r="1503">
      <c r="A1503" s="1">
        <v>1.0</v>
      </c>
      <c r="B1503" s="1">
        <v>4.0</v>
      </c>
      <c r="C1503" s="1">
        <v>2.0</v>
      </c>
      <c r="D1503" s="1">
        <v>0.0</v>
      </c>
      <c r="E1503" s="1">
        <v>0.0</v>
      </c>
      <c r="F1503" s="1">
        <v>0.0</v>
      </c>
      <c r="G1503" s="2">
        <v>0.0</v>
      </c>
      <c r="H1503" s="1" t="s">
        <v>179</v>
      </c>
      <c r="I1503" s="1" t="str">
        <f>IFERROR(__xludf.DUMMYFUNCTION("REGEXREPLACE(MID(H1503, SEARCH(""["", H1503) + 1, SEARCH(""]"", H1503) - SEARCH(""["", H1503) - 1), ""\[\]"","""")"),"Dulles Dolls 1")</f>
        <v>Dulles Dolls 1</v>
      </c>
      <c r="J1503" s="1">
        <v>0.0</v>
      </c>
      <c r="K1503" s="1">
        <v>0.0</v>
      </c>
    </row>
    <row r="1504">
      <c r="A1504" s="1">
        <v>2.0</v>
      </c>
      <c r="B1504" s="1">
        <v>8.0</v>
      </c>
      <c r="C1504" s="1">
        <v>5.0</v>
      </c>
      <c r="D1504" s="1">
        <v>10.0</v>
      </c>
      <c r="E1504" s="1">
        <v>0.0</v>
      </c>
      <c r="F1504" s="1">
        <v>0.0</v>
      </c>
      <c r="G1504" s="2">
        <v>1.0</v>
      </c>
      <c r="H1504" s="1" t="s">
        <v>181</v>
      </c>
      <c r="I1504" s="1" t="str">
        <f>IFERROR(__xludf.DUMMYFUNCTION("REGEXREPLACE(MID(H1504, SEARCH(""["", H1504) + 1, SEARCH(""]"", H1504) - SEARCH(""["", H1504) - 1), ""\[\]"","""")"),"Dulles Dolls 1")</f>
        <v>Dulles Dolls 1</v>
      </c>
      <c r="J1504" s="1">
        <v>20.0</v>
      </c>
      <c r="K1504" s="1">
        <v>0.0</v>
      </c>
    </row>
    <row r="1505">
      <c r="A1505" s="1">
        <v>4.0</v>
      </c>
      <c r="B1505" s="1">
        <v>15.0</v>
      </c>
      <c r="C1505" s="1">
        <v>1.0</v>
      </c>
      <c r="D1505" s="1">
        <v>-1.0</v>
      </c>
      <c r="E1505" s="1">
        <v>0.25</v>
      </c>
      <c r="F1505" s="1">
        <v>0.0</v>
      </c>
      <c r="G1505" s="2">
        <v>0.0</v>
      </c>
      <c r="H1505" s="1" t="s">
        <v>183</v>
      </c>
      <c r="I1505" s="1" t="str">
        <f>IFERROR(__xludf.DUMMYFUNCTION("REGEXREPLACE(MID(H1505, SEARCH(""["", H1505) + 1, SEARCH(""]"", H1505) - SEARCH(""["", H1505) - 1), ""\[\]"","""")"),"Dulles Dolls 1")</f>
        <v>Dulles Dolls 1</v>
      </c>
      <c r="J1505" s="1">
        <v>-4.0</v>
      </c>
      <c r="K1505" s="1">
        <v>1.0</v>
      </c>
    </row>
    <row r="1506">
      <c r="A1506" s="1">
        <v>1.0</v>
      </c>
      <c r="B1506" s="1">
        <v>4.0</v>
      </c>
      <c r="C1506" s="1">
        <v>0.0</v>
      </c>
      <c r="D1506" s="1">
        <v>0.0</v>
      </c>
      <c r="E1506" s="1">
        <v>0.0</v>
      </c>
      <c r="F1506" s="1">
        <v>0.0</v>
      </c>
      <c r="G1506" s="2">
        <v>0.0</v>
      </c>
      <c r="H1506" s="1" t="s">
        <v>183</v>
      </c>
      <c r="I1506" s="1" t="str">
        <f>IFERROR(__xludf.DUMMYFUNCTION("REGEXREPLACE(MID(H1506, SEARCH(""["", H1506) + 1, SEARCH(""]"", H1506) - SEARCH(""["", H1506) - 1), ""\[\]"","""")"),"Dulles Dolls 1")</f>
        <v>Dulles Dolls 1</v>
      </c>
      <c r="J1506" s="1">
        <v>0.0</v>
      </c>
      <c r="K1506" s="1">
        <v>0.0</v>
      </c>
    </row>
    <row r="1507">
      <c r="A1507" s="1">
        <v>1.0</v>
      </c>
      <c r="B1507" s="1">
        <v>4.0</v>
      </c>
      <c r="C1507" s="1">
        <v>0.0</v>
      </c>
      <c r="D1507" s="1">
        <v>0.0</v>
      </c>
      <c r="E1507" s="1">
        <v>0.0</v>
      </c>
      <c r="F1507" s="1">
        <v>0.0</v>
      </c>
      <c r="G1507" s="2">
        <v>0.0</v>
      </c>
      <c r="H1507" s="1" t="s">
        <v>184</v>
      </c>
      <c r="I1507" s="1" t="str">
        <f>IFERROR(__xludf.DUMMYFUNCTION("REGEXREPLACE(MID(H1507, SEARCH(""["", H1507) + 1, SEARCH(""]"", H1507) - SEARCH(""["", H1507) - 1), ""\[\]"","""")"),"Dulles Dolls 2")</f>
        <v>Dulles Dolls 2</v>
      </c>
      <c r="J1507" s="1">
        <v>0.0</v>
      </c>
      <c r="K1507" s="1">
        <v>0.0</v>
      </c>
    </row>
    <row r="1508">
      <c r="A1508" s="1">
        <v>1.0</v>
      </c>
      <c r="B1508" s="1">
        <v>4.0</v>
      </c>
      <c r="C1508" s="1">
        <v>0.0</v>
      </c>
      <c r="D1508" s="1">
        <v>0.0</v>
      </c>
      <c r="E1508" s="1">
        <v>0.0</v>
      </c>
      <c r="F1508" s="1">
        <v>0.0</v>
      </c>
      <c r="G1508" s="2">
        <v>0.0</v>
      </c>
      <c r="H1508" s="1" t="s">
        <v>184</v>
      </c>
      <c r="I1508" s="1" t="str">
        <f>IFERROR(__xludf.DUMMYFUNCTION("REGEXREPLACE(MID(H1508, SEARCH(""["", H1508) + 1, SEARCH(""]"", H1508) - SEARCH(""["", H1508) - 1), ""\[\]"","""")"),"Dulles Dolls 2")</f>
        <v>Dulles Dolls 2</v>
      </c>
      <c r="J1508" s="1">
        <v>0.0</v>
      </c>
      <c r="K1508" s="1">
        <v>0.0</v>
      </c>
    </row>
    <row r="1509">
      <c r="A1509" s="1">
        <v>3.0</v>
      </c>
      <c r="B1509" s="1">
        <v>12.0</v>
      </c>
      <c r="C1509" s="1">
        <v>1.0</v>
      </c>
      <c r="D1509" s="1">
        <v>0.0</v>
      </c>
      <c r="E1509" s="1">
        <v>0.0</v>
      </c>
      <c r="F1509" s="1">
        <v>0.0</v>
      </c>
      <c r="G1509" s="2">
        <v>0.0</v>
      </c>
      <c r="H1509" s="1" t="s">
        <v>184</v>
      </c>
      <c r="I1509" s="1" t="str">
        <f>IFERROR(__xludf.DUMMYFUNCTION("REGEXREPLACE(MID(H1509, SEARCH(""["", H1509) + 1, SEARCH(""]"", H1509) - SEARCH(""["", H1509) - 1), ""\[\]"","""")"),"Dulles Dolls 2")</f>
        <v>Dulles Dolls 2</v>
      </c>
      <c r="J1509" s="1">
        <v>0.0</v>
      </c>
      <c r="K1509" s="1">
        <v>0.0</v>
      </c>
    </row>
    <row r="1510">
      <c r="A1510" s="1">
        <v>4.0</v>
      </c>
      <c r="B1510" s="1">
        <v>16.0</v>
      </c>
      <c r="C1510" s="1">
        <v>8.0</v>
      </c>
      <c r="D1510" s="1">
        <v>3.0</v>
      </c>
      <c r="E1510" s="1">
        <v>0.0</v>
      </c>
      <c r="F1510" s="1">
        <v>0.0</v>
      </c>
      <c r="G1510" s="6">
        <v>0.375</v>
      </c>
      <c r="H1510" s="1" t="s">
        <v>161</v>
      </c>
      <c r="I1510" s="1" t="str">
        <f>IFERROR(__xludf.DUMMYFUNCTION("REGEXREPLACE(MID(H1510, SEARCH(""["", H1510) + 1, SEARCH(""]"", H1510) - SEARCH(""["", H1510) - 1), ""\[\]"","""")"),"Dulles Dolls 2")</f>
        <v>Dulles Dolls 2</v>
      </c>
      <c r="J1510" s="1">
        <v>12.0</v>
      </c>
      <c r="K1510" s="1">
        <v>0.0</v>
      </c>
    </row>
    <row r="1511">
      <c r="A1511" s="1">
        <v>1.0</v>
      </c>
      <c r="B1511" s="1">
        <v>4.0</v>
      </c>
      <c r="C1511" s="1">
        <v>1.0</v>
      </c>
      <c r="D1511" s="1">
        <v>4.0</v>
      </c>
      <c r="E1511" s="1">
        <v>0.0</v>
      </c>
      <c r="F1511" s="1">
        <v>0.0</v>
      </c>
      <c r="G1511" s="2">
        <v>1.0</v>
      </c>
      <c r="H1511" s="1" t="s">
        <v>161</v>
      </c>
      <c r="I1511" s="1" t="str">
        <f>IFERROR(__xludf.DUMMYFUNCTION("REGEXREPLACE(MID(H1511, SEARCH(""["", H1511) + 1, SEARCH(""]"", H1511) - SEARCH(""["", H1511) - 1), ""\[\]"","""")"),"Dulles Dolls 2")</f>
        <v>Dulles Dolls 2</v>
      </c>
      <c r="J1511" s="1">
        <v>4.0</v>
      </c>
      <c r="K1511" s="1">
        <v>0.0</v>
      </c>
    </row>
    <row r="1512">
      <c r="A1512" s="1">
        <v>3.0</v>
      </c>
      <c r="B1512" s="1">
        <v>12.0</v>
      </c>
      <c r="C1512" s="1">
        <v>0.0</v>
      </c>
      <c r="D1512" s="1">
        <v>0.0</v>
      </c>
      <c r="E1512" s="1">
        <v>0.0</v>
      </c>
      <c r="F1512" s="1">
        <v>0.0</v>
      </c>
      <c r="G1512" s="2">
        <v>0.0</v>
      </c>
      <c r="H1512" s="1" t="s">
        <v>187</v>
      </c>
      <c r="I1512" s="1" t="str">
        <f>IFERROR(__xludf.DUMMYFUNCTION("REGEXREPLACE(MID(H1512, SEARCH(""["", H1512) + 1, SEARCH(""]"", H1512) - SEARCH(""["", H1512) - 1), ""\[\]"","""")"),"Eastlake HS")</f>
        <v>Eastlake HS</v>
      </c>
      <c r="J1512" s="1">
        <v>0.0</v>
      </c>
      <c r="K1512" s="1">
        <v>0.0</v>
      </c>
    </row>
    <row r="1513">
      <c r="A1513" s="1">
        <v>5.0</v>
      </c>
      <c r="B1513" s="1">
        <v>21.0</v>
      </c>
      <c r="C1513" s="1">
        <v>3.0</v>
      </c>
      <c r="D1513" s="1">
        <v>-0.8</v>
      </c>
      <c r="E1513" s="1">
        <v>0.2</v>
      </c>
      <c r="F1513" s="1">
        <v>0.0</v>
      </c>
      <c r="G1513" s="2">
        <v>0.0</v>
      </c>
      <c r="H1513" s="1" t="s">
        <v>180</v>
      </c>
      <c r="I1513" s="1" t="str">
        <f>IFERROR(__xludf.DUMMYFUNCTION("REGEXREPLACE(MID(H1513, SEARCH(""["", H1513) + 1, SEARCH(""]"", H1513) - SEARCH(""["", H1513) - 1), ""\[\]"","""")"),"Eastlake HS")</f>
        <v>Eastlake HS</v>
      </c>
      <c r="J1513" s="1">
        <v>-4.0</v>
      </c>
      <c r="K1513" s="1">
        <v>1.0</v>
      </c>
    </row>
    <row r="1514">
      <c r="A1514" s="1">
        <v>4.0</v>
      </c>
      <c r="B1514" s="1">
        <v>16.0</v>
      </c>
      <c r="C1514" s="1">
        <v>2.0</v>
      </c>
      <c r="D1514" s="1">
        <v>1.0</v>
      </c>
      <c r="E1514" s="1">
        <v>0.0</v>
      </c>
      <c r="F1514" s="1">
        <v>0.0</v>
      </c>
      <c r="G1514" s="2">
        <v>0.5</v>
      </c>
      <c r="H1514" s="1" t="s">
        <v>189</v>
      </c>
      <c r="I1514" s="1" t="str">
        <f>IFERROR(__xludf.DUMMYFUNCTION("REGEXREPLACE(MID(H1514, SEARCH(""["", H1514) + 1, SEARCH(""]"", H1514) - SEARCH(""["", H1514) - 1), ""\[\]"","""")"),"Eastlake HS")</f>
        <v>Eastlake HS</v>
      </c>
      <c r="J1514" s="1">
        <v>4.0</v>
      </c>
      <c r="K1514" s="1">
        <v>0.0</v>
      </c>
    </row>
    <row r="1515">
      <c r="A1515" s="1">
        <v>5.0</v>
      </c>
      <c r="B1515" s="1">
        <v>21.0</v>
      </c>
      <c r="C1515" s="1">
        <v>10.0</v>
      </c>
      <c r="D1515" s="1">
        <v>4.8</v>
      </c>
      <c r="E1515" s="1">
        <v>0.2</v>
      </c>
      <c r="F1515" s="1">
        <v>0.0</v>
      </c>
      <c r="G1515" s="2">
        <v>0.7</v>
      </c>
      <c r="H1515" s="1" t="s">
        <v>190</v>
      </c>
      <c r="I1515" s="1" t="str">
        <f>IFERROR(__xludf.DUMMYFUNCTION("REGEXREPLACE(MID(H1515, SEARCH(""["", H1515) + 1, SEARCH(""]"", H1515) - SEARCH(""["", H1515) - 1), ""\[\]"","""")"),"Eastlake HS")</f>
        <v>Eastlake HS</v>
      </c>
      <c r="J1515" s="1">
        <v>24.0</v>
      </c>
      <c r="K1515" s="1">
        <v>1.0</v>
      </c>
    </row>
    <row r="1516">
      <c r="A1516" s="1">
        <v>1.0</v>
      </c>
      <c r="B1516" s="1">
        <v>4.0</v>
      </c>
      <c r="C1516" s="1">
        <v>0.0</v>
      </c>
      <c r="D1516" s="1">
        <v>0.0</v>
      </c>
      <c r="E1516" s="1">
        <v>0.0</v>
      </c>
      <c r="F1516" s="1">
        <v>0.0</v>
      </c>
      <c r="G1516" s="2">
        <v>0.0</v>
      </c>
      <c r="H1516" s="1" t="s">
        <v>191</v>
      </c>
      <c r="I1516" s="1" t="str">
        <f>IFERROR(__xludf.DUMMYFUNCTION("REGEXREPLACE(MID(H1516, SEARCH(""["", H1516) + 1, SEARCH(""]"", H1516) - SEARCH(""["", H1516) - 1), ""\[\]"","""")"),"Elkins HS")</f>
        <v>Elkins HS</v>
      </c>
      <c r="J1516" s="1">
        <v>0.0</v>
      </c>
      <c r="K1516" s="1">
        <v>0.0</v>
      </c>
    </row>
    <row r="1517">
      <c r="A1517" s="1">
        <v>3.0</v>
      </c>
      <c r="B1517" s="1">
        <v>12.0</v>
      </c>
      <c r="C1517" s="1">
        <v>0.0</v>
      </c>
      <c r="D1517" s="1">
        <v>0.0</v>
      </c>
      <c r="E1517" s="1">
        <v>0.0</v>
      </c>
      <c r="F1517" s="1">
        <v>0.0</v>
      </c>
      <c r="G1517" s="2">
        <v>0.0</v>
      </c>
      <c r="H1517" s="1" t="s">
        <v>191</v>
      </c>
      <c r="I1517" s="1" t="str">
        <f>IFERROR(__xludf.DUMMYFUNCTION("REGEXREPLACE(MID(H1517, SEARCH(""["", H1517) + 1, SEARCH(""]"", H1517) - SEARCH(""["", H1517) - 1), ""\[\]"","""")"),"Elkins HS")</f>
        <v>Elkins HS</v>
      </c>
      <c r="J1517" s="1">
        <v>0.0</v>
      </c>
      <c r="K1517" s="1">
        <v>0.0</v>
      </c>
    </row>
    <row r="1518">
      <c r="A1518" s="1">
        <v>2.0</v>
      </c>
      <c r="B1518" s="1">
        <v>8.0</v>
      </c>
      <c r="C1518" s="1">
        <v>0.0</v>
      </c>
      <c r="D1518" s="1">
        <v>0.0</v>
      </c>
      <c r="E1518" s="1">
        <v>0.0</v>
      </c>
      <c r="F1518" s="1">
        <v>0.0</v>
      </c>
      <c r="G1518" s="2">
        <v>0.0</v>
      </c>
      <c r="H1518" s="1" t="s">
        <v>192</v>
      </c>
      <c r="I1518" s="1" t="str">
        <f>IFERROR(__xludf.DUMMYFUNCTION("REGEXREPLACE(MID(H1518, SEARCH(""["", H1518) + 1, SEARCH(""]"", H1518) - SEARCH(""["", H1518) - 1), ""\[\]"","""")"),"Elkins HS")</f>
        <v>Elkins HS</v>
      </c>
      <c r="J1518" s="1">
        <v>0.0</v>
      </c>
      <c r="K1518" s="1">
        <v>0.0</v>
      </c>
    </row>
    <row r="1519">
      <c r="A1519" s="1">
        <v>1.0</v>
      </c>
      <c r="B1519" s="1">
        <v>4.0</v>
      </c>
      <c r="C1519" s="1">
        <v>0.0</v>
      </c>
      <c r="D1519" s="1">
        <v>0.0</v>
      </c>
      <c r="E1519" s="1">
        <v>0.0</v>
      </c>
      <c r="F1519" s="1">
        <v>0.0</v>
      </c>
      <c r="G1519" s="2">
        <v>0.0</v>
      </c>
      <c r="H1519" s="1" t="s">
        <v>192</v>
      </c>
      <c r="I1519" s="1" t="str">
        <f>IFERROR(__xludf.DUMMYFUNCTION("REGEXREPLACE(MID(H1519, SEARCH(""["", H1519) + 1, SEARCH(""]"", H1519) - SEARCH(""["", H1519) - 1), ""\[\]"","""")"),"Elkins HS")</f>
        <v>Elkins HS</v>
      </c>
      <c r="J1519" s="1">
        <v>0.0</v>
      </c>
      <c r="K1519" s="1">
        <v>0.0</v>
      </c>
    </row>
    <row r="1520">
      <c r="A1520" s="1">
        <v>1.0</v>
      </c>
      <c r="B1520" s="1">
        <v>4.0</v>
      </c>
      <c r="C1520" s="1">
        <v>0.0</v>
      </c>
      <c r="D1520" s="1">
        <v>0.0</v>
      </c>
      <c r="E1520" s="1">
        <v>0.0</v>
      </c>
      <c r="F1520" s="1">
        <v>0.0</v>
      </c>
      <c r="G1520" s="2">
        <v>0.0</v>
      </c>
      <c r="H1520" s="1" t="s">
        <v>194</v>
      </c>
      <c r="I1520" s="1" t="str">
        <f>IFERROR(__xludf.DUMMYFUNCTION("REGEXREPLACE(MID(H1520, SEARCH(""["", H1520) + 1, SEARCH(""]"", H1520) - SEARCH(""["", H1520) - 1), ""\[\]"","""")"),"Elkins HS")</f>
        <v>Elkins HS</v>
      </c>
      <c r="J1520" s="1">
        <v>0.0</v>
      </c>
      <c r="K1520" s="1">
        <v>0.0</v>
      </c>
    </row>
    <row r="1521">
      <c r="A1521" s="1">
        <v>1.0</v>
      </c>
      <c r="B1521" s="1">
        <v>4.0</v>
      </c>
      <c r="C1521" s="1">
        <v>0.0</v>
      </c>
      <c r="D1521" s="1">
        <v>0.0</v>
      </c>
      <c r="E1521" s="1">
        <v>0.0</v>
      </c>
      <c r="F1521" s="1">
        <v>0.0</v>
      </c>
      <c r="G1521" s="2">
        <v>0.0</v>
      </c>
      <c r="H1521" s="1" t="s">
        <v>194</v>
      </c>
      <c r="I1521" s="1" t="str">
        <f>IFERROR(__xludf.DUMMYFUNCTION("REGEXREPLACE(MID(H1521, SEARCH(""["", H1521) + 1, SEARCH(""]"", H1521) - SEARCH(""["", H1521) - 1), ""\[\]"","""")"),"Elkins HS")</f>
        <v>Elkins HS</v>
      </c>
      <c r="J1521" s="1">
        <v>0.0</v>
      </c>
      <c r="K1521" s="1">
        <v>0.0</v>
      </c>
    </row>
    <row r="1522">
      <c r="A1522" s="1">
        <v>1.0</v>
      </c>
      <c r="B1522" s="1">
        <v>4.0</v>
      </c>
      <c r="C1522" s="1">
        <v>3.0</v>
      </c>
      <c r="D1522" s="1">
        <v>8.0</v>
      </c>
      <c r="E1522" s="1">
        <v>0.0</v>
      </c>
      <c r="F1522" s="1">
        <v>0.0</v>
      </c>
      <c r="G1522" s="6">
        <v>0.667</v>
      </c>
      <c r="H1522" s="1" t="s">
        <v>195</v>
      </c>
      <c r="I1522" s="1" t="str">
        <f>IFERROR(__xludf.DUMMYFUNCTION("REGEXREPLACE(MID(H1522, SEARCH(""["", H1522) + 1, SEARCH(""]"", H1522) - SEARCH(""["", H1522) - 1), ""\[\]"","""")"),"Elkins HS")</f>
        <v>Elkins HS</v>
      </c>
      <c r="J1522" s="1">
        <v>8.0</v>
      </c>
      <c r="K1522" s="1">
        <v>0.0</v>
      </c>
    </row>
    <row r="1523">
      <c r="A1523" s="1">
        <v>4.0</v>
      </c>
      <c r="B1523" s="1">
        <v>17.0</v>
      </c>
      <c r="C1523" s="1">
        <v>6.0</v>
      </c>
      <c r="D1523" s="1">
        <v>3.0</v>
      </c>
      <c r="E1523" s="1">
        <v>0.0</v>
      </c>
      <c r="F1523" s="1">
        <v>0.0</v>
      </c>
      <c r="G1523" s="2">
        <v>0.5</v>
      </c>
      <c r="H1523" s="1" t="s">
        <v>195</v>
      </c>
      <c r="I1523" s="1" t="str">
        <f>IFERROR(__xludf.DUMMYFUNCTION("REGEXREPLACE(MID(H1523, SEARCH(""["", H1523) + 1, SEARCH(""]"", H1523) - SEARCH(""["", H1523) - 1), ""\[\]"","""")"),"Elkins HS")</f>
        <v>Elkins HS</v>
      </c>
      <c r="J1523" s="1">
        <v>12.0</v>
      </c>
      <c r="K1523" s="1">
        <v>0.0</v>
      </c>
    </row>
    <row r="1524">
      <c r="A1524" s="1">
        <v>1.0</v>
      </c>
      <c r="B1524" s="1">
        <v>4.0</v>
      </c>
      <c r="C1524" s="1">
        <v>1.0</v>
      </c>
      <c r="D1524" s="1">
        <v>-4.0</v>
      </c>
      <c r="E1524" s="1">
        <v>1.0</v>
      </c>
      <c r="F1524" s="1">
        <v>0.0</v>
      </c>
      <c r="G1524" s="2">
        <v>0.0</v>
      </c>
      <c r="H1524" s="1" t="s">
        <v>112</v>
      </c>
      <c r="I1524" s="1" t="str">
        <f>IFERROR(__xludf.DUMMYFUNCTION("REGEXREPLACE(MID(H1524, SEARCH(""["", H1524) + 1, SEARCH(""]"", H1524) - SEARCH(""["", H1524) - 1), ""\[\]"","""")"),"Elkins HS")</f>
        <v>Elkins HS</v>
      </c>
      <c r="J1524" s="1">
        <v>-4.0</v>
      </c>
      <c r="K1524" s="1">
        <v>1.0</v>
      </c>
    </row>
    <row r="1525">
      <c r="A1525" s="1">
        <v>4.0</v>
      </c>
      <c r="B1525" s="1">
        <v>17.0</v>
      </c>
      <c r="C1525" s="1">
        <v>4.0</v>
      </c>
      <c r="D1525" s="1">
        <v>3.0</v>
      </c>
      <c r="E1525" s="1">
        <v>0.0</v>
      </c>
      <c r="F1525" s="1">
        <v>0.0</v>
      </c>
      <c r="G1525" s="2">
        <v>0.75</v>
      </c>
      <c r="H1525" s="1" t="s">
        <v>112</v>
      </c>
      <c r="I1525" s="1" t="str">
        <f>IFERROR(__xludf.DUMMYFUNCTION("REGEXREPLACE(MID(H1525, SEARCH(""["", H1525) + 1, SEARCH(""]"", H1525) - SEARCH(""["", H1525) - 1), ""\[\]"","""")"),"Elkins HS")</f>
        <v>Elkins HS</v>
      </c>
      <c r="J1525" s="1">
        <v>12.0</v>
      </c>
      <c r="K1525" s="1">
        <v>0.0</v>
      </c>
    </row>
    <row r="1526">
      <c r="A1526" s="1">
        <v>1.0</v>
      </c>
      <c r="B1526" s="1">
        <v>4.0</v>
      </c>
      <c r="C1526" s="1">
        <v>0.0</v>
      </c>
      <c r="D1526" s="1">
        <v>0.0</v>
      </c>
      <c r="E1526" s="1">
        <v>0.0</v>
      </c>
      <c r="F1526" s="1">
        <v>0.0</v>
      </c>
      <c r="G1526" s="2">
        <v>0.0</v>
      </c>
      <c r="H1526" s="1" t="s">
        <v>196</v>
      </c>
      <c r="I1526" s="1" t="str">
        <f>IFERROR(__xludf.DUMMYFUNCTION("REGEXREPLACE(MID(H1526, SEARCH(""["", H1526) + 1, SEARCH(""]"", H1526) - SEARCH(""["", H1526) - 1), ""\[\]"","""")"),"ENHS")</f>
        <v>ENHS</v>
      </c>
      <c r="J1526" s="1">
        <v>0.0</v>
      </c>
      <c r="K1526" s="1">
        <v>0.0</v>
      </c>
    </row>
    <row r="1527">
      <c r="A1527" s="1">
        <v>5.0</v>
      </c>
      <c r="B1527" s="1">
        <v>19.0</v>
      </c>
      <c r="C1527" s="1">
        <v>6.0</v>
      </c>
      <c r="D1527" s="1">
        <v>0.8</v>
      </c>
      <c r="E1527" s="1">
        <v>0.0</v>
      </c>
      <c r="F1527" s="1">
        <v>0.0</v>
      </c>
      <c r="G1527" s="6">
        <v>0.167</v>
      </c>
      <c r="H1527" s="1" t="s">
        <v>197</v>
      </c>
      <c r="I1527" s="1" t="str">
        <f>IFERROR(__xludf.DUMMYFUNCTION("REGEXREPLACE(MID(H1527, SEARCH(""["", H1527) + 1, SEARCH(""]"", H1527) - SEARCH(""["", H1527) - 1), ""\[\]"","""")"),"ENHS")</f>
        <v>ENHS</v>
      </c>
      <c r="J1527" s="1">
        <v>4.0</v>
      </c>
      <c r="K1527" s="1">
        <v>0.0</v>
      </c>
    </row>
    <row r="1528">
      <c r="A1528" s="1">
        <v>2.0</v>
      </c>
      <c r="B1528" s="1">
        <v>8.0</v>
      </c>
      <c r="C1528" s="1">
        <v>0.0</v>
      </c>
      <c r="D1528" s="1">
        <v>0.0</v>
      </c>
      <c r="E1528" s="1">
        <v>0.0</v>
      </c>
      <c r="F1528" s="1">
        <v>0.0</v>
      </c>
      <c r="G1528" s="2">
        <v>0.0</v>
      </c>
      <c r="H1528" s="1" t="s">
        <v>198</v>
      </c>
      <c r="I1528" s="1" t="str">
        <f>IFERROR(__xludf.DUMMYFUNCTION("REGEXREPLACE(MID(H1528, SEARCH(""["", H1528) + 1, SEARCH(""]"", H1528) - SEARCH(""["", H1528) - 1), ""\[\]"","""")"),"ENHS")</f>
        <v>ENHS</v>
      </c>
      <c r="J1528" s="1">
        <v>0.0</v>
      </c>
      <c r="K1528" s="1">
        <v>0.0</v>
      </c>
    </row>
    <row r="1529">
      <c r="A1529" s="1">
        <v>5.0</v>
      </c>
      <c r="B1529" s="1">
        <v>19.0</v>
      </c>
      <c r="C1529" s="1">
        <v>7.0</v>
      </c>
      <c r="D1529" s="1">
        <v>2.4</v>
      </c>
      <c r="E1529" s="1">
        <v>0.0</v>
      </c>
      <c r="F1529" s="1">
        <v>0.0</v>
      </c>
      <c r="G1529" s="6">
        <v>0.429</v>
      </c>
      <c r="H1529" s="1" t="s">
        <v>199</v>
      </c>
      <c r="I1529" s="1" t="str">
        <f>IFERROR(__xludf.DUMMYFUNCTION("REGEXREPLACE(MID(H1529, SEARCH(""["", H1529) + 1, SEARCH(""]"", H1529) - SEARCH(""["", H1529) - 1), ""\[\]"","""")"),"ENHS")</f>
        <v>ENHS</v>
      </c>
      <c r="J1529" s="1">
        <v>12.0</v>
      </c>
      <c r="K1529" s="1">
        <v>0.0</v>
      </c>
    </row>
    <row r="1530">
      <c r="A1530" s="1">
        <v>3.0</v>
      </c>
      <c r="B1530" s="1">
        <v>12.0</v>
      </c>
      <c r="C1530" s="1">
        <v>0.0</v>
      </c>
      <c r="D1530" s="1">
        <v>0.0</v>
      </c>
      <c r="E1530" s="1">
        <v>0.0</v>
      </c>
      <c r="F1530" s="1">
        <v>0.0</v>
      </c>
      <c r="G1530" s="2">
        <v>0.0</v>
      </c>
      <c r="H1530" s="1" t="s">
        <v>200</v>
      </c>
      <c r="I1530" s="1" t="str">
        <f>IFERROR(__xludf.DUMMYFUNCTION("REGEXREPLACE(MID(H1530, SEARCH(""["", H1530) + 1, SEARCH(""]"", H1530) - SEARCH(""["", H1530) - 1), ""\[\]"","""")"),"Enloe")</f>
        <v>Enloe</v>
      </c>
      <c r="J1530" s="1">
        <v>0.0</v>
      </c>
      <c r="K1530" s="1">
        <v>0.0</v>
      </c>
    </row>
    <row r="1531">
      <c r="A1531" s="1">
        <v>3.0</v>
      </c>
      <c r="B1531" s="1">
        <v>11.0</v>
      </c>
      <c r="C1531" s="1">
        <v>0.0</v>
      </c>
      <c r="D1531" s="1">
        <v>0.0</v>
      </c>
      <c r="E1531" s="1">
        <v>0.0</v>
      </c>
      <c r="F1531" s="1">
        <v>0.0</v>
      </c>
      <c r="G1531" s="2">
        <v>0.0</v>
      </c>
      <c r="H1531" s="1" t="s">
        <v>201</v>
      </c>
      <c r="I1531" s="1" t="str">
        <f>IFERROR(__xludf.DUMMYFUNCTION("REGEXREPLACE(MID(H1531, SEARCH(""["", H1531) + 1, SEARCH(""]"", H1531) - SEARCH(""["", H1531) - 1), ""\[\]"","""")"),"Enloe")</f>
        <v>Enloe</v>
      </c>
      <c r="J1531" s="1">
        <v>0.0</v>
      </c>
      <c r="K1531" s="1">
        <v>0.0</v>
      </c>
    </row>
    <row r="1532">
      <c r="A1532" s="1">
        <v>5.0</v>
      </c>
      <c r="B1532" s="1">
        <v>19.0</v>
      </c>
      <c r="C1532" s="1">
        <v>19.0</v>
      </c>
      <c r="D1532" s="1">
        <v>8.0</v>
      </c>
      <c r="E1532" s="1">
        <v>0.6</v>
      </c>
      <c r="F1532" s="1">
        <v>0.0</v>
      </c>
      <c r="G1532" s="6">
        <v>0.684</v>
      </c>
      <c r="H1532" s="1" t="s">
        <v>70</v>
      </c>
      <c r="I1532" s="1" t="str">
        <f>IFERROR(__xludf.DUMMYFUNCTION("REGEXREPLACE(MID(H1532, SEARCH(""["", H1532) + 1, SEARCH(""]"", H1532) - SEARCH(""["", H1532) - 1), ""\[\]"","""")"),"Enloe")</f>
        <v>Enloe</v>
      </c>
      <c r="J1532" s="1">
        <v>40.0</v>
      </c>
      <c r="K1532" s="1">
        <v>3.0</v>
      </c>
    </row>
    <row r="1533">
      <c r="A1533" s="1">
        <v>1.0</v>
      </c>
      <c r="B1533" s="1">
        <v>4.0</v>
      </c>
      <c r="C1533" s="1">
        <v>0.0</v>
      </c>
      <c r="D1533" s="1">
        <v>0.0</v>
      </c>
      <c r="E1533" s="1">
        <v>0.0</v>
      </c>
      <c r="F1533" s="1">
        <v>0.0</v>
      </c>
      <c r="G1533" s="2">
        <v>0.0</v>
      </c>
      <c r="H1533" s="1" t="s">
        <v>203</v>
      </c>
      <c r="I1533" s="1" t="str">
        <f>IFERROR(__xludf.DUMMYFUNCTION("REGEXREPLACE(MID(H1533, SEARCH(""["", H1533) + 1, SEARCH(""]"", H1533) - SEARCH(""["", H1533) - 1), ""\[\]"","""")"),"Enloe")</f>
        <v>Enloe</v>
      </c>
      <c r="J1533" s="1">
        <v>0.0</v>
      </c>
      <c r="K1533" s="1">
        <v>0.0</v>
      </c>
    </row>
    <row r="1534">
      <c r="A1534" s="1">
        <v>2.0</v>
      </c>
      <c r="B1534" s="1">
        <v>8.0</v>
      </c>
      <c r="C1534" s="1">
        <v>0.0</v>
      </c>
      <c r="D1534" s="1">
        <v>0.0</v>
      </c>
      <c r="E1534" s="1">
        <v>0.0</v>
      </c>
      <c r="F1534" s="1">
        <v>0.0</v>
      </c>
      <c r="G1534" s="2">
        <v>0.0</v>
      </c>
      <c r="H1534" s="1" t="s">
        <v>205</v>
      </c>
      <c r="I1534" s="1" t="str">
        <f>IFERROR(__xludf.DUMMYFUNCTION("REGEXREPLACE(MID(H1534, SEARCH(""["", H1534) + 1, SEARCH(""]"", H1534) - SEARCH(""["", H1534) - 1), ""\[\]"","""")"),"Enloe")</f>
        <v>Enloe</v>
      </c>
      <c r="J1534" s="1">
        <v>0.0</v>
      </c>
      <c r="K1534" s="1">
        <v>0.0</v>
      </c>
    </row>
    <row r="1535">
      <c r="A1535" s="1">
        <v>1.0</v>
      </c>
      <c r="B1535" s="1">
        <v>4.0</v>
      </c>
      <c r="C1535" s="1">
        <v>0.0</v>
      </c>
      <c r="D1535" s="1">
        <v>0.0</v>
      </c>
      <c r="E1535" s="1">
        <v>0.0</v>
      </c>
      <c r="F1535" s="1">
        <v>0.0</v>
      </c>
      <c r="G1535" s="2">
        <v>0.0</v>
      </c>
      <c r="H1535" s="1" t="s">
        <v>206</v>
      </c>
      <c r="I1535" s="1" t="str">
        <f>IFERROR(__xludf.DUMMYFUNCTION("REGEXREPLACE(MID(H1535, SEARCH(""["", H1535) + 1, SEARCH(""]"", H1535) - SEARCH(""["", H1535) - 1), ""\[\]"","""")"),"Frazer")</f>
        <v>Frazer</v>
      </c>
      <c r="J1535" s="1">
        <v>0.0</v>
      </c>
      <c r="K1535" s="1">
        <v>0.0</v>
      </c>
    </row>
    <row r="1536">
      <c r="A1536" s="1">
        <v>5.0</v>
      </c>
      <c r="B1536" s="1">
        <v>20.0</v>
      </c>
      <c r="C1536" s="1">
        <v>15.0</v>
      </c>
      <c r="D1536" s="1">
        <v>11.2</v>
      </c>
      <c r="E1536" s="1">
        <v>0.0</v>
      </c>
      <c r="F1536" s="1">
        <v>0.0</v>
      </c>
      <c r="G1536" s="6">
        <v>0.933</v>
      </c>
      <c r="H1536" s="1" t="s">
        <v>62</v>
      </c>
      <c r="I1536" s="1" t="str">
        <f>IFERROR(__xludf.DUMMYFUNCTION("REGEXREPLACE(MID(H1536, SEARCH(""["", H1536) + 1, SEARCH(""]"", H1536) - SEARCH(""["", H1536) - 1), ""\[\]"","""")"),"Frazer")</f>
        <v>Frazer</v>
      </c>
      <c r="J1536" s="1">
        <v>56.0</v>
      </c>
      <c r="K1536" s="1">
        <v>0.0</v>
      </c>
    </row>
    <row r="1537">
      <c r="A1537" s="1">
        <v>1.0</v>
      </c>
      <c r="B1537" s="1">
        <v>4.0</v>
      </c>
      <c r="C1537" s="1">
        <v>1.0</v>
      </c>
      <c r="D1537" s="1">
        <v>-4.0</v>
      </c>
      <c r="E1537" s="1">
        <v>1.0</v>
      </c>
      <c r="F1537" s="1">
        <v>0.0</v>
      </c>
      <c r="G1537" s="2">
        <v>0.0</v>
      </c>
      <c r="H1537" s="1" t="s">
        <v>208</v>
      </c>
      <c r="I1537" s="1" t="str">
        <f>IFERROR(__xludf.DUMMYFUNCTION("REGEXREPLACE(MID(H1537, SEARCH(""["", H1537) + 1, SEARCH(""]"", H1537) - SEARCH(""["", H1537) - 1), ""\[\]"","""")"),"Frazer")</f>
        <v>Frazer</v>
      </c>
      <c r="J1537" s="1">
        <v>-4.0</v>
      </c>
      <c r="K1537" s="1">
        <v>1.0</v>
      </c>
    </row>
    <row r="1538">
      <c r="A1538" s="1">
        <v>5.0</v>
      </c>
      <c r="B1538" s="1">
        <v>20.0</v>
      </c>
      <c r="C1538" s="1">
        <v>4.0</v>
      </c>
      <c r="D1538" s="1">
        <v>1.6</v>
      </c>
      <c r="E1538" s="1">
        <v>0.0</v>
      </c>
      <c r="F1538" s="1">
        <v>0.0</v>
      </c>
      <c r="G1538" s="2">
        <v>0.5</v>
      </c>
      <c r="H1538" s="1" t="s">
        <v>209</v>
      </c>
      <c r="I1538" s="1" t="str">
        <f>IFERROR(__xludf.DUMMYFUNCTION("REGEXREPLACE(MID(H1538, SEARCH(""["", H1538) + 1, SEARCH(""]"", H1538) - SEARCH(""["", H1538) - 1), ""\[\]"","""")"),"Friendswood")</f>
        <v>Friendswood</v>
      </c>
      <c r="J1538" s="1">
        <v>8.0</v>
      </c>
      <c r="K1538" s="1">
        <v>0.0</v>
      </c>
    </row>
    <row r="1539">
      <c r="A1539" s="1">
        <v>5.0</v>
      </c>
      <c r="B1539" s="1">
        <v>20.0</v>
      </c>
      <c r="C1539" s="1">
        <v>4.0</v>
      </c>
      <c r="D1539" s="1">
        <v>0.8</v>
      </c>
      <c r="E1539" s="1">
        <v>0.0</v>
      </c>
      <c r="F1539" s="1">
        <v>0.0</v>
      </c>
      <c r="G1539" s="2">
        <v>0.25</v>
      </c>
      <c r="H1539" s="1" t="s">
        <v>210</v>
      </c>
      <c r="I1539" s="1" t="str">
        <f>IFERROR(__xludf.DUMMYFUNCTION("REGEXREPLACE(MID(H1539, SEARCH(""["", H1539) + 1, SEARCH(""]"", H1539) - SEARCH(""["", H1539) - 1), ""\[\]"","""")"),"Friendswood")</f>
        <v>Friendswood</v>
      </c>
      <c r="J1539" s="1">
        <v>4.0</v>
      </c>
      <c r="K1539" s="1">
        <v>0.0</v>
      </c>
    </row>
    <row r="1540">
      <c r="A1540" s="1">
        <v>5.0</v>
      </c>
      <c r="B1540" s="1">
        <v>20.0</v>
      </c>
      <c r="C1540" s="1">
        <v>1.0</v>
      </c>
      <c r="D1540" s="1">
        <v>0.0</v>
      </c>
      <c r="E1540" s="1">
        <v>0.0</v>
      </c>
      <c r="F1540" s="1">
        <v>0.0</v>
      </c>
      <c r="G1540" s="2">
        <v>0.0</v>
      </c>
      <c r="H1540" s="1" t="s">
        <v>211</v>
      </c>
      <c r="I1540" s="1" t="str">
        <f>IFERROR(__xludf.DUMMYFUNCTION("REGEXREPLACE(MID(H1540, SEARCH(""["", H1540) + 1, SEARCH(""]"", H1540) - SEARCH(""["", H1540) - 1), ""\[\]"","""")"),"Friendswood")</f>
        <v>Friendswood</v>
      </c>
      <c r="J1540" s="1">
        <v>0.0</v>
      </c>
      <c r="K1540" s="1">
        <v>0.0</v>
      </c>
    </row>
    <row r="1541">
      <c r="A1541" s="1">
        <v>5.0</v>
      </c>
      <c r="B1541" s="1">
        <v>20.0</v>
      </c>
      <c r="C1541" s="1">
        <v>7.0</v>
      </c>
      <c r="D1541" s="1">
        <v>3.2</v>
      </c>
      <c r="E1541" s="1">
        <v>0.0</v>
      </c>
      <c r="F1541" s="1">
        <v>0.0</v>
      </c>
      <c r="G1541" s="6">
        <v>0.571</v>
      </c>
      <c r="H1541" s="1" t="s">
        <v>213</v>
      </c>
      <c r="I1541" s="1" t="str">
        <f>IFERROR(__xludf.DUMMYFUNCTION("REGEXREPLACE(MID(H1541, SEARCH(""["", H1541) + 1, SEARCH(""]"", H1541) - SEARCH(""["", H1541) - 1), ""\[\]"","""")"),"Friendswood")</f>
        <v>Friendswood</v>
      </c>
      <c r="J1541" s="1">
        <v>16.0</v>
      </c>
      <c r="K1541" s="1">
        <v>0.0</v>
      </c>
    </row>
    <row r="1542">
      <c r="A1542" s="1">
        <v>1.0</v>
      </c>
      <c r="B1542" s="1">
        <v>4.0</v>
      </c>
      <c r="C1542" s="1">
        <v>2.0</v>
      </c>
      <c r="D1542" s="1">
        <v>-8.0</v>
      </c>
      <c r="E1542" s="1">
        <v>2.0</v>
      </c>
      <c r="F1542" s="1">
        <v>0.0</v>
      </c>
      <c r="G1542" s="2">
        <v>0.0</v>
      </c>
      <c r="H1542" s="1" t="s">
        <v>214</v>
      </c>
      <c r="I1542" s="1" t="str">
        <f>IFERROR(__xludf.DUMMYFUNCTION("REGEXREPLACE(MID(H1542, SEARCH(""["", H1542) + 1, SEARCH(""]"", H1542) - SEARCH(""["", H1542) - 1), ""\[\]"","""")"),"Galen 1")</f>
        <v>Galen 1</v>
      </c>
      <c r="J1542" s="1">
        <v>-8.0</v>
      </c>
      <c r="K1542" s="1">
        <v>2.0</v>
      </c>
    </row>
    <row r="1543">
      <c r="A1543" s="1">
        <v>2.0</v>
      </c>
      <c r="B1543" s="1">
        <v>8.0</v>
      </c>
      <c r="C1543" s="1">
        <v>5.0</v>
      </c>
      <c r="D1543" s="1">
        <v>6.0</v>
      </c>
      <c r="E1543" s="1">
        <v>0.5</v>
      </c>
      <c r="F1543" s="1">
        <v>0.0</v>
      </c>
      <c r="G1543" s="2">
        <v>0.8</v>
      </c>
      <c r="H1543" s="1" t="s">
        <v>214</v>
      </c>
      <c r="I1543" s="1" t="str">
        <f>IFERROR(__xludf.DUMMYFUNCTION("REGEXREPLACE(MID(H1543, SEARCH(""["", H1543) + 1, SEARCH(""]"", H1543) - SEARCH(""["", H1543) - 1), ""\[\]"","""")"),"Galen 1")</f>
        <v>Galen 1</v>
      </c>
      <c r="J1543" s="1">
        <v>12.0</v>
      </c>
      <c r="K1543" s="1">
        <v>1.0</v>
      </c>
    </row>
    <row r="1544">
      <c r="A1544" s="1">
        <v>1.0</v>
      </c>
      <c r="B1544" s="1">
        <v>4.0</v>
      </c>
      <c r="C1544" s="1">
        <v>1.0</v>
      </c>
      <c r="D1544" s="1">
        <v>4.0</v>
      </c>
      <c r="E1544" s="1">
        <v>0.0</v>
      </c>
      <c r="F1544" s="1">
        <v>0.0</v>
      </c>
      <c r="G1544" s="2">
        <v>1.0</v>
      </c>
      <c r="H1544" s="1" t="s">
        <v>214</v>
      </c>
      <c r="I1544" s="1" t="str">
        <f>IFERROR(__xludf.DUMMYFUNCTION("REGEXREPLACE(MID(H1544, SEARCH(""["", H1544) + 1, SEARCH(""]"", H1544) - SEARCH(""["", H1544) - 1), ""\[\]"","""")"),"Galen 1")</f>
        <v>Galen 1</v>
      </c>
      <c r="J1544" s="1">
        <v>4.0</v>
      </c>
      <c r="K1544" s="1">
        <v>0.0</v>
      </c>
    </row>
    <row r="1545">
      <c r="A1545" s="1">
        <v>1.0</v>
      </c>
      <c r="B1545" s="1">
        <v>4.0</v>
      </c>
      <c r="C1545" s="1">
        <v>0.0</v>
      </c>
      <c r="D1545" s="1">
        <v>0.0</v>
      </c>
      <c r="E1545" s="1">
        <v>0.0</v>
      </c>
      <c r="F1545" s="1">
        <v>0.0</v>
      </c>
      <c r="G1545" s="2">
        <v>0.0</v>
      </c>
      <c r="H1545" s="1" t="s">
        <v>214</v>
      </c>
      <c r="I1545" s="1" t="str">
        <f>IFERROR(__xludf.DUMMYFUNCTION("REGEXREPLACE(MID(H1545, SEARCH(""["", H1545) + 1, SEARCH(""]"", H1545) - SEARCH(""["", H1545) - 1), ""\[\]"","""")"),"Galen 1")</f>
        <v>Galen 1</v>
      </c>
      <c r="J1545" s="1">
        <v>0.0</v>
      </c>
      <c r="K1545" s="1">
        <v>0.0</v>
      </c>
    </row>
    <row r="1546">
      <c r="A1546" s="1">
        <v>2.0</v>
      </c>
      <c r="B1546" s="1">
        <v>8.0</v>
      </c>
      <c r="C1546" s="1">
        <v>0.0</v>
      </c>
      <c r="D1546" s="1">
        <v>0.0</v>
      </c>
      <c r="E1546" s="1">
        <v>0.0</v>
      </c>
      <c r="F1546" s="1">
        <v>0.0</v>
      </c>
      <c r="G1546" s="2">
        <v>0.0</v>
      </c>
      <c r="H1546" s="1" t="s">
        <v>217</v>
      </c>
      <c r="I1546" s="1" t="str">
        <f>IFERROR(__xludf.DUMMYFUNCTION("REGEXREPLACE(MID(H1546, SEARCH(""["", H1546) + 1, SEARCH(""]"", H1546) - SEARCH(""["", H1546) - 1), ""\[\]"","""")"),"Galen 1")</f>
        <v>Galen 1</v>
      </c>
      <c r="J1546" s="1">
        <v>0.0</v>
      </c>
      <c r="K1546" s="1">
        <v>0.0</v>
      </c>
    </row>
    <row r="1547">
      <c r="A1547" s="1">
        <v>1.0</v>
      </c>
      <c r="B1547" s="1">
        <v>4.0</v>
      </c>
      <c r="C1547" s="1">
        <v>0.0</v>
      </c>
      <c r="D1547" s="1">
        <v>0.0</v>
      </c>
      <c r="E1547" s="1">
        <v>0.0</v>
      </c>
      <c r="F1547" s="1">
        <v>0.0</v>
      </c>
      <c r="G1547" s="2">
        <v>0.0</v>
      </c>
      <c r="H1547" s="1" t="s">
        <v>217</v>
      </c>
      <c r="I1547" s="1" t="str">
        <f>IFERROR(__xludf.DUMMYFUNCTION("REGEXREPLACE(MID(H1547, SEARCH(""["", H1547) + 1, SEARCH(""]"", H1547) - SEARCH(""["", H1547) - 1), ""\[\]"","""")"),"Galen 1")</f>
        <v>Galen 1</v>
      </c>
      <c r="J1547" s="1">
        <v>0.0</v>
      </c>
      <c r="K1547" s="1">
        <v>0.0</v>
      </c>
    </row>
    <row r="1548">
      <c r="A1548" s="1">
        <v>3.0</v>
      </c>
      <c r="B1548" s="1">
        <v>12.0</v>
      </c>
      <c r="C1548" s="1">
        <v>3.0</v>
      </c>
      <c r="D1548" s="1">
        <v>4.0</v>
      </c>
      <c r="E1548" s="1">
        <v>0.0</v>
      </c>
      <c r="F1548" s="1">
        <v>0.0</v>
      </c>
      <c r="G1548" s="2">
        <v>1.0</v>
      </c>
      <c r="H1548" s="1" t="s">
        <v>105</v>
      </c>
      <c r="I1548" s="1" t="str">
        <f>IFERROR(__xludf.DUMMYFUNCTION("REGEXREPLACE(MID(H1548, SEARCH(""["", H1548) + 1, SEARCH(""]"", H1548) - SEARCH(""["", H1548) - 1), ""\[\]"","""")"),"Galen 1")</f>
        <v>Galen 1</v>
      </c>
      <c r="J1548" s="1">
        <v>12.0</v>
      </c>
      <c r="K1548" s="1">
        <v>0.0</v>
      </c>
    </row>
    <row r="1549">
      <c r="A1549" s="1">
        <v>1.0</v>
      </c>
      <c r="B1549" s="1">
        <v>4.0</v>
      </c>
      <c r="C1549" s="1">
        <v>2.0</v>
      </c>
      <c r="D1549" s="1">
        <v>0.0</v>
      </c>
      <c r="E1549" s="1">
        <v>1.0</v>
      </c>
      <c r="F1549" s="1">
        <v>0.0</v>
      </c>
      <c r="G1549" s="2">
        <v>0.5</v>
      </c>
      <c r="H1549" s="1" t="s">
        <v>105</v>
      </c>
      <c r="I1549" s="1" t="str">
        <f>IFERROR(__xludf.DUMMYFUNCTION("REGEXREPLACE(MID(H1549, SEARCH(""["", H1549) + 1, SEARCH(""]"", H1549) - SEARCH(""["", H1549) - 1), ""\[\]"","""")"),"Galen 1")</f>
        <v>Galen 1</v>
      </c>
      <c r="J1549" s="1">
        <v>0.0</v>
      </c>
      <c r="K1549" s="1">
        <v>1.0</v>
      </c>
    </row>
    <row r="1550">
      <c r="A1550" s="1">
        <v>1.0</v>
      </c>
      <c r="B1550" s="1">
        <v>4.0</v>
      </c>
      <c r="C1550" s="1">
        <v>2.0</v>
      </c>
      <c r="D1550" s="1">
        <v>4.0</v>
      </c>
      <c r="E1550" s="1">
        <v>0.0</v>
      </c>
      <c r="F1550" s="1">
        <v>0.0</v>
      </c>
      <c r="G1550" s="2">
        <v>0.5</v>
      </c>
      <c r="H1550" s="1" t="s">
        <v>105</v>
      </c>
      <c r="I1550" s="1" t="str">
        <f>IFERROR(__xludf.DUMMYFUNCTION("REGEXREPLACE(MID(H1550, SEARCH(""["", H1550) + 1, SEARCH(""]"", H1550) - SEARCH(""["", H1550) - 1), ""\[\]"","""")"),"Galen 1")</f>
        <v>Galen 1</v>
      </c>
      <c r="J1550" s="1">
        <v>4.0</v>
      </c>
      <c r="K1550" s="1">
        <v>0.0</v>
      </c>
    </row>
    <row r="1551">
      <c r="A1551" s="1">
        <v>1.0</v>
      </c>
      <c r="B1551" s="1">
        <v>4.0</v>
      </c>
      <c r="C1551" s="1">
        <v>1.0</v>
      </c>
      <c r="D1551" s="1">
        <v>4.0</v>
      </c>
      <c r="E1551" s="1">
        <v>0.0</v>
      </c>
      <c r="F1551" s="1">
        <v>0.0</v>
      </c>
      <c r="G1551" s="2">
        <v>1.0</v>
      </c>
      <c r="H1551" s="1" t="s">
        <v>219</v>
      </c>
      <c r="I1551" s="1" t="str">
        <f>IFERROR(__xludf.DUMMYFUNCTION("REGEXREPLACE(MID(H1551, SEARCH(""["", H1551) + 1, SEARCH(""]"", H1551) - SEARCH(""["", H1551) - 1), ""\[\]"","""")"),"Galen 1")</f>
        <v>Galen 1</v>
      </c>
      <c r="J1551" s="1">
        <v>4.0</v>
      </c>
      <c r="K1551" s="1">
        <v>0.0</v>
      </c>
    </row>
    <row r="1552">
      <c r="A1552" s="1">
        <v>1.0</v>
      </c>
      <c r="B1552" s="1">
        <v>4.0</v>
      </c>
      <c r="C1552" s="1">
        <v>0.0</v>
      </c>
      <c r="D1552" s="1">
        <v>0.0</v>
      </c>
      <c r="E1552" s="1">
        <v>0.0</v>
      </c>
      <c r="F1552" s="1">
        <v>0.0</v>
      </c>
      <c r="G1552" s="2">
        <v>0.0</v>
      </c>
      <c r="H1552" s="1" t="s">
        <v>220</v>
      </c>
      <c r="I1552" s="1" t="str">
        <f>IFERROR(__xludf.DUMMYFUNCTION("REGEXREPLACE(MID(H1552, SEARCH(""["", H1552) + 1, SEARCH(""]"", H1552) - SEARCH(""["", H1552) - 1), ""\[\]"","""")"),"Galen 1")</f>
        <v>Galen 1</v>
      </c>
      <c r="J1552" s="1">
        <v>0.0</v>
      </c>
      <c r="K1552" s="1">
        <v>0.0</v>
      </c>
    </row>
    <row r="1553">
      <c r="A1553" s="1">
        <v>2.0</v>
      </c>
      <c r="B1553" s="1">
        <v>8.0</v>
      </c>
      <c r="C1553" s="1">
        <v>0.0</v>
      </c>
      <c r="D1553" s="1">
        <v>0.0</v>
      </c>
      <c r="E1553" s="1">
        <v>0.0</v>
      </c>
      <c r="F1553" s="1">
        <v>0.0</v>
      </c>
      <c r="G1553" s="2">
        <v>0.0</v>
      </c>
      <c r="H1553" s="1" t="s">
        <v>220</v>
      </c>
      <c r="I1553" s="1" t="str">
        <f>IFERROR(__xludf.DUMMYFUNCTION("REGEXREPLACE(MID(H1553, SEARCH(""["", H1553) + 1, SEARCH(""]"", H1553) - SEARCH(""["", H1553) - 1), ""\[\]"","""")"),"Galen 1")</f>
        <v>Galen 1</v>
      </c>
      <c r="J1553" s="1">
        <v>0.0</v>
      </c>
      <c r="K1553" s="1">
        <v>0.0</v>
      </c>
    </row>
    <row r="1554">
      <c r="A1554" s="1">
        <v>1.0</v>
      </c>
      <c r="B1554" s="1">
        <v>4.0</v>
      </c>
      <c r="C1554" s="1">
        <v>0.0</v>
      </c>
      <c r="D1554" s="1">
        <v>0.0</v>
      </c>
      <c r="E1554" s="1">
        <v>0.0</v>
      </c>
      <c r="F1554" s="1">
        <v>0.0</v>
      </c>
      <c r="G1554" s="2">
        <v>0.0</v>
      </c>
      <c r="H1554" s="1" t="s">
        <v>220</v>
      </c>
      <c r="I1554" s="1" t="str">
        <f>IFERROR(__xludf.DUMMYFUNCTION("REGEXREPLACE(MID(H1554, SEARCH(""["", H1554) + 1, SEARCH(""]"", H1554) - SEARCH(""["", H1554) - 1), ""\[\]"","""")"),"Galen 1")</f>
        <v>Galen 1</v>
      </c>
      <c r="J1554" s="1">
        <v>0.0</v>
      </c>
      <c r="K1554" s="1">
        <v>0.0</v>
      </c>
    </row>
    <row r="1555">
      <c r="A1555" s="1">
        <v>1.0</v>
      </c>
      <c r="B1555" s="1">
        <v>4.0</v>
      </c>
      <c r="C1555" s="1">
        <v>0.0</v>
      </c>
      <c r="D1555" s="1">
        <v>0.0</v>
      </c>
      <c r="E1555" s="1">
        <v>0.0</v>
      </c>
      <c r="F1555" s="1">
        <v>0.0</v>
      </c>
      <c r="G1555" s="2">
        <v>0.0</v>
      </c>
      <c r="H1555" s="1" t="s">
        <v>220</v>
      </c>
      <c r="I1555" s="1" t="str">
        <f>IFERROR(__xludf.DUMMYFUNCTION("REGEXREPLACE(MID(H1555, SEARCH(""["", H1555) + 1, SEARCH(""]"", H1555) - SEARCH(""["", H1555) - 1), ""\[\]"","""")"),"Galen 1")</f>
        <v>Galen 1</v>
      </c>
      <c r="J1555" s="1">
        <v>0.0</v>
      </c>
      <c r="K1555" s="1">
        <v>0.0</v>
      </c>
    </row>
    <row r="1556">
      <c r="A1556" s="1">
        <v>4.0</v>
      </c>
      <c r="B1556" s="1">
        <v>18.0</v>
      </c>
      <c r="C1556" s="1">
        <v>0.0</v>
      </c>
      <c r="D1556" s="1">
        <v>0.0</v>
      </c>
      <c r="E1556" s="1">
        <v>0.0</v>
      </c>
      <c r="F1556" s="1">
        <v>0.0</v>
      </c>
      <c r="G1556" s="2">
        <v>0.0</v>
      </c>
      <c r="H1556" s="1" t="s">
        <v>222</v>
      </c>
      <c r="I1556" s="1" t="str">
        <f>IFERROR(__xludf.DUMMYFUNCTION("REGEXREPLACE(MID(H1556, SEARCH(""["", H1556) + 1, SEARCH(""]"", H1556) - SEARCH(""["", H1556) - 1), ""\[\]"","""")"),"Galen 2")</f>
        <v>Galen 2</v>
      </c>
      <c r="J1556" s="1">
        <v>0.0</v>
      </c>
      <c r="K1556" s="1">
        <v>0.0</v>
      </c>
    </row>
    <row r="1557">
      <c r="A1557" s="1">
        <v>1.0</v>
      </c>
      <c r="B1557" s="1">
        <v>4.0</v>
      </c>
      <c r="C1557" s="1">
        <v>2.0</v>
      </c>
      <c r="D1557" s="1">
        <v>0.0</v>
      </c>
      <c r="E1557" s="1">
        <v>1.0</v>
      </c>
      <c r="F1557" s="1">
        <v>0.0</v>
      </c>
      <c r="G1557" s="2">
        <v>0.5</v>
      </c>
      <c r="H1557" s="1" t="s">
        <v>222</v>
      </c>
      <c r="I1557" s="1" t="str">
        <f>IFERROR(__xludf.DUMMYFUNCTION("REGEXREPLACE(MID(H1557, SEARCH(""["", H1557) + 1, SEARCH(""]"", H1557) - SEARCH(""["", H1557) - 1), ""\[\]"","""")"),"Galen 2")</f>
        <v>Galen 2</v>
      </c>
      <c r="J1557" s="1">
        <v>0.0</v>
      </c>
      <c r="K1557" s="1">
        <v>1.0</v>
      </c>
    </row>
    <row r="1558">
      <c r="A1558" s="1">
        <v>2.0</v>
      </c>
      <c r="B1558" s="1">
        <v>9.0</v>
      </c>
      <c r="C1558" s="1">
        <v>1.0</v>
      </c>
      <c r="D1558" s="1">
        <v>2.0</v>
      </c>
      <c r="E1558" s="1">
        <v>0.0</v>
      </c>
      <c r="F1558" s="1">
        <v>0.0</v>
      </c>
      <c r="G1558" s="2">
        <v>1.0</v>
      </c>
      <c r="H1558" s="1" t="s">
        <v>224</v>
      </c>
      <c r="I1558" s="1" t="str">
        <f>IFERROR(__xludf.DUMMYFUNCTION("REGEXREPLACE(MID(H1558, SEARCH(""["", H1558) + 1, SEARCH(""]"", H1558) - SEARCH(""["", H1558) - 1), ""\[\]"","""")"),"Galen 2")</f>
        <v>Galen 2</v>
      </c>
      <c r="J1558" s="1">
        <v>4.0</v>
      </c>
      <c r="K1558" s="1">
        <v>0.0</v>
      </c>
    </row>
    <row r="1559">
      <c r="A1559" s="1">
        <v>5.0</v>
      </c>
      <c r="B1559" s="1">
        <v>22.0</v>
      </c>
      <c r="C1559" s="1">
        <v>12.0</v>
      </c>
      <c r="D1559" s="1">
        <v>7.2</v>
      </c>
      <c r="E1559" s="1">
        <v>0.2</v>
      </c>
      <c r="F1559" s="1">
        <v>0.0</v>
      </c>
      <c r="G1559" s="6">
        <v>0.833</v>
      </c>
      <c r="H1559" s="1" t="s">
        <v>47</v>
      </c>
      <c r="I1559" s="1" t="str">
        <f>IFERROR(__xludf.DUMMYFUNCTION("REGEXREPLACE(MID(H1559, SEARCH(""["", H1559) + 1, SEARCH(""]"", H1559) - SEARCH(""["", H1559) - 1), ""\[\]"","""")"),"Galen 2")</f>
        <v>Galen 2</v>
      </c>
      <c r="J1559" s="1">
        <v>36.0</v>
      </c>
      <c r="K1559" s="1">
        <v>1.0</v>
      </c>
    </row>
    <row r="1560">
      <c r="A1560" s="1">
        <v>1.0</v>
      </c>
      <c r="B1560" s="1">
        <v>5.0</v>
      </c>
      <c r="C1560" s="1">
        <v>0.0</v>
      </c>
      <c r="D1560" s="1">
        <v>0.0</v>
      </c>
      <c r="E1560" s="1">
        <v>0.0</v>
      </c>
      <c r="F1560" s="1">
        <v>0.0</v>
      </c>
      <c r="G1560" s="2">
        <v>0.0</v>
      </c>
      <c r="H1560" s="1" t="s">
        <v>225</v>
      </c>
      <c r="I1560" s="1" t="str">
        <f>IFERROR(__xludf.DUMMYFUNCTION("REGEXREPLACE(MID(H1560, SEARCH(""["", H1560) + 1, SEARCH(""]"", H1560) - SEARCH(""["", H1560) - 1), ""\[\]"","""")"),"Galen 2")</f>
        <v>Galen 2</v>
      </c>
      <c r="J1560" s="1">
        <v>0.0</v>
      </c>
      <c r="K1560" s="1">
        <v>0.0</v>
      </c>
    </row>
    <row r="1561">
      <c r="A1561" s="1">
        <v>1.0</v>
      </c>
      <c r="B1561" s="1">
        <v>4.0</v>
      </c>
      <c r="C1561" s="1">
        <v>0.0</v>
      </c>
      <c r="D1561" s="1">
        <v>0.0</v>
      </c>
      <c r="E1561" s="1">
        <v>0.0</v>
      </c>
      <c r="F1561" s="1">
        <v>0.0</v>
      </c>
      <c r="G1561" s="2">
        <v>0.0</v>
      </c>
      <c r="H1561" s="1" t="s">
        <v>226</v>
      </c>
      <c r="I1561" s="1" t="str">
        <f>IFERROR(__xludf.DUMMYFUNCTION("REGEXREPLACE(MID(H1561, SEARCH(""["", H1561) + 1, SEARCH(""]"", H1561) - SEARCH(""["", H1561) - 1), ""\[\]"","""")"),"Green Hope HS")</f>
        <v>Green Hope HS</v>
      </c>
      <c r="J1561" s="1">
        <v>0.0</v>
      </c>
      <c r="K1561" s="1">
        <v>0.0</v>
      </c>
    </row>
    <row r="1562">
      <c r="A1562" s="1">
        <v>3.0</v>
      </c>
      <c r="B1562" s="1">
        <v>11.0</v>
      </c>
      <c r="C1562" s="1">
        <v>2.0</v>
      </c>
      <c r="D1562" s="1">
        <v>0.0</v>
      </c>
      <c r="E1562" s="1">
        <v>0.33</v>
      </c>
      <c r="F1562" s="1">
        <v>0.0</v>
      </c>
      <c r="G1562" s="2">
        <v>0.5</v>
      </c>
      <c r="H1562" s="1" t="s">
        <v>226</v>
      </c>
      <c r="I1562" s="1" t="str">
        <f>IFERROR(__xludf.DUMMYFUNCTION("REGEXREPLACE(MID(H1562, SEARCH(""["", H1562) + 1, SEARCH(""]"", H1562) - SEARCH(""["", H1562) - 1), ""\[\]"","""")"),"Green Hope HS")</f>
        <v>Green Hope HS</v>
      </c>
      <c r="J1562" s="1">
        <v>0.0</v>
      </c>
      <c r="K1562" s="1">
        <v>1.0</v>
      </c>
    </row>
    <row r="1563">
      <c r="A1563" s="1">
        <v>1.0</v>
      </c>
      <c r="B1563" s="1">
        <v>4.0</v>
      </c>
      <c r="C1563" s="1">
        <v>0.0</v>
      </c>
      <c r="D1563" s="1">
        <v>0.0</v>
      </c>
      <c r="E1563" s="1">
        <v>0.0</v>
      </c>
      <c r="F1563" s="1">
        <v>0.0</v>
      </c>
      <c r="G1563" s="2">
        <v>0.0</v>
      </c>
      <c r="H1563" s="1" t="s">
        <v>227</v>
      </c>
      <c r="I1563" s="1" t="str">
        <f>IFERROR(__xludf.DUMMYFUNCTION("REGEXREPLACE(MID(H1563, SEARCH(""["", H1563) + 1, SEARCH(""]"", H1563) - SEARCH(""["", H1563) - 1), ""\[\]"","""")"),"Green Hope HS")</f>
        <v>Green Hope HS</v>
      </c>
      <c r="J1563" s="1">
        <v>0.0</v>
      </c>
      <c r="K1563" s="1">
        <v>0.0</v>
      </c>
    </row>
    <row r="1564">
      <c r="A1564" s="1">
        <v>1.0</v>
      </c>
      <c r="B1564" s="1">
        <v>4.0</v>
      </c>
      <c r="C1564" s="1">
        <v>0.0</v>
      </c>
      <c r="D1564" s="1">
        <v>0.0</v>
      </c>
      <c r="E1564" s="1">
        <v>0.0</v>
      </c>
      <c r="F1564" s="1">
        <v>0.0</v>
      </c>
      <c r="G1564" s="2">
        <v>0.0</v>
      </c>
      <c r="H1564" s="1" t="s">
        <v>227</v>
      </c>
      <c r="I1564" s="1" t="str">
        <f>IFERROR(__xludf.DUMMYFUNCTION("REGEXREPLACE(MID(H1564, SEARCH(""["", H1564) + 1, SEARCH(""]"", H1564) - SEARCH(""["", H1564) - 1), ""\[\]"","""")"),"Green Hope HS")</f>
        <v>Green Hope HS</v>
      </c>
      <c r="J1564" s="1">
        <v>0.0</v>
      </c>
      <c r="K1564" s="1">
        <v>0.0</v>
      </c>
    </row>
    <row r="1565">
      <c r="A1565" s="1">
        <v>3.0</v>
      </c>
      <c r="B1565" s="1">
        <v>11.0</v>
      </c>
      <c r="C1565" s="1">
        <v>2.0</v>
      </c>
      <c r="D1565" s="1">
        <v>0.0</v>
      </c>
      <c r="E1565" s="1">
        <v>0.0</v>
      </c>
      <c r="F1565" s="1">
        <v>0.0</v>
      </c>
      <c r="G1565" s="2">
        <v>0.0</v>
      </c>
      <c r="H1565" s="1" t="s">
        <v>227</v>
      </c>
      <c r="I1565" s="1" t="str">
        <f>IFERROR(__xludf.DUMMYFUNCTION("REGEXREPLACE(MID(H1565, SEARCH(""["", H1565) + 1, SEARCH(""]"", H1565) - SEARCH(""["", H1565) - 1), ""\[\]"","""")"),"Green Hope HS")</f>
        <v>Green Hope HS</v>
      </c>
      <c r="J1565" s="1">
        <v>0.0</v>
      </c>
      <c r="K1565" s="1">
        <v>0.0</v>
      </c>
    </row>
    <row r="1566">
      <c r="A1566" s="1">
        <v>1.0</v>
      </c>
      <c r="B1566" s="1">
        <v>4.0</v>
      </c>
      <c r="C1566" s="1">
        <v>0.0</v>
      </c>
      <c r="D1566" s="1">
        <v>0.0</v>
      </c>
      <c r="E1566" s="1">
        <v>0.0</v>
      </c>
      <c r="F1566" s="1">
        <v>0.0</v>
      </c>
      <c r="G1566" s="2">
        <v>0.0</v>
      </c>
      <c r="H1566" s="1" t="s">
        <v>229</v>
      </c>
      <c r="I1566" s="1" t="str">
        <f>IFERROR(__xludf.DUMMYFUNCTION("REGEXREPLACE(MID(H1566, SEARCH(""["", H1566) + 1, SEARCH(""]"", H1566) - SEARCH(""["", H1566) - 1), ""\[\]"","""")"),"Green Hope HS")</f>
        <v>Green Hope HS</v>
      </c>
      <c r="J1566" s="1">
        <v>0.0</v>
      </c>
      <c r="K1566" s="1">
        <v>0.0</v>
      </c>
    </row>
    <row r="1567">
      <c r="A1567" s="1">
        <v>1.0</v>
      </c>
      <c r="B1567" s="1">
        <v>4.0</v>
      </c>
      <c r="C1567" s="1">
        <v>0.0</v>
      </c>
      <c r="D1567" s="1">
        <v>0.0</v>
      </c>
      <c r="E1567" s="1">
        <v>0.0</v>
      </c>
      <c r="F1567" s="1">
        <v>0.0</v>
      </c>
      <c r="G1567" s="2">
        <v>0.0</v>
      </c>
      <c r="H1567" s="1" t="s">
        <v>229</v>
      </c>
      <c r="I1567" s="1" t="str">
        <f>IFERROR(__xludf.DUMMYFUNCTION("REGEXREPLACE(MID(H1567, SEARCH(""["", H1567) + 1, SEARCH(""]"", H1567) - SEARCH(""["", H1567) - 1), ""\[\]"","""")"),"Green Hope HS")</f>
        <v>Green Hope HS</v>
      </c>
      <c r="J1567" s="1">
        <v>0.0</v>
      </c>
      <c r="K1567" s="1">
        <v>0.0</v>
      </c>
    </row>
    <row r="1568">
      <c r="A1568" s="1">
        <v>2.0</v>
      </c>
      <c r="B1568" s="1">
        <v>7.0</v>
      </c>
      <c r="C1568" s="1">
        <v>0.0</v>
      </c>
      <c r="D1568" s="1">
        <v>0.0</v>
      </c>
      <c r="E1568" s="1">
        <v>0.0</v>
      </c>
      <c r="F1568" s="1">
        <v>0.0</v>
      </c>
      <c r="G1568" s="2">
        <v>0.0</v>
      </c>
      <c r="H1568" s="1" t="s">
        <v>229</v>
      </c>
      <c r="I1568" s="1" t="str">
        <f>IFERROR(__xludf.DUMMYFUNCTION("REGEXREPLACE(MID(H1568, SEARCH(""["", H1568) + 1, SEARCH(""]"", H1568) - SEARCH(""["", H1568) - 1), ""\[\]"","""")"),"Green Hope HS")</f>
        <v>Green Hope HS</v>
      </c>
      <c r="J1568" s="1">
        <v>0.0</v>
      </c>
      <c r="K1568" s="1">
        <v>0.0</v>
      </c>
    </row>
    <row r="1569">
      <c r="A1569" s="1">
        <v>1.0</v>
      </c>
      <c r="B1569" s="1">
        <v>4.0</v>
      </c>
      <c r="C1569" s="1">
        <v>0.0</v>
      </c>
      <c r="D1569" s="1">
        <v>0.0</v>
      </c>
      <c r="E1569" s="1">
        <v>0.0</v>
      </c>
      <c r="F1569" s="1">
        <v>0.0</v>
      </c>
      <c r="G1569" s="2">
        <v>0.0</v>
      </c>
      <c r="H1569" s="1" t="s">
        <v>232</v>
      </c>
      <c r="I1569" s="1" t="str">
        <f>IFERROR(__xludf.DUMMYFUNCTION("REGEXREPLACE(MID(H1569, SEARCH(""["", H1569) + 1, SEARCH(""]"", H1569) - SEARCH(""["", H1569) - 1), ""\[\]"","""")"),"Green Hope HS")</f>
        <v>Green Hope HS</v>
      </c>
      <c r="J1569" s="1">
        <v>0.0</v>
      </c>
      <c r="K1569" s="1">
        <v>0.0</v>
      </c>
    </row>
    <row r="1570">
      <c r="A1570" s="1">
        <v>1.0</v>
      </c>
      <c r="B1570" s="1">
        <v>4.0</v>
      </c>
      <c r="C1570" s="1">
        <v>1.0</v>
      </c>
      <c r="D1570" s="1">
        <v>4.0</v>
      </c>
      <c r="E1570" s="1">
        <v>0.0</v>
      </c>
      <c r="F1570" s="1">
        <v>0.0</v>
      </c>
      <c r="G1570" s="2">
        <v>1.0</v>
      </c>
      <c r="H1570" s="1" t="s">
        <v>232</v>
      </c>
      <c r="I1570" s="1" t="str">
        <f>IFERROR(__xludf.DUMMYFUNCTION("REGEXREPLACE(MID(H1570, SEARCH(""["", H1570) + 1, SEARCH(""]"", H1570) - SEARCH(""["", H1570) - 1), ""\[\]"","""")"),"Green Hope HS")</f>
        <v>Green Hope HS</v>
      </c>
      <c r="J1570" s="1">
        <v>4.0</v>
      </c>
      <c r="K1570" s="1">
        <v>0.0</v>
      </c>
    </row>
    <row r="1571">
      <c r="A1571" s="1">
        <v>3.0</v>
      </c>
      <c r="B1571" s="1">
        <v>11.0</v>
      </c>
      <c r="C1571" s="1">
        <v>0.0</v>
      </c>
      <c r="D1571" s="1">
        <v>0.0</v>
      </c>
      <c r="E1571" s="1">
        <v>0.0</v>
      </c>
      <c r="F1571" s="1">
        <v>0.0</v>
      </c>
      <c r="G1571" s="2">
        <v>0.0</v>
      </c>
      <c r="H1571" s="1" t="s">
        <v>232</v>
      </c>
      <c r="I1571" s="1" t="str">
        <f>IFERROR(__xludf.DUMMYFUNCTION("REGEXREPLACE(MID(H1571, SEARCH(""["", H1571) + 1, SEARCH(""]"", H1571) - SEARCH(""["", H1571) - 1), ""\[\]"","""")"),"Green Hope HS")</f>
        <v>Green Hope HS</v>
      </c>
      <c r="J1571" s="1">
        <v>0.0</v>
      </c>
      <c r="K1571" s="1">
        <v>0.0</v>
      </c>
    </row>
    <row r="1572">
      <c r="A1572" s="1">
        <v>1.0</v>
      </c>
      <c r="B1572" s="1">
        <v>4.0</v>
      </c>
      <c r="C1572" s="1">
        <v>1.0</v>
      </c>
      <c r="D1572" s="1">
        <v>4.0</v>
      </c>
      <c r="E1572" s="1">
        <v>0.0</v>
      </c>
      <c r="F1572" s="1">
        <v>0.0</v>
      </c>
      <c r="G1572" s="2">
        <v>1.0</v>
      </c>
      <c r="H1572" s="1" t="s">
        <v>233</v>
      </c>
      <c r="I1572" s="1" t="str">
        <f>IFERROR(__xludf.DUMMYFUNCTION("REGEXREPLACE(MID(H1572, SEARCH(""["", H1572) + 1, SEARCH(""]"", H1572) - SEARCH(""["", H1572) - 1), ""\[\]"","""")"),"Green Hope HS")</f>
        <v>Green Hope HS</v>
      </c>
      <c r="J1572" s="1">
        <v>4.0</v>
      </c>
      <c r="K1572" s="1">
        <v>0.0</v>
      </c>
    </row>
    <row r="1573">
      <c r="A1573" s="1">
        <v>1.0</v>
      </c>
      <c r="B1573" s="1">
        <v>4.0</v>
      </c>
      <c r="C1573" s="1">
        <v>2.0</v>
      </c>
      <c r="D1573" s="1">
        <v>4.0</v>
      </c>
      <c r="E1573" s="1">
        <v>0.0</v>
      </c>
      <c r="F1573" s="1">
        <v>0.0</v>
      </c>
      <c r="G1573" s="2">
        <v>0.5</v>
      </c>
      <c r="H1573" s="1" t="s">
        <v>233</v>
      </c>
      <c r="I1573" s="1" t="str">
        <f>IFERROR(__xludf.DUMMYFUNCTION("REGEXREPLACE(MID(H1573, SEARCH(""["", H1573) + 1, SEARCH(""]"", H1573) - SEARCH(""["", H1573) - 1), ""\[\]"","""")"),"Green Hope HS")</f>
        <v>Green Hope HS</v>
      </c>
      <c r="J1573" s="1">
        <v>4.0</v>
      </c>
      <c r="K1573" s="1">
        <v>0.0</v>
      </c>
    </row>
    <row r="1574">
      <c r="A1574" s="1">
        <v>1.0</v>
      </c>
      <c r="B1574" s="1">
        <v>4.0</v>
      </c>
      <c r="C1574" s="1">
        <v>1.0</v>
      </c>
      <c r="D1574" s="1">
        <v>4.0</v>
      </c>
      <c r="E1574" s="1">
        <v>0.0</v>
      </c>
      <c r="F1574" s="1">
        <v>0.0</v>
      </c>
      <c r="G1574" s="2">
        <v>1.0</v>
      </c>
      <c r="H1574" s="1" t="s">
        <v>233</v>
      </c>
      <c r="I1574" s="1" t="str">
        <f>IFERROR(__xludf.DUMMYFUNCTION("REGEXREPLACE(MID(H1574, SEARCH(""["", H1574) + 1, SEARCH(""]"", H1574) - SEARCH(""["", H1574) - 1), ""\[\]"","""")"),"Green Hope HS")</f>
        <v>Green Hope HS</v>
      </c>
      <c r="J1574" s="1">
        <v>4.0</v>
      </c>
      <c r="K1574" s="1">
        <v>0.0</v>
      </c>
    </row>
    <row r="1575">
      <c r="A1575" s="1">
        <v>1.0</v>
      </c>
      <c r="B1575" s="1">
        <v>4.0</v>
      </c>
      <c r="C1575" s="1">
        <v>1.0</v>
      </c>
      <c r="D1575" s="1">
        <v>0.0</v>
      </c>
      <c r="E1575" s="1">
        <v>0.0</v>
      </c>
      <c r="F1575" s="1">
        <v>0.0</v>
      </c>
      <c r="G1575" s="2">
        <v>0.0</v>
      </c>
      <c r="H1575" s="1" t="s">
        <v>233</v>
      </c>
      <c r="I1575" s="1" t="str">
        <f>IFERROR(__xludf.DUMMYFUNCTION("REGEXREPLACE(MID(H1575, SEARCH(""["", H1575) + 1, SEARCH(""]"", H1575) - SEARCH(""["", H1575) - 1), ""\[\]"","""")"),"Green Hope HS")</f>
        <v>Green Hope HS</v>
      </c>
      <c r="J1575" s="1">
        <v>0.0</v>
      </c>
      <c r="K1575" s="1">
        <v>0.0</v>
      </c>
    </row>
    <row r="1576">
      <c r="A1576" s="1">
        <v>2.0</v>
      </c>
      <c r="B1576" s="1">
        <v>7.0</v>
      </c>
      <c r="C1576" s="1">
        <v>0.0</v>
      </c>
      <c r="D1576" s="1">
        <v>0.0</v>
      </c>
      <c r="E1576" s="1">
        <v>0.0</v>
      </c>
      <c r="F1576" s="1">
        <v>0.0</v>
      </c>
      <c r="G1576" s="2">
        <v>0.0</v>
      </c>
      <c r="H1576" s="1" t="s">
        <v>234</v>
      </c>
      <c r="I1576" s="1" t="str">
        <f>IFERROR(__xludf.DUMMYFUNCTION("REGEXREPLACE(MID(H1576, SEARCH(""["", H1576) + 1, SEARCH(""]"", H1576) - SEARCH(""["", H1576) - 1), ""\[\]"","""")"),"Gunn Varsity")</f>
        <v>Gunn Varsity</v>
      </c>
      <c r="J1576" s="1">
        <v>0.0</v>
      </c>
      <c r="K1576" s="1">
        <v>0.0</v>
      </c>
    </row>
    <row r="1577">
      <c r="A1577" s="1">
        <v>1.0</v>
      </c>
      <c r="B1577" s="1">
        <v>4.0</v>
      </c>
      <c r="C1577" s="1">
        <v>2.0</v>
      </c>
      <c r="D1577" s="1">
        <v>8.0</v>
      </c>
      <c r="E1577" s="1">
        <v>0.0</v>
      </c>
      <c r="F1577" s="1">
        <v>0.0</v>
      </c>
      <c r="G1577" s="2">
        <v>1.0</v>
      </c>
      <c r="H1577" s="1" t="s">
        <v>153</v>
      </c>
      <c r="I1577" s="1" t="str">
        <f>IFERROR(__xludf.DUMMYFUNCTION("REGEXREPLACE(MID(H1577, SEARCH(""["", H1577) + 1, SEARCH(""]"", H1577) - SEARCH(""["", H1577) - 1), ""\[\]"","""")"),"Gunn Varsity")</f>
        <v>Gunn Varsity</v>
      </c>
      <c r="J1577" s="1">
        <v>8.0</v>
      </c>
      <c r="K1577" s="1">
        <v>0.0</v>
      </c>
    </row>
    <row r="1578">
      <c r="A1578" s="1">
        <v>4.0</v>
      </c>
      <c r="B1578" s="1">
        <v>15.0</v>
      </c>
      <c r="C1578" s="1">
        <v>0.0</v>
      </c>
      <c r="D1578" s="1">
        <v>0.0</v>
      </c>
      <c r="E1578" s="1">
        <v>0.0</v>
      </c>
      <c r="F1578" s="1">
        <v>0.0</v>
      </c>
      <c r="G1578" s="2">
        <v>0.0</v>
      </c>
      <c r="H1578" s="1" t="s">
        <v>235</v>
      </c>
      <c r="I1578" s="1" t="str">
        <f>IFERROR(__xludf.DUMMYFUNCTION("REGEXREPLACE(MID(H1578, SEARCH(""["", H1578) + 1, SEARCH(""]"", H1578) - SEARCH(""["", H1578) - 1), ""\[\]"","""")"),"Gunn Varsity")</f>
        <v>Gunn Varsity</v>
      </c>
      <c r="J1578" s="1">
        <v>0.0</v>
      </c>
      <c r="K1578" s="1">
        <v>0.0</v>
      </c>
    </row>
    <row r="1579">
      <c r="A1579" s="1">
        <v>4.0</v>
      </c>
      <c r="B1579" s="1">
        <v>15.0</v>
      </c>
      <c r="C1579" s="1">
        <v>2.0</v>
      </c>
      <c r="D1579" s="1">
        <v>0.0</v>
      </c>
      <c r="E1579" s="1">
        <v>0.0</v>
      </c>
      <c r="F1579" s="1">
        <v>0.0</v>
      </c>
      <c r="G1579" s="2">
        <v>0.0</v>
      </c>
      <c r="H1579" s="1" t="s">
        <v>202</v>
      </c>
      <c r="I1579" s="1" t="str">
        <f>IFERROR(__xludf.DUMMYFUNCTION("REGEXREPLACE(MID(H1579, SEARCH(""["", H1579) + 1, SEARCH(""]"", H1579) - SEARCH(""["", H1579) - 1), ""\[\]"","""")"),"Gunn Varsity")</f>
        <v>Gunn Varsity</v>
      </c>
      <c r="J1579" s="1">
        <v>0.0</v>
      </c>
      <c r="K1579" s="1">
        <v>0.0</v>
      </c>
    </row>
    <row r="1580">
      <c r="A1580" s="1">
        <v>1.0</v>
      </c>
      <c r="B1580" s="1">
        <v>4.0</v>
      </c>
      <c r="C1580" s="1">
        <v>0.0</v>
      </c>
      <c r="D1580" s="1">
        <v>0.0</v>
      </c>
      <c r="E1580" s="1">
        <v>0.0</v>
      </c>
      <c r="F1580" s="1">
        <v>0.0</v>
      </c>
      <c r="G1580" s="2">
        <v>0.0</v>
      </c>
      <c r="H1580" s="1" t="s">
        <v>202</v>
      </c>
      <c r="I1580" s="1" t="str">
        <f>IFERROR(__xludf.DUMMYFUNCTION("REGEXREPLACE(MID(H1580, SEARCH(""["", H1580) + 1, SEARCH(""]"", H1580) - SEARCH(""["", H1580) - 1), ""\[\]"","""")"),"Gunn Varsity")</f>
        <v>Gunn Varsity</v>
      </c>
      <c r="J1580" s="1">
        <v>0.0</v>
      </c>
      <c r="K1580" s="1">
        <v>0.0</v>
      </c>
    </row>
    <row r="1581">
      <c r="A1581" s="1">
        <v>3.0</v>
      </c>
      <c r="B1581" s="1">
        <v>11.0</v>
      </c>
      <c r="C1581" s="1">
        <v>7.0</v>
      </c>
      <c r="D1581" s="1">
        <v>4.0</v>
      </c>
      <c r="E1581" s="1">
        <v>0.33</v>
      </c>
      <c r="F1581" s="1">
        <v>0.0</v>
      </c>
      <c r="G1581" s="6">
        <v>0.571</v>
      </c>
      <c r="H1581" s="1" t="s">
        <v>135</v>
      </c>
      <c r="I1581" s="1" t="str">
        <f>IFERROR(__xludf.DUMMYFUNCTION("REGEXREPLACE(MID(H1581, SEARCH(""["", H1581) + 1, SEARCH(""]"", H1581) - SEARCH(""["", H1581) - 1), ""\[\]"","""")"),"Gunn Varsity")</f>
        <v>Gunn Varsity</v>
      </c>
      <c r="J1581" s="1">
        <v>12.0</v>
      </c>
      <c r="K1581" s="1">
        <v>1.0</v>
      </c>
    </row>
    <row r="1582">
      <c r="A1582" s="1">
        <v>1.0</v>
      </c>
      <c r="B1582" s="1">
        <v>4.0</v>
      </c>
      <c r="C1582" s="1">
        <v>3.0</v>
      </c>
      <c r="D1582" s="1">
        <v>0.0</v>
      </c>
      <c r="E1582" s="1">
        <v>1.0</v>
      </c>
      <c r="F1582" s="1">
        <v>0.0</v>
      </c>
      <c r="G1582" s="6">
        <v>0.333</v>
      </c>
      <c r="H1582" s="1" t="s">
        <v>135</v>
      </c>
      <c r="I1582" s="1" t="str">
        <f>IFERROR(__xludf.DUMMYFUNCTION("REGEXREPLACE(MID(H1582, SEARCH(""["", H1582) + 1, SEARCH(""]"", H1582) - SEARCH(""["", H1582) - 1), ""\[\]"","""")"),"Gunn Varsity")</f>
        <v>Gunn Varsity</v>
      </c>
      <c r="J1582" s="1">
        <v>0.0</v>
      </c>
      <c r="K1582" s="1">
        <v>1.0</v>
      </c>
    </row>
    <row r="1583">
      <c r="A1583" s="1">
        <v>1.0</v>
      </c>
      <c r="B1583" s="1">
        <v>4.0</v>
      </c>
      <c r="C1583" s="1">
        <v>0.0</v>
      </c>
      <c r="D1583" s="1">
        <v>0.0</v>
      </c>
      <c r="E1583" s="1">
        <v>0.0</v>
      </c>
      <c r="F1583" s="1">
        <v>0.0</v>
      </c>
      <c r="G1583" s="2">
        <v>0.0</v>
      </c>
      <c r="H1583" s="1" t="s">
        <v>236</v>
      </c>
      <c r="I1583" s="1" t="str">
        <f>IFERROR(__xludf.DUMMYFUNCTION("REGEXREPLACE(MID(H1583, SEARCH(""["", H1583) + 1, SEARCH(""]"", H1583) - SEARCH(""["", H1583) - 1), ""\[\]"","""")"),"Harvard-Westlake")</f>
        <v>Harvard-Westlake</v>
      </c>
      <c r="J1583" s="1">
        <v>0.0</v>
      </c>
      <c r="K1583" s="1">
        <v>0.0</v>
      </c>
    </row>
    <row r="1584">
      <c r="A1584" s="1">
        <v>1.0</v>
      </c>
      <c r="B1584" s="1">
        <v>4.0</v>
      </c>
      <c r="C1584" s="1">
        <v>0.0</v>
      </c>
      <c r="D1584" s="1">
        <v>0.0</v>
      </c>
      <c r="E1584" s="1">
        <v>0.0</v>
      </c>
      <c r="F1584" s="1">
        <v>0.0</v>
      </c>
      <c r="G1584" s="2">
        <v>0.0</v>
      </c>
      <c r="H1584" s="1" t="s">
        <v>236</v>
      </c>
      <c r="I1584" s="1" t="str">
        <f>IFERROR(__xludf.DUMMYFUNCTION("REGEXREPLACE(MID(H1584, SEARCH(""["", H1584) + 1, SEARCH(""]"", H1584) - SEARCH(""["", H1584) - 1), ""\[\]"","""")"),"Harvard-Westlake")</f>
        <v>Harvard-Westlake</v>
      </c>
      <c r="J1584" s="1">
        <v>0.0</v>
      </c>
      <c r="K1584" s="1">
        <v>0.0</v>
      </c>
    </row>
    <row r="1585">
      <c r="A1585" s="1">
        <v>1.0</v>
      </c>
      <c r="B1585" s="1">
        <v>4.0</v>
      </c>
      <c r="C1585" s="1">
        <v>0.0</v>
      </c>
      <c r="D1585" s="1">
        <v>0.0</v>
      </c>
      <c r="E1585" s="1">
        <v>0.0</v>
      </c>
      <c r="F1585" s="1">
        <v>0.0</v>
      </c>
      <c r="G1585" s="2">
        <v>0.0</v>
      </c>
      <c r="H1585" s="1" t="s">
        <v>237</v>
      </c>
      <c r="I1585" s="1" t="str">
        <f>IFERROR(__xludf.DUMMYFUNCTION("REGEXREPLACE(MID(H1585, SEARCH(""["", H1585) + 1, SEARCH(""]"", H1585) - SEARCH(""["", H1585) - 1), ""\[\]"","""")"),"Harvard-Westlake")</f>
        <v>Harvard-Westlake</v>
      </c>
      <c r="J1585" s="1">
        <v>0.0</v>
      </c>
      <c r="K1585" s="1">
        <v>0.0</v>
      </c>
    </row>
    <row r="1586">
      <c r="A1586" s="1">
        <v>5.0</v>
      </c>
      <c r="B1586" s="1">
        <v>20.0</v>
      </c>
      <c r="C1586" s="1">
        <v>6.0</v>
      </c>
      <c r="D1586" s="1">
        <v>1.6</v>
      </c>
      <c r="E1586" s="1">
        <v>0.2</v>
      </c>
      <c r="F1586" s="1">
        <v>0.0</v>
      </c>
      <c r="G1586" s="2">
        <v>0.5</v>
      </c>
      <c r="H1586" s="1" t="s">
        <v>182</v>
      </c>
      <c r="I1586" s="1" t="str">
        <f>IFERROR(__xludf.DUMMYFUNCTION("REGEXREPLACE(MID(H1586, SEARCH(""["", H1586) + 1, SEARCH(""]"", H1586) - SEARCH(""["", H1586) - 1), ""\[\]"","""")"),"Harvard-Westlake")</f>
        <v>Harvard-Westlake</v>
      </c>
      <c r="J1586" s="1">
        <v>8.0</v>
      </c>
      <c r="K1586" s="1">
        <v>1.0</v>
      </c>
    </row>
    <row r="1587">
      <c r="A1587" s="1">
        <v>5.0</v>
      </c>
      <c r="B1587" s="1">
        <v>20.0</v>
      </c>
      <c r="C1587" s="1">
        <v>6.0</v>
      </c>
      <c r="D1587" s="1">
        <v>3.2</v>
      </c>
      <c r="E1587" s="1">
        <v>0.0</v>
      </c>
      <c r="F1587" s="1">
        <v>0.0</v>
      </c>
      <c r="G1587" s="6">
        <v>0.667</v>
      </c>
      <c r="H1587" s="1" t="s">
        <v>204</v>
      </c>
      <c r="I1587" s="1" t="str">
        <f>IFERROR(__xludf.DUMMYFUNCTION("REGEXREPLACE(MID(H1587, SEARCH(""["", H1587) + 1, SEARCH(""]"", H1587) - SEARCH(""["", H1587) - 1), ""\[\]"","""")"),"Harvard-Westlake")</f>
        <v>Harvard-Westlake</v>
      </c>
      <c r="J1587" s="1">
        <v>16.0</v>
      </c>
      <c r="K1587" s="1">
        <v>0.0</v>
      </c>
    </row>
    <row r="1588">
      <c r="A1588" s="1">
        <v>3.0</v>
      </c>
      <c r="B1588" s="1">
        <v>12.0</v>
      </c>
      <c r="C1588" s="1">
        <v>0.0</v>
      </c>
      <c r="D1588" s="1">
        <v>0.0</v>
      </c>
      <c r="E1588" s="1">
        <v>0.0</v>
      </c>
      <c r="F1588" s="1">
        <v>0.0</v>
      </c>
      <c r="G1588" s="2">
        <v>0.0</v>
      </c>
      <c r="H1588" s="1" t="s">
        <v>238</v>
      </c>
      <c r="I1588" s="1" t="str">
        <f>IFERROR(__xludf.DUMMYFUNCTION("REGEXREPLACE(MID(H1588, SEARCH(""["", H1588) + 1, SEARCH(""]"", H1588) - SEARCH(""["", H1588) - 1), ""\[\]"","""")"),"Hebron HS")</f>
        <v>Hebron HS</v>
      </c>
      <c r="J1588" s="1">
        <v>0.0</v>
      </c>
      <c r="K1588" s="1">
        <v>0.0</v>
      </c>
    </row>
    <row r="1589">
      <c r="A1589" s="1">
        <v>5.0</v>
      </c>
      <c r="B1589" s="1">
        <v>21.0</v>
      </c>
      <c r="C1589" s="1">
        <v>14.0</v>
      </c>
      <c r="D1589" s="1">
        <v>4.0</v>
      </c>
      <c r="E1589" s="1">
        <v>0.0</v>
      </c>
      <c r="F1589" s="1">
        <v>0.0</v>
      </c>
      <c r="G1589" s="6">
        <v>0.357</v>
      </c>
      <c r="H1589" s="1" t="s">
        <v>149</v>
      </c>
      <c r="I1589" s="1" t="str">
        <f>IFERROR(__xludf.DUMMYFUNCTION("REGEXREPLACE(MID(H1589, SEARCH(""["", H1589) + 1, SEARCH(""]"", H1589) - SEARCH(""["", H1589) - 1), ""\[\]"","""")"),"Hebron HS")</f>
        <v>Hebron HS</v>
      </c>
      <c r="J1589" s="1">
        <v>20.0</v>
      </c>
      <c r="K1589" s="1">
        <v>0.0</v>
      </c>
    </row>
    <row r="1590">
      <c r="A1590" s="1">
        <v>3.0</v>
      </c>
      <c r="B1590" s="1">
        <v>12.0</v>
      </c>
      <c r="C1590" s="1">
        <v>0.0</v>
      </c>
      <c r="D1590" s="1">
        <v>0.0</v>
      </c>
      <c r="E1590" s="1">
        <v>0.0</v>
      </c>
      <c r="F1590" s="1">
        <v>0.0</v>
      </c>
      <c r="G1590" s="2">
        <v>0.0</v>
      </c>
      <c r="H1590" s="1" t="s">
        <v>240</v>
      </c>
      <c r="I1590" s="1" t="str">
        <f>IFERROR(__xludf.DUMMYFUNCTION("REGEXREPLACE(MID(H1590, SEARCH(""["", H1590) + 1, SEARCH(""]"", H1590) - SEARCH(""["", H1590) - 1), ""\[\]"","""")"),"Hebron HS")</f>
        <v>Hebron HS</v>
      </c>
      <c r="J1590" s="1">
        <v>0.0</v>
      </c>
      <c r="K1590" s="1">
        <v>0.0</v>
      </c>
    </row>
    <row r="1591">
      <c r="A1591" s="1">
        <v>1.0</v>
      </c>
      <c r="B1591" s="1">
        <v>4.0</v>
      </c>
      <c r="C1591" s="1">
        <v>0.0</v>
      </c>
      <c r="D1591" s="1">
        <v>0.0</v>
      </c>
      <c r="E1591" s="1">
        <v>0.0</v>
      </c>
      <c r="F1591" s="1">
        <v>0.0</v>
      </c>
      <c r="G1591" s="2">
        <v>0.0</v>
      </c>
      <c r="H1591" s="1" t="s">
        <v>242</v>
      </c>
      <c r="I1591" s="1" t="str">
        <f>IFERROR(__xludf.DUMMYFUNCTION("REGEXREPLACE(MID(H1591, SEARCH(""["", H1591) + 1, SEARCH(""]"", H1591) - SEARCH(""["", H1591) - 1), ""\[\]"","""")"),"Hebron HS")</f>
        <v>Hebron HS</v>
      </c>
      <c r="J1591" s="1">
        <v>0.0</v>
      </c>
      <c r="K1591" s="1">
        <v>0.0</v>
      </c>
    </row>
    <row r="1592">
      <c r="A1592" s="1">
        <v>1.0</v>
      </c>
      <c r="B1592" s="1">
        <v>4.0</v>
      </c>
      <c r="C1592" s="1">
        <v>0.0</v>
      </c>
      <c r="D1592" s="1">
        <v>0.0</v>
      </c>
      <c r="E1592" s="1">
        <v>0.0</v>
      </c>
      <c r="F1592" s="1">
        <v>0.0</v>
      </c>
      <c r="G1592" s="2">
        <v>0.0</v>
      </c>
      <c r="H1592" s="1" t="s">
        <v>243</v>
      </c>
      <c r="I1592" s="1" t="str">
        <f>IFERROR(__xludf.DUMMYFUNCTION("REGEXREPLACE(MID(H1592, SEARCH(""["", H1592) + 1, SEARCH(""]"", H1592) - SEARCH(""["", H1592) - 1), ""\[\]"","""")"),"Blair")</f>
        <v>Blair</v>
      </c>
      <c r="J1592" s="1">
        <v>0.0</v>
      </c>
      <c r="K1592" s="1">
        <v>0.0</v>
      </c>
    </row>
    <row r="1593">
      <c r="A1593" s="1">
        <v>3.0</v>
      </c>
      <c r="B1593" s="1">
        <v>12.0</v>
      </c>
      <c r="C1593" s="1">
        <v>0.0</v>
      </c>
      <c r="D1593" s="1">
        <v>0.0</v>
      </c>
      <c r="E1593" s="1">
        <v>0.0</v>
      </c>
      <c r="F1593" s="1">
        <v>0.0</v>
      </c>
      <c r="G1593" s="2">
        <v>0.0</v>
      </c>
      <c r="H1593" s="1" t="s">
        <v>244</v>
      </c>
      <c r="I1593" s="1" t="str">
        <f>IFERROR(__xludf.DUMMYFUNCTION("REGEXREPLACE(MID(H1593, SEARCH(""["", H1593) + 1, SEARCH(""]"", H1593) - SEARCH(""["", H1593) - 1), ""\[\]"","""")"),"LeBroncos")</f>
        <v>LeBroncos</v>
      </c>
      <c r="J1593" s="1">
        <v>0.0</v>
      </c>
      <c r="K1593" s="1">
        <v>0.0</v>
      </c>
    </row>
    <row r="1594">
      <c r="A1594" s="1">
        <v>2.0</v>
      </c>
      <c r="B1594" s="1">
        <v>8.0</v>
      </c>
      <c r="C1594" s="1">
        <v>0.0</v>
      </c>
      <c r="D1594" s="1">
        <v>0.0</v>
      </c>
      <c r="E1594" s="1">
        <v>0.0</v>
      </c>
      <c r="F1594" s="1">
        <v>0.0</v>
      </c>
      <c r="G1594" s="2">
        <v>0.0</v>
      </c>
      <c r="H1594" s="1" t="s">
        <v>244</v>
      </c>
      <c r="I1594" s="1" t="str">
        <f>IFERROR(__xludf.DUMMYFUNCTION("REGEXREPLACE(MID(H1594, SEARCH(""["", H1594) + 1, SEARCH(""]"", H1594) - SEARCH(""["", H1594) - 1), ""\[\]"","""")"),"LeBroncos")</f>
        <v>LeBroncos</v>
      </c>
      <c r="J1594" s="1">
        <v>0.0</v>
      </c>
      <c r="K1594" s="1">
        <v>0.0</v>
      </c>
    </row>
    <row r="1595">
      <c r="A1595" s="1">
        <v>3.0</v>
      </c>
      <c r="B1595" s="1">
        <v>12.0</v>
      </c>
      <c r="C1595" s="1">
        <v>1.0</v>
      </c>
      <c r="D1595" s="1">
        <v>-1.33</v>
      </c>
      <c r="E1595" s="1">
        <v>0.33</v>
      </c>
      <c r="F1595" s="1">
        <v>0.0</v>
      </c>
      <c r="G1595" s="2">
        <v>0.0</v>
      </c>
      <c r="H1595" s="1" t="s">
        <v>185</v>
      </c>
      <c r="I1595" s="1" t="str">
        <f>IFERROR(__xludf.DUMMYFUNCTION("REGEXREPLACE(MID(H1595, SEARCH(""["", H1595) + 1, SEARCH(""]"", H1595) - SEARCH(""["", H1595) - 1), ""\[\]"","""")"),"LeBroncos")</f>
        <v>LeBroncos</v>
      </c>
      <c r="J1595" s="1">
        <v>-4.0</v>
      </c>
      <c r="K1595" s="1">
        <v>1.0</v>
      </c>
    </row>
    <row r="1596">
      <c r="A1596" s="1">
        <v>2.0</v>
      </c>
      <c r="B1596" s="1">
        <v>8.0</v>
      </c>
      <c r="C1596" s="1">
        <v>1.0</v>
      </c>
      <c r="D1596" s="1">
        <v>0.0</v>
      </c>
      <c r="E1596" s="1">
        <v>0.0</v>
      </c>
      <c r="F1596" s="1">
        <v>0.0</v>
      </c>
      <c r="G1596" s="2">
        <v>0.0</v>
      </c>
      <c r="H1596" s="1" t="s">
        <v>185</v>
      </c>
      <c r="I1596" s="1" t="str">
        <f>IFERROR(__xludf.DUMMYFUNCTION("REGEXREPLACE(MID(H1596, SEARCH(""["", H1596) + 1, SEARCH(""]"", H1596) - SEARCH(""["", H1596) - 1), ""\[\]"","""")"),"LeBroncos")</f>
        <v>LeBroncos</v>
      </c>
      <c r="J1596" s="1">
        <v>0.0</v>
      </c>
      <c r="K1596" s="1">
        <v>0.0</v>
      </c>
    </row>
    <row r="1597">
      <c r="A1597" s="1">
        <v>3.0</v>
      </c>
      <c r="B1597" s="1">
        <v>12.0</v>
      </c>
      <c r="C1597" s="1">
        <v>8.0</v>
      </c>
      <c r="D1597" s="1">
        <v>6.67</v>
      </c>
      <c r="E1597" s="1">
        <v>0.33</v>
      </c>
      <c r="F1597" s="1">
        <v>0.0</v>
      </c>
      <c r="G1597" s="2">
        <v>0.75</v>
      </c>
      <c r="H1597" s="1" t="s">
        <v>248</v>
      </c>
      <c r="I1597" s="1" t="str">
        <f>IFERROR(__xludf.DUMMYFUNCTION("REGEXREPLACE(MID(H1597, SEARCH(""["", H1597) + 1, SEARCH(""]"", H1597) - SEARCH(""["", H1597) - 1), ""\[\]"","""")"),"LeBroncos")</f>
        <v>LeBroncos</v>
      </c>
      <c r="J1597" s="1">
        <v>20.0</v>
      </c>
      <c r="K1597" s="1">
        <v>1.0</v>
      </c>
    </row>
    <row r="1598">
      <c r="A1598" s="1">
        <v>2.0</v>
      </c>
      <c r="B1598" s="1">
        <v>8.0</v>
      </c>
      <c r="C1598" s="1">
        <v>5.0</v>
      </c>
      <c r="D1598" s="1">
        <v>-6.0</v>
      </c>
      <c r="E1598" s="1">
        <v>1.5</v>
      </c>
      <c r="F1598" s="1">
        <v>0.0</v>
      </c>
      <c r="G1598" s="2">
        <v>0.0</v>
      </c>
      <c r="H1598" s="1" t="s">
        <v>248</v>
      </c>
      <c r="I1598" s="1" t="str">
        <f>IFERROR(__xludf.DUMMYFUNCTION("REGEXREPLACE(MID(H1598, SEARCH(""["", H1598) + 1, SEARCH(""]"", H1598) - SEARCH(""["", H1598) - 1), ""\[\]"","""")"),"LeBroncos")</f>
        <v>LeBroncos</v>
      </c>
      <c r="J1598" s="1">
        <v>-12.0</v>
      </c>
      <c r="K1598" s="1">
        <v>3.0</v>
      </c>
    </row>
    <row r="1599">
      <c r="A1599" s="1">
        <v>2.0</v>
      </c>
      <c r="B1599" s="1">
        <v>8.0</v>
      </c>
      <c r="C1599" s="1">
        <v>0.0</v>
      </c>
      <c r="D1599" s="1">
        <v>0.0</v>
      </c>
      <c r="E1599" s="1">
        <v>0.0</v>
      </c>
      <c r="F1599" s="1">
        <v>0.0</v>
      </c>
      <c r="G1599" s="2">
        <v>0.0</v>
      </c>
      <c r="H1599" s="1" t="s">
        <v>250</v>
      </c>
      <c r="I1599" s="1" t="str">
        <f>IFERROR(__xludf.DUMMYFUNCTION("REGEXREPLACE(MID(H1599, SEARCH(""["", H1599) + 1, SEARCH(""]"", H1599) - SEARCH(""["", H1599) - 1), ""\[\]"","""")"),"LeBroncos")</f>
        <v>LeBroncos</v>
      </c>
      <c r="J1599" s="1">
        <v>0.0</v>
      </c>
      <c r="K1599" s="1">
        <v>0.0</v>
      </c>
    </row>
    <row r="1600">
      <c r="A1600" s="1">
        <v>1.0</v>
      </c>
      <c r="B1600" s="1">
        <v>4.0</v>
      </c>
      <c r="C1600" s="1">
        <v>0.0</v>
      </c>
      <c r="D1600" s="1">
        <v>0.0</v>
      </c>
      <c r="E1600" s="1">
        <v>0.0</v>
      </c>
      <c r="F1600" s="1">
        <v>0.0</v>
      </c>
      <c r="G1600" s="2">
        <v>0.0</v>
      </c>
      <c r="H1600" s="1" t="s">
        <v>250</v>
      </c>
      <c r="I1600" s="1" t="str">
        <f>IFERROR(__xludf.DUMMYFUNCTION("REGEXREPLACE(MID(H1600, SEARCH(""["", H1600) + 1, SEARCH(""]"", H1600) - SEARCH(""["", H1600) - 1), ""\[\]"","""")"),"LeBroncos")</f>
        <v>LeBroncos</v>
      </c>
      <c r="J1600" s="1">
        <v>0.0</v>
      </c>
      <c r="K1600" s="1">
        <v>0.0</v>
      </c>
    </row>
    <row r="1601">
      <c r="A1601" s="1">
        <v>1.0</v>
      </c>
      <c r="B1601" s="1">
        <v>4.0</v>
      </c>
      <c r="C1601" s="1">
        <v>0.0</v>
      </c>
      <c r="D1601" s="1">
        <v>0.0</v>
      </c>
      <c r="E1601" s="1">
        <v>0.0</v>
      </c>
      <c r="F1601" s="1">
        <v>0.0</v>
      </c>
      <c r="G1601" s="2">
        <v>0.0</v>
      </c>
      <c r="H1601" s="1" t="s">
        <v>251</v>
      </c>
      <c r="I1601" s="1" t="str">
        <f>IFERROR(__xludf.DUMMYFUNCTION("REGEXREPLACE(MID(H1601, SEARCH(""["", H1601) + 1, SEARCH(""]"", H1601) - SEARCH(""["", H1601) - 1), ""\[\]"","""")"),"LeBroncos")</f>
        <v>LeBroncos</v>
      </c>
      <c r="J1601" s="1">
        <v>0.0</v>
      </c>
      <c r="K1601" s="1">
        <v>0.0</v>
      </c>
    </row>
    <row r="1602">
      <c r="A1602" s="1">
        <v>1.0</v>
      </c>
      <c r="B1602" s="1">
        <v>4.0</v>
      </c>
      <c r="C1602" s="1">
        <v>0.0</v>
      </c>
      <c r="D1602" s="1">
        <v>0.0</v>
      </c>
      <c r="E1602" s="1">
        <v>0.0</v>
      </c>
      <c r="F1602" s="1">
        <v>0.0</v>
      </c>
      <c r="G1602" s="2">
        <v>0.0</v>
      </c>
      <c r="H1602" s="1" t="s">
        <v>239</v>
      </c>
      <c r="I1602" s="1" t="str">
        <f>IFERROR(__xludf.DUMMYFUNCTION("REGEXREPLACE(MID(H1602, SEARCH(""["", H1602) + 1, SEARCH(""]"", H1602) - SEARCH(""["", H1602) - 1), ""\[\]"","""")"),"Lexington")</f>
        <v>Lexington</v>
      </c>
      <c r="J1602" s="1">
        <v>0.0</v>
      </c>
      <c r="K1602" s="1">
        <v>0.0</v>
      </c>
    </row>
    <row r="1603">
      <c r="A1603" s="1">
        <v>4.0</v>
      </c>
      <c r="B1603" s="1">
        <v>16.0</v>
      </c>
      <c r="C1603" s="1">
        <v>2.0</v>
      </c>
      <c r="D1603" s="1">
        <v>1.0</v>
      </c>
      <c r="E1603" s="1">
        <v>0.0</v>
      </c>
      <c r="F1603" s="1">
        <v>0.0</v>
      </c>
      <c r="G1603" s="2">
        <v>0.5</v>
      </c>
      <c r="H1603" s="1" t="s">
        <v>253</v>
      </c>
      <c r="I1603" s="1" t="str">
        <f>IFERROR(__xludf.DUMMYFUNCTION("REGEXREPLACE(MID(H1603, SEARCH(""["", H1603) + 1, SEARCH(""]"", H1603) - SEARCH(""["", H1603) - 1), ""\[\]"","""")"),"Lexington")</f>
        <v>Lexington</v>
      </c>
      <c r="J1603" s="1">
        <v>4.0</v>
      </c>
      <c r="K1603" s="1">
        <v>0.0</v>
      </c>
    </row>
    <row r="1604">
      <c r="A1604" s="1">
        <v>1.0</v>
      </c>
      <c r="B1604" s="1">
        <v>4.0</v>
      </c>
      <c r="C1604" s="1">
        <v>0.0</v>
      </c>
      <c r="D1604" s="1">
        <v>0.0</v>
      </c>
      <c r="E1604" s="1">
        <v>0.0</v>
      </c>
      <c r="F1604" s="1">
        <v>0.0</v>
      </c>
      <c r="G1604" s="2">
        <v>0.0</v>
      </c>
      <c r="H1604" s="1" t="s">
        <v>253</v>
      </c>
      <c r="I1604" s="1" t="str">
        <f>IFERROR(__xludf.DUMMYFUNCTION("REGEXREPLACE(MID(H1604, SEARCH(""["", H1604) + 1, SEARCH(""]"", H1604) - SEARCH(""["", H1604) - 1), ""\[\]"","""")"),"Lexington")</f>
        <v>Lexington</v>
      </c>
      <c r="J1604" s="1">
        <v>0.0</v>
      </c>
      <c r="K1604" s="1">
        <v>0.0</v>
      </c>
    </row>
    <row r="1605">
      <c r="A1605" s="1">
        <v>4.0</v>
      </c>
      <c r="B1605" s="1">
        <v>16.0</v>
      </c>
      <c r="C1605" s="1">
        <v>9.0</v>
      </c>
      <c r="D1605" s="1">
        <v>1.0</v>
      </c>
      <c r="E1605" s="1">
        <v>0.5</v>
      </c>
      <c r="F1605" s="1">
        <v>0.0</v>
      </c>
      <c r="G1605" s="6">
        <v>0.333</v>
      </c>
      <c r="H1605" s="1" t="s">
        <v>255</v>
      </c>
      <c r="I1605" s="1" t="str">
        <f>IFERROR(__xludf.DUMMYFUNCTION("REGEXREPLACE(MID(H1605, SEARCH(""["", H1605) + 1, SEARCH(""]"", H1605) - SEARCH(""["", H1605) - 1), ""\[\]"","""")"),"Lexington")</f>
        <v>Lexington</v>
      </c>
      <c r="J1605" s="1">
        <v>4.0</v>
      </c>
      <c r="K1605" s="1">
        <v>2.0</v>
      </c>
    </row>
    <row r="1606">
      <c r="A1606" s="1">
        <v>1.0</v>
      </c>
      <c r="B1606" s="1">
        <v>4.0</v>
      </c>
      <c r="C1606" s="1">
        <v>3.0</v>
      </c>
      <c r="D1606" s="1">
        <v>-4.0</v>
      </c>
      <c r="E1606" s="1">
        <v>2.0</v>
      </c>
      <c r="F1606" s="1">
        <v>0.0</v>
      </c>
      <c r="G1606" s="6">
        <v>0.333</v>
      </c>
      <c r="H1606" s="1" t="s">
        <v>255</v>
      </c>
      <c r="I1606" s="1" t="str">
        <f>IFERROR(__xludf.DUMMYFUNCTION("REGEXREPLACE(MID(H1606, SEARCH(""["", H1606) + 1, SEARCH(""]"", H1606) - SEARCH(""["", H1606) - 1), ""\[\]"","""")"),"Lexington")</f>
        <v>Lexington</v>
      </c>
      <c r="J1606" s="1">
        <v>-4.0</v>
      </c>
      <c r="K1606" s="1">
        <v>2.0</v>
      </c>
    </row>
    <row r="1607">
      <c r="A1607" s="1">
        <v>4.0</v>
      </c>
      <c r="B1607" s="1">
        <v>16.0</v>
      </c>
      <c r="C1607" s="1">
        <v>2.0</v>
      </c>
      <c r="D1607" s="1">
        <v>0.0</v>
      </c>
      <c r="E1607" s="1">
        <v>0.25</v>
      </c>
      <c r="F1607" s="1">
        <v>0.0</v>
      </c>
      <c r="G1607" s="2">
        <v>0.5</v>
      </c>
      <c r="H1607" s="1" t="s">
        <v>164</v>
      </c>
      <c r="I1607" s="1" t="str">
        <f>IFERROR(__xludf.DUMMYFUNCTION("REGEXREPLACE(MID(H1607, SEARCH(""["", H1607) + 1, SEARCH(""]"", H1607) - SEARCH(""["", H1607) - 1), ""\[\]"","""")"),"Lexington")</f>
        <v>Lexington</v>
      </c>
      <c r="J1607" s="1">
        <v>0.0</v>
      </c>
      <c r="K1607" s="1">
        <v>1.0</v>
      </c>
    </row>
    <row r="1608">
      <c r="A1608" s="1">
        <v>1.0</v>
      </c>
      <c r="B1608" s="1">
        <v>4.0</v>
      </c>
      <c r="C1608" s="1">
        <v>1.0</v>
      </c>
      <c r="D1608" s="1">
        <v>4.0</v>
      </c>
      <c r="E1608" s="1">
        <v>0.0</v>
      </c>
      <c r="F1608" s="1">
        <v>0.0</v>
      </c>
      <c r="G1608" s="2">
        <v>1.0</v>
      </c>
      <c r="H1608" s="1" t="s">
        <v>164</v>
      </c>
      <c r="I1608" s="1" t="str">
        <f>IFERROR(__xludf.DUMMYFUNCTION("REGEXREPLACE(MID(H1608, SEARCH(""["", H1608) + 1, SEARCH(""]"", H1608) - SEARCH(""["", H1608) - 1), ""\[\]"","""")"),"Lexington")</f>
        <v>Lexington</v>
      </c>
      <c r="J1608" s="1">
        <v>4.0</v>
      </c>
      <c r="K1608" s="1">
        <v>0.0</v>
      </c>
    </row>
    <row r="1609">
      <c r="A1609" s="1">
        <v>1.0</v>
      </c>
      <c r="B1609" s="1">
        <v>3.0</v>
      </c>
      <c r="C1609" s="1">
        <v>0.0</v>
      </c>
      <c r="D1609" s="1">
        <v>0.0</v>
      </c>
      <c r="E1609" s="1">
        <v>0.0</v>
      </c>
      <c r="F1609" s="1">
        <v>0.0</v>
      </c>
      <c r="G1609" s="2">
        <v>0.0</v>
      </c>
      <c r="H1609" s="1" t="s">
        <v>257</v>
      </c>
      <c r="I1609" s="1" t="str">
        <f>IFERROR(__xludf.DUMMYFUNCTION("REGEXREPLACE(MID(H1609, SEARCH(""["", H1609) + 1, SEARCH(""]"", H1609) - SEARCH(""["", H1609) - 1), ""\[\]"","""")"),"Lubbock")</f>
        <v>Lubbock</v>
      </c>
      <c r="J1609" s="1">
        <v>0.0</v>
      </c>
      <c r="K1609" s="1">
        <v>0.0</v>
      </c>
    </row>
    <row r="1610">
      <c r="A1610" s="1">
        <v>1.0</v>
      </c>
      <c r="B1610" s="1">
        <v>4.0</v>
      </c>
      <c r="C1610" s="1">
        <v>0.0</v>
      </c>
      <c r="D1610" s="1">
        <v>0.0</v>
      </c>
      <c r="E1610" s="1">
        <v>0.0</v>
      </c>
      <c r="F1610" s="1">
        <v>0.0</v>
      </c>
      <c r="G1610" s="2">
        <v>0.0</v>
      </c>
      <c r="H1610" s="1" t="s">
        <v>257</v>
      </c>
      <c r="I1610" s="1" t="str">
        <f>IFERROR(__xludf.DUMMYFUNCTION("REGEXREPLACE(MID(H1610, SEARCH(""["", H1610) + 1, SEARCH(""]"", H1610) - SEARCH(""["", H1610) - 1), ""\[\]"","""")"),"Lubbock")</f>
        <v>Lubbock</v>
      </c>
      <c r="J1610" s="1">
        <v>0.0</v>
      </c>
      <c r="K1610" s="1">
        <v>0.0</v>
      </c>
    </row>
    <row r="1611">
      <c r="A1611" s="1">
        <v>2.0</v>
      </c>
      <c r="B1611" s="1">
        <v>7.0</v>
      </c>
      <c r="C1611" s="1">
        <v>1.0</v>
      </c>
      <c r="D1611" s="1">
        <v>2.0</v>
      </c>
      <c r="E1611" s="1">
        <v>0.0</v>
      </c>
      <c r="F1611" s="1">
        <v>0.0</v>
      </c>
      <c r="G1611" s="2">
        <v>1.0</v>
      </c>
      <c r="H1611" s="1" t="s">
        <v>259</v>
      </c>
      <c r="I1611" s="1" t="str">
        <f>IFERROR(__xludf.DUMMYFUNCTION("REGEXREPLACE(MID(H1611, SEARCH(""["", H1611) + 1, SEARCH(""]"", H1611) - SEARCH(""["", H1611) - 1), ""\[\]"","""")"),"Lubbock")</f>
        <v>Lubbock</v>
      </c>
      <c r="J1611" s="1">
        <v>4.0</v>
      </c>
      <c r="K1611" s="1">
        <v>0.0</v>
      </c>
    </row>
    <row r="1612">
      <c r="A1612" s="1">
        <v>2.0</v>
      </c>
      <c r="B1612" s="1">
        <v>8.0</v>
      </c>
      <c r="C1612" s="1">
        <v>2.0</v>
      </c>
      <c r="D1612" s="1">
        <v>0.0</v>
      </c>
      <c r="E1612" s="1">
        <v>0.5</v>
      </c>
      <c r="F1612" s="1">
        <v>0.0</v>
      </c>
      <c r="G1612" s="2">
        <v>0.5</v>
      </c>
      <c r="H1612" s="1" t="s">
        <v>259</v>
      </c>
      <c r="I1612" s="1" t="str">
        <f>IFERROR(__xludf.DUMMYFUNCTION("REGEXREPLACE(MID(H1612, SEARCH(""["", H1612) + 1, SEARCH(""]"", H1612) - SEARCH(""["", H1612) - 1), ""\[\]"","""")"),"Lubbock")</f>
        <v>Lubbock</v>
      </c>
      <c r="J1612" s="1">
        <v>0.0</v>
      </c>
      <c r="K1612" s="1">
        <v>1.0</v>
      </c>
    </row>
    <row r="1613">
      <c r="A1613" s="1">
        <v>3.0</v>
      </c>
      <c r="B1613" s="1">
        <v>10.0</v>
      </c>
      <c r="C1613" s="1">
        <v>4.0</v>
      </c>
      <c r="D1613" s="1">
        <v>2.67</v>
      </c>
      <c r="E1613" s="1">
        <v>0.33</v>
      </c>
      <c r="F1613" s="1">
        <v>0.0</v>
      </c>
      <c r="G1613" s="2">
        <v>0.75</v>
      </c>
      <c r="H1613" s="1" t="s">
        <v>99</v>
      </c>
      <c r="I1613" s="1" t="str">
        <f>IFERROR(__xludf.DUMMYFUNCTION("REGEXREPLACE(MID(H1613, SEARCH(""["", H1613) + 1, SEARCH(""]"", H1613) - SEARCH(""["", H1613) - 1), ""\[\]"","""")"),"Lubbock")</f>
        <v>Lubbock</v>
      </c>
      <c r="J1613" s="1">
        <v>8.0</v>
      </c>
      <c r="K1613" s="1">
        <v>1.0</v>
      </c>
    </row>
    <row r="1614">
      <c r="A1614" s="1">
        <v>2.0</v>
      </c>
      <c r="B1614" s="1">
        <v>8.0</v>
      </c>
      <c r="C1614" s="1">
        <v>2.0</v>
      </c>
      <c r="D1614" s="1">
        <v>0.0</v>
      </c>
      <c r="E1614" s="1">
        <v>0.0</v>
      </c>
      <c r="F1614" s="1">
        <v>0.0</v>
      </c>
      <c r="G1614" s="2">
        <v>0.0</v>
      </c>
      <c r="H1614" s="1" t="s">
        <v>99</v>
      </c>
      <c r="I1614" s="1" t="str">
        <f>IFERROR(__xludf.DUMMYFUNCTION("REGEXREPLACE(MID(H1614, SEARCH(""["", H1614) + 1, SEARCH(""]"", H1614) - SEARCH(""["", H1614) - 1), ""\[\]"","""")"),"Lubbock")</f>
        <v>Lubbock</v>
      </c>
      <c r="J1614" s="1">
        <v>0.0</v>
      </c>
      <c r="K1614" s="1">
        <v>0.0</v>
      </c>
    </row>
    <row r="1615">
      <c r="A1615" s="1">
        <v>3.0</v>
      </c>
      <c r="B1615" s="1">
        <v>10.0</v>
      </c>
      <c r="C1615" s="1">
        <v>0.0</v>
      </c>
      <c r="D1615" s="1">
        <v>0.0</v>
      </c>
      <c r="E1615" s="1">
        <v>0.0</v>
      </c>
      <c r="F1615" s="1">
        <v>0.0</v>
      </c>
      <c r="G1615" s="2">
        <v>0.0</v>
      </c>
      <c r="H1615" s="1" t="s">
        <v>262</v>
      </c>
      <c r="I1615" s="1" t="str">
        <f>IFERROR(__xludf.DUMMYFUNCTION("REGEXREPLACE(MID(H1615, SEARCH(""["", H1615) + 1, SEARCH(""]"", H1615) - SEARCH(""["", H1615) - 1), ""\[\]"","""")"),"Lubbock")</f>
        <v>Lubbock</v>
      </c>
      <c r="J1615" s="1">
        <v>0.0</v>
      </c>
      <c r="K1615" s="1">
        <v>0.0</v>
      </c>
    </row>
    <row r="1616">
      <c r="A1616" s="1">
        <v>1.0</v>
      </c>
      <c r="B1616" s="1">
        <v>4.0</v>
      </c>
      <c r="C1616" s="1">
        <v>0.0</v>
      </c>
      <c r="D1616" s="1">
        <v>0.0</v>
      </c>
      <c r="E1616" s="1">
        <v>0.0</v>
      </c>
      <c r="F1616" s="1">
        <v>0.0</v>
      </c>
      <c r="G1616" s="2">
        <v>0.0</v>
      </c>
      <c r="H1616" s="1" t="s">
        <v>262</v>
      </c>
      <c r="I1616" s="1" t="str">
        <f>IFERROR(__xludf.DUMMYFUNCTION("REGEXREPLACE(MID(H1616, SEARCH(""["", H1616) + 1, SEARCH(""]"", H1616) - SEARCH(""["", H1616) - 1), ""\[\]"","""")"),"Lubbock")</f>
        <v>Lubbock</v>
      </c>
      <c r="J1616" s="1">
        <v>0.0</v>
      </c>
      <c r="K1616" s="1">
        <v>0.0</v>
      </c>
    </row>
    <row r="1617">
      <c r="A1617" s="1">
        <v>1.0</v>
      </c>
      <c r="B1617" s="1">
        <v>4.0</v>
      </c>
      <c r="C1617" s="1">
        <v>1.0</v>
      </c>
      <c r="D1617" s="1">
        <v>0.0</v>
      </c>
      <c r="E1617" s="1">
        <v>0.0</v>
      </c>
      <c r="F1617" s="1">
        <v>0.0</v>
      </c>
      <c r="G1617" s="2">
        <v>0.0</v>
      </c>
      <c r="H1617" s="1" t="s">
        <v>262</v>
      </c>
      <c r="I1617" s="1" t="str">
        <f>IFERROR(__xludf.DUMMYFUNCTION("REGEXREPLACE(MID(H1617, SEARCH(""["", H1617) + 1, SEARCH(""]"", H1617) - SEARCH(""["", H1617) - 1), ""\[\]"","""")"),"Lubbock")</f>
        <v>Lubbock</v>
      </c>
      <c r="J1617" s="1">
        <v>0.0</v>
      </c>
      <c r="K1617" s="1">
        <v>0.0</v>
      </c>
    </row>
    <row r="1618">
      <c r="A1618" s="1">
        <v>1.0</v>
      </c>
      <c r="B1618" s="1">
        <v>4.0</v>
      </c>
      <c r="C1618" s="1">
        <v>2.0</v>
      </c>
      <c r="D1618" s="1">
        <v>0.0</v>
      </c>
      <c r="E1618" s="1">
        <v>1.0</v>
      </c>
      <c r="F1618" s="1">
        <v>0.0</v>
      </c>
      <c r="G1618" s="2">
        <v>0.5</v>
      </c>
      <c r="H1618" s="1" t="s">
        <v>241</v>
      </c>
      <c r="I1618" s="1" t="str">
        <f>IFERROR(__xludf.DUMMYFUNCTION("REGEXREPLACE(MID(H1618, SEARCH(""["", H1618) + 1, SEARCH(""]"", H1618) - SEARCH(""["", H1618) - 1), ""\[\]"","""")"),"Lubbock")</f>
        <v>Lubbock</v>
      </c>
      <c r="J1618" s="1">
        <v>0.0</v>
      </c>
      <c r="K1618" s="1">
        <v>1.0</v>
      </c>
    </row>
    <row r="1619">
      <c r="A1619" s="1">
        <v>1.0</v>
      </c>
      <c r="B1619" s="1">
        <v>4.0</v>
      </c>
      <c r="C1619" s="1">
        <v>3.0</v>
      </c>
      <c r="D1619" s="1">
        <v>12.0</v>
      </c>
      <c r="E1619" s="1">
        <v>0.0</v>
      </c>
      <c r="F1619" s="1">
        <v>0.0</v>
      </c>
      <c r="G1619" s="2">
        <v>1.0</v>
      </c>
      <c r="H1619" s="1" t="s">
        <v>241</v>
      </c>
      <c r="I1619" s="1" t="str">
        <f>IFERROR(__xludf.DUMMYFUNCTION("REGEXREPLACE(MID(H1619, SEARCH(""["", H1619) + 1, SEARCH(""]"", H1619) - SEARCH(""["", H1619) - 1), ""\[\]"","""")"),"Lubbock")</f>
        <v>Lubbock</v>
      </c>
      <c r="J1619" s="1">
        <v>12.0</v>
      </c>
      <c r="K1619" s="1">
        <v>0.0</v>
      </c>
    </row>
    <row r="1620">
      <c r="A1620" s="1">
        <v>2.0</v>
      </c>
      <c r="B1620" s="1">
        <v>8.0</v>
      </c>
      <c r="C1620" s="1">
        <v>0.0</v>
      </c>
      <c r="D1620" s="1">
        <v>0.0</v>
      </c>
      <c r="E1620" s="1">
        <v>0.0</v>
      </c>
      <c r="F1620" s="1">
        <v>0.0</v>
      </c>
      <c r="G1620" s="2">
        <v>0.0</v>
      </c>
      <c r="H1620" s="1" t="s">
        <v>263</v>
      </c>
      <c r="I1620" s="1" t="str">
        <f>IFERROR(__xludf.DUMMYFUNCTION("REGEXREPLACE(MID(H1620, SEARCH(""["", H1620) + 1, SEARCH(""]"", H1620) - SEARCH(""["", H1620) - 1), ""\[\]"","""")"),"Lynbrook")</f>
        <v>Lynbrook</v>
      </c>
      <c r="J1620" s="1">
        <v>0.0</v>
      </c>
      <c r="K1620" s="1">
        <v>0.0</v>
      </c>
    </row>
    <row r="1621">
      <c r="A1621" s="1">
        <v>1.0</v>
      </c>
      <c r="B1621" s="1">
        <v>4.0</v>
      </c>
      <c r="C1621" s="1">
        <v>1.0</v>
      </c>
      <c r="D1621" s="1">
        <v>4.0</v>
      </c>
      <c r="E1621" s="1">
        <v>0.0</v>
      </c>
      <c r="F1621" s="1">
        <v>0.0</v>
      </c>
      <c r="G1621" s="2">
        <v>1.0</v>
      </c>
      <c r="H1621" s="1" t="s">
        <v>263</v>
      </c>
      <c r="I1621" s="1" t="str">
        <f>IFERROR(__xludf.DUMMYFUNCTION("REGEXREPLACE(MID(H1621, SEARCH(""["", H1621) + 1, SEARCH(""]"", H1621) - SEARCH(""["", H1621) - 1), ""\[\]"","""")"),"Lynbrook")</f>
        <v>Lynbrook</v>
      </c>
      <c r="J1621" s="1">
        <v>4.0</v>
      </c>
      <c r="K1621" s="1">
        <v>0.0</v>
      </c>
    </row>
    <row r="1622">
      <c r="A1622" s="1">
        <v>1.0</v>
      </c>
      <c r="B1622" s="1">
        <v>3.0</v>
      </c>
      <c r="C1622" s="1">
        <v>0.0</v>
      </c>
      <c r="D1622" s="1">
        <v>0.0</v>
      </c>
      <c r="E1622" s="1">
        <v>0.0</v>
      </c>
      <c r="F1622" s="1">
        <v>0.0</v>
      </c>
      <c r="G1622" s="2">
        <v>0.0</v>
      </c>
      <c r="H1622" s="1" t="s">
        <v>264</v>
      </c>
      <c r="I1622" s="1" t="str">
        <f>IFERROR(__xludf.DUMMYFUNCTION("REGEXREPLACE(MID(H1622, SEARCH(""["", H1622) + 1, SEARCH(""]"", H1622) - SEARCH(""["", H1622) - 1), ""\[\]"","""")"),"Lynbrook")</f>
        <v>Lynbrook</v>
      </c>
      <c r="J1622" s="1">
        <v>0.0</v>
      </c>
      <c r="K1622" s="1">
        <v>0.0</v>
      </c>
    </row>
    <row r="1623">
      <c r="A1623" s="1">
        <v>3.0</v>
      </c>
      <c r="B1623" s="1">
        <v>12.0</v>
      </c>
      <c r="C1623" s="1">
        <v>0.0</v>
      </c>
      <c r="D1623" s="1">
        <v>0.0</v>
      </c>
      <c r="E1623" s="1">
        <v>0.0</v>
      </c>
      <c r="F1623" s="1">
        <v>0.0</v>
      </c>
      <c r="G1623" s="2">
        <v>0.0</v>
      </c>
      <c r="H1623" s="1" t="s">
        <v>264</v>
      </c>
      <c r="I1623" s="1" t="str">
        <f>IFERROR(__xludf.DUMMYFUNCTION("REGEXREPLACE(MID(H1623, SEARCH(""["", H1623) + 1, SEARCH(""]"", H1623) - SEARCH(""["", H1623) - 1), ""\[\]"","""")"),"Lynbrook")</f>
        <v>Lynbrook</v>
      </c>
      <c r="J1623" s="1">
        <v>0.0</v>
      </c>
      <c r="K1623" s="1">
        <v>0.0</v>
      </c>
    </row>
    <row r="1624">
      <c r="A1624" s="1">
        <v>1.0</v>
      </c>
      <c r="B1624" s="1">
        <v>3.0</v>
      </c>
      <c r="C1624" s="1">
        <v>0.0</v>
      </c>
      <c r="D1624" s="1">
        <v>0.0</v>
      </c>
      <c r="E1624" s="1">
        <v>0.0</v>
      </c>
      <c r="F1624" s="1">
        <v>0.0</v>
      </c>
      <c r="G1624" s="2">
        <v>0.0</v>
      </c>
      <c r="H1624" s="1" t="s">
        <v>265</v>
      </c>
      <c r="I1624" s="1" t="str">
        <f>IFERROR(__xludf.DUMMYFUNCTION("REGEXREPLACE(MID(H1624, SEARCH(""["", H1624) + 1, SEARCH(""]"", H1624) - SEARCH(""["", H1624) - 1), ""\[\]"","""")"),"Lynbrook")</f>
        <v>Lynbrook</v>
      </c>
      <c r="J1624" s="1">
        <v>0.0</v>
      </c>
      <c r="K1624" s="1">
        <v>0.0</v>
      </c>
    </row>
    <row r="1625">
      <c r="A1625" s="1">
        <v>4.0</v>
      </c>
      <c r="B1625" s="1">
        <v>16.0</v>
      </c>
      <c r="C1625" s="1">
        <v>2.0</v>
      </c>
      <c r="D1625" s="1">
        <v>1.0</v>
      </c>
      <c r="E1625" s="1">
        <v>0.0</v>
      </c>
      <c r="F1625" s="1">
        <v>0.0</v>
      </c>
      <c r="G1625" s="2">
        <v>0.5</v>
      </c>
      <c r="H1625" s="1" t="s">
        <v>265</v>
      </c>
      <c r="I1625" s="1" t="str">
        <f>IFERROR(__xludf.DUMMYFUNCTION("REGEXREPLACE(MID(H1625, SEARCH(""["", H1625) + 1, SEARCH(""]"", H1625) - SEARCH(""["", H1625) - 1), ""\[\]"","""")"),"Lynbrook")</f>
        <v>Lynbrook</v>
      </c>
      <c r="J1625" s="1">
        <v>4.0</v>
      </c>
      <c r="K1625" s="1">
        <v>0.0</v>
      </c>
    </row>
    <row r="1626">
      <c r="A1626" s="1">
        <v>4.0</v>
      </c>
      <c r="B1626" s="1">
        <v>16.0</v>
      </c>
      <c r="C1626" s="1">
        <v>3.0</v>
      </c>
      <c r="D1626" s="1">
        <v>1.0</v>
      </c>
      <c r="E1626" s="1">
        <v>0.25</v>
      </c>
      <c r="F1626" s="1">
        <v>0.0</v>
      </c>
      <c r="G1626" s="6">
        <v>0.667</v>
      </c>
      <c r="H1626" s="1" t="s">
        <v>266</v>
      </c>
      <c r="I1626" s="1" t="str">
        <f>IFERROR(__xludf.DUMMYFUNCTION("REGEXREPLACE(MID(H1626, SEARCH(""["", H1626) + 1, SEARCH(""]"", H1626) - SEARCH(""["", H1626) - 1), ""\[\]"","""")"),"Lynbrook")</f>
        <v>Lynbrook</v>
      </c>
      <c r="J1626" s="1">
        <v>4.0</v>
      </c>
      <c r="K1626" s="1">
        <v>1.0</v>
      </c>
    </row>
    <row r="1627">
      <c r="A1627" s="1">
        <v>1.0</v>
      </c>
      <c r="B1627" s="1">
        <v>3.0</v>
      </c>
      <c r="C1627" s="1">
        <v>3.0</v>
      </c>
      <c r="D1627" s="1">
        <v>12.0</v>
      </c>
      <c r="E1627" s="1">
        <v>0.0</v>
      </c>
      <c r="F1627" s="1">
        <v>0.0</v>
      </c>
      <c r="G1627" s="2">
        <v>1.0</v>
      </c>
      <c r="H1627" s="1" t="s">
        <v>93</v>
      </c>
      <c r="I1627" s="1" t="str">
        <f>IFERROR(__xludf.DUMMYFUNCTION("REGEXREPLACE(MID(H1627, SEARCH(""["", H1627) + 1, SEARCH(""]"", H1627) - SEARCH(""["", H1627) - 1), ""\[\]"","""")"),"Lynbrook")</f>
        <v>Lynbrook</v>
      </c>
      <c r="J1627" s="1">
        <v>12.0</v>
      </c>
      <c r="K1627" s="1">
        <v>0.0</v>
      </c>
    </row>
    <row r="1628">
      <c r="A1628" s="1">
        <v>4.0</v>
      </c>
      <c r="B1628" s="1">
        <v>16.0</v>
      </c>
      <c r="C1628" s="1">
        <v>8.0</v>
      </c>
      <c r="D1628" s="1">
        <v>6.0</v>
      </c>
      <c r="E1628" s="1">
        <v>0.0</v>
      </c>
      <c r="F1628" s="1">
        <v>0.0</v>
      </c>
      <c r="G1628" s="2">
        <v>0.75</v>
      </c>
      <c r="H1628" s="1" t="s">
        <v>93</v>
      </c>
      <c r="I1628" s="1" t="str">
        <f>IFERROR(__xludf.DUMMYFUNCTION("REGEXREPLACE(MID(H1628, SEARCH(""["", H1628) + 1, SEARCH(""]"", H1628) - SEARCH(""["", H1628) - 1), ""\[\]"","""")"),"Lynbrook")</f>
        <v>Lynbrook</v>
      </c>
      <c r="J1628" s="1">
        <v>24.0</v>
      </c>
      <c r="K1628" s="1">
        <v>0.0</v>
      </c>
    </row>
    <row r="1629">
      <c r="A1629" s="1">
        <v>1.0</v>
      </c>
      <c r="B1629" s="1">
        <v>4.0</v>
      </c>
      <c r="C1629" s="1">
        <v>1.0</v>
      </c>
      <c r="D1629" s="1">
        <v>4.0</v>
      </c>
      <c r="E1629" s="1">
        <v>0.0</v>
      </c>
      <c r="F1629" s="1">
        <v>0.0</v>
      </c>
      <c r="G1629" s="2">
        <v>1.0</v>
      </c>
      <c r="H1629" s="1" t="s">
        <v>268</v>
      </c>
      <c r="I1629" s="1" t="str">
        <f>IFERROR(__xludf.DUMMYFUNCTION("REGEXREPLACE(MID(H1629, SEARCH(""["", H1629) + 1, SEARCH(""]"", H1629) - SEARCH(""["", H1629) - 1), ""\[\]"","""")"),"Mira Loma HS")</f>
        <v>Mira Loma HS</v>
      </c>
      <c r="J1629" s="1">
        <v>4.0</v>
      </c>
      <c r="K1629" s="1">
        <v>0.0</v>
      </c>
    </row>
    <row r="1630">
      <c r="A1630" s="1">
        <v>4.0</v>
      </c>
      <c r="B1630" s="1">
        <v>15.0</v>
      </c>
      <c r="C1630" s="1">
        <v>6.0</v>
      </c>
      <c r="D1630" s="1">
        <v>1.0</v>
      </c>
      <c r="E1630" s="1">
        <v>0.25</v>
      </c>
      <c r="F1630" s="1">
        <v>0.0</v>
      </c>
      <c r="G1630" s="6">
        <v>0.333</v>
      </c>
      <c r="H1630" s="1" t="s">
        <v>80</v>
      </c>
      <c r="I1630" s="1" t="str">
        <f>IFERROR(__xludf.DUMMYFUNCTION("REGEXREPLACE(MID(H1630, SEARCH(""["", H1630) + 1, SEARCH(""]"", H1630) - SEARCH(""["", H1630) - 1), ""\[\]"","""")"),"Mira Loma HS")</f>
        <v>Mira Loma HS</v>
      </c>
      <c r="J1630" s="1">
        <v>4.0</v>
      </c>
      <c r="K1630" s="1">
        <v>1.0</v>
      </c>
    </row>
    <row r="1631">
      <c r="A1631" s="1">
        <v>1.0</v>
      </c>
      <c r="B1631" s="1">
        <v>3.0</v>
      </c>
      <c r="C1631" s="1">
        <v>0.0</v>
      </c>
      <c r="D1631" s="1">
        <v>0.0</v>
      </c>
      <c r="E1631" s="1">
        <v>0.0</v>
      </c>
      <c r="F1631" s="1">
        <v>0.0</v>
      </c>
      <c r="G1631" s="2">
        <v>0.0</v>
      </c>
      <c r="H1631" s="1" t="s">
        <v>221</v>
      </c>
      <c r="I1631" s="1" t="str">
        <f>IFERROR(__xludf.DUMMYFUNCTION("REGEXREPLACE(MID(H1631, SEARCH(""["", H1631) + 1, SEARCH(""]"", H1631) - SEARCH(""["", H1631) - 1), ""\[\]"","""")"),"Mira Loma HS")</f>
        <v>Mira Loma HS</v>
      </c>
      <c r="J1631" s="1">
        <v>0.0</v>
      </c>
      <c r="K1631" s="1">
        <v>0.0</v>
      </c>
    </row>
    <row r="1632">
      <c r="A1632" s="1">
        <v>3.0</v>
      </c>
      <c r="B1632" s="1">
        <v>12.0</v>
      </c>
      <c r="C1632" s="1">
        <v>0.0</v>
      </c>
      <c r="D1632" s="1">
        <v>0.0</v>
      </c>
      <c r="E1632" s="1">
        <v>0.0</v>
      </c>
      <c r="F1632" s="1">
        <v>0.0</v>
      </c>
      <c r="G1632" s="2">
        <v>0.0</v>
      </c>
      <c r="H1632" s="1" t="s">
        <v>221</v>
      </c>
      <c r="I1632" s="1" t="str">
        <f>IFERROR(__xludf.DUMMYFUNCTION("REGEXREPLACE(MID(H1632, SEARCH(""["", H1632) + 1, SEARCH(""]"", H1632) - SEARCH(""["", H1632) - 1), ""\[\]"","""")"),"Mira Loma HS")</f>
        <v>Mira Loma HS</v>
      </c>
      <c r="J1632" s="1">
        <v>0.0</v>
      </c>
      <c r="K1632" s="1">
        <v>0.0</v>
      </c>
    </row>
    <row r="1633">
      <c r="A1633" s="1">
        <v>1.0</v>
      </c>
      <c r="B1633" s="1">
        <v>4.0</v>
      </c>
      <c r="C1633" s="1">
        <v>0.0</v>
      </c>
      <c r="D1633" s="1">
        <v>0.0</v>
      </c>
      <c r="E1633" s="1">
        <v>0.0</v>
      </c>
      <c r="F1633" s="1">
        <v>0.0</v>
      </c>
      <c r="G1633" s="2">
        <v>0.0</v>
      </c>
      <c r="H1633" s="1" t="s">
        <v>270</v>
      </c>
      <c r="I1633" s="1" t="str">
        <f>IFERROR(__xludf.DUMMYFUNCTION("REGEXREPLACE(MID(H1633, SEARCH(""["", H1633) + 1, SEARCH(""]"", H1633) - SEARCH(""["", H1633) - 1), ""\[\]"","""")"),"Mira Loma HS")</f>
        <v>Mira Loma HS</v>
      </c>
      <c r="J1633" s="1">
        <v>0.0</v>
      </c>
      <c r="K1633" s="1">
        <v>0.0</v>
      </c>
    </row>
    <row r="1634">
      <c r="A1634" s="1">
        <v>1.0</v>
      </c>
      <c r="B1634" s="1">
        <v>4.0</v>
      </c>
      <c r="C1634" s="1">
        <v>1.0</v>
      </c>
      <c r="D1634" s="1">
        <v>0.0</v>
      </c>
      <c r="E1634" s="1">
        <v>0.0</v>
      </c>
      <c r="F1634" s="1">
        <v>0.0</v>
      </c>
      <c r="G1634" s="2">
        <v>0.0</v>
      </c>
      <c r="H1634" s="1" t="s">
        <v>270</v>
      </c>
      <c r="I1634" s="1" t="str">
        <f>IFERROR(__xludf.DUMMYFUNCTION("REGEXREPLACE(MID(H1634, SEARCH(""["", H1634) + 1, SEARCH(""]"", H1634) - SEARCH(""["", H1634) - 1), ""\[\]"","""")"),"Mira Loma HS")</f>
        <v>Mira Loma HS</v>
      </c>
      <c r="J1634" s="1">
        <v>0.0</v>
      </c>
      <c r="K1634" s="1">
        <v>0.0</v>
      </c>
    </row>
    <row r="1635">
      <c r="A1635" s="1">
        <v>1.0</v>
      </c>
      <c r="B1635" s="1">
        <v>3.0</v>
      </c>
      <c r="C1635" s="1">
        <v>1.0</v>
      </c>
      <c r="D1635" s="1">
        <v>4.0</v>
      </c>
      <c r="E1635" s="1">
        <v>0.0</v>
      </c>
      <c r="F1635" s="1">
        <v>0.0</v>
      </c>
      <c r="G1635" s="2">
        <v>1.0</v>
      </c>
      <c r="H1635" s="1" t="s">
        <v>228</v>
      </c>
      <c r="I1635" s="1" t="str">
        <f>IFERROR(__xludf.DUMMYFUNCTION("REGEXREPLACE(MID(H1635, SEARCH(""["", H1635) + 1, SEARCH(""]"", H1635) - SEARCH(""["", H1635) - 1), ""\[\]"","""")"),"Naperville North")</f>
        <v>Naperville North</v>
      </c>
      <c r="J1635" s="1">
        <v>4.0</v>
      </c>
      <c r="K1635" s="1">
        <v>0.0</v>
      </c>
    </row>
    <row r="1636">
      <c r="A1636" s="1">
        <v>4.0</v>
      </c>
      <c r="B1636" s="1">
        <v>16.0</v>
      </c>
      <c r="C1636" s="1">
        <v>3.0</v>
      </c>
      <c r="D1636" s="1">
        <v>1.0</v>
      </c>
      <c r="E1636" s="1">
        <v>0.0</v>
      </c>
      <c r="F1636" s="1">
        <v>0.0</v>
      </c>
      <c r="G1636" s="6">
        <v>0.333</v>
      </c>
      <c r="H1636" s="1" t="s">
        <v>228</v>
      </c>
      <c r="I1636" s="1" t="str">
        <f>IFERROR(__xludf.DUMMYFUNCTION("REGEXREPLACE(MID(H1636, SEARCH(""["", H1636) + 1, SEARCH(""]"", H1636) - SEARCH(""["", H1636) - 1), ""\[\]"","""")"),"Naperville North")</f>
        <v>Naperville North</v>
      </c>
      <c r="J1636" s="1">
        <v>4.0</v>
      </c>
      <c r="K1636" s="1">
        <v>0.0</v>
      </c>
    </row>
    <row r="1637">
      <c r="A1637" s="1">
        <v>1.0</v>
      </c>
      <c r="B1637" s="1">
        <v>3.0</v>
      </c>
      <c r="C1637" s="1">
        <v>1.0</v>
      </c>
      <c r="D1637" s="1">
        <v>0.0</v>
      </c>
      <c r="E1637" s="1">
        <v>0.0</v>
      </c>
      <c r="F1637" s="1">
        <v>0.0</v>
      </c>
      <c r="G1637" s="2">
        <v>0.0</v>
      </c>
      <c r="H1637" s="1" t="s">
        <v>273</v>
      </c>
      <c r="I1637" s="1" t="str">
        <f>IFERROR(__xludf.DUMMYFUNCTION("REGEXREPLACE(MID(H1637, SEARCH(""["", H1637) + 1, SEARCH(""]"", H1637) - SEARCH(""["", H1637) - 1), ""\[\]"","""")"),"Naperville North")</f>
        <v>Naperville North</v>
      </c>
      <c r="J1637" s="1">
        <v>0.0</v>
      </c>
      <c r="K1637" s="1">
        <v>0.0</v>
      </c>
    </row>
    <row r="1638">
      <c r="A1638" s="1">
        <v>3.0</v>
      </c>
      <c r="B1638" s="1">
        <v>12.0</v>
      </c>
      <c r="C1638" s="1">
        <v>2.0</v>
      </c>
      <c r="D1638" s="1">
        <v>1.33</v>
      </c>
      <c r="E1638" s="1">
        <v>0.0</v>
      </c>
      <c r="F1638" s="1">
        <v>0.0</v>
      </c>
      <c r="G1638" s="2">
        <v>0.5</v>
      </c>
      <c r="H1638" s="1" t="s">
        <v>273</v>
      </c>
      <c r="I1638" s="1" t="str">
        <f>IFERROR(__xludf.DUMMYFUNCTION("REGEXREPLACE(MID(H1638, SEARCH(""["", H1638) + 1, SEARCH(""]"", H1638) - SEARCH(""["", H1638) - 1), ""\[\]"","""")"),"Naperville North")</f>
        <v>Naperville North</v>
      </c>
      <c r="J1638" s="1">
        <v>4.0</v>
      </c>
      <c r="K1638" s="1">
        <v>0.0</v>
      </c>
    </row>
    <row r="1639">
      <c r="A1639" s="1">
        <v>1.0</v>
      </c>
      <c r="B1639" s="1">
        <v>4.0</v>
      </c>
      <c r="C1639" s="1">
        <v>0.0</v>
      </c>
      <c r="D1639" s="1">
        <v>0.0</v>
      </c>
      <c r="E1639" s="1">
        <v>0.0</v>
      </c>
      <c r="F1639" s="1">
        <v>0.0</v>
      </c>
      <c r="G1639" s="2">
        <v>0.0</v>
      </c>
      <c r="H1639" s="1" t="s">
        <v>273</v>
      </c>
      <c r="I1639" s="1" t="str">
        <f>IFERROR(__xludf.DUMMYFUNCTION("REGEXREPLACE(MID(H1639, SEARCH(""["", H1639) + 1, SEARCH(""]"", H1639) - SEARCH(""["", H1639) - 1), ""\[\]"","""")"),"Naperville North")</f>
        <v>Naperville North</v>
      </c>
      <c r="J1639" s="1">
        <v>0.0</v>
      </c>
      <c r="K1639" s="1">
        <v>0.0</v>
      </c>
    </row>
    <row r="1640">
      <c r="A1640" s="1">
        <v>1.0</v>
      </c>
      <c r="B1640" s="1">
        <v>3.0</v>
      </c>
      <c r="C1640" s="1">
        <v>0.0</v>
      </c>
      <c r="D1640" s="1">
        <v>0.0</v>
      </c>
      <c r="E1640" s="1">
        <v>0.0</v>
      </c>
      <c r="F1640" s="1">
        <v>0.0</v>
      </c>
      <c r="G1640" s="2">
        <v>0.0</v>
      </c>
      <c r="H1640" s="1" t="s">
        <v>275</v>
      </c>
      <c r="I1640" s="1" t="str">
        <f>IFERROR(__xludf.DUMMYFUNCTION("REGEXREPLACE(MID(H1640, SEARCH(""["", H1640) + 1, SEARCH(""]"", H1640) - SEARCH(""["", H1640) - 1), ""\[\]"","""")"),"Naperville North")</f>
        <v>Naperville North</v>
      </c>
      <c r="J1640" s="1">
        <v>0.0</v>
      </c>
      <c r="K1640" s="1">
        <v>0.0</v>
      </c>
    </row>
    <row r="1641">
      <c r="A1641" s="1">
        <v>3.0</v>
      </c>
      <c r="B1641" s="1">
        <v>12.0</v>
      </c>
      <c r="C1641" s="1">
        <v>4.0</v>
      </c>
      <c r="D1641" s="1">
        <v>1.33</v>
      </c>
      <c r="E1641" s="1">
        <v>0.0</v>
      </c>
      <c r="F1641" s="1">
        <v>0.0</v>
      </c>
      <c r="G1641" s="2">
        <v>0.25</v>
      </c>
      <c r="H1641" s="1" t="s">
        <v>275</v>
      </c>
      <c r="I1641" s="1" t="str">
        <f>IFERROR(__xludf.DUMMYFUNCTION("REGEXREPLACE(MID(H1641, SEARCH(""["", H1641) + 1, SEARCH(""]"", H1641) - SEARCH(""["", H1641) - 1), ""\[\]"","""")"),"Naperville North")</f>
        <v>Naperville North</v>
      </c>
      <c r="J1641" s="1">
        <v>4.0</v>
      </c>
      <c r="K1641" s="1">
        <v>0.0</v>
      </c>
    </row>
    <row r="1642">
      <c r="A1642" s="1">
        <v>2.0</v>
      </c>
      <c r="B1642" s="1">
        <v>7.0</v>
      </c>
      <c r="C1642" s="1">
        <v>1.0</v>
      </c>
      <c r="D1642" s="1">
        <v>2.0</v>
      </c>
      <c r="E1642" s="1">
        <v>0.0</v>
      </c>
      <c r="F1642" s="1">
        <v>0.0</v>
      </c>
      <c r="G1642" s="2">
        <v>1.0</v>
      </c>
      <c r="H1642" s="1" t="s">
        <v>276</v>
      </c>
      <c r="I1642" s="1" t="str">
        <f>IFERROR(__xludf.DUMMYFUNCTION("REGEXREPLACE(MID(H1642, SEARCH(""["", H1642) + 1, SEARCH(""]"", H1642) - SEARCH(""["", H1642) - 1), ""\[\]"","""")"),"Naperville North")</f>
        <v>Naperville North</v>
      </c>
      <c r="J1642" s="1">
        <v>4.0</v>
      </c>
      <c r="K1642" s="1">
        <v>0.0</v>
      </c>
    </row>
    <row r="1643">
      <c r="A1643" s="1">
        <v>2.0</v>
      </c>
      <c r="B1643" s="1">
        <v>8.0</v>
      </c>
      <c r="C1643" s="1">
        <v>0.0</v>
      </c>
      <c r="D1643" s="1">
        <v>0.0</v>
      </c>
      <c r="E1643" s="1">
        <v>0.0</v>
      </c>
      <c r="F1643" s="1">
        <v>0.0</v>
      </c>
      <c r="G1643" s="2">
        <v>0.0</v>
      </c>
      <c r="H1643" s="1" t="s">
        <v>276</v>
      </c>
      <c r="I1643" s="1" t="str">
        <f>IFERROR(__xludf.DUMMYFUNCTION("REGEXREPLACE(MID(H1643, SEARCH(""["", H1643) + 1, SEARCH(""]"", H1643) - SEARCH(""["", H1643) - 1), ""\[\]"","""")"),"Naperville North")</f>
        <v>Naperville North</v>
      </c>
      <c r="J1643" s="1">
        <v>0.0</v>
      </c>
      <c r="K1643" s="1">
        <v>0.0</v>
      </c>
    </row>
    <row r="1644">
      <c r="A1644" s="1">
        <v>1.0</v>
      </c>
      <c r="B1644" s="1">
        <v>4.0</v>
      </c>
      <c r="C1644" s="1">
        <v>1.0</v>
      </c>
      <c r="D1644" s="1">
        <v>0.0</v>
      </c>
      <c r="E1644" s="1">
        <v>0.0</v>
      </c>
      <c r="F1644" s="1">
        <v>0.0</v>
      </c>
      <c r="G1644" s="2">
        <v>0.0</v>
      </c>
      <c r="H1644" s="1" t="s">
        <v>277</v>
      </c>
      <c r="I1644" s="1" t="str">
        <f>IFERROR(__xludf.DUMMYFUNCTION("REGEXREPLACE(MID(H1644, SEARCH(""["", H1644) + 1, SEARCH(""]"", H1644) - SEARCH(""["", H1644) - 1), ""\[\]"","""")"),"Niskayuna HS")</f>
        <v>Niskayuna HS</v>
      </c>
      <c r="J1644" s="1">
        <v>0.0</v>
      </c>
      <c r="K1644" s="1">
        <v>0.0</v>
      </c>
    </row>
    <row r="1645">
      <c r="A1645" s="1">
        <v>4.0</v>
      </c>
      <c r="B1645" s="1">
        <v>16.0</v>
      </c>
      <c r="C1645" s="1">
        <v>4.0</v>
      </c>
      <c r="D1645" s="1">
        <v>-1.0</v>
      </c>
      <c r="E1645" s="1">
        <v>0.25</v>
      </c>
      <c r="F1645" s="1">
        <v>0.0</v>
      </c>
      <c r="G1645" s="2">
        <v>0.0</v>
      </c>
      <c r="H1645" s="1" t="s">
        <v>277</v>
      </c>
      <c r="I1645" s="1" t="str">
        <f>IFERROR(__xludf.DUMMYFUNCTION("REGEXREPLACE(MID(H1645, SEARCH(""["", H1645) + 1, SEARCH(""]"", H1645) - SEARCH(""["", H1645) - 1), ""\[\]"","""")"),"Niskayuna HS")</f>
        <v>Niskayuna HS</v>
      </c>
      <c r="J1645" s="1">
        <v>-4.0</v>
      </c>
      <c r="K1645" s="1">
        <v>1.0</v>
      </c>
    </row>
    <row r="1646">
      <c r="A1646" s="1">
        <v>1.0</v>
      </c>
      <c r="B1646" s="1">
        <v>4.0</v>
      </c>
      <c r="C1646" s="1">
        <v>0.0</v>
      </c>
      <c r="D1646" s="1">
        <v>0.0</v>
      </c>
      <c r="E1646" s="1">
        <v>0.0</v>
      </c>
      <c r="F1646" s="1">
        <v>0.0</v>
      </c>
      <c r="G1646" s="2">
        <v>0.0</v>
      </c>
      <c r="H1646" s="1" t="s">
        <v>172</v>
      </c>
      <c r="I1646" s="1" t="str">
        <f>IFERROR(__xludf.DUMMYFUNCTION("REGEXREPLACE(MID(H1646, SEARCH(""["", H1646) + 1, SEARCH(""]"", H1646) - SEARCH(""["", H1646) - 1), ""\[\]"","""")"),"Niskayuna HS")</f>
        <v>Niskayuna HS</v>
      </c>
      <c r="J1646" s="1">
        <v>0.0</v>
      </c>
      <c r="K1646" s="1">
        <v>0.0</v>
      </c>
    </row>
    <row r="1647">
      <c r="A1647" s="1">
        <v>3.0</v>
      </c>
      <c r="B1647" s="1">
        <v>12.0</v>
      </c>
      <c r="C1647" s="1">
        <v>1.0</v>
      </c>
      <c r="D1647" s="1">
        <v>1.33</v>
      </c>
      <c r="E1647" s="1">
        <v>0.0</v>
      </c>
      <c r="F1647" s="1">
        <v>0.0</v>
      </c>
      <c r="G1647" s="2">
        <v>1.0</v>
      </c>
      <c r="H1647" s="1" t="s">
        <v>172</v>
      </c>
      <c r="I1647" s="1" t="str">
        <f>IFERROR(__xludf.DUMMYFUNCTION("REGEXREPLACE(MID(H1647, SEARCH(""["", H1647) + 1, SEARCH(""]"", H1647) - SEARCH(""["", H1647) - 1), ""\[\]"","""")"),"Niskayuna HS")</f>
        <v>Niskayuna HS</v>
      </c>
      <c r="J1647" s="1">
        <v>4.0</v>
      </c>
      <c r="K1647" s="1">
        <v>0.0</v>
      </c>
    </row>
    <row r="1648">
      <c r="A1648" s="1">
        <v>1.0</v>
      </c>
      <c r="B1648" s="1">
        <v>4.0</v>
      </c>
      <c r="C1648" s="1">
        <v>1.0</v>
      </c>
      <c r="D1648" s="1">
        <v>-4.0</v>
      </c>
      <c r="E1648" s="1">
        <v>1.0</v>
      </c>
      <c r="F1648" s="1">
        <v>0.0</v>
      </c>
      <c r="G1648" s="2">
        <v>0.0</v>
      </c>
      <c r="H1648" s="1" t="s">
        <v>279</v>
      </c>
      <c r="I1648" s="1" t="str">
        <f>IFERROR(__xludf.DUMMYFUNCTION("REGEXREPLACE(MID(H1648, SEARCH(""["", H1648) + 1, SEARCH(""]"", H1648) - SEARCH(""["", H1648) - 1), ""\[\]"","""")"),"Niskayuna HS")</f>
        <v>Niskayuna HS</v>
      </c>
      <c r="J1648" s="1">
        <v>-4.0</v>
      </c>
      <c r="K1648" s="1">
        <v>1.0</v>
      </c>
    </row>
    <row r="1649">
      <c r="A1649" s="1">
        <v>4.0</v>
      </c>
      <c r="B1649" s="1">
        <v>16.0</v>
      </c>
      <c r="C1649" s="1">
        <v>2.0</v>
      </c>
      <c r="D1649" s="1">
        <v>2.0</v>
      </c>
      <c r="E1649" s="1">
        <v>0.0</v>
      </c>
      <c r="F1649" s="1">
        <v>0.0</v>
      </c>
      <c r="G1649" s="2">
        <v>1.0</v>
      </c>
      <c r="H1649" s="1" t="s">
        <v>279</v>
      </c>
      <c r="I1649" s="1" t="str">
        <f>IFERROR(__xludf.DUMMYFUNCTION("REGEXREPLACE(MID(H1649, SEARCH(""["", H1649) + 1, SEARCH(""]"", H1649) - SEARCH(""["", H1649) - 1), ""\[\]"","""")"),"Niskayuna HS")</f>
        <v>Niskayuna HS</v>
      </c>
      <c r="J1649" s="1">
        <v>8.0</v>
      </c>
      <c r="K1649" s="1">
        <v>0.0</v>
      </c>
    </row>
    <row r="1650">
      <c r="A1650" s="1">
        <v>1.0</v>
      </c>
      <c r="B1650" s="1">
        <v>4.0</v>
      </c>
      <c r="C1650" s="1">
        <v>1.0</v>
      </c>
      <c r="D1650" s="1">
        <v>-4.0</v>
      </c>
      <c r="E1650" s="1">
        <v>1.0</v>
      </c>
      <c r="F1650" s="1">
        <v>0.0</v>
      </c>
      <c r="G1650" s="2">
        <v>0.0</v>
      </c>
      <c r="H1650" s="1" t="s">
        <v>280</v>
      </c>
      <c r="I1650" s="1" t="str">
        <f>IFERROR(__xludf.DUMMYFUNCTION("REGEXREPLACE(MID(H1650, SEARCH(""["", H1650) + 1, SEARCH(""]"", H1650) - SEARCH(""["", H1650) - 1), ""\[\]"","""")"),"Niskayuna HS")</f>
        <v>Niskayuna HS</v>
      </c>
      <c r="J1650" s="1">
        <v>-4.0</v>
      </c>
      <c r="K1650" s="1">
        <v>1.0</v>
      </c>
    </row>
    <row r="1651">
      <c r="A1651" s="1">
        <v>1.0</v>
      </c>
      <c r="B1651" s="1">
        <v>4.0</v>
      </c>
      <c r="C1651" s="1">
        <v>2.0</v>
      </c>
      <c r="D1651" s="1">
        <v>8.0</v>
      </c>
      <c r="E1651" s="1">
        <v>0.0</v>
      </c>
      <c r="F1651" s="1">
        <v>0.0</v>
      </c>
      <c r="G1651" s="2">
        <v>1.0</v>
      </c>
      <c r="H1651" s="1" t="s">
        <v>281</v>
      </c>
      <c r="I1651" s="1" t="str">
        <f>IFERROR(__xludf.DUMMYFUNCTION("REGEXREPLACE(MID(H1651, SEARCH(""["", H1651) + 1, SEARCH(""]"", H1651) - SEARCH(""["", H1651) - 1), ""\[\]"","""")"),"Niskayuna HS")</f>
        <v>Niskayuna HS</v>
      </c>
      <c r="J1651" s="1">
        <v>8.0</v>
      </c>
      <c r="K1651" s="1">
        <v>0.0</v>
      </c>
    </row>
    <row r="1652">
      <c r="A1652" s="1">
        <v>4.0</v>
      </c>
      <c r="B1652" s="1">
        <v>16.0</v>
      </c>
      <c r="C1652" s="1">
        <v>4.0</v>
      </c>
      <c r="D1652" s="1">
        <v>1.0</v>
      </c>
      <c r="E1652" s="1">
        <v>0.25</v>
      </c>
      <c r="F1652" s="1">
        <v>0.0</v>
      </c>
      <c r="G1652" s="2">
        <v>0.5</v>
      </c>
      <c r="H1652" s="1" t="s">
        <v>281</v>
      </c>
      <c r="I1652" s="1" t="str">
        <f>IFERROR(__xludf.DUMMYFUNCTION("REGEXREPLACE(MID(H1652, SEARCH(""["", H1652) + 1, SEARCH(""]"", H1652) - SEARCH(""["", H1652) - 1), ""\[\]"","""")"),"Niskayuna HS")</f>
        <v>Niskayuna HS</v>
      </c>
      <c r="J1652" s="1">
        <v>4.0</v>
      </c>
      <c r="K1652" s="1">
        <v>1.0</v>
      </c>
    </row>
    <row r="1653">
      <c r="A1653" s="1">
        <v>2.0</v>
      </c>
      <c r="B1653" s="1">
        <v>8.0</v>
      </c>
      <c r="C1653" s="1">
        <v>3.0</v>
      </c>
      <c r="D1653" s="1">
        <v>6.0</v>
      </c>
      <c r="E1653" s="1">
        <v>0.0</v>
      </c>
      <c r="F1653" s="1">
        <v>0.0</v>
      </c>
      <c r="G1653" s="2">
        <v>1.0</v>
      </c>
      <c r="H1653" s="1" t="s">
        <v>282</v>
      </c>
      <c r="I1653" s="1" t="str">
        <f>IFERROR(__xludf.DUMMYFUNCTION("REGEXREPLACE(MID(H1653, SEARCH(""["", H1653) + 1, SEARCH(""]"", H1653) - SEARCH(""["", H1653) - 1), ""\[\]"","""")"),"NoHo 1")</f>
        <v>NoHo 1</v>
      </c>
      <c r="J1653" s="1">
        <v>12.0</v>
      </c>
      <c r="K1653" s="1">
        <v>0.0</v>
      </c>
    </row>
    <row r="1654">
      <c r="A1654" s="1">
        <v>1.0</v>
      </c>
      <c r="B1654" s="1">
        <v>4.0</v>
      </c>
      <c r="C1654" s="1">
        <v>1.0</v>
      </c>
      <c r="D1654" s="1">
        <v>0.0</v>
      </c>
      <c r="E1654" s="1">
        <v>0.0</v>
      </c>
      <c r="F1654" s="1">
        <v>0.0</v>
      </c>
      <c r="G1654" s="2">
        <v>0.0</v>
      </c>
      <c r="H1654" s="1" t="s">
        <v>282</v>
      </c>
      <c r="I1654" s="1" t="str">
        <f>IFERROR(__xludf.DUMMYFUNCTION("REGEXREPLACE(MID(H1654, SEARCH(""["", H1654) + 1, SEARCH(""]"", H1654) - SEARCH(""["", H1654) - 1), ""\[\]"","""")"),"NoHo 1")</f>
        <v>NoHo 1</v>
      </c>
      <c r="J1654" s="1">
        <v>0.0</v>
      </c>
      <c r="K1654" s="1">
        <v>0.0</v>
      </c>
    </row>
    <row r="1655">
      <c r="A1655" s="1">
        <v>3.0</v>
      </c>
      <c r="B1655" s="1">
        <v>12.0</v>
      </c>
      <c r="C1655" s="1">
        <v>0.0</v>
      </c>
      <c r="D1655" s="1">
        <v>0.0</v>
      </c>
      <c r="E1655" s="1">
        <v>0.0</v>
      </c>
      <c r="F1655" s="1">
        <v>0.0</v>
      </c>
      <c r="G1655" s="2">
        <v>0.0</v>
      </c>
      <c r="H1655" s="1" t="s">
        <v>283</v>
      </c>
      <c r="I1655" s="1" t="str">
        <f>IFERROR(__xludf.DUMMYFUNCTION("REGEXREPLACE(MID(H1655, SEARCH(""["", H1655) + 1, SEARCH(""]"", H1655) - SEARCH(""["", H1655) - 1), ""\[\]"","""")"),"NoHo 1")</f>
        <v>NoHo 1</v>
      </c>
      <c r="J1655" s="1">
        <v>0.0</v>
      </c>
      <c r="K1655" s="1">
        <v>0.0</v>
      </c>
    </row>
    <row r="1656">
      <c r="A1656" s="1">
        <v>1.0</v>
      </c>
      <c r="B1656" s="1">
        <v>4.0</v>
      </c>
      <c r="C1656" s="1">
        <v>0.0</v>
      </c>
      <c r="D1656" s="1">
        <v>0.0</v>
      </c>
      <c r="E1656" s="1">
        <v>0.0</v>
      </c>
      <c r="F1656" s="1">
        <v>0.0</v>
      </c>
      <c r="G1656" s="2">
        <v>0.0</v>
      </c>
      <c r="H1656" s="1" t="s">
        <v>283</v>
      </c>
      <c r="I1656" s="1" t="str">
        <f>IFERROR(__xludf.DUMMYFUNCTION("REGEXREPLACE(MID(H1656, SEARCH(""["", H1656) + 1, SEARCH(""]"", H1656) - SEARCH(""["", H1656) - 1), ""\[\]"","""")"),"NoHo 1")</f>
        <v>NoHo 1</v>
      </c>
      <c r="J1656" s="1">
        <v>0.0</v>
      </c>
      <c r="K1656" s="1">
        <v>0.0</v>
      </c>
    </row>
    <row r="1657">
      <c r="A1657" s="1">
        <v>1.0</v>
      </c>
      <c r="B1657" s="1">
        <v>4.0</v>
      </c>
      <c r="C1657" s="1">
        <v>0.0</v>
      </c>
      <c r="D1657" s="1">
        <v>0.0</v>
      </c>
      <c r="E1657" s="1">
        <v>0.0</v>
      </c>
      <c r="F1657" s="1">
        <v>0.0</v>
      </c>
      <c r="G1657" s="2">
        <v>0.0</v>
      </c>
      <c r="H1657" s="1" t="s">
        <v>284</v>
      </c>
      <c r="I1657" s="1" t="str">
        <f>IFERROR(__xludf.DUMMYFUNCTION("REGEXREPLACE(MID(H1657, SEARCH(""["", H1657) + 1, SEARCH(""]"", H1657) - SEARCH(""["", H1657) - 1), ""\[\]"","""")"),"NoHo 1")</f>
        <v>NoHo 1</v>
      </c>
      <c r="J1657" s="1">
        <v>0.0</v>
      </c>
      <c r="K1657" s="1">
        <v>0.0</v>
      </c>
    </row>
    <row r="1658">
      <c r="A1658" s="1">
        <v>1.0</v>
      </c>
      <c r="B1658" s="1">
        <v>4.0</v>
      </c>
      <c r="C1658" s="1">
        <v>0.0</v>
      </c>
      <c r="D1658" s="1">
        <v>0.0</v>
      </c>
      <c r="E1658" s="1">
        <v>0.0</v>
      </c>
      <c r="F1658" s="1">
        <v>0.0</v>
      </c>
      <c r="G1658" s="2">
        <v>0.0</v>
      </c>
      <c r="H1658" s="1" t="s">
        <v>284</v>
      </c>
      <c r="I1658" s="1" t="str">
        <f>IFERROR(__xludf.DUMMYFUNCTION("REGEXREPLACE(MID(H1658, SEARCH(""["", H1658) + 1, SEARCH(""]"", H1658) - SEARCH(""["", H1658) - 1), ""\[\]"","""")"),"NoHo 1")</f>
        <v>NoHo 1</v>
      </c>
      <c r="J1658" s="1">
        <v>0.0</v>
      </c>
      <c r="K1658" s="1">
        <v>0.0</v>
      </c>
    </row>
    <row r="1659">
      <c r="A1659" s="1">
        <v>1.0</v>
      </c>
      <c r="B1659" s="1">
        <v>3.0</v>
      </c>
      <c r="C1659" s="1">
        <v>3.0</v>
      </c>
      <c r="D1659" s="1">
        <v>4.0</v>
      </c>
      <c r="E1659" s="1">
        <v>1.0</v>
      </c>
      <c r="F1659" s="1">
        <v>0.0</v>
      </c>
      <c r="G1659" s="6">
        <v>0.667</v>
      </c>
      <c r="H1659" s="1" t="s">
        <v>52</v>
      </c>
      <c r="I1659" s="1" t="str">
        <f>IFERROR(__xludf.DUMMYFUNCTION("REGEXREPLACE(MID(H1659, SEARCH(""["", H1659) + 1, SEARCH(""]"", H1659) - SEARCH(""["", H1659) - 1), ""\[\]"","""")"),"NoHo 1")</f>
        <v>NoHo 1</v>
      </c>
      <c r="J1659" s="1">
        <v>4.0</v>
      </c>
      <c r="K1659" s="1">
        <v>1.0</v>
      </c>
    </row>
    <row r="1660">
      <c r="A1660" s="1">
        <v>3.0</v>
      </c>
      <c r="B1660" s="1">
        <v>12.0</v>
      </c>
      <c r="C1660" s="1">
        <v>6.0</v>
      </c>
      <c r="D1660" s="1">
        <v>1.33</v>
      </c>
      <c r="E1660" s="1">
        <v>0.67</v>
      </c>
      <c r="F1660" s="1">
        <v>0.0</v>
      </c>
      <c r="G1660" s="2">
        <v>0.5</v>
      </c>
      <c r="H1660" s="1" t="s">
        <v>52</v>
      </c>
      <c r="I1660" s="1" t="str">
        <f>IFERROR(__xludf.DUMMYFUNCTION("REGEXREPLACE(MID(H1660, SEARCH(""["", H1660) + 1, SEARCH(""]"", H1660) - SEARCH(""["", H1660) - 1), ""\[\]"","""")"),"NoHo 1")</f>
        <v>NoHo 1</v>
      </c>
      <c r="J1660" s="1">
        <v>4.0</v>
      </c>
      <c r="K1660" s="1">
        <v>2.0</v>
      </c>
    </row>
    <row r="1661">
      <c r="A1661" s="1">
        <v>1.0</v>
      </c>
      <c r="B1661" s="1">
        <v>4.0</v>
      </c>
      <c r="C1661" s="1">
        <v>2.0</v>
      </c>
      <c r="D1661" s="1">
        <v>8.0</v>
      </c>
      <c r="E1661" s="1">
        <v>0.0</v>
      </c>
      <c r="F1661" s="1">
        <v>0.0</v>
      </c>
      <c r="G1661" s="2">
        <v>1.0</v>
      </c>
      <c r="H1661" s="1" t="s">
        <v>52</v>
      </c>
      <c r="I1661" s="1" t="str">
        <f>IFERROR(__xludf.DUMMYFUNCTION("REGEXREPLACE(MID(H1661, SEARCH(""["", H1661) + 1, SEARCH(""]"", H1661) - SEARCH(""["", H1661) - 1), ""\[\]"","""")"),"NoHo 1")</f>
        <v>NoHo 1</v>
      </c>
      <c r="J1661" s="1">
        <v>8.0</v>
      </c>
      <c r="K1661" s="1">
        <v>0.0</v>
      </c>
    </row>
    <row r="1662">
      <c r="A1662" s="1">
        <v>1.0</v>
      </c>
      <c r="B1662" s="1">
        <v>4.0</v>
      </c>
      <c r="C1662" s="1">
        <v>1.0</v>
      </c>
      <c r="D1662" s="1">
        <v>4.0</v>
      </c>
      <c r="E1662" s="1">
        <v>0.0</v>
      </c>
      <c r="F1662" s="1">
        <v>0.0</v>
      </c>
      <c r="G1662" s="2">
        <v>1.0</v>
      </c>
      <c r="H1662" s="1" t="s">
        <v>223</v>
      </c>
      <c r="I1662" s="1" t="str">
        <f>IFERROR(__xludf.DUMMYFUNCTION("REGEXREPLACE(MID(H1662, SEARCH(""["", H1662) + 1, SEARCH(""]"", H1662) - SEARCH(""["", H1662) - 1), ""\[\]"","""")"),"NoHo 2")</f>
        <v>NoHo 2</v>
      </c>
      <c r="J1662" s="1">
        <v>4.0</v>
      </c>
      <c r="K1662" s="1">
        <v>0.0</v>
      </c>
    </row>
    <row r="1663">
      <c r="A1663" s="1">
        <v>1.0</v>
      </c>
      <c r="B1663" s="1">
        <v>4.0</v>
      </c>
      <c r="C1663" s="1">
        <v>2.0</v>
      </c>
      <c r="D1663" s="1">
        <v>0.0</v>
      </c>
      <c r="E1663" s="1">
        <v>1.0</v>
      </c>
      <c r="F1663" s="1">
        <v>0.0</v>
      </c>
      <c r="G1663" s="2">
        <v>0.5</v>
      </c>
      <c r="H1663" s="1" t="s">
        <v>223</v>
      </c>
      <c r="I1663" s="1" t="str">
        <f>IFERROR(__xludf.DUMMYFUNCTION("REGEXREPLACE(MID(H1663, SEARCH(""["", H1663) + 1, SEARCH(""]"", H1663) - SEARCH(""["", H1663) - 1), ""\[\]"","""")"),"NoHo 2")</f>
        <v>NoHo 2</v>
      </c>
      <c r="J1663" s="1">
        <v>0.0</v>
      </c>
      <c r="K1663" s="1">
        <v>1.0</v>
      </c>
    </row>
    <row r="1664">
      <c r="A1664" s="1">
        <v>1.0</v>
      </c>
      <c r="B1664" s="1">
        <v>4.0</v>
      </c>
      <c r="C1664" s="1">
        <v>0.0</v>
      </c>
      <c r="D1664" s="1">
        <v>0.0</v>
      </c>
      <c r="E1664" s="1">
        <v>0.0</v>
      </c>
      <c r="F1664" s="1">
        <v>0.0</v>
      </c>
      <c r="G1664" s="2">
        <v>0.0</v>
      </c>
      <c r="H1664" s="1" t="s">
        <v>223</v>
      </c>
      <c r="I1664" s="1" t="str">
        <f>IFERROR(__xludf.DUMMYFUNCTION("REGEXREPLACE(MID(H1664, SEARCH(""["", H1664) + 1, SEARCH(""]"", H1664) - SEARCH(""["", H1664) - 1), ""\[\]"","""")"),"NoHo 2")</f>
        <v>NoHo 2</v>
      </c>
      <c r="J1664" s="1">
        <v>0.0</v>
      </c>
      <c r="K1664" s="1">
        <v>0.0</v>
      </c>
    </row>
    <row r="1665">
      <c r="A1665" s="1">
        <v>1.0</v>
      </c>
      <c r="B1665" s="1">
        <v>3.0</v>
      </c>
      <c r="C1665" s="1">
        <v>2.0</v>
      </c>
      <c r="D1665" s="1">
        <v>4.0</v>
      </c>
      <c r="E1665" s="1">
        <v>0.0</v>
      </c>
      <c r="F1665" s="1">
        <v>0.0</v>
      </c>
      <c r="G1665" s="2">
        <v>0.5</v>
      </c>
      <c r="H1665" s="1" t="s">
        <v>223</v>
      </c>
      <c r="I1665" s="1" t="str">
        <f>IFERROR(__xludf.DUMMYFUNCTION("REGEXREPLACE(MID(H1665, SEARCH(""["", H1665) + 1, SEARCH(""]"", H1665) - SEARCH(""["", H1665) - 1), ""\[\]"","""")"),"NoHo 2")</f>
        <v>NoHo 2</v>
      </c>
      <c r="J1665" s="1">
        <v>4.0</v>
      </c>
      <c r="K1665" s="1">
        <v>0.0</v>
      </c>
    </row>
    <row r="1666">
      <c r="A1666" s="1">
        <v>1.0</v>
      </c>
      <c r="B1666" s="1">
        <v>4.0</v>
      </c>
      <c r="C1666" s="1">
        <v>2.0</v>
      </c>
      <c r="D1666" s="1">
        <v>-8.0</v>
      </c>
      <c r="E1666" s="1">
        <v>2.0</v>
      </c>
      <c r="F1666" s="1">
        <v>0.0</v>
      </c>
      <c r="G1666" s="2">
        <v>0.0</v>
      </c>
      <c r="H1666" s="1" t="s">
        <v>207</v>
      </c>
      <c r="I1666" s="1" t="str">
        <f>IFERROR(__xludf.DUMMYFUNCTION("REGEXREPLACE(MID(H1666, SEARCH(""["", H1666) + 1, SEARCH(""]"", H1666) - SEARCH(""["", H1666) - 1), ""\[\]"","""")"),"NoHo 2")</f>
        <v>NoHo 2</v>
      </c>
      <c r="J1666" s="1">
        <v>-8.0</v>
      </c>
      <c r="K1666" s="1">
        <v>2.0</v>
      </c>
    </row>
    <row r="1667">
      <c r="A1667" s="1">
        <v>1.0</v>
      </c>
      <c r="B1667" s="1">
        <v>4.0</v>
      </c>
      <c r="C1667" s="1">
        <v>3.0</v>
      </c>
      <c r="D1667" s="1">
        <v>4.0</v>
      </c>
      <c r="E1667" s="1">
        <v>0.0</v>
      </c>
      <c r="F1667" s="1">
        <v>0.0</v>
      </c>
      <c r="G1667" s="6">
        <v>0.333</v>
      </c>
      <c r="H1667" s="1" t="s">
        <v>207</v>
      </c>
      <c r="I1667" s="1" t="str">
        <f>IFERROR(__xludf.DUMMYFUNCTION("REGEXREPLACE(MID(H1667, SEARCH(""["", H1667) + 1, SEARCH(""]"", H1667) - SEARCH(""["", H1667) - 1), ""\[\]"","""")"),"NoHo 2")</f>
        <v>NoHo 2</v>
      </c>
      <c r="J1667" s="1">
        <v>4.0</v>
      </c>
      <c r="K1667" s="1">
        <v>0.0</v>
      </c>
    </row>
    <row r="1668">
      <c r="A1668" s="1">
        <v>1.0</v>
      </c>
      <c r="B1668" s="1">
        <v>4.0</v>
      </c>
      <c r="C1668" s="1">
        <v>0.0</v>
      </c>
      <c r="D1668" s="1">
        <v>0.0</v>
      </c>
      <c r="E1668" s="1">
        <v>0.0</v>
      </c>
      <c r="F1668" s="1">
        <v>0.0</v>
      </c>
      <c r="G1668" s="2">
        <v>0.0</v>
      </c>
      <c r="H1668" s="1" t="s">
        <v>207</v>
      </c>
      <c r="I1668" s="1" t="str">
        <f>IFERROR(__xludf.DUMMYFUNCTION("REGEXREPLACE(MID(H1668, SEARCH(""["", H1668) + 1, SEARCH(""]"", H1668) - SEARCH(""["", H1668) - 1), ""\[\]"","""")"),"NoHo 2")</f>
        <v>NoHo 2</v>
      </c>
      <c r="J1668" s="1">
        <v>0.0</v>
      </c>
      <c r="K1668" s="1">
        <v>0.0</v>
      </c>
    </row>
    <row r="1669">
      <c r="A1669" s="1">
        <v>2.0</v>
      </c>
      <c r="B1669" s="1">
        <v>7.0</v>
      </c>
      <c r="C1669" s="1">
        <v>3.0</v>
      </c>
      <c r="D1669" s="1">
        <v>-4.0</v>
      </c>
      <c r="E1669" s="1">
        <v>1.0</v>
      </c>
      <c r="F1669" s="1">
        <v>0.0</v>
      </c>
      <c r="G1669" s="2">
        <v>0.0</v>
      </c>
      <c r="H1669" s="1" t="s">
        <v>207</v>
      </c>
      <c r="I1669" s="1" t="str">
        <f>IFERROR(__xludf.DUMMYFUNCTION("REGEXREPLACE(MID(H1669, SEARCH(""["", H1669) + 1, SEARCH(""]"", H1669) - SEARCH(""["", H1669) - 1), ""\[\]"","""")"),"NoHo 2")</f>
        <v>NoHo 2</v>
      </c>
      <c r="J1669" s="1">
        <v>-8.0</v>
      </c>
      <c r="K1669" s="1">
        <v>2.0</v>
      </c>
    </row>
    <row r="1670">
      <c r="A1670" s="1">
        <v>1.0</v>
      </c>
      <c r="B1670" s="1">
        <v>4.0</v>
      </c>
      <c r="C1670" s="1">
        <v>1.0</v>
      </c>
      <c r="D1670" s="1">
        <v>-4.0</v>
      </c>
      <c r="E1670" s="1">
        <v>1.0</v>
      </c>
      <c r="F1670" s="1">
        <v>0.0</v>
      </c>
      <c r="G1670" s="2">
        <v>0.0</v>
      </c>
      <c r="H1670" s="1" t="s">
        <v>288</v>
      </c>
      <c r="I1670" s="1" t="str">
        <f>IFERROR(__xludf.DUMMYFUNCTION("REGEXREPLACE(MID(H1670, SEARCH(""["", H1670) + 1, SEARCH(""]"", H1670) - SEARCH(""["", H1670) - 1), ""\[\]"","""")"),"NoHo 2")</f>
        <v>NoHo 2</v>
      </c>
      <c r="J1670" s="1">
        <v>-4.0</v>
      </c>
      <c r="K1670" s="1">
        <v>1.0</v>
      </c>
    </row>
    <row r="1671">
      <c r="A1671" s="1">
        <v>1.0</v>
      </c>
      <c r="B1671" s="1">
        <v>4.0</v>
      </c>
      <c r="C1671" s="1">
        <v>0.0</v>
      </c>
      <c r="D1671" s="1">
        <v>0.0</v>
      </c>
      <c r="E1671" s="1">
        <v>0.0</v>
      </c>
      <c r="F1671" s="1">
        <v>0.0</v>
      </c>
      <c r="G1671" s="2">
        <v>0.0</v>
      </c>
      <c r="H1671" s="1" t="s">
        <v>245</v>
      </c>
      <c r="I1671" s="1" t="str">
        <f>IFERROR(__xludf.DUMMYFUNCTION("REGEXREPLACE(MID(H1671, SEARCH(""["", H1671) + 1, SEARCH(""]"", H1671) - SEARCH(""["", H1671) - 1), ""\[\]"","""")"),"NoHo 2")</f>
        <v>NoHo 2</v>
      </c>
      <c r="J1671" s="1">
        <v>0.0</v>
      </c>
      <c r="K1671" s="1">
        <v>0.0</v>
      </c>
    </row>
    <row r="1672">
      <c r="A1672" s="1">
        <v>1.0</v>
      </c>
      <c r="B1672" s="1">
        <v>4.0</v>
      </c>
      <c r="C1672" s="1">
        <v>1.0</v>
      </c>
      <c r="D1672" s="1">
        <v>4.0</v>
      </c>
      <c r="E1672" s="1">
        <v>0.0</v>
      </c>
      <c r="F1672" s="1">
        <v>0.0</v>
      </c>
      <c r="G1672" s="2">
        <v>1.0</v>
      </c>
      <c r="H1672" s="1" t="s">
        <v>245</v>
      </c>
      <c r="I1672" s="1" t="str">
        <f>IFERROR(__xludf.DUMMYFUNCTION("REGEXREPLACE(MID(H1672, SEARCH(""["", H1672) + 1, SEARCH(""]"", H1672) - SEARCH(""["", H1672) - 1), ""\[\]"","""")"),"NoHo 2")</f>
        <v>NoHo 2</v>
      </c>
      <c r="J1672" s="1">
        <v>4.0</v>
      </c>
      <c r="K1672" s="1">
        <v>0.0</v>
      </c>
    </row>
    <row r="1673">
      <c r="A1673" s="1">
        <v>1.0</v>
      </c>
      <c r="B1673" s="1">
        <v>4.0</v>
      </c>
      <c r="C1673" s="1">
        <v>2.0</v>
      </c>
      <c r="D1673" s="1">
        <v>-4.0</v>
      </c>
      <c r="E1673" s="1">
        <v>1.0</v>
      </c>
      <c r="F1673" s="1">
        <v>0.0</v>
      </c>
      <c r="G1673" s="2">
        <v>0.0</v>
      </c>
      <c r="H1673" s="1" t="s">
        <v>245</v>
      </c>
      <c r="I1673" s="1" t="str">
        <f>IFERROR(__xludf.DUMMYFUNCTION("REGEXREPLACE(MID(H1673, SEARCH(""["", H1673) + 1, SEARCH(""]"", H1673) - SEARCH(""["", H1673) - 1), ""\[\]"","""")"),"NoHo 2")</f>
        <v>NoHo 2</v>
      </c>
      <c r="J1673" s="1">
        <v>-4.0</v>
      </c>
      <c r="K1673" s="1">
        <v>1.0</v>
      </c>
    </row>
    <row r="1674">
      <c r="A1674" s="1">
        <v>1.0</v>
      </c>
      <c r="B1674" s="1">
        <v>4.0</v>
      </c>
      <c r="C1674" s="1">
        <v>0.0</v>
      </c>
      <c r="D1674" s="1">
        <v>0.0</v>
      </c>
      <c r="E1674" s="1">
        <v>0.0</v>
      </c>
      <c r="F1674" s="1">
        <v>0.0</v>
      </c>
      <c r="G1674" s="2">
        <v>0.0</v>
      </c>
      <c r="H1674" s="1" t="s">
        <v>290</v>
      </c>
      <c r="I1674" s="1" t="str">
        <f>IFERROR(__xludf.DUMMYFUNCTION("REGEXREPLACE(MID(H1674, SEARCH(""["", H1674) + 1, SEARCH(""]"", H1674) - SEARCH(""["", H1674) - 1), ""\[\]"","""")"),"The Outliers")</f>
        <v>The Outliers</v>
      </c>
      <c r="J1674" s="1">
        <v>0.0</v>
      </c>
      <c r="K1674" s="1">
        <v>0.0</v>
      </c>
    </row>
    <row r="1675">
      <c r="A1675" s="1">
        <v>4.0</v>
      </c>
      <c r="B1675" s="1">
        <v>15.0</v>
      </c>
      <c r="C1675" s="1">
        <v>5.0</v>
      </c>
      <c r="D1675" s="1">
        <v>1.0</v>
      </c>
      <c r="E1675" s="1">
        <v>0.0</v>
      </c>
      <c r="F1675" s="1">
        <v>0.0</v>
      </c>
      <c r="G1675" s="2">
        <v>0.2</v>
      </c>
      <c r="H1675" s="1" t="s">
        <v>291</v>
      </c>
      <c r="I1675" s="1" t="str">
        <f>IFERROR(__xludf.DUMMYFUNCTION("REGEXREPLACE(MID(H1675, SEARCH(""["", H1675) + 1, SEARCH(""]"", H1675) - SEARCH(""["", H1675) - 1), ""\[\]"","""")"),"OCSA")</f>
        <v>OCSA</v>
      </c>
      <c r="J1675" s="1">
        <v>4.0</v>
      </c>
      <c r="K1675" s="1">
        <v>0.0</v>
      </c>
    </row>
    <row r="1676">
      <c r="A1676" s="1">
        <v>5.0</v>
      </c>
      <c r="B1676" s="1">
        <v>19.0</v>
      </c>
      <c r="C1676" s="1">
        <v>0.0</v>
      </c>
      <c r="D1676" s="1">
        <v>0.0</v>
      </c>
      <c r="E1676" s="1">
        <v>0.0</v>
      </c>
      <c r="F1676" s="1">
        <v>0.0</v>
      </c>
      <c r="G1676" s="2">
        <v>0.0</v>
      </c>
      <c r="H1676" s="1" t="s">
        <v>267</v>
      </c>
      <c r="I1676" s="1" t="str">
        <f>IFERROR(__xludf.DUMMYFUNCTION("REGEXREPLACE(MID(H1676, SEARCH(""["", H1676) + 1, SEARCH(""]"", H1676) - SEARCH(""["", H1676) - 1), ""\[\]"","""")"),"OCSA")</f>
        <v>OCSA</v>
      </c>
      <c r="J1676" s="1">
        <v>0.0</v>
      </c>
      <c r="K1676" s="1">
        <v>0.0</v>
      </c>
    </row>
    <row r="1677">
      <c r="A1677" s="1">
        <v>5.0</v>
      </c>
      <c r="B1677" s="1">
        <v>19.0</v>
      </c>
      <c r="C1677" s="1">
        <v>11.0</v>
      </c>
      <c r="D1677" s="1">
        <v>-0.8</v>
      </c>
      <c r="E1677" s="1">
        <v>0.6</v>
      </c>
      <c r="F1677" s="1">
        <v>0.0</v>
      </c>
      <c r="G1677" s="6">
        <v>0.182</v>
      </c>
      <c r="H1677" s="1" t="s">
        <v>98</v>
      </c>
      <c r="I1677" s="1" t="str">
        <f>IFERROR(__xludf.DUMMYFUNCTION("REGEXREPLACE(MID(H1677, SEARCH(""["", H1677) + 1, SEARCH(""]"", H1677) - SEARCH(""["", H1677) - 1), ""\[\]"","""")"),"OCSA")</f>
        <v>OCSA</v>
      </c>
      <c r="J1677" s="1">
        <v>-4.0</v>
      </c>
      <c r="K1677" s="1">
        <v>3.0</v>
      </c>
    </row>
    <row r="1678">
      <c r="A1678" s="1">
        <v>1.0</v>
      </c>
      <c r="B1678" s="1">
        <v>4.0</v>
      </c>
      <c r="C1678" s="1">
        <v>3.0</v>
      </c>
      <c r="D1678" s="1">
        <v>-4.0</v>
      </c>
      <c r="E1678" s="1">
        <v>2.0</v>
      </c>
      <c r="F1678" s="1">
        <v>0.0</v>
      </c>
      <c r="G1678" s="6">
        <v>0.333</v>
      </c>
      <c r="H1678" s="1" t="s">
        <v>106</v>
      </c>
      <c r="I1678" s="1" t="str">
        <f>IFERROR(__xludf.DUMMYFUNCTION("REGEXREPLACE(MID(H1678, SEARCH(""["", H1678) + 1, SEARCH(""]"", H1678) - SEARCH(""["", H1678) - 1), ""\[\]"","""")"),"Palo Alto")</f>
        <v>Palo Alto</v>
      </c>
      <c r="J1678" s="1">
        <v>-4.0</v>
      </c>
      <c r="K1678" s="1">
        <v>2.0</v>
      </c>
    </row>
    <row r="1679">
      <c r="A1679" s="1">
        <v>3.0</v>
      </c>
      <c r="B1679" s="1">
        <v>12.0</v>
      </c>
      <c r="C1679" s="1">
        <v>12.0</v>
      </c>
      <c r="D1679" s="1">
        <v>6.67</v>
      </c>
      <c r="E1679" s="1">
        <v>0.33</v>
      </c>
      <c r="F1679" s="1">
        <v>0.0</v>
      </c>
      <c r="G1679" s="2">
        <v>0.5</v>
      </c>
      <c r="H1679" s="1" t="s">
        <v>106</v>
      </c>
      <c r="I1679" s="1" t="str">
        <f>IFERROR(__xludf.DUMMYFUNCTION("REGEXREPLACE(MID(H1679, SEARCH(""["", H1679) + 1, SEARCH(""]"", H1679) - SEARCH(""["", H1679) - 1), ""\[\]"","""")"),"Palo Alto")</f>
        <v>Palo Alto</v>
      </c>
      <c r="J1679" s="1">
        <v>20.0</v>
      </c>
      <c r="K1679" s="1">
        <v>1.0</v>
      </c>
    </row>
    <row r="1680">
      <c r="A1680" s="1">
        <v>1.0</v>
      </c>
      <c r="B1680" s="1">
        <v>4.0</v>
      </c>
      <c r="C1680" s="1">
        <v>3.0</v>
      </c>
      <c r="D1680" s="1">
        <v>12.0</v>
      </c>
      <c r="E1680" s="1">
        <v>0.0</v>
      </c>
      <c r="F1680" s="1">
        <v>0.0</v>
      </c>
      <c r="G1680" s="2">
        <v>1.0</v>
      </c>
      <c r="H1680" s="1" t="s">
        <v>106</v>
      </c>
      <c r="I1680" s="1" t="str">
        <f>IFERROR(__xludf.DUMMYFUNCTION("REGEXREPLACE(MID(H1680, SEARCH(""["", H1680) + 1, SEARCH(""]"", H1680) - SEARCH(""["", H1680) - 1), ""\[\]"","""")"),"Palo Alto")</f>
        <v>Palo Alto</v>
      </c>
      <c r="J1680" s="1">
        <v>12.0</v>
      </c>
      <c r="K1680" s="1">
        <v>0.0</v>
      </c>
    </row>
    <row r="1681">
      <c r="A1681" s="1">
        <v>2.0</v>
      </c>
      <c r="B1681" s="1">
        <v>8.0</v>
      </c>
      <c r="C1681" s="1">
        <v>0.0</v>
      </c>
      <c r="D1681" s="1">
        <v>0.0</v>
      </c>
      <c r="E1681" s="1">
        <v>0.0</v>
      </c>
      <c r="F1681" s="1">
        <v>0.0</v>
      </c>
      <c r="G1681" s="2">
        <v>0.0</v>
      </c>
      <c r="H1681" s="1" t="s">
        <v>292</v>
      </c>
      <c r="I1681" s="1" t="str">
        <f>IFERROR(__xludf.DUMMYFUNCTION("REGEXREPLACE(MID(H1681, SEARCH(""["", H1681) + 1, SEARCH(""]"", H1681) - SEARCH(""["", H1681) - 1), ""\[\]"","""")"),"Palo Alto")</f>
        <v>Palo Alto</v>
      </c>
      <c r="J1681" s="1">
        <v>0.0</v>
      </c>
      <c r="K1681" s="1">
        <v>0.0</v>
      </c>
    </row>
    <row r="1682">
      <c r="A1682" s="1">
        <v>1.0</v>
      </c>
      <c r="B1682" s="1">
        <v>4.0</v>
      </c>
      <c r="C1682" s="1">
        <v>0.0</v>
      </c>
      <c r="D1682" s="1">
        <v>0.0</v>
      </c>
      <c r="E1682" s="1">
        <v>0.0</v>
      </c>
      <c r="F1682" s="1">
        <v>0.0</v>
      </c>
      <c r="G1682" s="2">
        <v>0.0</v>
      </c>
      <c r="H1682" s="1" t="s">
        <v>269</v>
      </c>
      <c r="I1682" s="1" t="str">
        <f>IFERROR(__xludf.DUMMYFUNCTION("REGEXREPLACE(MID(H1682, SEARCH(""["", H1682) + 1, SEARCH(""]"", H1682) - SEARCH(""["", H1682) - 1), ""\[\]"","""")"),"Palo Alto")</f>
        <v>Palo Alto</v>
      </c>
      <c r="J1682" s="1">
        <v>0.0</v>
      </c>
      <c r="K1682" s="1">
        <v>0.0</v>
      </c>
    </row>
    <row r="1683">
      <c r="A1683" s="1">
        <v>3.0</v>
      </c>
      <c r="B1683" s="1">
        <v>12.0</v>
      </c>
      <c r="C1683" s="1">
        <v>0.0</v>
      </c>
      <c r="D1683" s="1">
        <v>0.0</v>
      </c>
      <c r="E1683" s="1">
        <v>0.0</v>
      </c>
      <c r="F1683" s="1">
        <v>0.0</v>
      </c>
      <c r="G1683" s="2">
        <v>0.0</v>
      </c>
      <c r="H1683" s="1" t="s">
        <v>269</v>
      </c>
      <c r="I1683" s="1" t="str">
        <f>IFERROR(__xludf.DUMMYFUNCTION("REGEXREPLACE(MID(H1683, SEARCH(""["", H1683) + 1, SEARCH(""]"", H1683) - SEARCH(""["", H1683) - 1), ""\[\]"","""")"),"Palo Alto")</f>
        <v>Palo Alto</v>
      </c>
      <c r="J1683" s="1">
        <v>0.0</v>
      </c>
      <c r="K1683" s="1">
        <v>0.0</v>
      </c>
    </row>
    <row r="1684">
      <c r="A1684" s="1">
        <v>1.0</v>
      </c>
      <c r="B1684" s="1">
        <v>4.0</v>
      </c>
      <c r="C1684" s="1">
        <v>1.0</v>
      </c>
      <c r="D1684" s="1">
        <v>4.0</v>
      </c>
      <c r="E1684" s="1">
        <v>0.0</v>
      </c>
      <c r="F1684" s="1">
        <v>0.0</v>
      </c>
      <c r="G1684" s="2">
        <v>1.0</v>
      </c>
      <c r="H1684" s="1" t="s">
        <v>269</v>
      </c>
      <c r="I1684" s="1" t="str">
        <f>IFERROR(__xludf.DUMMYFUNCTION("REGEXREPLACE(MID(H1684, SEARCH(""["", H1684) + 1, SEARCH(""]"", H1684) - SEARCH(""["", H1684) - 1), ""\[\]"","""")"),"Palo Alto")</f>
        <v>Palo Alto</v>
      </c>
      <c r="J1684" s="1">
        <v>4.0</v>
      </c>
      <c r="K1684" s="1">
        <v>0.0</v>
      </c>
    </row>
    <row r="1685">
      <c r="A1685" s="1">
        <v>1.0</v>
      </c>
      <c r="B1685" s="1">
        <v>4.0</v>
      </c>
      <c r="C1685" s="1">
        <v>0.0</v>
      </c>
      <c r="D1685" s="1">
        <v>0.0</v>
      </c>
      <c r="E1685" s="1">
        <v>0.0</v>
      </c>
      <c r="F1685" s="1">
        <v>0.0</v>
      </c>
      <c r="G1685" s="2">
        <v>0.0</v>
      </c>
      <c r="H1685" s="1" t="s">
        <v>293</v>
      </c>
      <c r="I1685" s="1" t="str">
        <f>IFERROR(__xludf.DUMMYFUNCTION("REGEXREPLACE(MID(H1685, SEARCH(""["", H1685) + 1, SEARCH(""]"", H1685) - SEARCH(""["", H1685) - 1), ""\[\]"","""")"),"Palo Alto")</f>
        <v>Palo Alto</v>
      </c>
      <c r="J1685" s="1">
        <v>0.0</v>
      </c>
      <c r="K1685" s="1">
        <v>0.0</v>
      </c>
    </row>
    <row r="1686">
      <c r="A1686" s="1">
        <v>3.0</v>
      </c>
      <c r="B1686" s="1">
        <v>12.0</v>
      </c>
      <c r="C1686" s="1">
        <v>0.0</v>
      </c>
      <c r="D1686" s="1">
        <v>0.0</v>
      </c>
      <c r="E1686" s="1">
        <v>0.0</v>
      </c>
      <c r="F1686" s="1">
        <v>0.0</v>
      </c>
      <c r="G1686" s="2">
        <v>0.0</v>
      </c>
      <c r="H1686" s="1" t="s">
        <v>293</v>
      </c>
      <c r="I1686" s="1" t="str">
        <f>IFERROR(__xludf.DUMMYFUNCTION("REGEXREPLACE(MID(H1686, SEARCH(""["", H1686) + 1, SEARCH(""]"", H1686) - SEARCH(""["", H1686) - 1), ""\[\]"","""")"),"Palo Alto")</f>
        <v>Palo Alto</v>
      </c>
      <c r="J1686" s="1">
        <v>0.0</v>
      </c>
      <c r="K1686" s="1">
        <v>0.0</v>
      </c>
    </row>
    <row r="1687">
      <c r="A1687" s="1">
        <v>1.0</v>
      </c>
      <c r="B1687" s="1">
        <v>4.0</v>
      </c>
      <c r="C1687" s="1">
        <v>0.0</v>
      </c>
      <c r="D1687" s="1">
        <v>0.0</v>
      </c>
      <c r="E1687" s="1">
        <v>0.0</v>
      </c>
      <c r="F1687" s="1">
        <v>0.0</v>
      </c>
      <c r="G1687" s="2">
        <v>0.0</v>
      </c>
      <c r="H1687" s="1" t="s">
        <v>293</v>
      </c>
      <c r="I1687" s="1" t="str">
        <f>IFERROR(__xludf.DUMMYFUNCTION("REGEXREPLACE(MID(H1687, SEARCH(""["", H1687) + 1, SEARCH(""]"", H1687) - SEARCH(""["", H1687) - 1), ""\[\]"","""")"),"Palo Alto")</f>
        <v>Palo Alto</v>
      </c>
      <c r="J1687" s="1">
        <v>0.0</v>
      </c>
      <c r="K1687" s="1">
        <v>0.0</v>
      </c>
    </row>
    <row r="1688">
      <c r="A1688" s="1">
        <v>5.0</v>
      </c>
      <c r="B1688" s="1">
        <v>20.0</v>
      </c>
      <c r="C1688" s="1">
        <v>0.0</v>
      </c>
      <c r="D1688" s="1">
        <v>0.0</v>
      </c>
      <c r="E1688" s="1">
        <v>0.0</v>
      </c>
      <c r="F1688" s="1">
        <v>0.0</v>
      </c>
      <c r="G1688" s="2">
        <v>0.0</v>
      </c>
      <c r="H1688" s="1" t="s">
        <v>285</v>
      </c>
      <c r="I1688" s="1" t="str">
        <f>IFERROR(__xludf.DUMMYFUNCTION("REGEXREPLACE(MID(H1688, SEARCH(""["", H1688) + 1, SEARCH(""]"", H1688) - SEARCH(""["", H1688) - 1), ""\[\]"","""")"),"Phoenix")</f>
        <v>Phoenix</v>
      </c>
      <c r="J1688" s="1">
        <v>0.0</v>
      </c>
      <c r="K1688" s="1">
        <v>0.0</v>
      </c>
    </row>
    <row r="1689">
      <c r="A1689" s="1">
        <v>1.0</v>
      </c>
      <c r="B1689" s="1">
        <v>4.0</v>
      </c>
      <c r="C1689" s="1">
        <v>0.0</v>
      </c>
      <c r="D1689" s="1">
        <v>0.0</v>
      </c>
      <c r="E1689" s="1">
        <v>0.0</v>
      </c>
      <c r="F1689" s="1">
        <v>0.0</v>
      </c>
      <c r="G1689" s="2">
        <v>0.0</v>
      </c>
      <c r="H1689" s="1" t="s">
        <v>246</v>
      </c>
      <c r="I1689" s="1" t="str">
        <f>IFERROR(__xludf.DUMMYFUNCTION("REGEXREPLACE(MID(H1689, SEARCH(""["", H1689) + 1, SEARCH(""]"", H1689) - SEARCH(""["", H1689) - 1), ""\[\]"","""")"),"Phoenix")</f>
        <v>Phoenix</v>
      </c>
      <c r="J1689" s="1">
        <v>0.0</v>
      </c>
      <c r="K1689" s="1">
        <v>0.0</v>
      </c>
    </row>
    <row r="1690">
      <c r="A1690" s="1">
        <v>4.0</v>
      </c>
      <c r="B1690" s="1">
        <v>16.0</v>
      </c>
      <c r="C1690" s="1">
        <v>2.0</v>
      </c>
      <c r="D1690" s="1">
        <v>-1.0</v>
      </c>
      <c r="E1690" s="1">
        <v>0.25</v>
      </c>
      <c r="F1690" s="1">
        <v>0.0</v>
      </c>
      <c r="G1690" s="2">
        <v>0.0</v>
      </c>
      <c r="H1690" s="1" t="s">
        <v>295</v>
      </c>
      <c r="I1690" s="1" t="str">
        <f>IFERROR(__xludf.DUMMYFUNCTION("REGEXREPLACE(MID(H1690, SEARCH(""["", H1690) + 1, SEARCH(""]"", H1690) - SEARCH(""["", H1690) - 1), ""\[\]"","""")"),"Phoenix")</f>
        <v>Phoenix</v>
      </c>
      <c r="J1690" s="1">
        <v>-4.0</v>
      </c>
      <c r="K1690" s="1">
        <v>1.0</v>
      </c>
    </row>
    <row r="1691">
      <c r="A1691" s="1">
        <v>5.0</v>
      </c>
      <c r="B1691" s="1">
        <v>20.0</v>
      </c>
      <c r="C1691" s="1">
        <v>15.0</v>
      </c>
      <c r="D1691" s="1">
        <v>2.4</v>
      </c>
      <c r="E1691" s="1">
        <v>0.2</v>
      </c>
      <c r="F1691" s="1">
        <v>0.0</v>
      </c>
      <c r="G1691" s="6">
        <v>0.267</v>
      </c>
      <c r="H1691" s="1" t="s">
        <v>286</v>
      </c>
      <c r="I1691" s="1" t="str">
        <f>IFERROR(__xludf.DUMMYFUNCTION("REGEXREPLACE(MID(H1691, SEARCH(""["", H1691) + 1, SEARCH(""]"", H1691) - SEARCH(""["", H1691) - 1), ""\[\]"","""")"),"Phoenix")</f>
        <v>Phoenix</v>
      </c>
      <c r="J1691" s="1">
        <v>12.0</v>
      </c>
      <c r="K1691" s="1">
        <v>1.0</v>
      </c>
    </row>
    <row r="1692">
      <c r="A1692" s="1">
        <v>5.0</v>
      </c>
      <c r="B1692" s="1">
        <v>20.0</v>
      </c>
      <c r="C1692" s="1">
        <v>1.0</v>
      </c>
      <c r="D1692" s="1">
        <v>0.0</v>
      </c>
      <c r="E1692" s="1">
        <v>0.0</v>
      </c>
      <c r="F1692" s="1">
        <v>0.0</v>
      </c>
      <c r="G1692" s="2">
        <v>0.0</v>
      </c>
      <c r="H1692" s="1" t="s">
        <v>297</v>
      </c>
      <c r="I1692" s="1" t="str">
        <f>IFERROR(__xludf.DUMMYFUNCTION("REGEXREPLACE(MID(H1692, SEARCH(""["", H1692) + 1, SEARCH(""]"", H1692) - SEARCH(""["", H1692) - 1), ""\[\]"","""")"),"Phoenix")</f>
        <v>Phoenix</v>
      </c>
      <c r="J1692" s="1">
        <v>0.0</v>
      </c>
      <c r="K1692" s="1">
        <v>0.0</v>
      </c>
    </row>
    <row r="1693">
      <c r="A1693" s="1">
        <v>3.0</v>
      </c>
      <c r="B1693" s="1">
        <v>11.0</v>
      </c>
      <c r="C1693" s="1">
        <v>2.0</v>
      </c>
      <c r="D1693" s="1">
        <v>1.33</v>
      </c>
      <c r="E1693" s="1">
        <v>0.0</v>
      </c>
      <c r="F1693" s="1">
        <v>0.0</v>
      </c>
      <c r="G1693" s="2">
        <v>0.5</v>
      </c>
      <c r="H1693" s="1" t="s">
        <v>298</v>
      </c>
      <c r="I1693" s="1" t="str">
        <f>IFERROR(__xludf.DUMMYFUNCTION("REGEXREPLACE(MID(H1693, SEARCH(""["", H1693) + 1, SEARCH(""]"", H1693) - SEARCH(""["", H1693) - 1), ""\[\]"","""")"),"Plano West")</f>
        <v>Plano West</v>
      </c>
      <c r="J1693" s="1">
        <v>4.0</v>
      </c>
      <c r="K1693" s="1">
        <v>0.0</v>
      </c>
    </row>
    <row r="1694">
      <c r="A1694" s="1">
        <v>4.0</v>
      </c>
      <c r="B1694" s="1">
        <v>15.0</v>
      </c>
      <c r="C1694" s="1">
        <v>1.0</v>
      </c>
      <c r="D1694" s="1">
        <v>0.0</v>
      </c>
      <c r="E1694" s="1">
        <v>0.0</v>
      </c>
      <c r="F1694" s="1">
        <v>0.0</v>
      </c>
      <c r="G1694" s="2">
        <v>0.0</v>
      </c>
      <c r="H1694" s="1" t="s">
        <v>296</v>
      </c>
      <c r="I1694" s="1" t="str">
        <f>IFERROR(__xludf.DUMMYFUNCTION("REGEXREPLACE(MID(H1694, SEARCH(""["", H1694) + 1, SEARCH(""]"", H1694) - SEARCH(""["", H1694) - 1), ""\[\]"","""")"),"Plano West")</f>
        <v>Plano West</v>
      </c>
      <c r="J1694" s="1">
        <v>0.0</v>
      </c>
      <c r="K1694" s="1">
        <v>0.0</v>
      </c>
    </row>
    <row r="1695">
      <c r="A1695" s="1">
        <v>4.0</v>
      </c>
      <c r="B1695" s="1">
        <v>15.0</v>
      </c>
      <c r="C1695" s="1">
        <v>2.0</v>
      </c>
      <c r="D1695" s="1">
        <v>1.0</v>
      </c>
      <c r="E1695" s="1">
        <v>0.0</v>
      </c>
      <c r="F1695" s="1">
        <v>0.0</v>
      </c>
      <c r="G1695" s="2">
        <v>0.5</v>
      </c>
      <c r="H1695" s="1" t="s">
        <v>175</v>
      </c>
      <c r="I1695" s="1" t="str">
        <f>IFERROR(__xludf.DUMMYFUNCTION("REGEXREPLACE(MID(H1695, SEARCH(""["", H1695) + 1, SEARCH(""]"", H1695) - SEARCH(""["", H1695) - 1), ""\[\]"","""")"),"Plano West")</f>
        <v>Plano West</v>
      </c>
      <c r="J1695" s="1">
        <v>4.0</v>
      </c>
      <c r="K1695" s="1">
        <v>0.0</v>
      </c>
    </row>
    <row r="1696">
      <c r="A1696" s="1">
        <v>4.0</v>
      </c>
      <c r="B1696" s="1">
        <v>15.0</v>
      </c>
      <c r="C1696" s="1">
        <v>1.0</v>
      </c>
      <c r="D1696" s="1">
        <v>-1.0</v>
      </c>
      <c r="E1696" s="1">
        <v>0.25</v>
      </c>
      <c r="F1696" s="1">
        <v>0.0</v>
      </c>
      <c r="G1696" s="2">
        <v>0.0</v>
      </c>
      <c r="H1696" s="1" t="s">
        <v>300</v>
      </c>
      <c r="I1696" s="1" t="str">
        <f>IFERROR(__xludf.DUMMYFUNCTION("REGEXREPLACE(MID(H1696, SEARCH(""["", H1696) + 1, SEARCH(""]"", H1696) - SEARCH(""["", H1696) - 1), ""\[\]"","""")"),"Plano West")</f>
        <v>Plano West</v>
      </c>
      <c r="J1696" s="1">
        <v>-4.0</v>
      </c>
      <c r="K1696" s="1">
        <v>1.0</v>
      </c>
    </row>
    <row r="1697">
      <c r="A1697" s="1">
        <v>4.0</v>
      </c>
      <c r="B1697" s="1">
        <v>16.0</v>
      </c>
      <c r="C1697" s="1">
        <v>1.0</v>
      </c>
      <c r="D1697" s="1">
        <v>0.0</v>
      </c>
      <c r="E1697" s="1">
        <v>0.0</v>
      </c>
      <c r="F1697" s="1">
        <v>0.0</v>
      </c>
      <c r="G1697" s="2">
        <v>0.0</v>
      </c>
      <c r="H1697" s="1" t="s">
        <v>271</v>
      </c>
      <c r="I1697" s="1" t="str">
        <f>IFERROR(__xludf.DUMMYFUNCTION("REGEXREPLACE(MID(H1697, SEARCH(""["", H1697) + 1, SEARCH(""]"", H1697) - SEARCH(""["", H1697) - 1), ""\[\]"","""")"),"Princeton HS")</f>
        <v>Princeton HS</v>
      </c>
      <c r="J1697" s="1">
        <v>0.0</v>
      </c>
      <c r="K1697" s="1">
        <v>0.0</v>
      </c>
    </row>
    <row r="1698">
      <c r="A1698" s="1">
        <v>1.0</v>
      </c>
      <c r="B1698" s="1">
        <v>4.0</v>
      </c>
      <c r="C1698" s="1">
        <v>0.0</v>
      </c>
      <c r="D1698" s="1">
        <v>0.0</v>
      </c>
      <c r="E1698" s="1">
        <v>0.0</v>
      </c>
      <c r="F1698" s="1">
        <v>0.0</v>
      </c>
      <c r="G1698" s="2">
        <v>0.0</v>
      </c>
      <c r="H1698" s="1" t="s">
        <v>271</v>
      </c>
      <c r="I1698" s="1" t="str">
        <f>IFERROR(__xludf.DUMMYFUNCTION("REGEXREPLACE(MID(H1698, SEARCH(""["", H1698) + 1, SEARCH(""]"", H1698) - SEARCH(""["", H1698) - 1), ""\[\]"","""")"),"Princeton HS")</f>
        <v>Princeton HS</v>
      </c>
      <c r="J1698" s="1">
        <v>0.0</v>
      </c>
      <c r="K1698" s="1">
        <v>0.0</v>
      </c>
    </row>
    <row r="1699">
      <c r="A1699" s="1">
        <v>4.0</v>
      </c>
      <c r="B1699" s="1">
        <v>16.0</v>
      </c>
      <c r="C1699" s="1">
        <v>4.0</v>
      </c>
      <c r="D1699" s="1">
        <v>4.0</v>
      </c>
      <c r="E1699" s="1">
        <v>0.0</v>
      </c>
      <c r="F1699" s="1">
        <v>0.0</v>
      </c>
      <c r="G1699" s="2">
        <v>1.0</v>
      </c>
      <c r="H1699" s="1" t="s">
        <v>249</v>
      </c>
      <c r="I1699" s="1" t="str">
        <f>IFERROR(__xludf.DUMMYFUNCTION("REGEXREPLACE(MID(H1699, SEARCH(""["", H1699) + 1, SEARCH(""]"", H1699) - SEARCH(""["", H1699) - 1), ""\[\]"","""")"),"Princeton HS")</f>
        <v>Princeton HS</v>
      </c>
      <c r="J1699" s="1">
        <v>16.0</v>
      </c>
      <c r="K1699" s="1">
        <v>0.0</v>
      </c>
    </row>
    <row r="1700">
      <c r="A1700" s="1">
        <v>1.0</v>
      </c>
      <c r="B1700" s="1">
        <v>4.0</v>
      </c>
      <c r="C1700" s="1">
        <v>0.0</v>
      </c>
      <c r="D1700" s="1">
        <v>0.0</v>
      </c>
      <c r="E1700" s="1">
        <v>0.0</v>
      </c>
      <c r="F1700" s="1">
        <v>0.0</v>
      </c>
      <c r="G1700" s="2">
        <v>0.0</v>
      </c>
      <c r="H1700" s="1" t="s">
        <v>249</v>
      </c>
      <c r="I1700" s="1" t="str">
        <f>IFERROR(__xludf.DUMMYFUNCTION("REGEXREPLACE(MID(H1700, SEARCH(""["", H1700) + 1, SEARCH(""]"", H1700) - SEARCH(""["", H1700) - 1), ""\[\]"","""")"),"Princeton HS")</f>
        <v>Princeton HS</v>
      </c>
      <c r="J1700" s="1">
        <v>0.0</v>
      </c>
      <c r="K1700" s="1">
        <v>0.0</v>
      </c>
    </row>
    <row r="1701">
      <c r="A1701" s="1">
        <v>4.0</v>
      </c>
      <c r="B1701" s="1">
        <v>16.0</v>
      </c>
      <c r="C1701" s="1">
        <v>4.0</v>
      </c>
      <c r="D1701" s="1">
        <v>1.0</v>
      </c>
      <c r="E1701" s="1">
        <v>0.25</v>
      </c>
      <c r="F1701" s="1">
        <v>0.0</v>
      </c>
      <c r="G1701" s="2">
        <v>0.5</v>
      </c>
      <c r="H1701" s="1" t="s">
        <v>272</v>
      </c>
      <c r="I1701" s="1" t="str">
        <f>IFERROR(__xludf.DUMMYFUNCTION("REGEXREPLACE(MID(H1701, SEARCH(""["", H1701) + 1, SEARCH(""]"", H1701) - SEARCH(""["", H1701) - 1), ""\[\]"","""")"),"Princeton HS")</f>
        <v>Princeton HS</v>
      </c>
      <c r="J1701" s="1">
        <v>4.0</v>
      </c>
      <c r="K1701" s="1">
        <v>1.0</v>
      </c>
    </row>
    <row r="1702">
      <c r="A1702" s="1">
        <v>1.0</v>
      </c>
      <c r="B1702" s="1">
        <v>4.0</v>
      </c>
      <c r="C1702" s="1">
        <v>3.0</v>
      </c>
      <c r="D1702" s="1">
        <v>0.0</v>
      </c>
      <c r="E1702" s="1">
        <v>0.0</v>
      </c>
      <c r="F1702" s="1">
        <v>0.0</v>
      </c>
      <c r="G1702" s="2">
        <v>0.0</v>
      </c>
      <c r="H1702" s="1" t="s">
        <v>272</v>
      </c>
      <c r="I1702" s="1" t="str">
        <f>IFERROR(__xludf.DUMMYFUNCTION("REGEXREPLACE(MID(H1702, SEARCH(""["", H1702) + 1, SEARCH(""]"", H1702) - SEARCH(""["", H1702) - 1), ""\[\]"","""")"),"Princeton HS")</f>
        <v>Princeton HS</v>
      </c>
      <c r="J1702" s="1">
        <v>0.0</v>
      </c>
      <c r="K1702" s="1">
        <v>0.0</v>
      </c>
    </row>
    <row r="1703">
      <c r="A1703" s="1">
        <v>4.0</v>
      </c>
      <c r="B1703" s="1">
        <v>15.0</v>
      </c>
      <c r="C1703" s="1">
        <v>11.0</v>
      </c>
      <c r="D1703" s="1">
        <v>6.0</v>
      </c>
      <c r="E1703" s="1">
        <v>0.0</v>
      </c>
      <c r="F1703" s="1">
        <v>0.0</v>
      </c>
      <c r="G1703" s="6">
        <v>0.545</v>
      </c>
      <c r="H1703" s="1" t="s">
        <v>138</v>
      </c>
      <c r="I1703" s="1" t="str">
        <f>IFERROR(__xludf.DUMMYFUNCTION("REGEXREPLACE(MID(H1703, SEARCH(""["", H1703) + 1, SEARCH(""]"", H1703) - SEARCH(""["", H1703) - 1), ""\[\]"","""")"),"Research Triangle HS")</f>
        <v>Research Triangle HS</v>
      </c>
      <c r="J1703" s="1">
        <v>24.0</v>
      </c>
      <c r="K1703" s="1">
        <v>0.0</v>
      </c>
    </row>
    <row r="1704">
      <c r="A1704" s="1">
        <v>1.0</v>
      </c>
      <c r="B1704" s="1">
        <v>4.0</v>
      </c>
      <c r="C1704" s="1">
        <v>1.0</v>
      </c>
      <c r="D1704" s="1">
        <v>-4.0</v>
      </c>
      <c r="E1704" s="1">
        <v>1.0</v>
      </c>
      <c r="F1704" s="1">
        <v>0.0</v>
      </c>
      <c r="G1704" s="2">
        <v>0.0</v>
      </c>
      <c r="H1704" s="3" t="s">
        <v>138</v>
      </c>
      <c r="I1704" s="1" t="str">
        <f>IFERROR(__xludf.DUMMYFUNCTION("REGEXREPLACE(MID(H1704, SEARCH(""["", H1704) + 1, SEARCH(""]"", H1704) - SEARCH(""["", H1704) - 1), ""\[\]"","""")"),"Research Triangle HS")</f>
        <v>Research Triangle HS</v>
      </c>
      <c r="J1704" s="1">
        <v>-4.0</v>
      </c>
      <c r="K1704" s="1">
        <v>1.0</v>
      </c>
    </row>
    <row r="1705">
      <c r="A1705" s="1">
        <v>2.0</v>
      </c>
      <c r="B1705" s="1">
        <v>8.0</v>
      </c>
      <c r="C1705" s="1">
        <v>2.0</v>
      </c>
      <c r="D1705" s="1">
        <v>4.0</v>
      </c>
      <c r="E1705" s="1">
        <v>0.0</v>
      </c>
      <c r="F1705" s="1">
        <v>0.0</v>
      </c>
      <c r="G1705" s="2">
        <v>1.0</v>
      </c>
      <c r="H1705" s="1" t="s">
        <v>303</v>
      </c>
      <c r="I1705" s="1" t="str">
        <f>IFERROR(__xludf.DUMMYFUNCTION("REGEXREPLACE(MID(H1705, SEARCH(""["", H1705) + 1, SEARCH(""]"", H1705) - SEARCH(""["", H1705) - 1), ""\[\]"","""")"),"Research Triangle HS")</f>
        <v>Research Triangle HS</v>
      </c>
      <c r="J1705" s="1">
        <v>8.0</v>
      </c>
      <c r="K1705" s="1">
        <v>0.0</v>
      </c>
    </row>
    <row r="1706">
      <c r="A1706" s="1">
        <v>4.0</v>
      </c>
      <c r="B1706" s="1">
        <v>15.0</v>
      </c>
      <c r="C1706" s="1">
        <v>0.0</v>
      </c>
      <c r="D1706" s="1">
        <v>0.0</v>
      </c>
      <c r="E1706" s="1">
        <v>0.0</v>
      </c>
      <c r="F1706" s="1">
        <v>0.0</v>
      </c>
      <c r="G1706" s="2">
        <v>0.0</v>
      </c>
      <c r="H1706" s="1" t="s">
        <v>304</v>
      </c>
      <c r="I1706" s="1" t="str">
        <f>IFERROR(__xludf.DUMMYFUNCTION("REGEXREPLACE(MID(H1706, SEARCH(""["", H1706) + 1, SEARCH(""]"", H1706) - SEARCH(""["", H1706) - 1), ""\[\]"","""")"),"Research Triangle HS")</f>
        <v>Research Triangle HS</v>
      </c>
      <c r="J1706" s="1">
        <v>0.0</v>
      </c>
      <c r="K1706" s="1">
        <v>0.0</v>
      </c>
    </row>
    <row r="1707">
      <c r="A1707" s="1">
        <v>1.0</v>
      </c>
      <c r="B1707" s="1">
        <v>4.0</v>
      </c>
      <c r="C1707" s="1">
        <v>0.0</v>
      </c>
      <c r="D1707" s="1">
        <v>0.0</v>
      </c>
      <c r="E1707" s="1">
        <v>0.0</v>
      </c>
      <c r="F1707" s="1">
        <v>0.0</v>
      </c>
      <c r="G1707" s="2">
        <v>0.0</v>
      </c>
      <c r="H1707" s="1" t="s">
        <v>305</v>
      </c>
      <c r="I1707" s="1" t="str">
        <f>IFERROR(__xludf.DUMMYFUNCTION("REGEXREPLACE(MID(H1707, SEARCH(""["", H1707) + 1, SEARCH(""]"", H1707) - SEARCH(""["", H1707) - 1), ""\[\]"","""")"),"Research Triangle HS")</f>
        <v>Research Triangle HS</v>
      </c>
      <c r="J1707" s="1">
        <v>0.0</v>
      </c>
      <c r="K1707" s="1">
        <v>0.0</v>
      </c>
    </row>
    <row r="1708">
      <c r="A1708" s="1">
        <v>1.0</v>
      </c>
      <c r="B1708" s="1">
        <v>4.0</v>
      </c>
      <c r="C1708" s="1">
        <v>0.0</v>
      </c>
      <c r="D1708" s="1">
        <v>0.0</v>
      </c>
      <c r="E1708" s="1">
        <v>0.0</v>
      </c>
      <c r="F1708" s="1">
        <v>0.0</v>
      </c>
      <c r="G1708" s="2">
        <v>0.0</v>
      </c>
      <c r="H1708" s="1" t="s">
        <v>306</v>
      </c>
      <c r="I1708" s="1" t="str">
        <f>IFERROR(__xludf.DUMMYFUNCTION("REGEXREPLACE(MID(H1708, SEARCH(""["", H1708) + 1, SEARCH(""]"", H1708) - SEARCH(""["", H1708) - 1), ""\[\]"","""")"),"SciTech Dragons")</f>
        <v>SciTech Dragons</v>
      </c>
      <c r="J1708" s="1">
        <v>0.0</v>
      </c>
      <c r="K1708" s="1">
        <v>0.0</v>
      </c>
    </row>
    <row r="1709">
      <c r="A1709" s="1">
        <v>1.0</v>
      </c>
      <c r="B1709" s="1">
        <v>4.0</v>
      </c>
      <c r="C1709" s="1">
        <v>1.0</v>
      </c>
      <c r="D1709" s="1">
        <v>-4.0</v>
      </c>
      <c r="E1709" s="1">
        <v>1.0</v>
      </c>
      <c r="F1709" s="1">
        <v>0.0</v>
      </c>
      <c r="G1709" s="2">
        <v>0.0</v>
      </c>
      <c r="H1709" s="1" t="s">
        <v>306</v>
      </c>
      <c r="I1709" s="1" t="str">
        <f>IFERROR(__xludf.DUMMYFUNCTION("REGEXREPLACE(MID(H1709, SEARCH(""["", H1709) + 1, SEARCH(""]"", H1709) - SEARCH(""["", H1709) - 1), ""\[\]"","""")"),"SciTech Dragons")</f>
        <v>SciTech Dragons</v>
      </c>
      <c r="J1709" s="1">
        <v>-4.0</v>
      </c>
      <c r="K1709" s="1">
        <v>1.0</v>
      </c>
    </row>
    <row r="1710">
      <c r="A1710" s="1">
        <v>1.0</v>
      </c>
      <c r="B1710" s="1">
        <v>3.0</v>
      </c>
      <c r="C1710" s="1">
        <v>1.0</v>
      </c>
      <c r="D1710" s="1">
        <v>0.0</v>
      </c>
      <c r="E1710" s="1">
        <v>0.0</v>
      </c>
      <c r="F1710" s="1">
        <v>0.0</v>
      </c>
      <c r="G1710" s="2">
        <v>0.0</v>
      </c>
      <c r="H1710" s="1" t="s">
        <v>306</v>
      </c>
      <c r="I1710" s="1" t="str">
        <f>IFERROR(__xludf.DUMMYFUNCTION("REGEXREPLACE(MID(H1710, SEARCH(""["", H1710) + 1, SEARCH(""]"", H1710) - SEARCH(""["", H1710) - 1), ""\[\]"","""")"),"SciTech Dragons")</f>
        <v>SciTech Dragons</v>
      </c>
      <c r="J1710" s="1">
        <v>0.0</v>
      </c>
      <c r="K1710" s="1">
        <v>0.0</v>
      </c>
    </row>
    <row r="1711">
      <c r="A1711" s="1">
        <v>1.0</v>
      </c>
      <c r="B1711" s="1">
        <v>4.0</v>
      </c>
      <c r="C1711" s="1">
        <v>0.0</v>
      </c>
      <c r="D1711" s="1">
        <v>0.0</v>
      </c>
      <c r="E1711" s="1">
        <v>0.0</v>
      </c>
      <c r="F1711" s="1">
        <v>0.0</v>
      </c>
      <c r="G1711" s="2">
        <v>0.0</v>
      </c>
      <c r="H1711" s="1" t="s">
        <v>306</v>
      </c>
      <c r="I1711" s="1" t="str">
        <f>IFERROR(__xludf.DUMMYFUNCTION("REGEXREPLACE(MID(H1711, SEARCH(""["", H1711) + 1, SEARCH(""]"", H1711) - SEARCH(""["", H1711) - 1), ""\[\]"","""")"),"SciTech Dragons")</f>
        <v>SciTech Dragons</v>
      </c>
      <c r="J1711" s="1">
        <v>0.0</v>
      </c>
      <c r="K1711" s="1">
        <v>0.0</v>
      </c>
    </row>
    <row r="1712">
      <c r="A1712" s="1">
        <v>1.0</v>
      </c>
      <c r="B1712" s="1">
        <v>4.0</v>
      </c>
      <c r="C1712" s="1">
        <v>1.0</v>
      </c>
      <c r="D1712" s="1">
        <v>4.0</v>
      </c>
      <c r="E1712" s="1">
        <v>0.0</v>
      </c>
      <c r="F1712" s="1">
        <v>0.0</v>
      </c>
      <c r="G1712" s="2">
        <v>1.0</v>
      </c>
      <c r="H1712" s="1" t="s">
        <v>141</v>
      </c>
      <c r="I1712" s="1" t="str">
        <f>IFERROR(__xludf.DUMMYFUNCTION("REGEXREPLACE(MID(H1712, SEARCH(""["", H1712) + 1, SEARCH(""]"", H1712) - SEARCH(""["", H1712) - 1), ""\[\]"","""")"),"SciTech Dragons")</f>
        <v>SciTech Dragons</v>
      </c>
      <c r="J1712" s="1">
        <v>4.0</v>
      </c>
      <c r="K1712" s="1">
        <v>0.0</v>
      </c>
    </row>
    <row r="1713">
      <c r="A1713" s="1">
        <v>1.0</v>
      </c>
      <c r="B1713" s="1">
        <v>4.0</v>
      </c>
      <c r="C1713" s="1">
        <v>0.0</v>
      </c>
      <c r="D1713" s="1">
        <v>0.0</v>
      </c>
      <c r="E1713" s="1">
        <v>0.0</v>
      </c>
      <c r="F1713" s="1">
        <v>0.0</v>
      </c>
      <c r="G1713" s="2">
        <v>0.0</v>
      </c>
      <c r="H1713" s="1" t="s">
        <v>141</v>
      </c>
      <c r="I1713" s="1" t="str">
        <f>IFERROR(__xludf.DUMMYFUNCTION("REGEXREPLACE(MID(H1713, SEARCH(""["", H1713) + 1, SEARCH(""]"", H1713) - SEARCH(""["", H1713) - 1), ""\[\]"","""")"),"SciTech Dragons")</f>
        <v>SciTech Dragons</v>
      </c>
      <c r="J1713" s="1">
        <v>0.0</v>
      </c>
      <c r="K1713" s="1">
        <v>0.0</v>
      </c>
    </row>
    <row r="1714">
      <c r="A1714" s="1">
        <v>1.0</v>
      </c>
      <c r="B1714" s="1">
        <v>3.0</v>
      </c>
      <c r="C1714" s="1">
        <v>1.0</v>
      </c>
      <c r="D1714" s="1">
        <v>4.0</v>
      </c>
      <c r="E1714" s="1">
        <v>0.0</v>
      </c>
      <c r="F1714" s="1">
        <v>0.0</v>
      </c>
      <c r="G1714" s="2">
        <v>1.0</v>
      </c>
      <c r="H1714" s="1" t="s">
        <v>141</v>
      </c>
      <c r="I1714" s="1" t="str">
        <f>IFERROR(__xludf.DUMMYFUNCTION("REGEXREPLACE(MID(H1714, SEARCH(""["", H1714) + 1, SEARCH(""]"", H1714) - SEARCH(""["", H1714) - 1), ""\[\]"","""")"),"SciTech Dragons")</f>
        <v>SciTech Dragons</v>
      </c>
      <c r="J1714" s="1">
        <v>4.0</v>
      </c>
      <c r="K1714" s="1">
        <v>0.0</v>
      </c>
    </row>
    <row r="1715">
      <c r="A1715" s="1">
        <v>1.0</v>
      </c>
      <c r="B1715" s="1">
        <v>4.0</v>
      </c>
      <c r="C1715" s="1">
        <v>0.0</v>
      </c>
      <c r="D1715" s="1">
        <v>0.0</v>
      </c>
      <c r="E1715" s="1">
        <v>0.0</v>
      </c>
      <c r="F1715" s="1">
        <v>0.0</v>
      </c>
      <c r="G1715" s="2">
        <v>0.0</v>
      </c>
      <c r="H1715" s="1" t="s">
        <v>141</v>
      </c>
      <c r="I1715" s="1" t="str">
        <f>IFERROR(__xludf.DUMMYFUNCTION("REGEXREPLACE(MID(H1715, SEARCH(""["", H1715) + 1, SEARCH(""]"", H1715) - SEARCH(""["", H1715) - 1), ""\[\]"","""")"),"SciTech Dragons")</f>
        <v>SciTech Dragons</v>
      </c>
      <c r="J1715" s="1">
        <v>0.0</v>
      </c>
      <c r="K1715" s="1">
        <v>0.0</v>
      </c>
    </row>
    <row r="1716">
      <c r="A1716" s="1">
        <v>1.0</v>
      </c>
      <c r="B1716" s="1">
        <v>4.0</v>
      </c>
      <c r="C1716" s="1">
        <v>1.0</v>
      </c>
      <c r="D1716" s="1">
        <v>-4.0</v>
      </c>
      <c r="E1716" s="1">
        <v>1.0</v>
      </c>
      <c r="F1716" s="1">
        <v>0.0</v>
      </c>
      <c r="G1716" s="2">
        <v>0.0</v>
      </c>
      <c r="H1716" s="1" t="s">
        <v>308</v>
      </c>
      <c r="I1716" s="1" t="str">
        <f>IFERROR(__xludf.DUMMYFUNCTION("REGEXREPLACE(MID(H1716, SEARCH(""["", H1716) + 1, SEARCH(""]"", H1716) - SEARCH(""["", H1716) - 1), ""\[\]"","""")"),"SciTech Dragons")</f>
        <v>SciTech Dragons</v>
      </c>
      <c r="J1716" s="1">
        <v>-4.0</v>
      </c>
      <c r="K1716" s="1">
        <v>1.0</v>
      </c>
    </row>
    <row r="1717">
      <c r="A1717" s="1">
        <v>1.0</v>
      </c>
      <c r="B1717" s="1">
        <v>4.0</v>
      </c>
      <c r="C1717" s="1">
        <v>0.0</v>
      </c>
      <c r="D1717" s="1">
        <v>0.0</v>
      </c>
      <c r="E1717" s="1">
        <v>0.0</v>
      </c>
      <c r="F1717" s="1">
        <v>0.0</v>
      </c>
      <c r="G1717" s="2">
        <v>0.0</v>
      </c>
      <c r="H1717" s="1" t="s">
        <v>308</v>
      </c>
      <c r="I1717" s="1" t="str">
        <f>IFERROR(__xludf.DUMMYFUNCTION("REGEXREPLACE(MID(H1717, SEARCH(""["", H1717) + 1, SEARCH(""]"", H1717) - SEARCH(""["", H1717) - 1), ""\[\]"","""")"),"SciTech Dragons")</f>
        <v>SciTech Dragons</v>
      </c>
      <c r="J1717" s="1">
        <v>0.0</v>
      </c>
      <c r="K1717" s="1">
        <v>0.0</v>
      </c>
    </row>
    <row r="1718">
      <c r="A1718" s="1">
        <v>1.0</v>
      </c>
      <c r="B1718" s="1">
        <v>3.0</v>
      </c>
      <c r="C1718" s="1">
        <v>1.0</v>
      </c>
      <c r="D1718" s="1">
        <v>0.0</v>
      </c>
      <c r="E1718" s="1">
        <v>0.0</v>
      </c>
      <c r="F1718" s="1">
        <v>0.0</v>
      </c>
      <c r="G1718" s="2">
        <v>0.0</v>
      </c>
      <c r="H1718" s="1" t="s">
        <v>308</v>
      </c>
      <c r="I1718" s="1" t="str">
        <f>IFERROR(__xludf.DUMMYFUNCTION("REGEXREPLACE(MID(H1718, SEARCH(""["", H1718) + 1, SEARCH(""]"", H1718) - SEARCH(""["", H1718) - 1), ""\[\]"","""")"),"SciTech Dragons")</f>
        <v>SciTech Dragons</v>
      </c>
      <c r="J1718" s="1">
        <v>0.0</v>
      </c>
      <c r="K1718" s="1">
        <v>0.0</v>
      </c>
    </row>
    <row r="1719">
      <c r="A1719" s="1">
        <v>1.0</v>
      </c>
      <c r="B1719" s="1">
        <v>4.0</v>
      </c>
      <c r="C1719" s="1">
        <v>2.0</v>
      </c>
      <c r="D1719" s="1">
        <v>8.0</v>
      </c>
      <c r="E1719" s="1">
        <v>0.0</v>
      </c>
      <c r="F1719" s="1">
        <v>0.0</v>
      </c>
      <c r="G1719" s="2">
        <v>1.0</v>
      </c>
      <c r="H1719" s="1" t="s">
        <v>309</v>
      </c>
      <c r="I1719" s="1" t="str">
        <f>IFERROR(__xludf.DUMMYFUNCTION("REGEXREPLACE(MID(H1719, SEARCH(""["", H1719) + 1, SEARCH(""]"", H1719) - SEARCH(""["", H1719) - 1), ""\[\]"","""")"),"SciTech Dragons")</f>
        <v>SciTech Dragons</v>
      </c>
      <c r="J1719" s="1">
        <v>8.0</v>
      </c>
      <c r="K1719" s="1">
        <v>0.0</v>
      </c>
    </row>
    <row r="1720">
      <c r="A1720" s="1">
        <v>1.0</v>
      </c>
      <c r="B1720" s="1">
        <v>3.0</v>
      </c>
      <c r="C1720" s="1">
        <v>0.0</v>
      </c>
      <c r="D1720" s="1">
        <v>0.0</v>
      </c>
      <c r="E1720" s="1">
        <v>0.0</v>
      </c>
      <c r="F1720" s="1">
        <v>0.0</v>
      </c>
      <c r="G1720" s="2">
        <v>0.0</v>
      </c>
      <c r="H1720" s="1" t="s">
        <v>309</v>
      </c>
      <c r="I1720" s="1" t="str">
        <f>IFERROR(__xludf.DUMMYFUNCTION("REGEXREPLACE(MID(H1720, SEARCH(""["", H1720) + 1, SEARCH(""]"", H1720) - SEARCH(""["", H1720) - 1), ""\[\]"","""")"),"SciTech Dragons")</f>
        <v>SciTech Dragons</v>
      </c>
      <c r="J1720" s="1">
        <v>0.0</v>
      </c>
      <c r="K1720" s="1">
        <v>0.0</v>
      </c>
    </row>
    <row r="1721">
      <c r="A1721" s="1">
        <v>1.0</v>
      </c>
      <c r="B1721" s="1">
        <v>4.0</v>
      </c>
      <c r="C1721" s="1">
        <v>0.0</v>
      </c>
      <c r="D1721" s="1">
        <v>0.0</v>
      </c>
      <c r="E1721" s="1">
        <v>0.0</v>
      </c>
      <c r="F1721" s="1">
        <v>0.0</v>
      </c>
      <c r="G1721" s="2">
        <v>0.0</v>
      </c>
      <c r="H1721" s="1" t="s">
        <v>310</v>
      </c>
      <c r="I1721" s="1" t="str">
        <f>IFERROR(__xludf.DUMMYFUNCTION("REGEXREPLACE(MID(H1721, SEARCH(""["", H1721) + 1, SEARCH(""]"", H1721) - SEARCH(""["", H1721) - 1), ""\[\]"","""")"),"SciTech Dragons")</f>
        <v>SciTech Dragons</v>
      </c>
      <c r="J1721" s="1">
        <v>0.0</v>
      </c>
      <c r="K1721" s="1">
        <v>0.0</v>
      </c>
    </row>
    <row r="1722">
      <c r="A1722" s="1">
        <v>1.0</v>
      </c>
      <c r="B1722" s="1">
        <v>3.0</v>
      </c>
      <c r="C1722" s="1">
        <v>0.0</v>
      </c>
      <c r="D1722" s="1">
        <v>0.0</v>
      </c>
      <c r="E1722" s="1">
        <v>0.0</v>
      </c>
      <c r="F1722" s="1">
        <v>0.0</v>
      </c>
      <c r="G1722" s="2">
        <v>0.0</v>
      </c>
      <c r="H1722" s="1" t="s">
        <v>310</v>
      </c>
      <c r="I1722" s="1" t="str">
        <f>IFERROR(__xludf.DUMMYFUNCTION("REGEXREPLACE(MID(H1722, SEARCH(""["", H1722) + 1, SEARCH(""]"", H1722) - SEARCH(""["", H1722) - 1), ""\[\]"","""")"),"SciTech Dragons")</f>
        <v>SciTech Dragons</v>
      </c>
      <c r="J1722" s="1">
        <v>0.0</v>
      </c>
      <c r="K1722" s="1">
        <v>0.0</v>
      </c>
    </row>
    <row r="1723">
      <c r="A1723" s="1">
        <v>1.0</v>
      </c>
      <c r="B1723" s="1">
        <v>4.0</v>
      </c>
      <c r="C1723" s="1">
        <v>0.0</v>
      </c>
      <c r="D1723" s="1">
        <v>0.0</v>
      </c>
      <c r="E1723" s="1">
        <v>0.0</v>
      </c>
      <c r="F1723" s="1">
        <v>0.0</v>
      </c>
      <c r="G1723" s="2">
        <v>0.0</v>
      </c>
      <c r="H1723" s="1" t="s">
        <v>252</v>
      </c>
      <c r="I1723" s="1" t="str">
        <f>IFERROR(__xludf.DUMMYFUNCTION("REGEXREPLACE(MID(H1723, SEARCH(""["", H1723) + 1, SEARCH(""]"", H1723) - SEARCH(""["", H1723) - 1), ""\[\]"","""")"),"Seven Lakes")</f>
        <v>Seven Lakes</v>
      </c>
      <c r="J1723" s="1">
        <v>0.0</v>
      </c>
      <c r="K1723" s="1">
        <v>0.0</v>
      </c>
    </row>
    <row r="1724">
      <c r="A1724" s="1">
        <v>2.0</v>
      </c>
      <c r="B1724" s="1">
        <v>7.0</v>
      </c>
      <c r="C1724" s="1">
        <v>1.0</v>
      </c>
      <c r="D1724" s="1">
        <v>2.0</v>
      </c>
      <c r="E1724" s="1">
        <v>0.0</v>
      </c>
      <c r="F1724" s="1">
        <v>0.0</v>
      </c>
      <c r="G1724" s="2">
        <v>1.0</v>
      </c>
      <c r="H1724" s="1" t="s">
        <v>252</v>
      </c>
      <c r="I1724" s="1" t="str">
        <f>IFERROR(__xludf.DUMMYFUNCTION("REGEXREPLACE(MID(H1724, SEARCH(""["", H1724) + 1, SEARCH(""]"", H1724) - SEARCH(""["", H1724) - 1), ""\[\]"","""")"),"Seven Lakes")</f>
        <v>Seven Lakes</v>
      </c>
      <c r="J1724" s="1">
        <v>4.0</v>
      </c>
      <c r="K1724" s="1">
        <v>0.0</v>
      </c>
    </row>
    <row r="1725">
      <c r="A1725" s="1">
        <v>3.0</v>
      </c>
      <c r="B1725" s="1">
        <v>11.0</v>
      </c>
      <c r="C1725" s="1">
        <v>1.0</v>
      </c>
      <c r="D1725" s="1">
        <v>1.33</v>
      </c>
      <c r="E1725" s="1">
        <v>0.0</v>
      </c>
      <c r="F1725" s="1">
        <v>0.0</v>
      </c>
      <c r="G1725" s="2">
        <v>1.0</v>
      </c>
      <c r="H1725" s="1" t="s">
        <v>274</v>
      </c>
      <c r="I1725" s="1" t="str">
        <f>IFERROR(__xludf.DUMMYFUNCTION("REGEXREPLACE(MID(H1725, SEARCH(""["", H1725) + 1, SEARCH(""]"", H1725) - SEARCH(""["", H1725) - 1), ""\[\]"","""")"),"Seven Lakes")</f>
        <v>Seven Lakes</v>
      </c>
      <c r="J1725" s="1">
        <v>4.0</v>
      </c>
      <c r="K1725" s="1">
        <v>0.0</v>
      </c>
    </row>
    <row r="1726">
      <c r="A1726" s="1">
        <v>2.0</v>
      </c>
      <c r="B1726" s="1">
        <v>8.0</v>
      </c>
      <c r="C1726" s="1">
        <v>2.0</v>
      </c>
      <c r="D1726" s="1">
        <v>2.0</v>
      </c>
      <c r="E1726" s="1">
        <v>0.0</v>
      </c>
      <c r="F1726" s="1">
        <v>0.0</v>
      </c>
      <c r="G1726" s="2">
        <v>0.5</v>
      </c>
      <c r="H1726" s="1" t="s">
        <v>274</v>
      </c>
      <c r="I1726" s="1" t="str">
        <f>IFERROR(__xludf.DUMMYFUNCTION("REGEXREPLACE(MID(H1726, SEARCH(""["", H1726) + 1, SEARCH(""]"", H1726) - SEARCH(""["", H1726) - 1), ""\[\]"","""")"),"Seven Lakes")</f>
        <v>Seven Lakes</v>
      </c>
      <c r="J1726" s="1">
        <v>4.0</v>
      </c>
      <c r="K1726" s="1">
        <v>0.0</v>
      </c>
    </row>
    <row r="1727">
      <c r="A1727" s="1">
        <v>3.0</v>
      </c>
      <c r="B1727" s="1">
        <v>11.0</v>
      </c>
      <c r="C1727" s="1">
        <v>2.0</v>
      </c>
      <c r="D1727" s="1">
        <v>0.0</v>
      </c>
      <c r="E1727" s="1">
        <v>0.0</v>
      </c>
      <c r="F1727" s="1">
        <v>0.0</v>
      </c>
      <c r="G1727" s="2">
        <v>0.0</v>
      </c>
      <c r="H1727" s="1" t="s">
        <v>230</v>
      </c>
      <c r="I1727" s="1" t="str">
        <f>IFERROR(__xludf.DUMMYFUNCTION("REGEXREPLACE(MID(H1727, SEARCH(""["", H1727) + 1, SEARCH(""]"", H1727) - SEARCH(""["", H1727) - 1), ""\[\]"","""")"),"Seven Lakes")</f>
        <v>Seven Lakes</v>
      </c>
      <c r="J1727" s="1">
        <v>0.0</v>
      </c>
      <c r="K1727" s="1">
        <v>0.0</v>
      </c>
    </row>
    <row r="1728">
      <c r="A1728" s="1">
        <v>2.0</v>
      </c>
      <c r="B1728" s="1">
        <v>8.0</v>
      </c>
      <c r="C1728" s="1">
        <v>0.0</v>
      </c>
      <c r="D1728" s="1">
        <v>0.0</v>
      </c>
      <c r="E1728" s="1">
        <v>0.0</v>
      </c>
      <c r="F1728" s="1">
        <v>0.0</v>
      </c>
      <c r="G1728" s="2">
        <v>0.0</v>
      </c>
      <c r="H1728" s="1" t="s">
        <v>230</v>
      </c>
      <c r="I1728" s="1" t="str">
        <f>IFERROR(__xludf.DUMMYFUNCTION("REGEXREPLACE(MID(H1728, SEARCH(""["", H1728) + 1, SEARCH(""]"", H1728) - SEARCH(""["", H1728) - 1), ""\[\]"","""")"),"Seven Lakes")</f>
        <v>Seven Lakes</v>
      </c>
      <c r="J1728" s="1">
        <v>0.0</v>
      </c>
      <c r="K1728" s="1">
        <v>0.0</v>
      </c>
    </row>
    <row r="1729">
      <c r="A1729" s="1">
        <v>1.0</v>
      </c>
      <c r="B1729" s="1">
        <v>3.0</v>
      </c>
      <c r="C1729" s="1">
        <v>1.0</v>
      </c>
      <c r="D1729" s="1">
        <v>0.0</v>
      </c>
      <c r="E1729" s="1">
        <v>0.0</v>
      </c>
      <c r="F1729" s="1">
        <v>0.0</v>
      </c>
      <c r="G1729" s="2">
        <v>0.0</v>
      </c>
      <c r="H1729" s="1" t="s">
        <v>313</v>
      </c>
      <c r="I1729" s="1" t="str">
        <f>IFERROR(__xludf.DUMMYFUNCTION("REGEXREPLACE(MID(H1729, SEARCH(""["", H1729) + 1, SEARCH(""]"", H1729) - SEARCH(""["", H1729) - 1), ""\[\]"","""")"),"Seven Lakes")</f>
        <v>Seven Lakes</v>
      </c>
      <c r="J1729" s="1">
        <v>0.0</v>
      </c>
      <c r="K1729" s="1">
        <v>0.0</v>
      </c>
    </row>
    <row r="1730">
      <c r="A1730" s="1">
        <v>1.0</v>
      </c>
      <c r="B1730" s="1">
        <v>4.0</v>
      </c>
      <c r="C1730" s="1">
        <v>2.0</v>
      </c>
      <c r="D1730" s="1">
        <v>0.0</v>
      </c>
      <c r="E1730" s="1">
        <v>0.0</v>
      </c>
      <c r="F1730" s="1">
        <v>0.0</v>
      </c>
      <c r="G1730" s="2">
        <v>0.0</v>
      </c>
      <c r="H1730" s="1" t="s">
        <v>313</v>
      </c>
      <c r="I1730" s="1" t="str">
        <f>IFERROR(__xludf.DUMMYFUNCTION("REGEXREPLACE(MID(H1730, SEARCH(""["", H1730) + 1, SEARCH(""]"", H1730) - SEARCH(""["", H1730) - 1), ""\[\]"","""")"),"Seven Lakes")</f>
        <v>Seven Lakes</v>
      </c>
      <c r="J1730" s="1">
        <v>0.0</v>
      </c>
      <c r="K1730" s="1">
        <v>0.0</v>
      </c>
    </row>
    <row r="1731">
      <c r="A1731" s="1">
        <v>2.0</v>
      </c>
      <c r="B1731" s="1">
        <v>8.0</v>
      </c>
      <c r="C1731" s="1">
        <v>1.0</v>
      </c>
      <c r="D1731" s="1">
        <v>-2.0</v>
      </c>
      <c r="E1731" s="1">
        <v>0.5</v>
      </c>
      <c r="F1731" s="1">
        <v>0.0</v>
      </c>
      <c r="G1731" s="2">
        <v>0.0</v>
      </c>
      <c r="H1731" s="1" t="s">
        <v>314</v>
      </c>
      <c r="I1731" s="1" t="str">
        <f>IFERROR(__xludf.DUMMYFUNCTION("REGEXREPLACE(MID(H1731, SEARCH(""["", H1731) + 1, SEARCH(""]"", H1731) - SEARCH(""["", H1731) - 1), ""\[\]"","""")"),"State College Area")</f>
        <v>State College Area</v>
      </c>
      <c r="J1731" s="1">
        <v>-4.0</v>
      </c>
      <c r="K1731" s="1">
        <v>1.0</v>
      </c>
    </row>
    <row r="1732">
      <c r="A1732" s="1">
        <v>1.0</v>
      </c>
      <c r="B1732" s="1">
        <v>4.0</v>
      </c>
      <c r="C1732" s="1">
        <v>0.0</v>
      </c>
      <c r="D1732" s="1">
        <v>0.0</v>
      </c>
      <c r="E1732" s="1">
        <v>0.0</v>
      </c>
      <c r="F1732" s="1">
        <v>0.0</v>
      </c>
      <c r="G1732" s="2">
        <v>0.0</v>
      </c>
      <c r="H1732" s="1" t="s">
        <v>314</v>
      </c>
      <c r="I1732" s="1" t="str">
        <f>IFERROR(__xludf.DUMMYFUNCTION("REGEXREPLACE(MID(H1732, SEARCH(""["", H1732) + 1, SEARCH(""]"", H1732) - SEARCH(""["", H1732) - 1), ""\[\]"","""")"),"State College Area")</f>
        <v>State College Area</v>
      </c>
      <c r="J1732" s="1">
        <v>0.0</v>
      </c>
      <c r="K1732" s="1">
        <v>0.0</v>
      </c>
    </row>
    <row r="1733">
      <c r="A1733" s="1">
        <v>3.0</v>
      </c>
      <c r="B1733" s="1">
        <v>12.0</v>
      </c>
      <c r="C1733" s="1">
        <v>3.0</v>
      </c>
      <c r="D1733" s="1">
        <v>1.33</v>
      </c>
      <c r="E1733" s="1">
        <v>0.33</v>
      </c>
      <c r="F1733" s="1">
        <v>0.0</v>
      </c>
      <c r="G1733" s="6">
        <v>0.667</v>
      </c>
      <c r="H1733" s="1" t="s">
        <v>315</v>
      </c>
      <c r="I1733" s="1" t="str">
        <f>IFERROR(__xludf.DUMMYFUNCTION("REGEXREPLACE(MID(H1733, SEARCH(""["", H1733) + 1, SEARCH(""]"", H1733) - SEARCH(""["", H1733) - 1), ""\[\]"","""")"),"State College Area")</f>
        <v>State College Area</v>
      </c>
      <c r="J1733" s="1">
        <v>4.0</v>
      </c>
      <c r="K1733" s="1">
        <v>1.0</v>
      </c>
    </row>
    <row r="1734">
      <c r="A1734" s="1">
        <v>1.0</v>
      </c>
      <c r="B1734" s="1">
        <v>4.0</v>
      </c>
      <c r="C1734" s="1">
        <v>0.0</v>
      </c>
      <c r="D1734" s="1">
        <v>0.0</v>
      </c>
      <c r="E1734" s="1">
        <v>0.0</v>
      </c>
      <c r="F1734" s="1">
        <v>0.0</v>
      </c>
      <c r="G1734" s="2">
        <v>0.0</v>
      </c>
      <c r="H1734" s="1" t="s">
        <v>315</v>
      </c>
      <c r="I1734" s="1" t="str">
        <f>IFERROR(__xludf.DUMMYFUNCTION("REGEXREPLACE(MID(H1734, SEARCH(""["", H1734) + 1, SEARCH(""]"", H1734) - SEARCH(""["", H1734) - 1), ""\[\]"","""")"),"State College Area")</f>
        <v>State College Area</v>
      </c>
      <c r="J1734" s="1">
        <v>0.0</v>
      </c>
      <c r="K1734" s="1">
        <v>0.0</v>
      </c>
    </row>
    <row r="1735">
      <c r="A1735" s="1">
        <v>3.0</v>
      </c>
      <c r="B1735" s="1">
        <v>12.0</v>
      </c>
      <c r="C1735" s="1">
        <v>1.0</v>
      </c>
      <c r="D1735" s="1">
        <v>1.33</v>
      </c>
      <c r="E1735" s="1">
        <v>0.0</v>
      </c>
      <c r="F1735" s="1">
        <v>0.0</v>
      </c>
      <c r="G1735" s="2">
        <v>1.0</v>
      </c>
      <c r="H1735" s="1" t="s">
        <v>316</v>
      </c>
      <c r="I1735" s="1" t="str">
        <f>IFERROR(__xludf.DUMMYFUNCTION("REGEXREPLACE(MID(H1735, SEARCH(""["", H1735) + 1, SEARCH(""]"", H1735) - SEARCH(""["", H1735) - 1), ""\[\]"","""")"),"State College Area")</f>
        <v>State College Area</v>
      </c>
      <c r="J1735" s="1">
        <v>4.0</v>
      </c>
      <c r="K1735" s="1">
        <v>0.0</v>
      </c>
    </row>
    <row r="1736">
      <c r="A1736" s="1">
        <v>1.0</v>
      </c>
      <c r="B1736" s="1">
        <v>4.0</v>
      </c>
      <c r="C1736" s="1">
        <v>1.0</v>
      </c>
      <c r="D1736" s="1">
        <v>4.0</v>
      </c>
      <c r="E1736" s="1">
        <v>0.0</v>
      </c>
      <c r="F1736" s="1">
        <v>0.0</v>
      </c>
      <c r="G1736" s="2">
        <v>1.0</v>
      </c>
      <c r="H1736" s="1" t="s">
        <v>316</v>
      </c>
      <c r="I1736" s="1" t="str">
        <f>IFERROR(__xludf.DUMMYFUNCTION("REGEXREPLACE(MID(H1736, SEARCH(""["", H1736) + 1, SEARCH(""]"", H1736) - SEARCH(""["", H1736) - 1), ""\[\]"","""")"),"State College Area")</f>
        <v>State College Area</v>
      </c>
      <c r="J1736" s="1">
        <v>4.0</v>
      </c>
      <c r="K1736" s="1">
        <v>0.0</v>
      </c>
    </row>
    <row r="1737">
      <c r="A1737" s="1">
        <v>1.0</v>
      </c>
      <c r="B1737" s="1">
        <v>4.0</v>
      </c>
      <c r="C1737" s="1">
        <v>0.0</v>
      </c>
      <c r="D1737" s="1">
        <v>0.0</v>
      </c>
      <c r="E1737" s="1">
        <v>0.0</v>
      </c>
      <c r="F1737" s="1">
        <v>0.0</v>
      </c>
      <c r="G1737" s="2">
        <v>0.0</v>
      </c>
      <c r="H1737" s="1" t="s">
        <v>318</v>
      </c>
      <c r="I1737" s="1" t="str">
        <f>IFERROR(__xludf.DUMMYFUNCTION("REGEXREPLACE(MID(H1737, SEARCH(""["", H1737) + 1, SEARCH(""]"", H1737) - SEARCH(""["", H1737) - 1), ""\[\]"","""")"),"State College Area")</f>
        <v>State College Area</v>
      </c>
      <c r="J1737" s="1">
        <v>0.0</v>
      </c>
      <c r="K1737" s="1">
        <v>0.0</v>
      </c>
    </row>
    <row r="1738">
      <c r="A1738" s="1">
        <v>4.0</v>
      </c>
      <c r="B1738" s="1">
        <v>16.0</v>
      </c>
      <c r="C1738" s="1">
        <v>7.0</v>
      </c>
      <c r="D1738" s="1">
        <v>1.0</v>
      </c>
      <c r="E1738" s="1">
        <v>0.0</v>
      </c>
      <c r="F1738" s="1">
        <v>0.0</v>
      </c>
      <c r="G1738" s="6">
        <v>0.143</v>
      </c>
      <c r="H1738" s="1" t="s">
        <v>254</v>
      </c>
      <c r="I1738" s="1" t="str">
        <f>IFERROR(__xludf.DUMMYFUNCTION("REGEXREPLACE(MID(H1738, SEARCH(""["", H1738) + 1, SEARCH(""]"", H1738) - SEARCH(""["", H1738) - 1), ""\[\]"","""")"),"State College Area")</f>
        <v>State College Area</v>
      </c>
      <c r="J1738" s="1">
        <v>4.0</v>
      </c>
      <c r="K1738" s="1">
        <v>0.0</v>
      </c>
    </row>
    <row r="1739">
      <c r="A1739" s="1">
        <v>1.0</v>
      </c>
      <c r="B1739" s="1">
        <v>4.0</v>
      </c>
      <c r="C1739" s="1">
        <v>1.0</v>
      </c>
      <c r="D1739" s="1">
        <v>4.0</v>
      </c>
      <c r="E1739" s="1">
        <v>0.0</v>
      </c>
      <c r="F1739" s="1">
        <v>0.0</v>
      </c>
      <c r="G1739" s="2">
        <v>1.0</v>
      </c>
      <c r="H1739" s="1" t="s">
        <v>254</v>
      </c>
      <c r="I1739" s="1" t="str">
        <f>IFERROR(__xludf.DUMMYFUNCTION("REGEXREPLACE(MID(H1739, SEARCH(""["", H1739) + 1, SEARCH(""]"", H1739) - SEARCH(""["", H1739) - 1), ""\[\]"","""")"),"State College Area")</f>
        <v>State College Area</v>
      </c>
      <c r="J1739" s="1">
        <v>4.0</v>
      </c>
      <c r="K1739" s="1">
        <v>0.0</v>
      </c>
    </row>
    <row r="1740">
      <c r="A1740" s="1">
        <v>1.0</v>
      </c>
      <c r="B1740" s="1">
        <v>4.0</v>
      </c>
      <c r="C1740" s="1">
        <v>1.0</v>
      </c>
      <c r="D1740" s="1">
        <v>0.0</v>
      </c>
      <c r="E1740" s="1">
        <v>0.0</v>
      </c>
      <c r="F1740" s="1">
        <v>0.0</v>
      </c>
      <c r="G1740" s="2">
        <v>0.0</v>
      </c>
      <c r="H1740" s="1" t="s">
        <v>317</v>
      </c>
      <c r="I1740" s="1" t="str">
        <f>IFERROR(__xludf.DUMMYFUNCTION("REGEXREPLACE(MID(H1740, SEARCH(""["", H1740) + 1, SEARCH(""]"", H1740) - SEARCH(""["", H1740) - 1), ""\[\]"","""")"),"Synthase")</f>
        <v>Synthase</v>
      </c>
      <c r="J1740" s="1">
        <v>0.0</v>
      </c>
      <c r="K1740" s="1">
        <v>0.0</v>
      </c>
    </row>
    <row r="1741">
      <c r="A1741" s="1">
        <v>2.0</v>
      </c>
      <c r="B1741" s="1">
        <v>8.0</v>
      </c>
      <c r="C1741" s="1">
        <v>1.0</v>
      </c>
      <c r="D1741" s="1">
        <v>2.0</v>
      </c>
      <c r="E1741" s="1">
        <v>0.0</v>
      </c>
      <c r="F1741" s="1">
        <v>0.0</v>
      </c>
      <c r="G1741" s="2">
        <v>1.0</v>
      </c>
      <c r="H1741" s="1" t="s">
        <v>317</v>
      </c>
      <c r="I1741" s="1" t="str">
        <f>IFERROR(__xludf.DUMMYFUNCTION("REGEXREPLACE(MID(H1741, SEARCH(""["", H1741) + 1, SEARCH(""]"", H1741) - SEARCH(""["", H1741) - 1), ""\[\]"","""")"),"Synthase")</f>
        <v>Synthase</v>
      </c>
      <c r="J1741" s="1">
        <v>4.0</v>
      </c>
      <c r="K1741" s="1">
        <v>0.0</v>
      </c>
    </row>
    <row r="1742">
      <c r="A1742" s="1">
        <v>2.0</v>
      </c>
      <c r="B1742" s="1">
        <v>8.0</v>
      </c>
      <c r="C1742" s="1">
        <v>6.0</v>
      </c>
      <c r="D1742" s="1">
        <v>8.0</v>
      </c>
      <c r="E1742" s="1">
        <v>0.0</v>
      </c>
      <c r="F1742" s="1">
        <v>0.0</v>
      </c>
      <c r="G1742" s="6">
        <v>0.667</v>
      </c>
      <c r="H1742" s="1" t="s">
        <v>133</v>
      </c>
      <c r="I1742" s="1" t="str">
        <f>IFERROR(__xludf.DUMMYFUNCTION("REGEXREPLACE(MID(H1742, SEARCH(""["", H1742) + 1, SEARCH(""]"", H1742) - SEARCH(""["", H1742) - 1), ""\[\]"","""")"),"Synthase")</f>
        <v>Synthase</v>
      </c>
      <c r="J1742" s="1">
        <v>16.0</v>
      </c>
      <c r="K1742" s="1">
        <v>0.0</v>
      </c>
    </row>
    <row r="1743">
      <c r="A1743" s="1">
        <v>1.0</v>
      </c>
      <c r="B1743" s="1">
        <v>4.0</v>
      </c>
      <c r="C1743" s="1">
        <v>4.0</v>
      </c>
      <c r="D1743" s="1">
        <v>8.0</v>
      </c>
      <c r="E1743" s="1">
        <v>0.0</v>
      </c>
      <c r="F1743" s="1">
        <v>0.0</v>
      </c>
      <c r="G1743" s="2">
        <v>0.5</v>
      </c>
      <c r="H1743" s="1" t="s">
        <v>133</v>
      </c>
      <c r="I1743" s="1" t="str">
        <f>IFERROR(__xludf.DUMMYFUNCTION("REGEXREPLACE(MID(H1743, SEARCH(""["", H1743) + 1, SEARCH(""]"", H1743) - SEARCH(""["", H1743) - 1), ""\[\]"","""")"),"Synthase")</f>
        <v>Synthase</v>
      </c>
      <c r="J1743" s="1">
        <v>8.0</v>
      </c>
      <c r="K1743" s="1">
        <v>0.0</v>
      </c>
    </row>
    <row r="1744">
      <c r="A1744" s="1">
        <v>1.0</v>
      </c>
      <c r="B1744" s="1">
        <v>4.0</v>
      </c>
      <c r="C1744" s="1">
        <v>1.0</v>
      </c>
      <c r="D1744" s="1">
        <v>0.0</v>
      </c>
      <c r="E1744" s="1">
        <v>0.0</v>
      </c>
      <c r="F1744" s="1">
        <v>0.0</v>
      </c>
      <c r="G1744" s="2">
        <v>0.0</v>
      </c>
      <c r="H1744" s="1" t="s">
        <v>319</v>
      </c>
      <c r="I1744" s="1" t="str">
        <f>IFERROR(__xludf.DUMMYFUNCTION("REGEXREPLACE(MID(H1744, SEARCH(""["", H1744) + 1, SEARCH(""]"", H1744) - SEARCH(""["", H1744) - 1), ""\[\]"","""")"),"Synthase")</f>
        <v>Synthase</v>
      </c>
      <c r="J1744" s="1">
        <v>0.0</v>
      </c>
      <c r="K1744" s="1">
        <v>0.0</v>
      </c>
    </row>
    <row r="1745">
      <c r="A1745" s="1">
        <v>5.0</v>
      </c>
      <c r="B1745" s="1">
        <v>20.0</v>
      </c>
      <c r="C1745" s="1">
        <v>1.0</v>
      </c>
      <c r="D1745" s="1">
        <v>0.0</v>
      </c>
      <c r="E1745" s="1">
        <v>0.0</v>
      </c>
      <c r="F1745" s="1">
        <v>0.0</v>
      </c>
      <c r="G1745" s="2">
        <v>0.0</v>
      </c>
      <c r="H1745" s="1" t="s">
        <v>129</v>
      </c>
      <c r="I1745" s="1" t="str">
        <f>IFERROR(__xludf.DUMMYFUNCTION("REGEXREPLACE(MID(H1745, SEARCH(""["", H1745) + 1, SEARCH(""]"", H1745) - SEARCH(""["", H1745) - 1), ""\[\]"","""")"),"Synthase")</f>
        <v>Synthase</v>
      </c>
      <c r="J1745" s="1">
        <v>0.0</v>
      </c>
      <c r="K1745" s="1">
        <v>0.0</v>
      </c>
    </row>
    <row r="1746">
      <c r="A1746" s="1">
        <v>2.0</v>
      </c>
      <c r="B1746" s="1">
        <v>8.0</v>
      </c>
      <c r="C1746" s="1">
        <v>2.0</v>
      </c>
      <c r="D1746" s="1">
        <v>2.0</v>
      </c>
      <c r="E1746" s="1">
        <v>0.0</v>
      </c>
      <c r="F1746" s="1">
        <v>0.0</v>
      </c>
      <c r="G1746" s="2">
        <v>0.5</v>
      </c>
      <c r="H1746" s="1" t="s">
        <v>320</v>
      </c>
      <c r="I1746" s="1" t="str">
        <f>IFERROR(__xludf.DUMMYFUNCTION("REGEXREPLACE(MID(H1746, SEARCH(""["", H1746) + 1, SEARCH(""]"", H1746) - SEARCH(""["", H1746) - 1), ""\[\]"","""")"),"The Catalysts")</f>
        <v>The Catalysts</v>
      </c>
      <c r="J1746" s="1">
        <v>4.0</v>
      </c>
      <c r="K1746" s="1">
        <v>0.0</v>
      </c>
    </row>
    <row r="1747">
      <c r="A1747" s="1">
        <v>1.0</v>
      </c>
      <c r="B1747" s="1">
        <v>4.0</v>
      </c>
      <c r="C1747" s="1">
        <v>2.0</v>
      </c>
      <c r="D1747" s="1">
        <v>0.0</v>
      </c>
      <c r="E1747" s="1">
        <v>0.0</v>
      </c>
      <c r="F1747" s="1">
        <v>0.0</v>
      </c>
      <c r="G1747" s="2">
        <v>0.0</v>
      </c>
      <c r="H1747" s="1" t="s">
        <v>320</v>
      </c>
      <c r="I1747" s="1" t="str">
        <f>IFERROR(__xludf.DUMMYFUNCTION("REGEXREPLACE(MID(H1747, SEARCH(""["", H1747) + 1, SEARCH(""]"", H1747) - SEARCH(""["", H1747) - 1), ""\[\]"","""")"),"The Catalysts")</f>
        <v>The Catalysts</v>
      </c>
      <c r="J1747" s="1">
        <v>0.0</v>
      </c>
      <c r="K1747" s="1">
        <v>0.0</v>
      </c>
    </row>
    <row r="1748">
      <c r="A1748" s="1">
        <v>2.0</v>
      </c>
      <c r="B1748" s="1">
        <v>8.0</v>
      </c>
      <c r="C1748" s="1">
        <v>8.0</v>
      </c>
      <c r="D1748" s="1">
        <v>4.0</v>
      </c>
      <c r="E1748" s="1">
        <v>0.0</v>
      </c>
      <c r="F1748" s="1">
        <v>0.0</v>
      </c>
      <c r="G1748" s="2">
        <v>0.25</v>
      </c>
      <c r="H1748" s="1" t="s">
        <v>320</v>
      </c>
      <c r="I1748" s="1" t="str">
        <f>IFERROR(__xludf.DUMMYFUNCTION("REGEXREPLACE(MID(H1748, SEARCH(""["", H1748) + 1, SEARCH(""]"", H1748) - SEARCH(""["", H1748) - 1), ""\[\]"","""")"),"The Catalysts")</f>
        <v>The Catalysts</v>
      </c>
      <c r="J1748" s="1">
        <v>8.0</v>
      </c>
      <c r="K1748" s="1">
        <v>0.0</v>
      </c>
    </row>
    <row r="1749">
      <c r="A1749" s="1">
        <v>2.0</v>
      </c>
      <c r="B1749" s="1">
        <v>8.0</v>
      </c>
      <c r="C1749" s="1">
        <v>0.0</v>
      </c>
      <c r="D1749" s="1">
        <v>0.0</v>
      </c>
      <c r="E1749" s="1">
        <v>0.0</v>
      </c>
      <c r="F1749" s="1">
        <v>0.0</v>
      </c>
      <c r="G1749" s="2">
        <v>0.0</v>
      </c>
      <c r="H1749" s="1" t="s">
        <v>287</v>
      </c>
      <c r="I1749" s="1" t="str">
        <f>IFERROR(__xludf.DUMMYFUNCTION("REGEXREPLACE(MID(H1749, SEARCH(""["", H1749) + 1, SEARCH(""]"", H1749) - SEARCH(""["", H1749) - 1), ""\[\]"","""")"),"The Catalysts")</f>
        <v>The Catalysts</v>
      </c>
      <c r="J1749" s="1">
        <v>0.0</v>
      </c>
      <c r="K1749" s="1">
        <v>0.0</v>
      </c>
    </row>
    <row r="1750">
      <c r="A1750" s="1">
        <v>1.0</v>
      </c>
      <c r="B1750" s="1">
        <v>4.0</v>
      </c>
      <c r="C1750" s="1">
        <v>0.0</v>
      </c>
      <c r="D1750" s="1">
        <v>0.0</v>
      </c>
      <c r="E1750" s="1">
        <v>0.0</v>
      </c>
      <c r="F1750" s="1">
        <v>0.0</v>
      </c>
      <c r="G1750" s="2">
        <v>0.0</v>
      </c>
      <c r="H1750" s="1" t="s">
        <v>287</v>
      </c>
      <c r="I1750" s="1" t="str">
        <f>IFERROR(__xludf.DUMMYFUNCTION("REGEXREPLACE(MID(H1750, SEARCH(""["", H1750) + 1, SEARCH(""]"", H1750) - SEARCH(""["", H1750) - 1), ""\[\]"","""")"),"The Catalysts")</f>
        <v>The Catalysts</v>
      </c>
      <c r="J1750" s="1">
        <v>0.0</v>
      </c>
      <c r="K1750" s="1">
        <v>0.0</v>
      </c>
    </row>
    <row r="1751">
      <c r="A1751" s="1">
        <v>2.0</v>
      </c>
      <c r="B1751" s="1">
        <v>8.0</v>
      </c>
      <c r="C1751" s="1">
        <v>0.0</v>
      </c>
      <c r="D1751" s="1">
        <v>0.0</v>
      </c>
      <c r="E1751" s="1">
        <v>0.0</v>
      </c>
      <c r="F1751" s="1">
        <v>0.0</v>
      </c>
      <c r="G1751" s="2">
        <v>0.0</v>
      </c>
      <c r="H1751" s="1" t="s">
        <v>287</v>
      </c>
      <c r="I1751" s="1" t="str">
        <f>IFERROR(__xludf.DUMMYFUNCTION("REGEXREPLACE(MID(H1751, SEARCH(""["", H1751) + 1, SEARCH(""]"", H1751) - SEARCH(""["", H1751) - 1), ""\[\]"","""")"),"The Catalysts")</f>
        <v>The Catalysts</v>
      </c>
      <c r="J1751" s="1">
        <v>0.0</v>
      </c>
      <c r="K1751" s="1">
        <v>0.0</v>
      </c>
    </row>
    <row r="1752">
      <c r="A1752" s="1">
        <v>2.0</v>
      </c>
      <c r="B1752" s="1">
        <v>8.0</v>
      </c>
      <c r="C1752" s="1">
        <v>0.0</v>
      </c>
      <c r="D1752" s="1">
        <v>0.0</v>
      </c>
      <c r="E1752" s="1">
        <v>0.0</v>
      </c>
      <c r="F1752" s="1">
        <v>0.0</v>
      </c>
      <c r="G1752" s="2">
        <v>0.0</v>
      </c>
      <c r="H1752" s="1" t="s">
        <v>289</v>
      </c>
      <c r="I1752" s="1" t="str">
        <f>IFERROR(__xludf.DUMMYFUNCTION("REGEXREPLACE(MID(H1752, SEARCH(""["", H1752) + 1, SEARCH(""]"", H1752) - SEARCH(""["", H1752) - 1), ""\[\]"","""")"),"The Catalysts")</f>
        <v>The Catalysts</v>
      </c>
      <c r="J1752" s="1">
        <v>0.0</v>
      </c>
      <c r="K1752" s="1">
        <v>0.0</v>
      </c>
    </row>
    <row r="1753">
      <c r="A1753" s="1">
        <v>1.0</v>
      </c>
      <c r="B1753" s="1">
        <v>4.0</v>
      </c>
      <c r="C1753" s="1">
        <v>0.0</v>
      </c>
      <c r="D1753" s="1">
        <v>0.0</v>
      </c>
      <c r="E1753" s="1">
        <v>0.0</v>
      </c>
      <c r="F1753" s="1">
        <v>0.0</v>
      </c>
      <c r="G1753" s="2">
        <v>0.0</v>
      </c>
      <c r="H1753" s="1" t="s">
        <v>289</v>
      </c>
      <c r="I1753" s="1" t="str">
        <f>IFERROR(__xludf.DUMMYFUNCTION("REGEXREPLACE(MID(H1753, SEARCH(""["", H1753) + 1, SEARCH(""]"", H1753) - SEARCH(""["", H1753) - 1), ""\[\]"","""")"),"The Catalysts")</f>
        <v>The Catalysts</v>
      </c>
      <c r="J1753" s="1">
        <v>0.0</v>
      </c>
      <c r="K1753" s="1">
        <v>0.0</v>
      </c>
    </row>
    <row r="1754">
      <c r="A1754" s="1">
        <v>2.0</v>
      </c>
      <c r="B1754" s="1">
        <v>8.0</v>
      </c>
      <c r="C1754" s="1">
        <v>0.0</v>
      </c>
      <c r="D1754" s="1">
        <v>0.0</v>
      </c>
      <c r="E1754" s="1">
        <v>0.0</v>
      </c>
      <c r="F1754" s="1">
        <v>0.0</v>
      </c>
      <c r="G1754" s="2">
        <v>0.0</v>
      </c>
      <c r="H1754" s="1" t="s">
        <v>289</v>
      </c>
      <c r="I1754" s="1" t="str">
        <f>IFERROR(__xludf.DUMMYFUNCTION("REGEXREPLACE(MID(H1754, SEARCH(""["", H1754) + 1, SEARCH(""]"", H1754) - SEARCH(""["", H1754) - 1), ""\[\]"","""")"),"The Catalysts")</f>
        <v>The Catalysts</v>
      </c>
      <c r="J1754" s="1">
        <v>0.0</v>
      </c>
      <c r="K1754" s="1">
        <v>0.0</v>
      </c>
    </row>
    <row r="1755">
      <c r="A1755" s="1">
        <v>2.0</v>
      </c>
      <c r="B1755" s="1">
        <v>8.0</v>
      </c>
      <c r="C1755" s="1">
        <v>1.0</v>
      </c>
      <c r="D1755" s="1">
        <v>0.0</v>
      </c>
      <c r="E1755" s="1">
        <v>0.0</v>
      </c>
      <c r="F1755" s="1">
        <v>0.0</v>
      </c>
      <c r="G1755" s="2">
        <v>0.0</v>
      </c>
      <c r="H1755" s="1" t="s">
        <v>321</v>
      </c>
      <c r="I1755" s="1" t="str">
        <f>IFERROR(__xludf.DUMMYFUNCTION("REGEXREPLACE(MID(H1755, SEARCH(""["", H1755) + 1, SEARCH(""]"", H1755) - SEARCH(""["", H1755) - 1), ""\[\]"","""")"),"The Catalysts")</f>
        <v>The Catalysts</v>
      </c>
      <c r="J1755" s="1">
        <v>0.0</v>
      </c>
      <c r="K1755" s="1">
        <v>0.0</v>
      </c>
    </row>
    <row r="1756">
      <c r="A1756" s="1">
        <v>1.0</v>
      </c>
      <c r="B1756" s="1">
        <v>4.0</v>
      </c>
      <c r="C1756" s="1">
        <v>0.0</v>
      </c>
      <c r="D1756" s="1">
        <v>0.0</v>
      </c>
      <c r="E1756" s="1">
        <v>0.0</v>
      </c>
      <c r="F1756" s="1">
        <v>0.0</v>
      </c>
      <c r="G1756" s="2">
        <v>0.0</v>
      </c>
      <c r="H1756" s="1" t="s">
        <v>321</v>
      </c>
      <c r="I1756" s="1" t="str">
        <f>IFERROR(__xludf.DUMMYFUNCTION("REGEXREPLACE(MID(H1756, SEARCH(""["", H1756) + 1, SEARCH(""]"", H1756) - SEARCH(""["", H1756) - 1), ""\[\]"","""")"),"The Catalysts")</f>
        <v>The Catalysts</v>
      </c>
      <c r="J1756" s="1">
        <v>0.0</v>
      </c>
      <c r="K1756" s="1">
        <v>0.0</v>
      </c>
    </row>
    <row r="1757">
      <c r="A1757" s="1">
        <v>1.0</v>
      </c>
      <c r="B1757" s="1">
        <v>4.0</v>
      </c>
      <c r="C1757" s="1">
        <v>0.0</v>
      </c>
      <c r="D1757" s="1">
        <v>0.0</v>
      </c>
      <c r="E1757" s="1">
        <v>0.0</v>
      </c>
      <c r="F1757" s="1">
        <v>0.0</v>
      </c>
      <c r="G1757" s="2">
        <v>0.0</v>
      </c>
      <c r="H1757" s="1" t="s">
        <v>321</v>
      </c>
      <c r="I1757" s="1" t="str">
        <f>IFERROR(__xludf.DUMMYFUNCTION("REGEXREPLACE(MID(H1757, SEARCH(""["", H1757) + 1, SEARCH(""]"", H1757) - SEARCH(""["", H1757) - 1), ""\[\]"","""")"),"The Catalysts")</f>
        <v>The Catalysts</v>
      </c>
      <c r="J1757" s="1">
        <v>0.0</v>
      </c>
      <c r="K1757" s="1">
        <v>0.0</v>
      </c>
    </row>
    <row r="1758">
      <c r="A1758" s="1">
        <v>2.0</v>
      </c>
      <c r="B1758" s="1">
        <v>8.0</v>
      </c>
      <c r="C1758" s="1">
        <v>1.0</v>
      </c>
      <c r="D1758" s="1">
        <v>-2.0</v>
      </c>
      <c r="E1758" s="1">
        <v>0.5</v>
      </c>
      <c r="F1758" s="1">
        <v>0.0</v>
      </c>
      <c r="G1758" s="2">
        <v>0.0</v>
      </c>
      <c r="H1758" s="1" t="s">
        <v>323</v>
      </c>
      <c r="I1758" s="1" t="str">
        <f>IFERROR(__xludf.DUMMYFUNCTION("REGEXREPLACE(MID(H1758, SEARCH(""["", H1758) + 1, SEARCH(""]"", H1758) - SEARCH(""["", H1758) - 1), ""\[\]"","""")"),"The Catalysts")</f>
        <v>The Catalysts</v>
      </c>
      <c r="J1758" s="1">
        <v>-4.0</v>
      </c>
      <c r="K1758" s="1">
        <v>1.0</v>
      </c>
    </row>
    <row r="1759">
      <c r="A1759" s="1">
        <v>1.0</v>
      </c>
      <c r="B1759" s="1">
        <v>4.0</v>
      </c>
      <c r="C1759" s="1">
        <v>0.0</v>
      </c>
      <c r="D1759" s="1">
        <v>0.0</v>
      </c>
      <c r="E1759" s="1">
        <v>0.0</v>
      </c>
      <c r="F1759" s="1">
        <v>0.0</v>
      </c>
      <c r="G1759" s="2">
        <v>0.0</v>
      </c>
      <c r="H1759" s="1" t="s">
        <v>323</v>
      </c>
      <c r="I1759" s="1" t="str">
        <f>IFERROR(__xludf.DUMMYFUNCTION("REGEXREPLACE(MID(H1759, SEARCH(""["", H1759) + 1, SEARCH(""]"", H1759) - SEARCH(""["", H1759) - 1), ""\[\]"","""")"),"The Catalysts")</f>
        <v>The Catalysts</v>
      </c>
      <c r="J1759" s="1">
        <v>0.0</v>
      </c>
      <c r="K1759" s="1">
        <v>0.0</v>
      </c>
    </row>
    <row r="1760">
      <c r="A1760" s="1">
        <v>2.0</v>
      </c>
      <c r="B1760" s="1">
        <v>8.0</v>
      </c>
      <c r="C1760" s="1">
        <v>0.0</v>
      </c>
      <c r="D1760" s="1">
        <v>0.0</v>
      </c>
      <c r="E1760" s="1">
        <v>0.0</v>
      </c>
      <c r="F1760" s="1">
        <v>0.0</v>
      </c>
      <c r="G1760" s="2">
        <v>0.0</v>
      </c>
      <c r="H1760" s="1" t="s">
        <v>323</v>
      </c>
      <c r="I1760" s="1" t="str">
        <f>IFERROR(__xludf.DUMMYFUNCTION("REGEXREPLACE(MID(H1760, SEARCH(""["", H1760) + 1, SEARCH(""]"", H1760) - SEARCH(""["", H1760) - 1), ""\[\]"","""")"),"The Catalysts")</f>
        <v>The Catalysts</v>
      </c>
      <c r="J1760" s="1">
        <v>0.0</v>
      </c>
      <c r="K1760" s="1">
        <v>0.0</v>
      </c>
    </row>
    <row r="1761">
      <c r="A1761" s="1">
        <v>1.0</v>
      </c>
      <c r="B1761" s="1">
        <v>4.0</v>
      </c>
      <c r="C1761" s="1">
        <v>1.0</v>
      </c>
      <c r="D1761" s="1">
        <v>4.0</v>
      </c>
      <c r="E1761" s="1">
        <v>0.0</v>
      </c>
      <c r="F1761" s="1">
        <v>0.0</v>
      </c>
      <c r="G1761" s="2">
        <v>1.0</v>
      </c>
      <c r="H1761" s="1" t="s">
        <v>278</v>
      </c>
      <c r="I1761" s="1" t="str">
        <f>IFERROR(__xludf.DUMMYFUNCTION("REGEXREPLACE(MID(H1761, SEARCH(""["", H1761) + 1, SEARCH(""]"", H1761) - SEARCH(""["", H1761) - 1), ""\[\]"","""")"),"The Outliers")</f>
        <v>The Outliers</v>
      </c>
      <c r="J1761" s="1">
        <v>4.0</v>
      </c>
      <c r="K1761" s="1">
        <v>0.0</v>
      </c>
    </row>
    <row r="1762">
      <c r="A1762" s="1">
        <v>3.0</v>
      </c>
      <c r="B1762" s="1">
        <v>11.0</v>
      </c>
      <c r="C1762" s="1">
        <v>4.0</v>
      </c>
      <c r="D1762" s="1">
        <v>5.33</v>
      </c>
      <c r="E1762" s="1">
        <v>0.0</v>
      </c>
      <c r="F1762" s="1">
        <v>0.0</v>
      </c>
      <c r="G1762" s="2">
        <v>1.0</v>
      </c>
      <c r="H1762" s="1" t="s">
        <v>278</v>
      </c>
      <c r="I1762" s="1" t="str">
        <f>IFERROR(__xludf.DUMMYFUNCTION("REGEXREPLACE(MID(H1762, SEARCH(""["", H1762) + 1, SEARCH(""]"", H1762) - SEARCH(""["", H1762) - 1), ""\[\]"","""")"),"The Outliers")</f>
        <v>The Outliers</v>
      </c>
      <c r="J1762" s="1">
        <v>16.0</v>
      </c>
      <c r="K1762" s="1">
        <v>0.0</v>
      </c>
    </row>
    <row r="1763">
      <c r="A1763" s="1">
        <v>1.0</v>
      </c>
      <c r="B1763" s="1">
        <v>4.0</v>
      </c>
      <c r="C1763" s="1">
        <v>0.0</v>
      </c>
      <c r="D1763" s="1">
        <v>0.0</v>
      </c>
      <c r="E1763" s="1">
        <v>0.0</v>
      </c>
      <c r="F1763" s="1">
        <v>0.0</v>
      </c>
      <c r="G1763" s="2">
        <v>0.0</v>
      </c>
      <c r="H1763" s="1" t="s">
        <v>325</v>
      </c>
      <c r="I1763" s="1" t="str">
        <f>IFERROR(__xludf.DUMMYFUNCTION("REGEXREPLACE(MID(H1763, SEARCH(""["", H1763) + 1, SEARCH(""]"", H1763) - SEARCH(""["", H1763) - 1), ""\[\]"","""")"),"The Outliers")</f>
        <v>The Outliers</v>
      </c>
      <c r="J1763" s="1">
        <v>0.0</v>
      </c>
      <c r="K1763" s="1">
        <v>0.0</v>
      </c>
    </row>
    <row r="1764">
      <c r="A1764" s="1">
        <v>4.0</v>
      </c>
      <c r="B1764" s="1">
        <v>15.0</v>
      </c>
      <c r="C1764" s="1">
        <v>0.0</v>
      </c>
      <c r="D1764" s="1">
        <v>0.0</v>
      </c>
      <c r="E1764" s="1">
        <v>0.0</v>
      </c>
      <c r="F1764" s="1">
        <v>0.0</v>
      </c>
      <c r="G1764" s="2">
        <v>0.0</v>
      </c>
      <c r="H1764" s="1" t="s">
        <v>325</v>
      </c>
      <c r="I1764" s="1" t="str">
        <f>IFERROR(__xludf.DUMMYFUNCTION("REGEXREPLACE(MID(H1764, SEARCH(""["", H1764) + 1, SEARCH(""]"", H1764) - SEARCH(""["", H1764) - 1), ""\[\]"","""")"),"The Outliers")</f>
        <v>The Outliers</v>
      </c>
      <c r="J1764" s="1">
        <v>0.0</v>
      </c>
      <c r="K1764" s="1">
        <v>0.0</v>
      </c>
    </row>
    <row r="1765">
      <c r="A1765" s="1">
        <v>1.0</v>
      </c>
      <c r="B1765" s="1">
        <v>4.0</v>
      </c>
      <c r="C1765" s="1">
        <v>0.0</v>
      </c>
      <c r="D1765" s="1">
        <v>0.0</v>
      </c>
      <c r="E1765" s="1">
        <v>0.0</v>
      </c>
      <c r="F1765" s="1">
        <v>0.0</v>
      </c>
      <c r="G1765" s="2">
        <v>0.0</v>
      </c>
      <c r="H1765" s="1" t="s">
        <v>326</v>
      </c>
      <c r="I1765" s="1" t="str">
        <f>IFERROR(__xludf.DUMMYFUNCTION("REGEXREPLACE(MID(H1765, SEARCH(""["", H1765) + 1, SEARCH(""]"", H1765) - SEARCH(""["", H1765) - 1), ""\[\]"","""")"),"The Outliers")</f>
        <v>The Outliers</v>
      </c>
      <c r="J1765" s="1">
        <v>0.0</v>
      </c>
      <c r="K1765" s="1">
        <v>0.0</v>
      </c>
    </row>
    <row r="1766">
      <c r="A1766" s="1">
        <v>2.0</v>
      </c>
      <c r="B1766" s="1">
        <v>8.0</v>
      </c>
      <c r="C1766" s="1">
        <v>0.0</v>
      </c>
      <c r="D1766" s="1">
        <v>0.0</v>
      </c>
      <c r="E1766" s="1">
        <v>0.0</v>
      </c>
      <c r="F1766" s="1">
        <v>0.0</v>
      </c>
      <c r="G1766" s="2">
        <v>0.0</v>
      </c>
      <c r="H1766" s="1" t="s">
        <v>326</v>
      </c>
      <c r="I1766" s="1" t="str">
        <f>IFERROR(__xludf.DUMMYFUNCTION("REGEXREPLACE(MID(H1766, SEARCH(""["", H1766) + 1, SEARCH(""]"", H1766) - SEARCH(""["", H1766) - 1), ""\[\]"","""")"),"The Outliers")</f>
        <v>The Outliers</v>
      </c>
      <c r="J1766" s="1">
        <v>0.0</v>
      </c>
      <c r="K1766" s="1">
        <v>0.0</v>
      </c>
    </row>
    <row r="1767">
      <c r="A1767" s="1">
        <v>1.0</v>
      </c>
      <c r="B1767" s="1">
        <v>4.0</v>
      </c>
      <c r="C1767" s="1">
        <v>1.0</v>
      </c>
      <c r="D1767" s="1">
        <v>0.0</v>
      </c>
      <c r="E1767" s="1">
        <v>0.0</v>
      </c>
      <c r="F1767" s="1">
        <v>0.0</v>
      </c>
      <c r="G1767" s="2">
        <v>0.0</v>
      </c>
      <c r="H1767" s="1" t="s">
        <v>311</v>
      </c>
      <c r="I1767" s="1" t="str">
        <f>IFERROR(__xludf.DUMMYFUNCTION("REGEXREPLACE(MID(H1767, SEARCH(""["", H1767) + 1, SEARCH(""]"", H1767) - SEARCH(""["", H1767) - 1), ""\[\]"","""")"),"The Outliers")</f>
        <v>The Outliers</v>
      </c>
      <c r="J1767" s="1">
        <v>0.0</v>
      </c>
      <c r="K1767" s="1">
        <v>0.0</v>
      </c>
    </row>
    <row r="1768">
      <c r="A1768" s="1">
        <v>4.0</v>
      </c>
      <c r="B1768" s="1">
        <v>15.0</v>
      </c>
      <c r="C1768" s="1">
        <v>3.0</v>
      </c>
      <c r="D1768" s="1">
        <v>1.0</v>
      </c>
      <c r="E1768" s="1">
        <v>0.0</v>
      </c>
      <c r="F1768" s="1">
        <v>0.0</v>
      </c>
      <c r="G1768" s="6">
        <v>0.333</v>
      </c>
      <c r="H1768" s="1" t="s">
        <v>311</v>
      </c>
      <c r="I1768" s="1" t="str">
        <f>IFERROR(__xludf.DUMMYFUNCTION("REGEXREPLACE(MID(H1768, SEARCH(""["", H1768) + 1, SEARCH(""]"", H1768) - SEARCH(""["", H1768) - 1), ""\[\]"","""")"),"The Outliers")</f>
        <v>The Outliers</v>
      </c>
      <c r="J1768" s="1">
        <v>4.0</v>
      </c>
      <c r="K1768" s="1">
        <v>0.0</v>
      </c>
    </row>
    <row r="1769">
      <c r="A1769" s="1">
        <v>1.0</v>
      </c>
      <c r="B1769" s="1">
        <v>3.0</v>
      </c>
      <c r="C1769" s="1">
        <v>0.0</v>
      </c>
      <c r="D1769" s="1">
        <v>0.0</v>
      </c>
      <c r="E1769" s="1">
        <v>0.0</v>
      </c>
      <c r="F1769" s="1">
        <v>0.0</v>
      </c>
      <c r="G1769" s="2">
        <v>0.0</v>
      </c>
      <c r="H1769" s="1" t="s">
        <v>322</v>
      </c>
      <c r="I1769" s="1" t="str">
        <f>IFERROR(__xludf.DUMMYFUNCTION("REGEXREPLACE(MID(H1769, SEARCH(""["", H1769) + 1, SEARCH(""]"", H1769) - SEARCH(""["", H1769) - 1), ""\[\]"","""")"),"The Outliers")</f>
        <v>The Outliers</v>
      </c>
      <c r="J1769" s="1">
        <v>0.0</v>
      </c>
      <c r="K1769" s="1">
        <v>0.0</v>
      </c>
    </row>
    <row r="1770">
      <c r="A1770" s="1">
        <v>3.0</v>
      </c>
      <c r="B1770" s="1">
        <v>12.0</v>
      </c>
      <c r="C1770" s="1">
        <v>2.0</v>
      </c>
      <c r="D1770" s="1">
        <v>0.0</v>
      </c>
      <c r="E1770" s="1">
        <v>0.0</v>
      </c>
      <c r="F1770" s="1">
        <v>0.0</v>
      </c>
      <c r="G1770" s="2">
        <v>0.0</v>
      </c>
      <c r="H1770" s="1" t="s">
        <v>322</v>
      </c>
      <c r="I1770" s="1" t="str">
        <f>IFERROR(__xludf.DUMMYFUNCTION("REGEXREPLACE(MID(H1770, SEARCH(""["", H1770) + 1, SEARCH(""]"", H1770) - SEARCH(""["", H1770) - 1), ""\[\]"","""")"),"The Outliers")</f>
        <v>The Outliers</v>
      </c>
      <c r="J1770" s="1">
        <v>0.0</v>
      </c>
      <c r="K1770" s="1">
        <v>0.0</v>
      </c>
    </row>
    <row r="1771">
      <c r="A1771" s="1">
        <v>3.0</v>
      </c>
      <c r="B1771" s="1">
        <v>12.0</v>
      </c>
      <c r="C1771" s="1">
        <v>2.0</v>
      </c>
      <c r="D1771" s="1">
        <v>1.33</v>
      </c>
      <c r="E1771" s="1">
        <v>0.0</v>
      </c>
      <c r="F1771" s="1">
        <v>0.0</v>
      </c>
      <c r="G1771" s="2">
        <v>0.5</v>
      </c>
      <c r="H1771" s="1" t="s">
        <v>328</v>
      </c>
      <c r="I1771" s="1" t="str">
        <f>IFERROR(__xludf.DUMMYFUNCTION("REGEXREPLACE(MID(H1771, SEARCH(""["", H1771) + 1, SEARCH(""]"", H1771) - SEARCH(""["", H1771) - 1), ""\[\]"","""")"),"The Woodlands HS")</f>
        <v>The Woodlands HS</v>
      </c>
      <c r="J1771" s="1">
        <v>4.0</v>
      </c>
      <c r="K1771" s="1">
        <v>0.0</v>
      </c>
    </row>
    <row r="1772">
      <c r="A1772" s="1">
        <v>3.0</v>
      </c>
      <c r="B1772" s="1">
        <v>12.0</v>
      </c>
      <c r="C1772" s="1">
        <v>2.0</v>
      </c>
      <c r="D1772" s="1">
        <v>0.0</v>
      </c>
      <c r="E1772" s="1">
        <v>0.0</v>
      </c>
      <c r="F1772" s="1">
        <v>0.0</v>
      </c>
      <c r="G1772" s="2">
        <v>0.0</v>
      </c>
      <c r="H1772" s="1" t="s">
        <v>329</v>
      </c>
      <c r="I1772" s="1" t="str">
        <f>IFERROR(__xludf.DUMMYFUNCTION("REGEXREPLACE(MID(H1772, SEARCH(""["", H1772) + 1, SEARCH(""]"", H1772) - SEARCH(""["", H1772) - 1), ""\[\]"","""")"),"The Woodlands HS")</f>
        <v>The Woodlands HS</v>
      </c>
      <c r="J1772" s="1">
        <v>0.0</v>
      </c>
      <c r="K1772" s="1">
        <v>0.0</v>
      </c>
    </row>
    <row r="1773">
      <c r="A1773" s="1">
        <v>1.0</v>
      </c>
      <c r="B1773" s="1">
        <v>4.0</v>
      </c>
      <c r="C1773" s="1">
        <v>1.0</v>
      </c>
      <c r="D1773" s="1">
        <v>0.0</v>
      </c>
      <c r="E1773" s="1">
        <v>0.0</v>
      </c>
      <c r="F1773" s="1">
        <v>0.0</v>
      </c>
      <c r="G1773" s="2">
        <v>0.0</v>
      </c>
      <c r="H1773" s="1" t="s">
        <v>329</v>
      </c>
      <c r="I1773" s="1" t="str">
        <f>IFERROR(__xludf.DUMMYFUNCTION("REGEXREPLACE(MID(H1773, SEARCH(""["", H1773) + 1, SEARCH(""]"", H1773) - SEARCH(""["", H1773) - 1), ""\[\]"","""")"),"The Woodlands HS")</f>
        <v>The Woodlands HS</v>
      </c>
      <c r="J1773" s="1">
        <v>0.0</v>
      </c>
      <c r="K1773" s="1">
        <v>0.0</v>
      </c>
    </row>
    <row r="1774">
      <c r="A1774" s="1">
        <v>2.0</v>
      </c>
      <c r="B1774" s="1">
        <v>8.0</v>
      </c>
      <c r="C1774" s="1">
        <v>0.0</v>
      </c>
      <c r="D1774" s="1">
        <v>0.0</v>
      </c>
      <c r="E1774" s="1">
        <v>0.0</v>
      </c>
      <c r="F1774" s="1">
        <v>0.0</v>
      </c>
      <c r="G1774" s="2">
        <v>0.0</v>
      </c>
      <c r="H1774" s="1" t="s">
        <v>330</v>
      </c>
      <c r="I1774" s="1" t="str">
        <f>IFERROR(__xludf.DUMMYFUNCTION("REGEXREPLACE(MID(H1774, SEARCH(""["", H1774) + 1, SEARCH(""]"", H1774) - SEARCH(""["", H1774) - 1), ""\[\]"","""")"),"The Woodlands HS")</f>
        <v>The Woodlands HS</v>
      </c>
      <c r="J1774" s="1">
        <v>0.0</v>
      </c>
      <c r="K1774" s="1">
        <v>0.0</v>
      </c>
    </row>
    <row r="1775">
      <c r="A1775" s="1">
        <v>3.0</v>
      </c>
      <c r="B1775" s="1">
        <v>12.0</v>
      </c>
      <c r="C1775" s="1">
        <v>1.0</v>
      </c>
      <c r="D1775" s="1">
        <v>1.33</v>
      </c>
      <c r="E1775" s="1">
        <v>0.0</v>
      </c>
      <c r="F1775" s="1">
        <v>0.0</v>
      </c>
      <c r="G1775" s="2">
        <v>1.0</v>
      </c>
      <c r="H1775" s="1" t="s">
        <v>330</v>
      </c>
      <c r="I1775" s="1" t="str">
        <f>IFERROR(__xludf.DUMMYFUNCTION("REGEXREPLACE(MID(H1775, SEARCH(""["", H1775) + 1, SEARCH(""]"", H1775) - SEARCH(""["", H1775) - 1), ""\[\]"","""")"),"The Woodlands HS")</f>
        <v>The Woodlands HS</v>
      </c>
      <c r="J1775" s="1">
        <v>4.0</v>
      </c>
      <c r="K1775" s="1">
        <v>0.0</v>
      </c>
    </row>
    <row r="1776">
      <c r="A1776" s="1">
        <v>2.0</v>
      </c>
      <c r="B1776" s="1">
        <v>8.0</v>
      </c>
      <c r="C1776" s="1">
        <v>5.0</v>
      </c>
      <c r="D1776" s="1">
        <v>6.0</v>
      </c>
      <c r="E1776" s="1">
        <v>0.0</v>
      </c>
      <c r="F1776" s="1">
        <v>0.0</v>
      </c>
      <c r="G1776" s="2">
        <v>0.6</v>
      </c>
      <c r="H1776" s="1" t="s">
        <v>331</v>
      </c>
      <c r="I1776" s="1" t="str">
        <f>IFERROR(__xludf.DUMMYFUNCTION("REGEXREPLACE(MID(H1776, SEARCH(""["", H1776) + 1, SEARCH(""]"", H1776) - SEARCH(""["", H1776) - 1), ""\[\]"","""")"),"The Woodlands HS")</f>
        <v>The Woodlands HS</v>
      </c>
      <c r="J1776" s="1">
        <v>12.0</v>
      </c>
      <c r="K1776" s="1">
        <v>0.0</v>
      </c>
    </row>
    <row r="1777">
      <c r="A1777" s="1">
        <v>2.0</v>
      </c>
      <c r="B1777" s="1">
        <v>8.0</v>
      </c>
      <c r="C1777" s="1">
        <v>2.0</v>
      </c>
      <c r="D1777" s="1">
        <v>0.0</v>
      </c>
      <c r="E1777" s="1">
        <v>0.0</v>
      </c>
      <c r="F1777" s="1">
        <v>0.0</v>
      </c>
      <c r="G1777" s="2">
        <v>0.0</v>
      </c>
      <c r="H1777" s="1" t="s">
        <v>331</v>
      </c>
      <c r="I1777" s="1" t="str">
        <f>IFERROR(__xludf.DUMMYFUNCTION("REGEXREPLACE(MID(H1777, SEARCH(""["", H1777) + 1, SEARCH(""]"", H1777) - SEARCH(""["", H1777) - 1), ""\[\]"","""")"),"The Woodlands HS")</f>
        <v>The Woodlands HS</v>
      </c>
      <c r="J1777" s="1">
        <v>0.0</v>
      </c>
      <c r="K1777" s="1">
        <v>0.0</v>
      </c>
    </row>
    <row r="1778">
      <c r="A1778" s="1">
        <v>1.0</v>
      </c>
      <c r="B1778" s="1">
        <v>4.0</v>
      </c>
      <c r="C1778" s="1">
        <v>0.0</v>
      </c>
      <c r="D1778" s="1">
        <v>0.0</v>
      </c>
      <c r="E1778" s="1">
        <v>0.0</v>
      </c>
      <c r="F1778" s="1">
        <v>0.0</v>
      </c>
      <c r="G1778" s="2">
        <v>0.0</v>
      </c>
      <c r="H1778" s="1" t="s">
        <v>332</v>
      </c>
      <c r="I1778" s="1" t="str">
        <f>IFERROR(__xludf.DUMMYFUNCTION("REGEXREPLACE(MID(H1778, SEARCH(""["", H1778) + 1, SEARCH(""]"", H1778) - SEARCH(""["", H1778) - 1), ""\[\]"","""")"),"The Woodlands HS")</f>
        <v>The Woodlands HS</v>
      </c>
      <c r="J1778" s="1">
        <v>0.0</v>
      </c>
      <c r="K1778" s="1">
        <v>0.0</v>
      </c>
    </row>
    <row r="1779">
      <c r="A1779" s="1">
        <v>1.0</v>
      </c>
      <c r="B1779" s="1">
        <v>4.0</v>
      </c>
      <c r="C1779" s="1">
        <v>0.0</v>
      </c>
      <c r="D1779" s="1">
        <v>0.0</v>
      </c>
      <c r="E1779" s="1">
        <v>0.0</v>
      </c>
      <c r="F1779" s="1">
        <v>0.0</v>
      </c>
      <c r="G1779" s="2">
        <v>0.0</v>
      </c>
      <c r="H1779" s="1" t="s">
        <v>332</v>
      </c>
      <c r="I1779" s="1" t="str">
        <f>IFERROR(__xludf.DUMMYFUNCTION("REGEXREPLACE(MID(H1779, SEARCH(""["", H1779) + 1, SEARCH(""]"", H1779) - SEARCH(""["", H1779) - 1), ""\[\]"","""")"),"The Woodlands HS")</f>
        <v>The Woodlands HS</v>
      </c>
      <c r="J1779" s="1">
        <v>0.0</v>
      </c>
      <c r="K1779" s="1">
        <v>0.0</v>
      </c>
    </row>
    <row r="1780">
      <c r="A1780" s="1">
        <v>1.0</v>
      </c>
      <c r="B1780" s="1">
        <v>4.0</v>
      </c>
      <c r="C1780" s="1">
        <v>0.0</v>
      </c>
      <c r="D1780" s="1">
        <v>0.0</v>
      </c>
      <c r="E1780" s="1">
        <v>0.0</v>
      </c>
      <c r="F1780" s="1">
        <v>0.0</v>
      </c>
      <c r="G1780" s="2">
        <v>0.0</v>
      </c>
      <c r="H1780" s="1" t="s">
        <v>333</v>
      </c>
      <c r="I1780" s="1" t="str">
        <f>IFERROR(__xludf.DUMMYFUNCTION("REGEXREPLACE(MID(H1780, SEARCH(""["", H1780) + 1, SEARCH(""]"", H1780) - SEARCH(""["", H1780) - 1), ""\[\]"","""")"),"Timberline")</f>
        <v>Timberline</v>
      </c>
      <c r="J1780" s="1">
        <v>0.0</v>
      </c>
      <c r="K1780" s="1">
        <v>0.0</v>
      </c>
    </row>
    <row r="1781">
      <c r="A1781" s="1">
        <v>3.0</v>
      </c>
      <c r="B1781" s="1">
        <v>11.0</v>
      </c>
      <c r="C1781" s="1">
        <v>0.0</v>
      </c>
      <c r="D1781" s="1">
        <v>0.0</v>
      </c>
      <c r="E1781" s="1">
        <v>0.0</v>
      </c>
      <c r="F1781" s="1">
        <v>0.0</v>
      </c>
      <c r="G1781" s="2">
        <v>0.0</v>
      </c>
      <c r="H1781" s="1" t="s">
        <v>333</v>
      </c>
      <c r="I1781" s="1" t="str">
        <f>IFERROR(__xludf.DUMMYFUNCTION("REGEXREPLACE(MID(H1781, SEARCH(""["", H1781) + 1, SEARCH(""]"", H1781) - SEARCH(""["", H1781) - 1), ""\[\]"","""")"),"Timberline")</f>
        <v>Timberline</v>
      </c>
      <c r="J1781" s="1">
        <v>0.0</v>
      </c>
      <c r="K1781" s="1">
        <v>0.0</v>
      </c>
    </row>
    <row r="1782">
      <c r="A1782" s="1">
        <v>3.0</v>
      </c>
      <c r="B1782" s="1">
        <v>11.0</v>
      </c>
      <c r="C1782" s="1">
        <v>0.0</v>
      </c>
      <c r="D1782" s="1">
        <v>0.0</v>
      </c>
      <c r="E1782" s="1">
        <v>0.0</v>
      </c>
      <c r="F1782" s="1">
        <v>0.0</v>
      </c>
      <c r="G1782" s="2">
        <v>0.0</v>
      </c>
      <c r="H1782" s="1" t="s">
        <v>324</v>
      </c>
      <c r="I1782" s="1" t="str">
        <f>IFERROR(__xludf.DUMMYFUNCTION("REGEXREPLACE(MID(H1782, SEARCH(""["", H1782) + 1, SEARCH(""]"", H1782) - SEARCH(""["", H1782) - 1), ""\[\]"","""")"),"Timberline")</f>
        <v>Timberline</v>
      </c>
      <c r="J1782" s="1">
        <v>0.0</v>
      </c>
      <c r="K1782" s="1">
        <v>0.0</v>
      </c>
    </row>
    <row r="1783">
      <c r="A1783" s="1">
        <v>1.0</v>
      </c>
      <c r="B1783" s="1">
        <v>4.0</v>
      </c>
      <c r="C1783" s="1">
        <v>2.0</v>
      </c>
      <c r="D1783" s="1">
        <v>4.0</v>
      </c>
      <c r="E1783" s="1">
        <v>0.0</v>
      </c>
      <c r="F1783" s="1">
        <v>0.0</v>
      </c>
      <c r="G1783" s="2">
        <v>0.5</v>
      </c>
      <c r="H1783" s="1" t="s">
        <v>324</v>
      </c>
      <c r="I1783" s="1" t="str">
        <f>IFERROR(__xludf.DUMMYFUNCTION("REGEXREPLACE(MID(H1783, SEARCH(""["", H1783) + 1, SEARCH(""]"", H1783) - SEARCH(""["", H1783) - 1), ""\[\]"","""")"),"Timberline")</f>
        <v>Timberline</v>
      </c>
      <c r="J1783" s="1">
        <v>4.0</v>
      </c>
      <c r="K1783" s="1">
        <v>0.0</v>
      </c>
    </row>
    <row r="1784">
      <c r="A1784" s="1">
        <v>4.0</v>
      </c>
      <c r="B1784" s="1">
        <v>15.0</v>
      </c>
      <c r="C1784" s="1">
        <v>0.0</v>
      </c>
      <c r="D1784" s="1">
        <v>0.0</v>
      </c>
      <c r="E1784" s="1">
        <v>0.0</v>
      </c>
      <c r="F1784" s="1">
        <v>0.0</v>
      </c>
      <c r="G1784" s="2">
        <v>0.0</v>
      </c>
      <c r="H1784" s="1" t="s">
        <v>186</v>
      </c>
      <c r="I1784" s="1" t="str">
        <f>IFERROR(__xludf.DUMMYFUNCTION("REGEXREPLACE(MID(H1784, SEARCH(""["", H1784) + 1, SEARCH(""]"", H1784) - SEARCH(""["", H1784) - 1), ""\[\]"","""")"),"Timberline")</f>
        <v>Timberline</v>
      </c>
      <c r="J1784" s="1">
        <v>0.0</v>
      </c>
      <c r="K1784" s="1">
        <v>0.0</v>
      </c>
    </row>
    <row r="1785">
      <c r="A1785" s="1">
        <v>1.0</v>
      </c>
      <c r="B1785" s="1">
        <v>4.0</v>
      </c>
      <c r="C1785" s="1">
        <v>1.0</v>
      </c>
      <c r="D1785" s="1">
        <v>4.0</v>
      </c>
      <c r="E1785" s="1">
        <v>0.0</v>
      </c>
      <c r="F1785" s="1">
        <v>0.0</v>
      </c>
      <c r="G1785" s="2">
        <v>1.0</v>
      </c>
      <c r="H1785" s="1" t="s">
        <v>186</v>
      </c>
      <c r="I1785" s="1" t="str">
        <f>IFERROR(__xludf.DUMMYFUNCTION("REGEXREPLACE(MID(H1785, SEARCH(""["", H1785) + 1, SEARCH(""]"", H1785) - SEARCH(""["", H1785) - 1), ""\[\]"","""")"),"Timberline")</f>
        <v>Timberline</v>
      </c>
      <c r="J1785" s="1">
        <v>4.0</v>
      </c>
      <c r="K1785" s="1">
        <v>0.0</v>
      </c>
    </row>
    <row r="1786">
      <c r="A1786" s="1">
        <v>4.0</v>
      </c>
      <c r="B1786" s="1">
        <v>15.0</v>
      </c>
      <c r="C1786" s="1">
        <v>11.0</v>
      </c>
      <c r="D1786" s="1">
        <v>4.0</v>
      </c>
      <c r="E1786" s="1">
        <v>0.5</v>
      </c>
      <c r="F1786" s="1">
        <v>0.0</v>
      </c>
      <c r="G1786" s="6">
        <v>0.545</v>
      </c>
      <c r="H1786" s="1" t="s">
        <v>157</v>
      </c>
      <c r="I1786" s="1" t="str">
        <f>IFERROR(__xludf.DUMMYFUNCTION("REGEXREPLACE(MID(H1786, SEARCH(""["", H1786) + 1, SEARCH(""]"", H1786) - SEARCH(""["", H1786) - 1), ""\[\]"","""")"),"Timberline")</f>
        <v>Timberline</v>
      </c>
      <c r="J1786" s="1">
        <v>16.0</v>
      </c>
      <c r="K1786" s="1">
        <v>2.0</v>
      </c>
    </row>
    <row r="1787">
      <c r="A1787" s="1">
        <v>1.0</v>
      </c>
      <c r="B1787" s="1">
        <v>4.0</v>
      </c>
      <c r="C1787" s="1">
        <v>1.0</v>
      </c>
      <c r="D1787" s="1">
        <v>0.0</v>
      </c>
      <c r="E1787" s="1">
        <v>0.0</v>
      </c>
      <c r="F1787" s="1">
        <v>0.0</v>
      </c>
      <c r="G1787" s="2">
        <v>0.0</v>
      </c>
      <c r="H1787" s="1" t="s">
        <v>157</v>
      </c>
      <c r="I1787" s="1" t="str">
        <f>IFERROR(__xludf.DUMMYFUNCTION("REGEXREPLACE(MID(H1787, SEARCH(""["", H1787) + 1, SEARCH(""]"", H1787) - SEARCH(""["", H1787) - 1), ""\[\]"","""")"),"Timberline")</f>
        <v>Timberline</v>
      </c>
      <c r="J1787" s="1">
        <v>0.0</v>
      </c>
      <c r="K1787" s="1">
        <v>0.0</v>
      </c>
    </row>
    <row r="1788">
      <c r="A1788" s="1">
        <v>5.0</v>
      </c>
      <c r="B1788" s="1">
        <v>20.0</v>
      </c>
      <c r="C1788" s="1">
        <v>9.0</v>
      </c>
      <c r="D1788" s="1">
        <v>1.6</v>
      </c>
      <c r="E1788" s="1">
        <v>0.4</v>
      </c>
      <c r="F1788" s="1">
        <v>0.0</v>
      </c>
      <c r="G1788" s="6">
        <v>0.444</v>
      </c>
      <c r="H1788" s="1" t="s">
        <v>155</v>
      </c>
      <c r="I1788" s="1" t="str">
        <f>IFERROR(__xludf.DUMMYFUNCTION("REGEXREPLACE(MID(H1788, SEARCH(""["", H1788) + 1, SEARCH(""]"", H1788) - SEARCH(""["", H1788) - 1), ""\[\]"","""")"),"TJ")</f>
        <v>TJ</v>
      </c>
      <c r="J1788" s="1">
        <v>8.0</v>
      </c>
      <c r="K1788" s="1">
        <v>2.0</v>
      </c>
    </row>
    <row r="1789">
      <c r="A1789" s="1">
        <v>5.0</v>
      </c>
      <c r="B1789" s="1">
        <v>20.0</v>
      </c>
      <c r="C1789" s="1">
        <v>7.0</v>
      </c>
      <c r="D1789" s="1">
        <v>3.2</v>
      </c>
      <c r="E1789" s="1">
        <v>0.2</v>
      </c>
      <c r="F1789" s="1">
        <v>0.0</v>
      </c>
      <c r="G1789" s="6">
        <v>0.714</v>
      </c>
      <c r="H1789" s="1" t="s">
        <v>212</v>
      </c>
      <c r="I1789" s="1" t="str">
        <f>IFERROR(__xludf.DUMMYFUNCTION("REGEXREPLACE(MID(H1789, SEARCH(""["", H1789) + 1, SEARCH(""]"", H1789) - SEARCH(""["", H1789) - 1), ""\[\]"","""")"),"TJ")</f>
        <v>TJ</v>
      </c>
      <c r="J1789" s="1">
        <v>16.0</v>
      </c>
      <c r="K1789" s="1">
        <v>1.0</v>
      </c>
    </row>
    <row r="1790">
      <c r="A1790" s="1">
        <v>1.0</v>
      </c>
      <c r="B1790" s="1">
        <v>4.0</v>
      </c>
      <c r="C1790" s="1">
        <v>0.0</v>
      </c>
      <c r="D1790" s="1">
        <v>0.0</v>
      </c>
      <c r="E1790" s="1">
        <v>0.0</v>
      </c>
      <c r="F1790" s="1">
        <v>0.0</v>
      </c>
      <c r="G1790" s="2">
        <v>0.0</v>
      </c>
      <c r="H1790" s="1" t="s">
        <v>334</v>
      </c>
      <c r="I1790" s="1" t="str">
        <f>IFERROR(__xludf.DUMMYFUNCTION("REGEXREPLACE(MID(H1790, SEARCH(""["", H1790) + 1, SEARCH(""]"", H1790) - SEARCH(""["", H1790) - 1), ""\[\]"","""")"),"TJ")</f>
        <v>TJ</v>
      </c>
      <c r="J1790" s="1">
        <v>0.0</v>
      </c>
      <c r="K1790" s="1">
        <v>0.0</v>
      </c>
    </row>
    <row r="1791">
      <c r="A1791" s="1">
        <v>5.0</v>
      </c>
      <c r="B1791" s="1">
        <v>20.0</v>
      </c>
      <c r="C1791" s="1">
        <v>0.0</v>
      </c>
      <c r="D1791" s="1">
        <v>0.0</v>
      </c>
      <c r="E1791" s="1">
        <v>0.0</v>
      </c>
      <c r="F1791" s="1">
        <v>0.0</v>
      </c>
      <c r="G1791" s="2">
        <v>0.0</v>
      </c>
      <c r="H1791" s="1" t="s">
        <v>215</v>
      </c>
      <c r="I1791" s="1" t="str">
        <f>IFERROR(__xludf.DUMMYFUNCTION("REGEXREPLACE(MID(H1791, SEARCH(""["", H1791) + 1, SEARCH(""]"", H1791) - SEARCH(""["", H1791) - 1), ""\[\]"","""")"),"TJ")</f>
        <v>TJ</v>
      </c>
      <c r="J1791" s="1">
        <v>0.0</v>
      </c>
      <c r="K1791" s="1">
        <v>0.0</v>
      </c>
    </row>
    <row r="1792">
      <c r="A1792" s="1">
        <v>2.0</v>
      </c>
      <c r="B1792" s="1">
        <v>8.0</v>
      </c>
      <c r="C1792" s="1">
        <v>0.0</v>
      </c>
      <c r="D1792" s="1">
        <v>0.0</v>
      </c>
      <c r="E1792" s="1">
        <v>0.0</v>
      </c>
      <c r="F1792" s="1">
        <v>0.0</v>
      </c>
      <c r="G1792" s="2">
        <v>0.0</v>
      </c>
      <c r="H1792" s="1" t="s">
        <v>168</v>
      </c>
      <c r="I1792" s="1" t="str">
        <f>IFERROR(__xludf.DUMMYFUNCTION("REGEXREPLACE(MID(H1792, SEARCH(""["", H1792) + 1, SEARCH(""]"", H1792) - SEARCH(""["", H1792) - 1), ""\[\]"","""")"),"University")</f>
        <v>University</v>
      </c>
      <c r="J1792" s="1">
        <v>0.0</v>
      </c>
      <c r="K1792" s="1">
        <v>0.0</v>
      </c>
    </row>
    <row r="1793">
      <c r="A1793" s="1">
        <v>3.0</v>
      </c>
      <c r="B1793" s="1">
        <v>11.0</v>
      </c>
      <c r="C1793" s="1">
        <v>0.0</v>
      </c>
      <c r="D1793" s="1">
        <v>0.0</v>
      </c>
      <c r="E1793" s="1">
        <v>0.0</v>
      </c>
      <c r="F1793" s="1">
        <v>0.0</v>
      </c>
      <c r="G1793" s="2">
        <v>0.0</v>
      </c>
      <c r="H1793" s="1" t="s">
        <v>168</v>
      </c>
      <c r="I1793" s="1" t="str">
        <f>IFERROR(__xludf.DUMMYFUNCTION("REGEXREPLACE(MID(H1793, SEARCH(""["", H1793) + 1, SEARCH(""]"", H1793) - SEARCH(""["", H1793) - 1), ""\[\]"","""")"),"University")</f>
        <v>University</v>
      </c>
      <c r="J1793" s="1">
        <v>0.0</v>
      </c>
      <c r="K1793" s="1">
        <v>0.0</v>
      </c>
    </row>
    <row r="1794">
      <c r="A1794" s="1">
        <v>1.0</v>
      </c>
      <c r="B1794" s="1">
        <v>4.0</v>
      </c>
      <c r="C1794" s="1">
        <v>3.0</v>
      </c>
      <c r="D1794" s="1">
        <v>12.0</v>
      </c>
      <c r="E1794" s="1">
        <v>0.0</v>
      </c>
      <c r="F1794" s="1">
        <v>0.0</v>
      </c>
      <c r="G1794" s="2">
        <v>1.0</v>
      </c>
      <c r="H1794" s="1" t="s">
        <v>113</v>
      </c>
      <c r="I1794" s="1" t="str">
        <f>IFERROR(__xludf.DUMMYFUNCTION("REGEXREPLACE(MID(H1794, SEARCH(""["", H1794) + 1, SEARCH(""]"", H1794) - SEARCH(""["", H1794) - 1), ""\[\]"","""")"),"University")</f>
        <v>University</v>
      </c>
      <c r="J1794" s="1">
        <v>12.0</v>
      </c>
      <c r="K1794" s="1">
        <v>0.0</v>
      </c>
    </row>
    <row r="1795">
      <c r="A1795" s="1">
        <v>1.0</v>
      </c>
      <c r="B1795" s="1">
        <v>4.0</v>
      </c>
      <c r="C1795" s="1">
        <v>3.0</v>
      </c>
      <c r="D1795" s="1">
        <v>12.0</v>
      </c>
      <c r="E1795" s="1">
        <v>0.0</v>
      </c>
      <c r="F1795" s="1">
        <v>0.0</v>
      </c>
      <c r="G1795" s="2">
        <v>1.0</v>
      </c>
      <c r="H1795" s="1" t="s">
        <v>113</v>
      </c>
      <c r="I1795" s="1" t="str">
        <f>IFERROR(__xludf.DUMMYFUNCTION("REGEXREPLACE(MID(H1795, SEARCH(""["", H1795) + 1, SEARCH(""]"", H1795) - SEARCH(""["", H1795) - 1), ""\[\]"","""")"),"University")</f>
        <v>University</v>
      </c>
      <c r="J1795" s="1">
        <v>12.0</v>
      </c>
      <c r="K1795" s="1">
        <v>0.0</v>
      </c>
    </row>
    <row r="1796">
      <c r="A1796" s="1">
        <v>3.0</v>
      </c>
      <c r="B1796" s="1">
        <v>11.0</v>
      </c>
      <c r="C1796" s="1">
        <v>8.0</v>
      </c>
      <c r="D1796" s="1">
        <v>1.33</v>
      </c>
      <c r="E1796" s="1">
        <v>0.67</v>
      </c>
      <c r="F1796" s="1">
        <v>0.0</v>
      </c>
      <c r="G1796" s="6">
        <v>0.375</v>
      </c>
      <c r="H1796" s="1" t="s">
        <v>113</v>
      </c>
      <c r="I1796" s="1" t="str">
        <f>IFERROR(__xludf.DUMMYFUNCTION("REGEXREPLACE(MID(H1796, SEARCH(""["", H1796) + 1, SEARCH(""]"", H1796) - SEARCH(""["", H1796) - 1), ""\[\]"","""")"),"University")</f>
        <v>University</v>
      </c>
      <c r="J1796" s="1">
        <v>4.0</v>
      </c>
      <c r="K1796" s="1">
        <v>2.0</v>
      </c>
    </row>
    <row r="1797">
      <c r="A1797" s="1">
        <v>1.0</v>
      </c>
      <c r="B1797" s="1">
        <v>4.0</v>
      </c>
      <c r="C1797" s="1">
        <v>0.0</v>
      </c>
      <c r="D1797" s="1">
        <v>0.0</v>
      </c>
      <c r="E1797" s="1">
        <v>0.0</v>
      </c>
      <c r="F1797" s="1">
        <v>0.0</v>
      </c>
      <c r="G1797" s="2">
        <v>0.0</v>
      </c>
      <c r="H1797" s="1" t="s">
        <v>335</v>
      </c>
      <c r="I1797" s="1" t="str">
        <f>IFERROR(__xludf.DUMMYFUNCTION("REGEXREPLACE(MID(H1797, SEARCH(""["", H1797) + 1, SEARCH(""]"", H1797) - SEARCH(""["", H1797) - 1), ""\[\]"","""")"),"University")</f>
        <v>University</v>
      </c>
      <c r="J1797" s="1">
        <v>0.0</v>
      </c>
      <c r="K1797" s="1">
        <v>0.0</v>
      </c>
    </row>
    <row r="1798">
      <c r="A1798" s="1">
        <v>2.0</v>
      </c>
      <c r="B1798" s="1">
        <v>8.0</v>
      </c>
      <c r="C1798" s="1">
        <v>0.0</v>
      </c>
      <c r="D1798" s="1">
        <v>0.0</v>
      </c>
      <c r="E1798" s="1">
        <v>0.0</v>
      </c>
      <c r="F1798" s="1">
        <v>0.0</v>
      </c>
      <c r="G1798" s="2">
        <v>0.0</v>
      </c>
      <c r="H1798" s="1" t="s">
        <v>335</v>
      </c>
      <c r="I1798" s="1" t="str">
        <f>IFERROR(__xludf.DUMMYFUNCTION("REGEXREPLACE(MID(H1798, SEARCH(""["", H1798) + 1, SEARCH(""]"", H1798) - SEARCH(""["", H1798) - 1), ""\[\]"","""")"),"University")</f>
        <v>University</v>
      </c>
      <c r="J1798" s="1">
        <v>0.0</v>
      </c>
      <c r="K1798" s="1">
        <v>0.0</v>
      </c>
    </row>
    <row r="1799">
      <c r="A1799" s="1">
        <v>1.0</v>
      </c>
      <c r="B1799" s="1">
        <v>4.0</v>
      </c>
      <c r="C1799" s="1">
        <v>0.0</v>
      </c>
      <c r="D1799" s="1">
        <v>0.0</v>
      </c>
      <c r="E1799" s="1">
        <v>0.0</v>
      </c>
      <c r="F1799" s="1">
        <v>0.0</v>
      </c>
      <c r="G1799" s="2">
        <v>0.0</v>
      </c>
      <c r="H1799" s="1" t="s">
        <v>336</v>
      </c>
      <c r="I1799" s="1" t="str">
        <f>IFERROR(__xludf.DUMMYFUNCTION("REGEXREPLACE(MID(H1799, SEARCH(""["", H1799) + 1, SEARCH(""]"", H1799) - SEARCH(""["", H1799) - 1), ""\[\]"","""")"),"University")</f>
        <v>University</v>
      </c>
      <c r="J1799" s="1">
        <v>0.0</v>
      </c>
      <c r="K1799" s="1">
        <v>0.0</v>
      </c>
    </row>
    <row r="1800">
      <c r="A1800" s="1">
        <v>1.0</v>
      </c>
      <c r="B1800" s="1">
        <v>4.0</v>
      </c>
      <c r="C1800" s="1">
        <v>0.0</v>
      </c>
      <c r="D1800" s="1">
        <v>0.0</v>
      </c>
      <c r="E1800" s="1">
        <v>0.0</v>
      </c>
      <c r="F1800" s="1">
        <v>0.0</v>
      </c>
      <c r="G1800" s="2">
        <v>0.0</v>
      </c>
      <c r="H1800" s="1" t="s">
        <v>336</v>
      </c>
      <c r="I1800" s="1" t="str">
        <f>IFERROR(__xludf.DUMMYFUNCTION("REGEXREPLACE(MID(H1800, SEARCH(""["", H1800) + 1, SEARCH(""]"", H1800) - SEARCH(""["", H1800) - 1), ""\[\]"","""")"),"University")</f>
        <v>University</v>
      </c>
      <c r="J1800" s="1">
        <v>0.0</v>
      </c>
      <c r="K1800" s="1">
        <v>0.0</v>
      </c>
    </row>
    <row r="1801">
      <c r="A1801" s="1">
        <v>2.0</v>
      </c>
      <c r="B1801" s="1">
        <v>8.0</v>
      </c>
      <c r="C1801" s="1">
        <v>1.0</v>
      </c>
      <c r="D1801" s="1">
        <v>2.0</v>
      </c>
      <c r="E1801" s="1">
        <v>0.0</v>
      </c>
      <c r="F1801" s="1">
        <v>0.0</v>
      </c>
      <c r="G1801" s="2">
        <v>1.0</v>
      </c>
      <c r="H1801" s="1" t="s">
        <v>337</v>
      </c>
      <c r="I1801" s="1" t="str">
        <f>IFERROR(__xludf.DUMMYFUNCTION("REGEXREPLACE(MID(H1801, SEARCH(""["", H1801) + 1, SEARCH(""]"", H1801) - SEARCH(""["", H1801) - 1), ""\[\]"","""")"),"University")</f>
        <v>University</v>
      </c>
      <c r="J1801" s="1">
        <v>4.0</v>
      </c>
      <c r="K1801" s="1">
        <v>0.0</v>
      </c>
    </row>
    <row r="1802">
      <c r="A1802" s="1">
        <v>3.0</v>
      </c>
      <c r="B1802" s="1">
        <v>11.0</v>
      </c>
      <c r="C1802" s="1">
        <v>0.0</v>
      </c>
      <c r="D1802" s="1">
        <v>0.0</v>
      </c>
      <c r="E1802" s="1">
        <v>0.0</v>
      </c>
      <c r="F1802" s="1">
        <v>0.0</v>
      </c>
      <c r="G1802" s="2">
        <v>0.0</v>
      </c>
      <c r="H1802" s="1" t="s">
        <v>337</v>
      </c>
      <c r="I1802" s="1" t="str">
        <f>IFERROR(__xludf.DUMMYFUNCTION("REGEXREPLACE(MID(H1802, SEARCH(""["", H1802) + 1, SEARCH(""]"", H1802) - SEARCH(""["", H1802) - 1), ""\[\]"","""")"),"University")</f>
        <v>University</v>
      </c>
      <c r="J1802" s="1">
        <v>0.0</v>
      </c>
      <c r="K1802" s="1">
        <v>0.0</v>
      </c>
    </row>
    <row r="1803">
      <c r="A1803" s="1">
        <v>4.0</v>
      </c>
      <c r="B1803" s="1">
        <v>14.0</v>
      </c>
      <c r="C1803" s="1">
        <v>4.0</v>
      </c>
      <c r="D1803" s="1">
        <v>1.0</v>
      </c>
      <c r="E1803" s="1">
        <v>0.0</v>
      </c>
      <c r="F1803" s="1">
        <v>0.0</v>
      </c>
      <c r="G1803" s="2">
        <v>0.25</v>
      </c>
      <c r="H1803" s="1" t="s">
        <v>299</v>
      </c>
      <c r="I1803" s="1" t="str">
        <f>IFERROR(__xludf.DUMMYFUNCTION("REGEXREPLACE(MID(H1803, SEARCH(""["", H1803) + 1, SEARCH(""]"", H1803) - SEARCH(""["", H1803) - 1), ""\[\]"","""")"),"Vancomycin")</f>
        <v>Vancomycin</v>
      </c>
      <c r="J1803" s="1">
        <v>4.0</v>
      </c>
      <c r="K1803" s="1">
        <v>0.0</v>
      </c>
    </row>
    <row r="1804">
      <c r="A1804" s="1">
        <v>1.0</v>
      </c>
      <c r="B1804" s="1">
        <v>3.0</v>
      </c>
      <c r="C1804" s="1">
        <v>1.0</v>
      </c>
      <c r="D1804" s="1">
        <v>4.0</v>
      </c>
      <c r="E1804" s="1">
        <v>0.0</v>
      </c>
      <c r="F1804" s="1">
        <v>0.0</v>
      </c>
      <c r="G1804" s="2">
        <v>1.0</v>
      </c>
      <c r="H1804" s="1" t="s">
        <v>256</v>
      </c>
      <c r="I1804" s="1" t="str">
        <f>IFERROR(__xludf.DUMMYFUNCTION("REGEXREPLACE(MID(H1804, SEARCH(""["", H1804) + 1, SEARCH(""]"", H1804) - SEARCH(""["", H1804) - 1), ""\[\]"","""")"),"Vancomycin")</f>
        <v>Vancomycin</v>
      </c>
      <c r="J1804" s="1">
        <v>4.0</v>
      </c>
      <c r="K1804" s="1">
        <v>0.0</v>
      </c>
    </row>
    <row r="1805">
      <c r="A1805" s="1">
        <v>1.0</v>
      </c>
      <c r="B1805" s="1">
        <v>3.0</v>
      </c>
      <c r="C1805" s="1">
        <v>0.0</v>
      </c>
      <c r="D1805" s="1">
        <v>0.0</v>
      </c>
      <c r="E1805" s="1">
        <v>0.0</v>
      </c>
      <c r="F1805" s="1">
        <v>0.0</v>
      </c>
      <c r="G1805" s="2">
        <v>0.0</v>
      </c>
      <c r="H1805" s="1" t="s">
        <v>216</v>
      </c>
      <c r="I1805" s="1" t="str">
        <f>IFERROR(__xludf.DUMMYFUNCTION("REGEXREPLACE(MID(H1805, SEARCH(""["", H1805) + 1, SEARCH(""]"", H1805) - SEARCH(""["", H1805) - 1), ""\[\]"","""")"),"Vancomycin")</f>
        <v>Vancomycin</v>
      </c>
      <c r="J1805" s="1">
        <v>0.0</v>
      </c>
      <c r="K1805" s="1">
        <v>0.0</v>
      </c>
    </row>
    <row r="1806">
      <c r="A1806" s="1">
        <v>1.0</v>
      </c>
      <c r="B1806" s="1">
        <v>4.0</v>
      </c>
      <c r="C1806" s="1">
        <v>0.0</v>
      </c>
      <c r="D1806" s="1">
        <v>0.0</v>
      </c>
      <c r="E1806" s="1">
        <v>0.0</v>
      </c>
      <c r="F1806" s="1">
        <v>0.0</v>
      </c>
      <c r="G1806" s="2">
        <v>0.0</v>
      </c>
      <c r="H1806" s="1" t="s">
        <v>216</v>
      </c>
      <c r="I1806" s="1" t="str">
        <f>IFERROR(__xludf.DUMMYFUNCTION("REGEXREPLACE(MID(H1806, SEARCH(""["", H1806) + 1, SEARCH(""]"", H1806) - SEARCH(""["", H1806) - 1), ""\[\]"","""")"),"Vancomycin")</f>
        <v>Vancomycin</v>
      </c>
      <c r="J1806" s="1">
        <v>0.0</v>
      </c>
      <c r="K1806" s="1">
        <v>0.0</v>
      </c>
    </row>
    <row r="1807">
      <c r="A1807" s="1">
        <v>3.0</v>
      </c>
      <c r="B1807" s="1">
        <v>10.0</v>
      </c>
      <c r="C1807" s="1">
        <v>6.0</v>
      </c>
      <c r="D1807" s="1">
        <v>1.33</v>
      </c>
      <c r="E1807" s="1">
        <v>0.33</v>
      </c>
      <c r="F1807" s="1">
        <v>0.0</v>
      </c>
      <c r="G1807" s="6">
        <v>0.333</v>
      </c>
      <c r="H1807" s="1" t="s">
        <v>216</v>
      </c>
      <c r="I1807" s="1" t="str">
        <f>IFERROR(__xludf.DUMMYFUNCTION("REGEXREPLACE(MID(H1807, SEARCH(""["", H1807) + 1, SEARCH(""]"", H1807) - SEARCH(""["", H1807) - 1), ""\[\]"","""")"),"Vancomycin")</f>
        <v>Vancomycin</v>
      </c>
      <c r="J1807" s="1">
        <v>4.0</v>
      </c>
      <c r="K1807" s="1">
        <v>1.0</v>
      </c>
    </row>
    <row r="1808">
      <c r="A1808" s="1">
        <v>1.0</v>
      </c>
      <c r="B1808" s="1">
        <v>4.0</v>
      </c>
      <c r="C1808" s="1">
        <v>0.0</v>
      </c>
      <c r="D1808" s="1">
        <v>0.0</v>
      </c>
      <c r="E1808" s="1">
        <v>0.0</v>
      </c>
      <c r="F1808" s="1">
        <v>0.0</v>
      </c>
      <c r="G1808" s="2">
        <v>0.0</v>
      </c>
      <c r="H1808" s="1" t="s">
        <v>338</v>
      </c>
      <c r="I1808" s="1" t="str">
        <f>IFERROR(__xludf.DUMMYFUNCTION("REGEXREPLACE(MID(H1808, SEARCH(""["", H1808) + 1, SEARCH(""]"", H1808) - SEARCH(""["", H1808) - 1), ""\[\]"","""")"),"VMATHs")</f>
        <v>VMATHs</v>
      </c>
      <c r="J1808" s="1">
        <v>0.0</v>
      </c>
      <c r="K1808" s="1">
        <v>0.0</v>
      </c>
    </row>
    <row r="1809">
      <c r="A1809" s="1">
        <v>1.0</v>
      </c>
      <c r="B1809" s="1">
        <v>4.0</v>
      </c>
      <c r="C1809" s="1">
        <v>0.0</v>
      </c>
      <c r="D1809" s="1">
        <v>0.0</v>
      </c>
      <c r="E1809" s="1">
        <v>0.0</v>
      </c>
      <c r="F1809" s="1">
        <v>0.0</v>
      </c>
      <c r="G1809" s="2">
        <v>0.0</v>
      </c>
      <c r="H1809" s="1" t="s">
        <v>338</v>
      </c>
      <c r="I1809" s="1" t="str">
        <f>IFERROR(__xludf.DUMMYFUNCTION("REGEXREPLACE(MID(H1809, SEARCH(""["", H1809) + 1, SEARCH(""]"", H1809) - SEARCH(""["", H1809) - 1), ""\[\]"","""")"),"VMATHs")</f>
        <v>VMATHs</v>
      </c>
      <c r="J1809" s="1">
        <v>0.0</v>
      </c>
      <c r="K1809" s="1">
        <v>0.0</v>
      </c>
    </row>
    <row r="1810">
      <c r="A1810" s="1">
        <v>1.0</v>
      </c>
      <c r="B1810" s="1">
        <v>4.0</v>
      </c>
      <c r="C1810" s="1">
        <v>1.0</v>
      </c>
      <c r="D1810" s="1">
        <v>4.0</v>
      </c>
      <c r="E1810" s="1">
        <v>0.0</v>
      </c>
      <c r="F1810" s="1">
        <v>0.0</v>
      </c>
      <c r="G1810" s="2">
        <v>1.0</v>
      </c>
      <c r="H1810" s="1" t="s">
        <v>339</v>
      </c>
      <c r="I1810" s="1" t="str">
        <f>IFERROR(__xludf.DUMMYFUNCTION("REGEXREPLACE(MID(H1810, SEARCH(""["", H1810) + 1, SEARCH(""]"", H1810) - SEARCH(""["", H1810) - 1), ""\[\]"","""")"),"VMATHs")</f>
        <v>VMATHs</v>
      </c>
      <c r="J1810" s="1">
        <v>4.0</v>
      </c>
      <c r="K1810" s="1">
        <v>0.0</v>
      </c>
    </row>
    <row r="1811">
      <c r="A1811" s="1">
        <v>1.0</v>
      </c>
      <c r="B1811" s="1">
        <v>4.0</v>
      </c>
      <c r="C1811" s="1">
        <v>1.0</v>
      </c>
      <c r="D1811" s="1">
        <v>4.0</v>
      </c>
      <c r="E1811" s="1">
        <v>0.0</v>
      </c>
      <c r="F1811" s="1">
        <v>0.0</v>
      </c>
      <c r="G1811" s="2">
        <v>1.0</v>
      </c>
      <c r="H1811" s="1" t="s">
        <v>83</v>
      </c>
      <c r="I1811" s="1" t="str">
        <f>IFERROR(__xludf.DUMMYFUNCTION("REGEXREPLACE(MID(H1811, SEARCH(""["", H1811) + 1, SEARCH(""]"", H1811) - SEARCH(""["", H1811) - 1), ""\[\]"","""")"),"VMATHs")</f>
        <v>VMATHs</v>
      </c>
      <c r="J1811" s="1">
        <v>4.0</v>
      </c>
      <c r="K1811" s="1">
        <v>0.0</v>
      </c>
    </row>
    <row r="1812">
      <c r="A1812" s="1">
        <v>2.0</v>
      </c>
      <c r="B1812" s="1">
        <v>8.0</v>
      </c>
      <c r="C1812" s="1">
        <v>5.0</v>
      </c>
      <c r="D1812" s="1">
        <v>4.0</v>
      </c>
      <c r="E1812" s="1">
        <v>0.0</v>
      </c>
      <c r="F1812" s="1">
        <v>0.0</v>
      </c>
      <c r="G1812" s="2">
        <v>0.4</v>
      </c>
      <c r="H1812" s="1" t="s">
        <v>83</v>
      </c>
      <c r="I1812" s="1" t="str">
        <f>IFERROR(__xludf.DUMMYFUNCTION("REGEXREPLACE(MID(H1812, SEARCH(""["", H1812) + 1, SEARCH(""]"", H1812) - SEARCH(""["", H1812) - 1), ""\[\]"","""")"),"VMATHs")</f>
        <v>VMATHs</v>
      </c>
      <c r="J1812" s="1">
        <v>8.0</v>
      </c>
      <c r="K1812" s="1">
        <v>0.0</v>
      </c>
    </row>
    <row r="1813">
      <c r="A1813" s="1">
        <v>1.0</v>
      </c>
      <c r="B1813" s="1">
        <v>4.0</v>
      </c>
      <c r="C1813" s="1">
        <v>1.0</v>
      </c>
      <c r="D1813" s="1">
        <v>0.0</v>
      </c>
      <c r="E1813" s="1">
        <v>0.0</v>
      </c>
      <c r="F1813" s="1">
        <v>0.0</v>
      </c>
      <c r="G1813" s="2">
        <v>0.0</v>
      </c>
      <c r="H1813" s="1" t="s">
        <v>340</v>
      </c>
      <c r="I1813" s="1" t="str">
        <f>IFERROR(__xludf.DUMMYFUNCTION("REGEXREPLACE(MID(H1813, SEARCH(""["", H1813) + 1, SEARCH(""]"", H1813) - SEARCH(""["", H1813) - 1), ""\[\]"","""")"),"VMATHs")</f>
        <v>VMATHs</v>
      </c>
      <c r="J1813" s="1">
        <v>0.0</v>
      </c>
      <c r="K1813" s="1">
        <v>0.0</v>
      </c>
    </row>
    <row r="1814">
      <c r="A1814" s="1">
        <v>1.0</v>
      </c>
      <c r="B1814" s="1">
        <v>4.0</v>
      </c>
      <c r="C1814" s="1">
        <v>0.0</v>
      </c>
      <c r="D1814" s="1">
        <v>0.0</v>
      </c>
      <c r="E1814" s="1">
        <v>0.0</v>
      </c>
      <c r="F1814" s="1">
        <v>0.0</v>
      </c>
      <c r="G1814" s="2">
        <v>0.0</v>
      </c>
      <c r="H1814" s="1" t="s">
        <v>340</v>
      </c>
      <c r="I1814" s="1" t="str">
        <f>IFERROR(__xludf.DUMMYFUNCTION("REGEXREPLACE(MID(H1814, SEARCH(""["", H1814) + 1, SEARCH(""]"", H1814) - SEARCH(""["", H1814) - 1), ""\[\]"","""")"),"VMATHs")</f>
        <v>VMATHs</v>
      </c>
      <c r="J1814" s="1">
        <v>0.0</v>
      </c>
      <c r="K1814" s="1">
        <v>0.0</v>
      </c>
    </row>
    <row r="1815">
      <c r="A1815" s="1">
        <v>3.0</v>
      </c>
      <c r="B1815" s="1">
        <v>11.0</v>
      </c>
      <c r="C1815" s="1">
        <v>0.0</v>
      </c>
      <c r="D1815" s="1">
        <v>0.0</v>
      </c>
      <c r="E1815" s="1">
        <v>0.0</v>
      </c>
      <c r="F1815" s="1">
        <v>0.0</v>
      </c>
      <c r="G1815" s="2">
        <v>0.0</v>
      </c>
      <c r="H1815" s="1" t="s">
        <v>258</v>
      </c>
      <c r="I1815" s="1" t="str">
        <f>IFERROR(__xludf.DUMMYFUNCTION("REGEXREPLACE(MID(H1815, SEARCH(""["", H1815) + 1, SEARCH(""]"", H1815) - SEARCH(""["", H1815) - 1), ""\[\]"","""")"),"Ward Melville 1")</f>
        <v>Ward Melville 1</v>
      </c>
      <c r="J1815" s="1">
        <v>0.0</v>
      </c>
      <c r="K1815" s="1">
        <v>0.0</v>
      </c>
    </row>
    <row r="1816">
      <c r="A1816" s="1">
        <v>1.0</v>
      </c>
      <c r="B1816" s="1">
        <v>4.0</v>
      </c>
      <c r="C1816" s="1">
        <v>0.0</v>
      </c>
      <c r="D1816" s="1">
        <v>0.0</v>
      </c>
      <c r="E1816" s="1">
        <v>0.0</v>
      </c>
      <c r="F1816" s="1">
        <v>0.0</v>
      </c>
      <c r="G1816" s="2">
        <v>0.0</v>
      </c>
      <c r="H1816" s="1" t="s">
        <v>301</v>
      </c>
      <c r="I1816" s="1" t="str">
        <f>IFERROR(__xludf.DUMMYFUNCTION("REGEXREPLACE(MID(H1816, SEARCH(""["", H1816) + 1, SEARCH(""]"", H1816) - SEARCH(""["", H1816) - 1), ""\[\]"","""")"),"Ward Melville 1")</f>
        <v>Ward Melville 1</v>
      </c>
      <c r="J1816" s="1">
        <v>0.0</v>
      </c>
      <c r="K1816" s="1">
        <v>0.0</v>
      </c>
    </row>
    <row r="1817">
      <c r="A1817" s="1">
        <v>1.0</v>
      </c>
      <c r="B1817" s="1">
        <v>4.0</v>
      </c>
      <c r="C1817" s="1">
        <v>0.0</v>
      </c>
      <c r="D1817" s="1">
        <v>0.0</v>
      </c>
      <c r="E1817" s="1">
        <v>0.0</v>
      </c>
      <c r="F1817" s="1">
        <v>0.0</v>
      </c>
      <c r="G1817" s="2">
        <v>0.0</v>
      </c>
      <c r="H1817" s="1" t="s">
        <v>301</v>
      </c>
      <c r="I1817" s="1" t="str">
        <f>IFERROR(__xludf.DUMMYFUNCTION("REGEXREPLACE(MID(H1817, SEARCH(""["", H1817) + 1, SEARCH(""]"", H1817) - SEARCH(""["", H1817) - 1), ""\[\]"","""")"),"Ward Melville 1")</f>
        <v>Ward Melville 1</v>
      </c>
      <c r="J1817" s="1">
        <v>0.0</v>
      </c>
      <c r="K1817" s="1">
        <v>0.0</v>
      </c>
    </row>
    <row r="1818">
      <c r="A1818" s="1">
        <v>2.0</v>
      </c>
      <c r="B1818" s="1">
        <v>7.0</v>
      </c>
      <c r="C1818" s="1">
        <v>6.0</v>
      </c>
      <c r="D1818" s="1">
        <v>10.0</v>
      </c>
      <c r="E1818" s="1">
        <v>0.0</v>
      </c>
      <c r="F1818" s="1">
        <v>0.0</v>
      </c>
      <c r="G1818" s="6">
        <v>0.833</v>
      </c>
      <c r="H1818" s="1" t="s">
        <v>87</v>
      </c>
      <c r="I1818" s="1" t="str">
        <f>IFERROR(__xludf.DUMMYFUNCTION("REGEXREPLACE(MID(H1818, SEARCH(""["", H1818) + 1, SEARCH(""]"", H1818) - SEARCH(""["", H1818) - 1), ""\[\]"","""")"),"Ward Melville 1")</f>
        <v>Ward Melville 1</v>
      </c>
      <c r="J1818" s="1">
        <v>20.0</v>
      </c>
      <c r="K1818" s="1">
        <v>0.0</v>
      </c>
    </row>
    <row r="1819">
      <c r="A1819" s="1">
        <v>1.0</v>
      </c>
      <c r="B1819" s="1">
        <v>4.0</v>
      </c>
      <c r="C1819" s="1">
        <v>2.0</v>
      </c>
      <c r="D1819" s="1">
        <v>8.0</v>
      </c>
      <c r="E1819" s="1">
        <v>0.0</v>
      </c>
      <c r="F1819" s="1">
        <v>0.0</v>
      </c>
      <c r="G1819" s="2">
        <v>1.0</v>
      </c>
      <c r="H1819" s="1" t="s">
        <v>87</v>
      </c>
      <c r="I1819" s="1" t="str">
        <f>IFERROR(__xludf.DUMMYFUNCTION("REGEXREPLACE(MID(H1819, SEARCH(""["", H1819) + 1, SEARCH(""]"", H1819) - SEARCH(""["", H1819) - 1), ""\[\]"","""")"),"Ward Melville 1")</f>
        <v>Ward Melville 1</v>
      </c>
      <c r="J1819" s="1">
        <v>8.0</v>
      </c>
      <c r="K1819" s="1">
        <v>0.0</v>
      </c>
    </row>
    <row r="1820">
      <c r="A1820" s="1">
        <v>1.0</v>
      </c>
      <c r="B1820" s="1">
        <v>4.0</v>
      </c>
      <c r="C1820" s="1">
        <v>4.0</v>
      </c>
      <c r="D1820" s="1">
        <v>4.0</v>
      </c>
      <c r="E1820" s="1">
        <v>1.0</v>
      </c>
      <c r="F1820" s="1">
        <v>0.0</v>
      </c>
      <c r="G1820" s="2">
        <v>0.5</v>
      </c>
      <c r="H1820" s="1" t="s">
        <v>87</v>
      </c>
      <c r="I1820" s="1" t="str">
        <f>IFERROR(__xludf.DUMMYFUNCTION("REGEXREPLACE(MID(H1820, SEARCH(""["", H1820) + 1, SEARCH(""]"", H1820) - SEARCH(""["", H1820) - 1), ""\[\]"","""")"),"Ward Melville 1")</f>
        <v>Ward Melville 1</v>
      </c>
      <c r="J1820" s="1">
        <v>4.0</v>
      </c>
      <c r="K1820" s="1">
        <v>1.0</v>
      </c>
    </row>
    <row r="1821">
      <c r="A1821" s="1">
        <v>1.0</v>
      </c>
      <c r="B1821" s="1">
        <v>4.0</v>
      </c>
      <c r="C1821" s="1">
        <v>0.0</v>
      </c>
      <c r="D1821" s="1">
        <v>0.0</v>
      </c>
      <c r="E1821" s="1">
        <v>0.0</v>
      </c>
      <c r="F1821" s="1">
        <v>0.0</v>
      </c>
      <c r="G1821" s="2">
        <v>0.0</v>
      </c>
      <c r="H1821" s="1" t="s">
        <v>341</v>
      </c>
      <c r="I1821" s="1" t="str">
        <f>IFERROR(__xludf.DUMMYFUNCTION("REGEXREPLACE(MID(H1821, SEARCH(""["", H1821) + 1, SEARCH(""]"", H1821) - SEARCH(""["", H1821) - 1), ""\[\]"","""")"),"Ward Melville 2")</f>
        <v>Ward Melville 2</v>
      </c>
      <c r="J1821" s="1">
        <v>0.0</v>
      </c>
      <c r="K1821" s="1">
        <v>0.0</v>
      </c>
    </row>
    <row r="1822">
      <c r="A1822" s="1">
        <v>1.0</v>
      </c>
      <c r="B1822" s="1">
        <v>4.0</v>
      </c>
      <c r="C1822" s="1">
        <v>0.0</v>
      </c>
      <c r="D1822" s="1">
        <v>0.0</v>
      </c>
      <c r="E1822" s="1">
        <v>0.0</v>
      </c>
      <c r="F1822" s="1">
        <v>0.0</v>
      </c>
      <c r="G1822" s="2">
        <v>0.0</v>
      </c>
      <c r="H1822" s="1" t="s">
        <v>341</v>
      </c>
      <c r="I1822" s="1" t="str">
        <f>IFERROR(__xludf.DUMMYFUNCTION("REGEXREPLACE(MID(H1822, SEARCH(""["", H1822) + 1, SEARCH(""]"", H1822) - SEARCH(""["", H1822) - 1), ""\[\]"","""")"),"Ward Melville 2")</f>
        <v>Ward Melville 2</v>
      </c>
      <c r="J1822" s="1">
        <v>0.0</v>
      </c>
      <c r="K1822" s="1">
        <v>0.0</v>
      </c>
    </row>
    <row r="1823">
      <c r="A1823" s="1">
        <v>5.0</v>
      </c>
      <c r="B1823" s="1">
        <v>20.0</v>
      </c>
      <c r="C1823" s="1">
        <v>11.0</v>
      </c>
      <c r="D1823" s="1">
        <v>0.0</v>
      </c>
      <c r="E1823" s="1">
        <v>0.4</v>
      </c>
      <c r="F1823" s="1">
        <v>0.0</v>
      </c>
      <c r="G1823" s="6">
        <v>0.182</v>
      </c>
      <c r="H1823" s="1" t="s">
        <v>312</v>
      </c>
      <c r="I1823" s="1" t="str">
        <f>IFERROR(__xludf.DUMMYFUNCTION("REGEXREPLACE(MID(H1823, SEARCH(""["", H1823) + 1, SEARCH(""]"", H1823) - SEARCH(""["", H1823) - 1), ""\[\]"","""")"),"Ward Melville 2")</f>
        <v>Ward Melville 2</v>
      </c>
      <c r="J1823" s="1">
        <v>0.0</v>
      </c>
      <c r="K1823" s="1">
        <v>2.0</v>
      </c>
    </row>
    <row r="1824">
      <c r="A1824" s="1">
        <v>4.0</v>
      </c>
      <c r="B1824" s="1">
        <v>16.0</v>
      </c>
      <c r="C1824" s="1">
        <v>2.0</v>
      </c>
      <c r="D1824" s="1">
        <v>1.0</v>
      </c>
      <c r="E1824" s="1">
        <v>0.0</v>
      </c>
      <c r="F1824" s="1">
        <v>0.0</v>
      </c>
      <c r="G1824" s="2">
        <v>0.5</v>
      </c>
      <c r="H1824" s="1" t="s">
        <v>260</v>
      </c>
      <c r="I1824" s="1" t="str">
        <f>IFERROR(__xludf.DUMMYFUNCTION("REGEXREPLACE(MID(H1824, SEARCH(""["", H1824) + 1, SEARCH(""]"", H1824) - SEARCH(""["", H1824) - 1), ""\[\]"","""")"),"Ward Melville 2")</f>
        <v>Ward Melville 2</v>
      </c>
      <c r="J1824" s="1">
        <v>4.0</v>
      </c>
      <c r="K1824" s="1">
        <v>0.0</v>
      </c>
    </row>
    <row r="1825">
      <c r="A1825" s="1">
        <v>1.0</v>
      </c>
      <c r="B1825" s="1">
        <v>4.0</v>
      </c>
      <c r="C1825" s="1">
        <v>0.0</v>
      </c>
      <c r="D1825" s="1">
        <v>0.0</v>
      </c>
      <c r="E1825" s="1">
        <v>0.0</v>
      </c>
      <c r="F1825" s="1">
        <v>0.0</v>
      </c>
      <c r="G1825" s="2">
        <v>0.0</v>
      </c>
      <c r="H1825" s="1" t="s">
        <v>260</v>
      </c>
      <c r="I1825" s="1" t="str">
        <f>IFERROR(__xludf.DUMMYFUNCTION("REGEXREPLACE(MID(H1825, SEARCH(""["", H1825) + 1, SEARCH(""]"", H1825) - SEARCH(""["", H1825) - 1), ""\[\]"","""")"),"Ward Melville 2")</f>
        <v>Ward Melville 2</v>
      </c>
      <c r="J1825" s="1">
        <v>0.0</v>
      </c>
      <c r="K1825" s="1">
        <v>0.0</v>
      </c>
    </row>
    <row r="1826">
      <c r="A1826" s="1">
        <v>4.0</v>
      </c>
      <c r="B1826" s="1">
        <v>16.0</v>
      </c>
      <c r="C1826" s="1">
        <v>2.0</v>
      </c>
      <c r="D1826" s="1">
        <v>1.0</v>
      </c>
      <c r="E1826" s="1">
        <v>0.0</v>
      </c>
      <c r="F1826" s="1">
        <v>0.0</v>
      </c>
      <c r="G1826" s="2">
        <v>0.5</v>
      </c>
      <c r="H1826" s="1" t="s">
        <v>327</v>
      </c>
      <c r="I1826" s="1" t="str">
        <f>IFERROR(__xludf.DUMMYFUNCTION("REGEXREPLACE(MID(H1826, SEARCH(""["", H1826) + 1, SEARCH(""]"", H1826) - SEARCH(""["", H1826) - 1), ""\[\]"","""")"),"Ward Melville 2")</f>
        <v>Ward Melville 2</v>
      </c>
      <c r="J1826" s="1">
        <v>4.0</v>
      </c>
      <c r="K1826" s="1">
        <v>0.0</v>
      </c>
    </row>
    <row r="1827">
      <c r="A1827" s="1">
        <v>5.0</v>
      </c>
      <c r="B1827" s="1">
        <v>20.0</v>
      </c>
      <c r="C1827" s="1">
        <v>13.0</v>
      </c>
      <c r="D1827" s="1">
        <v>3.2</v>
      </c>
      <c r="E1827" s="1">
        <v>0.6</v>
      </c>
      <c r="F1827" s="1">
        <v>0.0</v>
      </c>
      <c r="G1827" s="6">
        <v>0.538</v>
      </c>
      <c r="H1827" s="1" t="s">
        <v>131</v>
      </c>
      <c r="I1827" s="1" t="str">
        <f>IFERROR(__xludf.DUMMYFUNCTION("REGEXREPLACE(MID(H1827, SEARCH(""["", H1827) + 1, SEARCH(""]"", H1827) - SEARCH(""["", H1827) - 1), ""\[\]"","""")"),"Whitney Young")</f>
        <v>Whitney Young</v>
      </c>
      <c r="J1827" s="1">
        <v>16.0</v>
      </c>
      <c r="K1827" s="1">
        <v>3.0</v>
      </c>
    </row>
    <row r="1828">
      <c r="A1828" s="1">
        <v>2.0</v>
      </c>
      <c r="B1828" s="1">
        <v>8.0</v>
      </c>
      <c r="C1828" s="1">
        <v>1.0</v>
      </c>
      <c r="D1828" s="1">
        <v>2.0</v>
      </c>
      <c r="E1828" s="1">
        <v>0.0</v>
      </c>
      <c r="F1828" s="1">
        <v>0.0</v>
      </c>
      <c r="G1828" s="2">
        <v>1.0</v>
      </c>
      <c r="H1828" s="1" t="s">
        <v>342</v>
      </c>
      <c r="I1828" s="1" t="str">
        <f>IFERROR(__xludf.DUMMYFUNCTION("REGEXREPLACE(MID(H1828, SEARCH(""["", H1828) + 1, SEARCH(""]"", H1828) - SEARCH(""["", H1828) - 1), ""\[\]"","""")"),"Whitney Young")</f>
        <v>Whitney Young</v>
      </c>
      <c r="J1828" s="1">
        <v>4.0</v>
      </c>
      <c r="K1828" s="1">
        <v>0.0</v>
      </c>
    </row>
    <row r="1829">
      <c r="A1829" s="1">
        <v>4.0</v>
      </c>
      <c r="B1829" s="1">
        <v>16.0</v>
      </c>
      <c r="C1829" s="1">
        <v>0.0</v>
      </c>
      <c r="D1829" s="1">
        <v>0.0</v>
      </c>
      <c r="E1829" s="1">
        <v>0.0</v>
      </c>
      <c r="F1829" s="1">
        <v>0.0</v>
      </c>
      <c r="G1829" s="2">
        <v>0.0</v>
      </c>
      <c r="H1829" s="1" t="s">
        <v>343</v>
      </c>
      <c r="I1829" s="1" t="str">
        <f>IFERROR(__xludf.DUMMYFUNCTION("REGEXREPLACE(MID(H1829, SEARCH(""["", H1829) + 1, SEARCH(""]"", H1829) - SEARCH(""["", H1829) - 1), ""\[\]"","""")"),"Whitney Young")</f>
        <v>Whitney Young</v>
      </c>
      <c r="J1829" s="1">
        <v>0.0</v>
      </c>
      <c r="K1829" s="1">
        <v>0.0</v>
      </c>
    </row>
    <row r="1830">
      <c r="A1830" s="1">
        <v>1.0</v>
      </c>
      <c r="B1830" s="1">
        <v>4.0</v>
      </c>
      <c r="C1830" s="1">
        <v>0.0</v>
      </c>
      <c r="D1830" s="1">
        <v>0.0</v>
      </c>
      <c r="E1830" s="1">
        <v>0.0</v>
      </c>
      <c r="F1830" s="1">
        <v>0.0</v>
      </c>
      <c r="G1830" s="2">
        <v>0.0</v>
      </c>
      <c r="H1830" s="1" t="s">
        <v>343</v>
      </c>
      <c r="I1830" s="1" t="str">
        <f>IFERROR(__xludf.DUMMYFUNCTION("REGEXREPLACE(MID(H1830, SEARCH(""["", H1830) + 1, SEARCH(""]"", H1830) - SEARCH(""["", H1830) - 1), ""\[\]"","""")"),"Whitney Young")</f>
        <v>Whitney Young</v>
      </c>
      <c r="J1830" s="1">
        <v>0.0</v>
      </c>
      <c r="K1830" s="1">
        <v>0.0</v>
      </c>
    </row>
    <row r="1831">
      <c r="A1831" s="1">
        <v>2.0</v>
      </c>
      <c r="B1831" s="1">
        <v>8.0</v>
      </c>
      <c r="C1831" s="1">
        <v>1.0</v>
      </c>
      <c r="D1831" s="1">
        <v>0.0</v>
      </c>
      <c r="E1831" s="1">
        <v>0.0</v>
      </c>
      <c r="F1831" s="1">
        <v>0.0</v>
      </c>
      <c r="G1831" s="2">
        <v>0.0</v>
      </c>
      <c r="H1831" s="1" t="s">
        <v>302</v>
      </c>
      <c r="I1831" s="1" t="str">
        <f>IFERROR(__xludf.DUMMYFUNCTION("REGEXREPLACE(MID(H1831, SEARCH(""["", H1831) + 1, SEARCH(""]"", H1831) - SEARCH(""["", H1831) - 1), ""\[\]"","""")"),"Whitney Young")</f>
        <v>Whitney Young</v>
      </c>
      <c r="J1831" s="1">
        <v>0.0</v>
      </c>
      <c r="K1831" s="1">
        <v>0.0</v>
      </c>
    </row>
    <row r="1832">
      <c r="A1832" s="1">
        <v>5.0</v>
      </c>
      <c r="B1832" s="1">
        <v>19.0</v>
      </c>
      <c r="C1832" s="1">
        <v>0.0</v>
      </c>
      <c r="D1832" s="1">
        <v>0.0</v>
      </c>
      <c r="E1832" s="1">
        <v>0.0</v>
      </c>
      <c r="F1832" s="1">
        <v>0.0</v>
      </c>
      <c r="G1832" s="2">
        <v>0.0</v>
      </c>
      <c r="H1832" s="1" t="s">
        <v>231</v>
      </c>
      <c r="I1832" s="1" t="str">
        <f>IFERROR(__xludf.DUMMYFUNCTION("REGEXREPLACE(MID(H1832, SEARCH(""["", H1832) + 1, SEARCH(""]"", H1832) - SEARCH(""["", H1832) - 1), ""\[\]"","""")"),"Will of A")</f>
        <v>Will of A</v>
      </c>
      <c r="J1832" s="1">
        <v>0.0</v>
      </c>
      <c r="K1832" s="1">
        <v>0.0</v>
      </c>
    </row>
    <row r="1833">
      <c r="A1833" s="1">
        <v>5.0</v>
      </c>
      <c r="B1833" s="1">
        <v>19.0</v>
      </c>
      <c r="C1833" s="1">
        <v>10.0</v>
      </c>
      <c r="D1833" s="1">
        <v>0.0</v>
      </c>
      <c r="E1833" s="1">
        <v>0.8</v>
      </c>
      <c r="F1833" s="1">
        <v>0.0</v>
      </c>
      <c r="G1833" s="2">
        <v>0.4</v>
      </c>
      <c r="H1833" s="1" t="s">
        <v>122</v>
      </c>
      <c r="I1833" s="1" t="str">
        <f>IFERROR(__xludf.DUMMYFUNCTION("REGEXREPLACE(MID(H1833, SEARCH(""["", H1833) + 1, SEARCH(""]"", H1833) - SEARCH(""["", H1833) - 1), ""\[\]"","""")"),"Will of A")</f>
        <v>Will of A</v>
      </c>
      <c r="J1833" s="1">
        <v>0.0</v>
      </c>
      <c r="K1833" s="1">
        <v>4.0</v>
      </c>
    </row>
    <row r="1834">
      <c r="A1834" s="1">
        <v>3.0</v>
      </c>
      <c r="B1834" s="1">
        <v>12.0</v>
      </c>
      <c r="C1834" s="1">
        <v>3.0</v>
      </c>
      <c r="D1834" s="1">
        <v>2.67</v>
      </c>
      <c r="E1834" s="1">
        <v>0.0</v>
      </c>
      <c r="F1834" s="1">
        <v>0.0</v>
      </c>
      <c r="G1834" s="6">
        <v>0.667</v>
      </c>
      <c r="H1834" s="1" t="s">
        <v>261</v>
      </c>
      <c r="I1834" s="1" t="str">
        <f>IFERROR(__xludf.DUMMYFUNCTION("REGEXREPLACE(MID(H1834, SEARCH(""["", H1834) + 1, SEARCH(""]"", H1834) - SEARCH(""["", H1834) - 1), ""\[\]"","""")"),"Will of A")</f>
        <v>Will of A</v>
      </c>
      <c r="J1834" s="1">
        <v>8.0</v>
      </c>
      <c r="K1834" s="1">
        <v>0.0</v>
      </c>
    </row>
    <row r="1835">
      <c r="A1835" s="1">
        <v>5.0</v>
      </c>
      <c r="B1835" s="1">
        <v>19.0</v>
      </c>
      <c r="C1835" s="1">
        <v>4.0</v>
      </c>
      <c r="D1835" s="1">
        <v>0.0</v>
      </c>
      <c r="E1835" s="1">
        <v>0.4</v>
      </c>
      <c r="F1835" s="1">
        <v>0.0</v>
      </c>
      <c r="G1835" s="2">
        <v>0.5</v>
      </c>
      <c r="H1835" s="1" t="s">
        <v>344</v>
      </c>
      <c r="I1835" s="1" t="str">
        <f>IFERROR(__xludf.DUMMYFUNCTION("REGEXREPLACE(MID(H1835, SEARCH(""["", H1835) + 1, SEARCH(""]"", H1835) - SEARCH(""["", H1835) - 1), ""\[\]"","""")"),"Will of A")</f>
        <v>Will of A</v>
      </c>
      <c r="J1835" s="1">
        <v>0.0</v>
      </c>
      <c r="K1835" s="1">
        <v>2.0</v>
      </c>
    </row>
    <row r="1836">
      <c r="A1836" s="1">
        <v>1.0</v>
      </c>
      <c r="B1836" s="1">
        <v>4.0</v>
      </c>
      <c r="C1836" s="1">
        <v>0.0</v>
      </c>
      <c r="D1836" s="1">
        <v>0.0</v>
      </c>
      <c r="E1836" s="1">
        <v>0.0</v>
      </c>
      <c r="F1836" s="1">
        <v>0.0</v>
      </c>
      <c r="G1836" s="2">
        <v>0.0</v>
      </c>
      <c r="H1836" s="1" t="s">
        <v>345</v>
      </c>
      <c r="I1836" s="1" t="str">
        <f>IFERROR(__xludf.DUMMYFUNCTION("REGEXREPLACE(MID(H1836, SEARCH(""["", H1836) + 1, SEARCH(""]"", H1836) - SEARCH(""["", H1836) - 1), ""\[\]"","""")"),"WWPS 1")</f>
        <v>WWPS 1</v>
      </c>
      <c r="J1836" s="1">
        <v>0.0</v>
      </c>
      <c r="K1836" s="1">
        <v>0.0</v>
      </c>
    </row>
    <row r="1837">
      <c r="A1837" s="1">
        <v>4.0</v>
      </c>
      <c r="B1837" s="1">
        <v>15.0</v>
      </c>
      <c r="C1837" s="1">
        <v>0.0</v>
      </c>
      <c r="D1837" s="1">
        <v>0.0</v>
      </c>
      <c r="E1837" s="1">
        <v>0.0</v>
      </c>
      <c r="F1837" s="1">
        <v>0.0</v>
      </c>
      <c r="G1837" s="2">
        <v>0.0</v>
      </c>
      <c r="H1837" s="1" t="s">
        <v>345</v>
      </c>
      <c r="I1837" s="1" t="str">
        <f>IFERROR(__xludf.DUMMYFUNCTION("REGEXREPLACE(MID(H1837, SEARCH(""["", H1837) + 1, SEARCH(""]"", H1837) - SEARCH(""["", H1837) - 1), ""\[\]"","""")"),"WWPS 1")</f>
        <v>WWPS 1</v>
      </c>
      <c r="J1837" s="1">
        <v>0.0</v>
      </c>
      <c r="K1837" s="1">
        <v>0.0</v>
      </c>
    </row>
    <row r="1838">
      <c r="A1838" s="1">
        <v>1.0</v>
      </c>
      <c r="B1838" s="1">
        <v>4.0</v>
      </c>
      <c r="C1838" s="1">
        <v>1.0</v>
      </c>
      <c r="D1838" s="1">
        <v>-4.0</v>
      </c>
      <c r="E1838" s="1">
        <v>1.0</v>
      </c>
      <c r="F1838" s="1">
        <v>0.0</v>
      </c>
      <c r="G1838" s="2">
        <v>0.0</v>
      </c>
      <c r="H1838" s="1" t="s">
        <v>346</v>
      </c>
      <c r="I1838" s="1" t="str">
        <f>IFERROR(__xludf.DUMMYFUNCTION("REGEXREPLACE(MID(H1838, SEARCH(""["", H1838) + 1, SEARCH(""]"", H1838) - SEARCH(""["", H1838) - 1), ""\[\]"","""")"),"WWPS 1")</f>
        <v>WWPS 1</v>
      </c>
      <c r="J1838" s="1">
        <v>-4.0</v>
      </c>
      <c r="K1838" s="1">
        <v>1.0</v>
      </c>
    </row>
    <row r="1839">
      <c r="A1839" s="1">
        <v>4.0</v>
      </c>
      <c r="B1839" s="1">
        <v>15.0</v>
      </c>
      <c r="C1839" s="1">
        <v>9.0</v>
      </c>
      <c r="D1839" s="1">
        <v>3.0</v>
      </c>
      <c r="E1839" s="1">
        <v>0.5</v>
      </c>
      <c r="F1839" s="1">
        <v>0.0</v>
      </c>
      <c r="G1839" s="6">
        <v>0.556</v>
      </c>
      <c r="H1839" s="1" t="s">
        <v>346</v>
      </c>
      <c r="I1839" s="1" t="str">
        <f>IFERROR(__xludf.DUMMYFUNCTION("REGEXREPLACE(MID(H1839, SEARCH(""["", H1839) + 1, SEARCH(""]"", H1839) - SEARCH(""["", H1839) - 1), ""\[\]"","""")"),"WWPS 1")</f>
        <v>WWPS 1</v>
      </c>
      <c r="J1839" s="1">
        <v>12.0</v>
      </c>
      <c r="K1839" s="1">
        <v>2.0</v>
      </c>
    </row>
    <row r="1840">
      <c r="A1840" s="1">
        <v>1.0</v>
      </c>
      <c r="B1840" s="1">
        <v>4.0</v>
      </c>
      <c r="C1840" s="1">
        <v>2.0</v>
      </c>
      <c r="D1840" s="1">
        <v>0.0</v>
      </c>
      <c r="E1840" s="1">
        <v>1.0</v>
      </c>
      <c r="F1840" s="1">
        <v>0.0</v>
      </c>
      <c r="G1840" s="2">
        <v>0.5</v>
      </c>
      <c r="H1840" s="1" t="s">
        <v>347</v>
      </c>
      <c r="I1840" s="1" t="str">
        <f>IFERROR(__xludf.DUMMYFUNCTION("REGEXREPLACE(MID(H1840, SEARCH(""["", H1840) + 1, SEARCH(""]"", H1840) - SEARCH(""["", H1840) - 1), ""\[\]"","""")"),"WWPS 1")</f>
        <v>WWPS 1</v>
      </c>
      <c r="J1840" s="1">
        <v>0.0</v>
      </c>
      <c r="K1840" s="1">
        <v>1.0</v>
      </c>
    </row>
    <row r="1841">
      <c r="A1841" s="1">
        <v>4.0</v>
      </c>
      <c r="B1841" s="1">
        <v>15.0</v>
      </c>
      <c r="C1841" s="1">
        <v>2.0</v>
      </c>
      <c r="D1841" s="1">
        <v>-2.0</v>
      </c>
      <c r="E1841" s="1">
        <v>0.5</v>
      </c>
      <c r="F1841" s="1">
        <v>0.0</v>
      </c>
      <c r="G1841" s="2">
        <v>0.0</v>
      </c>
      <c r="H1841" s="1" t="s">
        <v>347</v>
      </c>
      <c r="I1841" s="1" t="str">
        <f>IFERROR(__xludf.DUMMYFUNCTION("REGEXREPLACE(MID(H1841, SEARCH(""["", H1841) + 1, SEARCH(""]"", H1841) - SEARCH(""["", H1841) - 1), ""\[\]"","""")"),"WWPS 1")</f>
        <v>WWPS 1</v>
      </c>
      <c r="J1841" s="1">
        <v>-8.0</v>
      </c>
      <c r="K1841" s="1">
        <v>2.0</v>
      </c>
    </row>
    <row r="1842">
      <c r="A1842" s="1">
        <v>1.0</v>
      </c>
      <c r="B1842" s="1">
        <v>4.0</v>
      </c>
      <c r="C1842" s="1">
        <v>1.0</v>
      </c>
      <c r="D1842" s="1">
        <v>-4.0</v>
      </c>
      <c r="E1842" s="1">
        <v>1.0</v>
      </c>
      <c r="F1842" s="1">
        <v>0.0</v>
      </c>
      <c r="G1842" s="2">
        <v>0.0</v>
      </c>
      <c r="H1842" s="1" t="s">
        <v>188</v>
      </c>
      <c r="I1842" s="1" t="str">
        <f>IFERROR(__xludf.DUMMYFUNCTION("REGEXREPLACE(MID(H1842, SEARCH(""["", H1842) + 1, SEARCH(""]"", H1842) - SEARCH(""["", H1842) - 1), ""\[\]"","""")"),"WWPS 1")</f>
        <v>WWPS 1</v>
      </c>
      <c r="J1842" s="1">
        <v>-4.0</v>
      </c>
      <c r="K1842" s="1">
        <v>1.0</v>
      </c>
    </row>
    <row r="1843">
      <c r="A1843" s="1">
        <v>4.0</v>
      </c>
      <c r="B1843" s="1">
        <v>15.0</v>
      </c>
      <c r="C1843" s="1">
        <v>3.0</v>
      </c>
      <c r="D1843" s="1">
        <v>-1.0</v>
      </c>
      <c r="E1843" s="1">
        <v>0.25</v>
      </c>
      <c r="F1843" s="1">
        <v>0.0</v>
      </c>
      <c r="G1843" s="2">
        <v>0.0</v>
      </c>
      <c r="H1843" s="1" t="s">
        <v>188</v>
      </c>
      <c r="I1843" s="1" t="str">
        <f>IFERROR(__xludf.DUMMYFUNCTION("REGEXREPLACE(MID(H1843, SEARCH(""["", H1843) + 1, SEARCH(""]"", H1843) - SEARCH(""["", H1843) - 1), ""\[\]"","""")"),"WWPS 1")</f>
        <v>WWPS 1</v>
      </c>
      <c r="J1843" s="1">
        <v>-4.0</v>
      </c>
      <c r="K1843" s="1">
        <v>1.0</v>
      </c>
    </row>
    <row r="1844">
      <c r="A1844" s="1">
        <v>3.0</v>
      </c>
      <c r="B1844" s="1">
        <v>11.0</v>
      </c>
      <c r="C1844" s="1">
        <v>4.0</v>
      </c>
      <c r="D1844" s="1">
        <v>1.33</v>
      </c>
      <c r="E1844" s="1">
        <v>0.33</v>
      </c>
      <c r="F1844" s="1">
        <v>0.0</v>
      </c>
      <c r="G1844" s="2">
        <v>0.5</v>
      </c>
      <c r="H1844" s="1" t="s">
        <v>119</v>
      </c>
      <c r="I1844" s="1" t="str">
        <f>IFERROR(__xludf.DUMMYFUNCTION("REGEXREPLACE(MID(H1844, SEARCH(""["", H1844) + 1, SEARCH(""]"", H1844) - SEARCH(""["", H1844) - 1), ""\[\]"","""")"),"WWPS 2")</f>
        <v>WWPS 2</v>
      </c>
      <c r="J1844" s="1">
        <v>4.0</v>
      </c>
      <c r="K1844" s="1">
        <v>1.0</v>
      </c>
    </row>
    <row r="1845">
      <c r="A1845" s="1">
        <v>3.0</v>
      </c>
      <c r="B1845" s="1">
        <v>11.0</v>
      </c>
      <c r="C1845" s="1">
        <v>4.0</v>
      </c>
      <c r="D1845" s="1">
        <v>4.0</v>
      </c>
      <c r="E1845" s="1">
        <v>0.0</v>
      </c>
      <c r="F1845" s="1">
        <v>0.0</v>
      </c>
      <c r="G1845" s="2">
        <v>0.75</v>
      </c>
      <c r="H1845" s="1" t="s">
        <v>218</v>
      </c>
      <c r="I1845" s="1" t="str">
        <f>IFERROR(__xludf.DUMMYFUNCTION("REGEXREPLACE(MID(H1845, SEARCH(""["", H1845) + 1, SEARCH(""]"", H1845) - SEARCH(""["", H1845) - 1), ""\[\]"","""")"),"WWPS 2")</f>
        <v>WWPS 2</v>
      </c>
      <c r="J1845" s="1">
        <v>12.0</v>
      </c>
      <c r="K1845" s="1">
        <v>0.0</v>
      </c>
    </row>
    <row r="1846">
      <c r="A1846" s="1">
        <v>2.0</v>
      </c>
      <c r="B1846" s="1">
        <v>8.0</v>
      </c>
      <c r="C1846" s="1">
        <v>1.0</v>
      </c>
      <c r="D1846" s="1">
        <v>2.0</v>
      </c>
      <c r="E1846" s="1">
        <v>0.0</v>
      </c>
      <c r="F1846" s="1">
        <v>0.0</v>
      </c>
      <c r="G1846" s="2">
        <v>1.0</v>
      </c>
      <c r="H1846" s="1" t="s">
        <v>348</v>
      </c>
      <c r="I1846" s="1" t="str">
        <f>IFERROR(__xludf.DUMMYFUNCTION("REGEXREPLACE(MID(H1846, SEARCH(""["", H1846) + 1, SEARCH(""]"", H1846) - SEARCH(""["", H1846) - 1), ""\[\]"","""")"),"WWPS 2")</f>
        <v>WWPS 2</v>
      </c>
      <c r="J1846" s="1">
        <v>4.0</v>
      </c>
      <c r="K1846" s="1">
        <v>0.0</v>
      </c>
    </row>
    <row r="1847">
      <c r="A1847" s="1">
        <v>3.0</v>
      </c>
      <c r="B1847" s="1">
        <v>11.0</v>
      </c>
      <c r="C1847" s="1">
        <v>0.0</v>
      </c>
      <c r="D1847" s="1">
        <v>0.0</v>
      </c>
      <c r="E1847" s="1">
        <v>0.0</v>
      </c>
      <c r="F1847" s="1">
        <v>0.0</v>
      </c>
      <c r="G1847" s="2">
        <v>0.0</v>
      </c>
      <c r="H1847" s="1" t="s">
        <v>349</v>
      </c>
      <c r="I1847" s="1" t="str">
        <f>IFERROR(__xludf.DUMMYFUNCTION("REGEXREPLACE(MID(H1847, SEARCH(""["", H1847) + 1, SEARCH(""]"", H1847) - SEARCH(""["", H1847) - 1), ""\[\]"","""")"),"WWPS 2")</f>
        <v>WWPS 2</v>
      </c>
      <c r="J1847" s="1">
        <v>0.0</v>
      </c>
      <c r="K1847" s="1">
        <v>0.0</v>
      </c>
    </row>
    <row r="1848">
      <c r="A1848" s="1">
        <v>4.0</v>
      </c>
      <c r="B1848" s="1">
        <v>15.0</v>
      </c>
      <c r="C1848" s="1">
        <v>2.0</v>
      </c>
      <c r="D1848" s="1">
        <v>1.0</v>
      </c>
      <c r="E1848" s="1">
        <v>0.0</v>
      </c>
      <c r="F1848" s="1">
        <v>0.0</v>
      </c>
      <c r="G1848" s="2">
        <v>0.5</v>
      </c>
      <c r="H1848" s="1" t="s">
        <v>193</v>
      </c>
      <c r="I1848" s="1" t="str">
        <f>IFERROR(__xludf.DUMMYFUNCTION("REGEXREPLACE(MID(H1848, SEARCH(""["", H1848) + 1, SEARCH(""]"", H1848) - SEARCH(""["", H1848) - 1), ""\[\]"","""")"),"WWPS 2")</f>
        <v>WWPS 2</v>
      </c>
      <c r="J1848" s="1">
        <v>4.0</v>
      </c>
      <c r="K1848" s="1">
        <v>0.0</v>
      </c>
    </row>
    <row r="1849">
      <c r="A1849" s="1">
        <v>1.0</v>
      </c>
      <c r="B1849" s="1">
        <v>4.0</v>
      </c>
      <c r="C1849" s="1">
        <v>0.0</v>
      </c>
      <c r="D1849" s="1">
        <v>0.0</v>
      </c>
      <c r="E1849" s="1">
        <v>0.0</v>
      </c>
      <c r="F1849" s="1">
        <v>0.0</v>
      </c>
      <c r="G1849" s="2">
        <v>0.0</v>
      </c>
      <c r="H1849" s="1" t="s">
        <v>0</v>
      </c>
      <c r="I1849" s="1" t="str">
        <f>IFERROR(__xludf.DUMMYFUNCTION("REGEXREPLACE(MID(H1849, SEARCH(""["", H1849) + 1, SEARCH(""]"", H1849) - SEARCH(""["", H1849) - 1), ""\[\]"","""")"),"Bridgeland HS")</f>
        <v>Bridgeland HS</v>
      </c>
      <c r="J1849" s="1">
        <v>0.0</v>
      </c>
      <c r="K1849" s="1">
        <v>0.0</v>
      </c>
    </row>
    <row r="1850">
      <c r="A1850" s="1">
        <v>4.0</v>
      </c>
      <c r="B1850" s="1">
        <v>16.0</v>
      </c>
      <c r="C1850" s="1">
        <v>0.0</v>
      </c>
      <c r="D1850" s="1">
        <v>0.0</v>
      </c>
      <c r="E1850" s="1">
        <v>0.0</v>
      </c>
      <c r="F1850" s="1">
        <v>0.0</v>
      </c>
      <c r="G1850" s="2">
        <v>0.0</v>
      </c>
      <c r="H1850" s="1" t="s">
        <v>2</v>
      </c>
      <c r="I1850" s="1" t="str">
        <f>IFERROR(__xludf.DUMMYFUNCTION("REGEXREPLACE(MID(H1850, SEARCH(""["", H1850) + 1, SEARCH(""]"", H1850) - SEARCH(""["", H1850) - 1), ""\[\]"","""")"),"Amador Valley HS")</f>
        <v>Amador Valley HS</v>
      </c>
      <c r="J1850" s="1">
        <v>0.0</v>
      </c>
      <c r="K1850" s="1">
        <v>0.0</v>
      </c>
    </row>
    <row r="1851">
      <c r="A1851" s="1">
        <v>1.0</v>
      </c>
      <c r="B1851" s="1">
        <v>4.0</v>
      </c>
      <c r="C1851" s="1">
        <v>0.0</v>
      </c>
      <c r="D1851" s="1">
        <v>0.0</v>
      </c>
      <c r="E1851" s="1">
        <v>0.0</v>
      </c>
      <c r="F1851" s="1">
        <v>0.0</v>
      </c>
      <c r="G1851" s="2">
        <v>0.0</v>
      </c>
      <c r="H1851" s="1" t="s">
        <v>2</v>
      </c>
      <c r="I1851" s="1" t="str">
        <f>IFERROR(__xludf.DUMMYFUNCTION("REGEXREPLACE(MID(H1851, SEARCH(""["", H1851) + 1, SEARCH(""]"", H1851) - SEARCH(""["", H1851) - 1), ""\[\]"","""")"),"Amador Valley HS")</f>
        <v>Amador Valley HS</v>
      </c>
      <c r="J1851" s="1">
        <v>0.0</v>
      </c>
      <c r="K1851" s="1">
        <v>0.0</v>
      </c>
    </row>
    <row r="1852">
      <c r="A1852" s="1">
        <v>4.0</v>
      </c>
      <c r="B1852" s="1">
        <v>16.0</v>
      </c>
      <c r="C1852" s="1">
        <v>0.0</v>
      </c>
      <c r="D1852" s="1">
        <v>0.0</v>
      </c>
      <c r="E1852" s="1">
        <v>0.0</v>
      </c>
      <c r="F1852" s="1">
        <v>0.0</v>
      </c>
      <c r="G1852" s="2">
        <v>0.0</v>
      </c>
      <c r="H1852" s="1" t="s">
        <v>5</v>
      </c>
      <c r="I1852" s="1" t="str">
        <f>IFERROR(__xludf.DUMMYFUNCTION("REGEXREPLACE(MID(H1852, SEARCH(""["", H1852) + 1, SEARCH(""]"", H1852) - SEARCH(""["", H1852) - 1), ""\[\]"","""")"),"Amador Valley HS")</f>
        <v>Amador Valley HS</v>
      </c>
      <c r="J1852" s="1">
        <v>0.0</v>
      </c>
      <c r="K1852" s="1">
        <v>0.0</v>
      </c>
    </row>
    <row r="1853">
      <c r="A1853" s="1">
        <v>1.0</v>
      </c>
      <c r="B1853" s="1">
        <v>4.0</v>
      </c>
      <c r="C1853" s="1">
        <v>0.0</v>
      </c>
      <c r="D1853" s="1">
        <v>0.0</v>
      </c>
      <c r="E1853" s="1">
        <v>0.0</v>
      </c>
      <c r="F1853" s="1">
        <v>0.0</v>
      </c>
      <c r="G1853" s="2">
        <v>0.0</v>
      </c>
      <c r="H1853" s="1" t="s">
        <v>5</v>
      </c>
      <c r="I1853" s="1" t="str">
        <f>IFERROR(__xludf.DUMMYFUNCTION("REGEXREPLACE(MID(H1853, SEARCH(""["", H1853) + 1, SEARCH(""]"", H1853) - SEARCH(""["", H1853) - 1), ""\[\]"","""")"),"Amador Valley HS")</f>
        <v>Amador Valley HS</v>
      </c>
      <c r="J1853" s="1">
        <v>0.0</v>
      </c>
      <c r="K1853" s="1">
        <v>0.0</v>
      </c>
    </row>
    <row r="1854">
      <c r="A1854" s="1">
        <v>4.0</v>
      </c>
      <c r="B1854" s="1">
        <v>16.0</v>
      </c>
      <c r="C1854" s="1">
        <v>12.0</v>
      </c>
      <c r="D1854" s="1">
        <v>6.0</v>
      </c>
      <c r="E1854" s="1">
        <v>0.75</v>
      </c>
      <c r="F1854" s="1">
        <v>0.0</v>
      </c>
      <c r="G1854" s="2">
        <v>0.75</v>
      </c>
      <c r="H1854" s="1" t="s">
        <v>8</v>
      </c>
      <c r="I1854" s="1" t="str">
        <f>IFERROR(__xludf.DUMMYFUNCTION("REGEXREPLACE(MID(H1854, SEARCH(""["", H1854) + 1, SEARCH(""]"", H1854) - SEARCH(""["", H1854) - 1), ""\[\]"","""")"),"Amador Valley HS")</f>
        <v>Amador Valley HS</v>
      </c>
      <c r="J1854" s="1">
        <v>24.0</v>
      </c>
      <c r="K1854" s="1">
        <v>3.0</v>
      </c>
    </row>
    <row r="1855">
      <c r="A1855" s="1">
        <v>1.0</v>
      </c>
      <c r="B1855" s="1">
        <v>4.0</v>
      </c>
      <c r="C1855" s="1">
        <v>3.0</v>
      </c>
      <c r="D1855" s="1">
        <v>0.0</v>
      </c>
      <c r="E1855" s="1">
        <v>1.0</v>
      </c>
      <c r="F1855" s="1">
        <v>0.0</v>
      </c>
      <c r="G1855" s="6">
        <v>0.333</v>
      </c>
      <c r="H1855" s="1" t="s">
        <v>8</v>
      </c>
      <c r="I1855" s="1" t="str">
        <f>IFERROR(__xludf.DUMMYFUNCTION("REGEXREPLACE(MID(H1855, SEARCH(""["", H1855) + 1, SEARCH(""]"", H1855) - SEARCH(""["", H1855) - 1), ""\[\]"","""")"),"Amador Valley HS")</f>
        <v>Amador Valley HS</v>
      </c>
      <c r="J1855" s="1">
        <v>0.0</v>
      </c>
      <c r="K1855" s="1">
        <v>1.0</v>
      </c>
    </row>
    <row r="1856">
      <c r="A1856" s="1">
        <v>4.0</v>
      </c>
      <c r="B1856" s="1">
        <v>16.0</v>
      </c>
      <c r="C1856" s="1">
        <v>0.0</v>
      </c>
      <c r="D1856" s="1">
        <v>0.0</v>
      </c>
      <c r="E1856" s="1">
        <v>0.0</v>
      </c>
      <c r="F1856" s="1">
        <v>0.0</v>
      </c>
      <c r="G1856" s="2">
        <v>0.0</v>
      </c>
      <c r="H1856" s="1" t="s">
        <v>11</v>
      </c>
      <c r="I1856" s="1" t="str">
        <f>IFERROR(__xludf.DUMMYFUNCTION("REGEXREPLACE(MID(H1856, SEARCH(""["", H1856) + 1, SEARCH(""]"", H1856) - SEARCH(""["", H1856) - 1), ""\[\]"","""")"),"Amador Valley HS")</f>
        <v>Amador Valley HS</v>
      </c>
      <c r="J1856" s="1">
        <v>0.0</v>
      </c>
      <c r="K1856" s="1">
        <v>0.0</v>
      </c>
    </row>
    <row r="1857">
      <c r="A1857" s="1">
        <v>3.0</v>
      </c>
      <c r="B1857" s="1">
        <v>12.0</v>
      </c>
      <c r="C1857" s="1">
        <v>0.0</v>
      </c>
      <c r="D1857" s="1">
        <v>0.0</v>
      </c>
      <c r="E1857" s="1">
        <v>0.0</v>
      </c>
      <c r="F1857" s="1">
        <v>0.0</v>
      </c>
      <c r="G1857" s="2">
        <v>0.0</v>
      </c>
      <c r="H1857" s="1" t="s">
        <v>12</v>
      </c>
      <c r="I1857" s="1" t="str">
        <f>IFERROR(__xludf.DUMMYFUNCTION("REGEXREPLACE(MID(H1857, SEARCH(""["", H1857) + 1, SEARCH(""]"", H1857) - SEARCH(""["", H1857) - 1), ""\[\]"","""")"),"American Heritage Broward")</f>
        <v>American Heritage Broward</v>
      </c>
      <c r="J1857" s="1">
        <v>0.0</v>
      </c>
      <c r="K1857" s="1">
        <v>0.0</v>
      </c>
    </row>
    <row r="1858">
      <c r="A1858" s="1">
        <v>1.0</v>
      </c>
      <c r="B1858" s="1">
        <v>4.0</v>
      </c>
      <c r="C1858" s="1">
        <v>3.0</v>
      </c>
      <c r="D1858" s="1">
        <v>12.0</v>
      </c>
      <c r="E1858" s="1">
        <v>0.0</v>
      </c>
      <c r="F1858" s="1">
        <v>0.0</v>
      </c>
      <c r="G1858" s="2">
        <v>1.0</v>
      </c>
      <c r="H1858" s="1" t="s">
        <v>13</v>
      </c>
      <c r="I1858" s="1" t="str">
        <f>IFERROR(__xludf.DUMMYFUNCTION("REGEXREPLACE(MID(H1858, SEARCH(""["", H1858) + 1, SEARCH(""]"", H1858) - SEARCH(""["", H1858) - 1), ""\[\]"","""")"),"American Heritage Broward")</f>
        <v>American Heritage Broward</v>
      </c>
      <c r="J1858" s="1">
        <v>12.0</v>
      </c>
      <c r="K1858" s="1">
        <v>0.0</v>
      </c>
    </row>
    <row r="1859">
      <c r="A1859" s="1">
        <v>4.0</v>
      </c>
      <c r="B1859" s="1">
        <v>16.0</v>
      </c>
      <c r="C1859" s="1">
        <v>8.0</v>
      </c>
      <c r="D1859" s="1">
        <v>5.0</v>
      </c>
      <c r="E1859" s="1">
        <v>0.0</v>
      </c>
      <c r="F1859" s="1">
        <v>0.0</v>
      </c>
      <c r="G1859" s="6">
        <v>0.625</v>
      </c>
      <c r="H1859" s="1" t="s">
        <v>13</v>
      </c>
      <c r="I1859" s="1" t="str">
        <f>IFERROR(__xludf.DUMMYFUNCTION("REGEXREPLACE(MID(H1859, SEARCH(""["", H1859) + 1, SEARCH(""]"", H1859) - SEARCH(""["", H1859) - 1), ""\[\]"","""")"),"American Heritage Broward")</f>
        <v>American Heritage Broward</v>
      </c>
      <c r="J1859" s="1">
        <v>20.0</v>
      </c>
      <c r="K1859" s="1">
        <v>0.0</v>
      </c>
    </row>
    <row r="1860">
      <c r="A1860" s="1">
        <v>1.0</v>
      </c>
      <c r="B1860" s="1">
        <v>4.0</v>
      </c>
      <c r="C1860" s="1">
        <v>0.0</v>
      </c>
      <c r="D1860" s="1">
        <v>0.0</v>
      </c>
      <c r="E1860" s="1">
        <v>0.0</v>
      </c>
      <c r="F1860" s="1">
        <v>0.0</v>
      </c>
      <c r="G1860" s="2">
        <v>0.0</v>
      </c>
      <c r="H1860" s="1" t="s">
        <v>15</v>
      </c>
      <c r="I1860" s="1" t="str">
        <f>IFERROR(__xludf.DUMMYFUNCTION("REGEXREPLACE(MID(H1860, SEARCH(""["", H1860) + 1, SEARCH(""]"", H1860) - SEARCH(""["", H1860) - 1), ""\[\]"","""")"),"American Heritage Broward")</f>
        <v>American Heritage Broward</v>
      </c>
      <c r="J1860" s="1">
        <v>0.0</v>
      </c>
      <c r="K1860" s="1">
        <v>0.0</v>
      </c>
    </row>
    <row r="1861">
      <c r="A1861" s="1">
        <v>4.0</v>
      </c>
      <c r="B1861" s="1">
        <v>16.0</v>
      </c>
      <c r="C1861" s="1">
        <v>0.0</v>
      </c>
      <c r="D1861" s="1">
        <v>0.0</v>
      </c>
      <c r="E1861" s="1">
        <v>0.0</v>
      </c>
      <c r="F1861" s="1">
        <v>0.0</v>
      </c>
      <c r="G1861" s="2">
        <v>0.0</v>
      </c>
      <c r="H1861" s="1" t="s">
        <v>15</v>
      </c>
      <c r="I1861" s="1" t="str">
        <f>IFERROR(__xludf.DUMMYFUNCTION("REGEXREPLACE(MID(H1861, SEARCH(""["", H1861) + 1, SEARCH(""]"", H1861) - SEARCH(""["", H1861) - 1), ""\[\]"","""")"),"American Heritage Broward")</f>
        <v>American Heritage Broward</v>
      </c>
      <c r="J1861" s="1">
        <v>0.0</v>
      </c>
      <c r="K1861" s="1">
        <v>0.0</v>
      </c>
    </row>
    <row r="1862">
      <c r="A1862" s="1">
        <v>1.0</v>
      </c>
      <c r="B1862" s="1">
        <v>4.0</v>
      </c>
      <c r="C1862" s="1">
        <v>0.0</v>
      </c>
      <c r="D1862" s="1">
        <v>0.0</v>
      </c>
      <c r="E1862" s="1">
        <v>0.0</v>
      </c>
      <c r="F1862" s="1">
        <v>0.0</v>
      </c>
      <c r="G1862" s="2">
        <v>0.0</v>
      </c>
      <c r="H1862" s="1" t="s">
        <v>17</v>
      </c>
      <c r="I1862" s="1" t="str">
        <f>IFERROR(__xludf.DUMMYFUNCTION("REGEXREPLACE(MID(H1862, SEARCH(""["", H1862) + 1, SEARCH(""]"", H1862) - SEARCH(""["", H1862) - 1), ""\[\]"","""")"),"American Heritage Broward")</f>
        <v>American Heritage Broward</v>
      </c>
      <c r="J1862" s="1">
        <v>0.0</v>
      </c>
      <c r="K1862" s="1">
        <v>0.0</v>
      </c>
    </row>
    <row r="1863">
      <c r="A1863" s="1">
        <v>4.0</v>
      </c>
      <c r="B1863" s="1">
        <v>16.0</v>
      </c>
      <c r="C1863" s="1">
        <v>4.0</v>
      </c>
      <c r="D1863" s="1">
        <v>1.0</v>
      </c>
      <c r="E1863" s="1">
        <v>0.0</v>
      </c>
      <c r="F1863" s="1">
        <v>0.0</v>
      </c>
      <c r="G1863" s="2">
        <v>0.25</v>
      </c>
      <c r="H1863" s="1" t="s">
        <v>17</v>
      </c>
      <c r="I1863" s="1" t="str">
        <f>IFERROR(__xludf.DUMMYFUNCTION("REGEXREPLACE(MID(H1863, SEARCH(""["", H1863) + 1, SEARCH(""]"", H1863) - SEARCH(""["", H1863) - 1), ""\[\]"","""")"),"American Heritage Broward")</f>
        <v>American Heritage Broward</v>
      </c>
      <c r="J1863" s="1">
        <v>4.0</v>
      </c>
      <c r="K1863" s="1">
        <v>0.0</v>
      </c>
    </row>
    <row r="1864">
      <c r="A1864" s="1">
        <v>1.0</v>
      </c>
      <c r="B1864" s="1">
        <v>4.0</v>
      </c>
      <c r="C1864" s="1">
        <v>0.0</v>
      </c>
      <c r="D1864" s="1">
        <v>0.0</v>
      </c>
      <c r="E1864" s="1">
        <v>0.0</v>
      </c>
      <c r="F1864" s="1">
        <v>0.0</v>
      </c>
      <c r="G1864" s="2">
        <v>0.0</v>
      </c>
      <c r="H1864" s="1" t="s">
        <v>20</v>
      </c>
      <c r="I1864" s="1" t="str">
        <f>IFERROR(__xludf.DUMMYFUNCTION("REGEXREPLACE(MID(H1864, SEARCH(""["", H1864) + 1, SEARCH(""]"", H1864) - SEARCH(""["", H1864) - 1), ""\[\]"","""")"),"American Heritage Broward")</f>
        <v>American Heritage Broward</v>
      </c>
      <c r="J1864" s="1">
        <v>0.0</v>
      </c>
      <c r="K1864" s="1">
        <v>0.0</v>
      </c>
    </row>
    <row r="1865">
      <c r="A1865" s="1">
        <v>1.0</v>
      </c>
      <c r="B1865" s="1">
        <v>4.0</v>
      </c>
      <c r="C1865" s="1">
        <v>0.0</v>
      </c>
      <c r="D1865" s="1">
        <v>0.0</v>
      </c>
      <c r="E1865" s="1">
        <v>0.0</v>
      </c>
      <c r="F1865" s="1">
        <v>0.0</v>
      </c>
      <c r="G1865" s="2">
        <v>0.0</v>
      </c>
      <c r="H1865" s="1" t="s">
        <v>20</v>
      </c>
      <c r="I1865" s="1" t="str">
        <f>IFERROR(__xludf.DUMMYFUNCTION("REGEXREPLACE(MID(H1865, SEARCH(""["", H1865) + 1, SEARCH(""]"", H1865) - SEARCH(""["", H1865) - 1), ""\[\]"","""")"),"American Heritage Broward")</f>
        <v>American Heritage Broward</v>
      </c>
      <c r="J1865" s="1">
        <v>0.0</v>
      </c>
      <c r="K1865" s="1">
        <v>0.0</v>
      </c>
    </row>
    <row r="1866">
      <c r="A1866" s="1">
        <v>1.0</v>
      </c>
      <c r="B1866" s="1">
        <v>4.0</v>
      </c>
      <c r="C1866" s="1">
        <v>1.0</v>
      </c>
      <c r="D1866" s="1">
        <v>0.0</v>
      </c>
      <c r="E1866" s="1">
        <v>0.0</v>
      </c>
      <c r="F1866" s="1">
        <v>0.0</v>
      </c>
      <c r="G1866" s="2">
        <v>0.0</v>
      </c>
      <c r="H1866" s="1" t="s">
        <v>24</v>
      </c>
      <c r="I1866" s="1" t="str">
        <f>IFERROR(__xludf.DUMMYFUNCTION("REGEXREPLACE(MID(H1866, SEARCH(""["", H1866) + 1, SEARCH(""]"", H1866) - SEARCH(""["", H1866) - 1), ""\[\]"","""")"),"Arcadia 1")</f>
        <v>Arcadia 1</v>
      </c>
      <c r="J1866" s="1">
        <v>0.0</v>
      </c>
      <c r="K1866" s="1">
        <v>0.0</v>
      </c>
    </row>
    <row r="1867">
      <c r="A1867" s="1">
        <v>1.0</v>
      </c>
      <c r="B1867" s="1">
        <v>4.0</v>
      </c>
      <c r="C1867" s="1">
        <v>0.0</v>
      </c>
      <c r="D1867" s="1">
        <v>0.0</v>
      </c>
      <c r="E1867" s="1">
        <v>0.0</v>
      </c>
      <c r="F1867" s="1">
        <v>0.0</v>
      </c>
      <c r="G1867" s="2">
        <v>0.0</v>
      </c>
      <c r="H1867" s="1" t="s">
        <v>24</v>
      </c>
      <c r="I1867" s="1" t="str">
        <f>IFERROR(__xludf.DUMMYFUNCTION("REGEXREPLACE(MID(H1867, SEARCH(""["", H1867) + 1, SEARCH(""]"", H1867) - SEARCH(""["", H1867) - 1), ""\[\]"","""")"),"Arcadia 1")</f>
        <v>Arcadia 1</v>
      </c>
      <c r="J1867" s="1">
        <v>0.0</v>
      </c>
      <c r="K1867" s="1">
        <v>0.0</v>
      </c>
    </row>
    <row r="1868">
      <c r="A1868" s="1">
        <v>3.0</v>
      </c>
      <c r="B1868" s="1">
        <v>12.0</v>
      </c>
      <c r="C1868" s="1">
        <v>2.0</v>
      </c>
      <c r="D1868" s="1">
        <v>0.0</v>
      </c>
      <c r="E1868" s="1">
        <v>0.33</v>
      </c>
      <c r="F1868" s="1">
        <v>0.0</v>
      </c>
      <c r="G1868" s="2">
        <v>0.5</v>
      </c>
      <c r="H1868" s="1" t="s">
        <v>29</v>
      </c>
      <c r="I1868" s="1" t="str">
        <f>IFERROR(__xludf.DUMMYFUNCTION("REGEXREPLACE(MID(H1868, SEARCH(""["", H1868) + 1, SEARCH(""]"", H1868) - SEARCH(""["", H1868) - 1), ""\[\]"","""")"),"Arcadia 1")</f>
        <v>Arcadia 1</v>
      </c>
      <c r="J1868" s="1">
        <v>0.0</v>
      </c>
      <c r="K1868" s="1">
        <v>1.0</v>
      </c>
    </row>
    <row r="1869">
      <c r="A1869" s="1">
        <v>1.0</v>
      </c>
      <c r="B1869" s="1">
        <v>4.0</v>
      </c>
      <c r="C1869" s="1">
        <v>0.0</v>
      </c>
      <c r="D1869" s="1">
        <v>0.0</v>
      </c>
      <c r="E1869" s="1">
        <v>0.0</v>
      </c>
      <c r="F1869" s="1">
        <v>0.0</v>
      </c>
      <c r="G1869" s="2">
        <v>0.0</v>
      </c>
      <c r="H1869" s="1" t="s">
        <v>29</v>
      </c>
      <c r="I1869" s="1" t="str">
        <f>IFERROR(__xludf.DUMMYFUNCTION("REGEXREPLACE(MID(H1869, SEARCH(""["", H1869) + 1, SEARCH(""]"", H1869) - SEARCH(""["", H1869) - 1), ""\[\]"","""")"),"Arcadia 1")</f>
        <v>Arcadia 1</v>
      </c>
      <c r="J1869" s="1">
        <v>0.0</v>
      </c>
      <c r="K1869" s="1">
        <v>0.0</v>
      </c>
    </row>
    <row r="1870">
      <c r="A1870" s="1">
        <v>1.0</v>
      </c>
      <c r="B1870" s="1">
        <v>4.0</v>
      </c>
      <c r="C1870" s="1">
        <v>2.0</v>
      </c>
      <c r="D1870" s="1">
        <v>8.0</v>
      </c>
      <c r="E1870" s="1">
        <v>0.0</v>
      </c>
      <c r="F1870" s="1">
        <v>0.0</v>
      </c>
      <c r="G1870" s="2">
        <v>1.0</v>
      </c>
      <c r="H1870" s="1" t="s">
        <v>29</v>
      </c>
      <c r="I1870" s="1" t="str">
        <f>IFERROR(__xludf.DUMMYFUNCTION("REGEXREPLACE(MID(H1870, SEARCH(""["", H1870) + 1, SEARCH(""]"", H1870) - SEARCH(""["", H1870) - 1), ""\[\]"","""")"),"Arcadia 1")</f>
        <v>Arcadia 1</v>
      </c>
      <c r="J1870" s="1">
        <v>8.0</v>
      </c>
      <c r="K1870" s="1">
        <v>0.0</v>
      </c>
    </row>
    <row r="1871">
      <c r="A1871" s="1">
        <v>2.0</v>
      </c>
      <c r="B1871" s="1">
        <v>8.0</v>
      </c>
      <c r="C1871" s="1">
        <v>1.0</v>
      </c>
      <c r="D1871" s="1">
        <v>0.0</v>
      </c>
      <c r="E1871" s="1">
        <v>0.0</v>
      </c>
      <c r="F1871" s="1">
        <v>0.0</v>
      </c>
      <c r="G1871" s="2">
        <v>0.0</v>
      </c>
      <c r="H1871" s="1" t="s">
        <v>38</v>
      </c>
      <c r="I1871" s="1" t="str">
        <f>IFERROR(__xludf.DUMMYFUNCTION("REGEXREPLACE(MID(H1871, SEARCH(""["", H1871) + 1, SEARCH(""]"", H1871) - SEARCH(""["", H1871) - 1), ""\[\]"","""")"),"Arcadia 1")</f>
        <v>Arcadia 1</v>
      </c>
      <c r="J1871" s="1">
        <v>0.0</v>
      </c>
      <c r="K1871" s="1">
        <v>0.0</v>
      </c>
    </row>
    <row r="1872">
      <c r="A1872" s="1">
        <v>1.0</v>
      </c>
      <c r="B1872" s="1">
        <v>4.0</v>
      </c>
      <c r="C1872" s="1">
        <v>1.0</v>
      </c>
      <c r="D1872" s="1">
        <v>0.0</v>
      </c>
      <c r="E1872" s="1">
        <v>0.0</v>
      </c>
      <c r="F1872" s="1">
        <v>0.0</v>
      </c>
      <c r="G1872" s="2">
        <v>0.0</v>
      </c>
      <c r="H1872" s="1" t="s">
        <v>38</v>
      </c>
      <c r="I1872" s="1" t="str">
        <f>IFERROR(__xludf.DUMMYFUNCTION("REGEXREPLACE(MID(H1872, SEARCH(""["", H1872) + 1, SEARCH(""]"", H1872) - SEARCH(""["", H1872) - 1), ""\[\]"","""")"),"Arcadia 1")</f>
        <v>Arcadia 1</v>
      </c>
      <c r="J1872" s="1">
        <v>0.0</v>
      </c>
      <c r="K1872" s="1">
        <v>0.0</v>
      </c>
    </row>
    <row r="1873">
      <c r="A1873" s="1">
        <v>3.0</v>
      </c>
      <c r="B1873" s="1">
        <v>12.0</v>
      </c>
      <c r="C1873" s="1">
        <v>4.0</v>
      </c>
      <c r="D1873" s="1">
        <v>1.33</v>
      </c>
      <c r="E1873" s="1">
        <v>0.33</v>
      </c>
      <c r="F1873" s="1">
        <v>0.0</v>
      </c>
      <c r="G1873" s="2">
        <v>0.5</v>
      </c>
      <c r="H1873" s="1" t="s">
        <v>40</v>
      </c>
      <c r="I1873" s="1" t="str">
        <f>IFERROR(__xludf.DUMMYFUNCTION("REGEXREPLACE(MID(H1873, SEARCH(""["", H1873) + 1, SEARCH(""]"", H1873) - SEARCH(""["", H1873) - 1), ""\[\]"","""")"),"Arcadia 1")</f>
        <v>Arcadia 1</v>
      </c>
      <c r="J1873" s="1">
        <v>4.0</v>
      </c>
      <c r="K1873" s="1">
        <v>1.0</v>
      </c>
    </row>
    <row r="1874">
      <c r="A1874" s="1">
        <v>1.0</v>
      </c>
      <c r="B1874" s="1">
        <v>4.0</v>
      </c>
      <c r="C1874" s="1">
        <v>1.0</v>
      </c>
      <c r="D1874" s="1">
        <v>-4.0</v>
      </c>
      <c r="E1874" s="1">
        <v>1.0</v>
      </c>
      <c r="F1874" s="1">
        <v>0.0</v>
      </c>
      <c r="G1874" s="2">
        <v>0.0</v>
      </c>
      <c r="H1874" s="1" t="s">
        <v>40</v>
      </c>
      <c r="I1874" s="1" t="str">
        <f>IFERROR(__xludf.DUMMYFUNCTION("REGEXREPLACE(MID(H1874, SEARCH(""["", H1874) + 1, SEARCH(""]"", H1874) - SEARCH(""["", H1874) - 1), ""\[\]"","""")"),"Arcadia 1")</f>
        <v>Arcadia 1</v>
      </c>
      <c r="J1874" s="1">
        <v>-4.0</v>
      </c>
      <c r="K1874" s="1">
        <v>1.0</v>
      </c>
    </row>
    <row r="1875">
      <c r="A1875" s="1">
        <v>1.0</v>
      </c>
      <c r="B1875" s="1">
        <v>4.0</v>
      </c>
      <c r="C1875" s="1">
        <v>1.0</v>
      </c>
      <c r="D1875" s="1">
        <v>4.0</v>
      </c>
      <c r="E1875" s="1">
        <v>0.0</v>
      </c>
      <c r="F1875" s="1">
        <v>0.0</v>
      </c>
      <c r="G1875" s="2">
        <v>1.0</v>
      </c>
      <c r="H1875" s="1" t="s">
        <v>40</v>
      </c>
      <c r="I1875" s="1" t="str">
        <f>IFERROR(__xludf.DUMMYFUNCTION("REGEXREPLACE(MID(H1875, SEARCH(""["", H1875) + 1, SEARCH(""]"", H1875) - SEARCH(""["", H1875) - 1), ""\[\]"","""")"),"Arcadia 1")</f>
        <v>Arcadia 1</v>
      </c>
      <c r="J1875" s="1">
        <v>4.0</v>
      </c>
      <c r="K1875" s="1">
        <v>0.0</v>
      </c>
    </row>
    <row r="1876">
      <c r="A1876" s="1">
        <v>3.0</v>
      </c>
      <c r="B1876" s="1">
        <v>12.0</v>
      </c>
      <c r="C1876" s="1">
        <v>2.0</v>
      </c>
      <c r="D1876" s="1">
        <v>1.33</v>
      </c>
      <c r="E1876" s="1">
        <v>0.0</v>
      </c>
      <c r="F1876" s="1">
        <v>0.0</v>
      </c>
      <c r="G1876" s="2">
        <v>0.5</v>
      </c>
      <c r="H1876" s="1" t="s">
        <v>46</v>
      </c>
      <c r="I1876" s="1" t="str">
        <f>IFERROR(__xludf.DUMMYFUNCTION("REGEXREPLACE(MID(H1876, SEARCH(""["", H1876) + 1, SEARCH(""]"", H1876) - SEARCH(""["", H1876) - 1), ""\[\]"","""")"),"Arcadia 1")</f>
        <v>Arcadia 1</v>
      </c>
      <c r="J1876" s="1">
        <v>4.0</v>
      </c>
      <c r="K1876" s="1">
        <v>0.0</v>
      </c>
    </row>
    <row r="1877">
      <c r="A1877" s="1">
        <v>1.0</v>
      </c>
      <c r="B1877" s="1">
        <v>4.0</v>
      </c>
      <c r="C1877" s="1">
        <v>0.0</v>
      </c>
      <c r="D1877" s="1">
        <v>0.0</v>
      </c>
      <c r="E1877" s="1">
        <v>0.0</v>
      </c>
      <c r="F1877" s="1">
        <v>0.0</v>
      </c>
      <c r="G1877" s="2">
        <v>0.0</v>
      </c>
      <c r="H1877" s="1" t="s">
        <v>46</v>
      </c>
      <c r="I1877" s="1" t="str">
        <f>IFERROR(__xludf.DUMMYFUNCTION("REGEXREPLACE(MID(H1877, SEARCH(""["", H1877) + 1, SEARCH(""]"", H1877) - SEARCH(""["", H1877) - 1), ""\[\]"","""")"),"Arcadia 1")</f>
        <v>Arcadia 1</v>
      </c>
      <c r="J1877" s="1">
        <v>0.0</v>
      </c>
      <c r="K1877" s="1">
        <v>0.0</v>
      </c>
    </row>
    <row r="1878">
      <c r="A1878" s="1">
        <v>1.0</v>
      </c>
      <c r="B1878" s="1">
        <v>4.0</v>
      </c>
      <c r="C1878" s="1">
        <v>0.0</v>
      </c>
      <c r="D1878" s="1">
        <v>0.0</v>
      </c>
      <c r="E1878" s="1">
        <v>0.0</v>
      </c>
      <c r="F1878" s="1">
        <v>0.0</v>
      </c>
      <c r="G1878" s="2">
        <v>0.0</v>
      </c>
      <c r="H1878" s="1" t="s">
        <v>46</v>
      </c>
      <c r="I1878" s="1" t="str">
        <f>IFERROR(__xludf.DUMMYFUNCTION("REGEXREPLACE(MID(H1878, SEARCH(""["", H1878) + 1, SEARCH(""]"", H1878) - SEARCH(""["", H1878) - 1), ""\[\]"","""")"),"Arcadia 1")</f>
        <v>Arcadia 1</v>
      </c>
      <c r="J1878" s="1">
        <v>0.0</v>
      </c>
      <c r="K1878" s="1">
        <v>0.0</v>
      </c>
    </row>
    <row r="1879">
      <c r="A1879" s="1">
        <v>4.0</v>
      </c>
      <c r="B1879" s="1">
        <v>15.0</v>
      </c>
      <c r="C1879" s="1">
        <v>0.0</v>
      </c>
      <c r="D1879" s="1">
        <v>0.0</v>
      </c>
      <c r="E1879" s="1">
        <v>0.0</v>
      </c>
      <c r="F1879" s="1">
        <v>0.0</v>
      </c>
      <c r="G1879" s="2">
        <v>0.0</v>
      </c>
      <c r="H1879" s="1" t="s">
        <v>51</v>
      </c>
      <c r="I1879" s="1" t="str">
        <f>IFERROR(__xludf.DUMMYFUNCTION("REGEXREPLACE(MID(H1879, SEARCH(""["", H1879) + 1, SEARCH(""]"", H1879) - SEARCH(""["", H1879) - 1), ""\[\]"","""")"),"Arcadia 2")</f>
        <v>Arcadia 2</v>
      </c>
      <c r="J1879" s="1">
        <v>0.0</v>
      </c>
      <c r="K1879" s="1">
        <v>0.0</v>
      </c>
    </row>
    <row r="1880">
      <c r="A1880" s="1">
        <v>5.0</v>
      </c>
      <c r="B1880" s="1">
        <v>18.0</v>
      </c>
      <c r="C1880" s="1">
        <v>2.0</v>
      </c>
      <c r="D1880" s="1">
        <v>1.6</v>
      </c>
      <c r="E1880" s="1">
        <v>0.0</v>
      </c>
      <c r="F1880" s="1">
        <v>0.0</v>
      </c>
      <c r="G1880" s="2">
        <v>1.0</v>
      </c>
      <c r="H1880" s="1" t="s">
        <v>54</v>
      </c>
      <c r="I1880" s="1" t="str">
        <f>IFERROR(__xludf.DUMMYFUNCTION("REGEXREPLACE(MID(H1880, SEARCH(""["", H1880) + 1, SEARCH(""]"", H1880) - SEARCH(""["", H1880) - 1), ""\[\]"","""")"),"Arcadia 2")</f>
        <v>Arcadia 2</v>
      </c>
      <c r="J1880" s="1">
        <v>8.0</v>
      </c>
      <c r="K1880" s="1">
        <v>0.0</v>
      </c>
    </row>
    <row r="1881">
      <c r="A1881" s="1">
        <v>1.0</v>
      </c>
      <c r="B1881" s="1">
        <v>3.0</v>
      </c>
      <c r="C1881" s="1">
        <v>0.0</v>
      </c>
      <c r="D1881" s="1">
        <v>0.0</v>
      </c>
      <c r="E1881" s="1">
        <v>0.0</v>
      </c>
      <c r="F1881" s="1">
        <v>0.0</v>
      </c>
      <c r="G1881" s="2">
        <v>0.0</v>
      </c>
      <c r="H1881" s="1" t="s">
        <v>55</v>
      </c>
      <c r="I1881" s="1" t="str">
        <f>IFERROR(__xludf.DUMMYFUNCTION("REGEXREPLACE(MID(H1881, SEARCH(""["", H1881) + 1, SEARCH(""]"", H1881) - SEARCH(""["", H1881) - 1), ""\[\]"","""")"),"Arcadia 2")</f>
        <v>Arcadia 2</v>
      </c>
      <c r="J1881" s="1">
        <v>0.0</v>
      </c>
      <c r="K1881" s="1">
        <v>0.0</v>
      </c>
    </row>
    <row r="1882">
      <c r="A1882" s="1">
        <v>1.0</v>
      </c>
      <c r="B1882" s="1">
        <v>4.0</v>
      </c>
      <c r="C1882" s="1">
        <v>0.0</v>
      </c>
      <c r="D1882" s="1">
        <v>0.0</v>
      </c>
      <c r="E1882" s="1">
        <v>0.0</v>
      </c>
      <c r="F1882" s="1">
        <v>0.0</v>
      </c>
      <c r="G1882" s="2">
        <v>0.0</v>
      </c>
      <c r="H1882" s="1" t="s">
        <v>55</v>
      </c>
      <c r="I1882" s="1" t="str">
        <f>IFERROR(__xludf.DUMMYFUNCTION("REGEXREPLACE(MID(H1882, SEARCH(""["", H1882) + 1, SEARCH(""]"", H1882) - SEARCH(""["", H1882) - 1), ""\[\]"","""")"),"Arcadia 2")</f>
        <v>Arcadia 2</v>
      </c>
      <c r="J1882" s="1">
        <v>0.0</v>
      </c>
      <c r="K1882" s="1">
        <v>0.0</v>
      </c>
    </row>
    <row r="1883">
      <c r="A1883" s="1">
        <v>5.0</v>
      </c>
      <c r="B1883" s="1">
        <v>18.0</v>
      </c>
      <c r="C1883" s="1">
        <v>0.0</v>
      </c>
      <c r="D1883" s="1">
        <v>0.0</v>
      </c>
      <c r="E1883" s="1">
        <v>0.0</v>
      </c>
      <c r="F1883" s="1">
        <v>0.0</v>
      </c>
      <c r="G1883" s="2">
        <v>0.0</v>
      </c>
      <c r="H1883" s="1" t="s">
        <v>59</v>
      </c>
      <c r="I1883" s="1" t="str">
        <f>IFERROR(__xludf.DUMMYFUNCTION("REGEXREPLACE(MID(H1883, SEARCH(""["", H1883) + 1, SEARCH(""]"", H1883) - SEARCH(""["", H1883) - 1), ""\[\]"","""")"),"Arcadia 2")</f>
        <v>Arcadia 2</v>
      </c>
      <c r="J1883" s="1">
        <v>0.0</v>
      </c>
      <c r="K1883" s="1">
        <v>0.0</v>
      </c>
    </row>
    <row r="1884">
      <c r="A1884" s="1">
        <v>1.0</v>
      </c>
      <c r="B1884" s="1">
        <v>3.0</v>
      </c>
      <c r="C1884" s="1">
        <v>0.0</v>
      </c>
      <c r="D1884" s="1">
        <v>0.0</v>
      </c>
      <c r="E1884" s="1">
        <v>0.0</v>
      </c>
      <c r="F1884" s="1">
        <v>0.0</v>
      </c>
      <c r="G1884" s="2">
        <v>0.0</v>
      </c>
      <c r="H1884" s="1" t="s">
        <v>61</v>
      </c>
      <c r="I1884" s="1" t="str">
        <f>IFERROR(__xludf.DUMMYFUNCTION("REGEXREPLACE(MID(H1884, SEARCH(""["", H1884) + 1, SEARCH(""]"", H1884) - SEARCH(""["", H1884) - 1), ""\[\]"","""")"),"Arcadia 2")</f>
        <v>Arcadia 2</v>
      </c>
      <c r="J1884" s="1">
        <v>0.0</v>
      </c>
      <c r="K1884" s="1">
        <v>0.0</v>
      </c>
    </row>
    <row r="1885">
      <c r="A1885" s="1">
        <v>4.0</v>
      </c>
      <c r="B1885" s="1">
        <v>15.0</v>
      </c>
      <c r="C1885" s="1">
        <v>4.0</v>
      </c>
      <c r="D1885" s="1">
        <v>0.0</v>
      </c>
      <c r="E1885" s="1">
        <v>0.0</v>
      </c>
      <c r="F1885" s="1">
        <v>0.0</v>
      </c>
      <c r="G1885" s="2">
        <v>0.0</v>
      </c>
      <c r="H1885" s="1" t="s">
        <v>61</v>
      </c>
      <c r="I1885" s="1" t="str">
        <f>IFERROR(__xludf.DUMMYFUNCTION("REGEXREPLACE(MID(H1885, SEARCH(""["", H1885) + 1, SEARCH(""]"", H1885) - SEARCH(""["", H1885) - 1), ""\[\]"","""")"),"Arcadia 2")</f>
        <v>Arcadia 2</v>
      </c>
      <c r="J1885" s="1">
        <v>0.0</v>
      </c>
      <c r="K1885" s="1">
        <v>0.0</v>
      </c>
    </row>
    <row r="1886">
      <c r="A1886" s="1">
        <v>2.0</v>
      </c>
      <c r="B1886" s="1">
        <v>7.0</v>
      </c>
      <c r="C1886" s="1">
        <v>5.0</v>
      </c>
      <c r="D1886" s="1">
        <v>2.0</v>
      </c>
      <c r="E1886" s="1">
        <v>0.0</v>
      </c>
      <c r="F1886" s="1">
        <v>0.0</v>
      </c>
      <c r="G1886" s="2">
        <v>0.2</v>
      </c>
      <c r="H1886" s="1" t="s">
        <v>65</v>
      </c>
      <c r="I1886" s="1" t="str">
        <f>IFERROR(__xludf.DUMMYFUNCTION("REGEXREPLACE(MID(H1886, SEARCH(""["", H1886) + 1, SEARCH(""]"", H1886) - SEARCH(""["", H1886) - 1), ""\[\]"","""")"),"BISV 1")</f>
        <v>BISV 1</v>
      </c>
      <c r="J1886" s="1">
        <v>4.0</v>
      </c>
      <c r="K1886" s="1">
        <v>0.0</v>
      </c>
    </row>
    <row r="1887">
      <c r="A1887" s="1">
        <v>5.0</v>
      </c>
      <c r="B1887" s="1">
        <v>19.0</v>
      </c>
      <c r="C1887" s="1">
        <v>0.0</v>
      </c>
      <c r="D1887" s="1">
        <v>0.0</v>
      </c>
      <c r="E1887" s="1">
        <v>0.0</v>
      </c>
      <c r="F1887" s="1">
        <v>0.0</v>
      </c>
      <c r="G1887" s="2">
        <v>0.0</v>
      </c>
      <c r="H1887" s="1" t="s">
        <v>68</v>
      </c>
      <c r="I1887" s="1" t="str">
        <f>IFERROR(__xludf.DUMMYFUNCTION("REGEXREPLACE(MID(H1887, SEARCH(""["", H1887) + 1, SEARCH(""]"", H1887) - SEARCH(""["", H1887) - 1), ""\[\]"","""")"),"BISV 1")</f>
        <v>BISV 1</v>
      </c>
      <c r="J1887" s="1">
        <v>0.0</v>
      </c>
      <c r="K1887" s="1">
        <v>0.0</v>
      </c>
    </row>
    <row r="1888">
      <c r="A1888" s="1">
        <v>5.0</v>
      </c>
      <c r="B1888" s="1">
        <v>19.0</v>
      </c>
      <c r="C1888" s="1">
        <v>3.0</v>
      </c>
      <c r="D1888" s="1">
        <v>0.0</v>
      </c>
      <c r="E1888" s="1">
        <v>0.0</v>
      </c>
      <c r="F1888" s="1">
        <v>0.0</v>
      </c>
      <c r="G1888" s="2">
        <v>0.0</v>
      </c>
      <c r="H1888" s="1" t="s">
        <v>71</v>
      </c>
      <c r="I1888" s="1" t="str">
        <f>IFERROR(__xludf.DUMMYFUNCTION("REGEXREPLACE(MID(H1888, SEARCH(""["", H1888) + 1, SEARCH(""]"", H1888) - SEARCH(""["", H1888) - 1), ""\[\]"","""")"),"BISV 1")</f>
        <v>BISV 1</v>
      </c>
      <c r="J1888" s="1">
        <v>0.0</v>
      </c>
      <c r="K1888" s="1">
        <v>0.0</v>
      </c>
    </row>
    <row r="1889">
      <c r="A1889" s="1">
        <v>1.0</v>
      </c>
      <c r="B1889" s="1">
        <v>4.0</v>
      </c>
      <c r="C1889" s="1">
        <v>0.0</v>
      </c>
      <c r="D1889" s="1">
        <v>0.0</v>
      </c>
      <c r="E1889" s="1">
        <v>0.0</v>
      </c>
      <c r="F1889" s="1">
        <v>0.0</v>
      </c>
      <c r="G1889" s="2">
        <v>0.0</v>
      </c>
      <c r="H1889" s="1" t="s">
        <v>73</v>
      </c>
      <c r="I1889" s="1" t="str">
        <f>IFERROR(__xludf.DUMMYFUNCTION("REGEXREPLACE(MID(H1889, SEARCH(""["", H1889) + 1, SEARCH(""]"", H1889) - SEARCH(""["", H1889) - 1), ""\[\]"","""")"),"BISV 1")</f>
        <v>BISV 1</v>
      </c>
      <c r="J1889" s="1">
        <v>0.0</v>
      </c>
      <c r="K1889" s="1">
        <v>0.0</v>
      </c>
    </row>
    <row r="1890">
      <c r="A1890" s="1">
        <v>2.0</v>
      </c>
      <c r="B1890" s="1">
        <v>8.0</v>
      </c>
      <c r="C1890" s="1">
        <v>2.0</v>
      </c>
      <c r="D1890" s="1">
        <v>0.0</v>
      </c>
      <c r="E1890" s="1">
        <v>0.0</v>
      </c>
      <c r="F1890" s="1">
        <v>0.0</v>
      </c>
      <c r="G1890" s="2">
        <v>0.0</v>
      </c>
      <c r="H1890" s="1" t="s">
        <v>73</v>
      </c>
      <c r="I1890" s="1" t="str">
        <f>IFERROR(__xludf.DUMMYFUNCTION("REGEXREPLACE(MID(H1890, SEARCH(""["", H1890) + 1, SEARCH(""]"", H1890) - SEARCH(""["", H1890) - 1), ""\[\]"","""")"),"BISV 1")</f>
        <v>BISV 1</v>
      </c>
      <c r="J1890" s="1">
        <v>0.0</v>
      </c>
      <c r="K1890" s="1">
        <v>0.0</v>
      </c>
    </row>
    <row r="1891">
      <c r="A1891" s="1">
        <v>1.0</v>
      </c>
      <c r="B1891" s="1">
        <v>4.0</v>
      </c>
      <c r="C1891" s="1">
        <v>0.0</v>
      </c>
      <c r="D1891" s="1">
        <v>0.0</v>
      </c>
      <c r="E1891" s="1">
        <v>0.0</v>
      </c>
      <c r="F1891" s="1">
        <v>0.0</v>
      </c>
      <c r="G1891" s="2">
        <v>0.0</v>
      </c>
      <c r="H1891" s="1" t="s">
        <v>75</v>
      </c>
      <c r="I1891" s="1" t="str">
        <f>IFERROR(__xludf.DUMMYFUNCTION("REGEXREPLACE(MID(H1891, SEARCH(""["", H1891) + 1, SEARCH(""]"", H1891) - SEARCH(""["", H1891) - 1), ""\[\]"","""")"),"BISV 2")</f>
        <v>BISV 2</v>
      </c>
      <c r="J1891" s="1">
        <v>0.0</v>
      </c>
      <c r="K1891" s="1">
        <v>0.0</v>
      </c>
    </row>
    <row r="1892">
      <c r="A1892" s="1">
        <v>4.0</v>
      </c>
      <c r="B1892" s="1">
        <v>15.0</v>
      </c>
      <c r="C1892" s="1">
        <v>5.0</v>
      </c>
      <c r="D1892" s="1">
        <v>1.0</v>
      </c>
      <c r="E1892" s="1">
        <v>0.0</v>
      </c>
      <c r="F1892" s="1">
        <v>0.0</v>
      </c>
      <c r="G1892" s="2">
        <v>0.2</v>
      </c>
      <c r="H1892" s="1" t="s">
        <v>75</v>
      </c>
      <c r="I1892" s="1" t="str">
        <f>IFERROR(__xludf.DUMMYFUNCTION("REGEXREPLACE(MID(H1892, SEARCH(""["", H1892) + 1, SEARCH(""]"", H1892) - SEARCH(""["", H1892) - 1), ""\[\]"","""")"),"BISV 2")</f>
        <v>BISV 2</v>
      </c>
      <c r="J1892" s="1">
        <v>4.0</v>
      </c>
      <c r="K1892" s="1">
        <v>0.0</v>
      </c>
    </row>
    <row r="1893">
      <c r="A1893" s="1">
        <v>1.0</v>
      </c>
      <c r="B1893" s="1">
        <v>4.0</v>
      </c>
      <c r="C1893" s="1">
        <v>1.0</v>
      </c>
      <c r="D1893" s="1">
        <v>4.0</v>
      </c>
      <c r="E1893" s="1">
        <v>0.0</v>
      </c>
      <c r="F1893" s="1">
        <v>0.0</v>
      </c>
      <c r="G1893" s="2">
        <v>1.0</v>
      </c>
      <c r="H1893" s="1" t="s">
        <v>79</v>
      </c>
      <c r="I1893" s="1" t="str">
        <f>IFERROR(__xludf.DUMMYFUNCTION("REGEXREPLACE(MID(H1893, SEARCH(""["", H1893) + 1, SEARCH(""]"", H1893) - SEARCH(""["", H1893) - 1), ""\[\]"","""")"),"BISV 2")</f>
        <v>BISV 2</v>
      </c>
      <c r="J1893" s="1">
        <v>4.0</v>
      </c>
      <c r="K1893" s="1">
        <v>0.0</v>
      </c>
    </row>
    <row r="1894">
      <c r="A1894" s="1">
        <v>2.0</v>
      </c>
      <c r="B1894" s="1">
        <v>8.0</v>
      </c>
      <c r="C1894" s="1">
        <v>2.0</v>
      </c>
      <c r="D1894" s="1">
        <v>4.0</v>
      </c>
      <c r="E1894" s="1">
        <v>0.0</v>
      </c>
      <c r="F1894" s="1">
        <v>0.0</v>
      </c>
      <c r="G1894" s="2">
        <v>1.0</v>
      </c>
      <c r="H1894" s="1" t="s">
        <v>79</v>
      </c>
      <c r="I1894" s="1" t="str">
        <f>IFERROR(__xludf.DUMMYFUNCTION("REGEXREPLACE(MID(H1894, SEARCH(""["", H1894) + 1, SEARCH(""]"", H1894) - SEARCH(""["", H1894) - 1), ""\[\]"","""")"),"BISV 2")</f>
        <v>BISV 2</v>
      </c>
      <c r="J1894" s="1">
        <v>8.0</v>
      </c>
      <c r="K1894" s="1">
        <v>0.0</v>
      </c>
    </row>
    <row r="1895">
      <c r="A1895" s="1">
        <v>1.0</v>
      </c>
      <c r="B1895" s="1">
        <v>3.0</v>
      </c>
      <c r="C1895" s="1">
        <v>1.0</v>
      </c>
      <c r="D1895" s="1">
        <v>4.0</v>
      </c>
      <c r="E1895" s="1">
        <v>0.0</v>
      </c>
      <c r="F1895" s="1">
        <v>0.0</v>
      </c>
      <c r="G1895" s="2">
        <v>1.0</v>
      </c>
      <c r="H1895" s="1" t="s">
        <v>79</v>
      </c>
      <c r="I1895" s="1" t="str">
        <f>IFERROR(__xludf.DUMMYFUNCTION("REGEXREPLACE(MID(H1895, SEARCH(""["", H1895) + 1, SEARCH(""]"", H1895) - SEARCH(""["", H1895) - 1), ""\[\]"","""")"),"BISV 2")</f>
        <v>BISV 2</v>
      </c>
      <c r="J1895" s="1">
        <v>4.0</v>
      </c>
      <c r="K1895" s="1">
        <v>0.0</v>
      </c>
    </row>
    <row r="1896">
      <c r="A1896" s="1">
        <v>1.0</v>
      </c>
      <c r="B1896" s="1">
        <v>4.0</v>
      </c>
      <c r="C1896" s="1">
        <v>1.0</v>
      </c>
      <c r="D1896" s="1">
        <v>-4.0</v>
      </c>
      <c r="E1896" s="1">
        <v>1.0</v>
      </c>
      <c r="F1896" s="1">
        <v>0.0</v>
      </c>
      <c r="G1896" s="2">
        <v>0.0</v>
      </c>
      <c r="H1896" s="1" t="s">
        <v>79</v>
      </c>
      <c r="I1896" s="1" t="str">
        <f>IFERROR(__xludf.DUMMYFUNCTION("REGEXREPLACE(MID(H1896, SEARCH(""["", H1896) + 1, SEARCH(""]"", H1896) - SEARCH(""["", H1896) - 1), ""\[\]"","""")"),"BISV 2")</f>
        <v>BISV 2</v>
      </c>
      <c r="J1896" s="1">
        <v>-4.0</v>
      </c>
      <c r="K1896" s="1">
        <v>1.0</v>
      </c>
    </row>
    <row r="1897">
      <c r="A1897" s="1">
        <v>1.0</v>
      </c>
      <c r="B1897" s="1">
        <v>4.0</v>
      </c>
      <c r="C1897" s="1">
        <v>0.0</v>
      </c>
      <c r="D1897" s="1">
        <v>0.0</v>
      </c>
      <c r="E1897" s="1">
        <v>0.0</v>
      </c>
      <c r="F1897" s="1">
        <v>0.0</v>
      </c>
      <c r="G1897" s="2">
        <v>0.0</v>
      </c>
      <c r="H1897" s="1" t="s">
        <v>85</v>
      </c>
      <c r="I1897" s="1" t="str">
        <f>IFERROR(__xludf.DUMMYFUNCTION("REGEXREPLACE(MID(H1897, SEARCH(""["", H1897) + 1, SEARCH(""]"", H1897) - SEARCH(""["", H1897) - 1), ""\[\]"","""")"),"BISV 2")</f>
        <v>BISV 2</v>
      </c>
      <c r="J1897" s="1">
        <v>0.0</v>
      </c>
      <c r="K1897" s="1">
        <v>0.0</v>
      </c>
    </row>
    <row r="1898">
      <c r="A1898" s="1">
        <v>1.0</v>
      </c>
      <c r="B1898" s="1">
        <v>4.0</v>
      </c>
      <c r="C1898" s="1">
        <v>1.0</v>
      </c>
      <c r="D1898" s="1">
        <v>0.0</v>
      </c>
      <c r="E1898" s="1">
        <v>0.0</v>
      </c>
      <c r="F1898" s="1">
        <v>0.0</v>
      </c>
      <c r="G1898" s="2">
        <v>0.0</v>
      </c>
      <c r="H1898" s="1" t="s">
        <v>88</v>
      </c>
      <c r="I1898" s="1" t="str">
        <f>IFERROR(__xludf.DUMMYFUNCTION("REGEXREPLACE(MID(H1898, SEARCH(""["", H1898) + 1, SEARCH(""]"", H1898) - SEARCH(""["", H1898) - 1), ""\[\]"","""")"),"BISV 2")</f>
        <v>BISV 2</v>
      </c>
      <c r="J1898" s="1">
        <v>0.0</v>
      </c>
      <c r="K1898" s="1">
        <v>0.0</v>
      </c>
    </row>
    <row r="1899">
      <c r="A1899" s="1">
        <v>2.0</v>
      </c>
      <c r="B1899" s="1">
        <v>7.0</v>
      </c>
      <c r="C1899" s="1">
        <v>0.0</v>
      </c>
      <c r="D1899" s="1">
        <v>0.0</v>
      </c>
      <c r="E1899" s="1">
        <v>0.0</v>
      </c>
      <c r="F1899" s="1">
        <v>0.0</v>
      </c>
      <c r="G1899" s="2">
        <v>0.0</v>
      </c>
      <c r="H1899" s="1" t="s">
        <v>88</v>
      </c>
      <c r="I1899" s="1" t="str">
        <f>IFERROR(__xludf.DUMMYFUNCTION("REGEXREPLACE(MID(H1899, SEARCH(""["", H1899) + 1, SEARCH(""]"", H1899) - SEARCH(""["", H1899) - 1), ""\[\]"","""")"),"BISV 2")</f>
        <v>BISV 2</v>
      </c>
      <c r="J1899" s="1">
        <v>0.0</v>
      </c>
      <c r="K1899" s="1">
        <v>0.0</v>
      </c>
    </row>
    <row r="1900">
      <c r="A1900" s="1">
        <v>1.0</v>
      </c>
      <c r="B1900" s="1">
        <v>4.0</v>
      </c>
      <c r="C1900" s="1">
        <v>1.0</v>
      </c>
      <c r="D1900" s="1">
        <v>0.0</v>
      </c>
      <c r="E1900" s="1">
        <v>0.0</v>
      </c>
      <c r="F1900" s="1">
        <v>0.0</v>
      </c>
      <c r="G1900" s="2">
        <v>0.0</v>
      </c>
      <c r="H1900" s="1" t="s">
        <v>76</v>
      </c>
      <c r="I1900" s="1" t="str">
        <f>IFERROR(__xludf.DUMMYFUNCTION("REGEXREPLACE(MID(H1900, SEARCH(""["", H1900) + 1, SEARCH(""]"", H1900) - SEARCH(""["", H1900) - 1), ""\[\]"","""")"),"BISV 2")</f>
        <v>BISV 2</v>
      </c>
      <c r="J1900" s="1">
        <v>0.0</v>
      </c>
      <c r="K1900" s="1">
        <v>0.0</v>
      </c>
    </row>
    <row r="1901">
      <c r="A1901" s="1">
        <v>4.0</v>
      </c>
      <c r="B1901" s="1">
        <v>15.0</v>
      </c>
      <c r="C1901" s="1">
        <v>2.0</v>
      </c>
      <c r="D1901" s="1">
        <v>2.0</v>
      </c>
      <c r="E1901" s="1">
        <v>0.0</v>
      </c>
      <c r="F1901" s="1">
        <v>0.0</v>
      </c>
      <c r="G1901" s="2">
        <v>1.0</v>
      </c>
      <c r="H1901" s="1" t="s">
        <v>92</v>
      </c>
      <c r="I1901" s="1" t="str">
        <f>IFERROR(__xludf.DUMMYFUNCTION("REGEXREPLACE(MID(H1901, SEARCH(""["", H1901) + 1, SEARCH(""]"", H1901) - SEARCH(""["", H1901) - 1), ""\[\]"","""")"),"Blair")</f>
        <v>Blair</v>
      </c>
      <c r="J1901" s="1">
        <v>8.0</v>
      </c>
      <c r="K1901" s="1">
        <v>0.0</v>
      </c>
    </row>
    <row r="1902">
      <c r="A1902" s="1">
        <v>3.0</v>
      </c>
      <c r="B1902" s="1">
        <v>12.0</v>
      </c>
      <c r="C1902" s="1">
        <v>6.0</v>
      </c>
      <c r="D1902" s="1">
        <v>8.0</v>
      </c>
      <c r="E1902" s="1">
        <v>0.0</v>
      </c>
      <c r="F1902" s="1">
        <v>0.0</v>
      </c>
      <c r="G1902" s="2">
        <v>1.0</v>
      </c>
      <c r="H1902" s="1" t="s">
        <v>94</v>
      </c>
      <c r="I1902" s="1" t="str">
        <f>IFERROR(__xludf.DUMMYFUNCTION("REGEXREPLACE(MID(H1902, SEARCH(""["", H1902) + 1, SEARCH(""]"", H1902) - SEARCH(""["", H1902) - 1), ""\[\]"","""")"),"Blair")</f>
        <v>Blair</v>
      </c>
      <c r="J1902" s="1">
        <v>24.0</v>
      </c>
      <c r="K1902" s="1">
        <v>0.0</v>
      </c>
    </row>
    <row r="1903">
      <c r="A1903" s="1">
        <v>4.0</v>
      </c>
      <c r="B1903" s="1">
        <v>15.0</v>
      </c>
      <c r="C1903" s="1">
        <v>2.0</v>
      </c>
      <c r="D1903" s="1">
        <v>0.0</v>
      </c>
      <c r="E1903" s="1">
        <v>0.25</v>
      </c>
      <c r="F1903" s="1">
        <v>0.0</v>
      </c>
      <c r="G1903" s="2">
        <v>0.5</v>
      </c>
      <c r="H1903" s="1" t="s">
        <v>96</v>
      </c>
      <c r="I1903" s="1" t="str">
        <f>IFERROR(__xludf.DUMMYFUNCTION("REGEXREPLACE(MID(H1903, SEARCH(""["", H1903) + 1, SEARCH(""]"", H1903) - SEARCH(""["", H1903) - 1), ""\[\]"","""")"),"Blair")</f>
        <v>Blair</v>
      </c>
      <c r="J1903" s="1">
        <v>0.0</v>
      </c>
      <c r="K1903" s="1">
        <v>1.0</v>
      </c>
    </row>
    <row r="1904">
      <c r="A1904" s="1">
        <v>1.0</v>
      </c>
      <c r="B1904" s="1">
        <v>4.0</v>
      </c>
      <c r="C1904" s="1">
        <v>2.0</v>
      </c>
      <c r="D1904" s="1">
        <v>0.0</v>
      </c>
      <c r="E1904" s="1">
        <v>1.0</v>
      </c>
      <c r="F1904" s="1">
        <v>0.0</v>
      </c>
      <c r="G1904" s="2">
        <v>0.5</v>
      </c>
      <c r="H1904" s="1" t="s">
        <v>96</v>
      </c>
      <c r="I1904" s="1" t="str">
        <f>IFERROR(__xludf.DUMMYFUNCTION("REGEXREPLACE(MID(H1904, SEARCH(""["", H1904) + 1, SEARCH(""]"", H1904) - SEARCH(""["", H1904) - 1), ""\[\]"","""")"),"Blair")</f>
        <v>Blair</v>
      </c>
      <c r="J1904" s="1">
        <v>0.0</v>
      </c>
      <c r="K1904" s="1">
        <v>1.0</v>
      </c>
    </row>
    <row r="1905">
      <c r="A1905" s="1">
        <v>5.0</v>
      </c>
      <c r="B1905" s="1">
        <v>19.0</v>
      </c>
      <c r="C1905" s="1">
        <v>3.0</v>
      </c>
      <c r="D1905" s="1">
        <v>1.6</v>
      </c>
      <c r="E1905" s="1">
        <v>0.0</v>
      </c>
      <c r="F1905" s="1">
        <v>0.0</v>
      </c>
      <c r="G1905" s="6">
        <v>0.667</v>
      </c>
      <c r="H1905" s="1" t="s">
        <v>90</v>
      </c>
      <c r="I1905" s="1" t="str">
        <f>IFERROR(__xludf.DUMMYFUNCTION("REGEXREPLACE(MID(H1905, SEARCH(""["", H1905) + 1, SEARCH(""]"", H1905) - SEARCH(""["", H1905) - 1), ""\[\]"","""")"),"Blair")</f>
        <v>Blair</v>
      </c>
      <c r="J1905" s="1">
        <v>8.0</v>
      </c>
      <c r="K1905" s="1">
        <v>0.0</v>
      </c>
    </row>
    <row r="1906">
      <c r="A1906" s="1">
        <v>4.0</v>
      </c>
      <c r="B1906" s="1">
        <v>15.0</v>
      </c>
      <c r="C1906" s="1">
        <v>1.0</v>
      </c>
      <c r="D1906" s="1">
        <v>0.0</v>
      </c>
      <c r="E1906" s="1">
        <v>0.0</v>
      </c>
      <c r="F1906" s="1">
        <v>0.0</v>
      </c>
      <c r="G1906" s="2">
        <v>0.0</v>
      </c>
      <c r="H1906" s="1" t="s">
        <v>100</v>
      </c>
      <c r="I1906" s="1" t="str">
        <f>IFERROR(__xludf.DUMMYFUNCTION("REGEXREPLACE(MID(H1906, SEARCH(""["", H1906) + 1, SEARCH(""]"", H1906) - SEARCH(""["", H1906) - 1), ""\[\]"","""")"),"Blair")</f>
        <v>Blair</v>
      </c>
      <c r="J1906" s="1">
        <v>0.0</v>
      </c>
      <c r="K1906" s="1">
        <v>0.0</v>
      </c>
    </row>
    <row r="1907">
      <c r="A1907" s="1">
        <v>1.0</v>
      </c>
      <c r="B1907" s="1">
        <v>4.0</v>
      </c>
      <c r="C1907" s="1">
        <v>0.0</v>
      </c>
      <c r="D1907" s="1">
        <v>0.0</v>
      </c>
      <c r="E1907" s="1">
        <v>0.0</v>
      </c>
      <c r="F1907" s="1">
        <v>0.0</v>
      </c>
      <c r="G1907" s="2">
        <v>0.0</v>
      </c>
      <c r="H1907" s="1" t="s">
        <v>102</v>
      </c>
      <c r="I1907" s="1" t="str">
        <f>IFERROR(__xludf.DUMMYFUNCTION("REGEXREPLACE(MID(H1907, SEARCH(""["", H1907) + 1, SEARCH(""]"", H1907) - SEARCH(""["", H1907) - 1), ""\[\]"","""")"),"Bridgeland HS")</f>
        <v>Bridgeland HS</v>
      </c>
      <c r="J1907" s="1">
        <v>0.0</v>
      </c>
      <c r="K1907" s="1">
        <v>0.0</v>
      </c>
    </row>
    <row r="1908">
      <c r="A1908" s="1">
        <v>1.0</v>
      </c>
      <c r="B1908" s="1">
        <v>4.0</v>
      </c>
      <c r="C1908" s="1">
        <v>0.0</v>
      </c>
      <c r="D1908" s="1">
        <v>0.0</v>
      </c>
      <c r="E1908" s="1">
        <v>0.0</v>
      </c>
      <c r="F1908" s="1">
        <v>0.0</v>
      </c>
      <c r="G1908" s="2">
        <v>0.0</v>
      </c>
      <c r="H1908" s="1" t="s">
        <v>102</v>
      </c>
      <c r="I1908" s="1" t="str">
        <f>IFERROR(__xludf.DUMMYFUNCTION("REGEXREPLACE(MID(H1908, SEARCH(""["", H1908) + 1, SEARCH(""]"", H1908) - SEARCH(""["", H1908) - 1), ""\[\]"","""")"),"Bridgeland HS")</f>
        <v>Bridgeland HS</v>
      </c>
      <c r="J1908" s="1">
        <v>0.0</v>
      </c>
      <c r="K1908" s="1">
        <v>0.0</v>
      </c>
    </row>
    <row r="1909">
      <c r="A1909" s="1">
        <v>5.0</v>
      </c>
      <c r="B1909" s="1">
        <v>20.0</v>
      </c>
      <c r="C1909" s="1">
        <v>7.0</v>
      </c>
      <c r="D1909" s="1">
        <v>5.6</v>
      </c>
      <c r="E1909" s="1">
        <v>0.0</v>
      </c>
      <c r="F1909" s="1">
        <v>0.0</v>
      </c>
      <c r="G1909" s="2">
        <v>1.0</v>
      </c>
      <c r="H1909" s="1" t="s">
        <v>66</v>
      </c>
      <c r="I1909" s="1" t="str">
        <f>IFERROR(__xludf.DUMMYFUNCTION("REGEXREPLACE(MID(H1909, SEARCH(""["", H1909) + 1, SEARCH(""]"", H1909) - SEARCH(""["", H1909) - 1), ""\[\]"","""")"),"Bridgeland HS")</f>
        <v>Bridgeland HS</v>
      </c>
      <c r="J1909" s="1">
        <v>28.0</v>
      </c>
      <c r="K1909" s="1">
        <v>0.0</v>
      </c>
    </row>
    <row r="1910">
      <c r="A1910" s="1">
        <v>2.0</v>
      </c>
      <c r="B1910" s="1">
        <v>8.0</v>
      </c>
      <c r="C1910" s="1">
        <v>0.0</v>
      </c>
      <c r="D1910" s="1">
        <v>0.0</v>
      </c>
      <c r="E1910" s="1">
        <v>0.0</v>
      </c>
      <c r="F1910" s="1">
        <v>0.0</v>
      </c>
      <c r="G1910" s="2">
        <v>0.0</v>
      </c>
      <c r="H1910" s="1" t="s">
        <v>108</v>
      </c>
      <c r="I1910" s="1" t="str">
        <f>IFERROR(__xludf.DUMMYFUNCTION("REGEXREPLACE(MID(H1910, SEARCH(""["", H1910) + 1, SEARCH(""]"", H1910) - SEARCH(""["", H1910) - 1), ""\[\]"","""")"),"Bridgeland HS")</f>
        <v>Bridgeland HS</v>
      </c>
      <c r="J1910" s="1">
        <v>0.0</v>
      </c>
      <c r="K1910" s="1">
        <v>0.0</v>
      </c>
    </row>
    <row r="1911">
      <c r="A1911" s="1">
        <v>2.0</v>
      </c>
      <c r="B1911" s="1">
        <v>8.0</v>
      </c>
      <c r="C1911" s="1">
        <v>0.0</v>
      </c>
      <c r="D1911" s="1">
        <v>0.0</v>
      </c>
      <c r="E1911" s="1">
        <v>0.0</v>
      </c>
      <c r="F1911" s="1">
        <v>0.0</v>
      </c>
      <c r="G1911" s="2">
        <v>0.0</v>
      </c>
      <c r="H1911" s="1" t="s">
        <v>109</v>
      </c>
      <c r="I1911" s="1" t="str">
        <f>IFERROR(__xludf.DUMMYFUNCTION("REGEXREPLACE(MID(H1911, SEARCH(""["", H1911) + 1, SEARCH(""]"", H1911) - SEARCH(""["", H1911) - 1), ""\[\]"","""")"),"Bridgeland HS")</f>
        <v>Bridgeland HS</v>
      </c>
      <c r="J1911" s="1">
        <v>0.0</v>
      </c>
      <c r="K1911" s="1">
        <v>0.0</v>
      </c>
    </row>
    <row r="1912">
      <c r="A1912" s="1">
        <v>1.0</v>
      </c>
      <c r="B1912" s="1">
        <v>4.0</v>
      </c>
      <c r="C1912" s="1">
        <v>0.0</v>
      </c>
      <c r="D1912" s="1">
        <v>0.0</v>
      </c>
      <c r="E1912" s="1">
        <v>0.0</v>
      </c>
      <c r="F1912" s="1">
        <v>0.0</v>
      </c>
      <c r="G1912" s="2">
        <v>0.0</v>
      </c>
      <c r="H1912" s="1" t="s">
        <v>110</v>
      </c>
      <c r="I1912" s="1" t="str">
        <f>IFERROR(__xludf.DUMMYFUNCTION("REGEXREPLACE(MID(H1912, SEARCH(""["", H1912) + 1, SEARCH(""]"", H1912) - SEARCH(""["", H1912) - 1), ""\[\]"","""")"),"Bridgeland HS")</f>
        <v>Bridgeland HS</v>
      </c>
      <c r="J1912" s="1">
        <v>0.0</v>
      </c>
      <c r="K1912" s="1">
        <v>0.0</v>
      </c>
    </row>
    <row r="1913">
      <c r="A1913" s="1">
        <v>2.0</v>
      </c>
      <c r="B1913" s="1">
        <v>8.0</v>
      </c>
      <c r="C1913" s="1">
        <v>0.0</v>
      </c>
      <c r="D1913" s="1">
        <v>0.0</v>
      </c>
      <c r="E1913" s="1">
        <v>0.0</v>
      </c>
      <c r="F1913" s="1">
        <v>0.0</v>
      </c>
      <c r="G1913" s="2">
        <v>0.0</v>
      </c>
      <c r="H1913" s="1" t="s">
        <v>111</v>
      </c>
      <c r="I1913" s="1" t="str">
        <f>IFERROR(__xludf.DUMMYFUNCTION("REGEXREPLACE(MID(H1913, SEARCH(""["", H1913) + 1, SEARCH(""]"", H1913) - SEARCH(""["", H1913) - 1), ""\[\]"","""")"),"Camas Papermakers")</f>
        <v>Camas Papermakers</v>
      </c>
      <c r="J1913" s="1">
        <v>0.0</v>
      </c>
      <c r="K1913" s="1">
        <v>0.0</v>
      </c>
    </row>
    <row r="1914">
      <c r="A1914" s="1">
        <v>1.0</v>
      </c>
      <c r="B1914" s="1">
        <v>4.0</v>
      </c>
      <c r="C1914" s="1">
        <v>0.0</v>
      </c>
      <c r="D1914" s="1">
        <v>0.0</v>
      </c>
      <c r="E1914" s="1">
        <v>0.0</v>
      </c>
      <c r="F1914" s="1">
        <v>0.0</v>
      </c>
      <c r="G1914" s="2">
        <v>0.0</v>
      </c>
      <c r="H1914" s="1" t="s">
        <v>111</v>
      </c>
      <c r="I1914" s="1" t="str">
        <f>IFERROR(__xludf.DUMMYFUNCTION("REGEXREPLACE(MID(H1914, SEARCH(""["", H1914) + 1, SEARCH(""]"", H1914) - SEARCH(""["", H1914) - 1), ""\[\]"","""")"),"Camas Papermakers")</f>
        <v>Camas Papermakers</v>
      </c>
      <c r="J1914" s="1">
        <v>0.0</v>
      </c>
      <c r="K1914" s="1">
        <v>0.0</v>
      </c>
    </row>
    <row r="1915">
      <c r="A1915" s="1">
        <v>2.0</v>
      </c>
      <c r="B1915" s="1">
        <v>8.0</v>
      </c>
      <c r="C1915" s="1">
        <v>0.0</v>
      </c>
      <c r="D1915" s="1">
        <v>0.0</v>
      </c>
      <c r="E1915" s="1">
        <v>0.0</v>
      </c>
      <c r="F1915" s="1">
        <v>0.0</v>
      </c>
      <c r="G1915" s="2">
        <v>0.0</v>
      </c>
      <c r="H1915" s="1" t="s">
        <v>111</v>
      </c>
      <c r="I1915" s="1" t="str">
        <f>IFERROR(__xludf.DUMMYFUNCTION("REGEXREPLACE(MID(H1915, SEARCH(""["", H1915) + 1, SEARCH(""]"", H1915) - SEARCH(""["", H1915) - 1), ""\[\]"","""")"),"Camas Papermakers")</f>
        <v>Camas Papermakers</v>
      </c>
      <c r="J1915" s="1">
        <v>0.0</v>
      </c>
      <c r="K1915" s="1">
        <v>0.0</v>
      </c>
    </row>
    <row r="1916">
      <c r="A1916" s="1">
        <v>3.0</v>
      </c>
      <c r="B1916" s="1">
        <v>12.0</v>
      </c>
      <c r="C1916" s="1">
        <v>0.0</v>
      </c>
      <c r="D1916" s="1">
        <v>0.0</v>
      </c>
      <c r="E1916" s="1">
        <v>0.0</v>
      </c>
      <c r="F1916" s="1">
        <v>0.0</v>
      </c>
      <c r="G1916" s="2">
        <v>0.0</v>
      </c>
      <c r="H1916" s="1" t="s">
        <v>115</v>
      </c>
      <c r="I1916" s="1" t="str">
        <f>IFERROR(__xludf.DUMMYFUNCTION("REGEXREPLACE(MID(H1916, SEARCH(""["", H1916) + 1, SEARCH(""]"", H1916) - SEARCH(""["", H1916) - 1), ""\[\]"","""")"),"Camas Papermakers")</f>
        <v>Camas Papermakers</v>
      </c>
      <c r="J1916" s="1">
        <v>0.0</v>
      </c>
      <c r="K1916" s="1">
        <v>0.0</v>
      </c>
    </row>
    <row r="1917">
      <c r="A1917" s="1">
        <v>2.0</v>
      </c>
      <c r="B1917" s="1">
        <v>8.0</v>
      </c>
      <c r="C1917" s="1">
        <v>0.0</v>
      </c>
      <c r="D1917" s="1">
        <v>0.0</v>
      </c>
      <c r="E1917" s="1">
        <v>0.0</v>
      </c>
      <c r="F1917" s="1">
        <v>0.0</v>
      </c>
      <c r="G1917" s="2">
        <v>0.0</v>
      </c>
      <c r="H1917" s="1" t="s">
        <v>115</v>
      </c>
      <c r="I1917" s="1" t="str">
        <f>IFERROR(__xludf.DUMMYFUNCTION("REGEXREPLACE(MID(H1917, SEARCH(""["", H1917) + 1, SEARCH(""]"", H1917) - SEARCH(""["", H1917) - 1), ""\[\]"","""")"),"Camas Papermakers")</f>
        <v>Camas Papermakers</v>
      </c>
      <c r="J1917" s="1">
        <v>0.0</v>
      </c>
      <c r="K1917" s="1">
        <v>0.0</v>
      </c>
    </row>
    <row r="1918">
      <c r="A1918" s="1">
        <v>2.0</v>
      </c>
      <c r="B1918" s="1">
        <v>8.0</v>
      </c>
      <c r="C1918" s="1">
        <v>2.0</v>
      </c>
      <c r="D1918" s="1">
        <v>4.0</v>
      </c>
      <c r="E1918" s="1">
        <v>0.0</v>
      </c>
      <c r="F1918" s="1">
        <v>0.0</v>
      </c>
      <c r="G1918" s="2">
        <v>1.0</v>
      </c>
      <c r="H1918" s="1" t="s">
        <v>117</v>
      </c>
      <c r="I1918" s="1" t="str">
        <f>IFERROR(__xludf.DUMMYFUNCTION("REGEXREPLACE(MID(H1918, SEARCH(""["", H1918) + 1, SEARCH(""]"", H1918) - SEARCH(""["", H1918) - 1), ""\[\]"","""")"),"Camas Papermakers")</f>
        <v>Camas Papermakers</v>
      </c>
      <c r="J1918" s="1">
        <v>8.0</v>
      </c>
      <c r="K1918" s="1">
        <v>0.0</v>
      </c>
    </row>
    <row r="1919">
      <c r="A1919" s="1">
        <v>1.0</v>
      </c>
      <c r="B1919" s="1">
        <v>4.0</v>
      </c>
      <c r="C1919" s="1">
        <v>1.0</v>
      </c>
      <c r="D1919" s="1">
        <v>4.0</v>
      </c>
      <c r="E1919" s="1">
        <v>0.0</v>
      </c>
      <c r="F1919" s="1">
        <v>0.0</v>
      </c>
      <c r="G1919" s="2">
        <v>1.0</v>
      </c>
      <c r="H1919" s="1" t="s">
        <v>117</v>
      </c>
      <c r="I1919" s="1" t="str">
        <f>IFERROR(__xludf.DUMMYFUNCTION("REGEXREPLACE(MID(H1919, SEARCH(""["", H1919) + 1, SEARCH(""]"", H1919) - SEARCH(""["", H1919) - 1), ""\[\]"","""")"),"Camas Papermakers")</f>
        <v>Camas Papermakers</v>
      </c>
      <c r="J1919" s="1">
        <v>4.0</v>
      </c>
      <c r="K1919" s="1">
        <v>0.0</v>
      </c>
    </row>
    <row r="1920">
      <c r="A1920" s="1">
        <v>1.0</v>
      </c>
      <c r="B1920" s="1">
        <v>4.0</v>
      </c>
      <c r="C1920" s="1">
        <v>3.0</v>
      </c>
      <c r="D1920" s="1">
        <v>12.0</v>
      </c>
      <c r="E1920" s="1">
        <v>0.0</v>
      </c>
      <c r="F1920" s="1">
        <v>0.0</v>
      </c>
      <c r="G1920" s="2">
        <v>1.0</v>
      </c>
      <c r="H1920" s="1" t="s">
        <v>117</v>
      </c>
      <c r="I1920" s="1" t="str">
        <f>IFERROR(__xludf.DUMMYFUNCTION("REGEXREPLACE(MID(H1920, SEARCH(""["", H1920) + 1, SEARCH(""]"", H1920) - SEARCH(""["", H1920) - 1), ""\[\]"","""")"),"Camas Papermakers")</f>
        <v>Camas Papermakers</v>
      </c>
      <c r="J1920" s="1">
        <v>12.0</v>
      </c>
      <c r="K1920" s="1">
        <v>0.0</v>
      </c>
    </row>
    <row r="1921">
      <c r="A1921" s="1">
        <v>1.0</v>
      </c>
      <c r="B1921" s="1">
        <v>4.0</v>
      </c>
      <c r="C1921" s="1">
        <v>3.0</v>
      </c>
      <c r="D1921" s="1">
        <v>0.0</v>
      </c>
      <c r="E1921" s="1">
        <v>0.0</v>
      </c>
      <c r="F1921" s="1">
        <v>0.0</v>
      </c>
      <c r="G1921" s="2">
        <v>0.0</v>
      </c>
      <c r="H1921" s="1" t="s">
        <v>117</v>
      </c>
      <c r="I1921" s="1" t="str">
        <f>IFERROR(__xludf.DUMMYFUNCTION("REGEXREPLACE(MID(H1921, SEARCH(""["", H1921) + 1, SEARCH(""]"", H1921) - SEARCH(""["", H1921) - 1), ""\[\]"","""")"),"Camas Papermakers")</f>
        <v>Camas Papermakers</v>
      </c>
      <c r="J1921" s="1">
        <v>0.0</v>
      </c>
      <c r="K1921" s="1">
        <v>0.0</v>
      </c>
    </row>
    <row r="1922">
      <c r="A1922" s="1">
        <v>3.0</v>
      </c>
      <c r="B1922" s="1">
        <v>11.0</v>
      </c>
      <c r="C1922" s="1">
        <v>0.0</v>
      </c>
      <c r="D1922" s="1">
        <v>0.0</v>
      </c>
      <c r="E1922" s="1">
        <v>0.0</v>
      </c>
      <c r="F1922" s="1">
        <v>0.0</v>
      </c>
      <c r="G1922" s="2">
        <v>0.0</v>
      </c>
      <c r="H1922" s="1" t="s">
        <v>123</v>
      </c>
      <c r="I1922" s="1" t="str">
        <f>IFERROR(__xludf.DUMMYFUNCTION("REGEXREPLACE(MID(H1922, SEARCH(""["", H1922) + 1, SEARCH(""]"", H1922) - SEARCH(""["", H1922) - 1), ""\[\]"","""")"),"Chattahoochee HS")</f>
        <v>Chattahoochee HS</v>
      </c>
      <c r="J1922" s="1">
        <v>0.0</v>
      </c>
      <c r="K1922" s="1">
        <v>0.0</v>
      </c>
    </row>
    <row r="1923">
      <c r="A1923" s="1">
        <v>5.0</v>
      </c>
      <c r="B1923" s="1">
        <v>19.0</v>
      </c>
      <c r="C1923" s="1">
        <v>1.0</v>
      </c>
      <c r="D1923" s="1">
        <v>0.8</v>
      </c>
      <c r="E1923" s="1">
        <v>0.0</v>
      </c>
      <c r="F1923" s="1">
        <v>0.0</v>
      </c>
      <c r="G1923" s="2">
        <v>1.0</v>
      </c>
      <c r="H1923" s="1" t="s">
        <v>124</v>
      </c>
      <c r="I1923" s="1" t="str">
        <f>IFERROR(__xludf.DUMMYFUNCTION("REGEXREPLACE(MID(H1923, SEARCH(""["", H1923) + 1, SEARCH(""]"", H1923) - SEARCH(""["", H1923) - 1), ""\[\]"","""")"),"Chattahoochee HS")</f>
        <v>Chattahoochee HS</v>
      </c>
      <c r="J1923" s="1">
        <v>4.0</v>
      </c>
      <c r="K1923" s="1">
        <v>0.0</v>
      </c>
    </row>
    <row r="1924">
      <c r="A1924" s="1">
        <v>5.0</v>
      </c>
      <c r="B1924" s="1">
        <v>19.0</v>
      </c>
      <c r="C1924" s="1">
        <v>6.0</v>
      </c>
      <c r="D1924" s="1">
        <v>4.0</v>
      </c>
      <c r="E1924" s="1">
        <v>0.0</v>
      </c>
      <c r="F1924" s="1">
        <v>0.0</v>
      </c>
      <c r="G1924" s="6">
        <v>0.833</v>
      </c>
      <c r="H1924" s="1" t="s">
        <v>127</v>
      </c>
      <c r="I1924" s="1" t="str">
        <f>IFERROR(__xludf.DUMMYFUNCTION("REGEXREPLACE(MID(H1924, SEARCH(""["", H1924) + 1, SEARCH(""]"", H1924) - SEARCH(""["", H1924) - 1), ""\[\]"","""")"),"Chattahoochee HS")</f>
        <v>Chattahoochee HS</v>
      </c>
      <c r="J1924" s="1">
        <v>20.0</v>
      </c>
      <c r="K1924" s="1">
        <v>0.0</v>
      </c>
    </row>
    <row r="1925">
      <c r="A1925" s="1">
        <v>5.0</v>
      </c>
      <c r="B1925" s="1">
        <v>19.0</v>
      </c>
      <c r="C1925" s="1">
        <v>1.0</v>
      </c>
      <c r="D1925" s="1">
        <v>0.0</v>
      </c>
      <c r="E1925" s="1">
        <v>0.0</v>
      </c>
      <c r="F1925" s="1">
        <v>0.0</v>
      </c>
      <c r="G1925" s="2">
        <v>0.0</v>
      </c>
      <c r="H1925" s="1" t="s">
        <v>128</v>
      </c>
      <c r="I1925" s="1" t="str">
        <f>IFERROR(__xludf.DUMMYFUNCTION("REGEXREPLACE(MID(H1925, SEARCH(""["", H1925) + 1, SEARCH(""]"", H1925) - SEARCH(""["", H1925) - 1), ""\[\]"","""")"),"Chattahoochee HS")</f>
        <v>Chattahoochee HS</v>
      </c>
      <c r="J1925" s="1">
        <v>0.0</v>
      </c>
      <c r="K1925" s="1">
        <v>0.0</v>
      </c>
    </row>
    <row r="1926">
      <c r="A1926" s="1">
        <v>4.0</v>
      </c>
      <c r="B1926" s="1">
        <v>16.0</v>
      </c>
      <c r="C1926" s="1">
        <v>0.0</v>
      </c>
      <c r="D1926" s="1">
        <v>0.0</v>
      </c>
      <c r="E1926" s="1">
        <v>0.0</v>
      </c>
      <c r="F1926" s="1">
        <v>0.0</v>
      </c>
      <c r="G1926" s="2">
        <v>0.0</v>
      </c>
      <c r="H1926" s="1" t="s">
        <v>130</v>
      </c>
      <c r="I1926" s="1" t="str">
        <f>IFERROR(__xludf.DUMMYFUNCTION("REGEXREPLACE(MID(H1926, SEARCH(""["", H1926) + 1, SEARCH(""]"", H1926) - SEARCH(""["", H1926) - 1), ""\[\]"","""")"),"Chattahoochee HS")</f>
        <v>Chattahoochee HS</v>
      </c>
      <c r="J1926" s="1">
        <v>0.0</v>
      </c>
      <c r="K1926" s="1">
        <v>0.0</v>
      </c>
    </row>
    <row r="1927">
      <c r="A1927" s="1">
        <v>1.0</v>
      </c>
      <c r="B1927" s="1">
        <v>4.0</v>
      </c>
      <c r="C1927" s="1">
        <v>0.0</v>
      </c>
      <c r="D1927" s="1">
        <v>0.0</v>
      </c>
      <c r="E1927" s="1">
        <v>0.0</v>
      </c>
      <c r="F1927" s="1">
        <v>0.0</v>
      </c>
      <c r="G1927" s="2">
        <v>0.0</v>
      </c>
      <c r="H1927" s="1" t="s">
        <v>132</v>
      </c>
      <c r="I1927" s="1" t="str">
        <f>IFERROR(__xludf.DUMMYFUNCTION("REGEXREPLACE(MID(H1927, SEARCH(""["", H1927) + 1, SEARCH(""]"", H1927) - SEARCH(""["", H1927) - 1), ""\[\]"","""")"),"Clemens HS")</f>
        <v>Clemens HS</v>
      </c>
      <c r="J1927" s="1">
        <v>0.0</v>
      </c>
      <c r="K1927" s="1">
        <v>0.0</v>
      </c>
    </row>
    <row r="1928">
      <c r="A1928" s="1">
        <v>3.0</v>
      </c>
      <c r="B1928" s="1">
        <v>11.0</v>
      </c>
      <c r="C1928" s="1">
        <v>0.0</v>
      </c>
      <c r="D1928" s="1">
        <v>0.0</v>
      </c>
      <c r="E1928" s="1">
        <v>0.0</v>
      </c>
      <c r="F1928" s="1">
        <v>0.0</v>
      </c>
      <c r="G1928" s="2">
        <v>0.0</v>
      </c>
      <c r="H1928" s="1" t="s">
        <v>132</v>
      </c>
      <c r="I1928" s="1" t="str">
        <f>IFERROR(__xludf.DUMMYFUNCTION("REGEXREPLACE(MID(H1928, SEARCH(""["", H1928) + 1, SEARCH(""]"", H1928) - SEARCH(""["", H1928) - 1), ""\[\]"","""")"),"Clemens HS")</f>
        <v>Clemens HS</v>
      </c>
      <c r="J1928" s="1">
        <v>0.0</v>
      </c>
      <c r="K1928" s="1">
        <v>0.0</v>
      </c>
    </row>
    <row r="1929">
      <c r="A1929" s="1">
        <v>1.0</v>
      </c>
      <c r="B1929" s="1">
        <v>4.0</v>
      </c>
      <c r="C1929" s="1">
        <v>3.0</v>
      </c>
      <c r="D1929" s="1">
        <v>8.0</v>
      </c>
      <c r="E1929" s="1">
        <v>0.0</v>
      </c>
      <c r="F1929" s="1">
        <v>0.0</v>
      </c>
      <c r="G1929" s="6">
        <v>0.667</v>
      </c>
      <c r="H1929" s="1" t="s">
        <v>77</v>
      </c>
      <c r="I1929" s="1" t="str">
        <f>IFERROR(__xludf.DUMMYFUNCTION("REGEXREPLACE(MID(H1929, SEARCH(""["", H1929) + 1, SEARCH(""]"", H1929) - SEARCH(""["", H1929) - 1), ""\[\]"","""")"),"Clemens HS")</f>
        <v>Clemens HS</v>
      </c>
      <c r="J1929" s="1">
        <v>8.0</v>
      </c>
      <c r="K1929" s="1">
        <v>0.0</v>
      </c>
    </row>
    <row r="1930">
      <c r="A1930" s="1">
        <v>3.0</v>
      </c>
      <c r="B1930" s="1">
        <v>11.0</v>
      </c>
      <c r="C1930" s="1">
        <v>8.0</v>
      </c>
      <c r="D1930" s="1">
        <v>5.33</v>
      </c>
      <c r="E1930" s="1">
        <v>0.0</v>
      </c>
      <c r="F1930" s="1">
        <v>0.0</v>
      </c>
      <c r="G1930" s="2">
        <v>0.5</v>
      </c>
      <c r="H1930" s="1" t="s">
        <v>77</v>
      </c>
      <c r="I1930" s="1" t="str">
        <f>IFERROR(__xludf.DUMMYFUNCTION("REGEXREPLACE(MID(H1930, SEARCH(""["", H1930) + 1, SEARCH(""]"", H1930) - SEARCH(""["", H1930) - 1), ""\[\]"","""")"),"Clemens HS")</f>
        <v>Clemens HS</v>
      </c>
      <c r="J1930" s="1">
        <v>16.0</v>
      </c>
      <c r="K1930" s="1">
        <v>0.0</v>
      </c>
    </row>
    <row r="1931">
      <c r="A1931" s="1">
        <v>1.0</v>
      </c>
      <c r="B1931" s="1">
        <v>4.0</v>
      </c>
      <c r="C1931" s="1">
        <v>0.0</v>
      </c>
      <c r="D1931" s="1">
        <v>0.0</v>
      </c>
      <c r="E1931" s="1">
        <v>0.0</v>
      </c>
      <c r="F1931" s="1">
        <v>0.0</v>
      </c>
      <c r="G1931" s="2">
        <v>0.0</v>
      </c>
      <c r="H1931" s="1" t="s">
        <v>137</v>
      </c>
      <c r="I1931" s="1" t="str">
        <f>IFERROR(__xludf.DUMMYFUNCTION("REGEXREPLACE(MID(H1931, SEARCH(""["", H1931) + 1, SEARCH(""]"", H1931) - SEARCH(""["", H1931) - 1), ""\[\]"","""")"),"Clemens HS")</f>
        <v>Clemens HS</v>
      </c>
      <c r="J1931" s="1">
        <v>0.0</v>
      </c>
      <c r="K1931" s="1">
        <v>0.0</v>
      </c>
    </row>
    <row r="1932">
      <c r="A1932" s="1">
        <v>1.0</v>
      </c>
      <c r="B1932" s="1">
        <v>3.0</v>
      </c>
      <c r="C1932" s="1">
        <v>0.0</v>
      </c>
      <c r="D1932" s="1">
        <v>0.0</v>
      </c>
      <c r="E1932" s="1">
        <v>0.0</v>
      </c>
      <c r="F1932" s="1">
        <v>0.0</v>
      </c>
      <c r="G1932" s="2">
        <v>0.0</v>
      </c>
      <c r="H1932" s="1" t="s">
        <v>137</v>
      </c>
      <c r="I1932" s="1" t="str">
        <f>IFERROR(__xludf.DUMMYFUNCTION("REGEXREPLACE(MID(H1932, SEARCH(""["", H1932) + 1, SEARCH(""]"", H1932) - SEARCH(""["", H1932) - 1), ""\[\]"","""")"),"Clemens HS")</f>
        <v>Clemens HS</v>
      </c>
      <c r="J1932" s="1">
        <v>0.0</v>
      </c>
      <c r="K1932" s="1">
        <v>0.0</v>
      </c>
    </row>
    <row r="1933">
      <c r="A1933" s="1">
        <v>5.0</v>
      </c>
      <c r="B1933" s="1">
        <v>20.0</v>
      </c>
      <c r="C1933" s="1">
        <v>7.0</v>
      </c>
      <c r="D1933" s="1">
        <v>4.0</v>
      </c>
      <c r="E1933" s="1">
        <v>0.2</v>
      </c>
      <c r="F1933" s="1">
        <v>0.0</v>
      </c>
      <c r="G1933" s="6">
        <v>0.857</v>
      </c>
      <c r="H1933" s="1" t="s">
        <v>139</v>
      </c>
      <c r="I1933" s="1" t="str">
        <f>IFERROR(__xludf.DUMMYFUNCTION("REGEXREPLACE(MID(H1933, SEARCH(""["", H1933) + 1, SEARCH(""]"", H1933) - SEARCH(""["", H1933) - 1), ""\[\]"","""")"),"Clements")</f>
        <v>Clements</v>
      </c>
      <c r="J1933" s="1">
        <v>20.0</v>
      </c>
      <c r="K1933" s="1">
        <v>1.0</v>
      </c>
    </row>
    <row r="1934">
      <c r="A1934" s="1">
        <v>1.0</v>
      </c>
      <c r="B1934" s="1">
        <v>4.0</v>
      </c>
      <c r="C1934" s="1">
        <v>0.0</v>
      </c>
      <c r="D1934" s="1">
        <v>0.0</v>
      </c>
      <c r="E1934" s="1">
        <v>0.0</v>
      </c>
      <c r="F1934" s="1">
        <v>0.0</v>
      </c>
      <c r="G1934" s="2">
        <v>0.0</v>
      </c>
      <c r="H1934" s="1" t="s">
        <v>142</v>
      </c>
      <c r="I1934" s="1" t="str">
        <f>IFERROR(__xludf.DUMMYFUNCTION("REGEXREPLACE(MID(H1934, SEARCH(""["", H1934) + 1, SEARCH(""]"", H1934) - SEARCH(""["", H1934) - 1), ""\[\]"","""")"),"Clements")</f>
        <v>Clements</v>
      </c>
      <c r="J1934" s="1">
        <v>0.0</v>
      </c>
      <c r="K1934" s="1">
        <v>0.0</v>
      </c>
    </row>
    <row r="1935">
      <c r="A1935" s="1">
        <v>5.0</v>
      </c>
      <c r="B1935" s="1">
        <v>20.0</v>
      </c>
      <c r="C1935" s="1">
        <v>9.0</v>
      </c>
      <c r="D1935" s="1">
        <v>5.6</v>
      </c>
      <c r="E1935" s="1">
        <v>0.0</v>
      </c>
      <c r="F1935" s="1">
        <v>0.0</v>
      </c>
      <c r="G1935" s="6">
        <v>0.778</v>
      </c>
      <c r="H1935" s="1" t="s">
        <v>144</v>
      </c>
      <c r="I1935" s="1" t="str">
        <f>IFERROR(__xludf.DUMMYFUNCTION("REGEXREPLACE(MID(H1935, SEARCH(""["", H1935) + 1, SEARCH(""]"", H1935) - SEARCH(""["", H1935) - 1), ""\[\]"","""")"),"Clements")</f>
        <v>Clements</v>
      </c>
      <c r="J1935" s="1">
        <v>28.0</v>
      </c>
      <c r="K1935" s="1">
        <v>0.0</v>
      </c>
    </row>
    <row r="1936">
      <c r="A1936" s="1">
        <v>4.0</v>
      </c>
      <c r="B1936" s="1">
        <v>16.0</v>
      </c>
      <c r="C1936" s="1">
        <v>0.0</v>
      </c>
      <c r="D1936" s="1">
        <v>0.0</v>
      </c>
      <c r="E1936" s="1">
        <v>0.0</v>
      </c>
      <c r="F1936" s="1">
        <v>0.0</v>
      </c>
      <c r="G1936" s="2">
        <v>0.0</v>
      </c>
      <c r="H1936" s="1" t="s">
        <v>147</v>
      </c>
      <c r="I1936" s="1" t="str">
        <f>IFERROR(__xludf.DUMMYFUNCTION("REGEXREPLACE(MID(H1936, SEARCH(""["", H1936) + 1, SEARCH(""]"", H1936) - SEARCH(""["", H1936) - 1), ""\[\]"","""")"),"Clements")</f>
        <v>Clements</v>
      </c>
      <c r="J1936" s="1">
        <v>0.0</v>
      </c>
      <c r="K1936" s="1">
        <v>0.0</v>
      </c>
    </row>
    <row r="1937">
      <c r="A1937" s="1">
        <v>1.0</v>
      </c>
      <c r="B1937" s="1">
        <v>4.0</v>
      </c>
      <c r="C1937" s="1">
        <v>0.0</v>
      </c>
      <c r="D1937" s="1">
        <v>0.0</v>
      </c>
      <c r="E1937" s="1">
        <v>0.0</v>
      </c>
      <c r="F1937" s="1">
        <v>0.0</v>
      </c>
      <c r="G1937" s="2">
        <v>0.0</v>
      </c>
      <c r="H1937" s="1" t="s">
        <v>147</v>
      </c>
      <c r="I1937" s="1" t="str">
        <f>IFERROR(__xludf.DUMMYFUNCTION("REGEXREPLACE(MID(H1937, SEARCH(""["", H1937) + 1, SEARCH(""]"", H1937) - SEARCH(""["", H1937) - 1), ""\[\]"","""")"),"Clements")</f>
        <v>Clements</v>
      </c>
      <c r="J1937" s="1">
        <v>0.0</v>
      </c>
      <c r="K1937" s="1">
        <v>0.0</v>
      </c>
    </row>
    <row r="1938">
      <c r="A1938" s="1">
        <v>4.0</v>
      </c>
      <c r="B1938" s="1">
        <v>16.0</v>
      </c>
      <c r="C1938" s="1">
        <v>0.0</v>
      </c>
      <c r="D1938" s="1">
        <v>0.0</v>
      </c>
      <c r="E1938" s="1">
        <v>0.0</v>
      </c>
      <c r="F1938" s="1">
        <v>0.0</v>
      </c>
      <c r="G1938" s="2">
        <v>0.0</v>
      </c>
      <c r="H1938" s="1" t="s">
        <v>125</v>
      </c>
      <c r="I1938" s="1" t="str">
        <f>IFERROR(__xludf.DUMMYFUNCTION("REGEXREPLACE(MID(H1938, SEARCH(""["", H1938) + 1, SEARCH(""]"", H1938) - SEARCH(""["", H1938) - 1), ""\[\]"","""")"),"Clements")</f>
        <v>Clements</v>
      </c>
      <c r="J1938" s="1">
        <v>0.0</v>
      </c>
      <c r="K1938" s="1">
        <v>0.0</v>
      </c>
    </row>
    <row r="1939">
      <c r="A1939" s="1">
        <v>1.0</v>
      </c>
      <c r="B1939" s="1">
        <v>3.0</v>
      </c>
      <c r="C1939" s="1">
        <v>0.0</v>
      </c>
      <c r="D1939" s="1">
        <v>0.0</v>
      </c>
      <c r="E1939" s="1">
        <v>0.0</v>
      </c>
      <c r="F1939" s="1">
        <v>0.0</v>
      </c>
      <c r="G1939" s="2">
        <v>0.0</v>
      </c>
      <c r="H1939" s="1" t="s">
        <v>151</v>
      </c>
      <c r="I1939" s="1" t="str">
        <f>IFERROR(__xludf.DUMMYFUNCTION("REGEXREPLACE(MID(H1939, SEARCH(""["", H1939) + 1, SEARCH(""]"", H1939) - SEARCH(""["", H1939) - 1), ""\[\]"","""")"),"College Park")</f>
        <v>College Park</v>
      </c>
      <c r="J1939" s="1">
        <v>0.0</v>
      </c>
      <c r="K1939" s="1">
        <v>0.0</v>
      </c>
    </row>
    <row r="1940">
      <c r="A1940" s="1">
        <v>1.0</v>
      </c>
      <c r="B1940" s="1">
        <v>3.0</v>
      </c>
      <c r="C1940" s="1">
        <v>0.0</v>
      </c>
      <c r="D1940" s="1">
        <v>0.0</v>
      </c>
      <c r="E1940" s="1">
        <v>0.0</v>
      </c>
      <c r="F1940" s="1">
        <v>0.0</v>
      </c>
      <c r="G1940" s="2">
        <v>0.0</v>
      </c>
      <c r="H1940" s="1" t="s">
        <v>152</v>
      </c>
      <c r="I1940" s="1" t="str">
        <f>IFERROR(__xludf.DUMMYFUNCTION("REGEXREPLACE(MID(H1940, SEARCH(""["", H1940) + 1, SEARCH(""]"", H1940) - SEARCH(""["", H1940) - 1), ""\[\]"","""")"),"College Park")</f>
        <v>College Park</v>
      </c>
      <c r="J1940" s="1">
        <v>0.0</v>
      </c>
      <c r="K1940" s="1">
        <v>0.0</v>
      </c>
    </row>
    <row r="1941">
      <c r="A1941" s="1">
        <v>3.0</v>
      </c>
      <c r="B1941" s="1">
        <v>12.0</v>
      </c>
      <c r="C1941" s="1">
        <v>0.0</v>
      </c>
      <c r="D1941" s="1">
        <v>0.0</v>
      </c>
      <c r="E1941" s="1">
        <v>0.0</v>
      </c>
      <c r="F1941" s="1">
        <v>0.0</v>
      </c>
      <c r="G1941" s="2">
        <v>0.0</v>
      </c>
      <c r="H1941" s="1" t="s">
        <v>152</v>
      </c>
      <c r="I1941" s="1" t="str">
        <f>IFERROR(__xludf.DUMMYFUNCTION("REGEXREPLACE(MID(H1941, SEARCH(""["", H1941) + 1, SEARCH(""]"", H1941) - SEARCH(""["", H1941) - 1), ""\[\]"","""")"),"College Park")</f>
        <v>College Park</v>
      </c>
      <c r="J1941" s="1">
        <v>0.0</v>
      </c>
      <c r="K1941" s="1">
        <v>0.0</v>
      </c>
    </row>
    <row r="1942">
      <c r="A1942" s="1">
        <v>1.0</v>
      </c>
      <c r="B1942" s="1">
        <v>3.0</v>
      </c>
      <c r="C1942" s="1">
        <v>0.0</v>
      </c>
      <c r="D1942" s="1">
        <v>0.0</v>
      </c>
      <c r="E1942" s="1">
        <v>0.0</v>
      </c>
      <c r="F1942" s="1">
        <v>0.0</v>
      </c>
      <c r="G1942" s="2">
        <v>0.0</v>
      </c>
      <c r="H1942" s="1" t="s">
        <v>156</v>
      </c>
      <c r="I1942" s="1" t="str">
        <f>IFERROR(__xludf.DUMMYFUNCTION("REGEXREPLACE(MID(H1942, SEARCH(""["", H1942) + 1, SEARCH(""]"", H1942) - SEARCH(""["", H1942) - 1), ""\[\]"","""")"),"College Park")</f>
        <v>College Park</v>
      </c>
      <c r="J1942" s="1">
        <v>0.0</v>
      </c>
      <c r="K1942" s="1">
        <v>0.0</v>
      </c>
    </row>
    <row r="1943">
      <c r="A1943" s="1">
        <v>2.0</v>
      </c>
      <c r="B1943" s="1">
        <v>8.0</v>
      </c>
      <c r="C1943" s="1">
        <v>0.0</v>
      </c>
      <c r="D1943" s="1">
        <v>0.0</v>
      </c>
      <c r="E1943" s="1">
        <v>0.0</v>
      </c>
      <c r="F1943" s="1">
        <v>0.0</v>
      </c>
      <c r="G1943" s="2">
        <v>0.0</v>
      </c>
      <c r="H1943" s="1" t="s">
        <v>156</v>
      </c>
      <c r="I1943" s="1" t="str">
        <f>IFERROR(__xludf.DUMMYFUNCTION("REGEXREPLACE(MID(H1943, SEARCH(""["", H1943) + 1, SEARCH(""]"", H1943) - SEARCH(""["", H1943) - 1), ""\[\]"","""")"),"College Park")</f>
        <v>College Park</v>
      </c>
      <c r="J1943" s="1">
        <v>0.0</v>
      </c>
      <c r="K1943" s="1">
        <v>0.0</v>
      </c>
    </row>
    <row r="1944">
      <c r="A1944" s="1">
        <v>1.0</v>
      </c>
      <c r="B1944" s="1">
        <v>3.0</v>
      </c>
      <c r="C1944" s="1">
        <v>3.0</v>
      </c>
      <c r="D1944" s="1">
        <v>4.0</v>
      </c>
      <c r="E1944" s="1">
        <v>0.0</v>
      </c>
      <c r="F1944" s="1">
        <v>0.0</v>
      </c>
      <c r="G1944" s="6">
        <v>0.333</v>
      </c>
      <c r="H1944" s="1" t="s">
        <v>145</v>
      </c>
      <c r="I1944" s="1" t="str">
        <f>IFERROR(__xludf.DUMMYFUNCTION("REGEXREPLACE(MID(H1944, SEARCH(""["", H1944) + 1, SEARCH(""]"", H1944) - SEARCH(""["", H1944) - 1), ""\[\]"","""")"),"College Park")</f>
        <v>College Park</v>
      </c>
      <c r="J1944" s="1">
        <v>4.0</v>
      </c>
      <c r="K1944" s="1">
        <v>0.0</v>
      </c>
    </row>
    <row r="1945">
      <c r="A1945" s="1">
        <v>4.0</v>
      </c>
      <c r="B1945" s="1">
        <v>16.0</v>
      </c>
      <c r="C1945" s="1">
        <v>8.0</v>
      </c>
      <c r="D1945" s="1">
        <v>1.0</v>
      </c>
      <c r="E1945" s="1">
        <v>0.25</v>
      </c>
      <c r="F1945" s="1">
        <v>0.0</v>
      </c>
      <c r="G1945" s="2">
        <v>0.25</v>
      </c>
      <c r="H1945" s="1" t="s">
        <v>145</v>
      </c>
      <c r="I1945" s="1" t="str">
        <f>IFERROR(__xludf.DUMMYFUNCTION("REGEXREPLACE(MID(H1945, SEARCH(""["", H1945) + 1, SEARCH(""]"", H1945) - SEARCH(""["", H1945) - 1), ""\[\]"","""")"),"College Park")</f>
        <v>College Park</v>
      </c>
      <c r="J1945" s="1">
        <v>4.0</v>
      </c>
      <c r="K1945" s="1">
        <v>1.0</v>
      </c>
    </row>
    <row r="1946">
      <c r="A1946" s="1">
        <v>1.0</v>
      </c>
      <c r="B1946" s="1">
        <v>4.0</v>
      </c>
      <c r="C1946" s="1">
        <v>0.0</v>
      </c>
      <c r="D1946" s="1">
        <v>0.0</v>
      </c>
      <c r="E1946" s="1">
        <v>0.0</v>
      </c>
      <c r="F1946" s="1">
        <v>0.0</v>
      </c>
      <c r="G1946" s="2">
        <v>0.0</v>
      </c>
      <c r="H1946" s="1" t="s">
        <v>160</v>
      </c>
      <c r="I1946" s="1" t="str">
        <f>IFERROR(__xludf.DUMMYFUNCTION("REGEXREPLACE(MID(H1946, SEARCH(""["", H1946) + 1, SEARCH(""]"", H1946) - SEARCH(""["", H1946) - 1), ""\[\]"","""")"),"College Park")</f>
        <v>College Park</v>
      </c>
      <c r="J1946" s="1">
        <v>0.0</v>
      </c>
      <c r="K1946" s="1">
        <v>0.0</v>
      </c>
    </row>
    <row r="1947">
      <c r="A1947" s="1">
        <v>2.0</v>
      </c>
      <c r="B1947" s="1">
        <v>8.0</v>
      </c>
      <c r="C1947" s="1">
        <v>1.0</v>
      </c>
      <c r="D1947" s="1">
        <v>2.0</v>
      </c>
      <c r="E1947" s="1">
        <v>0.0</v>
      </c>
      <c r="F1947" s="1">
        <v>0.0</v>
      </c>
      <c r="G1947" s="2">
        <v>1.0</v>
      </c>
      <c r="H1947" s="1" t="s">
        <v>162</v>
      </c>
      <c r="I1947" s="1" t="str">
        <f>IFERROR(__xludf.DUMMYFUNCTION("REGEXREPLACE(MID(H1947, SEARCH(""["", H1947) + 1, SEARCH(""]"", H1947) - SEARCH(""["", H1947) - 1), ""\[\]"","""")"),"Collierville")</f>
        <v>Collierville</v>
      </c>
      <c r="J1947" s="1">
        <v>4.0</v>
      </c>
      <c r="K1947" s="1">
        <v>0.0</v>
      </c>
    </row>
    <row r="1948">
      <c r="A1948" s="1">
        <v>2.0</v>
      </c>
      <c r="B1948" s="1">
        <v>8.0</v>
      </c>
      <c r="C1948" s="1">
        <v>1.0</v>
      </c>
      <c r="D1948" s="1">
        <v>0.0</v>
      </c>
      <c r="E1948" s="1">
        <v>0.0</v>
      </c>
      <c r="F1948" s="1">
        <v>0.0</v>
      </c>
      <c r="G1948" s="2">
        <v>0.0</v>
      </c>
      <c r="H1948" s="1" t="s">
        <v>162</v>
      </c>
      <c r="I1948" s="1" t="str">
        <f>IFERROR(__xludf.DUMMYFUNCTION("REGEXREPLACE(MID(H1948, SEARCH(""["", H1948) + 1, SEARCH(""]"", H1948) - SEARCH(""["", H1948) - 1), ""\[\]"","""")"),"Collierville")</f>
        <v>Collierville</v>
      </c>
      <c r="J1948" s="1">
        <v>0.0</v>
      </c>
      <c r="K1948" s="1">
        <v>0.0</v>
      </c>
    </row>
    <row r="1949">
      <c r="A1949" s="1">
        <v>5.0</v>
      </c>
      <c r="B1949" s="1">
        <v>20.0</v>
      </c>
      <c r="C1949" s="1">
        <v>0.0</v>
      </c>
      <c r="D1949" s="1">
        <v>0.0</v>
      </c>
      <c r="E1949" s="1">
        <v>0.0</v>
      </c>
      <c r="F1949" s="1">
        <v>0.0</v>
      </c>
      <c r="G1949" s="2">
        <v>0.0</v>
      </c>
      <c r="H1949" s="1" t="s">
        <v>165</v>
      </c>
      <c r="I1949" s="1" t="str">
        <f>IFERROR(__xludf.DUMMYFUNCTION("REGEXREPLACE(MID(H1949, SEARCH(""["", H1949) + 1, SEARCH(""]"", H1949) - SEARCH(""["", H1949) - 1), ""\[\]"","""")"),"Collierville")</f>
        <v>Collierville</v>
      </c>
      <c r="J1949" s="1">
        <v>0.0</v>
      </c>
      <c r="K1949" s="1">
        <v>0.0</v>
      </c>
    </row>
    <row r="1950">
      <c r="A1950" s="1">
        <v>1.0</v>
      </c>
      <c r="B1950" s="1">
        <v>4.0</v>
      </c>
      <c r="C1950" s="1">
        <v>1.0</v>
      </c>
      <c r="D1950" s="1">
        <v>0.0</v>
      </c>
      <c r="E1950" s="1">
        <v>0.0</v>
      </c>
      <c r="F1950" s="1">
        <v>0.0</v>
      </c>
      <c r="G1950" s="2">
        <v>0.0</v>
      </c>
      <c r="H1950" s="1" t="s">
        <v>167</v>
      </c>
      <c r="I1950" s="1" t="str">
        <f>IFERROR(__xludf.DUMMYFUNCTION("REGEXREPLACE(MID(H1950, SEARCH(""["", H1950) + 1, SEARCH(""]"", H1950) - SEARCH(""["", H1950) - 1), ""\[\]"","""")"),"Collierville")</f>
        <v>Collierville</v>
      </c>
      <c r="J1950" s="1">
        <v>0.0</v>
      </c>
      <c r="K1950" s="1">
        <v>0.0</v>
      </c>
    </row>
    <row r="1951">
      <c r="A1951" s="1">
        <v>5.0</v>
      </c>
      <c r="B1951" s="1">
        <v>20.0</v>
      </c>
      <c r="C1951" s="1">
        <v>8.0</v>
      </c>
      <c r="D1951" s="1">
        <v>4.0</v>
      </c>
      <c r="E1951" s="1">
        <v>0.0</v>
      </c>
      <c r="F1951" s="1">
        <v>0.0</v>
      </c>
      <c r="G1951" s="6">
        <v>0.625</v>
      </c>
      <c r="H1951" s="1" t="s">
        <v>169</v>
      </c>
      <c r="I1951" s="1" t="str">
        <f>IFERROR(__xludf.DUMMYFUNCTION("REGEXREPLACE(MID(H1951, SEARCH(""["", H1951) + 1, SEARCH(""]"", H1951) - SEARCH(""["", H1951) - 1), ""\[\]"","""")"),"Collierville")</f>
        <v>Collierville</v>
      </c>
      <c r="J1951" s="1">
        <v>20.0</v>
      </c>
      <c r="K1951" s="1">
        <v>0.0</v>
      </c>
    </row>
    <row r="1952">
      <c r="A1952" s="1">
        <v>3.0</v>
      </c>
      <c r="B1952" s="1">
        <v>12.0</v>
      </c>
      <c r="C1952" s="1">
        <v>0.0</v>
      </c>
      <c r="D1952" s="1">
        <v>0.0</v>
      </c>
      <c r="E1952" s="1">
        <v>0.0</v>
      </c>
      <c r="F1952" s="1">
        <v>0.0</v>
      </c>
      <c r="G1952" s="2">
        <v>0.0</v>
      </c>
      <c r="H1952" s="1" t="s">
        <v>171</v>
      </c>
      <c r="I1952" s="1" t="str">
        <f>IFERROR(__xludf.DUMMYFUNCTION("REGEXREPLACE(MID(H1952, SEARCH(""["", H1952) + 1, SEARCH(""]"", H1952) - SEARCH(""["", H1952) - 1), ""\[\]"","""")"),"Collierville")</f>
        <v>Collierville</v>
      </c>
      <c r="J1952" s="1">
        <v>0.0</v>
      </c>
      <c r="K1952" s="1">
        <v>0.0</v>
      </c>
    </row>
    <row r="1953">
      <c r="A1953" s="1">
        <v>4.0</v>
      </c>
      <c r="B1953" s="1">
        <v>16.0</v>
      </c>
      <c r="C1953" s="1">
        <v>2.0</v>
      </c>
      <c r="D1953" s="1">
        <v>-1.0</v>
      </c>
      <c r="E1953" s="1">
        <v>0.25</v>
      </c>
      <c r="F1953" s="1">
        <v>0.0</v>
      </c>
      <c r="G1953" s="2">
        <v>0.0</v>
      </c>
      <c r="H1953" s="1" t="s">
        <v>173</v>
      </c>
      <c r="I1953" s="1" t="str">
        <f>IFERROR(__xludf.DUMMYFUNCTION("REGEXREPLACE(MID(H1953, SEARCH(""["", H1953) + 1, SEARCH(""]"", H1953) - SEARCH(""["", H1953) - 1), ""\[\]"","""")"),"Davidson Academy")</f>
        <v>Davidson Academy</v>
      </c>
      <c r="J1953" s="1">
        <v>-4.0</v>
      </c>
      <c r="K1953" s="1">
        <v>1.0</v>
      </c>
    </row>
    <row r="1954">
      <c r="A1954" s="1">
        <v>1.0</v>
      </c>
      <c r="B1954" s="1">
        <v>4.0</v>
      </c>
      <c r="C1954" s="1">
        <v>0.0</v>
      </c>
      <c r="D1954" s="1">
        <v>0.0</v>
      </c>
      <c r="E1954" s="1">
        <v>0.0</v>
      </c>
      <c r="F1954" s="1">
        <v>0.0</v>
      </c>
      <c r="G1954" s="2">
        <v>0.0</v>
      </c>
      <c r="H1954" s="1" t="s">
        <v>173</v>
      </c>
      <c r="I1954" s="1" t="str">
        <f>IFERROR(__xludf.DUMMYFUNCTION("REGEXREPLACE(MID(H1954, SEARCH(""["", H1954) + 1, SEARCH(""]"", H1954) - SEARCH(""["", H1954) - 1), ""\[\]"","""")"),"Davidson Academy")</f>
        <v>Davidson Academy</v>
      </c>
      <c r="J1954" s="1">
        <v>0.0</v>
      </c>
      <c r="K1954" s="1">
        <v>0.0</v>
      </c>
    </row>
    <row r="1955">
      <c r="A1955" s="1">
        <v>1.0</v>
      </c>
      <c r="B1955" s="1">
        <v>4.0</v>
      </c>
      <c r="C1955" s="1">
        <v>1.0</v>
      </c>
      <c r="D1955" s="1">
        <v>4.0</v>
      </c>
      <c r="E1955" s="1">
        <v>0.0</v>
      </c>
      <c r="F1955" s="1">
        <v>0.0</v>
      </c>
      <c r="G1955" s="2">
        <v>1.0</v>
      </c>
      <c r="H1955" s="1" t="s">
        <v>174</v>
      </c>
      <c r="I1955" s="1" t="str">
        <f>IFERROR(__xludf.DUMMYFUNCTION("REGEXREPLACE(MID(H1955, SEARCH(""["", H1955) + 1, SEARCH(""]"", H1955) - SEARCH(""["", H1955) - 1), ""\[\]"","""")"),"Davidson Academy")</f>
        <v>Davidson Academy</v>
      </c>
      <c r="J1955" s="1">
        <v>4.0</v>
      </c>
      <c r="K1955" s="1">
        <v>0.0</v>
      </c>
    </row>
    <row r="1956">
      <c r="A1956" s="1">
        <v>1.0</v>
      </c>
      <c r="B1956" s="1">
        <v>4.0</v>
      </c>
      <c r="C1956" s="1">
        <v>0.0</v>
      </c>
      <c r="D1956" s="1">
        <v>0.0</v>
      </c>
      <c r="E1956" s="1">
        <v>0.0</v>
      </c>
      <c r="F1956" s="1">
        <v>0.0</v>
      </c>
      <c r="G1956" s="2">
        <v>0.0</v>
      </c>
      <c r="H1956" s="1" t="s">
        <v>176</v>
      </c>
      <c r="I1956" s="1" t="str">
        <f>IFERROR(__xludf.DUMMYFUNCTION("REGEXREPLACE(MID(H1956, SEARCH(""["", H1956) + 1, SEARCH(""]"", H1956) - SEARCH(""["", H1956) - 1), ""\[\]"","""")"),"Davidson Academy")</f>
        <v>Davidson Academy</v>
      </c>
      <c r="J1956" s="1">
        <v>0.0</v>
      </c>
      <c r="K1956" s="1">
        <v>0.0</v>
      </c>
    </row>
    <row r="1957">
      <c r="A1957" s="1">
        <v>4.0</v>
      </c>
      <c r="B1957" s="1">
        <v>16.0</v>
      </c>
      <c r="C1957" s="1">
        <v>5.0</v>
      </c>
      <c r="D1957" s="1">
        <v>3.0</v>
      </c>
      <c r="E1957" s="1">
        <v>0.0</v>
      </c>
      <c r="F1957" s="1">
        <v>0.0</v>
      </c>
      <c r="G1957" s="2">
        <v>0.6</v>
      </c>
      <c r="H1957" s="1" t="s">
        <v>74</v>
      </c>
      <c r="I1957" s="1" t="str">
        <f>IFERROR(__xludf.DUMMYFUNCTION("REGEXREPLACE(MID(H1957, SEARCH(""["", H1957) + 1, SEARCH(""]"", H1957) - SEARCH(""["", H1957) - 1), ""\[\]"","""")"),"Davidson Academy")</f>
        <v>Davidson Academy</v>
      </c>
      <c r="J1957" s="1">
        <v>12.0</v>
      </c>
      <c r="K1957" s="1">
        <v>0.0</v>
      </c>
    </row>
    <row r="1958">
      <c r="A1958" s="1">
        <v>1.0</v>
      </c>
      <c r="B1958" s="1">
        <v>4.0</v>
      </c>
      <c r="C1958" s="1">
        <v>4.0</v>
      </c>
      <c r="D1958" s="1">
        <v>4.0</v>
      </c>
      <c r="E1958" s="1">
        <v>0.0</v>
      </c>
      <c r="F1958" s="1">
        <v>0.0</v>
      </c>
      <c r="G1958" s="2">
        <v>0.25</v>
      </c>
      <c r="H1958" s="1" t="s">
        <v>74</v>
      </c>
      <c r="I1958" s="1" t="str">
        <f>IFERROR(__xludf.DUMMYFUNCTION("REGEXREPLACE(MID(H1958, SEARCH(""["", H1958) + 1, SEARCH(""]"", H1958) - SEARCH(""["", H1958) - 1), ""\[\]"","""")"),"Davidson Academy")</f>
        <v>Davidson Academy</v>
      </c>
      <c r="J1958" s="1">
        <v>4.0</v>
      </c>
      <c r="K1958" s="1">
        <v>0.0</v>
      </c>
    </row>
    <row r="1959">
      <c r="A1959" s="1">
        <v>1.0</v>
      </c>
      <c r="B1959" s="1">
        <v>4.0</v>
      </c>
      <c r="C1959" s="1">
        <v>0.0</v>
      </c>
      <c r="D1959" s="1">
        <v>0.0</v>
      </c>
      <c r="E1959" s="1">
        <v>0.0</v>
      </c>
      <c r="F1959" s="1">
        <v>0.0</v>
      </c>
      <c r="G1959" s="2">
        <v>0.0</v>
      </c>
      <c r="H1959" s="1" t="s">
        <v>177</v>
      </c>
      <c r="I1959" s="1" t="str">
        <f>IFERROR(__xludf.DUMMYFUNCTION("REGEXREPLACE(MID(H1959, SEARCH(""["", H1959) + 1, SEARCH(""]"", H1959) - SEARCH(""["", H1959) - 1), ""\[\]"","""")"),"Davidson Academy")</f>
        <v>Davidson Academy</v>
      </c>
      <c r="J1959" s="1">
        <v>0.0</v>
      </c>
      <c r="K1959" s="1">
        <v>0.0</v>
      </c>
    </row>
    <row r="1960">
      <c r="A1960" s="1">
        <v>4.0</v>
      </c>
      <c r="B1960" s="1">
        <v>15.0</v>
      </c>
      <c r="C1960" s="1">
        <v>0.0</v>
      </c>
      <c r="D1960" s="1">
        <v>0.0</v>
      </c>
      <c r="E1960" s="1">
        <v>0.0</v>
      </c>
      <c r="F1960" s="1">
        <v>0.0</v>
      </c>
      <c r="G1960" s="2">
        <v>0.0</v>
      </c>
      <c r="H1960" s="1" t="s">
        <v>178</v>
      </c>
      <c r="I1960" s="1" t="str">
        <f>IFERROR(__xludf.DUMMYFUNCTION("REGEXREPLACE(MID(H1960, SEARCH(""["", H1960) + 1, SEARCH(""]"", H1960) - SEARCH(""["", H1960) - 1), ""\[\]"","""")"),"Dulles Dolls 1")</f>
        <v>Dulles Dolls 1</v>
      </c>
      <c r="J1960" s="1">
        <v>0.0</v>
      </c>
      <c r="K1960" s="1">
        <v>0.0</v>
      </c>
    </row>
    <row r="1961">
      <c r="A1961" s="1">
        <v>1.0</v>
      </c>
      <c r="B1961" s="1">
        <v>4.0</v>
      </c>
      <c r="C1961" s="1">
        <v>0.0</v>
      </c>
      <c r="D1961" s="1">
        <v>0.0</v>
      </c>
      <c r="E1961" s="1">
        <v>0.0</v>
      </c>
      <c r="F1961" s="1">
        <v>0.0</v>
      </c>
      <c r="G1961" s="2">
        <v>0.0</v>
      </c>
      <c r="H1961" s="1" t="s">
        <v>178</v>
      </c>
      <c r="I1961" s="1" t="str">
        <f>IFERROR(__xludf.DUMMYFUNCTION("REGEXREPLACE(MID(H1961, SEARCH(""["", H1961) + 1, SEARCH(""]"", H1961) - SEARCH(""["", H1961) - 1), ""\[\]"","""")"),"Dulles Dolls 1")</f>
        <v>Dulles Dolls 1</v>
      </c>
      <c r="J1961" s="1">
        <v>0.0</v>
      </c>
      <c r="K1961" s="1">
        <v>0.0</v>
      </c>
    </row>
    <row r="1962">
      <c r="A1962" s="1">
        <v>3.0</v>
      </c>
      <c r="B1962" s="1">
        <v>11.0</v>
      </c>
      <c r="C1962" s="1">
        <v>3.0</v>
      </c>
      <c r="D1962" s="1">
        <v>2.67</v>
      </c>
      <c r="E1962" s="1">
        <v>0.0</v>
      </c>
      <c r="F1962" s="1">
        <v>0.0</v>
      </c>
      <c r="G1962" s="6">
        <v>0.667</v>
      </c>
      <c r="H1962" s="1" t="s">
        <v>150</v>
      </c>
      <c r="I1962" s="1" t="str">
        <f>IFERROR(__xludf.DUMMYFUNCTION("REGEXREPLACE(MID(H1962, SEARCH(""["", H1962) + 1, SEARCH(""]"", H1962) - SEARCH(""["", H1962) - 1), ""\[\]"","""")"),"Dulles Dolls 1")</f>
        <v>Dulles Dolls 1</v>
      </c>
      <c r="J1962" s="1">
        <v>8.0</v>
      </c>
      <c r="K1962" s="1">
        <v>0.0</v>
      </c>
    </row>
    <row r="1963">
      <c r="A1963" s="1">
        <v>1.0</v>
      </c>
      <c r="B1963" s="1">
        <v>4.0</v>
      </c>
      <c r="C1963" s="1">
        <v>0.0</v>
      </c>
      <c r="D1963" s="1">
        <v>0.0</v>
      </c>
      <c r="E1963" s="1">
        <v>0.0</v>
      </c>
      <c r="F1963" s="1">
        <v>0.0</v>
      </c>
      <c r="G1963" s="2">
        <v>0.0</v>
      </c>
      <c r="H1963" s="1" t="s">
        <v>150</v>
      </c>
      <c r="I1963" s="1" t="str">
        <f>IFERROR(__xludf.DUMMYFUNCTION("REGEXREPLACE(MID(H1963, SEARCH(""["", H1963) + 1, SEARCH(""]"", H1963) - SEARCH(""["", H1963) - 1), ""\[\]"","""")"),"Dulles Dolls 1")</f>
        <v>Dulles Dolls 1</v>
      </c>
      <c r="J1963" s="1">
        <v>0.0</v>
      </c>
      <c r="K1963" s="1">
        <v>0.0</v>
      </c>
    </row>
    <row r="1964">
      <c r="A1964" s="1">
        <v>2.0</v>
      </c>
      <c r="B1964" s="1">
        <v>7.0</v>
      </c>
      <c r="C1964" s="1">
        <v>4.0</v>
      </c>
      <c r="D1964" s="1">
        <v>4.0</v>
      </c>
      <c r="E1964" s="1">
        <v>0.0</v>
      </c>
      <c r="F1964" s="1">
        <v>0.0</v>
      </c>
      <c r="G1964" s="2">
        <v>0.5</v>
      </c>
      <c r="H1964" s="1" t="s">
        <v>179</v>
      </c>
      <c r="I1964" s="1" t="str">
        <f>IFERROR(__xludf.DUMMYFUNCTION("REGEXREPLACE(MID(H1964, SEARCH(""["", H1964) + 1, SEARCH(""]"", H1964) - SEARCH(""["", H1964) - 1), ""\[\]"","""")"),"Dulles Dolls 1")</f>
        <v>Dulles Dolls 1</v>
      </c>
      <c r="J1964" s="1">
        <v>8.0</v>
      </c>
      <c r="K1964" s="1">
        <v>0.0</v>
      </c>
    </row>
    <row r="1965">
      <c r="A1965" s="1">
        <v>1.0</v>
      </c>
      <c r="B1965" s="1">
        <v>4.0</v>
      </c>
      <c r="C1965" s="1">
        <v>3.0</v>
      </c>
      <c r="D1965" s="1">
        <v>12.0</v>
      </c>
      <c r="E1965" s="1">
        <v>0.0</v>
      </c>
      <c r="F1965" s="1">
        <v>0.0</v>
      </c>
      <c r="G1965" s="2">
        <v>1.0</v>
      </c>
      <c r="H1965" s="1" t="s">
        <v>179</v>
      </c>
      <c r="I1965" s="1" t="str">
        <f>IFERROR(__xludf.DUMMYFUNCTION("REGEXREPLACE(MID(H1965, SEARCH(""["", H1965) + 1, SEARCH(""]"", H1965) - SEARCH(""["", H1965) - 1), ""\[\]"","""")"),"Dulles Dolls 1")</f>
        <v>Dulles Dolls 1</v>
      </c>
      <c r="J1965" s="1">
        <v>12.0</v>
      </c>
      <c r="K1965" s="1">
        <v>0.0</v>
      </c>
    </row>
    <row r="1966">
      <c r="A1966" s="1">
        <v>2.0</v>
      </c>
      <c r="B1966" s="1">
        <v>8.0</v>
      </c>
      <c r="C1966" s="1">
        <v>3.0</v>
      </c>
      <c r="D1966" s="1">
        <v>0.0</v>
      </c>
      <c r="E1966" s="1">
        <v>0.0</v>
      </c>
      <c r="F1966" s="1">
        <v>0.0</v>
      </c>
      <c r="G1966" s="2">
        <v>0.0</v>
      </c>
      <c r="H1966" s="1" t="s">
        <v>181</v>
      </c>
      <c r="I1966" s="1" t="str">
        <f>IFERROR(__xludf.DUMMYFUNCTION("REGEXREPLACE(MID(H1966, SEARCH(""["", H1966) + 1, SEARCH(""]"", H1966) - SEARCH(""["", H1966) - 1), ""\[\]"","""")"),"Dulles Dolls 1")</f>
        <v>Dulles Dolls 1</v>
      </c>
      <c r="J1966" s="1">
        <v>0.0</v>
      </c>
      <c r="K1966" s="1">
        <v>0.0</v>
      </c>
    </row>
    <row r="1967">
      <c r="A1967" s="1">
        <v>4.0</v>
      </c>
      <c r="B1967" s="1">
        <v>15.0</v>
      </c>
      <c r="C1967" s="1">
        <v>0.0</v>
      </c>
      <c r="D1967" s="1">
        <v>0.0</v>
      </c>
      <c r="E1967" s="1">
        <v>0.0</v>
      </c>
      <c r="F1967" s="1">
        <v>0.0</v>
      </c>
      <c r="G1967" s="2">
        <v>0.0</v>
      </c>
      <c r="H1967" s="1" t="s">
        <v>183</v>
      </c>
      <c r="I1967" s="1" t="str">
        <f>IFERROR(__xludf.DUMMYFUNCTION("REGEXREPLACE(MID(H1967, SEARCH(""["", H1967) + 1, SEARCH(""]"", H1967) - SEARCH(""["", H1967) - 1), ""\[\]"","""")"),"Dulles Dolls 1")</f>
        <v>Dulles Dolls 1</v>
      </c>
      <c r="J1967" s="1">
        <v>0.0</v>
      </c>
      <c r="K1967" s="1">
        <v>0.0</v>
      </c>
    </row>
    <row r="1968">
      <c r="A1968" s="1">
        <v>1.0</v>
      </c>
      <c r="B1968" s="1">
        <v>4.0</v>
      </c>
      <c r="C1968" s="1">
        <v>0.0</v>
      </c>
      <c r="D1968" s="1">
        <v>0.0</v>
      </c>
      <c r="E1968" s="1">
        <v>0.0</v>
      </c>
      <c r="F1968" s="1">
        <v>0.0</v>
      </c>
      <c r="G1968" s="2">
        <v>0.0</v>
      </c>
      <c r="H1968" s="1" t="s">
        <v>183</v>
      </c>
      <c r="I1968" s="1" t="str">
        <f>IFERROR(__xludf.DUMMYFUNCTION("REGEXREPLACE(MID(H1968, SEARCH(""["", H1968) + 1, SEARCH(""]"", H1968) - SEARCH(""["", H1968) - 1), ""\[\]"","""")"),"Dulles Dolls 1")</f>
        <v>Dulles Dolls 1</v>
      </c>
      <c r="J1968" s="1">
        <v>0.0</v>
      </c>
      <c r="K1968" s="1">
        <v>0.0</v>
      </c>
    </row>
    <row r="1969">
      <c r="A1969" s="1">
        <v>1.0</v>
      </c>
      <c r="B1969" s="1">
        <v>4.0</v>
      </c>
      <c r="C1969" s="1">
        <v>0.0</v>
      </c>
      <c r="D1969" s="1">
        <v>0.0</v>
      </c>
      <c r="E1969" s="1">
        <v>0.0</v>
      </c>
      <c r="F1969" s="1">
        <v>0.0</v>
      </c>
      <c r="G1969" s="2">
        <v>0.0</v>
      </c>
      <c r="H1969" s="1" t="s">
        <v>184</v>
      </c>
      <c r="I1969" s="1" t="str">
        <f>IFERROR(__xludf.DUMMYFUNCTION("REGEXREPLACE(MID(H1969, SEARCH(""["", H1969) + 1, SEARCH(""]"", H1969) - SEARCH(""["", H1969) - 1), ""\[\]"","""")"),"Dulles Dolls 2")</f>
        <v>Dulles Dolls 2</v>
      </c>
      <c r="J1969" s="1">
        <v>0.0</v>
      </c>
      <c r="K1969" s="1">
        <v>0.0</v>
      </c>
    </row>
    <row r="1970">
      <c r="A1970" s="1">
        <v>1.0</v>
      </c>
      <c r="B1970" s="1">
        <v>3.0</v>
      </c>
      <c r="C1970" s="1">
        <v>0.0</v>
      </c>
      <c r="D1970" s="1">
        <v>0.0</v>
      </c>
      <c r="E1970" s="1">
        <v>0.0</v>
      </c>
      <c r="F1970" s="1">
        <v>0.0</v>
      </c>
      <c r="G1970" s="2">
        <v>0.0</v>
      </c>
      <c r="H1970" s="1" t="s">
        <v>184</v>
      </c>
      <c r="I1970" s="1" t="str">
        <f>IFERROR(__xludf.DUMMYFUNCTION("REGEXREPLACE(MID(H1970, SEARCH(""["", H1970) + 1, SEARCH(""]"", H1970) - SEARCH(""["", H1970) - 1), ""\[\]"","""")"),"Dulles Dolls 2")</f>
        <v>Dulles Dolls 2</v>
      </c>
      <c r="J1970" s="1">
        <v>0.0</v>
      </c>
      <c r="K1970" s="1">
        <v>0.0</v>
      </c>
    </row>
    <row r="1971">
      <c r="A1971" s="1">
        <v>3.0</v>
      </c>
      <c r="B1971" s="1">
        <v>12.0</v>
      </c>
      <c r="C1971" s="1">
        <v>1.0</v>
      </c>
      <c r="D1971" s="1">
        <v>0.0</v>
      </c>
      <c r="E1971" s="1">
        <v>0.0</v>
      </c>
      <c r="F1971" s="1">
        <v>0.0</v>
      </c>
      <c r="G1971" s="2">
        <v>0.0</v>
      </c>
      <c r="H1971" s="1" t="s">
        <v>184</v>
      </c>
      <c r="I1971" s="1" t="str">
        <f>IFERROR(__xludf.DUMMYFUNCTION("REGEXREPLACE(MID(H1971, SEARCH(""["", H1971) + 1, SEARCH(""]"", H1971) - SEARCH(""["", H1971) - 1), ""\[\]"","""")"),"Dulles Dolls 2")</f>
        <v>Dulles Dolls 2</v>
      </c>
      <c r="J1971" s="1">
        <v>0.0</v>
      </c>
      <c r="K1971" s="1">
        <v>0.0</v>
      </c>
    </row>
    <row r="1972">
      <c r="A1972" s="1">
        <v>4.0</v>
      </c>
      <c r="B1972" s="1">
        <v>16.0</v>
      </c>
      <c r="C1972" s="1">
        <v>5.0</v>
      </c>
      <c r="D1972" s="1">
        <v>0.0</v>
      </c>
      <c r="E1972" s="1">
        <v>0.0</v>
      </c>
      <c r="F1972" s="1">
        <v>0.0</v>
      </c>
      <c r="G1972" s="2">
        <v>0.0</v>
      </c>
      <c r="H1972" s="1" t="s">
        <v>161</v>
      </c>
      <c r="I1972" s="1" t="str">
        <f>IFERROR(__xludf.DUMMYFUNCTION("REGEXREPLACE(MID(H1972, SEARCH(""["", H1972) + 1, SEARCH(""]"", H1972) - SEARCH(""["", H1972) - 1), ""\[\]"","""")"),"Dulles Dolls 2")</f>
        <v>Dulles Dolls 2</v>
      </c>
      <c r="J1972" s="1">
        <v>0.0</v>
      </c>
      <c r="K1972" s="1">
        <v>0.0</v>
      </c>
    </row>
    <row r="1973">
      <c r="A1973" s="1">
        <v>1.0</v>
      </c>
      <c r="B1973" s="1">
        <v>3.0</v>
      </c>
      <c r="C1973" s="1">
        <v>1.0</v>
      </c>
      <c r="D1973" s="1">
        <v>4.0</v>
      </c>
      <c r="E1973" s="1">
        <v>0.0</v>
      </c>
      <c r="F1973" s="1">
        <v>0.0</v>
      </c>
      <c r="G1973" s="2">
        <v>1.0</v>
      </c>
      <c r="H1973" s="1" t="s">
        <v>161</v>
      </c>
      <c r="I1973" s="1" t="str">
        <f>IFERROR(__xludf.DUMMYFUNCTION("REGEXREPLACE(MID(H1973, SEARCH(""["", H1973) + 1, SEARCH(""]"", H1973) - SEARCH(""["", H1973) - 1), ""\[\]"","""")"),"Dulles Dolls 2")</f>
        <v>Dulles Dolls 2</v>
      </c>
      <c r="J1973" s="1">
        <v>4.0</v>
      </c>
      <c r="K1973" s="1">
        <v>0.0</v>
      </c>
    </row>
    <row r="1974">
      <c r="A1974" s="1">
        <v>3.0</v>
      </c>
      <c r="B1974" s="1">
        <v>12.0</v>
      </c>
      <c r="C1974" s="1">
        <v>0.0</v>
      </c>
      <c r="D1974" s="1">
        <v>0.0</v>
      </c>
      <c r="E1974" s="1">
        <v>0.0</v>
      </c>
      <c r="F1974" s="1">
        <v>0.0</v>
      </c>
      <c r="G1974" s="2">
        <v>0.0</v>
      </c>
      <c r="H1974" s="1" t="s">
        <v>187</v>
      </c>
      <c r="I1974" s="1" t="str">
        <f>IFERROR(__xludf.DUMMYFUNCTION("REGEXREPLACE(MID(H1974, SEARCH(""["", H1974) + 1, SEARCH(""]"", H1974) - SEARCH(""["", H1974) - 1), ""\[\]"","""")"),"Eastlake HS")</f>
        <v>Eastlake HS</v>
      </c>
      <c r="J1974" s="1">
        <v>0.0</v>
      </c>
      <c r="K1974" s="1">
        <v>0.0</v>
      </c>
    </row>
    <row r="1975">
      <c r="A1975" s="1">
        <v>5.0</v>
      </c>
      <c r="B1975" s="1">
        <v>20.0</v>
      </c>
      <c r="C1975" s="1">
        <v>3.0</v>
      </c>
      <c r="D1975" s="1">
        <v>2.4</v>
      </c>
      <c r="E1975" s="1">
        <v>0.0</v>
      </c>
      <c r="F1975" s="1">
        <v>0.0</v>
      </c>
      <c r="G1975" s="2">
        <v>1.0</v>
      </c>
      <c r="H1975" s="1" t="s">
        <v>180</v>
      </c>
      <c r="I1975" s="1" t="str">
        <f>IFERROR(__xludf.DUMMYFUNCTION("REGEXREPLACE(MID(H1975, SEARCH(""["", H1975) + 1, SEARCH(""]"", H1975) - SEARCH(""["", H1975) - 1), ""\[\]"","""")"),"Eastlake HS")</f>
        <v>Eastlake HS</v>
      </c>
      <c r="J1975" s="1">
        <v>12.0</v>
      </c>
      <c r="K1975" s="1">
        <v>0.0</v>
      </c>
    </row>
    <row r="1976">
      <c r="A1976" s="1">
        <v>4.0</v>
      </c>
      <c r="B1976" s="1">
        <v>16.0</v>
      </c>
      <c r="C1976" s="1">
        <v>4.0</v>
      </c>
      <c r="D1976" s="1">
        <v>2.0</v>
      </c>
      <c r="E1976" s="1">
        <v>0.25</v>
      </c>
      <c r="F1976" s="1">
        <v>0.0</v>
      </c>
      <c r="G1976" s="2">
        <v>0.75</v>
      </c>
      <c r="H1976" s="1" t="s">
        <v>189</v>
      </c>
      <c r="I1976" s="1" t="str">
        <f>IFERROR(__xludf.DUMMYFUNCTION("REGEXREPLACE(MID(H1976, SEARCH(""["", H1976) + 1, SEARCH(""]"", H1976) - SEARCH(""["", H1976) - 1), ""\[\]"","""")"),"Eastlake HS")</f>
        <v>Eastlake HS</v>
      </c>
      <c r="J1976" s="1">
        <v>8.0</v>
      </c>
      <c r="K1976" s="1">
        <v>1.0</v>
      </c>
    </row>
    <row r="1977">
      <c r="A1977" s="1">
        <v>5.0</v>
      </c>
      <c r="B1977" s="1">
        <v>20.0</v>
      </c>
      <c r="C1977" s="1">
        <v>8.0</v>
      </c>
      <c r="D1977" s="1">
        <v>4.8</v>
      </c>
      <c r="E1977" s="1">
        <v>0.2</v>
      </c>
      <c r="F1977" s="1">
        <v>0.0</v>
      </c>
      <c r="G1977" s="6">
        <v>0.875</v>
      </c>
      <c r="H1977" s="1" t="s">
        <v>190</v>
      </c>
      <c r="I1977" s="1" t="str">
        <f>IFERROR(__xludf.DUMMYFUNCTION("REGEXREPLACE(MID(H1977, SEARCH(""["", H1977) + 1, SEARCH(""]"", H1977) - SEARCH(""["", H1977) - 1), ""\[\]"","""")"),"Eastlake HS")</f>
        <v>Eastlake HS</v>
      </c>
      <c r="J1977" s="1">
        <v>24.0</v>
      </c>
      <c r="K1977" s="1">
        <v>1.0</v>
      </c>
    </row>
    <row r="1978">
      <c r="A1978" s="1">
        <v>1.0</v>
      </c>
      <c r="B1978" s="1">
        <v>4.0</v>
      </c>
      <c r="C1978" s="1">
        <v>0.0</v>
      </c>
      <c r="D1978" s="1">
        <v>0.0</v>
      </c>
      <c r="E1978" s="1">
        <v>0.0</v>
      </c>
      <c r="F1978" s="1">
        <v>0.0</v>
      </c>
      <c r="G1978" s="2">
        <v>0.0</v>
      </c>
      <c r="H1978" s="1" t="s">
        <v>191</v>
      </c>
      <c r="I1978" s="1" t="str">
        <f>IFERROR(__xludf.DUMMYFUNCTION("REGEXREPLACE(MID(H1978, SEARCH(""["", H1978) + 1, SEARCH(""]"", H1978) - SEARCH(""["", H1978) - 1), ""\[\]"","""")"),"Elkins HS")</f>
        <v>Elkins HS</v>
      </c>
      <c r="J1978" s="1">
        <v>0.0</v>
      </c>
      <c r="K1978" s="1">
        <v>0.0</v>
      </c>
    </row>
    <row r="1979">
      <c r="A1979" s="1">
        <v>3.0</v>
      </c>
      <c r="B1979" s="1">
        <v>13.0</v>
      </c>
      <c r="C1979" s="1">
        <v>0.0</v>
      </c>
      <c r="D1979" s="1">
        <v>0.0</v>
      </c>
      <c r="E1979" s="1">
        <v>0.0</v>
      </c>
      <c r="F1979" s="1">
        <v>0.0</v>
      </c>
      <c r="G1979" s="2">
        <v>0.0</v>
      </c>
      <c r="H1979" s="1" t="s">
        <v>191</v>
      </c>
      <c r="I1979" s="1" t="str">
        <f>IFERROR(__xludf.DUMMYFUNCTION("REGEXREPLACE(MID(H1979, SEARCH(""["", H1979) + 1, SEARCH(""]"", H1979) - SEARCH(""["", H1979) - 1), ""\[\]"","""")"),"Elkins HS")</f>
        <v>Elkins HS</v>
      </c>
      <c r="J1979" s="1">
        <v>0.0</v>
      </c>
      <c r="K1979" s="1">
        <v>0.0</v>
      </c>
    </row>
    <row r="1980">
      <c r="A1980" s="1">
        <v>2.0</v>
      </c>
      <c r="B1980" s="1">
        <v>9.0</v>
      </c>
      <c r="C1980" s="1">
        <v>0.0</v>
      </c>
      <c r="D1980" s="1">
        <v>0.0</v>
      </c>
      <c r="E1980" s="1">
        <v>0.0</v>
      </c>
      <c r="F1980" s="1">
        <v>0.0</v>
      </c>
      <c r="G1980" s="2">
        <v>0.0</v>
      </c>
      <c r="H1980" s="1" t="s">
        <v>192</v>
      </c>
      <c r="I1980" s="1" t="str">
        <f>IFERROR(__xludf.DUMMYFUNCTION("REGEXREPLACE(MID(H1980, SEARCH(""["", H1980) + 1, SEARCH(""]"", H1980) - SEARCH(""["", H1980) - 1), ""\[\]"","""")"),"Elkins HS")</f>
        <v>Elkins HS</v>
      </c>
      <c r="J1980" s="1">
        <v>0.0</v>
      </c>
      <c r="K1980" s="1">
        <v>0.0</v>
      </c>
    </row>
    <row r="1981">
      <c r="A1981" s="1">
        <v>1.0</v>
      </c>
      <c r="B1981" s="1">
        <v>4.0</v>
      </c>
      <c r="C1981" s="1">
        <v>0.0</v>
      </c>
      <c r="D1981" s="1">
        <v>0.0</v>
      </c>
      <c r="E1981" s="1">
        <v>0.0</v>
      </c>
      <c r="F1981" s="1">
        <v>0.0</v>
      </c>
      <c r="G1981" s="2">
        <v>0.0</v>
      </c>
      <c r="H1981" s="1" t="s">
        <v>192</v>
      </c>
      <c r="I1981" s="1" t="str">
        <f>IFERROR(__xludf.DUMMYFUNCTION("REGEXREPLACE(MID(H1981, SEARCH(""["", H1981) + 1, SEARCH(""]"", H1981) - SEARCH(""["", H1981) - 1), ""\[\]"","""")"),"Elkins HS")</f>
        <v>Elkins HS</v>
      </c>
      <c r="J1981" s="1">
        <v>0.0</v>
      </c>
      <c r="K1981" s="1">
        <v>0.0</v>
      </c>
    </row>
    <row r="1982">
      <c r="A1982" s="1">
        <v>1.0</v>
      </c>
      <c r="B1982" s="1">
        <v>4.0</v>
      </c>
      <c r="C1982" s="1">
        <v>0.0</v>
      </c>
      <c r="D1982" s="1">
        <v>0.0</v>
      </c>
      <c r="E1982" s="1">
        <v>0.0</v>
      </c>
      <c r="F1982" s="1">
        <v>0.0</v>
      </c>
      <c r="G1982" s="2">
        <v>0.0</v>
      </c>
      <c r="H1982" s="1" t="s">
        <v>194</v>
      </c>
      <c r="I1982" s="1" t="str">
        <f>IFERROR(__xludf.DUMMYFUNCTION("REGEXREPLACE(MID(H1982, SEARCH(""["", H1982) + 1, SEARCH(""]"", H1982) - SEARCH(""["", H1982) - 1), ""\[\]"","""")"),"Elkins HS")</f>
        <v>Elkins HS</v>
      </c>
      <c r="J1982" s="1">
        <v>0.0</v>
      </c>
      <c r="K1982" s="1">
        <v>0.0</v>
      </c>
    </row>
    <row r="1983">
      <c r="A1983" s="1">
        <v>1.0</v>
      </c>
      <c r="B1983" s="1">
        <v>4.0</v>
      </c>
      <c r="C1983" s="1">
        <v>0.0</v>
      </c>
      <c r="D1983" s="1">
        <v>0.0</v>
      </c>
      <c r="E1983" s="1">
        <v>0.0</v>
      </c>
      <c r="F1983" s="1">
        <v>0.0</v>
      </c>
      <c r="G1983" s="2">
        <v>0.0</v>
      </c>
      <c r="H1983" s="1" t="s">
        <v>194</v>
      </c>
      <c r="I1983" s="1" t="str">
        <f>IFERROR(__xludf.DUMMYFUNCTION("REGEXREPLACE(MID(H1983, SEARCH(""["", H1983) + 1, SEARCH(""]"", H1983) - SEARCH(""["", H1983) - 1), ""\[\]"","""")"),"Elkins HS")</f>
        <v>Elkins HS</v>
      </c>
      <c r="J1983" s="1">
        <v>0.0</v>
      </c>
      <c r="K1983" s="1">
        <v>0.0</v>
      </c>
    </row>
    <row r="1984">
      <c r="A1984" s="1">
        <v>1.0</v>
      </c>
      <c r="B1984" s="1">
        <v>4.0</v>
      </c>
      <c r="C1984" s="1">
        <v>3.0</v>
      </c>
      <c r="D1984" s="1">
        <v>12.0</v>
      </c>
      <c r="E1984" s="1">
        <v>0.0</v>
      </c>
      <c r="F1984" s="1">
        <v>0.0</v>
      </c>
      <c r="G1984" s="2">
        <v>1.0</v>
      </c>
      <c r="H1984" s="1" t="s">
        <v>195</v>
      </c>
      <c r="I1984" s="1" t="str">
        <f>IFERROR(__xludf.DUMMYFUNCTION("REGEXREPLACE(MID(H1984, SEARCH(""["", H1984) + 1, SEARCH(""]"", H1984) - SEARCH(""["", H1984) - 1), ""\[\]"","""")"),"Elkins HS")</f>
        <v>Elkins HS</v>
      </c>
      <c r="J1984" s="1">
        <v>12.0</v>
      </c>
      <c r="K1984" s="1">
        <v>0.0</v>
      </c>
    </row>
    <row r="1985">
      <c r="A1985" s="1">
        <v>4.0</v>
      </c>
      <c r="B1985" s="1">
        <v>17.0</v>
      </c>
      <c r="C1985" s="1">
        <v>7.0</v>
      </c>
      <c r="D1985" s="1">
        <v>4.0</v>
      </c>
      <c r="E1985" s="1">
        <v>0.25</v>
      </c>
      <c r="F1985" s="1">
        <v>0.0</v>
      </c>
      <c r="G1985" s="6">
        <v>0.714</v>
      </c>
      <c r="H1985" s="1" t="s">
        <v>195</v>
      </c>
      <c r="I1985" s="1" t="str">
        <f>IFERROR(__xludf.DUMMYFUNCTION("REGEXREPLACE(MID(H1985, SEARCH(""["", H1985) + 1, SEARCH(""]"", H1985) - SEARCH(""["", H1985) - 1), ""\[\]"","""")"),"Elkins HS")</f>
        <v>Elkins HS</v>
      </c>
      <c r="J1985" s="1">
        <v>16.0</v>
      </c>
      <c r="K1985" s="1">
        <v>1.0</v>
      </c>
    </row>
    <row r="1986">
      <c r="A1986" s="1">
        <v>1.0</v>
      </c>
      <c r="B1986" s="1">
        <v>4.0</v>
      </c>
      <c r="C1986" s="1">
        <v>0.0</v>
      </c>
      <c r="D1986" s="1">
        <v>0.0</v>
      </c>
      <c r="E1986" s="1">
        <v>0.0</v>
      </c>
      <c r="F1986" s="1">
        <v>0.0</v>
      </c>
      <c r="G1986" s="2">
        <v>0.0</v>
      </c>
      <c r="H1986" s="1" t="s">
        <v>112</v>
      </c>
      <c r="I1986" s="1" t="str">
        <f>IFERROR(__xludf.DUMMYFUNCTION("REGEXREPLACE(MID(H1986, SEARCH(""["", H1986) + 1, SEARCH(""]"", H1986) - SEARCH(""["", H1986) - 1), ""\[\]"","""")"),"Elkins HS")</f>
        <v>Elkins HS</v>
      </c>
      <c r="J1986" s="1">
        <v>0.0</v>
      </c>
      <c r="K1986" s="1">
        <v>0.0</v>
      </c>
    </row>
    <row r="1987">
      <c r="A1987" s="1">
        <v>4.0</v>
      </c>
      <c r="B1987" s="1">
        <v>17.0</v>
      </c>
      <c r="C1987" s="1">
        <v>3.0</v>
      </c>
      <c r="D1987" s="1">
        <v>0.0</v>
      </c>
      <c r="E1987" s="1">
        <v>0.25</v>
      </c>
      <c r="F1987" s="1">
        <v>0.0</v>
      </c>
      <c r="G1987" s="6">
        <v>0.333</v>
      </c>
      <c r="H1987" s="1" t="s">
        <v>112</v>
      </c>
      <c r="I1987" s="1" t="str">
        <f>IFERROR(__xludf.DUMMYFUNCTION("REGEXREPLACE(MID(H1987, SEARCH(""["", H1987) + 1, SEARCH(""]"", H1987) - SEARCH(""["", H1987) - 1), ""\[\]"","""")"),"Elkins HS")</f>
        <v>Elkins HS</v>
      </c>
      <c r="J1987" s="1">
        <v>0.0</v>
      </c>
      <c r="K1987" s="1">
        <v>1.0</v>
      </c>
    </row>
    <row r="1988">
      <c r="A1988" s="1">
        <v>1.0</v>
      </c>
      <c r="B1988" s="1">
        <v>4.0</v>
      </c>
      <c r="C1988" s="1">
        <v>0.0</v>
      </c>
      <c r="D1988" s="1">
        <v>0.0</v>
      </c>
      <c r="E1988" s="1">
        <v>0.0</v>
      </c>
      <c r="F1988" s="1">
        <v>0.0</v>
      </c>
      <c r="G1988" s="2">
        <v>0.0</v>
      </c>
      <c r="H1988" s="1" t="s">
        <v>196</v>
      </c>
      <c r="I1988" s="1" t="str">
        <f>IFERROR(__xludf.DUMMYFUNCTION("REGEXREPLACE(MID(H1988, SEARCH(""["", H1988) + 1, SEARCH(""]"", H1988) - SEARCH(""["", H1988) - 1), ""\[\]"","""")"),"ENHS")</f>
        <v>ENHS</v>
      </c>
      <c r="J1988" s="1">
        <v>0.0</v>
      </c>
      <c r="K1988" s="1">
        <v>0.0</v>
      </c>
    </row>
    <row r="1989">
      <c r="A1989" s="1">
        <v>5.0</v>
      </c>
      <c r="B1989" s="1">
        <v>19.0</v>
      </c>
      <c r="C1989" s="1">
        <v>3.0</v>
      </c>
      <c r="D1989" s="1">
        <v>-0.8</v>
      </c>
      <c r="E1989" s="1">
        <v>0.2</v>
      </c>
      <c r="F1989" s="1">
        <v>0.0</v>
      </c>
      <c r="G1989" s="2">
        <v>0.0</v>
      </c>
      <c r="H1989" s="1" t="s">
        <v>197</v>
      </c>
      <c r="I1989" s="1" t="str">
        <f>IFERROR(__xludf.DUMMYFUNCTION("REGEXREPLACE(MID(H1989, SEARCH(""["", H1989) + 1, SEARCH(""]"", H1989) - SEARCH(""["", H1989) - 1), ""\[\]"","""")"),"ENHS")</f>
        <v>ENHS</v>
      </c>
      <c r="J1989" s="1">
        <v>-4.0</v>
      </c>
      <c r="K1989" s="1">
        <v>1.0</v>
      </c>
    </row>
    <row r="1990">
      <c r="A1990" s="1">
        <v>2.0</v>
      </c>
      <c r="B1990" s="1">
        <v>8.0</v>
      </c>
      <c r="C1990" s="1">
        <v>0.0</v>
      </c>
      <c r="D1990" s="1">
        <v>0.0</v>
      </c>
      <c r="E1990" s="1">
        <v>0.0</v>
      </c>
      <c r="F1990" s="1">
        <v>0.0</v>
      </c>
      <c r="G1990" s="2">
        <v>0.0</v>
      </c>
      <c r="H1990" s="1" t="s">
        <v>198</v>
      </c>
      <c r="I1990" s="1" t="str">
        <f>IFERROR(__xludf.DUMMYFUNCTION("REGEXREPLACE(MID(H1990, SEARCH(""["", H1990) + 1, SEARCH(""]"", H1990) - SEARCH(""["", H1990) - 1), ""\[\]"","""")"),"ENHS")</f>
        <v>ENHS</v>
      </c>
      <c r="J1990" s="1">
        <v>0.0</v>
      </c>
      <c r="K1990" s="1">
        <v>0.0</v>
      </c>
    </row>
    <row r="1991">
      <c r="A1991" s="1">
        <v>5.0</v>
      </c>
      <c r="B1991" s="1">
        <v>19.0</v>
      </c>
      <c r="C1991" s="1">
        <v>9.0</v>
      </c>
      <c r="D1991" s="1">
        <v>2.4</v>
      </c>
      <c r="E1991" s="1">
        <v>0.2</v>
      </c>
      <c r="F1991" s="1">
        <v>0.0</v>
      </c>
      <c r="G1991" s="6">
        <v>0.444</v>
      </c>
      <c r="H1991" s="1" t="s">
        <v>199</v>
      </c>
      <c r="I1991" s="1" t="str">
        <f>IFERROR(__xludf.DUMMYFUNCTION("REGEXREPLACE(MID(H1991, SEARCH(""["", H1991) + 1, SEARCH(""]"", H1991) - SEARCH(""["", H1991) - 1), ""\[\]"","""")"),"ENHS")</f>
        <v>ENHS</v>
      </c>
      <c r="J1991" s="1">
        <v>12.0</v>
      </c>
      <c r="K1991" s="1">
        <v>1.0</v>
      </c>
    </row>
    <row r="1992">
      <c r="A1992" s="1">
        <v>3.0</v>
      </c>
      <c r="B1992" s="1">
        <v>12.0</v>
      </c>
      <c r="C1992" s="1">
        <v>6.0</v>
      </c>
      <c r="D1992" s="1">
        <v>4.0</v>
      </c>
      <c r="E1992" s="1">
        <v>0.0</v>
      </c>
      <c r="F1992" s="1">
        <v>0.0</v>
      </c>
      <c r="G1992" s="2">
        <v>0.5</v>
      </c>
      <c r="H1992" s="1" t="s">
        <v>200</v>
      </c>
      <c r="I1992" s="1" t="str">
        <f>IFERROR(__xludf.DUMMYFUNCTION("REGEXREPLACE(MID(H1992, SEARCH(""["", H1992) + 1, SEARCH(""]"", H1992) - SEARCH(""["", H1992) - 1), ""\[\]"","""")"),"Enloe")</f>
        <v>Enloe</v>
      </c>
      <c r="J1992" s="1">
        <v>12.0</v>
      </c>
      <c r="K1992" s="1">
        <v>0.0</v>
      </c>
    </row>
    <row r="1993">
      <c r="A1993" s="1">
        <v>3.0</v>
      </c>
      <c r="B1993" s="1">
        <v>11.0</v>
      </c>
      <c r="C1993" s="1">
        <v>0.0</v>
      </c>
      <c r="D1993" s="1">
        <v>0.0</v>
      </c>
      <c r="E1993" s="1">
        <v>0.0</v>
      </c>
      <c r="F1993" s="1">
        <v>0.0</v>
      </c>
      <c r="G1993" s="2">
        <v>0.0</v>
      </c>
      <c r="H1993" s="1" t="s">
        <v>201</v>
      </c>
      <c r="I1993" s="1" t="str">
        <f>IFERROR(__xludf.DUMMYFUNCTION("REGEXREPLACE(MID(H1993, SEARCH(""["", H1993) + 1, SEARCH(""]"", H1993) - SEARCH(""["", H1993) - 1), ""\[\]"","""")"),"Enloe")</f>
        <v>Enloe</v>
      </c>
      <c r="J1993" s="1">
        <v>0.0</v>
      </c>
      <c r="K1993" s="1">
        <v>0.0</v>
      </c>
    </row>
    <row r="1994">
      <c r="A1994" s="1">
        <v>5.0</v>
      </c>
      <c r="B1994" s="1">
        <v>19.0</v>
      </c>
      <c r="C1994" s="1">
        <v>7.0</v>
      </c>
      <c r="D1994" s="1">
        <v>4.0</v>
      </c>
      <c r="E1994" s="1">
        <v>0.2</v>
      </c>
      <c r="F1994" s="1">
        <v>0.0</v>
      </c>
      <c r="G1994" s="6">
        <v>0.857</v>
      </c>
      <c r="H1994" s="1" t="s">
        <v>70</v>
      </c>
      <c r="I1994" s="1" t="str">
        <f>IFERROR(__xludf.DUMMYFUNCTION("REGEXREPLACE(MID(H1994, SEARCH(""["", H1994) + 1, SEARCH(""]"", H1994) - SEARCH(""["", H1994) - 1), ""\[\]"","""")"),"Enloe")</f>
        <v>Enloe</v>
      </c>
      <c r="J1994" s="1">
        <v>20.0</v>
      </c>
      <c r="K1994" s="1">
        <v>1.0</v>
      </c>
    </row>
    <row r="1995">
      <c r="A1995" s="1">
        <v>1.0</v>
      </c>
      <c r="B1995" s="1">
        <v>4.0</v>
      </c>
      <c r="C1995" s="1">
        <v>1.0</v>
      </c>
      <c r="D1995" s="1">
        <v>0.0</v>
      </c>
      <c r="E1995" s="1">
        <v>0.0</v>
      </c>
      <c r="F1995" s="1">
        <v>0.0</v>
      </c>
      <c r="G1995" s="2">
        <v>0.0</v>
      </c>
      <c r="H1995" s="1" t="s">
        <v>203</v>
      </c>
      <c r="I1995" s="1" t="str">
        <f>IFERROR(__xludf.DUMMYFUNCTION("REGEXREPLACE(MID(H1995, SEARCH(""["", H1995) + 1, SEARCH(""]"", H1995) - SEARCH(""["", H1995) - 1), ""\[\]"","""")"),"Enloe")</f>
        <v>Enloe</v>
      </c>
      <c r="J1995" s="1">
        <v>0.0</v>
      </c>
      <c r="K1995" s="1">
        <v>0.0</v>
      </c>
    </row>
    <row r="1996">
      <c r="A1996" s="1">
        <v>2.0</v>
      </c>
      <c r="B1996" s="1">
        <v>8.0</v>
      </c>
      <c r="C1996" s="1">
        <v>3.0</v>
      </c>
      <c r="D1996" s="1">
        <v>4.0</v>
      </c>
      <c r="E1996" s="1">
        <v>0.0</v>
      </c>
      <c r="F1996" s="1">
        <v>0.0</v>
      </c>
      <c r="G1996" s="6">
        <v>0.667</v>
      </c>
      <c r="H1996" s="1" t="s">
        <v>205</v>
      </c>
      <c r="I1996" s="1" t="str">
        <f>IFERROR(__xludf.DUMMYFUNCTION("REGEXREPLACE(MID(H1996, SEARCH(""["", H1996) + 1, SEARCH(""]"", H1996) - SEARCH(""["", H1996) - 1), ""\[\]"","""")"),"Enloe")</f>
        <v>Enloe</v>
      </c>
      <c r="J1996" s="1">
        <v>8.0</v>
      </c>
      <c r="K1996" s="1">
        <v>0.0</v>
      </c>
    </row>
    <row r="1997">
      <c r="A1997" s="1">
        <v>1.0</v>
      </c>
      <c r="B1997" s="1">
        <v>4.0</v>
      </c>
      <c r="C1997" s="1">
        <v>0.0</v>
      </c>
      <c r="D1997" s="1">
        <v>0.0</v>
      </c>
      <c r="E1997" s="1">
        <v>0.0</v>
      </c>
      <c r="F1997" s="1">
        <v>0.0</v>
      </c>
      <c r="G1997" s="2">
        <v>0.0</v>
      </c>
      <c r="H1997" s="1" t="s">
        <v>206</v>
      </c>
      <c r="I1997" s="1" t="str">
        <f>IFERROR(__xludf.DUMMYFUNCTION("REGEXREPLACE(MID(H1997, SEARCH(""["", H1997) + 1, SEARCH(""]"", H1997) - SEARCH(""["", H1997) - 1), ""\[\]"","""")"),"Frazer")</f>
        <v>Frazer</v>
      </c>
      <c r="J1997" s="1">
        <v>0.0</v>
      </c>
      <c r="K1997" s="1">
        <v>0.0</v>
      </c>
    </row>
    <row r="1998">
      <c r="A1998" s="1">
        <v>5.0</v>
      </c>
      <c r="B1998" s="1">
        <v>20.0</v>
      </c>
      <c r="C1998" s="1">
        <v>10.0</v>
      </c>
      <c r="D1998" s="1">
        <v>3.2</v>
      </c>
      <c r="E1998" s="1">
        <v>0.2</v>
      </c>
      <c r="F1998" s="1">
        <v>0.0</v>
      </c>
      <c r="G1998" s="6">
        <v>0.5</v>
      </c>
      <c r="H1998" s="1" t="s">
        <v>62</v>
      </c>
      <c r="I1998" s="1" t="str">
        <f>IFERROR(__xludf.DUMMYFUNCTION("REGEXREPLACE(MID(H1998, SEARCH(""["", H1998) + 1, SEARCH(""]"", H1998) - SEARCH(""["", H1998) - 1), ""\[\]"","""")"),"Frazer")</f>
        <v>Frazer</v>
      </c>
      <c r="J1998" s="1">
        <v>16.0</v>
      </c>
      <c r="K1998" s="1">
        <v>1.0</v>
      </c>
    </row>
    <row r="1999">
      <c r="A1999" s="1">
        <v>1.0</v>
      </c>
      <c r="B1999" s="1">
        <v>4.0</v>
      </c>
      <c r="C1999" s="1">
        <v>0.0</v>
      </c>
      <c r="D1999" s="1">
        <v>0.0</v>
      </c>
      <c r="E1999" s="1">
        <v>0.0</v>
      </c>
      <c r="F1999" s="1">
        <v>0.0</v>
      </c>
      <c r="G1999" s="2">
        <v>0.0</v>
      </c>
      <c r="H1999" s="1" t="s">
        <v>208</v>
      </c>
      <c r="I1999" s="1" t="str">
        <f>IFERROR(__xludf.DUMMYFUNCTION("REGEXREPLACE(MID(H1999, SEARCH(""["", H1999) + 1, SEARCH(""]"", H1999) - SEARCH(""["", H1999) - 1), ""\[\]"","""")"),"Frazer")</f>
        <v>Frazer</v>
      </c>
      <c r="J1999" s="1">
        <v>0.0</v>
      </c>
      <c r="K1999" s="1">
        <v>0.0</v>
      </c>
    </row>
    <row r="2000">
      <c r="A2000" s="1">
        <v>5.0</v>
      </c>
      <c r="B2000" s="1">
        <v>20.0</v>
      </c>
      <c r="C2000" s="1">
        <v>1.0</v>
      </c>
      <c r="D2000" s="1">
        <v>0.8</v>
      </c>
      <c r="E2000" s="1">
        <v>0.0</v>
      </c>
      <c r="F2000" s="1">
        <v>0.0</v>
      </c>
      <c r="G2000" s="2">
        <v>1.0</v>
      </c>
      <c r="H2000" s="1" t="s">
        <v>209</v>
      </c>
      <c r="I2000" s="1" t="str">
        <f>IFERROR(__xludf.DUMMYFUNCTION("REGEXREPLACE(MID(H2000, SEARCH(""["", H2000) + 1, SEARCH(""]"", H2000) - SEARCH(""["", H2000) - 1), ""\[\]"","""")"),"Friendswood")</f>
        <v>Friendswood</v>
      </c>
      <c r="J2000" s="1">
        <v>4.0</v>
      </c>
      <c r="K2000" s="1">
        <v>0.0</v>
      </c>
    </row>
    <row r="2001">
      <c r="A2001" s="1">
        <v>5.0</v>
      </c>
      <c r="B2001" s="1">
        <v>20.0</v>
      </c>
      <c r="C2001" s="1">
        <v>12.0</v>
      </c>
      <c r="D2001" s="1">
        <v>5.6</v>
      </c>
      <c r="E2001" s="1">
        <v>0.0</v>
      </c>
      <c r="F2001" s="1">
        <v>0.0</v>
      </c>
      <c r="G2001" s="6">
        <v>0.583</v>
      </c>
      <c r="H2001" s="1" t="s">
        <v>210</v>
      </c>
      <c r="I2001" s="1" t="str">
        <f>IFERROR(__xludf.DUMMYFUNCTION("REGEXREPLACE(MID(H2001, SEARCH(""["", H2001) + 1, SEARCH(""]"", H2001) - SEARCH(""["", H2001) - 1), ""\[\]"","""")"),"Friendswood")</f>
        <v>Friendswood</v>
      </c>
      <c r="J2001" s="1">
        <v>28.0</v>
      </c>
      <c r="K2001" s="1">
        <v>0.0</v>
      </c>
    </row>
    <row r="2002">
      <c r="A2002" s="1">
        <v>5.0</v>
      </c>
      <c r="B2002" s="1">
        <v>20.0</v>
      </c>
      <c r="C2002" s="1">
        <v>0.0</v>
      </c>
      <c r="D2002" s="1">
        <v>0.0</v>
      </c>
      <c r="E2002" s="1">
        <v>0.0</v>
      </c>
      <c r="F2002" s="1">
        <v>0.0</v>
      </c>
      <c r="G2002" s="2">
        <v>0.0</v>
      </c>
      <c r="H2002" s="1" t="s">
        <v>211</v>
      </c>
      <c r="I2002" s="1" t="str">
        <f>IFERROR(__xludf.DUMMYFUNCTION("REGEXREPLACE(MID(H2002, SEARCH(""["", H2002) + 1, SEARCH(""]"", H2002) - SEARCH(""["", H2002) - 1), ""\[\]"","""")"),"Friendswood")</f>
        <v>Friendswood</v>
      </c>
      <c r="J2002" s="1">
        <v>0.0</v>
      </c>
      <c r="K2002" s="1">
        <v>0.0</v>
      </c>
    </row>
    <row r="2003">
      <c r="A2003" s="1">
        <v>5.0</v>
      </c>
      <c r="B2003" s="1">
        <v>20.0</v>
      </c>
      <c r="C2003" s="1">
        <v>1.0</v>
      </c>
      <c r="D2003" s="1">
        <v>0.0</v>
      </c>
      <c r="E2003" s="1">
        <v>0.0</v>
      </c>
      <c r="F2003" s="1">
        <v>0.0</v>
      </c>
      <c r="G2003" s="2">
        <v>0.0</v>
      </c>
      <c r="H2003" s="1" t="s">
        <v>213</v>
      </c>
      <c r="I2003" s="1" t="str">
        <f>IFERROR(__xludf.DUMMYFUNCTION("REGEXREPLACE(MID(H2003, SEARCH(""["", H2003) + 1, SEARCH(""]"", H2003) - SEARCH(""["", H2003) - 1), ""\[\]"","""")"),"Friendswood")</f>
        <v>Friendswood</v>
      </c>
      <c r="J2003" s="1">
        <v>0.0</v>
      </c>
      <c r="K2003" s="1">
        <v>0.0</v>
      </c>
    </row>
    <row r="2004">
      <c r="A2004" s="1">
        <v>1.0</v>
      </c>
      <c r="B2004" s="1">
        <v>4.0</v>
      </c>
      <c r="C2004" s="1">
        <v>3.0</v>
      </c>
      <c r="D2004" s="1">
        <v>4.0</v>
      </c>
      <c r="E2004" s="1">
        <v>1.0</v>
      </c>
      <c r="F2004" s="1">
        <v>0.0</v>
      </c>
      <c r="G2004" s="6">
        <v>0.667</v>
      </c>
      <c r="H2004" s="1" t="s">
        <v>214</v>
      </c>
      <c r="I2004" s="1" t="str">
        <f>IFERROR(__xludf.DUMMYFUNCTION("REGEXREPLACE(MID(H2004, SEARCH(""["", H2004) + 1, SEARCH(""]"", H2004) - SEARCH(""["", H2004) - 1), ""\[\]"","""")"),"Galen 1")</f>
        <v>Galen 1</v>
      </c>
      <c r="J2004" s="1">
        <v>4.0</v>
      </c>
      <c r="K2004" s="1">
        <v>1.0</v>
      </c>
    </row>
    <row r="2005">
      <c r="A2005" s="1">
        <v>2.0</v>
      </c>
      <c r="B2005" s="1">
        <v>8.0</v>
      </c>
      <c r="C2005" s="1">
        <v>6.0</v>
      </c>
      <c r="D2005" s="1">
        <v>4.0</v>
      </c>
      <c r="E2005" s="1">
        <v>0.5</v>
      </c>
      <c r="F2005" s="1">
        <v>0.0</v>
      </c>
      <c r="G2005" s="2">
        <v>0.5</v>
      </c>
      <c r="H2005" s="1" t="s">
        <v>214</v>
      </c>
      <c r="I2005" s="1" t="str">
        <f>IFERROR(__xludf.DUMMYFUNCTION("REGEXREPLACE(MID(H2005, SEARCH(""["", H2005) + 1, SEARCH(""]"", H2005) - SEARCH(""["", H2005) - 1), ""\[\]"","""")"),"Galen 1")</f>
        <v>Galen 1</v>
      </c>
      <c r="J2005" s="1">
        <v>8.0</v>
      </c>
      <c r="K2005" s="1">
        <v>1.0</v>
      </c>
    </row>
    <row r="2006">
      <c r="A2006" s="1">
        <v>1.0</v>
      </c>
      <c r="B2006" s="1">
        <v>4.0</v>
      </c>
      <c r="C2006" s="1">
        <v>3.0</v>
      </c>
      <c r="D2006" s="1">
        <v>4.0</v>
      </c>
      <c r="E2006" s="1">
        <v>1.0</v>
      </c>
      <c r="F2006" s="1">
        <v>0.0</v>
      </c>
      <c r="G2006" s="6">
        <v>0.667</v>
      </c>
      <c r="H2006" s="1" t="s">
        <v>214</v>
      </c>
      <c r="I2006" s="1" t="str">
        <f>IFERROR(__xludf.DUMMYFUNCTION("REGEXREPLACE(MID(H2006, SEARCH(""["", H2006) + 1, SEARCH(""]"", H2006) - SEARCH(""["", H2006) - 1), ""\[\]"","""")"),"Galen 1")</f>
        <v>Galen 1</v>
      </c>
      <c r="J2006" s="1">
        <v>4.0</v>
      </c>
      <c r="K2006" s="1">
        <v>1.0</v>
      </c>
    </row>
    <row r="2007">
      <c r="A2007" s="1">
        <v>1.0</v>
      </c>
      <c r="B2007" s="1">
        <v>4.0</v>
      </c>
      <c r="C2007" s="1">
        <v>4.0</v>
      </c>
      <c r="D2007" s="1">
        <v>-4.0</v>
      </c>
      <c r="E2007" s="1">
        <v>1.0</v>
      </c>
      <c r="F2007" s="1">
        <v>0.0</v>
      </c>
      <c r="G2007" s="2">
        <v>0.0</v>
      </c>
      <c r="H2007" s="1" t="s">
        <v>214</v>
      </c>
      <c r="I2007" s="1" t="str">
        <f>IFERROR(__xludf.DUMMYFUNCTION("REGEXREPLACE(MID(H2007, SEARCH(""["", H2007) + 1, SEARCH(""]"", H2007) - SEARCH(""["", H2007) - 1), ""\[\]"","""")"),"Galen 1")</f>
        <v>Galen 1</v>
      </c>
      <c r="J2007" s="1">
        <v>-4.0</v>
      </c>
      <c r="K2007" s="1">
        <v>1.0</v>
      </c>
    </row>
    <row r="2008">
      <c r="A2008" s="1">
        <v>2.0</v>
      </c>
      <c r="B2008" s="1">
        <v>8.0</v>
      </c>
      <c r="C2008" s="1">
        <v>0.0</v>
      </c>
      <c r="D2008" s="1">
        <v>0.0</v>
      </c>
      <c r="E2008" s="1">
        <v>0.0</v>
      </c>
      <c r="F2008" s="1">
        <v>0.0</v>
      </c>
      <c r="G2008" s="2">
        <v>0.0</v>
      </c>
      <c r="H2008" s="1" t="s">
        <v>217</v>
      </c>
      <c r="I2008" s="1" t="str">
        <f>IFERROR(__xludf.DUMMYFUNCTION("REGEXREPLACE(MID(H2008, SEARCH(""["", H2008) + 1, SEARCH(""]"", H2008) - SEARCH(""["", H2008) - 1), ""\[\]"","""")"),"Galen 1")</f>
        <v>Galen 1</v>
      </c>
      <c r="J2008" s="1">
        <v>0.0</v>
      </c>
      <c r="K2008" s="1">
        <v>0.0</v>
      </c>
    </row>
    <row r="2009">
      <c r="A2009" s="1">
        <v>1.0</v>
      </c>
      <c r="B2009" s="1">
        <v>4.0</v>
      </c>
      <c r="C2009" s="1">
        <v>0.0</v>
      </c>
      <c r="D2009" s="1">
        <v>0.0</v>
      </c>
      <c r="E2009" s="1">
        <v>0.0</v>
      </c>
      <c r="F2009" s="1">
        <v>0.0</v>
      </c>
      <c r="G2009" s="2">
        <v>0.0</v>
      </c>
      <c r="H2009" s="1" t="s">
        <v>217</v>
      </c>
      <c r="I2009" s="1" t="str">
        <f>IFERROR(__xludf.DUMMYFUNCTION("REGEXREPLACE(MID(H2009, SEARCH(""["", H2009) + 1, SEARCH(""]"", H2009) - SEARCH(""["", H2009) - 1), ""\[\]"","""")"),"Galen 1")</f>
        <v>Galen 1</v>
      </c>
      <c r="J2009" s="1">
        <v>0.0</v>
      </c>
      <c r="K2009" s="1">
        <v>0.0</v>
      </c>
    </row>
    <row r="2010">
      <c r="A2010" s="1">
        <v>3.0</v>
      </c>
      <c r="B2010" s="1">
        <v>12.0</v>
      </c>
      <c r="C2010" s="1">
        <v>2.0</v>
      </c>
      <c r="D2010" s="1">
        <v>2.67</v>
      </c>
      <c r="E2010" s="1">
        <v>0.0</v>
      </c>
      <c r="F2010" s="1">
        <v>0.0</v>
      </c>
      <c r="G2010" s="2">
        <v>1.0</v>
      </c>
      <c r="H2010" s="1" t="s">
        <v>105</v>
      </c>
      <c r="I2010" s="1" t="str">
        <f>IFERROR(__xludf.DUMMYFUNCTION("REGEXREPLACE(MID(H2010, SEARCH(""["", H2010) + 1, SEARCH(""]"", H2010) - SEARCH(""["", H2010) - 1), ""\[\]"","""")"),"Galen 1")</f>
        <v>Galen 1</v>
      </c>
      <c r="J2010" s="1">
        <v>8.0</v>
      </c>
      <c r="K2010" s="1">
        <v>0.0</v>
      </c>
    </row>
    <row r="2011">
      <c r="A2011" s="1">
        <v>1.0</v>
      </c>
      <c r="B2011" s="1">
        <v>4.0</v>
      </c>
      <c r="C2011" s="1">
        <v>0.0</v>
      </c>
      <c r="D2011" s="1">
        <v>0.0</v>
      </c>
      <c r="E2011" s="1">
        <v>0.0</v>
      </c>
      <c r="F2011" s="1">
        <v>0.0</v>
      </c>
      <c r="G2011" s="2">
        <v>0.0</v>
      </c>
      <c r="H2011" s="1" t="s">
        <v>105</v>
      </c>
      <c r="I2011" s="1" t="str">
        <f>IFERROR(__xludf.DUMMYFUNCTION("REGEXREPLACE(MID(H2011, SEARCH(""["", H2011) + 1, SEARCH(""]"", H2011) - SEARCH(""["", H2011) - 1), ""\[\]"","""")"),"Galen 1")</f>
        <v>Galen 1</v>
      </c>
      <c r="J2011" s="1">
        <v>0.0</v>
      </c>
      <c r="K2011" s="1">
        <v>0.0</v>
      </c>
    </row>
    <row r="2012">
      <c r="A2012" s="1">
        <v>1.0</v>
      </c>
      <c r="B2012" s="1">
        <v>4.0</v>
      </c>
      <c r="C2012" s="1">
        <v>0.0</v>
      </c>
      <c r="D2012" s="1">
        <v>0.0</v>
      </c>
      <c r="E2012" s="1">
        <v>0.0</v>
      </c>
      <c r="F2012" s="1">
        <v>0.0</v>
      </c>
      <c r="G2012" s="2">
        <v>0.0</v>
      </c>
      <c r="H2012" s="1" t="s">
        <v>105</v>
      </c>
      <c r="I2012" s="1" t="str">
        <f>IFERROR(__xludf.DUMMYFUNCTION("REGEXREPLACE(MID(H2012, SEARCH(""["", H2012) + 1, SEARCH(""]"", H2012) - SEARCH(""["", H2012) - 1), ""\[\]"","""")"),"Galen 1")</f>
        <v>Galen 1</v>
      </c>
      <c r="J2012" s="1">
        <v>0.0</v>
      </c>
      <c r="K2012" s="1">
        <v>0.0</v>
      </c>
    </row>
    <row r="2013">
      <c r="A2013" s="1">
        <v>1.0</v>
      </c>
      <c r="B2013" s="1">
        <v>4.0</v>
      </c>
      <c r="C2013" s="1">
        <v>0.0</v>
      </c>
      <c r="D2013" s="1">
        <v>0.0</v>
      </c>
      <c r="E2013" s="1">
        <v>0.0</v>
      </c>
      <c r="F2013" s="1">
        <v>0.0</v>
      </c>
      <c r="G2013" s="2">
        <v>0.0</v>
      </c>
      <c r="H2013" s="1" t="s">
        <v>219</v>
      </c>
      <c r="I2013" s="1" t="str">
        <f>IFERROR(__xludf.DUMMYFUNCTION("REGEXREPLACE(MID(H2013, SEARCH(""["", H2013) + 1, SEARCH(""]"", H2013) - SEARCH(""["", H2013) - 1), ""\[\]"","""")"),"Galen 1")</f>
        <v>Galen 1</v>
      </c>
      <c r="J2013" s="1">
        <v>0.0</v>
      </c>
      <c r="K2013" s="1">
        <v>0.0</v>
      </c>
    </row>
    <row r="2014">
      <c r="A2014" s="1">
        <v>1.0</v>
      </c>
      <c r="B2014" s="1">
        <v>4.0</v>
      </c>
      <c r="C2014" s="1">
        <v>0.0</v>
      </c>
      <c r="D2014" s="1">
        <v>0.0</v>
      </c>
      <c r="E2014" s="1">
        <v>0.0</v>
      </c>
      <c r="F2014" s="1">
        <v>0.0</v>
      </c>
      <c r="G2014" s="2">
        <v>0.0</v>
      </c>
      <c r="H2014" s="1" t="s">
        <v>220</v>
      </c>
      <c r="I2014" s="1" t="str">
        <f>IFERROR(__xludf.DUMMYFUNCTION("REGEXREPLACE(MID(H2014, SEARCH(""["", H2014) + 1, SEARCH(""]"", H2014) - SEARCH(""["", H2014) - 1), ""\[\]"","""")"),"Galen 1")</f>
        <v>Galen 1</v>
      </c>
      <c r="J2014" s="1">
        <v>0.0</v>
      </c>
      <c r="K2014" s="1">
        <v>0.0</v>
      </c>
    </row>
    <row r="2015">
      <c r="A2015" s="1">
        <v>2.0</v>
      </c>
      <c r="B2015" s="1">
        <v>8.0</v>
      </c>
      <c r="C2015" s="1">
        <v>0.0</v>
      </c>
      <c r="D2015" s="1">
        <v>0.0</v>
      </c>
      <c r="E2015" s="1">
        <v>0.0</v>
      </c>
      <c r="F2015" s="1">
        <v>0.0</v>
      </c>
      <c r="G2015" s="2">
        <v>0.0</v>
      </c>
      <c r="H2015" s="1" t="s">
        <v>220</v>
      </c>
      <c r="I2015" s="1" t="str">
        <f>IFERROR(__xludf.DUMMYFUNCTION("REGEXREPLACE(MID(H2015, SEARCH(""["", H2015) + 1, SEARCH(""]"", H2015) - SEARCH(""["", H2015) - 1), ""\[\]"","""")"),"Galen 1")</f>
        <v>Galen 1</v>
      </c>
      <c r="J2015" s="1">
        <v>0.0</v>
      </c>
      <c r="K2015" s="1">
        <v>0.0</v>
      </c>
    </row>
    <row r="2016">
      <c r="A2016" s="1">
        <v>1.0</v>
      </c>
      <c r="B2016" s="1">
        <v>4.0</v>
      </c>
      <c r="C2016" s="1">
        <v>0.0</v>
      </c>
      <c r="D2016" s="1">
        <v>0.0</v>
      </c>
      <c r="E2016" s="1">
        <v>0.0</v>
      </c>
      <c r="F2016" s="1">
        <v>0.0</v>
      </c>
      <c r="G2016" s="2">
        <v>0.0</v>
      </c>
      <c r="H2016" s="1" t="s">
        <v>220</v>
      </c>
      <c r="I2016" s="1" t="str">
        <f>IFERROR(__xludf.DUMMYFUNCTION("REGEXREPLACE(MID(H2016, SEARCH(""["", H2016) + 1, SEARCH(""]"", H2016) - SEARCH(""["", H2016) - 1), ""\[\]"","""")"),"Galen 1")</f>
        <v>Galen 1</v>
      </c>
      <c r="J2016" s="1">
        <v>0.0</v>
      </c>
      <c r="K2016" s="1">
        <v>0.0</v>
      </c>
    </row>
    <row r="2017">
      <c r="A2017" s="1">
        <v>1.0</v>
      </c>
      <c r="B2017" s="1">
        <v>4.0</v>
      </c>
      <c r="C2017" s="1">
        <v>0.0</v>
      </c>
      <c r="D2017" s="1">
        <v>0.0</v>
      </c>
      <c r="E2017" s="1">
        <v>0.0</v>
      </c>
      <c r="F2017" s="1">
        <v>0.0</v>
      </c>
      <c r="G2017" s="2">
        <v>0.0</v>
      </c>
      <c r="H2017" s="1" t="s">
        <v>220</v>
      </c>
      <c r="I2017" s="1" t="str">
        <f>IFERROR(__xludf.DUMMYFUNCTION("REGEXREPLACE(MID(H2017, SEARCH(""["", H2017) + 1, SEARCH(""]"", H2017) - SEARCH(""["", H2017) - 1), ""\[\]"","""")"),"Galen 1")</f>
        <v>Galen 1</v>
      </c>
      <c r="J2017" s="1">
        <v>0.0</v>
      </c>
      <c r="K2017" s="1">
        <v>0.0</v>
      </c>
    </row>
    <row r="2018">
      <c r="A2018" s="1">
        <v>4.0</v>
      </c>
      <c r="B2018" s="1">
        <v>16.0</v>
      </c>
      <c r="C2018" s="1">
        <v>0.0</v>
      </c>
      <c r="D2018" s="1">
        <v>0.0</v>
      </c>
      <c r="E2018" s="1">
        <v>0.0</v>
      </c>
      <c r="F2018" s="1">
        <v>0.0</v>
      </c>
      <c r="G2018" s="2">
        <v>0.0</v>
      </c>
      <c r="H2018" s="1" t="s">
        <v>222</v>
      </c>
      <c r="I2018" s="1" t="str">
        <f>IFERROR(__xludf.DUMMYFUNCTION("REGEXREPLACE(MID(H2018, SEARCH(""["", H2018) + 1, SEARCH(""]"", H2018) - SEARCH(""["", H2018) - 1), ""\[\]"","""")"),"Galen 2")</f>
        <v>Galen 2</v>
      </c>
      <c r="J2018" s="1">
        <v>0.0</v>
      </c>
      <c r="K2018" s="1">
        <v>0.0</v>
      </c>
    </row>
    <row r="2019">
      <c r="A2019" s="1">
        <v>1.0</v>
      </c>
      <c r="B2019" s="1">
        <v>4.0</v>
      </c>
      <c r="C2019" s="1">
        <v>0.0</v>
      </c>
      <c r="D2019" s="1">
        <v>0.0</v>
      </c>
      <c r="E2019" s="1">
        <v>0.0</v>
      </c>
      <c r="F2019" s="1">
        <v>0.0</v>
      </c>
      <c r="G2019" s="2">
        <v>0.0</v>
      </c>
      <c r="H2019" s="1" t="s">
        <v>222</v>
      </c>
      <c r="I2019" s="1" t="str">
        <f>IFERROR(__xludf.DUMMYFUNCTION("REGEXREPLACE(MID(H2019, SEARCH(""["", H2019) + 1, SEARCH(""]"", H2019) - SEARCH(""["", H2019) - 1), ""\[\]"","""")"),"Galen 2")</f>
        <v>Galen 2</v>
      </c>
      <c r="J2019" s="1">
        <v>0.0</v>
      </c>
      <c r="K2019" s="1">
        <v>0.0</v>
      </c>
    </row>
    <row r="2020">
      <c r="A2020" s="1">
        <v>2.0</v>
      </c>
      <c r="B2020" s="1">
        <v>8.0</v>
      </c>
      <c r="C2020" s="1">
        <v>0.0</v>
      </c>
      <c r="D2020" s="1">
        <v>0.0</v>
      </c>
      <c r="E2020" s="1">
        <v>0.0</v>
      </c>
      <c r="F2020" s="1">
        <v>0.0</v>
      </c>
      <c r="G2020" s="2">
        <v>0.0</v>
      </c>
      <c r="H2020" s="1" t="s">
        <v>224</v>
      </c>
      <c r="I2020" s="1" t="str">
        <f>IFERROR(__xludf.DUMMYFUNCTION("REGEXREPLACE(MID(H2020, SEARCH(""["", H2020) + 1, SEARCH(""]"", H2020) - SEARCH(""["", H2020) - 1), ""\[\]"","""")"),"Galen 2")</f>
        <v>Galen 2</v>
      </c>
      <c r="J2020" s="1">
        <v>0.0</v>
      </c>
      <c r="K2020" s="1">
        <v>0.0</v>
      </c>
    </row>
    <row r="2021">
      <c r="A2021" s="1">
        <v>5.0</v>
      </c>
      <c r="B2021" s="1">
        <v>20.0</v>
      </c>
      <c r="C2021" s="1">
        <v>18.0</v>
      </c>
      <c r="D2021" s="1">
        <v>11.2</v>
      </c>
      <c r="E2021" s="1">
        <v>0.4</v>
      </c>
      <c r="F2021" s="1">
        <v>0.0</v>
      </c>
      <c r="G2021" s="6">
        <v>0.889</v>
      </c>
      <c r="H2021" s="1" t="s">
        <v>47</v>
      </c>
      <c r="I2021" s="1" t="str">
        <f>IFERROR(__xludf.DUMMYFUNCTION("REGEXREPLACE(MID(H2021, SEARCH(""["", H2021) + 1, SEARCH(""]"", H2021) - SEARCH(""["", H2021) - 1), ""\[\]"","""")"),"Galen 2")</f>
        <v>Galen 2</v>
      </c>
      <c r="J2021" s="1">
        <v>56.0</v>
      </c>
      <c r="K2021" s="1">
        <v>2.0</v>
      </c>
    </row>
    <row r="2022">
      <c r="A2022" s="1">
        <v>1.0</v>
      </c>
      <c r="B2022" s="1">
        <v>4.0</v>
      </c>
      <c r="C2022" s="1">
        <v>0.0</v>
      </c>
      <c r="D2022" s="1">
        <v>0.0</v>
      </c>
      <c r="E2022" s="1">
        <v>0.0</v>
      </c>
      <c r="F2022" s="1">
        <v>0.0</v>
      </c>
      <c r="G2022" s="2">
        <v>0.0</v>
      </c>
      <c r="H2022" s="1" t="s">
        <v>225</v>
      </c>
      <c r="I2022" s="1" t="str">
        <f>IFERROR(__xludf.DUMMYFUNCTION("REGEXREPLACE(MID(H2022, SEARCH(""["", H2022) + 1, SEARCH(""]"", H2022) - SEARCH(""["", H2022) - 1), ""\[\]"","""")"),"Galen 2")</f>
        <v>Galen 2</v>
      </c>
      <c r="J2022" s="1">
        <v>0.0</v>
      </c>
      <c r="K2022" s="1">
        <v>0.0</v>
      </c>
    </row>
    <row r="2023">
      <c r="A2023" s="1">
        <v>1.0</v>
      </c>
      <c r="B2023" s="1">
        <v>4.0</v>
      </c>
      <c r="C2023" s="1">
        <v>0.0</v>
      </c>
      <c r="D2023" s="1">
        <v>0.0</v>
      </c>
      <c r="E2023" s="1">
        <v>0.0</v>
      </c>
      <c r="F2023" s="1">
        <v>0.0</v>
      </c>
      <c r="G2023" s="2">
        <v>0.0</v>
      </c>
      <c r="H2023" s="1" t="s">
        <v>226</v>
      </c>
      <c r="I2023" s="1" t="str">
        <f>IFERROR(__xludf.DUMMYFUNCTION("REGEXREPLACE(MID(H2023, SEARCH(""["", H2023) + 1, SEARCH(""]"", H2023) - SEARCH(""["", H2023) - 1), ""\[\]"","""")"),"Green Hope HS")</f>
        <v>Green Hope HS</v>
      </c>
      <c r="J2023" s="1">
        <v>0.0</v>
      </c>
      <c r="K2023" s="1">
        <v>0.0</v>
      </c>
    </row>
    <row r="2024">
      <c r="A2024" s="1">
        <v>3.0</v>
      </c>
      <c r="B2024" s="1">
        <v>11.0</v>
      </c>
      <c r="C2024" s="1">
        <v>0.0</v>
      </c>
      <c r="D2024" s="1">
        <v>0.0</v>
      </c>
      <c r="E2024" s="1">
        <v>0.0</v>
      </c>
      <c r="F2024" s="1">
        <v>0.0</v>
      </c>
      <c r="G2024" s="2">
        <v>0.0</v>
      </c>
      <c r="H2024" s="1" t="s">
        <v>226</v>
      </c>
      <c r="I2024" s="1" t="str">
        <f>IFERROR(__xludf.DUMMYFUNCTION("REGEXREPLACE(MID(H2024, SEARCH(""["", H2024) + 1, SEARCH(""]"", H2024) - SEARCH(""["", H2024) - 1), ""\[\]"","""")"),"Green Hope HS")</f>
        <v>Green Hope HS</v>
      </c>
      <c r="J2024" s="1">
        <v>0.0</v>
      </c>
      <c r="K2024" s="1">
        <v>0.0</v>
      </c>
    </row>
    <row r="2025">
      <c r="A2025" s="1">
        <v>1.0</v>
      </c>
      <c r="B2025" s="1">
        <v>4.0</v>
      </c>
      <c r="C2025" s="1">
        <v>1.0</v>
      </c>
      <c r="D2025" s="1">
        <v>0.0</v>
      </c>
      <c r="E2025" s="1">
        <v>0.0</v>
      </c>
      <c r="F2025" s="1">
        <v>0.0</v>
      </c>
      <c r="G2025" s="2">
        <v>0.0</v>
      </c>
      <c r="H2025" s="1" t="s">
        <v>227</v>
      </c>
      <c r="I2025" s="1" t="str">
        <f>IFERROR(__xludf.DUMMYFUNCTION("REGEXREPLACE(MID(H2025, SEARCH(""["", H2025) + 1, SEARCH(""]"", H2025) - SEARCH(""["", H2025) - 1), ""\[\]"","""")"),"Green Hope HS")</f>
        <v>Green Hope HS</v>
      </c>
      <c r="J2025" s="1">
        <v>0.0</v>
      </c>
      <c r="K2025" s="1">
        <v>0.0</v>
      </c>
    </row>
    <row r="2026">
      <c r="A2026" s="1">
        <v>1.0</v>
      </c>
      <c r="B2026" s="1">
        <v>4.0</v>
      </c>
      <c r="C2026" s="1">
        <v>1.0</v>
      </c>
      <c r="D2026" s="1">
        <v>4.0</v>
      </c>
      <c r="E2026" s="1">
        <v>0.0</v>
      </c>
      <c r="F2026" s="1">
        <v>0.0</v>
      </c>
      <c r="G2026" s="2">
        <v>1.0</v>
      </c>
      <c r="H2026" s="1" t="s">
        <v>227</v>
      </c>
      <c r="I2026" s="1" t="str">
        <f>IFERROR(__xludf.DUMMYFUNCTION("REGEXREPLACE(MID(H2026, SEARCH(""["", H2026) + 1, SEARCH(""]"", H2026) - SEARCH(""["", H2026) - 1), ""\[\]"","""")"),"Green Hope HS")</f>
        <v>Green Hope HS</v>
      </c>
      <c r="J2026" s="1">
        <v>4.0</v>
      </c>
      <c r="K2026" s="1">
        <v>0.0</v>
      </c>
    </row>
    <row r="2027">
      <c r="A2027" s="1">
        <v>3.0</v>
      </c>
      <c r="B2027" s="1">
        <v>11.0</v>
      </c>
      <c r="C2027" s="1">
        <v>1.0</v>
      </c>
      <c r="D2027" s="1">
        <v>0.0</v>
      </c>
      <c r="E2027" s="1">
        <v>0.0</v>
      </c>
      <c r="F2027" s="1">
        <v>0.0</v>
      </c>
      <c r="G2027" s="2">
        <v>0.0</v>
      </c>
      <c r="H2027" s="1" t="s">
        <v>227</v>
      </c>
      <c r="I2027" s="1" t="str">
        <f>IFERROR(__xludf.DUMMYFUNCTION("REGEXREPLACE(MID(H2027, SEARCH(""["", H2027) + 1, SEARCH(""]"", H2027) - SEARCH(""["", H2027) - 1), ""\[\]"","""")"),"Green Hope HS")</f>
        <v>Green Hope HS</v>
      </c>
      <c r="J2027" s="1">
        <v>0.0</v>
      </c>
      <c r="K2027" s="1">
        <v>0.0</v>
      </c>
    </row>
    <row r="2028">
      <c r="A2028" s="1">
        <v>1.0</v>
      </c>
      <c r="B2028" s="1">
        <v>4.0</v>
      </c>
      <c r="C2028" s="1">
        <v>0.0</v>
      </c>
      <c r="D2028" s="1">
        <v>0.0</v>
      </c>
      <c r="E2028" s="1">
        <v>0.0</v>
      </c>
      <c r="F2028" s="1">
        <v>0.0</v>
      </c>
      <c r="G2028" s="2">
        <v>0.0</v>
      </c>
      <c r="H2028" s="1" t="s">
        <v>229</v>
      </c>
      <c r="I2028" s="1" t="str">
        <f>IFERROR(__xludf.DUMMYFUNCTION("REGEXREPLACE(MID(H2028, SEARCH(""["", H2028) + 1, SEARCH(""]"", H2028) - SEARCH(""["", H2028) - 1), ""\[\]"","""")"),"Green Hope HS")</f>
        <v>Green Hope HS</v>
      </c>
      <c r="J2028" s="1">
        <v>0.0</v>
      </c>
      <c r="K2028" s="1">
        <v>0.0</v>
      </c>
    </row>
    <row r="2029">
      <c r="A2029" s="1">
        <v>1.0</v>
      </c>
      <c r="B2029" s="1">
        <v>4.0</v>
      </c>
      <c r="C2029" s="1">
        <v>0.0</v>
      </c>
      <c r="D2029" s="1">
        <v>0.0</v>
      </c>
      <c r="E2029" s="1">
        <v>0.0</v>
      </c>
      <c r="F2029" s="1">
        <v>0.0</v>
      </c>
      <c r="G2029" s="2">
        <v>0.0</v>
      </c>
      <c r="H2029" s="1" t="s">
        <v>229</v>
      </c>
      <c r="I2029" s="1" t="str">
        <f>IFERROR(__xludf.DUMMYFUNCTION("REGEXREPLACE(MID(H2029, SEARCH(""["", H2029) + 1, SEARCH(""]"", H2029) - SEARCH(""["", H2029) - 1), ""\[\]"","""")"),"Green Hope HS")</f>
        <v>Green Hope HS</v>
      </c>
      <c r="J2029" s="1">
        <v>0.0</v>
      </c>
      <c r="K2029" s="1">
        <v>0.0</v>
      </c>
    </row>
    <row r="2030">
      <c r="A2030" s="1">
        <v>2.0</v>
      </c>
      <c r="B2030" s="1">
        <v>7.0</v>
      </c>
      <c r="C2030" s="1">
        <v>0.0</v>
      </c>
      <c r="D2030" s="1">
        <v>0.0</v>
      </c>
      <c r="E2030" s="1">
        <v>0.0</v>
      </c>
      <c r="F2030" s="1">
        <v>0.0</v>
      </c>
      <c r="G2030" s="2">
        <v>0.0</v>
      </c>
      <c r="H2030" s="1" t="s">
        <v>229</v>
      </c>
      <c r="I2030" s="1" t="str">
        <f>IFERROR(__xludf.DUMMYFUNCTION("REGEXREPLACE(MID(H2030, SEARCH(""["", H2030) + 1, SEARCH(""]"", H2030) - SEARCH(""["", H2030) - 1), ""\[\]"","""")"),"Green Hope HS")</f>
        <v>Green Hope HS</v>
      </c>
      <c r="J2030" s="1">
        <v>0.0</v>
      </c>
      <c r="K2030" s="1">
        <v>0.0</v>
      </c>
    </row>
    <row r="2031">
      <c r="A2031" s="1">
        <v>1.0</v>
      </c>
      <c r="B2031" s="1">
        <v>4.0</v>
      </c>
      <c r="C2031" s="1">
        <v>1.0</v>
      </c>
      <c r="D2031" s="1">
        <v>0.0</v>
      </c>
      <c r="E2031" s="1">
        <v>0.0</v>
      </c>
      <c r="F2031" s="1">
        <v>0.0</v>
      </c>
      <c r="G2031" s="2">
        <v>0.0</v>
      </c>
      <c r="H2031" s="1" t="s">
        <v>232</v>
      </c>
      <c r="I2031" s="1" t="str">
        <f>IFERROR(__xludf.DUMMYFUNCTION("REGEXREPLACE(MID(H2031, SEARCH(""["", H2031) + 1, SEARCH(""]"", H2031) - SEARCH(""["", H2031) - 1), ""\[\]"","""")"),"Green Hope HS")</f>
        <v>Green Hope HS</v>
      </c>
      <c r="J2031" s="1">
        <v>0.0</v>
      </c>
      <c r="K2031" s="1">
        <v>0.0</v>
      </c>
    </row>
    <row r="2032">
      <c r="A2032" s="1">
        <v>1.0</v>
      </c>
      <c r="B2032" s="1">
        <v>4.0</v>
      </c>
      <c r="C2032" s="1">
        <v>1.0</v>
      </c>
      <c r="D2032" s="1">
        <v>0.0</v>
      </c>
      <c r="E2032" s="1">
        <v>0.0</v>
      </c>
      <c r="F2032" s="1">
        <v>0.0</v>
      </c>
      <c r="G2032" s="2">
        <v>0.0</v>
      </c>
      <c r="H2032" s="1" t="s">
        <v>232</v>
      </c>
      <c r="I2032" s="1" t="str">
        <f>IFERROR(__xludf.DUMMYFUNCTION("REGEXREPLACE(MID(H2032, SEARCH(""["", H2032) + 1, SEARCH(""]"", H2032) - SEARCH(""["", H2032) - 1), ""\[\]"","""")"),"Green Hope HS")</f>
        <v>Green Hope HS</v>
      </c>
      <c r="J2032" s="1">
        <v>0.0</v>
      </c>
      <c r="K2032" s="1">
        <v>0.0</v>
      </c>
    </row>
    <row r="2033">
      <c r="A2033" s="1">
        <v>3.0</v>
      </c>
      <c r="B2033" s="1">
        <v>11.0</v>
      </c>
      <c r="C2033" s="1">
        <v>0.0</v>
      </c>
      <c r="D2033" s="1">
        <v>0.0</v>
      </c>
      <c r="E2033" s="1">
        <v>0.0</v>
      </c>
      <c r="F2033" s="1">
        <v>0.0</v>
      </c>
      <c r="G2033" s="2">
        <v>0.0</v>
      </c>
      <c r="H2033" s="1" t="s">
        <v>232</v>
      </c>
      <c r="I2033" s="1" t="str">
        <f>IFERROR(__xludf.DUMMYFUNCTION("REGEXREPLACE(MID(H2033, SEARCH(""["", H2033) + 1, SEARCH(""]"", H2033) - SEARCH(""["", H2033) - 1), ""\[\]"","""")"),"Green Hope HS")</f>
        <v>Green Hope HS</v>
      </c>
      <c r="J2033" s="1">
        <v>0.0</v>
      </c>
      <c r="K2033" s="1">
        <v>0.0</v>
      </c>
    </row>
    <row r="2034">
      <c r="A2034" s="1">
        <v>1.0</v>
      </c>
      <c r="B2034" s="1">
        <v>4.0</v>
      </c>
      <c r="C2034" s="1">
        <v>2.0</v>
      </c>
      <c r="D2034" s="1">
        <v>8.0</v>
      </c>
      <c r="E2034" s="1">
        <v>0.0</v>
      </c>
      <c r="F2034" s="1">
        <v>0.0</v>
      </c>
      <c r="G2034" s="2">
        <v>1.0</v>
      </c>
      <c r="H2034" s="1" t="s">
        <v>233</v>
      </c>
      <c r="I2034" s="1" t="str">
        <f>IFERROR(__xludf.DUMMYFUNCTION("REGEXREPLACE(MID(H2034, SEARCH(""["", H2034) + 1, SEARCH(""]"", H2034) - SEARCH(""["", H2034) - 1), ""\[\]"","""")"),"Green Hope HS")</f>
        <v>Green Hope HS</v>
      </c>
      <c r="J2034" s="1">
        <v>8.0</v>
      </c>
      <c r="K2034" s="1">
        <v>0.0</v>
      </c>
    </row>
    <row r="2035">
      <c r="A2035" s="1">
        <v>1.0</v>
      </c>
      <c r="B2035" s="1">
        <v>4.0</v>
      </c>
      <c r="C2035" s="1">
        <v>2.0</v>
      </c>
      <c r="D2035" s="1">
        <v>8.0</v>
      </c>
      <c r="E2035" s="1">
        <v>0.0</v>
      </c>
      <c r="F2035" s="1">
        <v>0.0</v>
      </c>
      <c r="G2035" s="2">
        <v>1.0</v>
      </c>
      <c r="H2035" s="1" t="s">
        <v>233</v>
      </c>
      <c r="I2035" s="1" t="str">
        <f>IFERROR(__xludf.DUMMYFUNCTION("REGEXREPLACE(MID(H2035, SEARCH(""["", H2035) + 1, SEARCH(""]"", H2035) - SEARCH(""["", H2035) - 1), ""\[\]"","""")"),"Green Hope HS")</f>
        <v>Green Hope HS</v>
      </c>
      <c r="J2035" s="1">
        <v>8.0</v>
      </c>
      <c r="K2035" s="1">
        <v>0.0</v>
      </c>
    </row>
    <row r="2036">
      <c r="A2036" s="1">
        <v>1.0</v>
      </c>
      <c r="B2036" s="1">
        <v>4.0</v>
      </c>
      <c r="C2036" s="1">
        <v>3.0</v>
      </c>
      <c r="D2036" s="1">
        <v>-4.0</v>
      </c>
      <c r="E2036" s="1">
        <v>1.0</v>
      </c>
      <c r="F2036" s="1">
        <v>0.0</v>
      </c>
      <c r="G2036" s="2">
        <v>0.0</v>
      </c>
      <c r="H2036" s="1" t="s">
        <v>233</v>
      </c>
      <c r="I2036" s="1" t="str">
        <f>IFERROR(__xludf.DUMMYFUNCTION("REGEXREPLACE(MID(H2036, SEARCH(""["", H2036) + 1, SEARCH(""]"", H2036) - SEARCH(""["", H2036) - 1), ""\[\]"","""")"),"Green Hope HS")</f>
        <v>Green Hope HS</v>
      </c>
      <c r="J2036" s="1">
        <v>-4.0</v>
      </c>
      <c r="K2036" s="1">
        <v>1.0</v>
      </c>
    </row>
    <row r="2037">
      <c r="A2037" s="1">
        <v>1.0</v>
      </c>
      <c r="B2037" s="1">
        <v>4.0</v>
      </c>
      <c r="C2037" s="1">
        <v>2.0</v>
      </c>
      <c r="D2037" s="1">
        <v>4.0</v>
      </c>
      <c r="E2037" s="1">
        <v>0.0</v>
      </c>
      <c r="F2037" s="1">
        <v>0.0</v>
      </c>
      <c r="G2037" s="2">
        <v>0.5</v>
      </c>
      <c r="H2037" s="1" t="s">
        <v>233</v>
      </c>
      <c r="I2037" s="1" t="str">
        <f>IFERROR(__xludf.DUMMYFUNCTION("REGEXREPLACE(MID(H2037, SEARCH(""["", H2037) + 1, SEARCH(""]"", H2037) - SEARCH(""["", H2037) - 1), ""\[\]"","""")"),"Green Hope HS")</f>
        <v>Green Hope HS</v>
      </c>
      <c r="J2037" s="1">
        <v>4.0</v>
      </c>
      <c r="K2037" s="1">
        <v>0.0</v>
      </c>
    </row>
    <row r="2038">
      <c r="A2038" s="1">
        <v>2.0</v>
      </c>
      <c r="B2038" s="1">
        <v>7.0</v>
      </c>
      <c r="C2038" s="1">
        <v>0.0</v>
      </c>
      <c r="D2038" s="1">
        <v>0.0</v>
      </c>
      <c r="E2038" s="1">
        <v>0.0</v>
      </c>
      <c r="F2038" s="1">
        <v>0.0</v>
      </c>
      <c r="G2038" s="2">
        <v>0.0</v>
      </c>
      <c r="H2038" s="1" t="s">
        <v>234</v>
      </c>
      <c r="I2038" s="1" t="str">
        <f>IFERROR(__xludf.DUMMYFUNCTION("REGEXREPLACE(MID(H2038, SEARCH(""["", H2038) + 1, SEARCH(""]"", H2038) - SEARCH(""["", H2038) - 1), ""\[\]"","""")"),"Gunn Varsity")</f>
        <v>Gunn Varsity</v>
      </c>
      <c r="J2038" s="1">
        <v>0.0</v>
      </c>
      <c r="K2038" s="1">
        <v>0.0</v>
      </c>
    </row>
    <row r="2039">
      <c r="A2039" s="1">
        <v>1.0</v>
      </c>
      <c r="B2039" s="1">
        <v>4.0</v>
      </c>
      <c r="C2039" s="1">
        <v>3.0</v>
      </c>
      <c r="D2039" s="1">
        <v>8.0</v>
      </c>
      <c r="E2039" s="1">
        <v>0.0</v>
      </c>
      <c r="F2039" s="1">
        <v>0.0</v>
      </c>
      <c r="G2039" s="6">
        <v>0.667</v>
      </c>
      <c r="H2039" s="1" t="s">
        <v>153</v>
      </c>
      <c r="I2039" s="1" t="str">
        <f>IFERROR(__xludf.DUMMYFUNCTION("REGEXREPLACE(MID(H2039, SEARCH(""["", H2039) + 1, SEARCH(""]"", H2039) - SEARCH(""["", H2039) - 1), ""\[\]"","""")"),"Gunn Varsity")</f>
        <v>Gunn Varsity</v>
      </c>
      <c r="J2039" s="1">
        <v>8.0</v>
      </c>
      <c r="K2039" s="1">
        <v>0.0</v>
      </c>
    </row>
    <row r="2040">
      <c r="A2040" s="1">
        <v>4.0</v>
      </c>
      <c r="B2040" s="1">
        <v>15.0</v>
      </c>
      <c r="C2040" s="1">
        <v>0.0</v>
      </c>
      <c r="D2040" s="1">
        <v>0.0</v>
      </c>
      <c r="E2040" s="1">
        <v>0.0</v>
      </c>
      <c r="F2040" s="1">
        <v>0.0</v>
      </c>
      <c r="G2040" s="2">
        <v>0.0</v>
      </c>
      <c r="H2040" s="1" t="s">
        <v>235</v>
      </c>
      <c r="I2040" s="1" t="str">
        <f>IFERROR(__xludf.DUMMYFUNCTION("REGEXREPLACE(MID(H2040, SEARCH(""["", H2040) + 1, SEARCH(""]"", H2040) - SEARCH(""["", H2040) - 1), ""\[\]"","""")"),"Gunn Varsity")</f>
        <v>Gunn Varsity</v>
      </c>
      <c r="J2040" s="1">
        <v>0.0</v>
      </c>
      <c r="K2040" s="1">
        <v>0.0</v>
      </c>
    </row>
    <row r="2041">
      <c r="A2041" s="1">
        <v>4.0</v>
      </c>
      <c r="B2041" s="1">
        <v>15.0</v>
      </c>
      <c r="C2041" s="1">
        <v>1.0</v>
      </c>
      <c r="D2041" s="1">
        <v>1.0</v>
      </c>
      <c r="E2041" s="1">
        <v>0.0</v>
      </c>
      <c r="F2041" s="1">
        <v>0.0</v>
      </c>
      <c r="G2041" s="2">
        <v>1.0</v>
      </c>
      <c r="H2041" s="1" t="s">
        <v>202</v>
      </c>
      <c r="I2041" s="1" t="str">
        <f>IFERROR(__xludf.DUMMYFUNCTION("REGEXREPLACE(MID(H2041, SEARCH(""["", H2041) + 1, SEARCH(""]"", H2041) - SEARCH(""["", H2041) - 1), ""\[\]"","""")"),"Gunn Varsity")</f>
        <v>Gunn Varsity</v>
      </c>
      <c r="J2041" s="1">
        <v>4.0</v>
      </c>
      <c r="K2041" s="1">
        <v>0.0</v>
      </c>
    </row>
    <row r="2042">
      <c r="A2042" s="1">
        <v>1.0</v>
      </c>
      <c r="B2042" s="1">
        <v>4.0</v>
      </c>
      <c r="C2042" s="1">
        <v>0.0</v>
      </c>
      <c r="D2042" s="1">
        <v>0.0</v>
      </c>
      <c r="E2042" s="1">
        <v>0.0</v>
      </c>
      <c r="F2042" s="1">
        <v>0.0</v>
      </c>
      <c r="G2042" s="2">
        <v>0.0</v>
      </c>
      <c r="H2042" s="1" t="s">
        <v>202</v>
      </c>
      <c r="I2042" s="1" t="str">
        <f>IFERROR(__xludf.DUMMYFUNCTION("REGEXREPLACE(MID(H2042, SEARCH(""["", H2042) + 1, SEARCH(""]"", H2042) - SEARCH(""["", H2042) - 1), ""\[\]"","""")"),"Gunn Varsity")</f>
        <v>Gunn Varsity</v>
      </c>
      <c r="J2042" s="1">
        <v>0.0</v>
      </c>
      <c r="K2042" s="1">
        <v>0.0</v>
      </c>
    </row>
    <row r="2043">
      <c r="A2043" s="1">
        <v>3.0</v>
      </c>
      <c r="B2043" s="1">
        <v>11.0</v>
      </c>
      <c r="C2043" s="1">
        <v>10.0</v>
      </c>
      <c r="D2043" s="1">
        <v>9.33</v>
      </c>
      <c r="E2043" s="1">
        <v>0.33</v>
      </c>
      <c r="F2043" s="1">
        <v>0.0</v>
      </c>
      <c r="G2043" s="2">
        <v>0.8</v>
      </c>
      <c r="H2043" s="1" t="s">
        <v>135</v>
      </c>
      <c r="I2043" s="1" t="str">
        <f>IFERROR(__xludf.DUMMYFUNCTION("REGEXREPLACE(MID(H2043, SEARCH(""["", H2043) + 1, SEARCH(""]"", H2043) - SEARCH(""["", H2043) - 1), ""\[\]"","""")"),"Gunn Varsity")</f>
        <v>Gunn Varsity</v>
      </c>
      <c r="J2043" s="1">
        <v>28.0</v>
      </c>
      <c r="K2043" s="1">
        <v>1.0</v>
      </c>
    </row>
    <row r="2044">
      <c r="A2044" s="1">
        <v>1.0</v>
      </c>
      <c r="B2044" s="1">
        <v>4.0</v>
      </c>
      <c r="C2044" s="1">
        <v>0.0</v>
      </c>
      <c r="D2044" s="1">
        <v>0.0</v>
      </c>
      <c r="E2044" s="1">
        <v>0.0</v>
      </c>
      <c r="F2044" s="1">
        <v>0.0</v>
      </c>
      <c r="G2044" s="2">
        <v>0.0</v>
      </c>
      <c r="H2044" s="1" t="s">
        <v>135</v>
      </c>
      <c r="I2044" s="1" t="str">
        <f>IFERROR(__xludf.DUMMYFUNCTION("REGEXREPLACE(MID(H2044, SEARCH(""["", H2044) + 1, SEARCH(""]"", H2044) - SEARCH(""["", H2044) - 1), ""\[\]"","""")"),"Gunn Varsity")</f>
        <v>Gunn Varsity</v>
      </c>
      <c r="J2044" s="1">
        <v>0.0</v>
      </c>
      <c r="K2044" s="1">
        <v>0.0</v>
      </c>
    </row>
    <row r="2045">
      <c r="A2045" s="1">
        <v>1.0</v>
      </c>
      <c r="B2045" s="1">
        <v>4.0</v>
      </c>
      <c r="C2045" s="1">
        <v>1.0</v>
      </c>
      <c r="D2045" s="1">
        <v>4.0</v>
      </c>
      <c r="E2045" s="1">
        <v>0.0</v>
      </c>
      <c r="F2045" s="1">
        <v>0.0</v>
      </c>
      <c r="G2045" s="2">
        <v>1.0</v>
      </c>
      <c r="H2045" s="1" t="s">
        <v>236</v>
      </c>
      <c r="I2045" s="1" t="str">
        <f>IFERROR(__xludf.DUMMYFUNCTION("REGEXREPLACE(MID(H2045, SEARCH(""["", H2045) + 1, SEARCH(""]"", H2045) - SEARCH(""["", H2045) - 1), ""\[\]"","""")"),"Harvard-Westlake")</f>
        <v>Harvard-Westlake</v>
      </c>
      <c r="J2045" s="1">
        <v>4.0</v>
      </c>
      <c r="K2045" s="1">
        <v>0.0</v>
      </c>
    </row>
    <row r="2046">
      <c r="A2046" s="1">
        <v>1.0</v>
      </c>
      <c r="B2046" s="1">
        <v>4.0</v>
      </c>
      <c r="C2046" s="1">
        <v>1.0</v>
      </c>
      <c r="D2046" s="1">
        <v>0.0</v>
      </c>
      <c r="E2046" s="1">
        <v>0.0</v>
      </c>
      <c r="F2046" s="1">
        <v>0.0</v>
      </c>
      <c r="G2046" s="2">
        <v>0.0</v>
      </c>
      <c r="H2046" s="1" t="s">
        <v>236</v>
      </c>
      <c r="I2046" s="1" t="str">
        <f>IFERROR(__xludf.DUMMYFUNCTION("REGEXREPLACE(MID(H2046, SEARCH(""["", H2046) + 1, SEARCH(""]"", H2046) - SEARCH(""["", H2046) - 1), ""\[\]"","""")"),"Harvard-Westlake")</f>
        <v>Harvard-Westlake</v>
      </c>
      <c r="J2046" s="1">
        <v>0.0</v>
      </c>
      <c r="K2046" s="1">
        <v>0.0</v>
      </c>
    </row>
    <row r="2047">
      <c r="A2047" s="1">
        <v>1.0</v>
      </c>
      <c r="B2047" s="1">
        <v>4.0</v>
      </c>
      <c r="C2047" s="1">
        <v>0.0</v>
      </c>
      <c r="D2047" s="1">
        <v>0.0</v>
      </c>
      <c r="E2047" s="1">
        <v>0.0</v>
      </c>
      <c r="F2047" s="1">
        <v>0.0</v>
      </c>
      <c r="G2047" s="2">
        <v>0.0</v>
      </c>
      <c r="H2047" s="1" t="s">
        <v>237</v>
      </c>
      <c r="I2047" s="1" t="str">
        <f>IFERROR(__xludf.DUMMYFUNCTION("REGEXREPLACE(MID(H2047, SEARCH(""["", H2047) + 1, SEARCH(""]"", H2047) - SEARCH(""["", H2047) - 1), ""\[\]"","""")"),"Harvard-Westlake")</f>
        <v>Harvard-Westlake</v>
      </c>
      <c r="J2047" s="1">
        <v>0.0</v>
      </c>
      <c r="K2047" s="1">
        <v>0.0</v>
      </c>
    </row>
    <row r="2048">
      <c r="A2048" s="1">
        <v>5.0</v>
      </c>
      <c r="B2048" s="1">
        <v>21.0</v>
      </c>
      <c r="C2048" s="1">
        <v>4.0</v>
      </c>
      <c r="D2048" s="1">
        <v>1.6</v>
      </c>
      <c r="E2048" s="1">
        <v>0.0</v>
      </c>
      <c r="F2048" s="1">
        <v>0.0</v>
      </c>
      <c r="G2048" s="2">
        <v>0.5</v>
      </c>
      <c r="H2048" s="1" t="s">
        <v>182</v>
      </c>
      <c r="I2048" s="1" t="str">
        <f>IFERROR(__xludf.DUMMYFUNCTION("REGEXREPLACE(MID(H2048, SEARCH(""["", H2048) + 1, SEARCH(""]"", H2048) - SEARCH(""["", H2048) - 1), ""\[\]"","""")"),"Harvard-Westlake")</f>
        <v>Harvard-Westlake</v>
      </c>
      <c r="J2048" s="1">
        <v>8.0</v>
      </c>
      <c r="K2048" s="1">
        <v>0.0</v>
      </c>
    </row>
    <row r="2049">
      <c r="A2049" s="1">
        <v>5.0</v>
      </c>
      <c r="B2049" s="1">
        <v>21.0</v>
      </c>
      <c r="C2049" s="1">
        <v>0.0</v>
      </c>
      <c r="D2049" s="1">
        <v>0.0</v>
      </c>
      <c r="E2049" s="1">
        <v>0.0</v>
      </c>
      <c r="F2049" s="1">
        <v>0.0</v>
      </c>
      <c r="G2049" s="2">
        <v>0.0</v>
      </c>
      <c r="H2049" s="1" t="s">
        <v>204</v>
      </c>
      <c r="I2049" s="1" t="str">
        <f>IFERROR(__xludf.DUMMYFUNCTION("REGEXREPLACE(MID(H2049, SEARCH(""["", H2049) + 1, SEARCH(""]"", H2049) - SEARCH(""["", H2049) - 1), ""\[\]"","""")"),"Harvard-Westlake")</f>
        <v>Harvard-Westlake</v>
      </c>
      <c r="J2049" s="1">
        <v>0.0</v>
      </c>
      <c r="K2049" s="1">
        <v>0.0</v>
      </c>
    </row>
    <row r="2050">
      <c r="A2050" s="1">
        <v>3.0</v>
      </c>
      <c r="B2050" s="1">
        <v>12.0</v>
      </c>
      <c r="C2050" s="1">
        <v>0.0</v>
      </c>
      <c r="D2050" s="1">
        <v>0.0</v>
      </c>
      <c r="E2050" s="1">
        <v>0.0</v>
      </c>
      <c r="F2050" s="1">
        <v>0.0</v>
      </c>
      <c r="G2050" s="2">
        <v>0.0</v>
      </c>
      <c r="H2050" s="1" t="s">
        <v>238</v>
      </c>
      <c r="I2050" s="1" t="str">
        <f>IFERROR(__xludf.DUMMYFUNCTION("REGEXREPLACE(MID(H2050, SEARCH(""["", H2050) + 1, SEARCH(""]"", H2050) - SEARCH(""["", H2050) - 1), ""\[\]"","""")"),"Hebron HS")</f>
        <v>Hebron HS</v>
      </c>
      <c r="J2050" s="1">
        <v>0.0</v>
      </c>
      <c r="K2050" s="1">
        <v>0.0</v>
      </c>
    </row>
    <row r="2051">
      <c r="A2051" s="1">
        <v>5.0</v>
      </c>
      <c r="B2051" s="1">
        <v>19.0</v>
      </c>
      <c r="C2051" s="1">
        <v>11.0</v>
      </c>
      <c r="D2051" s="1">
        <v>5.6</v>
      </c>
      <c r="E2051" s="1">
        <v>0.0</v>
      </c>
      <c r="F2051" s="1">
        <v>0.0</v>
      </c>
      <c r="G2051" s="6">
        <v>0.636</v>
      </c>
      <c r="H2051" s="1" t="s">
        <v>149</v>
      </c>
      <c r="I2051" s="1" t="str">
        <f>IFERROR(__xludf.DUMMYFUNCTION("REGEXREPLACE(MID(H2051, SEARCH(""["", H2051) + 1, SEARCH(""]"", H2051) - SEARCH(""["", H2051) - 1), ""\[\]"","""")"),"Hebron HS")</f>
        <v>Hebron HS</v>
      </c>
      <c r="J2051" s="1">
        <v>28.0</v>
      </c>
      <c r="K2051" s="1">
        <v>0.0</v>
      </c>
    </row>
    <row r="2052">
      <c r="A2052" s="1">
        <v>3.0</v>
      </c>
      <c r="B2052" s="1">
        <v>12.0</v>
      </c>
      <c r="C2052" s="1">
        <v>1.0</v>
      </c>
      <c r="D2052" s="1">
        <v>0.0</v>
      </c>
      <c r="E2052" s="1">
        <v>0.0</v>
      </c>
      <c r="F2052" s="1">
        <v>0.0</v>
      </c>
      <c r="G2052" s="2">
        <v>0.0</v>
      </c>
      <c r="H2052" s="1" t="s">
        <v>240</v>
      </c>
      <c r="I2052" s="1" t="str">
        <f>IFERROR(__xludf.DUMMYFUNCTION("REGEXREPLACE(MID(H2052, SEARCH(""["", H2052) + 1, SEARCH(""]"", H2052) - SEARCH(""["", H2052) - 1), ""\[\]"","""")"),"Hebron HS")</f>
        <v>Hebron HS</v>
      </c>
      <c r="J2052" s="1">
        <v>0.0</v>
      </c>
      <c r="K2052" s="1">
        <v>0.0</v>
      </c>
    </row>
    <row r="2053">
      <c r="A2053" s="1">
        <v>1.0</v>
      </c>
      <c r="B2053" s="1">
        <v>4.0</v>
      </c>
      <c r="C2053" s="1">
        <v>0.0</v>
      </c>
      <c r="D2053" s="1">
        <v>0.0</v>
      </c>
      <c r="E2053" s="1">
        <v>0.0</v>
      </c>
      <c r="F2053" s="1">
        <v>0.0</v>
      </c>
      <c r="G2053" s="2">
        <v>0.0</v>
      </c>
      <c r="H2053" s="1" t="s">
        <v>242</v>
      </c>
      <c r="I2053" s="1" t="str">
        <f>IFERROR(__xludf.DUMMYFUNCTION("REGEXREPLACE(MID(H2053, SEARCH(""["", H2053) + 1, SEARCH(""]"", H2053) - SEARCH(""["", H2053) - 1), ""\[\]"","""")"),"Hebron HS")</f>
        <v>Hebron HS</v>
      </c>
      <c r="J2053" s="1">
        <v>0.0</v>
      </c>
      <c r="K2053" s="1">
        <v>0.0</v>
      </c>
    </row>
    <row r="2054">
      <c r="A2054" s="1">
        <v>1.0</v>
      </c>
      <c r="B2054" s="1">
        <v>4.0</v>
      </c>
      <c r="C2054" s="1">
        <v>0.0</v>
      </c>
      <c r="D2054" s="1">
        <v>0.0</v>
      </c>
      <c r="E2054" s="1">
        <v>0.0</v>
      </c>
      <c r="F2054" s="1">
        <v>0.0</v>
      </c>
      <c r="G2054" s="2">
        <v>0.0</v>
      </c>
      <c r="H2054" s="1" t="s">
        <v>243</v>
      </c>
      <c r="I2054" s="1" t="str">
        <f>IFERROR(__xludf.DUMMYFUNCTION("REGEXREPLACE(MID(H2054, SEARCH(""["", H2054) + 1, SEARCH(""]"", H2054) - SEARCH(""["", H2054) - 1), ""\[\]"","""")"),"Blair")</f>
        <v>Blair</v>
      </c>
      <c r="J2054" s="1">
        <v>0.0</v>
      </c>
      <c r="K2054" s="1">
        <v>0.0</v>
      </c>
    </row>
    <row r="2055">
      <c r="A2055" s="1">
        <v>3.0</v>
      </c>
      <c r="B2055" s="1">
        <v>12.0</v>
      </c>
      <c r="C2055" s="1">
        <v>0.0</v>
      </c>
      <c r="D2055" s="1">
        <v>0.0</v>
      </c>
      <c r="E2055" s="1">
        <v>0.0</v>
      </c>
      <c r="F2055" s="1">
        <v>0.0</v>
      </c>
      <c r="G2055" s="2">
        <v>0.0</v>
      </c>
      <c r="H2055" s="1" t="s">
        <v>244</v>
      </c>
      <c r="I2055" s="1" t="str">
        <f>IFERROR(__xludf.DUMMYFUNCTION("REGEXREPLACE(MID(H2055, SEARCH(""["", H2055) + 1, SEARCH(""]"", H2055) - SEARCH(""["", H2055) - 1), ""\[\]"","""")"),"LeBroncos")</f>
        <v>LeBroncos</v>
      </c>
      <c r="J2055" s="1">
        <v>0.0</v>
      </c>
      <c r="K2055" s="1">
        <v>0.0</v>
      </c>
    </row>
    <row r="2056">
      <c r="A2056" s="1">
        <v>2.0</v>
      </c>
      <c r="B2056" s="1">
        <v>8.0</v>
      </c>
      <c r="C2056" s="1">
        <v>1.0</v>
      </c>
      <c r="D2056" s="1">
        <v>0.0</v>
      </c>
      <c r="E2056" s="1">
        <v>0.0</v>
      </c>
      <c r="F2056" s="1">
        <v>0.0</v>
      </c>
      <c r="G2056" s="2">
        <v>0.0</v>
      </c>
      <c r="H2056" s="1" t="s">
        <v>244</v>
      </c>
      <c r="I2056" s="1" t="str">
        <f>IFERROR(__xludf.DUMMYFUNCTION("REGEXREPLACE(MID(H2056, SEARCH(""["", H2056) + 1, SEARCH(""]"", H2056) - SEARCH(""["", H2056) - 1), ""\[\]"","""")"),"LeBroncos")</f>
        <v>LeBroncos</v>
      </c>
      <c r="J2056" s="1">
        <v>0.0</v>
      </c>
      <c r="K2056" s="1">
        <v>0.0</v>
      </c>
    </row>
    <row r="2057">
      <c r="A2057" s="1">
        <v>3.0</v>
      </c>
      <c r="B2057" s="1">
        <v>12.0</v>
      </c>
      <c r="C2057" s="1">
        <v>4.0</v>
      </c>
      <c r="D2057" s="1">
        <v>2.67</v>
      </c>
      <c r="E2057" s="1">
        <v>0.33</v>
      </c>
      <c r="F2057" s="1">
        <v>0.0</v>
      </c>
      <c r="G2057" s="2">
        <v>0.75</v>
      </c>
      <c r="H2057" s="1" t="s">
        <v>185</v>
      </c>
      <c r="I2057" s="1" t="str">
        <f>IFERROR(__xludf.DUMMYFUNCTION("REGEXREPLACE(MID(H2057, SEARCH(""["", H2057) + 1, SEARCH(""]"", H2057) - SEARCH(""["", H2057) - 1), ""\[\]"","""")"),"LeBroncos")</f>
        <v>LeBroncos</v>
      </c>
      <c r="J2057" s="1">
        <v>8.0</v>
      </c>
      <c r="K2057" s="1">
        <v>1.0</v>
      </c>
    </row>
    <row r="2058">
      <c r="A2058" s="1">
        <v>2.0</v>
      </c>
      <c r="B2058" s="1">
        <v>8.0</v>
      </c>
      <c r="C2058" s="1">
        <v>0.0</v>
      </c>
      <c r="D2058" s="1">
        <v>0.0</v>
      </c>
      <c r="E2058" s="1">
        <v>0.0</v>
      </c>
      <c r="F2058" s="1">
        <v>0.0</v>
      </c>
      <c r="G2058" s="2">
        <v>0.0</v>
      </c>
      <c r="H2058" s="1" t="s">
        <v>185</v>
      </c>
      <c r="I2058" s="1" t="str">
        <f>IFERROR(__xludf.DUMMYFUNCTION("REGEXREPLACE(MID(H2058, SEARCH(""["", H2058) + 1, SEARCH(""]"", H2058) - SEARCH(""["", H2058) - 1), ""\[\]"","""")"),"LeBroncos")</f>
        <v>LeBroncos</v>
      </c>
      <c r="J2058" s="1">
        <v>0.0</v>
      </c>
      <c r="K2058" s="1">
        <v>0.0</v>
      </c>
    </row>
    <row r="2059">
      <c r="A2059" s="1">
        <v>3.0</v>
      </c>
      <c r="B2059" s="1">
        <v>12.0</v>
      </c>
      <c r="C2059" s="1">
        <v>2.0</v>
      </c>
      <c r="D2059" s="1">
        <v>2.67</v>
      </c>
      <c r="E2059" s="1">
        <v>0.0</v>
      </c>
      <c r="F2059" s="1">
        <v>0.0</v>
      </c>
      <c r="G2059" s="2">
        <v>1.0</v>
      </c>
      <c r="H2059" s="1" t="s">
        <v>248</v>
      </c>
      <c r="I2059" s="1" t="str">
        <f>IFERROR(__xludf.DUMMYFUNCTION("REGEXREPLACE(MID(H2059, SEARCH(""["", H2059) + 1, SEARCH(""]"", H2059) - SEARCH(""["", H2059) - 1), ""\[\]"","""")"),"LeBroncos")</f>
        <v>LeBroncos</v>
      </c>
      <c r="J2059" s="1">
        <v>8.0</v>
      </c>
      <c r="K2059" s="1">
        <v>0.0</v>
      </c>
    </row>
    <row r="2060">
      <c r="A2060" s="1">
        <v>2.0</v>
      </c>
      <c r="B2060" s="1">
        <v>8.0</v>
      </c>
      <c r="C2060" s="1">
        <v>5.0</v>
      </c>
      <c r="D2060" s="1">
        <v>2.0</v>
      </c>
      <c r="E2060" s="1">
        <v>0.0</v>
      </c>
      <c r="F2060" s="1">
        <v>0.0</v>
      </c>
      <c r="G2060" s="2">
        <v>0.2</v>
      </c>
      <c r="H2060" s="1" t="s">
        <v>248</v>
      </c>
      <c r="I2060" s="1" t="str">
        <f>IFERROR(__xludf.DUMMYFUNCTION("REGEXREPLACE(MID(H2060, SEARCH(""["", H2060) + 1, SEARCH(""]"", H2060) - SEARCH(""["", H2060) - 1), ""\[\]"","""")"),"LeBroncos")</f>
        <v>LeBroncos</v>
      </c>
      <c r="J2060" s="1">
        <v>4.0</v>
      </c>
      <c r="K2060" s="1">
        <v>0.0</v>
      </c>
    </row>
    <row r="2061">
      <c r="A2061" s="1">
        <v>2.0</v>
      </c>
      <c r="B2061" s="1">
        <v>8.0</v>
      </c>
      <c r="C2061" s="1">
        <v>0.0</v>
      </c>
      <c r="D2061" s="1">
        <v>0.0</v>
      </c>
      <c r="E2061" s="1">
        <v>0.0</v>
      </c>
      <c r="F2061" s="1">
        <v>0.0</v>
      </c>
      <c r="G2061" s="2">
        <v>0.0</v>
      </c>
      <c r="H2061" s="1" t="s">
        <v>250</v>
      </c>
      <c r="I2061" s="1" t="str">
        <f>IFERROR(__xludf.DUMMYFUNCTION("REGEXREPLACE(MID(H2061, SEARCH(""["", H2061) + 1, SEARCH(""]"", H2061) - SEARCH(""["", H2061) - 1), ""\[\]"","""")"),"LeBroncos")</f>
        <v>LeBroncos</v>
      </c>
      <c r="J2061" s="1">
        <v>0.0</v>
      </c>
      <c r="K2061" s="1">
        <v>0.0</v>
      </c>
    </row>
    <row r="2062">
      <c r="A2062" s="1">
        <v>1.0</v>
      </c>
      <c r="B2062" s="1">
        <v>4.0</v>
      </c>
      <c r="C2062" s="1">
        <v>0.0</v>
      </c>
      <c r="D2062" s="1">
        <v>0.0</v>
      </c>
      <c r="E2062" s="1">
        <v>0.0</v>
      </c>
      <c r="F2062" s="1">
        <v>0.0</v>
      </c>
      <c r="G2062" s="2">
        <v>0.0</v>
      </c>
      <c r="H2062" s="1" t="s">
        <v>250</v>
      </c>
      <c r="I2062" s="1" t="str">
        <f>IFERROR(__xludf.DUMMYFUNCTION("REGEXREPLACE(MID(H2062, SEARCH(""["", H2062) + 1, SEARCH(""]"", H2062) - SEARCH(""["", H2062) - 1), ""\[\]"","""")"),"LeBroncos")</f>
        <v>LeBroncos</v>
      </c>
      <c r="J2062" s="1">
        <v>0.0</v>
      </c>
      <c r="K2062" s="1">
        <v>0.0</v>
      </c>
    </row>
    <row r="2063">
      <c r="A2063" s="1">
        <v>1.0</v>
      </c>
      <c r="B2063" s="1">
        <v>4.0</v>
      </c>
      <c r="C2063" s="1">
        <v>0.0</v>
      </c>
      <c r="D2063" s="1">
        <v>0.0</v>
      </c>
      <c r="E2063" s="1">
        <v>0.0</v>
      </c>
      <c r="F2063" s="1">
        <v>0.0</v>
      </c>
      <c r="G2063" s="2">
        <v>0.0</v>
      </c>
      <c r="H2063" s="1" t="s">
        <v>251</v>
      </c>
      <c r="I2063" s="1" t="str">
        <f>IFERROR(__xludf.DUMMYFUNCTION("REGEXREPLACE(MID(H2063, SEARCH(""["", H2063) + 1, SEARCH(""]"", H2063) - SEARCH(""["", H2063) - 1), ""\[\]"","""")"),"LeBroncos")</f>
        <v>LeBroncos</v>
      </c>
      <c r="J2063" s="1">
        <v>0.0</v>
      </c>
      <c r="K2063" s="1">
        <v>0.0</v>
      </c>
    </row>
    <row r="2064">
      <c r="A2064" s="1">
        <v>1.0</v>
      </c>
      <c r="B2064" s="1">
        <v>4.0</v>
      </c>
      <c r="C2064" s="1">
        <v>3.0</v>
      </c>
      <c r="D2064" s="1">
        <v>8.0</v>
      </c>
      <c r="E2064" s="1">
        <v>0.0</v>
      </c>
      <c r="F2064" s="1">
        <v>0.0</v>
      </c>
      <c r="G2064" s="6">
        <v>0.667</v>
      </c>
      <c r="H2064" s="1" t="s">
        <v>239</v>
      </c>
      <c r="I2064" s="1" t="str">
        <f>IFERROR(__xludf.DUMMYFUNCTION("REGEXREPLACE(MID(H2064, SEARCH(""["", H2064) + 1, SEARCH(""]"", H2064) - SEARCH(""["", H2064) - 1), ""\[\]"","""")"),"Lexington")</f>
        <v>Lexington</v>
      </c>
      <c r="J2064" s="1">
        <v>8.0</v>
      </c>
      <c r="K2064" s="1">
        <v>0.0</v>
      </c>
    </row>
    <row r="2065">
      <c r="A2065" s="1">
        <v>4.0</v>
      </c>
      <c r="B2065" s="1">
        <v>16.0</v>
      </c>
      <c r="C2065" s="1">
        <v>4.0</v>
      </c>
      <c r="D2065" s="1">
        <v>3.0</v>
      </c>
      <c r="E2065" s="1">
        <v>0.0</v>
      </c>
      <c r="F2065" s="1">
        <v>0.0</v>
      </c>
      <c r="G2065" s="2">
        <v>0.75</v>
      </c>
      <c r="H2065" s="1" t="s">
        <v>253</v>
      </c>
      <c r="I2065" s="1" t="str">
        <f>IFERROR(__xludf.DUMMYFUNCTION("REGEXREPLACE(MID(H2065, SEARCH(""["", H2065) + 1, SEARCH(""]"", H2065) - SEARCH(""["", H2065) - 1), ""\[\]"","""")"),"Lexington")</f>
        <v>Lexington</v>
      </c>
      <c r="J2065" s="1">
        <v>12.0</v>
      </c>
      <c r="K2065" s="1">
        <v>0.0</v>
      </c>
    </row>
    <row r="2066">
      <c r="A2066" s="1">
        <v>1.0</v>
      </c>
      <c r="B2066" s="1">
        <v>4.0</v>
      </c>
      <c r="C2066" s="1">
        <v>2.0</v>
      </c>
      <c r="D2066" s="1">
        <v>0.0</v>
      </c>
      <c r="E2066" s="1">
        <v>1.0</v>
      </c>
      <c r="F2066" s="1">
        <v>0.0</v>
      </c>
      <c r="G2066" s="2">
        <v>0.5</v>
      </c>
      <c r="H2066" s="1" t="s">
        <v>253</v>
      </c>
      <c r="I2066" s="1" t="str">
        <f>IFERROR(__xludf.DUMMYFUNCTION("REGEXREPLACE(MID(H2066, SEARCH(""["", H2066) + 1, SEARCH(""]"", H2066) - SEARCH(""["", H2066) - 1), ""\[\]"","""")"),"Lexington")</f>
        <v>Lexington</v>
      </c>
      <c r="J2066" s="1">
        <v>0.0</v>
      </c>
      <c r="K2066" s="1">
        <v>1.0</v>
      </c>
    </row>
    <row r="2067">
      <c r="A2067" s="1">
        <v>4.0</v>
      </c>
      <c r="B2067" s="1">
        <v>16.0</v>
      </c>
      <c r="C2067" s="1">
        <v>2.0</v>
      </c>
      <c r="D2067" s="1">
        <v>1.0</v>
      </c>
      <c r="E2067" s="1">
        <v>0.0</v>
      </c>
      <c r="F2067" s="1">
        <v>0.0</v>
      </c>
      <c r="G2067" s="2">
        <v>0.5</v>
      </c>
      <c r="H2067" s="1" t="s">
        <v>255</v>
      </c>
      <c r="I2067" s="1" t="str">
        <f>IFERROR(__xludf.DUMMYFUNCTION("REGEXREPLACE(MID(H2067, SEARCH(""["", H2067) + 1, SEARCH(""]"", H2067) - SEARCH(""["", H2067) - 1), ""\[\]"","""")"),"Lexington")</f>
        <v>Lexington</v>
      </c>
      <c r="J2067" s="1">
        <v>4.0</v>
      </c>
      <c r="K2067" s="1">
        <v>0.0</v>
      </c>
    </row>
    <row r="2068">
      <c r="A2068" s="1">
        <v>1.0</v>
      </c>
      <c r="B2068" s="1">
        <v>4.0</v>
      </c>
      <c r="C2068" s="1">
        <v>0.0</v>
      </c>
      <c r="D2068" s="1">
        <v>0.0</v>
      </c>
      <c r="E2068" s="1">
        <v>0.0</v>
      </c>
      <c r="F2068" s="1">
        <v>0.0</v>
      </c>
      <c r="G2068" s="2">
        <v>0.0</v>
      </c>
      <c r="H2068" s="1" t="s">
        <v>255</v>
      </c>
      <c r="I2068" s="1" t="str">
        <f>IFERROR(__xludf.DUMMYFUNCTION("REGEXREPLACE(MID(H2068, SEARCH(""["", H2068) + 1, SEARCH(""]"", H2068) - SEARCH(""["", H2068) - 1), ""\[\]"","""")"),"Lexington")</f>
        <v>Lexington</v>
      </c>
      <c r="J2068" s="1">
        <v>0.0</v>
      </c>
      <c r="K2068" s="1">
        <v>0.0</v>
      </c>
    </row>
    <row r="2069">
      <c r="A2069" s="1">
        <v>4.0</v>
      </c>
      <c r="B2069" s="1">
        <v>16.0</v>
      </c>
      <c r="C2069" s="1">
        <v>1.0</v>
      </c>
      <c r="D2069" s="1">
        <v>0.0</v>
      </c>
      <c r="E2069" s="1">
        <v>0.0</v>
      </c>
      <c r="F2069" s="1">
        <v>0.0</v>
      </c>
      <c r="G2069" s="2">
        <v>0.0</v>
      </c>
      <c r="H2069" s="1" t="s">
        <v>164</v>
      </c>
      <c r="I2069" s="1" t="str">
        <f>IFERROR(__xludf.DUMMYFUNCTION("REGEXREPLACE(MID(H2069, SEARCH(""["", H2069) + 1, SEARCH(""]"", H2069) - SEARCH(""["", H2069) - 1), ""\[\]"","""")"),"Lexington")</f>
        <v>Lexington</v>
      </c>
      <c r="J2069" s="1">
        <v>0.0</v>
      </c>
      <c r="K2069" s="1">
        <v>0.0</v>
      </c>
    </row>
    <row r="2070">
      <c r="A2070" s="1">
        <v>1.0</v>
      </c>
      <c r="B2070" s="1">
        <v>4.0</v>
      </c>
      <c r="C2070" s="1">
        <v>0.0</v>
      </c>
      <c r="D2070" s="1">
        <v>0.0</v>
      </c>
      <c r="E2070" s="1">
        <v>0.0</v>
      </c>
      <c r="F2070" s="1">
        <v>0.0</v>
      </c>
      <c r="G2070" s="2">
        <v>0.0</v>
      </c>
      <c r="H2070" s="1" t="s">
        <v>164</v>
      </c>
      <c r="I2070" s="1" t="str">
        <f>IFERROR(__xludf.DUMMYFUNCTION("REGEXREPLACE(MID(H2070, SEARCH(""["", H2070) + 1, SEARCH(""]"", H2070) - SEARCH(""["", H2070) - 1), ""\[\]"","""")"),"Lexington")</f>
        <v>Lexington</v>
      </c>
      <c r="J2070" s="1">
        <v>0.0</v>
      </c>
      <c r="K2070" s="1">
        <v>0.0</v>
      </c>
    </row>
    <row r="2071">
      <c r="A2071" s="1">
        <v>1.0</v>
      </c>
      <c r="B2071" s="1">
        <v>3.0</v>
      </c>
      <c r="C2071" s="1">
        <v>0.0</v>
      </c>
      <c r="D2071" s="1">
        <v>0.0</v>
      </c>
      <c r="E2071" s="1">
        <v>0.0</v>
      </c>
      <c r="F2071" s="1">
        <v>0.0</v>
      </c>
      <c r="G2071" s="2">
        <v>0.0</v>
      </c>
      <c r="H2071" s="1" t="s">
        <v>257</v>
      </c>
      <c r="I2071" s="1" t="str">
        <f>IFERROR(__xludf.DUMMYFUNCTION("REGEXREPLACE(MID(H2071, SEARCH(""["", H2071) + 1, SEARCH(""]"", H2071) - SEARCH(""["", H2071) - 1), ""\[\]"","""")"),"Lubbock")</f>
        <v>Lubbock</v>
      </c>
      <c r="J2071" s="1">
        <v>0.0</v>
      </c>
      <c r="K2071" s="1">
        <v>0.0</v>
      </c>
    </row>
    <row r="2072">
      <c r="A2072" s="1">
        <v>1.0</v>
      </c>
      <c r="B2072" s="1">
        <v>4.0</v>
      </c>
      <c r="C2072" s="1">
        <v>0.0</v>
      </c>
      <c r="D2072" s="1">
        <v>0.0</v>
      </c>
      <c r="E2072" s="1">
        <v>0.0</v>
      </c>
      <c r="F2072" s="1">
        <v>0.0</v>
      </c>
      <c r="G2072" s="2">
        <v>0.0</v>
      </c>
      <c r="H2072" s="1" t="s">
        <v>257</v>
      </c>
      <c r="I2072" s="1" t="str">
        <f>IFERROR(__xludf.DUMMYFUNCTION("REGEXREPLACE(MID(H2072, SEARCH(""["", H2072) + 1, SEARCH(""]"", H2072) - SEARCH(""["", H2072) - 1), ""\[\]"","""")"),"Lubbock")</f>
        <v>Lubbock</v>
      </c>
      <c r="J2072" s="1">
        <v>0.0</v>
      </c>
      <c r="K2072" s="1">
        <v>0.0</v>
      </c>
    </row>
    <row r="2073">
      <c r="A2073" s="1">
        <v>2.0</v>
      </c>
      <c r="B2073" s="1">
        <v>7.0</v>
      </c>
      <c r="C2073" s="1">
        <v>0.0</v>
      </c>
      <c r="D2073" s="1">
        <v>0.0</v>
      </c>
      <c r="E2073" s="1">
        <v>0.0</v>
      </c>
      <c r="F2073" s="1">
        <v>0.0</v>
      </c>
      <c r="G2073" s="2">
        <v>0.0</v>
      </c>
      <c r="H2073" s="1" t="s">
        <v>259</v>
      </c>
      <c r="I2073" s="1" t="str">
        <f>IFERROR(__xludf.DUMMYFUNCTION("REGEXREPLACE(MID(H2073, SEARCH(""["", H2073) + 1, SEARCH(""]"", H2073) - SEARCH(""["", H2073) - 1), ""\[\]"","""")"),"Lubbock")</f>
        <v>Lubbock</v>
      </c>
      <c r="J2073" s="1">
        <v>0.0</v>
      </c>
      <c r="K2073" s="1">
        <v>0.0</v>
      </c>
    </row>
    <row r="2074">
      <c r="A2074" s="1">
        <v>2.0</v>
      </c>
      <c r="B2074" s="1">
        <v>8.0</v>
      </c>
      <c r="C2074" s="1">
        <v>0.0</v>
      </c>
      <c r="D2074" s="1">
        <v>0.0</v>
      </c>
      <c r="E2074" s="1">
        <v>0.0</v>
      </c>
      <c r="F2074" s="1">
        <v>0.0</v>
      </c>
      <c r="G2074" s="2">
        <v>0.0</v>
      </c>
      <c r="H2074" s="1" t="s">
        <v>259</v>
      </c>
      <c r="I2074" s="1" t="str">
        <f>IFERROR(__xludf.DUMMYFUNCTION("REGEXREPLACE(MID(H2074, SEARCH(""["", H2074) + 1, SEARCH(""]"", H2074) - SEARCH(""["", H2074) - 1), ""\[\]"","""")"),"Lubbock")</f>
        <v>Lubbock</v>
      </c>
      <c r="J2074" s="1">
        <v>0.0</v>
      </c>
      <c r="K2074" s="1">
        <v>0.0</v>
      </c>
    </row>
    <row r="2075">
      <c r="A2075" s="1">
        <v>3.0</v>
      </c>
      <c r="B2075" s="1">
        <v>11.0</v>
      </c>
      <c r="C2075" s="1">
        <v>9.0</v>
      </c>
      <c r="D2075" s="1">
        <v>8.0</v>
      </c>
      <c r="E2075" s="1">
        <v>0.0</v>
      </c>
      <c r="F2075" s="1">
        <v>0.0</v>
      </c>
      <c r="G2075" s="6">
        <v>0.667</v>
      </c>
      <c r="H2075" s="1" t="s">
        <v>99</v>
      </c>
      <c r="I2075" s="1" t="str">
        <f>IFERROR(__xludf.DUMMYFUNCTION("REGEXREPLACE(MID(H2075, SEARCH(""["", H2075) + 1, SEARCH(""]"", H2075) - SEARCH(""["", H2075) - 1), ""\[\]"","""")"),"Lubbock")</f>
        <v>Lubbock</v>
      </c>
      <c r="J2075" s="1">
        <v>24.0</v>
      </c>
      <c r="K2075" s="1">
        <v>0.0</v>
      </c>
    </row>
    <row r="2076">
      <c r="A2076" s="1">
        <v>2.0</v>
      </c>
      <c r="B2076" s="1">
        <v>8.0</v>
      </c>
      <c r="C2076" s="1">
        <v>6.0</v>
      </c>
      <c r="D2076" s="1">
        <v>2.0</v>
      </c>
      <c r="E2076" s="1">
        <v>0.5</v>
      </c>
      <c r="F2076" s="1">
        <v>0.0</v>
      </c>
      <c r="G2076" s="6">
        <v>0.333</v>
      </c>
      <c r="H2076" s="1" t="s">
        <v>99</v>
      </c>
      <c r="I2076" s="1" t="str">
        <f>IFERROR(__xludf.DUMMYFUNCTION("REGEXREPLACE(MID(H2076, SEARCH(""["", H2076) + 1, SEARCH(""]"", H2076) - SEARCH(""["", H2076) - 1), ""\[\]"","""")"),"Lubbock")</f>
        <v>Lubbock</v>
      </c>
      <c r="J2076" s="1">
        <v>4.0</v>
      </c>
      <c r="K2076" s="1">
        <v>1.0</v>
      </c>
    </row>
    <row r="2077">
      <c r="A2077" s="1">
        <v>3.0</v>
      </c>
      <c r="B2077" s="1">
        <v>11.0</v>
      </c>
      <c r="C2077" s="1">
        <v>0.0</v>
      </c>
      <c r="D2077" s="1">
        <v>0.0</v>
      </c>
      <c r="E2077" s="1">
        <v>0.0</v>
      </c>
      <c r="F2077" s="1">
        <v>0.0</v>
      </c>
      <c r="G2077" s="2">
        <v>0.0</v>
      </c>
      <c r="H2077" s="1" t="s">
        <v>262</v>
      </c>
      <c r="I2077" s="1" t="str">
        <f>IFERROR(__xludf.DUMMYFUNCTION("REGEXREPLACE(MID(H2077, SEARCH(""["", H2077) + 1, SEARCH(""]"", H2077) - SEARCH(""["", H2077) - 1), ""\[\]"","""")"),"Lubbock")</f>
        <v>Lubbock</v>
      </c>
      <c r="J2077" s="1">
        <v>0.0</v>
      </c>
      <c r="K2077" s="1">
        <v>0.0</v>
      </c>
    </row>
    <row r="2078">
      <c r="A2078" s="1">
        <v>1.0</v>
      </c>
      <c r="B2078" s="1">
        <v>4.0</v>
      </c>
      <c r="C2078" s="1">
        <v>0.0</v>
      </c>
      <c r="D2078" s="1">
        <v>0.0</v>
      </c>
      <c r="E2078" s="1">
        <v>0.0</v>
      </c>
      <c r="F2078" s="1">
        <v>0.0</v>
      </c>
      <c r="G2078" s="2">
        <v>0.0</v>
      </c>
      <c r="H2078" s="1" t="s">
        <v>262</v>
      </c>
      <c r="I2078" s="1" t="str">
        <f>IFERROR(__xludf.DUMMYFUNCTION("REGEXREPLACE(MID(H2078, SEARCH(""["", H2078) + 1, SEARCH(""]"", H2078) - SEARCH(""["", H2078) - 1), ""\[\]"","""")"),"Lubbock")</f>
        <v>Lubbock</v>
      </c>
      <c r="J2078" s="1">
        <v>0.0</v>
      </c>
      <c r="K2078" s="1">
        <v>0.0</v>
      </c>
    </row>
    <row r="2079">
      <c r="A2079" s="1">
        <v>1.0</v>
      </c>
      <c r="B2079" s="1">
        <v>4.0</v>
      </c>
      <c r="C2079" s="1">
        <v>0.0</v>
      </c>
      <c r="D2079" s="1">
        <v>0.0</v>
      </c>
      <c r="E2079" s="1">
        <v>0.0</v>
      </c>
      <c r="F2079" s="1">
        <v>0.0</v>
      </c>
      <c r="G2079" s="2">
        <v>0.0</v>
      </c>
      <c r="H2079" s="1" t="s">
        <v>262</v>
      </c>
      <c r="I2079" s="1" t="str">
        <f>IFERROR(__xludf.DUMMYFUNCTION("REGEXREPLACE(MID(H2079, SEARCH(""["", H2079) + 1, SEARCH(""]"", H2079) - SEARCH(""["", H2079) - 1), ""\[\]"","""")"),"Lubbock")</f>
        <v>Lubbock</v>
      </c>
      <c r="J2079" s="1">
        <v>0.0</v>
      </c>
      <c r="K2079" s="1">
        <v>0.0</v>
      </c>
    </row>
    <row r="2080">
      <c r="A2080" s="1">
        <v>1.0</v>
      </c>
      <c r="B2080" s="1">
        <v>4.0</v>
      </c>
      <c r="C2080" s="1">
        <v>0.0</v>
      </c>
      <c r="D2080" s="1">
        <v>0.0</v>
      </c>
      <c r="E2080" s="1">
        <v>0.0</v>
      </c>
      <c r="F2080" s="1">
        <v>0.0</v>
      </c>
      <c r="G2080" s="2">
        <v>0.0</v>
      </c>
      <c r="H2080" s="1" t="s">
        <v>241</v>
      </c>
      <c r="I2080" s="1" t="str">
        <f>IFERROR(__xludf.DUMMYFUNCTION("REGEXREPLACE(MID(H2080, SEARCH(""["", H2080) + 1, SEARCH(""]"", H2080) - SEARCH(""["", H2080) - 1), ""\[\]"","""")"),"Lubbock")</f>
        <v>Lubbock</v>
      </c>
      <c r="J2080" s="1">
        <v>0.0</v>
      </c>
      <c r="K2080" s="1">
        <v>0.0</v>
      </c>
    </row>
    <row r="2081">
      <c r="A2081" s="1">
        <v>1.0</v>
      </c>
      <c r="B2081" s="1">
        <v>4.0</v>
      </c>
      <c r="C2081" s="1">
        <v>2.0</v>
      </c>
      <c r="D2081" s="1">
        <v>4.0</v>
      </c>
      <c r="E2081" s="1">
        <v>0.0</v>
      </c>
      <c r="F2081" s="1">
        <v>0.0</v>
      </c>
      <c r="G2081" s="2">
        <v>0.5</v>
      </c>
      <c r="H2081" s="1" t="s">
        <v>241</v>
      </c>
      <c r="I2081" s="1" t="str">
        <f>IFERROR(__xludf.DUMMYFUNCTION("REGEXREPLACE(MID(H2081, SEARCH(""["", H2081) + 1, SEARCH(""]"", H2081) - SEARCH(""["", H2081) - 1), ""\[\]"","""")"),"Lubbock")</f>
        <v>Lubbock</v>
      </c>
      <c r="J2081" s="1">
        <v>4.0</v>
      </c>
      <c r="K2081" s="1">
        <v>0.0</v>
      </c>
    </row>
    <row r="2082">
      <c r="A2082" s="1">
        <v>2.0</v>
      </c>
      <c r="B2082" s="1">
        <v>8.0</v>
      </c>
      <c r="C2082" s="1">
        <v>0.0</v>
      </c>
      <c r="D2082" s="1">
        <v>0.0</v>
      </c>
      <c r="E2082" s="1">
        <v>0.0</v>
      </c>
      <c r="F2082" s="1">
        <v>0.0</v>
      </c>
      <c r="G2082" s="2">
        <v>0.0</v>
      </c>
      <c r="H2082" s="1" t="s">
        <v>263</v>
      </c>
      <c r="I2082" s="1" t="str">
        <f>IFERROR(__xludf.DUMMYFUNCTION("REGEXREPLACE(MID(H2082, SEARCH(""["", H2082) + 1, SEARCH(""]"", H2082) - SEARCH(""["", H2082) - 1), ""\[\]"","""")"),"Lynbrook")</f>
        <v>Lynbrook</v>
      </c>
      <c r="J2082" s="1">
        <v>0.0</v>
      </c>
      <c r="K2082" s="1">
        <v>0.0</v>
      </c>
    </row>
    <row r="2083">
      <c r="A2083" s="1">
        <v>1.0</v>
      </c>
      <c r="B2083" s="1">
        <v>4.0</v>
      </c>
      <c r="C2083" s="1">
        <v>0.0</v>
      </c>
      <c r="D2083" s="1">
        <v>0.0</v>
      </c>
      <c r="E2083" s="1">
        <v>0.0</v>
      </c>
      <c r="F2083" s="1">
        <v>0.0</v>
      </c>
      <c r="G2083" s="2">
        <v>0.0</v>
      </c>
      <c r="H2083" s="1" t="s">
        <v>263</v>
      </c>
      <c r="I2083" s="1" t="str">
        <f>IFERROR(__xludf.DUMMYFUNCTION("REGEXREPLACE(MID(H2083, SEARCH(""["", H2083) + 1, SEARCH(""]"", H2083) - SEARCH(""["", H2083) - 1), ""\[\]"","""")"),"Lynbrook")</f>
        <v>Lynbrook</v>
      </c>
      <c r="J2083" s="1">
        <v>0.0</v>
      </c>
      <c r="K2083" s="1">
        <v>0.0</v>
      </c>
    </row>
    <row r="2084">
      <c r="A2084" s="1">
        <v>1.0</v>
      </c>
      <c r="B2084" s="1">
        <v>3.0</v>
      </c>
      <c r="C2084" s="1">
        <v>0.0</v>
      </c>
      <c r="D2084" s="1">
        <v>0.0</v>
      </c>
      <c r="E2084" s="1">
        <v>0.0</v>
      </c>
      <c r="F2084" s="1">
        <v>0.0</v>
      </c>
      <c r="G2084" s="2">
        <v>0.0</v>
      </c>
      <c r="H2084" s="1" t="s">
        <v>264</v>
      </c>
      <c r="I2084" s="1" t="str">
        <f>IFERROR(__xludf.DUMMYFUNCTION("REGEXREPLACE(MID(H2084, SEARCH(""["", H2084) + 1, SEARCH(""]"", H2084) - SEARCH(""["", H2084) - 1), ""\[\]"","""")"),"Lynbrook")</f>
        <v>Lynbrook</v>
      </c>
      <c r="J2084" s="1">
        <v>0.0</v>
      </c>
      <c r="K2084" s="1">
        <v>0.0</v>
      </c>
    </row>
    <row r="2085">
      <c r="A2085" s="1">
        <v>3.0</v>
      </c>
      <c r="B2085" s="1">
        <v>12.0</v>
      </c>
      <c r="C2085" s="1">
        <v>0.0</v>
      </c>
      <c r="D2085" s="1">
        <v>0.0</v>
      </c>
      <c r="E2085" s="1">
        <v>0.0</v>
      </c>
      <c r="F2085" s="1">
        <v>0.0</v>
      </c>
      <c r="G2085" s="2">
        <v>0.0</v>
      </c>
      <c r="H2085" s="1" t="s">
        <v>264</v>
      </c>
      <c r="I2085" s="1" t="str">
        <f>IFERROR(__xludf.DUMMYFUNCTION("REGEXREPLACE(MID(H2085, SEARCH(""["", H2085) + 1, SEARCH(""]"", H2085) - SEARCH(""["", H2085) - 1), ""\[\]"","""")"),"Lynbrook")</f>
        <v>Lynbrook</v>
      </c>
      <c r="J2085" s="1">
        <v>0.0</v>
      </c>
      <c r="K2085" s="1">
        <v>0.0</v>
      </c>
    </row>
    <row r="2086">
      <c r="A2086" s="1">
        <v>1.0</v>
      </c>
      <c r="B2086" s="1">
        <v>3.0</v>
      </c>
      <c r="C2086" s="1">
        <v>0.0</v>
      </c>
      <c r="D2086" s="1">
        <v>0.0</v>
      </c>
      <c r="E2086" s="1">
        <v>0.0</v>
      </c>
      <c r="F2086" s="1">
        <v>0.0</v>
      </c>
      <c r="G2086" s="2">
        <v>0.0</v>
      </c>
      <c r="H2086" s="1" t="s">
        <v>265</v>
      </c>
      <c r="I2086" s="1" t="str">
        <f>IFERROR(__xludf.DUMMYFUNCTION("REGEXREPLACE(MID(H2086, SEARCH(""["", H2086) + 1, SEARCH(""]"", H2086) - SEARCH(""["", H2086) - 1), ""\[\]"","""")"),"Lynbrook")</f>
        <v>Lynbrook</v>
      </c>
      <c r="J2086" s="1">
        <v>0.0</v>
      </c>
      <c r="K2086" s="1">
        <v>0.0</v>
      </c>
    </row>
    <row r="2087">
      <c r="A2087" s="1">
        <v>4.0</v>
      </c>
      <c r="B2087" s="1">
        <v>16.0</v>
      </c>
      <c r="C2087" s="1">
        <v>0.0</v>
      </c>
      <c r="D2087" s="1">
        <v>0.0</v>
      </c>
      <c r="E2087" s="1">
        <v>0.0</v>
      </c>
      <c r="F2087" s="1">
        <v>0.0</v>
      </c>
      <c r="G2087" s="2">
        <v>0.0</v>
      </c>
      <c r="H2087" s="1" t="s">
        <v>265</v>
      </c>
      <c r="I2087" s="1" t="str">
        <f>IFERROR(__xludf.DUMMYFUNCTION("REGEXREPLACE(MID(H2087, SEARCH(""["", H2087) + 1, SEARCH(""]"", H2087) - SEARCH(""["", H2087) - 1), ""\[\]"","""")"),"Lynbrook")</f>
        <v>Lynbrook</v>
      </c>
      <c r="J2087" s="1">
        <v>0.0</v>
      </c>
      <c r="K2087" s="1">
        <v>0.0</v>
      </c>
    </row>
    <row r="2088">
      <c r="A2088" s="1">
        <v>4.0</v>
      </c>
      <c r="B2088" s="1">
        <v>16.0</v>
      </c>
      <c r="C2088" s="1">
        <v>4.0</v>
      </c>
      <c r="D2088" s="1">
        <v>0.0</v>
      </c>
      <c r="E2088" s="1">
        <v>0.5</v>
      </c>
      <c r="F2088" s="1">
        <v>0.0</v>
      </c>
      <c r="G2088" s="2">
        <v>0.5</v>
      </c>
      <c r="H2088" s="1" t="s">
        <v>266</v>
      </c>
      <c r="I2088" s="1" t="str">
        <f>IFERROR(__xludf.DUMMYFUNCTION("REGEXREPLACE(MID(H2088, SEARCH(""["", H2088) + 1, SEARCH(""]"", H2088) - SEARCH(""["", H2088) - 1), ""\[\]"","""")"),"Lynbrook")</f>
        <v>Lynbrook</v>
      </c>
      <c r="J2088" s="1">
        <v>0.0</v>
      </c>
      <c r="K2088" s="1">
        <v>2.0</v>
      </c>
    </row>
    <row r="2089">
      <c r="A2089" s="1">
        <v>1.0</v>
      </c>
      <c r="B2089" s="1">
        <v>3.0</v>
      </c>
      <c r="C2089" s="1">
        <v>2.0</v>
      </c>
      <c r="D2089" s="1">
        <v>8.0</v>
      </c>
      <c r="E2089" s="1">
        <v>0.0</v>
      </c>
      <c r="F2089" s="1">
        <v>0.0</v>
      </c>
      <c r="G2089" s="2">
        <v>1.0</v>
      </c>
      <c r="H2089" s="1" t="s">
        <v>93</v>
      </c>
      <c r="I2089" s="1" t="str">
        <f>IFERROR(__xludf.DUMMYFUNCTION("REGEXREPLACE(MID(H2089, SEARCH(""["", H2089) + 1, SEARCH(""]"", H2089) - SEARCH(""["", H2089) - 1), ""\[\]"","""")"),"Lynbrook")</f>
        <v>Lynbrook</v>
      </c>
      <c r="J2089" s="1">
        <v>8.0</v>
      </c>
      <c r="K2089" s="1">
        <v>0.0</v>
      </c>
    </row>
    <row r="2090">
      <c r="A2090" s="1">
        <v>4.0</v>
      </c>
      <c r="B2090" s="1">
        <v>16.0</v>
      </c>
      <c r="C2090" s="1">
        <v>9.0</v>
      </c>
      <c r="D2090" s="1">
        <v>7.0</v>
      </c>
      <c r="E2090" s="1">
        <v>0.0</v>
      </c>
      <c r="F2090" s="1">
        <v>0.0</v>
      </c>
      <c r="G2090" s="6">
        <v>0.778</v>
      </c>
      <c r="H2090" s="1" t="s">
        <v>93</v>
      </c>
      <c r="I2090" s="1" t="str">
        <f>IFERROR(__xludf.DUMMYFUNCTION("REGEXREPLACE(MID(H2090, SEARCH(""["", H2090) + 1, SEARCH(""]"", H2090) - SEARCH(""["", H2090) - 1), ""\[\]"","""")"),"Lynbrook")</f>
        <v>Lynbrook</v>
      </c>
      <c r="J2090" s="1">
        <v>28.0</v>
      </c>
      <c r="K2090" s="1">
        <v>0.0</v>
      </c>
    </row>
    <row r="2091">
      <c r="A2091" s="1">
        <v>1.0</v>
      </c>
      <c r="B2091" s="1">
        <v>4.0</v>
      </c>
      <c r="C2091" s="1">
        <v>0.0</v>
      </c>
      <c r="D2091" s="1">
        <v>0.0</v>
      </c>
      <c r="E2091" s="1">
        <v>0.0</v>
      </c>
      <c r="F2091" s="1">
        <v>0.0</v>
      </c>
      <c r="G2091" s="2">
        <v>0.0</v>
      </c>
      <c r="H2091" s="1" t="s">
        <v>268</v>
      </c>
      <c r="I2091" s="1" t="str">
        <f>IFERROR(__xludf.DUMMYFUNCTION("REGEXREPLACE(MID(H2091, SEARCH(""["", H2091) + 1, SEARCH(""]"", H2091) - SEARCH(""["", H2091) - 1), ""\[\]"","""")"),"Mira Loma HS")</f>
        <v>Mira Loma HS</v>
      </c>
      <c r="J2091" s="1">
        <v>0.0</v>
      </c>
      <c r="K2091" s="1">
        <v>0.0</v>
      </c>
    </row>
    <row r="2092">
      <c r="A2092" s="1">
        <v>4.0</v>
      </c>
      <c r="B2092" s="1">
        <v>15.0</v>
      </c>
      <c r="C2092" s="1">
        <v>7.0</v>
      </c>
      <c r="D2092" s="1">
        <v>3.0</v>
      </c>
      <c r="E2092" s="1">
        <v>0.0</v>
      </c>
      <c r="F2092" s="1">
        <v>0.0</v>
      </c>
      <c r="G2092" s="6">
        <v>0.429</v>
      </c>
      <c r="H2092" s="1" t="s">
        <v>80</v>
      </c>
      <c r="I2092" s="1" t="str">
        <f>IFERROR(__xludf.DUMMYFUNCTION("REGEXREPLACE(MID(H2092, SEARCH(""["", H2092) + 1, SEARCH(""]"", H2092) - SEARCH(""["", H2092) - 1), ""\[\]"","""")"),"Mira Loma HS")</f>
        <v>Mira Loma HS</v>
      </c>
      <c r="J2092" s="1">
        <v>12.0</v>
      </c>
      <c r="K2092" s="1">
        <v>0.0</v>
      </c>
    </row>
    <row r="2093">
      <c r="A2093" s="1">
        <v>1.0</v>
      </c>
      <c r="B2093" s="1">
        <v>3.0</v>
      </c>
      <c r="C2093" s="1">
        <v>0.0</v>
      </c>
      <c r="D2093" s="1">
        <v>0.0</v>
      </c>
      <c r="E2093" s="1">
        <v>0.0</v>
      </c>
      <c r="F2093" s="1">
        <v>0.0</v>
      </c>
      <c r="G2093" s="2">
        <v>0.0</v>
      </c>
      <c r="H2093" s="1" t="s">
        <v>221</v>
      </c>
      <c r="I2093" s="1" t="str">
        <f>IFERROR(__xludf.DUMMYFUNCTION("REGEXREPLACE(MID(H2093, SEARCH(""["", H2093) + 1, SEARCH(""]"", H2093) - SEARCH(""["", H2093) - 1), ""\[\]"","""")"),"Mira Loma HS")</f>
        <v>Mira Loma HS</v>
      </c>
      <c r="J2093" s="1">
        <v>0.0</v>
      </c>
      <c r="K2093" s="1">
        <v>0.0</v>
      </c>
    </row>
    <row r="2094">
      <c r="A2094" s="1">
        <v>3.0</v>
      </c>
      <c r="B2094" s="1">
        <v>12.0</v>
      </c>
      <c r="C2094" s="1">
        <v>0.0</v>
      </c>
      <c r="D2094" s="1">
        <v>0.0</v>
      </c>
      <c r="E2094" s="1">
        <v>0.0</v>
      </c>
      <c r="F2094" s="1">
        <v>0.0</v>
      </c>
      <c r="G2094" s="2">
        <v>0.0</v>
      </c>
      <c r="H2094" s="1" t="s">
        <v>221</v>
      </c>
      <c r="I2094" s="1" t="str">
        <f>IFERROR(__xludf.DUMMYFUNCTION("REGEXREPLACE(MID(H2094, SEARCH(""["", H2094) + 1, SEARCH(""]"", H2094) - SEARCH(""["", H2094) - 1), ""\[\]"","""")"),"Mira Loma HS")</f>
        <v>Mira Loma HS</v>
      </c>
      <c r="J2094" s="1">
        <v>0.0</v>
      </c>
      <c r="K2094" s="1">
        <v>0.0</v>
      </c>
    </row>
    <row r="2095">
      <c r="A2095" s="1">
        <v>1.0</v>
      </c>
      <c r="B2095" s="1">
        <v>4.0</v>
      </c>
      <c r="C2095" s="1">
        <v>0.0</v>
      </c>
      <c r="D2095" s="1">
        <v>0.0</v>
      </c>
      <c r="E2095" s="1">
        <v>0.0</v>
      </c>
      <c r="F2095" s="1">
        <v>0.0</v>
      </c>
      <c r="G2095" s="2">
        <v>0.0</v>
      </c>
      <c r="H2095" s="1" t="s">
        <v>270</v>
      </c>
      <c r="I2095" s="1" t="str">
        <f>IFERROR(__xludf.DUMMYFUNCTION("REGEXREPLACE(MID(H2095, SEARCH(""["", H2095) + 1, SEARCH(""]"", H2095) - SEARCH(""["", H2095) - 1), ""\[\]"","""")"),"Mira Loma HS")</f>
        <v>Mira Loma HS</v>
      </c>
      <c r="J2095" s="1">
        <v>0.0</v>
      </c>
      <c r="K2095" s="1">
        <v>0.0</v>
      </c>
    </row>
    <row r="2096">
      <c r="A2096" s="1">
        <v>1.0</v>
      </c>
      <c r="B2096" s="1">
        <v>4.0</v>
      </c>
      <c r="C2096" s="1">
        <v>1.0</v>
      </c>
      <c r="D2096" s="1">
        <v>-4.0</v>
      </c>
      <c r="E2096" s="1">
        <v>1.0</v>
      </c>
      <c r="F2096" s="1">
        <v>0.0</v>
      </c>
      <c r="G2096" s="2">
        <v>0.0</v>
      </c>
      <c r="H2096" s="1" t="s">
        <v>270</v>
      </c>
      <c r="I2096" s="1" t="str">
        <f>IFERROR(__xludf.DUMMYFUNCTION("REGEXREPLACE(MID(H2096, SEARCH(""["", H2096) + 1, SEARCH(""]"", H2096) - SEARCH(""["", H2096) - 1), ""\[\]"","""")"),"Mira Loma HS")</f>
        <v>Mira Loma HS</v>
      </c>
      <c r="J2096" s="1">
        <v>-4.0</v>
      </c>
      <c r="K2096" s="1">
        <v>1.0</v>
      </c>
    </row>
    <row r="2097">
      <c r="A2097" s="1">
        <v>1.0</v>
      </c>
      <c r="B2097" s="1">
        <v>3.0</v>
      </c>
      <c r="C2097" s="1">
        <v>0.0</v>
      </c>
      <c r="D2097" s="1">
        <v>0.0</v>
      </c>
      <c r="E2097" s="1">
        <v>0.0</v>
      </c>
      <c r="F2097" s="1">
        <v>0.0</v>
      </c>
      <c r="G2097" s="2">
        <v>0.0</v>
      </c>
      <c r="H2097" s="1" t="s">
        <v>228</v>
      </c>
      <c r="I2097" s="1" t="str">
        <f>IFERROR(__xludf.DUMMYFUNCTION("REGEXREPLACE(MID(H2097, SEARCH(""["", H2097) + 1, SEARCH(""]"", H2097) - SEARCH(""["", H2097) - 1), ""\[\]"","""")"),"Naperville North")</f>
        <v>Naperville North</v>
      </c>
      <c r="J2097" s="1">
        <v>0.0</v>
      </c>
      <c r="K2097" s="1">
        <v>0.0</v>
      </c>
    </row>
    <row r="2098">
      <c r="A2098" s="1">
        <v>4.0</v>
      </c>
      <c r="B2098" s="1">
        <v>14.0</v>
      </c>
      <c r="C2098" s="1">
        <v>1.0</v>
      </c>
      <c r="D2098" s="1">
        <v>1.0</v>
      </c>
      <c r="E2098" s="1">
        <v>0.0</v>
      </c>
      <c r="F2098" s="1">
        <v>0.0</v>
      </c>
      <c r="G2098" s="2">
        <v>1.0</v>
      </c>
      <c r="H2098" s="1" t="s">
        <v>228</v>
      </c>
      <c r="I2098" s="1" t="str">
        <f>IFERROR(__xludf.DUMMYFUNCTION("REGEXREPLACE(MID(H2098, SEARCH(""["", H2098) + 1, SEARCH(""]"", H2098) - SEARCH(""["", H2098) - 1), ""\[\]"","""")"),"Naperville North")</f>
        <v>Naperville North</v>
      </c>
      <c r="J2098" s="1">
        <v>4.0</v>
      </c>
      <c r="K2098" s="1">
        <v>0.0</v>
      </c>
    </row>
    <row r="2099">
      <c r="A2099" s="1">
        <v>1.0</v>
      </c>
      <c r="B2099" s="1">
        <v>3.0</v>
      </c>
      <c r="C2099" s="1">
        <v>0.0</v>
      </c>
      <c r="D2099" s="1">
        <v>0.0</v>
      </c>
      <c r="E2099" s="1">
        <v>0.0</v>
      </c>
      <c r="F2099" s="1">
        <v>0.0</v>
      </c>
      <c r="G2099" s="2">
        <v>0.0</v>
      </c>
      <c r="H2099" s="1" t="s">
        <v>273</v>
      </c>
      <c r="I2099" s="1" t="str">
        <f>IFERROR(__xludf.DUMMYFUNCTION("REGEXREPLACE(MID(H2099, SEARCH(""["", H2099) + 1, SEARCH(""]"", H2099) - SEARCH(""["", H2099) - 1), ""\[\]"","""")"),"Naperville North")</f>
        <v>Naperville North</v>
      </c>
      <c r="J2099" s="1">
        <v>0.0</v>
      </c>
      <c r="K2099" s="1">
        <v>0.0</v>
      </c>
    </row>
    <row r="2100">
      <c r="A2100" s="1">
        <v>3.0</v>
      </c>
      <c r="B2100" s="1">
        <v>11.0</v>
      </c>
      <c r="C2100" s="1">
        <v>0.0</v>
      </c>
      <c r="D2100" s="1">
        <v>0.0</v>
      </c>
      <c r="E2100" s="1">
        <v>0.0</v>
      </c>
      <c r="F2100" s="1">
        <v>0.0</v>
      </c>
      <c r="G2100" s="2">
        <v>0.0</v>
      </c>
      <c r="H2100" s="1" t="s">
        <v>273</v>
      </c>
      <c r="I2100" s="1" t="str">
        <f>IFERROR(__xludf.DUMMYFUNCTION("REGEXREPLACE(MID(H2100, SEARCH(""["", H2100) + 1, SEARCH(""]"", H2100) - SEARCH(""["", H2100) - 1), ""\[\]"","""")"),"Naperville North")</f>
        <v>Naperville North</v>
      </c>
      <c r="J2100" s="1">
        <v>0.0</v>
      </c>
      <c r="K2100" s="1">
        <v>0.0</v>
      </c>
    </row>
    <row r="2101">
      <c r="A2101" s="1">
        <v>1.0</v>
      </c>
      <c r="B2101" s="1">
        <v>3.0</v>
      </c>
      <c r="C2101" s="1">
        <v>0.0</v>
      </c>
      <c r="D2101" s="1">
        <v>0.0</v>
      </c>
      <c r="E2101" s="1">
        <v>0.0</v>
      </c>
      <c r="F2101" s="1">
        <v>0.0</v>
      </c>
      <c r="G2101" s="2">
        <v>0.0</v>
      </c>
      <c r="H2101" s="1" t="s">
        <v>273</v>
      </c>
      <c r="I2101" s="1" t="str">
        <f>IFERROR(__xludf.DUMMYFUNCTION("REGEXREPLACE(MID(H2101, SEARCH(""["", H2101) + 1, SEARCH(""]"", H2101) - SEARCH(""["", H2101) - 1), ""\[\]"","""")"),"Naperville North")</f>
        <v>Naperville North</v>
      </c>
      <c r="J2101" s="1">
        <v>0.0</v>
      </c>
      <c r="K2101" s="1">
        <v>0.0</v>
      </c>
    </row>
    <row r="2102">
      <c r="A2102" s="1">
        <v>1.0</v>
      </c>
      <c r="B2102" s="1">
        <v>3.0</v>
      </c>
      <c r="C2102" s="1">
        <v>0.0</v>
      </c>
      <c r="D2102" s="1">
        <v>0.0</v>
      </c>
      <c r="E2102" s="1">
        <v>0.0</v>
      </c>
      <c r="F2102" s="1">
        <v>0.0</v>
      </c>
      <c r="G2102" s="2">
        <v>0.0</v>
      </c>
      <c r="H2102" s="1" t="s">
        <v>275</v>
      </c>
      <c r="I2102" s="1" t="str">
        <f>IFERROR(__xludf.DUMMYFUNCTION("REGEXREPLACE(MID(H2102, SEARCH(""["", H2102) + 1, SEARCH(""]"", H2102) - SEARCH(""["", H2102) - 1), ""\[\]"","""")"),"Naperville North")</f>
        <v>Naperville North</v>
      </c>
      <c r="J2102" s="1">
        <v>0.0</v>
      </c>
      <c r="K2102" s="1">
        <v>0.0</v>
      </c>
    </row>
    <row r="2103">
      <c r="A2103" s="1">
        <v>3.0</v>
      </c>
      <c r="B2103" s="1">
        <v>10.0</v>
      </c>
      <c r="C2103" s="1">
        <v>0.0</v>
      </c>
      <c r="D2103" s="1">
        <v>0.0</v>
      </c>
      <c r="E2103" s="1">
        <v>0.0</v>
      </c>
      <c r="F2103" s="1">
        <v>0.0</v>
      </c>
      <c r="G2103" s="2">
        <v>0.0</v>
      </c>
      <c r="H2103" s="1" t="s">
        <v>275</v>
      </c>
      <c r="I2103" s="1" t="str">
        <f>IFERROR(__xludf.DUMMYFUNCTION("REGEXREPLACE(MID(H2103, SEARCH(""["", H2103) + 1, SEARCH(""]"", H2103) - SEARCH(""["", H2103) - 1), ""\[\]"","""")"),"Naperville North")</f>
        <v>Naperville North</v>
      </c>
      <c r="J2103" s="1">
        <v>0.0</v>
      </c>
      <c r="K2103" s="1">
        <v>0.0</v>
      </c>
    </row>
    <row r="2104">
      <c r="A2104" s="1">
        <v>2.0</v>
      </c>
      <c r="B2104" s="1">
        <v>6.0</v>
      </c>
      <c r="C2104" s="1">
        <v>2.0</v>
      </c>
      <c r="D2104" s="1">
        <v>4.0</v>
      </c>
      <c r="E2104" s="1">
        <v>0.0</v>
      </c>
      <c r="F2104" s="1">
        <v>0.0</v>
      </c>
      <c r="G2104" s="2">
        <v>1.0</v>
      </c>
      <c r="H2104" s="1" t="s">
        <v>276</v>
      </c>
      <c r="I2104" s="1" t="str">
        <f>IFERROR(__xludf.DUMMYFUNCTION("REGEXREPLACE(MID(H2104, SEARCH(""["", H2104) + 1, SEARCH(""]"", H2104) - SEARCH(""["", H2104) - 1), ""\[\]"","""")"),"Naperville North")</f>
        <v>Naperville North</v>
      </c>
      <c r="J2104" s="1">
        <v>8.0</v>
      </c>
      <c r="K2104" s="1">
        <v>0.0</v>
      </c>
    </row>
    <row r="2105">
      <c r="A2105" s="1">
        <v>2.0</v>
      </c>
      <c r="B2105" s="1">
        <v>7.0</v>
      </c>
      <c r="C2105" s="1">
        <v>6.0</v>
      </c>
      <c r="D2105" s="1">
        <v>6.0</v>
      </c>
      <c r="E2105" s="1">
        <v>0.0</v>
      </c>
      <c r="F2105" s="1">
        <v>0.0</v>
      </c>
      <c r="G2105" s="2">
        <v>0.5</v>
      </c>
      <c r="H2105" s="1" t="s">
        <v>276</v>
      </c>
      <c r="I2105" s="1" t="str">
        <f>IFERROR(__xludf.DUMMYFUNCTION("REGEXREPLACE(MID(H2105, SEARCH(""["", H2105) + 1, SEARCH(""]"", H2105) - SEARCH(""["", H2105) - 1), ""\[\]"","""")"),"Naperville North")</f>
        <v>Naperville North</v>
      </c>
      <c r="J2105" s="1">
        <v>12.0</v>
      </c>
      <c r="K2105" s="1">
        <v>0.0</v>
      </c>
    </row>
    <row r="2106">
      <c r="A2106" s="1">
        <v>1.0</v>
      </c>
      <c r="B2106" s="1">
        <v>4.0</v>
      </c>
      <c r="C2106" s="1">
        <v>0.0</v>
      </c>
      <c r="D2106" s="1">
        <v>0.0</v>
      </c>
      <c r="E2106" s="1">
        <v>0.0</v>
      </c>
      <c r="F2106" s="1">
        <v>0.0</v>
      </c>
      <c r="G2106" s="2">
        <v>0.0</v>
      </c>
      <c r="H2106" s="1" t="s">
        <v>277</v>
      </c>
      <c r="I2106" s="1" t="str">
        <f>IFERROR(__xludf.DUMMYFUNCTION("REGEXREPLACE(MID(H2106, SEARCH(""["", H2106) + 1, SEARCH(""]"", H2106) - SEARCH(""["", H2106) - 1), ""\[\]"","""")"),"Niskayuna HS")</f>
        <v>Niskayuna HS</v>
      </c>
      <c r="J2106" s="1">
        <v>0.0</v>
      </c>
      <c r="K2106" s="1">
        <v>0.0</v>
      </c>
    </row>
    <row r="2107">
      <c r="A2107" s="1">
        <v>4.0</v>
      </c>
      <c r="B2107" s="1">
        <v>16.0</v>
      </c>
      <c r="C2107" s="1">
        <v>0.0</v>
      </c>
      <c r="D2107" s="1">
        <v>0.0</v>
      </c>
      <c r="E2107" s="1">
        <v>0.0</v>
      </c>
      <c r="F2107" s="1">
        <v>0.0</v>
      </c>
      <c r="G2107" s="2">
        <v>0.0</v>
      </c>
      <c r="H2107" s="1" t="s">
        <v>277</v>
      </c>
      <c r="I2107" s="1" t="str">
        <f>IFERROR(__xludf.DUMMYFUNCTION("REGEXREPLACE(MID(H2107, SEARCH(""["", H2107) + 1, SEARCH(""]"", H2107) - SEARCH(""["", H2107) - 1), ""\[\]"","""")"),"Niskayuna HS")</f>
        <v>Niskayuna HS</v>
      </c>
      <c r="J2107" s="1">
        <v>0.0</v>
      </c>
      <c r="K2107" s="1">
        <v>0.0</v>
      </c>
    </row>
    <row r="2108">
      <c r="A2108" s="1">
        <v>1.0</v>
      </c>
      <c r="B2108" s="1">
        <v>4.0</v>
      </c>
      <c r="C2108" s="1">
        <v>3.0</v>
      </c>
      <c r="D2108" s="1">
        <v>12.0</v>
      </c>
      <c r="E2108" s="1">
        <v>0.0</v>
      </c>
      <c r="F2108" s="1">
        <v>0.0</v>
      </c>
      <c r="G2108" s="2">
        <v>1.0</v>
      </c>
      <c r="H2108" s="1" t="s">
        <v>172</v>
      </c>
      <c r="I2108" s="1" t="str">
        <f>IFERROR(__xludf.DUMMYFUNCTION("REGEXREPLACE(MID(H2108, SEARCH(""["", H2108) + 1, SEARCH(""]"", H2108) - SEARCH(""["", H2108) - 1), ""\[\]"","""")"),"Niskayuna HS")</f>
        <v>Niskayuna HS</v>
      </c>
      <c r="J2108" s="1">
        <v>12.0</v>
      </c>
      <c r="K2108" s="1">
        <v>0.0</v>
      </c>
    </row>
    <row r="2109">
      <c r="A2109" s="1">
        <v>3.0</v>
      </c>
      <c r="B2109" s="1">
        <v>12.0</v>
      </c>
      <c r="C2109" s="1">
        <v>8.0</v>
      </c>
      <c r="D2109" s="1">
        <v>9.33</v>
      </c>
      <c r="E2109" s="1">
        <v>0.0</v>
      </c>
      <c r="F2109" s="1">
        <v>0.0</v>
      </c>
      <c r="G2109" s="6">
        <v>0.875</v>
      </c>
      <c r="H2109" s="1" t="s">
        <v>172</v>
      </c>
      <c r="I2109" s="1" t="str">
        <f>IFERROR(__xludf.DUMMYFUNCTION("REGEXREPLACE(MID(H2109, SEARCH(""["", H2109) + 1, SEARCH(""]"", H2109) - SEARCH(""["", H2109) - 1), ""\[\]"","""")"),"Niskayuna HS")</f>
        <v>Niskayuna HS</v>
      </c>
      <c r="J2109" s="1">
        <v>28.0</v>
      </c>
      <c r="K2109" s="1">
        <v>0.0</v>
      </c>
    </row>
    <row r="2110">
      <c r="A2110" s="1">
        <v>1.0</v>
      </c>
      <c r="B2110" s="1">
        <v>4.0</v>
      </c>
      <c r="C2110" s="1">
        <v>0.0</v>
      </c>
      <c r="D2110" s="1">
        <v>0.0</v>
      </c>
      <c r="E2110" s="1">
        <v>0.0</v>
      </c>
      <c r="F2110" s="1">
        <v>0.0</v>
      </c>
      <c r="G2110" s="2">
        <v>0.0</v>
      </c>
      <c r="H2110" s="1" t="s">
        <v>279</v>
      </c>
      <c r="I2110" s="1" t="str">
        <f>IFERROR(__xludf.DUMMYFUNCTION("REGEXREPLACE(MID(H2110, SEARCH(""["", H2110) + 1, SEARCH(""]"", H2110) - SEARCH(""["", H2110) - 1), ""\[\]"","""")"),"Niskayuna HS")</f>
        <v>Niskayuna HS</v>
      </c>
      <c r="J2110" s="1">
        <v>0.0</v>
      </c>
      <c r="K2110" s="1">
        <v>0.0</v>
      </c>
    </row>
    <row r="2111">
      <c r="A2111" s="1">
        <v>4.0</v>
      </c>
      <c r="B2111" s="1">
        <v>16.0</v>
      </c>
      <c r="C2111" s="1">
        <v>0.0</v>
      </c>
      <c r="D2111" s="1">
        <v>0.0</v>
      </c>
      <c r="E2111" s="1">
        <v>0.0</v>
      </c>
      <c r="F2111" s="1">
        <v>0.0</v>
      </c>
      <c r="G2111" s="2">
        <v>0.0</v>
      </c>
      <c r="H2111" s="1" t="s">
        <v>279</v>
      </c>
      <c r="I2111" s="1" t="str">
        <f>IFERROR(__xludf.DUMMYFUNCTION("REGEXREPLACE(MID(H2111, SEARCH(""["", H2111) + 1, SEARCH(""]"", H2111) - SEARCH(""["", H2111) - 1), ""\[\]"","""")"),"Niskayuna HS")</f>
        <v>Niskayuna HS</v>
      </c>
      <c r="J2111" s="1">
        <v>0.0</v>
      </c>
      <c r="K2111" s="1">
        <v>0.0</v>
      </c>
    </row>
    <row r="2112">
      <c r="A2112" s="1">
        <v>1.0</v>
      </c>
      <c r="B2112" s="1">
        <v>4.0</v>
      </c>
      <c r="C2112" s="1">
        <v>0.0</v>
      </c>
      <c r="D2112" s="1">
        <v>0.0</v>
      </c>
      <c r="E2112" s="1">
        <v>0.0</v>
      </c>
      <c r="F2112" s="1">
        <v>0.0</v>
      </c>
      <c r="G2112" s="2">
        <v>0.0</v>
      </c>
      <c r="H2112" s="1" t="s">
        <v>280</v>
      </c>
      <c r="I2112" s="1" t="str">
        <f>IFERROR(__xludf.DUMMYFUNCTION("REGEXREPLACE(MID(H2112, SEARCH(""["", H2112) + 1, SEARCH(""]"", H2112) - SEARCH(""["", H2112) - 1), ""\[\]"","""")"),"Niskayuna HS")</f>
        <v>Niskayuna HS</v>
      </c>
      <c r="J2112" s="1">
        <v>0.0</v>
      </c>
      <c r="K2112" s="1">
        <v>0.0</v>
      </c>
    </row>
    <row r="2113">
      <c r="A2113" s="1">
        <v>1.0</v>
      </c>
      <c r="B2113" s="1">
        <v>4.0</v>
      </c>
      <c r="C2113" s="1">
        <v>0.0</v>
      </c>
      <c r="D2113" s="1">
        <v>0.0</v>
      </c>
      <c r="E2113" s="1">
        <v>0.0</v>
      </c>
      <c r="F2113" s="1">
        <v>0.0</v>
      </c>
      <c r="G2113" s="2">
        <v>0.0</v>
      </c>
      <c r="H2113" s="1" t="s">
        <v>281</v>
      </c>
      <c r="I2113" s="1" t="str">
        <f>IFERROR(__xludf.DUMMYFUNCTION("REGEXREPLACE(MID(H2113, SEARCH(""["", H2113) + 1, SEARCH(""]"", H2113) - SEARCH(""["", H2113) - 1), ""\[\]"","""")"),"Niskayuna HS")</f>
        <v>Niskayuna HS</v>
      </c>
      <c r="J2113" s="1">
        <v>0.0</v>
      </c>
      <c r="K2113" s="1">
        <v>0.0</v>
      </c>
    </row>
    <row r="2114">
      <c r="A2114" s="1">
        <v>4.0</v>
      </c>
      <c r="B2114" s="1">
        <v>16.0</v>
      </c>
      <c r="C2114" s="1">
        <v>4.0</v>
      </c>
      <c r="D2114" s="1">
        <v>2.0</v>
      </c>
      <c r="E2114" s="1">
        <v>0.0</v>
      </c>
      <c r="F2114" s="1">
        <v>0.0</v>
      </c>
      <c r="G2114" s="2">
        <v>0.5</v>
      </c>
      <c r="H2114" s="1" t="s">
        <v>281</v>
      </c>
      <c r="I2114" s="1" t="str">
        <f>IFERROR(__xludf.DUMMYFUNCTION("REGEXREPLACE(MID(H2114, SEARCH(""["", H2114) + 1, SEARCH(""]"", H2114) - SEARCH(""["", H2114) - 1), ""\[\]"","""")"),"Niskayuna HS")</f>
        <v>Niskayuna HS</v>
      </c>
      <c r="J2114" s="1">
        <v>8.0</v>
      </c>
      <c r="K2114" s="1">
        <v>0.0</v>
      </c>
    </row>
    <row r="2115">
      <c r="A2115" s="1">
        <v>2.0</v>
      </c>
      <c r="B2115" s="1">
        <v>8.0</v>
      </c>
      <c r="C2115" s="1">
        <v>0.0</v>
      </c>
      <c r="D2115" s="1">
        <v>0.0</v>
      </c>
      <c r="E2115" s="1">
        <v>0.0</v>
      </c>
      <c r="F2115" s="1">
        <v>0.0</v>
      </c>
      <c r="G2115" s="2">
        <v>0.0</v>
      </c>
      <c r="H2115" s="1" t="s">
        <v>282</v>
      </c>
      <c r="I2115" s="1" t="str">
        <f>IFERROR(__xludf.DUMMYFUNCTION("REGEXREPLACE(MID(H2115, SEARCH(""["", H2115) + 1, SEARCH(""]"", H2115) - SEARCH(""["", H2115) - 1), ""\[\]"","""")"),"NoHo 1")</f>
        <v>NoHo 1</v>
      </c>
      <c r="J2115" s="1">
        <v>0.0</v>
      </c>
      <c r="K2115" s="1">
        <v>0.0</v>
      </c>
    </row>
    <row r="2116">
      <c r="A2116" s="1">
        <v>1.0</v>
      </c>
      <c r="B2116" s="1">
        <v>4.0</v>
      </c>
      <c r="C2116" s="1">
        <v>1.0</v>
      </c>
      <c r="D2116" s="1">
        <v>0.0</v>
      </c>
      <c r="E2116" s="1">
        <v>0.0</v>
      </c>
      <c r="F2116" s="1">
        <v>0.0</v>
      </c>
      <c r="G2116" s="2">
        <v>0.0</v>
      </c>
      <c r="H2116" s="1" t="s">
        <v>282</v>
      </c>
      <c r="I2116" s="1" t="str">
        <f>IFERROR(__xludf.DUMMYFUNCTION("REGEXREPLACE(MID(H2116, SEARCH(""["", H2116) + 1, SEARCH(""]"", H2116) - SEARCH(""["", H2116) - 1), ""\[\]"","""")"),"NoHo 1")</f>
        <v>NoHo 1</v>
      </c>
      <c r="J2116" s="1">
        <v>0.0</v>
      </c>
      <c r="K2116" s="1">
        <v>0.0</v>
      </c>
    </row>
    <row r="2117">
      <c r="A2117" s="1">
        <v>3.0</v>
      </c>
      <c r="B2117" s="1">
        <v>12.0</v>
      </c>
      <c r="C2117" s="1">
        <v>0.0</v>
      </c>
      <c r="D2117" s="1">
        <v>0.0</v>
      </c>
      <c r="E2117" s="1">
        <v>0.0</v>
      </c>
      <c r="F2117" s="1">
        <v>0.0</v>
      </c>
      <c r="G2117" s="2">
        <v>0.0</v>
      </c>
      <c r="H2117" s="1" t="s">
        <v>283</v>
      </c>
      <c r="I2117" s="1" t="str">
        <f>IFERROR(__xludf.DUMMYFUNCTION("REGEXREPLACE(MID(H2117, SEARCH(""["", H2117) + 1, SEARCH(""]"", H2117) - SEARCH(""["", H2117) - 1), ""\[\]"","""")"),"NoHo 1")</f>
        <v>NoHo 1</v>
      </c>
      <c r="J2117" s="1">
        <v>0.0</v>
      </c>
      <c r="K2117" s="1">
        <v>0.0</v>
      </c>
    </row>
    <row r="2118">
      <c r="A2118" s="1">
        <v>1.0</v>
      </c>
      <c r="B2118" s="1">
        <v>4.0</v>
      </c>
      <c r="C2118" s="1">
        <v>0.0</v>
      </c>
      <c r="D2118" s="1">
        <v>0.0</v>
      </c>
      <c r="E2118" s="1">
        <v>0.0</v>
      </c>
      <c r="F2118" s="1">
        <v>0.0</v>
      </c>
      <c r="G2118" s="2">
        <v>0.0</v>
      </c>
      <c r="H2118" s="1" t="s">
        <v>283</v>
      </c>
      <c r="I2118" s="1" t="str">
        <f>IFERROR(__xludf.DUMMYFUNCTION("REGEXREPLACE(MID(H2118, SEARCH(""["", H2118) + 1, SEARCH(""]"", H2118) - SEARCH(""["", H2118) - 1), ""\[\]"","""")"),"NoHo 1")</f>
        <v>NoHo 1</v>
      </c>
      <c r="J2118" s="1">
        <v>0.0</v>
      </c>
      <c r="K2118" s="1">
        <v>0.0</v>
      </c>
    </row>
    <row r="2119">
      <c r="A2119" s="1">
        <v>1.0</v>
      </c>
      <c r="B2119" s="1">
        <v>4.0</v>
      </c>
      <c r="C2119" s="1">
        <v>1.0</v>
      </c>
      <c r="D2119" s="1">
        <v>4.0</v>
      </c>
      <c r="E2119" s="1">
        <v>0.0</v>
      </c>
      <c r="F2119" s="1">
        <v>0.0</v>
      </c>
      <c r="G2119" s="2">
        <v>1.0</v>
      </c>
      <c r="H2119" s="1" t="s">
        <v>284</v>
      </c>
      <c r="I2119" s="1" t="str">
        <f>IFERROR(__xludf.DUMMYFUNCTION("REGEXREPLACE(MID(H2119, SEARCH(""["", H2119) + 1, SEARCH(""]"", H2119) - SEARCH(""["", H2119) - 1), ""\[\]"","""")"),"NoHo 1")</f>
        <v>NoHo 1</v>
      </c>
      <c r="J2119" s="1">
        <v>4.0</v>
      </c>
      <c r="K2119" s="1">
        <v>0.0</v>
      </c>
    </row>
    <row r="2120">
      <c r="A2120" s="1">
        <v>1.0</v>
      </c>
      <c r="B2120" s="1">
        <v>4.0</v>
      </c>
      <c r="C2120" s="1">
        <v>1.0</v>
      </c>
      <c r="D2120" s="1">
        <v>4.0</v>
      </c>
      <c r="E2120" s="1">
        <v>0.0</v>
      </c>
      <c r="F2120" s="1">
        <v>0.0</v>
      </c>
      <c r="G2120" s="2">
        <v>1.0</v>
      </c>
      <c r="H2120" s="1" t="s">
        <v>284</v>
      </c>
      <c r="I2120" s="1" t="str">
        <f>IFERROR(__xludf.DUMMYFUNCTION("REGEXREPLACE(MID(H2120, SEARCH(""["", H2120) + 1, SEARCH(""]"", H2120) - SEARCH(""["", H2120) - 1), ""\[\]"","""")"),"NoHo 1")</f>
        <v>NoHo 1</v>
      </c>
      <c r="J2120" s="1">
        <v>4.0</v>
      </c>
      <c r="K2120" s="1">
        <v>0.0</v>
      </c>
    </row>
    <row r="2121">
      <c r="A2121" s="1">
        <v>1.0</v>
      </c>
      <c r="B2121" s="1">
        <v>4.0</v>
      </c>
      <c r="C2121" s="1">
        <v>2.0</v>
      </c>
      <c r="D2121" s="1">
        <v>8.0</v>
      </c>
      <c r="E2121" s="1">
        <v>0.0</v>
      </c>
      <c r="F2121" s="1">
        <v>0.0</v>
      </c>
      <c r="G2121" s="2">
        <v>1.0</v>
      </c>
      <c r="H2121" s="1" t="s">
        <v>52</v>
      </c>
      <c r="I2121" s="1" t="str">
        <f>IFERROR(__xludf.DUMMYFUNCTION("REGEXREPLACE(MID(H2121, SEARCH(""["", H2121) + 1, SEARCH(""]"", H2121) - SEARCH(""["", H2121) - 1), ""\[\]"","""")"),"NoHo 1")</f>
        <v>NoHo 1</v>
      </c>
      <c r="J2121" s="1">
        <v>8.0</v>
      </c>
      <c r="K2121" s="1">
        <v>0.0</v>
      </c>
    </row>
    <row r="2122">
      <c r="A2122" s="1">
        <v>3.0</v>
      </c>
      <c r="B2122" s="1">
        <v>12.0</v>
      </c>
      <c r="C2122" s="1">
        <v>7.0</v>
      </c>
      <c r="D2122" s="1">
        <v>6.67</v>
      </c>
      <c r="E2122" s="1">
        <v>0.0</v>
      </c>
      <c r="F2122" s="1">
        <v>0.0</v>
      </c>
      <c r="G2122" s="6">
        <v>0.714</v>
      </c>
      <c r="H2122" s="1" t="s">
        <v>52</v>
      </c>
      <c r="I2122" s="1" t="str">
        <f>IFERROR(__xludf.DUMMYFUNCTION("REGEXREPLACE(MID(H2122, SEARCH(""["", H2122) + 1, SEARCH(""]"", H2122) - SEARCH(""["", H2122) - 1), ""\[\]"","""")"),"NoHo 1")</f>
        <v>NoHo 1</v>
      </c>
      <c r="J2122" s="1">
        <v>20.0</v>
      </c>
      <c r="K2122" s="1">
        <v>0.0</v>
      </c>
    </row>
    <row r="2123">
      <c r="A2123" s="1">
        <v>1.0</v>
      </c>
      <c r="B2123" s="1">
        <v>4.0</v>
      </c>
      <c r="C2123" s="1">
        <v>1.0</v>
      </c>
      <c r="D2123" s="1">
        <v>-4.0</v>
      </c>
      <c r="E2123" s="1">
        <v>1.0</v>
      </c>
      <c r="F2123" s="1">
        <v>0.0</v>
      </c>
      <c r="G2123" s="2">
        <v>0.0</v>
      </c>
      <c r="H2123" s="1" t="s">
        <v>52</v>
      </c>
      <c r="I2123" s="1" t="str">
        <f>IFERROR(__xludf.DUMMYFUNCTION("REGEXREPLACE(MID(H2123, SEARCH(""["", H2123) + 1, SEARCH(""]"", H2123) - SEARCH(""["", H2123) - 1), ""\[\]"","""")"),"NoHo 1")</f>
        <v>NoHo 1</v>
      </c>
      <c r="J2123" s="1">
        <v>-4.0</v>
      </c>
      <c r="K2123" s="1">
        <v>1.0</v>
      </c>
    </row>
    <row r="2124">
      <c r="A2124" s="1">
        <v>1.0</v>
      </c>
      <c r="B2124" s="1">
        <v>4.0</v>
      </c>
      <c r="C2124" s="1">
        <v>0.0</v>
      </c>
      <c r="D2124" s="1">
        <v>0.0</v>
      </c>
      <c r="E2124" s="1">
        <v>0.0</v>
      </c>
      <c r="F2124" s="1">
        <v>0.0</v>
      </c>
      <c r="G2124" s="2">
        <v>0.0</v>
      </c>
      <c r="H2124" s="1" t="s">
        <v>223</v>
      </c>
      <c r="I2124" s="1" t="str">
        <f>IFERROR(__xludf.DUMMYFUNCTION("REGEXREPLACE(MID(H2124, SEARCH(""["", H2124) + 1, SEARCH(""]"", H2124) - SEARCH(""["", H2124) - 1), ""\[\]"","""")"),"NoHo 2")</f>
        <v>NoHo 2</v>
      </c>
      <c r="J2124" s="1">
        <v>0.0</v>
      </c>
      <c r="K2124" s="1">
        <v>0.0</v>
      </c>
    </row>
    <row r="2125">
      <c r="A2125" s="1">
        <v>1.0</v>
      </c>
      <c r="B2125" s="1">
        <v>4.0</v>
      </c>
      <c r="C2125" s="1">
        <v>1.0</v>
      </c>
      <c r="D2125" s="1">
        <v>4.0</v>
      </c>
      <c r="E2125" s="1">
        <v>0.0</v>
      </c>
      <c r="F2125" s="1">
        <v>0.0</v>
      </c>
      <c r="G2125" s="2">
        <v>1.0</v>
      </c>
      <c r="H2125" s="1" t="s">
        <v>223</v>
      </c>
      <c r="I2125" s="1" t="str">
        <f>IFERROR(__xludf.DUMMYFUNCTION("REGEXREPLACE(MID(H2125, SEARCH(""["", H2125) + 1, SEARCH(""]"", H2125) - SEARCH(""["", H2125) - 1), ""\[\]"","""")"),"NoHo 2")</f>
        <v>NoHo 2</v>
      </c>
      <c r="J2125" s="1">
        <v>4.0</v>
      </c>
      <c r="K2125" s="1">
        <v>0.0</v>
      </c>
    </row>
    <row r="2126">
      <c r="A2126" s="1">
        <v>1.0</v>
      </c>
      <c r="B2126" s="1">
        <v>4.0</v>
      </c>
      <c r="C2126" s="1">
        <v>0.0</v>
      </c>
      <c r="D2126" s="1">
        <v>0.0</v>
      </c>
      <c r="E2126" s="1">
        <v>0.0</v>
      </c>
      <c r="F2126" s="1">
        <v>0.0</v>
      </c>
      <c r="G2126" s="2">
        <v>0.0</v>
      </c>
      <c r="H2126" s="1" t="s">
        <v>223</v>
      </c>
      <c r="I2126" s="1" t="str">
        <f>IFERROR(__xludf.DUMMYFUNCTION("REGEXREPLACE(MID(H2126, SEARCH(""["", H2126) + 1, SEARCH(""]"", H2126) - SEARCH(""["", H2126) - 1), ""\[\]"","""")"),"NoHo 2")</f>
        <v>NoHo 2</v>
      </c>
      <c r="J2126" s="1">
        <v>0.0</v>
      </c>
      <c r="K2126" s="1">
        <v>0.0</v>
      </c>
    </row>
    <row r="2127">
      <c r="A2127" s="1">
        <v>1.0</v>
      </c>
      <c r="B2127" s="1">
        <v>4.0</v>
      </c>
      <c r="C2127" s="1">
        <v>1.0</v>
      </c>
      <c r="D2127" s="1">
        <v>0.0</v>
      </c>
      <c r="E2127" s="1">
        <v>0.0</v>
      </c>
      <c r="F2127" s="1">
        <v>0.0</v>
      </c>
      <c r="G2127" s="2">
        <v>0.0</v>
      </c>
      <c r="H2127" s="1" t="s">
        <v>223</v>
      </c>
      <c r="I2127" s="1" t="str">
        <f>IFERROR(__xludf.DUMMYFUNCTION("REGEXREPLACE(MID(H2127, SEARCH(""["", H2127) + 1, SEARCH(""]"", H2127) - SEARCH(""["", H2127) - 1), ""\[\]"","""")"),"NoHo 2")</f>
        <v>NoHo 2</v>
      </c>
      <c r="J2127" s="1">
        <v>0.0</v>
      </c>
      <c r="K2127" s="1">
        <v>0.0</v>
      </c>
    </row>
    <row r="2128">
      <c r="A2128" s="1">
        <v>1.0</v>
      </c>
      <c r="B2128" s="1">
        <v>4.0</v>
      </c>
      <c r="C2128" s="1">
        <v>3.0</v>
      </c>
      <c r="D2128" s="1">
        <v>0.0</v>
      </c>
      <c r="E2128" s="1">
        <v>1.0</v>
      </c>
      <c r="F2128" s="1">
        <v>0.0</v>
      </c>
      <c r="G2128" s="6">
        <v>0.333</v>
      </c>
      <c r="H2128" s="1" t="s">
        <v>207</v>
      </c>
      <c r="I2128" s="1" t="str">
        <f>IFERROR(__xludf.DUMMYFUNCTION("REGEXREPLACE(MID(H2128, SEARCH(""["", H2128) + 1, SEARCH(""]"", H2128) - SEARCH(""["", H2128) - 1), ""\[\]"","""")"),"NoHo 2")</f>
        <v>NoHo 2</v>
      </c>
      <c r="J2128" s="1">
        <v>0.0</v>
      </c>
      <c r="K2128" s="1">
        <v>1.0</v>
      </c>
    </row>
    <row r="2129">
      <c r="A2129" s="1">
        <v>1.0</v>
      </c>
      <c r="B2129" s="1">
        <v>4.0</v>
      </c>
      <c r="C2129" s="1">
        <v>2.0</v>
      </c>
      <c r="D2129" s="1">
        <v>0.0</v>
      </c>
      <c r="E2129" s="1">
        <v>0.0</v>
      </c>
      <c r="F2129" s="1">
        <v>0.0</v>
      </c>
      <c r="G2129" s="2">
        <v>0.0</v>
      </c>
      <c r="H2129" s="1" t="s">
        <v>207</v>
      </c>
      <c r="I2129" s="1" t="str">
        <f>IFERROR(__xludf.DUMMYFUNCTION("REGEXREPLACE(MID(H2129, SEARCH(""["", H2129) + 1, SEARCH(""]"", H2129) - SEARCH(""["", H2129) - 1), ""\[\]"","""")"),"NoHo 2")</f>
        <v>NoHo 2</v>
      </c>
      <c r="J2129" s="1">
        <v>0.0</v>
      </c>
      <c r="K2129" s="1">
        <v>0.0</v>
      </c>
    </row>
    <row r="2130">
      <c r="A2130" s="1">
        <v>1.0</v>
      </c>
      <c r="B2130" s="1">
        <v>4.0</v>
      </c>
      <c r="C2130" s="1">
        <v>2.0</v>
      </c>
      <c r="D2130" s="1">
        <v>4.0</v>
      </c>
      <c r="E2130" s="1">
        <v>0.0</v>
      </c>
      <c r="F2130" s="1">
        <v>0.0</v>
      </c>
      <c r="G2130" s="2">
        <v>0.5</v>
      </c>
      <c r="H2130" s="1" t="s">
        <v>207</v>
      </c>
      <c r="I2130" s="1" t="str">
        <f>IFERROR(__xludf.DUMMYFUNCTION("REGEXREPLACE(MID(H2130, SEARCH(""["", H2130) + 1, SEARCH(""]"", H2130) - SEARCH(""["", H2130) - 1), ""\[\]"","""")"),"NoHo 2")</f>
        <v>NoHo 2</v>
      </c>
      <c r="J2130" s="1">
        <v>4.0</v>
      </c>
      <c r="K2130" s="1">
        <v>0.0</v>
      </c>
    </row>
    <row r="2131">
      <c r="A2131" s="1">
        <v>2.0</v>
      </c>
      <c r="B2131" s="1">
        <v>8.0</v>
      </c>
      <c r="C2131" s="1">
        <v>3.0</v>
      </c>
      <c r="D2131" s="1">
        <v>2.0</v>
      </c>
      <c r="E2131" s="1">
        <v>0.0</v>
      </c>
      <c r="F2131" s="1">
        <v>0.0</v>
      </c>
      <c r="G2131" s="6">
        <v>0.333</v>
      </c>
      <c r="H2131" s="1" t="s">
        <v>207</v>
      </c>
      <c r="I2131" s="1" t="str">
        <f>IFERROR(__xludf.DUMMYFUNCTION("REGEXREPLACE(MID(H2131, SEARCH(""["", H2131) + 1, SEARCH(""]"", H2131) - SEARCH(""["", H2131) - 1), ""\[\]"","""")"),"NoHo 2")</f>
        <v>NoHo 2</v>
      </c>
      <c r="J2131" s="1">
        <v>4.0</v>
      </c>
      <c r="K2131" s="1">
        <v>0.0</v>
      </c>
    </row>
    <row r="2132">
      <c r="A2132" s="1">
        <v>1.0</v>
      </c>
      <c r="B2132" s="1">
        <v>4.0</v>
      </c>
      <c r="C2132" s="1">
        <v>0.0</v>
      </c>
      <c r="D2132" s="1">
        <v>0.0</v>
      </c>
      <c r="E2132" s="1">
        <v>0.0</v>
      </c>
      <c r="F2132" s="1">
        <v>0.0</v>
      </c>
      <c r="G2132" s="2">
        <v>0.0</v>
      </c>
      <c r="H2132" s="1" t="s">
        <v>288</v>
      </c>
      <c r="I2132" s="1" t="str">
        <f>IFERROR(__xludf.DUMMYFUNCTION("REGEXREPLACE(MID(H2132, SEARCH(""["", H2132) + 1, SEARCH(""]"", H2132) - SEARCH(""["", H2132) - 1), ""\[\]"","""")"),"NoHo 2")</f>
        <v>NoHo 2</v>
      </c>
      <c r="J2132" s="1">
        <v>0.0</v>
      </c>
      <c r="K2132" s="1">
        <v>0.0</v>
      </c>
    </row>
    <row r="2133">
      <c r="A2133" s="1">
        <v>1.0</v>
      </c>
      <c r="B2133" s="1">
        <v>4.0</v>
      </c>
      <c r="C2133" s="1">
        <v>1.0</v>
      </c>
      <c r="D2133" s="1">
        <v>4.0</v>
      </c>
      <c r="E2133" s="1">
        <v>0.0</v>
      </c>
      <c r="F2133" s="1">
        <v>0.0</v>
      </c>
      <c r="G2133" s="2">
        <v>1.0</v>
      </c>
      <c r="H2133" s="1" t="s">
        <v>245</v>
      </c>
      <c r="I2133" s="1" t="str">
        <f>IFERROR(__xludf.DUMMYFUNCTION("REGEXREPLACE(MID(H2133, SEARCH(""["", H2133) + 1, SEARCH(""]"", H2133) - SEARCH(""["", H2133) - 1), ""\[\]"","""")"),"NoHo 2")</f>
        <v>NoHo 2</v>
      </c>
      <c r="J2133" s="1">
        <v>4.0</v>
      </c>
      <c r="K2133" s="1">
        <v>0.0</v>
      </c>
    </row>
    <row r="2134">
      <c r="A2134" s="1">
        <v>1.0</v>
      </c>
      <c r="B2134" s="1">
        <v>4.0</v>
      </c>
      <c r="C2134" s="1">
        <v>0.0</v>
      </c>
      <c r="D2134" s="1">
        <v>0.0</v>
      </c>
      <c r="E2134" s="1">
        <v>0.0</v>
      </c>
      <c r="F2134" s="1">
        <v>0.0</v>
      </c>
      <c r="G2134" s="2">
        <v>0.0</v>
      </c>
      <c r="H2134" s="1" t="s">
        <v>245</v>
      </c>
      <c r="I2134" s="1" t="str">
        <f>IFERROR(__xludf.DUMMYFUNCTION("REGEXREPLACE(MID(H2134, SEARCH(""["", H2134) + 1, SEARCH(""]"", H2134) - SEARCH(""["", H2134) - 1), ""\[\]"","""")"),"NoHo 2")</f>
        <v>NoHo 2</v>
      </c>
      <c r="J2134" s="1">
        <v>0.0</v>
      </c>
      <c r="K2134" s="1">
        <v>0.0</v>
      </c>
    </row>
    <row r="2135">
      <c r="A2135" s="1">
        <v>1.0</v>
      </c>
      <c r="B2135" s="1">
        <v>4.0</v>
      </c>
      <c r="C2135" s="1">
        <v>1.0</v>
      </c>
      <c r="D2135" s="1">
        <v>4.0</v>
      </c>
      <c r="E2135" s="1">
        <v>0.0</v>
      </c>
      <c r="F2135" s="1">
        <v>0.0</v>
      </c>
      <c r="G2135" s="2">
        <v>1.0</v>
      </c>
      <c r="H2135" s="1" t="s">
        <v>245</v>
      </c>
      <c r="I2135" s="1" t="str">
        <f>IFERROR(__xludf.DUMMYFUNCTION("REGEXREPLACE(MID(H2135, SEARCH(""["", H2135) + 1, SEARCH(""]"", H2135) - SEARCH(""["", H2135) - 1), ""\[\]"","""")"),"NoHo 2")</f>
        <v>NoHo 2</v>
      </c>
      <c r="J2135" s="1">
        <v>4.0</v>
      </c>
      <c r="K2135" s="1">
        <v>0.0</v>
      </c>
    </row>
    <row r="2136">
      <c r="A2136" s="1">
        <v>1.0</v>
      </c>
      <c r="B2136" s="1">
        <v>4.0</v>
      </c>
      <c r="C2136" s="1">
        <v>0.0</v>
      </c>
      <c r="D2136" s="1">
        <v>0.0</v>
      </c>
      <c r="E2136" s="1">
        <v>0.0</v>
      </c>
      <c r="F2136" s="1">
        <v>0.0</v>
      </c>
      <c r="G2136" s="2">
        <v>0.0</v>
      </c>
      <c r="H2136" s="1" t="s">
        <v>290</v>
      </c>
      <c r="I2136" s="1" t="str">
        <f>IFERROR(__xludf.DUMMYFUNCTION("REGEXREPLACE(MID(H2136, SEARCH(""["", H2136) + 1, SEARCH(""]"", H2136) - SEARCH(""["", H2136) - 1), ""\[\]"","""")"),"The Outliers")</f>
        <v>The Outliers</v>
      </c>
      <c r="J2136" s="1">
        <v>0.0</v>
      </c>
      <c r="K2136" s="1">
        <v>0.0</v>
      </c>
    </row>
    <row r="2137">
      <c r="A2137" s="1">
        <v>4.0</v>
      </c>
      <c r="B2137" s="1">
        <v>16.0</v>
      </c>
      <c r="C2137" s="1">
        <v>1.0</v>
      </c>
      <c r="D2137" s="1">
        <v>1.0</v>
      </c>
      <c r="E2137" s="1">
        <v>0.0</v>
      </c>
      <c r="F2137" s="1">
        <v>0.0</v>
      </c>
      <c r="G2137" s="2">
        <v>1.0</v>
      </c>
      <c r="H2137" s="1" t="s">
        <v>291</v>
      </c>
      <c r="I2137" s="1" t="str">
        <f>IFERROR(__xludf.DUMMYFUNCTION("REGEXREPLACE(MID(H2137, SEARCH(""["", H2137) + 1, SEARCH(""]"", H2137) - SEARCH(""["", H2137) - 1), ""\[\]"","""")"),"OCSA")</f>
        <v>OCSA</v>
      </c>
      <c r="J2137" s="1">
        <v>4.0</v>
      </c>
      <c r="K2137" s="1">
        <v>0.0</v>
      </c>
    </row>
    <row r="2138">
      <c r="A2138" s="1">
        <v>5.0</v>
      </c>
      <c r="B2138" s="1">
        <v>20.0</v>
      </c>
      <c r="C2138" s="1">
        <v>2.0</v>
      </c>
      <c r="D2138" s="1">
        <v>0.8</v>
      </c>
      <c r="E2138" s="1">
        <v>0.0</v>
      </c>
      <c r="F2138" s="1">
        <v>0.0</v>
      </c>
      <c r="G2138" s="2">
        <v>0.5</v>
      </c>
      <c r="H2138" s="1" t="s">
        <v>267</v>
      </c>
      <c r="I2138" s="1" t="str">
        <f>IFERROR(__xludf.DUMMYFUNCTION("REGEXREPLACE(MID(H2138, SEARCH(""["", H2138) + 1, SEARCH(""]"", H2138) - SEARCH(""["", H2138) - 1), ""\[\]"","""")"),"OCSA")</f>
        <v>OCSA</v>
      </c>
      <c r="J2138" s="1">
        <v>4.0</v>
      </c>
      <c r="K2138" s="1">
        <v>0.0</v>
      </c>
    </row>
    <row r="2139">
      <c r="A2139" s="1">
        <v>5.0</v>
      </c>
      <c r="B2139" s="1">
        <v>20.0</v>
      </c>
      <c r="C2139" s="1">
        <v>9.0</v>
      </c>
      <c r="D2139" s="1">
        <v>5.6</v>
      </c>
      <c r="E2139" s="1">
        <v>0.0</v>
      </c>
      <c r="F2139" s="1">
        <v>0.0</v>
      </c>
      <c r="G2139" s="6">
        <v>0.778</v>
      </c>
      <c r="H2139" s="1" t="s">
        <v>98</v>
      </c>
      <c r="I2139" s="1" t="str">
        <f>IFERROR(__xludf.DUMMYFUNCTION("REGEXREPLACE(MID(H2139, SEARCH(""["", H2139) + 1, SEARCH(""]"", H2139) - SEARCH(""["", H2139) - 1), ""\[\]"","""")"),"OCSA")</f>
        <v>OCSA</v>
      </c>
      <c r="J2139" s="1">
        <v>28.0</v>
      </c>
      <c r="K2139" s="1">
        <v>0.0</v>
      </c>
    </row>
    <row r="2140">
      <c r="A2140" s="1">
        <v>1.0</v>
      </c>
      <c r="B2140" s="1">
        <v>4.0</v>
      </c>
      <c r="C2140" s="1">
        <v>2.0</v>
      </c>
      <c r="D2140" s="1">
        <v>0.0</v>
      </c>
      <c r="E2140" s="1">
        <v>1.0</v>
      </c>
      <c r="F2140" s="1">
        <v>0.0</v>
      </c>
      <c r="G2140" s="2">
        <v>0.5</v>
      </c>
      <c r="H2140" s="1" t="s">
        <v>106</v>
      </c>
      <c r="I2140" s="1" t="str">
        <f>IFERROR(__xludf.DUMMYFUNCTION("REGEXREPLACE(MID(H2140, SEARCH(""["", H2140) + 1, SEARCH(""]"", H2140) - SEARCH(""["", H2140) - 1), ""\[\]"","""")"),"Palo Alto")</f>
        <v>Palo Alto</v>
      </c>
      <c r="J2140" s="1">
        <v>0.0</v>
      </c>
      <c r="K2140" s="1">
        <v>1.0</v>
      </c>
    </row>
    <row r="2141">
      <c r="A2141" s="1">
        <v>3.0</v>
      </c>
      <c r="B2141" s="1">
        <v>12.0</v>
      </c>
      <c r="C2141" s="1">
        <v>5.0</v>
      </c>
      <c r="D2141" s="1">
        <v>5.33</v>
      </c>
      <c r="E2141" s="1">
        <v>0.0</v>
      </c>
      <c r="F2141" s="1">
        <v>0.0</v>
      </c>
      <c r="G2141" s="2">
        <v>0.8</v>
      </c>
      <c r="H2141" s="1" t="s">
        <v>106</v>
      </c>
      <c r="I2141" s="1" t="str">
        <f>IFERROR(__xludf.DUMMYFUNCTION("REGEXREPLACE(MID(H2141, SEARCH(""["", H2141) + 1, SEARCH(""]"", H2141) - SEARCH(""["", H2141) - 1), ""\[\]"","""")"),"Palo Alto")</f>
        <v>Palo Alto</v>
      </c>
      <c r="J2141" s="1">
        <v>16.0</v>
      </c>
      <c r="K2141" s="1">
        <v>0.0</v>
      </c>
    </row>
    <row r="2142">
      <c r="A2142" s="1">
        <v>1.0</v>
      </c>
      <c r="B2142" s="1">
        <v>4.0</v>
      </c>
      <c r="C2142" s="1">
        <v>4.0</v>
      </c>
      <c r="D2142" s="1">
        <v>16.0</v>
      </c>
      <c r="E2142" s="1">
        <v>0.0</v>
      </c>
      <c r="F2142" s="1">
        <v>0.0</v>
      </c>
      <c r="G2142" s="2">
        <v>1.0</v>
      </c>
      <c r="H2142" s="1" t="s">
        <v>106</v>
      </c>
      <c r="I2142" s="1" t="str">
        <f>IFERROR(__xludf.DUMMYFUNCTION("REGEXREPLACE(MID(H2142, SEARCH(""["", H2142) + 1, SEARCH(""]"", H2142) - SEARCH(""["", H2142) - 1), ""\[\]"","""")"),"Palo Alto")</f>
        <v>Palo Alto</v>
      </c>
      <c r="J2142" s="1">
        <v>16.0</v>
      </c>
      <c r="K2142" s="1">
        <v>0.0</v>
      </c>
    </row>
    <row r="2143">
      <c r="A2143" s="1">
        <v>2.0</v>
      </c>
      <c r="B2143" s="1">
        <v>8.0</v>
      </c>
      <c r="C2143" s="1">
        <v>1.0</v>
      </c>
      <c r="D2143" s="1">
        <v>2.0</v>
      </c>
      <c r="E2143" s="1">
        <v>0.0</v>
      </c>
      <c r="F2143" s="1">
        <v>0.0</v>
      </c>
      <c r="G2143" s="2">
        <v>1.0</v>
      </c>
      <c r="H2143" s="1" t="s">
        <v>292</v>
      </c>
      <c r="I2143" s="1" t="str">
        <f>IFERROR(__xludf.DUMMYFUNCTION("REGEXREPLACE(MID(H2143, SEARCH(""["", H2143) + 1, SEARCH(""]"", H2143) - SEARCH(""["", H2143) - 1), ""\[\]"","""")"),"Palo Alto")</f>
        <v>Palo Alto</v>
      </c>
      <c r="J2143" s="1">
        <v>4.0</v>
      </c>
      <c r="K2143" s="1">
        <v>0.0</v>
      </c>
    </row>
    <row r="2144">
      <c r="A2144" s="1">
        <v>1.0</v>
      </c>
      <c r="B2144" s="1">
        <v>4.0</v>
      </c>
      <c r="C2144" s="1">
        <v>1.0</v>
      </c>
      <c r="D2144" s="1">
        <v>4.0</v>
      </c>
      <c r="E2144" s="1">
        <v>0.0</v>
      </c>
      <c r="F2144" s="1">
        <v>0.0</v>
      </c>
      <c r="G2144" s="2">
        <v>1.0</v>
      </c>
      <c r="H2144" s="1" t="s">
        <v>269</v>
      </c>
      <c r="I2144" s="1" t="str">
        <f>IFERROR(__xludf.DUMMYFUNCTION("REGEXREPLACE(MID(H2144, SEARCH(""["", H2144) + 1, SEARCH(""]"", H2144) - SEARCH(""["", H2144) - 1), ""\[\]"","""")"),"Palo Alto")</f>
        <v>Palo Alto</v>
      </c>
      <c r="J2144" s="1">
        <v>4.0</v>
      </c>
      <c r="K2144" s="1">
        <v>0.0</v>
      </c>
    </row>
    <row r="2145">
      <c r="A2145" s="1">
        <v>3.0</v>
      </c>
      <c r="B2145" s="1">
        <v>12.0</v>
      </c>
      <c r="C2145" s="1">
        <v>0.0</v>
      </c>
      <c r="D2145" s="1">
        <v>0.0</v>
      </c>
      <c r="E2145" s="1">
        <v>0.0</v>
      </c>
      <c r="F2145" s="1">
        <v>0.0</v>
      </c>
      <c r="G2145" s="2">
        <v>0.0</v>
      </c>
      <c r="H2145" s="1" t="s">
        <v>269</v>
      </c>
      <c r="I2145" s="1" t="str">
        <f>IFERROR(__xludf.DUMMYFUNCTION("REGEXREPLACE(MID(H2145, SEARCH(""["", H2145) + 1, SEARCH(""]"", H2145) - SEARCH(""["", H2145) - 1), ""\[\]"","""")"),"Palo Alto")</f>
        <v>Palo Alto</v>
      </c>
      <c r="J2145" s="1">
        <v>0.0</v>
      </c>
      <c r="K2145" s="1">
        <v>0.0</v>
      </c>
    </row>
    <row r="2146">
      <c r="A2146" s="1">
        <v>1.0</v>
      </c>
      <c r="B2146" s="1">
        <v>4.0</v>
      </c>
      <c r="C2146" s="1">
        <v>0.0</v>
      </c>
      <c r="D2146" s="1">
        <v>0.0</v>
      </c>
      <c r="E2146" s="1">
        <v>0.0</v>
      </c>
      <c r="F2146" s="1">
        <v>0.0</v>
      </c>
      <c r="G2146" s="2">
        <v>0.0</v>
      </c>
      <c r="H2146" s="1" t="s">
        <v>269</v>
      </c>
      <c r="I2146" s="1" t="str">
        <f>IFERROR(__xludf.DUMMYFUNCTION("REGEXREPLACE(MID(H2146, SEARCH(""["", H2146) + 1, SEARCH(""]"", H2146) - SEARCH(""["", H2146) - 1), ""\[\]"","""")"),"Palo Alto")</f>
        <v>Palo Alto</v>
      </c>
      <c r="J2146" s="1">
        <v>0.0</v>
      </c>
      <c r="K2146" s="1">
        <v>0.0</v>
      </c>
    </row>
    <row r="2147">
      <c r="A2147" s="1">
        <v>1.0</v>
      </c>
      <c r="B2147" s="1">
        <v>4.0</v>
      </c>
      <c r="C2147" s="1">
        <v>0.0</v>
      </c>
      <c r="D2147" s="1">
        <v>0.0</v>
      </c>
      <c r="E2147" s="1">
        <v>0.0</v>
      </c>
      <c r="F2147" s="1">
        <v>0.0</v>
      </c>
      <c r="G2147" s="2">
        <v>0.0</v>
      </c>
      <c r="H2147" s="1" t="s">
        <v>293</v>
      </c>
      <c r="I2147" s="1" t="str">
        <f>IFERROR(__xludf.DUMMYFUNCTION("REGEXREPLACE(MID(H2147, SEARCH(""["", H2147) + 1, SEARCH(""]"", H2147) - SEARCH(""["", H2147) - 1), ""\[\]"","""")"),"Palo Alto")</f>
        <v>Palo Alto</v>
      </c>
      <c r="J2147" s="1">
        <v>0.0</v>
      </c>
      <c r="K2147" s="1">
        <v>0.0</v>
      </c>
    </row>
    <row r="2148">
      <c r="A2148" s="1">
        <v>3.0</v>
      </c>
      <c r="B2148" s="1">
        <v>12.0</v>
      </c>
      <c r="C2148" s="1">
        <v>0.0</v>
      </c>
      <c r="D2148" s="1">
        <v>0.0</v>
      </c>
      <c r="E2148" s="1">
        <v>0.0</v>
      </c>
      <c r="F2148" s="1">
        <v>0.0</v>
      </c>
      <c r="G2148" s="2">
        <v>0.0</v>
      </c>
      <c r="H2148" s="1" t="s">
        <v>293</v>
      </c>
      <c r="I2148" s="1" t="str">
        <f>IFERROR(__xludf.DUMMYFUNCTION("REGEXREPLACE(MID(H2148, SEARCH(""["", H2148) + 1, SEARCH(""]"", H2148) - SEARCH(""["", H2148) - 1), ""\[\]"","""")"),"Palo Alto")</f>
        <v>Palo Alto</v>
      </c>
      <c r="J2148" s="1">
        <v>0.0</v>
      </c>
      <c r="K2148" s="1">
        <v>0.0</v>
      </c>
    </row>
    <row r="2149">
      <c r="A2149" s="1">
        <v>1.0</v>
      </c>
      <c r="B2149" s="1">
        <v>4.0</v>
      </c>
      <c r="C2149" s="1">
        <v>0.0</v>
      </c>
      <c r="D2149" s="1">
        <v>0.0</v>
      </c>
      <c r="E2149" s="1">
        <v>0.0</v>
      </c>
      <c r="F2149" s="1">
        <v>0.0</v>
      </c>
      <c r="G2149" s="2">
        <v>0.0</v>
      </c>
      <c r="H2149" s="1" t="s">
        <v>293</v>
      </c>
      <c r="I2149" s="1" t="str">
        <f>IFERROR(__xludf.DUMMYFUNCTION("REGEXREPLACE(MID(H2149, SEARCH(""["", H2149) + 1, SEARCH(""]"", H2149) - SEARCH(""["", H2149) - 1), ""\[\]"","""")"),"Palo Alto")</f>
        <v>Palo Alto</v>
      </c>
      <c r="J2149" s="1">
        <v>0.0</v>
      </c>
      <c r="K2149" s="1">
        <v>0.0</v>
      </c>
    </row>
    <row r="2150">
      <c r="A2150" s="1">
        <v>5.0</v>
      </c>
      <c r="B2150" s="1">
        <v>20.0</v>
      </c>
      <c r="C2150" s="1">
        <v>0.0</v>
      </c>
      <c r="D2150" s="1">
        <v>0.0</v>
      </c>
      <c r="E2150" s="1">
        <v>0.0</v>
      </c>
      <c r="F2150" s="1">
        <v>0.0</v>
      </c>
      <c r="G2150" s="2">
        <v>0.0</v>
      </c>
      <c r="H2150" s="1" t="s">
        <v>285</v>
      </c>
      <c r="I2150" s="1" t="str">
        <f>IFERROR(__xludf.DUMMYFUNCTION("REGEXREPLACE(MID(H2150, SEARCH(""["", H2150) + 1, SEARCH(""]"", H2150) - SEARCH(""["", H2150) - 1), ""\[\]"","""")"),"Phoenix")</f>
        <v>Phoenix</v>
      </c>
      <c r="J2150" s="1">
        <v>0.0</v>
      </c>
      <c r="K2150" s="1">
        <v>0.0</v>
      </c>
    </row>
    <row r="2151">
      <c r="A2151" s="1">
        <v>1.0</v>
      </c>
      <c r="B2151" s="1">
        <v>4.0</v>
      </c>
      <c r="C2151" s="1">
        <v>2.0</v>
      </c>
      <c r="D2151" s="1">
        <v>8.0</v>
      </c>
      <c r="E2151" s="1">
        <v>0.0</v>
      </c>
      <c r="F2151" s="1">
        <v>0.0</v>
      </c>
      <c r="G2151" s="2">
        <v>1.0</v>
      </c>
      <c r="H2151" s="1" t="s">
        <v>246</v>
      </c>
      <c r="I2151" s="1" t="str">
        <f>IFERROR(__xludf.DUMMYFUNCTION("REGEXREPLACE(MID(H2151, SEARCH(""["", H2151) + 1, SEARCH(""]"", H2151) - SEARCH(""["", H2151) - 1), ""\[\]"","""")"),"Phoenix")</f>
        <v>Phoenix</v>
      </c>
      <c r="J2151" s="1">
        <v>8.0</v>
      </c>
      <c r="K2151" s="1">
        <v>0.0</v>
      </c>
    </row>
    <row r="2152">
      <c r="A2152" s="1">
        <v>4.0</v>
      </c>
      <c r="B2152" s="1">
        <v>16.0</v>
      </c>
      <c r="C2152" s="1">
        <v>7.0</v>
      </c>
      <c r="D2152" s="1">
        <v>0.0</v>
      </c>
      <c r="E2152" s="1">
        <v>0.75</v>
      </c>
      <c r="F2152" s="1">
        <v>0.0</v>
      </c>
      <c r="G2152" s="6">
        <v>0.429</v>
      </c>
      <c r="H2152" s="1" t="s">
        <v>295</v>
      </c>
      <c r="I2152" s="1" t="str">
        <f>IFERROR(__xludf.DUMMYFUNCTION("REGEXREPLACE(MID(H2152, SEARCH(""["", H2152) + 1, SEARCH(""]"", H2152) - SEARCH(""["", H2152) - 1), ""\[\]"","""")"),"Phoenix")</f>
        <v>Phoenix</v>
      </c>
      <c r="J2152" s="1">
        <v>0.0</v>
      </c>
      <c r="K2152" s="1">
        <v>3.0</v>
      </c>
    </row>
    <row r="2153">
      <c r="A2153" s="1">
        <v>5.0</v>
      </c>
      <c r="B2153" s="1">
        <v>20.0</v>
      </c>
      <c r="C2153" s="1">
        <v>3.0</v>
      </c>
      <c r="D2153" s="1">
        <v>-0.8</v>
      </c>
      <c r="E2153" s="1">
        <v>0.2</v>
      </c>
      <c r="F2153" s="1">
        <v>0.0</v>
      </c>
      <c r="G2153" s="2">
        <v>0.0</v>
      </c>
      <c r="H2153" s="1" t="s">
        <v>286</v>
      </c>
      <c r="I2153" s="1" t="str">
        <f>IFERROR(__xludf.DUMMYFUNCTION("REGEXREPLACE(MID(H2153, SEARCH(""["", H2153) + 1, SEARCH(""]"", H2153) - SEARCH(""["", H2153) - 1), ""\[\]"","""")"),"Phoenix")</f>
        <v>Phoenix</v>
      </c>
      <c r="J2153" s="1">
        <v>-4.0</v>
      </c>
      <c r="K2153" s="1">
        <v>1.0</v>
      </c>
    </row>
    <row r="2154">
      <c r="A2154" s="1">
        <v>5.0</v>
      </c>
      <c r="B2154" s="1">
        <v>20.0</v>
      </c>
      <c r="C2154" s="1">
        <v>0.0</v>
      </c>
      <c r="D2154" s="1">
        <v>0.0</v>
      </c>
      <c r="E2154" s="1">
        <v>0.0</v>
      </c>
      <c r="F2154" s="1">
        <v>0.0</v>
      </c>
      <c r="G2154" s="2">
        <v>0.0</v>
      </c>
      <c r="H2154" s="1" t="s">
        <v>297</v>
      </c>
      <c r="I2154" s="1" t="str">
        <f>IFERROR(__xludf.DUMMYFUNCTION("REGEXREPLACE(MID(H2154, SEARCH(""["", H2154) + 1, SEARCH(""]"", H2154) - SEARCH(""["", H2154) - 1), ""\[\]"","""")"),"Phoenix")</f>
        <v>Phoenix</v>
      </c>
      <c r="J2154" s="1">
        <v>0.0</v>
      </c>
      <c r="K2154" s="1">
        <v>0.0</v>
      </c>
    </row>
    <row r="2155">
      <c r="A2155" s="1">
        <v>3.0</v>
      </c>
      <c r="B2155" s="1">
        <v>11.0</v>
      </c>
      <c r="C2155" s="1">
        <v>0.0</v>
      </c>
      <c r="D2155" s="1">
        <v>0.0</v>
      </c>
      <c r="E2155" s="1">
        <v>0.0</v>
      </c>
      <c r="F2155" s="1">
        <v>0.0</v>
      </c>
      <c r="G2155" s="2">
        <v>0.0</v>
      </c>
      <c r="H2155" s="1" t="s">
        <v>298</v>
      </c>
      <c r="I2155" s="1" t="str">
        <f>IFERROR(__xludf.DUMMYFUNCTION("REGEXREPLACE(MID(H2155, SEARCH(""["", H2155) + 1, SEARCH(""]"", H2155) - SEARCH(""["", H2155) - 1), ""\[\]"","""")"),"Plano West")</f>
        <v>Plano West</v>
      </c>
      <c r="J2155" s="1">
        <v>0.0</v>
      </c>
      <c r="K2155" s="1">
        <v>0.0</v>
      </c>
    </row>
    <row r="2156">
      <c r="A2156" s="1">
        <v>4.0</v>
      </c>
      <c r="B2156" s="1">
        <v>15.0</v>
      </c>
      <c r="C2156" s="1">
        <v>0.0</v>
      </c>
      <c r="D2156" s="1">
        <v>0.0</v>
      </c>
      <c r="E2156" s="1">
        <v>0.0</v>
      </c>
      <c r="F2156" s="1">
        <v>0.0</v>
      </c>
      <c r="G2156" s="2">
        <v>0.0</v>
      </c>
      <c r="H2156" s="1" t="s">
        <v>296</v>
      </c>
      <c r="I2156" s="1" t="str">
        <f>IFERROR(__xludf.DUMMYFUNCTION("REGEXREPLACE(MID(H2156, SEARCH(""["", H2156) + 1, SEARCH(""]"", H2156) - SEARCH(""["", H2156) - 1), ""\[\]"","""")"),"Plano West")</f>
        <v>Plano West</v>
      </c>
      <c r="J2156" s="1">
        <v>0.0</v>
      </c>
      <c r="K2156" s="1">
        <v>0.0</v>
      </c>
    </row>
    <row r="2157">
      <c r="A2157" s="1">
        <v>4.0</v>
      </c>
      <c r="B2157" s="1">
        <v>15.0</v>
      </c>
      <c r="C2157" s="1">
        <v>12.0</v>
      </c>
      <c r="D2157" s="1">
        <v>7.0</v>
      </c>
      <c r="E2157" s="1">
        <v>0.0</v>
      </c>
      <c r="F2157" s="1">
        <v>0.0</v>
      </c>
      <c r="G2157" s="6">
        <v>0.583</v>
      </c>
      <c r="H2157" s="1" t="s">
        <v>175</v>
      </c>
      <c r="I2157" s="1" t="str">
        <f>IFERROR(__xludf.DUMMYFUNCTION("REGEXREPLACE(MID(H2157, SEARCH(""["", H2157) + 1, SEARCH(""]"", H2157) - SEARCH(""["", H2157) - 1), ""\[\]"","""")"),"Plano West")</f>
        <v>Plano West</v>
      </c>
      <c r="J2157" s="1">
        <v>28.0</v>
      </c>
      <c r="K2157" s="1">
        <v>0.0</v>
      </c>
    </row>
    <row r="2158">
      <c r="A2158" s="1">
        <v>4.0</v>
      </c>
      <c r="B2158" s="1">
        <v>15.0</v>
      </c>
      <c r="C2158" s="1">
        <v>1.0</v>
      </c>
      <c r="D2158" s="1">
        <v>0.0</v>
      </c>
      <c r="E2158" s="1">
        <v>0.0</v>
      </c>
      <c r="F2158" s="1">
        <v>0.0</v>
      </c>
      <c r="G2158" s="2">
        <v>0.0</v>
      </c>
      <c r="H2158" s="1" t="s">
        <v>300</v>
      </c>
      <c r="I2158" s="1" t="str">
        <f>IFERROR(__xludf.DUMMYFUNCTION("REGEXREPLACE(MID(H2158, SEARCH(""["", H2158) + 1, SEARCH(""]"", H2158) - SEARCH(""["", H2158) - 1), ""\[\]"","""")"),"Plano West")</f>
        <v>Plano West</v>
      </c>
      <c r="J2158" s="1">
        <v>0.0</v>
      </c>
      <c r="K2158" s="1">
        <v>0.0</v>
      </c>
    </row>
    <row r="2159">
      <c r="A2159" s="1">
        <v>4.0</v>
      </c>
      <c r="B2159" s="1">
        <v>16.0</v>
      </c>
      <c r="C2159" s="1">
        <v>8.0</v>
      </c>
      <c r="D2159" s="1">
        <v>4.0</v>
      </c>
      <c r="E2159" s="1">
        <v>0.0</v>
      </c>
      <c r="F2159" s="1">
        <v>0.0</v>
      </c>
      <c r="G2159" s="2">
        <v>0.5</v>
      </c>
      <c r="H2159" s="1" t="s">
        <v>271</v>
      </c>
      <c r="I2159" s="1" t="str">
        <f>IFERROR(__xludf.DUMMYFUNCTION("REGEXREPLACE(MID(H2159, SEARCH(""["", H2159) + 1, SEARCH(""]"", H2159) - SEARCH(""["", H2159) - 1), ""\[\]"","""")"),"Princeton HS")</f>
        <v>Princeton HS</v>
      </c>
      <c r="J2159" s="1">
        <v>16.0</v>
      </c>
      <c r="K2159" s="1">
        <v>0.0</v>
      </c>
    </row>
    <row r="2160">
      <c r="A2160" s="1">
        <v>1.0</v>
      </c>
      <c r="B2160" s="1">
        <v>4.0</v>
      </c>
      <c r="C2160" s="1">
        <v>4.0</v>
      </c>
      <c r="D2160" s="1">
        <v>12.0</v>
      </c>
      <c r="E2160" s="1">
        <v>0.0</v>
      </c>
      <c r="F2160" s="1">
        <v>0.0</v>
      </c>
      <c r="G2160" s="2">
        <v>0.75</v>
      </c>
      <c r="H2160" s="1" t="s">
        <v>271</v>
      </c>
      <c r="I2160" s="1" t="str">
        <f>IFERROR(__xludf.DUMMYFUNCTION("REGEXREPLACE(MID(H2160, SEARCH(""["", H2160) + 1, SEARCH(""]"", H2160) - SEARCH(""["", H2160) - 1), ""\[\]"","""")"),"Princeton HS")</f>
        <v>Princeton HS</v>
      </c>
      <c r="J2160" s="1">
        <v>12.0</v>
      </c>
      <c r="K2160" s="1">
        <v>0.0</v>
      </c>
    </row>
    <row r="2161">
      <c r="A2161" s="1">
        <v>4.0</v>
      </c>
      <c r="B2161" s="1">
        <v>16.0</v>
      </c>
      <c r="C2161" s="1">
        <v>0.0</v>
      </c>
      <c r="D2161" s="1">
        <v>0.0</v>
      </c>
      <c r="E2161" s="1">
        <v>0.0</v>
      </c>
      <c r="F2161" s="1">
        <v>0.0</v>
      </c>
      <c r="G2161" s="2">
        <v>0.0</v>
      </c>
      <c r="H2161" s="1" t="s">
        <v>249</v>
      </c>
      <c r="I2161" s="1" t="str">
        <f>IFERROR(__xludf.DUMMYFUNCTION("REGEXREPLACE(MID(H2161, SEARCH(""["", H2161) + 1, SEARCH(""]"", H2161) - SEARCH(""["", H2161) - 1), ""\[\]"","""")"),"Princeton HS")</f>
        <v>Princeton HS</v>
      </c>
      <c r="J2161" s="1">
        <v>0.0</v>
      </c>
      <c r="K2161" s="1">
        <v>0.0</v>
      </c>
    </row>
    <row r="2162">
      <c r="A2162" s="1">
        <v>1.0</v>
      </c>
      <c r="B2162" s="1">
        <v>4.0</v>
      </c>
      <c r="C2162" s="1">
        <v>0.0</v>
      </c>
      <c r="D2162" s="1">
        <v>0.0</v>
      </c>
      <c r="E2162" s="1">
        <v>0.0</v>
      </c>
      <c r="F2162" s="1">
        <v>0.0</v>
      </c>
      <c r="G2162" s="2">
        <v>0.0</v>
      </c>
      <c r="H2162" s="1" t="s">
        <v>249</v>
      </c>
      <c r="I2162" s="1" t="str">
        <f>IFERROR(__xludf.DUMMYFUNCTION("REGEXREPLACE(MID(H2162, SEARCH(""["", H2162) + 1, SEARCH(""]"", H2162) - SEARCH(""["", H2162) - 1), ""\[\]"","""")"),"Princeton HS")</f>
        <v>Princeton HS</v>
      </c>
      <c r="J2162" s="1">
        <v>0.0</v>
      </c>
      <c r="K2162" s="1">
        <v>0.0</v>
      </c>
    </row>
    <row r="2163">
      <c r="A2163" s="1">
        <v>4.0</v>
      </c>
      <c r="B2163" s="1">
        <v>16.0</v>
      </c>
      <c r="C2163" s="1">
        <v>1.0</v>
      </c>
      <c r="D2163" s="1">
        <v>0.0</v>
      </c>
      <c r="E2163" s="1">
        <v>0.0</v>
      </c>
      <c r="F2163" s="1">
        <v>0.0</v>
      </c>
      <c r="G2163" s="2">
        <v>0.0</v>
      </c>
      <c r="H2163" s="1" t="s">
        <v>272</v>
      </c>
      <c r="I2163" s="1" t="str">
        <f>IFERROR(__xludf.DUMMYFUNCTION("REGEXREPLACE(MID(H2163, SEARCH(""["", H2163) + 1, SEARCH(""]"", H2163) - SEARCH(""["", H2163) - 1), ""\[\]"","""")"),"Princeton HS")</f>
        <v>Princeton HS</v>
      </c>
      <c r="J2163" s="1">
        <v>0.0</v>
      </c>
      <c r="K2163" s="1">
        <v>0.0</v>
      </c>
    </row>
    <row r="2164">
      <c r="A2164" s="1">
        <v>1.0</v>
      </c>
      <c r="B2164" s="1">
        <v>4.0</v>
      </c>
      <c r="C2164" s="1">
        <v>0.0</v>
      </c>
      <c r="D2164" s="1">
        <v>0.0</v>
      </c>
      <c r="E2164" s="1">
        <v>0.0</v>
      </c>
      <c r="F2164" s="1">
        <v>0.0</v>
      </c>
      <c r="G2164" s="2">
        <v>0.0</v>
      </c>
      <c r="H2164" s="1" t="s">
        <v>272</v>
      </c>
      <c r="I2164" s="1" t="str">
        <f>IFERROR(__xludf.DUMMYFUNCTION("REGEXREPLACE(MID(H2164, SEARCH(""["", H2164) + 1, SEARCH(""]"", H2164) - SEARCH(""["", H2164) - 1), ""\[\]"","""")"),"Princeton HS")</f>
        <v>Princeton HS</v>
      </c>
      <c r="J2164" s="1">
        <v>0.0</v>
      </c>
      <c r="K2164" s="1">
        <v>0.0</v>
      </c>
    </row>
    <row r="2165">
      <c r="A2165" s="1">
        <v>4.0</v>
      </c>
      <c r="B2165" s="1">
        <v>16.0</v>
      </c>
      <c r="C2165" s="1">
        <v>4.0</v>
      </c>
      <c r="D2165" s="1">
        <v>0.0</v>
      </c>
      <c r="E2165" s="1">
        <v>0.0</v>
      </c>
      <c r="F2165" s="1">
        <v>0.0</v>
      </c>
      <c r="G2165" s="2">
        <v>0.0</v>
      </c>
      <c r="H2165" s="1" t="s">
        <v>138</v>
      </c>
      <c r="I2165" s="1" t="str">
        <f>IFERROR(__xludf.DUMMYFUNCTION("REGEXREPLACE(MID(H2165, SEARCH(""["", H2165) + 1, SEARCH(""]"", H2165) - SEARCH(""["", H2165) - 1), ""\[\]"","""")"),"Research Triangle HS")</f>
        <v>Research Triangle HS</v>
      </c>
      <c r="J2165" s="1">
        <v>0.0</v>
      </c>
      <c r="K2165" s="1">
        <v>0.0</v>
      </c>
    </row>
    <row r="2166">
      <c r="A2166" s="1">
        <v>1.0</v>
      </c>
      <c r="B2166" s="1">
        <v>4.0</v>
      </c>
      <c r="C2166" s="1">
        <v>0.0</v>
      </c>
      <c r="D2166" s="1">
        <v>0.0</v>
      </c>
      <c r="E2166" s="1">
        <v>0.0</v>
      </c>
      <c r="F2166" s="1">
        <v>0.0</v>
      </c>
      <c r="G2166" s="2">
        <v>0.0</v>
      </c>
      <c r="H2166" s="3" t="s">
        <v>138</v>
      </c>
      <c r="I2166" s="1" t="str">
        <f>IFERROR(__xludf.DUMMYFUNCTION("REGEXREPLACE(MID(H2166, SEARCH(""["", H2166) + 1, SEARCH(""]"", H2166) - SEARCH(""["", H2166) - 1), ""\[\]"","""")"),"Research Triangle HS")</f>
        <v>Research Triangle HS</v>
      </c>
      <c r="J2166" s="1">
        <v>0.0</v>
      </c>
      <c r="K2166" s="1">
        <v>0.0</v>
      </c>
    </row>
    <row r="2167">
      <c r="A2167" s="1">
        <v>2.0</v>
      </c>
      <c r="B2167" s="1">
        <v>8.0</v>
      </c>
      <c r="C2167" s="1">
        <v>0.0</v>
      </c>
      <c r="D2167" s="1">
        <v>0.0</v>
      </c>
      <c r="E2167" s="1">
        <v>0.0</v>
      </c>
      <c r="F2167" s="1">
        <v>0.0</v>
      </c>
      <c r="G2167" s="2">
        <v>0.0</v>
      </c>
      <c r="H2167" s="1" t="s">
        <v>303</v>
      </c>
      <c r="I2167" s="1" t="str">
        <f>IFERROR(__xludf.DUMMYFUNCTION("REGEXREPLACE(MID(H2167, SEARCH(""["", H2167) + 1, SEARCH(""]"", H2167) - SEARCH(""["", H2167) - 1), ""\[\]"","""")"),"Research Triangle HS")</f>
        <v>Research Triangle HS</v>
      </c>
      <c r="J2167" s="1">
        <v>0.0</v>
      </c>
      <c r="K2167" s="1">
        <v>0.0</v>
      </c>
    </row>
    <row r="2168">
      <c r="A2168" s="1">
        <v>4.0</v>
      </c>
      <c r="B2168" s="1">
        <v>16.0</v>
      </c>
      <c r="C2168" s="1">
        <v>8.0</v>
      </c>
      <c r="D2168" s="1">
        <v>4.0</v>
      </c>
      <c r="E2168" s="1">
        <v>0.25</v>
      </c>
      <c r="F2168" s="1">
        <v>0.0</v>
      </c>
      <c r="G2168" s="6">
        <v>0.625</v>
      </c>
      <c r="H2168" s="1" t="s">
        <v>304</v>
      </c>
      <c r="I2168" s="1" t="str">
        <f>IFERROR(__xludf.DUMMYFUNCTION("REGEXREPLACE(MID(H2168, SEARCH(""["", H2168) + 1, SEARCH(""]"", H2168) - SEARCH(""["", H2168) - 1), ""\[\]"","""")"),"Research Triangle HS")</f>
        <v>Research Triangle HS</v>
      </c>
      <c r="J2168" s="1">
        <v>16.0</v>
      </c>
      <c r="K2168" s="1">
        <v>1.0</v>
      </c>
    </row>
    <row r="2169">
      <c r="A2169" s="1">
        <v>1.0</v>
      </c>
      <c r="B2169" s="1">
        <v>4.0</v>
      </c>
      <c r="C2169" s="1">
        <v>0.0</v>
      </c>
      <c r="D2169" s="1">
        <v>0.0</v>
      </c>
      <c r="E2169" s="1">
        <v>0.0</v>
      </c>
      <c r="F2169" s="1">
        <v>0.0</v>
      </c>
      <c r="G2169" s="2">
        <v>0.0</v>
      </c>
      <c r="H2169" s="1" t="s">
        <v>305</v>
      </c>
      <c r="I2169" s="1" t="str">
        <f>IFERROR(__xludf.DUMMYFUNCTION("REGEXREPLACE(MID(H2169, SEARCH(""["", H2169) + 1, SEARCH(""]"", H2169) - SEARCH(""["", H2169) - 1), ""\[\]"","""")"),"Research Triangle HS")</f>
        <v>Research Triangle HS</v>
      </c>
      <c r="J2169" s="1">
        <v>0.0</v>
      </c>
      <c r="K2169" s="1">
        <v>0.0</v>
      </c>
    </row>
    <row r="2170">
      <c r="A2170" s="1">
        <v>1.0</v>
      </c>
      <c r="B2170" s="1">
        <v>4.0</v>
      </c>
      <c r="C2170" s="1">
        <v>0.0</v>
      </c>
      <c r="D2170" s="1">
        <v>0.0</v>
      </c>
      <c r="E2170" s="1">
        <v>0.0</v>
      </c>
      <c r="F2170" s="1">
        <v>0.0</v>
      </c>
      <c r="G2170" s="2">
        <v>0.0</v>
      </c>
      <c r="H2170" s="1" t="s">
        <v>306</v>
      </c>
      <c r="I2170" s="1" t="str">
        <f>IFERROR(__xludf.DUMMYFUNCTION("REGEXREPLACE(MID(H2170, SEARCH(""["", H2170) + 1, SEARCH(""]"", H2170) - SEARCH(""["", H2170) - 1), ""\[\]"","""")"),"SciTech Dragons")</f>
        <v>SciTech Dragons</v>
      </c>
      <c r="J2170" s="1">
        <v>0.0</v>
      </c>
      <c r="K2170" s="1">
        <v>0.0</v>
      </c>
    </row>
    <row r="2171">
      <c r="A2171" s="1">
        <v>1.0</v>
      </c>
      <c r="B2171" s="1">
        <v>4.0</v>
      </c>
      <c r="C2171" s="1">
        <v>1.0</v>
      </c>
      <c r="D2171" s="1">
        <v>0.0</v>
      </c>
      <c r="E2171" s="1">
        <v>0.0</v>
      </c>
      <c r="F2171" s="1">
        <v>0.0</v>
      </c>
      <c r="G2171" s="2">
        <v>0.0</v>
      </c>
      <c r="H2171" s="1" t="s">
        <v>306</v>
      </c>
      <c r="I2171" s="1" t="str">
        <f>IFERROR(__xludf.DUMMYFUNCTION("REGEXREPLACE(MID(H2171, SEARCH(""["", H2171) + 1, SEARCH(""]"", H2171) - SEARCH(""["", H2171) - 1), ""\[\]"","""")"),"SciTech Dragons")</f>
        <v>SciTech Dragons</v>
      </c>
      <c r="J2171" s="1">
        <v>0.0</v>
      </c>
      <c r="K2171" s="1">
        <v>0.0</v>
      </c>
    </row>
    <row r="2172">
      <c r="A2172" s="1">
        <v>1.0</v>
      </c>
      <c r="B2172" s="1">
        <v>3.0</v>
      </c>
      <c r="C2172" s="1">
        <v>0.0</v>
      </c>
      <c r="D2172" s="1">
        <v>0.0</v>
      </c>
      <c r="E2172" s="1">
        <v>0.0</v>
      </c>
      <c r="F2172" s="1">
        <v>0.0</v>
      </c>
      <c r="G2172" s="2">
        <v>0.0</v>
      </c>
      <c r="H2172" s="1" t="s">
        <v>306</v>
      </c>
      <c r="I2172" s="1" t="str">
        <f>IFERROR(__xludf.DUMMYFUNCTION("REGEXREPLACE(MID(H2172, SEARCH(""["", H2172) + 1, SEARCH(""]"", H2172) - SEARCH(""["", H2172) - 1), ""\[\]"","""")"),"SciTech Dragons")</f>
        <v>SciTech Dragons</v>
      </c>
      <c r="J2172" s="1">
        <v>0.0</v>
      </c>
      <c r="K2172" s="1">
        <v>0.0</v>
      </c>
    </row>
    <row r="2173">
      <c r="A2173" s="1">
        <v>1.0</v>
      </c>
      <c r="B2173" s="1">
        <v>4.0</v>
      </c>
      <c r="C2173" s="1">
        <v>0.0</v>
      </c>
      <c r="D2173" s="1">
        <v>0.0</v>
      </c>
      <c r="E2173" s="1">
        <v>0.0</v>
      </c>
      <c r="F2173" s="1">
        <v>0.0</v>
      </c>
      <c r="G2173" s="2">
        <v>0.0</v>
      </c>
      <c r="H2173" s="1" t="s">
        <v>306</v>
      </c>
      <c r="I2173" s="1" t="str">
        <f>IFERROR(__xludf.DUMMYFUNCTION("REGEXREPLACE(MID(H2173, SEARCH(""["", H2173) + 1, SEARCH(""]"", H2173) - SEARCH(""["", H2173) - 1), ""\[\]"","""")"),"SciTech Dragons")</f>
        <v>SciTech Dragons</v>
      </c>
      <c r="J2173" s="1">
        <v>0.0</v>
      </c>
      <c r="K2173" s="1">
        <v>0.0</v>
      </c>
    </row>
    <row r="2174">
      <c r="A2174" s="1">
        <v>1.0</v>
      </c>
      <c r="B2174" s="1">
        <v>4.0</v>
      </c>
      <c r="C2174" s="1">
        <v>0.0</v>
      </c>
      <c r="D2174" s="1">
        <v>0.0</v>
      </c>
      <c r="E2174" s="1">
        <v>0.0</v>
      </c>
      <c r="F2174" s="1">
        <v>0.0</v>
      </c>
      <c r="G2174" s="2">
        <v>0.0</v>
      </c>
      <c r="H2174" s="1" t="s">
        <v>141</v>
      </c>
      <c r="I2174" s="1" t="str">
        <f>IFERROR(__xludf.DUMMYFUNCTION("REGEXREPLACE(MID(H2174, SEARCH(""["", H2174) + 1, SEARCH(""]"", H2174) - SEARCH(""["", H2174) - 1), ""\[\]"","""")"),"SciTech Dragons")</f>
        <v>SciTech Dragons</v>
      </c>
      <c r="J2174" s="1">
        <v>0.0</v>
      </c>
      <c r="K2174" s="1">
        <v>0.0</v>
      </c>
    </row>
    <row r="2175">
      <c r="A2175" s="1">
        <v>1.0</v>
      </c>
      <c r="B2175" s="1">
        <v>4.0</v>
      </c>
      <c r="C2175" s="1">
        <v>0.0</v>
      </c>
      <c r="D2175" s="1">
        <v>0.0</v>
      </c>
      <c r="E2175" s="1">
        <v>0.0</v>
      </c>
      <c r="F2175" s="1">
        <v>0.0</v>
      </c>
      <c r="G2175" s="2">
        <v>0.0</v>
      </c>
      <c r="H2175" s="1" t="s">
        <v>141</v>
      </c>
      <c r="I2175" s="1" t="str">
        <f>IFERROR(__xludf.DUMMYFUNCTION("REGEXREPLACE(MID(H2175, SEARCH(""["", H2175) + 1, SEARCH(""]"", H2175) - SEARCH(""["", H2175) - 1), ""\[\]"","""")"),"SciTech Dragons")</f>
        <v>SciTech Dragons</v>
      </c>
      <c r="J2175" s="1">
        <v>0.0</v>
      </c>
      <c r="K2175" s="1">
        <v>0.0</v>
      </c>
    </row>
    <row r="2176">
      <c r="A2176" s="1">
        <v>1.0</v>
      </c>
      <c r="B2176" s="1">
        <v>3.0</v>
      </c>
      <c r="C2176" s="1">
        <v>0.0</v>
      </c>
      <c r="D2176" s="1">
        <v>0.0</v>
      </c>
      <c r="E2176" s="1">
        <v>0.0</v>
      </c>
      <c r="F2176" s="1">
        <v>0.0</v>
      </c>
      <c r="G2176" s="2">
        <v>0.0</v>
      </c>
      <c r="H2176" s="1" t="s">
        <v>141</v>
      </c>
      <c r="I2176" s="1" t="str">
        <f>IFERROR(__xludf.DUMMYFUNCTION("REGEXREPLACE(MID(H2176, SEARCH(""["", H2176) + 1, SEARCH(""]"", H2176) - SEARCH(""["", H2176) - 1), ""\[\]"","""")"),"SciTech Dragons")</f>
        <v>SciTech Dragons</v>
      </c>
      <c r="J2176" s="1">
        <v>0.0</v>
      </c>
      <c r="K2176" s="1">
        <v>0.0</v>
      </c>
    </row>
    <row r="2177">
      <c r="A2177" s="1">
        <v>1.0</v>
      </c>
      <c r="B2177" s="1">
        <v>4.0</v>
      </c>
      <c r="C2177" s="1">
        <v>4.0</v>
      </c>
      <c r="D2177" s="1">
        <v>12.0</v>
      </c>
      <c r="E2177" s="1">
        <v>0.0</v>
      </c>
      <c r="F2177" s="1">
        <v>0.0</v>
      </c>
      <c r="G2177" s="2">
        <v>0.75</v>
      </c>
      <c r="H2177" s="1" t="s">
        <v>141</v>
      </c>
      <c r="I2177" s="1" t="str">
        <f>IFERROR(__xludf.DUMMYFUNCTION("REGEXREPLACE(MID(H2177, SEARCH(""["", H2177) + 1, SEARCH(""]"", H2177) - SEARCH(""["", H2177) - 1), ""\[\]"","""")"),"SciTech Dragons")</f>
        <v>SciTech Dragons</v>
      </c>
      <c r="J2177" s="1">
        <v>12.0</v>
      </c>
      <c r="K2177" s="1">
        <v>0.0</v>
      </c>
    </row>
    <row r="2178">
      <c r="A2178" s="1">
        <v>1.0</v>
      </c>
      <c r="B2178" s="1">
        <v>4.0</v>
      </c>
      <c r="C2178" s="1">
        <v>0.0</v>
      </c>
      <c r="D2178" s="1">
        <v>0.0</v>
      </c>
      <c r="E2178" s="1">
        <v>0.0</v>
      </c>
      <c r="F2178" s="1">
        <v>0.0</v>
      </c>
      <c r="G2178" s="2">
        <v>0.0</v>
      </c>
      <c r="H2178" s="1" t="s">
        <v>308</v>
      </c>
      <c r="I2178" s="1" t="str">
        <f>IFERROR(__xludf.DUMMYFUNCTION("REGEXREPLACE(MID(H2178, SEARCH(""["", H2178) + 1, SEARCH(""]"", H2178) - SEARCH(""["", H2178) - 1), ""\[\]"","""")"),"SciTech Dragons")</f>
        <v>SciTech Dragons</v>
      </c>
      <c r="J2178" s="1">
        <v>0.0</v>
      </c>
      <c r="K2178" s="1">
        <v>0.0</v>
      </c>
    </row>
    <row r="2179">
      <c r="A2179" s="1">
        <v>1.0</v>
      </c>
      <c r="B2179" s="1">
        <v>4.0</v>
      </c>
      <c r="C2179" s="1">
        <v>0.0</v>
      </c>
      <c r="D2179" s="1">
        <v>0.0</v>
      </c>
      <c r="E2179" s="1">
        <v>0.0</v>
      </c>
      <c r="F2179" s="1">
        <v>0.0</v>
      </c>
      <c r="G2179" s="2">
        <v>0.0</v>
      </c>
      <c r="H2179" s="1" t="s">
        <v>308</v>
      </c>
      <c r="I2179" s="1" t="str">
        <f>IFERROR(__xludf.DUMMYFUNCTION("REGEXREPLACE(MID(H2179, SEARCH(""["", H2179) + 1, SEARCH(""]"", H2179) - SEARCH(""["", H2179) - 1), ""\[\]"","""")"),"SciTech Dragons")</f>
        <v>SciTech Dragons</v>
      </c>
      <c r="J2179" s="1">
        <v>0.0</v>
      </c>
      <c r="K2179" s="1">
        <v>0.0</v>
      </c>
    </row>
    <row r="2180">
      <c r="A2180" s="1">
        <v>1.0</v>
      </c>
      <c r="B2180" s="1">
        <v>3.0</v>
      </c>
      <c r="C2180" s="1">
        <v>0.0</v>
      </c>
      <c r="D2180" s="1">
        <v>0.0</v>
      </c>
      <c r="E2180" s="1">
        <v>0.0</v>
      </c>
      <c r="F2180" s="1">
        <v>0.0</v>
      </c>
      <c r="G2180" s="2">
        <v>0.0</v>
      </c>
      <c r="H2180" s="1" t="s">
        <v>308</v>
      </c>
      <c r="I2180" s="1" t="str">
        <f>IFERROR(__xludf.DUMMYFUNCTION("REGEXREPLACE(MID(H2180, SEARCH(""["", H2180) + 1, SEARCH(""]"", H2180) - SEARCH(""["", H2180) - 1), ""\[\]"","""")"),"SciTech Dragons")</f>
        <v>SciTech Dragons</v>
      </c>
      <c r="J2180" s="1">
        <v>0.0</v>
      </c>
      <c r="K2180" s="1">
        <v>0.0</v>
      </c>
    </row>
    <row r="2181">
      <c r="A2181" s="1">
        <v>1.0</v>
      </c>
      <c r="B2181" s="1">
        <v>4.0</v>
      </c>
      <c r="C2181" s="1">
        <v>0.0</v>
      </c>
      <c r="D2181" s="1">
        <v>0.0</v>
      </c>
      <c r="E2181" s="1">
        <v>0.0</v>
      </c>
      <c r="F2181" s="1">
        <v>0.0</v>
      </c>
      <c r="G2181" s="2">
        <v>0.0</v>
      </c>
      <c r="H2181" s="1" t="s">
        <v>309</v>
      </c>
      <c r="I2181" s="1" t="str">
        <f>IFERROR(__xludf.DUMMYFUNCTION("REGEXREPLACE(MID(H2181, SEARCH(""["", H2181) + 1, SEARCH(""]"", H2181) - SEARCH(""["", H2181) - 1), ""\[\]"","""")"),"SciTech Dragons")</f>
        <v>SciTech Dragons</v>
      </c>
      <c r="J2181" s="1">
        <v>0.0</v>
      </c>
      <c r="K2181" s="1">
        <v>0.0</v>
      </c>
    </row>
    <row r="2182">
      <c r="A2182" s="1">
        <v>1.0</v>
      </c>
      <c r="B2182" s="1">
        <v>3.0</v>
      </c>
      <c r="C2182" s="1">
        <v>1.0</v>
      </c>
      <c r="D2182" s="1">
        <v>0.0</v>
      </c>
      <c r="E2182" s="1">
        <v>0.0</v>
      </c>
      <c r="F2182" s="1">
        <v>0.0</v>
      </c>
      <c r="G2182" s="2">
        <v>0.0</v>
      </c>
      <c r="H2182" s="1" t="s">
        <v>309</v>
      </c>
      <c r="I2182" s="1" t="str">
        <f>IFERROR(__xludf.DUMMYFUNCTION("REGEXREPLACE(MID(H2182, SEARCH(""["", H2182) + 1, SEARCH(""]"", H2182) - SEARCH(""["", H2182) - 1), ""\[\]"","""")"),"SciTech Dragons")</f>
        <v>SciTech Dragons</v>
      </c>
      <c r="J2182" s="1">
        <v>0.0</v>
      </c>
      <c r="K2182" s="1">
        <v>0.0</v>
      </c>
    </row>
    <row r="2183">
      <c r="A2183" s="1">
        <v>1.0</v>
      </c>
      <c r="B2183" s="1">
        <v>4.0</v>
      </c>
      <c r="C2183" s="1">
        <v>1.0</v>
      </c>
      <c r="D2183" s="1">
        <v>0.0</v>
      </c>
      <c r="E2183" s="1">
        <v>0.0</v>
      </c>
      <c r="F2183" s="1">
        <v>0.0</v>
      </c>
      <c r="G2183" s="2">
        <v>0.0</v>
      </c>
      <c r="H2183" s="1" t="s">
        <v>310</v>
      </c>
      <c r="I2183" s="1" t="str">
        <f>IFERROR(__xludf.DUMMYFUNCTION("REGEXREPLACE(MID(H2183, SEARCH(""["", H2183) + 1, SEARCH(""]"", H2183) - SEARCH(""["", H2183) - 1), ""\[\]"","""")"),"SciTech Dragons")</f>
        <v>SciTech Dragons</v>
      </c>
      <c r="J2183" s="1">
        <v>0.0</v>
      </c>
      <c r="K2183" s="1">
        <v>0.0</v>
      </c>
    </row>
    <row r="2184">
      <c r="A2184" s="1">
        <v>1.0</v>
      </c>
      <c r="B2184" s="1">
        <v>3.0</v>
      </c>
      <c r="C2184" s="1">
        <v>1.0</v>
      </c>
      <c r="D2184" s="1">
        <v>4.0</v>
      </c>
      <c r="E2184" s="1">
        <v>0.0</v>
      </c>
      <c r="F2184" s="1">
        <v>0.0</v>
      </c>
      <c r="G2184" s="2">
        <v>1.0</v>
      </c>
      <c r="H2184" s="1" t="s">
        <v>310</v>
      </c>
      <c r="I2184" s="1" t="str">
        <f>IFERROR(__xludf.DUMMYFUNCTION("REGEXREPLACE(MID(H2184, SEARCH(""["", H2184) + 1, SEARCH(""]"", H2184) - SEARCH(""["", H2184) - 1), ""\[\]"","""")"),"SciTech Dragons")</f>
        <v>SciTech Dragons</v>
      </c>
      <c r="J2184" s="1">
        <v>4.0</v>
      </c>
      <c r="K2184" s="1">
        <v>0.0</v>
      </c>
    </row>
    <row r="2185">
      <c r="A2185" s="1">
        <v>1.0</v>
      </c>
      <c r="B2185" s="1">
        <v>4.0</v>
      </c>
      <c r="C2185" s="1">
        <v>2.0</v>
      </c>
      <c r="D2185" s="1">
        <v>8.0</v>
      </c>
      <c r="E2185" s="1">
        <v>0.0</v>
      </c>
      <c r="F2185" s="1">
        <v>0.0</v>
      </c>
      <c r="G2185" s="2">
        <v>1.0</v>
      </c>
      <c r="H2185" s="1" t="s">
        <v>252</v>
      </c>
      <c r="I2185" s="1" t="str">
        <f>IFERROR(__xludf.DUMMYFUNCTION("REGEXREPLACE(MID(H2185, SEARCH(""["", H2185) + 1, SEARCH(""]"", H2185) - SEARCH(""["", H2185) - 1), ""\[\]"","""")"),"Seven Lakes")</f>
        <v>Seven Lakes</v>
      </c>
      <c r="J2185" s="1">
        <v>8.0</v>
      </c>
      <c r="K2185" s="1">
        <v>0.0</v>
      </c>
    </row>
    <row r="2186">
      <c r="A2186" s="1">
        <v>2.0</v>
      </c>
      <c r="B2186" s="1">
        <v>7.0</v>
      </c>
      <c r="C2186" s="1">
        <v>4.0</v>
      </c>
      <c r="D2186" s="1">
        <v>4.0</v>
      </c>
      <c r="E2186" s="1">
        <v>0.0</v>
      </c>
      <c r="F2186" s="1">
        <v>0.0</v>
      </c>
      <c r="G2186" s="2">
        <v>0.5</v>
      </c>
      <c r="H2186" s="1" t="s">
        <v>252</v>
      </c>
      <c r="I2186" s="1" t="str">
        <f>IFERROR(__xludf.DUMMYFUNCTION("REGEXREPLACE(MID(H2186, SEARCH(""["", H2186) + 1, SEARCH(""]"", H2186) - SEARCH(""["", H2186) - 1), ""\[\]"","""")"),"Seven Lakes")</f>
        <v>Seven Lakes</v>
      </c>
      <c r="J2186" s="1">
        <v>8.0</v>
      </c>
      <c r="K2186" s="1">
        <v>0.0</v>
      </c>
    </row>
    <row r="2187">
      <c r="A2187" s="1">
        <v>3.0</v>
      </c>
      <c r="B2187" s="1">
        <v>11.0</v>
      </c>
      <c r="C2187" s="1">
        <v>0.0</v>
      </c>
      <c r="D2187" s="1">
        <v>0.0</v>
      </c>
      <c r="E2187" s="1">
        <v>0.0</v>
      </c>
      <c r="F2187" s="1">
        <v>0.0</v>
      </c>
      <c r="G2187" s="2">
        <v>0.0</v>
      </c>
      <c r="H2187" s="1" t="s">
        <v>274</v>
      </c>
      <c r="I2187" s="1" t="str">
        <f>IFERROR(__xludf.DUMMYFUNCTION("REGEXREPLACE(MID(H2187, SEARCH(""["", H2187) + 1, SEARCH(""]"", H2187) - SEARCH(""["", H2187) - 1), ""\[\]"","""")"),"Seven Lakes")</f>
        <v>Seven Lakes</v>
      </c>
      <c r="J2187" s="1">
        <v>0.0</v>
      </c>
      <c r="K2187" s="1">
        <v>0.0</v>
      </c>
    </row>
    <row r="2188">
      <c r="A2188" s="1">
        <v>2.0</v>
      </c>
      <c r="B2188" s="1">
        <v>8.0</v>
      </c>
      <c r="C2188" s="1">
        <v>0.0</v>
      </c>
      <c r="D2188" s="1">
        <v>0.0</v>
      </c>
      <c r="E2188" s="1">
        <v>0.0</v>
      </c>
      <c r="F2188" s="1">
        <v>0.0</v>
      </c>
      <c r="G2188" s="2">
        <v>0.0</v>
      </c>
      <c r="H2188" s="1" t="s">
        <v>274</v>
      </c>
      <c r="I2188" s="1" t="str">
        <f>IFERROR(__xludf.DUMMYFUNCTION("REGEXREPLACE(MID(H2188, SEARCH(""["", H2188) + 1, SEARCH(""]"", H2188) - SEARCH(""["", H2188) - 1), ""\[\]"","""")"),"Seven Lakes")</f>
        <v>Seven Lakes</v>
      </c>
      <c r="J2188" s="1">
        <v>0.0</v>
      </c>
      <c r="K2188" s="1">
        <v>0.0</v>
      </c>
    </row>
    <row r="2189">
      <c r="A2189" s="1">
        <v>3.0</v>
      </c>
      <c r="B2189" s="1">
        <v>11.0</v>
      </c>
      <c r="C2189" s="1">
        <v>0.0</v>
      </c>
      <c r="D2189" s="1">
        <v>0.0</v>
      </c>
      <c r="E2189" s="1">
        <v>0.0</v>
      </c>
      <c r="F2189" s="1">
        <v>0.0</v>
      </c>
      <c r="G2189" s="2">
        <v>0.0</v>
      </c>
      <c r="H2189" s="1" t="s">
        <v>230</v>
      </c>
      <c r="I2189" s="1" t="str">
        <f>IFERROR(__xludf.DUMMYFUNCTION("REGEXREPLACE(MID(H2189, SEARCH(""["", H2189) + 1, SEARCH(""]"", H2189) - SEARCH(""["", H2189) - 1), ""\[\]"","""")"),"Seven Lakes")</f>
        <v>Seven Lakes</v>
      </c>
      <c r="J2189" s="1">
        <v>0.0</v>
      </c>
      <c r="K2189" s="1">
        <v>0.0</v>
      </c>
    </row>
    <row r="2190">
      <c r="A2190" s="1">
        <v>2.0</v>
      </c>
      <c r="B2190" s="1">
        <v>8.0</v>
      </c>
      <c r="C2190" s="1">
        <v>0.0</v>
      </c>
      <c r="D2190" s="1">
        <v>0.0</v>
      </c>
      <c r="E2190" s="1">
        <v>0.0</v>
      </c>
      <c r="F2190" s="1">
        <v>0.0</v>
      </c>
      <c r="G2190" s="2">
        <v>0.0</v>
      </c>
      <c r="H2190" s="1" t="s">
        <v>230</v>
      </c>
      <c r="I2190" s="1" t="str">
        <f>IFERROR(__xludf.DUMMYFUNCTION("REGEXREPLACE(MID(H2190, SEARCH(""["", H2190) + 1, SEARCH(""]"", H2190) - SEARCH(""["", H2190) - 1), ""\[\]"","""")"),"Seven Lakes")</f>
        <v>Seven Lakes</v>
      </c>
      <c r="J2190" s="1">
        <v>0.0</v>
      </c>
      <c r="K2190" s="1">
        <v>0.0</v>
      </c>
    </row>
    <row r="2191">
      <c r="A2191" s="1">
        <v>1.0</v>
      </c>
      <c r="B2191" s="1">
        <v>3.0</v>
      </c>
      <c r="C2191" s="1">
        <v>0.0</v>
      </c>
      <c r="D2191" s="1">
        <v>0.0</v>
      </c>
      <c r="E2191" s="1">
        <v>0.0</v>
      </c>
      <c r="F2191" s="1">
        <v>0.0</v>
      </c>
      <c r="G2191" s="2">
        <v>0.0</v>
      </c>
      <c r="H2191" s="1" t="s">
        <v>313</v>
      </c>
      <c r="I2191" s="1" t="str">
        <f>IFERROR(__xludf.DUMMYFUNCTION("REGEXREPLACE(MID(H2191, SEARCH(""["", H2191) + 1, SEARCH(""]"", H2191) - SEARCH(""["", H2191) - 1), ""\[\]"","""")"),"Seven Lakes")</f>
        <v>Seven Lakes</v>
      </c>
      <c r="J2191" s="1">
        <v>0.0</v>
      </c>
      <c r="K2191" s="1">
        <v>0.0</v>
      </c>
    </row>
    <row r="2192">
      <c r="A2192" s="1">
        <v>1.0</v>
      </c>
      <c r="B2192" s="1">
        <v>4.0</v>
      </c>
      <c r="C2192" s="1">
        <v>2.0</v>
      </c>
      <c r="D2192" s="1">
        <v>0.0</v>
      </c>
      <c r="E2192" s="1">
        <v>0.0</v>
      </c>
      <c r="F2192" s="1">
        <v>0.0</v>
      </c>
      <c r="G2192" s="2">
        <v>0.0</v>
      </c>
      <c r="H2192" s="1" t="s">
        <v>313</v>
      </c>
      <c r="I2192" s="1" t="str">
        <f>IFERROR(__xludf.DUMMYFUNCTION("REGEXREPLACE(MID(H2192, SEARCH(""["", H2192) + 1, SEARCH(""]"", H2192) - SEARCH(""["", H2192) - 1), ""\[\]"","""")"),"Seven Lakes")</f>
        <v>Seven Lakes</v>
      </c>
      <c r="J2192" s="1">
        <v>0.0</v>
      </c>
      <c r="K2192" s="1">
        <v>0.0</v>
      </c>
    </row>
    <row r="2193">
      <c r="A2193" s="1">
        <v>2.0</v>
      </c>
      <c r="B2193" s="1">
        <v>8.0</v>
      </c>
      <c r="C2193" s="1">
        <v>1.0</v>
      </c>
      <c r="D2193" s="1">
        <v>2.0</v>
      </c>
      <c r="E2193" s="1">
        <v>0.0</v>
      </c>
      <c r="F2193" s="1">
        <v>0.0</v>
      </c>
      <c r="G2193" s="2">
        <v>1.0</v>
      </c>
      <c r="H2193" s="1" t="s">
        <v>314</v>
      </c>
      <c r="I2193" s="1" t="str">
        <f>IFERROR(__xludf.DUMMYFUNCTION("REGEXREPLACE(MID(H2193, SEARCH(""["", H2193) + 1, SEARCH(""]"", H2193) - SEARCH(""["", H2193) - 1), ""\[\]"","""")"),"State College Area")</f>
        <v>State College Area</v>
      </c>
      <c r="J2193" s="1">
        <v>4.0</v>
      </c>
      <c r="K2193" s="1">
        <v>0.0</v>
      </c>
    </row>
    <row r="2194">
      <c r="A2194" s="1">
        <v>1.0</v>
      </c>
      <c r="B2194" s="1">
        <v>4.0</v>
      </c>
      <c r="C2194" s="1">
        <v>0.0</v>
      </c>
      <c r="D2194" s="1">
        <v>0.0</v>
      </c>
      <c r="E2194" s="1">
        <v>0.0</v>
      </c>
      <c r="F2194" s="1">
        <v>0.0</v>
      </c>
      <c r="G2194" s="2">
        <v>0.0</v>
      </c>
      <c r="H2194" s="1" t="s">
        <v>314</v>
      </c>
      <c r="I2194" s="1" t="str">
        <f>IFERROR(__xludf.DUMMYFUNCTION("REGEXREPLACE(MID(H2194, SEARCH(""["", H2194) + 1, SEARCH(""]"", H2194) - SEARCH(""["", H2194) - 1), ""\[\]"","""")"),"State College Area")</f>
        <v>State College Area</v>
      </c>
      <c r="J2194" s="1">
        <v>0.0</v>
      </c>
      <c r="K2194" s="1">
        <v>0.0</v>
      </c>
    </row>
    <row r="2195">
      <c r="A2195" s="1">
        <v>3.0</v>
      </c>
      <c r="B2195" s="1">
        <v>12.0</v>
      </c>
      <c r="C2195" s="1">
        <v>3.0</v>
      </c>
      <c r="D2195" s="1">
        <v>-1.33</v>
      </c>
      <c r="E2195" s="1">
        <v>0.67</v>
      </c>
      <c r="F2195" s="1">
        <v>0.0</v>
      </c>
      <c r="G2195" s="6">
        <v>0.333</v>
      </c>
      <c r="H2195" s="1" t="s">
        <v>315</v>
      </c>
      <c r="I2195" s="1" t="str">
        <f>IFERROR(__xludf.DUMMYFUNCTION("REGEXREPLACE(MID(H2195, SEARCH(""["", H2195) + 1, SEARCH(""]"", H2195) - SEARCH(""["", H2195) - 1), ""\[\]"","""")"),"State College Area")</f>
        <v>State College Area</v>
      </c>
      <c r="J2195" s="1">
        <v>-4.0</v>
      </c>
      <c r="K2195" s="1">
        <v>2.0</v>
      </c>
    </row>
    <row r="2196">
      <c r="A2196" s="1">
        <v>1.0</v>
      </c>
      <c r="B2196" s="1">
        <v>4.0</v>
      </c>
      <c r="C2196" s="1">
        <v>1.0</v>
      </c>
      <c r="D2196" s="1">
        <v>4.0</v>
      </c>
      <c r="E2196" s="1">
        <v>0.0</v>
      </c>
      <c r="F2196" s="1">
        <v>0.0</v>
      </c>
      <c r="G2196" s="2">
        <v>1.0</v>
      </c>
      <c r="H2196" s="1" t="s">
        <v>315</v>
      </c>
      <c r="I2196" s="1" t="str">
        <f>IFERROR(__xludf.DUMMYFUNCTION("REGEXREPLACE(MID(H2196, SEARCH(""["", H2196) + 1, SEARCH(""]"", H2196) - SEARCH(""["", H2196) - 1), ""\[\]"","""")"),"State College Area")</f>
        <v>State College Area</v>
      </c>
      <c r="J2196" s="1">
        <v>4.0</v>
      </c>
      <c r="K2196" s="1">
        <v>0.0</v>
      </c>
    </row>
    <row r="2197">
      <c r="A2197" s="1">
        <v>3.0</v>
      </c>
      <c r="B2197" s="1">
        <v>12.0</v>
      </c>
      <c r="C2197" s="1">
        <v>0.0</v>
      </c>
      <c r="D2197" s="1">
        <v>0.0</v>
      </c>
      <c r="E2197" s="1">
        <v>0.0</v>
      </c>
      <c r="F2197" s="1">
        <v>0.0</v>
      </c>
      <c r="G2197" s="2">
        <v>0.0</v>
      </c>
      <c r="H2197" s="1" t="s">
        <v>316</v>
      </c>
      <c r="I2197" s="1" t="str">
        <f>IFERROR(__xludf.DUMMYFUNCTION("REGEXREPLACE(MID(H2197, SEARCH(""["", H2197) + 1, SEARCH(""]"", H2197) - SEARCH(""["", H2197) - 1), ""\[\]"","""")"),"State College Area")</f>
        <v>State College Area</v>
      </c>
      <c r="J2197" s="1">
        <v>0.0</v>
      </c>
      <c r="K2197" s="1">
        <v>0.0</v>
      </c>
    </row>
    <row r="2198">
      <c r="A2198" s="1">
        <v>1.0</v>
      </c>
      <c r="B2198" s="1">
        <v>4.0</v>
      </c>
      <c r="C2198" s="1">
        <v>0.0</v>
      </c>
      <c r="D2198" s="1">
        <v>0.0</v>
      </c>
      <c r="E2198" s="1">
        <v>0.0</v>
      </c>
      <c r="F2198" s="1">
        <v>0.0</v>
      </c>
      <c r="G2198" s="2">
        <v>0.0</v>
      </c>
      <c r="H2198" s="1" t="s">
        <v>316</v>
      </c>
      <c r="I2198" s="1" t="str">
        <f>IFERROR(__xludf.DUMMYFUNCTION("REGEXREPLACE(MID(H2198, SEARCH(""["", H2198) + 1, SEARCH(""]"", H2198) - SEARCH(""["", H2198) - 1), ""\[\]"","""")"),"State College Area")</f>
        <v>State College Area</v>
      </c>
      <c r="J2198" s="1">
        <v>0.0</v>
      </c>
      <c r="K2198" s="1">
        <v>0.0</v>
      </c>
    </row>
    <row r="2199">
      <c r="A2199" s="1">
        <v>1.0</v>
      </c>
      <c r="B2199" s="1">
        <v>4.0</v>
      </c>
      <c r="C2199" s="1">
        <v>0.0</v>
      </c>
      <c r="D2199" s="1">
        <v>0.0</v>
      </c>
      <c r="E2199" s="1">
        <v>0.0</v>
      </c>
      <c r="F2199" s="1">
        <v>0.0</v>
      </c>
      <c r="G2199" s="2">
        <v>0.0</v>
      </c>
      <c r="H2199" s="1" t="s">
        <v>318</v>
      </c>
      <c r="I2199" s="1" t="str">
        <f>IFERROR(__xludf.DUMMYFUNCTION("REGEXREPLACE(MID(H2199, SEARCH(""["", H2199) + 1, SEARCH(""]"", H2199) - SEARCH(""["", H2199) - 1), ""\[\]"","""")"),"State College Area")</f>
        <v>State College Area</v>
      </c>
      <c r="J2199" s="1">
        <v>0.0</v>
      </c>
      <c r="K2199" s="1">
        <v>0.0</v>
      </c>
    </row>
    <row r="2200">
      <c r="A2200" s="1">
        <v>4.0</v>
      </c>
      <c r="B2200" s="1">
        <v>16.0</v>
      </c>
      <c r="C2200" s="1">
        <v>9.0</v>
      </c>
      <c r="D2200" s="1">
        <v>2.0</v>
      </c>
      <c r="E2200" s="1">
        <v>0.5</v>
      </c>
      <c r="F2200" s="1">
        <v>0.0</v>
      </c>
      <c r="G2200" s="6">
        <v>0.444</v>
      </c>
      <c r="H2200" s="1" t="s">
        <v>254</v>
      </c>
      <c r="I2200" s="1" t="str">
        <f>IFERROR(__xludf.DUMMYFUNCTION("REGEXREPLACE(MID(H2200, SEARCH(""["", H2200) + 1, SEARCH(""]"", H2200) - SEARCH(""["", H2200) - 1), ""\[\]"","""")"),"State College Area")</f>
        <v>State College Area</v>
      </c>
      <c r="J2200" s="1">
        <v>8.0</v>
      </c>
      <c r="K2200" s="1">
        <v>2.0</v>
      </c>
    </row>
    <row r="2201">
      <c r="A2201" s="1">
        <v>1.0</v>
      </c>
      <c r="B2201" s="1">
        <v>4.0</v>
      </c>
      <c r="C2201" s="1">
        <v>3.0</v>
      </c>
      <c r="D2201" s="1">
        <v>4.0</v>
      </c>
      <c r="E2201" s="1">
        <v>1.0</v>
      </c>
      <c r="F2201" s="1">
        <v>0.0</v>
      </c>
      <c r="G2201" s="6">
        <v>0.667</v>
      </c>
      <c r="H2201" s="1" t="s">
        <v>254</v>
      </c>
      <c r="I2201" s="1" t="str">
        <f>IFERROR(__xludf.DUMMYFUNCTION("REGEXREPLACE(MID(H2201, SEARCH(""["", H2201) + 1, SEARCH(""]"", H2201) - SEARCH(""["", H2201) - 1), ""\[\]"","""")"),"State College Area")</f>
        <v>State College Area</v>
      </c>
      <c r="J2201" s="1">
        <v>4.0</v>
      </c>
      <c r="K2201" s="1">
        <v>1.0</v>
      </c>
    </row>
    <row r="2202">
      <c r="A2202" s="1">
        <v>1.0</v>
      </c>
      <c r="B2202" s="1">
        <v>4.0</v>
      </c>
      <c r="C2202" s="1">
        <v>0.0</v>
      </c>
      <c r="D2202" s="1">
        <v>0.0</v>
      </c>
      <c r="E2202" s="1">
        <v>0.0</v>
      </c>
      <c r="F2202" s="1">
        <v>0.0</v>
      </c>
      <c r="G2202" s="2">
        <v>0.0</v>
      </c>
      <c r="H2202" s="1" t="s">
        <v>317</v>
      </c>
      <c r="I2202" s="1" t="str">
        <f>IFERROR(__xludf.DUMMYFUNCTION("REGEXREPLACE(MID(H2202, SEARCH(""["", H2202) + 1, SEARCH(""]"", H2202) - SEARCH(""["", H2202) - 1), ""\[\]"","""")"),"Synthase")</f>
        <v>Synthase</v>
      </c>
      <c r="J2202" s="1">
        <v>0.0</v>
      </c>
      <c r="K2202" s="1">
        <v>0.0</v>
      </c>
    </row>
    <row r="2203">
      <c r="A2203" s="1">
        <v>2.0</v>
      </c>
      <c r="B2203" s="1">
        <v>7.0</v>
      </c>
      <c r="C2203" s="1">
        <v>6.0</v>
      </c>
      <c r="D2203" s="1">
        <v>6.0</v>
      </c>
      <c r="E2203" s="1">
        <v>0.0</v>
      </c>
      <c r="F2203" s="1">
        <v>0.0</v>
      </c>
      <c r="G2203" s="2">
        <v>0.5</v>
      </c>
      <c r="H2203" s="1" t="s">
        <v>317</v>
      </c>
      <c r="I2203" s="1" t="str">
        <f>IFERROR(__xludf.DUMMYFUNCTION("REGEXREPLACE(MID(H2203, SEARCH(""["", H2203) + 1, SEARCH(""]"", H2203) - SEARCH(""["", H2203) - 1), ""\[\]"","""")"),"Synthase")</f>
        <v>Synthase</v>
      </c>
      <c r="J2203" s="1">
        <v>12.0</v>
      </c>
      <c r="K2203" s="1">
        <v>0.0</v>
      </c>
    </row>
    <row r="2204">
      <c r="A2204" s="1">
        <v>2.0</v>
      </c>
      <c r="B2204" s="1">
        <v>9.0</v>
      </c>
      <c r="C2204" s="1">
        <v>0.0</v>
      </c>
      <c r="D2204" s="1">
        <v>0.0</v>
      </c>
      <c r="E2204" s="1">
        <v>0.0</v>
      </c>
      <c r="F2204" s="1">
        <v>0.0</v>
      </c>
      <c r="G2204" s="2">
        <v>0.0</v>
      </c>
      <c r="H2204" s="1" t="s">
        <v>133</v>
      </c>
      <c r="I2204" s="1" t="str">
        <f>IFERROR(__xludf.DUMMYFUNCTION("REGEXREPLACE(MID(H2204, SEARCH(""["", H2204) + 1, SEARCH(""]"", H2204) - SEARCH(""["", H2204) - 1), ""\[\]"","""")"),"Synthase")</f>
        <v>Synthase</v>
      </c>
      <c r="J2204" s="1">
        <v>0.0</v>
      </c>
      <c r="K2204" s="1">
        <v>0.0</v>
      </c>
    </row>
    <row r="2205">
      <c r="A2205" s="1">
        <v>1.0</v>
      </c>
      <c r="B2205" s="1">
        <v>3.0</v>
      </c>
      <c r="C2205" s="1">
        <v>0.0</v>
      </c>
      <c r="D2205" s="1">
        <v>0.0</v>
      </c>
      <c r="E2205" s="1">
        <v>0.0</v>
      </c>
      <c r="F2205" s="1">
        <v>0.0</v>
      </c>
      <c r="G2205" s="2">
        <v>0.0</v>
      </c>
      <c r="H2205" s="1" t="s">
        <v>133</v>
      </c>
      <c r="I2205" s="1" t="str">
        <f>IFERROR(__xludf.DUMMYFUNCTION("REGEXREPLACE(MID(H2205, SEARCH(""["", H2205) + 1, SEARCH(""]"", H2205) - SEARCH(""["", H2205) - 1), ""\[\]"","""")"),"Synthase")</f>
        <v>Synthase</v>
      </c>
      <c r="J2205" s="1">
        <v>0.0</v>
      </c>
      <c r="K2205" s="1">
        <v>0.0</v>
      </c>
    </row>
    <row r="2206">
      <c r="A2206" s="1">
        <v>1.0</v>
      </c>
      <c r="B2206" s="1">
        <v>4.0</v>
      </c>
      <c r="C2206" s="1">
        <v>0.0</v>
      </c>
      <c r="D2206" s="1">
        <v>0.0</v>
      </c>
      <c r="E2206" s="1">
        <v>0.0</v>
      </c>
      <c r="F2206" s="1">
        <v>0.0</v>
      </c>
      <c r="G2206" s="2">
        <v>0.0</v>
      </c>
      <c r="H2206" s="1" t="s">
        <v>319</v>
      </c>
      <c r="I2206" s="1" t="str">
        <f>IFERROR(__xludf.DUMMYFUNCTION("REGEXREPLACE(MID(H2206, SEARCH(""["", H2206) + 1, SEARCH(""]"", H2206) - SEARCH(""["", H2206) - 1), ""\[\]"","""")"),"Synthase")</f>
        <v>Synthase</v>
      </c>
      <c r="J2206" s="1">
        <v>0.0</v>
      </c>
      <c r="K2206" s="1">
        <v>0.0</v>
      </c>
    </row>
    <row r="2207">
      <c r="A2207" s="1">
        <v>5.0</v>
      </c>
      <c r="B2207" s="1">
        <v>20.0</v>
      </c>
      <c r="C2207" s="1">
        <v>4.0</v>
      </c>
      <c r="D2207" s="1">
        <v>1.6</v>
      </c>
      <c r="E2207" s="1">
        <v>0.0</v>
      </c>
      <c r="F2207" s="1">
        <v>0.0</v>
      </c>
      <c r="G2207" s="2">
        <v>0.5</v>
      </c>
      <c r="H2207" s="1" t="s">
        <v>129</v>
      </c>
      <c r="I2207" s="1" t="str">
        <f>IFERROR(__xludf.DUMMYFUNCTION("REGEXREPLACE(MID(H2207, SEARCH(""["", H2207) + 1, SEARCH(""]"", H2207) - SEARCH(""["", H2207) - 1), ""\[\]"","""")"),"Synthase")</f>
        <v>Synthase</v>
      </c>
      <c r="J2207" s="1">
        <v>8.0</v>
      </c>
      <c r="K2207" s="1">
        <v>0.0</v>
      </c>
    </row>
    <row r="2208">
      <c r="A2208" s="1">
        <v>2.0</v>
      </c>
      <c r="B2208" s="1">
        <v>8.0</v>
      </c>
      <c r="C2208" s="1">
        <v>2.0</v>
      </c>
      <c r="D2208" s="1">
        <v>0.0</v>
      </c>
      <c r="E2208" s="1">
        <v>0.0</v>
      </c>
      <c r="F2208" s="1">
        <v>0.0</v>
      </c>
      <c r="G2208" s="2">
        <v>0.0</v>
      </c>
      <c r="H2208" s="1" t="s">
        <v>320</v>
      </c>
      <c r="I2208" s="1" t="str">
        <f>IFERROR(__xludf.DUMMYFUNCTION("REGEXREPLACE(MID(H2208, SEARCH(""["", H2208) + 1, SEARCH(""]"", H2208) - SEARCH(""["", H2208) - 1), ""\[\]"","""")"),"The Catalysts")</f>
        <v>The Catalysts</v>
      </c>
      <c r="J2208" s="1">
        <v>0.0</v>
      </c>
      <c r="K2208" s="1">
        <v>0.0</v>
      </c>
    </row>
    <row r="2209">
      <c r="A2209" s="1">
        <v>1.0</v>
      </c>
      <c r="B2209" s="1">
        <v>4.0</v>
      </c>
      <c r="C2209" s="1">
        <v>0.0</v>
      </c>
      <c r="D2209" s="1">
        <v>0.0</v>
      </c>
      <c r="E2209" s="1">
        <v>0.0</v>
      </c>
      <c r="F2209" s="1">
        <v>0.0</v>
      </c>
      <c r="G2209" s="2">
        <v>0.0</v>
      </c>
      <c r="H2209" s="1" t="s">
        <v>320</v>
      </c>
      <c r="I2209" s="1" t="str">
        <f>IFERROR(__xludf.DUMMYFUNCTION("REGEXREPLACE(MID(H2209, SEARCH(""["", H2209) + 1, SEARCH(""]"", H2209) - SEARCH(""["", H2209) - 1), ""\[\]"","""")"),"The Catalysts")</f>
        <v>The Catalysts</v>
      </c>
      <c r="J2209" s="1">
        <v>0.0</v>
      </c>
      <c r="K2209" s="1">
        <v>0.0</v>
      </c>
    </row>
    <row r="2210">
      <c r="A2210" s="1">
        <v>2.0</v>
      </c>
      <c r="B2210" s="1">
        <v>8.0</v>
      </c>
      <c r="C2210" s="1">
        <v>3.0</v>
      </c>
      <c r="D2210" s="1">
        <v>0.0</v>
      </c>
      <c r="E2210" s="1">
        <v>0.0</v>
      </c>
      <c r="F2210" s="1">
        <v>0.0</v>
      </c>
      <c r="G2210" s="2">
        <v>0.0</v>
      </c>
      <c r="H2210" s="1" t="s">
        <v>320</v>
      </c>
      <c r="I2210" s="1" t="str">
        <f>IFERROR(__xludf.DUMMYFUNCTION("REGEXREPLACE(MID(H2210, SEARCH(""["", H2210) + 1, SEARCH(""]"", H2210) - SEARCH(""["", H2210) - 1), ""\[\]"","""")"),"The Catalysts")</f>
        <v>The Catalysts</v>
      </c>
      <c r="J2210" s="1">
        <v>0.0</v>
      </c>
      <c r="K2210" s="1">
        <v>0.0</v>
      </c>
    </row>
    <row r="2211">
      <c r="A2211" s="1">
        <v>2.0</v>
      </c>
      <c r="B2211" s="1">
        <v>8.0</v>
      </c>
      <c r="C2211" s="1">
        <v>0.0</v>
      </c>
      <c r="D2211" s="1">
        <v>0.0</v>
      </c>
      <c r="E2211" s="1">
        <v>0.0</v>
      </c>
      <c r="F2211" s="1">
        <v>0.0</v>
      </c>
      <c r="G2211" s="2">
        <v>0.0</v>
      </c>
      <c r="H2211" s="1" t="s">
        <v>287</v>
      </c>
      <c r="I2211" s="1" t="str">
        <f>IFERROR(__xludf.DUMMYFUNCTION("REGEXREPLACE(MID(H2211, SEARCH(""["", H2211) + 1, SEARCH(""]"", H2211) - SEARCH(""["", H2211) - 1), ""\[\]"","""")"),"The Catalysts")</f>
        <v>The Catalysts</v>
      </c>
      <c r="J2211" s="1">
        <v>0.0</v>
      </c>
      <c r="K2211" s="1">
        <v>0.0</v>
      </c>
    </row>
    <row r="2212">
      <c r="A2212" s="1">
        <v>1.0</v>
      </c>
      <c r="B2212" s="1">
        <v>4.0</v>
      </c>
      <c r="C2212" s="1">
        <v>0.0</v>
      </c>
      <c r="D2212" s="1">
        <v>0.0</v>
      </c>
      <c r="E2212" s="1">
        <v>0.0</v>
      </c>
      <c r="F2212" s="1">
        <v>0.0</v>
      </c>
      <c r="G2212" s="2">
        <v>0.0</v>
      </c>
      <c r="H2212" s="1" t="s">
        <v>287</v>
      </c>
      <c r="I2212" s="1" t="str">
        <f>IFERROR(__xludf.DUMMYFUNCTION("REGEXREPLACE(MID(H2212, SEARCH(""["", H2212) + 1, SEARCH(""]"", H2212) - SEARCH(""["", H2212) - 1), ""\[\]"","""")"),"The Catalysts")</f>
        <v>The Catalysts</v>
      </c>
      <c r="J2212" s="1">
        <v>0.0</v>
      </c>
      <c r="K2212" s="1">
        <v>0.0</v>
      </c>
    </row>
    <row r="2213">
      <c r="A2213" s="1">
        <v>2.0</v>
      </c>
      <c r="B2213" s="1">
        <v>8.0</v>
      </c>
      <c r="C2213" s="1">
        <v>0.0</v>
      </c>
      <c r="D2213" s="1">
        <v>0.0</v>
      </c>
      <c r="E2213" s="1">
        <v>0.0</v>
      </c>
      <c r="F2213" s="1">
        <v>0.0</v>
      </c>
      <c r="G2213" s="2">
        <v>0.0</v>
      </c>
      <c r="H2213" s="1" t="s">
        <v>287</v>
      </c>
      <c r="I2213" s="1" t="str">
        <f>IFERROR(__xludf.DUMMYFUNCTION("REGEXREPLACE(MID(H2213, SEARCH(""["", H2213) + 1, SEARCH(""]"", H2213) - SEARCH(""["", H2213) - 1), ""\[\]"","""")"),"The Catalysts")</f>
        <v>The Catalysts</v>
      </c>
      <c r="J2213" s="1">
        <v>0.0</v>
      </c>
      <c r="K2213" s="1">
        <v>0.0</v>
      </c>
    </row>
    <row r="2214">
      <c r="A2214" s="1">
        <v>2.0</v>
      </c>
      <c r="B2214" s="1">
        <v>8.0</v>
      </c>
      <c r="C2214" s="1">
        <v>0.0</v>
      </c>
      <c r="D2214" s="1">
        <v>0.0</v>
      </c>
      <c r="E2214" s="1">
        <v>0.0</v>
      </c>
      <c r="F2214" s="1">
        <v>0.0</v>
      </c>
      <c r="G2214" s="2">
        <v>0.0</v>
      </c>
      <c r="H2214" s="1" t="s">
        <v>289</v>
      </c>
      <c r="I2214" s="1" t="str">
        <f>IFERROR(__xludf.DUMMYFUNCTION("REGEXREPLACE(MID(H2214, SEARCH(""["", H2214) + 1, SEARCH(""]"", H2214) - SEARCH(""["", H2214) - 1), ""\[\]"","""")"),"The Catalysts")</f>
        <v>The Catalysts</v>
      </c>
      <c r="J2214" s="1">
        <v>0.0</v>
      </c>
      <c r="K2214" s="1">
        <v>0.0</v>
      </c>
    </row>
    <row r="2215">
      <c r="A2215" s="1">
        <v>1.0</v>
      </c>
      <c r="B2215" s="1">
        <v>4.0</v>
      </c>
      <c r="C2215" s="1">
        <v>0.0</v>
      </c>
      <c r="D2215" s="1">
        <v>0.0</v>
      </c>
      <c r="E2215" s="1">
        <v>0.0</v>
      </c>
      <c r="F2215" s="1">
        <v>0.0</v>
      </c>
      <c r="G2215" s="2">
        <v>0.0</v>
      </c>
      <c r="H2215" s="1" t="s">
        <v>289</v>
      </c>
      <c r="I2215" s="1" t="str">
        <f>IFERROR(__xludf.DUMMYFUNCTION("REGEXREPLACE(MID(H2215, SEARCH(""["", H2215) + 1, SEARCH(""]"", H2215) - SEARCH(""["", H2215) - 1), ""\[\]"","""")"),"The Catalysts")</f>
        <v>The Catalysts</v>
      </c>
      <c r="J2215" s="1">
        <v>0.0</v>
      </c>
      <c r="K2215" s="1">
        <v>0.0</v>
      </c>
    </row>
    <row r="2216">
      <c r="A2216" s="1">
        <v>2.0</v>
      </c>
      <c r="B2216" s="1">
        <v>8.0</v>
      </c>
      <c r="C2216" s="1">
        <v>0.0</v>
      </c>
      <c r="D2216" s="1">
        <v>0.0</v>
      </c>
      <c r="E2216" s="1">
        <v>0.0</v>
      </c>
      <c r="F2216" s="1">
        <v>0.0</v>
      </c>
      <c r="G2216" s="2">
        <v>0.0</v>
      </c>
      <c r="H2216" s="1" t="s">
        <v>289</v>
      </c>
      <c r="I2216" s="1" t="str">
        <f>IFERROR(__xludf.DUMMYFUNCTION("REGEXREPLACE(MID(H2216, SEARCH(""["", H2216) + 1, SEARCH(""]"", H2216) - SEARCH(""["", H2216) - 1), ""\[\]"","""")"),"The Catalysts")</f>
        <v>The Catalysts</v>
      </c>
      <c r="J2216" s="1">
        <v>0.0</v>
      </c>
      <c r="K2216" s="1">
        <v>0.0</v>
      </c>
    </row>
    <row r="2217">
      <c r="A2217" s="1">
        <v>2.0</v>
      </c>
      <c r="B2217" s="1">
        <v>8.0</v>
      </c>
      <c r="C2217" s="1">
        <v>0.0</v>
      </c>
      <c r="D2217" s="1">
        <v>0.0</v>
      </c>
      <c r="E2217" s="1">
        <v>0.0</v>
      </c>
      <c r="F2217" s="1">
        <v>0.0</v>
      </c>
      <c r="G2217" s="2">
        <v>0.0</v>
      </c>
      <c r="H2217" s="1" t="s">
        <v>321</v>
      </c>
      <c r="I2217" s="1" t="str">
        <f>IFERROR(__xludf.DUMMYFUNCTION("REGEXREPLACE(MID(H2217, SEARCH(""["", H2217) + 1, SEARCH(""]"", H2217) - SEARCH(""["", H2217) - 1), ""\[\]"","""")"),"The Catalysts")</f>
        <v>The Catalysts</v>
      </c>
      <c r="J2217" s="1">
        <v>0.0</v>
      </c>
      <c r="K2217" s="1">
        <v>0.0</v>
      </c>
    </row>
    <row r="2218">
      <c r="A2218" s="1">
        <v>1.0</v>
      </c>
      <c r="B2218" s="1">
        <v>4.0</v>
      </c>
      <c r="C2218" s="1">
        <v>0.0</v>
      </c>
      <c r="D2218" s="1">
        <v>0.0</v>
      </c>
      <c r="E2218" s="1">
        <v>0.0</v>
      </c>
      <c r="F2218" s="1">
        <v>0.0</v>
      </c>
      <c r="G2218" s="2">
        <v>0.0</v>
      </c>
      <c r="H2218" s="1" t="s">
        <v>321</v>
      </c>
      <c r="I2218" s="1" t="str">
        <f>IFERROR(__xludf.DUMMYFUNCTION("REGEXREPLACE(MID(H2218, SEARCH(""["", H2218) + 1, SEARCH(""]"", H2218) - SEARCH(""["", H2218) - 1), ""\[\]"","""")"),"The Catalysts")</f>
        <v>The Catalysts</v>
      </c>
      <c r="J2218" s="1">
        <v>0.0</v>
      </c>
      <c r="K2218" s="1">
        <v>0.0</v>
      </c>
    </row>
    <row r="2219">
      <c r="A2219" s="1">
        <v>1.0</v>
      </c>
      <c r="B2219" s="1">
        <v>4.0</v>
      </c>
      <c r="C2219" s="1">
        <v>0.0</v>
      </c>
      <c r="D2219" s="1">
        <v>0.0</v>
      </c>
      <c r="E2219" s="1">
        <v>0.0</v>
      </c>
      <c r="F2219" s="1">
        <v>0.0</v>
      </c>
      <c r="G2219" s="2">
        <v>0.0</v>
      </c>
      <c r="H2219" s="1" t="s">
        <v>321</v>
      </c>
      <c r="I2219" s="1" t="str">
        <f>IFERROR(__xludf.DUMMYFUNCTION("REGEXREPLACE(MID(H2219, SEARCH(""["", H2219) + 1, SEARCH(""]"", H2219) - SEARCH(""["", H2219) - 1), ""\[\]"","""")"),"The Catalysts")</f>
        <v>The Catalysts</v>
      </c>
      <c r="J2219" s="1">
        <v>0.0</v>
      </c>
      <c r="K2219" s="1">
        <v>0.0</v>
      </c>
    </row>
    <row r="2220">
      <c r="A2220" s="1">
        <v>2.0</v>
      </c>
      <c r="B2220" s="1">
        <v>8.0</v>
      </c>
      <c r="C2220" s="1">
        <v>2.0</v>
      </c>
      <c r="D2220" s="1">
        <v>0.0</v>
      </c>
      <c r="E2220" s="1">
        <v>0.0</v>
      </c>
      <c r="F2220" s="1">
        <v>0.0</v>
      </c>
      <c r="G2220" s="2">
        <v>0.0</v>
      </c>
      <c r="H2220" s="1" t="s">
        <v>323</v>
      </c>
      <c r="I2220" s="1" t="str">
        <f>IFERROR(__xludf.DUMMYFUNCTION("REGEXREPLACE(MID(H2220, SEARCH(""["", H2220) + 1, SEARCH(""]"", H2220) - SEARCH(""["", H2220) - 1), ""\[\]"","""")"),"The Catalysts")</f>
        <v>The Catalysts</v>
      </c>
      <c r="J2220" s="1">
        <v>0.0</v>
      </c>
      <c r="K2220" s="1">
        <v>0.0</v>
      </c>
    </row>
    <row r="2221">
      <c r="A2221" s="1">
        <v>1.0</v>
      </c>
      <c r="B2221" s="1">
        <v>4.0</v>
      </c>
      <c r="C2221" s="1">
        <v>1.0</v>
      </c>
      <c r="D2221" s="1">
        <v>0.0</v>
      </c>
      <c r="E2221" s="1">
        <v>0.0</v>
      </c>
      <c r="F2221" s="1">
        <v>0.0</v>
      </c>
      <c r="G2221" s="2">
        <v>0.0</v>
      </c>
      <c r="H2221" s="1" t="s">
        <v>323</v>
      </c>
      <c r="I2221" s="1" t="str">
        <f>IFERROR(__xludf.DUMMYFUNCTION("REGEXREPLACE(MID(H2221, SEARCH(""["", H2221) + 1, SEARCH(""]"", H2221) - SEARCH(""["", H2221) - 1), ""\[\]"","""")"),"The Catalysts")</f>
        <v>The Catalysts</v>
      </c>
      <c r="J2221" s="1">
        <v>0.0</v>
      </c>
      <c r="K2221" s="1">
        <v>0.0</v>
      </c>
    </row>
    <row r="2222">
      <c r="A2222" s="1">
        <v>2.0</v>
      </c>
      <c r="B2222" s="1">
        <v>8.0</v>
      </c>
      <c r="C2222" s="1">
        <v>5.0</v>
      </c>
      <c r="D2222" s="1">
        <v>2.0</v>
      </c>
      <c r="E2222" s="1">
        <v>0.0</v>
      </c>
      <c r="F2222" s="1">
        <v>0.0</v>
      </c>
      <c r="G2222" s="2">
        <v>0.2</v>
      </c>
      <c r="H2222" s="1" t="s">
        <v>323</v>
      </c>
      <c r="I2222" s="1" t="str">
        <f>IFERROR(__xludf.DUMMYFUNCTION("REGEXREPLACE(MID(H2222, SEARCH(""["", H2222) + 1, SEARCH(""]"", H2222) - SEARCH(""["", H2222) - 1), ""\[\]"","""")"),"The Catalysts")</f>
        <v>The Catalysts</v>
      </c>
      <c r="J2222" s="1">
        <v>4.0</v>
      </c>
      <c r="K2222" s="1">
        <v>0.0</v>
      </c>
    </row>
    <row r="2223">
      <c r="A2223" s="1">
        <v>1.0</v>
      </c>
      <c r="B2223" s="1">
        <v>4.0</v>
      </c>
      <c r="C2223" s="1">
        <v>1.0</v>
      </c>
      <c r="D2223" s="1">
        <v>4.0</v>
      </c>
      <c r="E2223" s="1">
        <v>0.0</v>
      </c>
      <c r="F2223" s="1">
        <v>0.0</v>
      </c>
      <c r="G2223" s="2">
        <v>1.0</v>
      </c>
      <c r="H2223" s="1" t="s">
        <v>278</v>
      </c>
      <c r="I2223" s="1" t="str">
        <f>IFERROR(__xludf.DUMMYFUNCTION("REGEXREPLACE(MID(H2223, SEARCH(""["", H2223) + 1, SEARCH(""]"", H2223) - SEARCH(""["", H2223) - 1), ""\[\]"","""")"),"The Outliers")</f>
        <v>The Outliers</v>
      </c>
      <c r="J2223" s="1">
        <v>4.0</v>
      </c>
      <c r="K2223" s="1">
        <v>0.0</v>
      </c>
    </row>
    <row r="2224">
      <c r="A2224" s="1">
        <v>3.0</v>
      </c>
      <c r="B2224" s="1">
        <v>12.0</v>
      </c>
      <c r="C2224" s="1">
        <v>5.0</v>
      </c>
      <c r="D2224" s="1">
        <v>2.67</v>
      </c>
      <c r="E2224" s="1">
        <v>0.33</v>
      </c>
      <c r="F2224" s="1">
        <v>0.0</v>
      </c>
      <c r="G2224" s="2">
        <v>0.6</v>
      </c>
      <c r="H2224" s="1" t="s">
        <v>278</v>
      </c>
      <c r="I2224" s="1" t="str">
        <f>IFERROR(__xludf.DUMMYFUNCTION("REGEXREPLACE(MID(H2224, SEARCH(""["", H2224) + 1, SEARCH(""]"", H2224) - SEARCH(""["", H2224) - 1), ""\[\]"","""")"),"The Outliers")</f>
        <v>The Outliers</v>
      </c>
      <c r="J2224" s="1">
        <v>8.0</v>
      </c>
      <c r="K2224" s="1">
        <v>1.0</v>
      </c>
    </row>
    <row r="2225">
      <c r="A2225" s="1">
        <v>1.0</v>
      </c>
      <c r="B2225" s="1">
        <v>4.0</v>
      </c>
      <c r="C2225" s="1">
        <v>0.0</v>
      </c>
      <c r="D2225" s="1">
        <v>0.0</v>
      </c>
      <c r="E2225" s="1">
        <v>0.0</v>
      </c>
      <c r="F2225" s="1">
        <v>0.0</v>
      </c>
      <c r="G2225" s="2">
        <v>0.0</v>
      </c>
      <c r="H2225" s="1" t="s">
        <v>325</v>
      </c>
      <c r="I2225" s="1" t="str">
        <f>IFERROR(__xludf.DUMMYFUNCTION("REGEXREPLACE(MID(H2225, SEARCH(""["", H2225) + 1, SEARCH(""]"", H2225) - SEARCH(""["", H2225) - 1), ""\[\]"","""")"),"The Outliers")</f>
        <v>The Outliers</v>
      </c>
      <c r="J2225" s="1">
        <v>0.0</v>
      </c>
      <c r="K2225" s="1">
        <v>0.0</v>
      </c>
    </row>
    <row r="2226">
      <c r="A2226" s="1">
        <v>4.0</v>
      </c>
      <c r="B2226" s="1">
        <v>16.0</v>
      </c>
      <c r="C2226" s="1">
        <v>1.0</v>
      </c>
      <c r="D2226" s="1">
        <v>0.0</v>
      </c>
      <c r="E2226" s="1">
        <v>0.0</v>
      </c>
      <c r="F2226" s="1">
        <v>0.0</v>
      </c>
      <c r="G2226" s="2">
        <v>0.0</v>
      </c>
      <c r="H2226" s="1" t="s">
        <v>325</v>
      </c>
      <c r="I2226" s="1" t="str">
        <f>IFERROR(__xludf.DUMMYFUNCTION("REGEXREPLACE(MID(H2226, SEARCH(""["", H2226) + 1, SEARCH(""]"", H2226) - SEARCH(""["", H2226) - 1), ""\[\]"","""")"),"The Outliers")</f>
        <v>The Outliers</v>
      </c>
      <c r="J2226" s="1">
        <v>0.0</v>
      </c>
      <c r="K2226" s="1">
        <v>0.0</v>
      </c>
    </row>
    <row r="2227">
      <c r="A2227" s="1">
        <v>1.0</v>
      </c>
      <c r="B2227" s="1">
        <v>4.0</v>
      </c>
      <c r="C2227" s="1">
        <v>1.0</v>
      </c>
      <c r="D2227" s="1">
        <v>-4.0</v>
      </c>
      <c r="E2227" s="1">
        <v>1.0</v>
      </c>
      <c r="F2227" s="1">
        <v>0.0</v>
      </c>
      <c r="G2227" s="2">
        <v>0.0</v>
      </c>
      <c r="H2227" s="1" t="s">
        <v>326</v>
      </c>
      <c r="I2227" s="1" t="str">
        <f>IFERROR(__xludf.DUMMYFUNCTION("REGEXREPLACE(MID(H2227, SEARCH(""["", H2227) + 1, SEARCH(""]"", H2227) - SEARCH(""["", H2227) - 1), ""\[\]"","""")"),"The Outliers")</f>
        <v>The Outliers</v>
      </c>
      <c r="J2227" s="1">
        <v>-4.0</v>
      </c>
      <c r="K2227" s="1">
        <v>1.0</v>
      </c>
    </row>
    <row r="2228">
      <c r="A2228" s="1">
        <v>2.0</v>
      </c>
      <c r="B2228" s="1">
        <v>8.0</v>
      </c>
      <c r="C2228" s="1">
        <v>0.0</v>
      </c>
      <c r="D2228" s="1">
        <v>0.0</v>
      </c>
      <c r="E2228" s="1">
        <v>0.0</v>
      </c>
      <c r="F2228" s="1">
        <v>0.0</v>
      </c>
      <c r="G2228" s="2">
        <v>0.0</v>
      </c>
      <c r="H2228" s="1" t="s">
        <v>326</v>
      </c>
      <c r="I2228" s="1" t="str">
        <f>IFERROR(__xludf.DUMMYFUNCTION("REGEXREPLACE(MID(H2228, SEARCH(""["", H2228) + 1, SEARCH(""]"", H2228) - SEARCH(""["", H2228) - 1), ""\[\]"","""")"),"The Outliers")</f>
        <v>The Outliers</v>
      </c>
      <c r="J2228" s="1">
        <v>0.0</v>
      </c>
      <c r="K2228" s="1">
        <v>0.0</v>
      </c>
    </row>
    <row r="2229">
      <c r="A2229" s="1">
        <v>1.0</v>
      </c>
      <c r="B2229" s="1">
        <v>4.0</v>
      </c>
      <c r="C2229" s="1">
        <v>0.0</v>
      </c>
      <c r="D2229" s="1">
        <v>0.0</v>
      </c>
      <c r="E2229" s="1">
        <v>0.0</v>
      </c>
      <c r="F2229" s="1">
        <v>0.0</v>
      </c>
      <c r="G2229" s="2">
        <v>0.0</v>
      </c>
      <c r="H2229" s="1" t="s">
        <v>311</v>
      </c>
      <c r="I2229" s="1" t="str">
        <f>IFERROR(__xludf.DUMMYFUNCTION("REGEXREPLACE(MID(H2229, SEARCH(""["", H2229) + 1, SEARCH(""]"", H2229) - SEARCH(""["", H2229) - 1), ""\[\]"","""")"),"The Outliers")</f>
        <v>The Outliers</v>
      </c>
      <c r="J2229" s="1">
        <v>0.0</v>
      </c>
      <c r="K2229" s="1">
        <v>0.0</v>
      </c>
    </row>
    <row r="2230">
      <c r="A2230" s="1">
        <v>4.0</v>
      </c>
      <c r="B2230" s="1">
        <v>16.0</v>
      </c>
      <c r="C2230" s="1">
        <v>1.0</v>
      </c>
      <c r="D2230" s="1">
        <v>0.0</v>
      </c>
      <c r="E2230" s="1">
        <v>0.0</v>
      </c>
      <c r="F2230" s="1">
        <v>0.0</v>
      </c>
      <c r="G2230" s="2">
        <v>0.0</v>
      </c>
      <c r="H2230" s="1" t="s">
        <v>311</v>
      </c>
      <c r="I2230" s="1" t="str">
        <f>IFERROR(__xludf.DUMMYFUNCTION("REGEXREPLACE(MID(H2230, SEARCH(""["", H2230) + 1, SEARCH(""]"", H2230) - SEARCH(""["", H2230) - 1), ""\[\]"","""")"),"The Outliers")</f>
        <v>The Outliers</v>
      </c>
      <c r="J2230" s="1">
        <v>0.0</v>
      </c>
      <c r="K2230" s="1">
        <v>0.0</v>
      </c>
    </row>
    <row r="2231">
      <c r="A2231" s="1">
        <v>1.0</v>
      </c>
      <c r="B2231" s="1">
        <v>4.0</v>
      </c>
      <c r="C2231" s="1">
        <v>0.0</v>
      </c>
      <c r="D2231" s="1">
        <v>0.0</v>
      </c>
      <c r="E2231" s="1">
        <v>0.0</v>
      </c>
      <c r="F2231" s="1">
        <v>0.0</v>
      </c>
      <c r="G2231" s="2">
        <v>0.0</v>
      </c>
      <c r="H2231" s="1" t="s">
        <v>322</v>
      </c>
      <c r="I2231" s="1" t="str">
        <f>IFERROR(__xludf.DUMMYFUNCTION("REGEXREPLACE(MID(H2231, SEARCH(""["", H2231) + 1, SEARCH(""]"", H2231) - SEARCH(""["", H2231) - 1), ""\[\]"","""")"),"The Outliers")</f>
        <v>The Outliers</v>
      </c>
      <c r="J2231" s="1">
        <v>0.0</v>
      </c>
      <c r="K2231" s="1">
        <v>0.0</v>
      </c>
    </row>
    <row r="2232">
      <c r="A2232" s="1">
        <v>3.0</v>
      </c>
      <c r="B2232" s="1">
        <v>12.0</v>
      </c>
      <c r="C2232" s="1">
        <v>1.0</v>
      </c>
      <c r="D2232" s="1">
        <v>1.33</v>
      </c>
      <c r="E2232" s="1">
        <v>0.0</v>
      </c>
      <c r="F2232" s="1">
        <v>0.0</v>
      </c>
      <c r="G2232" s="2">
        <v>1.0</v>
      </c>
      <c r="H2232" s="1" t="s">
        <v>322</v>
      </c>
      <c r="I2232" s="1" t="str">
        <f>IFERROR(__xludf.DUMMYFUNCTION("REGEXREPLACE(MID(H2232, SEARCH(""["", H2232) + 1, SEARCH(""]"", H2232) - SEARCH(""["", H2232) - 1), ""\[\]"","""")"),"The Outliers")</f>
        <v>The Outliers</v>
      </c>
      <c r="J2232" s="1">
        <v>4.0</v>
      </c>
      <c r="K2232" s="1">
        <v>0.0</v>
      </c>
    </row>
    <row r="2233">
      <c r="A2233" s="1">
        <v>3.0</v>
      </c>
      <c r="B2233" s="1">
        <v>12.0</v>
      </c>
      <c r="C2233" s="1">
        <v>0.0</v>
      </c>
      <c r="D2233" s="1">
        <v>0.0</v>
      </c>
      <c r="E2233" s="1">
        <v>0.0</v>
      </c>
      <c r="F2233" s="1">
        <v>0.0</v>
      </c>
      <c r="G2233" s="2">
        <v>0.0</v>
      </c>
      <c r="H2233" s="1" t="s">
        <v>328</v>
      </c>
      <c r="I2233" s="1" t="str">
        <f>IFERROR(__xludf.DUMMYFUNCTION("REGEXREPLACE(MID(H2233, SEARCH(""["", H2233) + 1, SEARCH(""]"", H2233) - SEARCH(""["", H2233) - 1), ""\[\]"","""")"),"The Woodlands HS")</f>
        <v>The Woodlands HS</v>
      </c>
      <c r="J2233" s="1">
        <v>0.0</v>
      </c>
      <c r="K2233" s="1">
        <v>0.0</v>
      </c>
    </row>
    <row r="2234">
      <c r="A2234" s="1">
        <v>3.0</v>
      </c>
      <c r="B2234" s="1">
        <v>12.0</v>
      </c>
      <c r="C2234" s="1">
        <v>0.0</v>
      </c>
      <c r="D2234" s="1">
        <v>0.0</v>
      </c>
      <c r="E2234" s="1">
        <v>0.0</v>
      </c>
      <c r="F2234" s="1">
        <v>0.0</v>
      </c>
      <c r="G2234" s="2">
        <v>0.0</v>
      </c>
      <c r="H2234" s="1" t="s">
        <v>329</v>
      </c>
      <c r="I2234" s="1" t="str">
        <f>IFERROR(__xludf.DUMMYFUNCTION("REGEXREPLACE(MID(H2234, SEARCH(""["", H2234) + 1, SEARCH(""]"", H2234) - SEARCH(""["", H2234) - 1), ""\[\]"","""")"),"The Woodlands HS")</f>
        <v>The Woodlands HS</v>
      </c>
      <c r="J2234" s="1">
        <v>0.0</v>
      </c>
      <c r="K2234" s="1">
        <v>0.0</v>
      </c>
    </row>
    <row r="2235">
      <c r="A2235" s="1">
        <v>1.0</v>
      </c>
      <c r="B2235" s="1">
        <v>3.0</v>
      </c>
      <c r="C2235" s="1">
        <v>0.0</v>
      </c>
      <c r="D2235" s="1">
        <v>0.0</v>
      </c>
      <c r="E2235" s="1">
        <v>0.0</v>
      </c>
      <c r="F2235" s="1">
        <v>0.0</v>
      </c>
      <c r="G2235" s="2">
        <v>0.0</v>
      </c>
      <c r="H2235" s="1" t="s">
        <v>329</v>
      </c>
      <c r="I2235" s="1" t="str">
        <f>IFERROR(__xludf.DUMMYFUNCTION("REGEXREPLACE(MID(H2235, SEARCH(""["", H2235) + 1, SEARCH(""]"", H2235) - SEARCH(""["", H2235) - 1), ""\[\]"","""")"),"The Woodlands HS")</f>
        <v>The Woodlands HS</v>
      </c>
      <c r="J2235" s="1">
        <v>0.0</v>
      </c>
      <c r="K2235" s="1">
        <v>0.0</v>
      </c>
    </row>
    <row r="2236">
      <c r="A2236" s="1">
        <v>2.0</v>
      </c>
      <c r="B2236" s="1">
        <v>7.0</v>
      </c>
      <c r="C2236" s="1">
        <v>1.0</v>
      </c>
      <c r="D2236" s="1">
        <v>0.0</v>
      </c>
      <c r="E2236" s="1">
        <v>0.0</v>
      </c>
      <c r="F2236" s="1">
        <v>0.0</v>
      </c>
      <c r="G2236" s="2">
        <v>0.0</v>
      </c>
      <c r="H2236" s="1" t="s">
        <v>330</v>
      </c>
      <c r="I2236" s="1" t="str">
        <f>IFERROR(__xludf.DUMMYFUNCTION("REGEXREPLACE(MID(H2236, SEARCH(""["", H2236) + 1, SEARCH(""]"", H2236) - SEARCH(""["", H2236) - 1), ""\[\]"","""")"),"The Woodlands HS")</f>
        <v>The Woodlands HS</v>
      </c>
      <c r="J2236" s="1">
        <v>0.0</v>
      </c>
      <c r="K2236" s="1">
        <v>0.0</v>
      </c>
    </row>
    <row r="2237">
      <c r="A2237" s="1">
        <v>3.0</v>
      </c>
      <c r="B2237" s="1">
        <v>12.0</v>
      </c>
      <c r="C2237" s="1">
        <v>0.0</v>
      </c>
      <c r="D2237" s="1">
        <v>0.0</v>
      </c>
      <c r="E2237" s="1">
        <v>0.0</v>
      </c>
      <c r="F2237" s="1">
        <v>0.0</v>
      </c>
      <c r="G2237" s="2">
        <v>0.0</v>
      </c>
      <c r="H2237" s="1" t="s">
        <v>330</v>
      </c>
      <c r="I2237" s="1" t="str">
        <f>IFERROR(__xludf.DUMMYFUNCTION("REGEXREPLACE(MID(H2237, SEARCH(""["", H2237) + 1, SEARCH(""]"", H2237) - SEARCH(""["", H2237) - 1), ""\[\]"","""")"),"The Woodlands HS")</f>
        <v>The Woodlands HS</v>
      </c>
      <c r="J2237" s="1">
        <v>0.0</v>
      </c>
      <c r="K2237" s="1">
        <v>0.0</v>
      </c>
    </row>
    <row r="2238">
      <c r="A2238" s="1">
        <v>2.0</v>
      </c>
      <c r="B2238" s="1">
        <v>7.0</v>
      </c>
      <c r="C2238" s="1">
        <v>4.0</v>
      </c>
      <c r="D2238" s="1">
        <v>0.0</v>
      </c>
      <c r="E2238" s="1">
        <v>0.0</v>
      </c>
      <c r="F2238" s="1">
        <v>0.0</v>
      </c>
      <c r="G2238" s="2">
        <v>0.0</v>
      </c>
      <c r="H2238" s="1" t="s">
        <v>331</v>
      </c>
      <c r="I2238" s="1" t="str">
        <f>IFERROR(__xludf.DUMMYFUNCTION("REGEXREPLACE(MID(H2238, SEARCH(""["", H2238) + 1, SEARCH(""]"", H2238) - SEARCH(""["", H2238) - 1), ""\[\]"","""")"),"The Woodlands HS")</f>
        <v>The Woodlands HS</v>
      </c>
      <c r="J2238" s="1">
        <v>0.0</v>
      </c>
      <c r="K2238" s="1">
        <v>0.0</v>
      </c>
    </row>
    <row r="2239">
      <c r="A2239" s="1">
        <v>2.0</v>
      </c>
      <c r="B2239" s="1">
        <v>8.0</v>
      </c>
      <c r="C2239" s="1">
        <v>4.0</v>
      </c>
      <c r="D2239" s="1">
        <v>-2.0</v>
      </c>
      <c r="E2239" s="1">
        <v>0.5</v>
      </c>
      <c r="F2239" s="1">
        <v>0.0</v>
      </c>
      <c r="G2239" s="2">
        <v>0.0</v>
      </c>
      <c r="H2239" s="1" t="s">
        <v>331</v>
      </c>
      <c r="I2239" s="1" t="str">
        <f>IFERROR(__xludf.DUMMYFUNCTION("REGEXREPLACE(MID(H2239, SEARCH(""["", H2239) + 1, SEARCH(""]"", H2239) - SEARCH(""["", H2239) - 1), ""\[\]"","""")"),"The Woodlands HS")</f>
        <v>The Woodlands HS</v>
      </c>
      <c r="J2239" s="1">
        <v>-4.0</v>
      </c>
      <c r="K2239" s="1">
        <v>1.0</v>
      </c>
    </row>
    <row r="2240">
      <c r="A2240" s="1">
        <v>1.0</v>
      </c>
      <c r="B2240" s="1">
        <v>4.0</v>
      </c>
      <c r="C2240" s="1">
        <v>1.0</v>
      </c>
      <c r="D2240" s="1">
        <v>4.0</v>
      </c>
      <c r="E2240" s="1">
        <v>0.0</v>
      </c>
      <c r="F2240" s="1">
        <v>0.0</v>
      </c>
      <c r="G2240" s="2">
        <v>1.0</v>
      </c>
      <c r="H2240" s="1" t="s">
        <v>332</v>
      </c>
      <c r="I2240" s="1" t="str">
        <f>IFERROR(__xludf.DUMMYFUNCTION("REGEXREPLACE(MID(H2240, SEARCH(""["", H2240) + 1, SEARCH(""]"", H2240) - SEARCH(""["", H2240) - 1), ""\[\]"","""")"),"The Woodlands HS")</f>
        <v>The Woodlands HS</v>
      </c>
      <c r="J2240" s="1">
        <v>4.0</v>
      </c>
      <c r="K2240" s="1">
        <v>0.0</v>
      </c>
    </row>
    <row r="2241">
      <c r="A2241" s="1">
        <v>1.0</v>
      </c>
      <c r="B2241" s="1">
        <v>3.0</v>
      </c>
      <c r="C2241" s="1">
        <v>0.0</v>
      </c>
      <c r="D2241" s="1">
        <v>0.0</v>
      </c>
      <c r="E2241" s="1">
        <v>0.0</v>
      </c>
      <c r="F2241" s="1">
        <v>0.0</v>
      </c>
      <c r="G2241" s="2">
        <v>0.0</v>
      </c>
      <c r="H2241" s="1" t="s">
        <v>332</v>
      </c>
      <c r="I2241" s="1" t="str">
        <f>IFERROR(__xludf.DUMMYFUNCTION("REGEXREPLACE(MID(H2241, SEARCH(""["", H2241) + 1, SEARCH(""]"", H2241) - SEARCH(""["", H2241) - 1), ""\[\]"","""")"),"The Woodlands HS")</f>
        <v>The Woodlands HS</v>
      </c>
      <c r="J2241" s="1">
        <v>0.0</v>
      </c>
      <c r="K2241" s="1">
        <v>0.0</v>
      </c>
    </row>
    <row r="2242">
      <c r="A2242" s="1">
        <v>1.0</v>
      </c>
      <c r="B2242" s="1">
        <v>3.0</v>
      </c>
      <c r="C2242" s="1">
        <v>2.0</v>
      </c>
      <c r="D2242" s="1">
        <v>8.0</v>
      </c>
      <c r="E2242" s="1">
        <v>0.0</v>
      </c>
      <c r="F2242" s="1">
        <v>0.0</v>
      </c>
      <c r="G2242" s="2">
        <v>1.0</v>
      </c>
      <c r="H2242" s="1" t="s">
        <v>333</v>
      </c>
      <c r="I2242" s="1" t="str">
        <f>IFERROR(__xludf.DUMMYFUNCTION("REGEXREPLACE(MID(H2242, SEARCH(""["", H2242) + 1, SEARCH(""]"", H2242) - SEARCH(""["", H2242) - 1), ""\[\]"","""")"),"Timberline")</f>
        <v>Timberline</v>
      </c>
      <c r="J2242" s="1">
        <v>8.0</v>
      </c>
      <c r="K2242" s="1">
        <v>0.0</v>
      </c>
    </row>
    <row r="2243">
      <c r="A2243" s="1">
        <v>3.0</v>
      </c>
      <c r="B2243" s="1">
        <v>12.0</v>
      </c>
      <c r="C2243" s="1">
        <v>7.0</v>
      </c>
      <c r="D2243" s="1">
        <v>0.0</v>
      </c>
      <c r="E2243" s="1">
        <v>0.33</v>
      </c>
      <c r="F2243" s="1">
        <v>0.0</v>
      </c>
      <c r="G2243" s="6">
        <v>0.143</v>
      </c>
      <c r="H2243" s="1" t="s">
        <v>333</v>
      </c>
      <c r="I2243" s="1" t="str">
        <f>IFERROR(__xludf.DUMMYFUNCTION("REGEXREPLACE(MID(H2243, SEARCH(""["", H2243) + 1, SEARCH(""]"", H2243) - SEARCH(""["", H2243) - 1), ""\[\]"","""")"),"Timberline")</f>
        <v>Timberline</v>
      </c>
      <c r="J2243" s="1">
        <v>0.0</v>
      </c>
      <c r="K2243" s="1">
        <v>1.0</v>
      </c>
    </row>
    <row r="2244">
      <c r="A2244" s="1">
        <v>3.0</v>
      </c>
      <c r="B2244" s="1">
        <v>12.0</v>
      </c>
      <c r="C2244" s="1">
        <v>4.0</v>
      </c>
      <c r="D2244" s="1">
        <v>2.67</v>
      </c>
      <c r="E2244" s="1">
        <v>0.0</v>
      </c>
      <c r="F2244" s="1">
        <v>0.0</v>
      </c>
      <c r="G2244" s="2">
        <v>0.5</v>
      </c>
      <c r="H2244" s="1" t="s">
        <v>324</v>
      </c>
      <c r="I2244" s="1" t="str">
        <f>IFERROR(__xludf.DUMMYFUNCTION("REGEXREPLACE(MID(H2244, SEARCH(""["", H2244) + 1, SEARCH(""]"", H2244) - SEARCH(""["", H2244) - 1), ""\[\]"","""")"),"Timberline")</f>
        <v>Timberline</v>
      </c>
      <c r="J2244" s="1">
        <v>8.0</v>
      </c>
      <c r="K2244" s="1">
        <v>0.0</v>
      </c>
    </row>
    <row r="2245">
      <c r="A2245" s="1">
        <v>1.0</v>
      </c>
      <c r="B2245" s="1">
        <v>3.0</v>
      </c>
      <c r="C2245" s="1">
        <v>0.0</v>
      </c>
      <c r="D2245" s="1">
        <v>0.0</v>
      </c>
      <c r="E2245" s="1">
        <v>0.0</v>
      </c>
      <c r="F2245" s="1">
        <v>0.0</v>
      </c>
      <c r="G2245" s="2">
        <v>0.0</v>
      </c>
      <c r="H2245" s="1" t="s">
        <v>324</v>
      </c>
      <c r="I2245" s="1" t="str">
        <f>IFERROR(__xludf.DUMMYFUNCTION("REGEXREPLACE(MID(H2245, SEARCH(""["", H2245) + 1, SEARCH(""]"", H2245) - SEARCH(""["", H2245) - 1), ""\[\]"","""")"),"Timberline")</f>
        <v>Timberline</v>
      </c>
      <c r="J2245" s="1">
        <v>0.0</v>
      </c>
      <c r="K2245" s="1">
        <v>0.0</v>
      </c>
    </row>
    <row r="2246">
      <c r="A2246" s="1">
        <v>4.0</v>
      </c>
      <c r="B2246" s="1">
        <v>16.0</v>
      </c>
      <c r="C2246" s="1">
        <v>0.0</v>
      </c>
      <c r="D2246" s="1">
        <v>0.0</v>
      </c>
      <c r="E2246" s="1">
        <v>0.0</v>
      </c>
      <c r="F2246" s="1">
        <v>0.0</v>
      </c>
      <c r="G2246" s="2">
        <v>0.0</v>
      </c>
      <c r="H2246" s="1" t="s">
        <v>186</v>
      </c>
      <c r="I2246" s="1" t="str">
        <f>IFERROR(__xludf.DUMMYFUNCTION("REGEXREPLACE(MID(H2246, SEARCH(""["", H2246) + 1, SEARCH(""]"", H2246) - SEARCH(""["", H2246) - 1), ""\[\]"","""")"),"Timberline")</f>
        <v>Timberline</v>
      </c>
      <c r="J2246" s="1">
        <v>0.0</v>
      </c>
      <c r="K2246" s="1">
        <v>0.0</v>
      </c>
    </row>
    <row r="2247">
      <c r="A2247" s="1">
        <v>1.0</v>
      </c>
      <c r="B2247" s="1">
        <v>3.0</v>
      </c>
      <c r="C2247" s="1">
        <v>0.0</v>
      </c>
      <c r="D2247" s="1">
        <v>0.0</v>
      </c>
      <c r="E2247" s="1">
        <v>0.0</v>
      </c>
      <c r="F2247" s="1">
        <v>0.0</v>
      </c>
      <c r="G2247" s="2">
        <v>0.0</v>
      </c>
      <c r="H2247" s="1" t="s">
        <v>186</v>
      </c>
      <c r="I2247" s="1" t="str">
        <f>IFERROR(__xludf.DUMMYFUNCTION("REGEXREPLACE(MID(H2247, SEARCH(""["", H2247) + 1, SEARCH(""]"", H2247) - SEARCH(""["", H2247) - 1), ""\[\]"","""")"),"Timberline")</f>
        <v>Timberline</v>
      </c>
      <c r="J2247" s="1">
        <v>0.0</v>
      </c>
      <c r="K2247" s="1">
        <v>0.0</v>
      </c>
    </row>
    <row r="2248">
      <c r="A2248" s="1">
        <v>4.0</v>
      </c>
      <c r="B2248" s="1">
        <v>16.0</v>
      </c>
      <c r="C2248" s="1">
        <v>1.0</v>
      </c>
      <c r="D2248" s="1">
        <v>0.0</v>
      </c>
      <c r="E2248" s="1">
        <v>0.0</v>
      </c>
      <c r="F2248" s="1">
        <v>0.0</v>
      </c>
      <c r="G2248" s="2">
        <v>0.0</v>
      </c>
      <c r="H2248" s="1" t="s">
        <v>157</v>
      </c>
      <c r="I2248" s="1" t="str">
        <f>IFERROR(__xludf.DUMMYFUNCTION("REGEXREPLACE(MID(H2248, SEARCH(""["", H2248) + 1, SEARCH(""]"", H2248) - SEARCH(""["", H2248) - 1), ""\[\]"","""")"),"Timberline")</f>
        <v>Timberline</v>
      </c>
      <c r="J2248" s="1">
        <v>0.0</v>
      </c>
      <c r="K2248" s="1">
        <v>0.0</v>
      </c>
    </row>
    <row r="2249">
      <c r="A2249" s="1">
        <v>1.0</v>
      </c>
      <c r="B2249" s="1">
        <v>3.0</v>
      </c>
      <c r="C2249" s="1">
        <v>0.0</v>
      </c>
      <c r="D2249" s="1">
        <v>0.0</v>
      </c>
      <c r="E2249" s="1">
        <v>0.0</v>
      </c>
      <c r="F2249" s="1">
        <v>0.0</v>
      </c>
      <c r="G2249" s="2">
        <v>0.0</v>
      </c>
      <c r="H2249" s="1" t="s">
        <v>157</v>
      </c>
      <c r="I2249" s="1" t="str">
        <f>IFERROR(__xludf.DUMMYFUNCTION("REGEXREPLACE(MID(H2249, SEARCH(""["", H2249) + 1, SEARCH(""]"", H2249) - SEARCH(""["", H2249) - 1), ""\[\]"","""")"),"Timberline")</f>
        <v>Timberline</v>
      </c>
      <c r="J2249" s="1">
        <v>0.0</v>
      </c>
      <c r="K2249" s="1">
        <v>0.0</v>
      </c>
    </row>
    <row r="2250">
      <c r="A2250" s="1">
        <v>5.0</v>
      </c>
      <c r="B2250" s="1">
        <v>20.0</v>
      </c>
      <c r="C2250" s="1">
        <v>16.0</v>
      </c>
      <c r="D2250" s="1">
        <v>9.6</v>
      </c>
      <c r="E2250" s="1">
        <v>0.2</v>
      </c>
      <c r="F2250" s="1">
        <v>0.0</v>
      </c>
      <c r="G2250" s="6">
        <v>0.813</v>
      </c>
      <c r="H2250" s="1" t="s">
        <v>155</v>
      </c>
      <c r="I2250" s="1" t="str">
        <f>IFERROR(__xludf.DUMMYFUNCTION("REGEXREPLACE(MID(H2250, SEARCH(""["", H2250) + 1, SEARCH(""]"", H2250) - SEARCH(""["", H2250) - 1), ""\[\]"","""")"),"TJ")</f>
        <v>TJ</v>
      </c>
      <c r="J2250" s="1">
        <v>48.0</v>
      </c>
      <c r="K2250" s="1">
        <v>1.0</v>
      </c>
    </row>
    <row r="2251">
      <c r="A2251" s="1">
        <v>5.0</v>
      </c>
      <c r="B2251" s="1">
        <v>20.0</v>
      </c>
      <c r="C2251" s="1">
        <v>0.0</v>
      </c>
      <c r="D2251" s="1">
        <v>0.0</v>
      </c>
      <c r="E2251" s="1">
        <v>0.0</v>
      </c>
      <c r="F2251" s="1">
        <v>0.0</v>
      </c>
      <c r="G2251" s="2">
        <v>0.0</v>
      </c>
      <c r="H2251" s="1" t="s">
        <v>212</v>
      </c>
      <c r="I2251" s="1" t="str">
        <f>IFERROR(__xludf.DUMMYFUNCTION("REGEXREPLACE(MID(H2251, SEARCH(""["", H2251) + 1, SEARCH(""]"", H2251) - SEARCH(""["", H2251) - 1), ""\[\]"","""")"),"TJ")</f>
        <v>TJ</v>
      </c>
      <c r="J2251" s="1">
        <v>0.0</v>
      </c>
      <c r="K2251" s="1">
        <v>0.0</v>
      </c>
    </row>
    <row r="2252">
      <c r="A2252" s="1">
        <v>1.0</v>
      </c>
      <c r="B2252" s="1">
        <v>4.0</v>
      </c>
      <c r="C2252" s="1">
        <v>0.0</v>
      </c>
      <c r="D2252" s="1">
        <v>0.0</v>
      </c>
      <c r="E2252" s="1">
        <v>0.0</v>
      </c>
      <c r="F2252" s="1">
        <v>0.0</v>
      </c>
      <c r="G2252" s="2">
        <v>0.0</v>
      </c>
      <c r="H2252" s="1" t="s">
        <v>334</v>
      </c>
      <c r="I2252" s="1" t="str">
        <f>IFERROR(__xludf.DUMMYFUNCTION("REGEXREPLACE(MID(H2252, SEARCH(""["", H2252) + 1, SEARCH(""]"", H2252) - SEARCH(""["", H2252) - 1), ""\[\]"","""")"),"TJ")</f>
        <v>TJ</v>
      </c>
      <c r="J2252" s="1">
        <v>0.0</v>
      </c>
      <c r="K2252" s="1">
        <v>0.0</v>
      </c>
    </row>
    <row r="2253">
      <c r="A2253" s="1">
        <v>5.0</v>
      </c>
      <c r="B2253" s="1">
        <v>20.0</v>
      </c>
      <c r="C2253" s="1">
        <v>0.0</v>
      </c>
      <c r="D2253" s="1">
        <v>0.0</v>
      </c>
      <c r="E2253" s="1">
        <v>0.0</v>
      </c>
      <c r="F2253" s="1">
        <v>0.0</v>
      </c>
      <c r="G2253" s="2">
        <v>0.0</v>
      </c>
      <c r="H2253" s="1" t="s">
        <v>215</v>
      </c>
      <c r="I2253" s="1" t="str">
        <f>IFERROR(__xludf.DUMMYFUNCTION("REGEXREPLACE(MID(H2253, SEARCH(""["", H2253) + 1, SEARCH(""]"", H2253) - SEARCH(""["", H2253) - 1), ""\[\]"","""")"),"TJ")</f>
        <v>TJ</v>
      </c>
      <c r="J2253" s="1">
        <v>0.0</v>
      </c>
      <c r="K2253" s="1">
        <v>0.0</v>
      </c>
    </row>
    <row r="2254">
      <c r="A2254" s="1">
        <v>2.0</v>
      </c>
      <c r="B2254" s="1">
        <v>8.0</v>
      </c>
      <c r="C2254" s="1">
        <v>0.0</v>
      </c>
      <c r="D2254" s="1">
        <v>0.0</v>
      </c>
      <c r="E2254" s="1">
        <v>0.0</v>
      </c>
      <c r="F2254" s="1">
        <v>0.0</v>
      </c>
      <c r="G2254" s="2">
        <v>0.0</v>
      </c>
      <c r="H2254" s="1" t="s">
        <v>168</v>
      </c>
      <c r="I2254" s="1" t="str">
        <f>IFERROR(__xludf.DUMMYFUNCTION("REGEXREPLACE(MID(H2254, SEARCH(""["", H2254) + 1, SEARCH(""]"", H2254) - SEARCH(""["", H2254) - 1), ""\[\]"","""")"),"University")</f>
        <v>University</v>
      </c>
      <c r="J2254" s="1">
        <v>0.0</v>
      </c>
      <c r="K2254" s="1">
        <v>0.0</v>
      </c>
    </row>
    <row r="2255">
      <c r="A2255" s="1">
        <v>3.0</v>
      </c>
      <c r="B2255" s="1">
        <v>12.0</v>
      </c>
      <c r="C2255" s="1">
        <v>0.0</v>
      </c>
      <c r="D2255" s="1">
        <v>0.0</v>
      </c>
      <c r="E2255" s="1">
        <v>0.0</v>
      </c>
      <c r="F2255" s="1">
        <v>0.0</v>
      </c>
      <c r="G2255" s="2">
        <v>0.0</v>
      </c>
      <c r="H2255" s="1" t="s">
        <v>168</v>
      </c>
      <c r="I2255" s="1" t="str">
        <f>IFERROR(__xludf.DUMMYFUNCTION("REGEXREPLACE(MID(H2255, SEARCH(""["", H2255) + 1, SEARCH(""]"", H2255) - SEARCH(""["", H2255) - 1), ""\[\]"","""")"),"University")</f>
        <v>University</v>
      </c>
      <c r="J2255" s="1">
        <v>0.0</v>
      </c>
      <c r="K2255" s="1">
        <v>0.0</v>
      </c>
    </row>
    <row r="2256">
      <c r="A2256" s="1">
        <v>1.0</v>
      </c>
      <c r="B2256" s="1">
        <v>4.0</v>
      </c>
      <c r="C2256" s="1">
        <v>2.0</v>
      </c>
      <c r="D2256" s="1">
        <v>8.0</v>
      </c>
      <c r="E2256" s="1">
        <v>0.0</v>
      </c>
      <c r="F2256" s="1">
        <v>0.0</v>
      </c>
      <c r="G2256" s="2">
        <v>1.0</v>
      </c>
      <c r="H2256" s="1" t="s">
        <v>113</v>
      </c>
      <c r="I2256" s="1" t="str">
        <f>IFERROR(__xludf.DUMMYFUNCTION("REGEXREPLACE(MID(H2256, SEARCH(""["", H2256) + 1, SEARCH(""]"", H2256) - SEARCH(""["", H2256) - 1), ""\[\]"","""")"),"University")</f>
        <v>University</v>
      </c>
      <c r="J2256" s="1">
        <v>8.0</v>
      </c>
      <c r="K2256" s="1">
        <v>0.0</v>
      </c>
    </row>
    <row r="2257">
      <c r="A2257" s="1">
        <v>1.0</v>
      </c>
      <c r="B2257" s="1">
        <v>4.0</v>
      </c>
      <c r="C2257" s="1">
        <v>2.0</v>
      </c>
      <c r="D2257" s="1">
        <v>8.0</v>
      </c>
      <c r="E2257" s="1">
        <v>0.0</v>
      </c>
      <c r="F2257" s="1">
        <v>0.0</v>
      </c>
      <c r="G2257" s="2">
        <v>1.0</v>
      </c>
      <c r="H2257" s="1" t="s">
        <v>113</v>
      </c>
      <c r="I2257" s="1" t="str">
        <f>IFERROR(__xludf.DUMMYFUNCTION("REGEXREPLACE(MID(H2257, SEARCH(""["", H2257) + 1, SEARCH(""]"", H2257) - SEARCH(""["", H2257) - 1), ""\[\]"","""")"),"University")</f>
        <v>University</v>
      </c>
      <c r="J2257" s="1">
        <v>8.0</v>
      </c>
      <c r="K2257" s="1">
        <v>0.0</v>
      </c>
    </row>
    <row r="2258">
      <c r="A2258" s="1">
        <v>3.0</v>
      </c>
      <c r="B2258" s="1">
        <v>12.0</v>
      </c>
      <c r="C2258" s="1">
        <v>4.0</v>
      </c>
      <c r="D2258" s="1">
        <v>4.0</v>
      </c>
      <c r="E2258" s="1">
        <v>0.0</v>
      </c>
      <c r="F2258" s="1">
        <v>0.0</v>
      </c>
      <c r="G2258" s="2">
        <v>0.75</v>
      </c>
      <c r="H2258" s="1" t="s">
        <v>113</v>
      </c>
      <c r="I2258" s="1" t="str">
        <f>IFERROR(__xludf.DUMMYFUNCTION("REGEXREPLACE(MID(H2258, SEARCH(""["", H2258) + 1, SEARCH(""]"", H2258) - SEARCH(""["", H2258) - 1), ""\[\]"","""")"),"University")</f>
        <v>University</v>
      </c>
      <c r="J2258" s="1">
        <v>12.0</v>
      </c>
      <c r="K2258" s="1">
        <v>0.0</v>
      </c>
    </row>
    <row r="2259">
      <c r="A2259" s="1">
        <v>1.0</v>
      </c>
      <c r="B2259" s="1">
        <v>4.0</v>
      </c>
      <c r="C2259" s="1">
        <v>0.0</v>
      </c>
      <c r="D2259" s="1">
        <v>0.0</v>
      </c>
      <c r="E2259" s="1">
        <v>0.0</v>
      </c>
      <c r="F2259" s="1">
        <v>0.0</v>
      </c>
      <c r="G2259" s="2">
        <v>0.0</v>
      </c>
      <c r="H2259" s="1" t="s">
        <v>335</v>
      </c>
      <c r="I2259" s="1" t="str">
        <f>IFERROR(__xludf.DUMMYFUNCTION("REGEXREPLACE(MID(H2259, SEARCH(""["", H2259) + 1, SEARCH(""]"", H2259) - SEARCH(""["", H2259) - 1), ""\[\]"","""")"),"University")</f>
        <v>University</v>
      </c>
      <c r="J2259" s="1">
        <v>0.0</v>
      </c>
      <c r="K2259" s="1">
        <v>0.0</v>
      </c>
    </row>
    <row r="2260">
      <c r="A2260" s="1">
        <v>2.0</v>
      </c>
      <c r="B2260" s="1">
        <v>8.0</v>
      </c>
      <c r="C2260" s="1">
        <v>0.0</v>
      </c>
      <c r="D2260" s="1">
        <v>0.0</v>
      </c>
      <c r="E2260" s="1">
        <v>0.0</v>
      </c>
      <c r="F2260" s="1">
        <v>0.0</v>
      </c>
      <c r="G2260" s="2">
        <v>0.0</v>
      </c>
      <c r="H2260" s="1" t="s">
        <v>335</v>
      </c>
      <c r="I2260" s="1" t="str">
        <f>IFERROR(__xludf.DUMMYFUNCTION("REGEXREPLACE(MID(H2260, SEARCH(""["", H2260) + 1, SEARCH(""]"", H2260) - SEARCH(""["", H2260) - 1), ""\[\]"","""")"),"University")</f>
        <v>University</v>
      </c>
      <c r="J2260" s="1">
        <v>0.0</v>
      </c>
      <c r="K2260" s="1">
        <v>0.0</v>
      </c>
    </row>
    <row r="2261">
      <c r="A2261" s="1">
        <v>1.0</v>
      </c>
      <c r="B2261" s="1">
        <v>4.0</v>
      </c>
      <c r="C2261" s="1">
        <v>0.0</v>
      </c>
      <c r="D2261" s="1">
        <v>0.0</v>
      </c>
      <c r="E2261" s="1">
        <v>0.0</v>
      </c>
      <c r="F2261" s="1">
        <v>0.0</v>
      </c>
      <c r="G2261" s="2">
        <v>0.0</v>
      </c>
      <c r="H2261" s="1" t="s">
        <v>336</v>
      </c>
      <c r="I2261" s="1" t="str">
        <f>IFERROR(__xludf.DUMMYFUNCTION("REGEXREPLACE(MID(H2261, SEARCH(""["", H2261) + 1, SEARCH(""]"", H2261) - SEARCH(""["", H2261) - 1), ""\[\]"","""")"),"University")</f>
        <v>University</v>
      </c>
      <c r="J2261" s="1">
        <v>0.0</v>
      </c>
      <c r="K2261" s="1">
        <v>0.0</v>
      </c>
    </row>
    <row r="2262">
      <c r="A2262" s="1">
        <v>1.0</v>
      </c>
      <c r="B2262" s="1">
        <v>4.0</v>
      </c>
      <c r="C2262" s="1">
        <v>0.0</v>
      </c>
      <c r="D2262" s="1">
        <v>0.0</v>
      </c>
      <c r="E2262" s="1">
        <v>0.0</v>
      </c>
      <c r="F2262" s="1">
        <v>0.0</v>
      </c>
      <c r="G2262" s="2">
        <v>0.0</v>
      </c>
      <c r="H2262" s="1" t="s">
        <v>336</v>
      </c>
      <c r="I2262" s="1" t="str">
        <f>IFERROR(__xludf.DUMMYFUNCTION("REGEXREPLACE(MID(H2262, SEARCH(""["", H2262) + 1, SEARCH(""]"", H2262) - SEARCH(""["", H2262) - 1), ""\[\]"","""")"),"University")</f>
        <v>University</v>
      </c>
      <c r="J2262" s="1">
        <v>0.0</v>
      </c>
      <c r="K2262" s="1">
        <v>0.0</v>
      </c>
    </row>
    <row r="2263">
      <c r="A2263" s="1">
        <v>2.0</v>
      </c>
      <c r="B2263" s="1">
        <v>8.0</v>
      </c>
      <c r="C2263" s="1">
        <v>3.0</v>
      </c>
      <c r="D2263" s="1">
        <v>6.0</v>
      </c>
      <c r="E2263" s="1">
        <v>0.0</v>
      </c>
      <c r="F2263" s="1">
        <v>0.0</v>
      </c>
      <c r="G2263" s="2">
        <v>1.0</v>
      </c>
      <c r="H2263" s="1" t="s">
        <v>337</v>
      </c>
      <c r="I2263" s="1" t="str">
        <f>IFERROR(__xludf.DUMMYFUNCTION("REGEXREPLACE(MID(H2263, SEARCH(""["", H2263) + 1, SEARCH(""]"", H2263) - SEARCH(""["", H2263) - 1), ""\[\]"","""")"),"University")</f>
        <v>University</v>
      </c>
      <c r="J2263" s="1">
        <v>12.0</v>
      </c>
      <c r="K2263" s="1">
        <v>0.0</v>
      </c>
    </row>
    <row r="2264">
      <c r="A2264" s="1">
        <v>3.0</v>
      </c>
      <c r="B2264" s="1">
        <v>12.0</v>
      </c>
      <c r="C2264" s="1">
        <v>6.0</v>
      </c>
      <c r="D2264" s="1">
        <v>-1.33</v>
      </c>
      <c r="E2264" s="1">
        <v>1.0</v>
      </c>
      <c r="F2264" s="1">
        <v>0.0</v>
      </c>
      <c r="G2264" s="6">
        <v>0.333</v>
      </c>
      <c r="H2264" s="1" t="s">
        <v>337</v>
      </c>
      <c r="I2264" s="1" t="str">
        <f>IFERROR(__xludf.DUMMYFUNCTION("REGEXREPLACE(MID(H2264, SEARCH(""["", H2264) + 1, SEARCH(""]"", H2264) - SEARCH(""["", H2264) - 1), ""\[\]"","""")"),"University")</f>
        <v>University</v>
      </c>
      <c r="J2264" s="1">
        <v>-4.0</v>
      </c>
      <c r="K2264" s="1">
        <v>3.0</v>
      </c>
    </row>
    <row r="2265">
      <c r="A2265" s="1">
        <v>4.0</v>
      </c>
      <c r="B2265" s="1">
        <v>16.0</v>
      </c>
      <c r="C2265" s="1">
        <v>10.0</v>
      </c>
      <c r="D2265" s="1">
        <v>3.0</v>
      </c>
      <c r="E2265" s="1">
        <v>0.25</v>
      </c>
      <c r="F2265" s="1">
        <v>0.0</v>
      </c>
      <c r="G2265" s="2">
        <v>0.4</v>
      </c>
      <c r="H2265" s="1" t="s">
        <v>299</v>
      </c>
      <c r="I2265" s="1" t="str">
        <f>IFERROR(__xludf.DUMMYFUNCTION("REGEXREPLACE(MID(H2265, SEARCH(""["", H2265) + 1, SEARCH(""]"", H2265) - SEARCH(""["", H2265) - 1), ""\[\]"","""")"),"Vancomycin")</f>
        <v>Vancomycin</v>
      </c>
      <c r="J2265" s="1">
        <v>12.0</v>
      </c>
      <c r="K2265" s="1">
        <v>1.0</v>
      </c>
    </row>
    <row r="2266">
      <c r="A2266" s="1">
        <v>1.0</v>
      </c>
      <c r="B2266" s="1">
        <v>4.0</v>
      </c>
      <c r="C2266" s="1">
        <v>1.0</v>
      </c>
      <c r="D2266" s="1">
        <v>4.0</v>
      </c>
      <c r="E2266" s="1">
        <v>0.0</v>
      </c>
      <c r="F2266" s="1">
        <v>0.0</v>
      </c>
      <c r="G2266" s="2">
        <v>1.0</v>
      </c>
      <c r="H2266" s="1" t="s">
        <v>256</v>
      </c>
      <c r="I2266" s="1" t="str">
        <f>IFERROR(__xludf.DUMMYFUNCTION("REGEXREPLACE(MID(H2266, SEARCH(""["", H2266) + 1, SEARCH(""]"", H2266) - SEARCH(""["", H2266) - 1), ""\[\]"","""")"),"Vancomycin")</f>
        <v>Vancomycin</v>
      </c>
      <c r="J2266" s="1">
        <v>4.0</v>
      </c>
      <c r="K2266" s="1">
        <v>0.0</v>
      </c>
    </row>
    <row r="2267">
      <c r="A2267" s="1">
        <v>1.0</v>
      </c>
      <c r="B2267" s="1">
        <v>4.0</v>
      </c>
      <c r="C2267" s="1">
        <v>0.0</v>
      </c>
      <c r="D2267" s="1">
        <v>0.0</v>
      </c>
      <c r="E2267" s="1">
        <v>0.0</v>
      </c>
      <c r="F2267" s="1">
        <v>0.0</v>
      </c>
      <c r="G2267" s="2">
        <v>0.0</v>
      </c>
      <c r="H2267" s="1" t="s">
        <v>216</v>
      </c>
      <c r="I2267" s="1" t="str">
        <f>IFERROR(__xludf.DUMMYFUNCTION("REGEXREPLACE(MID(H2267, SEARCH(""["", H2267) + 1, SEARCH(""]"", H2267) - SEARCH(""["", H2267) - 1), ""\[\]"","""")"),"Vancomycin")</f>
        <v>Vancomycin</v>
      </c>
      <c r="J2267" s="1">
        <v>0.0</v>
      </c>
      <c r="K2267" s="1">
        <v>0.0</v>
      </c>
    </row>
    <row r="2268">
      <c r="A2268" s="1">
        <v>1.0</v>
      </c>
      <c r="B2268" s="1">
        <v>4.0</v>
      </c>
      <c r="C2268" s="1">
        <v>0.0</v>
      </c>
      <c r="D2268" s="1">
        <v>0.0</v>
      </c>
      <c r="E2268" s="1">
        <v>0.0</v>
      </c>
      <c r="F2268" s="1">
        <v>0.0</v>
      </c>
      <c r="G2268" s="2">
        <v>0.0</v>
      </c>
      <c r="H2268" s="1" t="s">
        <v>216</v>
      </c>
      <c r="I2268" s="1" t="str">
        <f>IFERROR(__xludf.DUMMYFUNCTION("REGEXREPLACE(MID(H2268, SEARCH(""["", H2268) + 1, SEARCH(""]"", H2268) - SEARCH(""["", H2268) - 1), ""\[\]"","""")"),"Vancomycin")</f>
        <v>Vancomycin</v>
      </c>
      <c r="J2268" s="1">
        <v>0.0</v>
      </c>
      <c r="K2268" s="1">
        <v>0.0</v>
      </c>
    </row>
    <row r="2269">
      <c r="A2269" s="1">
        <v>3.0</v>
      </c>
      <c r="B2269" s="1">
        <v>12.0</v>
      </c>
      <c r="C2269" s="1">
        <v>0.0</v>
      </c>
      <c r="D2269" s="1">
        <v>0.0</v>
      </c>
      <c r="E2269" s="1">
        <v>0.0</v>
      </c>
      <c r="F2269" s="1">
        <v>0.0</v>
      </c>
      <c r="G2269" s="2">
        <v>0.0</v>
      </c>
      <c r="H2269" s="1" t="s">
        <v>216</v>
      </c>
      <c r="I2269" s="1" t="str">
        <f>IFERROR(__xludf.DUMMYFUNCTION("REGEXREPLACE(MID(H2269, SEARCH(""["", H2269) + 1, SEARCH(""]"", H2269) - SEARCH(""["", H2269) - 1), ""\[\]"","""")"),"Vancomycin")</f>
        <v>Vancomycin</v>
      </c>
      <c r="J2269" s="1">
        <v>0.0</v>
      </c>
      <c r="K2269" s="1">
        <v>0.0</v>
      </c>
    </row>
    <row r="2270">
      <c r="A2270" s="1">
        <v>1.0</v>
      </c>
      <c r="B2270" s="1">
        <v>4.0</v>
      </c>
      <c r="C2270" s="1">
        <v>0.0</v>
      </c>
      <c r="D2270" s="1">
        <v>0.0</v>
      </c>
      <c r="E2270" s="1">
        <v>0.0</v>
      </c>
      <c r="F2270" s="1">
        <v>0.0</v>
      </c>
      <c r="G2270" s="2">
        <v>0.0</v>
      </c>
      <c r="H2270" s="1" t="s">
        <v>338</v>
      </c>
      <c r="I2270" s="1" t="str">
        <f>IFERROR(__xludf.DUMMYFUNCTION("REGEXREPLACE(MID(H2270, SEARCH(""["", H2270) + 1, SEARCH(""]"", H2270) - SEARCH(""["", H2270) - 1), ""\[\]"","""")"),"VMATHs")</f>
        <v>VMATHs</v>
      </c>
      <c r="J2270" s="1">
        <v>0.0</v>
      </c>
      <c r="K2270" s="1">
        <v>0.0</v>
      </c>
    </row>
    <row r="2271">
      <c r="A2271" s="1">
        <v>1.0</v>
      </c>
      <c r="B2271" s="1">
        <v>4.0</v>
      </c>
      <c r="C2271" s="1">
        <v>1.0</v>
      </c>
      <c r="D2271" s="1">
        <v>0.0</v>
      </c>
      <c r="E2271" s="1">
        <v>0.0</v>
      </c>
      <c r="F2271" s="1">
        <v>0.0</v>
      </c>
      <c r="G2271" s="2">
        <v>0.0</v>
      </c>
      <c r="H2271" s="1" t="s">
        <v>338</v>
      </c>
      <c r="I2271" s="1" t="str">
        <f>IFERROR(__xludf.DUMMYFUNCTION("REGEXREPLACE(MID(H2271, SEARCH(""["", H2271) + 1, SEARCH(""]"", H2271) - SEARCH(""["", H2271) - 1), ""\[\]"","""")"),"VMATHs")</f>
        <v>VMATHs</v>
      </c>
      <c r="J2271" s="1">
        <v>0.0</v>
      </c>
      <c r="K2271" s="1">
        <v>0.0</v>
      </c>
    </row>
    <row r="2272">
      <c r="A2272" s="1">
        <v>1.0</v>
      </c>
      <c r="B2272" s="1">
        <v>4.0</v>
      </c>
      <c r="C2272" s="1">
        <v>1.0</v>
      </c>
      <c r="D2272" s="1">
        <v>0.0</v>
      </c>
      <c r="E2272" s="1">
        <v>0.0</v>
      </c>
      <c r="F2272" s="1">
        <v>0.0</v>
      </c>
      <c r="G2272" s="2">
        <v>0.0</v>
      </c>
      <c r="H2272" s="1" t="s">
        <v>339</v>
      </c>
      <c r="I2272" s="1" t="str">
        <f>IFERROR(__xludf.DUMMYFUNCTION("REGEXREPLACE(MID(H2272, SEARCH(""["", H2272) + 1, SEARCH(""]"", H2272) - SEARCH(""["", H2272) - 1), ""\[\]"","""")"),"VMATHs")</f>
        <v>VMATHs</v>
      </c>
      <c r="J2272" s="1">
        <v>0.0</v>
      </c>
      <c r="K2272" s="1">
        <v>0.0</v>
      </c>
    </row>
    <row r="2273">
      <c r="A2273" s="1">
        <v>1.0</v>
      </c>
      <c r="B2273" s="1">
        <v>4.0</v>
      </c>
      <c r="C2273" s="1">
        <v>1.0</v>
      </c>
      <c r="D2273" s="1">
        <v>0.0</v>
      </c>
      <c r="E2273" s="1">
        <v>0.0</v>
      </c>
      <c r="F2273" s="1">
        <v>0.0</v>
      </c>
      <c r="G2273" s="2">
        <v>0.0</v>
      </c>
      <c r="H2273" s="1" t="s">
        <v>83</v>
      </c>
      <c r="I2273" s="1" t="str">
        <f>IFERROR(__xludf.DUMMYFUNCTION("REGEXREPLACE(MID(H2273, SEARCH(""["", H2273) + 1, SEARCH(""]"", H2273) - SEARCH(""["", H2273) - 1), ""\[\]"","""")"),"VMATHs")</f>
        <v>VMATHs</v>
      </c>
      <c r="J2273" s="1">
        <v>0.0</v>
      </c>
      <c r="K2273" s="1">
        <v>0.0</v>
      </c>
    </row>
    <row r="2274">
      <c r="A2274" s="1">
        <v>2.0</v>
      </c>
      <c r="B2274" s="1">
        <v>8.0</v>
      </c>
      <c r="C2274" s="1">
        <v>3.0</v>
      </c>
      <c r="D2274" s="1">
        <v>0.0</v>
      </c>
      <c r="E2274" s="1">
        <v>0.0</v>
      </c>
      <c r="F2274" s="1">
        <v>0.0</v>
      </c>
      <c r="G2274" s="2">
        <v>0.0</v>
      </c>
      <c r="H2274" s="1" t="s">
        <v>83</v>
      </c>
      <c r="I2274" s="1" t="str">
        <f>IFERROR(__xludf.DUMMYFUNCTION("REGEXREPLACE(MID(H2274, SEARCH(""["", H2274) + 1, SEARCH(""]"", H2274) - SEARCH(""["", H2274) - 1), ""\[\]"","""")"),"VMATHs")</f>
        <v>VMATHs</v>
      </c>
      <c r="J2274" s="1">
        <v>0.0</v>
      </c>
      <c r="K2274" s="1">
        <v>0.0</v>
      </c>
    </row>
    <row r="2275">
      <c r="A2275" s="1">
        <v>1.0</v>
      </c>
      <c r="B2275" s="1">
        <v>4.0</v>
      </c>
      <c r="C2275" s="1">
        <v>0.0</v>
      </c>
      <c r="D2275" s="1">
        <v>0.0</v>
      </c>
      <c r="E2275" s="1">
        <v>0.0</v>
      </c>
      <c r="F2275" s="1">
        <v>0.0</v>
      </c>
      <c r="G2275" s="2">
        <v>0.0</v>
      </c>
      <c r="H2275" s="1" t="s">
        <v>340</v>
      </c>
      <c r="I2275" s="1" t="str">
        <f>IFERROR(__xludf.DUMMYFUNCTION("REGEXREPLACE(MID(H2275, SEARCH(""["", H2275) + 1, SEARCH(""]"", H2275) - SEARCH(""["", H2275) - 1), ""\[\]"","""")"),"VMATHs")</f>
        <v>VMATHs</v>
      </c>
      <c r="J2275" s="1">
        <v>0.0</v>
      </c>
      <c r="K2275" s="1">
        <v>0.0</v>
      </c>
    </row>
    <row r="2276">
      <c r="A2276" s="1">
        <v>1.0</v>
      </c>
      <c r="B2276" s="1">
        <v>4.0</v>
      </c>
      <c r="C2276" s="1">
        <v>0.0</v>
      </c>
      <c r="D2276" s="1">
        <v>0.0</v>
      </c>
      <c r="E2276" s="1">
        <v>0.0</v>
      </c>
      <c r="F2276" s="1">
        <v>0.0</v>
      </c>
      <c r="G2276" s="2">
        <v>0.0</v>
      </c>
      <c r="H2276" s="1" t="s">
        <v>340</v>
      </c>
      <c r="I2276" s="1" t="str">
        <f>IFERROR(__xludf.DUMMYFUNCTION("REGEXREPLACE(MID(H2276, SEARCH(""["", H2276) + 1, SEARCH(""]"", H2276) - SEARCH(""["", H2276) - 1), ""\[\]"","""")"),"VMATHs")</f>
        <v>VMATHs</v>
      </c>
      <c r="J2276" s="1">
        <v>0.0</v>
      </c>
      <c r="K2276" s="1">
        <v>0.0</v>
      </c>
    </row>
    <row r="2277">
      <c r="A2277" s="1">
        <v>3.0</v>
      </c>
      <c r="B2277" s="1">
        <v>11.0</v>
      </c>
      <c r="C2277" s="1">
        <v>0.0</v>
      </c>
      <c r="D2277" s="1">
        <v>0.0</v>
      </c>
      <c r="E2277" s="1">
        <v>0.0</v>
      </c>
      <c r="F2277" s="1">
        <v>0.0</v>
      </c>
      <c r="G2277" s="2">
        <v>0.0</v>
      </c>
      <c r="H2277" s="1" t="s">
        <v>258</v>
      </c>
      <c r="I2277" s="1" t="str">
        <f>IFERROR(__xludf.DUMMYFUNCTION("REGEXREPLACE(MID(H2277, SEARCH(""["", H2277) + 1, SEARCH(""]"", H2277) - SEARCH(""["", H2277) - 1), ""\[\]"","""")"),"Ward Melville 1")</f>
        <v>Ward Melville 1</v>
      </c>
      <c r="J2277" s="1">
        <v>0.0</v>
      </c>
      <c r="K2277" s="1">
        <v>0.0</v>
      </c>
    </row>
    <row r="2278">
      <c r="A2278" s="1">
        <v>1.0</v>
      </c>
      <c r="B2278" s="1">
        <v>4.0</v>
      </c>
      <c r="C2278" s="1">
        <v>0.0</v>
      </c>
      <c r="D2278" s="1">
        <v>0.0</v>
      </c>
      <c r="E2278" s="1">
        <v>0.0</v>
      </c>
      <c r="F2278" s="1">
        <v>0.0</v>
      </c>
      <c r="G2278" s="2">
        <v>0.0</v>
      </c>
      <c r="H2278" s="1" t="s">
        <v>301</v>
      </c>
      <c r="I2278" s="1" t="str">
        <f>IFERROR(__xludf.DUMMYFUNCTION("REGEXREPLACE(MID(H2278, SEARCH(""["", H2278) + 1, SEARCH(""]"", H2278) - SEARCH(""["", H2278) - 1), ""\[\]"","""")"),"Ward Melville 1")</f>
        <v>Ward Melville 1</v>
      </c>
      <c r="J2278" s="1">
        <v>0.0</v>
      </c>
      <c r="K2278" s="1">
        <v>0.0</v>
      </c>
    </row>
    <row r="2279">
      <c r="A2279" s="1">
        <v>1.0</v>
      </c>
      <c r="B2279" s="1">
        <v>4.0</v>
      </c>
      <c r="C2279" s="1">
        <v>0.0</v>
      </c>
      <c r="D2279" s="1">
        <v>0.0</v>
      </c>
      <c r="E2279" s="1">
        <v>0.0</v>
      </c>
      <c r="F2279" s="1">
        <v>0.0</v>
      </c>
      <c r="G2279" s="2">
        <v>0.0</v>
      </c>
      <c r="H2279" s="1" t="s">
        <v>301</v>
      </c>
      <c r="I2279" s="1" t="str">
        <f>IFERROR(__xludf.DUMMYFUNCTION("REGEXREPLACE(MID(H2279, SEARCH(""["", H2279) + 1, SEARCH(""]"", H2279) - SEARCH(""["", H2279) - 1), ""\[\]"","""")"),"Ward Melville 1")</f>
        <v>Ward Melville 1</v>
      </c>
      <c r="J2279" s="1">
        <v>0.0</v>
      </c>
      <c r="K2279" s="1">
        <v>0.0</v>
      </c>
    </row>
    <row r="2280">
      <c r="A2280" s="1">
        <v>2.0</v>
      </c>
      <c r="B2280" s="1">
        <v>7.0</v>
      </c>
      <c r="C2280" s="1">
        <v>6.0</v>
      </c>
      <c r="D2280" s="1">
        <v>8.0</v>
      </c>
      <c r="E2280" s="1">
        <v>0.5</v>
      </c>
      <c r="F2280" s="1">
        <v>0.0</v>
      </c>
      <c r="G2280" s="6">
        <v>0.833</v>
      </c>
      <c r="H2280" s="1" t="s">
        <v>87</v>
      </c>
      <c r="I2280" s="1" t="str">
        <f>IFERROR(__xludf.DUMMYFUNCTION("REGEXREPLACE(MID(H2280, SEARCH(""["", H2280) + 1, SEARCH(""]"", H2280) - SEARCH(""["", H2280) - 1), ""\[\]"","""")"),"Ward Melville 1")</f>
        <v>Ward Melville 1</v>
      </c>
      <c r="J2280" s="1">
        <v>16.0</v>
      </c>
      <c r="K2280" s="1">
        <v>1.0</v>
      </c>
    </row>
    <row r="2281">
      <c r="A2281" s="1">
        <v>1.0</v>
      </c>
      <c r="B2281" s="1">
        <v>4.0</v>
      </c>
      <c r="C2281" s="1">
        <v>3.0</v>
      </c>
      <c r="D2281" s="1">
        <v>4.0</v>
      </c>
      <c r="E2281" s="1">
        <v>1.0</v>
      </c>
      <c r="F2281" s="1">
        <v>0.0</v>
      </c>
      <c r="G2281" s="6">
        <v>0.667</v>
      </c>
      <c r="H2281" s="1" t="s">
        <v>87</v>
      </c>
      <c r="I2281" s="1" t="str">
        <f>IFERROR(__xludf.DUMMYFUNCTION("REGEXREPLACE(MID(H2281, SEARCH(""["", H2281) + 1, SEARCH(""]"", H2281) - SEARCH(""["", H2281) - 1), ""\[\]"","""")"),"Ward Melville 1")</f>
        <v>Ward Melville 1</v>
      </c>
      <c r="J2281" s="1">
        <v>4.0</v>
      </c>
      <c r="K2281" s="1">
        <v>1.0</v>
      </c>
    </row>
    <row r="2282">
      <c r="A2282" s="1">
        <v>1.0</v>
      </c>
      <c r="B2282" s="1">
        <v>4.0</v>
      </c>
      <c r="C2282" s="1">
        <v>4.0</v>
      </c>
      <c r="D2282" s="1">
        <v>4.0</v>
      </c>
      <c r="E2282" s="1">
        <v>1.0</v>
      </c>
      <c r="F2282" s="1">
        <v>0.0</v>
      </c>
      <c r="G2282" s="2">
        <v>0.5</v>
      </c>
      <c r="H2282" s="1" t="s">
        <v>87</v>
      </c>
      <c r="I2282" s="1" t="str">
        <f>IFERROR(__xludf.DUMMYFUNCTION("REGEXREPLACE(MID(H2282, SEARCH(""["", H2282) + 1, SEARCH(""]"", H2282) - SEARCH(""["", H2282) - 1), ""\[\]"","""")"),"Ward Melville 1")</f>
        <v>Ward Melville 1</v>
      </c>
      <c r="J2282" s="1">
        <v>4.0</v>
      </c>
      <c r="K2282" s="1">
        <v>1.0</v>
      </c>
    </row>
    <row r="2283">
      <c r="A2283" s="1">
        <v>1.0</v>
      </c>
      <c r="B2283" s="1">
        <v>4.0</v>
      </c>
      <c r="C2283" s="1">
        <v>1.0</v>
      </c>
      <c r="D2283" s="1">
        <v>0.0</v>
      </c>
      <c r="E2283" s="1">
        <v>0.0</v>
      </c>
      <c r="F2283" s="1">
        <v>0.0</v>
      </c>
      <c r="G2283" s="2">
        <v>0.0</v>
      </c>
      <c r="H2283" s="1" t="s">
        <v>341</v>
      </c>
      <c r="I2283" s="1" t="str">
        <f>IFERROR(__xludf.DUMMYFUNCTION("REGEXREPLACE(MID(H2283, SEARCH(""["", H2283) + 1, SEARCH(""]"", H2283) - SEARCH(""["", H2283) - 1), ""\[\]"","""")"),"Ward Melville 2")</f>
        <v>Ward Melville 2</v>
      </c>
      <c r="J2283" s="1">
        <v>0.0</v>
      </c>
      <c r="K2283" s="1">
        <v>0.0</v>
      </c>
    </row>
    <row r="2284">
      <c r="A2284" s="1">
        <v>1.0</v>
      </c>
      <c r="B2284" s="1">
        <v>4.0</v>
      </c>
      <c r="C2284" s="1">
        <v>2.0</v>
      </c>
      <c r="D2284" s="1">
        <v>4.0</v>
      </c>
      <c r="E2284" s="1">
        <v>0.0</v>
      </c>
      <c r="F2284" s="1">
        <v>0.0</v>
      </c>
      <c r="G2284" s="2">
        <v>0.5</v>
      </c>
      <c r="H2284" s="1" t="s">
        <v>341</v>
      </c>
      <c r="I2284" s="1" t="str">
        <f>IFERROR(__xludf.DUMMYFUNCTION("REGEXREPLACE(MID(H2284, SEARCH(""["", H2284) + 1, SEARCH(""]"", H2284) - SEARCH(""["", H2284) - 1), ""\[\]"","""")"),"Ward Melville 2")</f>
        <v>Ward Melville 2</v>
      </c>
      <c r="J2284" s="1">
        <v>4.0</v>
      </c>
      <c r="K2284" s="1">
        <v>0.0</v>
      </c>
    </row>
    <row r="2285">
      <c r="A2285" s="1">
        <v>5.0</v>
      </c>
      <c r="B2285" s="1">
        <v>20.0</v>
      </c>
      <c r="C2285" s="1">
        <v>2.0</v>
      </c>
      <c r="D2285" s="1">
        <v>0.0</v>
      </c>
      <c r="E2285" s="1">
        <v>0.0</v>
      </c>
      <c r="F2285" s="1">
        <v>0.0</v>
      </c>
      <c r="G2285" s="2">
        <v>0.0</v>
      </c>
      <c r="H2285" s="1" t="s">
        <v>312</v>
      </c>
      <c r="I2285" s="1" t="str">
        <f>IFERROR(__xludf.DUMMYFUNCTION("REGEXREPLACE(MID(H2285, SEARCH(""["", H2285) + 1, SEARCH(""]"", H2285) - SEARCH(""["", H2285) - 1), ""\[\]"","""")"),"Ward Melville 2")</f>
        <v>Ward Melville 2</v>
      </c>
      <c r="J2285" s="1">
        <v>0.0</v>
      </c>
      <c r="K2285" s="1">
        <v>0.0</v>
      </c>
    </row>
    <row r="2286">
      <c r="A2286" s="1">
        <v>4.0</v>
      </c>
      <c r="B2286" s="1">
        <v>16.0</v>
      </c>
      <c r="C2286" s="1">
        <v>2.0</v>
      </c>
      <c r="D2286" s="1">
        <v>0.0</v>
      </c>
      <c r="E2286" s="1">
        <v>0.0</v>
      </c>
      <c r="F2286" s="1">
        <v>0.0</v>
      </c>
      <c r="G2286" s="2">
        <v>0.0</v>
      </c>
      <c r="H2286" s="1" t="s">
        <v>260</v>
      </c>
      <c r="I2286" s="1" t="str">
        <f>IFERROR(__xludf.DUMMYFUNCTION("REGEXREPLACE(MID(H2286, SEARCH(""["", H2286) + 1, SEARCH(""]"", H2286) - SEARCH(""["", H2286) - 1), ""\[\]"","""")"),"Ward Melville 2")</f>
        <v>Ward Melville 2</v>
      </c>
      <c r="J2286" s="1">
        <v>0.0</v>
      </c>
      <c r="K2286" s="1">
        <v>0.0</v>
      </c>
    </row>
    <row r="2287">
      <c r="A2287" s="1">
        <v>1.0</v>
      </c>
      <c r="B2287" s="1">
        <v>4.0</v>
      </c>
      <c r="C2287" s="1">
        <v>0.0</v>
      </c>
      <c r="D2287" s="1">
        <v>0.0</v>
      </c>
      <c r="E2287" s="1">
        <v>0.0</v>
      </c>
      <c r="F2287" s="1">
        <v>0.0</v>
      </c>
      <c r="G2287" s="2">
        <v>0.0</v>
      </c>
      <c r="H2287" s="1" t="s">
        <v>260</v>
      </c>
      <c r="I2287" s="1" t="str">
        <f>IFERROR(__xludf.DUMMYFUNCTION("REGEXREPLACE(MID(H2287, SEARCH(""["", H2287) + 1, SEARCH(""]"", H2287) - SEARCH(""["", H2287) - 1), ""\[\]"","""")"),"Ward Melville 2")</f>
        <v>Ward Melville 2</v>
      </c>
      <c r="J2287" s="1">
        <v>0.0</v>
      </c>
      <c r="K2287" s="1">
        <v>0.0</v>
      </c>
    </row>
    <row r="2288">
      <c r="A2288" s="1">
        <v>4.0</v>
      </c>
      <c r="B2288" s="1">
        <v>16.0</v>
      </c>
      <c r="C2288" s="1">
        <v>4.0</v>
      </c>
      <c r="D2288" s="1">
        <v>3.0</v>
      </c>
      <c r="E2288" s="1">
        <v>0.0</v>
      </c>
      <c r="F2288" s="1">
        <v>0.0</v>
      </c>
      <c r="G2288" s="2">
        <v>0.75</v>
      </c>
      <c r="H2288" s="1" t="s">
        <v>327</v>
      </c>
      <c r="I2288" s="1" t="str">
        <f>IFERROR(__xludf.DUMMYFUNCTION("REGEXREPLACE(MID(H2288, SEARCH(""["", H2288) + 1, SEARCH(""]"", H2288) - SEARCH(""["", H2288) - 1), ""\[\]"","""")"),"Ward Melville 2")</f>
        <v>Ward Melville 2</v>
      </c>
      <c r="J2288" s="1">
        <v>12.0</v>
      </c>
      <c r="K2288" s="1">
        <v>0.0</v>
      </c>
    </row>
    <row r="2289">
      <c r="A2289" s="1">
        <v>5.0</v>
      </c>
      <c r="B2289" s="1">
        <v>20.0</v>
      </c>
      <c r="C2289" s="1">
        <v>6.0</v>
      </c>
      <c r="D2289" s="1">
        <v>4.0</v>
      </c>
      <c r="E2289" s="1">
        <v>0.0</v>
      </c>
      <c r="F2289" s="1">
        <v>0.0</v>
      </c>
      <c r="G2289" s="6">
        <v>0.833</v>
      </c>
      <c r="H2289" s="1" t="s">
        <v>131</v>
      </c>
      <c r="I2289" s="1" t="str">
        <f>IFERROR(__xludf.DUMMYFUNCTION("REGEXREPLACE(MID(H2289, SEARCH(""["", H2289) + 1, SEARCH(""]"", H2289) - SEARCH(""["", H2289) - 1), ""\[\]"","""")"),"Whitney Young")</f>
        <v>Whitney Young</v>
      </c>
      <c r="J2289" s="1">
        <v>20.0</v>
      </c>
      <c r="K2289" s="1">
        <v>0.0</v>
      </c>
    </row>
    <row r="2290">
      <c r="A2290" s="1">
        <v>2.0</v>
      </c>
      <c r="B2290" s="1">
        <v>8.0</v>
      </c>
      <c r="C2290" s="1">
        <v>2.0</v>
      </c>
      <c r="D2290" s="1">
        <v>0.0</v>
      </c>
      <c r="E2290" s="1">
        <v>0.0</v>
      </c>
      <c r="F2290" s="1">
        <v>0.0</v>
      </c>
      <c r="G2290" s="2">
        <v>0.0</v>
      </c>
      <c r="H2290" s="1" t="s">
        <v>342</v>
      </c>
      <c r="I2290" s="1" t="str">
        <f>IFERROR(__xludf.DUMMYFUNCTION("REGEXREPLACE(MID(H2290, SEARCH(""["", H2290) + 1, SEARCH(""]"", H2290) - SEARCH(""["", H2290) - 1), ""\[\]"","""")"),"Whitney Young")</f>
        <v>Whitney Young</v>
      </c>
      <c r="J2290" s="1">
        <v>0.0</v>
      </c>
      <c r="K2290" s="1">
        <v>0.0</v>
      </c>
    </row>
    <row r="2291">
      <c r="A2291" s="1">
        <v>4.0</v>
      </c>
      <c r="B2291" s="1">
        <v>16.0</v>
      </c>
      <c r="C2291" s="1">
        <v>0.0</v>
      </c>
      <c r="D2291" s="1">
        <v>0.0</v>
      </c>
      <c r="E2291" s="1">
        <v>0.0</v>
      </c>
      <c r="F2291" s="1">
        <v>0.0</v>
      </c>
      <c r="G2291" s="2">
        <v>0.0</v>
      </c>
      <c r="H2291" s="1" t="s">
        <v>343</v>
      </c>
      <c r="I2291" s="1" t="str">
        <f>IFERROR(__xludf.DUMMYFUNCTION("REGEXREPLACE(MID(H2291, SEARCH(""["", H2291) + 1, SEARCH(""]"", H2291) - SEARCH(""["", H2291) - 1), ""\[\]"","""")"),"Whitney Young")</f>
        <v>Whitney Young</v>
      </c>
      <c r="J2291" s="1">
        <v>0.0</v>
      </c>
      <c r="K2291" s="1">
        <v>0.0</v>
      </c>
    </row>
    <row r="2292">
      <c r="A2292" s="1">
        <v>1.0</v>
      </c>
      <c r="B2292" s="1">
        <v>4.0</v>
      </c>
      <c r="C2292" s="1">
        <v>0.0</v>
      </c>
      <c r="D2292" s="1">
        <v>0.0</v>
      </c>
      <c r="E2292" s="1">
        <v>0.0</v>
      </c>
      <c r="F2292" s="1">
        <v>0.0</v>
      </c>
      <c r="G2292" s="2">
        <v>0.0</v>
      </c>
      <c r="H2292" s="1" t="s">
        <v>343</v>
      </c>
      <c r="I2292" s="1" t="str">
        <f>IFERROR(__xludf.DUMMYFUNCTION("REGEXREPLACE(MID(H2292, SEARCH(""["", H2292) + 1, SEARCH(""]"", H2292) - SEARCH(""["", H2292) - 1), ""\[\]"","""")"),"Whitney Young")</f>
        <v>Whitney Young</v>
      </c>
      <c r="J2292" s="1">
        <v>0.0</v>
      </c>
      <c r="K2292" s="1">
        <v>0.0</v>
      </c>
    </row>
    <row r="2293">
      <c r="A2293" s="1">
        <v>2.0</v>
      </c>
      <c r="B2293" s="1">
        <v>8.0</v>
      </c>
      <c r="C2293" s="1">
        <v>5.0</v>
      </c>
      <c r="D2293" s="1">
        <v>6.0</v>
      </c>
      <c r="E2293" s="1">
        <v>0.0</v>
      </c>
      <c r="F2293" s="1">
        <v>0.0</v>
      </c>
      <c r="G2293" s="2">
        <v>0.6</v>
      </c>
      <c r="H2293" s="1" t="s">
        <v>302</v>
      </c>
      <c r="I2293" s="1" t="str">
        <f>IFERROR(__xludf.DUMMYFUNCTION("REGEXREPLACE(MID(H2293, SEARCH(""["", H2293) + 1, SEARCH(""]"", H2293) - SEARCH(""["", H2293) - 1), ""\[\]"","""")"),"Whitney Young")</f>
        <v>Whitney Young</v>
      </c>
      <c r="J2293" s="1">
        <v>12.0</v>
      </c>
      <c r="K2293" s="1">
        <v>0.0</v>
      </c>
    </row>
    <row r="2294">
      <c r="A2294" s="1">
        <v>5.0</v>
      </c>
      <c r="B2294" s="1">
        <v>20.0</v>
      </c>
      <c r="C2294" s="1">
        <v>6.0</v>
      </c>
      <c r="D2294" s="1">
        <v>4.0</v>
      </c>
      <c r="E2294" s="1">
        <v>0.0</v>
      </c>
      <c r="F2294" s="1">
        <v>0.0</v>
      </c>
      <c r="G2294" s="6">
        <v>0.833</v>
      </c>
      <c r="H2294" s="1" t="s">
        <v>231</v>
      </c>
      <c r="I2294" s="1" t="str">
        <f>IFERROR(__xludf.DUMMYFUNCTION("REGEXREPLACE(MID(H2294, SEARCH(""["", H2294) + 1, SEARCH(""]"", H2294) - SEARCH(""["", H2294) - 1), ""\[\]"","""")"),"Will of A")</f>
        <v>Will of A</v>
      </c>
      <c r="J2294" s="1">
        <v>20.0</v>
      </c>
      <c r="K2294" s="1">
        <v>0.0</v>
      </c>
    </row>
    <row r="2295">
      <c r="A2295" s="1">
        <v>5.0</v>
      </c>
      <c r="B2295" s="1">
        <v>20.0</v>
      </c>
      <c r="C2295" s="1">
        <v>3.0</v>
      </c>
      <c r="D2295" s="1">
        <v>0.0</v>
      </c>
      <c r="E2295" s="1">
        <v>0.2</v>
      </c>
      <c r="F2295" s="1">
        <v>0.0</v>
      </c>
      <c r="G2295" s="6">
        <v>0.333</v>
      </c>
      <c r="H2295" s="1" t="s">
        <v>122</v>
      </c>
      <c r="I2295" s="1" t="str">
        <f>IFERROR(__xludf.DUMMYFUNCTION("REGEXREPLACE(MID(H2295, SEARCH(""["", H2295) + 1, SEARCH(""]"", H2295) - SEARCH(""["", H2295) - 1), ""\[\]"","""")"),"Will of A")</f>
        <v>Will of A</v>
      </c>
      <c r="J2295" s="1">
        <v>0.0</v>
      </c>
      <c r="K2295" s="1">
        <v>1.0</v>
      </c>
    </row>
    <row r="2296">
      <c r="A2296" s="1">
        <v>3.0</v>
      </c>
      <c r="B2296" s="1">
        <v>12.0</v>
      </c>
      <c r="C2296" s="1">
        <v>5.0</v>
      </c>
      <c r="D2296" s="1">
        <v>5.33</v>
      </c>
      <c r="E2296" s="1">
        <v>0.0</v>
      </c>
      <c r="F2296" s="1">
        <v>0.0</v>
      </c>
      <c r="G2296" s="2">
        <v>0.8</v>
      </c>
      <c r="H2296" s="1" t="s">
        <v>261</v>
      </c>
      <c r="I2296" s="1" t="str">
        <f>IFERROR(__xludf.DUMMYFUNCTION("REGEXREPLACE(MID(H2296, SEARCH(""["", H2296) + 1, SEARCH(""]"", H2296) - SEARCH(""["", H2296) - 1), ""\[\]"","""")"),"Will of A")</f>
        <v>Will of A</v>
      </c>
      <c r="J2296" s="1">
        <v>16.0</v>
      </c>
      <c r="K2296" s="1">
        <v>0.0</v>
      </c>
    </row>
    <row r="2297">
      <c r="A2297" s="1">
        <v>5.0</v>
      </c>
      <c r="B2297" s="1">
        <v>20.0</v>
      </c>
      <c r="C2297" s="1">
        <v>0.0</v>
      </c>
      <c r="D2297" s="1">
        <v>0.0</v>
      </c>
      <c r="E2297" s="1">
        <v>0.0</v>
      </c>
      <c r="F2297" s="1">
        <v>0.0</v>
      </c>
      <c r="G2297" s="2">
        <v>0.0</v>
      </c>
      <c r="H2297" s="1" t="s">
        <v>344</v>
      </c>
      <c r="I2297" s="1" t="str">
        <f>IFERROR(__xludf.DUMMYFUNCTION("REGEXREPLACE(MID(H2297, SEARCH(""["", H2297) + 1, SEARCH(""]"", H2297) - SEARCH(""["", H2297) - 1), ""\[\]"","""")"),"Will of A")</f>
        <v>Will of A</v>
      </c>
      <c r="J2297" s="1">
        <v>0.0</v>
      </c>
      <c r="K2297" s="1">
        <v>0.0</v>
      </c>
    </row>
    <row r="2298">
      <c r="A2298" s="1">
        <v>1.0</v>
      </c>
      <c r="B2298" s="1">
        <v>4.0</v>
      </c>
      <c r="C2298" s="1">
        <v>0.0</v>
      </c>
      <c r="D2298" s="1">
        <v>0.0</v>
      </c>
      <c r="E2298" s="1">
        <v>0.0</v>
      </c>
      <c r="F2298" s="1">
        <v>0.0</v>
      </c>
      <c r="G2298" s="2">
        <v>0.0</v>
      </c>
      <c r="H2298" s="1" t="s">
        <v>345</v>
      </c>
      <c r="I2298" s="1" t="str">
        <f>IFERROR(__xludf.DUMMYFUNCTION("REGEXREPLACE(MID(H2298, SEARCH(""["", H2298) + 1, SEARCH(""]"", H2298) - SEARCH(""["", H2298) - 1), ""\[\]"","""")"),"WWPS 1")</f>
        <v>WWPS 1</v>
      </c>
      <c r="J2298" s="1">
        <v>0.0</v>
      </c>
      <c r="K2298" s="1">
        <v>0.0</v>
      </c>
    </row>
    <row r="2299">
      <c r="A2299" s="1">
        <v>4.0</v>
      </c>
      <c r="B2299" s="1">
        <v>16.0</v>
      </c>
      <c r="C2299" s="1">
        <v>0.0</v>
      </c>
      <c r="D2299" s="1">
        <v>0.0</v>
      </c>
      <c r="E2299" s="1">
        <v>0.0</v>
      </c>
      <c r="F2299" s="1">
        <v>0.0</v>
      </c>
      <c r="G2299" s="2">
        <v>0.0</v>
      </c>
      <c r="H2299" s="1" t="s">
        <v>345</v>
      </c>
      <c r="I2299" s="1" t="str">
        <f>IFERROR(__xludf.DUMMYFUNCTION("REGEXREPLACE(MID(H2299, SEARCH(""["", H2299) + 1, SEARCH(""]"", H2299) - SEARCH(""["", H2299) - 1), ""\[\]"","""")"),"WWPS 1")</f>
        <v>WWPS 1</v>
      </c>
      <c r="J2299" s="1">
        <v>0.0</v>
      </c>
      <c r="K2299" s="1">
        <v>0.0</v>
      </c>
    </row>
    <row r="2300">
      <c r="A2300" s="1">
        <v>1.0</v>
      </c>
      <c r="B2300" s="1">
        <v>4.0</v>
      </c>
      <c r="C2300" s="1">
        <v>1.0</v>
      </c>
      <c r="D2300" s="1">
        <v>4.0</v>
      </c>
      <c r="E2300" s="1">
        <v>0.0</v>
      </c>
      <c r="F2300" s="1">
        <v>0.0</v>
      </c>
      <c r="G2300" s="2">
        <v>1.0</v>
      </c>
      <c r="H2300" s="1" t="s">
        <v>346</v>
      </c>
      <c r="I2300" s="1" t="str">
        <f>IFERROR(__xludf.DUMMYFUNCTION("REGEXREPLACE(MID(H2300, SEARCH(""["", H2300) + 1, SEARCH(""]"", H2300) - SEARCH(""["", H2300) - 1), ""\[\]"","""")"),"WWPS 1")</f>
        <v>WWPS 1</v>
      </c>
      <c r="J2300" s="1">
        <v>4.0</v>
      </c>
      <c r="K2300" s="1">
        <v>0.0</v>
      </c>
    </row>
    <row r="2301">
      <c r="A2301" s="1">
        <v>4.0</v>
      </c>
      <c r="B2301" s="1">
        <v>16.0</v>
      </c>
      <c r="C2301" s="1">
        <v>0.0</v>
      </c>
      <c r="D2301" s="1">
        <v>0.0</v>
      </c>
      <c r="E2301" s="1">
        <v>0.0</v>
      </c>
      <c r="F2301" s="1">
        <v>0.0</v>
      </c>
      <c r="G2301" s="2">
        <v>0.0</v>
      </c>
      <c r="H2301" s="1" t="s">
        <v>346</v>
      </c>
      <c r="I2301" s="1" t="str">
        <f>IFERROR(__xludf.DUMMYFUNCTION("REGEXREPLACE(MID(H2301, SEARCH(""["", H2301) + 1, SEARCH(""]"", H2301) - SEARCH(""["", H2301) - 1), ""\[\]"","""")"),"WWPS 1")</f>
        <v>WWPS 1</v>
      </c>
      <c r="J2301" s="1">
        <v>0.0</v>
      </c>
      <c r="K2301" s="1">
        <v>0.0</v>
      </c>
    </row>
    <row r="2302">
      <c r="A2302" s="1">
        <v>1.0</v>
      </c>
      <c r="B2302" s="1">
        <v>4.0</v>
      </c>
      <c r="C2302" s="1">
        <v>2.0</v>
      </c>
      <c r="D2302" s="1">
        <v>-4.0</v>
      </c>
      <c r="E2302" s="1">
        <v>1.0</v>
      </c>
      <c r="F2302" s="1">
        <v>0.0</v>
      </c>
      <c r="G2302" s="2">
        <v>0.0</v>
      </c>
      <c r="H2302" s="1" t="s">
        <v>347</v>
      </c>
      <c r="I2302" s="1" t="str">
        <f>IFERROR(__xludf.DUMMYFUNCTION("REGEXREPLACE(MID(H2302, SEARCH(""["", H2302) + 1, SEARCH(""]"", H2302) - SEARCH(""["", H2302) - 1), ""\[\]"","""")"),"WWPS 1")</f>
        <v>WWPS 1</v>
      </c>
      <c r="J2302" s="1">
        <v>-4.0</v>
      </c>
      <c r="K2302" s="1">
        <v>1.0</v>
      </c>
    </row>
    <row r="2303">
      <c r="A2303" s="1">
        <v>4.0</v>
      </c>
      <c r="B2303" s="1">
        <v>16.0</v>
      </c>
      <c r="C2303" s="1">
        <v>15.0</v>
      </c>
      <c r="D2303" s="1">
        <v>4.0</v>
      </c>
      <c r="E2303" s="1">
        <v>0.75</v>
      </c>
      <c r="F2303" s="1">
        <v>0.0</v>
      </c>
      <c r="G2303" s="6">
        <v>0.467</v>
      </c>
      <c r="H2303" s="1" t="s">
        <v>347</v>
      </c>
      <c r="I2303" s="1" t="str">
        <f>IFERROR(__xludf.DUMMYFUNCTION("REGEXREPLACE(MID(H2303, SEARCH(""["", H2303) + 1, SEARCH(""]"", H2303) - SEARCH(""["", H2303) - 1), ""\[\]"","""")"),"WWPS 1")</f>
        <v>WWPS 1</v>
      </c>
      <c r="J2303" s="1">
        <v>16.0</v>
      </c>
      <c r="K2303" s="1">
        <v>3.0</v>
      </c>
    </row>
    <row r="2304">
      <c r="A2304" s="1">
        <v>1.0</v>
      </c>
      <c r="B2304" s="1">
        <v>4.0</v>
      </c>
      <c r="C2304" s="1">
        <v>1.0</v>
      </c>
      <c r="D2304" s="1">
        <v>4.0</v>
      </c>
      <c r="E2304" s="1">
        <v>0.0</v>
      </c>
      <c r="F2304" s="1">
        <v>0.0</v>
      </c>
      <c r="G2304" s="2">
        <v>1.0</v>
      </c>
      <c r="H2304" s="1" t="s">
        <v>188</v>
      </c>
      <c r="I2304" s="1" t="str">
        <f>IFERROR(__xludf.DUMMYFUNCTION("REGEXREPLACE(MID(H2304, SEARCH(""["", H2304) + 1, SEARCH(""]"", H2304) - SEARCH(""["", H2304) - 1), ""\[\]"","""")"),"WWPS 1")</f>
        <v>WWPS 1</v>
      </c>
      <c r="J2304" s="1">
        <v>4.0</v>
      </c>
      <c r="K2304" s="1">
        <v>0.0</v>
      </c>
    </row>
    <row r="2305">
      <c r="A2305" s="1">
        <v>4.0</v>
      </c>
      <c r="B2305" s="1">
        <v>16.0</v>
      </c>
      <c r="C2305" s="1">
        <v>0.0</v>
      </c>
      <c r="D2305" s="1">
        <v>0.0</v>
      </c>
      <c r="E2305" s="1">
        <v>0.0</v>
      </c>
      <c r="F2305" s="1">
        <v>0.0</v>
      </c>
      <c r="G2305" s="2">
        <v>0.0</v>
      </c>
      <c r="H2305" s="1" t="s">
        <v>188</v>
      </c>
      <c r="I2305" s="1" t="str">
        <f>IFERROR(__xludf.DUMMYFUNCTION("REGEXREPLACE(MID(H2305, SEARCH(""["", H2305) + 1, SEARCH(""]"", H2305) - SEARCH(""["", H2305) - 1), ""\[\]"","""")"),"WWPS 1")</f>
        <v>WWPS 1</v>
      </c>
      <c r="J2305" s="1">
        <v>0.0</v>
      </c>
      <c r="K2305" s="1">
        <v>0.0</v>
      </c>
    </row>
    <row r="2306">
      <c r="A2306" s="1">
        <v>3.0</v>
      </c>
      <c r="B2306" s="1">
        <v>11.0</v>
      </c>
      <c r="C2306" s="1">
        <v>4.0</v>
      </c>
      <c r="D2306" s="1">
        <v>4.0</v>
      </c>
      <c r="E2306" s="1">
        <v>0.0</v>
      </c>
      <c r="F2306" s="1">
        <v>0.0</v>
      </c>
      <c r="G2306" s="2">
        <v>0.75</v>
      </c>
      <c r="H2306" s="1" t="s">
        <v>119</v>
      </c>
      <c r="I2306" s="1" t="str">
        <f>IFERROR(__xludf.DUMMYFUNCTION("REGEXREPLACE(MID(H2306, SEARCH(""["", H2306) + 1, SEARCH(""]"", H2306) - SEARCH(""["", H2306) - 1), ""\[\]"","""")"),"WWPS 2")</f>
        <v>WWPS 2</v>
      </c>
      <c r="J2306" s="1">
        <v>12.0</v>
      </c>
      <c r="K2306" s="1">
        <v>0.0</v>
      </c>
    </row>
    <row r="2307">
      <c r="A2307" s="1">
        <v>3.0</v>
      </c>
      <c r="B2307" s="1">
        <v>11.0</v>
      </c>
      <c r="C2307" s="1">
        <v>0.0</v>
      </c>
      <c r="D2307" s="1">
        <v>0.0</v>
      </c>
      <c r="E2307" s="1">
        <v>0.0</v>
      </c>
      <c r="F2307" s="1">
        <v>0.0</v>
      </c>
      <c r="G2307" s="2">
        <v>0.0</v>
      </c>
      <c r="H2307" s="1" t="s">
        <v>218</v>
      </c>
      <c r="I2307" s="1" t="str">
        <f>IFERROR(__xludf.DUMMYFUNCTION("REGEXREPLACE(MID(H2307, SEARCH(""["", H2307) + 1, SEARCH(""]"", H2307) - SEARCH(""["", H2307) - 1), ""\[\]"","""")"),"WWPS 2")</f>
        <v>WWPS 2</v>
      </c>
      <c r="J2307" s="1">
        <v>0.0</v>
      </c>
      <c r="K2307" s="1">
        <v>0.0</v>
      </c>
    </row>
    <row r="2308">
      <c r="A2308" s="1">
        <v>2.0</v>
      </c>
      <c r="B2308" s="1">
        <v>8.0</v>
      </c>
      <c r="C2308" s="1">
        <v>0.0</v>
      </c>
      <c r="D2308" s="1">
        <v>0.0</v>
      </c>
      <c r="E2308" s="1">
        <v>0.0</v>
      </c>
      <c r="F2308" s="1">
        <v>0.0</v>
      </c>
      <c r="G2308" s="2">
        <v>0.0</v>
      </c>
      <c r="H2308" s="1" t="s">
        <v>348</v>
      </c>
      <c r="I2308" s="1" t="str">
        <f>IFERROR(__xludf.DUMMYFUNCTION("REGEXREPLACE(MID(H2308, SEARCH(""["", H2308) + 1, SEARCH(""]"", H2308) - SEARCH(""["", H2308) - 1), ""\[\]"","""")"),"WWPS 2")</f>
        <v>WWPS 2</v>
      </c>
      <c r="J2308" s="1">
        <v>0.0</v>
      </c>
      <c r="K2308" s="1">
        <v>0.0</v>
      </c>
    </row>
    <row r="2309">
      <c r="A2309" s="1">
        <v>3.0</v>
      </c>
      <c r="B2309" s="1">
        <v>11.0</v>
      </c>
      <c r="C2309" s="1">
        <v>0.0</v>
      </c>
      <c r="D2309" s="1">
        <v>0.0</v>
      </c>
      <c r="E2309" s="1">
        <v>0.0</v>
      </c>
      <c r="F2309" s="1">
        <v>0.0</v>
      </c>
      <c r="G2309" s="2">
        <v>0.0</v>
      </c>
      <c r="H2309" s="1" t="s">
        <v>349</v>
      </c>
      <c r="I2309" s="1" t="str">
        <f>IFERROR(__xludf.DUMMYFUNCTION("REGEXREPLACE(MID(H2309, SEARCH(""["", H2309) + 1, SEARCH(""]"", H2309) - SEARCH(""["", H2309) - 1), ""\[\]"","""")"),"WWPS 2")</f>
        <v>WWPS 2</v>
      </c>
      <c r="J2309" s="1">
        <v>0.0</v>
      </c>
      <c r="K2309" s="1">
        <v>0.0</v>
      </c>
    </row>
    <row r="2310">
      <c r="A2310" s="1">
        <v>4.0</v>
      </c>
      <c r="B2310" s="1">
        <v>15.0</v>
      </c>
      <c r="C2310" s="1">
        <v>9.0</v>
      </c>
      <c r="D2310" s="1">
        <v>8.0</v>
      </c>
      <c r="E2310" s="1">
        <v>0.0</v>
      </c>
      <c r="F2310" s="1">
        <v>0.0</v>
      </c>
      <c r="G2310" s="6">
        <v>0.889</v>
      </c>
      <c r="H2310" s="1" t="s">
        <v>193</v>
      </c>
      <c r="I2310" s="1" t="str">
        <f>IFERROR(__xludf.DUMMYFUNCTION("REGEXREPLACE(MID(H2310, SEARCH(""["", H2310) + 1, SEARCH(""]"", H2310) - SEARCH(""["", H2310) - 1), ""\[\]"","""")"),"WWPS 2")</f>
        <v>WWPS 2</v>
      </c>
      <c r="J2310" s="1">
        <v>32.0</v>
      </c>
      <c r="K2310" s="1">
        <v>0.0</v>
      </c>
    </row>
    <row r="2311">
      <c r="J2311" s="1">
        <f>SUM(J1:J2310)</f>
        <v>7240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3" max="3" width="17.25"/>
    <col customWidth="1" min="5" max="5" width="13.0"/>
  </cols>
  <sheetData>
    <row r="1" ht="22.5" customHeight="1">
      <c r="A1" s="11" t="s">
        <v>36</v>
      </c>
      <c r="B1" s="12" t="s">
        <v>42</v>
      </c>
      <c r="C1" s="12" t="s">
        <v>44</v>
      </c>
      <c r="D1" s="8" t="s">
        <v>45</v>
      </c>
      <c r="E1" s="8" t="s">
        <v>30</v>
      </c>
    </row>
    <row r="2" ht="22.5" customHeight="1">
      <c r="A2" s="13" t="s">
        <v>47</v>
      </c>
      <c r="B2" s="13">
        <v>5.0</v>
      </c>
      <c r="C2" s="13">
        <v>100.0</v>
      </c>
      <c r="D2" s="10">
        <v>37.599999999999994</v>
      </c>
      <c r="E2" s="10">
        <v>1.2</v>
      </c>
      <c r="G2" s="2"/>
    </row>
    <row r="3" ht="22.5" customHeight="1">
      <c r="A3" s="13" t="s">
        <v>52</v>
      </c>
      <c r="B3" s="13">
        <v>5.0</v>
      </c>
      <c r="C3" s="13">
        <v>98.0</v>
      </c>
      <c r="D3" s="10">
        <v>28.799999999999997</v>
      </c>
      <c r="E3" s="10">
        <v>1.6</v>
      </c>
      <c r="G3" s="6"/>
    </row>
    <row r="4" ht="22.5" customHeight="1">
      <c r="A4" s="13" t="s">
        <v>62</v>
      </c>
      <c r="B4" s="13">
        <v>5.0</v>
      </c>
      <c r="C4" s="13">
        <v>99.0</v>
      </c>
      <c r="D4" s="10">
        <v>27.200000000000003</v>
      </c>
      <c r="E4" s="10">
        <v>0.6</v>
      </c>
      <c r="G4" s="2"/>
    </row>
    <row r="5" ht="22.5" customHeight="1">
      <c r="A5" s="13" t="s">
        <v>66</v>
      </c>
      <c r="B5" s="13">
        <v>5.0</v>
      </c>
      <c r="C5" s="13">
        <v>100.0</v>
      </c>
      <c r="D5" s="10">
        <v>26.400000000000002</v>
      </c>
      <c r="E5" s="10">
        <v>0.6</v>
      </c>
      <c r="G5" s="2"/>
    </row>
    <row r="6" ht="22.5" customHeight="1">
      <c r="A6" s="13" t="s">
        <v>70</v>
      </c>
      <c r="B6" s="13">
        <v>5.0</v>
      </c>
      <c r="C6" s="13">
        <v>97.0</v>
      </c>
      <c r="D6" s="10">
        <v>26.400000000000002</v>
      </c>
      <c r="E6" s="10">
        <v>1.4000000000000001</v>
      </c>
    </row>
    <row r="7" ht="22.5" customHeight="1">
      <c r="A7" s="13" t="s">
        <v>74</v>
      </c>
      <c r="B7" s="13">
        <v>5.0</v>
      </c>
      <c r="C7" s="13">
        <v>98.0</v>
      </c>
      <c r="D7" s="10">
        <v>24.8</v>
      </c>
      <c r="E7" s="10">
        <v>0.8</v>
      </c>
      <c r="G7" s="6"/>
    </row>
    <row r="8" ht="22.5" customHeight="1">
      <c r="A8" s="13" t="s">
        <v>76</v>
      </c>
      <c r="B8" s="13">
        <v>1.0</v>
      </c>
      <c r="C8" s="13">
        <v>20.0</v>
      </c>
      <c r="D8" s="10">
        <v>24.0</v>
      </c>
      <c r="E8" s="10">
        <v>0.0</v>
      </c>
      <c r="G8" s="2"/>
    </row>
    <row r="9" ht="22.5" customHeight="1">
      <c r="A9" s="13" t="s">
        <v>77</v>
      </c>
      <c r="B9" s="13">
        <v>4.0</v>
      </c>
      <c r="C9" s="13">
        <v>74.0</v>
      </c>
      <c r="D9" s="10">
        <v>23.0</v>
      </c>
      <c r="E9" s="10">
        <v>2.5</v>
      </c>
      <c r="G9" s="6"/>
    </row>
    <row r="10" ht="22.5" customHeight="1">
      <c r="A10" s="13" t="s">
        <v>80</v>
      </c>
      <c r="B10" s="13">
        <v>4.0</v>
      </c>
      <c r="C10" s="13">
        <v>77.0</v>
      </c>
      <c r="D10" s="10">
        <v>23.0</v>
      </c>
      <c r="E10" s="10">
        <v>0.5</v>
      </c>
      <c r="G10" s="2"/>
    </row>
    <row r="11" ht="22.5" customHeight="1">
      <c r="A11" s="13" t="s">
        <v>83</v>
      </c>
      <c r="B11" s="13">
        <v>3.0</v>
      </c>
      <c r="C11" s="13">
        <v>60.0</v>
      </c>
      <c r="D11" s="10">
        <v>22.666666666666664</v>
      </c>
      <c r="E11" s="10">
        <v>1.0</v>
      </c>
      <c r="G11" s="2"/>
    </row>
    <row r="12" ht="22.5" customHeight="1">
      <c r="A12" s="13" t="s">
        <v>87</v>
      </c>
      <c r="B12" s="13">
        <v>4.0</v>
      </c>
      <c r="C12" s="13">
        <v>77.0</v>
      </c>
      <c r="D12" s="10">
        <v>22.0</v>
      </c>
      <c r="E12" s="10">
        <v>1.25</v>
      </c>
      <c r="G12" s="2"/>
    </row>
    <row r="13" ht="22.5" customHeight="1">
      <c r="A13" s="13" t="s">
        <v>90</v>
      </c>
      <c r="B13" s="13">
        <v>5.0</v>
      </c>
      <c r="C13" s="13">
        <v>95.0</v>
      </c>
      <c r="D13" s="10">
        <v>21.6</v>
      </c>
      <c r="E13" s="10">
        <v>0.2</v>
      </c>
      <c r="G13" s="2"/>
    </row>
    <row r="14" ht="22.5" customHeight="1">
      <c r="A14" s="13" t="s">
        <v>93</v>
      </c>
      <c r="B14" s="13">
        <v>5.0</v>
      </c>
      <c r="C14" s="13">
        <v>95.0</v>
      </c>
      <c r="D14" s="10">
        <v>20.8</v>
      </c>
      <c r="E14" s="10">
        <v>0.2</v>
      </c>
      <c r="G14" s="6"/>
    </row>
    <row r="15" ht="22.5" customHeight="1">
      <c r="A15" s="13" t="s">
        <v>98</v>
      </c>
      <c r="B15" s="13">
        <v>5.0</v>
      </c>
      <c r="C15" s="13">
        <v>98.0</v>
      </c>
      <c r="D15" s="10">
        <v>18.400000000000002</v>
      </c>
      <c r="E15" s="10">
        <v>1.0</v>
      </c>
      <c r="G15" s="2"/>
    </row>
    <row r="16" ht="22.5" customHeight="1">
      <c r="A16" s="13" t="s">
        <v>99</v>
      </c>
      <c r="B16" s="13">
        <v>5.0</v>
      </c>
      <c r="C16" s="13">
        <v>94.0</v>
      </c>
      <c r="D16" s="10">
        <v>17.6</v>
      </c>
      <c r="E16" s="10">
        <v>0.4</v>
      </c>
      <c r="G16" s="2"/>
    </row>
    <row r="17" ht="22.5" customHeight="1">
      <c r="A17" s="13" t="s">
        <v>105</v>
      </c>
      <c r="B17" s="13">
        <v>5.0</v>
      </c>
      <c r="C17" s="13">
        <v>100.0</v>
      </c>
      <c r="D17" s="10">
        <v>16.8</v>
      </c>
      <c r="E17" s="10">
        <v>0.8</v>
      </c>
      <c r="G17" s="2"/>
    </row>
    <row r="18" ht="22.5" customHeight="1">
      <c r="A18" s="13" t="s">
        <v>106</v>
      </c>
      <c r="B18" s="13">
        <v>5.0</v>
      </c>
      <c r="C18" s="13">
        <v>100.0</v>
      </c>
      <c r="D18" s="10">
        <v>16.8</v>
      </c>
      <c r="E18" s="10">
        <v>0.8</v>
      </c>
      <c r="G18" s="2"/>
    </row>
    <row r="19" ht="22.5" customHeight="1">
      <c r="A19" s="13" t="s">
        <v>29</v>
      </c>
      <c r="B19" s="13">
        <v>5.0</v>
      </c>
      <c r="C19" s="13">
        <v>99.0</v>
      </c>
      <c r="D19" s="10">
        <v>16.0</v>
      </c>
      <c r="E19" s="10">
        <v>1.2</v>
      </c>
      <c r="G19" s="6"/>
    </row>
    <row r="20" ht="22.5" customHeight="1">
      <c r="A20" s="13" t="s">
        <v>112</v>
      </c>
      <c r="B20" s="13">
        <v>5.0</v>
      </c>
      <c r="C20" s="13">
        <v>100.0</v>
      </c>
      <c r="D20" s="10">
        <v>16.0</v>
      </c>
      <c r="E20" s="10">
        <v>1.0</v>
      </c>
      <c r="G20" s="2"/>
    </row>
    <row r="21" ht="22.5" customHeight="1">
      <c r="A21" s="13" t="s">
        <v>113</v>
      </c>
      <c r="B21" s="13">
        <v>5.0</v>
      </c>
      <c r="C21" s="13">
        <v>97.0</v>
      </c>
      <c r="D21" s="10">
        <v>15.2</v>
      </c>
      <c r="E21" s="10">
        <v>0.6</v>
      </c>
      <c r="G21" s="2"/>
    </row>
    <row r="22" ht="22.5" customHeight="1">
      <c r="A22" s="13" t="s">
        <v>94</v>
      </c>
      <c r="B22" s="13">
        <v>3.0</v>
      </c>
      <c r="C22" s="13">
        <v>59.0</v>
      </c>
      <c r="D22" s="10">
        <v>14.666666666666666</v>
      </c>
      <c r="E22" s="10">
        <v>0.6666666666666666</v>
      </c>
      <c r="G22" s="2"/>
    </row>
    <row r="23" ht="22.5" customHeight="1">
      <c r="A23" s="13" t="s">
        <v>119</v>
      </c>
      <c r="B23" s="13">
        <v>3.0</v>
      </c>
      <c r="C23" s="13">
        <v>56.0</v>
      </c>
      <c r="D23" s="10">
        <v>14.666666666666666</v>
      </c>
      <c r="E23" s="10">
        <v>0.3333333333333333</v>
      </c>
      <c r="G23" s="2"/>
    </row>
    <row r="24" ht="22.5" customHeight="1">
      <c r="A24" s="13" t="s">
        <v>122</v>
      </c>
      <c r="B24" s="13">
        <v>5.0</v>
      </c>
      <c r="C24" s="13">
        <v>98.0</v>
      </c>
      <c r="D24" s="10">
        <v>14.399999999999999</v>
      </c>
      <c r="E24" s="10">
        <v>2.8000000000000003</v>
      </c>
      <c r="G24" s="2"/>
    </row>
    <row r="25" ht="22.5" customHeight="1">
      <c r="A25" s="13" t="s">
        <v>125</v>
      </c>
      <c r="B25" s="13">
        <v>4.0</v>
      </c>
      <c r="C25" s="13">
        <v>80.0</v>
      </c>
      <c r="D25" s="10">
        <v>14.0</v>
      </c>
      <c r="E25" s="10">
        <v>1.25</v>
      </c>
      <c r="G25" s="2"/>
    </row>
    <row r="26" ht="22.5" customHeight="1">
      <c r="A26" s="13" t="s">
        <v>129</v>
      </c>
      <c r="B26" s="13">
        <v>5.0</v>
      </c>
      <c r="C26" s="13">
        <v>94.0</v>
      </c>
      <c r="D26" s="10">
        <v>13.600000000000001</v>
      </c>
      <c r="E26" s="10">
        <v>0.0</v>
      </c>
      <c r="G26" s="2"/>
    </row>
    <row r="27" ht="22.5" customHeight="1">
      <c r="A27" s="13" t="s">
        <v>131</v>
      </c>
      <c r="B27" s="13">
        <v>5.0</v>
      </c>
      <c r="C27" s="13">
        <v>100.0</v>
      </c>
      <c r="D27" s="10">
        <v>13.600000000000001</v>
      </c>
      <c r="E27" s="10">
        <v>1.4000000000000001</v>
      </c>
      <c r="G27" s="2"/>
    </row>
    <row r="28" ht="22.5" customHeight="1">
      <c r="A28" s="13" t="s">
        <v>133</v>
      </c>
      <c r="B28" s="13">
        <v>3.0</v>
      </c>
      <c r="C28" s="13">
        <v>55.0</v>
      </c>
      <c r="D28" s="10">
        <v>13.333333333333332</v>
      </c>
      <c r="E28" s="10">
        <v>0.0</v>
      </c>
      <c r="G28" s="2"/>
    </row>
    <row r="29" ht="22.5" customHeight="1">
      <c r="A29" s="13" t="s">
        <v>135</v>
      </c>
      <c r="B29" s="13">
        <v>4.0</v>
      </c>
      <c r="C29" s="13">
        <v>77.0</v>
      </c>
      <c r="D29" s="10">
        <v>13.0</v>
      </c>
      <c r="E29" s="10">
        <v>1.0</v>
      </c>
      <c r="G29" s="6"/>
    </row>
    <row r="30" ht="22.5" customHeight="1">
      <c r="A30" s="13" t="s">
        <v>138</v>
      </c>
      <c r="B30" s="13">
        <v>4.0</v>
      </c>
      <c r="C30" s="13">
        <v>78.0</v>
      </c>
      <c r="D30" s="10">
        <v>13.0</v>
      </c>
      <c r="E30" s="10">
        <v>0.5</v>
      </c>
      <c r="G30" s="6"/>
    </row>
    <row r="31" ht="22.5" customHeight="1">
      <c r="A31" s="13" t="s">
        <v>141</v>
      </c>
      <c r="B31" s="13">
        <v>4.0</v>
      </c>
      <c r="C31" s="13">
        <v>73.0</v>
      </c>
      <c r="D31" s="10">
        <v>13.0</v>
      </c>
      <c r="E31" s="10">
        <v>0.0</v>
      </c>
      <c r="G31" s="2"/>
    </row>
    <row r="32" ht="22.5" customHeight="1">
      <c r="A32" s="13" t="s">
        <v>145</v>
      </c>
      <c r="B32" s="13">
        <v>5.0</v>
      </c>
      <c r="C32" s="13">
        <v>97.0</v>
      </c>
      <c r="D32" s="10">
        <v>12.8</v>
      </c>
      <c r="E32" s="10">
        <v>1.7999999999999998</v>
      </c>
      <c r="G32" s="2"/>
    </row>
    <row r="33" ht="22.5" customHeight="1">
      <c r="A33" s="13" t="s">
        <v>149</v>
      </c>
      <c r="B33" s="13">
        <v>5.0</v>
      </c>
      <c r="C33" s="13">
        <v>99.0</v>
      </c>
      <c r="D33" s="10">
        <v>12.8</v>
      </c>
      <c r="E33" s="10">
        <v>0.0</v>
      </c>
      <c r="G33" s="2"/>
    </row>
    <row r="34" ht="22.5" customHeight="1">
      <c r="A34" s="13" t="s">
        <v>150</v>
      </c>
      <c r="B34" s="13">
        <v>4.0</v>
      </c>
      <c r="C34" s="13">
        <v>77.0</v>
      </c>
      <c r="D34" s="10">
        <v>12.0</v>
      </c>
      <c r="E34" s="10">
        <v>0.0</v>
      </c>
      <c r="G34" s="2"/>
    </row>
    <row r="35" ht="22.5" customHeight="1">
      <c r="A35" s="13" t="s">
        <v>153</v>
      </c>
      <c r="B35" s="13">
        <v>1.0</v>
      </c>
      <c r="C35" s="13">
        <v>20.0</v>
      </c>
      <c r="D35" s="10">
        <v>12.0</v>
      </c>
      <c r="E35" s="10">
        <v>1.0</v>
      </c>
      <c r="G35" s="6"/>
    </row>
    <row r="36" ht="22.5" customHeight="1">
      <c r="A36" s="13" t="s">
        <v>155</v>
      </c>
      <c r="B36" s="13">
        <v>5.0</v>
      </c>
      <c r="C36" s="13">
        <v>98.0</v>
      </c>
      <c r="D36" s="10">
        <v>12.0</v>
      </c>
      <c r="E36" s="10">
        <v>0.6</v>
      </c>
      <c r="G36" s="2"/>
    </row>
    <row r="37" ht="22.5" customHeight="1">
      <c r="A37" s="13" t="s">
        <v>157</v>
      </c>
      <c r="B37" s="13">
        <v>5.0</v>
      </c>
      <c r="C37" s="13">
        <v>95.0</v>
      </c>
      <c r="D37" s="10">
        <v>12.0</v>
      </c>
      <c r="E37" s="10">
        <v>0.8</v>
      </c>
      <c r="G37" s="2"/>
    </row>
    <row r="38" ht="22.5" customHeight="1">
      <c r="A38" s="13" t="s">
        <v>8</v>
      </c>
      <c r="B38" s="13">
        <v>5.0</v>
      </c>
      <c r="C38" s="13">
        <v>100.0</v>
      </c>
      <c r="D38" s="10">
        <v>11.200000000000001</v>
      </c>
      <c r="E38" s="10">
        <v>2.6</v>
      </c>
      <c r="G38" s="2"/>
    </row>
    <row r="39" ht="22.5" customHeight="1">
      <c r="A39" s="13" t="s">
        <v>161</v>
      </c>
      <c r="B39" s="13">
        <v>5.0</v>
      </c>
      <c r="C39" s="13">
        <v>96.0</v>
      </c>
      <c r="D39" s="10">
        <v>11.200000000000001</v>
      </c>
      <c r="E39" s="10">
        <v>0.6</v>
      </c>
      <c r="G39" s="2"/>
    </row>
    <row r="40" ht="22.5" customHeight="1">
      <c r="A40" s="13" t="s">
        <v>164</v>
      </c>
      <c r="B40" s="13">
        <v>5.0</v>
      </c>
      <c r="C40" s="13">
        <v>100.0</v>
      </c>
      <c r="D40" s="10">
        <v>11.200000000000001</v>
      </c>
      <c r="E40" s="10">
        <v>0.8</v>
      </c>
      <c r="G40" s="2"/>
    </row>
    <row r="41" ht="22.5" customHeight="1">
      <c r="A41" s="13" t="s">
        <v>168</v>
      </c>
      <c r="B41" s="13">
        <v>5.0</v>
      </c>
      <c r="C41" s="13">
        <v>96.0</v>
      </c>
      <c r="D41" s="10">
        <v>11.200000000000001</v>
      </c>
      <c r="E41" s="10">
        <v>0.6</v>
      </c>
      <c r="G41" s="2"/>
    </row>
    <row r="42" ht="22.5" customHeight="1">
      <c r="A42" s="13" t="s">
        <v>172</v>
      </c>
      <c r="B42" s="13">
        <v>4.0</v>
      </c>
      <c r="C42" s="13">
        <v>79.0</v>
      </c>
      <c r="D42" s="10">
        <v>11.0</v>
      </c>
      <c r="E42" s="10">
        <v>0.0</v>
      </c>
      <c r="G42" s="2"/>
    </row>
    <row r="43" ht="22.5" customHeight="1">
      <c r="A43" s="13" t="s">
        <v>175</v>
      </c>
      <c r="B43" s="13">
        <v>4.0</v>
      </c>
      <c r="C43" s="13">
        <v>77.0</v>
      </c>
      <c r="D43" s="10">
        <v>11.0</v>
      </c>
      <c r="E43" s="10">
        <v>0.25</v>
      </c>
      <c r="G43" s="2"/>
    </row>
    <row r="44" ht="22.5" customHeight="1">
      <c r="A44" s="13" t="s">
        <v>75</v>
      </c>
      <c r="B44" s="13">
        <v>5.0</v>
      </c>
      <c r="C44" s="13">
        <v>95.0</v>
      </c>
      <c r="D44" s="10">
        <v>10.4</v>
      </c>
      <c r="E44" s="10">
        <v>0.2</v>
      </c>
      <c r="G44" s="2"/>
    </row>
    <row r="45" ht="22.5" customHeight="1">
      <c r="A45" s="13" t="s">
        <v>127</v>
      </c>
      <c r="B45" s="13">
        <v>5.0</v>
      </c>
      <c r="C45" s="13">
        <v>99.0</v>
      </c>
      <c r="D45" s="10">
        <v>10.4</v>
      </c>
      <c r="E45" s="10">
        <v>0.4</v>
      </c>
      <c r="G45" s="6"/>
    </row>
    <row r="46" ht="22.5" customHeight="1">
      <c r="A46" s="13" t="s">
        <v>180</v>
      </c>
      <c r="B46" s="13">
        <v>5.0</v>
      </c>
      <c r="C46" s="13">
        <v>100.0</v>
      </c>
      <c r="D46" s="10">
        <v>10.4</v>
      </c>
      <c r="E46" s="10">
        <v>1.2</v>
      </c>
      <c r="G46" s="2"/>
    </row>
    <row r="47" ht="22.5" customHeight="1">
      <c r="A47" s="13" t="s">
        <v>182</v>
      </c>
      <c r="B47" s="13">
        <v>5.0</v>
      </c>
      <c r="C47" s="13">
        <v>102.0</v>
      </c>
      <c r="D47" s="10">
        <v>10.4</v>
      </c>
      <c r="E47" s="10">
        <v>0.2</v>
      </c>
      <c r="G47" s="2"/>
    </row>
    <row r="48" ht="22.5" customHeight="1">
      <c r="A48" s="13" t="s">
        <v>185</v>
      </c>
      <c r="B48" s="13">
        <v>5.0</v>
      </c>
      <c r="C48" s="13">
        <v>100.0</v>
      </c>
      <c r="D48" s="10">
        <v>10.4</v>
      </c>
      <c r="E48" s="10">
        <v>0.6</v>
      </c>
      <c r="G48" s="2"/>
    </row>
    <row r="49" ht="22.5" customHeight="1">
      <c r="A49" s="13" t="s">
        <v>186</v>
      </c>
      <c r="B49" s="13">
        <v>5.0</v>
      </c>
      <c r="C49" s="13">
        <v>95.0</v>
      </c>
      <c r="D49" s="10">
        <v>10.4</v>
      </c>
      <c r="E49" s="10">
        <v>0.0</v>
      </c>
      <c r="G49" s="6"/>
    </row>
    <row r="50" ht="22.5" customHeight="1">
      <c r="A50" s="13" t="s">
        <v>188</v>
      </c>
      <c r="B50" s="13">
        <v>5.0</v>
      </c>
      <c r="C50" s="13">
        <v>95.0</v>
      </c>
      <c r="D50" s="10">
        <v>10.4</v>
      </c>
      <c r="E50" s="10">
        <v>0.8</v>
      </c>
      <c r="G50" s="2"/>
    </row>
    <row r="51" ht="22.5" customHeight="1">
      <c r="A51" s="13" t="s">
        <v>181</v>
      </c>
      <c r="B51" s="13">
        <v>2.0</v>
      </c>
      <c r="C51" s="13">
        <v>40.0</v>
      </c>
      <c r="D51" s="10">
        <v>10.0</v>
      </c>
      <c r="E51" s="10">
        <v>0.0</v>
      </c>
      <c r="G51" s="6"/>
    </row>
    <row r="52" ht="22.5" customHeight="1">
      <c r="A52" s="13" t="s">
        <v>193</v>
      </c>
      <c r="B52" s="13">
        <v>4.0</v>
      </c>
      <c r="C52" s="13">
        <v>76.0</v>
      </c>
      <c r="D52" s="10">
        <v>10.0</v>
      </c>
      <c r="E52" s="10">
        <v>0.0</v>
      </c>
      <c r="G52" s="2"/>
    </row>
    <row r="53" ht="22.5" customHeight="1">
      <c r="A53" s="13" t="s">
        <v>54</v>
      </c>
      <c r="B53" s="13">
        <v>5.0</v>
      </c>
      <c r="C53" s="13">
        <v>97.0</v>
      </c>
      <c r="D53" s="10">
        <v>9.6</v>
      </c>
      <c r="E53" s="10">
        <v>0.4</v>
      </c>
      <c r="G53" s="2"/>
    </row>
    <row r="54" ht="22.5" customHeight="1">
      <c r="A54" s="13" t="s">
        <v>144</v>
      </c>
      <c r="B54" s="13">
        <v>5.0</v>
      </c>
      <c r="C54" s="13">
        <v>100.0</v>
      </c>
      <c r="D54" s="10">
        <v>9.6</v>
      </c>
      <c r="E54" s="10">
        <v>0.2</v>
      </c>
      <c r="G54" s="2"/>
    </row>
    <row r="55" ht="22.5" customHeight="1">
      <c r="A55" s="13" t="s">
        <v>190</v>
      </c>
      <c r="B55" s="13">
        <v>5.0</v>
      </c>
      <c r="C55" s="13">
        <v>100.0</v>
      </c>
      <c r="D55" s="10">
        <v>9.6</v>
      </c>
      <c r="E55" s="10">
        <v>0.6</v>
      </c>
      <c r="G55" s="2"/>
    </row>
    <row r="56" ht="22.5" customHeight="1">
      <c r="A56" s="13" t="s">
        <v>195</v>
      </c>
      <c r="B56" s="13">
        <v>5.0</v>
      </c>
      <c r="C56" s="13">
        <v>100.0</v>
      </c>
      <c r="D56" s="10">
        <v>9.6</v>
      </c>
      <c r="E56" s="10">
        <v>0.2</v>
      </c>
      <c r="G56" s="2"/>
    </row>
    <row r="57" ht="22.5" customHeight="1">
      <c r="A57" s="13" t="s">
        <v>202</v>
      </c>
      <c r="B57" s="13">
        <v>5.0</v>
      </c>
      <c r="C57" s="13">
        <v>97.0</v>
      </c>
      <c r="D57" s="10">
        <v>9.6</v>
      </c>
      <c r="E57" s="10">
        <v>0.2</v>
      </c>
      <c r="G57" s="2"/>
    </row>
    <row r="58" ht="22.5" customHeight="1">
      <c r="A58" s="13" t="s">
        <v>204</v>
      </c>
      <c r="B58" s="13">
        <v>5.0</v>
      </c>
      <c r="C58" s="13">
        <v>102.0</v>
      </c>
      <c r="D58" s="10">
        <v>9.6</v>
      </c>
      <c r="E58" s="10">
        <v>0.2</v>
      </c>
      <c r="G58" s="2"/>
    </row>
    <row r="59" ht="22.5" customHeight="1">
      <c r="A59" s="13" t="s">
        <v>207</v>
      </c>
      <c r="B59" s="13">
        <v>5.0</v>
      </c>
      <c r="C59" s="13">
        <v>98.0</v>
      </c>
      <c r="D59" s="10">
        <v>9.6</v>
      </c>
      <c r="E59" s="10">
        <v>1.4000000000000001</v>
      </c>
      <c r="G59" s="2"/>
    </row>
    <row r="60" ht="22.5" customHeight="1">
      <c r="A60" s="13" t="s">
        <v>212</v>
      </c>
      <c r="B60" s="13">
        <v>5.0</v>
      </c>
      <c r="C60" s="13">
        <v>98.0</v>
      </c>
      <c r="D60" s="10">
        <v>9.6</v>
      </c>
      <c r="E60" s="10">
        <v>0.4</v>
      </c>
      <c r="G60" s="2"/>
    </row>
    <row r="61" ht="22.5" customHeight="1">
      <c r="A61" s="13" t="s">
        <v>215</v>
      </c>
      <c r="B61" s="13">
        <v>5.0</v>
      </c>
      <c r="C61" s="13">
        <v>98.0</v>
      </c>
      <c r="D61" s="10">
        <v>9.6</v>
      </c>
      <c r="E61" s="10">
        <v>0.8</v>
      </c>
      <c r="G61" s="6"/>
    </row>
    <row r="62" ht="22.5" customHeight="1">
      <c r="A62" s="13" t="s">
        <v>216</v>
      </c>
      <c r="B62" s="13">
        <v>5.0</v>
      </c>
      <c r="C62" s="13">
        <v>94.0</v>
      </c>
      <c r="D62" s="10">
        <v>9.6</v>
      </c>
      <c r="E62" s="10">
        <v>1.0</v>
      </c>
      <c r="G62" s="2"/>
    </row>
    <row r="63" ht="22.5" customHeight="1">
      <c r="A63" s="13" t="s">
        <v>123</v>
      </c>
      <c r="B63" s="13">
        <v>3.0</v>
      </c>
      <c r="C63" s="13">
        <v>59.0</v>
      </c>
      <c r="D63" s="10">
        <v>9.333333333333334</v>
      </c>
      <c r="E63" s="10">
        <v>0.3333333333333333</v>
      </c>
      <c r="G63" s="2"/>
    </row>
    <row r="64" ht="22.5" customHeight="1">
      <c r="A64" s="13" t="s">
        <v>218</v>
      </c>
      <c r="B64" s="13">
        <v>3.0</v>
      </c>
      <c r="C64" s="13">
        <v>56.0</v>
      </c>
      <c r="D64" s="10">
        <v>9.333333333333334</v>
      </c>
      <c r="E64" s="10">
        <v>0.6666666666666666</v>
      </c>
      <c r="G64" s="2"/>
    </row>
    <row r="65" ht="22.5" customHeight="1">
      <c r="A65" s="13" t="s">
        <v>221</v>
      </c>
      <c r="B65" s="13">
        <v>4.0</v>
      </c>
      <c r="C65" s="13">
        <v>77.0</v>
      </c>
      <c r="D65" s="10">
        <v>9.0</v>
      </c>
      <c r="E65" s="10">
        <v>0.0</v>
      </c>
      <c r="G65" s="2"/>
    </row>
    <row r="66" ht="22.5" customHeight="1">
      <c r="A66" s="13" t="s">
        <v>223</v>
      </c>
      <c r="B66" s="13">
        <v>4.0</v>
      </c>
      <c r="C66" s="13">
        <v>78.0</v>
      </c>
      <c r="D66" s="10">
        <v>9.0</v>
      </c>
      <c r="E66" s="10">
        <v>1.0</v>
      </c>
      <c r="G66" s="2"/>
    </row>
    <row r="67" ht="22.5" customHeight="1">
      <c r="A67" s="13" t="s">
        <v>13</v>
      </c>
      <c r="B67" s="13">
        <v>5.0</v>
      </c>
      <c r="C67" s="13">
        <v>99.0</v>
      </c>
      <c r="D67" s="10">
        <v>8.8</v>
      </c>
      <c r="E67" s="10">
        <v>0.2</v>
      </c>
      <c r="G67" s="2"/>
    </row>
    <row r="68" ht="22.5" customHeight="1">
      <c r="A68" s="13" t="s">
        <v>165</v>
      </c>
      <c r="B68" s="13">
        <v>5.0</v>
      </c>
      <c r="C68" s="13">
        <v>98.0</v>
      </c>
      <c r="D68" s="10">
        <v>8.8</v>
      </c>
      <c r="E68" s="10">
        <v>1.2</v>
      </c>
      <c r="G68" s="6"/>
    </row>
    <row r="69" ht="22.5" customHeight="1">
      <c r="A69" s="13" t="s">
        <v>228</v>
      </c>
      <c r="B69" s="13">
        <v>5.0</v>
      </c>
      <c r="C69" s="13">
        <v>94.0</v>
      </c>
      <c r="D69" s="10">
        <v>8.8</v>
      </c>
      <c r="E69" s="10">
        <v>0.0</v>
      </c>
      <c r="G69" s="2"/>
    </row>
    <row r="70" ht="22.5" customHeight="1">
      <c r="A70" s="13" t="s">
        <v>230</v>
      </c>
      <c r="B70" s="13">
        <v>5.0</v>
      </c>
      <c r="C70" s="13">
        <v>97.0</v>
      </c>
      <c r="D70" s="10">
        <v>8.8</v>
      </c>
      <c r="E70" s="10">
        <v>1.2</v>
      </c>
      <c r="G70" s="2"/>
    </row>
    <row r="71" ht="22.5" customHeight="1">
      <c r="A71" s="13" t="s">
        <v>231</v>
      </c>
      <c r="B71" s="13">
        <v>5.0</v>
      </c>
      <c r="C71" s="13">
        <v>98.0</v>
      </c>
      <c r="D71" s="10">
        <v>8.8</v>
      </c>
      <c r="E71" s="10">
        <v>0.2</v>
      </c>
      <c r="G71" s="2"/>
    </row>
    <row r="72" ht="22.5" customHeight="1">
      <c r="A72" s="13" t="s">
        <v>17</v>
      </c>
      <c r="B72" s="13">
        <v>5.0</v>
      </c>
      <c r="C72" s="13">
        <v>99.0</v>
      </c>
      <c r="D72" s="10">
        <v>8.0</v>
      </c>
      <c r="E72" s="10">
        <v>1.0</v>
      </c>
      <c r="G72" s="6"/>
    </row>
    <row r="73" ht="22.5" customHeight="1">
      <c r="A73" s="13" t="s">
        <v>109</v>
      </c>
      <c r="B73" s="13">
        <v>2.0</v>
      </c>
      <c r="C73" s="13">
        <v>40.0</v>
      </c>
      <c r="D73" s="10">
        <v>8.0</v>
      </c>
      <c r="E73" s="10">
        <v>0.0</v>
      </c>
      <c r="G73" s="2"/>
    </row>
    <row r="74" ht="22.5" customHeight="1">
      <c r="A74" s="13" t="s">
        <v>171</v>
      </c>
      <c r="B74" s="13">
        <v>3.0</v>
      </c>
      <c r="C74" s="13">
        <v>58.0</v>
      </c>
      <c r="D74" s="10">
        <v>8.0</v>
      </c>
      <c r="E74" s="10">
        <v>1.3333333333333333</v>
      </c>
      <c r="G74" s="2"/>
    </row>
    <row r="75" ht="22.5" customHeight="1">
      <c r="A75" s="13" t="s">
        <v>210</v>
      </c>
      <c r="B75" s="13">
        <v>5.0</v>
      </c>
      <c r="C75" s="13">
        <v>94.0</v>
      </c>
      <c r="D75" s="10">
        <v>8.0</v>
      </c>
      <c r="E75" s="10">
        <v>0.0</v>
      </c>
      <c r="G75" s="2"/>
    </row>
    <row r="76" ht="22.5" customHeight="1">
      <c r="A76" s="13" t="s">
        <v>219</v>
      </c>
      <c r="B76" s="13">
        <v>1.0</v>
      </c>
      <c r="C76" s="13">
        <v>20.0</v>
      </c>
      <c r="D76" s="10">
        <v>8.0</v>
      </c>
      <c r="E76" s="10">
        <v>0.0</v>
      </c>
      <c r="G76" s="2"/>
    </row>
    <row r="77" ht="22.5" customHeight="1">
      <c r="A77" s="13" t="s">
        <v>220</v>
      </c>
      <c r="B77" s="13">
        <v>5.0</v>
      </c>
      <c r="C77" s="13">
        <v>100.0</v>
      </c>
      <c r="D77" s="10">
        <v>8.0</v>
      </c>
      <c r="E77" s="10">
        <v>1.0</v>
      </c>
      <c r="G77" s="2"/>
    </row>
    <row r="78" ht="22.5" customHeight="1">
      <c r="A78" s="13" t="s">
        <v>233</v>
      </c>
      <c r="B78" s="13">
        <v>4.0</v>
      </c>
      <c r="C78" s="13">
        <v>80.0</v>
      </c>
      <c r="D78" s="10">
        <v>8.0</v>
      </c>
      <c r="E78" s="10">
        <v>0.25</v>
      </c>
      <c r="G78" s="6"/>
    </row>
    <row r="79" ht="22.5" customHeight="1">
      <c r="A79" s="13" t="s">
        <v>239</v>
      </c>
      <c r="B79" s="13">
        <v>1.0</v>
      </c>
      <c r="C79" s="13">
        <v>20.0</v>
      </c>
      <c r="D79" s="10">
        <v>8.0</v>
      </c>
      <c r="E79" s="10">
        <v>0.0</v>
      </c>
      <c r="G79" s="2"/>
    </row>
    <row r="80" ht="22.5" customHeight="1">
      <c r="A80" s="13" t="s">
        <v>241</v>
      </c>
      <c r="B80" s="13">
        <v>2.0</v>
      </c>
      <c r="C80" s="13">
        <v>39.0</v>
      </c>
      <c r="D80" s="10">
        <v>8.0</v>
      </c>
      <c r="E80" s="10">
        <v>0.5</v>
      </c>
      <c r="G80" s="6"/>
    </row>
    <row r="81" ht="22.5" customHeight="1">
      <c r="A81" s="13" t="s">
        <v>245</v>
      </c>
      <c r="B81" s="13">
        <v>3.0</v>
      </c>
      <c r="C81" s="13">
        <v>59.0</v>
      </c>
      <c r="D81" s="10">
        <v>8.0</v>
      </c>
      <c r="E81" s="10">
        <v>1.0</v>
      </c>
      <c r="G81" s="2"/>
    </row>
    <row r="82" ht="22.5" customHeight="1">
      <c r="A82" s="13" t="s">
        <v>246</v>
      </c>
      <c r="B82" s="13">
        <v>1.0</v>
      </c>
      <c r="C82" s="13">
        <v>19.0</v>
      </c>
      <c r="D82" s="10">
        <v>8.0</v>
      </c>
      <c r="E82" s="10">
        <v>0.0</v>
      </c>
      <c r="G82" s="2"/>
    </row>
    <row r="83" ht="22.5" customHeight="1">
      <c r="A83" s="13" t="s">
        <v>249</v>
      </c>
      <c r="B83" s="13">
        <v>5.0</v>
      </c>
      <c r="C83" s="13">
        <v>100.0</v>
      </c>
      <c r="D83" s="10">
        <v>8.0</v>
      </c>
      <c r="E83" s="10">
        <v>0.0</v>
      </c>
      <c r="G83" s="2"/>
    </row>
    <row r="84" ht="22.5" customHeight="1">
      <c r="A84" s="13" t="s">
        <v>252</v>
      </c>
      <c r="B84" s="13">
        <v>3.0</v>
      </c>
      <c r="C84" s="13">
        <v>57.0</v>
      </c>
      <c r="D84" s="10">
        <v>8.0</v>
      </c>
      <c r="E84" s="10">
        <v>0.0</v>
      </c>
      <c r="G84" s="2"/>
    </row>
    <row r="85" ht="22.5" customHeight="1">
      <c r="A85" s="13" t="s">
        <v>254</v>
      </c>
      <c r="B85" s="13">
        <v>5.0</v>
      </c>
      <c r="C85" s="13">
        <v>99.0</v>
      </c>
      <c r="D85" s="10">
        <v>8.0</v>
      </c>
      <c r="E85" s="10">
        <v>1.0</v>
      </c>
      <c r="G85" s="2"/>
    </row>
    <row r="86" ht="22.5" customHeight="1">
      <c r="A86" s="13" t="s">
        <v>256</v>
      </c>
      <c r="B86" s="13">
        <v>1.0</v>
      </c>
      <c r="C86" s="13">
        <v>18.0</v>
      </c>
      <c r="D86" s="10">
        <v>8.0</v>
      </c>
      <c r="E86" s="10">
        <v>0.0</v>
      </c>
      <c r="G86" s="2"/>
    </row>
    <row r="87" ht="22.5" customHeight="1">
      <c r="A87" s="13" t="s">
        <v>258</v>
      </c>
      <c r="B87" s="13">
        <v>3.0</v>
      </c>
      <c r="C87" s="13">
        <v>57.0</v>
      </c>
      <c r="D87" s="10">
        <v>8.0</v>
      </c>
      <c r="E87" s="10">
        <v>0.0</v>
      </c>
      <c r="G87" s="2"/>
    </row>
    <row r="88" ht="22.5" customHeight="1">
      <c r="A88" s="13" t="s">
        <v>260</v>
      </c>
      <c r="B88" s="13">
        <v>5.0</v>
      </c>
      <c r="C88" s="13">
        <v>99.0</v>
      </c>
      <c r="D88" s="10">
        <v>8.0</v>
      </c>
      <c r="E88" s="10">
        <v>0.0</v>
      </c>
      <c r="G88" s="2"/>
    </row>
    <row r="89" ht="22.5" customHeight="1">
      <c r="A89" s="13" t="s">
        <v>261</v>
      </c>
      <c r="B89" s="13">
        <v>3.0</v>
      </c>
      <c r="C89" s="13">
        <v>60.0</v>
      </c>
      <c r="D89" s="10">
        <v>8.0</v>
      </c>
      <c r="E89" s="10">
        <v>0.0</v>
      </c>
      <c r="G89" s="2"/>
    </row>
    <row r="90" ht="22.5" customHeight="1">
      <c r="A90" s="13" t="s">
        <v>5</v>
      </c>
      <c r="B90" s="13">
        <v>5.0</v>
      </c>
      <c r="C90" s="13">
        <v>100.0</v>
      </c>
      <c r="D90" s="10">
        <v>7.199999999999999</v>
      </c>
      <c r="E90" s="10">
        <v>0.4</v>
      </c>
      <c r="G90" s="2"/>
    </row>
    <row r="91" ht="22.5" customHeight="1">
      <c r="A91" s="13" t="s">
        <v>68</v>
      </c>
      <c r="B91" s="13">
        <v>5.0</v>
      </c>
      <c r="C91" s="13">
        <v>96.0</v>
      </c>
      <c r="D91" s="10">
        <v>7.199999999999999</v>
      </c>
      <c r="E91" s="10">
        <v>0.4</v>
      </c>
      <c r="G91" s="2"/>
    </row>
    <row r="92" ht="22.5" customHeight="1">
      <c r="A92" s="13" t="s">
        <v>169</v>
      </c>
      <c r="B92" s="13">
        <v>5.0</v>
      </c>
      <c r="C92" s="13">
        <v>98.0</v>
      </c>
      <c r="D92" s="10">
        <v>7.199999999999999</v>
      </c>
      <c r="E92" s="10">
        <v>0.2</v>
      </c>
      <c r="G92" s="2"/>
    </row>
    <row r="93" ht="22.5" customHeight="1">
      <c r="A93" s="13" t="s">
        <v>199</v>
      </c>
      <c r="B93" s="13">
        <v>5.0</v>
      </c>
      <c r="C93" s="13">
        <v>96.0</v>
      </c>
      <c r="D93" s="10">
        <v>7.199999999999999</v>
      </c>
      <c r="E93" s="10">
        <v>0.6</v>
      </c>
      <c r="G93" s="2"/>
    </row>
    <row r="94" ht="22.5" customHeight="1">
      <c r="A94" s="13" t="s">
        <v>267</v>
      </c>
      <c r="B94" s="13">
        <v>5.0</v>
      </c>
      <c r="C94" s="13">
        <v>98.0</v>
      </c>
      <c r="D94" s="10">
        <v>7.199999999999999</v>
      </c>
      <c r="E94" s="10">
        <v>0.2</v>
      </c>
      <c r="G94" s="2"/>
    </row>
    <row r="95" ht="22.5" customHeight="1">
      <c r="A95" s="13" t="s">
        <v>269</v>
      </c>
      <c r="B95" s="13">
        <v>5.0</v>
      </c>
      <c r="C95" s="13">
        <v>100.0</v>
      </c>
      <c r="D95" s="10">
        <v>7.199999999999999</v>
      </c>
      <c r="E95" s="10">
        <v>0.2</v>
      </c>
      <c r="G95" s="2"/>
    </row>
    <row r="96" ht="22.5" customHeight="1">
      <c r="A96" s="13" t="s">
        <v>271</v>
      </c>
      <c r="B96" s="13">
        <v>5.0</v>
      </c>
      <c r="C96" s="13">
        <v>100.0</v>
      </c>
      <c r="D96" s="10">
        <v>7.199999999999999</v>
      </c>
      <c r="E96" s="10">
        <v>0.0</v>
      </c>
      <c r="G96" s="6"/>
    </row>
    <row r="97" ht="22.5" customHeight="1">
      <c r="A97" s="13" t="s">
        <v>272</v>
      </c>
      <c r="B97" s="13">
        <v>5.0</v>
      </c>
      <c r="C97" s="13">
        <v>100.0</v>
      </c>
      <c r="D97" s="10">
        <v>7.199999999999999</v>
      </c>
      <c r="E97" s="10">
        <v>0.4</v>
      </c>
      <c r="G97" s="2"/>
    </row>
    <row r="98" ht="22.5" customHeight="1">
      <c r="A98" s="13" t="s">
        <v>274</v>
      </c>
      <c r="B98" s="13">
        <v>5.0</v>
      </c>
      <c r="C98" s="13">
        <v>97.0</v>
      </c>
      <c r="D98" s="10">
        <v>7.199999999999999</v>
      </c>
      <c r="E98" s="10">
        <v>0.0</v>
      </c>
      <c r="G98" s="2"/>
    </row>
    <row r="99" ht="22.5" customHeight="1">
      <c r="A99" s="13" t="s">
        <v>152</v>
      </c>
      <c r="B99" s="13">
        <v>4.0</v>
      </c>
      <c r="C99" s="13">
        <v>77.0</v>
      </c>
      <c r="D99" s="10">
        <v>7.0</v>
      </c>
      <c r="E99" s="10">
        <v>0.0</v>
      </c>
      <c r="G99" s="2"/>
    </row>
    <row r="100" ht="22.5" customHeight="1">
      <c r="A100" s="13" t="s">
        <v>276</v>
      </c>
      <c r="B100" s="13">
        <v>4.0</v>
      </c>
      <c r="C100" s="13">
        <v>74.0</v>
      </c>
      <c r="D100" s="10">
        <v>7.0</v>
      </c>
      <c r="E100" s="10">
        <v>0.0</v>
      </c>
      <c r="G100" s="2"/>
    </row>
    <row r="101" ht="22.5" customHeight="1">
      <c r="A101" s="13" t="s">
        <v>278</v>
      </c>
      <c r="B101" s="13">
        <v>4.0</v>
      </c>
      <c r="C101" s="13">
        <v>78.0</v>
      </c>
      <c r="D101" s="10">
        <v>7.0</v>
      </c>
      <c r="E101" s="10">
        <v>0.75</v>
      </c>
      <c r="G101" s="2"/>
    </row>
    <row r="102" ht="22.5" customHeight="1">
      <c r="A102" s="13" t="s">
        <v>187</v>
      </c>
      <c r="B102" s="13">
        <v>3.0</v>
      </c>
      <c r="C102" s="13">
        <v>60.0</v>
      </c>
      <c r="D102" s="10">
        <v>6.666666666666666</v>
      </c>
      <c r="E102" s="10">
        <v>0.3333333333333333</v>
      </c>
      <c r="G102" s="2"/>
    </row>
    <row r="103" ht="22.5" customHeight="1">
      <c r="A103" s="13" t="s">
        <v>240</v>
      </c>
      <c r="B103" s="13">
        <v>3.0</v>
      </c>
      <c r="C103" s="13">
        <v>60.0</v>
      </c>
      <c r="D103" s="10">
        <v>6.666666666666666</v>
      </c>
      <c r="E103" s="10">
        <v>0.0</v>
      </c>
      <c r="G103" s="2"/>
    </row>
    <row r="104" ht="22.5" customHeight="1">
      <c r="A104" s="13" t="s">
        <v>46</v>
      </c>
      <c r="B104" s="13">
        <v>5.0</v>
      </c>
      <c r="C104" s="13">
        <v>99.0</v>
      </c>
      <c r="D104" s="10">
        <v>6.4</v>
      </c>
      <c r="E104" s="10">
        <v>0.2</v>
      </c>
      <c r="G104" s="2"/>
    </row>
    <row r="105" ht="22.5" customHeight="1">
      <c r="A105" s="13" t="s">
        <v>61</v>
      </c>
      <c r="B105" s="13">
        <v>5.0</v>
      </c>
      <c r="C105" s="13">
        <v>97.0</v>
      </c>
      <c r="D105" s="10">
        <v>6.4</v>
      </c>
      <c r="E105" s="10">
        <v>0.0</v>
      </c>
      <c r="G105" s="2"/>
    </row>
    <row r="106" ht="22.5" customHeight="1">
      <c r="A106" s="13" t="s">
        <v>147</v>
      </c>
      <c r="B106" s="13">
        <v>5.0</v>
      </c>
      <c r="C106" s="13">
        <v>100.0</v>
      </c>
      <c r="D106" s="10">
        <v>6.4</v>
      </c>
      <c r="E106" s="10">
        <v>0.0</v>
      </c>
      <c r="G106" s="2"/>
    </row>
    <row r="107" ht="22.5" customHeight="1">
      <c r="A107" s="13" t="s">
        <v>183</v>
      </c>
      <c r="B107" s="13">
        <v>5.0</v>
      </c>
      <c r="C107" s="13">
        <v>97.0</v>
      </c>
      <c r="D107" s="10">
        <v>6.4</v>
      </c>
      <c r="E107" s="10">
        <v>1.0</v>
      </c>
      <c r="G107" s="6"/>
    </row>
    <row r="108" ht="22.5" customHeight="1">
      <c r="A108" s="13" t="s">
        <v>248</v>
      </c>
      <c r="B108" s="13">
        <v>5.0</v>
      </c>
      <c r="C108" s="13">
        <v>100.0</v>
      </c>
      <c r="D108" s="10">
        <v>6.4</v>
      </c>
      <c r="E108" s="10">
        <v>0.8</v>
      </c>
      <c r="G108" s="2"/>
    </row>
    <row r="109" ht="22.5" customHeight="1">
      <c r="A109" s="13" t="s">
        <v>285</v>
      </c>
      <c r="B109" s="13">
        <v>5.0</v>
      </c>
      <c r="C109" s="13">
        <v>98.0</v>
      </c>
      <c r="D109" s="10">
        <v>6.4</v>
      </c>
      <c r="E109" s="10">
        <v>0.0</v>
      </c>
      <c r="G109" s="2"/>
    </row>
    <row r="110" ht="22.5" customHeight="1">
      <c r="A110" s="13" t="s">
        <v>286</v>
      </c>
      <c r="B110" s="13">
        <v>5.0</v>
      </c>
      <c r="C110" s="13">
        <v>98.0</v>
      </c>
      <c r="D110" s="10">
        <v>6.4</v>
      </c>
      <c r="E110" s="10">
        <v>0.8</v>
      </c>
      <c r="G110" s="6"/>
    </row>
    <row r="111" ht="22.5" customHeight="1">
      <c r="A111" s="13" t="s">
        <v>287</v>
      </c>
      <c r="B111" s="13">
        <v>5.0</v>
      </c>
      <c r="C111" s="13">
        <v>99.0</v>
      </c>
      <c r="D111" s="10">
        <v>6.4</v>
      </c>
      <c r="E111" s="10">
        <v>0.2</v>
      </c>
      <c r="G111" s="2"/>
    </row>
    <row r="112" ht="22.5" customHeight="1">
      <c r="A112" s="13" t="s">
        <v>289</v>
      </c>
      <c r="B112" s="13">
        <v>5.0</v>
      </c>
      <c r="C112" s="13">
        <v>99.0</v>
      </c>
      <c r="D112" s="10">
        <v>6.4</v>
      </c>
      <c r="E112" s="10">
        <v>0.0</v>
      </c>
      <c r="G112" s="2"/>
    </row>
    <row r="113" ht="22.5" customHeight="1">
      <c r="A113" s="13" t="s">
        <v>132</v>
      </c>
      <c r="B113" s="13">
        <v>4.0</v>
      </c>
      <c r="C113" s="13">
        <v>74.0</v>
      </c>
      <c r="D113" s="10">
        <v>6.0</v>
      </c>
      <c r="E113" s="10">
        <v>0.25</v>
      </c>
      <c r="G113" s="6"/>
    </row>
    <row r="114" ht="22.5" customHeight="1">
      <c r="A114" s="13" t="s">
        <v>224</v>
      </c>
      <c r="B114" s="13">
        <v>2.0</v>
      </c>
      <c r="C114" s="13">
        <v>40.0</v>
      </c>
      <c r="D114" s="10">
        <v>6.0</v>
      </c>
      <c r="E114" s="10">
        <v>0.0</v>
      </c>
      <c r="G114" s="2"/>
    </row>
    <row r="115" ht="22.5" customHeight="1">
      <c r="A115" s="13" t="s">
        <v>257</v>
      </c>
      <c r="B115" s="13">
        <v>2.0</v>
      </c>
      <c r="C115" s="13">
        <v>36.0</v>
      </c>
      <c r="D115" s="10">
        <v>6.0</v>
      </c>
      <c r="E115" s="10">
        <v>0.0</v>
      </c>
      <c r="G115" s="2"/>
    </row>
    <row r="116" ht="22.5" customHeight="1">
      <c r="A116" s="13" t="s">
        <v>283</v>
      </c>
      <c r="B116" s="13">
        <v>4.0</v>
      </c>
      <c r="C116" s="13">
        <v>80.0</v>
      </c>
      <c r="D116" s="10">
        <v>6.0</v>
      </c>
      <c r="E116" s="10">
        <v>0.0</v>
      </c>
      <c r="G116" s="2"/>
    </row>
    <row r="117" ht="22.5" customHeight="1">
      <c r="A117" s="13" t="s">
        <v>292</v>
      </c>
      <c r="B117" s="13">
        <v>2.0</v>
      </c>
      <c r="C117" s="13">
        <v>40.0</v>
      </c>
      <c r="D117" s="10">
        <v>6.0</v>
      </c>
      <c r="E117" s="10">
        <v>0.0</v>
      </c>
      <c r="G117" s="6"/>
    </row>
    <row r="118" ht="22.5" customHeight="1">
      <c r="A118" s="13" t="s">
        <v>296</v>
      </c>
      <c r="B118" s="13">
        <v>4.0</v>
      </c>
      <c r="C118" s="13">
        <v>77.0</v>
      </c>
      <c r="D118" s="10">
        <v>6.0</v>
      </c>
      <c r="E118" s="10">
        <v>0.0</v>
      </c>
      <c r="G118" s="2"/>
    </row>
    <row r="119" ht="22.5" customHeight="1">
      <c r="A119" s="13" t="s">
        <v>299</v>
      </c>
      <c r="B119" s="13">
        <v>4.0</v>
      </c>
      <c r="C119" s="13">
        <v>76.0</v>
      </c>
      <c r="D119" s="10">
        <v>6.0</v>
      </c>
      <c r="E119" s="10">
        <v>0.25</v>
      </c>
      <c r="G119" s="2"/>
    </row>
    <row r="120" ht="22.5" customHeight="1">
      <c r="A120" s="13" t="s">
        <v>301</v>
      </c>
      <c r="B120" s="13">
        <v>2.0</v>
      </c>
      <c r="C120" s="13">
        <v>40.0</v>
      </c>
      <c r="D120" s="10">
        <v>6.0</v>
      </c>
      <c r="E120" s="10">
        <v>1.0</v>
      </c>
      <c r="G120" s="2"/>
    </row>
    <row r="121" ht="22.5" customHeight="1">
      <c r="A121" s="13" t="s">
        <v>302</v>
      </c>
      <c r="B121" s="13">
        <v>2.0</v>
      </c>
      <c r="C121" s="13">
        <v>40.0</v>
      </c>
      <c r="D121" s="10">
        <v>6.0</v>
      </c>
      <c r="E121" s="10">
        <v>0.0</v>
      </c>
      <c r="G121" s="2"/>
    </row>
    <row r="122" ht="22.5" customHeight="1">
      <c r="A122" s="13" t="s">
        <v>15</v>
      </c>
      <c r="B122" s="13">
        <v>5.0</v>
      </c>
      <c r="C122" s="13">
        <v>99.0</v>
      </c>
      <c r="D122" s="10">
        <v>5.6000000000000005</v>
      </c>
      <c r="E122" s="10">
        <v>0.4</v>
      </c>
      <c r="G122" s="2"/>
    </row>
    <row r="123" ht="22.5" customHeight="1">
      <c r="A123" s="13" t="s">
        <v>111</v>
      </c>
      <c r="B123" s="13">
        <v>5.0</v>
      </c>
      <c r="C123" s="13">
        <v>99.0</v>
      </c>
      <c r="D123" s="10">
        <v>5.6000000000000005</v>
      </c>
      <c r="E123" s="10">
        <v>0.2</v>
      </c>
      <c r="G123" s="2"/>
    </row>
    <row r="124" ht="22.5" customHeight="1">
      <c r="A124" s="13" t="s">
        <v>139</v>
      </c>
      <c r="B124" s="13">
        <v>5.0</v>
      </c>
      <c r="C124" s="13">
        <v>100.0</v>
      </c>
      <c r="D124" s="10">
        <v>5.6000000000000005</v>
      </c>
      <c r="E124" s="10">
        <v>0.6</v>
      </c>
      <c r="G124" s="6"/>
    </row>
    <row r="125" ht="22.5" customHeight="1">
      <c r="A125" s="13" t="s">
        <v>244</v>
      </c>
      <c r="B125" s="13">
        <v>5.0</v>
      </c>
      <c r="C125" s="13">
        <v>100.0</v>
      </c>
      <c r="D125" s="10">
        <v>5.6000000000000005</v>
      </c>
      <c r="E125" s="10">
        <v>0.4</v>
      </c>
      <c r="G125" s="2"/>
    </row>
    <row r="126" ht="22.5" customHeight="1">
      <c r="A126" s="13" t="s">
        <v>265</v>
      </c>
      <c r="B126" s="13">
        <v>5.0</v>
      </c>
      <c r="C126" s="13">
        <v>95.0</v>
      </c>
      <c r="D126" s="10">
        <v>5.6000000000000005</v>
      </c>
      <c r="E126" s="10">
        <v>0.0</v>
      </c>
      <c r="G126" s="2"/>
    </row>
    <row r="127" ht="22.5" customHeight="1">
      <c r="A127" s="13" t="s">
        <v>281</v>
      </c>
      <c r="B127" s="13">
        <v>5.0</v>
      </c>
      <c r="C127" s="13">
        <v>99.0</v>
      </c>
      <c r="D127" s="10">
        <v>5.6000000000000005</v>
      </c>
      <c r="E127" s="10">
        <v>0.2</v>
      </c>
      <c r="G127" s="2"/>
    </row>
    <row r="128" ht="22.5" customHeight="1">
      <c r="A128" s="13" t="s">
        <v>311</v>
      </c>
      <c r="B128" s="13">
        <v>5.0</v>
      </c>
      <c r="C128" s="13">
        <v>98.0</v>
      </c>
      <c r="D128" s="10">
        <v>5.6000000000000005</v>
      </c>
      <c r="E128" s="10">
        <v>0.4</v>
      </c>
      <c r="G128" s="2"/>
    </row>
    <row r="129" ht="22.5" customHeight="1">
      <c r="A129" s="13" t="s">
        <v>312</v>
      </c>
      <c r="B129" s="13">
        <v>5.0</v>
      </c>
      <c r="C129" s="13">
        <v>99.0</v>
      </c>
      <c r="D129" s="10">
        <v>5.6000000000000005</v>
      </c>
      <c r="E129" s="10">
        <v>0.8</v>
      </c>
      <c r="G129" s="2"/>
    </row>
    <row r="130" ht="22.5" customHeight="1">
      <c r="A130" s="13" t="s">
        <v>201</v>
      </c>
      <c r="B130" s="13">
        <v>3.0</v>
      </c>
      <c r="C130" s="13">
        <v>57.0</v>
      </c>
      <c r="D130" s="10">
        <v>5.333333333333333</v>
      </c>
      <c r="E130" s="10">
        <v>0.0</v>
      </c>
      <c r="G130" s="2"/>
    </row>
    <row r="131" ht="22.5" customHeight="1">
      <c r="A131" s="13" t="s">
        <v>217</v>
      </c>
      <c r="B131" s="13">
        <v>3.0</v>
      </c>
      <c r="C131" s="13">
        <v>60.0</v>
      </c>
      <c r="D131" s="10">
        <v>5.333333333333333</v>
      </c>
      <c r="E131" s="10">
        <v>0.3333333333333333</v>
      </c>
      <c r="G131" s="2"/>
    </row>
    <row r="132" ht="22.5" customHeight="1">
      <c r="A132" s="13" t="s">
        <v>263</v>
      </c>
      <c r="B132" s="13">
        <v>3.0</v>
      </c>
      <c r="C132" s="13">
        <v>58.0</v>
      </c>
      <c r="D132" s="10">
        <v>5.333333333333333</v>
      </c>
      <c r="E132" s="10">
        <v>0.0</v>
      </c>
      <c r="G132" s="2"/>
    </row>
    <row r="133" ht="22.5" customHeight="1">
      <c r="A133" s="13" t="s">
        <v>308</v>
      </c>
      <c r="B133" s="13">
        <v>3.0</v>
      </c>
      <c r="C133" s="13">
        <v>55.0</v>
      </c>
      <c r="D133" s="10">
        <v>5.333333333333333</v>
      </c>
      <c r="E133" s="10">
        <v>1.0</v>
      </c>
      <c r="G133" s="2"/>
    </row>
    <row r="134" ht="22.5" customHeight="1">
      <c r="A134" s="13" t="s">
        <v>317</v>
      </c>
      <c r="B134" s="13">
        <v>3.0</v>
      </c>
      <c r="C134" s="13">
        <v>57.0</v>
      </c>
      <c r="D134" s="10">
        <v>5.333333333333333</v>
      </c>
      <c r="E134" s="10">
        <v>0.0</v>
      </c>
      <c r="G134" s="2"/>
    </row>
    <row r="135" ht="22.5" customHeight="1">
      <c r="A135" s="13" t="s">
        <v>51</v>
      </c>
      <c r="B135" s="13">
        <v>4.0</v>
      </c>
      <c r="C135" s="13">
        <v>80.0</v>
      </c>
      <c r="D135" s="10">
        <v>5.0</v>
      </c>
      <c r="E135" s="10">
        <v>0.25</v>
      </c>
      <c r="G135" s="2"/>
    </row>
    <row r="136" ht="22.5" customHeight="1">
      <c r="A136" s="13" t="s">
        <v>100</v>
      </c>
      <c r="B136" s="13">
        <v>4.0</v>
      </c>
      <c r="C136" s="13">
        <v>75.0</v>
      </c>
      <c r="D136" s="10">
        <v>5.0</v>
      </c>
      <c r="E136" s="10">
        <v>0.25</v>
      </c>
      <c r="G136" s="2"/>
    </row>
    <row r="137" ht="22.5" customHeight="1">
      <c r="A137" s="13" t="s">
        <v>264</v>
      </c>
      <c r="B137" s="13">
        <v>4.0</v>
      </c>
      <c r="C137" s="13">
        <v>75.0</v>
      </c>
      <c r="D137" s="10">
        <v>5.0</v>
      </c>
      <c r="E137" s="10">
        <v>0.25</v>
      </c>
      <c r="G137" s="2"/>
    </row>
    <row r="138" ht="22.5" customHeight="1">
      <c r="A138" s="13" t="s">
        <v>291</v>
      </c>
      <c r="B138" s="13">
        <v>4.0</v>
      </c>
      <c r="C138" s="13">
        <v>78.0</v>
      </c>
      <c r="D138" s="10">
        <v>5.0</v>
      </c>
      <c r="E138" s="10">
        <v>0.0</v>
      </c>
      <c r="G138" s="2"/>
    </row>
    <row r="139" ht="22.5" customHeight="1">
      <c r="A139" s="13" t="s">
        <v>306</v>
      </c>
      <c r="B139" s="13">
        <v>4.0</v>
      </c>
      <c r="C139" s="13">
        <v>73.0</v>
      </c>
      <c r="D139" s="10">
        <v>5.0</v>
      </c>
      <c r="E139" s="10">
        <v>0.25</v>
      </c>
      <c r="G139" s="2"/>
    </row>
    <row r="140" ht="22.5" customHeight="1">
      <c r="A140" s="13" t="s">
        <v>322</v>
      </c>
      <c r="B140" s="13">
        <v>4.0</v>
      </c>
      <c r="C140" s="13">
        <v>78.0</v>
      </c>
      <c r="D140" s="10">
        <v>5.0</v>
      </c>
      <c r="E140" s="10">
        <v>0.0</v>
      </c>
      <c r="G140" s="2"/>
    </row>
    <row r="141" ht="22.5" customHeight="1">
      <c r="A141" s="13" t="s">
        <v>324</v>
      </c>
      <c r="B141" s="13">
        <v>4.0</v>
      </c>
      <c r="C141" s="13">
        <v>75.0</v>
      </c>
      <c r="D141" s="10">
        <v>5.0</v>
      </c>
      <c r="E141" s="10">
        <v>0.0</v>
      </c>
      <c r="G141" s="2"/>
    </row>
    <row r="142" ht="22.5" customHeight="1">
      <c r="A142" s="13" t="s">
        <v>327</v>
      </c>
      <c r="B142" s="13">
        <v>4.0</v>
      </c>
      <c r="C142" s="13">
        <v>80.0</v>
      </c>
      <c r="D142" s="10">
        <v>5.0</v>
      </c>
      <c r="E142" s="10">
        <v>0.0</v>
      </c>
      <c r="G142" s="2"/>
    </row>
    <row r="143" ht="22.5" customHeight="1">
      <c r="A143" s="13" t="s">
        <v>128</v>
      </c>
      <c r="B143" s="13">
        <v>5.0</v>
      </c>
      <c r="C143" s="13">
        <v>99.0</v>
      </c>
      <c r="D143" s="10">
        <v>4.8</v>
      </c>
      <c r="E143" s="10">
        <v>0.4</v>
      </c>
      <c r="G143" s="2"/>
    </row>
    <row r="144" ht="22.5" customHeight="1">
      <c r="A144" s="13" t="s">
        <v>214</v>
      </c>
      <c r="B144" s="13">
        <v>5.0</v>
      </c>
      <c r="C144" s="13">
        <v>100.0</v>
      </c>
      <c r="D144" s="10">
        <v>4.8</v>
      </c>
      <c r="E144" s="10">
        <v>1.4000000000000001</v>
      </c>
      <c r="G144" s="2"/>
    </row>
    <row r="145" ht="22.5" customHeight="1">
      <c r="A145" s="13" t="s">
        <v>253</v>
      </c>
      <c r="B145" s="13">
        <v>5.0</v>
      </c>
      <c r="C145" s="13">
        <v>100.0</v>
      </c>
      <c r="D145" s="10">
        <v>4.8</v>
      </c>
      <c r="E145" s="10">
        <v>1.2</v>
      </c>
      <c r="G145" s="2"/>
    </row>
    <row r="146" ht="22.5" customHeight="1">
      <c r="A146" s="13" t="s">
        <v>262</v>
      </c>
      <c r="B146" s="13">
        <v>5.0</v>
      </c>
      <c r="C146" s="13">
        <v>94.0</v>
      </c>
      <c r="D146" s="10">
        <v>4.8</v>
      </c>
      <c r="E146" s="10">
        <v>0.2</v>
      </c>
      <c r="G146" s="2"/>
    </row>
    <row r="147" ht="22.5" customHeight="1">
      <c r="A147" s="13" t="s">
        <v>325</v>
      </c>
      <c r="B147" s="13">
        <v>5.0</v>
      </c>
      <c r="C147" s="13">
        <v>98.0</v>
      </c>
      <c r="D147" s="10">
        <v>4.8</v>
      </c>
      <c r="E147" s="10">
        <v>0.0</v>
      </c>
      <c r="G147" s="2"/>
    </row>
    <row r="148" ht="22.5" customHeight="1">
      <c r="A148" s="13" t="s">
        <v>24</v>
      </c>
      <c r="B148" s="13">
        <v>2.0</v>
      </c>
      <c r="C148" s="13">
        <v>40.0</v>
      </c>
      <c r="D148" s="10">
        <v>4.0</v>
      </c>
      <c r="E148" s="10">
        <v>0.5</v>
      </c>
      <c r="G148" s="2"/>
    </row>
    <row r="149" ht="22.5" customHeight="1">
      <c r="A149" s="13" t="s">
        <v>73</v>
      </c>
      <c r="B149" s="13">
        <v>3.0</v>
      </c>
      <c r="C149" s="13">
        <v>60.0</v>
      </c>
      <c r="D149" s="10">
        <v>4.0</v>
      </c>
      <c r="E149" s="10">
        <v>0.6666666666666666</v>
      </c>
      <c r="G149" s="2"/>
    </row>
    <row r="150" ht="22.5" customHeight="1">
      <c r="A150" s="13" t="s">
        <v>79</v>
      </c>
      <c r="B150" s="13">
        <v>5.0</v>
      </c>
      <c r="C150" s="13">
        <v>95.0</v>
      </c>
      <c r="D150" s="10">
        <v>4.0</v>
      </c>
      <c r="E150" s="10">
        <v>0.4</v>
      </c>
      <c r="G150" s="6"/>
    </row>
    <row r="151" ht="22.5" customHeight="1">
      <c r="A151" s="13" t="s">
        <v>85</v>
      </c>
      <c r="B151" s="13">
        <v>1.0</v>
      </c>
      <c r="C151" s="13">
        <v>20.0</v>
      </c>
      <c r="D151" s="10">
        <v>4.0</v>
      </c>
      <c r="E151" s="10">
        <v>0.0</v>
      </c>
      <c r="G151" s="2"/>
    </row>
    <row r="152" ht="22.5" customHeight="1">
      <c r="A152" s="13" t="s">
        <v>102</v>
      </c>
      <c r="B152" s="13">
        <v>2.0</v>
      </c>
      <c r="C152" s="13">
        <v>40.0</v>
      </c>
      <c r="D152" s="10">
        <v>4.0</v>
      </c>
      <c r="E152" s="10">
        <v>0.5</v>
      </c>
      <c r="G152" s="2"/>
    </row>
    <row r="153" ht="22.5" customHeight="1">
      <c r="A153" s="13" t="s">
        <v>110</v>
      </c>
      <c r="B153" s="13">
        <v>1.0</v>
      </c>
      <c r="C153" s="13">
        <v>20.0</v>
      </c>
      <c r="D153" s="10">
        <v>4.0</v>
      </c>
      <c r="E153" s="10">
        <v>0.0</v>
      </c>
      <c r="G153" s="2"/>
    </row>
    <row r="154" ht="22.5" customHeight="1">
      <c r="A154" s="13" t="s">
        <v>115</v>
      </c>
      <c r="B154" s="13">
        <v>5.0</v>
      </c>
      <c r="C154" s="13">
        <v>99.0</v>
      </c>
      <c r="D154" s="10">
        <v>4.0</v>
      </c>
      <c r="E154" s="10">
        <v>0.0</v>
      </c>
      <c r="G154" s="2"/>
    </row>
    <row r="155" ht="22.5" customHeight="1">
      <c r="A155" s="13" t="s">
        <v>117</v>
      </c>
      <c r="B155" s="13">
        <v>5.0</v>
      </c>
      <c r="C155" s="13">
        <v>99.0</v>
      </c>
      <c r="D155" s="10">
        <v>4.0</v>
      </c>
      <c r="E155" s="10">
        <v>0.2</v>
      </c>
      <c r="G155" s="2"/>
    </row>
    <row r="156" ht="22.5" customHeight="1">
      <c r="A156" s="13" t="s">
        <v>124</v>
      </c>
      <c r="B156" s="13">
        <v>5.0</v>
      </c>
      <c r="C156" s="13">
        <v>99.0</v>
      </c>
      <c r="D156" s="10">
        <v>4.0</v>
      </c>
      <c r="E156" s="10">
        <v>0.0</v>
      </c>
      <c r="G156" s="2"/>
    </row>
    <row r="157" ht="22.5" customHeight="1">
      <c r="A157" s="13" t="s">
        <v>137</v>
      </c>
      <c r="B157" s="13">
        <v>2.0</v>
      </c>
      <c r="C157" s="13">
        <v>36.0</v>
      </c>
      <c r="D157" s="10">
        <v>4.0</v>
      </c>
      <c r="E157" s="10">
        <v>0.0</v>
      </c>
      <c r="G157" s="2"/>
    </row>
    <row r="158" ht="22.5" customHeight="1">
      <c r="A158" s="13" t="s">
        <v>151</v>
      </c>
      <c r="B158" s="13">
        <v>1.0</v>
      </c>
      <c r="C158" s="13">
        <v>17.0</v>
      </c>
      <c r="D158" s="10">
        <v>4.0</v>
      </c>
      <c r="E158" s="10">
        <v>0.0</v>
      </c>
      <c r="G158" s="2"/>
    </row>
    <row r="159" ht="22.5" customHeight="1">
      <c r="A159" s="13" t="s">
        <v>167</v>
      </c>
      <c r="B159" s="13">
        <v>1.0</v>
      </c>
      <c r="C159" s="13">
        <v>20.0</v>
      </c>
      <c r="D159" s="10">
        <v>4.0</v>
      </c>
      <c r="E159" s="10">
        <v>0.0</v>
      </c>
      <c r="G159" s="6"/>
    </row>
    <row r="160" ht="22.5" customHeight="1">
      <c r="A160" s="13" t="s">
        <v>173</v>
      </c>
      <c r="B160" s="13">
        <v>5.0</v>
      </c>
      <c r="C160" s="13">
        <v>98.0</v>
      </c>
      <c r="D160" s="10">
        <v>4.0</v>
      </c>
      <c r="E160" s="10">
        <v>1.0</v>
      </c>
      <c r="G160" s="2"/>
    </row>
    <row r="161" ht="22.5" customHeight="1">
      <c r="A161" s="13" t="s">
        <v>174</v>
      </c>
      <c r="B161" s="13">
        <v>1.0</v>
      </c>
      <c r="C161" s="13">
        <v>20.0</v>
      </c>
      <c r="D161" s="10">
        <v>4.0</v>
      </c>
      <c r="E161" s="10">
        <v>0.0</v>
      </c>
      <c r="G161" s="2"/>
    </row>
    <row r="162" ht="22.5" customHeight="1">
      <c r="A162" s="13" t="s">
        <v>176</v>
      </c>
      <c r="B162" s="13">
        <v>1.0</v>
      </c>
      <c r="C162" s="13">
        <v>20.0</v>
      </c>
      <c r="D162" s="10">
        <v>4.0</v>
      </c>
      <c r="E162" s="10">
        <v>0.0</v>
      </c>
      <c r="G162" s="2"/>
    </row>
    <row r="163" ht="22.5" customHeight="1">
      <c r="A163" s="13" t="s">
        <v>178</v>
      </c>
      <c r="B163" s="13">
        <v>5.0</v>
      </c>
      <c r="C163" s="13">
        <v>97.0</v>
      </c>
      <c r="D163" s="10">
        <v>4.0</v>
      </c>
      <c r="E163" s="10">
        <v>0.6</v>
      </c>
      <c r="G163" s="2"/>
    </row>
    <row r="164" ht="22.5" customHeight="1">
      <c r="A164" s="13" t="s">
        <v>184</v>
      </c>
      <c r="B164" s="13">
        <v>5.0</v>
      </c>
      <c r="C164" s="13">
        <v>96.0</v>
      </c>
      <c r="D164" s="10">
        <v>4.0</v>
      </c>
      <c r="E164" s="10">
        <v>0.0</v>
      </c>
      <c r="G164" s="2"/>
    </row>
    <row r="165" ht="22.5" customHeight="1">
      <c r="A165" s="13" t="s">
        <v>192</v>
      </c>
      <c r="B165" s="13">
        <v>3.0</v>
      </c>
      <c r="C165" s="13">
        <v>60.0</v>
      </c>
      <c r="D165" s="10">
        <v>4.0</v>
      </c>
      <c r="E165" s="10">
        <v>0.0</v>
      </c>
      <c r="G165" s="2"/>
    </row>
    <row r="166" ht="22.5" customHeight="1">
      <c r="A166" s="13" t="s">
        <v>194</v>
      </c>
      <c r="B166" s="13">
        <v>2.0</v>
      </c>
      <c r="C166" s="13">
        <v>39.0</v>
      </c>
      <c r="D166" s="10">
        <v>4.0</v>
      </c>
      <c r="E166" s="10">
        <v>0.0</v>
      </c>
      <c r="G166" s="2"/>
    </row>
    <row r="167" ht="22.5" customHeight="1">
      <c r="A167" s="13" t="s">
        <v>200</v>
      </c>
      <c r="B167" s="13">
        <v>3.0</v>
      </c>
      <c r="C167" s="13">
        <v>60.0</v>
      </c>
      <c r="D167" s="10">
        <v>4.0</v>
      </c>
      <c r="E167" s="10">
        <v>0.0</v>
      </c>
      <c r="G167" s="2"/>
    </row>
    <row r="168" ht="22.5" customHeight="1">
      <c r="A168" s="13" t="s">
        <v>205</v>
      </c>
      <c r="B168" s="13">
        <v>2.0</v>
      </c>
      <c r="C168" s="13">
        <v>40.0</v>
      </c>
      <c r="D168" s="10">
        <v>4.0</v>
      </c>
      <c r="E168" s="10">
        <v>0.0</v>
      </c>
      <c r="G168" s="2"/>
    </row>
    <row r="169" ht="22.5" customHeight="1">
      <c r="A169" s="13" t="s">
        <v>206</v>
      </c>
      <c r="B169" s="13">
        <v>1.0</v>
      </c>
      <c r="C169" s="13">
        <v>20.0</v>
      </c>
      <c r="D169" s="10">
        <v>4.0</v>
      </c>
      <c r="E169" s="10">
        <v>0.0</v>
      </c>
      <c r="G169" s="6"/>
    </row>
    <row r="170" ht="22.5" customHeight="1">
      <c r="A170" s="13" t="s">
        <v>213</v>
      </c>
      <c r="B170" s="13">
        <v>5.0</v>
      </c>
      <c r="C170" s="13">
        <v>94.0</v>
      </c>
      <c r="D170" s="10">
        <v>4.0</v>
      </c>
      <c r="E170" s="10">
        <v>0.2</v>
      </c>
      <c r="G170" s="2"/>
    </row>
    <row r="171" ht="22.5" customHeight="1">
      <c r="A171" s="13" t="s">
        <v>225</v>
      </c>
      <c r="B171" s="13">
        <v>1.0</v>
      </c>
      <c r="C171" s="13">
        <v>20.0</v>
      </c>
      <c r="D171" s="10">
        <v>4.0</v>
      </c>
      <c r="E171" s="10">
        <v>0.0</v>
      </c>
      <c r="G171" s="2"/>
    </row>
    <row r="172" ht="22.5" customHeight="1">
      <c r="A172" s="13" t="s">
        <v>227</v>
      </c>
      <c r="B172" s="13">
        <v>5.0</v>
      </c>
      <c r="C172" s="13">
        <v>96.0</v>
      </c>
      <c r="D172" s="10">
        <v>4.0</v>
      </c>
      <c r="E172" s="10">
        <v>0.0</v>
      </c>
      <c r="G172" s="2"/>
    </row>
    <row r="173" ht="22.5" customHeight="1">
      <c r="A173" s="13" t="s">
        <v>234</v>
      </c>
      <c r="B173" s="13">
        <v>2.0</v>
      </c>
      <c r="C173" s="13">
        <v>37.0</v>
      </c>
      <c r="D173" s="10">
        <v>4.0</v>
      </c>
      <c r="E173" s="10">
        <v>0.0</v>
      </c>
      <c r="G173" s="2"/>
    </row>
    <row r="174" ht="22.5" customHeight="1">
      <c r="A174" s="13" t="s">
        <v>237</v>
      </c>
      <c r="B174" s="13">
        <v>1.0</v>
      </c>
      <c r="C174" s="13">
        <v>20.0</v>
      </c>
      <c r="D174" s="10">
        <v>4.0</v>
      </c>
      <c r="E174" s="10">
        <v>0.0</v>
      </c>
      <c r="G174" s="2"/>
    </row>
    <row r="175" ht="22.5" customHeight="1">
      <c r="A175" s="13" t="s">
        <v>251</v>
      </c>
      <c r="B175" s="13">
        <v>1.0</v>
      </c>
      <c r="C175" s="13">
        <v>20.0</v>
      </c>
      <c r="D175" s="10">
        <v>4.0</v>
      </c>
      <c r="E175" s="10">
        <v>0.0</v>
      </c>
      <c r="G175" s="2"/>
    </row>
    <row r="176" ht="22.5" customHeight="1">
      <c r="A176" s="13" t="s">
        <v>268</v>
      </c>
      <c r="B176" s="13">
        <v>1.0</v>
      </c>
      <c r="C176" s="13">
        <v>20.0</v>
      </c>
      <c r="D176" s="10">
        <v>4.0</v>
      </c>
      <c r="E176" s="10">
        <v>0.0</v>
      </c>
      <c r="G176" s="6"/>
    </row>
    <row r="177" ht="22.5" customHeight="1">
      <c r="A177" s="13" t="s">
        <v>282</v>
      </c>
      <c r="B177" s="13">
        <v>3.0</v>
      </c>
      <c r="C177" s="13">
        <v>60.0</v>
      </c>
      <c r="D177" s="10">
        <v>4.0</v>
      </c>
      <c r="E177" s="10">
        <v>0.0</v>
      </c>
      <c r="G177" s="2"/>
    </row>
    <row r="178" ht="22.5" customHeight="1">
      <c r="A178" s="13" t="s">
        <v>284</v>
      </c>
      <c r="B178" s="13">
        <v>2.0</v>
      </c>
      <c r="C178" s="13">
        <v>40.0</v>
      </c>
      <c r="D178" s="10">
        <v>4.0</v>
      </c>
      <c r="E178" s="10">
        <v>0.0</v>
      </c>
      <c r="G178" s="2"/>
    </row>
    <row r="179" ht="22.5" customHeight="1">
      <c r="A179" s="13" t="s">
        <v>298</v>
      </c>
      <c r="B179" s="13">
        <v>3.0</v>
      </c>
      <c r="C179" s="13">
        <v>57.0</v>
      </c>
      <c r="D179" s="10">
        <v>4.0</v>
      </c>
      <c r="E179" s="10">
        <v>0.0</v>
      </c>
      <c r="G179" s="2"/>
    </row>
    <row r="180" ht="22.5" customHeight="1">
      <c r="A180" s="13" t="s">
        <v>300</v>
      </c>
      <c r="B180" s="13">
        <v>4.0</v>
      </c>
      <c r="C180" s="13">
        <v>77.0</v>
      </c>
      <c r="D180" s="10">
        <v>4.0</v>
      </c>
      <c r="E180" s="10">
        <v>0.75</v>
      </c>
      <c r="G180" s="6"/>
    </row>
    <row r="181" ht="22.5" customHeight="1">
      <c r="A181" s="16" t="s">
        <v>138</v>
      </c>
      <c r="B181" s="13">
        <v>1.0</v>
      </c>
      <c r="C181" s="13">
        <v>20.0</v>
      </c>
      <c r="D181" s="10">
        <v>4.0</v>
      </c>
      <c r="E181" s="10">
        <v>2.0</v>
      </c>
      <c r="G181" s="2"/>
    </row>
    <row r="182" ht="22.5" customHeight="1">
      <c r="A182" s="13" t="s">
        <v>303</v>
      </c>
      <c r="B182" s="13">
        <v>2.0</v>
      </c>
      <c r="C182" s="13">
        <v>40.0</v>
      </c>
      <c r="D182" s="10">
        <v>4.0</v>
      </c>
      <c r="E182" s="10">
        <v>0.0</v>
      </c>
      <c r="G182" s="2"/>
    </row>
    <row r="183" ht="22.5" customHeight="1">
      <c r="A183" s="13" t="s">
        <v>304</v>
      </c>
      <c r="B183" s="13">
        <v>4.0</v>
      </c>
      <c r="C183" s="13">
        <v>78.0</v>
      </c>
      <c r="D183" s="10">
        <v>4.0</v>
      </c>
      <c r="E183" s="10">
        <v>0.25</v>
      </c>
      <c r="G183" s="2"/>
    </row>
    <row r="184" ht="22.5" customHeight="1">
      <c r="A184" s="13" t="s">
        <v>305</v>
      </c>
      <c r="B184" s="13">
        <v>1.0</v>
      </c>
      <c r="C184" s="13">
        <v>19.0</v>
      </c>
      <c r="D184" s="10">
        <v>4.0</v>
      </c>
      <c r="E184" s="10">
        <v>0.0</v>
      </c>
      <c r="G184" s="6"/>
    </row>
    <row r="185" ht="22.5" customHeight="1">
      <c r="A185" s="13" t="s">
        <v>309</v>
      </c>
      <c r="B185" s="13">
        <v>2.0</v>
      </c>
      <c r="C185" s="13">
        <v>36.0</v>
      </c>
      <c r="D185" s="10">
        <v>4.0</v>
      </c>
      <c r="E185" s="10">
        <v>0.0</v>
      </c>
      <c r="G185" s="6"/>
    </row>
    <row r="186" ht="22.5" customHeight="1">
      <c r="A186" s="13" t="s">
        <v>316</v>
      </c>
      <c r="B186" s="13">
        <v>4.0</v>
      </c>
      <c r="C186" s="13">
        <v>79.0</v>
      </c>
      <c r="D186" s="10">
        <v>4.0</v>
      </c>
      <c r="E186" s="10">
        <v>0.25</v>
      </c>
      <c r="G186" s="2"/>
    </row>
    <row r="187" ht="22.5" customHeight="1">
      <c r="A187" s="13" t="s">
        <v>334</v>
      </c>
      <c r="B187" s="13">
        <v>1.0</v>
      </c>
      <c r="C187" s="13">
        <v>20.0</v>
      </c>
      <c r="D187" s="10">
        <v>4.0</v>
      </c>
      <c r="E187" s="10">
        <v>0.0</v>
      </c>
      <c r="G187" s="2"/>
    </row>
    <row r="188" ht="22.5" customHeight="1">
      <c r="A188" s="13" t="s">
        <v>321</v>
      </c>
      <c r="B188" s="13">
        <v>4.0</v>
      </c>
      <c r="C188" s="13">
        <v>79.0</v>
      </c>
      <c r="D188" s="10">
        <v>4.0</v>
      </c>
      <c r="E188" s="10">
        <v>0.0</v>
      </c>
      <c r="G188" s="2"/>
    </row>
    <row r="189" ht="22.5" customHeight="1">
      <c r="A189" s="13" t="s">
        <v>332</v>
      </c>
      <c r="B189" s="13">
        <v>2.0</v>
      </c>
      <c r="C189" s="13">
        <v>38.0</v>
      </c>
      <c r="D189" s="10">
        <v>4.0</v>
      </c>
      <c r="E189" s="10">
        <v>0.0</v>
      </c>
      <c r="G189" s="2"/>
    </row>
    <row r="190" ht="22.5" customHeight="1">
      <c r="A190" s="13" t="s">
        <v>339</v>
      </c>
      <c r="B190" s="13">
        <v>1.0</v>
      </c>
      <c r="C190" s="13">
        <v>20.0</v>
      </c>
      <c r="D190" s="10">
        <v>4.0</v>
      </c>
      <c r="E190" s="10">
        <v>0.0</v>
      </c>
      <c r="G190" s="2"/>
    </row>
    <row r="191" ht="22.5" customHeight="1">
      <c r="A191" s="13" t="s">
        <v>340</v>
      </c>
      <c r="B191" s="13">
        <v>2.0</v>
      </c>
      <c r="C191" s="13">
        <v>40.0</v>
      </c>
      <c r="D191" s="10">
        <v>4.0</v>
      </c>
      <c r="E191" s="10">
        <v>0.0</v>
      </c>
      <c r="G191" s="2"/>
    </row>
    <row r="192" ht="22.5" customHeight="1">
      <c r="A192" s="13" t="s">
        <v>343</v>
      </c>
      <c r="B192" s="13">
        <v>5.0</v>
      </c>
      <c r="C192" s="13">
        <v>100.0</v>
      </c>
      <c r="D192" s="10">
        <v>4.0</v>
      </c>
      <c r="E192" s="10">
        <v>0.4</v>
      </c>
      <c r="G192" s="2"/>
    </row>
    <row r="193" ht="22.5" customHeight="1">
      <c r="A193" s="13" t="s">
        <v>59</v>
      </c>
      <c r="B193" s="13">
        <v>5.0</v>
      </c>
      <c r="C193" s="13">
        <v>97.0</v>
      </c>
      <c r="D193" s="10">
        <v>3.2</v>
      </c>
      <c r="E193" s="10">
        <v>0.0</v>
      </c>
      <c r="G193" s="2"/>
    </row>
    <row r="194" ht="22.5" customHeight="1">
      <c r="A194" s="13" t="s">
        <v>96</v>
      </c>
      <c r="B194" s="13">
        <v>5.0</v>
      </c>
      <c r="C194" s="13">
        <v>95.0</v>
      </c>
      <c r="D194" s="10">
        <v>3.2</v>
      </c>
      <c r="E194" s="10">
        <v>1.0</v>
      </c>
      <c r="G194" s="2"/>
    </row>
    <row r="195" ht="22.5" customHeight="1">
      <c r="A195" s="13" t="s">
        <v>197</v>
      </c>
      <c r="B195" s="13">
        <v>5.0</v>
      </c>
      <c r="C195" s="13">
        <v>96.0</v>
      </c>
      <c r="D195" s="10">
        <v>3.2</v>
      </c>
      <c r="E195" s="10">
        <v>0.4</v>
      </c>
      <c r="G195" s="2"/>
    </row>
    <row r="196" ht="22.5" customHeight="1">
      <c r="A196" s="13" t="s">
        <v>232</v>
      </c>
      <c r="B196" s="13">
        <v>5.0</v>
      </c>
      <c r="C196" s="13">
        <v>96.0</v>
      </c>
      <c r="D196" s="10">
        <v>3.2</v>
      </c>
      <c r="E196" s="10">
        <v>0.4</v>
      </c>
      <c r="G196" s="2"/>
    </row>
    <row r="197" ht="22.5" customHeight="1">
      <c r="A197" s="13" t="s">
        <v>293</v>
      </c>
      <c r="B197" s="13">
        <v>5.0</v>
      </c>
      <c r="C197" s="13">
        <v>100.0</v>
      </c>
      <c r="D197" s="10">
        <v>3.2</v>
      </c>
      <c r="E197" s="10">
        <v>0.6</v>
      </c>
      <c r="G197" s="2"/>
    </row>
    <row r="198" ht="22.5" customHeight="1">
      <c r="A198" s="13" t="s">
        <v>320</v>
      </c>
      <c r="B198" s="13">
        <v>5.0</v>
      </c>
      <c r="C198" s="13">
        <v>99.0</v>
      </c>
      <c r="D198" s="10">
        <v>3.2</v>
      </c>
      <c r="E198" s="10">
        <v>0.0</v>
      </c>
      <c r="G198" s="2"/>
    </row>
    <row r="199" ht="22.5" customHeight="1">
      <c r="A199" s="13" t="s">
        <v>330</v>
      </c>
      <c r="B199" s="13">
        <v>5.0</v>
      </c>
      <c r="C199" s="13">
        <v>98.0</v>
      </c>
      <c r="D199" s="10">
        <v>3.2</v>
      </c>
      <c r="E199" s="10">
        <v>0.2</v>
      </c>
      <c r="G199" s="6"/>
    </row>
    <row r="200" ht="22.5" customHeight="1">
      <c r="A200" s="13" t="s">
        <v>337</v>
      </c>
      <c r="B200" s="13">
        <v>5.0</v>
      </c>
      <c r="C200" s="13">
        <v>97.0</v>
      </c>
      <c r="D200" s="10">
        <v>3.2</v>
      </c>
      <c r="E200" s="10">
        <v>0.8</v>
      </c>
      <c r="G200" s="2"/>
    </row>
    <row r="201" ht="22.5" customHeight="1">
      <c r="A201" s="13" t="s">
        <v>345</v>
      </c>
      <c r="B201" s="13">
        <v>5.0</v>
      </c>
      <c r="C201" s="13">
        <v>95.0</v>
      </c>
      <c r="D201" s="10">
        <v>3.2</v>
      </c>
      <c r="E201" s="10">
        <v>1.0</v>
      </c>
      <c r="G201" s="2"/>
    </row>
    <row r="202" ht="22.5" customHeight="1">
      <c r="A202" s="13" t="s">
        <v>130</v>
      </c>
      <c r="B202" s="13">
        <v>4.0</v>
      </c>
      <c r="C202" s="13">
        <v>80.0</v>
      </c>
      <c r="D202" s="10">
        <v>3.0</v>
      </c>
      <c r="E202" s="10">
        <v>0.5</v>
      </c>
      <c r="G202" s="6"/>
    </row>
    <row r="203" ht="22.5" customHeight="1">
      <c r="A203" s="13" t="s">
        <v>189</v>
      </c>
      <c r="B203" s="13">
        <v>4.0</v>
      </c>
      <c r="C203" s="13">
        <v>80.0</v>
      </c>
      <c r="D203" s="10">
        <v>3.0</v>
      </c>
      <c r="E203" s="10">
        <v>0.25</v>
      </c>
      <c r="G203" s="2"/>
    </row>
    <row r="204" ht="22.5" customHeight="1">
      <c r="A204" s="13" t="s">
        <v>259</v>
      </c>
      <c r="B204" s="13">
        <v>4.0</v>
      </c>
      <c r="C204" s="13">
        <v>76.0</v>
      </c>
      <c r="D204" s="10">
        <v>3.0</v>
      </c>
      <c r="E204" s="10">
        <v>0.25</v>
      </c>
      <c r="G204" s="2"/>
    </row>
    <row r="205" ht="22.5" customHeight="1">
      <c r="A205" s="13" t="s">
        <v>331</v>
      </c>
      <c r="B205" s="13">
        <v>4.0</v>
      </c>
      <c r="C205" s="13">
        <v>78.0</v>
      </c>
      <c r="D205" s="10">
        <v>3.0</v>
      </c>
      <c r="E205" s="10">
        <v>0.25</v>
      </c>
      <c r="G205" s="2"/>
    </row>
    <row r="206" ht="22.5" customHeight="1">
      <c r="A206" s="13" t="s">
        <v>179</v>
      </c>
      <c r="B206" s="13">
        <v>3.0</v>
      </c>
      <c r="C206" s="13">
        <v>57.0</v>
      </c>
      <c r="D206" s="10">
        <v>2.6666666666666665</v>
      </c>
      <c r="E206" s="10">
        <v>1.0</v>
      </c>
      <c r="G206" s="2"/>
    </row>
    <row r="207" ht="22.5" customHeight="1">
      <c r="A207" s="13" t="s">
        <v>238</v>
      </c>
      <c r="B207" s="13">
        <v>3.0</v>
      </c>
      <c r="C207" s="13">
        <v>60.0</v>
      </c>
      <c r="D207" s="10">
        <v>2.6666666666666665</v>
      </c>
      <c r="E207" s="10">
        <v>0.3333333333333333</v>
      </c>
      <c r="G207" s="6"/>
    </row>
    <row r="208" ht="22.5" customHeight="1">
      <c r="A208" s="13" t="s">
        <v>314</v>
      </c>
      <c r="B208" s="13">
        <v>3.0</v>
      </c>
      <c r="C208" s="13">
        <v>59.0</v>
      </c>
      <c r="D208" s="10">
        <v>2.6666666666666665</v>
      </c>
      <c r="E208" s="10">
        <v>0.3333333333333333</v>
      </c>
      <c r="G208" s="2"/>
    </row>
    <row r="209" ht="22.5" customHeight="1">
      <c r="A209" s="13" t="s">
        <v>328</v>
      </c>
      <c r="B209" s="13">
        <v>3.0</v>
      </c>
      <c r="C209" s="13">
        <v>60.0</v>
      </c>
      <c r="D209" s="10">
        <v>2.6666666666666665</v>
      </c>
      <c r="E209" s="10">
        <v>0.0</v>
      </c>
      <c r="G209" s="2"/>
    </row>
    <row r="210" ht="22.5" customHeight="1">
      <c r="A210" s="13" t="s">
        <v>2</v>
      </c>
      <c r="B210" s="13">
        <v>5.0</v>
      </c>
      <c r="C210" s="13">
        <v>100.0</v>
      </c>
      <c r="D210" s="10">
        <v>2.4</v>
      </c>
      <c r="E210" s="10">
        <v>1.4000000000000001</v>
      </c>
      <c r="G210" s="2"/>
    </row>
    <row r="211" ht="22.5" customHeight="1">
      <c r="A211" s="13" t="s">
        <v>40</v>
      </c>
      <c r="B211" s="13">
        <v>5.0</v>
      </c>
      <c r="C211" s="13">
        <v>99.0</v>
      </c>
      <c r="D211" s="10">
        <v>2.4</v>
      </c>
      <c r="E211" s="10">
        <v>1.2</v>
      </c>
      <c r="G211" s="6"/>
    </row>
    <row r="212" ht="22.5" customHeight="1">
      <c r="A212" s="13" t="s">
        <v>71</v>
      </c>
      <c r="B212" s="13">
        <v>5.0</v>
      </c>
      <c r="C212" s="13">
        <v>96.0</v>
      </c>
      <c r="D212" s="10">
        <v>2.4</v>
      </c>
      <c r="E212" s="10">
        <v>0.8</v>
      </c>
      <c r="G212" s="2"/>
    </row>
    <row r="213" ht="22.5" customHeight="1">
      <c r="A213" s="13" t="s">
        <v>273</v>
      </c>
      <c r="B213" s="13">
        <v>5.0</v>
      </c>
      <c r="C213" s="13">
        <v>94.0</v>
      </c>
      <c r="D213" s="10">
        <v>2.4</v>
      </c>
      <c r="E213" s="10">
        <v>0.2</v>
      </c>
      <c r="G213" s="2"/>
    </row>
    <row r="214" ht="22.5" customHeight="1">
      <c r="A214" s="13" t="s">
        <v>277</v>
      </c>
      <c r="B214" s="13">
        <v>5.0</v>
      </c>
      <c r="C214" s="13">
        <v>99.0</v>
      </c>
      <c r="D214" s="10">
        <v>2.4</v>
      </c>
      <c r="E214" s="10">
        <v>0.8</v>
      </c>
      <c r="G214" s="2"/>
    </row>
    <row r="215" ht="22.5" customHeight="1">
      <c r="A215" s="13" t="s">
        <v>279</v>
      </c>
      <c r="B215" s="13">
        <v>5.0</v>
      </c>
      <c r="C215" s="13">
        <v>99.0</v>
      </c>
      <c r="D215" s="10">
        <v>2.4</v>
      </c>
      <c r="E215" s="10">
        <v>1.0</v>
      </c>
      <c r="G215" s="2"/>
    </row>
    <row r="216" ht="22.5" customHeight="1">
      <c r="A216" s="13" t="s">
        <v>346</v>
      </c>
      <c r="B216" s="13">
        <v>5.0</v>
      </c>
      <c r="C216" s="13">
        <v>95.0</v>
      </c>
      <c r="D216" s="10">
        <v>2.4</v>
      </c>
      <c r="E216" s="10">
        <v>0.6</v>
      </c>
      <c r="G216" s="6"/>
    </row>
    <row r="217" ht="22.5" customHeight="1">
      <c r="A217" s="13" t="s">
        <v>55</v>
      </c>
      <c r="B217" s="13">
        <v>2.0</v>
      </c>
      <c r="C217" s="13">
        <v>37.0</v>
      </c>
      <c r="D217" s="10">
        <v>2.0</v>
      </c>
      <c r="E217" s="10">
        <v>0.0</v>
      </c>
      <c r="G217" s="2"/>
    </row>
    <row r="218" ht="22.5" customHeight="1">
      <c r="A218" s="13" t="s">
        <v>65</v>
      </c>
      <c r="B218" s="13">
        <v>2.0</v>
      </c>
      <c r="C218" s="13">
        <v>36.0</v>
      </c>
      <c r="D218" s="10">
        <v>2.0</v>
      </c>
      <c r="E218" s="10">
        <v>0.0</v>
      </c>
      <c r="G218" s="2"/>
    </row>
    <row r="219" ht="22.5" customHeight="1">
      <c r="A219" s="13" t="s">
        <v>92</v>
      </c>
      <c r="B219" s="13">
        <v>4.0</v>
      </c>
      <c r="C219" s="13">
        <v>75.0</v>
      </c>
      <c r="D219" s="10">
        <v>2.0</v>
      </c>
      <c r="E219" s="10">
        <v>0.5</v>
      </c>
      <c r="G219" s="2"/>
    </row>
    <row r="220" ht="22.5" customHeight="1">
      <c r="A220" s="13" t="s">
        <v>108</v>
      </c>
      <c r="B220" s="13">
        <v>2.0</v>
      </c>
      <c r="C220" s="13">
        <v>40.0</v>
      </c>
      <c r="D220" s="10">
        <v>2.0</v>
      </c>
      <c r="E220" s="10">
        <v>0.0</v>
      </c>
      <c r="G220" s="2"/>
    </row>
    <row r="221" ht="22.5" customHeight="1">
      <c r="A221" s="13" t="s">
        <v>198</v>
      </c>
      <c r="B221" s="13">
        <v>2.0</v>
      </c>
      <c r="C221" s="13">
        <v>39.0</v>
      </c>
      <c r="D221" s="10">
        <v>2.0</v>
      </c>
      <c r="E221" s="10">
        <v>0.0</v>
      </c>
      <c r="G221" s="2"/>
    </row>
    <row r="222" ht="22.5" customHeight="1">
      <c r="A222" s="13" t="s">
        <v>236</v>
      </c>
      <c r="B222" s="13">
        <v>2.0</v>
      </c>
      <c r="C222" s="13">
        <v>40.0</v>
      </c>
      <c r="D222" s="10">
        <v>2.0</v>
      </c>
      <c r="E222" s="10">
        <v>0.0</v>
      </c>
      <c r="G222" s="2"/>
    </row>
    <row r="223" ht="22.5" customHeight="1">
      <c r="A223" s="13" t="s">
        <v>266</v>
      </c>
      <c r="B223" s="13">
        <v>4.0</v>
      </c>
      <c r="C223" s="13">
        <v>79.0</v>
      </c>
      <c r="D223" s="10">
        <v>2.0</v>
      </c>
      <c r="E223" s="10">
        <v>0.75</v>
      </c>
      <c r="G223" s="2"/>
    </row>
    <row r="224" ht="22.5" customHeight="1">
      <c r="A224" s="13" t="s">
        <v>275</v>
      </c>
      <c r="B224" s="13">
        <v>4.0</v>
      </c>
      <c r="C224" s="13">
        <v>74.0</v>
      </c>
      <c r="D224" s="10">
        <v>2.0</v>
      </c>
      <c r="E224" s="10">
        <v>0.25</v>
      </c>
      <c r="G224" s="2"/>
    </row>
    <row r="225" ht="22.5" customHeight="1">
      <c r="A225" s="13" t="s">
        <v>310</v>
      </c>
      <c r="B225" s="13">
        <v>2.0</v>
      </c>
      <c r="C225" s="13">
        <v>36.0</v>
      </c>
      <c r="D225" s="10">
        <v>2.0</v>
      </c>
      <c r="E225" s="10">
        <v>0.0</v>
      </c>
      <c r="G225" s="2"/>
    </row>
    <row r="226" ht="22.5" customHeight="1">
      <c r="A226" s="13" t="s">
        <v>313</v>
      </c>
      <c r="B226" s="13">
        <v>2.0</v>
      </c>
      <c r="C226" s="13">
        <v>37.0</v>
      </c>
      <c r="D226" s="10">
        <v>2.0</v>
      </c>
      <c r="E226" s="10">
        <v>0.0</v>
      </c>
      <c r="G226" s="2"/>
    </row>
    <row r="227" ht="22.5" customHeight="1">
      <c r="A227" s="13" t="s">
        <v>333</v>
      </c>
      <c r="B227" s="13">
        <v>4.0</v>
      </c>
      <c r="C227" s="13">
        <v>75.0</v>
      </c>
      <c r="D227" s="10">
        <v>2.0</v>
      </c>
      <c r="E227" s="10">
        <v>0.25</v>
      </c>
      <c r="G227" s="2"/>
    </row>
    <row r="228" ht="22.5" customHeight="1">
      <c r="A228" s="13" t="s">
        <v>348</v>
      </c>
      <c r="B228" s="13">
        <v>2.0</v>
      </c>
      <c r="C228" s="13">
        <v>39.0</v>
      </c>
      <c r="D228" s="10">
        <v>2.0</v>
      </c>
      <c r="E228" s="10">
        <v>0.0</v>
      </c>
      <c r="G228" s="2"/>
    </row>
    <row r="229" ht="22.5" customHeight="1">
      <c r="A229" s="13" t="s">
        <v>341</v>
      </c>
      <c r="B229" s="13">
        <v>2.0</v>
      </c>
      <c r="C229" s="13">
        <v>39.0</v>
      </c>
      <c r="D229" s="10">
        <v>2.0</v>
      </c>
      <c r="E229" s="10">
        <v>0.0</v>
      </c>
      <c r="G229" s="2"/>
    </row>
    <row r="230" ht="22.5" customHeight="1">
      <c r="A230" s="13" t="s">
        <v>342</v>
      </c>
      <c r="B230" s="13">
        <v>2.0</v>
      </c>
      <c r="C230" s="13">
        <v>40.0</v>
      </c>
      <c r="D230" s="10">
        <v>2.0</v>
      </c>
      <c r="E230" s="10">
        <v>0.0</v>
      </c>
      <c r="G230" s="2"/>
    </row>
    <row r="231" ht="22.5" customHeight="1">
      <c r="A231" s="13" t="s">
        <v>209</v>
      </c>
      <c r="B231" s="13">
        <v>5.0</v>
      </c>
      <c r="C231" s="13">
        <v>94.0</v>
      </c>
      <c r="D231" s="10">
        <v>1.6</v>
      </c>
      <c r="E231" s="10">
        <v>0.2</v>
      </c>
      <c r="G231" s="2"/>
    </row>
    <row r="232" ht="22.5" customHeight="1">
      <c r="A232" s="13" t="s">
        <v>255</v>
      </c>
      <c r="B232" s="13">
        <v>5.0</v>
      </c>
      <c r="C232" s="13">
        <v>100.0</v>
      </c>
      <c r="D232" s="10">
        <v>1.6</v>
      </c>
      <c r="E232" s="10">
        <v>0.8</v>
      </c>
      <c r="G232" s="2"/>
    </row>
    <row r="233" ht="22.5" customHeight="1">
      <c r="A233" s="13" t="s">
        <v>38</v>
      </c>
      <c r="B233" s="13">
        <v>3.0</v>
      </c>
      <c r="C233" s="13">
        <v>59.0</v>
      </c>
      <c r="D233" s="10">
        <v>1.3333333333333333</v>
      </c>
      <c r="E233" s="10">
        <v>0.0</v>
      </c>
      <c r="G233" s="2"/>
    </row>
    <row r="234" ht="22.5" customHeight="1">
      <c r="A234" s="13" t="s">
        <v>156</v>
      </c>
      <c r="B234" s="13">
        <v>3.0</v>
      </c>
      <c r="C234" s="13">
        <v>57.0</v>
      </c>
      <c r="D234" s="10">
        <v>1.3333333333333333</v>
      </c>
      <c r="E234" s="10">
        <v>0.0</v>
      </c>
      <c r="G234" s="2"/>
    </row>
    <row r="235" ht="22.5" customHeight="1">
      <c r="A235" s="13" t="s">
        <v>250</v>
      </c>
      <c r="B235" s="13">
        <v>3.0</v>
      </c>
      <c r="C235" s="13">
        <v>60.0</v>
      </c>
      <c r="D235" s="10">
        <v>1.3333333333333333</v>
      </c>
      <c r="E235" s="10">
        <v>0.3333333333333333</v>
      </c>
      <c r="G235" s="2"/>
    </row>
    <row r="236" ht="22.5" customHeight="1">
      <c r="A236" s="13" t="s">
        <v>335</v>
      </c>
      <c r="B236" s="13">
        <v>3.0</v>
      </c>
      <c r="C236" s="13">
        <v>59.0</v>
      </c>
      <c r="D236" s="10">
        <v>1.3333333333333333</v>
      </c>
      <c r="E236" s="10">
        <v>0.3333333333333333</v>
      </c>
      <c r="G236" s="2"/>
    </row>
    <row r="237" ht="22.5" customHeight="1">
      <c r="A237" s="13" t="s">
        <v>11</v>
      </c>
      <c r="B237" s="13">
        <v>4.0</v>
      </c>
      <c r="C237" s="13">
        <v>80.0</v>
      </c>
      <c r="D237" s="10">
        <v>1.0</v>
      </c>
      <c r="E237" s="10">
        <v>0.5</v>
      </c>
      <c r="G237" s="2"/>
    </row>
    <row r="238" ht="22.5" customHeight="1">
      <c r="A238" s="13" t="s">
        <v>162</v>
      </c>
      <c r="B238" s="13">
        <v>4.0</v>
      </c>
      <c r="C238" s="13">
        <v>80.0</v>
      </c>
      <c r="D238" s="10">
        <v>1.0</v>
      </c>
      <c r="E238" s="10">
        <v>0.5</v>
      </c>
      <c r="G238" s="2"/>
    </row>
    <row r="239" ht="22.5" customHeight="1">
      <c r="A239" s="13" t="s">
        <v>191</v>
      </c>
      <c r="B239" s="13">
        <v>4.0</v>
      </c>
      <c r="C239" s="13">
        <v>80.0</v>
      </c>
      <c r="D239" s="10">
        <v>1.0</v>
      </c>
      <c r="E239" s="10">
        <v>0.25</v>
      </c>
      <c r="G239" s="2"/>
    </row>
    <row r="240" ht="22.5" customHeight="1">
      <c r="A240" s="13" t="s">
        <v>226</v>
      </c>
      <c r="B240" s="13">
        <v>4.0</v>
      </c>
      <c r="C240" s="13">
        <v>76.0</v>
      </c>
      <c r="D240" s="10">
        <v>1.0</v>
      </c>
      <c r="E240" s="10">
        <v>0.25</v>
      </c>
      <c r="G240" s="2"/>
    </row>
    <row r="241" ht="22.5" customHeight="1">
      <c r="A241" s="13" t="s">
        <v>229</v>
      </c>
      <c r="B241" s="13">
        <v>4.0</v>
      </c>
      <c r="C241" s="13">
        <v>76.0</v>
      </c>
      <c r="D241" s="10">
        <v>1.0</v>
      </c>
      <c r="E241" s="10">
        <v>0.25</v>
      </c>
      <c r="G241" s="2"/>
    </row>
    <row r="242" ht="22.5" customHeight="1">
      <c r="A242" s="13" t="s">
        <v>235</v>
      </c>
      <c r="B242" s="13">
        <v>4.0</v>
      </c>
      <c r="C242" s="13">
        <v>77.0</v>
      </c>
      <c r="D242" s="10">
        <v>1.0</v>
      </c>
      <c r="E242" s="10">
        <v>0.0</v>
      </c>
      <c r="G242" s="6"/>
    </row>
    <row r="243" ht="22.5" customHeight="1">
      <c r="A243" s="13" t="s">
        <v>315</v>
      </c>
      <c r="B243" s="13">
        <v>4.0</v>
      </c>
      <c r="C243" s="13">
        <v>79.0</v>
      </c>
      <c r="D243" s="10">
        <v>1.0</v>
      </c>
      <c r="E243" s="10">
        <v>1.5</v>
      </c>
      <c r="G243" s="2"/>
    </row>
    <row r="244" ht="22.5" customHeight="1">
      <c r="A244" s="13" t="s">
        <v>329</v>
      </c>
      <c r="B244" s="13">
        <v>4.0</v>
      </c>
      <c r="C244" s="13">
        <v>78.0</v>
      </c>
      <c r="D244" s="10">
        <v>1.0</v>
      </c>
      <c r="E244" s="10">
        <v>0.0</v>
      </c>
      <c r="G244" s="2"/>
    </row>
    <row r="245" ht="22.5" customHeight="1">
      <c r="A245" s="13" t="s">
        <v>211</v>
      </c>
      <c r="B245" s="13">
        <v>5.0</v>
      </c>
      <c r="C245" s="13">
        <v>94.0</v>
      </c>
      <c r="D245" s="10">
        <v>0.8</v>
      </c>
      <c r="E245" s="10">
        <v>0.0</v>
      </c>
      <c r="G245" s="2"/>
    </row>
    <row r="246" ht="22.5" customHeight="1">
      <c r="A246" s="13" t="s">
        <v>222</v>
      </c>
      <c r="B246" s="13">
        <v>5.0</v>
      </c>
      <c r="C246" s="13">
        <v>100.0</v>
      </c>
      <c r="D246" s="10">
        <v>0.8</v>
      </c>
      <c r="E246" s="10">
        <v>1.0</v>
      </c>
      <c r="G246" s="2"/>
    </row>
    <row r="247" ht="22.5" customHeight="1">
      <c r="A247" s="13" t="s">
        <v>323</v>
      </c>
      <c r="B247" s="13">
        <v>5.0</v>
      </c>
      <c r="C247" s="13">
        <v>99.0</v>
      </c>
      <c r="D247" s="10">
        <v>0.8</v>
      </c>
      <c r="E247" s="10">
        <v>0.6</v>
      </c>
      <c r="G247" s="2"/>
    </row>
    <row r="248" ht="22.5" customHeight="1">
      <c r="A248" s="13" t="s">
        <v>344</v>
      </c>
      <c r="B248" s="13">
        <v>5.0</v>
      </c>
      <c r="C248" s="13">
        <v>98.0</v>
      </c>
      <c r="D248" s="10">
        <v>0.8</v>
      </c>
      <c r="E248" s="10">
        <v>0.8</v>
      </c>
      <c r="G248" s="2"/>
    </row>
    <row r="249" ht="22.5" customHeight="1">
      <c r="A249" s="13" t="s">
        <v>0</v>
      </c>
      <c r="B249" s="13">
        <v>1.0</v>
      </c>
      <c r="C249" s="13">
        <v>20.0</v>
      </c>
      <c r="D249" s="10">
        <v>0.0</v>
      </c>
      <c r="E249" s="10">
        <v>0.0</v>
      </c>
      <c r="G249" s="2"/>
    </row>
    <row r="250" ht="22.5" customHeight="1">
      <c r="A250" s="13" t="s">
        <v>12</v>
      </c>
      <c r="B250" s="13">
        <v>3.0</v>
      </c>
      <c r="C250" s="13">
        <v>60.0</v>
      </c>
      <c r="D250" s="10">
        <v>0.0</v>
      </c>
      <c r="E250" s="10">
        <v>0.3333333333333333</v>
      </c>
      <c r="G250" s="6"/>
    </row>
    <row r="251" ht="22.5" customHeight="1">
      <c r="A251" s="13" t="s">
        <v>142</v>
      </c>
      <c r="B251" s="13">
        <v>1.0</v>
      </c>
      <c r="C251" s="13">
        <v>20.0</v>
      </c>
      <c r="D251" s="10">
        <v>0.0</v>
      </c>
      <c r="E251" s="10">
        <v>0.0</v>
      </c>
      <c r="G251" s="2"/>
    </row>
    <row r="252" ht="22.5" customHeight="1">
      <c r="A252" s="13" t="s">
        <v>160</v>
      </c>
      <c r="B252" s="13">
        <v>1.0</v>
      </c>
      <c r="C252" s="13">
        <v>20.0</v>
      </c>
      <c r="D252" s="10">
        <v>0.0</v>
      </c>
      <c r="E252" s="10">
        <v>0.0</v>
      </c>
      <c r="G252" s="2"/>
    </row>
    <row r="253" ht="22.5" customHeight="1">
      <c r="A253" s="13" t="s">
        <v>177</v>
      </c>
      <c r="B253" s="13">
        <v>1.0</v>
      </c>
      <c r="C253" s="13">
        <v>20.0</v>
      </c>
      <c r="D253" s="10">
        <v>0.0</v>
      </c>
      <c r="E253" s="10">
        <v>0.0</v>
      </c>
      <c r="G253" s="2"/>
    </row>
    <row r="254" ht="22.5" customHeight="1">
      <c r="A254" s="13" t="s">
        <v>196</v>
      </c>
      <c r="B254" s="13">
        <v>1.0</v>
      </c>
      <c r="C254" s="13">
        <v>20.0</v>
      </c>
      <c r="D254" s="10">
        <v>0.0</v>
      </c>
      <c r="E254" s="10">
        <v>0.0</v>
      </c>
      <c r="G254" s="2"/>
    </row>
    <row r="255" ht="22.5" customHeight="1">
      <c r="A255" s="13" t="s">
        <v>203</v>
      </c>
      <c r="B255" s="13">
        <v>1.0</v>
      </c>
      <c r="C255" s="13">
        <v>20.0</v>
      </c>
      <c r="D255" s="10">
        <v>0.0</v>
      </c>
      <c r="E255" s="10">
        <v>0.0</v>
      </c>
      <c r="G255" s="2"/>
    </row>
    <row r="256" ht="22.5" customHeight="1">
      <c r="A256" s="13" t="s">
        <v>242</v>
      </c>
      <c r="B256" s="13">
        <v>1.0</v>
      </c>
      <c r="C256" s="13">
        <v>20.0</v>
      </c>
      <c r="D256" s="10">
        <v>0.0</v>
      </c>
      <c r="E256" s="10">
        <v>0.0</v>
      </c>
      <c r="G256" s="2"/>
    </row>
    <row r="257" ht="22.5" customHeight="1">
      <c r="A257" s="13" t="s">
        <v>270</v>
      </c>
      <c r="B257" s="13">
        <v>2.0</v>
      </c>
      <c r="C257" s="13">
        <v>40.0</v>
      </c>
      <c r="D257" s="10">
        <v>0.0</v>
      </c>
      <c r="E257" s="10">
        <v>0.5</v>
      </c>
      <c r="G257" s="2"/>
    </row>
    <row r="258" ht="22.5" customHeight="1">
      <c r="A258" s="13" t="s">
        <v>297</v>
      </c>
      <c r="B258" s="13">
        <v>5.0</v>
      </c>
      <c r="C258" s="13">
        <v>98.0</v>
      </c>
      <c r="D258" s="10">
        <v>0.0</v>
      </c>
      <c r="E258" s="10">
        <v>0.8</v>
      </c>
      <c r="G258" s="2"/>
    </row>
    <row r="259" ht="22.5" customHeight="1">
      <c r="A259" s="13" t="s">
        <v>318</v>
      </c>
      <c r="B259" s="13">
        <v>1.0</v>
      </c>
      <c r="C259" s="13">
        <v>20.0</v>
      </c>
      <c r="D259" s="10">
        <v>0.0</v>
      </c>
      <c r="E259" s="10">
        <v>0.0</v>
      </c>
      <c r="G259" s="6"/>
    </row>
    <row r="260" ht="22.5" customHeight="1">
      <c r="A260" s="13" t="s">
        <v>319</v>
      </c>
      <c r="B260" s="13">
        <v>1.0</v>
      </c>
      <c r="C260" s="13">
        <v>19.0</v>
      </c>
      <c r="D260" s="10">
        <v>0.0</v>
      </c>
      <c r="E260" s="10">
        <v>0.0</v>
      </c>
      <c r="G260" s="2"/>
    </row>
    <row r="261" ht="22.5" customHeight="1">
      <c r="A261" s="13" t="s">
        <v>326</v>
      </c>
      <c r="B261" s="13">
        <v>3.0</v>
      </c>
      <c r="C261" s="13">
        <v>60.0</v>
      </c>
      <c r="D261" s="10">
        <v>0.0</v>
      </c>
      <c r="E261" s="10">
        <v>1.0</v>
      </c>
      <c r="G261" s="6"/>
    </row>
    <row r="262" ht="22.5" customHeight="1">
      <c r="A262" s="13" t="s">
        <v>338</v>
      </c>
      <c r="B262" s="13">
        <v>2.0</v>
      </c>
      <c r="C262" s="13">
        <v>40.0</v>
      </c>
      <c r="D262" s="10">
        <v>0.0</v>
      </c>
      <c r="E262" s="10">
        <v>0.5</v>
      </c>
      <c r="G262" s="2"/>
    </row>
    <row r="263" ht="22.5" customHeight="1">
      <c r="A263" s="13" t="s">
        <v>347</v>
      </c>
      <c r="B263" s="13">
        <v>5.0</v>
      </c>
      <c r="C263" s="13">
        <v>95.0</v>
      </c>
      <c r="D263" s="10">
        <v>-0.8</v>
      </c>
      <c r="E263" s="10">
        <v>2.0</v>
      </c>
      <c r="G263" s="2"/>
    </row>
    <row r="264" ht="22.5" customHeight="1">
      <c r="A264" s="13" t="s">
        <v>295</v>
      </c>
      <c r="B264" s="13">
        <v>4.0</v>
      </c>
      <c r="C264" s="13">
        <v>79.0</v>
      </c>
      <c r="D264" s="10">
        <v>-1.0</v>
      </c>
      <c r="E264" s="10">
        <v>1.25</v>
      </c>
      <c r="G264" s="2"/>
    </row>
    <row r="265" ht="22.5" customHeight="1">
      <c r="A265" s="13" t="s">
        <v>349</v>
      </c>
      <c r="B265" s="13">
        <v>3.0</v>
      </c>
      <c r="C265" s="13">
        <v>57.0</v>
      </c>
      <c r="D265" s="10">
        <v>-1.3333333333333333</v>
      </c>
      <c r="E265" s="10">
        <v>0.6666666666666666</v>
      </c>
      <c r="G265" s="2"/>
    </row>
    <row r="266" ht="22.5" customHeight="1">
      <c r="A266" s="13" t="s">
        <v>20</v>
      </c>
      <c r="B266" s="13">
        <v>2.0</v>
      </c>
      <c r="C266" s="13">
        <v>39.0</v>
      </c>
      <c r="D266" s="10">
        <v>-2.0</v>
      </c>
      <c r="E266" s="10">
        <v>0.5</v>
      </c>
      <c r="G266" s="6"/>
    </row>
    <row r="267" ht="22.5" customHeight="1">
      <c r="A267" s="13" t="s">
        <v>336</v>
      </c>
      <c r="B267" s="13">
        <v>2.0</v>
      </c>
      <c r="C267" s="13">
        <v>39.0</v>
      </c>
      <c r="D267" s="10">
        <v>-2.0</v>
      </c>
      <c r="E267" s="10">
        <v>0.5</v>
      </c>
      <c r="G267" s="6"/>
    </row>
    <row r="268" ht="22.5" customHeight="1">
      <c r="A268" s="13" t="s">
        <v>208</v>
      </c>
      <c r="B268" s="13">
        <v>1.0</v>
      </c>
      <c r="C268" s="13">
        <v>20.0</v>
      </c>
      <c r="D268" s="10">
        <v>-4.0</v>
      </c>
      <c r="E268" s="10">
        <v>1.0</v>
      </c>
      <c r="G268" s="2"/>
    </row>
    <row r="269" ht="22.5" customHeight="1">
      <c r="A269" s="13" t="s">
        <v>280</v>
      </c>
      <c r="B269" s="13">
        <v>1.0</v>
      </c>
      <c r="C269" s="13">
        <v>20.0</v>
      </c>
      <c r="D269" s="10">
        <v>-4.0</v>
      </c>
      <c r="E269" s="10">
        <v>1.0</v>
      </c>
      <c r="G269" s="2"/>
    </row>
    <row r="270" ht="22.5" customHeight="1">
      <c r="A270" s="13" t="s">
        <v>243</v>
      </c>
      <c r="B270" s="13">
        <v>1.0</v>
      </c>
      <c r="C270" s="13">
        <v>20.0</v>
      </c>
      <c r="D270" s="10">
        <v>-4.0</v>
      </c>
      <c r="E270" s="10">
        <v>1.0</v>
      </c>
      <c r="G270" s="2"/>
    </row>
    <row r="271" ht="22.5" customHeight="1">
      <c r="A271" s="13" t="s">
        <v>290</v>
      </c>
      <c r="B271" s="13">
        <v>1.0</v>
      </c>
      <c r="C271" s="13">
        <v>20.0</v>
      </c>
      <c r="D271" s="10">
        <v>-4.0</v>
      </c>
      <c r="E271" s="10">
        <v>1.0</v>
      </c>
      <c r="G271" s="2"/>
    </row>
    <row r="272" ht="22.5" customHeight="1">
      <c r="A272" s="13" t="s">
        <v>88</v>
      </c>
      <c r="B272" s="13">
        <v>3.0</v>
      </c>
      <c r="C272" s="13">
        <v>55.0</v>
      </c>
      <c r="D272" s="10">
        <v>-5.333333333333333</v>
      </c>
      <c r="E272" s="10">
        <v>2.0</v>
      </c>
      <c r="G272" s="6"/>
    </row>
    <row r="273" ht="22.5" customHeight="1">
      <c r="A273" s="13" t="s">
        <v>288</v>
      </c>
      <c r="B273" s="13">
        <v>1.0</v>
      </c>
      <c r="C273" s="13">
        <v>20.0</v>
      </c>
      <c r="D273" s="10">
        <v>-8.0</v>
      </c>
      <c r="E273" s="10">
        <v>2.0</v>
      </c>
      <c r="G273" s="2"/>
    </row>
    <row r="274">
      <c r="D274" s="4"/>
      <c r="E274" s="4"/>
      <c r="G274" s="6"/>
    </row>
    <row r="275">
      <c r="D275" s="4"/>
      <c r="E275" s="4"/>
      <c r="G275" s="2"/>
    </row>
    <row r="276">
      <c r="D276" s="4"/>
      <c r="E276" s="4"/>
      <c r="G276" s="2"/>
    </row>
    <row r="277">
      <c r="D277" s="4"/>
      <c r="E277" s="4"/>
      <c r="G277" s="2"/>
    </row>
    <row r="278">
      <c r="D278" s="4"/>
      <c r="E278" s="4"/>
      <c r="G278" s="2"/>
    </row>
    <row r="279">
      <c r="D279" s="4"/>
      <c r="E279" s="4"/>
      <c r="G279" s="2"/>
    </row>
    <row r="280">
      <c r="D280" s="4"/>
      <c r="E280" s="4"/>
      <c r="G280" s="2"/>
    </row>
    <row r="281">
      <c r="D281" s="4"/>
      <c r="E281" s="4"/>
      <c r="G281" s="6"/>
    </row>
    <row r="282">
      <c r="D282" s="4"/>
      <c r="E282" s="4"/>
      <c r="G282" s="2"/>
    </row>
    <row r="283">
      <c r="D283" s="4"/>
      <c r="E283" s="4"/>
      <c r="G283" s="2"/>
    </row>
    <row r="284">
      <c r="D284" s="4"/>
      <c r="E284" s="4"/>
      <c r="G284" s="2"/>
    </row>
    <row r="285">
      <c r="D285" s="4"/>
      <c r="E285" s="4"/>
      <c r="G285" s="2"/>
    </row>
    <row r="286">
      <c r="D286" s="4"/>
      <c r="E286" s="4"/>
      <c r="G286" s="6"/>
    </row>
    <row r="287">
      <c r="D287" s="4"/>
      <c r="E287" s="4"/>
      <c r="G287" s="2"/>
    </row>
    <row r="288">
      <c r="D288" s="4"/>
      <c r="E288" s="4"/>
      <c r="G288" s="6"/>
    </row>
    <row r="289">
      <c r="D289" s="4"/>
      <c r="E289" s="4"/>
      <c r="G289" s="2"/>
    </row>
    <row r="290">
      <c r="D290" s="4"/>
      <c r="E290" s="4"/>
      <c r="G290" s="6"/>
    </row>
    <row r="291">
      <c r="D291" s="4"/>
      <c r="E291" s="4"/>
      <c r="G291" s="2"/>
    </row>
    <row r="292">
      <c r="D292" s="4"/>
      <c r="E292" s="4"/>
      <c r="G292" s="2"/>
    </row>
    <row r="293">
      <c r="D293" s="4"/>
      <c r="E293" s="4"/>
      <c r="G293" s="2"/>
    </row>
    <row r="294">
      <c r="D294" s="4"/>
      <c r="E294" s="4"/>
      <c r="G294" s="2"/>
    </row>
    <row r="295">
      <c r="D295" s="4"/>
      <c r="E295" s="4"/>
      <c r="G295" s="2"/>
    </row>
    <row r="296">
      <c r="D296" s="4"/>
      <c r="E296" s="4"/>
      <c r="G296" s="2"/>
    </row>
    <row r="297">
      <c r="D297" s="4"/>
      <c r="E297" s="4"/>
      <c r="G297" s="2"/>
    </row>
    <row r="298">
      <c r="D298" s="4"/>
      <c r="E298" s="4"/>
      <c r="G298" s="2"/>
    </row>
    <row r="299">
      <c r="D299" s="4"/>
      <c r="E299" s="4"/>
      <c r="G299" s="6"/>
    </row>
    <row r="300">
      <c r="D300" s="4"/>
      <c r="E300" s="4"/>
      <c r="G300" s="2"/>
    </row>
    <row r="301">
      <c r="D301" s="4"/>
      <c r="E301" s="4"/>
      <c r="G301" s="6"/>
    </row>
    <row r="302">
      <c r="D302" s="4"/>
      <c r="E302" s="4"/>
      <c r="G302" s="2"/>
    </row>
    <row r="303">
      <c r="D303" s="4"/>
      <c r="E303" s="4"/>
      <c r="G303" s="2"/>
    </row>
    <row r="304">
      <c r="D304" s="4"/>
      <c r="E304" s="4"/>
      <c r="G304" s="2"/>
    </row>
    <row r="305">
      <c r="D305" s="4"/>
      <c r="E305" s="4"/>
      <c r="G305" s="2"/>
    </row>
    <row r="306">
      <c r="D306" s="4"/>
      <c r="E306" s="4"/>
      <c r="G306" s="2"/>
    </row>
    <row r="307">
      <c r="D307" s="4"/>
      <c r="E307" s="4"/>
      <c r="G307" s="2"/>
    </row>
    <row r="308">
      <c r="D308" s="4"/>
      <c r="E308" s="4"/>
      <c r="G308" s="2"/>
    </row>
    <row r="309">
      <c r="D309" s="4"/>
      <c r="E309" s="4"/>
      <c r="G309" s="2"/>
    </row>
    <row r="310">
      <c r="D310" s="4"/>
      <c r="E310" s="4"/>
      <c r="G310" s="6"/>
    </row>
    <row r="311">
      <c r="D311" s="4"/>
      <c r="E311" s="4"/>
      <c r="G311" s="2"/>
    </row>
    <row r="312">
      <c r="D312" s="4"/>
      <c r="E312" s="4"/>
      <c r="G312" s="6"/>
    </row>
    <row r="313">
      <c r="D313" s="4"/>
      <c r="E313" s="4"/>
      <c r="G313" s="2"/>
    </row>
    <row r="314">
      <c r="D314" s="4"/>
      <c r="E314" s="4"/>
      <c r="G314" s="2"/>
    </row>
    <row r="315">
      <c r="D315" s="4"/>
      <c r="E315" s="4"/>
      <c r="G315" s="2"/>
    </row>
    <row r="316">
      <c r="D316" s="4"/>
      <c r="E316" s="4"/>
      <c r="G316" s="2"/>
    </row>
    <row r="317">
      <c r="D317" s="4"/>
      <c r="E317" s="4"/>
      <c r="G317" s="2"/>
    </row>
    <row r="318">
      <c r="D318" s="4"/>
      <c r="E318" s="4"/>
      <c r="G318" s="2"/>
    </row>
    <row r="319">
      <c r="D319" s="4"/>
      <c r="E319" s="4"/>
      <c r="G319" s="2"/>
    </row>
    <row r="320">
      <c r="D320" s="4"/>
      <c r="E320" s="4"/>
      <c r="G320" s="2"/>
    </row>
    <row r="321">
      <c r="D321" s="4"/>
      <c r="E321" s="4"/>
      <c r="G321" s="2"/>
    </row>
    <row r="322">
      <c r="D322" s="4"/>
      <c r="E322" s="4"/>
      <c r="G322" s="2"/>
    </row>
    <row r="323">
      <c r="D323" s="4"/>
      <c r="E323" s="4"/>
      <c r="G323" s="2"/>
    </row>
    <row r="324">
      <c r="D324" s="4"/>
      <c r="E324" s="4"/>
      <c r="G324" s="2"/>
    </row>
    <row r="325">
      <c r="D325" s="4"/>
      <c r="E325" s="4"/>
      <c r="G325" s="2"/>
    </row>
    <row r="326">
      <c r="D326" s="4"/>
      <c r="E326" s="4"/>
      <c r="G326" s="2"/>
    </row>
    <row r="327">
      <c r="D327" s="4"/>
      <c r="E327" s="4"/>
      <c r="G327" s="2"/>
    </row>
    <row r="328">
      <c r="D328" s="4"/>
      <c r="E328" s="4"/>
      <c r="G328" s="2"/>
    </row>
    <row r="329">
      <c r="D329" s="4"/>
      <c r="E329" s="4"/>
      <c r="G329" s="2"/>
    </row>
    <row r="330">
      <c r="D330" s="4"/>
      <c r="E330" s="4"/>
      <c r="G330" s="2"/>
    </row>
    <row r="331">
      <c r="D331" s="4"/>
      <c r="E331" s="4"/>
      <c r="G331" s="2"/>
    </row>
    <row r="332">
      <c r="D332" s="4"/>
      <c r="E332" s="4"/>
      <c r="G332" s="2"/>
    </row>
    <row r="333">
      <c r="D333" s="4"/>
      <c r="E333" s="4"/>
      <c r="G333" s="6"/>
    </row>
    <row r="334">
      <c r="D334" s="4"/>
      <c r="E334" s="4"/>
      <c r="G334" s="6"/>
    </row>
    <row r="335">
      <c r="D335" s="4"/>
      <c r="E335" s="4"/>
      <c r="G335" s="2"/>
    </row>
    <row r="336">
      <c r="D336" s="4"/>
      <c r="E336" s="4"/>
      <c r="G336" s="2"/>
    </row>
    <row r="337">
      <c r="D337" s="4"/>
      <c r="E337" s="4"/>
      <c r="G337" s="2"/>
    </row>
    <row r="338">
      <c r="D338" s="4"/>
      <c r="E338" s="4"/>
      <c r="G338" s="2"/>
    </row>
    <row r="339">
      <c r="D339" s="4"/>
      <c r="E339" s="4"/>
      <c r="G339" s="2"/>
    </row>
    <row r="340">
      <c r="D340" s="4"/>
      <c r="E340" s="4"/>
      <c r="G340" s="2"/>
    </row>
    <row r="341">
      <c r="D341" s="4"/>
      <c r="E341" s="4"/>
      <c r="G341" s="6"/>
    </row>
    <row r="342">
      <c r="D342" s="4"/>
      <c r="E342" s="4"/>
      <c r="G342" s="2"/>
    </row>
    <row r="343">
      <c r="D343" s="4"/>
      <c r="E343" s="4"/>
      <c r="G343" s="2"/>
    </row>
    <row r="344">
      <c r="D344" s="4"/>
      <c r="E344" s="4"/>
      <c r="G344" s="2"/>
    </row>
    <row r="345">
      <c r="D345" s="4"/>
      <c r="E345" s="4"/>
      <c r="G345" s="2"/>
    </row>
    <row r="346">
      <c r="D346" s="4"/>
      <c r="E346" s="4"/>
      <c r="G346" s="2"/>
    </row>
    <row r="347">
      <c r="D347" s="4"/>
      <c r="E347" s="4"/>
      <c r="G347" s="2"/>
    </row>
    <row r="348">
      <c r="D348" s="4"/>
      <c r="E348" s="4"/>
      <c r="G348" s="2"/>
    </row>
    <row r="349">
      <c r="D349" s="4"/>
      <c r="E349" s="4"/>
      <c r="G349" s="2"/>
    </row>
    <row r="350">
      <c r="D350" s="4"/>
      <c r="E350" s="4"/>
      <c r="G350" s="2"/>
    </row>
    <row r="351">
      <c r="D351" s="4"/>
      <c r="E351" s="4"/>
      <c r="G351" s="2"/>
    </row>
    <row r="352">
      <c r="D352" s="4"/>
      <c r="E352" s="4"/>
      <c r="G352" s="2"/>
    </row>
    <row r="353">
      <c r="D353" s="4"/>
      <c r="E353" s="4"/>
      <c r="G353" s="2"/>
    </row>
    <row r="354">
      <c r="D354" s="4"/>
      <c r="E354" s="4"/>
      <c r="G354" s="2"/>
    </row>
    <row r="355">
      <c r="D355" s="4"/>
      <c r="E355" s="4"/>
      <c r="G355" s="2"/>
    </row>
    <row r="356">
      <c r="D356" s="4"/>
      <c r="E356" s="4"/>
      <c r="G356" s="6"/>
    </row>
    <row r="357">
      <c r="D357" s="4"/>
      <c r="E357" s="4"/>
      <c r="G357" s="2"/>
    </row>
    <row r="358">
      <c r="D358" s="4"/>
      <c r="E358" s="4"/>
      <c r="G358" s="2"/>
    </row>
    <row r="359">
      <c r="D359" s="4"/>
      <c r="E359" s="4"/>
      <c r="G359" s="2"/>
    </row>
    <row r="360">
      <c r="D360" s="4"/>
      <c r="E360" s="4"/>
      <c r="G360" s="2"/>
    </row>
    <row r="361">
      <c r="D361" s="4"/>
      <c r="E361" s="4"/>
      <c r="G361" s="6"/>
    </row>
    <row r="362">
      <c r="D362" s="4"/>
      <c r="E362" s="4"/>
      <c r="G362" s="2"/>
    </row>
    <row r="363">
      <c r="D363" s="4"/>
      <c r="E363" s="4"/>
      <c r="G363" s="2"/>
    </row>
    <row r="364">
      <c r="D364" s="4"/>
      <c r="E364" s="4"/>
      <c r="G364" s="2"/>
    </row>
    <row r="365">
      <c r="D365" s="4"/>
      <c r="E365" s="4"/>
      <c r="G365" s="2"/>
    </row>
    <row r="366">
      <c r="D366" s="4"/>
      <c r="E366" s="4"/>
      <c r="G366" s="2"/>
    </row>
    <row r="367">
      <c r="D367" s="4"/>
      <c r="E367" s="4"/>
      <c r="G367" s="2"/>
    </row>
    <row r="368">
      <c r="D368" s="4"/>
      <c r="E368" s="4"/>
      <c r="G368" s="2"/>
    </row>
    <row r="369">
      <c r="D369" s="4"/>
      <c r="E369" s="4"/>
      <c r="G369" s="2"/>
    </row>
    <row r="370">
      <c r="D370" s="4"/>
      <c r="E370" s="4"/>
      <c r="G370" s="2"/>
    </row>
    <row r="371">
      <c r="D371" s="4"/>
      <c r="E371" s="4"/>
      <c r="G371" s="2"/>
    </row>
    <row r="372">
      <c r="D372" s="4"/>
      <c r="E372" s="4"/>
      <c r="G372" s="2"/>
    </row>
    <row r="373">
      <c r="D373" s="4"/>
      <c r="E373" s="4"/>
      <c r="G373" s="2"/>
    </row>
    <row r="374">
      <c r="D374" s="4"/>
      <c r="E374" s="4"/>
      <c r="G374" s="2"/>
    </row>
    <row r="375">
      <c r="D375" s="4"/>
      <c r="E375" s="4"/>
      <c r="G375" s="2"/>
    </row>
    <row r="376">
      <c r="D376" s="4"/>
      <c r="E376" s="4"/>
      <c r="G376" s="2"/>
    </row>
    <row r="377">
      <c r="D377" s="4"/>
      <c r="E377" s="4"/>
      <c r="G377" s="2"/>
    </row>
    <row r="378">
      <c r="D378" s="4"/>
      <c r="E378" s="4"/>
      <c r="G378" s="2"/>
    </row>
    <row r="379">
      <c r="D379" s="4"/>
      <c r="E379" s="4"/>
      <c r="G379" s="2"/>
    </row>
    <row r="380">
      <c r="D380" s="4"/>
      <c r="E380" s="4"/>
      <c r="G380" s="2"/>
    </row>
    <row r="381">
      <c r="D381" s="4"/>
      <c r="E381" s="4"/>
      <c r="G381" s="2"/>
    </row>
    <row r="382">
      <c r="D382" s="4"/>
      <c r="E382" s="4"/>
      <c r="G382" s="2"/>
    </row>
    <row r="383">
      <c r="D383" s="4"/>
      <c r="E383" s="4"/>
      <c r="G383" s="2"/>
    </row>
    <row r="384">
      <c r="D384" s="4"/>
      <c r="E384" s="4"/>
      <c r="G384" s="2"/>
    </row>
    <row r="385">
      <c r="D385" s="4"/>
      <c r="E385" s="4"/>
      <c r="G385" s="2"/>
    </row>
    <row r="386">
      <c r="D386" s="4"/>
      <c r="E386" s="4"/>
      <c r="G386" s="2"/>
    </row>
    <row r="387">
      <c r="D387" s="4"/>
      <c r="E387" s="4"/>
      <c r="G387" s="2"/>
    </row>
    <row r="388">
      <c r="D388" s="4"/>
      <c r="E388" s="4"/>
      <c r="G388" s="2"/>
    </row>
    <row r="389">
      <c r="D389" s="4"/>
      <c r="E389" s="4"/>
      <c r="G389" s="2"/>
    </row>
    <row r="390">
      <c r="D390" s="4"/>
      <c r="E390" s="4"/>
      <c r="G390" s="2"/>
    </row>
    <row r="391">
      <c r="D391" s="4"/>
      <c r="E391" s="4"/>
      <c r="G391" s="6"/>
    </row>
    <row r="392">
      <c r="D392" s="4"/>
      <c r="E392" s="4"/>
      <c r="G392" s="2"/>
    </row>
    <row r="393">
      <c r="D393" s="4"/>
      <c r="E393" s="4"/>
      <c r="G393" s="2"/>
    </row>
    <row r="394">
      <c r="D394" s="4"/>
      <c r="E394" s="4"/>
      <c r="G394" s="2"/>
    </row>
    <row r="395">
      <c r="D395" s="4"/>
      <c r="E395" s="4"/>
      <c r="G395" s="2"/>
    </row>
    <row r="396">
      <c r="D396" s="4"/>
      <c r="E396" s="4"/>
      <c r="G396" s="2"/>
    </row>
    <row r="397">
      <c r="D397" s="4"/>
      <c r="E397" s="4"/>
      <c r="G397" s="2"/>
    </row>
    <row r="398">
      <c r="D398" s="4"/>
      <c r="E398" s="4"/>
      <c r="G398" s="2"/>
    </row>
    <row r="399">
      <c r="D399" s="4"/>
      <c r="E399" s="4"/>
      <c r="G399" s="2"/>
    </row>
    <row r="400">
      <c r="D400" s="4"/>
      <c r="E400" s="4"/>
      <c r="G400" s="2"/>
    </row>
    <row r="401">
      <c r="D401" s="4"/>
      <c r="E401" s="4"/>
      <c r="G401" s="2"/>
    </row>
    <row r="402">
      <c r="D402" s="4"/>
      <c r="E402" s="4"/>
      <c r="G402" s="2"/>
    </row>
    <row r="403">
      <c r="D403" s="4"/>
      <c r="E403" s="4"/>
      <c r="G403" s="2"/>
    </row>
    <row r="404">
      <c r="D404" s="4"/>
      <c r="E404" s="4"/>
      <c r="G404" s="2"/>
    </row>
    <row r="405">
      <c r="D405" s="4"/>
      <c r="E405" s="4"/>
      <c r="G405" s="2"/>
    </row>
    <row r="406">
      <c r="D406" s="4"/>
      <c r="E406" s="4"/>
      <c r="G406" s="2"/>
    </row>
    <row r="407">
      <c r="D407" s="4"/>
      <c r="E407" s="4"/>
      <c r="G407" s="2"/>
    </row>
    <row r="408">
      <c r="D408" s="4"/>
      <c r="E408" s="4"/>
      <c r="G408" s="2"/>
    </row>
    <row r="409">
      <c r="D409" s="4"/>
      <c r="E409" s="4"/>
      <c r="G409" s="2"/>
    </row>
    <row r="410">
      <c r="D410" s="4"/>
      <c r="E410" s="4"/>
      <c r="G410" s="2"/>
    </row>
    <row r="411">
      <c r="D411" s="4"/>
      <c r="E411" s="4"/>
      <c r="G411" s="2"/>
    </row>
    <row r="412">
      <c r="D412" s="4"/>
      <c r="E412" s="4"/>
      <c r="G412" s="2"/>
    </row>
    <row r="413">
      <c r="D413" s="4"/>
      <c r="E413" s="4"/>
      <c r="G413" s="2"/>
    </row>
    <row r="414">
      <c r="D414" s="4"/>
      <c r="E414" s="4"/>
      <c r="G414" s="2"/>
    </row>
    <row r="415">
      <c r="D415" s="4"/>
      <c r="E415" s="4"/>
      <c r="G415" s="2"/>
    </row>
    <row r="416">
      <c r="D416" s="4"/>
      <c r="E416" s="4"/>
      <c r="G416" s="2"/>
    </row>
    <row r="417">
      <c r="D417" s="4"/>
      <c r="E417" s="4"/>
      <c r="G417" s="2"/>
    </row>
    <row r="418">
      <c r="D418" s="4"/>
      <c r="E418" s="4"/>
      <c r="G418" s="2"/>
    </row>
    <row r="419">
      <c r="D419" s="4"/>
      <c r="E419" s="4"/>
      <c r="G419" s="2"/>
    </row>
    <row r="420">
      <c r="D420" s="4"/>
      <c r="E420" s="4"/>
      <c r="G420" s="2"/>
    </row>
    <row r="421">
      <c r="D421" s="4"/>
      <c r="E421" s="4"/>
      <c r="G421" s="2"/>
    </row>
    <row r="422">
      <c r="D422" s="4"/>
      <c r="E422" s="4"/>
      <c r="G422" s="2"/>
    </row>
    <row r="423">
      <c r="D423" s="4"/>
      <c r="E423" s="4"/>
      <c r="G423" s="2"/>
    </row>
    <row r="424">
      <c r="D424" s="4"/>
      <c r="E424" s="4"/>
      <c r="G424" s="2"/>
    </row>
    <row r="425">
      <c r="D425" s="4"/>
      <c r="E425" s="4"/>
      <c r="G425" s="2"/>
    </row>
    <row r="426">
      <c r="D426" s="4"/>
      <c r="E426" s="4"/>
      <c r="G426" s="2"/>
    </row>
    <row r="427">
      <c r="D427" s="4"/>
      <c r="E427" s="4"/>
      <c r="G427" s="2"/>
    </row>
    <row r="428">
      <c r="D428" s="4"/>
      <c r="E428" s="4"/>
      <c r="G428" s="2"/>
    </row>
    <row r="429">
      <c r="D429" s="4"/>
      <c r="E429" s="4"/>
      <c r="G429" s="2"/>
    </row>
    <row r="430">
      <c r="D430" s="4"/>
      <c r="E430" s="4"/>
      <c r="G430" s="2"/>
    </row>
    <row r="431">
      <c r="D431" s="4"/>
      <c r="E431" s="4"/>
      <c r="G431" s="2"/>
    </row>
    <row r="432">
      <c r="D432" s="4"/>
      <c r="E432" s="4"/>
      <c r="G432" s="2"/>
    </row>
    <row r="433">
      <c r="D433" s="4"/>
      <c r="E433" s="4"/>
      <c r="G433" s="2"/>
    </row>
    <row r="434">
      <c r="D434" s="4"/>
      <c r="E434" s="4"/>
      <c r="G434" s="2"/>
    </row>
    <row r="435">
      <c r="D435" s="4"/>
      <c r="E435" s="4"/>
      <c r="G435" s="2"/>
    </row>
    <row r="436">
      <c r="D436" s="4"/>
      <c r="E436" s="4"/>
      <c r="G436" s="2"/>
    </row>
    <row r="437">
      <c r="D437" s="4"/>
      <c r="E437" s="4"/>
      <c r="G437" s="2"/>
    </row>
    <row r="438">
      <c r="D438" s="4"/>
      <c r="E438" s="4"/>
      <c r="G438" s="2"/>
    </row>
    <row r="439">
      <c r="D439" s="4"/>
      <c r="E439" s="4"/>
      <c r="G439" s="2"/>
    </row>
    <row r="440">
      <c r="D440" s="4"/>
      <c r="E440" s="4"/>
      <c r="G440" s="2"/>
    </row>
    <row r="441">
      <c r="D441" s="4"/>
      <c r="E441" s="4"/>
      <c r="G441" s="2"/>
    </row>
    <row r="442">
      <c r="D442" s="4"/>
      <c r="E442" s="4"/>
      <c r="G442" s="2"/>
    </row>
    <row r="443">
      <c r="D443" s="4"/>
      <c r="E443" s="4"/>
      <c r="G443" s="2"/>
    </row>
    <row r="444">
      <c r="D444" s="4"/>
      <c r="E444" s="4"/>
      <c r="G444" s="2"/>
    </row>
    <row r="445">
      <c r="D445" s="4"/>
      <c r="E445" s="4"/>
      <c r="G445" s="6"/>
    </row>
    <row r="446">
      <c r="D446" s="4"/>
      <c r="E446" s="4"/>
      <c r="G446" s="2"/>
    </row>
    <row r="447">
      <c r="D447" s="4"/>
      <c r="E447" s="4"/>
      <c r="G447" s="2"/>
    </row>
    <row r="448">
      <c r="D448" s="4"/>
      <c r="E448" s="4"/>
      <c r="G448" s="2"/>
    </row>
    <row r="449">
      <c r="D449" s="4"/>
      <c r="E449" s="4"/>
      <c r="G449" s="2"/>
    </row>
    <row r="450">
      <c r="D450" s="4"/>
      <c r="E450" s="4"/>
      <c r="G450" s="2"/>
    </row>
    <row r="451">
      <c r="D451" s="4"/>
      <c r="E451" s="4"/>
      <c r="G451" s="2"/>
    </row>
    <row r="452">
      <c r="D452" s="4"/>
      <c r="E452" s="4"/>
      <c r="G452" s="2"/>
    </row>
    <row r="453">
      <c r="D453" s="4"/>
      <c r="E453" s="4"/>
      <c r="G453" s="2"/>
    </row>
    <row r="454">
      <c r="D454" s="4"/>
      <c r="E454" s="4"/>
      <c r="G454" s="2"/>
    </row>
    <row r="455">
      <c r="D455" s="4"/>
      <c r="E455" s="4"/>
      <c r="G455" s="2"/>
    </row>
    <row r="456">
      <c r="D456" s="4"/>
      <c r="E456" s="4"/>
      <c r="G456" s="2"/>
    </row>
    <row r="457">
      <c r="D457" s="4"/>
      <c r="E457" s="4"/>
      <c r="G457" s="2"/>
    </row>
    <row r="458">
      <c r="D458" s="4"/>
      <c r="E458" s="4"/>
      <c r="G458" s="2"/>
    </row>
    <row r="459">
      <c r="D459" s="4"/>
      <c r="E459" s="4"/>
      <c r="G459" s="2"/>
    </row>
    <row r="460">
      <c r="D460" s="4"/>
      <c r="E460" s="4"/>
      <c r="G460" s="2"/>
    </row>
    <row r="461">
      <c r="D461" s="4"/>
      <c r="E461" s="4"/>
      <c r="G461" s="2"/>
    </row>
    <row r="462">
      <c r="D462" s="4"/>
      <c r="E462" s="4"/>
      <c r="G462" s="6"/>
    </row>
    <row r="463">
      <c r="D463" s="4"/>
      <c r="E463" s="4"/>
      <c r="G463" s="2"/>
    </row>
    <row r="464">
      <c r="D464" s="4"/>
      <c r="E464" s="4"/>
      <c r="G464" s="2"/>
    </row>
    <row r="465">
      <c r="D465" s="4"/>
      <c r="E465" s="4"/>
      <c r="G465" s="2"/>
    </row>
    <row r="466">
      <c r="D466" s="4"/>
      <c r="E466" s="4"/>
      <c r="G466" s="2"/>
    </row>
    <row r="467">
      <c r="D467" s="4"/>
      <c r="E467" s="4"/>
      <c r="G467" s="2"/>
    </row>
    <row r="468">
      <c r="D468" s="4"/>
      <c r="E468" s="4"/>
    </row>
    <row r="469">
      <c r="D469" s="4"/>
      <c r="E469" s="4"/>
    </row>
    <row r="470">
      <c r="D470" s="4"/>
      <c r="E470" s="4"/>
    </row>
    <row r="471">
      <c r="D471" s="4"/>
      <c r="E471" s="4"/>
    </row>
    <row r="472">
      <c r="D472" s="4"/>
      <c r="E472" s="4"/>
    </row>
    <row r="473">
      <c r="D473" s="4"/>
      <c r="E473" s="4"/>
    </row>
    <row r="474">
      <c r="D474" s="4"/>
      <c r="E474" s="4"/>
    </row>
    <row r="475">
      <c r="D475" s="4"/>
      <c r="E475" s="4"/>
    </row>
    <row r="476">
      <c r="D476" s="4"/>
      <c r="E476" s="4"/>
    </row>
    <row r="477">
      <c r="D477" s="4"/>
      <c r="E477" s="4"/>
    </row>
    <row r="478">
      <c r="D478" s="4"/>
      <c r="E478" s="4"/>
    </row>
    <row r="479">
      <c r="D479" s="4"/>
      <c r="E479" s="4"/>
    </row>
    <row r="480">
      <c r="D480" s="4"/>
      <c r="E480" s="4"/>
    </row>
    <row r="481">
      <c r="D481" s="4"/>
      <c r="E481" s="4"/>
    </row>
    <row r="482">
      <c r="D482" s="4"/>
      <c r="E482" s="4"/>
    </row>
    <row r="483">
      <c r="D483" s="4"/>
      <c r="E483" s="4"/>
    </row>
    <row r="484">
      <c r="D484" s="4"/>
      <c r="E484" s="4"/>
    </row>
    <row r="485">
      <c r="D485" s="4"/>
      <c r="E485" s="4"/>
    </row>
    <row r="486">
      <c r="D486" s="4"/>
      <c r="E486" s="4"/>
    </row>
    <row r="487">
      <c r="D487" s="4"/>
      <c r="E487" s="4"/>
    </row>
    <row r="488">
      <c r="D488" s="4"/>
      <c r="E488" s="4"/>
    </row>
    <row r="489">
      <c r="D489" s="4"/>
      <c r="E489" s="4"/>
    </row>
    <row r="490">
      <c r="D490" s="4"/>
      <c r="E490" s="4"/>
    </row>
    <row r="491">
      <c r="D491" s="4"/>
      <c r="E491" s="4"/>
    </row>
    <row r="492">
      <c r="D492" s="4"/>
      <c r="E492" s="4"/>
    </row>
    <row r="493">
      <c r="D493" s="4"/>
      <c r="E493" s="4"/>
    </row>
    <row r="494">
      <c r="D494" s="4"/>
      <c r="E494" s="4"/>
    </row>
    <row r="495">
      <c r="D495" s="4"/>
      <c r="E495" s="4"/>
    </row>
    <row r="496">
      <c r="D496" s="4"/>
      <c r="E496" s="4"/>
    </row>
    <row r="497">
      <c r="D497" s="4"/>
      <c r="E497" s="4"/>
    </row>
    <row r="498">
      <c r="D498" s="4"/>
      <c r="E498" s="4"/>
    </row>
    <row r="499">
      <c r="D499" s="4"/>
      <c r="E499" s="4"/>
    </row>
    <row r="500">
      <c r="D500" s="4"/>
      <c r="E500" s="4"/>
    </row>
    <row r="501">
      <c r="D501" s="4"/>
      <c r="E501" s="4"/>
    </row>
    <row r="502">
      <c r="D502" s="4"/>
      <c r="E502" s="4"/>
    </row>
    <row r="503">
      <c r="D503" s="4"/>
      <c r="E503" s="4"/>
    </row>
    <row r="504">
      <c r="D504" s="4"/>
      <c r="E504" s="4"/>
    </row>
    <row r="505">
      <c r="D505" s="4"/>
      <c r="E505" s="4"/>
    </row>
    <row r="506">
      <c r="D506" s="4"/>
      <c r="E506" s="4"/>
    </row>
    <row r="507">
      <c r="D507" s="4"/>
      <c r="E507" s="4"/>
    </row>
    <row r="508">
      <c r="D508" s="4"/>
      <c r="E508" s="4"/>
    </row>
    <row r="509">
      <c r="D509" s="4"/>
      <c r="E509" s="4"/>
    </row>
    <row r="510">
      <c r="D510" s="4"/>
      <c r="E510" s="4"/>
    </row>
    <row r="511">
      <c r="D511" s="4"/>
      <c r="E511" s="4"/>
    </row>
    <row r="512">
      <c r="D512" s="4"/>
      <c r="E512" s="4"/>
    </row>
    <row r="513">
      <c r="D513" s="4"/>
      <c r="E513" s="4"/>
    </row>
    <row r="514">
      <c r="D514" s="4"/>
      <c r="E514" s="4"/>
    </row>
    <row r="515">
      <c r="D515" s="4"/>
      <c r="E515" s="4"/>
    </row>
    <row r="516">
      <c r="D516" s="4"/>
      <c r="E516" s="4"/>
    </row>
    <row r="517">
      <c r="D517" s="4"/>
      <c r="E517" s="4"/>
    </row>
    <row r="518">
      <c r="D518" s="4"/>
      <c r="E518" s="4"/>
    </row>
    <row r="519">
      <c r="D519" s="4"/>
      <c r="E519" s="4"/>
    </row>
    <row r="520">
      <c r="D520" s="4"/>
      <c r="E520" s="4"/>
    </row>
    <row r="521">
      <c r="D521" s="4"/>
      <c r="E521" s="4"/>
    </row>
    <row r="522">
      <c r="D522" s="4"/>
      <c r="E522" s="4"/>
    </row>
    <row r="523">
      <c r="D523" s="4"/>
      <c r="E523" s="4"/>
    </row>
    <row r="524">
      <c r="D524" s="4"/>
      <c r="E524" s="4"/>
    </row>
    <row r="525">
      <c r="D525" s="4"/>
      <c r="E525" s="4"/>
    </row>
    <row r="526">
      <c r="D526" s="4"/>
      <c r="E526" s="4"/>
    </row>
    <row r="527">
      <c r="D527" s="4"/>
      <c r="E527" s="4"/>
    </row>
    <row r="528">
      <c r="D528" s="4"/>
      <c r="E528" s="4"/>
    </row>
    <row r="529">
      <c r="D529" s="4"/>
      <c r="E529" s="4"/>
    </row>
    <row r="530">
      <c r="D530" s="4"/>
      <c r="E530" s="4"/>
    </row>
    <row r="531">
      <c r="D531" s="4"/>
      <c r="E531" s="4"/>
    </row>
    <row r="532">
      <c r="D532" s="4"/>
      <c r="E532" s="4"/>
    </row>
    <row r="533">
      <c r="D533" s="4"/>
      <c r="E533" s="4"/>
    </row>
    <row r="534">
      <c r="D534" s="4"/>
      <c r="E534" s="4"/>
    </row>
    <row r="535">
      <c r="D535" s="4"/>
      <c r="E535" s="4"/>
    </row>
    <row r="536">
      <c r="D536" s="4"/>
      <c r="E536" s="4"/>
    </row>
    <row r="537">
      <c r="D537" s="4"/>
      <c r="E537" s="4"/>
    </row>
    <row r="538">
      <c r="D538" s="4"/>
      <c r="E538" s="4"/>
    </row>
    <row r="539">
      <c r="D539" s="4"/>
      <c r="E539" s="4"/>
    </row>
    <row r="540">
      <c r="D540" s="4"/>
      <c r="E540" s="4"/>
    </row>
    <row r="541">
      <c r="D541" s="4"/>
      <c r="E541" s="4"/>
    </row>
    <row r="542">
      <c r="D542" s="4"/>
      <c r="E542" s="4"/>
    </row>
    <row r="543">
      <c r="D543" s="4"/>
      <c r="E543" s="4"/>
    </row>
    <row r="544">
      <c r="D544" s="4"/>
      <c r="E544" s="4"/>
    </row>
    <row r="545">
      <c r="D545" s="4"/>
      <c r="E545" s="4"/>
    </row>
    <row r="546">
      <c r="D546" s="4"/>
      <c r="E546" s="4"/>
    </row>
    <row r="547">
      <c r="D547" s="4"/>
      <c r="E547" s="4"/>
    </row>
    <row r="548">
      <c r="D548" s="4"/>
      <c r="E548" s="4"/>
    </row>
    <row r="549">
      <c r="D549" s="4"/>
      <c r="E549" s="4"/>
    </row>
    <row r="550">
      <c r="D550" s="4"/>
      <c r="E550" s="4"/>
    </row>
    <row r="551">
      <c r="D551" s="4"/>
      <c r="E551" s="4"/>
    </row>
    <row r="552">
      <c r="D552" s="4"/>
      <c r="E552" s="4"/>
    </row>
    <row r="553">
      <c r="D553" s="4"/>
      <c r="E553" s="4"/>
    </row>
    <row r="554">
      <c r="D554" s="4"/>
      <c r="E554" s="4"/>
    </row>
    <row r="555">
      <c r="D555" s="4"/>
      <c r="E555" s="4"/>
    </row>
    <row r="556">
      <c r="D556" s="4"/>
      <c r="E556" s="4"/>
    </row>
    <row r="557">
      <c r="D557" s="4"/>
      <c r="E557" s="4"/>
    </row>
    <row r="558">
      <c r="D558" s="4"/>
      <c r="E558" s="4"/>
    </row>
    <row r="559">
      <c r="D559" s="4"/>
      <c r="E559" s="4"/>
    </row>
    <row r="560">
      <c r="D560" s="4"/>
      <c r="E560" s="4"/>
    </row>
    <row r="561">
      <c r="D561" s="4"/>
      <c r="E561" s="4"/>
    </row>
    <row r="562">
      <c r="D562" s="4"/>
      <c r="E562" s="4"/>
    </row>
    <row r="563">
      <c r="D563" s="4"/>
      <c r="E563" s="4"/>
    </row>
    <row r="564">
      <c r="D564" s="4"/>
      <c r="E564" s="4"/>
    </row>
    <row r="565">
      <c r="D565" s="4"/>
      <c r="E565" s="4"/>
    </row>
    <row r="566">
      <c r="D566" s="4"/>
      <c r="E566" s="4"/>
    </row>
    <row r="567">
      <c r="D567" s="4"/>
      <c r="E567" s="4"/>
    </row>
    <row r="568">
      <c r="D568" s="4"/>
      <c r="E568" s="4"/>
    </row>
    <row r="569">
      <c r="D569" s="4"/>
      <c r="E569" s="4"/>
    </row>
    <row r="570">
      <c r="D570" s="4"/>
      <c r="E570" s="4"/>
    </row>
    <row r="571">
      <c r="D571" s="4"/>
      <c r="E571" s="4"/>
    </row>
    <row r="572">
      <c r="D572" s="4"/>
      <c r="E572" s="4"/>
    </row>
    <row r="573">
      <c r="D573" s="4"/>
      <c r="E573" s="4"/>
    </row>
    <row r="574">
      <c r="D574" s="4"/>
      <c r="E574" s="4"/>
    </row>
    <row r="575">
      <c r="D575" s="4"/>
      <c r="E575" s="4"/>
    </row>
    <row r="576">
      <c r="D576" s="4"/>
      <c r="E576" s="4"/>
    </row>
    <row r="577">
      <c r="D577" s="4"/>
      <c r="E577" s="4"/>
    </row>
    <row r="578">
      <c r="D578" s="4"/>
      <c r="E578" s="4"/>
    </row>
    <row r="579">
      <c r="D579" s="4"/>
      <c r="E579" s="4"/>
    </row>
    <row r="580">
      <c r="D580" s="4"/>
      <c r="E580" s="4"/>
    </row>
    <row r="581">
      <c r="D581" s="4"/>
      <c r="E581" s="4"/>
    </row>
    <row r="582">
      <c r="D582" s="4"/>
      <c r="E582" s="4"/>
    </row>
    <row r="583">
      <c r="D583" s="4"/>
      <c r="E583" s="4"/>
    </row>
    <row r="584">
      <c r="D584" s="4"/>
      <c r="E584" s="4"/>
    </row>
    <row r="585">
      <c r="D585" s="4"/>
      <c r="E585" s="4"/>
    </row>
    <row r="586">
      <c r="D586" s="4"/>
      <c r="E586" s="4"/>
    </row>
    <row r="587">
      <c r="D587" s="4"/>
      <c r="E587" s="4"/>
    </row>
    <row r="588">
      <c r="D588" s="4"/>
      <c r="E588" s="4"/>
    </row>
    <row r="589">
      <c r="D589" s="4"/>
      <c r="E589" s="4"/>
    </row>
    <row r="590">
      <c r="D590" s="4"/>
      <c r="E590" s="4"/>
    </row>
    <row r="591">
      <c r="D591" s="4"/>
      <c r="E591" s="4"/>
    </row>
    <row r="592">
      <c r="D592" s="4"/>
      <c r="E592" s="4"/>
    </row>
    <row r="593">
      <c r="D593" s="4"/>
      <c r="E593" s="4"/>
    </row>
    <row r="594">
      <c r="D594" s="4"/>
      <c r="E594" s="4"/>
    </row>
    <row r="595">
      <c r="D595" s="4"/>
      <c r="E595" s="4"/>
    </row>
    <row r="596">
      <c r="D596" s="4"/>
      <c r="E596" s="4"/>
    </row>
    <row r="597">
      <c r="D597" s="4"/>
      <c r="E597" s="4"/>
    </row>
    <row r="598">
      <c r="D598" s="4"/>
      <c r="E598" s="4"/>
    </row>
    <row r="599">
      <c r="D599" s="4"/>
      <c r="E599" s="4"/>
    </row>
    <row r="600">
      <c r="D600" s="4"/>
      <c r="E600" s="4"/>
    </row>
    <row r="601">
      <c r="D601" s="4"/>
      <c r="E601" s="4"/>
    </row>
    <row r="602">
      <c r="D602" s="4"/>
      <c r="E602" s="4"/>
    </row>
    <row r="603">
      <c r="D603" s="4"/>
      <c r="E603" s="4"/>
    </row>
    <row r="604">
      <c r="D604" s="4"/>
      <c r="E604" s="4"/>
    </row>
    <row r="605">
      <c r="D605" s="4"/>
      <c r="E605" s="4"/>
    </row>
    <row r="606">
      <c r="D606" s="4"/>
      <c r="E606" s="4"/>
    </row>
    <row r="607">
      <c r="D607" s="4"/>
      <c r="E607" s="4"/>
    </row>
    <row r="608">
      <c r="D608" s="4"/>
      <c r="E608" s="4"/>
    </row>
    <row r="609">
      <c r="D609" s="4"/>
      <c r="E609" s="4"/>
    </row>
    <row r="610">
      <c r="D610" s="4"/>
      <c r="E610" s="4"/>
    </row>
    <row r="611">
      <c r="D611" s="4"/>
      <c r="E611" s="4"/>
    </row>
    <row r="612">
      <c r="D612" s="4"/>
      <c r="E612" s="4"/>
    </row>
    <row r="613">
      <c r="D613" s="4"/>
      <c r="E613" s="4"/>
    </row>
    <row r="614">
      <c r="D614" s="4"/>
      <c r="E614" s="4"/>
    </row>
    <row r="615">
      <c r="D615" s="4"/>
      <c r="E615" s="4"/>
    </row>
    <row r="616">
      <c r="D616" s="4"/>
      <c r="E616" s="4"/>
    </row>
    <row r="617">
      <c r="D617" s="4"/>
      <c r="E617" s="4"/>
    </row>
    <row r="618">
      <c r="D618" s="4"/>
      <c r="E618" s="4"/>
    </row>
    <row r="619">
      <c r="D619" s="4"/>
      <c r="E619" s="4"/>
    </row>
    <row r="620">
      <c r="D620" s="4"/>
      <c r="E620" s="4"/>
    </row>
    <row r="621">
      <c r="D621" s="4"/>
      <c r="E621" s="4"/>
    </row>
    <row r="622">
      <c r="D622" s="4"/>
      <c r="E622" s="4"/>
    </row>
    <row r="623">
      <c r="D623" s="4"/>
      <c r="E623" s="4"/>
    </row>
    <row r="624">
      <c r="D624" s="4"/>
      <c r="E624" s="4"/>
    </row>
    <row r="625">
      <c r="D625" s="4"/>
      <c r="E625" s="4"/>
    </row>
    <row r="626">
      <c r="D626" s="4"/>
      <c r="E626" s="4"/>
    </row>
    <row r="627">
      <c r="D627" s="4"/>
      <c r="E627" s="4"/>
    </row>
    <row r="628">
      <c r="D628" s="4"/>
      <c r="E628" s="4"/>
    </row>
    <row r="629">
      <c r="D629" s="4"/>
      <c r="E629" s="4"/>
    </row>
    <row r="630">
      <c r="D630" s="4"/>
      <c r="E630" s="4"/>
    </row>
    <row r="631">
      <c r="D631" s="4"/>
      <c r="E631" s="4"/>
    </row>
    <row r="632">
      <c r="D632" s="4"/>
      <c r="E632" s="4"/>
    </row>
    <row r="633">
      <c r="D633" s="4"/>
      <c r="E633" s="4"/>
    </row>
    <row r="634">
      <c r="D634" s="4"/>
      <c r="E634" s="4"/>
    </row>
    <row r="635">
      <c r="D635" s="4"/>
      <c r="E635" s="4"/>
    </row>
    <row r="636">
      <c r="D636" s="4"/>
      <c r="E636" s="4"/>
    </row>
    <row r="637">
      <c r="D637" s="4"/>
      <c r="E637" s="4"/>
    </row>
    <row r="638">
      <c r="D638" s="4"/>
      <c r="E638" s="4"/>
    </row>
    <row r="639">
      <c r="D639" s="4"/>
      <c r="E639" s="4"/>
    </row>
    <row r="640">
      <c r="D640" s="4"/>
      <c r="E640" s="4"/>
    </row>
    <row r="641">
      <c r="D641" s="4"/>
      <c r="E641" s="4"/>
    </row>
    <row r="642">
      <c r="D642" s="4"/>
      <c r="E642" s="4"/>
    </row>
    <row r="643">
      <c r="D643" s="4"/>
      <c r="E643" s="4"/>
    </row>
    <row r="644">
      <c r="D644" s="4"/>
      <c r="E644" s="4"/>
    </row>
    <row r="645">
      <c r="D645" s="4"/>
      <c r="E645" s="4"/>
    </row>
    <row r="646">
      <c r="D646" s="4"/>
      <c r="E646" s="4"/>
    </row>
    <row r="647">
      <c r="D647" s="4"/>
      <c r="E647" s="4"/>
    </row>
    <row r="648">
      <c r="D648" s="4"/>
      <c r="E648" s="4"/>
    </row>
    <row r="649">
      <c r="D649" s="4"/>
      <c r="E649" s="4"/>
    </row>
    <row r="650">
      <c r="D650" s="4"/>
      <c r="E650" s="4"/>
    </row>
    <row r="651">
      <c r="D651" s="4"/>
      <c r="E651" s="4"/>
    </row>
    <row r="652">
      <c r="D652" s="4"/>
      <c r="E652" s="4"/>
    </row>
    <row r="653">
      <c r="D653" s="4"/>
      <c r="E653" s="4"/>
    </row>
    <row r="654">
      <c r="D654" s="4"/>
      <c r="E654" s="4"/>
    </row>
    <row r="655">
      <c r="D655" s="4"/>
      <c r="E655" s="4"/>
    </row>
    <row r="656">
      <c r="D656" s="4"/>
      <c r="E656" s="4"/>
    </row>
    <row r="657">
      <c r="D657" s="4"/>
      <c r="E657" s="4"/>
    </row>
    <row r="658">
      <c r="D658" s="4"/>
      <c r="E658" s="4"/>
    </row>
    <row r="659">
      <c r="D659" s="4"/>
      <c r="E659" s="4"/>
    </row>
    <row r="660">
      <c r="D660" s="4"/>
      <c r="E660" s="4"/>
    </row>
    <row r="661">
      <c r="D661" s="4"/>
      <c r="E661" s="4"/>
    </row>
    <row r="662">
      <c r="D662" s="4"/>
      <c r="E662" s="4"/>
    </row>
    <row r="663">
      <c r="D663" s="4"/>
      <c r="E663" s="4"/>
    </row>
    <row r="664">
      <c r="D664" s="4"/>
      <c r="E664" s="4"/>
    </row>
    <row r="665">
      <c r="D665" s="4"/>
      <c r="E665" s="4"/>
    </row>
    <row r="666">
      <c r="D666" s="4"/>
      <c r="E666" s="4"/>
    </row>
    <row r="667">
      <c r="D667" s="4"/>
      <c r="E667" s="4"/>
    </row>
    <row r="668">
      <c r="D668" s="4"/>
      <c r="E668" s="4"/>
    </row>
    <row r="669">
      <c r="D669" s="4"/>
      <c r="E669" s="4"/>
    </row>
    <row r="670">
      <c r="D670" s="4"/>
      <c r="E670" s="4"/>
    </row>
    <row r="671">
      <c r="D671" s="4"/>
      <c r="E671" s="4"/>
    </row>
    <row r="672">
      <c r="D672" s="4"/>
      <c r="E672" s="4"/>
    </row>
    <row r="673">
      <c r="D673" s="4"/>
      <c r="E673" s="4"/>
    </row>
    <row r="674">
      <c r="D674" s="4"/>
      <c r="E674" s="4"/>
    </row>
    <row r="675">
      <c r="D675" s="4"/>
      <c r="E675" s="4"/>
    </row>
    <row r="676">
      <c r="D676" s="4"/>
      <c r="E676" s="4"/>
    </row>
    <row r="677">
      <c r="D677" s="4"/>
      <c r="E677" s="4"/>
    </row>
    <row r="678">
      <c r="D678" s="4"/>
      <c r="E678" s="4"/>
    </row>
    <row r="679">
      <c r="D679" s="4"/>
      <c r="E679" s="4"/>
    </row>
    <row r="680">
      <c r="D680" s="4"/>
      <c r="E680" s="4"/>
    </row>
    <row r="681">
      <c r="D681" s="4"/>
      <c r="E681" s="4"/>
    </row>
    <row r="682">
      <c r="D682" s="4"/>
      <c r="E682" s="4"/>
    </row>
    <row r="683">
      <c r="D683" s="4"/>
      <c r="E683" s="4"/>
    </row>
    <row r="684">
      <c r="D684" s="4"/>
      <c r="E684" s="4"/>
    </row>
    <row r="685">
      <c r="D685" s="4"/>
      <c r="E685" s="4"/>
    </row>
    <row r="686">
      <c r="D686" s="4"/>
      <c r="E686" s="4"/>
    </row>
    <row r="687">
      <c r="D687" s="4"/>
      <c r="E687" s="4"/>
    </row>
    <row r="688">
      <c r="D688" s="4"/>
      <c r="E688" s="4"/>
    </row>
    <row r="689">
      <c r="D689" s="4"/>
      <c r="E689" s="4"/>
    </row>
    <row r="690">
      <c r="D690" s="4"/>
      <c r="E690" s="4"/>
    </row>
    <row r="691">
      <c r="D691" s="4"/>
      <c r="E691" s="4"/>
    </row>
    <row r="692">
      <c r="D692" s="4"/>
      <c r="E692" s="4"/>
    </row>
    <row r="693">
      <c r="D693" s="4"/>
      <c r="E693" s="4"/>
    </row>
    <row r="694">
      <c r="D694" s="4"/>
      <c r="E694" s="4"/>
    </row>
    <row r="695">
      <c r="D695" s="4"/>
      <c r="E695" s="4"/>
    </row>
    <row r="696">
      <c r="D696" s="4"/>
      <c r="E696" s="4"/>
    </row>
    <row r="697">
      <c r="D697" s="4"/>
      <c r="E697" s="4"/>
    </row>
    <row r="698">
      <c r="D698" s="4"/>
      <c r="E698" s="4"/>
    </row>
    <row r="699">
      <c r="D699" s="4"/>
      <c r="E699" s="4"/>
    </row>
    <row r="700">
      <c r="D700" s="4"/>
      <c r="E700" s="4"/>
    </row>
    <row r="701">
      <c r="D701" s="4"/>
      <c r="E701" s="4"/>
    </row>
    <row r="702">
      <c r="D702" s="4"/>
      <c r="E702" s="4"/>
    </row>
    <row r="703">
      <c r="D703" s="4"/>
      <c r="E703" s="4"/>
    </row>
    <row r="704">
      <c r="D704" s="4"/>
      <c r="E704" s="4"/>
    </row>
    <row r="705">
      <c r="D705" s="4"/>
      <c r="E705" s="4"/>
    </row>
    <row r="706">
      <c r="D706" s="4"/>
      <c r="E706" s="4"/>
    </row>
    <row r="707">
      <c r="D707" s="4"/>
      <c r="E707" s="4"/>
    </row>
    <row r="708">
      <c r="D708" s="4"/>
      <c r="E708" s="4"/>
    </row>
    <row r="709">
      <c r="D709" s="4"/>
      <c r="E709" s="4"/>
    </row>
    <row r="710">
      <c r="D710" s="4"/>
      <c r="E710" s="4"/>
    </row>
    <row r="711">
      <c r="D711" s="4"/>
      <c r="E711" s="4"/>
    </row>
    <row r="712">
      <c r="D712" s="4"/>
      <c r="E712" s="4"/>
    </row>
    <row r="713">
      <c r="D713" s="4"/>
      <c r="E713" s="4"/>
    </row>
    <row r="714">
      <c r="D714" s="4"/>
      <c r="E714" s="4"/>
    </row>
    <row r="715">
      <c r="D715" s="4"/>
      <c r="E715" s="4"/>
    </row>
    <row r="716">
      <c r="D716" s="4"/>
      <c r="E716" s="4"/>
    </row>
    <row r="717">
      <c r="D717" s="4"/>
      <c r="E717" s="4"/>
    </row>
    <row r="718">
      <c r="D718" s="4"/>
      <c r="E718" s="4"/>
    </row>
    <row r="719">
      <c r="D719" s="4"/>
      <c r="E719" s="4"/>
    </row>
    <row r="720">
      <c r="D720" s="4"/>
      <c r="E720" s="4"/>
    </row>
    <row r="721">
      <c r="D721" s="4"/>
      <c r="E721" s="4"/>
    </row>
    <row r="722">
      <c r="D722" s="4"/>
      <c r="E722" s="4"/>
    </row>
    <row r="723">
      <c r="D723" s="4"/>
      <c r="E723" s="4"/>
    </row>
    <row r="724">
      <c r="D724" s="4"/>
      <c r="E724" s="4"/>
    </row>
    <row r="725">
      <c r="D725" s="4"/>
      <c r="E725" s="4"/>
    </row>
    <row r="726">
      <c r="D726" s="4"/>
      <c r="E726" s="4"/>
    </row>
    <row r="727">
      <c r="D727" s="4"/>
      <c r="E727" s="4"/>
    </row>
    <row r="728">
      <c r="D728" s="4"/>
      <c r="E728" s="4"/>
    </row>
    <row r="729">
      <c r="D729" s="4"/>
      <c r="E729" s="4"/>
    </row>
    <row r="730">
      <c r="D730" s="4"/>
      <c r="E730" s="4"/>
    </row>
    <row r="731">
      <c r="D731" s="4"/>
      <c r="E731" s="4"/>
    </row>
    <row r="732">
      <c r="D732" s="4"/>
      <c r="E732" s="4"/>
    </row>
    <row r="733">
      <c r="D733" s="4"/>
      <c r="E733" s="4"/>
    </row>
    <row r="734">
      <c r="D734" s="4"/>
      <c r="E734" s="4"/>
    </row>
    <row r="735">
      <c r="D735" s="4"/>
      <c r="E735" s="4"/>
    </row>
    <row r="736">
      <c r="D736" s="4"/>
      <c r="E736" s="4"/>
    </row>
    <row r="737">
      <c r="D737" s="4"/>
      <c r="E737" s="4"/>
    </row>
    <row r="738">
      <c r="D738" s="4"/>
      <c r="E738" s="4"/>
    </row>
    <row r="739">
      <c r="D739" s="4"/>
      <c r="E739" s="4"/>
    </row>
    <row r="740">
      <c r="D740" s="4"/>
      <c r="E740" s="4"/>
    </row>
    <row r="741">
      <c r="D741" s="4"/>
      <c r="E741" s="4"/>
    </row>
    <row r="742">
      <c r="D742" s="4"/>
      <c r="E742" s="4"/>
    </row>
    <row r="743">
      <c r="D743" s="4"/>
      <c r="E743" s="4"/>
    </row>
    <row r="744">
      <c r="D744" s="4"/>
      <c r="E744" s="4"/>
    </row>
    <row r="745">
      <c r="D745" s="4"/>
      <c r="E745" s="4"/>
    </row>
    <row r="746">
      <c r="D746" s="4"/>
      <c r="E746" s="4"/>
    </row>
    <row r="747">
      <c r="D747" s="4"/>
      <c r="E747" s="4"/>
    </row>
    <row r="748">
      <c r="D748" s="4"/>
      <c r="E748" s="4"/>
    </row>
    <row r="749">
      <c r="D749" s="4"/>
      <c r="E749" s="4"/>
    </row>
    <row r="750">
      <c r="D750" s="4"/>
      <c r="E750" s="4"/>
    </row>
    <row r="751">
      <c r="D751" s="4"/>
      <c r="E751" s="4"/>
    </row>
    <row r="752">
      <c r="D752" s="4"/>
      <c r="E752" s="4"/>
    </row>
    <row r="753">
      <c r="D753" s="4"/>
      <c r="E753" s="4"/>
    </row>
    <row r="754">
      <c r="D754" s="4"/>
      <c r="E754" s="4"/>
    </row>
    <row r="755">
      <c r="D755" s="4"/>
      <c r="E755" s="4"/>
    </row>
    <row r="756">
      <c r="D756" s="4"/>
      <c r="E756" s="4"/>
    </row>
    <row r="757">
      <c r="D757" s="4"/>
      <c r="E757" s="4"/>
    </row>
    <row r="758">
      <c r="D758" s="4"/>
      <c r="E758" s="4"/>
    </row>
    <row r="759">
      <c r="D759" s="4"/>
      <c r="E759" s="4"/>
    </row>
    <row r="760">
      <c r="D760" s="4"/>
      <c r="E760" s="4"/>
    </row>
    <row r="761">
      <c r="D761" s="4"/>
      <c r="E761" s="4"/>
    </row>
    <row r="762">
      <c r="D762" s="4"/>
      <c r="E762" s="4"/>
    </row>
    <row r="763">
      <c r="D763" s="4"/>
      <c r="E763" s="4"/>
    </row>
    <row r="764">
      <c r="D764" s="4"/>
      <c r="E764" s="4"/>
    </row>
    <row r="765">
      <c r="D765" s="4"/>
      <c r="E765" s="4"/>
    </row>
    <row r="766">
      <c r="D766" s="4"/>
      <c r="E766" s="4"/>
    </row>
    <row r="767">
      <c r="D767" s="4"/>
      <c r="E767" s="4"/>
    </row>
    <row r="768">
      <c r="D768" s="4"/>
      <c r="E768" s="4"/>
    </row>
    <row r="769">
      <c r="D769" s="4"/>
      <c r="E769" s="4"/>
    </row>
    <row r="770">
      <c r="D770" s="4"/>
      <c r="E770" s="4"/>
    </row>
    <row r="771">
      <c r="D771" s="4"/>
      <c r="E771" s="4"/>
    </row>
    <row r="772">
      <c r="D772" s="4"/>
      <c r="E772" s="4"/>
    </row>
    <row r="773">
      <c r="D773" s="4"/>
      <c r="E773" s="4"/>
    </row>
    <row r="774">
      <c r="D774" s="4"/>
      <c r="E774" s="4"/>
    </row>
    <row r="775">
      <c r="D775" s="4"/>
      <c r="E775" s="4"/>
    </row>
    <row r="776">
      <c r="D776" s="4"/>
      <c r="E776" s="4"/>
    </row>
    <row r="777">
      <c r="D777" s="4"/>
      <c r="E777" s="4"/>
    </row>
    <row r="778">
      <c r="D778" s="4"/>
      <c r="E778" s="4"/>
    </row>
    <row r="779">
      <c r="D779" s="4"/>
      <c r="E779" s="4"/>
    </row>
    <row r="780">
      <c r="D780" s="4"/>
      <c r="E780" s="4"/>
    </row>
    <row r="781">
      <c r="D781" s="4"/>
      <c r="E781" s="4"/>
    </row>
    <row r="782">
      <c r="D782" s="4"/>
      <c r="E782" s="4"/>
    </row>
    <row r="783">
      <c r="D783" s="4"/>
      <c r="E783" s="4"/>
    </row>
    <row r="784">
      <c r="D784" s="4"/>
      <c r="E784" s="4"/>
    </row>
    <row r="785">
      <c r="D785" s="4"/>
      <c r="E785" s="4"/>
    </row>
    <row r="786">
      <c r="D786" s="4"/>
      <c r="E786" s="4"/>
    </row>
    <row r="787">
      <c r="D787" s="4"/>
      <c r="E787" s="4"/>
    </row>
    <row r="788">
      <c r="D788" s="4"/>
      <c r="E788" s="4"/>
    </row>
    <row r="789">
      <c r="D789" s="4"/>
      <c r="E789" s="4"/>
    </row>
    <row r="790">
      <c r="D790" s="4"/>
      <c r="E790" s="4"/>
    </row>
    <row r="791">
      <c r="D791" s="4"/>
      <c r="E791" s="4"/>
    </row>
    <row r="792">
      <c r="D792" s="4"/>
      <c r="E792" s="4"/>
    </row>
    <row r="793">
      <c r="D793" s="4"/>
      <c r="E793" s="4"/>
    </row>
    <row r="794">
      <c r="D794" s="4"/>
      <c r="E794" s="4"/>
    </row>
    <row r="795">
      <c r="D795" s="4"/>
      <c r="E795" s="4"/>
    </row>
    <row r="796">
      <c r="D796" s="4"/>
      <c r="E796" s="4"/>
    </row>
    <row r="797">
      <c r="D797" s="4"/>
      <c r="E797" s="4"/>
    </row>
    <row r="798">
      <c r="D798" s="4"/>
      <c r="E798" s="4"/>
    </row>
    <row r="799">
      <c r="D799" s="4"/>
      <c r="E799" s="4"/>
    </row>
    <row r="800">
      <c r="D800" s="4"/>
      <c r="E800" s="4"/>
    </row>
    <row r="801">
      <c r="D801" s="4"/>
      <c r="E801" s="4"/>
    </row>
    <row r="802">
      <c r="D802" s="4"/>
      <c r="E802" s="4"/>
    </row>
    <row r="803">
      <c r="D803" s="4"/>
      <c r="E803" s="4"/>
    </row>
    <row r="804">
      <c r="D804" s="4"/>
      <c r="E804" s="4"/>
    </row>
    <row r="805">
      <c r="D805" s="4"/>
      <c r="E805" s="4"/>
    </row>
    <row r="806">
      <c r="D806" s="4"/>
      <c r="E806" s="4"/>
    </row>
    <row r="807">
      <c r="D807" s="4"/>
      <c r="E807" s="4"/>
    </row>
    <row r="808">
      <c r="D808" s="4"/>
      <c r="E808" s="4"/>
    </row>
    <row r="809">
      <c r="D809" s="4"/>
      <c r="E809" s="4"/>
    </row>
    <row r="810">
      <c r="D810" s="4"/>
      <c r="E810" s="4"/>
    </row>
    <row r="811">
      <c r="D811" s="4"/>
      <c r="E811" s="4"/>
    </row>
    <row r="812">
      <c r="D812" s="4"/>
      <c r="E812" s="4"/>
    </row>
    <row r="813">
      <c r="D813" s="4"/>
      <c r="E813" s="4"/>
    </row>
    <row r="814">
      <c r="D814" s="4"/>
      <c r="E814" s="4"/>
    </row>
    <row r="815">
      <c r="D815" s="4"/>
      <c r="E815" s="4"/>
    </row>
    <row r="816">
      <c r="D816" s="4"/>
      <c r="E816" s="4"/>
    </row>
    <row r="817">
      <c r="D817" s="4"/>
      <c r="E817" s="4"/>
    </row>
    <row r="818">
      <c r="D818" s="4"/>
      <c r="E818" s="4"/>
    </row>
    <row r="819">
      <c r="D819" s="4"/>
      <c r="E819" s="4"/>
    </row>
    <row r="820">
      <c r="D820" s="4"/>
      <c r="E820" s="4"/>
    </row>
    <row r="821">
      <c r="D821" s="4"/>
      <c r="E821" s="4"/>
    </row>
    <row r="822">
      <c r="D822" s="4"/>
      <c r="E822" s="4"/>
    </row>
    <row r="823">
      <c r="D823" s="4"/>
      <c r="E823" s="4"/>
    </row>
    <row r="824">
      <c r="D824" s="4"/>
      <c r="E824" s="4"/>
    </row>
    <row r="825">
      <c r="D825" s="4"/>
      <c r="E825" s="4"/>
    </row>
    <row r="826">
      <c r="D826" s="4"/>
      <c r="E826" s="4"/>
    </row>
    <row r="827">
      <c r="D827" s="4"/>
      <c r="E827" s="4"/>
    </row>
    <row r="828">
      <c r="D828" s="4"/>
      <c r="E828" s="4"/>
    </row>
    <row r="829">
      <c r="D829" s="4"/>
      <c r="E829" s="4"/>
    </row>
    <row r="830">
      <c r="D830" s="4"/>
      <c r="E830" s="4"/>
    </row>
    <row r="831">
      <c r="D831" s="4"/>
      <c r="E831" s="4"/>
    </row>
    <row r="832">
      <c r="D832" s="4"/>
      <c r="E832" s="4"/>
    </row>
    <row r="833">
      <c r="D833" s="4"/>
      <c r="E833" s="4"/>
    </row>
    <row r="834">
      <c r="D834" s="4"/>
      <c r="E834" s="4"/>
    </row>
    <row r="835">
      <c r="D835" s="4"/>
      <c r="E835" s="4"/>
    </row>
    <row r="836">
      <c r="D836" s="4"/>
      <c r="E836" s="4"/>
    </row>
    <row r="837">
      <c r="D837" s="4"/>
      <c r="E837" s="4"/>
    </row>
    <row r="838">
      <c r="D838" s="4"/>
      <c r="E838" s="4"/>
    </row>
    <row r="839">
      <c r="D839" s="4"/>
      <c r="E839" s="4"/>
    </row>
    <row r="840">
      <c r="D840" s="4"/>
      <c r="E840" s="4"/>
    </row>
    <row r="841">
      <c r="D841" s="4"/>
      <c r="E841" s="4"/>
    </row>
    <row r="842">
      <c r="D842" s="4"/>
      <c r="E842" s="4"/>
    </row>
    <row r="843">
      <c r="D843" s="4"/>
      <c r="E843" s="4"/>
    </row>
    <row r="844">
      <c r="D844" s="4"/>
      <c r="E844" s="4"/>
    </row>
    <row r="845">
      <c r="D845" s="4"/>
      <c r="E845" s="4"/>
    </row>
    <row r="846">
      <c r="D846" s="4"/>
      <c r="E846" s="4"/>
    </row>
    <row r="847">
      <c r="D847" s="4"/>
      <c r="E847" s="4"/>
    </row>
    <row r="848">
      <c r="D848" s="4"/>
      <c r="E848" s="4"/>
    </row>
    <row r="849">
      <c r="D849" s="4"/>
      <c r="E849" s="4"/>
    </row>
    <row r="850">
      <c r="D850" s="4"/>
      <c r="E850" s="4"/>
    </row>
    <row r="851">
      <c r="D851" s="4"/>
      <c r="E851" s="4"/>
    </row>
    <row r="852">
      <c r="D852" s="4"/>
      <c r="E852" s="4"/>
    </row>
    <row r="853">
      <c r="D853" s="4"/>
      <c r="E853" s="4"/>
    </row>
    <row r="854">
      <c r="D854" s="4"/>
      <c r="E854" s="4"/>
    </row>
    <row r="855">
      <c r="D855" s="4"/>
      <c r="E855" s="4"/>
    </row>
    <row r="856">
      <c r="D856" s="4"/>
      <c r="E856" s="4"/>
    </row>
    <row r="857">
      <c r="D857" s="4"/>
      <c r="E857" s="4"/>
    </row>
    <row r="858">
      <c r="D858" s="4"/>
      <c r="E858" s="4"/>
    </row>
    <row r="859">
      <c r="D859" s="4"/>
      <c r="E859" s="4"/>
    </row>
    <row r="860">
      <c r="D860" s="4"/>
      <c r="E860" s="4"/>
    </row>
    <row r="861">
      <c r="D861" s="4"/>
      <c r="E861" s="4"/>
    </row>
    <row r="862">
      <c r="D862" s="4"/>
      <c r="E862" s="4"/>
    </row>
    <row r="863">
      <c r="D863" s="4"/>
      <c r="E863" s="4"/>
    </row>
    <row r="864">
      <c r="D864" s="4"/>
      <c r="E864" s="4"/>
    </row>
    <row r="865">
      <c r="D865" s="4"/>
      <c r="E865" s="4"/>
    </row>
    <row r="866">
      <c r="D866" s="4"/>
      <c r="E866" s="4"/>
    </row>
    <row r="867">
      <c r="D867" s="4"/>
      <c r="E867" s="4"/>
    </row>
    <row r="868">
      <c r="D868" s="4"/>
      <c r="E868" s="4"/>
    </row>
    <row r="869">
      <c r="D869" s="4"/>
      <c r="E869" s="4"/>
    </row>
    <row r="870">
      <c r="D870" s="4"/>
      <c r="E870" s="4"/>
    </row>
    <row r="871">
      <c r="D871" s="4"/>
      <c r="E871" s="4"/>
    </row>
    <row r="872">
      <c r="D872" s="4"/>
      <c r="E872" s="4"/>
    </row>
    <row r="873">
      <c r="D873" s="4"/>
      <c r="E873" s="4"/>
    </row>
    <row r="874">
      <c r="D874" s="4"/>
      <c r="E874" s="4"/>
    </row>
    <row r="875">
      <c r="D875" s="4"/>
      <c r="E875" s="4"/>
    </row>
    <row r="876">
      <c r="D876" s="4"/>
      <c r="E876" s="4"/>
    </row>
    <row r="877">
      <c r="D877" s="4"/>
      <c r="E877" s="4"/>
    </row>
    <row r="878">
      <c r="D878" s="4"/>
      <c r="E878" s="4"/>
    </row>
    <row r="879">
      <c r="D879" s="4"/>
      <c r="E879" s="4"/>
    </row>
    <row r="880">
      <c r="D880" s="4"/>
      <c r="E880" s="4"/>
    </row>
    <row r="881">
      <c r="D881" s="4"/>
      <c r="E881" s="4"/>
    </row>
    <row r="882">
      <c r="D882" s="4"/>
      <c r="E882" s="4"/>
    </row>
    <row r="883">
      <c r="D883" s="4"/>
      <c r="E883" s="4"/>
    </row>
    <row r="884">
      <c r="D884" s="4"/>
      <c r="E884" s="4"/>
    </row>
    <row r="885">
      <c r="D885" s="4"/>
      <c r="E885" s="4"/>
    </row>
    <row r="886">
      <c r="D886" s="4"/>
      <c r="E886" s="4"/>
    </row>
    <row r="887">
      <c r="D887" s="4"/>
      <c r="E887" s="4"/>
    </row>
    <row r="888">
      <c r="D888" s="4"/>
      <c r="E888" s="4"/>
    </row>
    <row r="889">
      <c r="D889" s="4"/>
      <c r="E889" s="4"/>
    </row>
    <row r="890">
      <c r="D890" s="4"/>
      <c r="E890" s="4"/>
    </row>
    <row r="891">
      <c r="D891" s="4"/>
      <c r="E891" s="4"/>
    </row>
    <row r="892">
      <c r="D892" s="4"/>
      <c r="E892" s="4"/>
    </row>
    <row r="893">
      <c r="D893" s="4"/>
      <c r="E893" s="4"/>
    </row>
    <row r="894">
      <c r="D894" s="4"/>
      <c r="E894" s="4"/>
    </row>
    <row r="895">
      <c r="D895" s="4"/>
      <c r="E895" s="4"/>
    </row>
    <row r="896">
      <c r="D896" s="4"/>
      <c r="E896" s="4"/>
    </row>
    <row r="897">
      <c r="D897" s="4"/>
      <c r="E897" s="4"/>
    </row>
    <row r="898">
      <c r="D898" s="4"/>
      <c r="E898" s="4"/>
    </row>
    <row r="899">
      <c r="D899" s="4"/>
      <c r="E899" s="4"/>
    </row>
    <row r="900">
      <c r="D900" s="4"/>
      <c r="E900" s="4"/>
    </row>
    <row r="901">
      <c r="D901" s="4"/>
      <c r="E901" s="4"/>
    </row>
    <row r="902">
      <c r="D902" s="4"/>
      <c r="E902" s="4"/>
    </row>
    <row r="903">
      <c r="D903" s="4"/>
      <c r="E903" s="4"/>
    </row>
    <row r="904">
      <c r="D904" s="4"/>
      <c r="E904" s="4"/>
    </row>
    <row r="905">
      <c r="D905" s="4"/>
      <c r="E905" s="4"/>
    </row>
    <row r="906">
      <c r="D906" s="4"/>
      <c r="E906" s="4"/>
    </row>
    <row r="907">
      <c r="D907" s="4"/>
      <c r="E907" s="4"/>
    </row>
    <row r="908">
      <c r="D908" s="4"/>
      <c r="E908" s="4"/>
    </row>
    <row r="909">
      <c r="D909" s="4"/>
      <c r="E909" s="4"/>
    </row>
    <row r="910">
      <c r="D910" s="4"/>
      <c r="E910" s="4"/>
    </row>
    <row r="911">
      <c r="D911" s="4"/>
      <c r="E911" s="4"/>
    </row>
    <row r="912">
      <c r="D912" s="4"/>
      <c r="E912" s="4"/>
    </row>
    <row r="913">
      <c r="D913" s="4"/>
      <c r="E913" s="4"/>
    </row>
    <row r="914">
      <c r="D914" s="4"/>
      <c r="E914" s="4"/>
    </row>
    <row r="915">
      <c r="D915" s="4"/>
      <c r="E915" s="4"/>
    </row>
    <row r="916">
      <c r="D916" s="4"/>
      <c r="E916" s="4"/>
    </row>
    <row r="917">
      <c r="D917" s="4"/>
      <c r="E917" s="4"/>
    </row>
    <row r="918">
      <c r="D918" s="4"/>
      <c r="E918" s="4"/>
    </row>
    <row r="919">
      <c r="D919" s="4"/>
      <c r="E919" s="4"/>
    </row>
    <row r="920">
      <c r="D920" s="4"/>
      <c r="E920" s="4"/>
    </row>
    <row r="921">
      <c r="D921" s="4"/>
      <c r="E921" s="4"/>
    </row>
    <row r="922">
      <c r="D922" s="4"/>
      <c r="E922" s="4"/>
    </row>
    <row r="923">
      <c r="D923" s="4"/>
      <c r="E923" s="4"/>
    </row>
    <row r="924">
      <c r="D924" s="4"/>
      <c r="E924" s="4"/>
    </row>
    <row r="925">
      <c r="D925" s="4"/>
      <c r="E925" s="4"/>
    </row>
    <row r="926">
      <c r="D926" s="4"/>
      <c r="E926" s="4"/>
    </row>
    <row r="927">
      <c r="D927" s="4"/>
      <c r="E927" s="4"/>
    </row>
    <row r="928">
      <c r="D928" s="4"/>
      <c r="E928" s="4"/>
    </row>
    <row r="929">
      <c r="D929" s="4"/>
      <c r="E929" s="4"/>
    </row>
    <row r="930">
      <c r="D930" s="4"/>
      <c r="E930" s="4"/>
    </row>
    <row r="931">
      <c r="D931" s="4"/>
      <c r="E931" s="4"/>
    </row>
    <row r="932">
      <c r="D932" s="4"/>
      <c r="E932" s="4"/>
    </row>
    <row r="933">
      <c r="D933" s="4"/>
      <c r="E933" s="4"/>
    </row>
    <row r="934">
      <c r="D934" s="4"/>
      <c r="E934" s="4"/>
    </row>
    <row r="935">
      <c r="D935" s="4"/>
      <c r="E935" s="4"/>
    </row>
    <row r="936">
      <c r="D936" s="4"/>
      <c r="E936" s="4"/>
    </row>
    <row r="937">
      <c r="D937" s="4"/>
      <c r="E937" s="4"/>
    </row>
    <row r="938">
      <c r="D938" s="4"/>
      <c r="E938" s="4"/>
    </row>
    <row r="939">
      <c r="D939" s="4"/>
      <c r="E939" s="4"/>
    </row>
    <row r="940">
      <c r="D940" s="4"/>
      <c r="E940" s="4"/>
    </row>
    <row r="941">
      <c r="D941" s="4"/>
      <c r="E941" s="4"/>
    </row>
    <row r="942">
      <c r="D942" s="4"/>
      <c r="E942" s="4"/>
    </row>
    <row r="943">
      <c r="D943" s="4"/>
      <c r="E943" s="4"/>
    </row>
    <row r="944">
      <c r="D944" s="4"/>
      <c r="E944" s="4"/>
    </row>
    <row r="945">
      <c r="D945" s="4"/>
      <c r="E945" s="4"/>
    </row>
    <row r="946">
      <c r="D946" s="4"/>
      <c r="E946" s="4"/>
    </row>
    <row r="947">
      <c r="D947" s="4"/>
      <c r="E947" s="4"/>
    </row>
    <row r="948">
      <c r="D948" s="4"/>
      <c r="E948" s="4"/>
    </row>
    <row r="949">
      <c r="D949" s="4"/>
      <c r="E949" s="4"/>
    </row>
    <row r="950">
      <c r="D950" s="4"/>
      <c r="E950" s="4"/>
    </row>
    <row r="951">
      <c r="D951" s="4"/>
      <c r="E951" s="4"/>
    </row>
    <row r="952">
      <c r="D952" s="4"/>
      <c r="E952" s="4"/>
    </row>
    <row r="953">
      <c r="D953" s="4"/>
      <c r="E953" s="4"/>
    </row>
    <row r="954">
      <c r="D954" s="4"/>
      <c r="E954" s="4"/>
    </row>
    <row r="955">
      <c r="D955" s="4"/>
      <c r="E955" s="4"/>
    </row>
    <row r="956">
      <c r="D956" s="4"/>
      <c r="E956" s="4"/>
    </row>
    <row r="957">
      <c r="D957" s="4"/>
      <c r="E957" s="4"/>
    </row>
    <row r="958">
      <c r="D958" s="4"/>
      <c r="E958" s="4"/>
    </row>
    <row r="959">
      <c r="D959" s="4"/>
      <c r="E959" s="4"/>
    </row>
    <row r="960">
      <c r="D960" s="4"/>
      <c r="E960" s="4"/>
    </row>
    <row r="961">
      <c r="D961" s="4"/>
      <c r="E961" s="4"/>
    </row>
    <row r="962">
      <c r="D962" s="4"/>
      <c r="E962" s="4"/>
    </row>
    <row r="963">
      <c r="D963" s="4"/>
      <c r="E963" s="4"/>
    </row>
    <row r="964">
      <c r="D964" s="4"/>
      <c r="E964" s="4"/>
    </row>
    <row r="965">
      <c r="D965" s="4"/>
      <c r="E965" s="4"/>
    </row>
    <row r="966">
      <c r="D966" s="4"/>
      <c r="E966" s="4"/>
    </row>
    <row r="967">
      <c r="D967" s="4"/>
      <c r="E967" s="4"/>
    </row>
    <row r="968">
      <c r="D968" s="4"/>
      <c r="E968" s="4"/>
    </row>
    <row r="969">
      <c r="D969" s="4"/>
      <c r="E969" s="4"/>
    </row>
    <row r="970">
      <c r="D970" s="4"/>
      <c r="E970" s="4"/>
    </row>
    <row r="971">
      <c r="D971" s="4"/>
      <c r="E971" s="4"/>
    </row>
    <row r="972">
      <c r="D972" s="4"/>
      <c r="E972" s="4"/>
    </row>
    <row r="973">
      <c r="D973" s="4"/>
      <c r="E973" s="4"/>
    </row>
    <row r="974">
      <c r="D974" s="4"/>
      <c r="E974" s="4"/>
    </row>
    <row r="975">
      <c r="D975" s="4"/>
      <c r="E975" s="4"/>
    </row>
    <row r="976">
      <c r="D976" s="4"/>
      <c r="E976" s="4"/>
    </row>
    <row r="977">
      <c r="D977" s="4"/>
      <c r="E977" s="4"/>
    </row>
    <row r="978">
      <c r="D978" s="4"/>
      <c r="E978" s="4"/>
    </row>
    <row r="979">
      <c r="D979" s="4"/>
      <c r="E979" s="4"/>
    </row>
    <row r="980">
      <c r="D980" s="4"/>
      <c r="E980" s="4"/>
    </row>
    <row r="981">
      <c r="D981" s="4"/>
      <c r="E981" s="4"/>
    </row>
    <row r="982">
      <c r="D982" s="4"/>
      <c r="E982" s="4"/>
    </row>
    <row r="983">
      <c r="D983" s="4"/>
      <c r="E983" s="4"/>
    </row>
    <row r="984">
      <c r="D984" s="4"/>
      <c r="E984" s="4"/>
    </row>
    <row r="985">
      <c r="D985" s="4"/>
      <c r="E985" s="4"/>
    </row>
    <row r="986">
      <c r="D986" s="4"/>
      <c r="E986" s="4"/>
    </row>
    <row r="987">
      <c r="D987" s="4"/>
      <c r="E987" s="4"/>
    </row>
    <row r="988">
      <c r="D988" s="4"/>
      <c r="E988" s="4"/>
    </row>
    <row r="989">
      <c r="D989" s="4"/>
      <c r="E989" s="4"/>
    </row>
    <row r="990">
      <c r="D990" s="4"/>
      <c r="E990" s="4"/>
    </row>
    <row r="991">
      <c r="D991" s="4"/>
      <c r="E991" s="4"/>
    </row>
    <row r="992">
      <c r="D992" s="4"/>
      <c r="E992" s="4"/>
    </row>
    <row r="993">
      <c r="D993" s="4"/>
      <c r="E993" s="4"/>
    </row>
    <row r="994">
      <c r="D994" s="4"/>
      <c r="E994" s="4"/>
    </row>
    <row r="995">
      <c r="D995" s="4"/>
      <c r="E995" s="4"/>
    </row>
    <row r="996">
      <c r="D996" s="4"/>
      <c r="E996" s="4"/>
    </row>
    <row r="997">
      <c r="D997" s="4"/>
      <c r="E997" s="4"/>
    </row>
    <row r="998">
      <c r="D998" s="4"/>
      <c r="E998" s="4"/>
    </row>
    <row r="999">
      <c r="D999" s="4"/>
      <c r="E999" s="4"/>
    </row>
    <row r="1000">
      <c r="D1000" s="4"/>
      <c r="E1000" s="4"/>
    </row>
    <row r="1001">
      <c r="D1001" s="4"/>
      <c r="E1001" s="4"/>
    </row>
    <row r="1002">
      <c r="D1002" s="4"/>
      <c r="E1002" s="4"/>
    </row>
    <row r="1003">
      <c r="D1003" s="4"/>
      <c r="E1003" s="4"/>
    </row>
    <row r="1004">
      <c r="D1004" s="4"/>
      <c r="E1004" s="4"/>
    </row>
    <row r="1005">
      <c r="D1005" s="4"/>
      <c r="E1005" s="4"/>
    </row>
    <row r="1006">
      <c r="D1006" s="4"/>
      <c r="E1006" s="4"/>
    </row>
    <row r="1007">
      <c r="D1007" s="4"/>
      <c r="E1007" s="4"/>
    </row>
    <row r="1008">
      <c r="D1008" s="4"/>
      <c r="E1008" s="4"/>
    </row>
    <row r="1009">
      <c r="D1009" s="4"/>
      <c r="E1009" s="4"/>
    </row>
    <row r="1010">
      <c r="D1010" s="4"/>
      <c r="E1010" s="4"/>
    </row>
    <row r="1011">
      <c r="D1011" s="4"/>
      <c r="E1011" s="4"/>
    </row>
    <row r="1012">
      <c r="D1012" s="4"/>
      <c r="E1012" s="4"/>
    </row>
    <row r="1013">
      <c r="D1013" s="4"/>
      <c r="E1013" s="4"/>
    </row>
    <row r="1014">
      <c r="D1014" s="4"/>
      <c r="E1014" s="4"/>
    </row>
    <row r="1015">
      <c r="D1015" s="4"/>
      <c r="E1015" s="4"/>
    </row>
    <row r="1016">
      <c r="D1016" s="4"/>
      <c r="E1016" s="4"/>
    </row>
    <row r="1017">
      <c r="D1017" s="4"/>
      <c r="E1017" s="4"/>
    </row>
    <row r="1018">
      <c r="D1018" s="4"/>
      <c r="E1018" s="4"/>
    </row>
    <row r="1019">
      <c r="D1019" s="4"/>
      <c r="E1019" s="4"/>
    </row>
    <row r="1020">
      <c r="D1020" s="4"/>
      <c r="E1020" s="4"/>
    </row>
    <row r="1021">
      <c r="D1021" s="4"/>
      <c r="E1021" s="4"/>
    </row>
    <row r="1022">
      <c r="D1022" s="4"/>
      <c r="E1022" s="4"/>
    </row>
    <row r="1023">
      <c r="D1023" s="4"/>
      <c r="E1023" s="4"/>
    </row>
    <row r="1024">
      <c r="D1024" s="4"/>
      <c r="E1024" s="4"/>
    </row>
    <row r="1025">
      <c r="D1025" s="4"/>
      <c r="E1025" s="4"/>
    </row>
    <row r="1026">
      <c r="D1026" s="4"/>
      <c r="E1026" s="4"/>
    </row>
    <row r="1027">
      <c r="D1027" s="4"/>
      <c r="E1027" s="4"/>
    </row>
    <row r="1028">
      <c r="D1028" s="4"/>
      <c r="E1028" s="4"/>
    </row>
    <row r="1029">
      <c r="D1029" s="4"/>
      <c r="E1029" s="4"/>
    </row>
    <row r="1030">
      <c r="D1030" s="4"/>
      <c r="E1030" s="4"/>
    </row>
    <row r="1031">
      <c r="D1031" s="4"/>
      <c r="E1031" s="4"/>
    </row>
    <row r="1032">
      <c r="D1032" s="4"/>
      <c r="E1032" s="4"/>
    </row>
    <row r="1033">
      <c r="D1033" s="4"/>
      <c r="E1033" s="4"/>
    </row>
    <row r="1034">
      <c r="D1034" s="4"/>
      <c r="E1034" s="4"/>
    </row>
    <row r="1035">
      <c r="D1035" s="4"/>
      <c r="E1035" s="4"/>
    </row>
    <row r="1036">
      <c r="D1036" s="4"/>
      <c r="E1036" s="4"/>
    </row>
    <row r="1037">
      <c r="D1037" s="4"/>
      <c r="E1037" s="4"/>
    </row>
    <row r="1038">
      <c r="D1038" s="4"/>
      <c r="E1038" s="4"/>
    </row>
    <row r="1039">
      <c r="D1039" s="4"/>
      <c r="E1039" s="4"/>
    </row>
    <row r="1040">
      <c r="D1040" s="4"/>
      <c r="E1040" s="4"/>
    </row>
    <row r="1041">
      <c r="D1041" s="4"/>
      <c r="E1041" s="4"/>
    </row>
    <row r="1042">
      <c r="D1042" s="4"/>
      <c r="E1042" s="4"/>
    </row>
    <row r="1043">
      <c r="D1043" s="4"/>
      <c r="E1043" s="4"/>
    </row>
    <row r="1044">
      <c r="D1044" s="4"/>
      <c r="E1044" s="4"/>
    </row>
    <row r="1045">
      <c r="D1045" s="4"/>
      <c r="E1045" s="4"/>
    </row>
    <row r="1046">
      <c r="D1046" s="4"/>
      <c r="E1046" s="4"/>
    </row>
    <row r="1047">
      <c r="D1047" s="4"/>
      <c r="E1047" s="4"/>
    </row>
    <row r="1048">
      <c r="D1048" s="4"/>
      <c r="E1048" s="4"/>
    </row>
    <row r="1049">
      <c r="D1049" s="4"/>
      <c r="E1049" s="4"/>
    </row>
    <row r="1050">
      <c r="D1050" s="4"/>
      <c r="E1050" s="4"/>
    </row>
    <row r="1051">
      <c r="D1051" s="4"/>
      <c r="E1051" s="4"/>
    </row>
    <row r="1052">
      <c r="D1052" s="4"/>
      <c r="E1052" s="4"/>
    </row>
    <row r="1053">
      <c r="D1053" s="4"/>
      <c r="E1053" s="4"/>
    </row>
    <row r="1054">
      <c r="D1054" s="4"/>
      <c r="E1054" s="4"/>
    </row>
    <row r="1055">
      <c r="D1055" s="4"/>
      <c r="E1055" s="4"/>
    </row>
    <row r="1056">
      <c r="D1056" s="4"/>
      <c r="E1056" s="4"/>
    </row>
    <row r="1057">
      <c r="D1057" s="4"/>
      <c r="E1057" s="4"/>
    </row>
    <row r="1058">
      <c r="D1058" s="4"/>
      <c r="E1058" s="4"/>
    </row>
    <row r="1059">
      <c r="D1059" s="4"/>
      <c r="E1059" s="4"/>
    </row>
    <row r="1060">
      <c r="D1060" s="4"/>
      <c r="E1060" s="4"/>
    </row>
    <row r="1061">
      <c r="D1061" s="4"/>
      <c r="E1061" s="4"/>
    </row>
    <row r="1062">
      <c r="D1062" s="4"/>
      <c r="E1062" s="4"/>
    </row>
    <row r="1063">
      <c r="D1063" s="4"/>
      <c r="E1063" s="4"/>
    </row>
    <row r="1064">
      <c r="D1064" s="4"/>
      <c r="E1064" s="4"/>
    </row>
    <row r="1065">
      <c r="D1065" s="4"/>
      <c r="E1065" s="4"/>
    </row>
    <row r="1066">
      <c r="D1066" s="4"/>
      <c r="E1066" s="4"/>
    </row>
    <row r="1067">
      <c r="D1067" s="4"/>
      <c r="E1067" s="4"/>
    </row>
    <row r="1068">
      <c r="D1068" s="4"/>
      <c r="E1068" s="4"/>
    </row>
    <row r="1069">
      <c r="D1069" s="4"/>
      <c r="E1069" s="4"/>
    </row>
    <row r="1070">
      <c r="D1070" s="4"/>
      <c r="E1070" s="4"/>
    </row>
    <row r="1071">
      <c r="D1071" s="4"/>
      <c r="E1071" s="4"/>
    </row>
    <row r="1072">
      <c r="D1072" s="4"/>
      <c r="E1072" s="4"/>
    </row>
    <row r="1073">
      <c r="D1073" s="4"/>
      <c r="E1073" s="4"/>
    </row>
    <row r="1074">
      <c r="D1074" s="4"/>
      <c r="E1074" s="4"/>
    </row>
    <row r="1075">
      <c r="D1075" s="4"/>
      <c r="E1075" s="4"/>
    </row>
    <row r="1076">
      <c r="D1076" s="4"/>
      <c r="E1076" s="4"/>
    </row>
    <row r="1077">
      <c r="D1077" s="4"/>
      <c r="E1077" s="4"/>
    </row>
    <row r="1078">
      <c r="D1078" s="4"/>
      <c r="E1078" s="4"/>
    </row>
    <row r="1079">
      <c r="D1079" s="4"/>
      <c r="E1079" s="4"/>
    </row>
    <row r="1080">
      <c r="D1080" s="4"/>
      <c r="E1080" s="4"/>
    </row>
    <row r="1081">
      <c r="D1081" s="4"/>
      <c r="E1081" s="4"/>
    </row>
    <row r="1082">
      <c r="D1082" s="4"/>
      <c r="E1082" s="4"/>
    </row>
    <row r="1083">
      <c r="D1083" s="4"/>
      <c r="E1083" s="4"/>
    </row>
    <row r="1084">
      <c r="D1084" s="4"/>
      <c r="E1084" s="4"/>
    </row>
    <row r="1085">
      <c r="D1085" s="4"/>
      <c r="E1085" s="4"/>
    </row>
    <row r="1086">
      <c r="D1086" s="4"/>
      <c r="E1086" s="4"/>
    </row>
    <row r="1087">
      <c r="D1087" s="4"/>
      <c r="E1087" s="4"/>
    </row>
    <row r="1088">
      <c r="D1088" s="4"/>
      <c r="E1088" s="4"/>
    </row>
    <row r="1089">
      <c r="D1089" s="4"/>
      <c r="E1089" s="4"/>
    </row>
    <row r="1090">
      <c r="D1090" s="4"/>
      <c r="E1090" s="4"/>
    </row>
    <row r="1091">
      <c r="D1091" s="4"/>
      <c r="E1091" s="4"/>
    </row>
    <row r="1092">
      <c r="D1092" s="4"/>
      <c r="E1092" s="4"/>
    </row>
    <row r="1093">
      <c r="D1093" s="4"/>
      <c r="E1093" s="4"/>
    </row>
    <row r="1094">
      <c r="D1094" s="4"/>
      <c r="E1094" s="4"/>
    </row>
    <row r="1095">
      <c r="D1095" s="4"/>
      <c r="E1095" s="4"/>
    </row>
    <row r="1096">
      <c r="D1096" s="4"/>
      <c r="E1096" s="4"/>
    </row>
    <row r="1097">
      <c r="D1097" s="4"/>
      <c r="E1097" s="4"/>
    </row>
    <row r="1098">
      <c r="D1098" s="4"/>
      <c r="E1098" s="4"/>
    </row>
    <row r="1099">
      <c r="D1099" s="4"/>
      <c r="E1099" s="4"/>
    </row>
    <row r="1100">
      <c r="D1100" s="4"/>
      <c r="E1100" s="4"/>
    </row>
    <row r="1101">
      <c r="D1101" s="4"/>
      <c r="E1101" s="4"/>
    </row>
    <row r="1102">
      <c r="D1102" s="4"/>
      <c r="E1102" s="4"/>
    </row>
    <row r="1103">
      <c r="D1103" s="4"/>
      <c r="E1103" s="4"/>
    </row>
    <row r="1104">
      <c r="D1104" s="4"/>
      <c r="E1104" s="4"/>
    </row>
    <row r="1105">
      <c r="D1105" s="4"/>
      <c r="E1105" s="4"/>
    </row>
    <row r="1106">
      <c r="D1106" s="4"/>
      <c r="E1106" s="4"/>
    </row>
    <row r="1107">
      <c r="D1107" s="4"/>
      <c r="E1107" s="4"/>
    </row>
    <row r="1108">
      <c r="D1108" s="4"/>
      <c r="E1108" s="4"/>
    </row>
    <row r="1109">
      <c r="D1109" s="4"/>
      <c r="E1109" s="4"/>
    </row>
    <row r="1110">
      <c r="D1110" s="4"/>
      <c r="E1110" s="4"/>
    </row>
    <row r="1111">
      <c r="D1111" s="4"/>
      <c r="E1111" s="4"/>
    </row>
    <row r="1112">
      <c r="D1112" s="4"/>
      <c r="E1112" s="4"/>
    </row>
    <row r="1113">
      <c r="D1113" s="4"/>
      <c r="E1113" s="4"/>
    </row>
    <row r="1114">
      <c r="D1114" s="4"/>
      <c r="E1114" s="4"/>
    </row>
    <row r="1115">
      <c r="D1115" s="4"/>
      <c r="E1115" s="4"/>
    </row>
    <row r="1116">
      <c r="D1116" s="4"/>
      <c r="E1116" s="4"/>
    </row>
    <row r="1117">
      <c r="D1117" s="4"/>
      <c r="E1117" s="4"/>
    </row>
    <row r="1118">
      <c r="D1118" s="4"/>
      <c r="E1118" s="4"/>
    </row>
    <row r="1119">
      <c r="D1119" s="4"/>
      <c r="E1119" s="4"/>
    </row>
    <row r="1120">
      <c r="D1120" s="4"/>
      <c r="E1120" s="4"/>
    </row>
    <row r="1121">
      <c r="D1121" s="4"/>
      <c r="E1121" s="4"/>
    </row>
    <row r="1122">
      <c r="D1122" s="4"/>
      <c r="E1122" s="4"/>
    </row>
    <row r="1123">
      <c r="D1123" s="4"/>
      <c r="E1123" s="4"/>
    </row>
    <row r="1124">
      <c r="D1124" s="4"/>
      <c r="E1124" s="4"/>
    </row>
    <row r="1125">
      <c r="D1125" s="4"/>
      <c r="E1125" s="4"/>
    </row>
    <row r="1126">
      <c r="D1126" s="4"/>
      <c r="E1126" s="4"/>
    </row>
    <row r="1127">
      <c r="D1127" s="4"/>
      <c r="E1127" s="4"/>
    </row>
    <row r="1128">
      <c r="D1128" s="4"/>
      <c r="E1128" s="4"/>
    </row>
    <row r="1129">
      <c r="D1129" s="4"/>
      <c r="E1129" s="4"/>
    </row>
    <row r="1130">
      <c r="D1130" s="4"/>
      <c r="E1130" s="4"/>
    </row>
    <row r="1131">
      <c r="D1131" s="4"/>
      <c r="E1131" s="4"/>
    </row>
    <row r="1132">
      <c r="D1132" s="4"/>
      <c r="E1132" s="4"/>
    </row>
    <row r="1133">
      <c r="D1133" s="4"/>
      <c r="E1133" s="4"/>
    </row>
    <row r="1134">
      <c r="D1134" s="4"/>
      <c r="E1134" s="4"/>
    </row>
    <row r="1135">
      <c r="D1135" s="4"/>
      <c r="E1135" s="4"/>
    </row>
    <row r="1136">
      <c r="D1136" s="4"/>
      <c r="E1136" s="4"/>
    </row>
    <row r="1137">
      <c r="D1137" s="4"/>
      <c r="E1137" s="4"/>
    </row>
    <row r="1138">
      <c r="D1138" s="4"/>
      <c r="E1138" s="4"/>
    </row>
    <row r="1139">
      <c r="D1139" s="4"/>
      <c r="E1139" s="4"/>
    </row>
    <row r="1140">
      <c r="D1140" s="4"/>
      <c r="E1140" s="4"/>
    </row>
    <row r="1141">
      <c r="D1141" s="4"/>
      <c r="E1141" s="4"/>
    </row>
    <row r="1142">
      <c r="D1142" s="4"/>
      <c r="E1142" s="4"/>
    </row>
    <row r="1143">
      <c r="D1143" s="4"/>
      <c r="E1143" s="4"/>
    </row>
    <row r="1144">
      <c r="D1144" s="4"/>
      <c r="E1144" s="4"/>
    </row>
    <row r="1145">
      <c r="D1145" s="4"/>
      <c r="E1145" s="4"/>
    </row>
    <row r="1146">
      <c r="D1146" s="4"/>
      <c r="E1146" s="4"/>
    </row>
    <row r="1147">
      <c r="D1147" s="4"/>
      <c r="E1147" s="4"/>
    </row>
    <row r="1148">
      <c r="D1148" s="4"/>
      <c r="E1148" s="4"/>
    </row>
    <row r="1149">
      <c r="D1149" s="4"/>
      <c r="E1149" s="4"/>
    </row>
    <row r="1150">
      <c r="D1150" s="4"/>
      <c r="E1150" s="4"/>
    </row>
    <row r="1151">
      <c r="D1151" s="4"/>
      <c r="E1151" s="4"/>
    </row>
    <row r="1152">
      <c r="D1152" s="4"/>
      <c r="E1152" s="4"/>
    </row>
    <row r="1153">
      <c r="D1153" s="4"/>
      <c r="E1153" s="4"/>
    </row>
    <row r="1154">
      <c r="D1154" s="4"/>
      <c r="E1154" s="4"/>
    </row>
    <row r="1155">
      <c r="D1155" s="4"/>
      <c r="E1155" s="4"/>
    </row>
    <row r="1156">
      <c r="D1156" s="4"/>
      <c r="E1156" s="4"/>
    </row>
    <row r="1157">
      <c r="D1157" s="4"/>
      <c r="E1157" s="4"/>
    </row>
    <row r="1158">
      <c r="D1158" s="4"/>
      <c r="E1158" s="4"/>
    </row>
    <row r="1159">
      <c r="D1159" s="4"/>
      <c r="E1159" s="4"/>
    </row>
    <row r="1160">
      <c r="D1160" s="4"/>
      <c r="E1160" s="4"/>
    </row>
    <row r="1161">
      <c r="D1161" s="4"/>
      <c r="E1161" s="4"/>
    </row>
    <row r="1162">
      <c r="D1162" s="4"/>
      <c r="E1162" s="4"/>
    </row>
    <row r="1163">
      <c r="D1163" s="4"/>
      <c r="E1163" s="4"/>
    </row>
    <row r="1164">
      <c r="D1164" s="4"/>
      <c r="E1164" s="4"/>
    </row>
    <row r="1165">
      <c r="D1165" s="4"/>
      <c r="E1165" s="4"/>
    </row>
    <row r="1166">
      <c r="D1166" s="4"/>
      <c r="E1166" s="4"/>
    </row>
    <row r="1167">
      <c r="D1167" s="4"/>
      <c r="E1167" s="4"/>
    </row>
    <row r="1168">
      <c r="D1168" s="4"/>
      <c r="E1168" s="4"/>
    </row>
    <row r="1169">
      <c r="D1169" s="4"/>
      <c r="E1169" s="4"/>
    </row>
    <row r="1170">
      <c r="D1170" s="4"/>
      <c r="E1170" s="4"/>
    </row>
    <row r="1171">
      <c r="D1171" s="4"/>
      <c r="E1171" s="4"/>
    </row>
    <row r="1172">
      <c r="D1172" s="4"/>
      <c r="E1172" s="4"/>
    </row>
    <row r="1173">
      <c r="D1173" s="4"/>
      <c r="E1173" s="4"/>
    </row>
    <row r="1174">
      <c r="D1174" s="4"/>
      <c r="E1174" s="4"/>
    </row>
    <row r="1175">
      <c r="D1175" s="4"/>
      <c r="E1175" s="4"/>
    </row>
    <row r="1176">
      <c r="D1176" s="4"/>
      <c r="E1176" s="4"/>
    </row>
    <row r="1177">
      <c r="D1177" s="4"/>
      <c r="E1177" s="4"/>
    </row>
    <row r="1178">
      <c r="D1178" s="4"/>
      <c r="E1178" s="4"/>
    </row>
    <row r="1179">
      <c r="D1179" s="4"/>
      <c r="E1179" s="4"/>
    </row>
    <row r="1180">
      <c r="D1180" s="4"/>
      <c r="E1180" s="4"/>
    </row>
    <row r="1181">
      <c r="D1181" s="4"/>
      <c r="E1181" s="4"/>
    </row>
    <row r="1182">
      <c r="D1182" s="4"/>
      <c r="E1182" s="4"/>
    </row>
    <row r="1183">
      <c r="D1183" s="4"/>
      <c r="E1183" s="4"/>
    </row>
    <row r="1184">
      <c r="D1184" s="4"/>
      <c r="E1184" s="4"/>
    </row>
    <row r="1185">
      <c r="D1185" s="4"/>
      <c r="E1185" s="4"/>
    </row>
    <row r="1186">
      <c r="D1186" s="4"/>
      <c r="E1186" s="4"/>
    </row>
    <row r="1187">
      <c r="D1187" s="4"/>
      <c r="E1187" s="4"/>
    </row>
    <row r="1188">
      <c r="D1188" s="4"/>
      <c r="E1188" s="4"/>
    </row>
    <row r="1189">
      <c r="D1189" s="4"/>
      <c r="E1189" s="4"/>
    </row>
    <row r="1190">
      <c r="D1190" s="4"/>
      <c r="E1190" s="4"/>
    </row>
    <row r="1191">
      <c r="D1191" s="4"/>
      <c r="E1191" s="4"/>
    </row>
    <row r="1192">
      <c r="D1192" s="4"/>
      <c r="E1192" s="4"/>
    </row>
    <row r="1193">
      <c r="D1193" s="4"/>
      <c r="E1193" s="4"/>
    </row>
    <row r="1194">
      <c r="D1194" s="4"/>
      <c r="E1194" s="4"/>
    </row>
    <row r="1195">
      <c r="D1195" s="4"/>
      <c r="E1195" s="4"/>
    </row>
    <row r="1196">
      <c r="D1196" s="4"/>
      <c r="E1196" s="4"/>
    </row>
    <row r="1197">
      <c r="D1197" s="4"/>
      <c r="E1197" s="4"/>
    </row>
    <row r="1198">
      <c r="D1198" s="4"/>
      <c r="E1198" s="4"/>
    </row>
    <row r="1199">
      <c r="D1199" s="4"/>
      <c r="E1199" s="4"/>
    </row>
    <row r="1200">
      <c r="D1200" s="4"/>
      <c r="E1200" s="4"/>
    </row>
    <row r="1201">
      <c r="D1201" s="4"/>
      <c r="E1201" s="4"/>
    </row>
    <row r="1202">
      <c r="D1202" s="4"/>
      <c r="E1202" s="4"/>
    </row>
    <row r="1203">
      <c r="D1203" s="4"/>
      <c r="E1203" s="4"/>
    </row>
    <row r="1204">
      <c r="D1204" s="4"/>
      <c r="E1204" s="4"/>
    </row>
    <row r="1205">
      <c r="D1205" s="4"/>
      <c r="E1205" s="4"/>
    </row>
    <row r="1206">
      <c r="D1206" s="4"/>
      <c r="E1206" s="4"/>
    </row>
    <row r="1207">
      <c r="D1207" s="4"/>
      <c r="E1207" s="4"/>
    </row>
    <row r="1208">
      <c r="D1208" s="4"/>
      <c r="E1208" s="4"/>
    </row>
    <row r="1209">
      <c r="D1209" s="4"/>
      <c r="E1209" s="4"/>
    </row>
    <row r="1210">
      <c r="D1210" s="4"/>
      <c r="E1210" s="4"/>
    </row>
    <row r="1211">
      <c r="D1211" s="4"/>
      <c r="E1211" s="4"/>
    </row>
    <row r="1212">
      <c r="D1212" s="4"/>
      <c r="E1212" s="4"/>
    </row>
    <row r="1213">
      <c r="D1213" s="4"/>
      <c r="E1213" s="4"/>
    </row>
    <row r="1214">
      <c r="D1214" s="4"/>
      <c r="E1214" s="4"/>
    </row>
    <row r="1215">
      <c r="D1215" s="4"/>
      <c r="E1215" s="4"/>
    </row>
    <row r="1216">
      <c r="D1216" s="4"/>
      <c r="E1216" s="4"/>
    </row>
    <row r="1217">
      <c r="D1217" s="4"/>
      <c r="E1217" s="4"/>
    </row>
    <row r="1218">
      <c r="D1218" s="4"/>
      <c r="E1218" s="4"/>
    </row>
    <row r="1219">
      <c r="D1219" s="4"/>
      <c r="E1219" s="4"/>
    </row>
    <row r="1220">
      <c r="D1220" s="4"/>
      <c r="E1220" s="4"/>
    </row>
    <row r="1221">
      <c r="D1221" s="4"/>
      <c r="E1221" s="4"/>
    </row>
    <row r="1222">
      <c r="D1222" s="4"/>
      <c r="E1222" s="4"/>
    </row>
    <row r="1223">
      <c r="D1223" s="4"/>
      <c r="E1223" s="4"/>
    </row>
    <row r="1224">
      <c r="D1224" s="4"/>
      <c r="E1224" s="4"/>
    </row>
    <row r="1225">
      <c r="D1225" s="4"/>
      <c r="E1225" s="4"/>
    </row>
    <row r="1226">
      <c r="D1226" s="4"/>
      <c r="E1226" s="4"/>
    </row>
    <row r="1227">
      <c r="D1227" s="4"/>
      <c r="E1227" s="4"/>
    </row>
    <row r="1228">
      <c r="D1228" s="4"/>
      <c r="E1228" s="4"/>
    </row>
    <row r="1229">
      <c r="D1229" s="4"/>
      <c r="E1229" s="4"/>
    </row>
    <row r="1230">
      <c r="D1230" s="4"/>
      <c r="E1230" s="4"/>
    </row>
    <row r="1231">
      <c r="D1231" s="4"/>
      <c r="E1231" s="4"/>
    </row>
    <row r="1232">
      <c r="D1232" s="4"/>
      <c r="E1232" s="4"/>
    </row>
    <row r="1233">
      <c r="D1233" s="4"/>
      <c r="E1233" s="4"/>
    </row>
    <row r="1234">
      <c r="D1234" s="4"/>
      <c r="E1234" s="4"/>
    </row>
    <row r="1235">
      <c r="D1235" s="4"/>
      <c r="E1235" s="4"/>
    </row>
    <row r="1236">
      <c r="D1236" s="4"/>
      <c r="E1236" s="4"/>
    </row>
    <row r="1237">
      <c r="D1237" s="4"/>
      <c r="E1237" s="4"/>
    </row>
    <row r="1238">
      <c r="D1238" s="4"/>
      <c r="E1238" s="4"/>
    </row>
    <row r="1239">
      <c r="D1239" s="4"/>
      <c r="E1239" s="4"/>
    </row>
    <row r="1240">
      <c r="D1240" s="4"/>
      <c r="E1240" s="4"/>
    </row>
    <row r="1241">
      <c r="D1241" s="4"/>
      <c r="E1241" s="4"/>
    </row>
    <row r="1242">
      <c r="D1242" s="4"/>
      <c r="E1242" s="4"/>
    </row>
    <row r="1243">
      <c r="D1243" s="4"/>
      <c r="E1243" s="4"/>
    </row>
    <row r="1244">
      <c r="D1244" s="4"/>
      <c r="E1244" s="4"/>
    </row>
    <row r="1245">
      <c r="D1245" s="4"/>
      <c r="E1245" s="4"/>
    </row>
    <row r="1246">
      <c r="D1246" s="4"/>
      <c r="E1246" s="4"/>
    </row>
    <row r="1247">
      <c r="D1247" s="4"/>
      <c r="E1247" s="4"/>
    </row>
    <row r="1248">
      <c r="D1248" s="4"/>
      <c r="E1248" s="4"/>
    </row>
    <row r="1249">
      <c r="D1249" s="4"/>
      <c r="E1249" s="4"/>
    </row>
    <row r="1250">
      <c r="D1250" s="4"/>
      <c r="E1250" s="4"/>
    </row>
    <row r="1251">
      <c r="D1251" s="4"/>
      <c r="E1251" s="4"/>
    </row>
    <row r="1252">
      <c r="D1252" s="4"/>
      <c r="E1252" s="4"/>
    </row>
    <row r="1253">
      <c r="D1253" s="4"/>
      <c r="E1253" s="4"/>
    </row>
    <row r="1254">
      <c r="D1254" s="4"/>
      <c r="E1254" s="4"/>
    </row>
    <row r="1255">
      <c r="D1255" s="4"/>
      <c r="E1255" s="4"/>
    </row>
    <row r="1256">
      <c r="D1256" s="4"/>
      <c r="E1256" s="4"/>
    </row>
    <row r="1257">
      <c r="D1257" s="4"/>
      <c r="E1257" s="4"/>
    </row>
    <row r="1258">
      <c r="D1258" s="4"/>
      <c r="E1258" s="4"/>
    </row>
    <row r="1259">
      <c r="D1259" s="4"/>
      <c r="E1259" s="4"/>
    </row>
    <row r="1260">
      <c r="D1260" s="4"/>
      <c r="E1260" s="4"/>
    </row>
    <row r="1261">
      <c r="D1261" s="4"/>
      <c r="E1261" s="4"/>
    </row>
    <row r="1262">
      <c r="D1262" s="4"/>
      <c r="E1262" s="4"/>
    </row>
    <row r="1263">
      <c r="D1263" s="4"/>
      <c r="E1263" s="4"/>
    </row>
    <row r="1264">
      <c r="D1264" s="4"/>
      <c r="E1264" s="4"/>
    </row>
    <row r="1265">
      <c r="D1265" s="4"/>
      <c r="E1265" s="4"/>
    </row>
    <row r="1266">
      <c r="D1266" s="4"/>
      <c r="E1266" s="4"/>
    </row>
    <row r="1267">
      <c r="D1267" s="4"/>
      <c r="E1267" s="4"/>
    </row>
    <row r="1268">
      <c r="D1268" s="4"/>
      <c r="E1268" s="4"/>
    </row>
    <row r="1269">
      <c r="D1269" s="4"/>
      <c r="E1269" s="4"/>
    </row>
    <row r="1270">
      <c r="D1270" s="4"/>
      <c r="E1270" s="4"/>
    </row>
    <row r="1271">
      <c r="D1271" s="4"/>
      <c r="E1271" s="4"/>
    </row>
    <row r="1272">
      <c r="D1272" s="4"/>
      <c r="E1272" s="4"/>
    </row>
    <row r="1273">
      <c r="D1273" s="4"/>
      <c r="E1273" s="4"/>
    </row>
    <row r="1274">
      <c r="D1274" s="4"/>
      <c r="E1274" s="4"/>
    </row>
    <row r="1275">
      <c r="D1275" s="4"/>
      <c r="E1275" s="4"/>
    </row>
    <row r="1276">
      <c r="D1276" s="4"/>
      <c r="E1276" s="4"/>
    </row>
    <row r="1277">
      <c r="D1277" s="4"/>
      <c r="E1277" s="4"/>
    </row>
    <row r="1278">
      <c r="D1278" s="4"/>
      <c r="E1278" s="4"/>
    </row>
    <row r="1279">
      <c r="D1279" s="4"/>
      <c r="E1279" s="4"/>
    </row>
    <row r="1280">
      <c r="D1280" s="4"/>
      <c r="E1280" s="4"/>
    </row>
    <row r="1281">
      <c r="D1281" s="4"/>
      <c r="E1281" s="4"/>
    </row>
    <row r="1282">
      <c r="D1282" s="4"/>
      <c r="E1282" s="4"/>
    </row>
    <row r="1283">
      <c r="D1283" s="4"/>
      <c r="E1283" s="4"/>
    </row>
    <row r="1284">
      <c r="D1284" s="4"/>
      <c r="E1284" s="4"/>
    </row>
    <row r="1285">
      <c r="D1285" s="4"/>
      <c r="E1285" s="4"/>
    </row>
    <row r="1286">
      <c r="D1286" s="4"/>
      <c r="E1286" s="4"/>
    </row>
    <row r="1287">
      <c r="D1287" s="4"/>
      <c r="E1287" s="4"/>
    </row>
    <row r="1288">
      <c r="D1288" s="4"/>
      <c r="E1288" s="4"/>
    </row>
    <row r="1289">
      <c r="D1289" s="4"/>
      <c r="E1289" s="4"/>
    </row>
    <row r="1290">
      <c r="D1290" s="4"/>
      <c r="E1290" s="4"/>
    </row>
    <row r="1291">
      <c r="D1291" s="4"/>
      <c r="E1291" s="4"/>
    </row>
    <row r="1292">
      <c r="D1292" s="4"/>
      <c r="E1292" s="4"/>
    </row>
    <row r="1293">
      <c r="D1293" s="4"/>
      <c r="E1293" s="4"/>
    </row>
    <row r="1294">
      <c r="D1294" s="4"/>
      <c r="E1294" s="4"/>
    </row>
    <row r="1295">
      <c r="D1295" s="4"/>
      <c r="E1295" s="4"/>
    </row>
    <row r="1296">
      <c r="D1296" s="4"/>
      <c r="E1296" s="4"/>
    </row>
    <row r="1297">
      <c r="D1297" s="4"/>
      <c r="E1297" s="4"/>
    </row>
    <row r="1298">
      <c r="D1298" s="4"/>
      <c r="E1298" s="4"/>
    </row>
    <row r="1299">
      <c r="D1299" s="4"/>
      <c r="E1299" s="4"/>
    </row>
    <row r="1300">
      <c r="D1300" s="4"/>
      <c r="E1300" s="4"/>
    </row>
    <row r="1301">
      <c r="D1301" s="4"/>
      <c r="E1301" s="4"/>
    </row>
    <row r="1302">
      <c r="D1302" s="4"/>
      <c r="E1302" s="4"/>
    </row>
    <row r="1303">
      <c r="D1303" s="4"/>
      <c r="E1303" s="4"/>
    </row>
    <row r="1304">
      <c r="D1304" s="4"/>
      <c r="E1304" s="4"/>
    </row>
    <row r="1305">
      <c r="D1305" s="4"/>
      <c r="E1305" s="4"/>
    </row>
    <row r="1306">
      <c r="D1306" s="4"/>
      <c r="E1306" s="4"/>
    </row>
    <row r="1307">
      <c r="D1307" s="4"/>
      <c r="E1307" s="4"/>
    </row>
    <row r="1308">
      <c r="D1308" s="4"/>
      <c r="E1308" s="4"/>
    </row>
    <row r="1309">
      <c r="D1309" s="4"/>
      <c r="E1309" s="4"/>
    </row>
    <row r="1310">
      <c r="D1310" s="4"/>
      <c r="E1310" s="4"/>
    </row>
    <row r="1311">
      <c r="D1311" s="4"/>
      <c r="E1311" s="4"/>
    </row>
    <row r="1312">
      <c r="D1312" s="4"/>
      <c r="E1312" s="4"/>
    </row>
    <row r="1313">
      <c r="D1313" s="4"/>
      <c r="E1313" s="4"/>
    </row>
    <row r="1314">
      <c r="D1314" s="4"/>
      <c r="E1314" s="4"/>
    </row>
    <row r="1315">
      <c r="D1315" s="4"/>
      <c r="E1315" s="4"/>
    </row>
    <row r="1316">
      <c r="D1316" s="4"/>
      <c r="E1316" s="4"/>
    </row>
    <row r="1317">
      <c r="D1317" s="4"/>
      <c r="E1317" s="4"/>
    </row>
    <row r="1318">
      <c r="D1318" s="4"/>
      <c r="E1318" s="4"/>
    </row>
    <row r="1319">
      <c r="D1319" s="4"/>
      <c r="E1319" s="4"/>
    </row>
    <row r="1320">
      <c r="D1320" s="4"/>
      <c r="E1320" s="4"/>
    </row>
    <row r="1321">
      <c r="D1321" s="4"/>
      <c r="E1321" s="4"/>
    </row>
    <row r="1322">
      <c r="D1322" s="4"/>
      <c r="E1322" s="4"/>
    </row>
    <row r="1323">
      <c r="D1323" s="4"/>
      <c r="E1323" s="4"/>
    </row>
    <row r="1324">
      <c r="D1324" s="4"/>
      <c r="E1324" s="4"/>
    </row>
    <row r="1325">
      <c r="D1325" s="4"/>
      <c r="E1325" s="4"/>
    </row>
    <row r="1326">
      <c r="D1326" s="4"/>
      <c r="E1326" s="4"/>
    </row>
    <row r="1327">
      <c r="D1327" s="4"/>
      <c r="E1327" s="4"/>
    </row>
    <row r="1328">
      <c r="D1328" s="4"/>
      <c r="E1328" s="4"/>
    </row>
    <row r="1329">
      <c r="D1329" s="4"/>
      <c r="E1329" s="4"/>
    </row>
    <row r="1330">
      <c r="D1330" s="4"/>
      <c r="E1330" s="4"/>
    </row>
    <row r="1331">
      <c r="D1331" s="4"/>
      <c r="E1331" s="4"/>
    </row>
    <row r="1332">
      <c r="D1332" s="4"/>
      <c r="E1332" s="4"/>
    </row>
    <row r="1333">
      <c r="D1333" s="4"/>
      <c r="E1333" s="4"/>
    </row>
    <row r="1334">
      <c r="D1334" s="4"/>
      <c r="E1334" s="4"/>
    </row>
    <row r="1335">
      <c r="D1335" s="4"/>
      <c r="E1335" s="4"/>
    </row>
    <row r="1336">
      <c r="D1336" s="4"/>
      <c r="E1336" s="4"/>
    </row>
    <row r="1337">
      <c r="D1337" s="4"/>
      <c r="E1337" s="4"/>
    </row>
    <row r="1338">
      <c r="D1338" s="4"/>
      <c r="E1338" s="4"/>
    </row>
    <row r="1339">
      <c r="D1339" s="4"/>
      <c r="E1339" s="4"/>
    </row>
    <row r="1340">
      <c r="D1340" s="4"/>
      <c r="E1340" s="4"/>
    </row>
    <row r="1341">
      <c r="D1341" s="4"/>
      <c r="E1341" s="4"/>
    </row>
    <row r="1342">
      <c r="D1342" s="4"/>
      <c r="E1342" s="4"/>
    </row>
    <row r="1343">
      <c r="D1343" s="4"/>
      <c r="E1343" s="4"/>
    </row>
    <row r="1344">
      <c r="D1344" s="4"/>
      <c r="E1344" s="4"/>
    </row>
    <row r="1345">
      <c r="D1345" s="4"/>
      <c r="E1345" s="4"/>
    </row>
    <row r="1346">
      <c r="D1346" s="4"/>
      <c r="E1346" s="4"/>
    </row>
    <row r="1347">
      <c r="D1347" s="4"/>
      <c r="E1347" s="4"/>
    </row>
    <row r="1348">
      <c r="D1348" s="4"/>
      <c r="E1348" s="4"/>
    </row>
    <row r="1349">
      <c r="D1349" s="4"/>
      <c r="E1349" s="4"/>
    </row>
    <row r="1350">
      <c r="D1350" s="4"/>
      <c r="E1350" s="4"/>
    </row>
    <row r="1351">
      <c r="D1351" s="4"/>
      <c r="E1351" s="4"/>
    </row>
    <row r="1352">
      <c r="D1352" s="4"/>
      <c r="E1352" s="4"/>
    </row>
    <row r="1353">
      <c r="D1353" s="4"/>
      <c r="E1353" s="4"/>
    </row>
    <row r="1354">
      <c r="D1354" s="4"/>
      <c r="E1354" s="4"/>
    </row>
    <row r="1355">
      <c r="D1355" s="4"/>
      <c r="E1355" s="4"/>
    </row>
    <row r="1356">
      <c r="D1356" s="4"/>
      <c r="E1356" s="4"/>
    </row>
    <row r="1357">
      <c r="D1357" s="4"/>
      <c r="E1357" s="4"/>
    </row>
    <row r="1358">
      <c r="D1358" s="4"/>
      <c r="E1358" s="4"/>
    </row>
    <row r="1359">
      <c r="D1359" s="4"/>
      <c r="E1359" s="4"/>
    </row>
    <row r="1360">
      <c r="D1360" s="4"/>
      <c r="E1360" s="4"/>
    </row>
    <row r="1361">
      <c r="D1361" s="4"/>
      <c r="E1361" s="4"/>
    </row>
    <row r="1362">
      <c r="D1362" s="4"/>
      <c r="E1362" s="4"/>
    </row>
    <row r="1363">
      <c r="D1363" s="4"/>
      <c r="E1363" s="4"/>
    </row>
    <row r="1364">
      <c r="D1364" s="4"/>
      <c r="E1364" s="4"/>
    </row>
    <row r="1365">
      <c r="D1365" s="4"/>
      <c r="E1365" s="4"/>
    </row>
    <row r="1366">
      <c r="D1366" s="4"/>
      <c r="E1366" s="4"/>
    </row>
    <row r="1367">
      <c r="D1367" s="4"/>
      <c r="E1367" s="4"/>
    </row>
    <row r="1368">
      <c r="D1368" s="4"/>
      <c r="E1368" s="4"/>
    </row>
    <row r="1369">
      <c r="D1369" s="4"/>
      <c r="E1369" s="4"/>
    </row>
    <row r="1370">
      <c r="D1370" s="4"/>
      <c r="E1370" s="4"/>
    </row>
    <row r="1371">
      <c r="D1371" s="4"/>
      <c r="E1371" s="4"/>
    </row>
    <row r="1372">
      <c r="D1372" s="4"/>
      <c r="E1372" s="4"/>
    </row>
    <row r="1373">
      <c r="D1373" s="4"/>
      <c r="E1373" s="4"/>
    </row>
    <row r="1374">
      <c r="D1374" s="4"/>
      <c r="E1374" s="4"/>
    </row>
    <row r="1375">
      <c r="D1375" s="4"/>
      <c r="E1375" s="4"/>
    </row>
    <row r="1376">
      <c r="D1376" s="4"/>
      <c r="E1376" s="4"/>
    </row>
    <row r="1377">
      <c r="D1377" s="4"/>
      <c r="E1377" s="4"/>
    </row>
    <row r="1378">
      <c r="D1378" s="4"/>
      <c r="E1378" s="4"/>
    </row>
    <row r="1379">
      <c r="D1379" s="4"/>
      <c r="E1379" s="4"/>
    </row>
    <row r="1380">
      <c r="D1380" s="4"/>
      <c r="E1380" s="4"/>
    </row>
    <row r="1381">
      <c r="D1381" s="4"/>
      <c r="E1381" s="4"/>
    </row>
    <row r="1382">
      <c r="D1382" s="4"/>
      <c r="E1382" s="4"/>
    </row>
    <row r="1383">
      <c r="D1383" s="4"/>
      <c r="E1383" s="4"/>
    </row>
    <row r="1384">
      <c r="D1384" s="4"/>
      <c r="E1384" s="4"/>
    </row>
    <row r="1385">
      <c r="D1385" s="4"/>
      <c r="E1385" s="4"/>
    </row>
    <row r="1386">
      <c r="D1386" s="4"/>
      <c r="E1386" s="4"/>
    </row>
    <row r="1387">
      <c r="D1387" s="4"/>
      <c r="E1387" s="4"/>
    </row>
    <row r="1388">
      <c r="D1388" s="4"/>
      <c r="E1388" s="4"/>
    </row>
    <row r="1389">
      <c r="D1389" s="4"/>
      <c r="E1389" s="4"/>
    </row>
    <row r="1390">
      <c r="D1390" s="4"/>
      <c r="E1390" s="4"/>
    </row>
    <row r="1391">
      <c r="D1391" s="4"/>
      <c r="E1391" s="4"/>
    </row>
    <row r="1392">
      <c r="D1392" s="4"/>
      <c r="E1392" s="4"/>
    </row>
    <row r="1393">
      <c r="D1393" s="4"/>
      <c r="E1393" s="4"/>
    </row>
    <row r="1394">
      <c r="D1394" s="4"/>
      <c r="E1394" s="4"/>
    </row>
    <row r="1395">
      <c r="D1395" s="4"/>
      <c r="E1395" s="4"/>
    </row>
    <row r="1396">
      <c r="D1396" s="4"/>
      <c r="E1396" s="4"/>
    </row>
    <row r="1397">
      <c r="D1397" s="4"/>
      <c r="E1397" s="4"/>
    </row>
    <row r="1398">
      <c r="D1398" s="4"/>
      <c r="E1398" s="4"/>
    </row>
    <row r="1399">
      <c r="D1399" s="4"/>
      <c r="E1399" s="4"/>
    </row>
    <row r="1400">
      <c r="D1400" s="4"/>
      <c r="E1400" s="4"/>
    </row>
    <row r="1401">
      <c r="D1401" s="4"/>
      <c r="E1401" s="4"/>
    </row>
    <row r="1402">
      <c r="D1402" s="4"/>
      <c r="E1402" s="4"/>
    </row>
    <row r="1403">
      <c r="D1403" s="4"/>
      <c r="E1403" s="4"/>
    </row>
    <row r="1404">
      <c r="D1404" s="4"/>
      <c r="E1404" s="4"/>
    </row>
    <row r="1405">
      <c r="D1405" s="4"/>
      <c r="E1405" s="4"/>
    </row>
    <row r="1406">
      <c r="D1406" s="4"/>
      <c r="E1406" s="4"/>
    </row>
    <row r="1407">
      <c r="D1407" s="4"/>
      <c r="E1407" s="4"/>
    </row>
    <row r="1408">
      <c r="D1408" s="4"/>
      <c r="E1408" s="4"/>
    </row>
    <row r="1409">
      <c r="D1409" s="4"/>
      <c r="E1409" s="4"/>
    </row>
    <row r="1410">
      <c r="D1410" s="4"/>
      <c r="E1410" s="4"/>
    </row>
    <row r="1411">
      <c r="D1411" s="4"/>
      <c r="E1411" s="4"/>
    </row>
    <row r="1412">
      <c r="D1412" s="4"/>
      <c r="E1412" s="4"/>
    </row>
    <row r="1413">
      <c r="D1413" s="4"/>
      <c r="E1413" s="4"/>
    </row>
    <row r="1414">
      <c r="D1414" s="4"/>
      <c r="E1414" s="4"/>
    </row>
    <row r="1415">
      <c r="D1415" s="4"/>
      <c r="E1415" s="4"/>
    </row>
    <row r="1416">
      <c r="D1416" s="4"/>
      <c r="E1416" s="4"/>
    </row>
    <row r="1417">
      <c r="D1417" s="4"/>
      <c r="E1417" s="4"/>
    </row>
    <row r="1418">
      <c r="D1418" s="4"/>
      <c r="E1418" s="4"/>
    </row>
    <row r="1419">
      <c r="D1419" s="4"/>
      <c r="E1419" s="4"/>
    </row>
    <row r="1420">
      <c r="D1420" s="4"/>
      <c r="E1420" s="4"/>
    </row>
    <row r="1421">
      <c r="D1421" s="4"/>
      <c r="E1421" s="4"/>
    </row>
    <row r="1422">
      <c r="D1422" s="4"/>
      <c r="E1422" s="4"/>
    </row>
    <row r="1423">
      <c r="D1423" s="4"/>
      <c r="E1423" s="4"/>
    </row>
    <row r="1424">
      <c r="D1424" s="4"/>
      <c r="E1424" s="4"/>
    </row>
    <row r="1425">
      <c r="D1425" s="4"/>
      <c r="E1425" s="4"/>
    </row>
    <row r="1426">
      <c r="D1426" s="4"/>
      <c r="E1426" s="4"/>
    </row>
    <row r="1427">
      <c r="D1427" s="4"/>
      <c r="E1427" s="4"/>
    </row>
    <row r="1428">
      <c r="D1428" s="4"/>
      <c r="E1428" s="4"/>
    </row>
    <row r="1429">
      <c r="D1429" s="4"/>
      <c r="E1429" s="4"/>
    </row>
    <row r="1430">
      <c r="D1430" s="4"/>
      <c r="E1430" s="4"/>
    </row>
    <row r="1431">
      <c r="D1431" s="4"/>
      <c r="E1431" s="4"/>
    </row>
    <row r="1432">
      <c r="D1432" s="4"/>
      <c r="E1432" s="4"/>
    </row>
    <row r="1433">
      <c r="D1433" s="4"/>
      <c r="E1433" s="4"/>
    </row>
    <row r="1434">
      <c r="D1434" s="4"/>
      <c r="E1434" s="4"/>
    </row>
    <row r="1435">
      <c r="D1435" s="4"/>
      <c r="E1435" s="4"/>
    </row>
    <row r="1436">
      <c r="D1436" s="4"/>
      <c r="E1436" s="4"/>
    </row>
    <row r="1437">
      <c r="D1437" s="4"/>
      <c r="E1437" s="4"/>
    </row>
    <row r="1438">
      <c r="D1438" s="4"/>
      <c r="E1438" s="4"/>
    </row>
    <row r="1439">
      <c r="D1439" s="4"/>
      <c r="E1439" s="4"/>
    </row>
    <row r="1440">
      <c r="D1440" s="4"/>
      <c r="E1440" s="4"/>
    </row>
    <row r="1441">
      <c r="D1441" s="4"/>
      <c r="E1441" s="4"/>
    </row>
    <row r="1442">
      <c r="D1442" s="4"/>
      <c r="E1442" s="4"/>
    </row>
    <row r="1443">
      <c r="D1443" s="4"/>
      <c r="E1443" s="4"/>
    </row>
    <row r="1444">
      <c r="D1444" s="4"/>
      <c r="E1444" s="4"/>
    </row>
    <row r="1445">
      <c r="D1445" s="4"/>
      <c r="E1445" s="4"/>
    </row>
    <row r="1446">
      <c r="D1446" s="4"/>
      <c r="E1446" s="4"/>
    </row>
    <row r="1447">
      <c r="D1447" s="4"/>
      <c r="E1447" s="4"/>
    </row>
    <row r="1448">
      <c r="D1448" s="4"/>
      <c r="E1448" s="4"/>
    </row>
    <row r="1449">
      <c r="D1449" s="4"/>
      <c r="E1449" s="4"/>
    </row>
    <row r="1450">
      <c r="D1450" s="4"/>
      <c r="E1450" s="4"/>
    </row>
    <row r="1451">
      <c r="D1451" s="4"/>
      <c r="E1451" s="4"/>
    </row>
    <row r="1452">
      <c r="D1452" s="4"/>
      <c r="E1452" s="4"/>
    </row>
    <row r="1453">
      <c r="D1453" s="4"/>
      <c r="E1453" s="4"/>
    </row>
    <row r="1454">
      <c r="D1454" s="4"/>
      <c r="E1454" s="4"/>
    </row>
    <row r="1455">
      <c r="D1455" s="4"/>
      <c r="E1455" s="4"/>
    </row>
    <row r="1456">
      <c r="D1456" s="4"/>
      <c r="E1456" s="4"/>
    </row>
    <row r="1457">
      <c r="D1457" s="4"/>
      <c r="E1457" s="4"/>
    </row>
    <row r="1458">
      <c r="D1458" s="4"/>
      <c r="E1458" s="4"/>
    </row>
    <row r="1459">
      <c r="D1459" s="4"/>
      <c r="E1459" s="4"/>
    </row>
    <row r="1460">
      <c r="D1460" s="4"/>
      <c r="E1460" s="4"/>
    </row>
    <row r="1461">
      <c r="D1461" s="4"/>
      <c r="E1461" s="4"/>
    </row>
    <row r="1462">
      <c r="D1462" s="4"/>
      <c r="E1462" s="4"/>
    </row>
    <row r="1463">
      <c r="D1463" s="4"/>
      <c r="E1463" s="4"/>
    </row>
    <row r="1464">
      <c r="D1464" s="4"/>
      <c r="E1464" s="4"/>
    </row>
    <row r="1465">
      <c r="D1465" s="4"/>
      <c r="E1465" s="4"/>
    </row>
    <row r="1466">
      <c r="D1466" s="4"/>
      <c r="E1466" s="4"/>
    </row>
    <row r="1467">
      <c r="D1467" s="4"/>
      <c r="E1467" s="4"/>
    </row>
    <row r="1468">
      <c r="D1468" s="4"/>
      <c r="E1468" s="4"/>
    </row>
    <row r="1469">
      <c r="D1469" s="4"/>
      <c r="E1469" s="4"/>
    </row>
    <row r="1470">
      <c r="D1470" s="4"/>
      <c r="E1470" s="4"/>
    </row>
    <row r="1471">
      <c r="D1471" s="4"/>
      <c r="E1471" s="4"/>
    </row>
    <row r="1472">
      <c r="D1472" s="4"/>
      <c r="E1472" s="4"/>
    </row>
    <row r="1473">
      <c r="D1473" s="4"/>
      <c r="E1473" s="4"/>
    </row>
    <row r="1474">
      <c r="D1474" s="4"/>
      <c r="E1474" s="4"/>
    </row>
    <row r="1475">
      <c r="D1475" s="4"/>
      <c r="E1475" s="4"/>
    </row>
    <row r="1476">
      <c r="D1476" s="4"/>
      <c r="E1476" s="4"/>
    </row>
    <row r="1477">
      <c r="D1477" s="4"/>
      <c r="E1477" s="4"/>
    </row>
    <row r="1478">
      <c r="D1478" s="4"/>
      <c r="E1478" s="4"/>
    </row>
    <row r="1479">
      <c r="D1479" s="4"/>
      <c r="E1479" s="4"/>
    </row>
    <row r="1480">
      <c r="D1480" s="4"/>
      <c r="E1480" s="4"/>
    </row>
    <row r="1481">
      <c r="D1481" s="4"/>
      <c r="E1481" s="4"/>
    </row>
    <row r="1482">
      <c r="D1482" s="4"/>
      <c r="E1482" s="4"/>
    </row>
    <row r="1483">
      <c r="D1483" s="4"/>
      <c r="E1483" s="4"/>
    </row>
    <row r="1484">
      <c r="D1484" s="4"/>
      <c r="E1484" s="4"/>
    </row>
    <row r="1485">
      <c r="D1485" s="4"/>
      <c r="E1485" s="4"/>
    </row>
    <row r="1486">
      <c r="D1486" s="4"/>
      <c r="E1486" s="4"/>
    </row>
    <row r="1487">
      <c r="D1487" s="4"/>
      <c r="E1487" s="4"/>
    </row>
    <row r="1488">
      <c r="D1488" s="4"/>
      <c r="E1488" s="4"/>
    </row>
    <row r="1489">
      <c r="D1489" s="4"/>
      <c r="E1489" s="4"/>
    </row>
    <row r="1490">
      <c r="D1490" s="4"/>
      <c r="E1490" s="4"/>
    </row>
    <row r="1491">
      <c r="D1491" s="4"/>
      <c r="E1491" s="4"/>
    </row>
    <row r="1492">
      <c r="D1492" s="4"/>
      <c r="E1492" s="4"/>
    </row>
    <row r="1493">
      <c r="D1493" s="4"/>
      <c r="E1493" s="4"/>
    </row>
    <row r="1494">
      <c r="D1494" s="4"/>
      <c r="E1494" s="4"/>
    </row>
    <row r="1495">
      <c r="D1495" s="4"/>
      <c r="E1495" s="4"/>
    </row>
    <row r="1496">
      <c r="D1496" s="4"/>
      <c r="E1496" s="4"/>
    </row>
    <row r="1497">
      <c r="D1497" s="4"/>
      <c r="E1497" s="4"/>
    </row>
    <row r="1498">
      <c r="D1498" s="4"/>
      <c r="E1498" s="4"/>
    </row>
    <row r="1499">
      <c r="D1499" s="4"/>
      <c r="E1499" s="4"/>
    </row>
    <row r="1500">
      <c r="D1500" s="4"/>
      <c r="E1500" s="4"/>
    </row>
    <row r="1501">
      <c r="D1501" s="4"/>
      <c r="E1501" s="4"/>
    </row>
    <row r="1502">
      <c r="D1502" s="4"/>
      <c r="E1502" s="4"/>
    </row>
    <row r="1503">
      <c r="D1503" s="4"/>
      <c r="E1503" s="4"/>
    </row>
    <row r="1504">
      <c r="D1504" s="4"/>
      <c r="E1504" s="4"/>
    </row>
    <row r="1505">
      <c r="D1505" s="4"/>
      <c r="E1505" s="4"/>
    </row>
    <row r="1506">
      <c r="D1506" s="4"/>
      <c r="E1506" s="4"/>
    </row>
    <row r="1507">
      <c r="D1507" s="4"/>
      <c r="E1507" s="4"/>
    </row>
    <row r="1508">
      <c r="D1508" s="4"/>
      <c r="E1508" s="4"/>
    </row>
    <row r="1509">
      <c r="D1509" s="4"/>
      <c r="E1509" s="4"/>
    </row>
    <row r="1510">
      <c r="D1510" s="4"/>
      <c r="E1510" s="4"/>
    </row>
    <row r="1511">
      <c r="D1511" s="4"/>
      <c r="E1511" s="4"/>
    </row>
    <row r="1512">
      <c r="D1512" s="4"/>
      <c r="E1512" s="4"/>
    </row>
    <row r="1513">
      <c r="D1513" s="4"/>
      <c r="E1513" s="4"/>
    </row>
    <row r="1514">
      <c r="D1514" s="4"/>
      <c r="E1514" s="4"/>
    </row>
    <row r="1515">
      <c r="D1515" s="4"/>
      <c r="E1515" s="4"/>
    </row>
    <row r="1516">
      <c r="D1516" s="4"/>
      <c r="E1516" s="4"/>
    </row>
    <row r="1517">
      <c r="D1517" s="4"/>
      <c r="E1517" s="4"/>
    </row>
    <row r="1518">
      <c r="D1518" s="4"/>
      <c r="E1518" s="4"/>
    </row>
    <row r="1519">
      <c r="D1519" s="4"/>
      <c r="E1519" s="4"/>
    </row>
    <row r="1520">
      <c r="D1520" s="4"/>
      <c r="E1520" s="4"/>
    </row>
    <row r="1521">
      <c r="D1521" s="4"/>
      <c r="E1521" s="4"/>
    </row>
    <row r="1522">
      <c r="D1522" s="4"/>
      <c r="E1522" s="4"/>
    </row>
    <row r="1523">
      <c r="D1523" s="4"/>
      <c r="E1523" s="4"/>
    </row>
    <row r="1524">
      <c r="D1524" s="4"/>
      <c r="E1524" s="4"/>
    </row>
    <row r="1525">
      <c r="D1525" s="4"/>
      <c r="E1525" s="4"/>
    </row>
    <row r="1526">
      <c r="D1526" s="4"/>
      <c r="E1526" s="4"/>
    </row>
    <row r="1527">
      <c r="D1527" s="4"/>
      <c r="E1527" s="4"/>
    </row>
    <row r="1528">
      <c r="D1528" s="4"/>
      <c r="E1528" s="4"/>
    </row>
    <row r="1529">
      <c r="D1529" s="4"/>
      <c r="E1529" s="4"/>
    </row>
    <row r="1530">
      <c r="D1530" s="4"/>
      <c r="E1530" s="4"/>
    </row>
    <row r="1531">
      <c r="D1531" s="4"/>
      <c r="E1531" s="4"/>
    </row>
    <row r="1532">
      <c r="D1532" s="4"/>
      <c r="E1532" s="4"/>
    </row>
    <row r="1533">
      <c r="D1533" s="4"/>
      <c r="E1533" s="4"/>
    </row>
    <row r="1534">
      <c r="D1534" s="4"/>
      <c r="E1534" s="4"/>
    </row>
    <row r="1535">
      <c r="D1535" s="4"/>
      <c r="E1535" s="4"/>
    </row>
    <row r="1536">
      <c r="D1536" s="4"/>
      <c r="E1536" s="4"/>
    </row>
    <row r="1537">
      <c r="D1537" s="4"/>
      <c r="E1537" s="4"/>
    </row>
    <row r="1538">
      <c r="D1538" s="4"/>
      <c r="E1538" s="4"/>
    </row>
    <row r="1539">
      <c r="D1539" s="4"/>
      <c r="E1539" s="4"/>
    </row>
    <row r="1540">
      <c r="D1540" s="4"/>
      <c r="E1540" s="4"/>
    </row>
    <row r="1541">
      <c r="D1541" s="4"/>
      <c r="E1541" s="4"/>
    </row>
    <row r="1542">
      <c r="D1542" s="4"/>
      <c r="E1542" s="4"/>
    </row>
    <row r="1543">
      <c r="D1543" s="4"/>
      <c r="E1543" s="4"/>
    </row>
    <row r="1544">
      <c r="D1544" s="4"/>
      <c r="E1544" s="4"/>
    </row>
    <row r="1545">
      <c r="D1545" s="4"/>
      <c r="E1545" s="4"/>
    </row>
    <row r="1546">
      <c r="D1546" s="4"/>
      <c r="E1546" s="4"/>
    </row>
    <row r="1547">
      <c r="D1547" s="4"/>
      <c r="E1547" s="4"/>
    </row>
    <row r="1548">
      <c r="D1548" s="4"/>
      <c r="E1548" s="4"/>
    </row>
    <row r="1549">
      <c r="D1549" s="4"/>
      <c r="E1549" s="4"/>
    </row>
    <row r="1550">
      <c r="D1550" s="4"/>
      <c r="E1550" s="4"/>
    </row>
    <row r="1551">
      <c r="D1551" s="4"/>
      <c r="E1551" s="4"/>
    </row>
    <row r="1552">
      <c r="D1552" s="4"/>
      <c r="E1552" s="4"/>
    </row>
    <row r="1553">
      <c r="D1553" s="4"/>
      <c r="E1553" s="4"/>
    </row>
    <row r="1554">
      <c r="D1554" s="4"/>
      <c r="E1554" s="4"/>
    </row>
    <row r="1555">
      <c r="D1555" s="4"/>
      <c r="E1555" s="4"/>
    </row>
    <row r="1556">
      <c r="D1556" s="4"/>
      <c r="E1556" s="4"/>
    </row>
    <row r="1557">
      <c r="D1557" s="4"/>
      <c r="E1557" s="4"/>
    </row>
    <row r="1558">
      <c r="D1558" s="4"/>
      <c r="E1558" s="4"/>
    </row>
    <row r="1559">
      <c r="D1559" s="4"/>
      <c r="E1559" s="4"/>
    </row>
    <row r="1560">
      <c r="D1560" s="4"/>
      <c r="E1560" s="4"/>
    </row>
    <row r="1561">
      <c r="D1561" s="4"/>
      <c r="E1561" s="4"/>
    </row>
    <row r="1562">
      <c r="D1562" s="4"/>
      <c r="E1562" s="4"/>
    </row>
    <row r="1563">
      <c r="D1563" s="4"/>
      <c r="E1563" s="4"/>
    </row>
    <row r="1564">
      <c r="D1564" s="4"/>
      <c r="E1564" s="4"/>
    </row>
    <row r="1565">
      <c r="D1565" s="4"/>
      <c r="E1565" s="4"/>
    </row>
    <row r="1566">
      <c r="D1566" s="4"/>
      <c r="E1566" s="4"/>
    </row>
    <row r="1567">
      <c r="D1567" s="4"/>
      <c r="E1567" s="4"/>
    </row>
    <row r="1568">
      <c r="D1568" s="4"/>
      <c r="E1568" s="4"/>
    </row>
    <row r="1569">
      <c r="D1569" s="4"/>
      <c r="E1569" s="4"/>
    </row>
    <row r="1570">
      <c r="D1570" s="4"/>
      <c r="E1570" s="4"/>
    </row>
    <row r="1571">
      <c r="D1571" s="4"/>
      <c r="E1571" s="4"/>
    </row>
    <row r="1572">
      <c r="D1572" s="4"/>
      <c r="E1572" s="4"/>
    </row>
    <row r="1573">
      <c r="D1573" s="4"/>
      <c r="E1573" s="4"/>
    </row>
    <row r="1574">
      <c r="D1574" s="4"/>
      <c r="E1574" s="4"/>
    </row>
    <row r="1575">
      <c r="D1575" s="4"/>
      <c r="E1575" s="4"/>
    </row>
    <row r="1576">
      <c r="D1576" s="4"/>
      <c r="E1576" s="4"/>
    </row>
    <row r="1577">
      <c r="D1577" s="4"/>
      <c r="E1577" s="4"/>
    </row>
    <row r="1578">
      <c r="D1578" s="4"/>
      <c r="E1578" s="4"/>
    </row>
    <row r="1579">
      <c r="D1579" s="4"/>
      <c r="E1579" s="4"/>
    </row>
    <row r="1580">
      <c r="D1580" s="4"/>
      <c r="E1580" s="4"/>
    </row>
    <row r="1581">
      <c r="D1581" s="4"/>
      <c r="E1581" s="4"/>
    </row>
    <row r="1582">
      <c r="D1582" s="4"/>
      <c r="E1582" s="4"/>
    </row>
    <row r="1583">
      <c r="D1583" s="4"/>
      <c r="E1583" s="4"/>
    </row>
    <row r="1584">
      <c r="D1584" s="4"/>
      <c r="E1584" s="4"/>
    </row>
    <row r="1585">
      <c r="D1585" s="4"/>
      <c r="E1585" s="4"/>
    </row>
    <row r="1586">
      <c r="D1586" s="4"/>
      <c r="E1586" s="4"/>
    </row>
    <row r="1587">
      <c r="D1587" s="4"/>
      <c r="E1587" s="4"/>
    </row>
    <row r="1588">
      <c r="D1588" s="4"/>
      <c r="E1588" s="4"/>
    </row>
    <row r="1589">
      <c r="D1589" s="4"/>
      <c r="E1589" s="4"/>
    </row>
    <row r="1590">
      <c r="D1590" s="4"/>
      <c r="E1590" s="4"/>
    </row>
    <row r="1591">
      <c r="D1591" s="4"/>
      <c r="E1591" s="4"/>
    </row>
    <row r="1592">
      <c r="D1592" s="4"/>
      <c r="E1592" s="4"/>
    </row>
    <row r="1593">
      <c r="D1593" s="4"/>
      <c r="E1593" s="4"/>
    </row>
    <row r="1594">
      <c r="D1594" s="4"/>
      <c r="E1594" s="4"/>
    </row>
    <row r="1595">
      <c r="D1595" s="4"/>
      <c r="E1595" s="4"/>
    </row>
    <row r="1596">
      <c r="D1596" s="4"/>
      <c r="E1596" s="4"/>
    </row>
    <row r="1597">
      <c r="D1597" s="4"/>
      <c r="E1597" s="4"/>
    </row>
    <row r="1598">
      <c r="D1598" s="4"/>
      <c r="E1598" s="4"/>
    </row>
    <row r="1599">
      <c r="D1599" s="4"/>
      <c r="E1599" s="4"/>
    </row>
    <row r="1600">
      <c r="D1600" s="4"/>
      <c r="E1600" s="4"/>
    </row>
    <row r="1601">
      <c r="D1601" s="4"/>
      <c r="E1601" s="4"/>
    </row>
    <row r="1602">
      <c r="D1602" s="4"/>
      <c r="E1602" s="4"/>
    </row>
    <row r="1603">
      <c r="D1603" s="4"/>
      <c r="E1603" s="4"/>
    </row>
    <row r="1604">
      <c r="D1604" s="4"/>
      <c r="E1604" s="4"/>
    </row>
    <row r="1605">
      <c r="D1605" s="4"/>
      <c r="E1605" s="4"/>
    </row>
    <row r="1606">
      <c r="D1606" s="4"/>
      <c r="E1606" s="4"/>
    </row>
    <row r="1607">
      <c r="D1607" s="4"/>
      <c r="E1607" s="4"/>
    </row>
    <row r="1608">
      <c r="D1608" s="4"/>
      <c r="E1608" s="4"/>
    </row>
    <row r="1609">
      <c r="D1609" s="4"/>
      <c r="E1609" s="4"/>
    </row>
    <row r="1610">
      <c r="D1610" s="4"/>
      <c r="E1610" s="4"/>
    </row>
    <row r="1611">
      <c r="D1611" s="4"/>
      <c r="E1611" s="4"/>
    </row>
    <row r="1612">
      <c r="D1612" s="4"/>
      <c r="E1612" s="4"/>
    </row>
    <row r="1613">
      <c r="D1613" s="4"/>
      <c r="E1613" s="4"/>
    </row>
    <row r="1614">
      <c r="D1614" s="4"/>
      <c r="E1614" s="4"/>
    </row>
    <row r="1615">
      <c r="D1615" s="4"/>
      <c r="E1615" s="4"/>
    </row>
    <row r="1616">
      <c r="D1616" s="4"/>
      <c r="E1616" s="4"/>
    </row>
    <row r="1617">
      <c r="D1617" s="4"/>
      <c r="E1617" s="4"/>
    </row>
    <row r="1618">
      <c r="D1618" s="4"/>
      <c r="E1618" s="4"/>
    </row>
    <row r="1619">
      <c r="D1619" s="4"/>
      <c r="E1619" s="4"/>
    </row>
    <row r="1620">
      <c r="D1620" s="4"/>
      <c r="E1620" s="4"/>
    </row>
    <row r="1621">
      <c r="D1621" s="4"/>
      <c r="E1621" s="4"/>
    </row>
    <row r="1622">
      <c r="D1622" s="4"/>
      <c r="E1622" s="4"/>
    </row>
    <row r="1623">
      <c r="D1623" s="4"/>
      <c r="E1623" s="4"/>
    </row>
    <row r="1624">
      <c r="D1624" s="4"/>
      <c r="E1624" s="4"/>
    </row>
    <row r="1625">
      <c r="D1625" s="4"/>
      <c r="E1625" s="4"/>
    </row>
    <row r="1626">
      <c r="D1626" s="4"/>
      <c r="E1626" s="4"/>
    </row>
    <row r="1627">
      <c r="D1627" s="4"/>
      <c r="E1627" s="4"/>
    </row>
    <row r="1628">
      <c r="D1628" s="4"/>
      <c r="E1628" s="4"/>
    </row>
    <row r="1629">
      <c r="D1629" s="4"/>
      <c r="E1629" s="4"/>
    </row>
    <row r="1630">
      <c r="D1630" s="4"/>
      <c r="E1630" s="4"/>
    </row>
    <row r="1631">
      <c r="D1631" s="4"/>
      <c r="E1631" s="4"/>
    </row>
    <row r="1632">
      <c r="D1632" s="4"/>
      <c r="E1632" s="4"/>
    </row>
    <row r="1633">
      <c r="D1633" s="4"/>
      <c r="E1633" s="4"/>
    </row>
    <row r="1634">
      <c r="D1634" s="4"/>
      <c r="E1634" s="4"/>
    </row>
    <row r="1635">
      <c r="D1635" s="4"/>
      <c r="E1635" s="4"/>
    </row>
    <row r="1636">
      <c r="D1636" s="4"/>
      <c r="E1636" s="4"/>
    </row>
    <row r="1637">
      <c r="D1637" s="4"/>
      <c r="E1637" s="4"/>
    </row>
    <row r="1638">
      <c r="D1638" s="4"/>
      <c r="E1638" s="4"/>
    </row>
    <row r="1639">
      <c r="D1639" s="4"/>
      <c r="E1639" s="4"/>
    </row>
    <row r="1640">
      <c r="D1640" s="4"/>
      <c r="E1640" s="4"/>
    </row>
    <row r="1641">
      <c r="D1641" s="4"/>
      <c r="E1641" s="4"/>
    </row>
    <row r="1642">
      <c r="D1642" s="4"/>
      <c r="E1642" s="4"/>
    </row>
    <row r="1643">
      <c r="D1643" s="4"/>
      <c r="E1643" s="4"/>
    </row>
    <row r="1644">
      <c r="D1644" s="4"/>
      <c r="E1644" s="4"/>
    </row>
    <row r="1645">
      <c r="D1645" s="4"/>
      <c r="E1645" s="4"/>
    </row>
    <row r="1646">
      <c r="D1646" s="4"/>
      <c r="E1646" s="4"/>
    </row>
    <row r="1647">
      <c r="D1647" s="4"/>
      <c r="E1647" s="4"/>
    </row>
    <row r="1648">
      <c r="D1648" s="4"/>
      <c r="E1648" s="4"/>
    </row>
    <row r="1649">
      <c r="D1649" s="4"/>
      <c r="E1649" s="4"/>
    </row>
    <row r="1650">
      <c r="D1650" s="4"/>
      <c r="E1650" s="4"/>
    </row>
    <row r="1651">
      <c r="D1651" s="4"/>
      <c r="E1651" s="4"/>
    </row>
    <row r="1652">
      <c r="D1652" s="4"/>
      <c r="E1652" s="4"/>
    </row>
    <row r="1653">
      <c r="D1653" s="4"/>
      <c r="E1653" s="4"/>
    </row>
    <row r="1654">
      <c r="D1654" s="4"/>
      <c r="E1654" s="4"/>
    </row>
    <row r="1655">
      <c r="D1655" s="4"/>
      <c r="E1655" s="4"/>
    </row>
    <row r="1656">
      <c r="D1656" s="4"/>
      <c r="E1656" s="4"/>
    </row>
    <row r="1657">
      <c r="D1657" s="4"/>
      <c r="E1657" s="4"/>
    </row>
    <row r="1658">
      <c r="D1658" s="4"/>
      <c r="E1658" s="4"/>
    </row>
    <row r="1659">
      <c r="D1659" s="4"/>
      <c r="E1659" s="4"/>
    </row>
    <row r="1660">
      <c r="D1660" s="4"/>
      <c r="E1660" s="4"/>
    </row>
    <row r="1661">
      <c r="D1661" s="4"/>
      <c r="E1661" s="4"/>
    </row>
    <row r="1662">
      <c r="D1662" s="4"/>
      <c r="E1662" s="4"/>
    </row>
    <row r="1663">
      <c r="D1663" s="4"/>
      <c r="E1663" s="4"/>
    </row>
    <row r="1664">
      <c r="D1664" s="4"/>
      <c r="E1664" s="4"/>
    </row>
    <row r="1665">
      <c r="D1665" s="4"/>
      <c r="E1665" s="4"/>
    </row>
    <row r="1666">
      <c r="D1666" s="4"/>
      <c r="E1666" s="4"/>
    </row>
    <row r="1667">
      <c r="D1667" s="4"/>
      <c r="E1667" s="4"/>
    </row>
    <row r="1668">
      <c r="D1668" s="4"/>
      <c r="E1668" s="4"/>
    </row>
    <row r="1669">
      <c r="D1669" s="4"/>
      <c r="E1669" s="4"/>
    </row>
    <row r="1670">
      <c r="D1670" s="4"/>
      <c r="E1670" s="4"/>
    </row>
    <row r="1671">
      <c r="D1671" s="4"/>
      <c r="E1671" s="4"/>
    </row>
    <row r="1672">
      <c r="D1672" s="4"/>
      <c r="E1672" s="4"/>
    </row>
    <row r="1673">
      <c r="D1673" s="4"/>
      <c r="E1673" s="4"/>
    </row>
    <row r="1674">
      <c r="D1674" s="4"/>
      <c r="E1674" s="4"/>
    </row>
    <row r="1675">
      <c r="D1675" s="4"/>
      <c r="E1675" s="4"/>
    </row>
    <row r="1676">
      <c r="D1676" s="4"/>
      <c r="E1676" s="4"/>
    </row>
    <row r="1677">
      <c r="D1677" s="4"/>
      <c r="E1677" s="4"/>
    </row>
    <row r="1678">
      <c r="D1678" s="4"/>
      <c r="E1678" s="4"/>
    </row>
    <row r="1679">
      <c r="D1679" s="4"/>
      <c r="E1679" s="4"/>
    </row>
    <row r="1680">
      <c r="D1680" s="4"/>
      <c r="E1680" s="4"/>
    </row>
    <row r="1681">
      <c r="D1681" s="4"/>
      <c r="E1681" s="4"/>
    </row>
    <row r="1682">
      <c r="D1682" s="4"/>
      <c r="E1682" s="4"/>
    </row>
    <row r="1683">
      <c r="D1683" s="4"/>
      <c r="E1683" s="4"/>
    </row>
    <row r="1684">
      <c r="D1684" s="4"/>
      <c r="E1684" s="4"/>
    </row>
    <row r="1685">
      <c r="D1685" s="4"/>
      <c r="E1685" s="4"/>
    </row>
    <row r="1686">
      <c r="D1686" s="4"/>
      <c r="E1686" s="4"/>
    </row>
    <row r="1687">
      <c r="D1687" s="4"/>
      <c r="E1687" s="4"/>
    </row>
    <row r="1688">
      <c r="D1688" s="4"/>
      <c r="E1688" s="4"/>
    </row>
    <row r="1689">
      <c r="D1689" s="4"/>
      <c r="E1689" s="4"/>
    </row>
    <row r="1690">
      <c r="D1690" s="4"/>
      <c r="E1690" s="4"/>
    </row>
    <row r="1691">
      <c r="D1691" s="4"/>
      <c r="E1691" s="4"/>
    </row>
    <row r="1692">
      <c r="D1692" s="4"/>
      <c r="E1692" s="4"/>
    </row>
    <row r="1693">
      <c r="D1693" s="4"/>
      <c r="E1693" s="4"/>
    </row>
    <row r="1694">
      <c r="D1694" s="4"/>
      <c r="E1694" s="4"/>
    </row>
    <row r="1695">
      <c r="D1695" s="4"/>
      <c r="E1695" s="4"/>
    </row>
    <row r="1696">
      <c r="D1696" s="4"/>
      <c r="E1696" s="4"/>
    </row>
    <row r="1697">
      <c r="D1697" s="4"/>
      <c r="E1697" s="4"/>
    </row>
    <row r="1698">
      <c r="D1698" s="4"/>
      <c r="E1698" s="4"/>
    </row>
    <row r="1699">
      <c r="D1699" s="4"/>
      <c r="E1699" s="4"/>
    </row>
    <row r="1700">
      <c r="D1700" s="4"/>
      <c r="E1700" s="4"/>
    </row>
    <row r="1701">
      <c r="D1701" s="4"/>
      <c r="E1701" s="4"/>
    </row>
    <row r="1702">
      <c r="D1702" s="4"/>
      <c r="E1702" s="4"/>
    </row>
    <row r="1703">
      <c r="D1703" s="4"/>
      <c r="E1703" s="4"/>
    </row>
    <row r="1704">
      <c r="D1704" s="4"/>
      <c r="E1704" s="4"/>
    </row>
    <row r="1705">
      <c r="D1705" s="4"/>
      <c r="E1705" s="4"/>
    </row>
    <row r="1706">
      <c r="D1706" s="4"/>
      <c r="E1706" s="4"/>
    </row>
    <row r="1707">
      <c r="D1707" s="4"/>
      <c r="E1707" s="4"/>
    </row>
    <row r="1708">
      <c r="D1708" s="4"/>
      <c r="E1708" s="4"/>
    </row>
    <row r="1709">
      <c r="D1709" s="4"/>
      <c r="E1709" s="4"/>
    </row>
    <row r="1710">
      <c r="D1710" s="4"/>
      <c r="E1710" s="4"/>
    </row>
    <row r="1711">
      <c r="D1711" s="4"/>
      <c r="E1711" s="4"/>
    </row>
    <row r="1712">
      <c r="D1712" s="4"/>
      <c r="E1712" s="4"/>
    </row>
    <row r="1713">
      <c r="D1713" s="4"/>
      <c r="E1713" s="4"/>
    </row>
    <row r="1714">
      <c r="D1714" s="4"/>
      <c r="E1714" s="4"/>
    </row>
    <row r="1715">
      <c r="D1715" s="4"/>
      <c r="E1715" s="4"/>
    </row>
    <row r="1716">
      <c r="D1716" s="4"/>
      <c r="E1716" s="4"/>
    </row>
    <row r="1717">
      <c r="D1717" s="4"/>
      <c r="E1717" s="4"/>
    </row>
    <row r="1718">
      <c r="D1718" s="4"/>
      <c r="E1718" s="4"/>
    </row>
    <row r="1719">
      <c r="D1719" s="4"/>
      <c r="E1719" s="4"/>
    </row>
    <row r="1720">
      <c r="D1720" s="4"/>
      <c r="E1720" s="4"/>
    </row>
    <row r="1721">
      <c r="D1721" s="4"/>
      <c r="E1721" s="4"/>
    </row>
    <row r="1722">
      <c r="D1722" s="4"/>
      <c r="E1722" s="4"/>
    </row>
    <row r="1723">
      <c r="D1723" s="4"/>
      <c r="E1723" s="4"/>
    </row>
    <row r="1724">
      <c r="D1724" s="4"/>
      <c r="E1724" s="4"/>
    </row>
    <row r="1725">
      <c r="D1725" s="4"/>
      <c r="E1725" s="4"/>
    </row>
    <row r="1726">
      <c r="D1726" s="4"/>
      <c r="E1726" s="4"/>
    </row>
    <row r="1727">
      <c r="D1727" s="4"/>
      <c r="E1727" s="4"/>
    </row>
    <row r="1728">
      <c r="D1728" s="4"/>
      <c r="E1728" s="4"/>
    </row>
    <row r="1729">
      <c r="D1729" s="4"/>
      <c r="E1729" s="4"/>
    </row>
    <row r="1730">
      <c r="D1730" s="4"/>
      <c r="E1730" s="4"/>
    </row>
    <row r="1731">
      <c r="D1731" s="4"/>
      <c r="E1731" s="4"/>
    </row>
    <row r="1732">
      <c r="D1732" s="4"/>
      <c r="E1732" s="4"/>
    </row>
    <row r="1733">
      <c r="D1733" s="4"/>
      <c r="E1733" s="4"/>
    </row>
    <row r="1734">
      <c r="D1734" s="4"/>
      <c r="E1734" s="4"/>
    </row>
    <row r="1735">
      <c r="D1735" s="4"/>
      <c r="E1735" s="4"/>
    </row>
    <row r="1736">
      <c r="D1736" s="4"/>
      <c r="E1736" s="4"/>
    </row>
    <row r="1737">
      <c r="D1737" s="4"/>
      <c r="E1737" s="4"/>
    </row>
    <row r="1738">
      <c r="D1738" s="4"/>
      <c r="E1738" s="4"/>
    </row>
    <row r="1739">
      <c r="D1739" s="4"/>
      <c r="E1739" s="4"/>
    </row>
    <row r="1740">
      <c r="D1740" s="4"/>
      <c r="E1740" s="4"/>
    </row>
    <row r="1741">
      <c r="D1741" s="4"/>
      <c r="E1741" s="4"/>
    </row>
    <row r="1742">
      <c r="D1742" s="4"/>
      <c r="E1742" s="4"/>
    </row>
    <row r="1743">
      <c r="D1743" s="4"/>
      <c r="E1743" s="4"/>
    </row>
    <row r="1744">
      <c r="D1744" s="4"/>
      <c r="E1744" s="4"/>
    </row>
    <row r="1745">
      <c r="D1745" s="4"/>
      <c r="E1745" s="4"/>
    </row>
    <row r="1746">
      <c r="D1746" s="4"/>
      <c r="E1746" s="4"/>
    </row>
    <row r="1747">
      <c r="D1747" s="4"/>
      <c r="E1747" s="4"/>
    </row>
    <row r="1748">
      <c r="D1748" s="4"/>
      <c r="E1748" s="4"/>
    </row>
    <row r="1749">
      <c r="D1749" s="4"/>
      <c r="E1749" s="4"/>
    </row>
    <row r="1750">
      <c r="D1750" s="4"/>
      <c r="E1750" s="4"/>
    </row>
    <row r="1751">
      <c r="D1751" s="4"/>
      <c r="E1751" s="4"/>
    </row>
    <row r="1752">
      <c r="D1752" s="4"/>
      <c r="E1752" s="4"/>
    </row>
    <row r="1753">
      <c r="D1753" s="4"/>
      <c r="E1753" s="4"/>
    </row>
    <row r="1754">
      <c r="D1754" s="4"/>
      <c r="E1754" s="4"/>
    </row>
    <row r="1755">
      <c r="D1755" s="4"/>
      <c r="E1755" s="4"/>
    </row>
    <row r="1756">
      <c r="D1756" s="4"/>
      <c r="E1756" s="4"/>
    </row>
    <row r="1757">
      <c r="D1757" s="4"/>
      <c r="E1757" s="4"/>
    </row>
    <row r="1758">
      <c r="D1758" s="4"/>
      <c r="E1758" s="4"/>
    </row>
    <row r="1759">
      <c r="D1759" s="4"/>
      <c r="E1759" s="4"/>
    </row>
    <row r="1760">
      <c r="D1760" s="4"/>
      <c r="E1760" s="4"/>
    </row>
    <row r="1761">
      <c r="D1761" s="4"/>
      <c r="E1761" s="4"/>
    </row>
    <row r="1762">
      <c r="D1762" s="4"/>
      <c r="E1762" s="4"/>
    </row>
    <row r="1763">
      <c r="D1763" s="4"/>
      <c r="E1763" s="4"/>
    </row>
    <row r="1764">
      <c r="D1764" s="4"/>
      <c r="E1764" s="4"/>
    </row>
    <row r="1765">
      <c r="D1765" s="4"/>
      <c r="E1765" s="4"/>
    </row>
    <row r="1766">
      <c r="D1766" s="4"/>
      <c r="E1766" s="4"/>
    </row>
    <row r="1767">
      <c r="D1767" s="4"/>
      <c r="E1767" s="4"/>
    </row>
    <row r="1768">
      <c r="D1768" s="4"/>
      <c r="E1768" s="4"/>
    </row>
    <row r="1769">
      <c r="D1769" s="4"/>
      <c r="E1769" s="4"/>
    </row>
    <row r="1770">
      <c r="D1770" s="4"/>
      <c r="E1770" s="4"/>
    </row>
    <row r="1771">
      <c r="D1771" s="4"/>
      <c r="E1771" s="4"/>
    </row>
    <row r="1772">
      <c r="D1772" s="4"/>
      <c r="E1772" s="4"/>
    </row>
    <row r="1773">
      <c r="D1773" s="4"/>
      <c r="E1773" s="4"/>
    </row>
    <row r="1774">
      <c r="D1774" s="4"/>
      <c r="E1774" s="4"/>
    </row>
    <row r="1775">
      <c r="D1775" s="4"/>
      <c r="E1775" s="4"/>
    </row>
    <row r="1776">
      <c r="D1776" s="4"/>
      <c r="E1776" s="4"/>
    </row>
    <row r="1777">
      <c r="D1777" s="4"/>
      <c r="E1777" s="4"/>
    </row>
    <row r="1778">
      <c r="D1778" s="4"/>
      <c r="E1778" s="4"/>
    </row>
    <row r="1779">
      <c r="D1779" s="4"/>
      <c r="E1779" s="4"/>
    </row>
    <row r="1780">
      <c r="D1780" s="4"/>
      <c r="E1780" s="4"/>
    </row>
    <row r="1781">
      <c r="D1781" s="4"/>
      <c r="E1781" s="4"/>
    </row>
    <row r="1782">
      <c r="D1782" s="4"/>
      <c r="E1782" s="4"/>
    </row>
    <row r="1783">
      <c r="D1783" s="4"/>
      <c r="E1783" s="4"/>
    </row>
    <row r="1784">
      <c r="D1784" s="4"/>
      <c r="E1784" s="4"/>
    </row>
    <row r="1785">
      <c r="D1785" s="4"/>
      <c r="E1785" s="4"/>
    </row>
    <row r="1786">
      <c r="D1786" s="4"/>
      <c r="E1786" s="4"/>
    </row>
    <row r="1787">
      <c r="D1787" s="4"/>
      <c r="E1787" s="4"/>
    </row>
    <row r="1788">
      <c r="D1788" s="4"/>
      <c r="E1788" s="4"/>
    </row>
    <row r="1789">
      <c r="D1789" s="4"/>
      <c r="E1789" s="4"/>
    </row>
    <row r="1790">
      <c r="D1790" s="4"/>
      <c r="E1790" s="4"/>
    </row>
    <row r="1791">
      <c r="D1791" s="4"/>
      <c r="E1791" s="4"/>
    </row>
    <row r="1792">
      <c r="D1792" s="4"/>
      <c r="E1792" s="4"/>
    </row>
    <row r="1793">
      <c r="D1793" s="4"/>
      <c r="E1793" s="4"/>
    </row>
    <row r="1794">
      <c r="D1794" s="4"/>
      <c r="E1794" s="4"/>
    </row>
    <row r="1795">
      <c r="D1795" s="4"/>
      <c r="E1795" s="4"/>
    </row>
    <row r="1796">
      <c r="D1796" s="4"/>
      <c r="E1796" s="4"/>
    </row>
    <row r="1797">
      <c r="D1797" s="4"/>
      <c r="E1797" s="4"/>
    </row>
    <row r="1798">
      <c r="D1798" s="4"/>
      <c r="E1798" s="4"/>
    </row>
    <row r="1799">
      <c r="D1799" s="4"/>
      <c r="E1799" s="4"/>
    </row>
    <row r="1800">
      <c r="D1800" s="4"/>
      <c r="E1800" s="4"/>
    </row>
    <row r="1801">
      <c r="D1801" s="4"/>
      <c r="E1801" s="4"/>
    </row>
    <row r="1802">
      <c r="D1802" s="4"/>
      <c r="E1802" s="4"/>
    </row>
    <row r="1803">
      <c r="D1803" s="4"/>
      <c r="E1803" s="4"/>
    </row>
    <row r="1804">
      <c r="D1804" s="4"/>
      <c r="E1804" s="4"/>
    </row>
    <row r="1805">
      <c r="D1805" s="4"/>
      <c r="E1805" s="4"/>
    </row>
    <row r="1806">
      <c r="D1806" s="4"/>
      <c r="E1806" s="4"/>
    </row>
    <row r="1807">
      <c r="D1807" s="4"/>
      <c r="E1807" s="4"/>
    </row>
    <row r="1808">
      <c r="D1808" s="4"/>
      <c r="E1808" s="4"/>
    </row>
    <row r="1809">
      <c r="D1809" s="4"/>
      <c r="E1809" s="4"/>
    </row>
    <row r="1810">
      <c r="D1810" s="4"/>
      <c r="E1810" s="4"/>
    </row>
    <row r="1811">
      <c r="D1811" s="4"/>
      <c r="E1811" s="4"/>
    </row>
    <row r="1812">
      <c r="D1812" s="4"/>
      <c r="E1812" s="4"/>
    </row>
    <row r="1813">
      <c r="D1813" s="4"/>
      <c r="E1813" s="4"/>
    </row>
    <row r="1814">
      <c r="D1814" s="4"/>
      <c r="E1814" s="4"/>
    </row>
    <row r="1815">
      <c r="D1815" s="4"/>
      <c r="E1815" s="4"/>
    </row>
    <row r="1816">
      <c r="D1816" s="4"/>
      <c r="E1816" s="4"/>
    </row>
    <row r="1817">
      <c r="D1817" s="4"/>
      <c r="E1817" s="4"/>
    </row>
    <row r="1818">
      <c r="D1818" s="4"/>
      <c r="E1818" s="4"/>
    </row>
    <row r="1819">
      <c r="D1819" s="4"/>
      <c r="E1819" s="4"/>
    </row>
    <row r="1820">
      <c r="D1820" s="4"/>
      <c r="E1820" s="4"/>
    </row>
    <row r="1821">
      <c r="D1821" s="4"/>
      <c r="E1821" s="4"/>
    </row>
    <row r="1822">
      <c r="D1822" s="4"/>
      <c r="E1822" s="4"/>
    </row>
    <row r="1823">
      <c r="D1823" s="4"/>
      <c r="E1823" s="4"/>
    </row>
    <row r="1824">
      <c r="D1824" s="4"/>
      <c r="E1824" s="4"/>
    </row>
    <row r="1825">
      <c r="D1825" s="4"/>
      <c r="E1825" s="4"/>
    </row>
    <row r="1826">
      <c r="D1826" s="4"/>
      <c r="E1826" s="4"/>
    </row>
    <row r="1827">
      <c r="D1827" s="4"/>
      <c r="E1827" s="4"/>
    </row>
    <row r="1828">
      <c r="D1828" s="4"/>
      <c r="E1828" s="4"/>
    </row>
    <row r="1829">
      <c r="D1829" s="4"/>
      <c r="E1829" s="4"/>
    </row>
    <row r="1830">
      <c r="D1830" s="4"/>
      <c r="E1830" s="4"/>
    </row>
    <row r="1831">
      <c r="D1831" s="4"/>
      <c r="E1831" s="4"/>
    </row>
    <row r="1832">
      <c r="D1832" s="4"/>
      <c r="E1832" s="4"/>
    </row>
    <row r="1833">
      <c r="D1833" s="4"/>
      <c r="E1833" s="4"/>
    </row>
    <row r="1834">
      <c r="D1834" s="4"/>
      <c r="E1834" s="4"/>
    </row>
    <row r="1835">
      <c r="D1835" s="4"/>
      <c r="E1835" s="4"/>
    </row>
    <row r="1836">
      <c r="D1836" s="4"/>
      <c r="E1836" s="4"/>
    </row>
    <row r="1837">
      <c r="D1837" s="4"/>
      <c r="E1837" s="4"/>
    </row>
    <row r="1838">
      <c r="D1838" s="4"/>
      <c r="E1838" s="4"/>
    </row>
    <row r="1839">
      <c r="D1839" s="4"/>
      <c r="E1839" s="4"/>
    </row>
    <row r="1840">
      <c r="D1840" s="4"/>
      <c r="E1840" s="4"/>
    </row>
    <row r="1841">
      <c r="D1841" s="4"/>
      <c r="E1841" s="4"/>
    </row>
    <row r="1842">
      <c r="D1842" s="4"/>
      <c r="E1842" s="4"/>
    </row>
    <row r="1843">
      <c r="D1843" s="4"/>
      <c r="E1843" s="4"/>
    </row>
    <row r="1844">
      <c r="D1844" s="4"/>
      <c r="E1844" s="4"/>
    </row>
    <row r="1845">
      <c r="D1845" s="4"/>
      <c r="E1845" s="4"/>
    </row>
    <row r="1846">
      <c r="D1846" s="4"/>
      <c r="E1846" s="4"/>
    </row>
    <row r="1847">
      <c r="D1847" s="4"/>
      <c r="E1847" s="4"/>
    </row>
    <row r="1848">
      <c r="D1848" s="4"/>
      <c r="E1848" s="4"/>
    </row>
    <row r="1849">
      <c r="D1849" s="4"/>
      <c r="E1849" s="4"/>
    </row>
    <row r="1850">
      <c r="D1850" s="4"/>
      <c r="E1850" s="4"/>
    </row>
    <row r="1851">
      <c r="D1851" s="4"/>
      <c r="E1851" s="4"/>
    </row>
    <row r="1852">
      <c r="D1852" s="4"/>
      <c r="E1852" s="4"/>
    </row>
    <row r="1853">
      <c r="D1853" s="4"/>
      <c r="E1853" s="4"/>
    </row>
    <row r="1854">
      <c r="D1854" s="4"/>
      <c r="E1854" s="4"/>
    </row>
    <row r="1855">
      <c r="D1855" s="4"/>
      <c r="E1855" s="4"/>
    </row>
    <row r="1856">
      <c r="D1856" s="4"/>
      <c r="E1856" s="4"/>
    </row>
    <row r="1857">
      <c r="D1857" s="4"/>
      <c r="E1857" s="4"/>
    </row>
    <row r="1858">
      <c r="D1858" s="4"/>
      <c r="E1858" s="4"/>
    </row>
    <row r="1859">
      <c r="D1859" s="4"/>
      <c r="E1859" s="4"/>
    </row>
    <row r="1860">
      <c r="D1860" s="4"/>
      <c r="E1860" s="4"/>
    </row>
    <row r="1861">
      <c r="D1861" s="4"/>
      <c r="E1861" s="4"/>
    </row>
    <row r="1862">
      <c r="D1862" s="4"/>
      <c r="E1862" s="4"/>
    </row>
    <row r="1863">
      <c r="D1863" s="4"/>
      <c r="E1863" s="4"/>
    </row>
    <row r="1864">
      <c r="D1864" s="4"/>
      <c r="E1864" s="4"/>
    </row>
    <row r="1865">
      <c r="D1865" s="4"/>
      <c r="E1865" s="4"/>
    </row>
    <row r="1866">
      <c r="D1866" s="4"/>
      <c r="E1866" s="4"/>
    </row>
    <row r="1867">
      <c r="D1867" s="4"/>
      <c r="E1867" s="4"/>
    </row>
    <row r="1868">
      <c r="D1868" s="4"/>
      <c r="E1868" s="4"/>
    </row>
    <row r="1869">
      <c r="D1869" s="4"/>
      <c r="E1869" s="4"/>
    </row>
    <row r="1870">
      <c r="D1870" s="4"/>
      <c r="E1870" s="4"/>
    </row>
    <row r="1871">
      <c r="D1871" s="4"/>
      <c r="E1871" s="4"/>
    </row>
    <row r="1872">
      <c r="D1872" s="4"/>
      <c r="E1872" s="4"/>
    </row>
    <row r="1873">
      <c r="D1873" s="4"/>
      <c r="E1873" s="4"/>
    </row>
    <row r="1874">
      <c r="D1874" s="4"/>
      <c r="E1874" s="4"/>
    </row>
    <row r="1875">
      <c r="D1875" s="4"/>
      <c r="E1875" s="4"/>
    </row>
    <row r="1876">
      <c r="D1876" s="4"/>
      <c r="E1876" s="4"/>
    </row>
    <row r="1877">
      <c r="D1877" s="4"/>
      <c r="E1877" s="4"/>
    </row>
    <row r="1878">
      <c r="D1878" s="4"/>
      <c r="E1878" s="4"/>
    </row>
    <row r="1879">
      <c r="D1879" s="4"/>
      <c r="E1879" s="4"/>
    </row>
    <row r="1880">
      <c r="D1880" s="4"/>
      <c r="E1880" s="4"/>
    </row>
    <row r="1881">
      <c r="D1881" s="4"/>
      <c r="E1881" s="4"/>
    </row>
    <row r="1882">
      <c r="D1882" s="4"/>
      <c r="E1882" s="4"/>
    </row>
    <row r="1883">
      <c r="D1883" s="4"/>
      <c r="E1883" s="4"/>
    </row>
    <row r="1884">
      <c r="D1884" s="4"/>
      <c r="E1884" s="4"/>
    </row>
    <row r="1885">
      <c r="D1885" s="4"/>
      <c r="E1885" s="4"/>
    </row>
    <row r="1886">
      <c r="D1886" s="4"/>
      <c r="E1886" s="4"/>
    </row>
    <row r="1887">
      <c r="D1887" s="4"/>
      <c r="E1887" s="4"/>
    </row>
    <row r="1888">
      <c r="D1888" s="4"/>
      <c r="E1888" s="4"/>
    </row>
    <row r="1889">
      <c r="D1889" s="4"/>
      <c r="E1889" s="4"/>
    </row>
    <row r="1890">
      <c r="D1890" s="4"/>
      <c r="E1890" s="4"/>
    </row>
    <row r="1891">
      <c r="D1891" s="4"/>
      <c r="E1891" s="4"/>
    </row>
    <row r="1892">
      <c r="D1892" s="4"/>
      <c r="E1892" s="4"/>
    </row>
    <row r="1893">
      <c r="D1893" s="4"/>
      <c r="E1893" s="4"/>
    </row>
    <row r="1894">
      <c r="D1894" s="4"/>
      <c r="E1894" s="4"/>
    </row>
    <row r="1895">
      <c r="D1895" s="4"/>
      <c r="E1895" s="4"/>
    </row>
    <row r="1896">
      <c r="D1896" s="4"/>
      <c r="E1896" s="4"/>
    </row>
    <row r="1897">
      <c r="D1897" s="4"/>
      <c r="E1897" s="4"/>
    </row>
    <row r="1898">
      <c r="D1898" s="4"/>
      <c r="E1898" s="4"/>
    </row>
    <row r="1899">
      <c r="D1899" s="4"/>
      <c r="E1899" s="4"/>
    </row>
    <row r="1900">
      <c r="D1900" s="4"/>
      <c r="E1900" s="4"/>
    </row>
    <row r="1901">
      <c r="D1901" s="4"/>
      <c r="E1901" s="4"/>
    </row>
    <row r="1902">
      <c r="D1902" s="4"/>
      <c r="E1902" s="4"/>
    </row>
    <row r="1903">
      <c r="D1903" s="4"/>
      <c r="E1903" s="4"/>
    </row>
    <row r="1904">
      <c r="D1904" s="4"/>
      <c r="E1904" s="4"/>
    </row>
    <row r="1905">
      <c r="D1905" s="4"/>
      <c r="E1905" s="4"/>
    </row>
    <row r="1906">
      <c r="D1906" s="4"/>
      <c r="E1906" s="4"/>
    </row>
    <row r="1907">
      <c r="D1907" s="4"/>
      <c r="E1907" s="4"/>
    </row>
    <row r="1908">
      <c r="D1908" s="4"/>
      <c r="E1908" s="4"/>
    </row>
    <row r="1909">
      <c r="D1909" s="4"/>
      <c r="E1909" s="4"/>
    </row>
    <row r="1910">
      <c r="D1910" s="4"/>
      <c r="E1910" s="4"/>
    </row>
    <row r="1911">
      <c r="D1911" s="4"/>
      <c r="E1911" s="4"/>
    </row>
    <row r="1912">
      <c r="D1912" s="4"/>
      <c r="E1912" s="4"/>
    </row>
    <row r="1913">
      <c r="D1913" s="4"/>
      <c r="E1913" s="4"/>
    </row>
    <row r="1914">
      <c r="D1914" s="4"/>
      <c r="E1914" s="4"/>
    </row>
    <row r="1915">
      <c r="D1915" s="4"/>
      <c r="E1915" s="4"/>
    </row>
    <row r="1916">
      <c r="D1916" s="4"/>
      <c r="E1916" s="4"/>
    </row>
    <row r="1917">
      <c r="D1917" s="4"/>
      <c r="E1917" s="4"/>
    </row>
    <row r="1918">
      <c r="D1918" s="4"/>
      <c r="E1918" s="4"/>
    </row>
    <row r="1919">
      <c r="D1919" s="4"/>
      <c r="E1919" s="4"/>
    </row>
    <row r="1920">
      <c r="D1920" s="4"/>
      <c r="E1920" s="4"/>
    </row>
    <row r="1921">
      <c r="D1921" s="4"/>
      <c r="E1921" s="4"/>
    </row>
    <row r="1922">
      <c r="D1922" s="4"/>
      <c r="E1922" s="4"/>
    </row>
    <row r="1923">
      <c r="D1923" s="4"/>
      <c r="E1923" s="4"/>
    </row>
    <row r="1924">
      <c r="D1924" s="4"/>
      <c r="E1924" s="4"/>
    </row>
    <row r="1925">
      <c r="D1925" s="4"/>
      <c r="E1925" s="4"/>
    </row>
    <row r="1926">
      <c r="D1926" s="4"/>
      <c r="E1926" s="4"/>
    </row>
    <row r="1927">
      <c r="D1927" s="4"/>
      <c r="E1927" s="4"/>
    </row>
    <row r="1928">
      <c r="D1928" s="4"/>
      <c r="E1928" s="4"/>
    </row>
    <row r="1929">
      <c r="D1929" s="4"/>
      <c r="E1929" s="4"/>
    </row>
    <row r="1930">
      <c r="D1930" s="4"/>
      <c r="E1930" s="4"/>
    </row>
    <row r="1931">
      <c r="D1931" s="4"/>
      <c r="E1931" s="4"/>
    </row>
    <row r="1932">
      <c r="D1932" s="4"/>
      <c r="E1932" s="4"/>
    </row>
    <row r="1933">
      <c r="D1933" s="4"/>
      <c r="E1933" s="4"/>
    </row>
    <row r="1934">
      <c r="D1934" s="4"/>
      <c r="E1934" s="4"/>
    </row>
    <row r="1935">
      <c r="D1935" s="4"/>
      <c r="E1935" s="4"/>
    </row>
    <row r="1936">
      <c r="D1936" s="4"/>
      <c r="E1936" s="4"/>
    </row>
    <row r="1937">
      <c r="D1937" s="4"/>
      <c r="E1937" s="4"/>
    </row>
    <row r="1938">
      <c r="D1938" s="4"/>
      <c r="E1938" s="4"/>
    </row>
    <row r="1939">
      <c r="D1939" s="4"/>
      <c r="E1939" s="4"/>
    </row>
    <row r="1940">
      <c r="D1940" s="4"/>
      <c r="E1940" s="4"/>
    </row>
    <row r="1941">
      <c r="D1941" s="4"/>
      <c r="E1941" s="4"/>
    </row>
    <row r="1942">
      <c r="D1942" s="4"/>
      <c r="E1942" s="4"/>
    </row>
    <row r="1943">
      <c r="D1943" s="4"/>
      <c r="E1943" s="4"/>
    </row>
    <row r="1944">
      <c r="D1944" s="4"/>
      <c r="E1944" s="4"/>
    </row>
    <row r="1945">
      <c r="D1945" s="4"/>
      <c r="E1945" s="4"/>
    </row>
    <row r="1946">
      <c r="D1946" s="4"/>
      <c r="E1946" s="4"/>
    </row>
    <row r="1947">
      <c r="D1947" s="4"/>
      <c r="E1947" s="4"/>
    </row>
    <row r="1948">
      <c r="D1948" s="4"/>
      <c r="E1948" s="4"/>
    </row>
    <row r="1949">
      <c r="D1949" s="4"/>
      <c r="E1949" s="4"/>
    </row>
    <row r="1950">
      <c r="D1950" s="4"/>
      <c r="E1950" s="4"/>
    </row>
    <row r="1951">
      <c r="D1951" s="4"/>
      <c r="E1951" s="4"/>
    </row>
    <row r="1952">
      <c r="D1952" s="4"/>
      <c r="E1952" s="4"/>
    </row>
    <row r="1953">
      <c r="D1953" s="4"/>
      <c r="E1953" s="4"/>
    </row>
    <row r="1954">
      <c r="D1954" s="4"/>
      <c r="E1954" s="4"/>
    </row>
    <row r="1955">
      <c r="D1955" s="4"/>
      <c r="E1955" s="4"/>
    </row>
    <row r="1956">
      <c r="D1956" s="4"/>
      <c r="E1956" s="4"/>
    </row>
    <row r="1957">
      <c r="D1957" s="4"/>
      <c r="E1957" s="4"/>
    </row>
    <row r="1958">
      <c r="D1958" s="4"/>
      <c r="E1958" s="4"/>
    </row>
    <row r="1959">
      <c r="D1959" s="4"/>
      <c r="E1959" s="4"/>
    </row>
    <row r="1960">
      <c r="D1960" s="4"/>
      <c r="E1960" s="4"/>
    </row>
    <row r="1961">
      <c r="D1961" s="4"/>
      <c r="E1961" s="4"/>
    </row>
    <row r="1962">
      <c r="D1962" s="4"/>
      <c r="E1962" s="4"/>
    </row>
    <row r="1963">
      <c r="D1963" s="4"/>
      <c r="E1963" s="4"/>
    </row>
    <row r="1964">
      <c r="D1964" s="4"/>
      <c r="E1964" s="4"/>
    </row>
    <row r="1965">
      <c r="D1965" s="4"/>
      <c r="E1965" s="4"/>
    </row>
    <row r="1966">
      <c r="D1966" s="4"/>
      <c r="E1966" s="4"/>
    </row>
    <row r="1967">
      <c r="D1967" s="4"/>
      <c r="E1967" s="4"/>
    </row>
    <row r="1968">
      <c r="D1968" s="4"/>
      <c r="E1968" s="4"/>
    </row>
    <row r="1969">
      <c r="D1969" s="4"/>
      <c r="E1969" s="4"/>
    </row>
    <row r="1970">
      <c r="D1970" s="4"/>
      <c r="E1970" s="4"/>
    </row>
    <row r="1971">
      <c r="D1971" s="4"/>
      <c r="E1971" s="4"/>
    </row>
    <row r="1972">
      <c r="D1972" s="4"/>
      <c r="E1972" s="4"/>
    </row>
    <row r="1973">
      <c r="D1973" s="4"/>
      <c r="E1973" s="4"/>
    </row>
    <row r="1974">
      <c r="D1974" s="4"/>
      <c r="E1974" s="4"/>
    </row>
    <row r="1975">
      <c r="D1975" s="4"/>
      <c r="E1975" s="4"/>
    </row>
    <row r="1976">
      <c r="D1976" s="4"/>
      <c r="E1976" s="4"/>
    </row>
    <row r="1977">
      <c r="D1977" s="4"/>
      <c r="E1977" s="4"/>
    </row>
    <row r="1978">
      <c r="D1978" s="4"/>
      <c r="E1978" s="4"/>
    </row>
    <row r="1979">
      <c r="D1979" s="4"/>
      <c r="E1979" s="4"/>
    </row>
    <row r="1980">
      <c r="D1980" s="4"/>
      <c r="E1980" s="4"/>
    </row>
    <row r="1981">
      <c r="D1981" s="4"/>
      <c r="E1981" s="4"/>
    </row>
    <row r="1982">
      <c r="D1982" s="4"/>
      <c r="E1982" s="4"/>
    </row>
    <row r="1983">
      <c r="D1983" s="4"/>
      <c r="E1983" s="4"/>
    </row>
    <row r="1984">
      <c r="D1984" s="4"/>
      <c r="E1984" s="4"/>
    </row>
    <row r="1985">
      <c r="D1985" s="4"/>
      <c r="E1985" s="4"/>
    </row>
    <row r="1986">
      <c r="D1986" s="4"/>
      <c r="E1986" s="4"/>
    </row>
    <row r="1987">
      <c r="D1987" s="4"/>
      <c r="E1987" s="4"/>
    </row>
    <row r="1988">
      <c r="D1988" s="4"/>
      <c r="E1988" s="4"/>
    </row>
    <row r="1989">
      <c r="D1989" s="4"/>
      <c r="E1989" s="4"/>
    </row>
    <row r="1990">
      <c r="D1990" s="4"/>
      <c r="E1990" s="4"/>
    </row>
    <row r="1991">
      <c r="D1991" s="4"/>
      <c r="E1991" s="4"/>
    </row>
    <row r="1992">
      <c r="D1992" s="4"/>
      <c r="E1992" s="4"/>
    </row>
    <row r="1993">
      <c r="D1993" s="4"/>
      <c r="E1993" s="4"/>
    </row>
    <row r="1994">
      <c r="D1994" s="4"/>
      <c r="E1994" s="4"/>
    </row>
    <row r="1995">
      <c r="D1995" s="4"/>
      <c r="E1995" s="4"/>
    </row>
    <row r="1996">
      <c r="D1996" s="4"/>
      <c r="E1996" s="4"/>
    </row>
    <row r="1997">
      <c r="D1997" s="4"/>
      <c r="E1997" s="4"/>
    </row>
    <row r="1998">
      <c r="D1998" s="4"/>
      <c r="E1998" s="4"/>
    </row>
    <row r="1999">
      <c r="D1999" s="4"/>
      <c r="E1999" s="4"/>
    </row>
    <row r="2000">
      <c r="D2000" s="4"/>
      <c r="E2000" s="4"/>
    </row>
    <row r="2001">
      <c r="D2001" s="4"/>
      <c r="E2001" s="4"/>
    </row>
    <row r="2002">
      <c r="D2002" s="4"/>
      <c r="E2002" s="4"/>
    </row>
    <row r="2003">
      <c r="D2003" s="4"/>
      <c r="E2003" s="4"/>
    </row>
    <row r="2004">
      <c r="D2004" s="4"/>
      <c r="E2004" s="4"/>
    </row>
    <row r="2005">
      <c r="D2005" s="4"/>
      <c r="E2005" s="4"/>
    </row>
    <row r="2006">
      <c r="D2006" s="4"/>
      <c r="E2006" s="4"/>
    </row>
    <row r="2007">
      <c r="D2007" s="4"/>
      <c r="E2007" s="4"/>
    </row>
    <row r="2008">
      <c r="D2008" s="4"/>
      <c r="E2008" s="4"/>
    </row>
    <row r="2009">
      <c r="D2009" s="4"/>
      <c r="E2009" s="4"/>
    </row>
    <row r="2010">
      <c r="D2010" s="4"/>
      <c r="E2010" s="4"/>
    </row>
    <row r="2011">
      <c r="D2011" s="4"/>
      <c r="E2011" s="4"/>
    </row>
    <row r="2012">
      <c r="D2012" s="4"/>
      <c r="E2012" s="4"/>
    </row>
    <row r="2013">
      <c r="D2013" s="4"/>
      <c r="E2013" s="4"/>
    </row>
    <row r="2014">
      <c r="D2014" s="4"/>
      <c r="E2014" s="4"/>
    </row>
    <row r="2015">
      <c r="D2015" s="4"/>
      <c r="E2015" s="4"/>
    </row>
    <row r="2016">
      <c r="D2016" s="4"/>
      <c r="E2016" s="4"/>
    </row>
    <row r="2017">
      <c r="D2017" s="4"/>
      <c r="E2017" s="4"/>
    </row>
    <row r="2018">
      <c r="D2018" s="4"/>
      <c r="E2018" s="4"/>
    </row>
    <row r="2019">
      <c r="D2019" s="4"/>
      <c r="E2019" s="4"/>
    </row>
    <row r="2020">
      <c r="D2020" s="4"/>
      <c r="E2020" s="4"/>
    </row>
    <row r="2021">
      <c r="D2021" s="4"/>
      <c r="E2021" s="4"/>
    </row>
    <row r="2022">
      <c r="D2022" s="4"/>
      <c r="E2022" s="4"/>
    </row>
    <row r="2023">
      <c r="D2023" s="4"/>
      <c r="E2023" s="4"/>
    </row>
    <row r="2024">
      <c r="D2024" s="4"/>
      <c r="E2024" s="4"/>
    </row>
    <row r="2025">
      <c r="D2025" s="4"/>
      <c r="E2025" s="4"/>
    </row>
    <row r="2026">
      <c r="D2026" s="4"/>
      <c r="E2026" s="4"/>
    </row>
    <row r="2027">
      <c r="D2027" s="4"/>
      <c r="E2027" s="4"/>
    </row>
    <row r="2028">
      <c r="D2028" s="4"/>
      <c r="E2028" s="4"/>
    </row>
    <row r="2029">
      <c r="D2029" s="4"/>
      <c r="E2029" s="4"/>
    </row>
    <row r="2030">
      <c r="D2030" s="4"/>
      <c r="E2030" s="4"/>
    </row>
    <row r="2031">
      <c r="D2031" s="4"/>
      <c r="E2031" s="4"/>
    </row>
    <row r="2032">
      <c r="D2032" s="4"/>
      <c r="E2032" s="4"/>
    </row>
    <row r="2033">
      <c r="D2033" s="4"/>
      <c r="E2033" s="4"/>
    </row>
    <row r="2034">
      <c r="D2034" s="4"/>
      <c r="E2034" s="4"/>
    </row>
    <row r="2035">
      <c r="D2035" s="4"/>
      <c r="E2035" s="4"/>
    </row>
    <row r="2036">
      <c r="D2036" s="4"/>
      <c r="E2036" s="4"/>
    </row>
    <row r="2037">
      <c r="D2037" s="4"/>
      <c r="E2037" s="4"/>
    </row>
    <row r="2038">
      <c r="D2038" s="4"/>
      <c r="E2038" s="4"/>
    </row>
    <row r="2039">
      <c r="D2039" s="4"/>
      <c r="E2039" s="4"/>
    </row>
    <row r="2040">
      <c r="D2040" s="4"/>
      <c r="E2040" s="4"/>
    </row>
    <row r="2041">
      <c r="D2041" s="4"/>
      <c r="E2041" s="4"/>
    </row>
    <row r="2042">
      <c r="D2042" s="4"/>
      <c r="E2042" s="4"/>
    </row>
    <row r="2043">
      <c r="D2043" s="4"/>
      <c r="E2043" s="4"/>
    </row>
    <row r="2044">
      <c r="D2044" s="4"/>
      <c r="E2044" s="4"/>
    </row>
    <row r="2045">
      <c r="D2045" s="4"/>
      <c r="E2045" s="4"/>
    </row>
    <row r="2046">
      <c r="D2046" s="4"/>
      <c r="E2046" s="4"/>
    </row>
    <row r="2047">
      <c r="D2047" s="4"/>
      <c r="E2047" s="4"/>
    </row>
    <row r="2048">
      <c r="D2048" s="4"/>
      <c r="E2048" s="4"/>
    </row>
    <row r="2049">
      <c r="D2049" s="4"/>
      <c r="E2049" s="4"/>
    </row>
    <row r="2050">
      <c r="D2050" s="4"/>
      <c r="E2050" s="4"/>
    </row>
    <row r="2051">
      <c r="D2051" s="4"/>
      <c r="E2051" s="4"/>
    </row>
    <row r="2052">
      <c r="D2052" s="4"/>
      <c r="E2052" s="4"/>
    </row>
    <row r="2053">
      <c r="D2053" s="4"/>
      <c r="E2053" s="4"/>
    </row>
    <row r="2054">
      <c r="D2054" s="4"/>
      <c r="E2054" s="4"/>
    </row>
    <row r="2055">
      <c r="D2055" s="4"/>
      <c r="E2055" s="4"/>
    </row>
    <row r="2056">
      <c r="D2056" s="4"/>
      <c r="E2056" s="4"/>
    </row>
    <row r="2057">
      <c r="D2057" s="4"/>
      <c r="E2057" s="4"/>
    </row>
    <row r="2058">
      <c r="D2058" s="4"/>
      <c r="E2058" s="4"/>
    </row>
    <row r="2059">
      <c r="D2059" s="4"/>
      <c r="E2059" s="4"/>
    </row>
    <row r="2060">
      <c r="D2060" s="4"/>
      <c r="E2060" s="4"/>
    </row>
    <row r="2061">
      <c r="D2061" s="4"/>
      <c r="E2061" s="4"/>
    </row>
    <row r="2062">
      <c r="D2062" s="4"/>
      <c r="E2062" s="4"/>
    </row>
    <row r="2063">
      <c r="D2063" s="4"/>
      <c r="E2063" s="4"/>
    </row>
    <row r="2064">
      <c r="D2064" s="4"/>
      <c r="E2064" s="4"/>
    </row>
    <row r="2065">
      <c r="D2065" s="4"/>
      <c r="E2065" s="4"/>
    </row>
    <row r="2066">
      <c r="D2066" s="4"/>
      <c r="E2066" s="4"/>
    </row>
    <row r="2067">
      <c r="D2067" s="4"/>
      <c r="E2067" s="4"/>
    </row>
    <row r="2068">
      <c r="D2068" s="4"/>
      <c r="E2068" s="4"/>
    </row>
    <row r="2069">
      <c r="D2069" s="4"/>
      <c r="E2069" s="4"/>
    </row>
    <row r="2070">
      <c r="D2070" s="4"/>
      <c r="E2070" s="4"/>
    </row>
    <row r="2071">
      <c r="D2071" s="4"/>
      <c r="E2071" s="4"/>
    </row>
    <row r="2072">
      <c r="D2072" s="4"/>
      <c r="E2072" s="4"/>
    </row>
    <row r="2073">
      <c r="D2073" s="4"/>
      <c r="E2073" s="4"/>
    </row>
    <row r="2074">
      <c r="D2074" s="4"/>
      <c r="E2074" s="4"/>
    </row>
    <row r="2075">
      <c r="D2075" s="4"/>
      <c r="E2075" s="4"/>
    </row>
    <row r="2076">
      <c r="D2076" s="4"/>
      <c r="E2076" s="4"/>
    </row>
    <row r="2077">
      <c r="D2077" s="4"/>
      <c r="E2077" s="4"/>
    </row>
    <row r="2078">
      <c r="D2078" s="4"/>
      <c r="E2078" s="4"/>
    </row>
    <row r="2079">
      <c r="D2079" s="4"/>
      <c r="E2079" s="4"/>
    </row>
    <row r="2080">
      <c r="D2080" s="4"/>
      <c r="E2080" s="4"/>
    </row>
    <row r="2081">
      <c r="D2081" s="4"/>
      <c r="E2081" s="4"/>
    </row>
    <row r="2082">
      <c r="D2082" s="4"/>
      <c r="E2082" s="4"/>
    </row>
    <row r="2083">
      <c r="D2083" s="4"/>
      <c r="E2083" s="4"/>
    </row>
    <row r="2084">
      <c r="D2084" s="4"/>
      <c r="E2084" s="4"/>
    </row>
    <row r="2085">
      <c r="D2085" s="4"/>
      <c r="E2085" s="4"/>
    </row>
    <row r="2086">
      <c r="D2086" s="4"/>
      <c r="E2086" s="4"/>
    </row>
    <row r="2087">
      <c r="D2087" s="4"/>
      <c r="E2087" s="4"/>
    </row>
    <row r="2088">
      <c r="D2088" s="4"/>
      <c r="E2088" s="4"/>
    </row>
    <row r="2089">
      <c r="D2089" s="4"/>
      <c r="E2089" s="4"/>
    </row>
    <row r="2090">
      <c r="D2090" s="4"/>
      <c r="E2090" s="4"/>
    </row>
    <row r="2091">
      <c r="D2091" s="4"/>
      <c r="E2091" s="4"/>
    </row>
    <row r="2092">
      <c r="D2092" s="4"/>
      <c r="E2092" s="4"/>
    </row>
    <row r="2093">
      <c r="D2093" s="4"/>
      <c r="E2093" s="4"/>
    </row>
    <row r="2094">
      <c r="D2094" s="4"/>
      <c r="E2094" s="4"/>
    </row>
    <row r="2095">
      <c r="D2095" s="4"/>
      <c r="E2095" s="4"/>
    </row>
    <row r="2096">
      <c r="D2096" s="4"/>
      <c r="E2096" s="4"/>
    </row>
    <row r="2097">
      <c r="D2097" s="4"/>
      <c r="E2097" s="4"/>
    </row>
    <row r="2098">
      <c r="D2098" s="4"/>
      <c r="E2098" s="4"/>
    </row>
    <row r="2099">
      <c r="D2099" s="4"/>
      <c r="E2099" s="4"/>
    </row>
    <row r="2100">
      <c r="D2100" s="4"/>
      <c r="E2100" s="4"/>
    </row>
    <row r="2101">
      <c r="D2101" s="4"/>
      <c r="E2101" s="4"/>
    </row>
    <row r="2102">
      <c r="D2102" s="4"/>
      <c r="E2102" s="4"/>
    </row>
    <row r="2103">
      <c r="D2103" s="4"/>
      <c r="E2103" s="4"/>
    </row>
    <row r="2104">
      <c r="D2104" s="4"/>
      <c r="E2104" s="4"/>
    </row>
    <row r="2105">
      <c r="D2105" s="4"/>
      <c r="E2105" s="4"/>
    </row>
    <row r="2106">
      <c r="D2106" s="4"/>
      <c r="E2106" s="4"/>
    </row>
    <row r="2107">
      <c r="D2107" s="4"/>
      <c r="E2107" s="4"/>
    </row>
    <row r="2108">
      <c r="D2108" s="4"/>
      <c r="E2108" s="4"/>
    </row>
    <row r="2109">
      <c r="D2109" s="4"/>
      <c r="E2109" s="4"/>
    </row>
    <row r="2110">
      <c r="D2110" s="4"/>
      <c r="E2110" s="4"/>
    </row>
    <row r="2111">
      <c r="D2111" s="4"/>
      <c r="E2111" s="4"/>
    </row>
    <row r="2112">
      <c r="D2112" s="4"/>
      <c r="E2112" s="4"/>
    </row>
    <row r="2113">
      <c r="D2113" s="4"/>
      <c r="E2113" s="4"/>
    </row>
    <row r="2114">
      <c r="D2114" s="4"/>
      <c r="E2114" s="4"/>
    </row>
    <row r="2115">
      <c r="D2115" s="4"/>
      <c r="E2115" s="4"/>
    </row>
    <row r="2116">
      <c r="D2116" s="4"/>
      <c r="E2116" s="4"/>
    </row>
    <row r="2117">
      <c r="D2117" s="4"/>
      <c r="E2117" s="4"/>
    </row>
    <row r="2118">
      <c r="D2118" s="4"/>
      <c r="E2118" s="4"/>
    </row>
    <row r="2119">
      <c r="D2119" s="4"/>
      <c r="E2119" s="4"/>
    </row>
    <row r="2120">
      <c r="D2120" s="4"/>
      <c r="E2120" s="4"/>
    </row>
    <row r="2121">
      <c r="D2121" s="4"/>
      <c r="E2121" s="4"/>
    </row>
    <row r="2122">
      <c r="D2122" s="4"/>
      <c r="E2122" s="4"/>
    </row>
    <row r="2123">
      <c r="D2123" s="4"/>
      <c r="E2123" s="4"/>
    </row>
    <row r="2124">
      <c r="D2124" s="4"/>
      <c r="E2124" s="4"/>
    </row>
    <row r="2125">
      <c r="D2125" s="4"/>
      <c r="E2125" s="4"/>
    </row>
    <row r="2126">
      <c r="D2126" s="4"/>
      <c r="E2126" s="4"/>
    </row>
    <row r="2127">
      <c r="D2127" s="4"/>
      <c r="E2127" s="4"/>
    </row>
    <row r="2128">
      <c r="D2128" s="4"/>
      <c r="E2128" s="4"/>
    </row>
    <row r="2129">
      <c r="D2129" s="4"/>
      <c r="E2129" s="4"/>
    </row>
    <row r="2130">
      <c r="D2130" s="4"/>
      <c r="E2130" s="4"/>
    </row>
    <row r="2131">
      <c r="D2131" s="4"/>
      <c r="E2131" s="4"/>
    </row>
    <row r="2132">
      <c r="D2132" s="4"/>
      <c r="E2132" s="4"/>
    </row>
    <row r="2133">
      <c r="D2133" s="4"/>
      <c r="E2133" s="4"/>
    </row>
    <row r="2134">
      <c r="D2134" s="4"/>
      <c r="E2134" s="4"/>
    </row>
    <row r="2135">
      <c r="D2135" s="4"/>
      <c r="E2135" s="4"/>
    </row>
    <row r="2136">
      <c r="D2136" s="4"/>
      <c r="E2136" s="4"/>
    </row>
    <row r="2137">
      <c r="D2137" s="4"/>
      <c r="E2137" s="4"/>
    </row>
    <row r="2138">
      <c r="D2138" s="4"/>
      <c r="E2138" s="4"/>
    </row>
    <row r="2139">
      <c r="D2139" s="4"/>
      <c r="E2139" s="4"/>
    </row>
    <row r="2140">
      <c r="D2140" s="4"/>
      <c r="E2140" s="4"/>
    </row>
    <row r="2141">
      <c r="D2141" s="4"/>
      <c r="E2141" s="4"/>
    </row>
    <row r="2142">
      <c r="D2142" s="4"/>
      <c r="E2142" s="4"/>
    </row>
    <row r="2143">
      <c r="D2143" s="4"/>
      <c r="E2143" s="4"/>
    </row>
    <row r="2144">
      <c r="D2144" s="4"/>
      <c r="E2144" s="4"/>
    </row>
    <row r="2145">
      <c r="D2145" s="4"/>
      <c r="E2145" s="4"/>
    </row>
    <row r="2146">
      <c r="D2146" s="4"/>
      <c r="E2146" s="4"/>
    </row>
    <row r="2147">
      <c r="D2147" s="4"/>
      <c r="E2147" s="4"/>
    </row>
    <row r="2148">
      <c r="D2148" s="4"/>
      <c r="E2148" s="4"/>
    </row>
    <row r="2149">
      <c r="D2149" s="4"/>
      <c r="E2149" s="4"/>
    </row>
    <row r="2150">
      <c r="D2150" s="4"/>
      <c r="E2150" s="4"/>
    </row>
    <row r="2151">
      <c r="D2151" s="4"/>
      <c r="E2151" s="4"/>
    </row>
    <row r="2152">
      <c r="D2152" s="4"/>
      <c r="E2152" s="4"/>
    </row>
    <row r="2153">
      <c r="D2153" s="4"/>
      <c r="E2153" s="4"/>
    </row>
    <row r="2154">
      <c r="D2154" s="4"/>
      <c r="E2154" s="4"/>
    </row>
    <row r="2155">
      <c r="D2155" s="4"/>
      <c r="E2155" s="4"/>
    </row>
    <row r="2156">
      <c r="D2156" s="4"/>
      <c r="E2156" s="4"/>
    </row>
    <row r="2157">
      <c r="D2157" s="4"/>
      <c r="E2157" s="4"/>
    </row>
    <row r="2158">
      <c r="D2158" s="4"/>
      <c r="E2158" s="4"/>
    </row>
    <row r="2159">
      <c r="D2159" s="4"/>
      <c r="E2159" s="4"/>
    </row>
    <row r="2160">
      <c r="D2160" s="4"/>
      <c r="E2160" s="4"/>
    </row>
    <row r="2161">
      <c r="D2161" s="4"/>
      <c r="E2161" s="4"/>
    </row>
    <row r="2162">
      <c r="D2162" s="4"/>
      <c r="E2162" s="4"/>
    </row>
    <row r="2163">
      <c r="D2163" s="4"/>
      <c r="E2163" s="4"/>
    </row>
    <row r="2164">
      <c r="D2164" s="4"/>
      <c r="E2164" s="4"/>
    </row>
    <row r="2165">
      <c r="D2165" s="4"/>
      <c r="E2165" s="4"/>
    </row>
    <row r="2166">
      <c r="D2166" s="4"/>
      <c r="E2166" s="4"/>
    </row>
    <row r="2167">
      <c r="D2167" s="4"/>
      <c r="E2167" s="4"/>
    </row>
    <row r="2168">
      <c r="D2168" s="4"/>
      <c r="E2168" s="4"/>
    </row>
    <row r="2169">
      <c r="D2169" s="4"/>
      <c r="E2169" s="4"/>
    </row>
    <row r="2170">
      <c r="D2170" s="4"/>
      <c r="E2170" s="4"/>
    </row>
    <row r="2171">
      <c r="D2171" s="4"/>
      <c r="E2171" s="4"/>
    </row>
    <row r="2172">
      <c r="D2172" s="4"/>
      <c r="E2172" s="4"/>
    </row>
    <row r="2173">
      <c r="D2173" s="4"/>
      <c r="E2173" s="4"/>
    </row>
    <row r="2174">
      <c r="D2174" s="4"/>
      <c r="E2174" s="4"/>
    </row>
    <row r="2175">
      <c r="D2175" s="4"/>
      <c r="E2175" s="4"/>
    </row>
    <row r="2176">
      <c r="D2176" s="4"/>
      <c r="E2176" s="4"/>
    </row>
    <row r="2177">
      <c r="D2177" s="4"/>
      <c r="E2177" s="4"/>
    </row>
    <row r="2178">
      <c r="D2178" s="4"/>
      <c r="E2178" s="4"/>
    </row>
    <row r="2179">
      <c r="D2179" s="4"/>
      <c r="E2179" s="4"/>
    </row>
    <row r="2180">
      <c r="D2180" s="4"/>
      <c r="E2180" s="4"/>
    </row>
    <row r="2181">
      <c r="D2181" s="4"/>
      <c r="E2181" s="4"/>
    </row>
    <row r="2182">
      <c r="D2182" s="4"/>
      <c r="E2182" s="4"/>
    </row>
    <row r="2183">
      <c r="D2183" s="4"/>
      <c r="E2183" s="4"/>
    </row>
    <row r="2184">
      <c r="D2184" s="4"/>
      <c r="E2184" s="4"/>
    </row>
    <row r="2185">
      <c r="D2185" s="4"/>
      <c r="E2185" s="4"/>
    </row>
    <row r="2186">
      <c r="D2186" s="4"/>
      <c r="E2186" s="4"/>
    </row>
    <row r="2187">
      <c r="D2187" s="4"/>
      <c r="E2187" s="4"/>
    </row>
    <row r="2188">
      <c r="D2188" s="4"/>
      <c r="E2188" s="4"/>
    </row>
    <row r="2189">
      <c r="D2189" s="4"/>
      <c r="E2189" s="4"/>
    </row>
    <row r="2190">
      <c r="D2190" s="4"/>
      <c r="E2190" s="4"/>
    </row>
    <row r="2191">
      <c r="D2191" s="4"/>
      <c r="E2191" s="4"/>
    </row>
    <row r="2192">
      <c r="D2192" s="4"/>
      <c r="E2192" s="4"/>
    </row>
    <row r="2193">
      <c r="D2193" s="4"/>
      <c r="E2193" s="4"/>
    </row>
    <row r="2194">
      <c r="D2194" s="4"/>
      <c r="E2194" s="4"/>
    </row>
    <row r="2195">
      <c r="D2195" s="4"/>
      <c r="E2195" s="4"/>
    </row>
    <row r="2196">
      <c r="D2196" s="4"/>
      <c r="E2196" s="4"/>
    </row>
    <row r="2197">
      <c r="D2197" s="4"/>
      <c r="E2197" s="4"/>
    </row>
    <row r="2198">
      <c r="D2198" s="4"/>
      <c r="E2198" s="4"/>
    </row>
    <row r="2199">
      <c r="D2199" s="4"/>
      <c r="E2199" s="4"/>
    </row>
    <row r="2200">
      <c r="D2200" s="4"/>
      <c r="E2200" s="4"/>
    </row>
    <row r="2201">
      <c r="D2201" s="4"/>
      <c r="E2201" s="4"/>
    </row>
    <row r="2202">
      <c r="D2202" s="4"/>
      <c r="E2202" s="4"/>
    </row>
    <row r="2203">
      <c r="D2203" s="4"/>
      <c r="E2203" s="4"/>
    </row>
    <row r="2204">
      <c r="D2204" s="4"/>
      <c r="E2204" s="4"/>
    </row>
    <row r="2205">
      <c r="D2205" s="4"/>
      <c r="E2205" s="4"/>
    </row>
    <row r="2206">
      <c r="D2206" s="4"/>
      <c r="E2206" s="4"/>
    </row>
    <row r="2207">
      <c r="D2207" s="4"/>
      <c r="E2207" s="4"/>
    </row>
    <row r="2208">
      <c r="D2208" s="4"/>
      <c r="E2208" s="4"/>
    </row>
    <row r="2209">
      <c r="D2209" s="4"/>
      <c r="E2209" s="4"/>
    </row>
    <row r="2210">
      <c r="D2210" s="4"/>
      <c r="E2210" s="4"/>
    </row>
    <row r="2211">
      <c r="D2211" s="4"/>
      <c r="E2211" s="4"/>
    </row>
    <row r="2212">
      <c r="D2212" s="4"/>
      <c r="E2212" s="4"/>
    </row>
    <row r="2213">
      <c r="D2213" s="4"/>
      <c r="E2213" s="4"/>
    </row>
    <row r="2214">
      <c r="D2214" s="4"/>
      <c r="E2214" s="4"/>
    </row>
    <row r="2215">
      <c r="D2215" s="4"/>
      <c r="E2215" s="4"/>
    </row>
    <row r="2216">
      <c r="D2216" s="4"/>
      <c r="E2216" s="4"/>
    </row>
    <row r="2217">
      <c r="D2217" s="4"/>
      <c r="E2217" s="4"/>
    </row>
    <row r="2218">
      <c r="D2218" s="4"/>
      <c r="E2218" s="4"/>
    </row>
    <row r="2219">
      <c r="D2219" s="4"/>
      <c r="E2219" s="4"/>
    </row>
    <row r="2220">
      <c r="D2220" s="4"/>
      <c r="E2220" s="4"/>
    </row>
    <row r="2221">
      <c r="D2221" s="4"/>
      <c r="E2221" s="4"/>
    </row>
    <row r="2222">
      <c r="D2222" s="4"/>
      <c r="E2222" s="4"/>
    </row>
    <row r="2223">
      <c r="D2223" s="4"/>
      <c r="E2223" s="4"/>
    </row>
    <row r="2224">
      <c r="D2224" s="4"/>
      <c r="E2224" s="4"/>
    </row>
    <row r="2225">
      <c r="D2225" s="4"/>
      <c r="E2225" s="4"/>
    </row>
    <row r="2226">
      <c r="D2226" s="4"/>
      <c r="E2226" s="4"/>
    </row>
    <row r="2227">
      <c r="D2227" s="4"/>
      <c r="E2227" s="4"/>
    </row>
    <row r="2228">
      <c r="D2228" s="4"/>
      <c r="E2228" s="4"/>
    </row>
    <row r="2229">
      <c r="D2229" s="4"/>
      <c r="E2229" s="4"/>
    </row>
    <row r="2230">
      <c r="D2230" s="4"/>
      <c r="E2230" s="4"/>
    </row>
    <row r="2231">
      <c r="D2231" s="4"/>
      <c r="E2231" s="4"/>
    </row>
    <row r="2232">
      <c r="D2232" s="4"/>
      <c r="E2232" s="4"/>
    </row>
    <row r="2233">
      <c r="D2233" s="4"/>
      <c r="E2233" s="4"/>
    </row>
    <row r="2234">
      <c r="D2234" s="4"/>
      <c r="E2234" s="4"/>
    </row>
    <row r="2235">
      <c r="D2235" s="4"/>
      <c r="E2235" s="4"/>
    </row>
    <row r="2236">
      <c r="D2236" s="4"/>
      <c r="E2236" s="4"/>
    </row>
    <row r="2237">
      <c r="D2237" s="4"/>
      <c r="E2237" s="4"/>
    </row>
    <row r="2238">
      <c r="D2238" s="4"/>
      <c r="E2238" s="4"/>
    </row>
    <row r="2239">
      <c r="D2239" s="4"/>
      <c r="E2239" s="4"/>
    </row>
    <row r="2240">
      <c r="D2240" s="4"/>
      <c r="E2240" s="4"/>
    </row>
    <row r="2241">
      <c r="D2241" s="4"/>
      <c r="E2241" s="4"/>
    </row>
    <row r="2242">
      <c r="D2242" s="4"/>
      <c r="E2242" s="4"/>
    </row>
    <row r="2243">
      <c r="D2243" s="4"/>
      <c r="E2243" s="4"/>
    </row>
    <row r="2244">
      <c r="D2244" s="4"/>
      <c r="E2244" s="4"/>
    </row>
    <row r="2245">
      <c r="D2245" s="4"/>
      <c r="E2245" s="4"/>
    </row>
    <row r="2246">
      <c r="D2246" s="4"/>
      <c r="E2246" s="4"/>
    </row>
    <row r="2247">
      <c r="D2247" s="4"/>
      <c r="E2247" s="4"/>
    </row>
    <row r="2248">
      <c r="D2248" s="4"/>
      <c r="E2248" s="4"/>
    </row>
    <row r="2249">
      <c r="D2249" s="4"/>
      <c r="E2249" s="4"/>
    </row>
    <row r="2250">
      <c r="D2250" s="4"/>
      <c r="E2250" s="4"/>
    </row>
    <row r="2251">
      <c r="D2251" s="4"/>
      <c r="E2251" s="4"/>
    </row>
    <row r="2252">
      <c r="D2252" s="4"/>
      <c r="E2252" s="4"/>
    </row>
    <row r="2253">
      <c r="D2253" s="4"/>
      <c r="E2253" s="4"/>
    </row>
    <row r="2254">
      <c r="D2254" s="4"/>
      <c r="E2254" s="4"/>
    </row>
    <row r="2255">
      <c r="D2255" s="4"/>
      <c r="E2255" s="4"/>
    </row>
    <row r="2256">
      <c r="D2256" s="4"/>
      <c r="E2256" s="4"/>
    </row>
    <row r="2257">
      <c r="D2257" s="4"/>
      <c r="E2257" s="4"/>
    </row>
    <row r="2258">
      <c r="D2258" s="4"/>
      <c r="E2258" s="4"/>
    </row>
    <row r="2259">
      <c r="D2259" s="4"/>
      <c r="E2259" s="4"/>
    </row>
    <row r="2260">
      <c r="D2260" s="4"/>
      <c r="E2260" s="4"/>
    </row>
    <row r="2261">
      <c r="D2261" s="4"/>
      <c r="E2261" s="4"/>
    </row>
    <row r="2262">
      <c r="D2262" s="4"/>
      <c r="E2262" s="4"/>
    </row>
    <row r="2263">
      <c r="D2263" s="4"/>
      <c r="E2263" s="4"/>
    </row>
    <row r="2264">
      <c r="D2264" s="4"/>
      <c r="E2264" s="4"/>
    </row>
    <row r="2265">
      <c r="D2265" s="4"/>
      <c r="E2265" s="4"/>
    </row>
    <row r="2266">
      <c r="D2266" s="4"/>
      <c r="E2266" s="4"/>
    </row>
    <row r="2267">
      <c r="D2267" s="4"/>
      <c r="E2267" s="4"/>
    </row>
    <row r="2268">
      <c r="D2268" s="4"/>
      <c r="E2268" s="4"/>
    </row>
    <row r="2269">
      <c r="D2269" s="4"/>
      <c r="E2269" s="4"/>
    </row>
    <row r="2270">
      <c r="D2270" s="4"/>
      <c r="E2270" s="4"/>
    </row>
    <row r="2271">
      <c r="D2271" s="4"/>
      <c r="E2271" s="4"/>
    </row>
    <row r="2272">
      <c r="D2272" s="4"/>
      <c r="E2272" s="4"/>
    </row>
    <row r="2273">
      <c r="D2273" s="4"/>
      <c r="E2273" s="4"/>
    </row>
    <row r="2274">
      <c r="D2274" s="4"/>
      <c r="E2274" s="4"/>
    </row>
    <row r="2275">
      <c r="D2275" s="4"/>
      <c r="E2275" s="4"/>
    </row>
    <row r="2276">
      <c r="D2276" s="4"/>
      <c r="E2276" s="4"/>
    </row>
    <row r="2277">
      <c r="D2277" s="4"/>
      <c r="E2277" s="4"/>
    </row>
    <row r="2278">
      <c r="D2278" s="4"/>
      <c r="E2278" s="4"/>
    </row>
    <row r="2279">
      <c r="D2279" s="4"/>
      <c r="E2279" s="4"/>
    </row>
    <row r="2280">
      <c r="D2280" s="4"/>
      <c r="E2280" s="4"/>
    </row>
    <row r="2281">
      <c r="D2281" s="4"/>
      <c r="E2281" s="4"/>
    </row>
    <row r="2282">
      <c r="D2282" s="4"/>
      <c r="E2282" s="4"/>
    </row>
    <row r="2283">
      <c r="D2283" s="4"/>
      <c r="E2283" s="4"/>
    </row>
    <row r="2284">
      <c r="D2284" s="4"/>
      <c r="E2284" s="4"/>
    </row>
    <row r="2285">
      <c r="D2285" s="4"/>
      <c r="E2285" s="4"/>
    </row>
    <row r="2286">
      <c r="D2286" s="4"/>
      <c r="E2286" s="4"/>
    </row>
    <row r="2287">
      <c r="D2287" s="4"/>
      <c r="E2287" s="4"/>
    </row>
    <row r="2288">
      <c r="D2288" s="4"/>
      <c r="E2288" s="4"/>
    </row>
    <row r="2289">
      <c r="D2289" s="4"/>
      <c r="E2289" s="4"/>
    </row>
    <row r="2290">
      <c r="D2290" s="4"/>
      <c r="E2290" s="4"/>
    </row>
    <row r="2291">
      <c r="D2291" s="4"/>
      <c r="E2291" s="4"/>
    </row>
    <row r="2292">
      <c r="D2292" s="4"/>
      <c r="E2292" s="4"/>
    </row>
    <row r="2293">
      <c r="D2293" s="4"/>
      <c r="E2293" s="4"/>
    </row>
    <row r="2294">
      <c r="D2294" s="4"/>
      <c r="E2294" s="4"/>
    </row>
    <row r="2295">
      <c r="D2295" s="4"/>
      <c r="E2295" s="4"/>
    </row>
    <row r="2296">
      <c r="D2296" s="4"/>
      <c r="E2296" s="4"/>
    </row>
    <row r="2297">
      <c r="D2297" s="4"/>
      <c r="E2297" s="4"/>
    </row>
    <row r="2298">
      <c r="D2298" s="4"/>
      <c r="E2298" s="4"/>
    </row>
    <row r="2299">
      <c r="D2299" s="4"/>
      <c r="E2299" s="4"/>
    </row>
    <row r="2300">
      <c r="D2300" s="4"/>
      <c r="E2300" s="4"/>
    </row>
    <row r="2301">
      <c r="D2301" s="4"/>
      <c r="E2301" s="4"/>
    </row>
    <row r="2302">
      <c r="D2302" s="4"/>
      <c r="E2302" s="4"/>
    </row>
    <row r="2303">
      <c r="D2303" s="4"/>
      <c r="E2303" s="4"/>
    </row>
    <row r="2304">
      <c r="D2304" s="4"/>
      <c r="E2304" s="4"/>
    </row>
    <row r="2305">
      <c r="D2305" s="4"/>
      <c r="E2305" s="4"/>
    </row>
    <row r="2306">
      <c r="D2306" s="4"/>
      <c r="E2306" s="4"/>
    </row>
    <row r="2307">
      <c r="D2307" s="4"/>
      <c r="E2307" s="4"/>
    </row>
    <row r="2308">
      <c r="D2308" s="4"/>
      <c r="E2308" s="4"/>
    </row>
    <row r="2309">
      <c r="D2309" s="4"/>
      <c r="E2309" s="4"/>
    </row>
    <row r="2310">
      <c r="D2310" s="4"/>
      <c r="E2310" s="4"/>
    </row>
    <row r="2311">
      <c r="D2311" s="4"/>
      <c r="E2311" s="4"/>
    </row>
    <row r="2312">
      <c r="D2312" s="4"/>
      <c r="E2312" s="4"/>
    </row>
    <row r="2313">
      <c r="D2313" s="4"/>
      <c r="E2313" s="4"/>
    </row>
    <row r="2314">
      <c r="D2314" s="4"/>
      <c r="E2314" s="4"/>
    </row>
    <row r="2315">
      <c r="D2315" s="4"/>
      <c r="E2315" s="4"/>
    </row>
    <row r="2316">
      <c r="D2316" s="4"/>
      <c r="E2316" s="4"/>
    </row>
    <row r="2317">
      <c r="D2317" s="4"/>
      <c r="E2317" s="4"/>
    </row>
    <row r="2318">
      <c r="D2318" s="4"/>
      <c r="E2318" s="4"/>
    </row>
    <row r="2319">
      <c r="D2319" s="4"/>
      <c r="E2319" s="4"/>
    </row>
    <row r="2320">
      <c r="D2320" s="4"/>
      <c r="E2320" s="4"/>
    </row>
    <row r="2321">
      <c r="D2321" s="4"/>
      <c r="E2321" s="4"/>
    </row>
    <row r="2322">
      <c r="D2322" s="4"/>
      <c r="E2322" s="4"/>
    </row>
    <row r="2323">
      <c r="D2323" s="4"/>
      <c r="E2323" s="4"/>
    </row>
    <row r="2324">
      <c r="D2324" s="4"/>
      <c r="E2324" s="4"/>
    </row>
    <row r="2325">
      <c r="D2325" s="4"/>
      <c r="E2325" s="4"/>
    </row>
    <row r="2326">
      <c r="D2326" s="4"/>
      <c r="E2326" s="4"/>
    </row>
    <row r="2327">
      <c r="D2327" s="4"/>
      <c r="E2327" s="4"/>
    </row>
    <row r="2328">
      <c r="D2328" s="4"/>
      <c r="E2328" s="4"/>
    </row>
    <row r="2329">
      <c r="D2329" s="4"/>
      <c r="E2329" s="4"/>
    </row>
    <row r="2330">
      <c r="D2330" s="4"/>
      <c r="E2330" s="4"/>
    </row>
    <row r="2331">
      <c r="D2331" s="4"/>
      <c r="E2331" s="4"/>
    </row>
    <row r="2332">
      <c r="D2332" s="4"/>
      <c r="E2332" s="4"/>
    </row>
    <row r="2333">
      <c r="D2333" s="4"/>
      <c r="E2333" s="4"/>
    </row>
    <row r="2334">
      <c r="D2334" s="4"/>
      <c r="E2334" s="4"/>
    </row>
    <row r="2335">
      <c r="D2335" s="4"/>
      <c r="E2335" s="4"/>
    </row>
    <row r="2336">
      <c r="D2336" s="4"/>
      <c r="E2336" s="4"/>
    </row>
    <row r="2337">
      <c r="D2337" s="4"/>
      <c r="E2337" s="4"/>
    </row>
    <row r="2338">
      <c r="D2338" s="4"/>
      <c r="E2338" s="4"/>
    </row>
    <row r="2339">
      <c r="D2339" s="4"/>
      <c r="E2339" s="4"/>
    </row>
    <row r="2340">
      <c r="D2340" s="4"/>
      <c r="E2340" s="4"/>
    </row>
    <row r="2341">
      <c r="D2341" s="4"/>
      <c r="E2341" s="4"/>
    </row>
    <row r="2342">
      <c r="D2342" s="4"/>
      <c r="E2342" s="4"/>
    </row>
    <row r="2343">
      <c r="D2343" s="4"/>
      <c r="E2343" s="4"/>
    </row>
    <row r="2344">
      <c r="D2344" s="4"/>
      <c r="E2344" s="4"/>
    </row>
    <row r="2345">
      <c r="D2345" s="4"/>
      <c r="E2345" s="4"/>
    </row>
    <row r="2346">
      <c r="D2346" s="4"/>
      <c r="E2346" s="4"/>
    </row>
    <row r="2347">
      <c r="D2347" s="4"/>
      <c r="E2347" s="4"/>
    </row>
    <row r="2348">
      <c r="D2348" s="4"/>
      <c r="E2348" s="4"/>
    </row>
    <row r="2349">
      <c r="D2349" s="4"/>
      <c r="E2349" s="4"/>
    </row>
    <row r="2350">
      <c r="D2350" s="4"/>
      <c r="E2350" s="4"/>
    </row>
    <row r="2351">
      <c r="D2351" s="4"/>
      <c r="E2351" s="4"/>
    </row>
    <row r="2352">
      <c r="D2352" s="4"/>
      <c r="E2352" s="4"/>
    </row>
    <row r="2353">
      <c r="D2353" s="4"/>
      <c r="E2353" s="4"/>
    </row>
    <row r="2354">
      <c r="D2354" s="4"/>
      <c r="E2354" s="4"/>
    </row>
    <row r="2355">
      <c r="D2355" s="4"/>
      <c r="E2355" s="4"/>
    </row>
    <row r="2356">
      <c r="D2356" s="4"/>
      <c r="E2356" s="4"/>
    </row>
    <row r="2357">
      <c r="D2357" s="4"/>
      <c r="E2357" s="4"/>
    </row>
    <row r="2358">
      <c r="D2358" s="4"/>
      <c r="E2358" s="4"/>
    </row>
    <row r="2359">
      <c r="D2359" s="4"/>
      <c r="E2359" s="4"/>
    </row>
    <row r="2360">
      <c r="D2360" s="4"/>
      <c r="E2360" s="4"/>
    </row>
    <row r="2361">
      <c r="D2361" s="4"/>
      <c r="E2361" s="4"/>
    </row>
    <row r="2362">
      <c r="D2362" s="4"/>
      <c r="E2362" s="4"/>
    </row>
    <row r="2363">
      <c r="D2363" s="4"/>
      <c r="E2363" s="4"/>
    </row>
    <row r="2364">
      <c r="D2364" s="4"/>
      <c r="E2364" s="4"/>
    </row>
    <row r="2365">
      <c r="D2365" s="4"/>
      <c r="E2365" s="4"/>
    </row>
    <row r="2366">
      <c r="D2366" s="4"/>
      <c r="E2366" s="4"/>
    </row>
    <row r="2367">
      <c r="D2367" s="4"/>
      <c r="E2367" s="4"/>
    </row>
    <row r="2368">
      <c r="D2368" s="4"/>
      <c r="E2368" s="4"/>
    </row>
    <row r="2369">
      <c r="D2369" s="4"/>
      <c r="E2369" s="4"/>
    </row>
    <row r="2370">
      <c r="D2370" s="4"/>
      <c r="E2370" s="4"/>
    </row>
    <row r="2371">
      <c r="D2371" s="4"/>
      <c r="E2371" s="4"/>
    </row>
    <row r="2372">
      <c r="D2372" s="4"/>
      <c r="E2372" s="4"/>
    </row>
    <row r="2373">
      <c r="D2373" s="4"/>
      <c r="E2373" s="4"/>
    </row>
    <row r="2374">
      <c r="D2374" s="4"/>
      <c r="E2374" s="4"/>
    </row>
    <row r="2375">
      <c r="D2375" s="4"/>
      <c r="E2375" s="4"/>
    </row>
    <row r="2376">
      <c r="D2376" s="4"/>
      <c r="E2376" s="4"/>
    </row>
    <row r="2377">
      <c r="D2377" s="4"/>
      <c r="E2377" s="4"/>
    </row>
    <row r="2378">
      <c r="D2378" s="4"/>
      <c r="E2378" s="4"/>
    </row>
    <row r="2379">
      <c r="D2379" s="4"/>
      <c r="E2379" s="4"/>
    </row>
    <row r="2380">
      <c r="D2380" s="4"/>
      <c r="E2380" s="4"/>
    </row>
    <row r="2381">
      <c r="D2381" s="4"/>
      <c r="E2381" s="4"/>
    </row>
    <row r="2382">
      <c r="D2382" s="4"/>
      <c r="E2382" s="4"/>
    </row>
    <row r="2383">
      <c r="D2383" s="4"/>
      <c r="E2383" s="4"/>
    </row>
    <row r="2384">
      <c r="D2384" s="4"/>
      <c r="E2384" s="4"/>
    </row>
    <row r="2385">
      <c r="D2385" s="4"/>
      <c r="E2385" s="4"/>
    </row>
    <row r="2386">
      <c r="D2386" s="4"/>
      <c r="E2386" s="4"/>
    </row>
    <row r="2387">
      <c r="D2387" s="4"/>
      <c r="E2387" s="4"/>
    </row>
    <row r="2388">
      <c r="D2388" s="4"/>
      <c r="E2388" s="4"/>
    </row>
    <row r="2389">
      <c r="D2389" s="4"/>
      <c r="E2389" s="4"/>
    </row>
    <row r="2390">
      <c r="D2390" s="4"/>
      <c r="E2390" s="4"/>
    </row>
    <row r="2391">
      <c r="D2391" s="4"/>
      <c r="E2391" s="4"/>
    </row>
    <row r="2392">
      <c r="D2392" s="4"/>
      <c r="E2392" s="4"/>
    </row>
    <row r="2393">
      <c r="D2393" s="4"/>
      <c r="E2393" s="4"/>
    </row>
    <row r="2394">
      <c r="D2394" s="4"/>
      <c r="E2394" s="4"/>
    </row>
    <row r="2395">
      <c r="D2395" s="4"/>
      <c r="E2395" s="4"/>
    </row>
    <row r="2396">
      <c r="D2396" s="4"/>
      <c r="E2396" s="4"/>
    </row>
    <row r="2397">
      <c r="D2397" s="4"/>
      <c r="E2397" s="4"/>
    </row>
    <row r="2398">
      <c r="D2398" s="4"/>
      <c r="E2398" s="4"/>
    </row>
    <row r="2399">
      <c r="D2399" s="4"/>
      <c r="E2399" s="4"/>
    </row>
    <row r="2400">
      <c r="D2400" s="4"/>
      <c r="E2400" s="4"/>
    </row>
    <row r="2401">
      <c r="D2401" s="4"/>
      <c r="E2401" s="4"/>
    </row>
    <row r="2402">
      <c r="D2402" s="4"/>
      <c r="E2402" s="4"/>
    </row>
    <row r="2403">
      <c r="D2403" s="4"/>
      <c r="E2403" s="4"/>
    </row>
    <row r="2404">
      <c r="D2404" s="4"/>
      <c r="E2404" s="4"/>
    </row>
    <row r="2405">
      <c r="D2405" s="4"/>
      <c r="E2405" s="4"/>
    </row>
    <row r="2406">
      <c r="D2406" s="4"/>
      <c r="E2406" s="4"/>
    </row>
    <row r="2407">
      <c r="D2407" s="4"/>
      <c r="E2407" s="4"/>
    </row>
    <row r="2408">
      <c r="D2408" s="4"/>
      <c r="E2408" s="4"/>
    </row>
    <row r="2409">
      <c r="D2409" s="4"/>
      <c r="E2409" s="4"/>
    </row>
    <row r="2410">
      <c r="D2410" s="4"/>
      <c r="E2410" s="4"/>
    </row>
    <row r="2411">
      <c r="D2411" s="4"/>
      <c r="E2411" s="4"/>
    </row>
    <row r="2412">
      <c r="D2412" s="4"/>
      <c r="E2412" s="4"/>
    </row>
    <row r="2413">
      <c r="D2413" s="4"/>
      <c r="E2413" s="4"/>
    </row>
    <row r="2414">
      <c r="D2414" s="4"/>
      <c r="E2414" s="4"/>
    </row>
    <row r="2415">
      <c r="D2415" s="4"/>
      <c r="E2415" s="4"/>
    </row>
    <row r="2416">
      <c r="D2416" s="4"/>
      <c r="E2416" s="4"/>
    </row>
    <row r="2417">
      <c r="D2417" s="4"/>
      <c r="E2417" s="4"/>
    </row>
    <row r="2418">
      <c r="D2418" s="4"/>
      <c r="E2418" s="4"/>
    </row>
    <row r="2419">
      <c r="D2419" s="4"/>
      <c r="E2419" s="4"/>
    </row>
    <row r="2420">
      <c r="D2420" s="4"/>
      <c r="E2420" s="4"/>
    </row>
    <row r="2421">
      <c r="D2421" s="4"/>
      <c r="E2421" s="4"/>
    </row>
    <row r="2422">
      <c r="D2422" s="4"/>
      <c r="E2422" s="4"/>
    </row>
    <row r="2423">
      <c r="D2423" s="4"/>
      <c r="E2423" s="4"/>
    </row>
    <row r="2424">
      <c r="D2424" s="4"/>
      <c r="E2424" s="4"/>
    </row>
    <row r="2425">
      <c r="D2425" s="4"/>
      <c r="E2425" s="4"/>
    </row>
    <row r="2426">
      <c r="D2426" s="4"/>
      <c r="E2426" s="4"/>
    </row>
    <row r="2427">
      <c r="D2427" s="4"/>
      <c r="E2427" s="4"/>
    </row>
    <row r="2428">
      <c r="D2428" s="4"/>
      <c r="E2428" s="4"/>
    </row>
    <row r="2429">
      <c r="D2429" s="4"/>
      <c r="E2429" s="4"/>
    </row>
    <row r="2430">
      <c r="D2430" s="4"/>
      <c r="E2430" s="4"/>
    </row>
    <row r="2431">
      <c r="D2431" s="4"/>
      <c r="E2431" s="4"/>
    </row>
    <row r="2432">
      <c r="D2432" s="4"/>
      <c r="E2432" s="4"/>
    </row>
    <row r="2433">
      <c r="D2433" s="4"/>
      <c r="E2433" s="4"/>
    </row>
    <row r="2434">
      <c r="D2434" s="4"/>
      <c r="E2434" s="4"/>
    </row>
    <row r="2435">
      <c r="D2435" s="4"/>
      <c r="E2435" s="4"/>
    </row>
    <row r="2436">
      <c r="D2436" s="4"/>
      <c r="E2436" s="4"/>
    </row>
    <row r="2437">
      <c r="D2437" s="4"/>
      <c r="E2437" s="4"/>
    </row>
    <row r="2438">
      <c r="D2438" s="4"/>
      <c r="E2438" s="4"/>
    </row>
    <row r="2439">
      <c r="D2439" s="4"/>
      <c r="E2439" s="4"/>
    </row>
    <row r="2440">
      <c r="D2440" s="4"/>
      <c r="E2440" s="4"/>
    </row>
    <row r="2441">
      <c r="D2441" s="4"/>
      <c r="E2441" s="4"/>
    </row>
    <row r="2442">
      <c r="D2442" s="4"/>
      <c r="E2442" s="4"/>
    </row>
    <row r="2443">
      <c r="D2443" s="4"/>
      <c r="E2443" s="4"/>
    </row>
    <row r="2444">
      <c r="D2444" s="4"/>
      <c r="E2444" s="4"/>
    </row>
    <row r="2445">
      <c r="D2445" s="4"/>
      <c r="E2445" s="4"/>
    </row>
    <row r="2446">
      <c r="D2446" s="4"/>
      <c r="E2446" s="4"/>
    </row>
    <row r="2447">
      <c r="D2447" s="4"/>
      <c r="E2447" s="4"/>
    </row>
    <row r="2448">
      <c r="D2448" s="4"/>
      <c r="E2448" s="4"/>
    </row>
    <row r="2449">
      <c r="D2449" s="4"/>
      <c r="E2449" s="4"/>
    </row>
    <row r="2450">
      <c r="D2450" s="4"/>
      <c r="E2450" s="4"/>
    </row>
    <row r="2451">
      <c r="D2451" s="4"/>
      <c r="E2451" s="4"/>
    </row>
    <row r="2452">
      <c r="D2452" s="4"/>
      <c r="E2452" s="4"/>
    </row>
    <row r="2453">
      <c r="D2453" s="4"/>
      <c r="E2453" s="4"/>
    </row>
    <row r="2454">
      <c r="D2454" s="4"/>
      <c r="E2454" s="4"/>
    </row>
    <row r="2455">
      <c r="D2455" s="4"/>
      <c r="E2455" s="4"/>
    </row>
    <row r="2456">
      <c r="D2456" s="4"/>
      <c r="E2456" s="4"/>
    </row>
    <row r="2457">
      <c r="D2457" s="4"/>
      <c r="E2457" s="4"/>
    </row>
    <row r="2458">
      <c r="D2458" s="4"/>
      <c r="E2458" s="4"/>
    </row>
    <row r="2459">
      <c r="D2459" s="4"/>
      <c r="E2459" s="4"/>
    </row>
    <row r="2460">
      <c r="D2460" s="4"/>
      <c r="E2460" s="4"/>
    </row>
    <row r="2461">
      <c r="D2461" s="4"/>
      <c r="E2461" s="4"/>
    </row>
    <row r="2462">
      <c r="D2462" s="4"/>
      <c r="E2462" s="4"/>
    </row>
    <row r="2463">
      <c r="D2463" s="4"/>
      <c r="E2463" s="4"/>
    </row>
    <row r="2464">
      <c r="D2464" s="4"/>
      <c r="E2464" s="4"/>
    </row>
    <row r="2465">
      <c r="D2465" s="4"/>
      <c r="E2465" s="4"/>
    </row>
    <row r="2466">
      <c r="D2466" s="4"/>
      <c r="E2466" s="4"/>
    </row>
    <row r="2467">
      <c r="D2467" s="4"/>
      <c r="E2467" s="4"/>
    </row>
    <row r="2468">
      <c r="D2468" s="4"/>
      <c r="E2468" s="4"/>
    </row>
    <row r="2469">
      <c r="D2469" s="4"/>
      <c r="E2469" s="4"/>
    </row>
    <row r="2470">
      <c r="D2470" s="4"/>
      <c r="E2470" s="4"/>
    </row>
    <row r="2471">
      <c r="D2471" s="4"/>
      <c r="E2471" s="4"/>
    </row>
    <row r="2472">
      <c r="D2472" s="4"/>
      <c r="E2472" s="4"/>
    </row>
    <row r="2473">
      <c r="D2473" s="4"/>
      <c r="E2473" s="4"/>
    </row>
    <row r="2474">
      <c r="D2474" s="4"/>
      <c r="E2474" s="4"/>
    </row>
    <row r="2475">
      <c r="D2475" s="4"/>
      <c r="E2475" s="4"/>
    </row>
    <row r="2476">
      <c r="D2476" s="4"/>
      <c r="E2476" s="4"/>
    </row>
    <row r="2477">
      <c r="D2477" s="4"/>
      <c r="E2477" s="4"/>
    </row>
    <row r="2478">
      <c r="D2478" s="4"/>
      <c r="E2478" s="4"/>
    </row>
    <row r="2479">
      <c r="D2479" s="4"/>
      <c r="E2479" s="4"/>
    </row>
    <row r="2480">
      <c r="D2480" s="4"/>
      <c r="E2480" s="4"/>
    </row>
    <row r="2481">
      <c r="D2481" s="4"/>
      <c r="E2481" s="4"/>
    </row>
    <row r="2482">
      <c r="D2482" s="4"/>
      <c r="E2482" s="4"/>
    </row>
    <row r="2483">
      <c r="D2483" s="4"/>
      <c r="E2483" s="4"/>
    </row>
    <row r="2484">
      <c r="D2484" s="4"/>
      <c r="E2484" s="4"/>
    </row>
    <row r="2485">
      <c r="D2485" s="4"/>
      <c r="E2485" s="4"/>
    </row>
    <row r="2486">
      <c r="D2486" s="4"/>
      <c r="E2486" s="4"/>
    </row>
    <row r="2487">
      <c r="D2487" s="4"/>
      <c r="E2487" s="4"/>
    </row>
    <row r="2488">
      <c r="D2488" s="4"/>
      <c r="E2488" s="4"/>
    </row>
    <row r="2489">
      <c r="D2489" s="4"/>
      <c r="E2489" s="4"/>
    </row>
    <row r="2490">
      <c r="D2490" s="4"/>
      <c r="E2490" s="4"/>
    </row>
    <row r="2491">
      <c r="D2491" s="4"/>
      <c r="E2491" s="4"/>
    </row>
    <row r="2492">
      <c r="D2492" s="4"/>
      <c r="E2492" s="4"/>
    </row>
    <row r="2493">
      <c r="D2493" s="4"/>
      <c r="E2493" s="4"/>
    </row>
    <row r="2494">
      <c r="D2494" s="4"/>
      <c r="E2494" s="4"/>
    </row>
    <row r="2495">
      <c r="D2495" s="4"/>
      <c r="E2495" s="4"/>
    </row>
    <row r="2496">
      <c r="D2496" s="4"/>
      <c r="E2496" s="4"/>
    </row>
    <row r="2497">
      <c r="D2497" s="4"/>
      <c r="E2497" s="4"/>
    </row>
    <row r="2498">
      <c r="D2498" s="4"/>
      <c r="E2498" s="4"/>
    </row>
    <row r="2499">
      <c r="D2499" s="4"/>
      <c r="E2499" s="4"/>
    </row>
    <row r="2500">
      <c r="D2500" s="4"/>
      <c r="E2500" s="4"/>
    </row>
    <row r="2501">
      <c r="D2501" s="4"/>
      <c r="E2501" s="4"/>
    </row>
    <row r="2502">
      <c r="D2502" s="4"/>
      <c r="E2502" s="4"/>
    </row>
    <row r="2503">
      <c r="D2503" s="4"/>
      <c r="E2503" s="4"/>
    </row>
    <row r="2504">
      <c r="D2504" s="4"/>
      <c r="E2504" s="4"/>
    </row>
    <row r="2505">
      <c r="D2505" s="4"/>
      <c r="E2505" s="4"/>
    </row>
    <row r="2506">
      <c r="D2506" s="4"/>
      <c r="E2506" s="4"/>
    </row>
    <row r="2507">
      <c r="D2507" s="4"/>
      <c r="E2507" s="4"/>
    </row>
    <row r="2508">
      <c r="D2508" s="4"/>
      <c r="E2508" s="4"/>
    </row>
    <row r="2509">
      <c r="D2509" s="4"/>
      <c r="E2509" s="4"/>
    </row>
    <row r="2510">
      <c r="D2510" s="4"/>
      <c r="E2510" s="4"/>
    </row>
    <row r="2511">
      <c r="D2511" s="4"/>
      <c r="E2511" s="4"/>
    </row>
    <row r="2512">
      <c r="D2512" s="4"/>
      <c r="E2512" s="4"/>
    </row>
    <row r="2513">
      <c r="D2513" s="4"/>
      <c r="E2513" s="4"/>
    </row>
    <row r="2514">
      <c r="D2514" s="4"/>
      <c r="E2514" s="4"/>
    </row>
    <row r="2515">
      <c r="D2515" s="4"/>
      <c r="E2515" s="4"/>
    </row>
    <row r="2516">
      <c r="D2516" s="4"/>
      <c r="E2516" s="4"/>
    </row>
    <row r="2517">
      <c r="D2517" s="4"/>
      <c r="E2517" s="4"/>
    </row>
    <row r="2518">
      <c r="D2518" s="4"/>
      <c r="E2518" s="4"/>
    </row>
    <row r="2519">
      <c r="D2519" s="4"/>
      <c r="E2519" s="4"/>
    </row>
    <row r="2520">
      <c r="D2520" s="4"/>
      <c r="E2520" s="4"/>
    </row>
    <row r="2521">
      <c r="D2521" s="4"/>
      <c r="E2521" s="4"/>
    </row>
    <row r="2522">
      <c r="D2522" s="4"/>
      <c r="E2522" s="4"/>
    </row>
    <row r="2523">
      <c r="D2523" s="4"/>
      <c r="E2523" s="4"/>
    </row>
    <row r="2524">
      <c r="D2524" s="4"/>
      <c r="E2524" s="4"/>
    </row>
    <row r="2525">
      <c r="D2525" s="4"/>
      <c r="E2525" s="4"/>
    </row>
    <row r="2526">
      <c r="D2526" s="4"/>
      <c r="E2526" s="4"/>
    </row>
    <row r="2527">
      <c r="D2527" s="4"/>
      <c r="E2527" s="4"/>
    </row>
    <row r="2528">
      <c r="D2528" s="4"/>
      <c r="E2528" s="4"/>
    </row>
    <row r="2529">
      <c r="D2529" s="4"/>
      <c r="E2529" s="4"/>
    </row>
    <row r="2530">
      <c r="D2530" s="4"/>
      <c r="E2530" s="4"/>
    </row>
    <row r="2531">
      <c r="D2531" s="4"/>
      <c r="E2531" s="4"/>
    </row>
    <row r="2532">
      <c r="D2532" s="4"/>
      <c r="E2532" s="4"/>
    </row>
    <row r="2533">
      <c r="D2533" s="4"/>
      <c r="E2533" s="4"/>
    </row>
    <row r="2534">
      <c r="D2534" s="4"/>
      <c r="E2534" s="4"/>
    </row>
    <row r="2535">
      <c r="D2535" s="4"/>
      <c r="E2535" s="4"/>
    </row>
    <row r="2536">
      <c r="D2536" s="4"/>
      <c r="E2536" s="4"/>
    </row>
    <row r="2537">
      <c r="D2537" s="4"/>
      <c r="E2537" s="4"/>
    </row>
    <row r="2538">
      <c r="D2538" s="4"/>
      <c r="E2538" s="4"/>
    </row>
    <row r="2539">
      <c r="D2539" s="4"/>
      <c r="E2539" s="4"/>
    </row>
    <row r="2540">
      <c r="D2540" s="4"/>
      <c r="E2540" s="4"/>
    </row>
    <row r="2541">
      <c r="D2541" s="4"/>
      <c r="E2541" s="4"/>
    </row>
    <row r="2542">
      <c r="D2542" s="4"/>
      <c r="E2542" s="4"/>
    </row>
    <row r="2543">
      <c r="D2543" s="4"/>
      <c r="E2543" s="4"/>
    </row>
    <row r="2544">
      <c r="D2544" s="4"/>
      <c r="E2544" s="4"/>
    </row>
    <row r="2545">
      <c r="D2545" s="4"/>
      <c r="E2545" s="4"/>
    </row>
    <row r="2546">
      <c r="D2546" s="4"/>
      <c r="E2546" s="4"/>
    </row>
    <row r="2547">
      <c r="D2547" s="4"/>
      <c r="E2547" s="4"/>
    </row>
    <row r="2548">
      <c r="D2548" s="4"/>
      <c r="E2548" s="4"/>
    </row>
    <row r="2549">
      <c r="D2549" s="4"/>
      <c r="E2549" s="4"/>
    </row>
    <row r="2550">
      <c r="D2550" s="4"/>
      <c r="E2550" s="4"/>
    </row>
    <row r="2551">
      <c r="D2551" s="4"/>
      <c r="E2551" s="4"/>
    </row>
    <row r="2552">
      <c r="D2552" s="4"/>
      <c r="E2552" s="4"/>
    </row>
    <row r="2553">
      <c r="D2553" s="4"/>
      <c r="E2553" s="4"/>
    </row>
    <row r="2554">
      <c r="D2554" s="4"/>
      <c r="E2554" s="4"/>
    </row>
    <row r="2555">
      <c r="D2555" s="4"/>
      <c r="E2555" s="4"/>
    </row>
    <row r="2556">
      <c r="D2556" s="4"/>
      <c r="E2556" s="4"/>
    </row>
    <row r="2557">
      <c r="D2557" s="4"/>
      <c r="E2557" s="4"/>
    </row>
    <row r="2558">
      <c r="D2558" s="4"/>
      <c r="E2558" s="4"/>
    </row>
    <row r="2559">
      <c r="D2559" s="4"/>
      <c r="E2559" s="4"/>
    </row>
    <row r="2560">
      <c r="D2560" s="4"/>
      <c r="E2560" s="4"/>
    </row>
    <row r="2561">
      <c r="D2561" s="4"/>
      <c r="E2561" s="4"/>
    </row>
    <row r="2562">
      <c r="D2562" s="4"/>
      <c r="E2562" s="4"/>
    </row>
    <row r="2563">
      <c r="D2563" s="4"/>
      <c r="E2563" s="4"/>
    </row>
    <row r="2564">
      <c r="D2564" s="4"/>
      <c r="E2564" s="4"/>
    </row>
    <row r="2565">
      <c r="D2565" s="4"/>
      <c r="E2565" s="4"/>
    </row>
    <row r="2566">
      <c r="D2566" s="4"/>
      <c r="E2566" s="4"/>
    </row>
    <row r="2567">
      <c r="D2567" s="4"/>
      <c r="E2567" s="4"/>
    </row>
    <row r="2568">
      <c r="D2568" s="4"/>
      <c r="E2568" s="4"/>
    </row>
    <row r="2569">
      <c r="D2569" s="4"/>
      <c r="E2569" s="4"/>
    </row>
    <row r="2570">
      <c r="D2570" s="4"/>
      <c r="E2570" s="4"/>
    </row>
    <row r="2571">
      <c r="D2571" s="4"/>
      <c r="E2571" s="4"/>
    </row>
    <row r="2572">
      <c r="D2572" s="4"/>
      <c r="E2572" s="4"/>
    </row>
    <row r="2573">
      <c r="D2573" s="4"/>
      <c r="E2573" s="4"/>
    </row>
    <row r="2574">
      <c r="D2574" s="4"/>
      <c r="E2574" s="4"/>
    </row>
    <row r="2575">
      <c r="D2575" s="4"/>
      <c r="E2575" s="4"/>
    </row>
    <row r="2576">
      <c r="D2576" s="4"/>
      <c r="E2576" s="4"/>
    </row>
    <row r="2577">
      <c r="D2577" s="4"/>
      <c r="E2577" s="4"/>
    </row>
    <row r="2578">
      <c r="D2578" s="4"/>
      <c r="E2578" s="4"/>
    </row>
    <row r="2579">
      <c r="D2579" s="4"/>
      <c r="E2579" s="4"/>
    </row>
    <row r="2580">
      <c r="D2580" s="4"/>
      <c r="E2580" s="4"/>
    </row>
    <row r="2581">
      <c r="D2581" s="4"/>
      <c r="E2581" s="4"/>
    </row>
    <row r="2582">
      <c r="D2582" s="4"/>
      <c r="E2582" s="4"/>
    </row>
    <row r="2583">
      <c r="D2583" s="4"/>
      <c r="E2583" s="4"/>
    </row>
    <row r="2584">
      <c r="D2584" s="4"/>
      <c r="E2584" s="4"/>
    </row>
    <row r="2585">
      <c r="D2585" s="4"/>
      <c r="E2585" s="4"/>
    </row>
    <row r="2586">
      <c r="D2586" s="4"/>
      <c r="E2586" s="4"/>
    </row>
    <row r="2587">
      <c r="D2587" s="4"/>
      <c r="E2587" s="4"/>
    </row>
    <row r="2588">
      <c r="D2588" s="4"/>
      <c r="E2588" s="4"/>
    </row>
    <row r="2589">
      <c r="D2589" s="4"/>
      <c r="E2589" s="4"/>
    </row>
    <row r="2590">
      <c r="D2590" s="4"/>
      <c r="E2590" s="4"/>
    </row>
    <row r="2591">
      <c r="D2591" s="4"/>
      <c r="E2591" s="4"/>
    </row>
    <row r="2592">
      <c r="D2592" s="4"/>
      <c r="E2592" s="4"/>
    </row>
    <row r="2593">
      <c r="D2593" s="4"/>
      <c r="E2593" s="4"/>
    </row>
    <row r="2594">
      <c r="D2594" s="4"/>
      <c r="E2594" s="4"/>
    </row>
    <row r="2595">
      <c r="D2595" s="4"/>
      <c r="E2595" s="4"/>
    </row>
    <row r="2596">
      <c r="D2596" s="4"/>
      <c r="E2596" s="4"/>
    </row>
    <row r="2597">
      <c r="D2597" s="4"/>
      <c r="E2597" s="4"/>
    </row>
    <row r="2598">
      <c r="D2598" s="4"/>
      <c r="E2598" s="4"/>
    </row>
    <row r="2599">
      <c r="D2599" s="4"/>
      <c r="E2599" s="4"/>
    </row>
    <row r="2600">
      <c r="D2600" s="4"/>
      <c r="E2600" s="4"/>
    </row>
    <row r="2601">
      <c r="D2601" s="4"/>
      <c r="E2601" s="4"/>
    </row>
    <row r="2602">
      <c r="D2602" s="4"/>
      <c r="E2602" s="4"/>
    </row>
    <row r="2603">
      <c r="D2603" s="4"/>
      <c r="E2603" s="4"/>
    </row>
    <row r="2604">
      <c r="D2604" s="4"/>
      <c r="E2604" s="4"/>
    </row>
    <row r="2605">
      <c r="D2605" s="4"/>
      <c r="E2605" s="4"/>
    </row>
    <row r="2606">
      <c r="D2606" s="4"/>
      <c r="E2606" s="4"/>
    </row>
    <row r="2607">
      <c r="D2607" s="4"/>
      <c r="E2607" s="4"/>
    </row>
    <row r="2608">
      <c r="D2608" s="4"/>
      <c r="E2608" s="4"/>
    </row>
    <row r="2609">
      <c r="D2609" s="4"/>
      <c r="E2609" s="4"/>
    </row>
    <row r="2610">
      <c r="D2610" s="4"/>
      <c r="E2610" s="4"/>
    </row>
    <row r="2611">
      <c r="D2611" s="4"/>
      <c r="E2611" s="4"/>
    </row>
    <row r="2612">
      <c r="D2612" s="4"/>
      <c r="E2612" s="4"/>
    </row>
    <row r="2613">
      <c r="D2613" s="4"/>
      <c r="E2613" s="4"/>
    </row>
    <row r="2614">
      <c r="D2614" s="4"/>
      <c r="E2614" s="4"/>
    </row>
    <row r="2615">
      <c r="D2615" s="4"/>
      <c r="E2615" s="4"/>
    </row>
    <row r="2616">
      <c r="D2616" s="4"/>
      <c r="E2616" s="4"/>
    </row>
    <row r="2617">
      <c r="D2617" s="4"/>
      <c r="E2617" s="4"/>
    </row>
    <row r="2618">
      <c r="D2618" s="4"/>
      <c r="E2618" s="4"/>
    </row>
    <row r="2619">
      <c r="D2619" s="4"/>
      <c r="E2619" s="4"/>
    </row>
    <row r="2620">
      <c r="D2620" s="4"/>
      <c r="E2620" s="4"/>
    </row>
    <row r="2621">
      <c r="D2621" s="4"/>
      <c r="E2621" s="4"/>
    </row>
    <row r="2622">
      <c r="D2622" s="4"/>
      <c r="E2622" s="4"/>
    </row>
    <row r="2623">
      <c r="D2623" s="4"/>
      <c r="E2623" s="4"/>
    </row>
    <row r="2624">
      <c r="D2624" s="4"/>
      <c r="E2624" s="4"/>
    </row>
    <row r="2625">
      <c r="D2625" s="4"/>
      <c r="E2625" s="4"/>
    </row>
    <row r="2626">
      <c r="D2626" s="4"/>
      <c r="E2626" s="4"/>
    </row>
    <row r="2627">
      <c r="D2627" s="4"/>
      <c r="E2627" s="4"/>
    </row>
    <row r="2628">
      <c r="D2628" s="4"/>
      <c r="E2628" s="4"/>
    </row>
    <row r="2629">
      <c r="D2629" s="4"/>
      <c r="E2629" s="4"/>
    </row>
    <row r="2630">
      <c r="D2630" s="4"/>
      <c r="E2630" s="4"/>
    </row>
    <row r="2631">
      <c r="D2631" s="4"/>
      <c r="E2631" s="4"/>
    </row>
    <row r="2632">
      <c r="D2632" s="4"/>
      <c r="E2632" s="4"/>
    </row>
    <row r="2633">
      <c r="D2633" s="4"/>
      <c r="E2633" s="4"/>
    </row>
    <row r="2634">
      <c r="D2634" s="4"/>
      <c r="E2634" s="4"/>
    </row>
    <row r="2635">
      <c r="D2635" s="4"/>
      <c r="E2635" s="4"/>
    </row>
    <row r="2636">
      <c r="D2636" s="4"/>
      <c r="E2636" s="4"/>
    </row>
    <row r="2637">
      <c r="D2637" s="4"/>
      <c r="E2637" s="4"/>
    </row>
    <row r="2638">
      <c r="D2638" s="4"/>
      <c r="E2638" s="4"/>
    </row>
    <row r="2639">
      <c r="D2639" s="4"/>
      <c r="E2639" s="4"/>
    </row>
    <row r="2640">
      <c r="D2640" s="4"/>
      <c r="E2640" s="4"/>
    </row>
    <row r="2641">
      <c r="D2641" s="4"/>
      <c r="E2641" s="4"/>
    </row>
    <row r="2642">
      <c r="D2642" s="4"/>
      <c r="E2642" s="4"/>
    </row>
    <row r="2643">
      <c r="D2643" s="4"/>
      <c r="E2643" s="4"/>
    </row>
    <row r="2644">
      <c r="D2644" s="4"/>
      <c r="E2644" s="4"/>
    </row>
    <row r="2645">
      <c r="D2645" s="4"/>
      <c r="E2645" s="4"/>
    </row>
    <row r="2646">
      <c r="D2646" s="4"/>
      <c r="E2646" s="4"/>
    </row>
    <row r="2647">
      <c r="D2647" s="4"/>
      <c r="E2647" s="4"/>
    </row>
    <row r="2648">
      <c r="D2648" s="4"/>
      <c r="E2648" s="4"/>
    </row>
    <row r="2649">
      <c r="D2649" s="4"/>
      <c r="E2649" s="4"/>
    </row>
    <row r="2650">
      <c r="D2650" s="4"/>
      <c r="E2650" s="4"/>
    </row>
    <row r="2651">
      <c r="D2651" s="4"/>
      <c r="E2651" s="4"/>
    </row>
    <row r="2652">
      <c r="D2652" s="4"/>
      <c r="E2652" s="4"/>
    </row>
    <row r="2653">
      <c r="D2653" s="4"/>
      <c r="E2653" s="4"/>
    </row>
    <row r="2654">
      <c r="D2654" s="4"/>
      <c r="E2654" s="4"/>
    </row>
    <row r="2655">
      <c r="D2655" s="4"/>
      <c r="E2655" s="4"/>
    </row>
    <row r="2656">
      <c r="D2656" s="4"/>
      <c r="E2656" s="4"/>
    </row>
    <row r="2657">
      <c r="D2657" s="4"/>
      <c r="E2657" s="4"/>
    </row>
    <row r="2658">
      <c r="D2658" s="4"/>
      <c r="E2658" s="4"/>
    </row>
    <row r="2659">
      <c r="D2659" s="4"/>
      <c r="E2659" s="4"/>
    </row>
    <row r="2660">
      <c r="D2660" s="4"/>
      <c r="E2660" s="4"/>
    </row>
    <row r="2661">
      <c r="D2661" s="4"/>
      <c r="E2661" s="4"/>
    </row>
    <row r="2662">
      <c r="D2662" s="4"/>
      <c r="E2662" s="4"/>
    </row>
    <row r="2663">
      <c r="D2663" s="4"/>
      <c r="E2663" s="4"/>
    </row>
    <row r="2664">
      <c r="D2664" s="4"/>
      <c r="E2664" s="4"/>
    </row>
    <row r="2665">
      <c r="D2665" s="4"/>
      <c r="E2665" s="4"/>
    </row>
    <row r="2666">
      <c r="D2666" s="4"/>
      <c r="E2666" s="4"/>
    </row>
    <row r="2667">
      <c r="D2667" s="4"/>
      <c r="E2667" s="4"/>
    </row>
    <row r="2668">
      <c r="D2668" s="4"/>
      <c r="E2668" s="4"/>
    </row>
    <row r="2669">
      <c r="D2669" s="4"/>
      <c r="E2669" s="4"/>
    </row>
    <row r="2670">
      <c r="D2670" s="4"/>
      <c r="E2670" s="4"/>
    </row>
    <row r="2671">
      <c r="D2671" s="4"/>
      <c r="E2671" s="4"/>
    </row>
    <row r="2672">
      <c r="D2672" s="4"/>
      <c r="E2672" s="4"/>
    </row>
    <row r="2673">
      <c r="D2673" s="4"/>
      <c r="E2673" s="4"/>
    </row>
    <row r="2674">
      <c r="D2674" s="4"/>
      <c r="E2674" s="4"/>
    </row>
    <row r="2675">
      <c r="D2675" s="4"/>
      <c r="E2675" s="4"/>
    </row>
    <row r="2676">
      <c r="D2676" s="4"/>
      <c r="E2676" s="4"/>
    </row>
    <row r="2677">
      <c r="D2677" s="4"/>
      <c r="E2677" s="4"/>
    </row>
    <row r="2678">
      <c r="D2678" s="4"/>
      <c r="E2678" s="4"/>
    </row>
    <row r="2679">
      <c r="D2679" s="4"/>
      <c r="E2679" s="4"/>
    </row>
    <row r="2680">
      <c r="D2680" s="4"/>
      <c r="E2680" s="4"/>
    </row>
    <row r="2681">
      <c r="D2681" s="4"/>
      <c r="E2681" s="4"/>
    </row>
    <row r="2682">
      <c r="D2682" s="4"/>
      <c r="E2682" s="4"/>
    </row>
    <row r="2683">
      <c r="D2683" s="4"/>
      <c r="E2683" s="4"/>
    </row>
    <row r="2684">
      <c r="D2684" s="4"/>
      <c r="E2684" s="4"/>
    </row>
    <row r="2685">
      <c r="D2685" s="4"/>
      <c r="E2685" s="4"/>
    </row>
    <row r="2686">
      <c r="D2686" s="4"/>
      <c r="E2686" s="4"/>
    </row>
    <row r="2687">
      <c r="D2687" s="4"/>
      <c r="E2687" s="4"/>
    </row>
    <row r="2688">
      <c r="D2688" s="4"/>
      <c r="E2688" s="4"/>
    </row>
    <row r="2689">
      <c r="D2689" s="4"/>
      <c r="E2689" s="4"/>
    </row>
    <row r="2690">
      <c r="D2690" s="4"/>
      <c r="E2690" s="4"/>
    </row>
    <row r="2691">
      <c r="D2691" s="4"/>
      <c r="E2691" s="4"/>
    </row>
    <row r="2692">
      <c r="D2692" s="4"/>
      <c r="E2692" s="4"/>
    </row>
    <row r="2693">
      <c r="D2693" s="4"/>
      <c r="E2693" s="4"/>
    </row>
    <row r="2694">
      <c r="D2694" s="4"/>
      <c r="E2694" s="4"/>
    </row>
    <row r="2695">
      <c r="D2695" s="4"/>
      <c r="E2695" s="4"/>
    </row>
    <row r="2696">
      <c r="D2696" s="4"/>
      <c r="E2696" s="4"/>
    </row>
    <row r="2697">
      <c r="D2697" s="4"/>
      <c r="E2697" s="4"/>
    </row>
    <row r="2698">
      <c r="D2698" s="4"/>
      <c r="E2698" s="4"/>
    </row>
    <row r="2699">
      <c r="D2699" s="4"/>
      <c r="E2699" s="4"/>
    </row>
    <row r="2700">
      <c r="D2700" s="4"/>
      <c r="E2700" s="4"/>
    </row>
    <row r="2701">
      <c r="D2701" s="4"/>
      <c r="E2701" s="4"/>
    </row>
    <row r="2702">
      <c r="D2702" s="4"/>
      <c r="E2702" s="4"/>
    </row>
    <row r="2703">
      <c r="D2703" s="4"/>
      <c r="E2703" s="4"/>
    </row>
    <row r="2704">
      <c r="D2704" s="4"/>
      <c r="E2704" s="4"/>
    </row>
    <row r="2705">
      <c r="D2705" s="4"/>
      <c r="E2705" s="4"/>
    </row>
    <row r="2706">
      <c r="D2706" s="4"/>
      <c r="E2706" s="4"/>
    </row>
    <row r="2707">
      <c r="D2707" s="4"/>
      <c r="E2707" s="4"/>
    </row>
    <row r="2708">
      <c r="D2708" s="4"/>
      <c r="E2708" s="4"/>
    </row>
    <row r="2709">
      <c r="D2709" s="4"/>
      <c r="E2709" s="4"/>
    </row>
    <row r="2710">
      <c r="D2710" s="4"/>
      <c r="E2710" s="4"/>
    </row>
    <row r="2711">
      <c r="D2711" s="4"/>
      <c r="E2711" s="4"/>
    </row>
    <row r="2712">
      <c r="D2712" s="4"/>
      <c r="E2712" s="4"/>
    </row>
    <row r="2713">
      <c r="D2713" s="4"/>
      <c r="E2713" s="4"/>
    </row>
    <row r="2714">
      <c r="D2714" s="4"/>
      <c r="E2714" s="4"/>
    </row>
    <row r="2715">
      <c r="D2715" s="4"/>
      <c r="E2715" s="4"/>
    </row>
    <row r="2716">
      <c r="D2716" s="4"/>
      <c r="E2716" s="4"/>
    </row>
    <row r="2717">
      <c r="D2717" s="4"/>
      <c r="E2717" s="4"/>
    </row>
    <row r="2718">
      <c r="D2718" s="4"/>
      <c r="E2718" s="4"/>
    </row>
    <row r="2719">
      <c r="D2719" s="4"/>
      <c r="E2719" s="4"/>
    </row>
    <row r="2720">
      <c r="D2720" s="4"/>
      <c r="E2720" s="4"/>
    </row>
    <row r="2721">
      <c r="D2721" s="4"/>
      <c r="E2721" s="4"/>
    </row>
    <row r="2722">
      <c r="D2722" s="4"/>
      <c r="E2722" s="4"/>
    </row>
    <row r="2723">
      <c r="D2723" s="4"/>
      <c r="E2723" s="4"/>
    </row>
    <row r="2724">
      <c r="D2724" s="4"/>
      <c r="E2724" s="4"/>
    </row>
    <row r="2725">
      <c r="D2725" s="4"/>
      <c r="E2725" s="4"/>
    </row>
    <row r="2726">
      <c r="D2726" s="4"/>
      <c r="E2726" s="4"/>
    </row>
    <row r="2727">
      <c r="D2727" s="4"/>
      <c r="E2727" s="4"/>
    </row>
    <row r="2728">
      <c r="D2728" s="4"/>
      <c r="E2728" s="4"/>
    </row>
    <row r="2729">
      <c r="D2729" s="4"/>
      <c r="E2729" s="4"/>
    </row>
    <row r="2730">
      <c r="D2730" s="4"/>
      <c r="E2730" s="4"/>
    </row>
    <row r="2731">
      <c r="D2731" s="4"/>
      <c r="E2731" s="4"/>
    </row>
    <row r="2732">
      <c r="D2732" s="4"/>
      <c r="E2732" s="4"/>
    </row>
    <row r="2733">
      <c r="D2733" s="4"/>
      <c r="E2733" s="4"/>
    </row>
    <row r="2734">
      <c r="D2734" s="4"/>
      <c r="E2734" s="4"/>
    </row>
    <row r="2735">
      <c r="D2735" s="4"/>
      <c r="E2735" s="4"/>
    </row>
    <row r="2736">
      <c r="D2736" s="4"/>
      <c r="E2736" s="4"/>
    </row>
    <row r="2737">
      <c r="D2737" s="4"/>
      <c r="E2737" s="4"/>
    </row>
    <row r="2738">
      <c r="D2738" s="4"/>
      <c r="E2738" s="4"/>
    </row>
    <row r="2739">
      <c r="D2739" s="4"/>
      <c r="E2739" s="4"/>
    </row>
    <row r="2740">
      <c r="D2740" s="4"/>
      <c r="E2740" s="4"/>
    </row>
    <row r="2741">
      <c r="D2741" s="4"/>
      <c r="E2741" s="4"/>
    </row>
    <row r="2742">
      <c r="D2742" s="4"/>
      <c r="E2742" s="4"/>
    </row>
    <row r="2743">
      <c r="D2743" s="4"/>
      <c r="E2743" s="4"/>
    </row>
    <row r="2744">
      <c r="D2744" s="4"/>
      <c r="E2744" s="4"/>
    </row>
    <row r="2745">
      <c r="D2745" s="4"/>
      <c r="E2745" s="4"/>
    </row>
    <row r="2746">
      <c r="D2746" s="4"/>
      <c r="E2746" s="4"/>
    </row>
    <row r="2747">
      <c r="D2747" s="4"/>
      <c r="E2747" s="4"/>
    </row>
    <row r="2748">
      <c r="D2748" s="4"/>
      <c r="E2748" s="4"/>
    </row>
    <row r="2749">
      <c r="D2749" s="4"/>
      <c r="E2749" s="4"/>
    </row>
    <row r="2750">
      <c r="D2750" s="4"/>
      <c r="E2750" s="4"/>
    </row>
    <row r="2751">
      <c r="D2751" s="4"/>
      <c r="E2751" s="4"/>
    </row>
    <row r="2752">
      <c r="D2752" s="4"/>
      <c r="E2752" s="4"/>
    </row>
    <row r="2753">
      <c r="D2753" s="4"/>
      <c r="E2753" s="4"/>
    </row>
    <row r="2754">
      <c r="D2754" s="4"/>
      <c r="E2754" s="4"/>
    </row>
    <row r="2755">
      <c r="D2755" s="4"/>
      <c r="E2755" s="4"/>
    </row>
    <row r="2756">
      <c r="D2756" s="4"/>
      <c r="E2756" s="4"/>
    </row>
    <row r="2757">
      <c r="D2757" s="4"/>
      <c r="E2757" s="4"/>
    </row>
    <row r="2758">
      <c r="D2758" s="4"/>
      <c r="E2758" s="4"/>
    </row>
    <row r="2759">
      <c r="D2759" s="4"/>
      <c r="E2759" s="4"/>
    </row>
    <row r="2760">
      <c r="D2760" s="4"/>
      <c r="E2760" s="4"/>
    </row>
    <row r="2761">
      <c r="D2761" s="4"/>
      <c r="E2761" s="4"/>
    </row>
    <row r="2762">
      <c r="D2762" s="4"/>
      <c r="E2762" s="4"/>
    </row>
    <row r="2763">
      <c r="D2763" s="4"/>
      <c r="E2763" s="4"/>
    </row>
    <row r="2764">
      <c r="D2764" s="4"/>
      <c r="E2764" s="4"/>
    </row>
    <row r="2765">
      <c r="D2765" s="4"/>
      <c r="E2765" s="4"/>
    </row>
    <row r="2766">
      <c r="D2766" s="4"/>
      <c r="E2766" s="4"/>
    </row>
    <row r="2767">
      <c r="D2767" s="4"/>
      <c r="E2767" s="4"/>
    </row>
    <row r="2768">
      <c r="D2768" s="4"/>
      <c r="E2768" s="4"/>
    </row>
    <row r="2769">
      <c r="D2769" s="4"/>
      <c r="E2769" s="4"/>
    </row>
    <row r="2770">
      <c r="D2770" s="4"/>
      <c r="E2770" s="4"/>
    </row>
    <row r="2771">
      <c r="D2771" s="4"/>
      <c r="E2771" s="4"/>
    </row>
    <row r="2772">
      <c r="D2772" s="4"/>
      <c r="E2772" s="4"/>
    </row>
    <row r="2773">
      <c r="D2773" s="4"/>
      <c r="E2773" s="4"/>
    </row>
    <row r="2774">
      <c r="D2774" s="4"/>
      <c r="E2774" s="4"/>
    </row>
    <row r="2775">
      <c r="D2775" s="4"/>
      <c r="E2775" s="4"/>
    </row>
    <row r="2776">
      <c r="D2776" s="4"/>
      <c r="E2776" s="4"/>
    </row>
    <row r="2777">
      <c r="D2777" s="4"/>
      <c r="E2777" s="4"/>
    </row>
    <row r="2778">
      <c r="D2778" s="4"/>
      <c r="E2778" s="4"/>
    </row>
    <row r="2779">
      <c r="D2779" s="4"/>
      <c r="E2779" s="4"/>
    </row>
    <row r="2780">
      <c r="D2780" s="4"/>
      <c r="E2780" s="4"/>
    </row>
    <row r="2781">
      <c r="D2781" s="4"/>
      <c r="E2781" s="4"/>
    </row>
    <row r="2782">
      <c r="D2782" s="4"/>
      <c r="E2782" s="4"/>
    </row>
    <row r="2783">
      <c r="D2783" s="4"/>
      <c r="E2783" s="4"/>
    </row>
    <row r="2784">
      <c r="D2784" s="4"/>
      <c r="E2784" s="4"/>
    </row>
    <row r="2785">
      <c r="D2785" s="4"/>
      <c r="E2785" s="4"/>
    </row>
    <row r="2786">
      <c r="D2786" s="4"/>
      <c r="E2786" s="4"/>
    </row>
    <row r="2787">
      <c r="D2787" s="4"/>
      <c r="E2787" s="4"/>
    </row>
    <row r="2788">
      <c r="D2788" s="4"/>
      <c r="E2788" s="4"/>
    </row>
    <row r="2789">
      <c r="D2789" s="4"/>
      <c r="E2789" s="4"/>
    </row>
    <row r="2790">
      <c r="D2790" s="4"/>
      <c r="E2790" s="4"/>
    </row>
    <row r="2791">
      <c r="D2791" s="4"/>
      <c r="E2791" s="4"/>
    </row>
    <row r="2792">
      <c r="D2792" s="4"/>
      <c r="E2792" s="4"/>
    </row>
    <row r="2793">
      <c r="D2793" s="4"/>
      <c r="E2793" s="4"/>
    </row>
    <row r="2794">
      <c r="D2794" s="4"/>
      <c r="E2794" s="4"/>
    </row>
    <row r="2795">
      <c r="D2795" s="4"/>
      <c r="E2795" s="4"/>
    </row>
    <row r="2796">
      <c r="D2796" s="4"/>
      <c r="E2796" s="4"/>
    </row>
    <row r="2797">
      <c r="D2797" s="4"/>
      <c r="E2797" s="4"/>
    </row>
    <row r="2798">
      <c r="D2798" s="4"/>
      <c r="E2798" s="4"/>
    </row>
    <row r="2799">
      <c r="D2799" s="4"/>
      <c r="E2799" s="4"/>
    </row>
    <row r="2800">
      <c r="D2800" s="4"/>
      <c r="E2800" s="4"/>
    </row>
    <row r="2801">
      <c r="D2801" s="4"/>
      <c r="E2801" s="4"/>
    </row>
    <row r="2802">
      <c r="D2802" s="4"/>
      <c r="E2802" s="4"/>
    </row>
    <row r="2803">
      <c r="D2803" s="4"/>
      <c r="E2803" s="4"/>
    </row>
    <row r="2804">
      <c r="D2804" s="4"/>
      <c r="E2804" s="4"/>
    </row>
    <row r="2805">
      <c r="D2805" s="4"/>
      <c r="E2805" s="4"/>
    </row>
    <row r="2806">
      <c r="D2806" s="4"/>
      <c r="E2806" s="4"/>
    </row>
    <row r="2807">
      <c r="D2807" s="4"/>
      <c r="E2807" s="4"/>
    </row>
    <row r="2808">
      <c r="D2808" s="4"/>
      <c r="E2808" s="4"/>
    </row>
    <row r="2809">
      <c r="D2809" s="4"/>
      <c r="E2809" s="4"/>
    </row>
    <row r="2810">
      <c r="D2810" s="4"/>
      <c r="E2810" s="4"/>
    </row>
    <row r="2811">
      <c r="D2811" s="4"/>
      <c r="E2811" s="4"/>
    </row>
    <row r="2812">
      <c r="D2812" s="4"/>
      <c r="E2812" s="4"/>
    </row>
    <row r="2813">
      <c r="D2813" s="4"/>
      <c r="E2813" s="4"/>
    </row>
    <row r="2814">
      <c r="D2814" s="4"/>
      <c r="E2814" s="4"/>
    </row>
    <row r="2815">
      <c r="D2815" s="4"/>
      <c r="E2815" s="4"/>
    </row>
    <row r="2816">
      <c r="D2816" s="4"/>
      <c r="E2816" s="4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>
        <f t="array" ref="A1:J2310">{Table1[]; Table3[]; Table5[]; Table7[]; Table9[]}</f>
        <v>1</v>
      </c>
      <c r="B1" s="1">
        <v>4.0</v>
      </c>
      <c r="C1" s="1">
        <v>0.0</v>
      </c>
      <c r="D1" s="1">
        <v>0.0</v>
      </c>
      <c r="E1" s="1">
        <v>0.0</v>
      </c>
      <c r="F1" s="1">
        <v>0.0</v>
      </c>
      <c r="G1" s="2">
        <v>0.0</v>
      </c>
      <c r="H1" s="1" t="s">
        <v>0</v>
      </c>
      <c r="I1" s="1">
        <v>0.0</v>
      </c>
      <c r="J1" s="1">
        <v>0.0</v>
      </c>
    </row>
    <row r="2">
      <c r="A2" s="1">
        <v>4.0</v>
      </c>
      <c r="B2" s="1">
        <v>16.0</v>
      </c>
      <c r="C2" s="1">
        <v>0.0</v>
      </c>
      <c r="D2" s="1">
        <v>0.0</v>
      </c>
      <c r="E2" s="1">
        <v>0.0</v>
      </c>
      <c r="F2" s="1">
        <v>0.0</v>
      </c>
      <c r="G2" s="2">
        <v>0.0</v>
      </c>
      <c r="H2" s="1" t="s">
        <v>2</v>
      </c>
      <c r="I2" s="1">
        <v>0.0</v>
      </c>
      <c r="J2" s="1">
        <v>0.0</v>
      </c>
    </row>
    <row r="3">
      <c r="A3" s="1">
        <v>1.0</v>
      </c>
      <c r="B3" s="1">
        <v>4.0</v>
      </c>
      <c r="C3" s="1">
        <v>1.0</v>
      </c>
      <c r="D3" s="1">
        <v>-4.0</v>
      </c>
      <c r="E3" s="1">
        <v>1.0</v>
      </c>
      <c r="F3" s="1">
        <v>0.0</v>
      </c>
      <c r="G3" s="2">
        <v>0.0</v>
      </c>
      <c r="H3" s="1" t="s">
        <v>2</v>
      </c>
      <c r="I3" s="1">
        <v>-4.0</v>
      </c>
      <c r="J3" s="1">
        <v>1.0</v>
      </c>
    </row>
    <row r="4">
      <c r="A4" s="1">
        <v>1.0</v>
      </c>
      <c r="B4" s="1">
        <v>4.0</v>
      </c>
      <c r="C4" s="1">
        <v>1.0</v>
      </c>
      <c r="D4" s="1">
        <v>4.0</v>
      </c>
      <c r="E4" s="1">
        <v>0.0</v>
      </c>
      <c r="F4" s="1">
        <v>0.0</v>
      </c>
      <c r="G4" s="2">
        <v>1.0</v>
      </c>
      <c r="H4" s="1" t="s">
        <v>5</v>
      </c>
      <c r="I4" s="1">
        <v>4.0</v>
      </c>
      <c r="J4" s="1">
        <v>0.0</v>
      </c>
    </row>
    <row r="5">
      <c r="A5" s="1">
        <v>4.0</v>
      </c>
      <c r="B5" s="1">
        <v>16.0</v>
      </c>
      <c r="C5" s="1">
        <v>9.0</v>
      </c>
      <c r="D5" s="1">
        <v>6.0</v>
      </c>
      <c r="E5" s="1">
        <v>0.25</v>
      </c>
      <c r="F5" s="1">
        <v>0.0</v>
      </c>
      <c r="G5" s="6">
        <v>0.778</v>
      </c>
      <c r="H5" s="1" t="s">
        <v>5</v>
      </c>
      <c r="I5" s="1">
        <v>24.0</v>
      </c>
      <c r="J5" s="1">
        <v>1.0</v>
      </c>
    </row>
    <row r="6">
      <c r="A6" s="1">
        <v>1.0</v>
      </c>
      <c r="B6" s="1">
        <v>4.0</v>
      </c>
      <c r="C6" s="1">
        <v>1.0</v>
      </c>
      <c r="D6" s="1">
        <v>4.0</v>
      </c>
      <c r="E6" s="1">
        <v>0.0</v>
      </c>
      <c r="F6" s="1">
        <v>0.0</v>
      </c>
      <c r="G6" s="2">
        <v>1.0</v>
      </c>
      <c r="H6" s="1" t="s">
        <v>8</v>
      </c>
      <c r="I6" s="1">
        <v>4.0</v>
      </c>
      <c r="J6" s="1">
        <v>0.0</v>
      </c>
    </row>
    <row r="7">
      <c r="A7" s="1">
        <v>4.0</v>
      </c>
      <c r="B7" s="1">
        <v>16.0</v>
      </c>
      <c r="C7" s="1">
        <v>3.0</v>
      </c>
      <c r="D7" s="1">
        <v>-3.0</v>
      </c>
      <c r="E7" s="1">
        <v>0.75</v>
      </c>
      <c r="F7" s="1">
        <v>0.0</v>
      </c>
      <c r="G7" s="2">
        <v>0.0</v>
      </c>
      <c r="H7" s="1" t="s">
        <v>8</v>
      </c>
      <c r="I7" s="1">
        <v>-12.0</v>
      </c>
      <c r="J7" s="1">
        <v>3.0</v>
      </c>
    </row>
    <row r="8">
      <c r="A8" s="1">
        <v>4.0</v>
      </c>
      <c r="B8" s="1">
        <v>16.0</v>
      </c>
      <c r="C8" s="1">
        <v>0.0</v>
      </c>
      <c r="D8" s="1">
        <v>0.0</v>
      </c>
      <c r="E8" s="1">
        <v>0.0</v>
      </c>
      <c r="F8" s="1">
        <v>0.0</v>
      </c>
      <c r="G8" s="2">
        <v>0.0</v>
      </c>
      <c r="H8" s="1" t="s">
        <v>11</v>
      </c>
      <c r="I8" s="1">
        <v>0.0</v>
      </c>
      <c r="J8" s="1">
        <v>0.0</v>
      </c>
    </row>
    <row r="9">
      <c r="A9" s="1">
        <v>3.0</v>
      </c>
      <c r="B9" s="1">
        <v>12.0</v>
      </c>
      <c r="C9" s="1">
        <v>0.0</v>
      </c>
      <c r="D9" s="1">
        <v>0.0</v>
      </c>
      <c r="E9" s="1">
        <v>0.0</v>
      </c>
      <c r="F9" s="1">
        <v>0.0</v>
      </c>
      <c r="G9" s="2">
        <v>0.0</v>
      </c>
      <c r="H9" s="1" t="s">
        <v>12</v>
      </c>
      <c r="I9" s="1">
        <v>0.0</v>
      </c>
      <c r="J9" s="1">
        <v>0.0</v>
      </c>
    </row>
    <row r="10">
      <c r="A10" s="1">
        <v>4.0</v>
      </c>
      <c r="B10" s="1">
        <v>16.0</v>
      </c>
      <c r="C10" s="1">
        <v>2.0</v>
      </c>
      <c r="D10" s="1">
        <v>2.0</v>
      </c>
      <c r="E10" s="1">
        <v>0.0</v>
      </c>
      <c r="F10" s="1">
        <v>0.0</v>
      </c>
      <c r="G10" s="2">
        <v>1.0</v>
      </c>
      <c r="H10" s="1" t="s">
        <v>13</v>
      </c>
      <c r="I10" s="1">
        <v>8.0</v>
      </c>
      <c r="J10" s="1">
        <v>0.0</v>
      </c>
    </row>
    <row r="11">
      <c r="A11" s="1">
        <v>1.0</v>
      </c>
      <c r="B11" s="1">
        <v>4.0</v>
      </c>
      <c r="C11" s="1">
        <v>0.0</v>
      </c>
      <c r="D11" s="1">
        <v>0.0</v>
      </c>
      <c r="E11" s="1">
        <v>0.0</v>
      </c>
      <c r="F11" s="1">
        <v>0.0</v>
      </c>
      <c r="G11" s="2">
        <v>0.0</v>
      </c>
      <c r="H11" s="1" t="s">
        <v>13</v>
      </c>
      <c r="I11" s="1">
        <v>0.0</v>
      </c>
      <c r="J11" s="1">
        <v>0.0</v>
      </c>
    </row>
    <row r="12">
      <c r="A12" s="1">
        <v>1.0</v>
      </c>
      <c r="B12" s="1">
        <v>4.0</v>
      </c>
      <c r="C12" s="1">
        <v>0.0</v>
      </c>
      <c r="D12" s="1">
        <v>0.0</v>
      </c>
      <c r="E12" s="1">
        <v>0.0</v>
      </c>
      <c r="F12" s="1">
        <v>0.0</v>
      </c>
      <c r="G12" s="2">
        <v>0.0</v>
      </c>
      <c r="H12" s="1" t="s">
        <v>15</v>
      </c>
      <c r="I12" s="1">
        <v>0.0</v>
      </c>
      <c r="J12" s="1">
        <v>0.0</v>
      </c>
    </row>
    <row r="13">
      <c r="A13" s="1">
        <v>4.0</v>
      </c>
      <c r="B13" s="1">
        <v>16.0</v>
      </c>
      <c r="C13" s="1">
        <v>0.0</v>
      </c>
      <c r="D13" s="1">
        <v>0.0</v>
      </c>
      <c r="E13" s="1">
        <v>0.0</v>
      </c>
      <c r="F13" s="1">
        <v>0.0</v>
      </c>
      <c r="G13" s="2">
        <v>0.0</v>
      </c>
      <c r="H13" s="1" t="s">
        <v>15</v>
      </c>
      <c r="I13" s="1">
        <v>0.0</v>
      </c>
      <c r="J13" s="1">
        <v>0.0</v>
      </c>
    </row>
    <row r="14">
      <c r="A14" s="1">
        <v>4.0</v>
      </c>
      <c r="B14" s="1">
        <v>16.0</v>
      </c>
      <c r="C14" s="1">
        <v>12.0</v>
      </c>
      <c r="D14" s="1">
        <v>7.0</v>
      </c>
      <c r="E14" s="1">
        <v>0.5</v>
      </c>
      <c r="F14" s="1">
        <v>0.0</v>
      </c>
      <c r="G14" s="2">
        <v>0.75</v>
      </c>
      <c r="H14" s="1" t="s">
        <v>17</v>
      </c>
      <c r="I14" s="1">
        <v>28.0</v>
      </c>
      <c r="J14" s="1">
        <v>2.0</v>
      </c>
    </row>
    <row r="15">
      <c r="A15" s="1">
        <v>1.0</v>
      </c>
      <c r="B15" s="1">
        <v>4.0</v>
      </c>
      <c r="C15" s="1">
        <v>3.0</v>
      </c>
      <c r="D15" s="1">
        <v>4.0</v>
      </c>
      <c r="E15" s="1">
        <v>1.0</v>
      </c>
      <c r="F15" s="1">
        <v>0.0</v>
      </c>
      <c r="G15" s="6">
        <v>0.667</v>
      </c>
      <c r="H15" s="1" t="s">
        <v>17</v>
      </c>
      <c r="I15" s="1">
        <v>4.0</v>
      </c>
      <c r="J15" s="1">
        <v>1.0</v>
      </c>
    </row>
    <row r="16">
      <c r="A16" s="1">
        <v>1.0</v>
      </c>
      <c r="B16" s="1">
        <v>4.0</v>
      </c>
      <c r="C16" s="1">
        <v>0.0</v>
      </c>
      <c r="D16" s="1">
        <v>0.0</v>
      </c>
      <c r="E16" s="1">
        <v>0.0</v>
      </c>
      <c r="F16" s="1">
        <v>0.0</v>
      </c>
      <c r="G16" s="2">
        <v>0.0</v>
      </c>
      <c r="H16" s="1" t="s">
        <v>20</v>
      </c>
      <c r="I16" s="1">
        <v>0.0</v>
      </c>
      <c r="J16" s="1">
        <v>0.0</v>
      </c>
    </row>
    <row r="17">
      <c r="A17" s="1">
        <v>1.0</v>
      </c>
      <c r="B17" s="1">
        <v>4.0</v>
      </c>
      <c r="C17" s="1">
        <v>0.0</v>
      </c>
      <c r="D17" s="1">
        <v>0.0</v>
      </c>
      <c r="E17" s="1">
        <v>0.0</v>
      </c>
      <c r="F17" s="1">
        <v>0.0</v>
      </c>
      <c r="G17" s="2">
        <v>0.0</v>
      </c>
      <c r="H17" s="1" t="s">
        <v>20</v>
      </c>
      <c r="I17" s="1">
        <v>0.0</v>
      </c>
      <c r="J17" s="1">
        <v>0.0</v>
      </c>
    </row>
    <row r="18">
      <c r="A18" s="1">
        <v>1.0</v>
      </c>
      <c r="B18" s="1">
        <v>4.0</v>
      </c>
      <c r="C18" s="1">
        <v>0.0</v>
      </c>
      <c r="D18" s="1">
        <v>0.0</v>
      </c>
      <c r="E18" s="1">
        <v>0.0</v>
      </c>
      <c r="F18" s="1">
        <v>0.0</v>
      </c>
      <c r="G18" s="2">
        <v>0.0</v>
      </c>
      <c r="H18" s="1" t="s">
        <v>24</v>
      </c>
      <c r="I18" s="1">
        <v>0.0</v>
      </c>
      <c r="J18" s="1">
        <v>0.0</v>
      </c>
    </row>
    <row r="19">
      <c r="A19" s="1">
        <v>1.0</v>
      </c>
      <c r="B19" s="1">
        <v>4.0</v>
      </c>
      <c r="C19" s="1">
        <v>0.0</v>
      </c>
      <c r="D19" s="1">
        <v>0.0</v>
      </c>
      <c r="E19" s="1">
        <v>0.0</v>
      </c>
      <c r="F19" s="1">
        <v>0.0</v>
      </c>
      <c r="G19" s="2">
        <v>0.0</v>
      </c>
      <c r="H19" s="1" t="s">
        <v>24</v>
      </c>
      <c r="I19" s="1">
        <v>0.0</v>
      </c>
      <c r="J19" s="1">
        <v>0.0</v>
      </c>
    </row>
    <row r="20">
      <c r="A20" s="1">
        <v>1.0</v>
      </c>
      <c r="B20" s="1">
        <v>4.0</v>
      </c>
      <c r="C20" s="1">
        <v>2.0</v>
      </c>
      <c r="D20" s="1">
        <v>8.0</v>
      </c>
      <c r="E20" s="1">
        <v>0.0</v>
      </c>
      <c r="F20" s="1">
        <v>0.0</v>
      </c>
      <c r="G20" s="2">
        <v>1.0</v>
      </c>
      <c r="H20" s="1" t="s">
        <v>29</v>
      </c>
      <c r="I20" s="1">
        <v>8.0</v>
      </c>
      <c r="J20" s="1">
        <v>0.0</v>
      </c>
    </row>
    <row r="21">
      <c r="A21" s="1">
        <v>3.0</v>
      </c>
      <c r="B21" s="1">
        <v>11.0</v>
      </c>
      <c r="C21" s="1">
        <v>4.0</v>
      </c>
      <c r="D21" s="1">
        <v>2.67</v>
      </c>
      <c r="E21" s="1">
        <v>0.33</v>
      </c>
      <c r="F21" s="1">
        <v>0.0</v>
      </c>
      <c r="G21" s="2">
        <v>0.75</v>
      </c>
      <c r="H21" s="1" t="s">
        <v>29</v>
      </c>
      <c r="I21" s="1">
        <v>8.0</v>
      </c>
      <c r="J21" s="1">
        <v>1.0</v>
      </c>
    </row>
    <row r="22">
      <c r="A22" s="1">
        <v>1.0</v>
      </c>
      <c r="B22" s="1">
        <v>4.0</v>
      </c>
      <c r="C22" s="1">
        <v>2.0</v>
      </c>
      <c r="D22" s="1">
        <v>0.0</v>
      </c>
      <c r="E22" s="1">
        <v>1.0</v>
      </c>
      <c r="F22" s="1">
        <v>0.0</v>
      </c>
      <c r="G22" s="2">
        <v>0.5</v>
      </c>
      <c r="H22" s="1" t="s">
        <v>29</v>
      </c>
      <c r="I22" s="1">
        <v>0.0</v>
      </c>
      <c r="J22" s="1">
        <v>1.0</v>
      </c>
    </row>
    <row r="23">
      <c r="A23" s="1">
        <v>2.0</v>
      </c>
      <c r="B23" s="1">
        <v>7.0</v>
      </c>
      <c r="C23" s="1">
        <v>0.0</v>
      </c>
      <c r="D23" s="1">
        <v>0.0</v>
      </c>
      <c r="E23" s="1">
        <v>0.0</v>
      </c>
      <c r="F23" s="1">
        <v>0.0</v>
      </c>
      <c r="G23" s="2">
        <v>0.0</v>
      </c>
      <c r="H23" s="1" t="s">
        <v>38</v>
      </c>
      <c r="I23" s="1">
        <v>0.0</v>
      </c>
      <c r="J23" s="1">
        <v>0.0</v>
      </c>
    </row>
    <row r="24">
      <c r="A24" s="1">
        <v>1.0</v>
      </c>
      <c r="B24" s="1">
        <v>4.0</v>
      </c>
      <c r="C24" s="1">
        <v>0.0</v>
      </c>
      <c r="D24" s="1">
        <v>0.0</v>
      </c>
      <c r="E24" s="1">
        <v>0.0</v>
      </c>
      <c r="F24" s="1">
        <v>0.0</v>
      </c>
      <c r="G24" s="2">
        <v>0.0</v>
      </c>
      <c r="H24" s="1" t="s">
        <v>38</v>
      </c>
      <c r="I24" s="1">
        <v>0.0</v>
      </c>
      <c r="J24" s="1">
        <v>0.0</v>
      </c>
    </row>
    <row r="25">
      <c r="A25" s="1">
        <v>1.0</v>
      </c>
      <c r="B25" s="1">
        <v>4.0</v>
      </c>
      <c r="C25" s="1">
        <v>1.0</v>
      </c>
      <c r="D25" s="1">
        <v>4.0</v>
      </c>
      <c r="E25" s="1">
        <v>0.0</v>
      </c>
      <c r="F25" s="1">
        <v>0.0</v>
      </c>
      <c r="G25" s="2">
        <v>1.0</v>
      </c>
      <c r="H25" s="1" t="s">
        <v>40</v>
      </c>
      <c r="I25" s="1">
        <v>4.0</v>
      </c>
      <c r="J25" s="1">
        <v>0.0</v>
      </c>
    </row>
    <row r="26">
      <c r="A26" s="1">
        <v>3.0</v>
      </c>
      <c r="B26" s="1">
        <v>11.0</v>
      </c>
      <c r="C26" s="1">
        <v>4.0</v>
      </c>
      <c r="D26" s="1">
        <v>-2.67</v>
      </c>
      <c r="E26" s="1">
        <v>0.67</v>
      </c>
      <c r="F26" s="1">
        <v>0.0</v>
      </c>
      <c r="G26" s="2">
        <v>0.0</v>
      </c>
      <c r="H26" s="1" t="s">
        <v>40</v>
      </c>
      <c r="I26" s="1">
        <v>-8.0</v>
      </c>
      <c r="J26" s="1">
        <v>2.0</v>
      </c>
    </row>
    <row r="27">
      <c r="A27" s="1">
        <v>1.0</v>
      </c>
      <c r="B27" s="1">
        <v>4.0</v>
      </c>
      <c r="C27" s="1">
        <v>1.0</v>
      </c>
      <c r="D27" s="1">
        <v>-4.0</v>
      </c>
      <c r="E27" s="1">
        <v>1.0</v>
      </c>
      <c r="F27" s="1">
        <v>0.0</v>
      </c>
      <c r="G27" s="2">
        <v>0.0</v>
      </c>
      <c r="H27" s="1" t="s">
        <v>40</v>
      </c>
      <c r="I27" s="1">
        <v>-4.0</v>
      </c>
      <c r="J27" s="1">
        <v>1.0</v>
      </c>
    </row>
    <row r="28">
      <c r="A28" s="1">
        <v>3.0</v>
      </c>
      <c r="B28" s="1">
        <v>11.0</v>
      </c>
      <c r="C28" s="1">
        <v>1.0</v>
      </c>
      <c r="D28" s="1">
        <v>1.33</v>
      </c>
      <c r="E28" s="1">
        <v>0.0</v>
      </c>
      <c r="F28" s="1">
        <v>0.0</v>
      </c>
      <c r="G28" s="2">
        <v>1.0</v>
      </c>
      <c r="H28" s="1" t="s">
        <v>46</v>
      </c>
      <c r="I28" s="1">
        <v>4.0</v>
      </c>
      <c r="J28" s="1">
        <v>0.0</v>
      </c>
    </row>
    <row r="29">
      <c r="A29" s="1">
        <v>1.0</v>
      </c>
      <c r="B29" s="1">
        <v>4.0</v>
      </c>
      <c r="C29" s="1">
        <v>0.0</v>
      </c>
      <c r="D29" s="1">
        <v>0.0</v>
      </c>
      <c r="E29" s="1">
        <v>0.0</v>
      </c>
      <c r="F29" s="1">
        <v>0.0</v>
      </c>
      <c r="G29" s="2">
        <v>0.0</v>
      </c>
      <c r="H29" s="1" t="s">
        <v>46</v>
      </c>
      <c r="I29" s="1">
        <v>0.0</v>
      </c>
      <c r="J29" s="1">
        <v>0.0</v>
      </c>
    </row>
    <row r="30">
      <c r="A30" s="1">
        <v>1.0</v>
      </c>
      <c r="B30" s="1">
        <v>4.0</v>
      </c>
      <c r="C30" s="1">
        <v>0.0</v>
      </c>
      <c r="D30" s="1">
        <v>0.0</v>
      </c>
      <c r="E30" s="1">
        <v>0.0</v>
      </c>
      <c r="F30" s="1">
        <v>0.0</v>
      </c>
      <c r="G30" s="2">
        <v>0.0</v>
      </c>
      <c r="H30" s="1" t="s">
        <v>46</v>
      </c>
      <c r="I30" s="1">
        <v>0.0</v>
      </c>
      <c r="J30" s="1">
        <v>0.0</v>
      </c>
    </row>
    <row r="31">
      <c r="A31" s="1">
        <v>4.0</v>
      </c>
      <c r="B31" s="1">
        <v>16.0</v>
      </c>
      <c r="C31" s="1">
        <v>0.0</v>
      </c>
      <c r="D31" s="1">
        <v>0.0</v>
      </c>
      <c r="E31" s="1">
        <v>0.0</v>
      </c>
      <c r="F31" s="1">
        <v>0.0</v>
      </c>
      <c r="G31" s="2">
        <v>0.0</v>
      </c>
      <c r="H31" s="1" t="s">
        <v>51</v>
      </c>
      <c r="I31" s="1">
        <v>0.0</v>
      </c>
      <c r="J31" s="1">
        <v>0.0</v>
      </c>
    </row>
    <row r="32">
      <c r="A32" s="1">
        <v>5.0</v>
      </c>
      <c r="B32" s="1">
        <v>20.0</v>
      </c>
      <c r="C32" s="1">
        <v>2.0</v>
      </c>
      <c r="D32" s="1">
        <v>0.8</v>
      </c>
      <c r="E32" s="1">
        <v>0.0</v>
      </c>
      <c r="F32" s="1">
        <v>0.0</v>
      </c>
      <c r="G32" s="2">
        <v>0.5</v>
      </c>
      <c r="H32" s="1" t="s">
        <v>54</v>
      </c>
      <c r="I32" s="1">
        <v>4.0</v>
      </c>
      <c r="J32" s="1">
        <v>0.0</v>
      </c>
    </row>
    <row r="33">
      <c r="A33" s="1">
        <v>1.0</v>
      </c>
      <c r="B33" s="1">
        <v>4.0</v>
      </c>
      <c r="C33" s="1">
        <v>0.0</v>
      </c>
      <c r="D33" s="1">
        <v>0.0</v>
      </c>
      <c r="E33" s="1">
        <v>0.0</v>
      </c>
      <c r="F33" s="1">
        <v>0.0</v>
      </c>
      <c r="G33" s="2">
        <v>0.0</v>
      </c>
      <c r="H33" s="1" t="s">
        <v>55</v>
      </c>
      <c r="I33" s="1">
        <v>0.0</v>
      </c>
      <c r="J33" s="1">
        <v>0.0</v>
      </c>
    </row>
    <row r="34">
      <c r="A34" s="1">
        <v>1.0</v>
      </c>
      <c r="B34" s="1">
        <v>4.0</v>
      </c>
      <c r="C34" s="1">
        <v>1.0</v>
      </c>
      <c r="D34" s="1">
        <v>0.0</v>
      </c>
      <c r="E34" s="1">
        <v>0.0</v>
      </c>
      <c r="F34" s="1">
        <v>0.0</v>
      </c>
      <c r="G34" s="2">
        <v>0.0</v>
      </c>
      <c r="H34" s="1" t="s">
        <v>55</v>
      </c>
      <c r="I34" s="1">
        <v>0.0</v>
      </c>
      <c r="J34" s="1">
        <v>0.0</v>
      </c>
    </row>
    <row r="35">
      <c r="A35" s="1">
        <v>5.0</v>
      </c>
      <c r="B35" s="1">
        <v>20.0</v>
      </c>
      <c r="C35" s="1">
        <v>7.0</v>
      </c>
      <c r="D35" s="1">
        <v>3.2</v>
      </c>
      <c r="E35" s="1">
        <v>0.0</v>
      </c>
      <c r="F35" s="1">
        <v>0.0</v>
      </c>
      <c r="G35" s="6">
        <v>0.571</v>
      </c>
      <c r="H35" s="1" t="s">
        <v>59</v>
      </c>
      <c r="I35" s="1">
        <v>16.0</v>
      </c>
      <c r="J35" s="1">
        <v>0.0</v>
      </c>
    </row>
    <row r="36">
      <c r="A36" s="1">
        <v>4.0</v>
      </c>
      <c r="B36" s="1">
        <v>16.0</v>
      </c>
      <c r="C36" s="1">
        <v>0.0</v>
      </c>
      <c r="D36" s="1">
        <v>0.0</v>
      </c>
      <c r="E36" s="1">
        <v>0.0</v>
      </c>
      <c r="F36" s="1">
        <v>0.0</v>
      </c>
      <c r="G36" s="2">
        <v>0.0</v>
      </c>
      <c r="H36" s="1" t="s">
        <v>61</v>
      </c>
      <c r="I36" s="1">
        <v>0.0</v>
      </c>
      <c r="J36" s="1">
        <v>0.0</v>
      </c>
    </row>
    <row r="37">
      <c r="A37" s="1">
        <v>1.0</v>
      </c>
      <c r="B37" s="1">
        <v>4.0</v>
      </c>
      <c r="C37" s="1">
        <v>0.0</v>
      </c>
      <c r="D37" s="1">
        <v>0.0</v>
      </c>
      <c r="E37" s="1">
        <v>0.0</v>
      </c>
      <c r="F37" s="1">
        <v>0.0</v>
      </c>
      <c r="G37" s="2">
        <v>0.0</v>
      </c>
      <c r="H37" s="1" t="s">
        <v>61</v>
      </c>
      <c r="I37" s="1">
        <v>0.0</v>
      </c>
      <c r="J37" s="1">
        <v>0.0</v>
      </c>
    </row>
    <row r="38">
      <c r="A38" s="1">
        <v>2.0</v>
      </c>
      <c r="B38" s="1">
        <v>8.0</v>
      </c>
      <c r="C38" s="1">
        <v>0.0</v>
      </c>
      <c r="D38" s="1">
        <v>0.0</v>
      </c>
      <c r="E38" s="1">
        <v>0.0</v>
      </c>
      <c r="F38" s="1">
        <v>0.0</v>
      </c>
      <c r="G38" s="2">
        <v>0.0</v>
      </c>
      <c r="H38" s="1" t="s">
        <v>65</v>
      </c>
      <c r="I38" s="1">
        <v>0.0</v>
      </c>
      <c r="J38" s="1">
        <v>0.0</v>
      </c>
    </row>
    <row r="39">
      <c r="A39" s="1">
        <v>5.0</v>
      </c>
      <c r="B39" s="1">
        <v>20.0</v>
      </c>
      <c r="C39" s="1">
        <v>13.0</v>
      </c>
      <c r="D39" s="1">
        <v>6.4</v>
      </c>
      <c r="E39" s="1">
        <v>0.2</v>
      </c>
      <c r="F39" s="1">
        <v>0.0</v>
      </c>
      <c r="G39" s="6">
        <v>0.692</v>
      </c>
      <c r="H39" s="1" t="s">
        <v>68</v>
      </c>
      <c r="I39" s="1">
        <v>32.0</v>
      </c>
      <c r="J39" s="1">
        <v>1.0</v>
      </c>
    </row>
    <row r="40">
      <c r="A40" s="1">
        <v>5.0</v>
      </c>
      <c r="B40" s="1">
        <v>20.0</v>
      </c>
      <c r="C40" s="1">
        <v>1.0</v>
      </c>
      <c r="D40" s="1">
        <v>0.8</v>
      </c>
      <c r="E40" s="1">
        <v>0.0</v>
      </c>
      <c r="F40" s="1">
        <v>0.0</v>
      </c>
      <c r="G40" s="2">
        <v>1.0</v>
      </c>
      <c r="H40" s="1" t="s">
        <v>71</v>
      </c>
      <c r="I40" s="1">
        <v>4.0</v>
      </c>
      <c r="J40" s="1">
        <v>0.0</v>
      </c>
    </row>
    <row r="41">
      <c r="A41" s="1">
        <v>2.0</v>
      </c>
      <c r="B41" s="1">
        <v>8.0</v>
      </c>
      <c r="C41" s="1">
        <v>0.0</v>
      </c>
      <c r="D41" s="1">
        <v>0.0</v>
      </c>
      <c r="E41" s="1">
        <v>0.0</v>
      </c>
      <c r="F41" s="1">
        <v>0.0</v>
      </c>
      <c r="G41" s="2">
        <v>0.0</v>
      </c>
      <c r="H41" s="1" t="s">
        <v>73</v>
      </c>
      <c r="I41" s="1">
        <v>0.0</v>
      </c>
      <c r="J41" s="1">
        <v>0.0</v>
      </c>
    </row>
    <row r="42">
      <c r="A42" s="1">
        <v>1.0</v>
      </c>
      <c r="B42" s="1">
        <v>4.0</v>
      </c>
      <c r="C42" s="1">
        <v>0.0</v>
      </c>
      <c r="D42" s="1">
        <v>0.0</v>
      </c>
      <c r="E42" s="1">
        <v>0.0</v>
      </c>
      <c r="F42" s="1">
        <v>0.0</v>
      </c>
      <c r="G42" s="2">
        <v>0.0</v>
      </c>
      <c r="H42" s="1" t="s">
        <v>73</v>
      </c>
      <c r="I42" s="1">
        <v>0.0</v>
      </c>
      <c r="J42" s="1">
        <v>0.0</v>
      </c>
    </row>
    <row r="43">
      <c r="A43" s="1">
        <v>4.0</v>
      </c>
      <c r="B43" s="1">
        <v>16.0</v>
      </c>
      <c r="C43" s="1">
        <v>4.0</v>
      </c>
      <c r="D43" s="1">
        <v>1.0</v>
      </c>
      <c r="E43" s="1">
        <v>0.0</v>
      </c>
      <c r="F43" s="1">
        <v>0.0</v>
      </c>
      <c r="G43" s="2">
        <v>0.25</v>
      </c>
      <c r="H43" s="1" t="s">
        <v>75</v>
      </c>
      <c r="I43" s="1">
        <v>4.0</v>
      </c>
      <c r="J43" s="1">
        <v>0.0</v>
      </c>
    </row>
    <row r="44">
      <c r="A44" s="1">
        <v>1.0</v>
      </c>
      <c r="B44" s="1">
        <v>4.0</v>
      </c>
      <c r="C44" s="1">
        <v>0.0</v>
      </c>
      <c r="D44" s="1">
        <v>0.0</v>
      </c>
      <c r="E44" s="1">
        <v>0.0</v>
      </c>
      <c r="F44" s="1">
        <v>0.0</v>
      </c>
      <c r="G44" s="2">
        <v>0.0</v>
      </c>
      <c r="H44" s="1" t="s">
        <v>75</v>
      </c>
      <c r="I44" s="1">
        <v>0.0</v>
      </c>
      <c r="J44" s="1">
        <v>0.0</v>
      </c>
    </row>
    <row r="45">
      <c r="A45" s="1">
        <v>1.0</v>
      </c>
      <c r="B45" s="1">
        <v>4.0</v>
      </c>
      <c r="C45" s="1">
        <v>0.0</v>
      </c>
      <c r="D45" s="1">
        <v>0.0</v>
      </c>
      <c r="E45" s="1">
        <v>0.0</v>
      </c>
      <c r="F45" s="1">
        <v>0.0</v>
      </c>
      <c r="G45" s="2">
        <v>0.0</v>
      </c>
      <c r="H45" s="1" t="s">
        <v>79</v>
      </c>
      <c r="I45" s="1">
        <v>0.0</v>
      </c>
      <c r="J45" s="1">
        <v>0.0</v>
      </c>
    </row>
    <row r="46">
      <c r="A46" s="1">
        <v>2.0</v>
      </c>
      <c r="B46" s="1">
        <v>8.0</v>
      </c>
      <c r="C46" s="1">
        <v>0.0</v>
      </c>
      <c r="D46" s="1">
        <v>0.0</v>
      </c>
      <c r="E46" s="1">
        <v>0.0</v>
      </c>
      <c r="F46" s="1">
        <v>0.0</v>
      </c>
      <c r="G46" s="2">
        <v>0.0</v>
      </c>
      <c r="H46" s="1" t="s">
        <v>79</v>
      </c>
      <c r="I46" s="1">
        <v>0.0</v>
      </c>
      <c r="J46" s="1">
        <v>0.0</v>
      </c>
    </row>
    <row r="47">
      <c r="A47" s="1">
        <v>1.0</v>
      </c>
      <c r="B47" s="1">
        <v>4.0</v>
      </c>
      <c r="C47" s="1">
        <v>0.0</v>
      </c>
      <c r="D47" s="1">
        <v>0.0</v>
      </c>
      <c r="E47" s="1">
        <v>0.0</v>
      </c>
      <c r="F47" s="1">
        <v>0.0</v>
      </c>
      <c r="G47" s="2">
        <v>0.0</v>
      </c>
      <c r="H47" s="1" t="s">
        <v>79</v>
      </c>
      <c r="I47" s="1">
        <v>0.0</v>
      </c>
      <c r="J47" s="1">
        <v>0.0</v>
      </c>
    </row>
    <row r="48">
      <c r="A48" s="1">
        <v>1.0</v>
      </c>
      <c r="B48" s="1">
        <v>4.0</v>
      </c>
      <c r="C48" s="1">
        <v>0.0</v>
      </c>
      <c r="D48" s="1">
        <v>0.0</v>
      </c>
      <c r="E48" s="1">
        <v>0.0</v>
      </c>
      <c r="F48" s="1">
        <v>0.0</v>
      </c>
      <c r="G48" s="2">
        <v>0.0</v>
      </c>
      <c r="H48" s="1" t="s">
        <v>79</v>
      </c>
      <c r="I48" s="1">
        <v>0.0</v>
      </c>
      <c r="J48" s="1">
        <v>0.0</v>
      </c>
    </row>
    <row r="49">
      <c r="A49" s="1">
        <v>1.0</v>
      </c>
      <c r="B49" s="1">
        <v>4.0</v>
      </c>
      <c r="C49" s="1">
        <v>0.0</v>
      </c>
      <c r="D49" s="1">
        <v>0.0</v>
      </c>
      <c r="E49" s="1">
        <v>0.0</v>
      </c>
      <c r="F49" s="1">
        <v>0.0</v>
      </c>
      <c r="G49" s="2">
        <v>0.0</v>
      </c>
      <c r="H49" s="1" t="s">
        <v>85</v>
      </c>
      <c r="I49" s="1">
        <v>0.0</v>
      </c>
      <c r="J49" s="1">
        <v>0.0</v>
      </c>
    </row>
    <row r="50">
      <c r="A50" s="1">
        <v>1.0</v>
      </c>
      <c r="B50" s="1">
        <v>4.0</v>
      </c>
      <c r="C50" s="1">
        <v>2.0</v>
      </c>
      <c r="D50" s="1">
        <v>0.0</v>
      </c>
      <c r="E50" s="1">
        <v>1.0</v>
      </c>
      <c r="F50" s="1">
        <v>0.0</v>
      </c>
      <c r="G50" s="2">
        <v>0.5</v>
      </c>
      <c r="H50" s="1" t="s">
        <v>88</v>
      </c>
      <c r="I50" s="1">
        <v>0.0</v>
      </c>
      <c r="J50" s="1">
        <v>1.0</v>
      </c>
    </row>
    <row r="51">
      <c r="A51" s="1">
        <v>2.0</v>
      </c>
      <c r="B51" s="1">
        <v>8.0</v>
      </c>
      <c r="C51" s="1">
        <v>5.0</v>
      </c>
      <c r="D51" s="1">
        <v>-10.0</v>
      </c>
      <c r="E51" s="1">
        <v>2.5</v>
      </c>
      <c r="F51" s="1">
        <v>0.0</v>
      </c>
      <c r="G51" s="2">
        <v>0.0</v>
      </c>
      <c r="H51" s="1" t="s">
        <v>88</v>
      </c>
      <c r="I51" s="1">
        <v>-20.0</v>
      </c>
      <c r="J51" s="1">
        <v>5.0</v>
      </c>
    </row>
    <row r="52">
      <c r="A52" s="1">
        <v>1.0</v>
      </c>
      <c r="B52" s="1">
        <v>4.0</v>
      </c>
      <c r="C52" s="1">
        <v>1.0</v>
      </c>
      <c r="D52" s="1">
        <v>4.0</v>
      </c>
      <c r="E52" s="1">
        <v>0.0</v>
      </c>
      <c r="F52" s="1">
        <v>0.0</v>
      </c>
      <c r="G52" s="2">
        <v>1.0</v>
      </c>
      <c r="H52" s="1" t="s">
        <v>76</v>
      </c>
      <c r="I52" s="1">
        <v>4.0</v>
      </c>
      <c r="J52" s="1">
        <v>0.0</v>
      </c>
    </row>
    <row r="53">
      <c r="A53" s="1">
        <v>4.0</v>
      </c>
      <c r="B53" s="1">
        <v>16.0</v>
      </c>
      <c r="C53" s="1">
        <v>0.0</v>
      </c>
      <c r="D53" s="1">
        <v>0.0</v>
      </c>
      <c r="E53" s="1">
        <v>0.0</v>
      </c>
      <c r="F53" s="1">
        <v>0.0</v>
      </c>
      <c r="G53" s="2">
        <v>0.0</v>
      </c>
      <c r="H53" s="1" t="s">
        <v>92</v>
      </c>
      <c r="I53" s="1">
        <v>0.0</v>
      </c>
      <c r="J53" s="1">
        <v>0.0</v>
      </c>
    </row>
    <row r="54">
      <c r="A54" s="1">
        <v>3.0</v>
      </c>
      <c r="B54" s="1">
        <v>12.0</v>
      </c>
      <c r="C54" s="1">
        <v>0.0</v>
      </c>
      <c r="D54" s="1">
        <v>0.0</v>
      </c>
      <c r="E54" s="1">
        <v>0.0</v>
      </c>
      <c r="F54" s="1">
        <v>0.0</v>
      </c>
      <c r="G54" s="2">
        <v>0.0</v>
      </c>
      <c r="H54" s="1" t="s">
        <v>94</v>
      </c>
      <c r="I54" s="1">
        <v>0.0</v>
      </c>
      <c r="J54" s="1">
        <v>0.0</v>
      </c>
    </row>
    <row r="55">
      <c r="A55" s="1">
        <v>1.0</v>
      </c>
      <c r="B55" s="1">
        <v>4.0</v>
      </c>
      <c r="C55" s="1">
        <v>0.0</v>
      </c>
      <c r="D55" s="1">
        <v>0.0</v>
      </c>
      <c r="E55" s="1">
        <v>0.0</v>
      </c>
      <c r="F55" s="1">
        <v>0.0</v>
      </c>
      <c r="G55" s="2">
        <v>0.0</v>
      </c>
      <c r="H55" s="1" t="s">
        <v>96</v>
      </c>
      <c r="I55" s="1">
        <v>0.0</v>
      </c>
      <c r="J55" s="1">
        <v>0.0</v>
      </c>
    </row>
    <row r="56">
      <c r="A56" s="1">
        <v>4.0</v>
      </c>
      <c r="B56" s="1">
        <v>16.0</v>
      </c>
      <c r="C56" s="1">
        <v>1.0</v>
      </c>
      <c r="D56" s="1">
        <v>-1.0</v>
      </c>
      <c r="E56" s="1">
        <v>0.25</v>
      </c>
      <c r="F56" s="1">
        <v>0.0</v>
      </c>
      <c r="G56" s="2">
        <v>0.0</v>
      </c>
      <c r="H56" s="1" t="s">
        <v>96</v>
      </c>
      <c r="I56" s="1">
        <v>-4.0</v>
      </c>
      <c r="J56" s="1">
        <v>1.0</v>
      </c>
    </row>
    <row r="57">
      <c r="A57" s="1">
        <v>5.0</v>
      </c>
      <c r="B57" s="1">
        <v>20.0</v>
      </c>
      <c r="C57" s="1">
        <v>14.0</v>
      </c>
      <c r="D57" s="1">
        <v>9.6</v>
      </c>
      <c r="E57" s="1">
        <v>0.2</v>
      </c>
      <c r="F57" s="1">
        <v>0.0</v>
      </c>
      <c r="G57" s="6">
        <v>0.929</v>
      </c>
      <c r="H57" s="1" t="s">
        <v>90</v>
      </c>
      <c r="I57" s="1">
        <v>48.0</v>
      </c>
      <c r="J57" s="1">
        <v>1.0</v>
      </c>
    </row>
    <row r="58">
      <c r="A58" s="1">
        <v>4.0</v>
      </c>
      <c r="B58" s="1">
        <v>16.0</v>
      </c>
      <c r="C58" s="1">
        <v>1.0</v>
      </c>
      <c r="D58" s="1">
        <v>1.0</v>
      </c>
      <c r="E58" s="1">
        <v>0.0</v>
      </c>
      <c r="F58" s="1">
        <v>0.0</v>
      </c>
      <c r="G58" s="2">
        <v>1.0</v>
      </c>
      <c r="H58" s="1" t="s">
        <v>100</v>
      </c>
      <c r="I58" s="1">
        <v>4.0</v>
      </c>
      <c r="J58" s="1">
        <v>0.0</v>
      </c>
    </row>
    <row r="59">
      <c r="A59" s="1">
        <v>1.0</v>
      </c>
      <c r="B59" s="1">
        <v>4.0</v>
      </c>
      <c r="C59" s="1">
        <v>1.0</v>
      </c>
      <c r="D59" s="1">
        <v>4.0</v>
      </c>
      <c r="E59" s="1">
        <v>0.0</v>
      </c>
      <c r="F59" s="1">
        <v>0.0</v>
      </c>
      <c r="G59" s="2">
        <v>1.0</v>
      </c>
      <c r="H59" s="1" t="s">
        <v>102</v>
      </c>
      <c r="I59" s="1">
        <v>4.0</v>
      </c>
      <c r="J59" s="1">
        <v>0.0</v>
      </c>
    </row>
    <row r="60">
      <c r="A60" s="1">
        <v>1.0</v>
      </c>
      <c r="B60" s="1">
        <v>4.0</v>
      </c>
      <c r="C60" s="1">
        <v>0.0</v>
      </c>
      <c r="D60" s="1">
        <v>0.0</v>
      </c>
      <c r="E60" s="1">
        <v>0.0</v>
      </c>
      <c r="F60" s="1">
        <v>0.0</v>
      </c>
      <c r="G60" s="2">
        <v>0.0</v>
      </c>
      <c r="H60" s="1" t="s">
        <v>102</v>
      </c>
      <c r="I60" s="1">
        <v>0.0</v>
      </c>
      <c r="J60" s="1">
        <v>0.0</v>
      </c>
    </row>
    <row r="61">
      <c r="A61" s="1">
        <v>5.0</v>
      </c>
      <c r="B61" s="1">
        <v>20.0</v>
      </c>
      <c r="C61" s="1">
        <v>4.0</v>
      </c>
      <c r="D61" s="1">
        <v>1.6</v>
      </c>
      <c r="E61" s="1">
        <v>0.2</v>
      </c>
      <c r="F61" s="1">
        <v>0.0</v>
      </c>
      <c r="G61" s="2">
        <v>0.75</v>
      </c>
      <c r="H61" s="1" t="s">
        <v>66</v>
      </c>
      <c r="I61" s="1">
        <v>8.0</v>
      </c>
      <c r="J61" s="1">
        <v>1.0</v>
      </c>
    </row>
    <row r="62">
      <c r="A62" s="1">
        <v>2.0</v>
      </c>
      <c r="B62" s="1">
        <v>8.0</v>
      </c>
      <c r="C62" s="1">
        <v>1.0</v>
      </c>
      <c r="D62" s="1">
        <v>0.0</v>
      </c>
      <c r="E62" s="1">
        <v>0.0</v>
      </c>
      <c r="F62" s="1">
        <v>0.0</v>
      </c>
      <c r="G62" s="2">
        <v>0.0</v>
      </c>
      <c r="H62" s="1" t="s">
        <v>108</v>
      </c>
      <c r="I62" s="1">
        <v>0.0</v>
      </c>
      <c r="J62" s="1">
        <v>0.0</v>
      </c>
    </row>
    <row r="63">
      <c r="A63" s="1">
        <v>2.0</v>
      </c>
      <c r="B63" s="1">
        <v>8.0</v>
      </c>
      <c r="C63" s="1">
        <v>3.0</v>
      </c>
      <c r="D63" s="1">
        <v>6.0</v>
      </c>
      <c r="E63" s="1">
        <v>0.0</v>
      </c>
      <c r="F63" s="1">
        <v>0.0</v>
      </c>
      <c r="G63" s="2">
        <v>1.0</v>
      </c>
      <c r="H63" s="1" t="s">
        <v>109</v>
      </c>
      <c r="I63" s="1">
        <v>12.0</v>
      </c>
      <c r="J63" s="1">
        <v>0.0</v>
      </c>
    </row>
    <row r="64">
      <c r="A64" s="1">
        <v>1.0</v>
      </c>
      <c r="B64" s="1">
        <v>4.0</v>
      </c>
      <c r="C64" s="1">
        <v>0.0</v>
      </c>
      <c r="D64" s="1">
        <v>0.0</v>
      </c>
      <c r="E64" s="1">
        <v>0.0</v>
      </c>
      <c r="F64" s="1">
        <v>0.0</v>
      </c>
      <c r="G64" s="2">
        <v>0.0</v>
      </c>
      <c r="H64" s="1" t="s">
        <v>110</v>
      </c>
      <c r="I64" s="1">
        <v>0.0</v>
      </c>
      <c r="J64" s="1">
        <v>0.0</v>
      </c>
    </row>
    <row r="65">
      <c r="A65" s="1">
        <v>2.0</v>
      </c>
      <c r="B65" s="1">
        <v>8.0</v>
      </c>
      <c r="C65" s="1">
        <v>2.0</v>
      </c>
      <c r="D65" s="1">
        <v>2.0</v>
      </c>
      <c r="E65" s="1">
        <v>0.0</v>
      </c>
      <c r="F65" s="1">
        <v>0.0</v>
      </c>
      <c r="G65" s="2">
        <v>0.5</v>
      </c>
      <c r="H65" s="1" t="s">
        <v>111</v>
      </c>
      <c r="I65" s="1">
        <v>4.0</v>
      </c>
      <c r="J65" s="1">
        <v>0.0</v>
      </c>
    </row>
    <row r="66">
      <c r="A66" s="1">
        <v>2.0</v>
      </c>
      <c r="B66" s="1">
        <v>8.0</v>
      </c>
      <c r="C66" s="1">
        <v>2.0</v>
      </c>
      <c r="D66" s="1">
        <v>0.0</v>
      </c>
      <c r="E66" s="1">
        <v>0.0</v>
      </c>
      <c r="F66" s="1">
        <v>0.0</v>
      </c>
      <c r="G66" s="2">
        <v>0.0</v>
      </c>
      <c r="H66" s="1" t="s">
        <v>111</v>
      </c>
      <c r="I66" s="1">
        <v>0.0</v>
      </c>
      <c r="J66" s="1">
        <v>0.0</v>
      </c>
    </row>
    <row r="67">
      <c r="A67" s="1">
        <v>1.0</v>
      </c>
      <c r="B67" s="1">
        <v>4.0</v>
      </c>
      <c r="C67" s="1">
        <v>1.0</v>
      </c>
      <c r="D67" s="1">
        <v>0.0</v>
      </c>
      <c r="E67" s="1">
        <v>0.0</v>
      </c>
      <c r="F67" s="1">
        <v>0.0</v>
      </c>
      <c r="G67" s="2">
        <v>0.0</v>
      </c>
      <c r="H67" s="1" t="s">
        <v>111</v>
      </c>
      <c r="I67" s="1">
        <v>0.0</v>
      </c>
      <c r="J67" s="1">
        <v>0.0</v>
      </c>
    </row>
    <row r="68">
      <c r="A68" s="1">
        <v>2.0</v>
      </c>
      <c r="B68" s="1">
        <v>8.0</v>
      </c>
      <c r="C68" s="1">
        <v>1.0</v>
      </c>
      <c r="D68" s="1">
        <v>2.0</v>
      </c>
      <c r="E68" s="1">
        <v>0.0</v>
      </c>
      <c r="F68" s="1">
        <v>0.0</v>
      </c>
      <c r="G68" s="2">
        <v>1.0</v>
      </c>
      <c r="H68" s="1" t="s">
        <v>115</v>
      </c>
      <c r="I68" s="1">
        <v>4.0</v>
      </c>
      <c r="J68" s="1">
        <v>0.0</v>
      </c>
    </row>
    <row r="69">
      <c r="A69" s="1">
        <v>3.0</v>
      </c>
      <c r="B69" s="1">
        <v>12.0</v>
      </c>
      <c r="C69" s="1">
        <v>1.0</v>
      </c>
      <c r="D69" s="1">
        <v>0.0</v>
      </c>
      <c r="E69" s="1">
        <v>0.0</v>
      </c>
      <c r="F69" s="1">
        <v>0.0</v>
      </c>
      <c r="G69" s="2">
        <v>0.0</v>
      </c>
      <c r="H69" s="1" t="s">
        <v>115</v>
      </c>
      <c r="I69" s="1">
        <v>0.0</v>
      </c>
      <c r="J69" s="1">
        <v>0.0</v>
      </c>
    </row>
    <row r="70">
      <c r="A70" s="1">
        <v>2.0</v>
      </c>
      <c r="B70" s="1">
        <v>8.0</v>
      </c>
      <c r="C70" s="1">
        <v>0.0</v>
      </c>
      <c r="D70" s="1">
        <v>0.0</v>
      </c>
      <c r="E70" s="1">
        <v>0.0</v>
      </c>
      <c r="F70" s="1">
        <v>0.0</v>
      </c>
      <c r="G70" s="2">
        <v>0.0</v>
      </c>
      <c r="H70" s="1" t="s">
        <v>117</v>
      </c>
      <c r="I70" s="1">
        <v>0.0</v>
      </c>
      <c r="J70" s="1">
        <v>0.0</v>
      </c>
    </row>
    <row r="71">
      <c r="A71" s="1">
        <v>1.0</v>
      </c>
      <c r="B71" s="1">
        <v>4.0</v>
      </c>
      <c r="C71" s="1">
        <v>0.0</v>
      </c>
      <c r="D71" s="1">
        <v>0.0</v>
      </c>
      <c r="E71" s="1">
        <v>0.0</v>
      </c>
      <c r="F71" s="1">
        <v>0.0</v>
      </c>
      <c r="G71" s="2">
        <v>0.0</v>
      </c>
      <c r="H71" s="1" t="s">
        <v>117</v>
      </c>
      <c r="I71" s="1">
        <v>0.0</v>
      </c>
      <c r="J71" s="1">
        <v>0.0</v>
      </c>
    </row>
    <row r="72">
      <c r="A72" s="1">
        <v>1.0</v>
      </c>
      <c r="B72" s="1">
        <v>4.0</v>
      </c>
      <c r="C72" s="1">
        <v>0.0</v>
      </c>
      <c r="D72" s="1">
        <v>0.0</v>
      </c>
      <c r="E72" s="1">
        <v>0.0</v>
      </c>
      <c r="F72" s="1">
        <v>0.0</v>
      </c>
      <c r="G72" s="2">
        <v>0.0</v>
      </c>
      <c r="H72" s="1" t="s">
        <v>117</v>
      </c>
      <c r="I72" s="1">
        <v>0.0</v>
      </c>
      <c r="J72" s="1">
        <v>0.0</v>
      </c>
    </row>
    <row r="73">
      <c r="A73" s="1">
        <v>1.0</v>
      </c>
      <c r="B73" s="1">
        <v>4.0</v>
      </c>
      <c r="C73" s="1">
        <v>0.0</v>
      </c>
      <c r="D73" s="1">
        <v>0.0</v>
      </c>
      <c r="E73" s="1">
        <v>0.0</v>
      </c>
      <c r="F73" s="1">
        <v>0.0</v>
      </c>
      <c r="G73" s="2">
        <v>0.0</v>
      </c>
      <c r="H73" s="1" t="s">
        <v>117</v>
      </c>
      <c r="I73" s="1">
        <v>0.0</v>
      </c>
      <c r="J73" s="1">
        <v>0.0</v>
      </c>
    </row>
    <row r="74">
      <c r="A74" s="1">
        <v>3.0</v>
      </c>
      <c r="B74" s="1">
        <v>11.0</v>
      </c>
      <c r="C74" s="1">
        <v>5.0</v>
      </c>
      <c r="D74" s="1">
        <v>2.67</v>
      </c>
      <c r="E74" s="1">
        <v>0.0</v>
      </c>
      <c r="F74" s="1">
        <v>0.0</v>
      </c>
      <c r="G74" s="2">
        <v>0.4</v>
      </c>
      <c r="H74" s="1" t="s">
        <v>123</v>
      </c>
      <c r="I74" s="1">
        <v>8.0</v>
      </c>
      <c r="J74" s="1">
        <v>0.0</v>
      </c>
    </row>
    <row r="75">
      <c r="A75" s="1">
        <v>5.0</v>
      </c>
      <c r="B75" s="1">
        <v>19.0</v>
      </c>
      <c r="C75" s="1">
        <v>0.0</v>
      </c>
      <c r="D75" s="1">
        <v>0.0</v>
      </c>
      <c r="E75" s="1">
        <v>0.0</v>
      </c>
      <c r="F75" s="1">
        <v>0.0</v>
      </c>
      <c r="G75" s="2">
        <v>0.0</v>
      </c>
      <c r="H75" s="1" t="s">
        <v>124</v>
      </c>
      <c r="I75" s="1">
        <v>0.0</v>
      </c>
      <c r="J75" s="1">
        <v>0.0</v>
      </c>
    </row>
    <row r="76">
      <c r="A76" s="1">
        <v>5.0</v>
      </c>
      <c r="B76" s="1">
        <v>19.0</v>
      </c>
      <c r="C76" s="1">
        <v>3.0</v>
      </c>
      <c r="D76" s="1">
        <v>1.6</v>
      </c>
      <c r="E76" s="1">
        <v>0.0</v>
      </c>
      <c r="F76" s="1">
        <v>0.0</v>
      </c>
      <c r="G76" s="6">
        <v>0.667</v>
      </c>
      <c r="H76" s="1" t="s">
        <v>127</v>
      </c>
      <c r="I76" s="1">
        <v>8.0</v>
      </c>
      <c r="J76" s="1">
        <v>0.0</v>
      </c>
    </row>
    <row r="77">
      <c r="A77" s="1">
        <v>5.0</v>
      </c>
      <c r="B77" s="1">
        <v>19.0</v>
      </c>
      <c r="C77" s="1">
        <v>0.0</v>
      </c>
      <c r="D77" s="1">
        <v>0.0</v>
      </c>
      <c r="E77" s="1">
        <v>0.0</v>
      </c>
      <c r="F77" s="1">
        <v>0.0</v>
      </c>
      <c r="G77" s="2">
        <v>0.0</v>
      </c>
      <c r="H77" s="1" t="s">
        <v>128</v>
      </c>
      <c r="I77" s="1">
        <v>0.0</v>
      </c>
      <c r="J77" s="1">
        <v>0.0</v>
      </c>
    </row>
    <row r="78">
      <c r="A78" s="1">
        <v>4.0</v>
      </c>
      <c r="B78" s="1">
        <v>15.0</v>
      </c>
      <c r="C78" s="1">
        <v>1.0</v>
      </c>
      <c r="D78" s="1">
        <v>1.0</v>
      </c>
      <c r="E78" s="1">
        <v>0.0</v>
      </c>
      <c r="F78" s="1">
        <v>0.0</v>
      </c>
      <c r="G78" s="2">
        <v>1.0</v>
      </c>
      <c r="H78" s="1" t="s">
        <v>130</v>
      </c>
      <c r="I78" s="1">
        <v>4.0</v>
      </c>
      <c r="J78" s="1">
        <v>0.0</v>
      </c>
    </row>
    <row r="79">
      <c r="A79" s="1">
        <v>3.0</v>
      </c>
      <c r="B79" s="1">
        <v>12.0</v>
      </c>
      <c r="C79" s="1">
        <v>7.0</v>
      </c>
      <c r="D79" s="1">
        <v>6.67</v>
      </c>
      <c r="E79" s="1">
        <v>0.33</v>
      </c>
      <c r="F79" s="1">
        <v>0.0</v>
      </c>
      <c r="G79" s="6">
        <v>0.857</v>
      </c>
      <c r="H79" s="1" t="s">
        <v>132</v>
      </c>
      <c r="I79" s="1">
        <v>20.0</v>
      </c>
      <c r="J79" s="1">
        <v>1.0</v>
      </c>
    </row>
    <row r="80">
      <c r="A80" s="1">
        <v>1.0</v>
      </c>
      <c r="B80" s="1">
        <v>4.0</v>
      </c>
      <c r="C80" s="1">
        <v>2.0</v>
      </c>
      <c r="D80" s="1">
        <v>4.0</v>
      </c>
      <c r="E80" s="1">
        <v>0.0</v>
      </c>
      <c r="F80" s="1">
        <v>0.0</v>
      </c>
      <c r="G80" s="2">
        <v>0.5</v>
      </c>
      <c r="H80" s="1" t="s">
        <v>132</v>
      </c>
      <c r="I80" s="1">
        <v>4.0</v>
      </c>
      <c r="J80" s="1">
        <v>0.0</v>
      </c>
    </row>
    <row r="81">
      <c r="A81" s="1">
        <v>3.0</v>
      </c>
      <c r="B81" s="1">
        <v>12.0</v>
      </c>
      <c r="C81" s="1">
        <v>3.0</v>
      </c>
      <c r="D81" s="1">
        <v>4.0</v>
      </c>
      <c r="E81" s="1">
        <v>0.0</v>
      </c>
      <c r="F81" s="1">
        <v>0.0</v>
      </c>
      <c r="G81" s="2">
        <v>1.0</v>
      </c>
      <c r="H81" s="1" t="s">
        <v>77</v>
      </c>
      <c r="I81" s="1">
        <v>12.0</v>
      </c>
      <c r="J81" s="1">
        <v>0.0</v>
      </c>
    </row>
    <row r="82">
      <c r="A82" s="1">
        <v>1.0</v>
      </c>
      <c r="B82" s="1">
        <v>4.0</v>
      </c>
      <c r="C82" s="1">
        <v>0.0</v>
      </c>
      <c r="D82" s="1">
        <v>0.0</v>
      </c>
      <c r="E82" s="1">
        <v>0.0</v>
      </c>
      <c r="F82" s="1">
        <v>0.0</v>
      </c>
      <c r="G82" s="2">
        <v>0.0</v>
      </c>
      <c r="H82" s="1" t="s">
        <v>77</v>
      </c>
      <c r="I82" s="1">
        <v>0.0</v>
      </c>
      <c r="J82" s="1">
        <v>0.0</v>
      </c>
    </row>
    <row r="83">
      <c r="A83" s="1">
        <v>1.0</v>
      </c>
      <c r="B83" s="1">
        <v>4.0</v>
      </c>
      <c r="C83" s="1">
        <v>2.0</v>
      </c>
      <c r="D83" s="1">
        <v>8.0</v>
      </c>
      <c r="E83" s="1">
        <v>0.0</v>
      </c>
      <c r="F83" s="1">
        <v>0.0</v>
      </c>
      <c r="G83" s="2">
        <v>1.0</v>
      </c>
      <c r="H83" s="1" t="s">
        <v>137</v>
      </c>
      <c r="I83" s="1">
        <v>8.0</v>
      </c>
      <c r="J83" s="1">
        <v>0.0</v>
      </c>
    </row>
    <row r="84">
      <c r="A84" s="1">
        <v>1.0</v>
      </c>
      <c r="B84" s="1">
        <v>4.0</v>
      </c>
      <c r="C84" s="1">
        <v>1.0</v>
      </c>
      <c r="D84" s="1">
        <v>0.0</v>
      </c>
      <c r="E84" s="1">
        <v>0.0</v>
      </c>
      <c r="F84" s="1">
        <v>0.0</v>
      </c>
      <c r="G84" s="2">
        <v>0.0</v>
      </c>
      <c r="H84" s="1" t="s">
        <v>137</v>
      </c>
      <c r="I84" s="1">
        <v>0.0</v>
      </c>
      <c r="J84" s="1">
        <v>0.0</v>
      </c>
    </row>
    <row r="85">
      <c r="A85" s="1">
        <v>5.0</v>
      </c>
      <c r="B85" s="1">
        <v>20.0</v>
      </c>
      <c r="C85" s="1">
        <v>0.0</v>
      </c>
      <c r="D85" s="1">
        <v>0.0</v>
      </c>
      <c r="E85" s="1">
        <v>0.0</v>
      </c>
      <c r="F85" s="1">
        <v>0.0</v>
      </c>
      <c r="G85" s="2">
        <v>0.0</v>
      </c>
      <c r="H85" s="1" t="s">
        <v>139</v>
      </c>
      <c r="I85" s="1">
        <v>0.0</v>
      </c>
      <c r="J85" s="1">
        <v>0.0</v>
      </c>
    </row>
    <row r="86">
      <c r="A86" s="1">
        <v>1.0</v>
      </c>
      <c r="B86" s="1">
        <v>4.0</v>
      </c>
      <c r="C86" s="1">
        <v>0.0</v>
      </c>
      <c r="D86" s="1">
        <v>0.0</v>
      </c>
      <c r="E86" s="1">
        <v>0.0</v>
      </c>
      <c r="F86" s="1">
        <v>0.0</v>
      </c>
      <c r="G86" s="2">
        <v>0.0</v>
      </c>
      <c r="H86" s="1" t="s">
        <v>142</v>
      </c>
      <c r="I86" s="1">
        <v>0.0</v>
      </c>
      <c r="J86" s="1">
        <v>0.0</v>
      </c>
    </row>
    <row r="87">
      <c r="A87" s="1">
        <v>5.0</v>
      </c>
      <c r="B87" s="1">
        <v>20.0</v>
      </c>
      <c r="C87" s="1">
        <v>0.0</v>
      </c>
      <c r="D87" s="1">
        <v>0.0</v>
      </c>
      <c r="E87" s="1">
        <v>0.0</v>
      </c>
      <c r="F87" s="1">
        <v>0.0</v>
      </c>
      <c r="G87" s="2">
        <v>0.0</v>
      </c>
      <c r="H87" s="1" t="s">
        <v>144</v>
      </c>
      <c r="I87" s="1">
        <v>0.0</v>
      </c>
      <c r="J87" s="1">
        <v>0.0</v>
      </c>
    </row>
    <row r="88">
      <c r="A88" s="1">
        <v>1.0</v>
      </c>
      <c r="B88" s="1">
        <v>4.0</v>
      </c>
      <c r="C88" s="1">
        <v>2.0</v>
      </c>
      <c r="D88" s="1">
        <v>8.0</v>
      </c>
      <c r="E88" s="1">
        <v>0.0</v>
      </c>
      <c r="F88" s="1">
        <v>0.0</v>
      </c>
      <c r="G88" s="2">
        <v>1.0</v>
      </c>
      <c r="H88" s="1" t="s">
        <v>147</v>
      </c>
      <c r="I88" s="1">
        <v>8.0</v>
      </c>
      <c r="J88" s="1">
        <v>0.0</v>
      </c>
    </row>
    <row r="89">
      <c r="A89" s="1">
        <v>4.0</v>
      </c>
      <c r="B89" s="1">
        <v>16.0</v>
      </c>
      <c r="C89" s="1">
        <v>8.0</v>
      </c>
      <c r="D89" s="1">
        <v>6.0</v>
      </c>
      <c r="E89" s="1">
        <v>0.0</v>
      </c>
      <c r="F89" s="1">
        <v>0.0</v>
      </c>
      <c r="G89" s="2">
        <v>0.75</v>
      </c>
      <c r="H89" s="1" t="s">
        <v>147</v>
      </c>
      <c r="I89" s="1">
        <v>24.0</v>
      </c>
      <c r="J89" s="1">
        <v>0.0</v>
      </c>
    </row>
    <row r="90">
      <c r="A90" s="1">
        <v>4.0</v>
      </c>
      <c r="B90" s="1">
        <v>16.0</v>
      </c>
      <c r="C90" s="1">
        <v>3.0</v>
      </c>
      <c r="D90" s="1">
        <v>1.0</v>
      </c>
      <c r="E90" s="1">
        <v>0.25</v>
      </c>
      <c r="F90" s="1">
        <v>0.0</v>
      </c>
      <c r="G90" s="6">
        <v>0.667</v>
      </c>
      <c r="H90" s="1" t="s">
        <v>125</v>
      </c>
      <c r="I90" s="1">
        <v>4.0</v>
      </c>
      <c r="J90" s="1">
        <v>1.0</v>
      </c>
    </row>
    <row r="91">
      <c r="A91" s="1">
        <v>1.0</v>
      </c>
      <c r="B91" s="1">
        <v>4.0</v>
      </c>
      <c r="C91" s="1">
        <v>0.0</v>
      </c>
      <c r="D91" s="1">
        <v>0.0</v>
      </c>
      <c r="E91" s="1">
        <v>0.0</v>
      </c>
      <c r="F91" s="1">
        <v>0.0</v>
      </c>
      <c r="G91" s="2">
        <v>0.0</v>
      </c>
      <c r="H91" s="1" t="s">
        <v>151</v>
      </c>
      <c r="I91" s="1">
        <v>0.0</v>
      </c>
      <c r="J91" s="1">
        <v>0.0</v>
      </c>
    </row>
    <row r="92">
      <c r="A92" s="1">
        <v>3.0</v>
      </c>
      <c r="B92" s="1">
        <v>12.0</v>
      </c>
      <c r="C92" s="1">
        <v>6.0</v>
      </c>
      <c r="D92" s="1">
        <v>6.67</v>
      </c>
      <c r="E92" s="1">
        <v>0.0</v>
      </c>
      <c r="F92" s="1">
        <v>0.0</v>
      </c>
      <c r="G92" s="6">
        <v>0.833</v>
      </c>
      <c r="H92" s="1" t="s">
        <v>152</v>
      </c>
      <c r="I92" s="1">
        <v>20.0</v>
      </c>
      <c r="J92" s="1">
        <v>0.0</v>
      </c>
    </row>
    <row r="93">
      <c r="A93" s="1">
        <v>1.0</v>
      </c>
      <c r="B93" s="1">
        <v>4.0</v>
      </c>
      <c r="C93" s="1">
        <v>1.0</v>
      </c>
      <c r="D93" s="1">
        <v>4.0</v>
      </c>
      <c r="E93" s="1">
        <v>0.0</v>
      </c>
      <c r="F93" s="1">
        <v>0.0</v>
      </c>
      <c r="G93" s="2">
        <v>1.0</v>
      </c>
      <c r="H93" s="1" t="s">
        <v>152</v>
      </c>
      <c r="I93" s="1">
        <v>4.0</v>
      </c>
      <c r="J93" s="1">
        <v>0.0</v>
      </c>
    </row>
    <row r="94">
      <c r="A94" s="1">
        <v>2.0</v>
      </c>
      <c r="B94" s="1">
        <v>8.0</v>
      </c>
      <c r="C94" s="1">
        <v>1.0</v>
      </c>
      <c r="D94" s="1">
        <v>2.0</v>
      </c>
      <c r="E94" s="1">
        <v>0.0</v>
      </c>
      <c r="F94" s="1">
        <v>0.0</v>
      </c>
      <c r="G94" s="2">
        <v>1.0</v>
      </c>
      <c r="H94" s="1" t="s">
        <v>156</v>
      </c>
      <c r="I94" s="1">
        <v>4.0</v>
      </c>
      <c r="J94" s="1">
        <v>0.0</v>
      </c>
    </row>
    <row r="95">
      <c r="A95" s="1">
        <v>1.0</v>
      </c>
      <c r="B95" s="1">
        <v>4.0</v>
      </c>
      <c r="C95" s="1">
        <v>0.0</v>
      </c>
      <c r="D95" s="1">
        <v>0.0</v>
      </c>
      <c r="E95" s="1">
        <v>0.0</v>
      </c>
      <c r="F95" s="1">
        <v>0.0</v>
      </c>
      <c r="G95" s="2">
        <v>0.0</v>
      </c>
      <c r="H95" s="1" t="s">
        <v>156</v>
      </c>
      <c r="I95" s="1">
        <v>0.0</v>
      </c>
      <c r="J95" s="1">
        <v>0.0</v>
      </c>
    </row>
    <row r="96">
      <c r="A96" s="1">
        <v>1.0</v>
      </c>
      <c r="B96" s="1">
        <v>4.0</v>
      </c>
      <c r="C96" s="1">
        <v>3.0</v>
      </c>
      <c r="D96" s="1">
        <v>4.0</v>
      </c>
      <c r="E96" s="1">
        <v>1.0</v>
      </c>
      <c r="F96" s="1">
        <v>0.0</v>
      </c>
      <c r="G96" s="6">
        <v>0.667</v>
      </c>
      <c r="H96" s="1" t="s">
        <v>145</v>
      </c>
      <c r="I96" s="1">
        <v>4.0</v>
      </c>
      <c r="J96" s="1">
        <v>1.0</v>
      </c>
    </row>
    <row r="97">
      <c r="A97" s="1">
        <v>4.0</v>
      </c>
      <c r="B97" s="1">
        <v>16.0</v>
      </c>
      <c r="C97" s="1">
        <v>5.0</v>
      </c>
      <c r="D97" s="1">
        <v>3.0</v>
      </c>
      <c r="E97" s="1">
        <v>0.25</v>
      </c>
      <c r="F97" s="1">
        <v>0.0</v>
      </c>
      <c r="G97" s="2">
        <v>0.8</v>
      </c>
      <c r="H97" s="1" t="s">
        <v>145</v>
      </c>
      <c r="I97" s="1">
        <v>12.0</v>
      </c>
      <c r="J97" s="1">
        <v>1.0</v>
      </c>
    </row>
    <row r="98">
      <c r="A98" s="1">
        <v>1.0</v>
      </c>
      <c r="B98" s="1">
        <v>4.0</v>
      </c>
      <c r="C98" s="1">
        <v>1.0</v>
      </c>
      <c r="D98" s="1">
        <v>0.0</v>
      </c>
      <c r="E98" s="1">
        <v>0.0</v>
      </c>
      <c r="F98" s="1">
        <v>0.0</v>
      </c>
      <c r="G98" s="2">
        <v>0.0</v>
      </c>
      <c r="H98" s="1" t="s">
        <v>160</v>
      </c>
      <c r="I98" s="1">
        <v>0.0</v>
      </c>
      <c r="J98" s="1">
        <v>0.0</v>
      </c>
    </row>
    <row r="99">
      <c r="A99" s="1">
        <v>2.0</v>
      </c>
      <c r="B99" s="1">
        <v>8.0</v>
      </c>
      <c r="C99" s="1">
        <v>0.0</v>
      </c>
      <c r="D99" s="1">
        <v>0.0</v>
      </c>
      <c r="E99" s="1">
        <v>0.0</v>
      </c>
      <c r="F99" s="1">
        <v>0.0</v>
      </c>
      <c r="G99" s="2">
        <v>0.0</v>
      </c>
      <c r="H99" s="1" t="s">
        <v>162</v>
      </c>
      <c r="I99" s="1">
        <v>0.0</v>
      </c>
      <c r="J99" s="1">
        <v>0.0</v>
      </c>
    </row>
    <row r="100">
      <c r="A100" s="1">
        <v>2.0</v>
      </c>
      <c r="B100" s="1">
        <v>8.0</v>
      </c>
      <c r="C100" s="1">
        <v>0.0</v>
      </c>
      <c r="D100" s="1">
        <v>0.0</v>
      </c>
      <c r="E100" s="1">
        <v>0.0</v>
      </c>
      <c r="F100" s="1">
        <v>0.0</v>
      </c>
      <c r="G100" s="2">
        <v>0.0</v>
      </c>
      <c r="H100" s="1" t="s">
        <v>162</v>
      </c>
      <c r="I100" s="1">
        <v>0.0</v>
      </c>
      <c r="J100" s="1">
        <v>0.0</v>
      </c>
    </row>
    <row r="101">
      <c r="A101" s="1">
        <v>5.0</v>
      </c>
      <c r="B101" s="1">
        <v>20.0</v>
      </c>
      <c r="C101" s="1">
        <v>15.0</v>
      </c>
      <c r="D101" s="1">
        <v>4.8</v>
      </c>
      <c r="E101" s="1">
        <v>0.8</v>
      </c>
      <c r="F101" s="1">
        <v>0.0</v>
      </c>
      <c r="G101" s="6">
        <v>0.667</v>
      </c>
      <c r="H101" s="1" t="s">
        <v>165</v>
      </c>
      <c r="I101" s="1">
        <v>24.0</v>
      </c>
      <c r="J101" s="1">
        <v>4.0</v>
      </c>
    </row>
    <row r="102">
      <c r="A102" s="1">
        <v>1.0</v>
      </c>
      <c r="B102" s="1">
        <v>4.0</v>
      </c>
      <c r="C102" s="1">
        <v>0.0</v>
      </c>
      <c r="D102" s="1">
        <v>0.0</v>
      </c>
      <c r="E102" s="1">
        <v>0.0</v>
      </c>
      <c r="F102" s="1">
        <v>0.0</v>
      </c>
      <c r="G102" s="2">
        <v>0.0</v>
      </c>
      <c r="H102" s="1" t="s">
        <v>167</v>
      </c>
      <c r="I102" s="1">
        <v>0.0</v>
      </c>
      <c r="J102" s="1">
        <v>0.0</v>
      </c>
    </row>
    <row r="103">
      <c r="A103" s="1">
        <v>5.0</v>
      </c>
      <c r="B103" s="1">
        <v>20.0</v>
      </c>
      <c r="C103" s="1">
        <v>0.0</v>
      </c>
      <c r="D103" s="1">
        <v>0.0</v>
      </c>
      <c r="E103" s="1">
        <v>0.0</v>
      </c>
      <c r="F103" s="1">
        <v>0.0</v>
      </c>
      <c r="G103" s="2">
        <v>0.0</v>
      </c>
      <c r="H103" s="1" t="s">
        <v>169</v>
      </c>
      <c r="I103" s="1">
        <v>0.0</v>
      </c>
      <c r="J103" s="1">
        <v>0.0</v>
      </c>
    </row>
    <row r="104">
      <c r="A104" s="1">
        <v>3.0</v>
      </c>
      <c r="B104" s="1">
        <v>12.0</v>
      </c>
      <c r="C104" s="1">
        <v>0.0</v>
      </c>
      <c r="D104" s="1">
        <v>0.0</v>
      </c>
      <c r="E104" s="1">
        <v>0.0</v>
      </c>
      <c r="F104" s="1">
        <v>0.0</v>
      </c>
      <c r="G104" s="2">
        <v>0.0</v>
      </c>
      <c r="H104" s="1" t="s">
        <v>171</v>
      </c>
      <c r="I104" s="1">
        <v>0.0</v>
      </c>
      <c r="J104" s="1">
        <v>0.0</v>
      </c>
    </row>
    <row r="105">
      <c r="A105" s="1">
        <v>4.0</v>
      </c>
      <c r="B105" s="1">
        <v>16.0</v>
      </c>
      <c r="C105" s="1">
        <v>3.0</v>
      </c>
      <c r="D105" s="1">
        <v>3.0</v>
      </c>
      <c r="E105" s="1">
        <v>0.0</v>
      </c>
      <c r="F105" s="1">
        <v>0.0</v>
      </c>
      <c r="G105" s="2">
        <v>1.0</v>
      </c>
      <c r="H105" s="1" t="s">
        <v>173</v>
      </c>
      <c r="I105" s="1">
        <v>12.0</v>
      </c>
      <c r="J105" s="1">
        <v>0.0</v>
      </c>
    </row>
    <row r="106">
      <c r="A106" s="1">
        <v>1.0</v>
      </c>
      <c r="B106" s="1">
        <v>4.0</v>
      </c>
      <c r="C106" s="1">
        <v>0.0</v>
      </c>
      <c r="D106" s="1">
        <v>0.0</v>
      </c>
      <c r="E106" s="1">
        <v>0.0</v>
      </c>
      <c r="F106" s="1">
        <v>0.0</v>
      </c>
      <c r="G106" s="2">
        <v>0.0</v>
      </c>
      <c r="H106" s="1" t="s">
        <v>173</v>
      </c>
      <c r="I106" s="1">
        <v>0.0</v>
      </c>
      <c r="J106" s="1">
        <v>0.0</v>
      </c>
    </row>
    <row r="107">
      <c r="A107" s="1">
        <v>1.0</v>
      </c>
      <c r="B107" s="1">
        <v>4.0</v>
      </c>
      <c r="C107" s="1">
        <v>0.0</v>
      </c>
      <c r="D107" s="1">
        <v>0.0</v>
      </c>
      <c r="E107" s="1">
        <v>0.0</v>
      </c>
      <c r="F107" s="1">
        <v>0.0</v>
      </c>
      <c r="G107" s="2">
        <v>0.0</v>
      </c>
      <c r="H107" s="1" t="s">
        <v>174</v>
      </c>
      <c r="I107" s="1">
        <v>0.0</v>
      </c>
      <c r="J107" s="1">
        <v>0.0</v>
      </c>
    </row>
    <row r="108">
      <c r="A108" s="1">
        <v>1.0</v>
      </c>
      <c r="B108" s="1">
        <v>4.0</v>
      </c>
      <c r="C108" s="1">
        <v>1.0</v>
      </c>
      <c r="D108" s="1">
        <v>4.0</v>
      </c>
      <c r="E108" s="1">
        <v>0.0</v>
      </c>
      <c r="F108" s="1">
        <v>0.0</v>
      </c>
      <c r="G108" s="2">
        <v>1.0</v>
      </c>
      <c r="H108" s="1" t="s">
        <v>176</v>
      </c>
      <c r="I108" s="1">
        <v>4.0</v>
      </c>
      <c r="J108" s="1">
        <v>0.0</v>
      </c>
    </row>
    <row r="109">
      <c r="A109" s="1">
        <v>4.0</v>
      </c>
      <c r="B109" s="1">
        <v>16.0</v>
      </c>
      <c r="C109" s="1">
        <v>9.0</v>
      </c>
      <c r="D109" s="1">
        <v>8.0</v>
      </c>
      <c r="E109" s="1">
        <v>0.0</v>
      </c>
      <c r="F109" s="1">
        <v>0.0</v>
      </c>
      <c r="G109" s="6">
        <v>0.889</v>
      </c>
      <c r="H109" s="1" t="s">
        <v>74</v>
      </c>
      <c r="I109" s="1">
        <v>32.0</v>
      </c>
      <c r="J109" s="1">
        <v>0.0</v>
      </c>
    </row>
    <row r="110">
      <c r="A110" s="1">
        <v>1.0</v>
      </c>
      <c r="B110" s="1">
        <v>4.0</v>
      </c>
      <c r="C110" s="1">
        <v>0.0</v>
      </c>
      <c r="D110" s="1">
        <v>0.0</v>
      </c>
      <c r="E110" s="1">
        <v>0.0</v>
      </c>
      <c r="F110" s="1">
        <v>0.0</v>
      </c>
      <c r="G110" s="2">
        <v>0.0</v>
      </c>
      <c r="H110" s="1" t="s">
        <v>74</v>
      </c>
      <c r="I110" s="1">
        <v>0.0</v>
      </c>
      <c r="J110" s="1">
        <v>0.0</v>
      </c>
    </row>
    <row r="111">
      <c r="A111" s="1">
        <v>1.0</v>
      </c>
      <c r="B111" s="1">
        <v>4.0</v>
      </c>
      <c r="C111" s="1">
        <v>1.0</v>
      </c>
      <c r="D111" s="1">
        <v>0.0</v>
      </c>
      <c r="E111" s="1">
        <v>0.0</v>
      </c>
      <c r="F111" s="1">
        <v>0.0</v>
      </c>
      <c r="G111" s="2">
        <v>0.0</v>
      </c>
      <c r="H111" s="1" t="s">
        <v>177</v>
      </c>
      <c r="I111" s="1">
        <v>0.0</v>
      </c>
      <c r="J111" s="1">
        <v>0.0</v>
      </c>
    </row>
    <row r="112">
      <c r="A112" s="1">
        <v>4.0</v>
      </c>
      <c r="B112" s="1">
        <v>16.0</v>
      </c>
      <c r="C112" s="1">
        <v>0.0</v>
      </c>
      <c r="D112" s="1">
        <v>0.0</v>
      </c>
      <c r="E112" s="1">
        <v>0.0</v>
      </c>
      <c r="F112" s="1">
        <v>0.0</v>
      </c>
      <c r="G112" s="2">
        <v>0.0</v>
      </c>
      <c r="H112" s="1" t="s">
        <v>178</v>
      </c>
      <c r="I112" s="1">
        <v>0.0</v>
      </c>
      <c r="J112" s="1">
        <v>0.0</v>
      </c>
    </row>
    <row r="113">
      <c r="A113" s="1">
        <v>1.0</v>
      </c>
      <c r="B113" s="1">
        <v>4.0</v>
      </c>
      <c r="C113" s="1">
        <v>0.0</v>
      </c>
      <c r="D113" s="1">
        <v>0.0</v>
      </c>
      <c r="E113" s="1">
        <v>0.0</v>
      </c>
      <c r="F113" s="1">
        <v>0.0</v>
      </c>
      <c r="G113" s="2">
        <v>0.0</v>
      </c>
      <c r="H113" s="1" t="s">
        <v>178</v>
      </c>
      <c r="I113" s="1">
        <v>0.0</v>
      </c>
      <c r="J113" s="1">
        <v>0.0</v>
      </c>
    </row>
    <row r="114">
      <c r="A114" s="1">
        <v>3.0</v>
      </c>
      <c r="B114" s="1">
        <v>12.0</v>
      </c>
      <c r="C114" s="1">
        <v>0.0</v>
      </c>
      <c r="D114" s="1">
        <v>0.0</v>
      </c>
      <c r="E114" s="1">
        <v>0.0</v>
      </c>
      <c r="F114" s="1">
        <v>0.0</v>
      </c>
      <c r="G114" s="2">
        <v>0.0</v>
      </c>
      <c r="H114" s="1" t="s">
        <v>150</v>
      </c>
      <c r="I114" s="1">
        <v>0.0</v>
      </c>
      <c r="J114" s="1">
        <v>0.0</v>
      </c>
    </row>
    <row r="115">
      <c r="A115" s="1">
        <v>1.0</v>
      </c>
      <c r="B115" s="1">
        <v>4.0</v>
      </c>
      <c r="C115" s="1">
        <v>0.0</v>
      </c>
      <c r="D115" s="1">
        <v>0.0</v>
      </c>
      <c r="E115" s="1">
        <v>0.0</v>
      </c>
      <c r="F115" s="1">
        <v>0.0</v>
      </c>
      <c r="G115" s="2">
        <v>0.0</v>
      </c>
      <c r="H115" s="1" t="s">
        <v>150</v>
      </c>
      <c r="I115" s="1">
        <v>0.0</v>
      </c>
      <c r="J115" s="1">
        <v>0.0</v>
      </c>
    </row>
    <row r="116">
      <c r="A116" s="1">
        <v>2.0</v>
      </c>
      <c r="B116" s="1">
        <v>8.0</v>
      </c>
      <c r="C116" s="1">
        <v>0.0</v>
      </c>
      <c r="D116" s="1">
        <v>0.0</v>
      </c>
      <c r="E116" s="1">
        <v>0.0</v>
      </c>
      <c r="F116" s="1">
        <v>0.0</v>
      </c>
      <c r="G116" s="2">
        <v>0.0</v>
      </c>
      <c r="H116" s="1" t="s">
        <v>179</v>
      </c>
      <c r="I116" s="1">
        <v>0.0</v>
      </c>
      <c r="J116" s="1">
        <v>0.0</v>
      </c>
    </row>
    <row r="117">
      <c r="A117" s="1">
        <v>1.0</v>
      </c>
      <c r="B117" s="1">
        <v>4.0</v>
      </c>
      <c r="C117" s="1">
        <v>0.0</v>
      </c>
      <c r="D117" s="1">
        <v>0.0</v>
      </c>
      <c r="E117" s="1">
        <v>0.0</v>
      </c>
      <c r="F117" s="1">
        <v>0.0</v>
      </c>
      <c r="G117" s="2">
        <v>0.0</v>
      </c>
      <c r="H117" s="1" t="s">
        <v>179</v>
      </c>
      <c r="I117" s="1">
        <v>0.0</v>
      </c>
      <c r="J117" s="1">
        <v>0.0</v>
      </c>
    </row>
    <row r="118">
      <c r="A118" s="1">
        <v>2.0</v>
      </c>
      <c r="B118" s="1">
        <v>8.0</v>
      </c>
      <c r="C118" s="1">
        <v>0.0</v>
      </c>
      <c r="D118" s="1">
        <v>0.0</v>
      </c>
      <c r="E118" s="1">
        <v>0.0</v>
      </c>
      <c r="F118" s="1">
        <v>0.0</v>
      </c>
      <c r="G118" s="2">
        <v>0.0</v>
      </c>
      <c r="H118" s="1" t="s">
        <v>181</v>
      </c>
      <c r="I118" s="1">
        <v>0.0</v>
      </c>
      <c r="J118" s="1">
        <v>0.0</v>
      </c>
    </row>
    <row r="119">
      <c r="A119" s="1">
        <v>4.0</v>
      </c>
      <c r="B119" s="1">
        <v>16.0</v>
      </c>
      <c r="C119" s="1">
        <v>15.0</v>
      </c>
      <c r="D119" s="1">
        <v>7.0</v>
      </c>
      <c r="E119" s="1">
        <v>0.75</v>
      </c>
      <c r="F119" s="1">
        <v>0.0</v>
      </c>
      <c r="G119" s="6">
        <v>0.667</v>
      </c>
      <c r="H119" s="1" t="s">
        <v>183</v>
      </c>
      <c r="I119" s="1">
        <v>28.0</v>
      </c>
      <c r="J119" s="1">
        <v>3.0</v>
      </c>
    </row>
    <row r="120">
      <c r="A120" s="1">
        <v>1.0</v>
      </c>
      <c r="B120" s="1">
        <v>4.0</v>
      </c>
      <c r="C120" s="1">
        <v>3.0</v>
      </c>
      <c r="D120" s="1">
        <v>4.0</v>
      </c>
      <c r="E120" s="1">
        <v>1.0</v>
      </c>
      <c r="F120" s="1">
        <v>0.0</v>
      </c>
      <c r="G120" s="6">
        <v>0.667</v>
      </c>
      <c r="H120" s="1" t="s">
        <v>183</v>
      </c>
      <c r="I120" s="1">
        <v>4.0</v>
      </c>
      <c r="J120" s="1">
        <v>1.0</v>
      </c>
    </row>
    <row r="121">
      <c r="A121" s="1">
        <v>1.0</v>
      </c>
      <c r="B121" s="1">
        <v>4.0</v>
      </c>
      <c r="C121" s="1">
        <v>1.0</v>
      </c>
      <c r="D121" s="1">
        <v>4.0</v>
      </c>
      <c r="E121" s="1">
        <v>0.0</v>
      </c>
      <c r="F121" s="1">
        <v>0.0</v>
      </c>
      <c r="G121" s="2">
        <v>1.0</v>
      </c>
      <c r="H121" s="1" t="s">
        <v>184</v>
      </c>
      <c r="I121" s="1">
        <v>4.0</v>
      </c>
      <c r="J121" s="1">
        <v>0.0</v>
      </c>
    </row>
    <row r="122">
      <c r="A122" s="1">
        <v>3.0</v>
      </c>
      <c r="B122" s="1">
        <v>12.0</v>
      </c>
      <c r="C122" s="1">
        <v>0.0</v>
      </c>
      <c r="D122" s="1">
        <v>0.0</v>
      </c>
      <c r="E122" s="1">
        <v>0.0</v>
      </c>
      <c r="F122" s="1">
        <v>0.0</v>
      </c>
      <c r="G122" s="2">
        <v>0.0</v>
      </c>
      <c r="H122" s="1" t="s">
        <v>184</v>
      </c>
      <c r="I122" s="1">
        <v>0.0</v>
      </c>
      <c r="J122" s="1">
        <v>0.0</v>
      </c>
    </row>
    <row r="123">
      <c r="A123" s="1">
        <v>1.0</v>
      </c>
      <c r="B123" s="1">
        <v>5.0</v>
      </c>
      <c r="C123" s="1">
        <v>0.0</v>
      </c>
      <c r="D123" s="1">
        <v>0.0</v>
      </c>
      <c r="E123" s="1">
        <v>0.0</v>
      </c>
      <c r="F123" s="1">
        <v>0.0</v>
      </c>
      <c r="G123" s="2">
        <v>0.0</v>
      </c>
      <c r="H123" s="1" t="s">
        <v>184</v>
      </c>
      <c r="I123" s="1">
        <v>0.0</v>
      </c>
      <c r="J123" s="1">
        <v>0.0</v>
      </c>
    </row>
    <row r="124">
      <c r="A124" s="1">
        <v>4.0</v>
      </c>
      <c r="B124" s="1">
        <v>16.0</v>
      </c>
      <c r="C124" s="1">
        <v>8.0</v>
      </c>
      <c r="D124" s="1">
        <v>4.0</v>
      </c>
      <c r="E124" s="1">
        <v>0.5</v>
      </c>
      <c r="F124" s="1">
        <v>0.0</v>
      </c>
      <c r="G124" s="2">
        <v>0.75</v>
      </c>
      <c r="H124" s="1" t="s">
        <v>161</v>
      </c>
      <c r="I124" s="1">
        <v>16.0</v>
      </c>
      <c r="J124" s="1">
        <v>2.0</v>
      </c>
    </row>
    <row r="125">
      <c r="A125" s="1">
        <v>1.0</v>
      </c>
      <c r="B125" s="1">
        <v>5.0</v>
      </c>
      <c r="C125" s="1">
        <v>1.0</v>
      </c>
      <c r="D125" s="1">
        <v>4.0</v>
      </c>
      <c r="E125" s="1">
        <v>0.0</v>
      </c>
      <c r="F125" s="1">
        <v>0.0</v>
      </c>
      <c r="G125" s="2">
        <v>1.0</v>
      </c>
      <c r="H125" s="1" t="s">
        <v>161</v>
      </c>
      <c r="I125" s="1">
        <v>4.0</v>
      </c>
      <c r="J125" s="1">
        <v>0.0</v>
      </c>
    </row>
    <row r="126">
      <c r="A126" s="1">
        <v>3.0</v>
      </c>
      <c r="B126" s="1">
        <v>12.0</v>
      </c>
      <c r="C126" s="1">
        <v>7.0</v>
      </c>
      <c r="D126" s="1">
        <v>6.67</v>
      </c>
      <c r="E126" s="1">
        <v>0.33</v>
      </c>
      <c r="F126" s="1">
        <v>0.0</v>
      </c>
      <c r="G126" s="6">
        <v>0.857</v>
      </c>
      <c r="H126" s="1" t="s">
        <v>187</v>
      </c>
      <c r="I126" s="1">
        <v>20.0</v>
      </c>
      <c r="J126" s="1">
        <v>1.0</v>
      </c>
    </row>
    <row r="127">
      <c r="A127" s="1">
        <v>5.0</v>
      </c>
      <c r="B127" s="1">
        <v>20.0</v>
      </c>
      <c r="C127" s="1">
        <v>11.0</v>
      </c>
      <c r="D127" s="1">
        <v>7.2</v>
      </c>
      <c r="E127" s="1">
        <v>0.0</v>
      </c>
      <c r="F127" s="1">
        <v>0.0</v>
      </c>
      <c r="G127" s="6">
        <v>0.818</v>
      </c>
      <c r="H127" s="1" t="s">
        <v>180</v>
      </c>
      <c r="I127" s="1">
        <v>36.0</v>
      </c>
      <c r="J127" s="1">
        <v>0.0</v>
      </c>
    </row>
    <row r="128">
      <c r="A128" s="1">
        <v>4.0</v>
      </c>
      <c r="B128" s="1">
        <v>16.0</v>
      </c>
      <c r="C128" s="1">
        <v>0.0</v>
      </c>
      <c r="D128" s="1">
        <v>0.0</v>
      </c>
      <c r="E128" s="1">
        <v>0.0</v>
      </c>
      <c r="F128" s="1">
        <v>0.0</v>
      </c>
      <c r="G128" s="2">
        <v>0.0</v>
      </c>
      <c r="H128" s="1" t="s">
        <v>189</v>
      </c>
      <c r="I128" s="1">
        <v>0.0</v>
      </c>
      <c r="J128" s="1">
        <v>0.0</v>
      </c>
    </row>
    <row r="129">
      <c r="A129" s="1">
        <v>5.0</v>
      </c>
      <c r="B129" s="1">
        <v>20.0</v>
      </c>
      <c r="C129" s="1">
        <v>0.0</v>
      </c>
      <c r="D129" s="1">
        <v>0.0</v>
      </c>
      <c r="E129" s="1">
        <v>0.0</v>
      </c>
      <c r="F129" s="1">
        <v>0.0</v>
      </c>
      <c r="G129" s="2">
        <v>0.0</v>
      </c>
      <c r="H129" s="1" t="s">
        <v>190</v>
      </c>
      <c r="I129" s="1">
        <v>0.0</v>
      </c>
      <c r="J129" s="1">
        <v>0.0</v>
      </c>
    </row>
    <row r="130">
      <c r="A130" s="1">
        <v>3.0</v>
      </c>
      <c r="B130" s="1">
        <v>13.0</v>
      </c>
      <c r="C130" s="1">
        <v>0.0</v>
      </c>
      <c r="D130" s="1">
        <v>0.0</v>
      </c>
      <c r="E130" s="1">
        <v>0.0</v>
      </c>
      <c r="F130" s="1">
        <v>0.0</v>
      </c>
      <c r="G130" s="2">
        <v>0.0</v>
      </c>
      <c r="H130" s="1" t="s">
        <v>191</v>
      </c>
      <c r="I130" s="1">
        <v>0.0</v>
      </c>
      <c r="J130" s="1">
        <v>0.0</v>
      </c>
    </row>
    <row r="131">
      <c r="A131" s="1">
        <v>1.0</v>
      </c>
      <c r="B131" s="1">
        <v>4.0</v>
      </c>
      <c r="C131" s="1">
        <v>1.0</v>
      </c>
      <c r="D131" s="1">
        <v>-4.0</v>
      </c>
      <c r="E131" s="1">
        <v>1.0</v>
      </c>
      <c r="F131" s="1">
        <v>0.0</v>
      </c>
      <c r="G131" s="2">
        <v>0.0</v>
      </c>
      <c r="H131" s="1" t="s">
        <v>191</v>
      </c>
      <c r="I131" s="1">
        <v>-4.0</v>
      </c>
      <c r="J131" s="1">
        <v>1.0</v>
      </c>
    </row>
    <row r="132">
      <c r="A132" s="1">
        <v>2.0</v>
      </c>
      <c r="B132" s="1">
        <v>9.0</v>
      </c>
      <c r="C132" s="1">
        <v>0.0</v>
      </c>
      <c r="D132" s="1">
        <v>0.0</v>
      </c>
      <c r="E132" s="1">
        <v>0.0</v>
      </c>
      <c r="F132" s="1">
        <v>0.0</v>
      </c>
      <c r="G132" s="2">
        <v>0.0</v>
      </c>
      <c r="H132" s="1" t="s">
        <v>192</v>
      </c>
      <c r="I132" s="1">
        <v>0.0</v>
      </c>
      <c r="J132" s="1">
        <v>0.0</v>
      </c>
    </row>
    <row r="133">
      <c r="A133" s="1">
        <v>1.0</v>
      </c>
      <c r="B133" s="1">
        <v>4.0</v>
      </c>
      <c r="C133" s="1">
        <v>0.0</v>
      </c>
      <c r="D133" s="1">
        <v>0.0</v>
      </c>
      <c r="E133" s="1">
        <v>0.0</v>
      </c>
      <c r="F133" s="1">
        <v>0.0</v>
      </c>
      <c r="G133" s="2">
        <v>0.0</v>
      </c>
      <c r="H133" s="1" t="s">
        <v>192</v>
      </c>
      <c r="I133" s="1">
        <v>0.0</v>
      </c>
      <c r="J133" s="1">
        <v>0.0</v>
      </c>
    </row>
    <row r="134">
      <c r="A134" s="1">
        <v>1.0</v>
      </c>
      <c r="B134" s="1">
        <v>4.0</v>
      </c>
      <c r="C134" s="1">
        <v>0.0</v>
      </c>
      <c r="D134" s="1">
        <v>0.0</v>
      </c>
      <c r="E134" s="1">
        <v>0.0</v>
      </c>
      <c r="F134" s="1">
        <v>0.0</v>
      </c>
      <c r="G134" s="2">
        <v>0.0</v>
      </c>
      <c r="H134" s="1" t="s">
        <v>194</v>
      </c>
      <c r="I134" s="1">
        <v>0.0</v>
      </c>
      <c r="J134" s="1">
        <v>0.0</v>
      </c>
    </row>
    <row r="135">
      <c r="A135" s="1">
        <v>1.0</v>
      </c>
      <c r="B135" s="1">
        <v>4.0</v>
      </c>
      <c r="C135" s="1">
        <v>0.0</v>
      </c>
      <c r="D135" s="1">
        <v>0.0</v>
      </c>
      <c r="E135" s="1">
        <v>0.0</v>
      </c>
      <c r="F135" s="1">
        <v>0.0</v>
      </c>
      <c r="G135" s="2">
        <v>0.0</v>
      </c>
      <c r="H135" s="1" t="s">
        <v>194</v>
      </c>
      <c r="I135" s="1">
        <v>0.0</v>
      </c>
      <c r="J135" s="1">
        <v>0.0</v>
      </c>
    </row>
    <row r="136">
      <c r="A136" s="1">
        <v>1.0</v>
      </c>
      <c r="B136" s="1">
        <v>4.0</v>
      </c>
      <c r="C136" s="1">
        <v>0.0</v>
      </c>
      <c r="D136" s="1">
        <v>0.0</v>
      </c>
      <c r="E136" s="1">
        <v>0.0</v>
      </c>
      <c r="F136" s="1">
        <v>0.0</v>
      </c>
      <c r="G136" s="2">
        <v>0.0</v>
      </c>
      <c r="H136" s="1" t="s">
        <v>195</v>
      </c>
      <c r="I136" s="1">
        <v>0.0</v>
      </c>
      <c r="J136" s="1">
        <v>0.0</v>
      </c>
    </row>
    <row r="137">
      <c r="A137" s="1">
        <v>4.0</v>
      </c>
      <c r="B137" s="1">
        <v>17.0</v>
      </c>
      <c r="C137" s="1">
        <v>0.0</v>
      </c>
      <c r="D137" s="1">
        <v>0.0</v>
      </c>
      <c r="E137" s="1">
        <v>0.0</v>
      </c>
      <c r="F137" s="1">
        <v>0.0</v>
      </c>
      <c r="G137" s="2">
        <v>0.0</v>
      </c>
      <c r="H137" s="1" t="s">
        <v>195</v>
      </c>
      <c r="I137" s="1">
        <v>0.0</v>
      </c>
      <c r="J137" s="1">
        <v>0.0</v>
      </c>
    </row>
    <row r="138">
      <c r="A138" s="1">
        <v>4.0</v>
      </c>
      <c r="B138" s="1">
        <v>17.0</v>
      </c>
      <c r="C138" s="1">
        <v>13.0</v>
      </c>
      <c r="D138" s="1">
        <v>10.0</v>
      </c>
      <c r="E138" s="1">
        <v>0.25</v>
      </c>
      <c r="F138" s="1">
        <v>0.0</v>
      </c>
      <c r="G138" s="6">
        <v>0.846</v>
      </c>
      <c r="H138" s="1" t="s">
        <v>112</v>
      </c>
      <c r="I138" s="1">
        <v>40.0</v>
      </c>
      <c r="J138" s="1">
        <v>1.0</v>
      </c>
    </row>
    <row r="139">
      <c r="A139" s="1">
        <v>1.0</v>
      </c>
      <c r="B139" s="1">
        <v>4.0</v>
      </c>
      <c r="C139" s="1">
        <v>1.0</v>
      </c>
      <c r="D139" s="1">
        <v>4.0</v>
      </c>
      <c r="E139" s="1">
        <v>0.0</v>
      </c>
      <c r="F139" s="1">
        <v>0.0</v>
      </c>
      <c r="G139" s="2">
        <v>1.0</v>
      </c>
      <c r="H139" s="1" t="s">
        <v>112</v>
      </c>
      <c r="I139" s="1">
        <v>4.0</v>
      </c>
      <c r="J139" s="1">
        <v>0.0</v>
      </c>
    </row>
    <row r="140">
      <c r="A140" s="1">
        <v>1.0</v>
      </c>
      <c r="B140" s="1">
        <v>4.0</v>
      </c>
      <c r="C140" s="1">
        <v>0.0</v>
      </c>
      <c r="D140" s="1">
        <v>0.0</v>
      </c>
      <c r="E140" s="1">
        <v>0.0</v>
      </c>
      <c r="F140" s="1">
        <v>0.0</v>
      </c>
      <c r="G140" s="2">
        <v>0.0</v>
      </c>
      <c r="H140" s="1" t="s">
        <v>196</v>
      </c>
      <c r="I140" s="1">
        <v>0.0</v>
      </c>
      <c r="J140" s="1">
        <v>0.0</v>
      </c>
    </row>
    <row r="141">
      <c r="A141" s="1">
        <v>5.0</v>
      </c>
      <c r="B141" s="1">
        <v>19.0</v>
      </c>
      <c r="C141" s="1">
        <v>10.0</v>
      </c>
      <c r="D141" s="1">
        <v>2.4</v>
      </c>
      <c r="E141" s="1">
        <v>0.0</v>
      </c>
      <c r="F141" s="1">
        <v>0.0</v>
      </c>
      <c r="G141" s="2">
        <v>0.3</v>
      </c>
      <c r="H141" s="1" t="s">
        <v>197</v>
      </c>
      <c r="I141" s="1">
        <v>12.0</v>
      </c>
      <c r="J141" s="1">
        <v>0.0</v>
      </c>
    </row>
    <row r="142">
      <c r="A142" s="1">
        <v>2.0</v>
      </c>
      <c r="B142" s="1">
        <v>7.0</v>
      </c>
      <c r="C142" s="1">
        <v>0.0</v>
      </c>
      <c r="D142" s="1">
        <v>0.0</v>
      </c>
      <c r="E142" s="1">
        <v>0.0</v>
      </c>
      <c r="F142" s="1">
        <v>0.0</v>
      </c>
      <c r="G142" s="2">
        <v>0.0</v>
      </c>
      <c r="H142" s="1" t="s">
        <v>198</v>
      </c>
      <c r="I142" s="1">
        <v>0.0</v>
      </c>
      <c r="J142" s="1">
        <v>0.0</v>
      </c>
    </row>
    <row r="143">
      <c r="A143" s="1">
        <v>5.0</v>
      </c>
      <c r="B143" s="1">
        <v>19.0</v>
      </c>
      <c r="C143" s="1">
        <v>1.0</v>
      </c>
      <c r="D143" s="1">
        <v>0.0</v>
      </c>
      <c r="E143" s="1">
        <v>0.0</v>
      </c>
      <c r="F143" s="1">
        <v>0.0</v>
      </c>
      <c r="G143" s="2">
        <v>0.0</v>
      </c>
      <c r="H143" s="1" t="s">
        <v>199</v>
      </c>
      <c r="I143" s="1">
        <v>0.0</v>
      </c>
      <c r="J143" s="1">
        <v>0.0</v>
      </c>
    </row>
    <row r="144">
      <c r="A144" s="1">
        <v>3.0</v>
      </c>
      <c r="B144" s="1">
        <v>12.0</v>
      </c>
      <c r="C144" s="1">
        <v>0.0</v>
      </c>
      <c r="D144" s="1">
        <v>0.0</v>
      </c>
      <c r="E144" s="1">
        <v>0.0</v>
      </c>
      <c r="F144" s="1">
        <v>0.0</v>
      </c>
      <c r="G144" s="2">
        <v>0.0</v>
      </c>
      <c r="H144" s="1" t="s">
        <v>200</v>
      </c>
      <c r="I144" s="1">
        <v>0.0</v>
      </c>
      <c r="J144" s="1">
        <v>0.0</v>
      </c>
    </row>
    <row r="145">
      <c r="A145" s="1">
        <v>3.0</v>
      </c>
      <c r="B145" s="1">
        <v>12.0</v>
      </c>
      <c r="C145" s="1">
        <v>1.0</v>
      </c>
      <c r="D145" s="1">
        <v>1.33</v>
      </c>
      <c r="E145" s="1">
        <v>0.0</v>
      </c>
      <c r="F145" s="1">
        <v>0.0</v>
      </c>
      <c r="G145" s="2">
        <v>1.0</v>
      </c>
      <c r="H145" s="1" t="s">
        <v>201</v>
      </c>
      <c r="I145" s="1">
        <v>4.0</v>
      </c>
      <c r="J145" s="1">
        <v>0.0</v>
      </c>
    </row>
    <row r="146">
      <c r="A146" s="1">
        <v>5.0</v>
      </c>
      <c r="B146" s="1">
        <v>20.0</v>
      </c>
      <c r="C146" s="1">
        <v>11.0</v>
      </c>
      <c r="D146" s="1">
        <v>5.6</v>
      </c>
      <c r="E146" s="1">
        <v>0.2</v>
      </c>
      <c r="F146" s="1">
        <v>0.0</v>
      </c>
      <c r="G146" s="6">
        <v>0.727</v>
      </c>
      <c r="H146" s="1" t="s">
        <v>70</v>
      </c>
      <c r="I146" s="1">
        <v>28.0</v>
      </c>
      <c r="J146" s="1">
        <v>1.0</v>
      </c>
    </row>
    <row r="147">
      <c r="A147" s="1">
        <v>1.0</v>
      </c>
      <c r="B147" s="1">
        <v>4.0</v>
      </c>
      <c r="C147" s="1">
        <v>0.0</v>
      </c>
      <c r="D147" s="1">
        <v>0.0</v>
      </c>
      <c r="E147" s="1">
        <v>0.0</v>
      </c>
      <c r="F147" s="1">
        <v>0.0</v>
      </c>
      <c r="G147" s="2">
        <v>0.0</v>
      </c>
      <c r="H147" s="1" t="s">
        <v>203</v>
      </c>
      <c r="I147" s="1">
        <v>0.0</v>
      </c>
      <c r="J147" s="1">
        <v>0.0</v>
      </c>
    </row>
    <row r="148">
      <c r="A148" s="1">
        <v>2.0</v>
      </c>
      <c r="B148" s="1">
        <v>8.0</v>
      </c>
      <c r="C148" s="1">
        <v>0.0</v>
      </c>
      <c r="D148" s="1">
        <v>0.0</v>
      </c>
      <c r="E148" s="1">
        <v>0.0</v>
      </c>
      <c r="F148" s="1">
        <v>0.0</v>
      </c>
      <c r="G148" s="2">
        <v>0.0</v>
      </c>
      <c r="H148" s="1" t="s">
        <v>205</v>
      </c>
      <c r="I148" s="1">
        <v>0.0</v>
      </c>
      <c r="J148" s="1">
        <v>0.0</v>
      </c>
    </row>
    <row r="149">
      <c r="A149" s="1">
        <v>1.0</v>
      </c>
      <c r="B149" s="1">
        <v>4.0</v>
      </c>
      <c r="C149" s="1">
        <v>0.0</v>
      </c>
      <c r="D149" s="1">
        <v>0.0</v>
      </c>
      <c r="E149" s="1">
        <v>0.0</v>
      </c>
      <c r="F149" s="1">
        <v>0.0</v>
      </c>
      <c r="G149" s="2">
        <v>0.0</v>
      </c>
      <c r="H149" s="1" t="s">
        <v>206</v>
      </c>
      <c r="I149" s="1">
        <v>0.0</v>
      </c>
      <c r="J149" s="1">
        <v>0.0</v>
      </c>
    </row>
    <row r="150">
      <c r="A150" s="1">
        <v>5.0</v>
      </c>
      <c r="B150" s="1">
        <v>20.0</v>
      </c>
      <c r="C150" s="1">
        <v>9.0</v>
      </c>
      <c r="D150" s="1">
        <v>3.2</v>
      </c>
      <c r="E150" s="1">
        <v>0.0</v>
      </c>
      <c r="F150" s="1">
        <v>0.0</v>
      </c>
      <c r="G150" s="6">
        <v>0.444</v>
      </c>
      <c r="H150" s="1" t="s">
        <v>62</v>
      </c>
      <c r="I150" s="1">
        <v>16.0</v>
      </c>
      <c r="J150" s="1">
        <v>0.0</v>
      </c>
    </row>
    <row r="151">
      <c r="A151" s="1">
        <v>1.0</v>
      </c>
      <c r="B151" s="1">
        <v>4.0</v>
      </c>
      <c r="C151" s="1">
        <v>0.0</v>
      </c>
      <c r="D151" s="1">
        <v>0.0</v>
      </c>
      <c r="E151" s="1">
        <v>0.0</v>
      </c>
      <c r="F151" s="1">
        <v>0.0</v>
      </c>
      <c r="G151" s="2">
        <v>0.0</v>
      </c>
      <c r="H151" s="1" t="s">
        <v>208</v>
      </c>
      <c r="I151" s="1">
        <v>0.0</v>
      </c>
      <c r="J151" s="1">
        <v>0.0</v>
      </c>
    </row>
    <row r="152">
      <c r="A152" s="1">
        <v>5.0</v>
      </c>
      <c r="B152" s="1">
        <v>21.0</v>
      </c>
      <c r="C152" s="1">
        <v>0.0</v>
      </c>
      <c r="D152" s="1">
        <v>0.0</v>
      </c>
      <c r="E152" s="1">
        <v>0.0</v>
      </c>
      <c r="F152" s="1">
        <v>0.0</v>
      </c>
      <c r="G152" s="2">
        <v>0.0</v>
      </c>
      <c r="H152" s="1" t="s">
        <v>209</v>
      </c>
      <c r="I152" s="1">
        <v>0.0</v>
      </c>
      <c r="J152" s="1">
        <v>0.0</v>
      </c>
    </row>
    <row r="153">
      <c r="A153" s="1">
        <v>5.0</v>
      </c>
      <c r="B153" s="1">
        <v>21.0</v>
      </c>
      <c r="C153" s="1">
        <v>1.0</v>
      </c>
      <c r="D153" s="1">
        <v>0.8</v>
      </c>
      <c r="E153" s="1">
        <v>0.0</v>
      </c>
      <c r="F153" s="1">
        <v>0.0</v>
      </c>
      <c r="G153" s="2">
        <v>1.0</v>
      </c>
      <c r="H153" s="1" t="s">
        <v>210</v>
      </c>
      <c r="I153" s="1">
        <v>4.0</v>
      </c>
      <c r="J153" s="1">
        <v>0.0</v>
      </c>
    </row>
    <row r="154">
      <c r="A154" s="1">
        <v>5.0</v>
      </c>
      <c r="B154" s="1">
        <v>21.0</v>
      </c>
      <c r="C154" s="1">
        <v>3.0</v>
      </c>
      <c r="D154" s="1">
        <v>0.8</v>
      </c>
      <c r="E154" s="1">
        <v>0.0</v>
      </c>
      <c r="F154" s="1">
        <v>0.0</v>
      </c>
      <c r="G154" s="6">
        <v>0.333</v>
      </c>
      <c r="H154" s="1" t="s">
        <v>211</v>
      </c>
      <c r="I154" s="1">
        <v>4.0</v>
      </c>
      <c r="J154" s="1">
        <v>0.0</v>
      </c>
    </row>
    <row r="155">
      <c r="A155" s="1">
        <v>5.0</v>
      </c>
      <c r="B155" s="1">
        <v>21.0</v>
      </c>
      <c r="C155" s="1">
        <v>4.0</v>
      </c>
      <c r="D155" s="1">
        <v>0.8</v>
      </c>
      <c r="E155" s="1">
        <v>0.0</v>
      </c>
      <c r="F155" s="1">
        <v>0.0</v>
      </c>
      <c r="G155" s="2">
        <v>0.25</v>
      </c>
      <c r="H155" s="1" t="s">
        <v>213</v>
      </c>
      <c r="I155" s="1">
        <v>4.0</v>
      </c>
      <c r="J155" s="1">
        <v>0.0</v>
      </c>
    </row>
    <row r="156">
      <c r="A156" s="1">
        <v>1.0</v>
      </c>
      <c r="B156" s="1">
        <v>4.0</v>
      </c>
      <c r="C156" s="1">
        <v>0.0</v>
      </c>
      <c r="D156" s="1">
        <v>0.0</v>
      </c>
      <c r="E156" s="1">
        <v>0.0</v>
      </c>
      <c r="F156" s="1">
        <v>0.0</v>
      </c>
      <c r="G156" s="2">
        <v>0.0</v>
      </c>
      <c r="H156" s="1" t="s">
        <v>214</v>
      </c>
      <c r="I156" s="1">
        <v>0.0</v>
      </c>
      <c r="J156" s="1">
        <v>0.0</v>
      </c>
    </row>
    <row r="157">
      <c r="A157" s="1">
        <v>2.0</v>
      </c>
      <c r="B157" s="1">
        <v>8.0</v>
      </c>
      <c r="C157" s="1">
        <v>0.0</v>
      </c>
      <c r="D157" s="1">
        <v>0.0</v>
      </c>
      <c r="E157" s="1">
        <v>0.0</v>
      </c>
      <c r="F157" s="1">
        <v>0.0</v>
      </c>
      <c r="G157" s="2">
        <v>0.0</v>
      </c>
      <c r="H157" s="1" t="s">
        <v>214</v>
      </c>
      <c r="I157" s="1">
        <v>0.0</v>
      </c>
      <c r="J157" s="1">
        <v>0.0</v>
      </c>
    </row>
    <row r="158">
      <c r="A158" s="1">
        <v>1.0</v>
      </c>
      <c r="B158" s="1">
        <v>4.0</v>
      </c>
      <c r="C158" s="1">
        <v>0.0</v>
      </c>
      <c r="D158" s="1">
        <v>0.0</v>
      </c>
      <c r="E158" s="1">
        <v>0.0</v>
      </c>
      <c r="F158" s="1">
        <v>0.0</v>
      </c>
      <c r="G158" s="2">
        <v>0.0</v>
      </c>
      <c r="H158" s="1" t="s">
        <v>214</v>
      </c>
      <c r="I158" s="1">
        <v>0.0</v>
      </c>
      <c r="J158" s="1">
        <v>0.0</v>
      </c>
    </row>
    <row r="159">
      <c r="A159" s="1">
        <v>1.0</v>
      </c>
      <c r="B159" s="1">
        <v>4.0</v>
      </c>
      <c r="C159" s="1">
        <v>0.0</v>
      </c>
      <c r="D159" s="1">
        <v>0.0</v>
      </c>
      <c r="E159" s="1">
        <v>0.0</v>
      </c>
      <c r="F159" s="1">
        <v>0.0</v>
      </c>
      <c r="G159" s="2">
        <v>0.0</v>
      </c>
      <c r="H159" s="1" t="s">
        <v>214</v>
      </c>
      <c r="I159" s="1">
        <v>0.0</v>
      </c>
      <c r="J159" s="1">
        <v>0.0</v>
      </c>
    </row>
    <row r="160">
      <c r="A160" s="1">
        <v>2.0</v>
      </c>
      <c r="B160" s="1">
        <v>8.0</v>
      </c>
      <c r="C160" s="1">
        <v>4.0</v>
      </c>
      <c r="D160" s="1">
        <v>8.0</v>
      </c>
      <c r="E160" s="1">
        <v>0.0</v>
      </c>
      <c r="F160" s="1">
        <v>0.0</v>
      </c>
      <c r="G160" s="2">
        <v>1.0</v>
      </c>
      <c r="H160" s="1" t="s">
        <v>217</v>
      </c>
      <c r="I160" s="1">
        <v>16.0</v>
      </c>
      <c r="J160" s="1">
        <v>0.0</v>
      </c>
    </row>
    <row r="161">
      <c r="A161" s="1">
        <v>1.0</v>
      </c>
      <c r="B161" s="1">
        <v>4.0</v>
      </c>
      <c r="C161" s="1">
        <v>1.0</v>
      </c>
      <c r="D161" s="1">
        <v>4.0</v>
      </c>
      <c r="E161" s="1">
        <v>0.0</v>
      </c>
      <c r="F161" s="1">
        <v>0.0</v>
      </c>
      <c r="G161" s="2">
        <v>1.0</v>
      </c>
      <c r="H161" s="1" t="s">
        <v>217</v>
      </c>
      <c r="I161" s="1">
        <v>4.0</v>
      </c>
      <c r="J161" s="1">
        <v>0.0</v>
      </c>
    </row>
    <row r="162">
      <c r="A162" s="1">
        <v>3.0</v>
      </c>
      <c r="B162" s="1">
        <v>12.0</v>
      </c>
      <c r="C162" s="1">
        <v>0.0</v>
      </c>
      <c r="D162" s="1">
        <v>0.0</v>
      </c>
      <c r="E162" s="1">
        <v>0.0</v>
      </c>
      <c r="F162" s="1">
        <v>0.0</v>
      </c>
      <c r="G162" s="2">
        <v>0.0</v>
      </c>
      <c r="H162" s="1" t="s">
        <v>105</v>
      </c>
      <c r="I162" s="1">
        <v>0.0</v>
      </c>
      <c r="J162" s="1">
        <v>0.0</v>
      </c>
    </row>
    <row r="163">
      <c r="A163" s="1">
        <v>1.0</v>
      </c>
      <c r="B163" s="1">
        <v>4.0</v>
      </c>
      <c r="C163" s="1">
        <v>0.0</v>
      </c>
      <c r="D163" s="1">
        <v>0.0</v>
      </c>
      <c r="E163" s="1">
        <v>0.0</v>
      </c>
      <c r="F163" s="1">
        <v>0.0</v>
      </c>
      <c r="G163" s="2">
        <v>0.0</v>
      </c>
      <c r="H163" s="1" t="s">
        <v>105</v>
      </c>
      <c r="I163" s="1">
        <v>0.0</v>
      </c>
      <c r="J163" s="1">
        <v>0.0</v>
      </c>
    </row>
    <row r="164">
      <c r="A164" s="1">
        <v>1.0</v>
      </c>
      <c r="B164" s="1">
        <v>4.0</v>
      </c>
      <c r="C164" s="1">
        <v>0.0</v>
      </c>
      <c r="D164" s="1">
        <v>0.0</v>
      </c>
      <c r="E164" s="1">
        <v>0.0</v>
      </c>
      <c r="F164" s="1">
        <v>0.0</v>
      </c>
      <c r="G164" s="2">
        <v>0.0</v>
      </c>
      <c r="H164" s="1" t="s">
        <v>105</v>
      </c>
      <c r="I164" s="1">
        <v>0.0</v>
      </c>
      <c r="J164" s="1">
        <v>0.0</v>
      </c>
    </row>
    <row r="165">
      <c r="A165" s="1">
        <v>1.0</v>
      </c>
      <c r="B165" s="1">
        <v>4.0</v>
      </c>
      <c r="C165" s="1">
        <v>0.0</v>
      </c>
      <c r="D165" s="1">
        <v>0.0</v>
      </c>
      <c r="E165" s="1">
        <v>0.0</v>
      </c>
      <c r="F165" s="1">
        <v>0.0</v>
      </c>
      <c r="G165" s="2">
        <v>0.0</v>
      </c>
      <c r="H165" s="1" t="s">
        <v>219</v>
      </c>
      <c r="I165" s="1">
        <v>0.0</v>
      </c>
      <c r="J165" s="1">
        <v>0.0</v>
      </c>
    </row>
    <row r="166">
      <c r="A166" s="1">
        <v>2.0</v>
      </c>
      <c r="B166" s="1">
        <v>8.0</v>
      </c>
      <c r="C166" s="1">
        <v>7.0</v>
      </c>
      <c r="D166" s="1">
        <v>10.0</v>
      </c>
      <c r="E166" s="1">
        <v>0.5</v>
      </c>
      <c r="F166" s="1">
        <v>0.0</v>
      </c>
      <c r="G166" s="6">
        <v>0.857</v>
      </c>
      <c r="H166" s="1" t="s">
        <v>220</v>
      </c>
      <c r="I166" s="1">
        <v>20.0</v>
      </c>
      <c r="J166" s="1">
        <v>1.0</v>
      </c>
    </row>
    <row r="167">
      <c r="A167" s="1">
        <v>1.0</v>
      </c>
      <c r="B167" s="1">
        <v>4.0</v>
      </c>
      <c r="C167" s="1">
        <v>1.0</v>
      </c>
      <c r="D167" s="1">
        <v>4.0</v>
      </c>
      <c r="E167" s="1">
        <v>0.0</v>
      </c>
      <c r="F167" s="1">
        <v>0.0</v>
      </c>
      <c r="G167" s="2">
        <v>1.0</v>
      </c>
      <c r="H167" s="1" t="s">
        <v>220</v>
      </c>
      <c r="I167" s="1">
        <v>4.0</v>
      </c>
      <c r="J167" s="1">
        <v>0.0</v>
      </c>
    </row>
    <row r="168">
      <c r="A168" s="1">
        <v>1.0</v>
      </c>
      <c r="B168" s="1">
        <v>4.0</v>
      </c>
      <c r="C168" s="1">
        <v>3.0</v>
      </c>
      <c r="D168" s="1">
        <v>4.0</v>
      </c>
      <c r="E168" s="1">
        <v>1.0</v>
      </c>
      <c r="F168" s="1">
        <v>0.0</v>
      </c>
      <c r="G168" s="6">
        <v>0.667</v>
      </c>
      <c r="H168" s="1" t="s">
        <v>220</v>
      </c>
      <c r="I168" s="1">
        <v>4.0</v>
      </c>
      <c r="J168" s="1">
        <v>1.0</v>
      </c>
    </row>
    <row r="169">
      <c r="A169" s="1">
        <v>1.0</v>
      </c>
      <c r="B169" s="1">
        <v>4.0</v>
      </c>
      <c r="C169" s="1">
        <v>1.0</v>
      </c>
      <c r="D169" s="1">
        <v>-4.0</v>
      </c>
      <c r="E169" s="1">
        <v>1.0</v>
      </c>
      <c r="F169" s="1">
        <v>0.0</v>
      </c>
      <c r="G169" s="2">
        <v>0.0</v>
      </c>
      <c r="H169" s="1" t="s">
        <v>220</v>
      </c>
      <c r="I169" s="1">
        <v>-4.0</v>
      </c>
      <c r="J169" s="1">
        <v>1.0</v>
      </c>
    </row>
    <row r="170">
      <c r="A170" s="1">
        <v>1.0</v>
      </c>
      <c r="B170" s="1">
        <v>4.0</v>
      </c>
      <c r="C170" s="1">
        <v>2.0</v>
      </c>
      <c r="D170" s="1">
        <v>-4.0</v>
      </c>
      <c r="E170" s="1">
        <v>1.0</v>
      </c>
      <c r="F170" s="1">
        <v>0.0</v>
      </c>
      <c r="G170" s="2">
        <v>0.0</v>
      </c>
      <c r="H170" s="1" t="s">
        <v>222</v>
      </c>
      <c r="I170" s="1">
        <v>-4.0</v>
      </c>
      <c r="J170" s="1">
        <v>1.0</v>
      </c>
    </row>
    <row r="171">
      <c r="A171" s="1">
        <v>4.0</v>
      </c>
      <c r="B171" s="1">
        <v>16.0</v>
      </c>
      <c r="C171" s="1">
        <v>3.0</v>
      </c>
      <c r="D171" s="1">
        <v>-1.0</v>
      </c>
      <c r="E171" s="1">
        <v>0.5</v>
      </c>
      <c r="F171" s="1">
        <v>0.0</v>
      </c>
      <c r="G171" s="6">
        <v>0.333</v>
      </c>
      <c r="H171" s="1" t="s">
        <v>222</v>
      </c>
      <c r="I171" s="1">
        <v>-4.0</v>
      </c>
      <c r="J171" s="1">
        <v>2.0</v>
      </c>
    </row>
    <row r="172">
      <c r="A172" s="1">
        <v>2.0</v>
      </c>
      <c r="B172" s="1">
        <v>8.0</v>
      </c>
      <c r="C172" s="1">
        <v>0.0</v>
      </c>
      <c r="D172" s="1">
        <v>0.0</v>
      </c>
      <c r="E172" s="1">
        <v>0.0</v>
      </c>
      <c r="F172" s="1">
        <v>0.0</v>
      </c>
      <c r="G172" s="2">
        <v>0.0</v>
      </c>
      <c r="H172" s="1" t="s">
        <v>224</v>
      </c>
      <c r="I172" s="1">
        <v>0.0</v>
      </c>
      <c r="J172" s="1">
        <v>0.0</v>
      </c>
    </row>
    <row r="173">
      <c r="A173" s="1">
        <v>5.0</v>
      </c>
      <c r="B173" s="1">
        <v>20.0</v>
      </c>
      <c r="C173" s="1">
        <v>6.0</v>
      </c>
      <c r="D173" s="1">
        <v>1.6</v>
      </c>
      <c r="E173" s="1">
        <v>0.4</v>
      </c>
      <c r="F173" s="1">
        <v>0.0</v>
      </c>
      <c r="G173" s="6">
        <v>0.667</v>
      </c>
      <c r="H173" s="1" t="s">
        <v>47</v>
      </c>
      <c r="I173" s="1">
        <v>8.0</v>
      </c>
      <c r="J173" s="1">
        <v>2.0</v>
      </c>
    </row>
    <row r="174">
      <c r="A174" s="1">
        <v>1.0</v>
      </c>
      <c r="B174" s="1">
        <v>4.0</v>
      </c>
      <c r="C174" s="1">
        <v>0.0</v>
      </c>
      <c r="D174" s="1">
        <v>0.0</v>
      </c>
      <c r="E174" s="1">
        <v>0.0</v>
      </c>
      <c r="F174" s="1">
        <v>0.0</v>
      </c>
      <c r="G174" s="2">
        <v>0.0</v>
      </c>
      <c r="H174" s="1" t="s">
        <v>225</v>
      </c>
      <c r="I174" s="1">
        <v>0.0</v>
      </c>
      <c r="J174" s="1">
        <v>0.0</v>
      </c>
    </row>
    <row r="175">
      <c r="A175" s="1">
        <v>1.0</v>
      </c>
      <c r="B175" s="1">
        <v>4.0</v>
      </c>
      <c r="C175" s="1">
        <v>0.0</v>
      </c>
      <c r="D175" s="1">
        <v>0.0</v>
      </c>
      <c r="E175" s="1">
        <v>0.0</v>
      </c>
      <c r="F175" s="1">
        <v>0.0</v>
      </c>
      <c r="G175" s="2">
        <v>0.0</v>
      </c>
      <c r="H175" s="1" t="s">
        <v>226</v>
      </c>
      <c r="I175" s="1">
        <v>0.0</v>
      </c>
      <c r="J175" s="1">
        <v>0.0</v>
      </c>
    </row>
    <row r="176">
      <c r="A176" s="1">
        <v>3.0</v>
      </c>
      <c r="B176" s="1">
        <v>12.0</v>
      </c>
      <c r="C176" s="1">
        <v>0.0</v>
      </c>
      <c r="D176" s="1">
        <v>0.0</v>
      </c>
      <c r="E176" s="1">
        <v>0.0</v>
      </c>
      <c r="F176" s="1">
        <v>0.0</v>
      </c>
      <c r="G176" s="2">
        <v>0.0</v>
      </c>
      <c r="H176" s="1" t="s">
        <v>226</v>
      </c>
      <c r="I176" s="1">
        <v>0.0</v>
      </c>
      <c r="J176" s="1">
        <v>0.0</v>
      </c>
    </row>
    <row r="177">
      <c r="A177" s="1">
        <v>1.0</v>
      </c>
      <c r="B177" s="1">
        <v>4.0</v>
      </c>
      <c r="C177" s="1">
        <v>0.0</v>
      </c>
      <c r="D177" s="1">
        <v>0.0</v>
      </c>
      <c r="E177" s="1">
        <v>0.0</v>
      </c>
      <c r="F177" s="1">
        <v>0.0</v>
      </c>
      <c r="G177" s="2">
        <v>0.0</v>
      </c>
      <c r="H177" s="1" t="s">
        <v>227</v>
      </c>
      <c r="I177" s="1">
        <v>0.0</v>
      </c>
      <c r="J177" s="1">
        <v>0.0</v>
      </c>
    </row>
    <row r="178">
      <c r="A178" s="1">
        <v>1.0</v>
      </c>
      <c r="B178" s="1">
        <v>4.0</v>
      </c>
      <c r="C178" s="1">
        <v>0.0</v>
      </c>
      <c r="D178" s="1">
        <v>0.0</v>
      </c>
      <c r="E178" s="1">
        <v>0.0</v>
      </c>
      <c r="F178" s="1">
        <v>0.0</v>
      </c>
      <c r="G178" s="2">
        <v>0.0</v>
      </c>
      <c r="H178" s="1" t="s">
        <v>227</v>
      </c>
      <c r="I178" s="1">
        <v>0.0</v>
      </c>
      <c r="J178" s="1">
        <v>0.0</v>
      </c>
    </row>
    <row r="179">
      <c r="A179" s="1">
        <v>3.0</v>
      </c>
      <c r="B179" s="1">
        <v>12.0</v>
      </c>
      <c r="C179" s="1">
        <v>0.0</v>
      </c>
      <c r="D179" s="1">
        <v>0.0</v>
      </c>
      <c r="E179" s="1">
        <v>0.0</v>
      </c>
      <c r="F179" s="1">
        <v>0.0</v>
      </c>
      <c r="G179" s="2">
        <v>0.0</v>
      </c>
      <c r="H179" s="1" t="s">
        <v>227</v>
      </c>
      <c r="I179" s="1">
        <v>0.0</v>
      </c>
      <c r="J179" s="1">
        <v>0.0</v>
      </c>
    </row>
    <row r="180">
      <c r="A180" s="1">
        <v>1.0</v>
      </c>
      <c r="B180" s="1">
        <v>4.0</v>
      </c>
      <c r="C180" s="1">
        <v>0.0</v>
      </c>
      <c r="D180" s="1">
        <v>0.0</v>
      </c>
      <c r="E180" s="1">
        <v>0.0</v>
      </c>
      <c r="F180" s="1">
        <v>0.0</v>
      </c>
      <c r="G180" s="2">
        <v>0.0</v>
      </c>
      <c r="H180" s="1" t="s">
        <v>229</v>
      </c>
      <c r="I180" s="1">
        <v>0.0</v>
      </c>
      <c r="J180" s="1">
        <v>0.0</v>
      </c>
    </row>
    <row r="181">
      <c r="A181" s="1">
        <v>1.0</v>
      </c>
      <c r="B181" s="1">
        <v>4.0</v>
      </c>
      <c r="C181" s="1">
        <v>1.0</v>
      </c>
      <c r="D181" s="1">
        <v>4.0</v>
      </c>
      <c r="E181" s="1">
        <v>0.0</v>
      </c>
      <c r="F181" s="1">
        <v>0.0</v>
      </c>
      <c r="G181" s="2">
        <v>1.0</v>
      </c>
      <c r="H181" s="1" t="s">
        <v>229</v>
      </c>
      <c r="I181" s="1">
        <v>4.0</v>
      </c>
      <c r="J181" s="1">
        <v>0.0</v>
      </c>
    </row>
    <row r="182">
      <c r="A182" s="1">
        <v>2.0</v>
      </c>
      <c r="B182" s="1">
        <v>8.0</v>
      </c>
      <c r="C182" s="1">
        <v>3.0</v>
      </c>
      <c r="D182" s="1">
        <v>0.0</v>
      </c>
      <c r="E182" s="1">
        <v>0.5</v>
      </c>
      <c r="F182" s="1">
        <v>0.0</v>
      </c>
      <c r="G182" s="6">
        <v>0.333</v>
      </c>
      <c r="H182" s="1" t="s">
        <v>229</v>
      </c>
      <c r="I182" s="1">
        <v>0.0</v>
      </c>
      <c r="J182" s="1">
        <v>1.0</v>
      </c>
    </row>
    <row r="183">
      <c r="A183" s="1">
        <v>1.0</v>
      </c>
      <c r="B183" s="1">
        <v>4.0</v>
      </c>
      <c r="C183" s="1">
        <v>3.0</v>
      </c>
      <c r="D183" s="1">
        <v>8.0</v>
      </c>
      <c r="E183" s="1">
        <v>0.0</v>
      </c>
      <c r="F183" s="1">
        <v>0.0</v>
      </c>
      <c r="G183" s="6">
        <v>0.667</v>
      </c>
      <c r="H183" s="1" t="s">
        <v>232</v>
      </c>
      <c r="I183" s="1">
        <v>8.0</v>
      </c>
      <c r="J183" s="1">
        <v>0.0</v>
      </c>
    </row>
    <row r="184">
      <c r="A184" s="1">
        <v>3.0</v>
      </c>
      <c r="B184" s="1">
        <v>12.0</v>
      </c>
      <c r="C184" s="1">
        <v>3.0</v>
      </c>
      <c r="D184" s="1">
        <v>2.67</v>
      </c>
      <c r="E184" s="1">
        <v>0.0</v>
      </c>
      <c r="F184" s="1">
        <v>0.0</v>
      </c>
      <c r="G184" s="6">
        <v>0.667</v>
      </c>
      <c r="H184" s="1" t="s">
        <v>232</v>
      </c>
      <c r="I184" s="1">
        <v>8.0</v>
      </c>
      <c r="J184" s="1">
        <v>0.0</v>
      </c>
    </row>
    <row r="185">
      <c r="A185" s="1">
        <v>1.0</v>
      </c>
      <c r="B185" s="1">
        <v>4.0</v>
      </c>
      <c r="C185" s="1">
        <v>1.0</v>
      </c>
      <c r="D185" s="1">
        <v>-4.0</v>
      </c>
      <c r="E185" s="1">
        <v>1.0</v>
      </c>
      <c r="F185" s="1">
        <v>0.0</v>
      </c>
      <c r="G185" s="2">
        <v>0.0</v>
      </c>
      <c r="H185" s="1" t="s">
        <v>232</v>
      </c>
      <c r="I185" s="1">
        <v>-4.0</v>
      </c>
      <c r="J185" s="1">
        <v>1.0</v>
      </c>
    </row>
    <row r="186">
      <c r="A186" s="1">
        <v>1.0</v>
      </c>
      <c r="B186" s="1">
        <v>4.0</v>
      </c>
      <c r="C186" s="1">
        <v>0.0</v>
      </c>
      <c r="D186" s="1">
        <v>0.0</v>
      </c>
      <c r="E186" s="1">
        <v>0.0</v>
      </c>
      <c r="F186" s="1">
        <v>0.0</v>
      </c>
      <c r="G186" s="2">
        <v>0.0</v>
      </c>
      <c r="H186" s="1" t="s">
        <v>233</v>
      </c>
      <c r="I186" s="1">
        <v>0.0</v>
      </c>
      <c r="J186" s="1">
        <v>0.0</v>
      </c>
    </row>
    <row r="187">
      <c r="A187" s="1">
        <v>1.0</v>
      </c>
      <c r="B187" s="1">
        <v>4.0</v>
      </c>
      <c r="C187" s="1">
        <v>0.0</v>
      </c>
      <c r="D187" s="1">
        <v>0.0</v>
      </c>
      <c r="E187" s="1">
        <v>0.0</v>
      </c>
      <c r="F187" s="1">
        <v>0.0</v>
      </c>
      <c r="G187" s="2">
        <v>0.0</v>
      </c>
      <c r="H187" s="1" t="s">
        <v>233</v>
      </c>
      <c r="I187" s="1">
        <v>0.0</v>
      </c>
      <c r="J187" s="1">
        <v>0.0</v>
      </c>
    </row>
    <row r="188">
      <c r="A188" s="1">
        <v>1.0</v>
      </c>
      <c r="B188" s="1">
        <v>4.0</v>
      </c>
      <c r="C188" s="1">
        <v>0.0</v>
      </c>
      <c r="D188" s="1">
        <v>0.0</v>
      </c>
      <c r="E188" s="1">
        <v>0.0</v>
      </c>
      <c r="F188" s="1">
        <v>0.0</v>
      </c>
      <c r="G188" s="2">
        <v>0.0</v>
      </c>
      <c r="H188" s="1" t="s">
        <v>233</v>
      </c>
      <c r="I188" s="1">
        <v>0.0</v>
      </c>
      <c r="J188" s="1">
        <v>0.0</v>
      </c>
    </row>
    <row r="189">
      <c r="A189" s="1">
        <v>1.0</v>
      </c>
      <c r="B189" s="1">
        <v>4.0</v>
      </c>
      <c r="C189" s="1">
        <v>0.0</v>
      </c>
      <c r="D189" s="1">
        <v>0.0</v>
      </c>
      <c r="E189" s="1">
        <v>0.0</v>
      </c>
      <c r="F189" s="1">
        <v>0.0</v>
      </c>
      <c r="G189" s="2">
        <v>0.0</v>
      </c>
      <c r="H189" s="1" t="s">
        <v>233</v>
      </c>
      <c r="I189" s="1">
        <v>0.0</v>
      </c>
      <c r="J189" s="1">
        <v>0.0</v>
      </c>
    </row>
    <row r="190">
      <c r="A190" s="1">
        <v>2.0</v>
      </c>
      <c r="B190" s="1">
        <v>8.0</v>
      </c>
      <c r="C190" s="1">
        <v>1.0</v>
      </c>
      <c r="D190" s="1">
        <v>2.0</v>
      </c>
      <c r="E190" s="1">
        <v>0.0</v>
      </c>
      <c r="F190" s="1">
        <v>0.0</v>
      </c>
      <c r="G190" s="2">
        <v>1.0</v>
      </c>
      <c r="H190" s="1" t="s">
        <v>234</v>
      </c>
      <c r="I190" s="1">
        <v>4.0</v>
      </c>
      <c r="J190" s="1">
        <v>0.0</v>
      </c>
    </row>
    <row r="191">
      <c r="A191" s="1">
        <v>1.0</v>
      </c>
      <c r="B191" s="1">
        <v>4.0</v>
      </c>
      <c r="C191" s="1">
        <v>0.0</v>
      </c>
      <c r="D191" s="1">
        <v>0.0</v>
      </c>
      <c r="E191" s="1">
        <v>0.0</v>
      </c>
      <c r="F191" s="1">
        <v>0.0</v>
      </c>
      <c r="G191" s="2">
        <v>0.0</v>
      </c>
      <c r="H191" s="1" t="s">
        <v>153</v>
      </c>
      <c r="I191" s="1">
        <v>0.0</v>
      </c>
      <c r="J191" s="1">
        <v>0.0</v>
      </c>
    </row>
    <row r="192">
      <c r="A192" s="1">
        <v>4.0</v>
      </c>
      <c r="B192" s="1">
        <v>16.0</v>
      </c>
      <c r="C192" s="1">
        <v>0.0</v>
      </c>
      <c r="D192" s="1">
        <v>0.0</v>
      </c>
      <c r="E192" s="1">
        <v>0.0</v>
      </c>
      <c r="F192" s="1">
        <v>0.0</v>
      </c>
      <c r="G192" s="2">
        <v>0.0</v>
      </c>
      <c r="H192" s="1" t="s">
        <v>235</v>
      </c>
      <c r="I192" s="1">
        <v>0.0</v>
      </c>
      <c r="J192" s="1">
        <v>0.0</v>
      </c>
    </row>
    <row r="193">
      <c r="A193" s="1">
        <v>1.0</v>
      </c>
      <c r="B193" s="1">
        <v>4.0</v>
      </c>
      <c r="C193" s="1">
        <v>2.0</v>
      </c>
      <c r="D193" s="1">
        <v>8.0</v>
      </c>
      <c r="E193" s="1">
        <v>0.0</v>
      </c>
      <c r="F193" s="1">
        <v>0.0</v>
      </c>
      <c r="G193" s="2">
        <v>1.0</v>
      </c>
      <c r="H193" s="1" t="s">
        <v>202</v>
      </c>
      <c r="I193" s="1">
        <v>8.0</v>
      </c>
      <c r="J193" s="1">
        <v>0.0</v>
      </c>
    </row>
    <row r="194">
      <c r="A194" s="1">
        <v>4.0</v>
      </c>
      <c r="B194" s="1">
        <v>16.0</v>
      </c>
      <c r="C194" s="1">
        <v>8.0</v>
      </c>
      <c r="D194" s="1">
        <v>5.0</v>
      </c>
      <c r="E194" s="1">
        <v>0.25</v>
      </c>
      <c r="F194" s="1">
        <v>0.0</v>
      </c>
      <c r="G194" s="2">
        <v>0.75</v>
      </c>
      <c r="H194" s="1" t="s">
        <v>202</v>
      </c>
      <c r="I194" s="1">
        <v>20.0</v>
      </c>
      <c r="J194" s="1">
        <v>1.0</v>
      </c>
    </row>
    <row r="195">
      <c r="A195" s="1">
        <v>1.0</v>
      </c>
      <c r="B195" s="1">
        <v>4.0</v>
      </c>
      <c r="C195" s="1">
        <v>0.0</v>
      </c>
      <c r="D195" s="1">
        <v>0.0</v>
      </c>
      <c r="E195" s="1">
        <v>0.0</v>
      </c>
      <c r="F195" s="1">
        <v>0.0</v>
      </c>
      <c r="G195" s="2">
        <v>0.0</v>
      </c>
      <c r="H195" s="1" t="s">
        <v>135</v>
      </c>
      <c r="I195" s="1">
        <v>0.0</v>
      </c>
      <c r="J195" s="1">
        <v>0.0</v>
      </c>
    </row>
    <row r="196">
      <c r="A196" s="1">
        <v>3.0</v>
      </c>
      <c r="B196" s="1">
        <v>12.0</v>
      </c>
      <c r="C196" s="1">
        <v>0.0</v>
      </c>
      <c r="D196" s="1">
        <v>0.0</v>
      </c>
      <c r="E196" s="1">
        <v>0.0</v>
      </c>
      <c r="F196" s="1">
        <v>0.0</v>
      </c>
      <c r="G196" s="2">
        <v>0.0</v>
      </c>
      <c r="H196" s="1" t="s">
        <v>135</v>
      </c>
      <c r="I196" s="1">
        <v>0.0</v>
      </c>
      <c r="J196" s="1">
        <v>0.0</v>
      </c>
    </row>
    <row r="197">
      <c r="A197" s="1">
        <v>1.0</v>
      </c>
      <c r="B197" s="1">
        <v>4.0</v>
      </c>
      <c r="C197" s="1">
        <v>0.0</v>
      </c>
      <c r="D197" s="1">
        <v>0.0</v>
      </c>
      <c r="E197" s="1">
        <v>0.0</v>
      </c>
      <c r="F197" s="1">
        <v>0.0</v>
      </c>
      <c r="G197" s="2">
        <v>0.0</v>
      </c>
      <c r="H197" s="1" t="s">
        <v>236</v>
      </c>
      <c r="I197" s="1">
        <v>0.0</v>
      </c>
      <c r="J197" s="1">
        <v>0.0</v>
      </c>
    </row>
    <row r="198">
      <c r="A198" s="1">
        <v>1.0</v>
      </c>
      <c r="B198" s="1">
        <v>4.0</v>
      </c>
      <c r="C198" s="1">
        <v>0.0</v>
      </c>
      <c r="D198" s="1">
        <v>0.0</v>
      </c>
      <c r="E198" s="1">
        <v>0.0</v>
      </c>
      <c r="F198" s="1">
        <v>0.0</v>
      </c>
      <c r="G198" s="2">
        <v>0.0</v>
      </c>
      <c r="H198" s="1" t="s">
        <v>236</v>
      </c>
      <c r="I198" s="1">
        <v>0.0</v>
      </c>
      <c r="J198" s="1">
        <v>0.0</v>
      </c>
    </row>
    <row r="199">
      <c r="A199" s="1">
        <v>1.0</v>
      </c>
      <c r="B199" s="1">
        <v>4.0</v>
      </c>
      <c r="C199" s="1">
        <v>1.0</v>
      </c>
      <c r="D199" s="1">
        <v>4.0</v>
      </c>
      <c r="E199" s="1">
        <v>0.0</v>
      </c>
      <c r="F199" s="1">
        <v>0.0</v>
      </c>
      <c r="G199" s="2">
        <v>1.0</v>
      </c>
      <c r="H199" s="1" t="s">
        <v>237</v>
      </c>
      <c r="I199" s="1">
        <v>4.0</v>
      </c>
      <c r="J199" s="1">
        <v>0.0</v>
      </c>
    </row>
    <row r="200">
      <c r="A200" s="1">
        <v>5.0</v>
      </c>
      <c r="B200" s="1">
        <v>21.0</v>
      </c>
      <c r="C200" s="1">
        <v>8.0</v>
      </c>
      <c r="D200" s="1">
        <v>4.8</v>
      </c>
      <c r="E200" s="1">
        <v>0.0</v>
      </c>
      <c r="F200" s="1">
        <v>0.0</v>
      </c>
      <c r="G200" s="2">
        <v>0.75</v>
      </c>
      <c r="H200" s="1" t="s">
        <v>182</v>
      </c>
      <c r="I200" s="1">
        <v>24.0</v>
      </c>
      <c r="J200" s="1">
        <v>0.0</v>
      </c>
    </row>
    <row r="201">
      <c r="A201" s="1">
        <v>5.0</v>
      </c>
      <c r="B201" s="1">
        <v>21.0</v>
      </c>
      <c r="C201" s="1">
        <v>2.0</v>
      </c>
      <c r="D201" s="1">
        <v>0.8</v>
      </c>
      <c r="E201" s="1">
        <v>0.0</v>
      </c>
      <c r="F201" s="1">
        <v>0.0</v>
      </c>
      <c r="G201" s="2">
        <v>0.5</v>
      </c>
      <c r="H201" s="1" t="s">
        <v>204</v>
      </c>
      <c r="I201" s="1">
        <v>4.0</v>
      </c>
      <c r="J201" s="1">
        <v>0.0</v>
      </c>
    </row>
    <row r="202">
      <c r="A202" s="1">
        <v>3.0</v>
      </c>
      <c r="B202" s="1">
        <v>12.0</v>
      </c>
      <c r="C202" s="1">
        <v>7.0</v>
      </c>
      <c r="D202" s="1">
        <v>1.33</v>
      </c>
      <c r="E202" s="1">
        <v>0.33</v>
      </c>
      <c r="F202" s="1">
        <v>0.0</v>
      </c>
      <c r="G202" s="6">
        <v>0.286</v>
      </c>
      <c r="H202" s="1" t="s">
        <v>238</v>
      </c>
      <c r="I202" s="1">
        <v>4.0</v>
      </c>
      <c r="J202" s="1">
        <v>1.0</v>
      </c>
    </row>
    <row r="203">
      <c r="A203" s="1">
        <v>5.0</v>
      </c>
      <c r="B203" s="1">
        <v>20.0</v>
      </c>
      <c r="C203" s="1">
        <v>1.0</v>
      </c>
      <c r="D203" s="1">
        <v>0.8</v>
      </c>
      <c r="E203" s="1">
        <v>0.0</v>
      </c>
      <c r="F203" s="1">
        <v>0.0</v>
      </c>
      <c r="G203" s="2">
        <v>1.0</v>
      </c>
      <c r="H203" s="1" t="s">
        <v>149</v>
      </c>
      <c r="I203" s="1">
        <v>4.0</v>
      </c>
      <c r="J203" s="1">
        <v>0.0</v>
      </c>
    </row>
    <row r="204">
      <c r="A204" s="1">
        <v>3.0</v>
      </c>
      <c r="B204" s="1">
        <v>12.0</v>
      </c>
      <c r="C204" s="1">
        <v>1.0</v>
      </c>
      <c r="D204" s="1">
        <v>1.33</v>
      </c>
      <c r="E204" s="1">
        <v>0.0</v>
      </c>
      <c r="F204" s="1">
        <v>0.0</v>
      </c>
      <c r="G204" s="2">
        <v>1.0</v>
      </c>
      <c r="H204" s="1" t="s">
        <v>240</v>
      </c>
      <c r="I204" s="1">
        <v>4.0</v>
      </c>
      <c r="J204" s="1">
        <v>0.0</v>
      </c>
    </row>
    <row r="205">
      <c r="A205" s="1">
        <v>1.0</v>
      </c>
      <c r="B205" s="1">
        <v>4.0</v>
      </c>
      <c r="C205" s="1">
        <v>0.0</v>
      </c>
      <c r="D205" s="1">
        <v>0.0</v>
      </c>
      <c r="E205" s="1">
        <v>0.0</v>
      </c>
      <c r="F205" s="1">
        <v>0.0</v>
      </c>
      <c r="G205" s="2">
        <v>0.0</v>
      </c>
      <c r="H205" s="1" t="s">
        <v>242</v>
      </c>
      <c r="I205" s="1">
        <v>0.0</v>
      </c>
      <c r="J205" s="1">
        <v>0.0</v>
      </c>
    </row>
    <row r="206">
      <c r="A206" s="1">
        <v>1.0</v>
      </c>
      <c r="B206" s="1">
        <v>4.0</v>
      </c>
      <c r="C206" s="1">
        <v>0.0</v>
      </c>
      <c r="D206" s="1">
        <v>0.0</v>
      </c>
      <c r="E206" s="1">
        <v>0.0</v>
      </c>
      <c r="F206" s="1">
        <v>0.0</v>
      </c>
      <c r="G206" s="2">
        <v>0.0</v>
      </c>
      <c r="H206" s="1" t="s">
        <v>243</v>
      </c>
      <c r="I206" s="1">
        <v>0.0</v>
      </c>
      <c r="J206" s="1">
        <v>0.0</v>
      </c>
    </row>
    <row r="207">
      <c r="A207" s="1">
        <v>3.0</v>
      </c>
      <c r="B207" s="1">
        <v>12.0</v>
      </c>
      <c r="C207" s="1">
        <v>7.0</v>
      </c>
      <c r="D207" s="1">
        <v>6.67</v>
      </c>
      <c r="E207" s="1">
        <v>0.33</v>
      </c>
      <c r="F207" s="1">
        <v>0.0</v>
      </c>
      <c r="G207" s="6">
        <v>0.857</v>
      </c>
      <c r="H207" s="1" t="s">
        <v>244</v>
      </c>
      <c r="I207" s="1">
        <v>20.0</v>
      </c>
      <c r="J207" s="1">
        <v>1.0</v>
      </c>
    </row>
    <row r="208">
      <c r="A208" s="1">
        <v>2.0</v>
      </c>
      <c r="B208" s="1">
        <v>8.0</v>
      </c>
      <c r="C208" s="1">
        <v>5.0</v>
      </c>
      <c r="D208" s="1">
        <v>4.0</v>
      </c>
      <c r="E208" s="1">
        <v>0.5</v>
      </c>
      <c r="F208" s="1">
        <v>0.0</v>
      </c>
      <c r="G208" s="2">
        <v>0.6</v>
      </c>
      <c r="H208" s="1" t="s">
        <v>244</v>
      </c>
      <c r="I208" s="1">
        <v>8.0</v>
      </c>
      <c r="J208" s="1">
        <v>1.0</v>
      </c>
    </row>
    <row r="209">
      <c r="A209" s="1">
        <v>3.0</v>
      </c>
      <c r="B209" s="1">
        <v>12.0</v>
      </c>
      <c r="C209" s="1">
        <v>1.0</v>
      </c>
      <c r="D209" s="1">
        <v>1.33</v>
      </c>
      <c r="E209" s="1">
        <v>0.0</v>
      </c>
      <c r="F209" s="1">
        <v>0.0</v>
      </c>
      <c r="G209" s="2">
        <v>1.0</v>
      </c>
      <c r="H209" s="1" t="s">
        <v>185</v>
      </c>
      <c r="I209" s="1">
        <v>4.0</v>
      </c>
      <c r="J209" s="1">
        <v>0.0</v>
      </c>
    </row>
    <row r="210">
      <c r="A210" s="1">
        <v>2.0</v>
      </c>
      <c r="B210" s="1">
        <v>8.0</v>
      </c>
      <c r="C210" s="1">
        <v>0.0</v>
      </c>
      <c r="D210" s="1">
        <v>0.0</v>
      </c>
      <c r="E210" s="1">
        <v>0.0</v>
      </c>
      <c r="F210" s="1">
        <v>0.0</v>
      </c>
      <c r="G210" s="2">
        <v>0.0</v>
      </c>
      <c r="H210" s="1" t="s">
        <v>185</v>
      </c>
      <c r="I210" s="1">
        <v>0.0</v>
      </c>
      <c r="J210" s="1">
        <v>0.0</v>
      </c>
    </row>
    <row r="211">
      <c r="A211" s="1">
        <v>3.0</v>
      </c>
      <c r="B211" s="1">
        <v>12.0</v>
      </c>
      <c r="C211" s="1">
        <v>0.0</v>
      </c>
      <c r="D211" s="1">
        <v>0.0</v>
      </c>
      <c r="E211" s="1">
        <v>0.0</v>
      </c>
      <c r="F211" s="1">
        <v>0.0</v>
      </c>
      <c r="G211" s="2">
        <v>0.0</v>
      </c>
      <c r="H211" s="1" t="s">
        <v>248</v>
      </c>
      <c r="I211" s="1">
        <v>0.0</v>
      </c>
      <c r="J211" s="1">
        <v>0.0</v>
      </c>
    </row>
    <row r="212">
      <c r="A212" s="1">
        <v>2.0</v>
      </c>
      <c r="B212" s="1">
        <v>8.0</v>
      </c>
      <c r="C212" s="1">
        <v>0.0</v>
      </c>
      <c r="D212" s="1">
        <v>0.0</v>
      </c>
      <c r="E212" s="1">
        <v>0.0</v>
      </c>
      <c r="F212" s="1">
        <v>0.0</v>
      </c>
      <c r="G212" s="2">
        <v>0.0</v>
      </c>
      <c r="H212" s="1" t="s">
        <v>248</v>
      </c>
      <c r="I212" s="1">
        <v>0.0</v>
      </c>
      <c r="J212" s="1">
        <v>0.0</v>
      </c>
    </row>
    <row r="213">
      <c r="A213" s="1">
        <v>2.0</v>
      </c>
      <c r="B213" s="1">
        <v>8.0</v>
      </c>
      <c r="C213" s="1">
        <v>0.0</v>
      </c>
      <c r="D213" s="1">
        <v>0.0</v>
      </c>
      <c r="E213" s="1">
        <v>0.0</v>
      </c>
      <c r="F213" s="1">
        <v>0.0</v>
      </c>
      <c r="G213" s="2">
        <v>0.0</v>
      </c>
      <c r="H213" s="1" t="s">
        <v>250</v>
      </c>
      <c r="I213" s="1">
        <v>0.0</v>
      </c>
      <c r="J213" s="1">
        <v>0.0</v>
      </c>
    </row>
    <row r="214">
      <c r="A214" s="1">
        <v>1.0</v>
      </c>
      <c r="B214" s="1">
        <v>4.0</v>
      </c>
      <c r="C214" s="1">
        <v>0.0</v>
      </c>
      <c r="D214" s="1">
        <v>0.0</v>
      </c>
      <c r="E214" s="1">
        <v>0.0</v>
      </c>
      <c r="F214" s="1">
        <v>0.0</v>
      </c>
      <c r="G214" s="2">
        <v>0.0</v>
      </c>
      <c r="H214" s="1" t="s">
        <v>250</v>
      </c>
      <c r="I214" s="1">
        <v>0.0</v>
      </c>
      <c r="J214" s="1">
        <v>0.0</v>
      </c>
    </row>
    <row r="215">
      <c r="A215" s="1">
        <v>1.0</v>
      </c>
      <c r="B215" s="1">
        <v>4.0</v>
      </c>
      <c r="C215" s="1">
        <v>0.0</v>
      </c>
      <c r="D215" s="1">
        <v>0.0</v>
      </c>
      <c r="E215" s="1">
        <v>0.0</v>
      </c>
      <c r="F215" s="1">
        <v>0.0</v>
      </c>
      <c r="G215" s="2">
        <v>0.0</v>
      </c>
      <c r="H215" s="1" t="s">
        <v>251</v>
      </c>
      <c r="I215" s="1">
        <v>0.0</v>
      </c>
      <c r="J215" s="1">
        <v>0.0</v>
      </c>
    </row>
    <row r="216">
      <c r="A216" s="1">
        <v>1.0</v>
      </c>
      <c r="B216" s="1">
        <v>4.0</v>
      </c>
      <c r="C216" s="1">
        <v>0.0</v>
      </c>
      <c r="D216" s="1">
        <v>0.0</v>
      </c>
      <c r="E216" s="1">
        <v>0.0</v>
      </c>
      <c r="F216" s="1">
        <v>0.0</v>
      </c>
      <c r="G216" s="2">
        <v>0.0</v>
      </c>
      <c r="H216" s="1" t="s">
        <v>239</v>
      </c>
      <c r="I216" s="1">
        <v>0.0</v>
      </c>
      <c r="J216" s="1">
        <v>0.0</v>
      </c>
    </row>
    <row r="217">
      <c r="A217" s="1">
        <v>4.0</v>
      </c>
      <c r="B217" s="1">
        <v>16.0</v>
      </c>
      <c r="C217" s="1">
        <v>1.0</v>
      </c>
      <c r="D217" s="1">
        <v>1.0</v>
      </c>
      <c r="E217" s="1">
        <v>0.0</v>
      </c>
      <c r="F217" s="1">
        <v>0.0</v>
      </c>
      <c r="G217" s="2">
        <v>1.0</v>
      </c>
      <c r="H217" s="1" t="s">
        <v>253</v>
      </c>
      <c r="I217" s="1">
        <v>4.0</v>
      </c>
      <c r="J217" s="1">
        <v>0.0</v>
      </c>
    </row>
    <row r="218">
      <c r="A218" s="1">
        <v>1.0</v>
      </c>
      <c r="B218" s="1">
        <v>4.0</v>
      </c>
      <c r="C218" s="1">
        <v>0.0</v>
      </c>
      <c r="D218" s="1">
        <v>0.0</v>
      </c>
      <c r="E218" s="1">
        <v>0.0</v>
      </c>
      <c r="F218" s="1">
        <v>0.0</v>
      </c>
      <c r="G218" s="2">
        <v>0.0</v>
      </c>
      <c r="H218" s="1" t="s">
        <v>253</v>
      </c>
      <c r="I218" s="1">
        <v>0.0</v>
      </c>
      <c r="J218" s="1">
        <v>0.0</v>
      </c>
    </row>
    <row r="219">
      <c r="A219" s="1">
        <v>4.0</v>
      </c>
      <c r="B219" s="1">
        <v>16.0</v>
      </c>
      <c r="C219" s="1">
        <v>0.0</v>
      </c>
      <c r="D219" s="1">
        <v>0.0</v>
      </c>
      <c r="E219" s="1">
        <v>0.0</v>
      </c>
      <c r="F219" s="1">
        <v>0.0</v>
      </c>
      <c r="G219" s="2">
        <v>0.0</v>
      </c>
      <c r="H219" s="1" t="s">
        <v>255</v>
      </c>
      <c r="I219" s="1">
        <v>0.0</v>
      </c>
      <c r="J219" s="1">
        <v>0.0</v>
      </c>
    </row>
    <row r="220">
      <c r="A220" s="1">
        <v>1.0</v>
      </c>
      <c r="B220" s="1">
        <v>4.0</v>
      </c>
      <c r="C220" s="1">
        <v>0.0</v>
      </c>
      <c r="D220" s="1">
        <v>0.0</v>
      </c>
      <c r="E220" s="1">
        <v>0.0</v>
      </c>
      <c r="F220" s="1">
        <v>0.0</v>
      </c>
      <c r="G220" s="2">
        <v>0.0</v>
      </c>
      <c r="H220" s="1" t="s">
        <v>255</v>
      </c>
      <c r="I220" s="1">
        <v>0.0</v>
      </c>
      <c r="J220" s="1">
        <v>0.0</v>
      </c>
    </row>
    <row r="221">
      <c r="A221" s="1">
        <v>4.0</v>
      </c>
      <c r="B221" s="1">
        <v>16.0</v>
      </c>
      <c r="C221" s="1">
        <v>13.0</v>
      </c>
      <c r="D221" s="1">
        <v>9.0</v>
      </c>
      <c r="E221" s="1">
        <v>0.25</v>
      </c>
      <c r="F221" s="1">
        <v>0.0</v>
      </c>
      <c r="G221" s="6">
        <v>0.769</v>
      </c>
      <c r="H221" s="1" t="s">
        <v>164</v>
      </c>
      <c r="I221" s="1">
        <v>36.0</v>
      </c>
      <c r="J221" s="1">
        <v>1.0</v>
      </c>
    </row>
    <row r="222">
      <c r="A222" s="1">
        <v>1.0</v>
      </c>
      <c r="B222" s="1">
        <v>4.0</v>
      </c>
      <c r="C222" s="1">
        <v>1.0</v>
      </c>
      <c r="D222" s="1">
        <v>-4.0</v>
      </c>
      <c r="E222" s="1">
        <v>1.0</v>
      </c>
      <c r="F222" s="1">
        <v>0.0</v>
      </c>
      <c r="G222" s="2">
        <v>0.0</v>
      </c>
      <c r="H222" s="1" t="s">
        <v>164</v>
      </c>
      <c r="I222" s="1">
        <v>-4.0</v>
      </c>
      <c r="J222" s="1">
        <v>1.0</v>
      </c>
    </row>
    <row r="223">
      <c r="A223" s="1">
        <v>1.0</v>
      </c>
      <c r="B223" s="1">
        <v>4.0</v>
      </c>
      <c r="C223" s="1">
        <v>0.0</v>
      </c>
      <c r="D223" s="1">
        <v>0.0</v>
      </c>
      <c r="E223" s="1">
        <v>0.0</v>
      </c>
      <c r="F223" s="1">
        <v>0.0</v>
      </c>
      <c r="G223" s="2">
        <v>0.0</v>
      </c>
      <c r="H223" s="1" t="s">
        <v>257</v>
      </c>
      <c r="I223" s="1">
        <v>0.0</v>
      </c>
      <c r="J223" s="1">
        <v>0.0</v>
      </c>
    </row>
    <row r="224">
      <c r="A224" s="1">
        <v>1.0</v>
      </c>
      <c r="B224" s="1">
        <v>4.0</v>
      </c>
      <c r="C224" s="1">
        <v>0.0</v>
      </c>
      <c r="D224" s="1">
        <v>0.0</v>
      </c>
      <c r="E224" s="1">
        <v>0.0</v>
      </c>
      <c r="F224" s="1">
        <v>0.0</v>
      </c>
      <c r="G224" s="2">
        <v>0.0</v>
      </c>
      <c r="H224" s="1" t="s">
        <v>257</v>
      </c>
      <c r="I224" s="1">
        <v>0.0</v>
      </c>
      <c r="J224" s="1">
        <v>0.0</v>
      </c>
    </row>
    <row r="225">
      <c r="A225" s="1">
        <v>2.0</v>
      </c>
      <c r="B225" s="1">
        <v>8.0</v>
      </c>
      <c r="C225" s="1">
        <v>1.0</v>
      </c>
      <c r="D225" s="1">
        <v>2.0</v>
      </c>
      <c r="E225" s="1">
        <v>0.0</v>
      </c>
      <c r="F225" s="1">
        <v>0.0</v>
      </c>
      <c r="G225" s="2">
        <v>1.0</v>
      </c>
      <c r="H225" s="1" t="s">
        <v>259</v>
      </c>
      <c r="I225" s="1">
        <v>4.0</v>
      </c>
      <c r="J225" s="1">
        <v>0.0</v>
      </c>
    </row>
    <row r="226">
      <c r="A226" s="1">
        <v>2.0</v>
      </c>
      <c r="B226" s="1">
        <v>8.0</v>
      </c>
      <c r="C226" s="1">
        <v>0.0</v>
      </c>
      <c r="D226" s="1">
        <v>0.0</v>
      </c>
      <c r="E226" s="1">
        <v>0.0</v>
      </c>
      <c r="F226" s="1">
        <v>0.0</v>
      </c>
      <c r="G226" s="2">
        <v>0.0</v>
      </c>
      <c r="H226" s="1" t="s">
        <v>259</v>
      </c>
      <c r="I226" s="1">
        <v>0.0</v>
      </c>
      <c r="J226" s="1">
        <v>0.0</v>
      </c>
    </row>
    <row r="227">
      <c r="A227" s="1">
        <v>2.0</v>
      </c>
      <c r="B227" s="1">
        <v>8.0</v>
      </c>
      <c r="C227" s="1">
        <v>0.0</v>
      </c>
      <c r="D227" s="1">
        <v>0.0</v>
      </c>
      <c r="E227" s="1">
        <v>0.0</v>
      </c>
      <c r="F227" s="1">
        <v>0.0</v>
      </c>
      <c r="G227" s="2">
        <v>1.0</v>
      </c>
      <c r="H227" s="1" t="s">
        <v>99</v>
      </c>
      <c r="I227" s="1">
        <v>0.0</v>
      </c>
      <c r="J227" s="1">
        <v>0.0</v>
      </c>
    </row>
    <row r="228">
      <c r="A228" s="1">
        <v>3.0</v>
      </c>
      <c r="B228" s="1">
        <v>12.0</v>
      </c>
      <c r="C228" s="1">
        <v>0.0</v>
      </c>
      <c r="D228" s="1">
        <v>0.0</v>
      </c>
      <c r="E228" s="1">
        <v>0.0</v>
      </c>
      <c r="F228" s="1">
        <v>0.0</v>
      </c>
      <c r="G228" s="2">
        <v>0.0</v>
      </c>
      <c r="H228" s="1" t="s">
        <v>99</v>
      </c>
      <c r="I228" s="1">
        <v>0.0</v>
      </c>
      <c r="J228" s="1">
        <v>0.0</v>
      </c>
    </row>
    <row r="229">
      <c r="A229" s="1">
        <v>1.0</v>
      </c>
      <c r="B229" s="1">
        <v>4.0</v>
      </c>
      <c r="C229" s="1">
        <v>2.0</v>
      </c>
      <c r="D229" s="1">
        <v>8.0</v>
      </c>
      <c r="E229" s="1">
        <v>0.0</v>
      </c>
      <c r="F229" s="1">
        <v>0.0</v>
      </c>
      <c r="G229" s="2">
        <v>1.0</v>
      </c>
      <c r="H229" s="1" t="s">
        <v>262</v>
      </c>
      <c r="I229" s="1">
        <v>8.0</v>
      </c>
      <c r="J229" s="1">
        <v>0.0</v>
      </c>
    </row>
    <row r="230">
      <c r="A230" s="1">
        <v>3.0</v>
      </c>
      <c r="B230" s="1">
        <v>12.0</v>
      </c>
      <c r="C230" s="1">
        <v>7.0</v>
      </c>
      <c r="D230" s="1">
        <v>4.0</v>
      </c>
      <c r="E230" s="1">
        <v>0.33</v>
      </c>
      <c r="F230" s="1">
        <v>0.0</v>
      </c>
      <c r="G230" s="6">
        <v>0.571</v>
      </c>
      <c r="H230" s="1" t="s">
        <v>262</v>
      </c>
      <c r="I230" s="1">
        <v>12.0</v>
      </c>
      <c r="J230" s="1">
        <v>1.0</v>
      </c>
    </row>
    <row r="231">
      <c r="A231" s="1">
        <v>1.0</v>
      </c>
      <c r="B231" s="1">
        <v>4.0</v>
      </c>
      <c r="C231" s="1">
        <v>1.0</v>
      </c>
      <c r="D231" s="1">
        <v>0.0</v>
      </c>
      <c r="E231" s="1">
        <v>0.0</v>
      </c>
      <c r="F231" s="1">
        <v>0.0</v>
      </c>
      <c r="G231" s="2">
        <v>0.0</v>
      </c>
      <c r="H231" s="1" t="s">
        <v>262</v>
      </c>
      <c r="I231" s="1">
        <v>0.0</v>
      </c>
      <c r="J231" s="1">
        <v>0.0</v>
      </c>
    </row>
    <row r="232">
      <c r="A232" s="1">
        <v>1.0</v>
      </c>
      <c r="B232" s="1">
        <v>4.0</v>
      </c>
      <c r="C232" s="1">
        <v>0.0</v>
      </c>
      <c r="D232" s="1">
        <v>0.0</v>
      </c>
      <c r="E232" s="1">
        <v>0.0</v>
      </c>
      <c r="F232" s="1">
        <v>0.0</v>
      </c>
      <c r="G232" s="2">
        <v>0.0</v>
      </c>
      <c r="H232" s="1" t="s">
        <v>241</v>
      </c>
      <c r="I232" s="1">
        <v>0.0</v>
      </c>
      <c r="J232" s="1">
        <v>0.0</v>
      </c>
    </row>
    <row r="233">
      <c r="A233" s="1">
        <v>1.0</v>
      </c>
      <c r="B233" s="1">
        <v>4.0</v>
      </c>
      <c r="C233" s="1">
        <v>0.0</v>
      </c>
      <c r="D233" s="1">
        <v>0.0</v>
      </c>
      <c r="E233" s="1">
        <v>0.0</v>
      </c>
      <c r="F233" s="1">
        <v>0.0</v>
      </c>
      <c r="G233" s="2">
        <v>0.0</v>
      </c>
      <c r="H233" s="1" t="s">
        <v>241</v>
      </c>
      <c r="I233" s="1">
        <v>0.0</v>
      </c>
      <c r="J233" s="1">
        <v>0.0</v>
      </c>
    </row>
    <row r="234">
      <c r="A234" s="1">
        <v>1.0</v>
      </c>
      <c r="B234" s="1">
        <v>4.0</v>
      </c>
      <c r="C234" s="1">
        <v>0.0</v>
      </c>
      <c r="D234" s="1">
        <v>0.0</v>
      </c>
      <c r="E234" s="1">
        <v>0.0</v>
      </c>
      <c r="F234" s="1">
        <v>0.0</v>
      </c>
      <c r="G234" s="2">
        <v>0.0</v>
      </c>
      <c r="H234" s="1" t="s">
        <v>263</v>
      </c>
      <c r="I234" s="1">
        <v>0.0</v>
      </c>
      <c r="J234" s="1">
        <v>0.0</v>
      </c>
    </row>
    <row r="235">
      <c r="A235" s="1">
        <v>2.0</v>
      </c>
      <c r="B235" s="1">
        <v>8.0</v>
      </c>
      <c r="C235" s="1">
        <v>1.0</v>
      </c>
      <c r="D235" s="1">
        <v>2.0</v>
      </c>
      <c r="E235" s="1">
        <v>0.0</v>
      </c>
      <c r="F235" s="1">
        <v>0.0</v>
      </c>
      <c r="G235" s="2">
        <v>1.0</v>
      </c>
      <c r="H235" s="1" t="s">
        <v>263</v>
      </c>
      <c r="I235" s="1">
        <v>4.0</v>
      </c>
      <c r="J235" s="1">
        <v>0.0</v>
      </c>
    </row>
    <row r="236">
      <c r="A236" s="1">
        <v>1.0</v>
      </c>
      <c r="B236" s="1">
        <v>4.0</v>
      </c>
      <c r="C236" s="1">
        <v>0.0</v>
      </c>
      <c r="D236" s="1">
        <v>0.0</v>
      </c>
      <c r="E236" s="1">
        <v>0.0</v>
      </c>
      <c r="F236" s="1">
        <v>0.0</v>
      </c>
      <c r="G236" s="2">
        <v>0.0</v>
      </c>
      <c r="H236" s="1" t="s">
        <v>264</v>
      </c>
      <c r="I236" s="1">
        <v>0.0</v>
      </c>
      <c r="J236" s="1">
        <v>0.0</v>
      </c>
    </row>
    <row r="237">
      <c r="A237" s="1">
        <v>3.0</v>
      </c>
      <c r="B237" s="1">
        <v>12.0</v>
      </c>
      <c r="C237" s="1">
        <v>0.0</v>
      </c>
      <c r="D237" s="1">
        <v>0.0</v>
      </c>
      <c r="E237" s="1">
        <v>0.0</v>
      </c>
      <c r="F237" s="1">
        <v>0.0</v>
      </c>
      <c r="G237" s="2">
        <v>0.0</v>
      </c>
      <c r="H237" s="1" t="s">
        <v>264</v>
      </c>
      <c r="I237" s="1">
        <v>0.0</v>
      </c>
      <c r="J237" s="1">
        <v>0.0</v>
      </c>
    </row>
    <row r="238">
      <c r="A238" s="1">
        <v>1.0</v>
      </c>
      <c r="B238" s="1">
        <v>4.0</v>
      </c>
      <c r="C238" s="1">
        <v>1.0</v>
      </c>
      <c r="D238" s="1">
        <v>4.0</v>
      </c>
      <c r="E238" s="1">
        <v>0.0</v>
      </c>
      <c r="F238" s="1">
        <v>0.0</v>
      </c>
      <c r="G238" s="2">
        <v>1.0</v>
      </c>
      <c r="H238" s="1" t="s">
        <v>265</v>
      </c>
      <c r="I238" s="1">
        <v>4.0</v>
      </c>
      <c r="J238" s="1">
        <v>0.0</v>
      </c>
    </row>
    <row r="239">
      <c r="A239" s="1">
        <v>4.0</v>
      </c>
      <c r="B239" s="1">
        <v>16.0</v>
      </c>
      <c r="C239" s="1">
        <v>0.0</v>
      </c>
      <c r="D239" s="1">
        <v>0.0</v>
      </c>
      <c r="E239" s="1">
        <v>0.0</v>
      </c>
      <c r="F239" s="1">
        <v>0.0</v>
      </c>
      <c r="G239" s="2">
        <v>0.0</v>
      </c>
      <c r="H239" s="1" t="s">
        <v>265</v>
      </c>
      <c r="I239" s="1">
        <v>0.0</v>
      </c>
      <c r="J239" s="1">
        <v>0.0</v>
      </c>
    </row>
    <row r="240">
      <c r="A240" s="1">
        <v>4.0</v>
      </c>
      <c r="B240" s="1">
        <v>16.0</v>
      </c>
      <c r="C240" s="1">
        <v>0.0</v>
      </c>
      <c r="D240" s="1">
        <v>0.0</v>
      </c>
      <c r="E240" s="1">
        <v>0.0</v>
      </c>
      <c r="F240" s="1">
        <v>0.0</v>
      </c>
      <c r="G240" s="2">
        <v>0.0</v>
      </c>
      <c r="H240" s="1" t="s">
        <v>266</v>
      </c>
      <c r="I240" s="1">
        <v>0.0</v>
      </c>
      <c r="J240" s="1">
        <v>0.0</v>
      </c>
    </row>
    <row r="241">
      <c r="A241" s="1">
        <v>1.0</v>
      </c>
      <c r="B241" s="1">
        <v>4.0</v>
      </c>
      <c r="C241" s="1">
        <v>2.0</v>
      </c>
      <c r="D241" s="1">
        <v>8.0</v>
      </c>
      <c r="E241" s="1">
        <v>0.0</v>
      </c>
      <c r="F241" s="1">
        <v>0.0</v>
      </c>
      <c r="G241" s="2">
        <v>1.0</v>
      </c>
      <c r="H241" s="1" t="s">
        <v>93</v>
      </c>
      <c r="I241" s="1">
        <v>8.0</v>
      </c>
      <c r="J241" s="1">
        <v>0.0</v>
      </c>
    </row>
    <row r="242">
      <c r="A242" s="1">
        <v>4.0</v>
      </c>
      <c r="B242" s="1">
        <v>16.0</v>
      </c>
      <c r="C242" s="1">
        <v>4.0</v>
      </c>
      <c r="D242" s="1">
        <v>2.0</v>
      </c>
      <c r="E242" s="1">
        <v>0.0</v>
      </c>
      <c r="F242" s="1">
        <v>0.0</v>
      </c>
      <c r="G242" s="2">
        <v>0.5</v>
      </c>
      <c r="H242" s="1" t="s">
        <v>93</v>
      </c>
      <c r="I242" s="1">
        <v>8.0</v>
      </c>
      <c r="J242" s="1">
        <v>0.0</v>
      </c>
    </row>
    <row r="243">
      <c r="A243" s="1">
        <v>1.0</v>
      </c>
      <c r="B243" s="1">
        <v>4.0</v>
      </c>
      <c r="C243" s="1">
        <v>0.0</v>
      </c>
      <c r="D243" s="1">
        <v>0.0</v>
      </c>
      <c r="E243" s="1">
        <v>0.0</v>
      </c>
      <c r="F243" s="1">
        <v>0.0</v>
      </c>
      <c r="G243" s="2">
        <v>0.0</v>
      </c>
      <c r="H243" s="1" t="s">
        <v>268</v>
      </c>
      <c r="I243" s="1">
        <v>0.0</v>
      </c>
      <c r="J243" s="1">
        <v>0.0</v>
      </c>
    </row>
    <row r="244">
      <c r="A244" s="1">
        <v>4.0</v>
      </c>
      <c r="B244" s="1">
        <v>16.0</v>
      </c>
      <c r="C244" s="1">
        <v>5.0</v>
      </c>
      <c r="D244" s="1">
        <v>5.0</v>
      </c>
      <c r="E244" s="1">
        <v>0.0</v>
      </c>
      <c r="F244" s="1">
        <v>0.0</v>
      </c>
      <c r="G244" s="2">
        <v>1.0</v>
      </c>
      <c r="H244" s="1" t="s">
        <v>80</v>
      </c>
      <c r="I244" s="1">
        <v>20.0</v>
      </c>
      <c r="J244" s="1">
        <v>0.0</v>
      </c>
    </row>
    <row r="245">
      <c r="A245" s="1">
        <v>3.0</v>
      </c>
      <c r="B245" s="1">
        <v>12.0</v>
      </c>
      <c r="C245" s="1">
        <v>8.0</v>
      </c>
      <c r="D245" s="1">
        <v>10.67</v>
      </c>
      <c r="E245" s="1">
        <v>0.0</v>
      </c>
      <c r="F245" s="1">
        <v>0.0</v>
      </c>
      <c r="G245" s="2">
        <v>1.0</v>
      </c>
      <c r="H245" s="1" t="s">
        <v>221</v>
      </c>
      <c r="I245" s="1">
        <v>32.0</v>
      </c>
      <c r="J245" s="1">
        <v>0.0</v>
      </c>
    </row>
    <row r="246">
      <c r="A246" s="1">
        <v>1.0</v>
      </c>
      <c r="B246" s="1">
        <v>4.0</v>
      </c>
      <c r="C246" s="1">
        <v>0.0</v>
      </c>
      <c r="D246" s="1">
        <v>0.0</v>
      </c>
      <c r="E246" s="1">
        <v>0.0</v>
      </c>
      <c r="F246" s="1">
        <v>0.0</v>
      </c>
      <c r="G246" s="2">
        <v>0.0</v>
      </c>
      <c r="H246" s="1" t="s">
        <v>221</v>
      </c>
      <c r="I246" s="1">
        <v>0.0</v>
      </c>
      <c r="J246" s="1">
        <v>0.0</v>
      </c>
    </row>
    <row r="247">
      <c r="A247" s="1">
        <v>1.0</v>
      </c>
      <c r="B247" s="1">
        <v>4.0</v>
      </c>
      <c r="C247" s="1">
        <v>1.0</v>
      </c>
      <c r="D247" s="1">
        <v>4.0</v>
      </c>
      <c r="E247" s="1">
        <v>0.0</v>
      </c>
      <c r="F247" s="1">
        <v>0.0</v>
      </c>
      <c r="G247" s="2">
        <v>1.0</v>
      </c>
      <c r="H247" s="1" t="s">
        <v>270</v>
      </c>
      <c r="I247" s="1">
        <v>4.0</v>
      </c>
      <c r="J247" s="1">
        <v>0.0</v>
      </c>
    </row>
    <row r="248">
      <c r="A248" s="1">
        <v>1.0</v>
      </c>
      <c r="B248" s="1">
        <v>4.0</v>
      </c>
      <c r="C248" s="1">
        <v>0.0</v>
      </c>
      <c r="D248" s="1">
        <v>0.0</v>
      </c>
      <c r="E248" s="1">
        <v>0.0</v>
      </c>
      <c r="F248" s="1">
        <v>0.0</v>
      </c>
      <c r="G248" s="2">
        <v>0.0</v>
      </c>
      <c r="H248" s="1" t="s">
        <v>270</v>
      </c>
      <c r="I248" s="1">
        <v>0.0</v>
      </c>
      <c r="J248" s="1">
        <v>0.0</v>
      </c>
    </row>
    <row r="249">
      <c r="A249" s="1">
        <v>1.0</v>
      </c>
      <c r="B249" s="1">
        <v>4.0</v>
      </c>
      <c r="C249" s="1">
        <v>1.0</v>
      </c>
      <c r="D249" s="1">
        <v>4.0</v>
      </c>
      <c r="E249" s="1">
        <v>0.0</v>
      </c>
      <c r="F249" s="1">
        <v>0.0</v>
      </c>
      <c r="G249" s="2">
        <v>1.0</v>
      </c>
      <c r="H249" s="1" t="s">
        <v>228</v>
      </c>
      <c r="I249" s="1">
        <v>4.0</v>
      </c>
      <c r="J249" s="1">
        <v>0.0</v>
      </c>
    </row>
    <row r="250">
      <c r="A250" s="1">
        <v>4.0</v>
      </c>
      <c r="B250" s="1">
        <v>15.0</v>
      </c>
      <c r="C250" s="1">
        <v>4.0</v>
      </c>
      <c r="D250" s="1">
        <v>2.0</v>
      </c>
      <c r="E250" s="1">
        <v>0.0</v>
      </c>
      <c r="F250" s="1">
        <v>0.0</v>
      </c>
      <c r="G250" s="2">
        <v>0.5</v>
      </c>
      <c r="H250" s="1" t="s">
        <v>228</v>
      </c>
      <c r="I250" s="1">
        <v>8.0</v>
      </c>
      <c r="J250" s="1">
        <v>0.0</v>
      </c>
    </row>
    <row r="251">
      <c r="A251" s="1">
        <v>1.0</v>
      </c>
      <c r="B251" s="1">
        <v>4.0</v>
      </c>
      <c r="C251" s="1">
        <v>0.0</v>
      </c>
      <c r="D251" s="1">
        <v>0.0</v>
      </c>
      <c r="E251" s="1">
        <v>0.0</v>
      </c>
      <c r="F251" s="1">
        <v>0.0</v>
      </c>
      <c r="G251" s="2">
        <v>0.0</v>
      </c>
      <c r="H251" s="1" t="s">
        <v>273</v>
      </c>
      <c r="I251" s="1">
        <v>0.0</v>
      </c>
      <c r="J251" s="1">
        <v>0.0</v>
      </c>
    </row>
    <row r="252">
      <c r="A252" s="1">
        <v>3.0</v>
      </c>
      <c r="B252" s="1">
        <v>11.0</v>
      </c>
      <c r="C252" s="1">
        <v>2.0</v>
      </c>
      <c r="D252" s="1">
        <v>-1.33</v>
      </c>
      <c r="E252" s="1">
        <v>0.33</v>
      </c>
      <c r="F252" s="1">
        <v>0.0</v>
      </c>
      <c r="G252" s="2">
        <v>0.0</v>
      </c>
      <c r="H252" s="1" t="s">
        <v>273</v>
      </c>
      <c r="I252" s="1">
        <v>-4.0</v>
      </c>
      <c r="J252" s="1">
        <v>1.0</v>
      </c>
    </row>
    <row r="253">
      <c r="A253" s="1">
        <v>1.0</v>
      </c>
      <c r="B253" s="1">
        <v>4.0</v>
      </c>
      <c r="C253" s="1">
        <v>0.0</v>
      </c>
      <c r="D253" s="1">
        <v>0.0</v>
      </c>
      <c r="E253" s="1">
        <v>0.0</v>
      </c>
      <c r="F253" s="1">
        <v>0.0</v>
      </c>
      <c r="G253" s="2">
        <v>0.0</v>
      </c>
      <c r="H253" s="1" t="s">
        <v>273</v>
      </c>
      <c r="I253" s="1">
        <v>0.0</v>
      </c>
      <c r="J253" s="1">
        <v>0.0</v>
      </c>
    </row>
    <row r="254">
      <c r="A254" s="1">
        <v>3.0</v>
      </c>
      <c r="B254" s="1">
        <v>11.0</v>
      </c>
      <c r="C254" s="1">
        <v>5.0</v>
      </c>
      <c r="D254" s="1">
        <v>2.67</v>
      </c>
      <c r="E254" s="1">
        <v>0.0</v>
      </c>
      <c r="F254" s="1">
        <v>0.0</v>
      </c>
      <c r="G254" s="2">
        <v>0.4</v>
      </c>
      <c r="H254" s="1" t="s">
        <v>275</v>
      </c>
      <c r="I254" s="1">
        <v>8.0</v>
      </c>
      <c r="J254" s="1">
        <v>0.0</v>
      </c>
    </row>
    <row r="255">
      <c r="A255" s="1">
        <v>1.0</v>
      </c>
      <c r="B255" s="1">
        <v>4.0</v>
      </c>
      <c r="C255" s="1">
        <v>0.0</v>
      </c>
      <c r="D255" s="1">
        <v>0.0</v>
      </c>
      <c r="E255" s="1">
        <v>0.0</v>
      </c>
      <c r="F255" s="1">
        <v>0.0</v>
      </c>
      <c r="G255" s="2">
        <v>0.0</v>
      </c>
      <c r="H255" s="1" t="s">
        <v>275</v>
      </c>
      <c r="I255" s="1">
        <v>0.0</v>
      </c>
      <c r="J255" s="1">
        <v>0.0</v>
      </c>
    </row>
    <row r="256">
      <c r="A256" s="1">
        <v>2.0</v>
      </c>
      <c r="B256" s="1">
        <v>8.0</v>
      </c>
      <c r="C256" s="1">
        <v>0.0</v>
      </c>
      <c r="D256" s="1">
        <v>0.0</v>
      </c>
      <c r="E256" s="1">
        <v>0.0</v>
      </c>
      <c r="F256" s="1">
        <v>0.0</v>
      </c>
      <c r="G256" s="2">
        <v>0.0</v>
      </c>
      <c r="H256" s="1" t="s">
        <v>276</v>
      </c>
      <c r="I256" s="1">
        <v>0.0</v>
      </c>
      <c r="J256" s="1">
        <v>0.0</v>
      </c>
    </row>
    <row r="257">
      <c r="A257" s="1">
        <v>2.0</v>
      </c>
      <c r="B257" s="1">
        <v>7.0</v>
      </c>
      <c r="C257" s="1">
        <v>0.0</v>
      </c>
      <c r="D257" s="1">
        <v>0.0</v>
      </c>
      <c r="E257" s="1">
        <v>0.0</v>
      </c>
      <c r="F257" s="1">
        <v>0.0</v>
      </c>
      <c r="G257" s="2">
        <v>0.0</v>
      </c>
      <c r="H257" s="1" t="s">
        <v>276</v>
      </c>
      <c r="I257" s="1">
        <v>0.0</v>
      </c>
      <c r="J257" s="1">
        <v>0.0</v>
      </c>
    </row>
    <row r="258">
      <c r="A258" s="1">
        <v>4.0</v>
      </c>
      <c r="B258" s="1">
        <v>16.0</v>
      </c>
      <c r="C258" s="1">
        <v>8.0</v>
      </c>
      <c r="D258" s="1">
        <v>5.0</v>
      </c>
      <c r="E258" s="1">
        <v>0.25</v>
      </c>
      <c r="F258" s="1">
        <v>0.0</v>
      </c>
      <c r="G258" s="2">
        <v>0.75</v>
      </c>
      <c r="H258" s="1" t="s">
        <v>277</v>
      </c>
      <c r="I258" s="1">
        <v>20.0</v>
      </c>
      <c r="J258" s="1">
        <v>1.0</v>
      </c>
    </row>
    <row r="259">
      <c r="A259" s="1">
        <v>1.0</v>
      </c>
      <c r="B259" s="1">
        <v>4.0</v>
      </c>
      <c r="C259" s="1">
        <v>0.0</v>
      </c>
      <c r="D259" s="1">
        <v>0.0</v>
      </c>
      <c r="E259" s="1">
        <v>0.0</v>
      </c>
      <c r="F259" s="1">
        <v>0.0</v>
      </c>
      <c r="G259" s="2">
        <v>0.0</v>
      </c>
      <c r="H259" s="1" t="s">
        <v>277</v>
      </c>
      <c r="I259" s="1">
        <v>0.0</v>
      </c>
      <c r="J259" s="1">
        <v>0.0</v>
      </c>
    </row>
    <row r="260">
      <c r="A260" s="1">
        <v>1.0</v>
      </c>
      <c r="B260" s="1">
        <v>4.0</v>
      </c>
      <c r="C260" s="1">
        <v>0.0</v>
      </c>
      <c r="D260" s="1">
        <v>0.0</v>
      </c>
      <c r="E260" s="1">
        <v>0.0</v>
      </c>
      <c r="F260" s="1">
        <v>0.0</v>
      </c>
      <c r="G260" s="2">
        <v>0.0</v>
      </c>
      <c r="H260" s="1" t="s">
        <v>172</v>
      </c>
      <c r="I260" s="1">
        <v>0.0</v>
      </c>
      <c r="J260" s="1">
        <v>0.0</v>
      </c>
    </row>
    <row r="261">
      <c r="A261" s="1">
        <v>3.0</v>
      </c>
      <c r="B261" s="1">
        <v>12.0</v>
      </c>
      <c r="C261" s="1">
        <v>0.0</v>
      </c>
      <c r="D261" s="1">
        <v>0.0</v>
      </c>
      <c r="E261" s="1">
        <v>0.0</v>
      </c>
      <c r="F261" s="1">
        <v>0.0</v>
      </c>
      <c r="G261" s="2">
        <v>0.0</v>
      </c>
      <c r="H261" s="1" t="s">
        <v>172</v>
      </c>
      <c r="I261" s="1">
        <v>0.0</v>
      </c>
      <c r="J261" s="1">
        <v>0.0</v>
      </c>
    </row>
    <row r="262">
      <c r="A262" s="1">
        <v>1.0</v>
      </c>
      <c r="B262" s="1">
        <v>4.0</v>
      </c>
      <c r="C262" s="1">
        <v>4.0</v>
      </c>
      <c r="D262" s="1">
        <v>4.0</v>
      </c>
      <c r="E262" s="1">
        <v>1.0</v>
      </c>
      <c r="F262" s="1">
        <v>0.0</v>
      </c>
      <c r="G262" s="2">
        <v>0.5</v>
      </c>
      <c r="H262" s="1" t="s">
        <v>279</v>
      </c>
      <c r="I262" s="1">
        <v>4.0</v>
      </c>
      <c r="J262" s="1">
        <v>1.0</v>
      </c>
    </row>
    <row r="263">
      <c r="A263" s="1">
        <v>4.0</v>
      </c>
      <c r="B263" s="1">
        <v>16.0</v>
      </c>
      <c r="C263" s="1">
        <v>1.0</v>
      </c>
      <c r="D263" s="1">
        <v>1.0</v>
      </c>
      <c r="E263" s="1">
        <v>0.0</v>
      </c>
      <c r="F263" s="1">
        <v>0.0</v>
      </c>
      <c r="G263" s="2">
        <v>1.0</v>
      </c>
      <c r="H263" s="1" t="s">
        <v>279</v>
      </c>
      <c r="I263" s="1">
        <v>4.0</v>
      </c>
      <c r="J263" s="1">
        <v>0.0</v>
      </c>
    </row>
    <row r="264">
      <c r="A264" s="1">
        <v>1.0</v>
      </c>
      <c r="B264" s="1">
        <v>4.0</v>
      </c>
      <c r="C264" s="1">
        <v>0.0</v>
      </c>
      <c r="D264" s="1">
        <v>0.0</v>
      </c>
      <c r="E264" s="1">
        <v>0.0</v>
      </c>
      <c r="F264" s="1">
        <v>0.0</v>
      </c>
      <c r="G264" s="2">
        <v>0.0</v>
      </c>
      <c r="H264" s="1" t="s">
        <v>280</v>
      </c>
      <c r="I264" s="1">
        <v>0.0</v>
      </c>
      <c r="J264" s="1">
        <v>0.0</v>
      </c>
    </row>
    <row r="265">
      <c r="A265" s="1">
        <v>1.0</v>
      </c>
      <c r="B265" s="1">
        <v>4.0</v>
      </c>
      <c r="C265" s="1">
        <v>0.0</v>
      </c>
      <c r="D265" s="1">
        <v>0.0</v>
      </c>
      <c r="E265" s="1">
        <v>0.0</v>
      </c>
      <c r="F265" s="1">
        <v>0.0</v>
      </c>
      <c r="G265" s="2">
        <v>0.0</v>
      </c>
      <c r="H265" s="1" t="s">
        <v>281</v>
      </c>
      <c r="I265" s="1">
        <v>0.0</v>
      </c>
      <c r="J265" s="1">
        <v>0.0</v>
      </c>
    </row>
    <row r="266">
      <c r="A266" s="1">
        <v>4.0</v>
      </c>
      <c r="B266" s="1">
        <v>16.0</v>
      </c>
      <c r="C266" s="1">
        <v>0.0</v>
      </c>
      <c r="D266" s="1">
        <v>0.0</v>
      </c>
      <c r="E266" s="1">
        <v>0.0</v>
      </c>
      <c r="F266" s="1">
        <v>0.0</v>
      </c>
      <c r="G266" s="2">
        <v>0.0</v>
      </c>
      <c r="H266" s="1" t="s">
        <v>281</v>
      </c>
      <c r="I266" s="1">
        <v>0.0</v>
      </c>
      <c r="J266" s="1">
        <v>0.0</v>
      </c>
    </row>
    <row r="267">
      <c r="A267" s="1">
        <v>2.0</v>
      </c>
      <c r="B267" s="1">
        <v>8.0</v>
      </c>
      <c r="C267" s="1">
        <v>0.0</v>
      </c>
      <c r="D267" s="1">
        <v>0.0</v>
      </c>
      <c r="E267" s="1">
        <v>0.0</v>
      </c>
      <c r="F267" s="1">
        <v>0.0</v>
      </c>
      <c r="G267" s="2">
        <v>0.0</v>
      </c>
      <c r="H267" s="1" t="s">
        <v>282</v>
      </c>
      <c r="I267" s="1">
        <v>0.0</v>
      </c>
      <c r="J267" s="1">
        <v>0.0</v>
      </c>
    </row>
    <row r="268">
      <c r="A268" s="1">
        <v>1.0</v>
      </c>
      <c r="B268" s="1">
        <v>4.0</v>
      </c>
      <c r="C268" s="1">
        <v>0.0</v>
      </c>
      <c r="D268" s="1">
        <v>0.0</v>
      </c>
      <c r="E268" s="1">
        <v>0.0</v>
      </c>
      <c r="F268" s="1">
        <v>0.0</v>
      </c>
      <c r="G268" s="2">
        <v>0.0</v>
      </c>
      <c r="H268" s="1" t="s">
        <v>282</v>
      </c>
      <c r="I268" s="1">
        <v>0.0</v>
      </c>
      <c r="J268" s="1">
        <v>0.0</v>
      </c>
    </row>
    <row r="269">
      <c r="A269" s="1">
        <v>3.0</v>
      </c>
      <c r="B269" s="1">
        <v>12.0</v>
      </c>
      <c r="C269" s="1">
        <v>0.0</v>
      </c>
      <c r="D269" s="1">
        <v>0.0</v>
      </c>
      <c r="E269" s="1">
        <v>0.0</v>
      </c>
      <c r="F269" s="1">
        <v>0.0</v>
      </c>
      <c r="G269" s="2">
        <v>0.0</v>
      </c>
      <c r="H269" s="1" t="s">
        <v>283</v>
      </c>
      <c r="I269" s="1">
        <v>0.0</v>
      </c>
      <c r="J269" s="1">
        <v>0.0</v>
      </c>
    </row>
    <row r="270">
      <c r="A270" s="1">
        <v>1.0</v>
      </c>
      <c r="B270" s="1">
        <v>4.0</v>
      </c>
      <c r="C270" s="1">
        <v>0.0</v>
      </c>
      <c r="D270" s="1">
        <v>0.0</v>
      </c>
      <c r="E270" s="1">
        <v>0.0</v>
      </c>
      <c r="F270" s="1">
        <v>0.0</v>
      </c>
      <c r="G270" s="2">
        <v>0.0</v>
      </c>
      <c r="H270" s="1" t="s">
        <v>283</v>
      </c>
      <c r="I270" s="1">
        <v>0.0</v>
      </c>
      <c r="J270" s="1">
        <v>0.0</v>
      </c>
    </row>
    <row r="271">
      <c r="A271" s="1">
        <v>1.0</v>
      </c>
      <c r="B271" s="1">
        <v>4.0</v>
      </c>
      <c r="C271" s="1">
        <v>0.0</v>
      </c>
      <c r="D271" s="1">
        <v>0.0</v>
      </c>
      <c r="E271" s="1">
        <v>0.0</v>
      </c>
      <c r="F271" s="1">
        <v>0.0</v>
      </c>
      <c r="G271" s="2">
        <v>0.0</v>
      </c>
      <c r="H271" s="1" t="s">
        <v>284</v>
      </c>
      <c r="I271" s="1">
        <v>0.0</v>
      </c>
      <c r="J271" s="1">
        <v>0.0</v>
      </c>
    </row>
    <row r="272">
      <c r="A272" s="1">
        <v>1.0</v>
      </c>
      <c r="B272" s="1">
        <v>4.0</v>
      </c>
      <c r="C272" s="1">
        <v>0.0</v>
      </c>
      <c r="D272" s="1">
        <v>0.0</v>
      </c>
      <c r="E272" s="1">
        <v>0.0</v>
      </c>
      <c r="F272" s="1">
        <v>0.0</v>
      </c>
      <c r="G272" s="2">
        <v>0.0</v>
      </c>
      <c r="H272" s="1" t="s">
        <v>284</v>
      </c>
      <c r="I272" s="1">
        <v>0.0</v>
      </c>
      <c r="J272" s="1">
        <v>0.0</v>
      </c>
    </row>
    <row r="273">
      <c r="A273" s="1">
        <v>3.0</v>
      </c>
      <c r="B273" s="1">
        <v>12.0</v>
      </c>
      <c r="C273" s="1">
        <v>11.0</v>
      </c>
      <c r="D273" s="1">
        <v>10.67</v>
      </c>
      <c r="E273" s="1">
        <v>0.33</v>
      </c>
      <c r="F273" s="1">
        <v>0.0</v>
      </c>
      <c r="G273" s="6">
        <v>0.818</v>
      </c>
      <c r="H273" s="1" t="s">
        <v>52</v>
      </c>
      <c r="I273" s="1">
        <v>32.0</v>
      </c>
      <c r="J273" s="1">
        <v>1.0</v>
      </c>
    </row>
    <row r="274">
      <c r="A274" s="1">
        <v>1.0</v>
      </c>
      <c r="B274" s="1">
        <v>4.0</v>
      </c>
      <c r="C274" s="1">
        <v>3.0</v>
      </c>
      <c r="D274" s="1">
        <v>4.0</v>
      </c>
      <c r="E274" s="1">
        <v>1.0</v>
      </c>
      <c r="F274" s="1">
        <v>0.0</v>
      </c>
      <c r="G274" s="6">
        <v>0.667</v>
      </c>
      <c r="H274" s="1" t="s">
        <v>52</v>
      </c>
      <c r="I274" s="1">
        <v>4.0</v>
      </c>
      <c r="J274" s="1">
        <v>1.0</v>
      </c>
    </row>
    <row r="275">
      <c r="A275" s="1">
        <v>1.0</v>
      </c>
      <c r="B275" s="1">
        <v>4.0</v>
      </c>
      <c r="C275" s="1">
        <v>2.0</v>
      </c>
      <c r="D275" s="1">
        <v>4.0</v>
      </c>
      <c r="E275" s="1">
        <v>0.0</v>
      </c>
      <c r="F275" s="1">
        <v>0.0</v>
      </c>
      <c r="G275" s="2">
        <v>0.5</v>
      </c>
      <c r="H275" s="1" t="s">
        <v>52</v>
      </c>
      <c r="I275" s="1">
        <v>4.0</v>
      </c>
      <c r="J275" s="1">
        <v>0.0</v>
      </c>
    </row>
    <row r="276">
      <c r="A276" s="1">
        <v>1.0</v>
      </c>
      <c r="B276" s="1">
        <v>4.0</v>
      </c>
      <c r="C276" s="1">
        <v>3.0</v>
      </c>
      <c r="D276" s="1">
        <v>12.0</v>
      </c>
      <c r="E276" s="1">
        <v>0.0</v>
      </c>
      <c r="F276" s="1">
        <v>0.0</v>
      </c>
      <c r="G276" s="2">
        <v>1.0</v>
      </c>
      <c r="H276" s="1" t="s">
        <v>223</v>
      </c>
      <c r="I276" s="1">
        <v>12.0</v>
      </c>
      <c r="J276" s="1">
        <v>0.0</v>
      </c>
    </row>
    <row r="277">
      <c r="A277" s="1">
        <v>1.0</v>
      </c>
      <c r="B277" s="1">
        <v>4.0</v>
      </c>
      <c r="C277" s="1">
        <v>2.0</v>
      </c>
      <c r="D277" s="1">
        <v>8.0</v>
      </c>
      <c r="E277" s="1">
        <v>0.0</v>
      </c>
      <c r="F277" s="1">
        <v>0.0</v>
      </c>
      <c r="G277" s="2">
        <v>1.0</v>
      </c>
      <c r="H277" s="1" t="s">
        <v>223</v>
      </c>
      <c r="I277" s="1">
        <v>8.0</v>
      </c>
      <c r="J277" s="1">
        <v>0.0</v>
      </c>
    </row>
    <row r="278">
      <c r="A278" s="1">
        <v>1.0</v>
      </c>
      <c r="B278" s="1">
        <v>4.0</v>
      </c>
      <c r="C278" s="1">
        <v>4.0</v>
      </c>
      <c r="D278" s="1">
        <v>8.0</v>
      </c>
      <c r="E278" s="1">
        <v>1.0</v>
      </c>
      <c r="F278" s="1">
        <v>0.0</v>
      </c>
      <c r="G278" s="2">
        <v>0.75</v>
      </c>
      <c r="H278" s="1" t="s">
        <v>223</v>
      </c>
      <c r="I278" s="1">
        <v>8.0</v>
      </c>
      <c r="J278" s="1">
        <v>1.0</v>
      </c>
    </row>
    <row r="279">
      <c r="A279" s="1">
        <v>1.0</v>
      </c>
      <c r="B279" s="1">
        <v>4.0</v>
      </c>
      <c r="C279" s="1">
        <v>3.0</v>
      </c>
      <c r="D279" s="1">
        <v>0.0</v>
      </c>
      <c r="E279" s="1">
        <v>1.0</v>
      </c>
      <c r="F279" s="1">
        <v>0.0</v>
      </c>
      <c r="G279" s="6">
        <v>0.333</v>
      </c>
      <c r="H279" s="1" t="s">
        <v>223</v>
      </c>
      <c r="I279" s="1">
        <v>0.0</v>
      </c>
      <c r="J279" s="1">
        <v>1.0</v>
      </c>
    </row>
    <row r="280">
      <c r="A280" s="1">
        <v>1.0</v>
      </c>
      <c r="B280" s="1">
        <v>4.0</v>
      </c>
      <c r="C280" s="1">
        <v>2.0</v>
      </c>
      <c r="D280" s="1">
        <v>8.0</v>
      </c>
      <c r="E280" s="1">
        <v>0.0</v>
      </c>
      <c r="F280" s="1">
        <v>0.0</v>
      </c>
      <c r="G280" s="2">
        <v>1.0</v>
      </c>
      <c r="H280" s="1" t="s">
        <v>207</v>
      </c>
      <c r="I280" s="1">
        <v>8.0</v>
      </c>
      <c r="J280" s="1">
        <v>0.0</v>
      </c>
    </row>
    <row r="281">
      <c r="A281" s="1">
        <v>1.0</v>
      </c>
      <c r="B281" s="1">
        <v>4.0</v>
      </c>
      <c r="C281" s="1">
        <v>0.0</v>
      </c>
      <c r="D281" s="1">
        <v>0.0</v>
      </c>
      <c r="E281" s="1">
        <v>0.0</v>
      </c>
      <c r="F281" s="1">
        <v>0.0</v>
      </c>
      <c r="G281" s="2">
        <v>0.0</v>
      </c>
      <c r="H281" s="1" t="s">
        <v>207</v>
      </c>
      <c r="I281" s="1">
        <v>0.0</v>
      </c>
      <c r="J281" s="1">
        <v>0.0</v>
      </c>
    </row>
    <row r="282">
      <c r="A282" s="1">
        <v>2.0</v>
      </c>
      <c r="B282" s="1">
        <v>8.0</v>
      </c>
      <c r="C282" s="1">
        <v>0.0</v>
      </c>
      <c r="D282" s="1">
        <v>0.0</v>
      </c>
      <c r="E282" s="1">
        <v>0.0</v>
      </c>
      <c r="F282" s="1">
        <v>0.0</v>
      </c>
      <c r="G282" s="2">
        <v>0.0</v>
      </c>
      <c r="H282" s="1" t="s">
        <v>207</v>
      </c>
      <c r="I282" s="1">
        <v>0.0</v>
      </c>
      <c r="J282" s="1">
        <v>0.0</v>
      </c>
    </row>
    <row r="283">
      <c r="A283" s="1">
        <v>1.0</v>
      </c>
      <c r="B283" s="1">
        <v>4.0</v>
      </c>
      <c r="C283" s="1">
        <v>0.0</v>
      </c>
      <c r="D283" s="1">
        <v>0.0</v>
      </c>
      <c r="E283" s="1">
        <v>0.0</v>
      </c>
      <c r="F283" s="1">
        <v>0.0</v>
      </c>
      <c r="G283" s="2">
        <v>0.0</v>
      </c>
      <c r="H283" s="1" t="s">
        <v>207</v>
      </c>
      <c r="I283" s="1">
        <v>0.0</v>
      </c>
      <c r="J283" s="1">
        <v>0.0</v>
      </c>
    </row>
    <row r="284">
      <c r="A284" s="1">
        <v>1.0</v>
      </c>
      <c r="B284" s="1">
        <v>4.0</v>
      </c>
      <c r="C284" s="1">
        <v>1.0</v>
      </c>
      <c r="D284" s="1">
        <v>-4.0</v>
      </c>
      <c r="E284" s="1">
        <v>1.0</v>
      </c>
      <c r="F284" s="1">
        <v>0.0</v>
      </c>
      <c r="G284" s="2">
        <v>0.0</v>
      </c>
      <c r="H284" s="1" t="s">
        <v>288</v>
      </c>
      <c r="I284" s="1">
        <v>-4.0</v>
      </c>
      <c r="J284" s="1">
        <v>1.0</v>
      </c>
    </row>
    <row r="285">
      <c r="A285" s="1">
        <v>1.0</v>
      </c>
      <c r="B285" s="1">
        <v>4.0</v>
      </c>
      <c r="C285" s="1">
        <v>0.0</v>
      </c>
      <c r="D285" s="1">
        <v>0.0</v>
      </c>
      <c r="E285" s="1">
        <v>0.0</v>
      </c>
      <c r="F285" s="1">
        <v>0.0</v>
      </c>
      <c r="G285" s="2">
        <v>0.0</v>
      </c>
      <c r="H285" s="1" t="s">
        <v>245</v>
      </c>
      <c r="I285" s="1">
        <v>0.0</v>
      </c>
      <c r="J285" s="1">
        <v>0.0</v>
      </c>
    </row>
    <row r="286">
      <c r="A286" s="1">
        <v>1.0</v>
      </c>
      <c r="B286" s="1">
        <v>4.0</v>
      </c>
      <c r="C286" s="1">
        <v>0.0</v>
      </c>
      <c r="D286" s="1">
        <v>0.0</v>
      </c>
      <c r="E286" s="1">
        <v>0.0</v>
      </c>
      <c r="F286" s="1">
        <v>0.0</v>
      </c>
      <c r="G286" s="2">
        <v>0.0</v>
      </c>
      <c r="H286" s="1" t="s">
        <v>245</v>
      </c>
      <c r="I286" s="1">
        <v>0.0</v>
      </c>
      <c r="J286" s="1">
        <v>0.0</v>
      </c>
    </row>
    <row r="287">
      <c r="A287" s="1">
        <v>1.0</v>
      </c>
      <c r="B287" s="1">
        <v>4.0</v>
      </c>
      <c r="C287" s="1">
        <v>0.0</v>
      </c>
      <c r="D287" s="1">
        <v>0.0</v>
      </c>
      <c r="E287" s="1">
        <v>0.0</v>
      </c>
      <c r="F287" s="1">
        <v>0.0</v>
      </c>
      <c r="G287" s="2">
        <v>0.0</v>
      </c>
      <c r="H287" s="1" t="s">
        <v>245</v>
      </c>
      <c r="I287" s="1">
        <v>0.0</v>
      </c>
      <c r="J287" s="1">
        <v>0.0</v>
      </c>
    </row>
    <row r="288">
      <c r="A288" s="1">
        <v>1.0</v>
      </c>
      <c r="B288" s="1">
        <v>4.0</v>
      </c>
      <c r="C288" s="1">
        <v>1.0</v>
      </c>
      <c r="D288" s="1">
        <v>-4.0</v>
      </c>
      <c r="E288" s="1">
        <v>1.0</v>
      </c>
      <c r="F288" s="1">
        <v>0.0</v>
      </c>
      <c r="G288" s="2">
        <v>0.0</v>
      </c>
      <c r="H288" s="1" t="s">
        <v>290</v>
      </c>
      <c r="I288" s="1">
        <v>-4.0</v>
      </c>
      <c r="J288" s="1">
        <v>1.0</v>
      </c>
    </row>
    <row r="289">
      <c r="A289" s="1">
        <v>4.0</v>
      </c>
      <c r="B289" s="1">
        <v>16.0</v>
      </c>
      <c r="C289" s="1">
        <v>0.0</v>
      </c>
      <c r="D289" s="1">
        <v>0.0</v>
      </c>
      <c r="E289" s="1">
        <v>0.0</v>
      </c>
      <c r="F289" s="1">
        <v>0.0</v>
      </c>
      <c r="G289" s="2">
        <v>0.0</v>
      </c>
      <c r="H289" s="1" t="s">
        <v>291</v>
      </c>
      <c r="I289" s="1">
        <v>0.0</v>
      </c>
      <c r="J289" s="1">
        <v>0.0</v>
      </c>
    </row>
    <row r="290">
      <c r="A290" s="1">
        <v>5.0</v>
      </c>
      <c r="B290" s="1">
        <v>20.0</v>
      </c>
      <c r="C290" s="1">
        <v>13.0</v>
      </c>
      <c r="D290" s="1">
        <v>6.4</v>
      </c>
      <c r="E290" s="1">
        <v>0.2</v>
      </c>
      <c r="F290" s="1">
        <v>0.0</v>
      </c>
      <c r="G290" s="6">
        <v>0.692</v>
      </c>
      <c r="H290" s="1" t="s">
        <v>267</v>
      </c>
      <c r="I290" s="1">
        <v>32.0</v>
      </c>
      <c r="J290" s="1">
        <v>1.0</v>
      </c>
    </row>
    <row r="291">
      <c r="A291" s="1">
        <v>5.0</v>
      </c>
      <c r="B291" s="1">
        <v>20.0</v>
      </c>
      <c r="C291" s="1">
        <v>0.0</v>
      </c>
      <c r="D291" s="1">
        <v>0.0</v>
      </c>
      <c r="E291" s="1">
        <v>0.0</v>
      </c>
      <c r="F291" s="1">
        <v>0.0</v>
      </c>
      <c r="G291" s="2">
        <v>0.0</v>
      </c>
      <c r="H291" s="1" t="s">
        <v>98</v>
      </c>
      <c r="I291" s="1">
        <v>0.0</v>
      </c>
      <c r="J291" s="1">
        <v>0.0</v>
      </c>
    </row>
    <row r="292">
      <c r="A292" s="1">
        <v>1.0</v>
      </c>
      <c r="B292" s="1">
        <v>4.0</v>
      </c>
      <c r="C292" s="1">
        <v>0.0</v>
      </c>
      <c r="D292" s="1">
        <v>0.0</v>
      </c>
      <c r="E292" s="1">
        <v>0.0</v>
      </c>
      <c r="F292" s="1">
        <v>0.0</v>
      </c>
      <c r="G292" s="2">
        <v>0.0</v>
      </c>
      <c r="H292" s="1" t="s">
        <v>106</v>
      </c>
      <c r="I292" s="1">
        <v>0.0</v>
      </c>
      <c r="J292" s="1">
        <v>0.0</v>
      </c>
    </row>
    <row r="293">
      <c r="A293" s="1">
        <v>3.0</v>
      </c>
      <c r="B293" s="1">
        <v>12.0</v>
      </c>
      <c r="C293" s="1">
        <v>0.0</v>
      </c>
      <c r="D293" s="1">
        <v>0.0</v>
      </c>
      <c r="E293" s="1">
        <v>0.0</v>
      </c>
      <c r="F293" s="1">
        <v>0.0</v>
      </c>
      <c r="G293" s="2">
        <v>0.0</v>
      </c>
      <c r="H293" s="1" t="s">
        <v>106</v>
      </c>
      <c r="I293" s="1">
        <v>0.0</v>
      </c>
      <c r="J293" s="1">
        <v>0.0</v>
      </c>
    </row>
    <row r="294">
      <c r="A294" s="1">
        <v>1.0</v>
      </c>
      <c r="B294" s="1">
        <v>4.0</v>
      </c>
      <c r="C294" s="1">
        <v>0.0</v>
      </c>
      <c r="D294" s="1">
        <v>0.0</v>
      </c>
      <c r="E294" s="1">
        <v>0.0</v>
      </c>
      <c r="F294" s="1">
        <v>0.0</v>
      </c>
      <c r="G294" s="2">
        <v>0.0</v>
      </c>
      <c r="H294" s="1" t="s">
        <v>106</v>
      </c>
      <c r="I294" s="1">
        <v>0.0</v>
      </c>
      <c r="J294" s="1">
        <v>0.0</v>
      </c>
    </row>
    <row r="295">
      <c r="A295" s="1">
        <v>2.0</v>
      </c>
      <c r="B295" s="1">
        <v>8.0</v>
      </c>
      <c r="C295" s="1">
        <v>0.0</v>
      </c>
      <c r="D295" s="1">
        <v>0.0</v>
      </c>
      <c r="E295" s="1">
        <v>0.0</v>
      </c>
      <c r="F295" s="1">
        <v>0.0</v>
      </c>
      <c r="G295" s="2">
        <v>0.0</v>
      </c>
      <c r="H295" s="1" t="s">
        <v>292</v>
      </c>
      <c r="I295" s="1">
        <v>0.0</v>
      </c>
      <c r="J295" s="1">
        <v>0.0</v>
      </c>
    </row>
    <row r="296">
      <c r="A296" s="1">
        <v>1.0</v>
      </c>
      <c r="B296" s="1">
        <v>4.0</v>
      </c>
      <c r="C296" s="1">
        <v>0.0</v>
      </c>
      <c r="D296" s="1">
        <v>0.0</v>
      </c>
      <c r="E296" s="1">
        <v>0.0</v>
      </c>
      <c r="F296" s="1">
        <v>0.0</v>
      </c>
      <c r="G296" s="2">
        <v>0.0</v>
      </c>
      <c r="H296" s="1" t="s">
        <v>269</v>
      </c>
      <c r="I296" s="1">
        <v>0.0</v>
      </c>
      <c r="J296" s="1">
        <v>0.0</v>
      </c>
    </row>
    <row r="297">
      <c r="A297" s="1">
        <v>3.0</v>
      </c>
      <c r="B297" s="1">
        <v>12.0</v>
      </c>
      <c r="C297" s="1">
        <v>0.0</v>
      </c>
      <c r="D297" s="1">
        <v>0.0</v>
      </c>
      <c r="E297" s="1">
        <v>0.0</v>
      </c>
      <c r="F297" s="1">
        <v>0.0</v>
      </c>
      <c r="G297" s="2">
        <v>0.0</v>
      </c>
      <c r="H297" s="1" t="s">
        <v>269</v>
      </c>
      <c r="I297" s="1">
        <v>0.0</v>
      </c>
      <c r="J297" s="1">
        <v>0.0</v>
      </c>
    </row>
    <row r="298">
      <c r="A298" s="1">
        <v>1.0</v>
      </c>
      <c r="B298" s="1">
        <v>4.0</v>
      </c>
      <c r="C298" s="1">
        <v>0.0</v>
      </c>
      <c r="D298" s="1">
        <v>0.0</v>
      </c>
      <c r="E298" s="1">
        <v>0.0</v>
      </c>
      <c r="F298" s="1">
        <v>0.0</v>
      </c>
      <c r="G298" s="2">
        <v>0.0</v>
      </c>
      <c r="H298" s="1" t="s">
        <v>269</v>
      </c>
      <c r="I298" s="1">
        <v>0.0</v>
      </c>
      <c r="J298" s="1">
        <v>0.0</v>
      </c>
    </row>
    <row r="299">
      <c r="A299" s="1">
        <v>1.0</v>
      </c>
      <c r="B299" s="1">
        <v>4.0</v>
      </c>
      <c r="C299" s="1">
        <v>2.0</v>
      </c>
      <c r="D299" s="1">
        <v>8.0</v>
      </c>
      <c r="E299" s="1">
        <v>0.0</v>
      </c>
      <c r="F299" s="1">
        <v>0.0</v>
      </c>
      <c r="G299" s="2">
        <v>1.0</v>
      </c>
      <c r="H299" s="1" t="s">
        <v>293</v>
      </c>
      <c r="I299" s="1">
        <v>8.0</v>
      </c>
      <c r="J299" s="1">
        <v>0.0</v>
      </c>
    </row>
    <row r="300">
      <c r="A300" s="1">
        <v>1.0</v>
      </c>
      <c r="B300" s="1">
        <v>4.0</v>
      </c>
      <c r="C300" s="1">
        <v>1.0</v>
      </c>
      <c r="D300" s="1">
        <v>4.0</v>
      </c>
      <c r="E300" s="1">
        <v>0.0</v>
      </c>
      <c r="F300" s="1">
        <v>0.0</v>
      </c>
      <c r="G300" s="2">
        <v>1.0</v>
      </c>
      <c r="H300" s="1" t="s">
        <v>293</v>
      </c>
      <c r="I300" s="1">
        <v>4.0</v>
      </c>
      <c r="J300" s="1">
        <v>0.0</v>
      </c>
    </row>
    <row r="301">
      <c r="A301" s="1">
        <v>3.0</v>
      </c>
      <c r="B301" s="1">
        <v>12.0</v>
      </c>
      <c r="C301" s="1">
        <v>7.0</v>
      </c>
      <c r="D301" s="1">
        <v>1.33</v>
      </c>
      <c r="E301" s="1">
        <v>1.0</v>
      </c>
      <c r="F301" s="1">
        <v>0.0</v>
      </c>
      <c r="G301" s="6">
        <v>0.571</v>
      </c>
      <c r="H301" s="1" t="s">
        <v>293</v>
      </c>
      <c r="I301" s="1">
        <v>4.0</v>
      </c>
      <c r="J301" s="1">
        <v>3.0</v>
      </c>
    </row>
    <row r="302">
      <c r="A302" s="1">
        <v>5.0</v>
      </c>
      <c r="B302" s="1">
        <v>20.0</v>
      </c>
      <c r="C302" s="1">
        <v>11.0</v>
      </c>
      <c r="D302" s="1">
        <v>6.4</v>
      </c>
      <c r="E302" s="1">
        <v>0.0</v>
      </c>
      <c r="F302" s="1">
        <v>0.0</v>
      </c>
      <c r="G302" s="6">
        <v>0.727</v>
      </c>
      <c r="H302" s="1" t="s">
        <v>285</v>
      </c>
      <c r="I302" s="1">
        <v>32.0</v>
      </c>
      <c r="J302" s="1">
        <v>0.0</v>
      </c>
    </row>
    <row r="303">
      <c r="A303" s="1">
        <v>1.0</v>
      </c>
      <c r="B303" s="1">
        <v>4.0</v>
      </c>
      <c r="C303" s="1">
        <v>0.0</v>
      </c>
      <c r="D303" s="1">
        <v>0.0</v>
      </c>
      <c r="E303" s="1">
        <v>0.0</v>
      </c>
      <c r="F303" s="1">
        <v>0.0</v>
      </c>
      <c r="G303" s="2">
        <v>0.0</v>
      </c>
      <c r="H303" s="1" t="s">
        <v>246</v>
      </c>
      <c r="I303" s="1">
        <v>0.0</v>
      </c>
      <c r="J303" s="1">
        <v>0.0</v>
      </c>
    </row>
    <row r="304">
      <c r="A304" s="1">
        <v>4.0</v>
      </c>
      <c r="B304" s="1">
        <v>16.0</v>
      </c>
      <c r="C304" s="1">
        <v>1.0</v>
      </c>
      <c r="D304" s="1">
        <v>1.0</v>
      </c>
      <c r="E304" s="1">
        <v>0.0</v>
      </c>
      <c r="F304" s="1">
        <v>0.0</v>
      </c>
      <c r="G304" s="2">
        <v>1.0</v>
      </c>
      <c r="H304" s="1" t="s">
        <v>295</v>
      </c>
      <c r="I304" s="1">
        <v>4.0</v>
      </c>
      <c r="J304" s="1">
        <v>0.0</v>
      </c>
    </row>
    <row r="305">
      <c r="A305" s="1">
        <v>5.0</v>
      </c>
      <c r="B305" s="1">
        <v>20.0</v>
      </c>
      <c r="C305" s="1">
        <v>1.0</v>
      </c>
      <c r="D305" s="1">
        <v>0.8</v>
      </c>
      <c r="E305" s="1">
        <v>0.0</v>
      </c>
      <c r="F305" s="1">
        <v>0.0</v>
      </c>
      <c r="G305" s="2">
        <v>1.0</v>
      </c>
      <c r="H305" s="1" t="s">
        <v>286</v>
      </c>
      <c r="I305" s="1">
        <v>4.0</v>
      </c>
      <c r="J305" s="1">
        <v>0.0</v>
      </c>
    </row>
    <row r="306">
      <c r="A306" s="1">
        <v>5.0</v>
      </c>
      <c r="B306" s="1">
        <v>20.0</v>
      </c>
      <c r="C306" s="1">
        <v>0.0</v>
      </c>
      <c r="D306" s="1">
        <v>0.0</v>
      </c>
      <c r="E306" s="1">
        <v>0.0</v>
      </c>
      <c r="F306" s="1">
        <v>0.0</v>
      </c>
      <c r="G306" s="2">
        <v>0.0</v>
      </c>
      <c r="H306" s="1" t="s">
        <v>297</v>
      </c>
      <c r="I306" s="1">
        <v>0.0</v>
      </c>
      <c r="J306" s="1">
        <v>0.0</v>
      </c>
    </row>
    <row r="307">
      <c r="A307" s="1">
        <v>3.0</v>
      </c>
      <c r="B307" s="1">
        <v>11.0</v>
      </c>
      <c r="C307" s="1">
        <v>0.0</v>
      </c>
      <c r="D307" s="1">
        <v>0.0</v>
      </c>
      <c r="E307" s="1">
        <v>0.0</v>
      </c>
      <c r="F307" s="1">
        <v>0.0</v>
      </c>
      <c r="G307" s="2">
        <v>0.0</v>
      </c>
      <c r="H307" s="1" t="s">
        <v>298</v>
      </c>
      <c r="I307" s="1">
        <v>0.0</v>
      </c>
      <c r="J307" s="1">
        <v>0.0</v>
      </c>
    </row>
    <row r="308">
      <c r="A308" s="1">
        <v>4.0</v>
      </c>
      <c r="B308" s="1">
        <v>15.0</v>
      </c>
      <c r="C308" s="1">
        <v>2.0</v>
      </c>
      <c r="D308" s="1">
        <v>2.0</v>
      </c>
      <c r="E308" s="1">
        <v>0.0</v>
      </c>
      <c r="F308" s="1">
        <v>0.0</v>
      </c>
      <c r="G308" s="2">
        <v>1.0</v>
      </c>
      <c r="H308" s="1" t="s">
        <v>296</v>
      </c>
      <c r="I308" s="1">
        <v>8.0</v>
      </c>
      <c r="J308" s="1">
        <v>0.0</v>
      </c>
    </row>
    <row r="309">
      <c r="A309" s="1">
        <v>4.0</v>
      </c>
      <c r="B309" s="1">
        <v>15.0</v>
      </c>
      <c r="C309" s="1">
        <v>0.0</v>
      </c>
      <c r="D309" s="1">
        <v>0.0</v>
      </c>
      <c r="E309" s="1">
        <v>0.0</v>
      </c>
      <c r="F309" s="1">
        <v>0.0</v>
      </c>
      <c r="G309" s="2">
        <v>0.0</v>
      </c>
      <c r="H309" s="1" t="s">
        <v>175</v>
      </c>
      <c r="I309" s="1">
        <v>0.0</v>
      </c>
      <c r="J309" s="1">
        <v>0.0</v>
      </c>
    </row>
    <row r="310">
      <c r="A310" s="1">
        <v>4.0</v>
      </c>
      <c r="B310" s="1">
        <v>15.0</v>
      </c>
      <c r="C310" s="1">
        <v>11.0</v>
      </c>
      <c r="D310" s="1">
        <v>5.0</v>
      </c>
      <c r="E310" s="1">
        <v>0.5</v>
      </c>
      <c r="F310" s="1">
        <v>0.0</v>
      </c>
      <c r="G310" s="6">
        <v>0.636</v>
      </c>
      <c r="H310" s="1" t="s">
        <v>300</v>
      </c>
      <c r="I310" s="1">
        <v>20.0</v>
      </c>
      <c r="J310" s="1">
        <v>2.0</v>
      </c>
    </row>
    <row r="311">
      <c r="A311" s="1">
        <v>4.0</v>
      </c>
      <c r="B311" s="1">
        <v>16.0</v>
      </c>
      <c r="C311" s="1">
        <v>0.0</v>
      </c>
      <c r="D311" s="1">
        <v>0.0</v>
      </c>
      <c r="E311" s="1">
        <v>0.0</v>
      </c>
      <c r="F311" s="1">
        <v>0.0</v>
      </c>
      <c r="G311" s="2">
        <v>0.0</v>
      </c>
      <c r="H311" s="1" t="s">
        <v>271</v>
      </c>
      <c r="I311" s="1">
        <v>0.0</v>
      </c>
      <c r="J311" s="1">
        <v>0.0</v>
      </c>
    </row>
    <row r="312">
      <c r="A312" s="1">
        <v>1.0</v>
      </c>
      <c r="B312" s="1">
        <v>4.0</v>
      </c>
      <c r="C312" s="1">
        <v>0.0</v>
      </c>
      <c r="D312" s="1">
        <v>0.0</v>
      </c>
      <c r="E312" s="1">
        <v>0.0</v>
      </c>
      <c r="F312" s="1">
        <v>0.0</v>
      </c>
      <c r="G312" s="2">
        <v>0.0</v>
      </c>
      <c r="H312" s="1" t="s">
        <v>271</v>
      </c>
      <c r="I312" s="1">
        <v>0.0</v>
      </c>
      <c r="J312" s="1">
        <v>0.0</v>
      </c>
    </row>
    <row r="313">
      <c r="A313" s="1">
        <v>4.0</v>
      </c>
      <c r="B313" s="1">
        <v>16.0</v>
      </c>
      <c r="C313" s="1">
        <v>2.0</v>
      </c>
      <c r="D313" s="1">
        <v>1.0</v>
      </c>
      <c r="E313" s="1">
        <v>0.0</v>
      </c>
      <c r="F313" s="1">
        <v>0.0</v>
      </c>
      <c r="G313" s="2">
        <v>0.5</v>
      </c>
      <c r="H313" s="1" t="s">
        <v>249</v>
      </c>
      <c r="I313" s="1">
        <v>4.0</v>
      </c>
      <c r="J313" s="1">
        <v>0.0</v>
      </c>
    </row>
    <row r="314">
      <c r="A314" s="1">
        <v>1.0</v>
      </c>
      <c r="B314" s="1">
        <v>4.0</v>
      </c>
      <c r="C314" s="1">
        <v>1.0</v>
      </c>
      <c r="D314" s="1">
        <v>0.0</v>
      </c>
      <c r="E314" s="1">
        <v>0.0</v>
      </c>
      <c r="F314" s="1">
        <v>0.0</v>
      </c>
      <c r="G314" s="2">
        <v>0.0</v>
      </c>
      <c r="H314" s="1" t="s">
        <v>249</v>
      </c>
      <c r="I314" s="1">
        <v>0.0</v>
      </c>
      <c r="J314" s="1">
        <v>0.0</v>
      </c>
    </row>
    <row r="315">
      <c r="A315" s="1">
        <v>4.0</v>
      </c>
      <c r="B315" s="1">
        <v>16.0</v>
      </c>
      <c r="C315" s="1">
        <v>5.0</v>
      </c>
      <c r="D315" s="1">
        <v>3.0</v>
      </c>
      <c r="E315" s="1">
        <v>0.25</v>
      </c>
      <c r="F315" s="1">
        <v>0.0</v>
      </c>
      <c r="G315" s="2">
        <v>0.8</v>
      </c>
      <c r="H315" s="1" t="s">
        <v>272</v>
      </c>
      <c r="I315" s="1">
        <v>12.0</v>
      </c>
      <c r="J315" s="1">
        <v>1.0</v>
      </c>
    </row>
    <row r="316">
      <c r="A316" s="1">
        <v>1.0</v>
      </c>
      <c r="B316" s="1">
        <v>4.0</v>
      </c>
      <c r="C316" s="1">
        <v>0.0</v>
      </c>
      <c r="D316" s="1">
        <v>0.0</v>
      </c>
      <c r="E316" s="1">
        <v>0.0</v>
      </c>
      <c r="F316" s="1">
        <v>0.0</v>
      </c>
      <c r="G316" s="2">
        <v>0.0</v>
      </c>
      <c r="H316" s="1" t="s">
        <v>272</v>
      </c>
      <c r="I316" s="1">
        <v>0.0</v>
      </c>
      <c r="J316" s="1">
        <v>0.0</v>
      </c>
    </row>
    <row r="317">
      <c r="A317" s="1">
        <v>4.0</v>
      </c>
      <c r="B317" s="1">
        <v>16.0</v>
      </c>
      <c r="C317" s="1">
        <v>7.0</v>
      </c>
      <c r="D317" s="1">
        <v>2.0</v>
      </c>
      <c r="E317" s="1">
        <v>0.0</v>
      </c>
      <c r="F317" s="1">
        <v>0.0</v>
      </c>
      <c r="G317" s="6">
        <v>0.286</v>
      </c>
      <c r="H317" s="1" t="s">
        <v>138</v>
      </c>
      <c r="I317" s="1">
        <v>8.0</v>
      </c>
      <c r="J317" s="1">
        <v>0.0</v>
      </c>
    </row>
    <row r="318">
      <c r="A318" s="1">
        <v>1.0</v>
      </c>
      <c r="B318" s="1">
        <v>4.0</v>
      </c>
      <c r="C318" s="1">
        <v>1.0</v>
      </c>
      <c r="D318" s="1">
        <v>4.0</v>
      </c>
      <c r="E318" s="1">
        <v>0.0</v>
      </c>
      <c r="F318" s="1">
        <v>0.0</v>
      </c>
      <c r="G318" s="2">
        <v>1.0</v>
      </c>
      <c r="H318" s="1" t="s">
        <v>138</v>
      </c>
      <c r="I318" s="1">
        <v>4.0</v>
      </c>
      <c r="J318" s="1">
        <v>0.0</v>
      </c>
    </row>
    <row r="319">
      <c r="A319" s="1">
        <v>2.0</v>
      </c>
      <c r="B319" s="1">
        <v>8.0</v>
      </c>
      <c r="C319" s="1">
        <v>0.0</v>
      </c>
      <c r="D319" s="1">
        <v>0.0</v>
      </c>
      <c r="E319" s="1">
        <v>0.0</v>
      </c>
      <c r="F319" s="1">
        <v>0.0</v>
      </c>
      <c r="G319" s="2">
        <v>0.0</v>
      </c>
      <c r="H319" s="1" t="s">
        <v>303</v>
      </c>
      <c r="I319" s="1">
        <v>0.0</v>
      </c>
      <c r="J319" s="1">
        <v>0.0</v>
      </c>
    </row>
    <row r="320">
      <c r="A320" s="1">
        <v>4.0</v>
      </c>
      <c r="B320" s="1">
        <v>16.0</v>
      </c>
      <c r="C320" s="1">
        <v>0.0</v>
      </c>
      <c r="D320" s="1">
        <v>0.0</v>
      </c>
      <c r="E320" s="1">
        <v>0.0</v>
      </c>
      <c r="F320" s="1">
        <v>0.0</v>
      </c>
      <c r="G320" s="2">
        <v>0.0</v>
      </c>
      <c r="H320" s="1" t="s">
        <v>304</v>
      </c>
      <c r="I320" s="1">
        <v>0.0</v>
      </c>
      <c r="J320" s="1">
        <v>0.0</v>
      </c>
    </row>
    <row r="321">
      <c r="A321" s="1">
        <v>1.0</v>
      </c>
      <c r="B321" s="1">
        <v>4.0</v>
      </c>
      <c r="C321" s="1">
        <v>0.0</v>
      </c>
      <c r="D321" s="1">
        <v>0.0</v>
      </c>
      <c r="E321" s="1">
        <v>0.0</v>
      </c>
      <c r="F321" s="1">
        <v>0.0</v>
      </c>
      <c r="G321" s="2">
        <v>0.0</v>
      </c>
      <c r="H321" s="1" t="s">
        <v>305</v>
      </c>
      <c r="I321" s="1">
        <v>0.0</v>
      </c>
      <c r="J321" s="1">
        <v>0.0</v>
      </c>
    </row>
    <row r="322">
      <c r="A322" s="1">
        <v>1.0</v>
      </c>
      <c r="B322" s="1">
        <v>4.0</v>
      </c>
      <c r="C322" s="1">
        <v>2.0</v>
      </c>
      <c r="D322" s="1">
        <v>4.0</v>
      </c>
      <c r="E322" s="1">
        <v>0.0</v>
      </c>
      <c r="F322" s="1">
        <v>0.0</v>
      </c>
      <c r="G322" s="2">
        <v>0.5</v>
      </c>
      <c r="H322" s="1" t="s">
        <v>306</v>
      </c>
      <c r="I322" s="1">
        <v>4.0</v>
      </c>
      <c r="J322" s="1">
        <v>0.0</v>
      </c>
    </row>
    <row r="323">
      <c r="A323" s="1">
        <v>1.0</v>
      </c>
      <c r="B323" s="1">
        <v>3.0</v>
      </c>
      <c r="C323" s="1">
        <v>1.0</v>
      </c>
      <c r="D323" s="1">
        <v>4.0</v>
      </c>
      <c r="E323" s="1">
        <v>0.0</v>
      </c>
      <c r="F323" s="1">
        <v>0.0</v>
      </c>
      <c r="G323" s="2">
        <v>1.0</v>
      </c>
      <c r="H323" s="1" t="s">
        <v>306</v>
      </c>
      <c r="I323" s="1">
        <v>4.0</v>
      </c>
      <c r="J323" s="1">
        <v>0.0</v>
      </c>
    </row>
    <row r="324">
      <c r="A324" s="1">
        <v>1.0</v>
      </c>
      <c r="B324" s="1">
        <v>4.0</v>
      </c>
      <c r="C324" s="1">
        <v>1.0</v>
      </c>
      <c r="D324" s="1">
        <v>4.0</v>
      </c>
      <c r="E324" s="1">
        <v>0.0</v>
      </c>
      <c r="F324" s="1">
        <v>0.0</v>
      </c>
      <c r="G324" s="2">
        <v>1.0</v>
      </c>
      <c r="H324" s="1" t="s">
        <v>306</v>
      </c>
      <c r="I324" s="1">
        <v>4.0</v>
      </c>
      <c r="J324" s="1">
        <v>0.0</v>
      </c>
    </row>
    <row r="325">
      <c r="A325" s="1">
        <v>1.0</v>
      </c>
      <c r="B325" s="1">
        <v>4.0</v>
      </c>
      <c r="C325" s="1">
        <v>1.0</v>
      </c>
      <c r="D325" s="1">
        <v>0.0</v>
      </c>
      <c r="E325" s="1">
        <v>0.0</v>
      </c>
      <c r="F325" s="1">
        <v>0.0</v>
      </c>
      <c r="G325" s="2">
        <v>0.0</v>
      </c>
      <c r="H325" s="1" t="s">
        <v>306</v>
      </c>
      <c r="I325" s="1">
        <v>0.0</v>
      </c>
      <c r="J325" s="1">
        <v>0.0</v>
      </c>
    </row>
    <row r="326">
      <c r="A326" s="1">
        <v>1.0</v>
      </c>
      <c r="B326" s="1">
        <v>3.0</v>
      </c>
      <c r="C326" s="1">
        <v>2.0</v>
      </c>
      <c r="D326" s="1">
        <v>8.0</v>
      </c>
      <c r="E326" s="1">
        <v>0.0</v>
      </c>
      <c r="F326" s="1">
        <v>0.0</v>
      </c>
      <c r="G326" s="2">
        <v>1.0</v>
      </c>
      <c r="H326" s="1" t="s">
        <v>141</v>
      </c>
      <c r="I326" s="1">
        <v>8.0</v>
      </c>
      <c r="J326" s="1">
        <v>0.0</v>
      </c>
    </row>
    <row r="327">
      <c r="A327" s="1">
        <v>1.0</v>
      </c>
      <c r="B327" s="1">
        <v>4.0</v>
      </c>
      <c r="C327" s="1">
        <v>1.0</v>
      </c>
      <c r="D327" s="1">
        <v>4.0</v>
      </c>
      <c r="E327" s="1">
        <v>0.0</v>
      </c>
      <c r="F327" s="1">
        <v>0.0</v>
      </c>
      <c r="G327" s="2">
        <v>1.0</v>
      </c>
      <c r="H327" s="1" t="s">
        <v>141</v>
      </c>
      <c r="I327" s="1">
        <v>4.0</v>
      </c>
      <c r="J327" s="1">
        <v>0.0</v>
      </c>
    </row>
    <row r="328">
      <c r="A328" s="1">
        <v>1.0</v>
      </c>
      <c r="B328" s="1">
        <v>4.0</v>
      </c>
      <c r="C328" s="1">
        <v>0.0</v>
      </c>
      <c r="D328" s="1">
        <v>0.0</v>
      </c>
      <c r="E328" s="1">
        <v>0.0</v>
      </c>
      <c r="F328" s="1">
        <v>0.0</v>
      </c>
      <c r="G328" s="2">
        <v>0.0</v>
      </c>
      <c r="H328" s="1" t="s">
        <v>141</v>
      </c>
      <c r="I328" s="1">
        <v>0.0</v>
      </c>
      <c r="J328" s="1">
        <v>0.0</v>
      </c>
    </row>
    <row r="329">
      <c r="A329" s="1">
        <v>1.0</v>
      </c>
      <c r="B329" s="1">
        <v>4.0</v>
      </c>
      <c r="C329" s="1">
        <v>0.0</v>
      </c>
      <c r="D329" s="1">
        <v>0.0</v>
      </c>
      <c r="E329" s="1">
        <v>0.0</v>
      </c>
      <c r="F329" s="1">
        <v>0.0</v>
      </c>
      <c r="G329" s="2">
        <v>0.0</v>
      </c>
      <c r="H329" s="1" t="s">
        <v>141</v>
      </c>
      <c r="I329" s="1">
        <v>0.0</v>
      </c>
      <c r="J329" s="1">
        <v>0.0</v>
      </c>
    </row>
    <row r="330">
      <c r="A330" s="1">
        <v>1.0</v>
      </c>
      <c r="B330" s="1">
        <v>4.0</v>
      </c>
      <c r="C330" s="1">
        <v>0.0</v>
      </c>
      <c r="D330" s="1">
        <v>0.0</v>
      </c>
      <c r="E330" s="1">
        <v>0.0</v>
      </c>
      <c r="F330" s="1">
        <v>0.0</v>
      </c>
      <c r="G330" s="2">
        <v>0.0</v>
      </c>
      <c r="H330" s="1" t="s">
        <v>308</v>
      </c>
      <c r="I330" s="1">
        <v>0.0</v>
      </c>
      <c r="J330" s="1">
        <v>0.0</v>
      </c>
    </row>
    <row r="331">
      <c r="A331" s="1">
        <v>1.0</v>
      </c>
      <c r="B331" s="1">
        <v>3.0</v>
      </c>
      <c r="C331" s="1">
        <v>0.0</v>
      </c>
      <c r="D331" s="1">
        <v>0.0</v>
      </c>
      <c r="E331" s="1">
        <v>0.0</v>
      </c>
      <c r="F331" s="1">
        <v>0.0</v>
      </c>
      <c r="G331" s="2">
        <v>0.0</v>
      </c>
      <c r="H331" s="1" t="s">
        <v>308</v>
      </c>
      <c r="I331" s="1">
        <v>0.0</v>
      </c>
      <c r="J331" s="1">
        <v>0.0</v>
      </c>
    </row>
    <row r="332">
      <c r="A332" s="1">
        <v>1.0</v>
      </c>
      <c r="B332" s="1">
        <v>4.0</v>
      </c>
      <c r="C332" s="1">
        <v>0.0</v>
      </c>
      <c r="D332" s="1">
        <v>0.0</v>
      </c>
      <c r="E332" s="1">
        <v>0.0</v>
      </c>
      <c r="F332" s="1">
        <v>0.0</v>
      </c>
      <c r="G332" s="2">
        <v>0.0</v>
      </c>
      <c r="H332" s="1" t="s">
        <v>308</v>
      </c>
      <c r="I332" s="1">
        <v>0.0</v>
      </c>
      <c r="J332" s="1">
        <v>0.0</v>
      </c>
    </row>
    <row r="333">
      <c r="A333" s="1">
        <v>1.0</v>
      </c>
      <c r="B333" s="1">
        <v>3.0</v>
      </c>
      <c r="C333" s="1">
        <v>0.0</v>
      </c>
      <c r="D333" s="1">
        <v>0.0</v>
      </c>
      <c r="E333" s="1">
        <v>0.0</v>
      </c>
      <c r="F333" s="1">
        <v>0.0</v>
      </c>
      <c r="G333" s="2">
        <v>0.0</v>
      </c>
      <c r="H333" s="1" t="s">
        <v>309</v>
      </c>
      <c r="I333" s="1">
        <v>0.0</v>
      </c>
      <c r="J333" s="1">
        <v>0.0</v>
      </c>
    </row>
    <row r="334">
      <c r="A334" s="1">
        <v>1.0</v>
      </c>
      <c r="B334" s="1">
        <v>4.0</v>
      </c>
      <c r="C334" s="1">
        <v>0.0</v>
      </c>
      <c r="D334" s="1">
        <v>0.0</v>
      </c>
      <c r="E334" s="1">
        <v>0.0</v>
      </c>
      <c r="F334" s="1">
        <v>0.0</v>
      </c>
      <c r="G334" s="2">
        <v>0.0</v>
      </c>
      <c r="H334" s="1" t="s">
        <v>309</v>
      </c>
      <c r="I334" s="1">
        <v>0.0</v>
      </c>
      <c r="J334" s="1">
        <v>0.0</v>
      </c>
    </row>
    <row r="335">
      <c r="A335" s="1">
        <v>1.0</v>
      </c>
      <c r="B335" s="1">
        <v>4.0</v>
      </c>
      <c r="C335" s="1">
        <v>0.0</v>
      </c>
      <c r="D335" s="1">
        <v>0.0</v>
      </c>
      <c r="E335" s="1">
        <v>0.0</v>
      </c>
      <c r="F335" s="1">
        <v>0.0</v>
      </c>
      <c r="G335" s="2">
        <v>0.0</v>
      </c>
      <c r="H335" s="1" t="s">
        <v>310</v>
      </c>
      <c r="I335" s="1">
        <v>0.0</v>
      </c>
      <c r="J335" s="1">
        <v>0.0</v>
      </c>
    </row>
    <row r="336">
      <c r="A336" s="1">
        <v>1.0</v>
      </c>
      <c r="B336" s="1">
        <v>4.0</v>
      </c>
      <c r="C336" s="1">
        <v>0.0</v>
      </c>
      <c r="D336" s="1">
        <v>0.0</v>
      </c>
      <c r="E336" s="1">
        <v>0.0</v>
      </c>
      <c r="F336" s="1">
        <v>0.0</v>
      </c>
      <c r="G336" s="2">
        <v>0.0</v>
      </c>
      <c r="H336" s="1" t="s">
        <v>310</v>
      </c>
      <c r="I336" s="1">
        <v>0.0</v>
      </c>
      <c r="J336" s="1">
        <v>0.0</v>
      </c>
    </row>
    <row r="337">
      <c r="A337" s="1">
        <v>1.0</v>
      </c>
      <c r="B337" s="1">
        <v>4.0</v>
      </c>
      <c r="C337" s="1">
        <v>0.0</v>
      </c>
      <c r="D337" s="1">
        <v>0.0</v>
      </c>
      <c r="E337" s="1">
        <v>0.0</v>
      </c>
      <c r="F337" s="1">
        <v>0.0</v>
      </c>
      <c r="G337" s="2">
        <v>0.0</v>
      </c>
      <c r="H337" s="1" t="s">
        <v>252</v>
      </c>
      <c r="I337" s="1">
        <v>0.0</v>
      </c>
      <c r="J337" s="1">
        <v>0.0</v>
      </c>
    </row>
    <row r="338">
      <c r="A338" s="1">
        <v>2.0</v>
      </c>
      <c r="B338" s="1">
        <v>8.0</v>
      </c>
      <c r="C338" s="1">
        <v>0.0</v>
      </c>
      <c r="D338" s="1">
        <v>0.0</v>
      </c>
      <c r="E338" s="1">
        <v>0.0</v>
      </c>
      <c r="F338" s="1">
        <v>0.0</v>
      </c>
      <c r="G338" s="2">
        <v>0.0</v>
      </c>
      <c r="H338" s="1" t="s">
        <v>252</v>
      </c>
      <c r="I338" s="1">
        <v>0.0</v>
      </c>
      <c r="J338" s="1">
        <v>0.0</v>
      </c>
    </row>
    <row r="339">
      <c r="A339" s="1">
        <v>3.0</v>
      </c>
      <c r="B339" s="1">
        <v>12.0</v>
      </c>
      <c r="C339" s="1">
        <v>0.0</v>
      </c>
      <c r="D339" s="1">
        <v>0.0</v>
      </c>
      <c r="E339" s="1">
        <v>0.0</v>
      </c>
      <c r="F339" s="1">
        <v>0.0</v>
      </c>
      <c r="G339" s="2">
        <v>0.0</v>
      </c>
      <c r="H339" s="1" t="s">
        <v>274</v>
      </c>
      <c r="I339" s="1">
        <v>0.0</v>
      </c>
      <c r="J339" s="1">
        <v>0.0</v>
      </c>
    </row>
    <row r="340">
      <c r="A340" s="1">
        <v>2.0</v>
      </c>
      <c r="B340" s="1">
        <v>8.0</v>
      </c>
      <c r="C340" s="1">
        <v>0.0</v>
      </c>
      <c r="D340" s="1">
        <v>0.0</v>
      </c>
      <c r="E340" s="1">
        <v>0.0</v>
      </c>
      <c r="F340" s="1">
        <v>0.0</v>
      </c>
      <c r="G340" s="2">
        <v>0.0</v>
      </c>
      <c r="H340" s="1" t="s">
        <v>274</v>
      </c>
      <c r="I340" s="1">
        <v>0.0</v>
      </c>
      <c r="J340" s="1">
        <v>0.0</v>
      </c>
    </row>
    <row r="341">
      <c r="A341" s="1">
        <v>2.0</v>
      </c>
      <c r="B341" s="1">
        <v>8.0</v>
      </c>
      <c r="C341" s="1">
        <v>7.0</v>
      </c>
      <c r="D341" s="1">
        <v>10.0</v>
      </c>
      <c r="E341" s="1">
        <v>0.5</v>
      </c>
      <c r="F341" s="1">
        <v>0.0</v>
      </c>
      <c r="G341" s="6">
        <v>0.857</v>
      </c>
      <c r="H341" s="1" t="s">
        <v>230</v>
      </c>
      <c r="I341" s="1">
        <v>20.0</v>
      </c>
      <c r="J341" s="1">
        <v>1.0</v>
      </c>
    </row>
    <row r="342">
      <c r="A342" s="1">
        <v>3.0</v>
      </c>
      <c r="B342" s="1">
        <v>12.0</v>
      </c>
      <c r="C342" s="1">
        <v>11.0</v>
      </c>
      <c r="D342" s="1">
        <v>5.33</v>
      </c>
      <c r="E342" s="1">
        <v>1.0</v>
      </c>
      <c r="F342" s="1">
        <v>0.0</v>
      </c>
      <c r="G342" s="6">
        <v>0.636</v>
      </c>
      <c r="H342" s="1" t="s">
        <v>230</v>
      </c>
      <c r="I342" s="1">
        <v>16.0</v>
      </c>
      <c r="J342" s="1">
        <v>3.0</v>
      </c>
    </row>
    <row r="343">
      <c r="A343" s="1">
        <v>1.0</v>
      </c>
      <c r="B343" s="1">
        <v>4.0</v>
      </c>
      <c r="C343" s="1">
        <v>0.0</v>
      </c>
      <c r="D343" s="1">
        <v>0.0</v>
      </c>
      <c r="E343" s="1">
        <v>0.0</v>
      </c>
      <c r="F343" s="1">
        <v>0.0</v>
      </c>
      <c r="G343" s="2">
        <v>0.0</v>
      </c>
      <c r="H343" s="1" t="s">
        <v>313</v>
      </c>
      <c r="I343" s="1">
        <v>0.0</v>
      </c>
      <c r="J343" s="1">
        <v>0.0</v>
      </c>
    </row>
    <row r="344">
      <c r="A344" s="1">
        <v>1.0</v>
      </c>
      <c r="B344" s="1">
        <v>4.0</v>
      </c>
      <c r="C344" s="1">
        <v>0.0</v>
      </c>
      <c r="D344" s="1">
        <v>0.0</v>
      </c>
      <c r="E344" s="1">
        <v>0.0</v>
      </c>
      <c r="F344" s="1">
        <v>0.0</v>
      </c>
      <c r="G344" s="2">
        <v>0.0</v>
      </c>
      <c r="H344" s="1" t="s">
        <v>313</v>
      </c>
      <c r="I344" s="1">
        <v>0.0</v>
      </c>
      <c r="J344" s="1">
        <v>0.0</v>
      </c>
    </row>
    <row r="345">
      <c r="A345" s="1">
        <v>2.0</v>
      </c>
      <c r="B345" s="1">
        <v>8.0</v>
      </c>
      <c r="C345" s="1">
        <v>0.0</v>
      </c>
      <c r="D345" s="1">
        <v>0.0</v>
      </c>
      <c r="E345" s="1">
        <v>0.0</v>
      </c>
      <c r="F345" s="1">
        <v>0.0</v>
      </c>
      <c r="G345" s="2">
        <v>0.0</v>
      </c>
      <c r="H345" s="1" t="s">
        <v>314</v>
      </c>
      <c r="I345" s="1">
        <v>0.0</v>
      </c>
      <c r="J345" s="1">
        <v>0.0</v>
      </c>
    </row>
    <row r="346">
      <c r="A346" s="1">
        <v>1.0</v>
      </c>
      <c r="B346" s="1">
        <v>4.0</v>
      </c>
      <c r="C346" s="1">
        <v>0.0</v>
      </c>
      <c r="D346" s="1">
        <v>0.0</v>
      </c>
      <c r="E346" s="1">
        <v>0.0</v>
      </c>
      <c r="F346" s="1">
        <v>0.0</v>
      </c>
      <c r="G346" s="2">
        <v>0.0</v>
      </c>
      <c r="H346" s="1" t="s">
        <v>314</v>
      </c>
      <c r="I346" s="1">
        <v>0.0</v>
      </c>
      <c r="J346" s="1">
        <v>0.0</v>
      </c>
    </row>
    <row r="347">
      <c r="A347" s="1">
        <v>1.0</v>
      </c>
      <c r="B347" s="1">
        <v>4.0</v>
      </c>
      <c r="C347" s="1">
        <v>1.0</v>
      </c>
      <c r="D347" s="1">
        <v>4.0</v>
      </c>
      <c r="E347" s="1">
        <v>0.0</v>
      </c>
      <c r="F347" s="1">
        <v>0.0</v>
      </c>
      <c r="G347" s="2">
        <v>1.0</v>
      </c>
      <c r="H347" s="1" t="s">
        <v>315</v>
      </c>
      <c r="I347" s="1">
        <v>4.0</v>
      </c>
      <c r="J347" s="1">
        <v>0.0</v>
      </c>
    </row>
    <row r="348">
      <c r="A348" s="1">
        <v>3.0</v>
      </c>
      <c r="B348" s="1">
        <v>12.0</v>
      </c>
      <c r="C348" s="1">
        <v>0.0</v>
      </c>
      <c r="D348" s="1">
        <v>0.0</v>
      </c>
      <c r="E348" s="1">
        <v>0.0</v>
      </c>
      <c r="F348" s="1">
        <v>0.0</v>
      </c>
      <c r="G348" s="2">
        <v>0.0</v>
      </c>
      <c r="H348" s="1" t="s">
        <v>315</v>
      </c>
      <c r="I348" s="1">
        <v>0.0</v>
      </c>
      <c r="J348" s="1">
        <v>0.0</v>
      </c>
    </row>
    <row r="349">
      <c r="A349" s="1">
        <v>1.0</v>
      </c>
      <c r="B349" s="1">
        <v>4.0</v>
      </c>
      <c r="C349" s="1">
        <v>0.0</v>
      </c>
      <c r="D349" s="1">
        <v>0.0</v>
      </c>
      <c r="E349" s="1">
        <v>0.0</v>
      </c>
      <c r="F349" s="1">
        <v>0.0</v>
      </c>
      <c r="G349" s="2">
        <v>0.0</v>
      </c>
      <c r="H349" s="1" t="s">
        <v>316</v>
      </c>
      <c r="I349" s="1">
        <v>0.0</v>
      </c>
      <c r="J349" s="1">
        <v>0.0</v>
      </c>
    </row>
    <row r="350">
      <c r="A350" s="1">
        <v>3.0</v>
      </c>
      <c r="B350" s="1">
        <v>12.0</v>
      </c>
      <c r="C350" s="1">
        <v>0.0</v>
      </c>
      <c r="D350" s="1">
        <v>0.0</v>
      </c>
      <c r="E350" s="1">
        <v>0.0</v>
      </c>
      <c r="F350" s="1">
        <v>0.0</v>
      </c>
      <c r="G350" s="2">
        <v>0.0</v>
      </c>
      <c r="H350" s="1" t="s">
        <v>316</v>
      </c>
      <c r="I350" s="1">
        <v>0.0</v>
      </c>
      <c r="J350" s="1">
        <v>0.0</v>
      </c>
    </row>
    <row r="351">
      <c r="A351" s="1">
        <v>1.0</v>
      </c>
      <c r="B351" s="1">
        <v>4.0</v>
      </c>
      <c r="C351" s="1">
        <v>1.0</v>
      </c>
      <c r="D351" s="1">
        <v>0.0</v>
      </c>
      <c r="E351" s="1">
        <v>0.0</v>
      </c>
      <c r="F351" s="1">
        <v>0.0</v>
      </c>
      <c r="G351" s="2">
        <v>0.0</v>
      </c>
      <c r="H351" s="1" t="s">
        <v>318</v>
      </c>
      <c r="I351" s="1">
        <v>0.0</v>
      </c>
      <c r="J351" s="1">
        <v>0.0</v>
      </c>
    </row>
    <row r="352">
      <c r="A352" s="1">
        <v>1.0</v>
      </c>
      <c r="B352" s="1">
        <v>4.0</v>
      </c>
      <c r="C352" s="1">
        <v>1.0</v>
      </c>
      <c r="D352" s="1">
        <v>4.0</v>
      </c>
      <c r="E352" s="1">
        <v>0.0</v>
      </c>
      <c r="F352" s="1">
        <v>0.0</v>
      </c>
      <c r="G352" s="2">
        <v>1.0</v>
      </c>
      <c r="H352" s="1" t="s">
        <v>254</v>
      </c>
      <c r="I352" s="1">
        <v>4.0</v>
      </c>
      <c r="J352" s="1">
        <v>0.0</v>
      </c>
    </row>
    <row r="353">
      <c r="A353" s="1">
        <v>4.0</v>
      </c>
      <c r="B353" s="1">
        <v>16.0</v>
      </c>
      <c r="C353" s="1">
        <v>3.0</v>
      </c>
      <c r="D353" s="1">
        <v>1.0</v>
      </c>
      <c r="E353" s="1">
        <v>0.0</v>
      </c>
      <c r="F353" s="1">
        <v>0.0</v>
      </c>
      <c r="G353" s="6">
        <v>0.333</v>
      </c>
      <c r="H353" s="1" t="s">
        <v>254</v>
      </c>
      <c r="I353" s="1">
        <v>4.0</v>
      </c>
      <c r="J353" s="1">
        <v>0.0</v>
      </c>
    </row>
    <row r="354">
      <c r="A354" s="1">
        <v>1.0</v>
      </c>
      <c r="B354" s="1">
        <v>4.0</v>
      </c>
      <c r="C354" s="1">
        <v>0.0</v>
      </c>
      <c r="D354" s="1">
        <v>0.0</v>
      </c>
      <c r="E354" s="1">
        <v>0.0</v>
      </c>
      <c r="F354" s="1">
        <v>0.0</v>
      </c>
      <c r="G354" s="2">
        <v>0.0</v>
      </c>
      <c r="H354" s="1" t="s">
        <v>317</v>
      </c>
      <c r="I354" s="1">
        <v>0.0</v>
      </c>
      <c r="J354" s="1">
        <v>0.0</v>
      </c>
    </row>
    <row r="355">
      <c r="A355" s="1">
        <v>2.0</v>
      </c>
      <c r="B355" s="1">
        <v>8.0</v>
      </c>
      <c r="C355" s="1">
        <v>0.0</v>
      </c>
      <c r="D355" s="1">
        <v>0.0</v>
      </c>
      <c r="E355" s="1">
        <v>0.0</v>
      </c>
      <c r="F355" s="1">
        <v>0.0</v>
      </c>
      <c r="G355" s="2">
        <v>0.0</v>
      </c>
      <c r="H355" s="1" t="s">
        <v>317</v>
      </c>
      <c r="I355" s="1">
        <v>0.0</v>
      </c>
      <c r="J355" s="1">
        <v>0.0</v>
      </c>
    </row>
    <row r="356">
      <c r="A356" s="1">
        <v>1.0</v>
      </c>
      <c r="B356" s="1">
        <v>4.0</v>
      </c>
      <c r="C356" s="1">
        <v>0.0</v>
      </c>
      <c r="D356" s="1">
        <v>0.0</v>
      </c>
      <c r="E356" s="1">
        <v>0.0</v>
      </c>
      <c r="F356" s="1">
        <v>0.0</v>
      </c>
      <c r="G356" s="2">
        <v>0.0</v>
      </c>
      <c r="H356" s="1" t="s">
        <v>133</v>
      </c>
      <c r="I356" s="1">
        <v>0.0</v>
      </c>
      <c r="J356" s="1">
        <v>0.0</v>
      </c>
    </row>
    <row r="357">
      <c r="A357" s="1">
        <v>2.0</v>
      </c>
      <c r="B357" s="1">
        <v>9.0</v>
      </c>
      <c r="C357" s="1">
        <v>1.0</v>
      </c>
      <c r="D357" s="1">
        <v>2.0</v>
      </c>
      <c r="E357" s="1">
        <v>0.0</v>
      </c>
      <c r="F357" s="1">
        <v>0.0</v>
      </c>
      <c r="G357" s="2">
        <v>1.0</v>
      </c>
      <c r="H357" s="1" t="s">
        <v>133</v>
      </c>
      <c r="I357" s="1">
        <v>4.0</v>
      </c>
      <c r="J357" s="1">
        <v>0.0</v>
      </c>
    </row>
    <row r="358">
      <c r="A358" s="1">
        <v>1.0</v>
      </c>
      <c r="B358" s="1">
        <v>4.0</v>
      </c>
      <c r="C358" s="1">
        <v>0.0</v>
      </c>
      <c r="D358" s="1">
        <v>0.0</v>
      </c>
      <c r="E358" s="1">
        <v>0.0</v>
      </c>
      <c r="F358" s="1">
        <v>0.0</v>
      </c>
      <c r="G358" s="2">
        <v>0.0</v>
      </c>
      <c r="H358" s="1" t="s">
        <v>319</v>
      </c>
      <c r="I358" s="1">
        <v>0.0</v>
      </c>
      <c r="J358" s="1">
        <v>0.0</v>
      </c>
    </row>
    <row r="359">
      <c r="A359" s="1">
        <v>5.0</v>
      </c>
      <c r="B359" s="1">
        <v>21.0</v>
      </c>
      <c r="C359" s="1">
        <v>14.0</v>
      </c>
      <c r="D359" s="1">
        <v>8.8</v>
      </c>
      <c r="E359" s="1">
        <v>0.0</v>
      </c>
      <c r="F359" s="1">
        <v>0.0</v>
      </c>
      <c r="G359" s="6">
        <v>0.786</v>
      </c>
      <c r="H359" s="1" t="s">
        <v>129</v>
      </c>
      <c r="I359" s="1">
        <v>44.0</v>
      </c>
      <c r="J359" s="1">
        <v>0.0</v>
      </c>
    </row>
    <row r="360">
      <c r="A360" s="1">
        <v>2.0</v>
      </c>
      <c r="B360" s="1">
        <v>8.0</v>
      </c>
      <c r="C360" s="1">
        <v>0.0</v>
      </c>
      <c r="D360" s="1">
        <v>0.0</v>
      </c>
      <c r="E360" s="1">
        <v>0.0</v>
      </c>
      <c r="F360" s="1">
        <v>0.0</v>
      </c>
      <c r="G360" s="2">
        <v>0.0</v>
      </c>
      <c r="H360" s="1" t="s">
        <v>320</v>
      </c>
      <c r="I360" s="1">
        <v>0.0</v>
      </c>
      <c r="J360" s="1">
        <v>0.0</v>
      </c>
    </row>
    <row r="361">
      <c r="A361" s="1">
        <v>1.0</v>
      </c>
      <c r="B361" s="1">
        <v>4.0</v>
      </c>
      <c r="C361" s="1">
        <v>0.0</v>
      </c>
      <c r="D361" s="1">
        <v>0.0</v>
      </c>
      <c r="E361" s="1">
        <v>0.0</v>
      </c>
      <c r="F361" s="1">
        <v>0.0</v>
      </c>
      <c r="G361" s="2">
        <v>0.0</v>
      </c>
      <c r="H361" s="1" t="s">
        <v>320</v>
      </c>
      <c r="I361" s="1">
        <v>0.0</v>
      </c>
      <c r="J361" s="1">
        <v>0.0</v>
      </c>
    </row>
    <row r="362">
      <c r="A362" s="1">
        <v>2.0</v>
      </c>
      <c r="B362" s="1">
        <v>8.0</v>
      </c>
      <c r="C362" s="1">
        <v>0.0</v>
      </c>
      <c r="D362" s="1">
        <v>0.0</v>
      </c>
      <c r="E362" s="1">
        <v>0.0</v>
      </c>
      <c r="F362" s="1">
        <v>0.0</v>
      </c>
      <c r="G362" s="2">
        <v>0.0</v>
      </c>
      <c r="H362" s="1" t="s">
        <v>320</v>
      </c>
      <c r="I362" s="1">
        <v>0.0</v>
      </c>
      <c r="J362" s="1">
        <v>0.0</v>
      </c>
    </row>
    <row r="363">
      <c r="A363" s="1">
        <v>2.0</v>
      </c>
      <c r="B363" s="1">
        <v>8.0</v>
      </c>
      <c r="C363" s="1">
        <v>6.0</v>
      </c>
      <c r="D363" s="1">
        <v>10.0</v>
      </c>
      <c r="E363" s="1">
        <v>0.0</v>
      </c>
      <c r="F363" s="1">
        <v>0.0</v>
      </c>
      <c r="G363" s="6">
        <v>0.833</v>
      </c>
      <c r="H363" s="1" t="s">
        <v>287</v>
      </c>
      <c r="I363" s="1">
        <v>20.0</v>
      </c>
      <c r="J363" s="1">
        <v>0.0</v>
      </c>
    </row>
    <row r="364">
      <c r="A364" s="1">
        <v>2.0</v>
      </c>
      <c r="B364" s="1">
        <v>8.0</v>
      </c>
      <c r="C364" s="1">
        <v>4.0</v>
      </c>
      <c r="D364" s="1">
        <v>4.0</v>
      </c>
      <c r="E364" s="1">
        <v>0.5</v>
      </c>
      <c r="F364" s="1">
        <v>0.0</v>
      </c>
      <c r="G364" s="2">
        <v>0.75</v>
      </c>
      <c r="H364" s="1" t="s">
        <v>287</v>
      </c>
      <c r="I364" s="1">
        <v>8.0</v>
      </c>
      <c r="J364" s="1">
        <v>1.0</v>
      </c>
    </row>
    <row r="365">
      <c r="A365" s="1">
        <v>1.0</v>
      </c>
      <c r="B365" s="1">
        <v>4.0</v>
      </c>
      <c r="C365" s="1">
        <v>2.0</v>
      </c>
      <c r="D365" s="1">
        <v>4.0</v>
      </c>
      <c r="E365" s="1">
        <v>0.0</v>
      </c>
      <c r="F365" s="1">
        <v>0.0</v>
      </c>
      <c r="G365" s="2">
        <v>0.5</v>
      </c>
      <c r="H365" s="1" t="s">
        <v>287</v>
      </c>
      <c r="I365" s="1">
        <v>4.0</v>
      </c>
      <c r="J365" s="1">
        <v>0.0</v>
      </c>
    </row>
    <row r="366">
      <c r="A366" s="1">
        <v>2.0</v>
      </c>
      <c r="B366" s="1">
        <v>8.0</v>
      </c>
      <c r="C366" s="1">
        <v>0.0</v>
      </c>
      <c r="D366" s="1">
        <v>0.0</v>
      </c>
      <c r="E366" s="1">
        <v>0.0</v>
      </c>
      <c r="F366" s="1">
        <v>0.0</v>
      </c>
      <c r="G366" s="2">
        <v>0.0</v>
      </c>
      <c r="H366" s="1" t="s">
        <v>289</v>
      </c>
      <c r="I366" s="1">
        <v>0.0</v>
      </c>
      <c r="J366" s="1">
        <v>0.0</v>
      </c>
    </row>
    <row r="367">
      <c r="A367" s="1">
        <v>1.0</v>
      </c>
      <c r="B367" s="1">
        <v>4.0</v>
      </c>
      <c r="C367" s="1">
        <v>0.0</v>
      </c>
      <c r="D367" s="1">
        <v>0.0</v>
      </c>
      <c r="E367" s="1">
        <v>0.0</v>
      </c>
      <c r="F367" s="1">
        <v>0.0</v>
      </c>
      <c r="G367" s="2">
        <v>0.0</v>
      </c>
      <c r="H367" s="1" t="s">
        <v>289</v>
      </c>
      <c r="I367" s="1">
        <v>0.0</v>
      </c>
      <c r="J367" s="1">
        <v>0.0</v>
      </c>
    </row>
    <row r="368">
      <c r="A368" s="1">
        <v>2.0</v>
      </c>
      <c r="B368" s="1">
        <v>8.0</v>
      </c>
      <c r="C368" s="1">
        <v>0.0</v>
      </c>
      <c r="D368" s="1">
        <v>0.0</v>
      </c>
      <c r="E368" s="1">
        <v>0.0</v>
      </c>
      <c r="F368" s="1">
        <v>0.0</v>
      </c>
      <c r="G368" s="2">
        <v>0.0</v>
      </c>
      <c r="H368" s="1" t="s">
        <v>289</v>
      </c>
      <c r="I368" s="1">
        <v>0.0</v>
      </c>
      <c r="J368" s="1">
        <v>0.0</v>
      </c>
    </row>
    <row r="369">
      <c r="A369" s="1">
        <v>2.0</v>
      </c>
      <c r="B369" s="1">
        <v>8.0</v>
      </c>
      <c r="C369" s="1">
        <v>3.0</v>
      </c>
      <c r="D369" s="1">
        <v>6.0</v>
      </c>
      <c r="E369" s="1">
        <v>0.0</v>
      </c>
      <c r="F369" s="1">
        <v>0.0</v>
      </c>
      <c r="G369" s="2">
        <v>1.0</v>
      </c>
      <c r="H369" s="1" t="s">
        <v>321</v>
      </c>
      <c r="I369" s="1">
        <v>12.0</v>
      </c>
      <c r="J369" s="1">
        <v>0.0</v>
      </c>
    </row>
    <row r="370">
      <c r="A370" s="1">
        <v>1.0</v>
      </c>
      <c r="B370" s="1">
        <v>4.0</v>
      </c>
      <c r="C370" s="1">
        <v>1.0</v>
      </c>
      <c r="D370" s="1">
        <v>4.0</v>
      </c>
      <c r="E370" s="1">
        <v>0.0</v>
      </c>
      <c r="F370" s="1">
        <v>0.0</v>
      </c>
      <c r="G370" s="2">
        <v>1.0</v>
      </c>
      <c r="H370" s="1" t="s">
        <v>321</v>
      </c>
      <c r="I370" s="1">
        <v>4.0</v>
      </c>
      <c r="J370" s="1">
        <v>0.0</v>
      </c>
    </row>
    <row r="371">
      <c r="A371" s="1">
        <v>1.0</v>
      </c>
      <c r="B371" s="1">
        <v>4.0</v>
      </c>
      <c r="C371" s="1">
        <v>1.0</v>
      </c>
      <c r="D371" s="1">
        <v>0.0</v>
      </c>
      <c r="E371" s="1">
        <v>0.0</v>
      </c>
      <c r="F371" s="1">
        <v>0.0</v>
      </c>
      <c r="G371" s="2">
        <v>0.0</v>
      </c>
      <c r="H371" s="1" t="s">
        <v>321</v>
      </c>
      <c r="I371" s="1">
        <v>0.0</v>
      </c>
      <c r="J371" s="1">
        <v>0.0</v>
      </c>
    </row>
    <row r="372">
      <c r="A372" s="1">
        <v>2.0</v>
      </c>
      <c r="B372" s="1">
        <v>8.0</v>
      </c>
      <c r="C372" s="1">
        <v>0.0</v>
      </c>
      <c r="D372" s="1">
        <v>0.0</v>
      </c>
      <c r="E372" s="1">
        <v>0.0</v>
      </c>
      <c r="F372" s="1">
        <v>0.0</v>
      </c>
      <c r="G372" s="2">
        <v>0.0</v>
      </c>
      <c r="H372" s="1" t="s">
        <v>323</v>
      </c>
      <c r="I372" s="1">
        <v>0.0</v>
      </c>
      <c r="J372" s="1">
        <v>0.0</v>
      </c>
    </row>
    <row r="373">
      <c r="A373" s="1">
        <v>1.0</v>
      </c>
      <c r="B373" s="1">
        <v>4.0</v>
      </c>
      <c r="C373" s="1">
        <v>0.0</v>
      </c>
      <c r="D373" s="1">
        <v>0.0</v>
      </c>
      <c r="E373" s="1">
        <v>0.0</v>
      </c>
      <c r="F373" s="1">
        <v>0.0</v>
      </c>
      <c r="G373" s="2">
        <v>0.0</v>
      </c>
      <c r="H373" s="1" t="s">
        <v>323</v>
      </c>
      <c r="I373" s="1">
        <v>0.0</v>
      </c>
      <c r="J373" s="1">
        <v>0.0</v>
      </c>
    </row>
    <row r="374">
      <c r="A374" s="1">
        <v>2.0</v>
      </c>
      <c r="B374" s="1">
        <v>8.0</v>
      </c>
      <c r="C374" s="1">
        <v>0.0</v>
      </c>
      <c r="D374" s="1">
        <v>0.0</v>
      </c>
      <c r="E374" s="1">
        <v>0.0</v>
      </c>
      <c r="F374" s="1">
        <v>0.0</v>
      </c>
      <c r="G374" s="2">
        <v>0.0</v>
      </c>
      <c r="H374" s="1" t="s">
        <v>323</v>
      </c>
      <c r="I374" s="1">
        <v>0.0</v>
      </c>
      <c r="J374" s="1">
        <v>0.0</v>
      </c>
    </row>
    <row r="375">
      <c r="A375" s="1">
        <v>3.0</v>
      </c>
      <c r="B375" s="1">
        <v>12.0</v>
      </c>
      <c r="C375" s="1">
        <v>0.0</v>
      </c>
      <c r="D375" s="1">
        <v>0.0</v>
      </c>
      <c r="E375" s="1">
        <v>0.0</v>
      </c>
      <c r="F375" s="1">
        <v>0.0</v>
      </c>
      <c r="G375" s="2">
        <v>0.0</v>
      </c>
      <c r="H375" s="1" t="s">
        <v>278</v>
      </c>
      <c r="I375" s="1">
        <v>0.0</v>
      </c>
      <c r="J375" s="1">
        <v>0.0</v>
      </c>
    </row>
    <row r="376">
      <c r="A376" s="1">
        <v>1.0</v>
      </c>
      <c r="B376" s="1">
        <v>4.0</v>
      </c>
      <c r="C376" s="1">
        <v>1.0</v>
      </c>
      <c r="D376" s="1">
        <v>-4.0</v>
      </c>
      <c r="E376" s="1">
        <v>1.0</v>
      </c>
      <c r="F376" s="1">
        <v>0.0</v>
      </c>
      <c r="G376" s="2">
        <v>0.0</v>
      </c>
      <c r="H376" s="1" t="s">
        <v>278</v>
      </c>
      <c r="I376" s="1">
        <v>-4.0</v>
      </c>
      <c r="J376" s="1">
        <v>1.0</v>
      </c>
    </row>
    <row r="377">
      <c r="A377" s="1">
        <v>4.0</v>
      </c>
      <c r="B377" s="1">
        <v>16.0</v>
      </c>
      <c r="C377" s="1">
        <v>4.0</v>
      </c>
      <c r="D377" s="1">
        <v>4.0</v>
      </c>
      <c r="E377" s="1">
        <v>0.0</v>
      </c>
      <c r="F377" s="1">
        <v>0.0</v>
      </c>
      <c r="G377" s="2">
        <v>1.0</v>
      </c>
      <c r="H377" s="1" t="s">
        <v>325</v>
      </c>
      <c r="I377" s="1">
        <v>16.0</v>
      </c>
      <c r="J377" s="1">
        <v>0.0</v>
      </c>
    </row>
    <row r="378">
      <c r="A378" s="1">
        <v>1.0</v>
      </c>
      <c r="B378" s="1">
        <v>4.0</v>
      </c>
      <c r="C378" s="1">
        <v>0.0</v>
      </c>
      <c r="D378" s="1">
        <v>0.0</v>
      </c>
      <c r="E378" s="1">
        <v>0.0</v>
      </c>
      <c r="F378" s="1">
        <v>0.0</v>
      </c>
      <c r="G378" s="2">
        <v>0.0</v>
      </c>
      <c r="H378" s="1" t="s">
        <v>325</v>
      </c>
      <c r="I378" s="1">
        <v>0.0</v>
      </c>
      <c r="J378" s="1">
        <v>0.0</v>
      </c>
    </row>
    <row r="379">
      <c r="A379" s="1">
        <v>2.0</v>
      </c>
      <c r="B379" s="1">
        <v>8.0</v>
      </c>
      <c r="C379" s="1">
        <v>3.0</v>
      </c>
      <c r="D379" s="1">
        <v>2.0</v>
      </c>
      <c r="E379" s="1">
        <v>0.0</v>
      </c>
      <c r="F379" s="1">
        <v>0.0</v>
      </c>
      <c r="G379" s="6">
        <v>0.333</v>
      </c>
      <c r="H379" s="1" t="s">
        <v>326</v>
      </c>
      <c r="I379" s="1">
        <v>4.0</v>
      </c>
      <c r="J379" s="1">
        <v>0.0</v>
      </c>
    </row>
    <row r="380">
      <c r="A380" s="1">
        <v>1.0</v>
      </c>
      <c r="B380" s="1">
        <v>4.0</v>
      </c>
      <c r="C380" s="1">
        <v>2.0</v>
      </c>
      <c r="D380" s="1">
        <v>0.0</v>
      </c>
      <c r="E380" s="1">
        <v>1.0</v>
      </c>
      <c r="F380" s="1">
        <v>0.0</v>
      </c>
      <c r="G380" s="2">
        <v>0.5</v>
      </c>
      <c r="H380" s="1" t="s">
        <v>326</v>
      </c>
      <c r="I380" s="1">
        <v>0.0</v>
      </c>
      <c r="J380" s="1">
        <v>1.0</v>
      </c>
    </row>
    <row r="381">
      <c r="A381" s="1">
        <v>4.0</v>
      </c>
      <c r="B381" s="1">
        <v>16.0</v>
      </c>
      <c r="C381" s="1">
        <v>2.0</v>
      </c>
      <c r="D381" s="1">
        <v>2.0</v>
      </c>
      <c r="E381" s="1">
        <v>0.0</v>
      </c>
      <c r="F381" s="1">
        <v>0.0</v>
      </c>
      <c r="G381" s="2">
        <v>1.0</v>
      </c>
      <c r="H381" s="1" t="s">
        <v>311</v>
      </c>
      <c r="I381" s="1">
        <v>8.0</v>
      </c>
      <c r="J381" s="1">
        <v>0.0</v>
      </c>
    </row>
    <row r="382">
      <c r="A382" s="1">
        <v>1.0</v>
      </c>
      <c r="B382" s="1">
        <v>4.0</v>
      </c>
      <c r="C382" s="1">
        <v>0.0</v>
      </c>
      <c r="D382" s="1">
        <v>0.0</v>
      </c>
      <c r="E382" s="1">
        <v>0.0</v>
      </c>
      <c r="F382" s="1">
        <v>0.0</v>
      </c>
      <c r="G382" s="2">
        <v>0.0</v>
      </c>
      <c r="H382" s="1" t="s">
        <v>311</v>
      </c>
      <c r="I382" s="1">
        <v>0.0</v>
      </c>
      <c r="J382" s="1">
        <v>0.0</v>
      </c>
    </row>
    <row r="383">
      <c r="A383" s="1">
        <v>3.0</v>
      </c>
      <c r="B383" s="1">
        <v>12.0</v>
      </c>
      <c r="C383" s="1">
        <v>0.0</v>
      </c>
      <c r="D383" s="1">
        <v>0.0</v>
      </c>
      <c r="E383" s="1">
        <v>0.0</v>
      </c>
      <c r="F383" s="1">
        <v>0.0</v>
      </c>
      <c r="G383" s="2">
        <v>0.0</v>
      </c>
      <c r="H383" s="1" t="s">
        <v>322</v>
      </c>
      <c r="I383" s="1">
        <v>0.0</v>
      </c>
      <c r="J383" s="1">
        <v>0.0</v>
      </c>
    </row>
    <row r="384">
      <c r="A384" s="1">
        <v>1.0</v>
      </c>
      <c r="B384" s="1">
        <v>4.0</v>
      </c>
      <c r="C384" s="1">
        <v>0.0</v>
      </c>
      <c r="D384" s="1">
        <v>0.0</v>
      </c>
      <c r="E384" s="1">
        <v>0.0</v>
      </c>
      <c r="F384" s="1">
        <v>0.0</v>
      </c>
      <c r="G384" s="2">
        <v>0.0</v>
      </c>
      <c r="H384" s="1" t="s">
        <v>322</v>
      </c>
      <c r="I384" s="1">
        <v>0.0</v>
      </c>
      <c r="J384" s="1">
        <v>0.0</v>
      </c>
    </row>
    <row r="385">
      <c r="A385" s="1">
        <v>3.0</v>
      </c>
      <c r="B385" s="1">
        <v>12.0</v>
      </c>
      <c r="C385" s="1">
        <v>2.0</v>
      </c>
      <c r="D385" s="1">
        <v>1.33</v>
      </c>
      <c r="E385" s="1">
        <v>0.0</v>
      </c>
      <c r="F385" s="1">
        <v>0.0</v>
      </c>
      <c r="G385" s="2">
        <v>0.5</v>
      </c>
      <c r="H385" s="1" t="s">
        <v>328</v>
      </c>
      <c r="I385" s="1">
        <v>4.0</v>
      </c>
      <c r="J385" s="1">
        <v>0.0</v>
      </c>
    </row>
    <row r="386">
      <c r="A386" s="1">
        <v>3.0</v>
      </c>
      <c r="B386" s="1">
        <v>12.0</v>
      </c>
      <c r="C386" s="1">
        <v>2.0</v>
      </c>
      <c r="D386" s="1">
        <v>0.0</v>
      </c>
      <c r="E386" s="1">
        <v>0.0</v>
      </c>
      <c r="F386" s="1">
        <v>0.0</v>
      </c>
      <c r="G386" s="2">
        <v>0.0</v>
      </c>
      <c r="H386" s="1" t="s">
        <v>329</v>
      </c>
      <c r="I386" s="1">
        <v>0.0</v>
      </c>
      <c r="J386" s="1">
        <v>0.0</v>
      </c>
    </row>
    <row r="387">
      <c r="A387" s="1">
        <v>1.0</v>
      </c>
      <c r="B387" s="1">
        <v>4.0</v>
      </c>
      <c r="C387" s="1">
        <v>0.0</v>
      </c>
      <c r="D387" s="1">
        <v>0.0</v>
      </c>
      <c r="E387" s="1">
        <v>0.0</v>
      </c>
      <c r="F387" s="1">
        <v>0.0</v>
      </c>
      <c r="G387" s="2">
        <v>0.0</v>
      </c>
      <c r="H387" s="1" t="s">
        <v>329</v>
      </c>
      <c r="I387" s="1">
        <v>0.0</v>
      </c>
      <c r="J387" s="1">
        <v>0.0</v>
      </c>
    </row>
    <row r="388">
      <c r="A388" s="1">
        <v>2.0</v>
      </c>
      <c r="B388" s="1">
        <v>8.0</v>
      </c>
      <c r="C388" s="1">
        <v>1.0</v>
      </c>
      <c r="D388" s="1">
        <v>0.0</v>
      </c>
      <c r="E388" s="1">
        <v>0.0</v>
      </c>
      <c r="F388" s="1">
        <v>0.0</v>
      </c>
      <c r="G388" s="2">
        <v>0.0</v>
      </c>
      <c r="H388" s="1" t="s">
        <v>330</v>
      </c>
      <c r="I388" s="1">
        <v>0.0</v>
      </c>
      <c r="J388" s="1">
        <v>0.0</v>
      </c>
    </row>
    <row r="389">
      <c r="A389" s="1">
        <v>3.0</v>
      </c>
      <c r="B389" s="1">
        <v>12.0</v>
      </c>
      <c r="C389" s="1">
        <v>1.0</v>
      </c>
      <c r="D389" s="1">
        <v>0.0</v>
      </c>
      <c r="E389" s="1">
        <v>0.0</v>
      </c>
      <c r="F389" s="1">
        <v>0.0</v>
      </c>
      <c r="G389" s="2">
        <v>0.0</v>
      </c>
      <c r="H389" s="1" t="s">
        <v>330</v>
      </c>
      <c r="I389" s="1">
        <v>0.0</v>
      </c>
      <c r="J389" s="1">
        <v>0.0</v>
      </c>
    </row>
    <row r="390">
      <c r="A390" s="1">
        <v>2.0</v>
      </c>
      <c r="B390" s="1">
        <v>8.0</v>
      </c>
      <c r="C390" s="1">
        <v>2.0</v>
      </c>
      <c r="D390" s="1">
        <v>2.0</v>
      </c>
      <c r="E390" s="1">
        <v>0.0</v>
      </c>
      <c r="F390" s="1">
        <v>0.0</v>
      </c>
      <c r="G390" s="2">
        <v>0.5</v>
      </c>
      <c r="H390" s="1" t="s">
        <v>331</v>
      </c>
      <c r="I390" s="1">
        <v>4.0</v>
      </c>
      <c r="J390" s="1">
        <v>0.0</v>
      </c>
    </row>
    <row r="391">
      <c r="A391" s="1">
        <v>2.0</v>
      </c>
      <c r="B391" s="1">
        <v>8.0</v>
      </c>
      <c r="C391" s="1">
        <v>1.0</v>
      </c>
      <c r="D391" s="1">
        <v>0.0</v>
      </c>
      <c r="E391" s="1">
        <v>0.0</v>
      </c>
      <c r="F391" s="1">
        <v>0.0</v>
      </c>
      <c r="G391" s="2">
        <v>0.0</v>
      </c>
      <c r="H391" s="1" t="s">
        <v>331</v>
      </c>
      <c r="I391" s="1">
        <v>0.0</v>
      </c>
      <c r="J391" s="1">
        <v>0.0</v>
      </c>
    </row>
    <row r="392">
      <c r="A392" s="1">
        <v>1.0</v>
      </c>
      <c r="B392" s="1">
        <v>4.0</v>
      </c>
      <c r="C392" s="1">
        <v>0.0</v>
      </c>
      <c r="D392" s="1">
        <v>0.0</v>
      </c>
      <c r="E392" s="1">
        <v>0.0</v>
      </c>
      <c r="F392" s="1">
        <v>0.0</v>
      </c>
      <c r="G392" s="2">
        <v>0.0</v>
      </c>
      <c r="H392" s="1" t="s">
        <v>332</v>
      </c>
      <c r="I392" s="1">
        <v>0.0</v>
      </c>
      <c r="J392" s="1">
        <v>0.0</v>
      </c>
    </row>
    <row r="393">
      <c r="A393" s="1">
        <v>1.0</v>
      </c>
      <c r="B393" s="1">
        <v>4.0</v>
      </c>
      <c r="C393" s="1">
        <v>0.0</v>
      </c>
      <c r="D393" s="1">
        <v>0.0</v>
      </c>
      <c r="E393" s="1">
        <v>0.0</v>
      </c>
      <c r="F393" s="1">
        <v>0.0</v>
      </c>
      <c r="G393" s="2">
        <v>0.0</v>
      </c>
      <c r="H393" s="1" t="s">
        <v>332</v>
      </c>
      <c r="I393" s="1">
        <v>0.0</v>
      </c>
      <c r="J393" s="1">
        <v>0.0</v>
      </c>
    </row>
    <row r="394">
      <c r="A394" s="1">
        <v>1.0</v>
      </c>
      <c r="B394" s="1">
        <v>5.0</v>
      </c>
      <c r="C394" s="1">
        <v>1.0</v>
      </c>
      <c r="D394" s="1">
        <v>0.0</v>
      </c>
      <c r="E394" s="1">
        <v>0.0</v>
      </c>
      <c r="F394" s="1">
        <v>0.0</v>
      </c>
      <c r="G394" s="2">
        <v>0.0</v>
      </c>
      <c r="H394" s="1" t="s">
        <v>333</v>
      </c>
      <c r="I394" s="1">
        <v>0.0</v>
      </c>
      <c r="J394" s="1">
        <v>0.0</v>
      </c>
    </row>
    <row r="395">
      <c r="A395" s="1">
        <v>3.0</v>
      </c>
      <c r="B395" s="1">
        <v>12.0</v>
      </c>
      <c r="C395" s="1">
        <v>0.0</v>
      </c>
      <c r="D395" s="1">
        <v>0.0</v>
      </c>
      <c r="E395" s="1">
        <v>0.0</v>
      </c>
      <c r="F395" s="1">
        <v>0.0</v>
      </c>
      <c r="G395" s="2">
        <v>0.0</v>
      </c>
      <c r="H395" s="1" t="s">
        <v>333</v>
      </c>
      <c r="I395" s="1">
        <v>0.0</v>
      </c>
      <c r="J395" s="1">
        <v>0.0</v>
      </c>
    </row>
    <row r="396">
      <c r="A396" s="1">
        <v>1.0</v>
      </c>
      <c r="B396" s="1">
        <v>5.0</v>
      </c>
      <c r="C396" s="1">
        <v>1.0</v>
      </c>
      <c r="D396" s="1">
        <v>4.0</v>
      </c>
      <c r="E396" s="1">
        <v>0.0</v>
      </c>
      <c r="F396" s="1">
        <v>0.0</v>
      </c>
      <c r="G396" s="2">
        <v>1.0</v>
      </c>
      <c r="H396" s="1" t="s">
        <v>324</v>
      </c>
      <c r="I396" s="1">
        <v>4.0</v>
      </c>
      <c r="J396" s="1">
        <v>0.0</v>
      </c>
    </row>
    <row r="397">
      <c r="A397" s="1">
        <v>3.0</v>
      </c>
      <c r="B397" s="1">
        <v>12.0</v>
      </c>
      <c r="C397" s="1">
        <v>1.0</v>
      </c>
      <c r="D397" s="1">
        <v>1.33</v>
      </c>
      <c r="E397" s="1">
        <v>0.0</v>
      </c>
      <c r="F397" s="1">
        <v>0.0</v>
      </c>
      <c r="G397" s="2">
        <v>1.0</v>
      </c>
      <c r="H397" s="1" t="s">
        <v>324</v>
      </c>
      <c r="I397" s="1">
        <v>4.0</v>
      </c>
      <c r="J397" s="1">
        <v>0.0</v>
      </c>
    </row>
    <row r="398">
      <c r="A398" s="1">
        <v>1.0</v>
      </c>
      <c r="B398" s="1">
        <v>5.0</v>
      </c>
      <c r="C398" s="1">
        <v>2.0</v>
      </c>
      <c r="D398" s="1">
        <v>8.0</v>
      </c>
      <c r="E398" s="1">
        <v>0.0</v>
      </c>
      <c r="F398" s="1">
        <v>0.0</v>
      </c>
      <c r="G398" s="2">
        <v>1.0</v>
      </c>
      <c r="H398" s="1" t="s">
        <v>186</v>
      </c>
      <c r="I398" s="1">
        <v>8.0</v>
      </c>
      <c r="J398" s="1">
        <v>0.0</v>
      </c>
    </row>
    <row r="399">
      <c r="A399" s="1">
        <v>4.0</v>
      </c>
      <c r="B399" s="1">
        <v>16.0</v>
      </c>
      <c r="C399" s="1">
        <v>6.0</v>
      </c>
      <c r="D399" s="1">
        <v>4.0</v>
      </c>
      <c r="E399" s="1">
        <v>0.0</v>
      </c>
      <c r="F399" s="1">
        <v>0.0</v>
      </c>
      <c r="G399" s="6">
        <v>0.667</v>
      </c>
      <c r="H399" s="1" t="s">
        <v>186</v>
      </c>
      <c r="I399" s="1">
        <v>16.0</v>
      </c>
      <c r="J399" s="1">
        <v>0.0</v>
      </c>
    </row>
    <row r="400">
      <c r="A400" s="1">
        <v>1.0</v>
      </c>
      <c r="B400" s="1">
        <v>5.0</v>
      </c>
      <c r="C400" s="1">
        <v>0.0</v>
      </c>
      <c r="D400" s="1">
        <v>0.0</v>
      </c>
      <c r="E400" s="1">
        <v>0.0</v>
      </c>
      <c r="F400" s="1">
        <v>0.0</v>
      </c>
      <c r="G400" s="2">
        <v>0.0</v>
      </c>
      <c r="H400" s="1" t="s">
        <v>157</v>
      </c>
      <c r="I400" s="1">
        <v>0.0</v>
      </c>
      <c r="J400" s="1">
        <v>0.0</v>
      </c>
    </row>
    <row r="401">
      <c r="A401" s="1">
        <v>4.0</v>
      </c>
      <c r="B401" s="1">
        <v>16.0</v>
      </c>
      <c r="C401" s="1">
        <v>1.0</v>
      </c>
      <c r="D401" s="1">
        <v>1.0</v>
      </c>
      <c r="E401" s="1">
        <v>0.0</v>
      </c>
      <c r="F401" s="1">
        <v>0.0</v>
      </c>
      <c r="G401" s="2">
        <v>1.0</v>
      </c>
      <c r="H401" s="1" t="s">
        <v>157</v>
      </c>
      <c r="I401" s="1">
        <v>4.0</v>
      </c>
      <c r="J401" s="1">
        <v>0.0</v>
      </c>
    </row>
    <row r="402">
      <c r="A402" s="1">
        <v>5.0</v>
      </c>
      <c r="B402" s="1">
        <v>19.0</v>
      </c>
      <c r="C402" s="1">
        <v>0.0</v>
      </c>
      <c r="D402" s="1">
        <v>0.0</v>
      </c>
      <c r="E402" s="1">
        <v>0.0</v>
      </c>
      <c r="F402" s="1">
        <v>0.0</v>
      </c>
      <c r="G402" s="2">
        <v>0.0</v>
      </c>
      <c r="H402" s="1" t="s">
        <v>155</v>
      </c>
      <c r="I402" s="1">
        <v>0.0</v>
      </c>
      <c r="J402" s="1">
        <v>0.0</v>
      </c>
    </row>
    <row r="403">
      <c r="A403" s="1">
        <v>5.0</v>
      </c>
      <c r="B403" s="1">
        <v>19.0</v>
      </c>
      <c r="C403" s="1">
        <v>0.0</v>
      </c>
      <c r="D403" s="1">
        <v>0.0</v>
      </c>
      <c r="E403" s="1">
        <v>0.0</v>
      </c>
      <c r="F403" s="1">
        <v>0.0</v>
      </c>
      <c r="G403" s="2">
        <v>0.0</v>
      </c>
      <c r="H403" s="1" t="s">
        <v>212</v>
      </c>
      <c r="I403" s="1">
        <v>0.0</v>
      </c>
      <c r="J403" s="1">
        <v>0.0</v>
      </c>
    </row>
    <row r="404">
      <c r="A404" s="1">
        <v>1.0</v>
      </c>
      <c r="B404" s="1">
        <v>4.0</v>
      </c>
      <c r="C404" s="1">
        <v>1.0</v>
      </c>
      <c r="D404" s="1">
        <v>4.0</v>
      </c>
      <c r="E404" s="1">
        <v>0.0</v>
      </c>
      <c r="F404" s="1">
        <v>0.0</v>
      </c>
      <c r="G404" s="2">
        <v>1.0</v>
      </c>
      <c r="H404" s="1" t="s">
        <v>334</v>
      </c>
      <c r="I404" s="1">
        <v>4.0</v>
      </c>
      <c r="J404" s="1">
        <v>0.0</v>
      </c>
    </row>
    <row r="405">
      <c r="A405" s="1">
        <v>5.0</v>
      </c>
      <c r="B405" s="1">
        <v>19.0</v>
      </c>
      <c r="C405" s="1">
        <v>14.0</v>
      </c>
      <c r="D405" s="1">
        <v>6.4</v>
      </c>
      <c r="E405" s="1">
        <v>0.4</v>
      </c>
      <c r="F405" s="1">
        <v>0.0</v>
      </c>
      <c r="G405" s="6">
        <v>0.714</v>
      </c>
      <c r="H405" s="1" t="s">
        <v>215</v>
      </c>
      <c r="I405" s="1">
        <v>32.0</v>
      </c>
      <c r="J405" s="1">
        <v>2.0</v>
      </c>
    </row>
    <row r="406">
      <c r="A406" s="1">
        <v>2.0</v>
      </c>
      <c r="B406" s="1">
        <v>8.0</v>
      </c>
      <c r="C406" s="1">
        <v>7.0</v>
      </c>
      <c r="D406" s="1">
        <v>10.0</v>
      </c>
      <c r="E406" s="1">
        <v>0.5</v>
      </c>
      <c r="F406" s="1">
        <v>0.0</v>
      </c>
      <c r="G406" s="6">
        <v>0.857</v>
      </c>
      <c r="H406" s="1" t="s">
        <v>168</v>
      </c>
      <c r="I406" s="1">
        <v>20.0</v>
      </c>
      <c r="J406" s="1">
        <v>1.0</v>
      </c>
    </row>
    <row r="407">
      <c r="A407" s="1">
        <v>3.0</v>
      </c>
      <c r="B407" s="1">
        <v>12.0</v>
      </c>
      <c r="C407" s="1">
        <v>8.0</v>
      </c>
      <c r="D407" s="1">
        <v>6.67</v>
      </c>
      <c r="E407" s="1">
        <v>0.33</v>
      </c>
      <c r="F407" s="1">
        <v>0.0</v>
      </c>
      <c r="G407" s="2">
        <v>0.75</v>
      </c>
      <c r="H407" s="1" t="s">
        <v>168</v>
      </c>
      <c r="I407" s="1">
        <v>20.0</v>
      </c>
      <c r="J407" s="1">
        <v>1.0</v>
      </c>
    </row>
    <row r="408">
      <c r="A408" s="1">
        <v>1.0</v>
      </c>
      <c r="B408" s="1">
        <v>4.0</v>
      </c>
      <c r="C408" s="1">
        <v>0.0</v>
      </c>
      <c r="D408" s="1">
        <v>0.0</v>
      </c>
      <c r="E408" s="1">
        <v>0.0</v>
      </c>
      <c r="F408" s="1">
        <v>0.0</v>
      </c>
      <c r="G408" s="2">
        <v>0.0</v>
      </c>
      <c r="H408" s="1" t="s">
        <v>113</v>
      </c>
      <c r="I408" s="1">
        <v>0.0</v>
      </c>
      <c r="J408" s="1">
        <v>0.0</v>
      </c>
    </row>
    <row r="409">
      <c r="A409" s="1">
        <v>1.0</v>
      </c>
      <c r="B409" s="1">
        <v>4.0</v>
      </c>
      <c r="C409" s="1">
        <v>0.0</v>
      </c>
      <c r="D409" s="1">
        <v>0.0</v>
      </c>
      <c r="E409" s="1">
        <v>0.0</v>
      </c>
      <c r="F409" s="1">
        <v>0.0</v>
      </c>
      <c r="G409" s="2">
        <v>0.0</v>
      </c>
      <c r="H409" s="1" t="s">
        <v>113</v>
      </c>
      <c r="I409" s="1">
        <v>0.0</v>
      </c>
      <c r="J409" s="1">
        <v>0.0</v>
      </c>
    </row>
    <row r="410">
      <c r="A410" s="1">
        <v>3.0</v>
      </c>
      <c r="B410" s="1">
        <v>12.0</v>
      </c>
      <c r="C410" s="1">
        <v>0.0</v>
      </c>
      <c r="D410" s="1">
        <v>0.0</v>
      </c>
      <c r="E410" s="1">
        <v>0.0</v>
      </c>
      <c r="F410" s="1">
        <v>0.0</v>
      </c>
      <c r="G410" s="2">
        <v>0.0</v>
      </c>
      <c r="H410" s="1" t="s">
        <v>113</v>
      </c>
      <c r="I410" s="1">
        <v>0.0</v>
      </c>
      <c r="J410" s="1">
        <v>0.0</v>
      </c>
    </row>
    <row r="411">
      <c r="A411" s="1">
        <v>1.0</v>
      </c>
      <c r="B411" s="1">
        <v>4.0</v>
      </c>
      <c r="C411" s="1">
        <v>0.0</v>
      </c>
      <c r="D411" s="1">
        <v>0.0</v>
      </c>
      <c r="E411" s="1">
        <v>0.0</v>
      </c>
      <c r="F411" s="1">
        <v>0.0</v>
      </c>
      <c r="G411" s="2">
        <v>0.0</v>
      </c>
      <c r="H411" s="1" t="s">
        <v>335</v>
      </c>
      <c r="I411" s="1">
        <v>0.0</v>
      </c>
      <c r="J411" s="1">
        <v>0.0</v>
      </c>
    </row>
    <row r="412">
      <c r="A412" s="1">
        <v>2.0</v>
      </c>
      <c r="B412" s="1">
        <v>8.0</v>
      </c>
      <c r="C412" s="1">
        <v>0.0</v>
      </c>
      <c r="D412" s="1">
        <v>0.0</v>
      </c>
      <c r="E412" s="1">
        <v>0.0</v>
      </c>
      <c r="F412" s="1">
        <v>0.0</v>
      </c>
      <c r="G412" s="2">
        <v>0.0</v>
      </c>
      <c r="H412" s="1" t="s">
        <v>335</v>
      </c>
      <c r="I412" s="1">
        <v>0.0</v>
      </c>
      <c r="J412" s="1">
        <v>0.0</v>
      </c>
    </row>
    <row r="413">
      <c r="A413" s="1">
        <v>1.0</v>
      </c>
      <c r="B413" s="1">
        <v>4.0</v>
      </c>
      <c r="C413" s="1">
        <v>1.0</v>
      </c>
      <c r="D413" s="1">
        <v>0.0</v>
      </c>
      <c r="E413" s="1">
        <v>0.0</v>
      </c>
      <c r="F413" s="1">
        <v>0.0</v>
      </c>
      <c r="G413" s="2">
        <v>0.0</v>
      </c>
      <c r="H413" s="1" t="s">
        <v>336</v>
      </c>
      <c r="I413" s="1">
        <v>0.0</v>
      </c>
      <c r="J413" s="1">
        <v>0.0</v>
      </c>
    </row>
    <row r="414">
      <c r="A414" s="1">
        <v>1.0</v>
      </c>
      <c r="B414" s="1">
        <v>4.0</v>
      </c>
      <c r="C414" s="1">
        <v>1.0</v>
      </c>
      <c r="D414" s="1">
        <v>-4.0</v>
      </c>
      <c r="E414" s="1">
        <v>1.0</v>
      </c>
      <c r="F414" s="1">
        <v>0.0</v>
      </c>
      <c r="G414" s="2">
        <v>0.0</v>
      </c>
      <c r="H414" s="1" t="s">
        <v>336</v>
      </c>
      <c r="I414" s="1">
        <v>-4.0</v>
      </c>
      <c r="J414" s="1">
        <v>1.0</v>
      </c>
    </row>
    <row r="415">
      <c r="A415" s="1">
        <v>2.0</v>
      </c>
      <c r="B415" s="1">
        <v>8.0</v>
      </c>
      <c r="C415" s="1">
        <v>0.0</v>
      </c>
      <c r="D415" s="1">
        <v>0.0</v>
      </c>
      <c r="E415" s="1">
        <v>0.0</v>
      </c>
      <c r="F415" s="1">
        <v>0.0</v>
      </c>
      <c r="G415" s="2">
        <v>0.0</v>
      </c>
      <c r="H415" s="1" t="s">
        <v>337</v>
      </c>
      <c r="I415" s="1">
        <v>0.0</v>
      </c>
      <c r="J415" s="1">
        <v>0.0</v>
      </c>
    </row>
    <row r="416">
      <c r="A416" s="1">
        <v>3.0</v>
      </c>
      <c r="B416" s="1">
        <v>12.0</v>
      </c>
      <c r="C416" s="1">
        <v>0.0</v>
      </c>
      <c r="D416" s="1">
        <v>0.0</v>
      </c>
      <c r="E416" s="1">
        <v>0.0</v>
      </c>
      <c r="F416" s="1">
        <v>0.0</v>
      </c>
      <c r="G416" s="2">
        <v>0.0</v>
      </c>
      <c r="H416" s="1" t="s">
        <v>337</v>
      </c>
      <c r="I416" s="1">
        <v>0.0</v>
      </c>
      <c r="J416" s="1">
        <v>0.0</v>
      </c>
    </row>
    <row r="417">
      <c r="A417" s="1">
        <v>4.0</v>
      </c>
      <c r="B417" s="1">
        <v>16.0</v>
      </c>
      <c r="C417" s="1">
        <v>1.0</v>
      </c>
      <c r="D417" s="1">
        <v>0.0</v>
      </c>
      <c r="E417" s="1">
        <v>0.0</v>
      </c>
      <c r="F417" s="1">
        <v>0.0</v>
      </c>
      <c r="G417" s="2">
        <v>0.0</v>
      </c>
      <c r="H417" s="1" t="s">
        <v>299</v>
      </c>
      <c r="I417" s="1">
        <v>0.0</v>
      </c>
      <c r="J417" s="1">
        <v>0.0</v>
      </c>
    </row>
    <row r="418">
      <c r="A418" s="1">
        <v>1.0</v>
      </c>
      <c r="B418" s="1">
        <v>4.0</v>
      </c>
      <c r="C418" s="1">
        <v>0.0</v>
      </c>
      <c r="D418" s="1">
        <v>0.0</v>
      </c>
      <c r="E418" s="1">
        <v>0.0</v>
      </c>
      <c r="F418" s="1">
        <v>0.0</v>
      </c>
      <c r="G418" s="2">
        <v>0.0</v>
      </c>
      <c r="H418" s="1" t="s">
        <v>256</v>
      </c>
      <c r="I418" s="1">
        <v>0.0</v>
      </c>
      <c r="J418" s="1">
        <v>0.0</v>
      </c>
    </row>
    <row r="419">
      <c r="A419" s="1">
        <v>3.0</v>
      </c>
      <c r="B419" s="1">
        <v>12.0</v>
      </c>
      <c r="C419" s="1">
        <v>8.0</v>
      </c>
      <c r="D419" s="1">
        <v>9.33</v>
      </c>
      <c r="E419" s="1">
        <v>0.0</v>
      </c>
      <c r="F419" s="1">
        <v>0.0</v>
      </c>
      <c r="G419" s="6">
        <v>0.875</v>
      </c>
      <c r="H419" s="1" t="s">
        <v>216</v>
      </c>
      <c r="I419" s="1">
        <v>28.0</v>
      </c>
      <c r="J419" s="1">
        <v>0.0</v>
      </c>
    </row>
    <row r="420">
      <c r="A420" s="1">
        <v>1.0</v>
      </c>
      <c r="B420" s="1">
        <v>4.0</v>
      </c>
      <c r="C420" s="1">
        <v>2.0</v>
      </c>
      <c r="D420" s="1">
        <v>8.0</v>
      </c>
      <c r="E420" s="1">
        <v>0.0</v>
      </c>
      <c r="F420" s="1">
        <v>0.0</v>
      </c>
      <c r="G420" s="2">
        <v>1.0</v>
      </c>
      <c r="H420" s="1" t="s">
        <v>216</v>
      </c>
      <c r="I420" s="1">
        <v>8.0</v>
      </c>
      <c r="J420" s="1">
        <v>0.0</v>
      </c>
    </row>
    <row r="421">
      <c r="A421" s="1">
        <v>1.0</v>
      </c>
      <c r="B421" s="1">
        <v>4.0</v>
      </c>
      <c r="C421" s="1">
        <v>3.0</v>
      </c>
      <c r="D421" s="1">
        <v>0.0</v>
      </c>
      <c r="E421" s="1">
        <v>1.0</v>
      </c>
      <c r="F421" s="1">
        <v>0.0</v>
      </c>
      <c r="G421" s="6">
        <v>0.333</v>
      </c>
      <c r="H421" s="1" t="s">
        <v>216</v>
      </c>
      <c r="I421" s="1">
        <v>0.0</v>
      </c>
      <c r="J421" s="1">
        <v>1.0</v>
      </c>
    </row>
    <row r="422">
      <c r="A422" s="1">
        <v>1.0</v>
      </c>
      <c r="B422" s="1">
        <v>4.0</v>
      </c>
      <c r="C422" s="1">
        <v>0.0</v>
      </c>
      <c r="D422" s="1">
        <v>0.0</v>
      </c>
      <c r="E422" s="1">
        <v>0.0</v>
      </c>
      <c r="F422" s="1">
        <v>0.0</v>
      </c>
      <c r="G422" s="2">
        <v>0.0</v>
      </c>
      <c r="H422" s="1" t="s">
        <v>338</v>
      </c>
      <c r="I422" s="1">
        <v>0.0</v>
      </c>
      <c r="J422" s="1">
        <v>0.0</v>
      </c>
    </row>
    <row r="423">
      <c r="A423" s="1">
        <v>1.0</v>
      </c>
      <c r="B423" s="1">
        <v>4.0</v>
      </c>
      <c r="C423" s="1">
        <v>0.0</v>
      </c>
      <c r="D423" s="1">
        <v>0.0</v>
      </c>
      <c r="E423" s="1">
        <v>0.0</v>
      </c>
      <c r="F423" s="1">
        <v>0.0</v>
      </c>
      <c r="G423" s="2">
        <v>0.0</v>
      </c>
      <c r="H423" s="1" t="s">
        <v>338</v>
      </c>
      <c r="I423" s="1">
        <v>0.0</v>
      </c>
      <c r="J423" s="1">
        <v>0.0</v>
      </c>
    </row>
    <row r="424">
      <c r="A424" s="1">
        <v>1.0</v>
      </c>
      <c r="B424" s="1">
        <v>4.0</v>
      </c>
      <c r="C424" s="1">
        <v>0.0</v>
      </c>
      <c r="D424" s="1">
        <v>0.0</v>
      </c>
      <c r="E424" s="1">
        <v>0.0</v>
      </c>
      <c r="F424" s="1">
        <v>0.0</v>
      </c>
      <c r="G424" s="2">
        <v>0.0</v>
      </c>
      <c r="H424" s="1" t="s">
        <v>339</v>
      </c>
      <c r="I424" s="1">
        <v>0.0</v>
      </c>
      <c r="J424" s="1">
        <v>0.0</v>
      </c>
    </row>
    <row r="425">
      <c r="A425" s="1">
        <v>2.0</v>
      </c>
      <c r="B425" s="1">
        <v>8.0</v>
      </c>
      <c r="C425" s="1">
        <v>7.0</v>
      </c>
      <c r="D425" s="1">
        <v>12.0</v>
      </c>
      <c r="E425" s="1">
        <v>0.0</v>
      </c>
      <c r="F425" s="1">
        <v>0.0</v>
      </c>
      <c r="G425" s="6">
        <v>0.857</v>
      </c>
      <c r="H425" s="1" t="s">
        <v>83</v>
      </c>
      <c r="I425" s="1">
        <v>24.0</v>
      </c>
      <c r="J425" s="1">
        <v>0.0</v>
      </c>
    </row>
    <row r="426">
      <c r="A426" s="1">
        <v>1.0</v>
      </c>
      <c r="B426" s="1">
        <v>4.0</v>
      </c>
      <c r="C426" s="1">
        <v>4.0</v>
      </c>
      <c r="D426" s="1">
        <v>4.0</v>
      </c>
      <c r="E426" s="1">
        <v>1.0</v>
      </c>
      <c r="F426" s="1">
        <v>0.0</v>
      </c>
      <c r="G426" s="2">
        <v>0.5</v>
      </c>
      <c r="H426" s="1" t="s">
        <v>83</v>
      </c>
      <c r="I426" s="1">
        <v>4.0</v>
      </c>
      <c r="J426" s="1">
        <v>1.0</v>
      </c>
    </row>
    <row r="427">
      <c r="A427" s="1">
        <v>1.0</v>
      </c>
      <c r="B427" s="1">
        <v>4.0</v>
      </c>
      <c r="C427" s="1">
        <v>0.0</v>
      </c>
      <c r="D427" s="1">
        <v>0.0</v>
      </c>
      <c r="E427" s="1">
        <v>0.0</v>
      </c>
      <c r="F427" s="1">
        <v>0.0</v>
      </c>
      <c r="G427" s="2">
        <v>0.0</v>
      </c>
      <c r="H427" s="1" t="s">
        <v>340</v>
      </c>
      <c r="I427" s="1">
        <v>0.0</v>
      </c>
      <c r="J427" s="1">
        <v>0.0</v>
      </c>
    </row>
    <row r="428">
      <c r="A428" s="1">
        <v>1.0</v>
      </c>
      <c r="B428" s="1">
        <v>4.0</v>
      </c>
      <c r="C428" s="1">
        <v>0.0</v>
      </c>
      <c r="D428" s="1">
        <v>0.0</v>
      </c>
      <c r="E428" s="1">
        <v>0.0</v>
      </c>
      <c r="F428" s="1">
        <v>0.0</v>
      </c>
      <c r="G428" s="2">
        <v>0.0</v>
      </c>
      <c r="H428" s="1" t="s">
        <v>340</v>
      </c>
      <c r="I428" s="1">
        <v>0.0</v>
      </c>
      <c r="J428" s="1">
        <v>0.0</v>
      </c>
    </row>
    <row r="429">
      <c r="A429" s="1">
        <v>3.0</v>
      </c>
      <c r="B429" s="1">
        <v>12.0</v>
      </c>
      <c r="C429" s="1">
        <v>1.0</v>
      </c>
      <c r="D429" s="1">
        <v>1.33</v>
      </c>
      <c r="E429" s="1">
        <v>0.0</v>
      </c>
      <c r="F429" s="1">
        <v>0.0</v>
      </c>
      <c r="G429" s="2">
        <v>1.0</v>
      </c>
      <c r="H429" s="1" t="s">
        <v>258</v>
      </c>
      <c r="I429" s="1">
        <v>4.0</v>
      </c>
      <c r="J429" s="1">
        <v>0.0</v>
      </c>
    </row>
    <row r="430">
      <c r="A430" s="1">
        <v>1.0</v>
      </c>
      <c r="B430" s="1">
        <v>4.0</v>
      </c>
      <c r="C430" s="1">
        <v>3.0</v>
      </c>
      <c r="D430" s="1">
        <v>4.0</v>
      </c>
      <c r="E430" s="1">
        <v>1.0</v>
      </c>
      <c r="F430" s="1">
        <v>0.0</v>
      </c>
      <c r="G430" s="6">
        <v>0.667</v>
      </c>
      <c r="H430" s="1" t="s">
        <v>301</v>
      </c>
      <c r="I430" s="1">
        <v>4.0</v>
      </c>
      <c r="J430" s="1">
        <v>1.0</v>
      </c>
    </row>
    <row r="431">
      <c r="A431" s="1">
        <v>1.0</v>
      </c>
      <c r="B431" s="1">
        <v>4.0</v>
      </c>
      <c r="C431" s="1">
        <v>2.0</v>
      </c>
      <c r="D431" s="1">
        <v>0.0</v>
      </c>
      <c r="E431" s="1">
        <v>1.0</v>
      </c>
      <c r="F431" s="1">
        <v>0.0</v>
      </c>
      <c r="G431" s="2">
        <v>0.5</v>
      </c>
      <c r="H431" s="1" t="s">
        <v>301</v>
      </c>
      <c r="I431" s="1">
        <v>0.0</v>
      </c>
      <c r="J431" s="1">
        <v>1.0</v>
      </c>
    </row>
    <row r="432">
      <c r="A432" s="1">
        <v>2.0</v>
      </c>
      <c r="B432" s="1">
        <v>8.0</v>
      </c>
      <c r="C432" s="1">
        <v>1.0</v>
      </c>
      <c r="D432" s="1">
        <v>2.0</v>
      </c>
      <c r="E432" s="1">
        <v>0.0</v>
      </c>
      <c r="F432" s="1">
        <v>0.0</v>
      </c>
      <c r="G432" s="2">
        <v>1.0</v>
      </c>
      <c r="H432" s="1" t="s">
        <v>87</v>
      </c>
      <c r="I432" s="1">
        <v>4.0</v>
      </c>
      <c r="J432" s="1">
        <v>0.0</v>
      </c>
    </row>
    <row r="433">
      <c r="A433" s="1">
        <v>1.0</v>
      </c>
      <c r="B433" s="1">
        <v>4.0</v>
      </c>
      <c r="C433" s="1">
        <v>0.0</v>
      </c>
      <c r="D433" s="1">
        <v>0.0</v>
      </c>
      <c r="E433" s="1">
        <v>0.0</v>
      </c>
      <c r="F433" s="1">
        <v>0.0</v>
      </c>
      <c r="G433" s="2">
        <v>0.0</v>
      </c>
      <c r="H433" s="1" t="s">
        <v>87</v>
      </c>
      <c r="I433" s="1">
        <v>0.0</v>
      </c>
      <c r="J433" s="1">
        <v>0.0</v>
      </c>
    </row>
    <row r="434">
      <c r="A434" s="1">
        <v>1.0</v>
      </c>
      <c r="B434" s="1">
        <v>4.0</v>
      </c>
      <c r="C434" s="1">
        <v>0.0</v>
      </c>
      <c r="D434" s="1">
        <v>0.0</v>
      </c>
      <c r="E434" s="1">
        <v>0.0</v>
      </c>
      <c r="F434" s="1">
        <v>0.0</v>
      </c>
      <c r="G434" s="2">
        <v>0.0</v>
      </c>
      <c r="H434" s="1" t="s">
        <v>87</v>
      </c>
      <c r="I434" s="1">
        <v>0.0</v>
      </c>
      <c r="J434" s="1">
        <v>0.0</v>
      </c>
    </row>
    <row r="435">
      <c r="A435" s="1">
        <v>1.0</v>
      </c>
      <c r="B435" s="1">
        <v>4.0</v>
      </c>
      <c r="C435" s="1">
        <v>0.0</v>
      </c>
      <c r="D435" s="1">
        <v>0.0</v>
      </c>
      <c r="E435" s="1">
        <v>0.0</v>
      </c>
      <c r="F435" s="1">
        <v>0.0</v>
      </c>
      <c r="G435" s="2">
        <v>0.0</v>
      </c>
      <c r="H435" s="1" t="s">
        <v>341</v>
      </c>
      <c r="I435" s="1">
        <v>0.0</v>
      </c>
      <c r="J435" s="1">
        <v>0.0</v>
      </c>
    </row>
    <row r="436">
      <c r="A436" s="1">
        <v>1.0</v>
      </c>
      <c r="B436" s="1">
        <v>4.0</v>
      </c>
      <c r="C436" s="1">
        <v>0.0</v>
      </c>
      <c r="D436" s="1">
        <v>0.0</v>
      </c>
      <c r="E436" s="1">
        <v>0.0</v>
      </c>
      <c r="F436" s="1">
        <v>0.0</v>
      </c>
      <c r="G436" s="2">
        <v>0.0</v>
      </c>
      <c r="H436" s="1" t="s">
        <v>341</v>
      </c>
      <c r="I436" s="1">
        <v>0.0</v>
      </c>
      <c r="J436" s="1">
        <v>0.0</v>
      </c>
    </row>
    <row r="437">
      <c r="A437" s="1">
        <v>5.0</v>
      </c>
      <c r="B437" s="1">
        <v>20.0</v>
      </c>
      <c r="C437" s="1">
        <v>11.0</v>
      </c>
      <c r="D437" s="1">
        <v>5.6</v>
      </c>
      <c r="E437" s="1">
        <v>0.2</v>
      </c>
      <c r="F437" s="1">
        <v>0.0</v>
      </c>
      <c r="G437" s="6">
        <v>0.727</v>
      </c>
      <c r="H437" s="1" t="s">
        <v>312</v>
      </c>
      <c r="I437" s="1">
        <v>28.0</v>
      </c>
      <c r="J437" s="1">
        <v>1.0</v>
      </c>
    </row>
    <row r="438">
      <c r="A438" s="1">
        <v>1.0</v>
      </c>
      <c r="B438" s="1">
        <v>4.0</v>
      </c>
      <c r="C438" s="1">
        <v>0.0</v>
      </c>
      <c r="D438" s="1">
        <v>0.0</v>
      </c>
      <c r="E438" s="1">
        <v>0.0</v>
      </c>
      <c r="F438" s="1">
        <v>0.0</v>
      </c>
      <c r="G438" s="2">
        <v>0.0</v>
      </c>
      <c r="H438" s="1" t="s">
        <v>260</v>
      </c>
      <c r="I438" s="1">
        <v>0.0</v>
      </c>
      <c r="J438" s="1">
        <v>0.0</v>
      </c>
    </row>
    <row r="439">
      <c r="A439" s="1">
        <v>4.0</v>
      </c>
      <c r="B439" s="1">
        <v>16.0</v>
      </c>
      <c r="C439" s="1">
        <v>0.0</v>
      </c>
      <c r="D439" s="1">
        <v>0.0</v>
      </c>
      <c r="E439" s="1">
        <v>0.0</v>
      </c>
      <c r="F439" s="1">
        <v>0.0</v>
      </c>
      <c r="G439" s="2">
        <v>0.0</v>
      </c>
      <c r="H439" s="1" t="s">
        <v>260</v>
      </c>
      <c r="I439" s="1">
        <v>0.0</v>
      </c>
      <c r="J439" s="1">
        <v>0.0</v>
      </c>
    </row>
    <row r="440">
      <c r="A440" s="1">
        <v>4.0</v>
      </c>
      <c r="B440" s="1">
        <v>16.0</v>
      </c>
      <c r="C440" s="1">
        <v>0.0</v>
      </c>
      <c r="D440" s="1">
        <v>0.0</v>
      </c>
      <c r="E440" s="1">
        <v>0.0</v>
      </c>
      <c r="F440" s="1">
        <v>0.0</v>
      </c>
      <c r="G440" s="2">
        <v>0.0</v>
      </c>
      <c r="H440" s="1" t="s">
        <v>327</v>
      </c>
      <c r="I440" s="1">
        <v>0.0</v>
      </c>
      <c r="J440" s="1">
        <v>0.0</v>
      </c>
    </row>
    <row r="441">
      <c r="A441" s="1">
        <v>5.0</v>
      </c>
      <c r="B441" s="1">
        <v>20.0</v>
      </c>
      <c r="C441" s="1">
        <v>2.0</v>
      </c>
      <c r="D441" s="1">
        <v>0.0</v>
      </c>
      <c r="E441" s="1">
        <v>0.2</v>
      </c>
      <c r="F441" s="1">
        <v>0.0</v>
      </c>
      <c r="G441" s="2">
        <v>0.5</v>
      </c>
      <c r="H441" s="1" t="s">
        <v>131</v>
      </c>
      <c r="I441" s="1">
        <v>0.0</v>
      </c>
      <c r="J441" s="1">
        <v>1.0</v>
      </c>
    </row>
    <row r="442">
      <c r="A442" s="1">
        <v>2.0</v>
      </c>
      <c r="B442" s="1">
        <v>8.0</v>
      </c>
      <c r="C442" s="1">
        <v>0.0</v>
      </c>
      <c r="D442" s="1">
        <v>0.0</v>
      </c>
      <c r="E442" s="1">
        <v>0.0</v>
      </c>
      <c r="F442" s="1">
        <v>0.0</v>
      </c>
      <c r="G442" s="2">
        <v>0.0</v>
      </c>
      <c r="H442" s="1" t="s">
        <v>342</v>
      </c>
      <c r="I442" s="1">
        <v>0.0</v>
      </c>
      <c r="J442" s="1">
        <v>0.0</v>
      </c>
    </row>
    <row r="443">
      <c r="A443" s="1">
        <v>1.0</v>
      </c>
      <c r="B443" s="1">
        <v>4.0</v>
      </c>
      <c r="C443" s="1">
        <v>1.0</v>
      </c>
      <c r="D443" s="1">
        <v>4.0</v>
      </c>
      <c r="E443" s="1">
        <v>0.0</v>
      </c>
      <c r="F443" s="1">
        <v>0.0</v>
      </c>
      <c r="G443" s="2">
        <v>1.0</v>
      </c>
      <c r="H443" s="1" t="s">
        <v>343</v>
      </c>
      <c r="I443" s="1">
        <v>4.0</v>
      </c>
      <c r="J443" s="1">
        <v>0.0</v>
      </c>
    </row>
    <row r="444">
      <c r="A444" s="1">
        <v>4.0</v>
      </c>
      <c r="B444" s="1">
        <v>16.0</v>
      </c>
      <c r="C444" s="1">
        <v>11.0</v>
      </c>
      <c r="D444" s="1">
        <v>3.0</v>
      </c>
      <c r="E444" s="1">
        <v>0.5</v>
      </c>
      <c r="F444" s="1">
        <v>0.0</v>
      </c>
      <c r="G444" s="6">
        <v>0.455</v>
      </c>
      <c r="H444" s="1" t="s">
        <v>343</v>
      </c>
      <c r="I444" s="1">
        <v>12.0</v>
      </c>
      <c r="J444" s="1">
        <v>2.0</v>
      </c>
    </row>
    <row r="445">
      <c r="A445" s="1">
        <v>2.0</v>
      </c>
      <c r="B445" s="1">
        <v>8.0</v>
      </c>
      <c r="C445" s="1">
        <v>0.0</v>
      </c>
      <c r="D445" s="1">
        <v>0.0</v>
      </c>
      <c r="E445" s="1">
        <v>0.0</v>
      </c>
      <c r="F445" s="1">
        <v>0.0</v>
      </c>
      <c r="G445" s="2">
        <v>0.0</v>
      </c>
      <c r="H445" s="1" t="s">
        <v>302</v>
      </c>
      <c r="I445" s="1">
        <v>0.0</v>
      </c>
      <c r="J445" s="1">
        <v>0.0</v>
      </c>
    </row>
    <row r="446">
      <c r="A446" s="1">
        <v>5.0</v>
      </c>
      <c r="B446" s="1">
        <v>20.0</v>
      </c>
      <c r="C446" s="1">
        <v>8.0</v>
      </c>
      <c r="D446" s="1">
        <v>4.8</v>
      </c>
      <c r="E446" s="1">
        <v>0.2</v>
      </c>
      <c r="F446" s="1">
        <v>0.0</v>
      </c>
      <c r="G446" s="6">
        <v>0.875</v>
      </c>
      <c r="H446" s="1" t="s">
        <v>231</v>
      </c>
      <c r="I446" s="1">
        <v>24.0</v>
      </c>
      <c r="J446" s="1">
        <v>1.0</v>
      </c>
    </row>
    <row r="447">
      <c r="A447" s="1">
        <v>5.0</v>
      </c>
      <c r="B447" s="1">
        <v>20.0</v>
      </c>
      <c r="C447" s="1">
        <v>8.0</v>
      </c>
      <c r="D447" s="1">
        <v>4.8</v>
      </c>
      <c r="E447" s="1">
        <v>0.2</v>
      </c>
      <c r="F447" s="1">
        <v>0.0</v>
      </c>
      <c r="G447" s="6">
        <v>0.875</v>
      </c>
      <c r="H447" s="1" t="s">
        <v>122</v>
      </c>
      <c r="I447" s="1">
        <v>24.0</v>
      </c>
      <c r="J447" s="1">
        <v>1.0</v>
      </c>
    </row>
    <row r="448">
      <c r="A448" s="1">
        <v>3.0</v>
      </c>
      <c r="B448" s="1">
        <v>12.0</v>
      </c>
      <c r="C448" s="1">
        <v>0.0</v>
      </c>
      <c r="D448" s="1">
        <v>0.0</v>
      </c>
      <c r="E448" s="1">
        <v>0.0</v>
      </c>
      <c r="F448" s="1">
        <v>0.0</v>
      </c>
      <c r="G448" s="2">
        <v>0.0</v>
      </c>
      <c r="H448" s="1" t="s">
        <v>261</v>
      </c>
      <c r="I448" s="1">
        <v>0.0</v>
      </c>
      <c r="J448" s="1">
        <v>0.0</v>
      </c>
    </row>
    <row r="449">
      <c r="A449" s="1">
        <v>5.0</v>
      </c>
      <c r="B449" s="1">
        <v>20.0</v>
      </c>
      <c r="C449" s="1">
        <v>0.0</v>
      </c>
      <c r="D449" s="1">
        <v>0.0</v>
      </c>
      <c r="E449" s="1">
        <v>0.0</v>
      </c>
      <c r="F449" s="1">
        <v>0.0</v>
      </c>
      <c r="G449" s="2">
        <v>0.0</v>
      </c>
      <c r="H449" s="1" t="s">
        <v>344</v>
      </c>
      <c r="I449" s="1">
        <v>0.0</v>
      </c>
      <c r="J449" s="1">
        <v>0.0</v>
      </c>
    </row>
    <row r="450">
      <c r="A450" s="1">
        <v>4.0</v>
      </c>
      <c r="B450" s="1">
        <v>16.0</v>
      </c>
      <c r="C450" s="1">
        <v>8.0</v>
      </c>
      <c r="D450" s="1">
        <v>2.0</v>
      </c>
      <c r="E450" s="1">
        <v>0.25</v>
      </c>
      <c r="F450" s="1">
        <v>0.0</v>
      </c>
      <c r="G450" s="6">
        <v>0.375</v>
      </c>
      <c r="H450" s="1" t="s">
        <v>345</v>
      </c>
      <c r="I450" s="1">
        <v>8.0</v>
      </c>
      <c r="J450" s="1">
        <v>1.0</v>
      </c>
    </row>
    <row r="451">
      <c r="A451" s="1">
        <v>1.0</v>
      </c>
      <c r="B451" s="1">
        <v>4.0</v>
      </c>
      <c r="C451" s="1">
        <v>2.0</v>
      </c>
      <c r="D451" s="1">
        <v>0.0</v>
      </c>
      <c r="E451" s="1">
        <v>1.0</v>
      </c>
      <c r="F451" s="1">
        <v>0.0</v>
      </c>
      <c r="G451" s="2">
        <v>0.5</v>
      </c>
      <c r="H451" s="1" t="s">
        <v>345</v>
      </c>
      <c r="I451" s="1">
        <v>0.0</v>
      </c>
      <c r="J451" s="1">
        <v>1.0</v>
      </c>
    </row>
    <row r="452">
      <c r="A452" s="1">
        <v>4.0</v>
      </c>
      <c r="B452" s="1">
        <v>16.0</v>
      </c>
      <c r="C452" s="1">
        <v>0.0</v>
      </c>
      <c r="D452" s="1">
        <v>0.0</v>
      </c>
      <c r="E452" s="1">
        <v>0.0</v>
      </c>
      <c r="F452" s="1">
        <v>0.0</v>
      </c>
      <c r="G452" s="2">
        <v>0.0</v>
      </c>
      <c r="H452" s="1" t="s">
        <v>346</v>
      </c>
      <c r="I452" s="1">
        <v>0.0</v>
      </c>
      <c r="J452" s="1">
        <v>0.0</v>
      </c>
    </row>
    <row r="453">
      <c r="A453" s="1">
        <v>1.0</v>
      </c>
      <c r="B453" s="1">
        <v>4.0</v>
      </c>
      <c r="C453" s="1">
        <v>0.0</v>
      </c>
      <c r="D453" s="1">
        <v>0.0</v>
      </c>
      <c r="E453" s="1">
        <v>0.0</v>
      </c>
      <c r="F453" s="1">
        <v>0.0</v>
      </c>
      <c r="G453" s="2">
        <v>0.0</v>
      </c>
      <c r="H453" s="1" t="s">
        <v>346</v>
      </c>
      <c r="I453" s="1">
        <v>0.0</v>
      </c>
      <c r="J453" s="1">
        <v>0.0</v>
      </c>
    </row>
    <row r="454">
      <c r="A454" s="1">
        <v>1.0</v>
      </c>
      <c r="B454" s="1">
        <v>4.0</v>
      </c>
      <c r="C454" s="1">
        <v>2.0</v>
      </c>
      <c r="D454" s="1">
        <v>4.0</v>
      </c>
      <c r="E454" s="1">
        <v>0.0</v>
      </c>
      <c r="F454" s="1">
        <v>0.0</v>
      </c>
      <c r="G454" s="2">
        <v>0.5</v>
      </c>
      <c r="H454" s="1" t="s">
        <v>347</v>
      </c>
      <c r="I454" s="1">
        <v>4.0</v>
      </c>
      <c r="J454" s="1">
        <v>0.0</v>
      </c>
    </row>
    <row r="455">
      <c r="A455" s="1">
        <v>4.0</v>
      </c>
      <c r="B455" s="1">
        <v>16.0</v>
      </c>
      <c r="C455" s="1">
        <v>1.0</v>
      </c>
      <c r="D455" s="1">
        <v>-1.0</v>
      </c>
      <c r="E455" s="1">
        <v>0.25</v>
      </c>
      <c r="F455" s="1">
        <v>0.0</v>
      </c>
      <c r="G455" s="2">
        <v>0.0</v>
      </c>
      <c r="H455" s="1" t="s">
        <v>347</v>
      </c>
      <c r="I455" s="1">
        <v>-4.0</v>
      </c>
      <c r="J455" s="1">
        <v>1.0</v>
      </c>
    </row>
    <row r="456">
      <c r="A456" s="1">
        <v>4.0</v>
      </c>
      <c r="B456" s="1">
        <v>16.0</v>
      </c>
      <c r="C456" s="1">
        <v>0.0</v>
      </c>
      <c r="D456" s="1">
        <v>0.0</v>
      </c>
      <c r="E456" s="1">
        <v>0.0</v>
      </c>
      <c r="F456" s="1">
        <v>0.0</v>
      </c>
      <c r="G456" s="2">
        <v>0.0</v>
      </c>
      <c r="H456" s="1" t="s">
        <v>188</v>
      </c>
      <c r="I456" s="1">
        <v>0.0</v>
      </c>
      <c r="J456" s="1">
        <v>0.0</v>
      </c>
    </row>
    <row r="457">
      <c r="A457" s="1">
        <v>1.0</v>
      </c>
      <c r="B457" s="1">
        <v>4.0</v>
      </c>
      <c r="C457" s="1">
        <v>0.0</v>
      </c>
      <c r="D457" s="1">
        <v>0.0</v>
      </c>
      <c r="E457" s="1">
        <v>0.0</v>
      </c>
      <c r="F457" s="1">
        <v>0.0</v>
      </c>
      <c r="G457" s="2">
        <v>0.0</v>
      </c>
      <c r="H457" s="1" t="s">
        <v>188</v>
      </c>
      <c r="I457" s="1">
        <v>0.0</v>
      </c>
      <c r="J457" s="1">
        <v>0.0</v>
      </c>
    </row>
    <row r="458">
      <c r="A458" s="1">
        <v>3.0</v>
      </c>
      <c r="B458" s="1">
        <v>11.0</v>
      </c>
      <c r="C458" s="1">
        <v>0.0</v>
      </c>
      <c r="D458" s="1">
        <v>0.0</v>
      </c>
      <c r="E458" s="1">
        <v>0.0</v>
      </c>
      <c r="F458" s="1">
        <v>0.0</v>
      </c>
      <c r="G458" s="2">
        <v>0.0</v>
      </c>
      <c r="H458" s="1" t="s">
        <v>119</v>
      </c>
      <c r="I458" s="1">
        <v>0.0</v>
      </c>
      <c r="J458" s="1">
        <v>0.0</v>
      </c>
    </row>
    <row r="459">
      <c r="A459" s="1">
        <v>3.0</v>
      </c>
      <c r="B459" s="1">
        <v>11.0</v>
      </c>
      <c r="C459" s="1">
        <v>1.0</v>
      </c>
      <c r="D459" s="1">
        <v>0.0</v>
      </c>
      <c r="E459" s="1">
        <v>0.0</v>
      </c>
      <c r="F459" s="1">
        <v>0.0</v>
      </c>
      <c r="G459" s="2">
        <v>0.0</v>
      </c>
      <c r="H459" s="1" t="s">
        <v>218</v>
      </c>
      <c r="I459" s="1">
        <v>0.0</v>
      </c>
      <c r="J459" s="1">
        <v>0.0</v>
      </c>
    </row>
    <row r="460">
      <c r="A460" s="1">
        <v>2.0</v>
      </c>
      <c r="B460" s="1">
        <v>7.0</v>
      </c>
      <c r="C460" s="1">
        <v>3.0</v>
      </c>
      <c r="D460" s="1">
        <v>0.0</v>
      </c>
      <c r="E460" s="1">
        <v>0.0</v>
      </c>
      <c r="F460" s="1">
        <v>0.0</v>
      </c>
      <c r="G460" s="2">
        <v>0.0</v>
      </c>
      <c r="H460" s="1" t="s">
        <v>348</v>
      </c>
      <c r="I460" s="1">
        <v>0.0</v>
      </c>
      <c r="J460" s="1">
        <v>0.0</v>
      </c>
    </row>
    <row r="461">
      <c r="A461" s="1">
        <v>3.0</v>
      </c>
      <c r="B461" s="1">
        <v>12.0</v>
      </c>
      <c r="C461" s="1">
        <v>0.0</v>
      </c>
      <c r="D461" s="1">
        <v>0.0</v>
      </c>
      <c r="E461" s="1">
        <v>0.0</v>
      </c>
      <c r="F461" s="1">
        <v>0.0</v>
      </c>
      <c r="G461" s="2">
        <v>0.0</v>
      </c>
      <c r="H461" s="1" t="s">
        <v>349</v>
      </c>
      <c r="I461" s="1">
        <v>0.0</v>
      </c>
      <c r="J461" s="1">
        <v>0.0</v>
      </c>
    </row>
    <row r="462">
      <c r="A462" s="1">
        <v>4.0</v>
      </c>
      <c r="B462" s="1">
        <v>15.0</v>
      </c>
      <c r="C462" s="1">
        <v>0.0</v>
      </c>
      <c r="D462" s="1">
        <v>0.0</v>
      </c>
      <c r="E462" s="1">
        <v>0.0</v>
      </c>
      <c r="F462" s="1">
        <v>0.0</v>
      </c>
      <c r="G462" s="2">
        <v>0.0</v>
      </c>
      <c r="H462" s="1" t="s">
        <v>193</v>
      </c>
      <c r="I462" s="1">
        <v>0.0</v>
      </c>
      <c r="J462" s="1">
        <v>0.0</v>
      </c>
    </row>
    <row r="463">
      <c r="A463" s="1">
        <v>1.0</v>
      </c>
      <c r="B463" s="1">
        <v>4.0</v>
      </c>
      <c r="C463" s="1">
        <v>0.0</v>
      </c>
      <c r="D463" s="1">
        <v>0.0</v>
      </c>
      <c r="E463" s="1">
        <v>0.0</v>
      </c>
      <c r="F463" s="1">
        <v>0.0</v>
      </c>
      <c r="G463" s="2">
        <v>0.0</v>
      </c>
      <c r="H463" s="1" t="s">
        <v>0</v>
      </c>
      <c r="I463" s="1">
        <v>0.0</v>
      </c>
      <c r="J463" s="1">
        <v>0.0</v>
      </c>
    </row>
    <row r="464">
      <c r="A464" s="1">
        <v>4.0</v>
      </c>
      <c r="B464" s="1">
        <v>16.0</v>
      </c>
      <c r="C464" s="1">
        <v>0.0</v>
      </c>
      <c r="D464" s="1">
        <v>0.0</v>
      </c>
      <c r="E464" s="1">
        <v>0.0</v>
      </c>
      <c r="F464" s="1">
        <v>0.0</v>
      </c>
      <c r="G464" s="2">
        <v>0.0</v>
      </c>
      <c r="H464" s="1" t="s">
        <v>2</v>
      </c>
      <c r="I464" s="1">
        <v>0.0</v>
      </c>
      <c r="J464" s="1">
        <v>0.0</v>
      </c>
    </row>
    <row r="465">
      <c r="A465" s="1">
        <v>1.0</v>
      </c>
      <c r="B465" s="1">
        <v>4.0</v>
      </c>
      <c r="C465" s="1">
        <v>0.0</v>
      </c>
      <c r="D465" s="1">
        <v>0.0</v>
      </c>
      <c r="E465" s="1">
        <v>0.0</v>
      </c>
      <c r="F465" s="1">
        <v>0.0</v>
      </c>
      <c r="G465" s="2">
        <v>0.0</v>
      </c>
      <c r="H465" s="1" t="s">
        <v>2</v>
      </c>
      <c r="I465" s="1">
        <v>0.0</v>
      </c>
      <c r="J465" s="1">
        <v>0.0</v>
      </c>
    </row>
    <row r="466">
      <c r="A466" s="1">
        <v>4.0</v>
      </c>
      <c r="B466" s="1">
        <v>16.0</v>
      </c>
      <c r="C466" s="1">
        <v>4.0</v>
      </c>
      <c r="D466" s="1">
        <v>1.0</v>
      </c>
      <c r="E466" s="1">
        <v>0.25</v>
      </c>
      <c r="F466" s="1">
        <v>0.0</v>
      </c>
      <c r="G466" s="2">
        <v>0.5</v>
      </c>
      <c r="H466" s="1" t="s">
        <v>5</v>
      </c>
      <c r="I466" s="1">
        <v>4.0</v>
      </c>
      <c r="J466" s="1">
        <v>1.0</v>
      </c>
    </row>
    <row r="467">
      <c r="A467" s="1">
        <v>1.0</v>
      </c>
      <c r="B467" s="1">
        <v>4.0</v>
      </c>
      <c r="C467" s="1">
        <v>1.0</v>
      </c>
      <c r="D467" s="1">
        <v>4.0</v>
      </c>
      <c r="E467" s="1">
        <v>0.0</v>
      </c>
      <c r="F467" s="1">
        <v>0.0</v>
      </c>
      <c r="G467" s="2">
        <v>1.0</v>
      </c>
      <c r="H467" s="1" t="s">
        <v>5</v>
      </c>
      <c r="I467" s="1">
        <v>4.0</v>
      </c>
      <c r="J467" s="1">
        <v>0.0</v>
      </c>
    </row>
    <row r="468">
      <c r="A468" s="1">
        <v>4.0</v>
      </c>
      <c r="B468" s="1">
        <v>16.0</v>
      </c>
      <c r="C468" s="1">
        <v>4.0</v>
      </c>
      <c r="D468" s="1">
        <v>1.0</v>
      </c>
      <c r="E468" s="1">
        <v>0.25</v>
      </c>
      <c r="F468" s="1">
        <v>0.0</v>
      </c>
      <c r="G468" s="2">
        <v>0.5</v>
      </c>
      <c r="H468" s="1" t="s">
        <v>8</v>
      </c>
      <c r="I468" s="1">
        <v>4.0</v>
      </c>
      <c r="J468" s="1">
        <v>1.0</v>
      </c>
    </row>
    <row r="469">
      <c r="A469" s="1">
        <v>1.0</v>
      </c>
      <c r="B469" s="1">
        <v>4.0</v>
      </c>
      <c r="C469" s="1">
        <v>3.0</v>
      </c>
      <c r="D469" s="1">
        <v>12.0</v>
      </c>
      <c r="E469" s="1">
        <v>0.0</v>
      </c>
      <c r="F469" s="1">
        <v>0.0</v>
      </c>
      <c r="G469" s="2">
        <v>1.0</v>
      </c>
      <c r="H469" s="1" t="s">
        <v>8</v>
      </c>
      <c r="I469" s="1">
        <v>12.0</v>
      </c>
      <c r="J469" s="1">
        <v>0.0</v>
      </c>
    </row>
    <row r="470">
      <c r="A470" s="1">
        <v>4.0</v>
      </c>
      <c r="B470" s="1">
        <v>16.0</v>
      </c>
      <c r="C470" s="1">
        <v>5.0</v>
      </c>
      <c r="D470" s="1">
        <v>1.0</v>
      </c>
      <c r="E470" s="1">
        <v>0.5</v>
      </c>
      <c r="F470" s="1">
        <v>0.0</v>
      </c>
      <c r="G470" s="2">
        <v>0.6</v>
      </c>
      <c r="H470" s="1" t="s">
        <v>11</v>
      </c>
      <c r="I470" s="1">
        <v>4.0</v>
      </c>
      <c r="J470" s="1">
        <v>2.0</v>
      </c>
    </row>
    <row r="471">
      <c r="A471" s="1">
        <v>3.0</v>
      </c>
      <c r="B471" s="1">
        <v>12.0</v>
      </c>
      <c r="C471" s="1">
        <v>3.0</v>
      </c>
      <c r="D471" s="1">
        <v>1.33</v>
      </c>
      <c r="E471" s="1">
        <v>0.0</v>
      </c>
      <c r="F471" s="1">
        <v>0.0</v>
      </c>
      <c r="G471" s="6">
        <v>0.333</v>
      </c>
      <c r="H471" s="1" t="s">
        <v>12</v>
      </c>
      <c r="I471" s="1">
        <v>4.0</v>
      </c>
      <c r="J471" s="1">
        <v>0.0</v>
      </c>
    </row>
    <row r="472">
      <c r="A472" s="1">
        <v>1.0</v>
      </c>
      <c r="B472" s="1">
        <v>4.0</v>
      </c>
      <c r="C472" s="1">
        <v>0.0</v>
      </c>
      <c r="D472" s="1">
        <v>0.0</v>
      </c>
      <c r="E472" s="1">
        <v>0.0</v>
      </c>
      <c r="F472" s="1">
        <v>0.0</v>
      </c>
      <c r="G472" s="2">
        <v>0.0</v>
      </c>
      <c r="H472" s="1" t="s">
        <v>13</v>
      </c>
      <c r="I472" s="1">
        <v>0.0</v>
      </c>
      <c r="J472" s="1">
        <v>0.0</v>
      </c>
    </row>
    <row r="473">
      <c r="A473" s="1">
        <v>4.0</v>
      </c>
      <c r="B473" s="1">
        <v>16.0</v>
      </c>
      <c r="C473" s="1">
        <v>3.0</v>
      </c>
      <c r="D473" s="1">
        <v>1.0</v>
      </c>
      <c r="E473" s="1">
        <v>0.0</v>
      </c>
      <c r="F473" s="1">
        <v>0.0</v>
      </c>
      <c r="G473" s="6">
        <v>0.333</v>
      </c>
      <c r="H473" s="1" t="s">
        <v>13</v>
      </c>
      <c r="I473" s="1">
        <v>4.0</v>
      </c>
      <c r="J473" s="1">
        <v>0.0</v>
      </c>
    </row>
    <row r="474">
      <c r="A474" s="1">
        <v>1.0</v>
      </c>
      <c r="B474" s="1">
        <v>4.0</v>
      </c>
      <c r="C474" s="1">
        <v>0.0</v>
      </c>
      <c r="D474" s="1">
        <v>0.0</v>
      </c>
      <c r="E474" s="1">
        <v>0.0</v>
      </c>
      <c r="F474" s="1">
        <v>0.0</v>
      </c>
      <c r="G474" s="2">
        <v>0.0</v>
      </c>
      <c r="H474" s="1" t="s">
        <v>15</v>
      </c>
      <c r="I474" s="1">
        <v>0.0</v>
      </c>
      <c r="J474" s="1">
        <v>0.0</v>
      </c>
    </row>
    <row r="475">
      <c r="A475" s="1">
        <v>4.0</v>
      </c>
      <c r="B475" s="1">
        <v>16.0</v>
      </c>
      <c r="C475" s="1">
        <v>0.0</v>
      </c>
      <c r="D475" s="1">
        <v>0.0</v>
      </c>
      <c r="E475" s="1">
        <v>0.0</v>
      </c>
      <c r="F475" s="1">
        <v>0.0</v>
      </c>
      <c r="G475" s="2">
        <v>0.0</v>
      </c>
      <c r="H475" s="1" t="s">
        <v>15</v>
      </c>
      <c r="I475" s="1">
        <v>0.0</v>
      </c>
      <c r="J475" s="1">
        <v>0.0</v>
      </c>
    </row>
    <row r="476">
      <c r="A476" s="1">
        <v>1.0</v>
      </c>
      <c r="B476" s="1">
        <v>4.0</v>
      </c>
      <c r="C476" s="1">
        <v>0.0</v>
      </c>
      <c r="D476" s="1">
        <v>0.0</v>
      </c>
      <c r="E476" s="1">
        <v>0.0</v>
      </c>
      <c r="F476" s="1">
        <v>0.0</v>
      </c>
      <c r="G476" s="2">
        <v>0.0</v>
      </c>
      <c r="H476" s="1" t="s">
        <v>17</v>
      </c>
      <c r="I476" s="1">
        <v>0.0</v>
      </c>
      <c r="J476" s="1">
        <v>0.0</v>
      </c>
    </row>
    <row r="477">
      <c r="A477" s="1">
        <v>4.0</v>
      </c>
      <c r="B477" s="1">
        <v>16.0</v>
      </c>
      <c r="C477" s="1">
        <v>5.0</v>
      </c>
      <c r="D477" s="1">
        <v>-1.0</v>
      </c>
      <c r="E477" s="1">
        <v>0.5</v>
      </c>
      <c r="F477" s="1">
        <v>0.0</v>
      </c>
      <c r="G477" s="2">
        <v>0.2</v>
      </c>
      <c r="H477" s="1" t="s">
        <v>17</v>
      </c>
      <c r="I477" s="1">
        <v>-4.0</v>
      </c>
      <c r="J477" s="1">
        <v>2.0</v>
      </c>
    </row>
    <row r="478">
      <c r="A478" s="1">
        <v>1.0</v>
      </c>
      <c r="B478" s="1">
        <v>4.0</v>
      </c>
      <c r="C478" s="1">
        <v>1.0</v>
      </c>
      <c r="D478" s="1">
        <v>0.0</v>
      </c>
      <c r="E478" s="1">
        <v>0.0</v>
      </c>
      <c r="F478" s="1">
        <v>0.0</v>
      </c>
      <c r="G478" s="2">
        <v>0.0</v>
      </c>
      <c r="H478" s="1" t="s">
        <v>20</v>
      </c>
      <c r="I478" s="1">
        <v>0.0</v>
      </c>
      <c r="J478" s="1">
        <v>0.0</v>
      </c>
    </row>
    <row r="479">
      <c r="A479" s="1">
        <v>1.0</v>
      </c>
      <c r="B479" s="1">
        <v>4.0</v>
      </c>
      <c r="C479" s="1">
        <v>2.0</v>
      </c>
      <c r="D479" s="1">
        <v>-4.0</v>
      </c>
      <c r="E479" s="1">
        <v>1.0</v>
      </c>
      <c r="F479" s="1">
        <v>0.0</v>
      </c>
      <c r="G479" s="2">
        <v>0.0</v>
      </c>
      <c r="H479" s="1" t="s">
        <v>20</v>
      </c>
      <c r="I479" s="1">
        <v>-4.0</v>
      </c>
      <c r="J479" s="1">
        <v>1.0</v>
      </c>
    </row>
    <row r="480">
      <c r="A480" s="1">
        <v>1.0</v>
      </c>
      <c r="B480" s="1">
        <v>4.0</v>
      </c>
      <c r="C480" s="1">
        <v>0.0</v>
      </c>
      <c r="D480" s="1">
        <v>0.0</v>
      </c>
      <c r="E480" s="1">
        <v>0.0</v>
      </c>
      <c r="F480" s="1">
        <v>0.0</v>
      </c>
      <c r="G480" s="2">
        <v>0.0</v>
      </c>
      <c r="H480" s="1" t="s">
        <v>24</v>
      </c>
      <c r="I480" s="1">
        <v>0.0</v>
      </c>
      <c r="J480" s="1">
        <v>0.0</v>
      </c>
    </row>
    <row r="481">
      <c r="A481" s="1">
        <v>1.0</v>
      </c>
      <c r="B481" s="1">
        <v>4.0</v>
      </c>
      <c r="C481" s="1">
        <v>0.0</v>
      </c>
      <c r="D481" s="1">
        <v>0.0</v>
      </c>
      <c r="E481" s="1">
        <v>0.0</v>
      </c>
      <c r="F481" s="1">
        <v>0.0</v>
      </c>
      <c r="G481" s="2">
        <v>0.0</v>
      </c>
      <c r="H481" s="1" t="s">
        <v>24</v>
      </c>
      <c r="I481" s="1">
        <v>0.0</v>
      </c>
      <c r="J481" s="1">
        <v>0.0</v>
      </c>
    </row>
    <row r="482">
      <c r="A482" s="1">
        <v>3.0</v>
      </c>
      <c r="B482" s="1">
        <v>12.0</v>
      </c>
      <c r="C482" s="1">
        <v>4.0</v>
      </c>
      <c r="D482" s="1">
        <v>2.67</v>
      </c>
      <c r="E482" s="1">
        <v>0.0</v>
      </c>
      <c r="F482" s="1">
        <v>0.0</v>
      </c>
      <c r="G482" s="2">
        <v>0.5</v>
      </c>
      <c r="H482" s="1" t="s">
        <v>29</v>
      </c>
      <c r="I482" s="1">
        <v>8.0</v>
      </c>
      <c r="J482" s="1">
        <v>0.0</v>
      </c>
    </row>
    <row r="483">
      <c r="A483" s="1">
        <v>1.0</v>
      </c>
      <c r="B483" s="1">
        <v>4.0</v>
      </c>
      <c r="C483" s="1">
        <v>3.0</v>
      </c>
      <c r="D483" s="1">
        <v>-4.0</v>
      </c>
      <c r="E483" s="1">
        <v>2.0</v>
      </c>
      <c r="F483" s="1">
        <v>0.0</v>
      </c>
      <c r="G483" s="6">
        <v>0.333</v>
      </c>
      <c r="H483" s="1" t="s">
        <v>29</v>
      </c>
      <c r="I483" s="1">
        <v>-4.0</v>
      </c>
      <c r="J483" s="1">
        <v>2.0</v>
      </c>
    </row>
    <row r="484">
      <c r="A484" s="1">
        <v>1.0</v>
      </c>
      <c r="B484" s="1">
        <v>4.0</v>
      </c>
      <c r="C484" s="1">
        <v>4.0</v>
      </c>
      <c r="D484" s="1">
        <v>4.0</v>
      </c>
      <c r="E484" s="1">
        <v>0.0</v>
      </c>
      <c r="F484" s="1">
        <v>0.0</v>
      </c>
      <c r="G484" s="2">
        <v>0.25</v>
      </c>
      <c r="H484" s="1" t="s">
        <v>29</v>
      </c>
      <c r="I484" s="1">
        <v>4.0</v>
      </c>
      <c r="J484" s="1">
        <v>0.0</v>
      </c>
    </row>
    <row r="485">
      <c r="A485" s="1">
        <v>2.0</v>
      </c>
      <c r="B485" s="1">
        <v>8.0</v>
      </c>
      <c r="C485" s="1">
        <v>0.0</v>
      </c>
      <c r="D485" s="1">
        <v>0.0</v>
      </c>
      <c r="E485" s="1">
        <v>0.0</v>
      </c>
      <c r="F485" s="1">
        <v>0.0</v>
      </c>
      <c r="G485" s="2">
        <v>0.0</v>
      </c>
      <c r="H485" s="1" t="s">
        <v>38</v>
      </c>
      <c r="I485" s="1">
        <v>0.0</v>
      </c>
      <c r="J485" s="1">
        <v>0.0</v>
      </c>
    </row>
    <row r="486">
      <c r="A486" s="1">
        <v>1.0</v>
      </c>
      <c r="B486" s="1">
        <v>4.0</v>
      </c>
      <c r="C486" s="1">
        <v>0.0</v>
      </c>
      <c r="D486" s="1">
        <v>0.0</v>
      </c>
      <c r="E486" s="1">
        <v>0.0</v>
      </c>
      <c r="F486" s="1">
        <v>0.0</v>
      </c>
      <c r="G486" s="2">
        <v>0.0</v>
      </c>
      <c r="H486" s="1" t="s">
        <v>38</v>
      </c>
      <c r="I486" s="1">
        <v>0.0</v>
      </c>
      <c r="J486" s="1">
        <v>0.0</v>
      </c>
    </row>
    <row r="487">
      <c r="A487" s="1">
        <v>3.0</v>
      </c>
      <c r="B487" s="1">
        <v>12.0</v>
      </c>
      <c r="C487" s="1">
        <v>1.0</v>
      </c>
      <c r="D487" s="1">
        <v>1.33</v>
      </c>
      <c r="E487" s="1">
        <v>0.0</v>
      </c>
      <c r="F487" s="1">
        <v>0.0</v>
      </c>
      <c r="G487" s="2">
        <v>1.0</v>
      </c>
      <c r="H487" s="1" t="s">
        <v>40</v>
      </c>
      <c r="I487" s="1">
        <v>4.0</v>
      </c>
      <c r="J487" s="1">
        <v>0.0</v>
      </c>
    </row>
    <row r="488">
      <c r="A488" s="1">
        <v>1.0</v>
      </c>
      <c r="B488" s="1">
        <v>4.0</v>
      </c>
      <c r="C488" s="1">
        <v>1.0</v>
      </c>
      <c r="D488" s="1">
        <v>0.0</v>
      </c>
      <c r="E488" s="1">
        <v>0.0</v>
      </c>
      <c r="F488" s="1">
        <v>0.0</v>
      </c>
      <c r="G488" s="2">
        <v>0.0</v>
      </c>
      <c r="H488" s="1" t="s">
        <v>40</v>
      </c>
      <c r="I488" s="1">
        <v>0.0</v>
      </c>
      <c r="J488" s="1">
        <v>0.0</v>
      </c>
    </row>
    <row r="489">
      <c r="A489" s="1">
        <v>1.0</v>
      </c>
      <c r="B489" s="1">
        <v>4.0</v>
      </c>
      <c r="C489" s="1">
        <v>0.0</v>
      </c>
      <c r="D489" s="1">
        <v>0.0</v>
      </c>
      <c r="E489" s="1">
        <v>0.0</v>
      </c>
      <c r="F489" s="1">
        <v>0.0</v>
      </c>
      <c r="G489" s="2">
        <v>0.0</v>
      </c>
      <c r="H489" s="1" t="s">
        <v>40</v>
      </c>
      <c r="I489" s="1">
        <v>0.0</v>
      </c>
      <c r="J489" s="1">
        <v>0.0</v>
      </c>
    </row>
    <row r="490">
      <c r="A490" s="1">
        <v>3.0</v>
      </c>
      <c r="B490" s="1">
        <v>12.0</v>
      </c>
      <c r="C490" s="1">
        <v>2.0</v>
      </c>
      <c r="D490" s="1">
        <v>2.67</v>
      </c>
      <c r="E490" s="1">
        <v>0.0</v>
      </c>
      <c r="F490" s="1">
        <v>0.0</v>
      </c>
      <c r="G490" s="2">
        <v>1.0</v>
      </c>
      <c r="H490" s="1" t="s">
        <v>46</v>
      </c>
      <c r="I490" s="1">
        <v>8.0</v>
      </c>
      <c r="J490" s="1">
        <v>0.0</v>
      </c>
    </row>
    <row r="491">
      <c r="A491" s="1">
        <v>1.0</v>
      </c>
      <c r="B491" s="1">
        <v>4.0</v>
      </c>
      <c r="C491" s="1">
        <v>0.0</v>
      </c>
      <c r="D491" s="1">
        <v>0.0</v>
      </c>
      <c r="E491" s="1">
        <v>0.0</v>
      </c>
      <c r="F491" s="1">
        <v>0.0</v>
      </c>
      <c r="G491" s="2">
        <v>0.0</v>
      </c>
      <c r="H491" s="1" t="s">
        <v>46</v>
      </c>
      <c r="I491" s="1">
        <v>0.0</v>
      </c>
      <c r="J491" s="1">
        <v>0.0</v>
      </c>
    </row>
    <row r="492">
      <c r="A492" s="1">
        <v>1.0</v>
      </c>
      <c r="B492" s="1">
        <v>4.0</v>
      </c>
      <c r="C492" s="1">
        <v>0.0</v>
      </c>
      <c r="D492" s="1">
        <v>0.0</v>
      </c>
      <c r="E492" s="1">
        <v>0.0</v>
      </c>
      <c r="F492" s="1">
        <v>0.0</v>
      </c>
      <c r="G492" s="2">
        <v>0.0</v>
      </c>
      <c r="H492" s="1" t="s">
        <v>46</v>
      </c>
      <c r="I492" s="1">
        <v>0.0</v>
      </c>
      <c r="J492" s="1">
        <v>0.0</v>
      </c>
    </row>
    <row r="493">
      <c r="A493" s="1">
        <v>4.0</v>
      </c>
      <c r="B493" s="1">
        <v>16.0</v>
      </c>
      <c r="C493" s="1">
        <v>7.0</v>
      </c>
      <c r="D493" s="1">
        <v>4.0</v>
      </c>
      <c r="E493" s="1">
        <v>0.25</v>
      </c>
      <c r="F493" s="1">
        <v>0.0</v>
      </c>
      <c r="G493" s="6">
        <v>0.714</v>
      </c>
      <c r="H493" s="1" t="s">
        <v>51</v>
      </c>
      <c r="I493" s="1">
        <v>16.0</v>
      </c>
      <c r="J493" s="1">
        <v>1.0</v>
      </c>
    </row>
    <row r="494">
      <c r="A494" s="1">
        <v>5.0</v>
      </c>
      <c r="B494" s="1">
        <v>19.0</v>
      </c>
      <c r="C494" s="1">
        <v>1.0</v>
      </c>
      <c r="D494" s="1">
        <v>0.0</v>
      </c>
      <c r="E494" s="1">
        <v>0.0</v>
      </c>
      <c r="F494" s="1">
        <v>0.0</v>
      </c>
      <c r="G494" s="2">
        <v>0.0</v>
      </c>
      <c r="H494" s="1" t="s">
        <v>54</v>
      </c>
      <c r="I494" s="1">
        <v>0.0</v>
      </c>
      <c r="J494" s="1">
        <v>0.0</v>
      </c>
    </row>
    <row r="495">
      <c r="A495" s="1">
        <v>1.0</v>
      </c>
      <c r="B495" s="1">
        <v>3.0</v>
      </c>
      <c r="C495" s="1">
        <v>1.0</v>
      </c>
      <c r="D495" s="1">
        <v>4.0</v>
      </c>
      <c r="E495" s="1">
        <v>0.0</v>
      </c>
      <c r="F495" s="1">
        <v>0.0</v>
      </c>
      <c r="G495" s="2">
        <v>1.0</v>
      </c>
      <c r="H495" s="1" t="s">
        <v>55</v>
      </c>
      <c r="I495" s="1">
        <v>4.0</v>
      </c>
      <c r="J495" s="1">
        <v>0.0</v>
      </c>
    </row>
    <row r="496">
      <c r="A496" s="1">
        <v>1.0</v>
      </c>
      <c r="B496" s="1">
        <v>4.0</v>
      </c>
      <c r="C496" s="1">
        <v>0.0</v>
      </c>
      <c r="D496" s="1">
        <v>0.0</v>
      </c>
      <c r="E496" s="1">
        <v>0.0</v>
      </c>
      <c r="F496" s="1">
        <v>0.0</v>
      </c>
      <c r="G496" s="2">
        <v>0.0</v>
      </c>
      <c r="H496" s="1" t="s">
        <v>55</v>
      </c>
      <c r="I496" s="1">
        <v>0.0</v>
      </c>
      <c r="J496" s="1">
        <v>0.0</v>
      </c>
    </row>
    <row r="497">
      <c r="A497" s="1">
        <v>5.0</v>
      </c>
      <c r="B497" s="1">
        <v>19.0</v>
      </c>
      <c r="C497" s="1">
        <v>0.0</v>
      </c>
      <c r="D497" s="1">
        <v>0.0</v>
      </c>
      <c r="E497" s="1">
        <v>0.0</v>
      </c>
      <c r="F497" s="1">
        <v>0.0</v>
      </c>
      <c r="G497" s="2">
        <v>0.0</v>
      </c>
      <c r="H497" s="1" t="s">
        <v>59</v>
      </c>
      <c r="I497" s="1">
        <v>0.0</v>
      </c>
      <c r="J497" s="1">
        <v>0.0</v>
      </c>
    </row>
    <row r="498">
      <c r="A498" s="1">
        <v>1.0</v>
      </c>
      <c r="B498" s="1">
        <v>3.0</v>
      </c>
      <c r="C498" s="1">
        <v>2.0</v>
      </c>
      <c r="D498" s="1">
        <v>0.0</v>
      </c>
      <c r="E498" s="1">
        <v>0.0</v>
      </c>
      <c r="F498" s="1">
        <v>0.0</v>
      </c>
      <c r="G498" s="2">
        <v>0.0</v>
      </c>
      <c r="H498" s="1" t="s">
        <v>61</v>
      </c>
      <c r="I498" s="1">
        <v>0.0</v>
      </c>
      <c r="J498" s="1">
        <v>0.0</v>
      </c>
    </row>
    <row r="499">
      <c r="A499" s="1">
        <v>4.0</v>
      </c>
      <c r="B499" s="1">
        <v>16.0</v>
      </c>
      <c r="C499" s="1">
        <v>5.0</v>
      </c>
      <c r="D499" s="1">
        <v>2.0</v>
      </c>
      <c r="E499" s="1">
        <v>0.0</v>
      </c>
      <c r="F499" s="1">
        <v>0.0</v>
      </c>
      <c r="G499" s="2">
        <v>0.4</v>
      </c>
      <c r="H499" s="1" t="s">
        <v>61</v>
      </c>
      <c r="I499" s="1">
        <v>8.0</v>
      </c>
      <c r="J499" s="1">
        <v>0.0</v>
      </c>
    </row>
    <row r="500">
      <c r="A500" s="1">
        <v>2.0</v>
      </c>
      <c r="B500" s="1">
        <v>6.0</v>
      </c>
      <c r="C500" s="1">
        <v>0.0</v>
      </c>
      <c r="D500" s="1">
        <v>0.0</v>
      </c>
      <c r="E500" s="1">
        <v>0.0</v>
      </c>
      <c r="F500" s="1">
        <v>0.0</v>
      </c>
      <c r="G500" s="2">
        <v>0.0</v>
      </c>
      <c r="H500" s="1" t="s">
        <v>65</v>
      </c>
      <c r="I500" s="1">
        <v>0.0</v>
      </c>
      <c r="J500" s="1">
        <v>0.0</v>
      </c>
    </row>
    <row r="501">
      <c r="A501" s="1">
        <v>5.0</v>
      </c>
      <c r="B501" s="1">
        <v>18.0</v>
      </c>
      <c r="C501" s="1">
        <v>1.0</v>
      </c>
      <c r="D501" s="1">
        <v>0.0</v>
      </c>
      <c r="E501" s="1">
        <v>0.0</v>
      </c>
      <c r="F501" s="1">
        <v>0.0</v>
      </c>
      <c r="G501" s="2">
        <v>0.0</v>
      </c>
      <c r="H501" s="1" t="s">
        <v>68</v>
      </c>
      <c r="I501" s="1">
        <v>0.0</v>
      </c>
      <c r="J501" s="1">
        <v>0.0</v>
      </c>
    </row>
    <row r="502">
      <c r="A502" s="1">
        <v>5.0</v>
      </c>
      <c r="B502" s="1">
        <v>18.0</v>
      </c>
      <c r="C502" s="1">
        <v>4.0</v>
      </c>
      <c r="D502" s="1">
        <v>0.0</v>
      </c>
      <c r="E502" s="1">
        <v>0.0</v>
      </c>
      <c r="F502" s="1">
        <v>0.0</v>
      </c>
      <c r="G502" s="2">
        <v>0.0</v>
      </c>
      <c r="H502" s="1" t="s">
        <v>71</v>
      </c>
      <c r="I502" s="1">
        <v>0.0</v>
      </c>
      <c r="J502" s="1">
        <v>0.0</v>
      </c>
    </row>
    <row r="503">
      <c r="A503" s="1">
        <v>1.0</v>
      </c>
      <c r="B503" s="1">
        <v>4.0</v>
      </c>
      <c r="C503" s="1">
        <v>3.0</v>
      </c>
      <c r="D503" s="1">
        <v>0.0</v>
      </c>
      <c r="E503" s="1">
        <v>1.0</v>
      </c>
      <c r="F503" s="1">
        <v>0.0</v>
      </c>
      <c r="G503" s="6">
        <v>0.333</v>
      </c>
      <c r="H503" s="1" t="s">
        <v>73</v>
      </c>
      <c r="I503" s="1">
        <v>0.0</v>
      </c>
      <c r="J503" s="1">
        <v>1.0</v>
      </c>
    </row>
    <row r="504">
      <c r="A504" s="1">
        <v>2.0</v>
      </c>
      <c r="B504" s="1">
        <v>8.0</v>
      </c>
      <c r="C504" s="1">
        <v>2.0</v>
      </c>
      <c r="D504" s="1">
        <v>0.0</v>
      </c>
      <c r="E504" s="1">
        <v>0.0</v>
      </c>
      <c r="F504" s="1">
        <v>0.0</v>
      </c>
      <c r="G504" s="2">
        <v>0.0</v>
      </c>
      <c r="H504" s="1" t="s">
        <v>73</v>
      </c>
      <c r="I504" s="1">
        <v>0.0</v>
      </c>
      <c r="J504" s="1">
        <v>0.0</v>
      </c>
    </row>
    <row r="505">
      <c r="A505" s="1">
        <v>1.0</v>
      </c>
      <c r="B505" s="1">
        <v>4.0</v>
      </c>
      <c r="C505" s="1">
        <v>0.0</v>
      </c>
      <c r="D505" s="1">
        <v>0.0</v>
      </c>
      <c r="E505" s="1">
        <v>0.0</v>
      </c>
      <c r="F505" s="1">
        <v>0.0</v>
      </c>
      <c r="G505" s="2">
        <v>0.0</v>
      </c>
      <c r="H505" s="1" t="s">
        <v>75</v>
      </c>
      <c r="I505" s="1">
        <v>0.0</v>
      </c>
      <c r="J505" s="1">
        <v>0.0</v>
      </c>
    </row>
    <row r="506">
      <c r="A506" s="1">
        <v>4.0</v>
      </c>
      <c r="B506" s="1">
        <v>14.0</v>
      </c>
      <c r="C506" s="1">
        <v>12.0</v>
      </c>
      <c r="D506" s="1">
        <v>7.0</v>
      </c>
      <c r="E506" s="1">
        <v>0.25</v>
      </c>
      <c r="F506" s="1">
        <v>0.0</v>
      </c>
      <c r="G506" s="6">
        <v>0.667</v>
      </c>
      <c r="H506" s="1" t="s">
        <v>75</v>
      </c>
      <c r="I506" s="1">
        <v>28.0</v>
      </c>
      <c r="J506" s="1">
        <v>1.0</v>
      </c>
    </row>
    <row r="507">
      <c r="A507" s="1">
        <v>1.0</v>
      </c>
      <c r="B507" s="1">
        <v>4.0</v>
      </c>
      <c r="C507" s="1">
        <v>0.0</v>
      </c>
      <c r="D507" s="1">
        <v>0.0</v>
      </c>
      <c r="E507" s="1">
        <v>0.0</v>
      </c>
      <c r="F507" s="1">
        <v>0.0</v>
      </c>
      <c r="G507" s="2">
        <v>0.0</v>
      </c>
      <c r="H507" s="1" t="s">
        <v>79</v>
      </c>
      <c r="I507" s="1">
        <v>0.0</v>
      </c>
      <c r="J507" s="1">
        <v>0.0</v>
      </c>
    </row>
    <row r="508">
      <c r="A508" s="1">
        <v>2.0</v>
      </c>
      <c r="B508" s="1">
        <v>7.0</v>
      </c>
      <c r="C508" s="1">
        <v>0.0</v>
      </c>
      <c r="D508" s="1">
        <v>0.0</v>
      </c>
      <c r="E508" s="1">
        <v>0.0</v>
      </c>
      <c r="F508" s="1">
        <v>0.0</v>
      </c>
      <c r="G508" s="2">
        <v>0.0</v>
      </c>
      <c r="H508" s="1" t="s">
        <v>79</v>
      </c>
      <c r="I508" s="1">
        <v>0.0</v>
      </c>
      <c r="J508" s="1">
        <v>0.0</v>
      </c>
    </row>
    <row r="509">
      <c r="A509" s="1">
        <v>1.0</v>
      </c>
      <c r="B509" s="1">
        <v>3.0</v>
      </c>
      <c r="C509" s="1">
        <v>0.0</v>
      </c>
      <c r="D509" s="1">
        <v>0.0</v>
      </c>
      <c r="E509" s="1">
        <v>0.0</v>
      </c>
      <c r="F509" s="1">
        <v>0.0</v>
      </c>
      <c r="G509" s="2">
        <v>0.0</v>
      </c>
      <c r="H509" s="1" t="s">
        <v>79</v>
      </c>
      <c r="I509" s="1">
        <v>0.0</v>
      </c>
      <c r="J509" s="1">
        <v>0.0</v>
      </c>
    </row>
    <row r="510">
      <c r="A510" s="1">
        <v>1.0</v>
      </c>
      <c r="B510" s="1">
        <v>4.0</v>
      </c>
      <c r="C510" s="1">
        <v>0.0</v>
      </c>
      <c r="D510" s="1">
        <v>0.0</v>
      </c>
      <c r="E510" s="1">
        <v>0.0</v>
      </c>
      <c r="F510" s="1">
        <v>0.0</v>
      </c>
      <c r="G510" s="2">
        <v>0.0</v>
      </c>
      <c r="H510" s="1" t="s">
        <v>79</v>
      </c>
      <c r="I510" s="1">
        <v>0.0</v>
      </c>
      <c r="J510" s="1">
        <v>0.0</v>
      </c>
    </row>
    <row r="511">
      <c r="A511" s="1">
        <v>1.0</v>
      </c>
      <c r="B511" s="1">
        <v>4.0</v>
      </c>
      <c r="C511" s="1">
        <v>0.0</v>
      </c>
      <c r="D511" s="1">
        <v>0.0</v>
      </c>
      <c r="E511" s="1">
        <v>0.0</v>
      </c>
      <c r="F511" s="1">
        <v>0.0</v>
      </c>
      <c r="G511" s="2">
        <v>0.0</v>
      </c>
      <c r="H511" s="1" t="s">
        <v>85</v>
      </c>
      <c r="I511" s="1">
        <v>0.0</v>
      </c>
      <c r="J511" s="1">
        <v>0.0</v>
      </c>
    </row>
    <row r="512">
      <c r="A512" s="1">
        <v>1.0</v>
      </c>
      <c r="B512" s="1">
        <v>4.0</v>
      </c>
      <c r="C512" s="1">
        <v>0.0</v>
      </c>
      <c r="D512" s="1">
        <v>0.0</v>
      </c>
      <c r="E512" s="1">
        <v>0.0</v>
      </c>
      <c r="F512" s="1">
        <v>0.0</v>
      </c>
      <c r="G512" s="2">
        <v>0.0</v>
      </c>
      <c r="H512" s="1" t="s">
        <v>88</v>
      </c>
      <c r="I512" s="1">
        <v>0.0</v>
      </c>
      <c r="J512" s="1">
        <v>0.0</v>
      </c>
    </row>
    <row r="513">
      <c r="A513" s="1">
        <v>2.0</v>
      </c>
      <c r="B513" s="1">
        <v>6.0</v>
      </c>
      <c r="C513" s="1">
        <v>0.0</v>
      </c>
      <c r="D513" s="1">
        <v>0.0</v>
      </c>
      <c r="E513" s="1">
        <v>0.0</v>
      </c>
      <c r="F513" s="1">
        <v>0.0</v>
      </c>
      <c r="G513" s="2">
        <v>0.0</v>
      </c>
      <c r="H513" s="1" t="s">
        <v>88</v>
      </c>
      <c r="I513" s="1">
        <v>0.0</v>
      </c>
      <c r="J513" s="1">
        <v>0.0</v>
      </c>
    </row>
    <row r="514">
      <c r="A514" s="1">
        <v>1.0</v>
      </c>
      <c r="B514" s="1">
        <v>4.0</v>
      </c>
      <c r="C514" s="1">
        <v>1.0</v>
      </c>
      <c r="D514" s="1">
        <v>4.0</v>
      </c>
      <c r="E514" s="1">
        <v>0.0</v>
      </c>
      <c r="F514" s="1">
        <v>0.0</v>
      </c>
      <c r="G514" s="2">
        <v>1.0</v>
      </c>
      <c r="H514" s="1" t="s">
        <v>76</v>
      </c>
      <c r="I514" s="1">
        <v>4.0</v>
      </c>
      <c r="J514" s="1">
        <v>0.0</v>
      </c>
    </row>
    <row r="515">
      <c r="A515" s="1">
        <v>4.0</v>
      </c>
      <c r="B515" s="1">
        <v>15.0</v>
      </c>
      <c r="C515" s="1">
        <v>0.0</v>
      </c>
      <c r="D515" s="1">
        <v>0.0</v>
      </c>
      <c r="E515" s="1">
        <v>0.0</v>
      </c>
      <c r="F515" s="1">
        <v>0.0</v>
      </c>
      <c r="G515" s="2">
        <v>0.0</v>
      </c>
      <c r="H515" s="1" t="s">
        <v>92</v>
      </c>
      <c r="I515" s="1">
        <v>0.0</v>
      </c>
      <c r="J515" s="1">
        <v>0.0</v>
      </c>
    </row>
    <row r="516">
      <c r="A516" s="1">
        <v>3.0</v>
      </c>
      <c r="B516" s="1">
        <v>12.0</v>
      </c>
      <c r="C516" s="1">
        <v>5.0</v>
      </c>
      <c r="D516" s="1">
        <v>4.0</v>
      </c>
      <c r="E516" s="1">
        <v>0.33</v>
      </c>
      <c r="F516" s="1">
        <v>0.0</v>
      </c>
      <c r="G516" s="2">
        <v>0.8</v>
      </c>
      <c r="H516" s="1" t="s">
        <v>94</v>
      </c>
      <c r="I516" s="1">
        <v>12.0</v>
      </c>
      <c r="J516" s="1">
        <v>1.0</v>
      </c>
    </row>
    <row r="517">
      <c r="A517" s="1">
        <v>4.0</v>
      </c>
      <c r="B517" s="1">
        <v>15.0</v>
      </c>
      <c r="C517" s="1">
        <v>6.0</v>
      </c>
      <c r="D517" s="1">
        <v>2.0</v>
      </c>
      <c r="E517" s="1">
        <v>0.5</v>
      </c>
      <c r="F517" s="1">
        <v>0.0</v>
      </c>
      <c r="G517" s="6">
        <v>0.667</v>
      </c>
      <c r="H517" s="1" t="s">
        <v>96</v>
      </c>
      <c r="I517" s="1">
        <v>8.0</v>
      </c>
      <c r="J517" s="1">
        <v>2.0</v>
      </c>
    </row>
    <row r="518">
      <c r="A518" s="1">
        <v>1.0</v>
      </c>
      <c r="B518" s="1">
        <v>4.0</v>
      </c>
      <c r="C518" s="1">
        <v>2.0</v>
      </c>
      <c r="D518" s="1">
        <v>4.0</v>
      </c>
      <c r="E518" s="1">
        <v>0.0</v>
      </c>
      <c r="F518" s="1">
        <v>0.0</v>
      </c>
      <c r="G518" s="2">
        <v>0.5</v>
      </c>
      <c r="H518" s="1" t="s">
        <v>96</v>
      </c>
      <c r="I518" s="1">
        <v>4.0</v>
      </c>
      <c r="J518" s="1">
        <v>0.0</v>
      </c>
    </row>
    <row r="519">
      <c r="A519" s="1">
        <v>5.0</v>
      </c>
      <c r="B519" s="1">
        <v>19.0</v>
      </c>
      <c r="C519" s="1">
        <v>5.0</v>
      </c>
      <c r="D519" s="1">
        <v>2.4</v>
      </c>
      <c r="E519" s="1">
        <v>0.0</v>
      </c>
      <c r="F519" s="1">
        <v>0.0</v>
      </c>
      <c r="G519" s="2">
        <v>0.6</v>
      </c>
      <c r="H519" s="1" t="s">
        <v>90</v>
      </c>
      <c r="I519" s="1">
        <v>12.0</v>
      </c>
      <c r="J519" s="1">
        <v>0.0</v>
      </c>
    </row>
    <row r="520">
      <c r="A520" s="1">
        <v>4.0</v>
      </c>
      <c r="B520" s="1">
        <v>15.0</v>
      </c>
      <c r="C520" s="1">
        <v>1.0</v>
      </c>
      <c r="D520" s="1">
        <v>0.0</v>
      </c>
      <c r="E520" s="1">
        <v>0.0</v>
      </c>
      <c r="F520" s="1">
        <v>0.0</v>
      </c>
      <c r="G520" s="2">
        <v>0.0</v>
      </c>
      <c r="H520" s="1" t="s">
        <v>100</v>
      </c>
      <c r="I520" s="1">
        <v>0.0</v>
      </c>
      <c r="J520" s="1">
        <v>0.0</v>
      </c>
    </row>
    <row r="521">
      <c r="A521" s="1">
        <v>1.0</v>
      </c>
      <c r="B521" s="1">
        <v>4.0</v>
      </c>
      <c r="C521" s="1">
        <v>1.0</v>
      </c>
      <c r="D521" s="1">
        <v>4.0</v>
      </c>
      <c r="E521" s="1">
        <v>0.0</v>
      </c>
      <c r="F521" s="1">
        <v>0.0</v>
      </c>
      <c r="G521" s="2">
        <v>1.0</v>
      </c>
      <c r="H521" s="1" t="s">
        <v>102</v>
      </c>
      <c r="I521" s="1">
        <v>4.0</v>
      </c>
      <c r="J521" s="1">
        <v>0.0</v>
      </c>
    </row>
    <row r="522">
      <c r="A522" s="1">
        <v>1.0</v>
      </c>
      <c r="B522" s="1">
        <v>4.0</v>
      </c>
      <c r="C522" s="1">
        <v>1.0</v>
      </c>
      <c r="D522" s="1">
        <v>-4.0</v>
      </c>
      <c r="E522" s="1">
        <v>1.0</v>
      </c>
      <c r="F522" s="1">
        <v>0.0</v>
      </c>
      <c r="G522" s="2">
        <v>0.0</v>
      </c>
      <c r="H522" s="1" t="s">
        <v>102</v>
      </c>
      <c r="I522" s="1">
        <v>-4.0</v>
      </c>
      <c r="J522" s="1">
        <v>1.0</v>
      </c>
    </row>
    <row r="523">
      <c r="A523" s="1">
        <v>5.0</v>
      </c>
      <c r="B523" s="1">
        <v>20.0</v>
      </c>
      <c r="C523" s="1">
        <v>10.0</v>
      </c>
      <c r="D523" s="1">
        <v>6.4</v>
      </c>
      <c r="E523" s="1">
        <v>0.2</v>
      </c>
      <c r="F523" s="1">
        <v>0.0</v>
      </c>
      <c r="G523" s="2">
        <v>0.9</v>
      </c>
      <c r="H523" s="1" t="s">
        <v>66</v>
      </c>
      <c r="I523" s="1">
        <v>32.0</v>
      </c>
      <c r="J523" s="1">
        <v>1.0</v>
      </c>
    </row>
    <row r="524">
      <c r="A524" s="1">
        <v>2.0</v>
      </c>
      <c r="B524" s="1">
        <v>8.0</v>
      </c>
      <c r="C524" s="1">
        <v>2.0</v>
      </c>
      <c r="D524" s="1">
        <v>0.0</v>
      </c>
      <c r="E524" s="1">
        <v>0.0</v>
      </c>
      <c r="F524" s="1">
        <v>0.0</v>
      </c>
      <c r="G524" s="2">
        <v>0.0</v>
      </c>
      <c r="H524" s="1" t="s">
        <v>108</v>
      </c>
      <c r="I524" s="1">
        <v>0.0</v>
      </c>
      <c r="J524" s="1">
        <v>0.0</v>
      </c>
    </row>
    <row r="525">
      <c r="A525" s="1">
        <v>2.0</v>
      </c>
      <c r="B525" s="1">
        <v>8.0</v>
      </c>
      <c r="C525" s="1">
        <v>0.0</v>
      </c>
      <c r="D525" s="1">
        <v>0.0</v>
      </c>
      <c r="E525" s="1">
        <v>0.0</v>
      </c>
      <c r="F525" s="1">
        <v>0.0</v>
      </c>
      <c r="G525" s="2">
        <v>0.0</v>
      </c>
      <c r="H525" s="1" t="s">
        <v>109</v>
      </c>
      <c r="I525" s="1">
        <v>0.0</v>
      </c>
      <c r="J525" s="1">
        <v>0.0</v>
      </c>
    </row>
    <row r="526">
      <c r="A526" s="1">
        <v>1.0</v>
      </c>
      <c r="B526" s="1">
        <v>4.0</v>
      </c>
      <c r="C526" s="1">
        <v>0.0</v>
      </c>
      <c r="D526" s="1">
        <v>0.0</v>
      </c>
      <c r="E526" s="1">
        <v>0.0</v>
      </c>
      <c r="F526" s="1">
        <v>0.0</v>
      </c>
      <c r="G526" s="2">
        <v>0.0</v>
      </c>
      <c r="H526" s="1" t="s">
        <v>110</v>
      </c>
      <c r="I526" s="1">
        <v>0.0</v>
      </c>
      <c r="J526" s="1">
        <v>0.0</v>
      </c>
    </row>
    <row r="527">
      <c r="A527" s="1">
        <v>2.0</v>
      </c>
      <c r="B527" s="1">
        <v>7.0</v>
      </c>
      <c r="C527" s="1">
        <v>2.0</v>
      </c>
      <c r="D527" s="1">
        <v>0.0</v>
      </c>
      <c r="E527" s="1">
        <v>0.0</v>
      </c>
      <c r="F527" s="1">
        <v>0.0</v>
      </c>
      <c r="G527" s="2">
        <v>0.0</v>
      </c>
      <c r="H527" s="1" t="s">
        <v>111</v>
      </c>
      <c r="I527" s="1">
        <v>0.0</v>
      </c>
      <c r="J527" s="1">
        <v>0.0</v>
      </c>
    </row>
    <row r="528">
      <c r="A528" s="1">
        <v>1.0</v>
      </c>
      <c r="B528" s="1">
        <v>4.0</v>
      </c>
      <c r="C528" s="1">
        <v>2.0</v>
      </c>
      <c r="D528" s="1">
        <v>0.0</v>
      </c>
      <c r="E528" s="1">
        <v>0.0</v>
      </c>
      <c r="F528" s="1">
        <v>0.0</v>
      </c>
      <c r="G528" s="2">
        <v>0.0</v>
      </c>
      <c r="H528" s="1" t="s">
        <v>111</v>
      </c>
      <c r="I528" s="1">
        <v>0.0</v>
      </c>
      <c r="J528" s="1">
        <v>0.0</v>
      </c>
    </row>
    <row r="529">
      <c r="A529" s="1">
        <v>2.0</v>
      </c>
      <c r="B529" s="1">
        <v>8.0</v>
      </c>
      <c r="C529" s="1">
        <v>3.0</v>
      </c>
      <c r="D529" s="1">
        <v>2.0</v>
      </c>
      <c r="E529" s="1">
        <v>0.0</v>
      </c>
      <c r="F529" s="1">
        <v>0.0</v>
      </c>
      <c r="G529" s="6">
        <v>0.333</v>
      </c>
      <c r="H529" s="1" t="s">
        <v>111</v>
      </c>
      <c r="I529" s="1">
        <v>4.0</v>
      </c>
      <c r="J529" s="1">
        <v>0.0</v>
      </c>
    </row>
    <row r="530">
      <c r="A530" s="1">
        <v>3.0</v>
      </c>
      <c r="B530" s="1">
        <v>11.0</v>
      </c>
      <c r="C530" s="1">
        <v>2.0</v>
      </c>
      <c r="D530" s="1">
        <v>0.0</v>
      </c>
      <c r="E530" s="1">
        <v>0.0</v>
      </c>
      <c r="F530" s="1">
        <v>0.0</v>
      </c>
      <c r="G530" s="2">
        <v>0.0</v>
      </c>
      <c r="H530" s="1" t="s">
        <v>115</v>
      </c>
      <c r="I530" s="1">
        <v>0.0</v>
      </c>
      <c r="J530" s="1">
        <v>0.0</v>
      </c>
    </row>
    <row r="531">
      <c r="A531" s="1">
        <v>2.0</v>
      </c>
      <c r="B531" s="1">
        <v>8.0</v>
      </c>
      <c r="C531" s="1">
        <v>1.0</v>
      </c>
      <c r="D531" s="1">
        <v>2.0</v>
      </c>
      <c r="E531" s="1">
        <v>0.0</v>
      </c>
      <c r="F531" s="1">
        <v>0.0</v>
      </c>
      <c r="G531" s="2">
        <v>1.0</v>
      </c>
      <c r="H531" s="1" t="s">
        <v>115</v>
      </c>
      <c r="I531" s="1">
        <v>4.0</v>
      </c>
      <c r="J531" s="1">
        <v>0.0</v>
      </c>
    </row>
    <row r="532">
      <c r="A532" s="1">
        <v>2.0</v>
      </c>
      <c r="B532" s="1">
        <v>7.0</v>
      </c>
      <c r="C532" s="1">
        <v>0.0</v>
      </c>
      <c r="D532" s="1">
        <v>0.0</v>
      </c>
      <c r="E532" s="1">
        <v>0.0</v>
      </c>
      <c r="F532" s="1">
        <v>0.0</v>
      </c>
      <c r="G532" s="2">
        <v>0.0</v>
      </c>
      <c r="H532" s="1" t="s">
        <v>117</v>
      </c>
      <c r="I532" s="1">
        <v>0.0</v>
      </c>
      <c r="J532" s="1">
        <v>0.0</v>
      </c>
    </row>
    <row r="533">
      <c r="A533" s="1">
        <v>1.0</v>
      </c>
      <c r="B533" s="1">
        <v>4.0</v>
      </c>
      <c r="C533" s="1">
        <v>0.0</v>
      </c>
      <c r="D533" s="1">
        <v>0.0</v>
      </c>
      <c r="E533" s="1">
        <v>0.0</v>
      </c>
      <c r="F533" s="1">
        <v>0.0</v>
      </c>
      <c r="G533" s="2">
        <v>0.0</v>
      </c>
      <c r="H533" s="1" t="s">
        <v>117</v>
      </c>
      <c r="I533" s="1">
        <v>0.0</v>
      </c>
      <c r="J533" s="1">
        <v>0.0</v>
      </c>
    </row>
    <row r="534">
      <c r="A534" s="1">
        <v>1.0</v>
      </c>
      <c r="B534" s="1">
        <v>4.0</v>
      </c>
      <c r="C534" s="1">
        <v>0.0</v>
      </c>
      <c r="D534" s="1">
        <v>0.0</v>
      </c>
      <c r="E534" s="1">
        <v>0.0</v>
      </c>
      <c r="F534" s="1">
        <v>0.0</v>
      </c>
      <c r="G534" s="2">
        <v>0.0</v>
      </c>
      <c r="H534" s="1" t="s">
        <v>117</v>
      </c>
      <c r="I534" s="1">
        <v>0.0</v>
      </c>
      <c r="J534" s="1">
        <v>0.0</v>
      </c>
    </row>
    <row r="535">
      <c r="A535" s="1">
        <v>1.0</v>
      </c>
      <c r="B535" s="1">
        <v>4.0</v>
      </c>
      <c r="C535" s="1">
        <v>0.0</v>
      </c>
      <c r="D535" s="1">
        <v>0.0</v>
      </c>
      <c r="E535" s="1">
        <v>0.0</v>
      </c>
      <c r="F535" s="1">
        <v>0.0</v>
      </c>
      <c r="G535" s="2">
        <v>0.0</v>
      </c>
      <c r="H535" s="1" t="s">
        <v>117</v>
      </c>
      <c r="I535" s="1">
        <v>0.0</v>
      </c>
      <c r="J535" s="1">
        <v>0.0</v>
      </c>
    </row>
    <row r="536">
      <c r="A536" s="1">
        <v>3.0</v>
      </c>
      <c r="B536" s="1">
        <v>12.0</v>
      </c>
      <c r="C536" s="1">
        <v>1.0</v>
      </c>
      <c r="D536" s="1">
        <v>-1.33</v>
      </c>
      <c r="E536" s="1">
        <v>0.33</v>
      </c>
      <c r="F536" s="1">
        <v>0.0</v>
      </c>
      <c r="G536" s="2">
        <v>0.0</v>
      </c>
      <c r="H536" s="1" t="s">
        <v>123</v>
      </c>
      <c r="I536" s="1">
        <v>-4.0</v>
      </c>
      <c r="J536" s="1">
        <v>1.0</v>
      </c>
    </row>
    <row r="537">
      <c r="A537" s="1">
        <v>5.0</v>
      </c>
      <c r="B537" s="1">
        <v>20.0</v>
      </c>
      <c r="C537" s="1">
        <v>0.0</v>
      </c>
      <c r="D537" s="1">
        <v>0.0</v>
      </c>
      <c r="E537" s="1">
        <v>0.0</v>
      </c>
      <c r="F537" s="1">
        <v>0.0</v>
      </c>
      <c r="G537" s="2">
        <v>0.0</v>
      </c>
      <c r="H537" s="1" t="s">
        <v>124</v>
      </c>
      <c r="I537" s="1">
        <v>0.0</v>
      </c>
      <c r="J537" s="1">
        <v>0.0</v>
      </c>
    </row>
    <row r="538">
      <c r="A538" s="1">
        <v>5.0</v>
      </c>
      <c r="B538" s="1">
        <v>20.0</v>
      </c>
      <c r="C538" s="1">
        <v>2.0</v>
      </c>
      <c r="D538" s="1">
        <v>0.8</v>
      </c>
      <c r="E538" s="1">
        <v>0.0</v>
      </c>
      <c r="F538" s="1">
        <v>0.0</v>
      </c>
      <c r="G538" s="2">
        <v>0.5</v>
      </c>
      <c r="H538" s="1" t="s">
        <v>127</v>
      </c>
      <c r="I538" s="1">
        <v>4.0</v>
      </c>
      <c r="J538" s="1">
        <v>0.0</v>
      </c>
    </row>
    <row r="539">
      <c r="A539" s="1">
        <v>5.0</v>
      </c>
      <c r="B539" s="1">
        <v>20.0</v>
      </c>
      <c r="C539" s="1">
        <v>9.0</v>
      </c>
      <c r="D539" s="1">
        <v>4.0</v>
      </c>
      <c r="E539" s="1">
        <v>0.2</v>
      </c>
      <c r="F539" s="1">
        <v>0.0</v>
      </c>
      <c r="G539" s="6">
        <v>0.667</v>
      </c>
      <c r="H539" s="1" t="s">
        <v>128</v>
      </c>
      <c r="I539" s="1">
        <v>20.0</v>
      </c>
      <c r="J539" s="1">
        <v>1.0</v>
      </c>
    </row>
    <row r="540">
      <c r="A540" s="1">
        <v>4.0</v>
      </c>
      <c r="B540" s="1">
        <v>17.0</v>
      </c>
      <c r="C540" s="1">
        <v>1.0</v>
      </c>
      <c r="D540" s="1">
        <v>0.0</v>
      </c>
      <c r="E540" s="1">
        <v>0.0</v>
      </c>
      <c r="F540" s="1">
        <v>0.0</v>
      </c>
      <c r="G540" s="2">
        <v>0.0</v>
      </c>
      <c r="H540" s="1" t="s">
        <v>130</v>
      </c>
      <c r="I540" s="1">
        <v>0.0</v>
      </c>
      <c r="J540" s="1">
        <v>0.0</v>
      </c>
    </row>
    <row r="541">
      <c r="A541" s="1">
        <v>1.0</v>
      </c>
      <c r="B541" s="1">
        <v>4.0</v>
      </c>
      <c r="C541" s="1">
        <v>0.0</v>
      </c>
      <c r="D541" s="1">
        <v>0.0</v>
      </c>
      <c r="E541" s="1">
        <v>0.0</v>
      </c>
      <c r="F541" s="1">
        <v>0.0</v>
      </c>
      <c r="G541" s="2">
        <v>0.0</v>
      </c>
      <c r="H541" s="1" t="s">
        <v>132</v>
      </c>
      <c r="I541" s="1">
        <v>0.0</v>
      </c>
      <c r="J541" s="1">
        <v>0.0</v>
      </c>
    </row>
    <row r="542">
      <c r="A542" s="1">
        <v>3.0</v>
      </c>
      <c r="B542" s="1">
        <v>9.0</v>
      </c>
      <c r="C542" s="1">
        <v>0.0</v>
      </c>
      <c r="D542" s="1">
        <v>0.0</v>
      </c>
      <c r="E542" s="1">
        <v>0.0</v>
      </c>
      <c r="F542" s="1">
        <v>0.0</v>
      </c>
      <c r="G542" s="2">
        <v>0.0</v>
      </c>
      <c r="H542" s="1" t="s">
        <v>132</v>
      </c>
      <c r="I542" s="1">
        <v>0.0</v>
      </c>
      <c r="J542" s="1">
        <v>0.0</v>
      </c>
    </row>
    <row r="543">
      <c r="A543" s="1">
        <v>1.0</v>
      </c>
      <c r="B543" s="1">
        <v>4.0</v>
      </c>
      <c r="C543" s="1">
        <v>4.0</v>
      </c>
      <c r="D543" s="1">
        <v>4.0</v>
      </c>
      <c r="E543" s="1">
        <v>1.0</v>
      </c>
      <c r="F543" s="1">
        <v>0.0</v>
      </c>
      <c r="G543" s="2">
        <v>0.5</v>
      </c>
      <c r="H543" s="1" t="s">
        <v>77</v>
      </c>
      <c r="I543" s="1">
        <v>4.0</v>
      </c>
      <c r="J543" s="1">
        <v>1.0</v>
      </c>
    </row>
    <row r="544">
      <c r="A544" s="1">
        <v>3.0</v>
      </c>
      <c r="B544" s="1">
        <v>9.0</v>
      </c>
      <c r="C544" s="1">
        <v>9.0</v>
      </c>
      <c r="D544" s="1">
        <v>0.0</v>
      </c>
      <c r="E544" s="1">
        <v>1.0</v>
      </c>
      <c r="F544" s="1">
        <v>0.0</v>
      </c>
      <c r="G544" s="6">
        <v>0.333</v>
      </c>
      <c r="H544" s="1" t="s">
        <v>77</v>
      </c>
      <c r="I544" s="1">
        <v>0.0</v>
      </c>
      <c r="J544" s="1">
        <v>3.0</v>
      </c>
    </row>
    <row r="545">
      <c r="A545" s="1">
        <v>1.0</v>
      </c>
      <c r="B545" s="1">
        <v>4.0</v>
      </c>
      <c r="C545" s="1">
        <v>0.0</v>
      </c>
      <c r="D545" s="1">
        <v>0.0</v>
      </c>
      <c r="E545" s="1">
        <v>0.0</v>
      </c>
      <c r="F545" s="1">
        <v>0.0</v>
      </c>
      <c r="G545" s="2">
        <v>0.0</v>
      </c>
      <c r="H545" s="1" t="s">
        <v>137</v>
      </c>
      <c r="I545" s="1">
        <v>0.0</v>
      </c>
      <c r="J545" s="1">
        <v>0.0</v>
      </c>
    </row>
    <row r="546">
      <c r="A546" s="1">
        <v>1.0</v>
      </c>
      <c r="B546" s="1">
        <v>3.0</v>
      </c>
      <c r="C546" s="1">
        <v>0.0</v>
      </c>
      <c r="D546" s="1">
        <v>0.0</v>
      </c>
      <c r="E546" s="1">
        <v>0.0</v>
      </c>
      <c r="F546" s="1">
        <v>0.0</v>
      </c>
      <c r="G546" s="2">
        <v>0.0</v>
      </c>
      <c r="H546" s="1" t="s">
        <v>137</v>
      </c>
      <c r="I546" s="1">
        <v>0.0</v>
      </c>
      <c r="J546" s="1">
        <v>0.0</v>
      </c>
    </row>
    <row r="547">
      <c r="A547" s="1">
        <v>5.0</v>
      </c>
      <c r="B547" s="1">
        <v>20.0</v>
      </c>
      <c r="C547" s="1">
        <v>0.0</v>
      </c>
      <c r="D547" s="1">
        <v>0.0</v>
      </c>
      <c r="E547" s="1">
        <v>0.0</v>
      </c>
      <c r="F547" s="1">
        <v>0.0</v>
      </c>
      <c r="G547" s="2">
        <v>0.0</v>
      </c>
      <c r="H547" s="1" t="s">
        <v>139</v>
      </c>
      <c r="I547" s="1">
        <v>0.0</v>
      </c>
      <c r="J547" s="1">
        <v>0.0</v>
      </c>
    </row>
    <row r="548">
      <c r="A548" s="1">
        <v>1.0</v>
      </c>
      <c r="B548" s="1">
        <v>4.0</v>
      </c>
      <c r="C548" s="1">
        <v>0.0</v>
      </c>
      <c r="D548" s="1">
        <v>0.0</v>
      </c>
      <c r="E548" s="1">
        <v>0.0</v>
      </c>
      <c r="F548" s="1">
        <v>0.0</v>
      </c>
      <c r="G548" s="2">
        <v>0.0</v>
      </c>
      <c r="H548" s="1" t="s">
        <v>142</v>
      </c>
      <c r="I548" s="1">
        <v>0.0</v>
      </c>
      <c r="J548" s="1">
        <v>0.0</v>
      </c>
    </row>
    <row r="549">
      <c r="A549" s="1">
        <v>5.0</v>
      </c>
      <c r="B549" s="1">
        <v>20.0</v>
      </c>
      <c r="C549" s="1">
        <v>0.0</v>
      </c>
      <c r="D549" s="1">
        <v>0.0</v>
      </c>
      <c r="E549" s="1">
        <v>0.0</v>
      </c>
      <c r="F549" s="1">
        <v>0.0</v>
      </c>
      <c r="G549" s="2">
        <v>0.0</v>
      </c>
      <c r="H549" s="1" t="s">
        <v>144</v>
      </c>
      <c r="I549" s="1">
        <v>0.0</v>
      </c>
      <c r="J549" s="1">
        <v>0.0</v>
      </c>
    </row>
    <row r="550">
      <c r="A550" s="1">
        <v>4.0</v>
      </c>
      <c r="B550" s="1">
        <v>16.0</v>
      </c>
      <c r="C550" s="1">
        <v>0.0</v>
      </c>
      <c r="D550" s="1">
        <v>0.0</v>
      </c>
      <c r="E550" s="1">
        <v>0.0</v>
      </c>
      <c r="F550" s="1">
        <v>0.0</v>
      </c>
      <c r="G550" s="2">
        <v>0.0</v>
      </c>
      <c r="H550" s="1" t="s">
        <v>147</v>
      </c>
      <c r="I550" s="1">
        <v>0.0</v>
      </c>
      <c r="J550" s="1">
        <v>0.0</v>
      </c>
    </row>
    <row r="551">
      <c r="A551" s="1">
        <v>1.0</v>
      </c>
      <c r="B551" s="1">
        <v>4.0</v>
      </c>
      <c r="C551" s="1">
        <v>0.0</v>
      </c>
      <c r="D551" s="1">
        <v>0.0</v>
      </c>
      <c r="E551" s="1">
        <v>0.0</v>
      </c>
      <c r="F551" s="1">
        <v>0.0</v>
      </c>
      <c r="G551" s="2">
        <v>0.0</v>
      </c>
      <c r="H551" s="1" t="s">
        <v>147</v>
      </c>
      <c r="I551" s="1">
        <v>0.0</v>
      </c>
      <c r="J551" s="1">
        <v>0.0</v>
      </c>
    </row>
    <row r="552">
      <c r="A552" s="1">
        <v>4.0</v>
      </c>
      <c r="B552" s="1">
        <v>16.0</v>
      </c>
      <c r="C552" s="1">
        <v>13.0</v>
      </c>
      <c r="D552" s="1">
        <v>3.0</v>
      </c>
      <c r="E552" s="1">
        <v>1.0</v>
      </c>
      <c r="F552" s="1">
        <v>0.0</v>
      </c>
      <c r="G552" s="6">
        <v>0.538</v>
      </c>
      <c r="H552" s="1" t="s">
        <v>125</v>
      </c>
      <c r="I552" s="1">
        <v>12.0</v>
      </c>
      <c r="J552" s="1">
        <v>4.0</v>
      </c>
    </row>
    <row r="553">
      <c r="A553" s="1">
        <v>1.0</v>
      </c>
      <c r="B553" s="1">
        <v>3.0</v>
      </c>
      <c r="C553" s="1">
        <v>0.0</v>
      </c>
      <c r="D553" s="1">
        <v>0.0</v>
      </c>
      <c r="E553" s="1">
        <v>0.0</v>
      </c>
      <c r="F553" s="1">
        <v>0.0</v>
      </c>
      <c r="G553" s="2">
        <v>0.0</v>
      </c>
      <c r="H553" s="1" t="s">
        <v>151</v>
      </c>
      <c r="I553" s="1">
        <v>0.0</v>
      </c>
      <c r="J553" s="1">
        <v>0.0</v>
      </c>
    </row>
    <row r="554">
      <c r="A554" s="1">
        <v>1.0</v>
      </c>
      <c r="B554" s="1">
        <v>3.0</v>
      </c>
      <c r="C554" s="1">
        <v>0.0</v>
      </c>
      <c r="D554" s="1">
        <v>0.0</v>
      </c>
      <c r="E554" s="1">
        <v>0.0</v>
      </c>
      <c r="F554" s="1">
        <v>0.0</v>
      </c>
      <c r="G554" s="2">
        <v>0.0</v>
      </c>
      <c r="H554" s="1" t="s">
        <v>152</v>
      </c>
      <c r="I554" s="1">
        <v>0.0</v>
      </c>
      <c r="J554" s="1">
        <v>0.0</v>
      </c>
    </row>
    <row r="555">
      <c r="A555" s="1">
        <v>3.0</v>
      </c>
      <c r="B555" s="1">
        <v>12.0</v>
      </c>
      <c r="C555" s="1">
        <v>0.0</v>
      </c>
      <c r="D555" s="1">
        <v>0.0</v>
      </c>
      <c r="E555" s="1">
        <v>0.0</v>
      </c>
      <c r="F555" s="1">
        <v>0.0</v>
      </c>
      <c r="G555" s="2">
        <v>0.0</v>
      </c>
      <c r="H555" s="1" t="s">
        <v>152</v>
      </c>
      <c r="I555" s="1">
        <v>0.0</v>
      </c>
      <c r="J555" s="1">
        <v>0.0</v>
      </c>
    </row>
    <row r="556">
      <c r="A556" s="1">
        <v>1.0</v>
      </c>
      <c r="B556" s="1">
        <v>3.0</v>
      </c>
      <c r="C556" s="1">
        <v>0.0</v>
      </c>
      <c r="D556" s="1">
        <v>0.0</v>
      </c>
      <c r="E556" s="1">
        <v>0.0</v>
      </c>
      <c r="F556" s="1">
        <v>0.0</v>
      </c>
      <c r="G556" s="2">
        <v>0.0</v>
      </c>
      <c r="H556" s="1" t="s">
        <v>156</v>
      </c>
      <c r="I556" s="1">
        <v>0.0</v>
      </c>
      <c r="J556" s="1">
        <v>0.0</v>
      </c>
    </row>
    <row r="557">
      <c r="A557" s="1">
        <v>2.0</v>
      </c>
      <c r="B557" s="1">
        <v>8.0</v>
      </c>
      <c r="C557" s="1">
        <v>1.0</v>
      </c>
      <c r="D557" s="1">
        <v>0.0</v>
      </c>
      <c r="E557" s="1">
        <v>0.0</v>
      </c>
      <c r="F557" s="1">
        <v>0.0</v>
      </c>
      <c r="G557" s="2">
        <v>0.0</v>
      </c>
      <c r="H557" s="1" t="s">
        <v>156</v>
      </c>
      <c r="I557" s="1">
        <v>0.0</v>
      </c>
      <c r="J557" s="1">
        <v>0.0</v>
      </c>
    </row>
    <row r="558">
      <c r="A558" s="1">
        <v>1.0</v>
      </c>
      <c r="B558" s="1">
        <v>3.0</v>
      </c>
      <c r="C558" s="1">
        <v>3.0</v>
      </c>
      <c r="D558" s="1">
        <v>0.0</v>
      </c>
      <c r="E558" s="1">
        <v>1.0</v>
      </c>
      <c r="F558" s="1">
        <v>0.0</v>
      </c>
      <c r="G558" s="6">
        <v>0.333</v>
      </c>
      <c r="H558" s="1" t="s">
        <v>145</v>
      </c>
      <c r="I558" s="1">
        <v>0.0</v>
      </c>
      <c r="J558" s="1">
        <v>1.0</v>
      </c>
    </row>
    <row r="559">
      <c r="A559" s="1">
        <v>4.0</v>
      </c>
      <c r="B559" s="1">
        <v>16.0</v>
      </c>
      <c r="C559" s="1">
        <v>12.0</v>
      </c>
      <c r="D559" s="1">
        <v>3.0</v>
      </c>
      <c r="E559" s="1">
        <v>0.25</v>
      </c>
      <c r="F559" s="1">
        <v>0.0</v>
      </c>
      <c r="G559" s="6">
        <v>0.333</v>
      </c>
      <c r="H559" s="1" t="s">
        <v>145</v>
      </c>
      <c r="I559" s="1">
        <v>12.0</v>
      </c>
      <c r="J559" s="1">
        <v>1.0</v>
      </c>
    </row>
    <row r="560">
      <c r="A560" s="1">
        <v>1.0</v>
      </c>
      <c r="B560" s="1">
        <v>4.0</v>
      </c>
      <c r="C560" s="1">
        <v>0.0</v>
      </c>
      <c r="D560" s="1">
        <v>0.0</v>
      </c>
      <c r="E560" s="1">
        <v>0.0</v>
      </c>
      <c r="F560" s="1">
        <v>0.0</v>
      </c>
      <c r="G560" s="2">
        <v>0.0</v>
      </c>
      <c r="H560" s="1" t="s">
        <v>160</v>
      </c>
      <c r="I560" s="1">
        <v>0.0</v>
      </c>
      <c r="J560" s="1">
        <v>0.0</v>
      </c>
    </row>
    <row r="561">
      <c r="A561" s="1">
        <v>2.0</v>
      </c>
      <c r="B561" s="1">
        <v>8.0</v>
      </c>
      <c r="C561" s="1">
        <v>1.0</v>
      </c>
      <c r="D561" s="1">
        <v>-2.0</v>
      </c>
      <c r="E561" s="1">
        <v>0.5</v>
      </c>
      <c r="F561" s="1">
        <v>0.0</v>
      </c>
      <c r="G561" s="2">
        <v>0.0</v>
      </c>
      <c r="H561" s="1" t="s">
        <v>162</v>
      </c>
      <c r="I561" s="1">
        <v>-4.0</v>
      </c>
      <c r="J561" s="1">
        <v>1.0</v>
      </c>
    </row>
    <row r="562">
      <c r="A562" s="1">
        <v>2.0</v>
      </c>
      <c r="B562" s="1">
        <v>8.0</v>
      </c>
      <c r="C562" s="1">
        <v>0.0</v>
      </c>
      <c r="D562" s="1">
        <v>0.0</v>
      </c>
      <c r="E562" s="1">
        <v>0.0</v>
      </c>
      <c r="F562" s="1">
        <v>0.0</v>
      </c>
      <c r="G562" s="2">
        <v>0.0</v>
      </c>
      <c r="H562" s="1" t="s">
        <v>162</v>
      </c>
      <c r="I562" s="1">
        <v>0.0</v>
      </c>
      <c r="J562" s="1">
        <v>0.0</v>
      </c>
    </row>
    <row r="563">
      <c r="A563" s="1">
        <v>5.0</v>
      </c>
      <c r="B563" s="1">
        <v>19.0</v>
      </c>
      <c r="C563" s="1">
        <v>3.0</v>
      </c>
      <c r="D563" s="1">
        <v>0.0</v>
      </c>
      <c r="E563" s="1">
        <v>0.0</v>
      </c>
      <c r="F563" s="1">
        <v>0.0</v>
      </c>
      <c r="G563" s="2">
        <v>0.0</v>
      </c>
      <c r="H563" s="1" t="s">
        <v>165</v>
      </c>
      <c r="I563" s="1">
        <v>0.0</v>
      </c>
      <c r="J563" s="1">
        <v>0.0</v>
      </c>
    </row>
    <row r="564">
      <c r="A564" s="1">
        <v>1.0</v>
      </c>
      <c r="B564" s="1">
        <v>4.0</v>
      </c>
      <c r="C564" s="1">
        <v>0.0</v>
      </c>
      <c r="D564" s="1">
        <v>0.0</v>
      </c>
      <c r="E564" s="1">
        <v>0.0</v>
      </c>
      <c r="F564" s="1">
        <v>0.0</v>
      </c>
      <c r="G564" s="2">
        <v>0.0</v>
      </c>
      <c r="H564" s="1" t="s">
        <v>167</v>
      </c>
      <c r="I564" s="1">
        <v>0.0</v>
      </c>
      <c r="J564" s="1">
        <v>0.0</v>
      </c>
    </row>
    <row r="565">
      <c r="A565" s="1">
        <v>5.0</v>
      </c>
      <c r="B565" s="1">
        <v>19.0</v>
      </c>
      <c r="C565" s="1">
        <v>2.0</v>
      </c>
      <c r="D565" s="1">
        <v>-0.8</v>
      </c>
      <c r="E565" s="1">
        <v>0.2</v>
      </c>
      <c r="F565" s="1">
        <v>0.0</v>
      </c>
      <c r="G565" s="2">
        <v>0.0</v>
      </c>
      <c r="H565" s="1" t="s">
        <v>169</v>
      </c>
      <c r="I565" s="1">
        <v>-4.0</v>
      </c>
      <c r="J565" s="1">
        <v>1.0</v>
      </c>
    </row>
    <row r="566">
      <c r="A566" s="1">
        <v>3.0</v>
      </c>
      <c r="B566" s="1">
        <v>11.0</v>
      </c>
      <c r="C566" s="1">
        <v>9.0</v>
      </c>
      <c r="D566" s="1">
        <v>4.0</v>
      </c>
      <c r="E566" s="1">
        <v>1.0</v>
      </c>
      <c r="F566" s="1">
        <v>0.0</v>
      </c>
      <c r="G566" s="6">
        <v>0.667</v>
      </c>
      <c r="H566" s="1" t="s">
        <v>171</v>
      </c>
      <c r="I566" s="1">
        <v>12.0</v>
      </c>
      <c r="J566" s="1">
        <v>3.0</v>
      </c>
    </row>
    <row r="567">
      <c r="A567" s="1">
        <v>4.0</v>
      </c>
      <c r="B567" s="1">
        <v>15.0</v>
      </c>
      <c r="C567" s="1">
        <v>9.0</v>
      </c>
      <c r="D567" s="1">
        <v>2.0</v>
      </c>
      <c r="E567" s="1">
        <v>0.75</v>
      </c>
      <c r="F567" s="1">
        <v>0.0</v>
      </c>
      <c r="G567" s="6">
        <v>0.556</v>
      </c>
      <c r="H567" s="1" t="s">
        <v>173</v>
      </c>
      <c r="I567" s="1">
        <v>8.0</v>
      </c>
      <c r="J567" s="1">
        <v>3.0</v>
      </c>
    </row>
    <row r="568">
      <c r="A568" s="1">
        <v>1.0</v>
      </c>
      <c r="B568" s="1">
        <v>4.0</v>
      </c>
      <c r="C568" s="1">
        <v>2.0</v>
      </c>
      <c r="D568" s="1">
        <v>8.0</v>
      </c>
      <c r="E568" s="1">
        <v>0.0</v>
      </c>
      <c r="F568" s="1">
        <v>0.0</v>
      </c>
      <c r="G568" s="2">
        <v>1.0</v>
      </c>
      <c r="H568" s="1" t="s">
        <v>173</v>
      </c>
      <c r="I568" s="1">
        <v>8.0</v>
      </c>
      <c r="J568" s="1">
        <v>0.0</v>
      </c>
    </row>
    <row r="569">
      <c r="A569" s="1">
        <v>1.0</v>
      </c>
      <c r="B569" s="1">
        <v>4.0</v>
      </c>
      <c r="C569" s="1">
        <v>0.0</v>
      </c>
      <c r="D569" s="1">
        <v>0.0</v>
      </c>
      <c r="E569" s="1">
        <v>0.0</v>
      </c>
      <c r="F569" s="1">
        <v>0.0</v>
      </c>
      <c r="G569" s="2">
        <v>0.0</v>
      </c>
      <c r="H569" s="1" t="s">
        <v>174</v>
      </c>
      <c r="I569" s="1">
        <v>0.0</v>
      </c>
      <c r="J569" s="1">
        <v>0.0</v>
      </c>
    </row>
    <row r="570">
      <c r="A570" s="1">
        <v>1.0</v>
      </c>
      <c r="B570" s="1">
        <v>4.0</v>
      </c>
      <c r="C570" s="1">
        <v>0.0</v>
      </c>
      <c r="D570" s="1">
        <v>0.0</v>
      </c>
      <c r="E570" s="1">
        <v>0.0</v>
      </c>
      <c r="F570" s="1">
        <v>0.0</v>
      </c>
      <c r="G570" s="2">
        <v>0.0</v>
      </c>
      <c r="H570" s="1" t="s">
        <v>176</v>
      </c>
      <c r="I570" s="1">
        <v>0.0</v>
      </c>
      <c r="J570" s="1">
        <v>0.0</v>
      </c>
    </row>
    <row r="571">
      <c r="A571" s="1">
        <v>4.0</v>
      </c>
      <c r="B571" s="1">
        <v>15.0</v>
      </c>
      <c r="C571" s="1">
        <v>2.0</v>
      </c>
      <c r="D571" s="1">
        <v>1.0</v>
      </c>
      <c r="E571" s="1">
        <v>0.0</v>
      </c>
      <c r="F571" s="1">
        <v>0.0</v>
      </c>
      <c r="G571" s="2">
        <v>0.5</v>
      </c>
      <c r="H571" s="1" t="s">
        <v>74</v>
      </c>
      <c r="I571" s="1">
        <v>4.0</v>
      </c>
      <c r="J571" s="1">
        <v>0.0</v>
      </c>
    </row>
    <row r="572">
      <c r="A572" s="1">
        <v>1.0</v>
      </c>
      <c r="B572" s="1">
        <v>4.0</v>
      </c>
      <c r="C572" s="1">
        <v>1.0</v>
      </c>
      <c r="D572" s="1">
        <v>0.0</v>
      </c>
      <c r="E572" s="1">
        <v>0.0</v>
      </c>
      <c r="F572" s="1">
        <v>0.0</v>
      </c>
      <c r="G572" s="2">
        <v>0.0</v>
      </c>
      <c r="H572" s="1" t="s">
        <v>74</v>
      </c>
      <c r="I572" s="1">
        <v>0.0</v>
      </c>
      <c r="J572" s="1">
        <v>0.0</v>
      </c>
    </row>
    <row r="573">
      <c r="A573" s="1">
        <v>1.0</v>
      </c>
      <c r="B573" s="1">
        <v>4.0</v>
      </c>
      <c r="C573" s="1">
        <v>0.0</v>
      </c>
      <c r="D573" s="1">
        <v>0.0</v>
      </c>
      <c r="E573" s="1">
        <v>0.0</v>
      </c>
      <c r="F573" s="1">
        <v>0.0</v>
      </c>
      <c r="G573" s="2">
        <v>0.0</v>
      </c>
      <c r="H573" s="1" t="s">
        <v>177</v>
      </c>
      <c r="I573" s="1">
        <v>0.0</v>
      </c>
      <c r="J573" s="1">
        <v>0.0</v>
      </c>
    </row>
    <row r="574">
      <c r="A574" s="1">
        <v>4.0</v>
      </c>
      <c r="B574" s="1">
        <v>15.0</v>
      </c>
      <c r="C574" s="1">
        <v>12.0</v>
      </c>
      <c r="D574" s="1">
        <v>2.0</v>
      </c>
      <c r="E574" s="1">
        <v>0.75</v>
      </c>
      <c r="F574" s="1">
        <v>0.0</v>
      </c>
      <c r="G574" s="6">
        <v>0.417</v>
      </c>
      <c r="H574" s="1" t="s">
        <v>178</v>
      </c>
      <c r="I574" s="1">
        <v>8.0</v>
      </c>
      <c r="J574" s="1">
        <v>3.0</v>
      </c>
    </row>
    <row r="575">
      <c r="A575" s="1">
        <v>1.0</v>
      </c>
      <c r="B575" s="1">
        <v>4.0</v>
      </c>
      <c r="C575" s="1">
        <v>4.0</v>
      </c>
      <c r="D575" s="1">
        <v>12.0</v>
      </c>
      <c r="E575" s="1">
        <v>0.0</v>
      </c>
      <c r="F575" s="1">
        <v>0.0</v>
      </c>
      <c r="G575" s="2">
        <v>0.75</v>
      </c>
      <c r="H575" s="1" t="s">
        <v>178</v>
      </c>
      <c r="I575" s="1">
        <v>12.0</v>
      </c>
      <c r="J575" s="1">
        <v>0.0</v>
      </c>
    </row>
    <row r="576">
      <c r="A576" s="1">
        <v>3.0</v>
      </c>
      <c r="B576" s="1">
        <v>11.0</v>
      </c>
      <c r="C576" s="1">
        <v>0.0</v>
      </c>
      <c r="D576" s="1">
        <v>0.0</v>
      </c>
      <c r="E576" s="1">
        <v>0.0</v>
      </c>
      <c r="F576" s="1">
        <v>0.0</v>
      </c>
      <c r="G576" s="2">
        <v>0.0</v>
      </c>
      <c r="H576" s="1" t="s">
        <v>150</v>
      </c>
      <c r="I576" s="1">
        <v>0.0</v>
      </c>
      <c r="J576" s="1">
        <v>0.0</v>
      </c>
    </row>
    <row r="577">
      <c r="A577" s="1">
        <v>1.0</v>
      </c>
      <c r="B577" s="1">
        <v>4.0</v>
      </c>
      <c r="C577" s="1">
        <v>0.0</v>
      </c>
      <c r="D577" s="1">
        <v>0.0</v>
      </c>
      <c r="E577" s="1">
        <v>0.0</v>
      </c>
      <c r="F577" s="1">
        <v>0.0</v>
      </c>
      <c r="G577" s="2">
        <v>0.0</v>
      </c>
      <c r="H577" s="1" t="s">
        <v>150</v>
      </c>
      <c r="I577" s="1">
        <v>0.0</v>
      </c>
      <c r="J577" s="1">
        <v>0.0</v>
      </c>
    </row>
    <row r="578">
      <c r="A578" s="1">
        <v>2.0</v>
      </c>
      <c r="B578" s="1">
        <v>7.0</v>
      </c>
      <c r="C578" s="1">
        <v>0.0</v>
      </c>
      <c r="D578" s="1">
        <v>0.0</v>
      </c>
      <c r="E578" s="1">
        <v>0.0</v>
      </c>
      <c r="F578" s="1">
        <v>0.0</v>
      </c>
      <c r="G578" s="2">
        <v>0.0</v>
      </c>
      <c r="H578" s="1" t="s">
        <v>179</v>
      </c>
      <c r="I578" s="1">
        <v>0.0</v>
      </c>
      <c r="J578" s="1">
        <v>0.0</v>
      </c>
    </row>
    <row r="579">
      <c r="A579" s="1">
        <v>1.0</v>
      </c>
      <c r="B579" s="1">
        <v>4.0</v>
      </c>
      <c r="C579" s="1">
        <v>0.0</v>
      </c>
      <c r="D579" s="1">
        <v>0.0</v>
      </c>
      <c r="E579" s="1">
        <v>0.0</v>
      </c>
      <c r="F579" s="1">
        <v>0.0</v>
      </c>
      <c r="G579" s="2">
        <v>0.0</v>
      </c>
      <c r="H579" s="1" t="s">
        <v>179</v>
      </c>
      <c r="I579" s="1">
        <v>0.0</v>
      </c>
      <c r="J579" s="1">
        <v>0.0</v>
      </c>
    </row>
    <row r="580">
      <c r="A580" s="1">
        <v>2.0</v>
      </c>
      <c r="B580" s="1">
        <v>8.0</v>
      </c>
      <c r="C580" s="1">
        <v>0.0</v>
      </c>
      <c r="D580" s="1">
        <v>0.0</v>
      </c>
      <c r="E580" s="1">
        <v>0.0</v>
      </c>
      <c r="F580" s="1">
        <v>0.0</v>
      </c>
      <c r="G580" s="2">
        <v>0.0</v>
      </c>
      <c r="H580" s="1" t="s">
        <v>181</v>
      </c>
      <c r="I580" s="1">
        <v>0.0</v>
      </c>
      <c r="J580" s="1">
        <v>0.0</v>
      </c>
    </row>
    <row r="581">
      <c r="A581" s="1">
        <v>4.0</v>
      </c>
      <c r="B581" s="1">
        <v>15.0</v>
      </c>
      <c r="C581" s="1">
        <v>0.0</v>
      </c>
      <c r="D581" s="1">
        <v>0.0</v>
      </c>
      <c r="E581" s="1">
        <v>0.0</v>
      </c>
      <c r="F581" s="1">
        <v>0.0</v>
      </c>
      <c r="G581" s="2">
        <v>0.0</v>
      </c>
      <c r="H581" s="1" t="s">
        <v>183</v>
      </c>
      <c r="I581" s="1">
        <v>0.0</v>
      </c>
      <c r="J581" s="1">
        <v>0.0</v>
      </c>
    </row>
    <row r="582">
      <c r="A582" s="1">
        <v>1.0</v>
      </c>
      <c r="B582" s="1">
        <v>4.0</v>
      </c>
      <c r="C582" s="1">
        <v>0.0</v>
      </c>
      <c r="D582" s="1">
        <v>0.0</v>
      </c>
      <c r="E582" s="1">
        <v>0.0</v>
      </c>
      <c r="F582" s="1">
        <v>0.0</v>
      </c>
      <c r="G582" s="2">
        <v>0.0</v>
      </c>
      <c r="H582" s="1" t="s">
        <v>183</v>
      </c>
      <c r="I582" s="1">
        <v>0.0</v>
      </c>
      <c r="J582" s="1">
        <v>0.0</v>
      </c>
    </row>
    <row r="583">
      <c r="A583" s="1">
        <v>1.0</v>
      </c>
      <c r="B583" s="1">
        <v>4.0</v>
      </c>
      <c r="C583" s="1">
        <v>0.0</v>
      </c>
      <c r="D583" s="1">
        <v>0.0</v>
      </c>
      <c r="E583" s="1">
        <v>0.0</v>
      </c>
      <c r="F583" s="1">
        <v>0.0</v>
      </c>
      <c r="G583" s="2">
        <v>0.0</v>
      </c>
      <c r="H583" s="1" t="s">
        <v>184</v>
      </c>
      <c r="I583" s="1">
        <v>0.0</v>
      </c>
      <c r="J583" s="1">
        <v>0.0</v>
      </c>
    </row>
    <row r="584">
      <c r="A584" s="1">
        <v>1.0</v>
      </c>
      <c r="B584" s="1">
        <v>4.0</v>
      </c>
      <c r="C584" s="1">
        <v>3.0</v>
      </c>
      <c r="D584" s="1">
        <v>4.0</v>
      </c>
      <c r="E584" s="1">
        <v>0.0</v>
      </c>
      <c r="F584" s="1">
        <v>0.0</v>
      </c>
      <c r="G584" s="6">
        <v>0.333</v>
      </c>
      <c r="H584" s="1" t="s">
        <v>184</v>
      </c>
      <c r="I584" s="1">
        <v>4.0</v>
      </c>
      <c r="J584" s="1">
        <v>0.0</v>
      </c>
    </row>
    <row r="585">
      <c r="A585" s="1">
        <v>3.0</v>
      </c>
      <c r="B585" s="1">
        <v>12.0</v>
      </c>
      <c r="C585" s="1">
        <v>3.0</v>
      </c>
      <c r="D585" s="1">
        <v>1.33</v>
      </c>
      <c r="E585" s="1">
        <v>0.0</v>
      </c>
      <c r="F585" s="1">
        <v>0.0</v>
      </c>
      <c r="G585" s="6">
        <v>0.333</v>
      </c>
      <c r="H585" s="1" t="s">
        <v>184</v>
      </c>
      <c r="I585" s="1">
        <v>4.0</v>
      </c>
      <c r="J585" s="1">
        <v>0.0</v>
      </c>
    </row>
    <row r="586">
      <c r="A586" s="1">
        <v>4.0</v>
      </c>
      <c r="B586" s="1">
        <v>16.0</v>
      </c>
      <c r="C586" s="1">
        <v>3.0</v>
      </c>
      <c r="D586" s="1">
        <v>1.0</v>
      </c>
      <c r="E586" s="1">
        <v>0.0</v>
      </c>
      <c r="F586" s="1">
        <v>0.0</v>
      </c>
      <c r="G586" s="6">
        <v>0.333</v>
      </c>
      <c r="H586" s="1" t="s">
        <v>161</v>
      </c>
      <c r="I586" s="1">
        <v>4.0</v>
      </c>
      <c r="J586" s="1">
        <v>0.0</v>
      </c>
    </row>
    <row r="587">
      <c r="A587" s="1">
        <v>1.0</v>
      </c>
      <c r="B587" s="1">
        <v>4.0</v>
      </c>
      <c r="C587" s="1">
        <v>1.0</v>
      </c>
      <c r="D587" s="1">
        <v>4.0</v>
      </c>
      <c r="E587" s="1">
        <v>0.0</v>
      </c>
      <c r="F587" s="1">
        <v>0.0</v>
      </c>
      <c r="G587" s="2">
        <v>1.0</v>
      </c>
      <c r="H587" s="1" t="s">
        <v>161</v>
      </c>
      <c r="I587" s="1">
        <v>4.0</v>
      </c>
      <c r="J587" s="1">
        <v>0.0</v>
      </c>
    </row>
    <row r="588">
      <c r="A588" s="1">
        <v>3.0</v>
      </c>
      <c r="B588" s="1">
        <v>12.0</v>
      </c>
      <c r="C588" s="1">
        <v>0.0</v>
      </c>
      <c r="D588" s="1">
        <v>0.0</v>
      </c>
      <c r="E588" s="1">
        <v>0.0</v>
      </c>
      <c r="F588" s="1">
        <v>0.0</v>
      </c>
      <c r="G588" s="2">
        <v>0.0</v>
      </c>
      <c r="H588" s="1" t="s">
        <v>187</v>
      </c>
      <c r="I588" s="1">
        <v>0.0</v>
      </c>
      <c r="J588" s="1">
        <v>0.0</v>
      </c>
    </row>
    <row r="589">
      <c r="A589" s="1">
        <v>5.0</v>
      </c>
      <c r="B589" s="1">
        <v>19.0</v>
      </c>
      <c r="C589" s="1">
        <v>11.0</v>
      </c>
      <c r="D589" s="1">
        <v>1.6</v>
      </c>
      <c r="E589" s="1">
        <v>0.6</v>
      </c>
      <c r="F589" s="1">
        <v>0.0</v>
      </c>
      <c r="G589" s="6">
        <v>0.455</v>
      </c>
      <c r="H589" s="1" t="s">
        <v>180</v>
      </c>
      <c r="I589" s="1">
        <v>8.0</v>
      </c>
      <c r="J589" s="1">
        <v>3.0</v>
      </c>
    </row>
    <row r="590">
      <c r="A590" s="1">
        <v>4.0</v>
      </c>
      <c r="B590" s="1">
        <v>16.0</v>
      </c>
      <c r="C590" s="1">
        <v>0.0</v>
      </c>
      <c r="D590" s="1">
        <v>0.0</v>
      </c>
      <c r="E590" s="1">
        <v>0.0</v>
      </c>
      <c r="F590" s="1">
        <v>0.0</v>
      </c>
      <c r="G590" s="2">
        <v>0.0</v>
      </c>
      <c r="H590" s="1" t="s">
        <v>189</v>
      </c>
      <c r="I590" s="1">
        <v>0.0</v>
      </c>
      <c r="J590" s="1">
        <v>0.0</v>
      </c>
    </row>
    <row r="591">
      <c r="A591" s="1">
        <v>5.0</v>
      </c>
      <c r="B591" s="1">
        <v>19.0</v>
      </c>
      <c r="C591" s="1">
        <v>1.0</v>
      </c>
      <c r="D591" s="1">
        <v>0.8</v>
      </c>
      <c r="E591" s="1">
        <v>0.0</v>
      </c>
      <c r="F591" s="1">
        <v>0.0</v>
      </c>
      <c r="G591" s="2">
        <v>1.0</v>
      </c>
      <c r="H591" s="1" t="s">
        <v>190</v>
      </c>
      <c r="I591" s="1">
        <v>4.0</v>
      </c>
      <c r="J591" s="1">
        <v>0.0</v>
      </c>
    </row>
    <row r="592">
      <c r="A592" s="1">
        <v>1.0</v>
      </c>
      <c r="B592" s="1">
        <v>4.0</v>
      </c>
      <c r="C592" s="1">
        <v>1.0</v>
      </c>
      <c r="D592" s="1">
        <v>4.0</v>
      </c>
      <c r="E592" s="1">
        <v>0.0</v>
      </c>
      <c r="F592" s="1">
        <v>0.0</v>
      </c>
      <c r="G592" s="2">
        <v>1.0</v>
      </c>
      <c r="H592" s="1" t="s">
        <v>191</v>
      </c>
      <c r="I592" s="1">
        <v>4.0</v>
      </c>
      <c r="J592" s="1">
        <v>0.0</v>
      </c>
    </row>
    <row r="593">
      <c r="A593" s="1">
        <v>3.0</v>
      </c>
      <c r="B593" s="1">
        <v>10.0</v>
      </c>
      <c r="C593" s="1">
        <v>3.0</v>
      </c>
      <c r="D593" s="1">
        <v>1.33</v>
      </c>
      <c r="E593" s="1">
        <v>0.0</v>
      </c>
      <c r="F593" s="1">
        <v>0.0</v>
      </c>
      <c r="G593" s="6">
        <v>0.333</v>
      </c>
      <c r="H593" s="1" t="s">
        <v>191</v>
      </c>
      <c r="I593" s="1">
        <v>4.0</v>
      </c>
      <c r="J593" s="1">
        <v>0.0</v>
      </c>
    </row>
    <row r="594">
      <c r="A594" s="1">
        <v>2.0</v>
      </c>
      <c r="B594" s="1">
        <v>7.0</v>
      </c>
      <c r="C594" s="1">
        <v>1.0</v>
      </c>
      <c r="D594" s="1">
        <v>0.0</v>
      </c>
      <c r="E594" s="1">
        <v>0.0</v>
      </c>
      <c r="F594" s="1">
        <v>0.0</v>
      </c>
      <c r="G594" s="2">
        <v>0.0</v>
      </c>
      <c r="H594" s="1" t="s">
        <v>192</v>
      </c>
      <c r="I594" s="1">
        <v>0.0</v>
      </c>
      <c r="J594" s="1">
        <v>0.0</v>
      </c>
    </row>
    <row r="595">
      <c r="A595" s="1">
        <v>1.0</v>
      </c>
      <c r="B595" s="1">
        <v>3.0</v>
      </c>
      <c r="C595" s="1">
        <v>1.0</v>
      </c>
      <c r="D595" s="1">
        <v>4.0</v>
      </c>
      <c r="E595" s="1">
        <v>0.0</v>
      </c>
      <c r="F595" s="1">
        <v>0.0</v>
      </c>
      <c r="G595" s="2">
        <v>1.0</v>
      </c>
      <c r="H595" s="1" t="s">
        <v>192</v>
      </c>
      <c r="I595" s="1">
        <v>4.0</v>
      </c>
      <c r="J595" s="1">
        <v>0.0</v>
      </c>
    </row>
    <row r="596">
      <c r="A596" s="1">
        <v>1.0</v>
      </c>
      <c r="B596" s="1">
        <v>4.0</v>
      </c>
      <c r="C596" s="1">
        <v>3.0</v>
      </c>
      <c r="D596" s="1">
        <v>8.0</v>
      </c>
      <c r="E596" s="1">
        <v>0.0</v>
      </c>
      <c r="F596" s="1">
        <v>0.0</v>
      </c>
      <c r="G596" s="6">
        <v>0.667</v>
      </c>
      <c r="H596" s="1" t="s">
        <v>194</v>
      </c>
      <c r="I596" s="1">
        <v>8.0</v>
      </c>
      <c r="J596" s="1">
        <v>0.0</v>
      </c>
    </row>
    <row r="597">
      <c r="A597" s="1">
        <v>1.0</v>
      </c>
      <c r="B597" s="1">
        <v>3.0</v>
      </c>
      <c r="C597" s="1">
        <v>1.0</v>
      </c>
      <c r="D597" s="1">
        <v>0.0</v>
      </c>
      <c r="E597" s="1">
        <v>0.0</v>
      </c>
      <c r="F597" s="1">
        <v>0.0</v>
      </c>
      <c r="G597" s="2">
        <v>0.0</v>
      </c>
      <c r="H597" s="1" t="s">
        <v>194</v>
      </c>
      <c r="I597" s="1">
        <v>0.0</v>
      </c>
      <c r="J597" s="1">
        <v>0.0</v>
      </c>
    </row>
    <row r="598">
      <c r="A598" s="1">
        <v>1.0</v>
      </c>
      <c r="B598" s="1">
        <v>4.0</v>
      </c>
      <c r="C598" s="1">
        <v>0.0</v>
      </c>
      <c r="D598" s="1">
        <v>0.0</v>
      </c>
      <c r="E598" s="1">
        <v>0.0</v>
      </c>
      <c r="F598" s="1">
        <v>0.0</v>
      </c>
      <c r="G598" s="2">
        <v>0.0</v>
      </c>
      <c r="H598" s="1" t="s">
        <v>195</v>
      </c>
      <c r="I598" s="1">
        <v>0.0</v>
      </c>
      <c r="J598" s="1">
        <v>0.0</v>
      </c>
    </row>
    <row r="599">
      <c r="A599" s="1">
        <v>4.0</v>
      </c>
      <c r="B599" s="1">
        <v>14.0</v>
      </c>
      <c r="C599" s="1">
        <v>1.0</v>
      </c>
      <c r="D599" s="1">
        <v>0.0</v>
      </c>
      <c r="E599" s="1">
        <v>0.0</v>
      </c>
      <c r="F599" s="1">
        <v>0.0</v>
      </c>
      <c r="G599" s="2">
        <v>0.0</v>
      </c>
      <c r="H599" s="1" t="s">
        <v>195</v>
      </c>
      <c r="I599" s="1">
        <v>0.0</v>
      </c>
      <c r="J599" s="1">
        <v>0.0</v>
      </c>
    </row>
    <row r="600">
      <c r="A600" s="1">
        <v>4.0</v>
      </c>
      <c r="B600" s="1">
        <v>14.0</v>
      </c>
      <c r="C600" s="1">
        <v>2.0</v>
      </c>
      <c r="D600" s="1">
        <v>2.0</v>
      </c>
      <c r="E600" s="1">
        <v>0.0</v>
      </c>
      <c r="F600" s="1">
        <v>0.0</v>
      </c>
      <c r="G600" s="2">
        <v>1.0</v>
      </c>
      <c r="H600" s="1" t="s">
        <v>112</v>
      </c>
      <c r="I600" s="1">
        <v>8.0</v>
      </c>
      <c r="J600" s="1">
        <v>0.0</v>
      </c>
    </row>
    <row r="601">
      <c r="A601" s="1">
        <v>1.0</v>
      </c>
      <c r="B601" s="1">
        <v>4.0</v>
      </c>
      <c r="C601" s="1">
        <v>0.0</v>
      </c>
      <c r="D601" s="1">
        <v>0.0</v>
      </c>
      <c r="E601" s="1">
        <v>0.0</v>
      </c>
      <c r="F601" s="1">
        <v>0.0</v>
      </c>
      <c r="G601" s="2">
        <v>0.0</v>
      </c>
      <c r="H601" s="1" t="s">
        <v>112</v>
      </c>
      <c r="I601" s="1">
        <v>0.0</v>
      </c>
      <c r="J601" s="1">
        <v>0.0</v>
      </c>
    </row>
    <row r="602">
      <c r="A602" s="1">
        <v>1.0</v>
      </c>
      <c r="B602" s="1">
        <v>4.0</v>
      </c>
      <c r="C602" s="1">
        <v>1.0</v>
      </c>
      <c r="D602" s="1">
        <v>0.0</v>
      </c>
      <c r="E602" s="1">
        <v>0.0</v>
      </c>
      <c r="F602" s="1">
        <v>0.0</v>
      </c>
      <c r="G602" s="2">
        <v>0.0</v>
      </c>
      <c r="H602" s="1" t="s">
        <v>196</v>
      </c>
      <c r="I602" s="1">
        <v>0.0</v>
      </c>
      <c r="J602" s="1">
        <v>0.0</v>
      </c>
    </row>
    <row r="603">
      <c r="A603" s="1">
        <v>5.0</v>
      </c>
      <c r="B603" s="1">
        <v>19.0</v>
      </c>
      <c r="C603" s="1">
        <v>6.0</v>
      </c>
      <c r="D603" s="1">
        <v>0.8</v>
      </c>
      <c r="E603" s="1">
        <v>0.0</v>
      </c>
      <c r="F603" s="1">
        <v>0.0</v>
      </c>
      <c r="G603" s="6">
        <v>0.167</v>
      </c>
      <c r="H603" s="1" t="s">
        <v>197</v>
      </c>
      <c r="I603" s="1">
        <v>4.0</v>
      </c>
      <c r="J603" s="1">
        <v>0.0</v>
      </c>
    </row>
    <row r="604">
      <c r="A604" s="1">
        <v>2.0</v>
      </c>
      <c r="B604" s="1">
        <v>8.0</v>
      </c>
      <c r="C604" s="1">
        <v>2.0</v>
      </c>
      <c r="D604" s="1">
        <v>2.0</v>
      </c>
      <c r="E604" s="1">
        <v>0.0</v>
      </c>
      <c r="F604" s="1">
        <v>0.0</v>
      </c>
      <c r="G604" s="2">
        <v>0.5</v>
      </c>
      <c r="H604" s="1" t="s">
        <v>198</v>
      </c>
      <c r="I604" s="1">
        <v>4.0</v>
      </c>
      <c r="J604" s="1">
        <v>0.0</v>
      </c>
    </row>
    <row r="605">
      <c r="A605" s="1">
        <v>5.0</v>
      </c>
      <c r="B605" s="1">
        <v>19.0</v>
      </c>
      <c r="C605" s="1">
        <v>3.0</v>
      </c>
      <c r="D605" s="1">
        <v>0.0</v>
      </c>
      <c r="E605" s="1">
        <v>0.2</v>
      </c>
      <c r="F605" s="1">
        <v>0.0</v>
      </c>
      <c r="G605" s="6">
        <v>0.333</v>
      </c>
      <c r="H605" s="1" t="s">
        <v>199</v>
      </c>
      <c r="I605" s="1">
        <v>0.0</v>
      </c>
      <c r="J605" s="1">
        <v>1.0</v>
      </c>
    </row>
    <row r="606">
      <c r="A606" s="1">
        <v>3.0</v>
      </c>
      <c r="B606" s="1">
        <v>13.0</v>
      </c>
      <c r="C606" s="1">
        <v>0.0</v>
      </c>
      <c r="D606" s="1">
        <v>0.0</v>
      </c>
      <c r="E606" s="1">
        <v>0.0</v>
      </c>
      <c r="F606" s="1">
        <v>0.0</v>
      </c>
      <c r="G606" s="2">
        <v>0.0</v>
      </c>
      <c r="H606" s="1" t="s">
        <v>200</v>
      </c>
      <c r="I606" s="1">
        <v>0.0</v>
      </c>
      <c r="J606" s="1">
        <v>0.0</v>
      </c>
    </row>
    <row r="607">
      <c r="A607" s="1">
        <v>3.0</v>
      </c>
      <c r="B607" s="1">
        <v>12.0</v>
      </c>
      <c r="C607" s="1">
        <v>4.0</v>
      </c>
      <c r="D607" s="1">
        <v>4.0</v>
      </c>
      <c r="E607" s="1">
        <v>0.0</v>
      </c>
      <c r="F607" s="1">
        <v>0.0</v>
      </c>
      <c r="G607" s="2">
        <v>0.75</v>
      </c>
      <c r="H607" s="1" t="s">
        <v>201</v>
      </c>
      <c r="I607" s="1">
        <v>12.0</v>
      </c>
      <c r="J607" s="1">
        <v>0.0</v>
      </c>
    </row>
    <row r="608">
      <c r="A608" s="1">
        <v>5.0</v>
      </c>
      <c r="B608" s="1">
        <v>20.0</v>
      </c>
      <c r="C608" s="1">
        <v>12.0</v>
      </c>
      <c r="D608" s="1">
        <v>1.6</v>
      </c>
      <c r="E608" s="1">
        <v>0.4</v>
      </c>
      <c r="F608" s="1">
        <v>0.0</v>
      </c>
      <c r="G608" s="6">
        <v>0.333</v>
      </c>
      <c r="H608" s="1" t="s">
        <v>70</v>
      </c>
      <c r="I608" s="1">
        <v>8.0</v>
      </c>
      <c r="J608" s="1">
        <v>2.0</v>
      </c>
    </row>
    <row r="609">
      <c r="A609" s="1">
        <v>1.0</v>
      </c>
      <c r="B609" s="1">
        <v>4.0</v>
      </c>
      <c r="C609" s="1">
        <v>0.0</v>
      </c>
      <c r="D609" s="1">
        <v>0.0</v>
      </c>
      <c r="E609" s="1">
        <v>0.0</v>
      </c>
      <c r="F609" s="1">
        <v>0.0</v>
      </c>
      <c r="G609" s="2">
        <v>0.0</v>
      </c>
      <c r="H609" s="1" t="s">
        <v>203</v>
      </c>
      <c r="I609" s="1">
        <v>0.0</v>
      </c>
      <c r="J609" s="1">
        <v>0.0</v>
      </c>
    </row>
    <row r="610">
      <c r="A610" s="1">
        <v>2.0</v>
      </c>
      <c r="B610" s="1">
        <v>8.0</v>
      </c>
      <c r="C610" s="1">
        <v>0.0</v>
      </c>
      <c r="D610" s="1">
        <v>0.0</v>
      </c>
      <c r="E610" s="1">
        <v>0.0</v>
      </c>
      <c r="F610" s="1">
        <v>0.0</v>
      </c>
      <c r="G610" s="2">
        <v>0.0</v>
      </c>
      <c r="H610" s="1" t="s">
        <v>205</v>
      </c>
      <c r="I610" s="1">
        <v>0.0</v>
      </c>
      <c r="J610" s="1">
        <v>0.0</v>
      </c>
    </row>
    <row r="611">
      <c r="A611" s="1">
        <v>1.0</v>
      </c>
      <c r="B611" s="1">
        <v>4.0</v>
      </c>
      <c r="C611" s="1">
        <v>1.0</v>
      </c>
      <c r="D611" s="1">
        <v>4.0</v>
      </c>
      <c r="E611" s="1">
        <v>0.0</v>
      </c>
      <c r="F611" s="1">
        <v>0.0</v>
      </c>
      <c r="G611" s="2">
        <v>1.0</v>
      </c>
      <c r="H611" s="1" t="s">
        <v>206</v>
      </c>
      <c r="I611" s="1">
        <v>4.0</v>
      </c>
      <c r="J611" s="1">
        <v>0.0</v>
      </c>
    </row>
    <row r="612">
      <c r="A612" s="1">
        <v>5.0</v>
      </c>
      <c r="B612" s="1">
        <v>19.0</v>
      </c>
      <c r="C612" s="1">
        <v>14.0</v>
      </c>
      <c r="D612" s="1">
        <v>6.4</v>
      </c>
      <c r="E612" s="1">
        <v>0.2</v>
      </c>
      <c r="F612" s="1">
        <v>0.0</v>
      </c>
      <c r="G612" s="6">
        <v>0.643</v>
      </c>
      <c r="H612" s="1" t="s">
        <v>62</v>
      </c>
      <c r="I612" s="1">
        <v>32.0</v>
      </c>
      <c r="J612" s="1">
        <v>1.0</v>
      </c>
    </row>
    <row r="613">
      <c r="A613" s="1">
        <v>1.0</v>
      </c>
      <c r="B613" s="1">
        <v>4.0</v>
      </c>
      <c r="C613" s="1">
        <v>0.0</v>
      </c>
      <c r="D613" s="1">
        <v>0.0</v>
      </c>
      <c r="E613" s="1">
        <v>0.0</v>
      </c>
      <c r="F613" s="1">
        <v>0.0</v>
      </c>
      <c r="G613" s="2">
        <v>0.0</v>
      </c>
      <c r="H613" s="1" t="s">
        <v>208</v>
      </c>
      <c r="I613" s="1">
        <v>0.0</v>
      </c>
      <c r="J613" s="1">
        <v>0.0</v>
      </c>
    </row>
    <row r="614">
      <c r="A614" s="1">
        <v>5.0</v>
      </c>
      <c r="B614" s="1">
        <v>17.0</v>
      </c>
      <c r="C614" s="1">
        <v>1.0</v>
      </c>
      <c r="D614" s="1">
        <v>-0.8</v>
      </c>
      <c r="E614" s="1">
        <v>0.2</v>
      </c>
      <c r="F614" s="1">
        <v>0.0</v>
      </c>
      <c r="G614" s="2">
        <v>0.0</v>
      </c>
      <c r="H614" s="1" t="s">
        <v>209</v>
      </c>
      <c r="I614" s="1">
        <v>-4.0</v>
      </c>
      <c r="J614" s="1">
        <v>1.0</v>
      </c>
    </row>
    <row r="615">
      <c r="A615" s="1">
        <v>5.0</v>
      </c>
      <c r="B615" s="1">
        <v>17.0</v>
      </c>
      <c r="C615" s="1">
        <v>4.0</v>
      </c>
      <c r="D615" s="1">
        <v>0.0</v>
      </c>
      <c r="E615" s="1">
        <v>0.0</v>
      </c>
      <c r="F615" s="1">
        <v>0.0</v>
      </c>
      <c r="G615" s="2">
        <v>0.0</v>
      </c>
      <c r="H615" s="1" t="s">
        <v>210</v>
      </c>
      <c r="I615" s="1">
        <v>0.0</v>
      </c>
      <c r="J615" s="1">
        <v>0.0</v>
      </c>
    </row>
    <row r="616">
      <c r="A616" s="1">
        <v>5.0</v>
      </c>
      <c r="B616" s="1">
        <v>17.0</v>
      </c>
      <c r="C616" s="1">
        <v>2.0</v>
      </c>
      <c r="D616" s="1">
        <v>0.0</v>
      </c>
      <c r="E616" s="1">
        <v>0.0</v>
      </c>
      <c r="F616" s="1">
        <v>0.0</v>
      </c>
      <c r="G616" s="2">
        <v>0.0</v>
      </c>
      <c r="H616" s="1" t="s">
        <v>211</v>
      </c>
      <c r="I616" s="1">
        <v>0.0</v>
      </c>
      <c r="J616" s="1">
        <v>0.0</v>
      </c>
    </row>
    <row r="617">
      <c r="A617" s="1">
        <v>5.0</v>
      </c>
      <c r="B617" s="1">
        <v>17.0</v>
      </c>
      <c r="C617" s="1">
        <v>3.0</v>
      </c>
      <c r="D617" s="1">
        <v>0.8</v>
      </c>
      <c r="E617" s="1">
        <v>0.0</v>
      </c>
      <c r="F617" s="1">
        <v>0.0</v>
      </c>
      <c r="G617" s="6">
        <v>0.333</v>
      </c>
      <c r="H617" s="1" t="s">
        <v>213</v>
      </c>
      <c r="I617" s="1">
        <v>4.0</v>
      </c>
      <c r="J617" s="1">
        <v>0.0</v>
      </c>
    </row>
    <row r="618">
      <c r="A618" s="1">
        <v>1.0</v>
      </c>
      <c r="B618" s="1">
        <v>4.0</v>
      </c>
      <c r="C618" s="1">
        <v>0.0</v>
      </c>
      <c r="D618" s="1">
        <v>0.0</v>
      </c>
      <c r="E618" s="1">
        <v>0.0</v>
      </c>
      <c r="F618" s="1">
        <v>0.0</v>
      </c>
      <c r="G618" s="2">
        <v>0.0</v>
      </c>
      <c r="H618" s="1" t="s">
        <v>214</v>
      </c>
      <c r="I618" s="1">
        <v>0.0</v>
      </c>
      <c r="J618" s="1">
        <v>0.0</v>
      </c>
    </row>
    <row r="619">
      <c r="A619" s="1">
        <v>2.0</v>
      </c>
      <c r="B619" s="1">
        <v>8.0</v>
      </c>
      <c r="C619" s="1">
        <v>0.0</v>
      </c>
      <c r="D619" s="1">
        <v>0.0</v>
      </c>
      <c r="E619" s="1">
        <v>0.0</v>
      </c>
      <c r="F619" s="1">
        <v>0.0</v>
      </c>
      <c r="G619" s="2">
        <v>0.0</v>
      </c>
      <c r="H619" s="1" t="s">
        <v>214</v>
      </c>
      <c r="I619" s="1">
        <v>0.0</v>
      </c>
      <c r="J619" s="1">
        <v>0.0</v>
      </c>
    </row>
    <row r="620">
      <c r="A620" s="1">
        <v>1.0</v>
      </c>
      <c r="B620" s="1">
        <v>4.0</v>
      </c>
      <c r="C620" s="1">
        <v>0.0</v>
      </c>
      <c r="D620" s="1">
        <v>0.0</v>
      </c>
      <c r="E620" s="1">
        <v>0.0</v>
      </c>
      <c r="F620" s="1">
        <v>0.0</v>
      </c>
      <c r="G620" s="2">
        <v>0.0</v>
      </c>
      <c r="H620" s="1" t="s">
        <v>214</v>
      </c>
      <c r="I620" s="1">
        <v>0.0</v>
      </c>
      <c r="J620" s="1">
        <v>0.0</v>
      </c>
    </row>
    <row r="621">
      <c r="A621" s="1">
        <v>1.0</v>
      </c>
      <c r="B621" s="1">
        <v>4.0</v>
      </c>
      <c r="C621" s="1">
        <v>0.0</v>
      </c>
      <c r="D621" s="1">
        <v>0.0</v>
      </c>
      <c r="E621" s="1">
        <v>0.0</v>
      </c>
      <c r="F621" s="1">
        <v>0.0</v>
      </c>
      <c r="G621" s="2">
        <v>0.0</v>
      </c>
      <c r="H621" s="1" t="s">
        <v>214</v>
      </c>
      <c r="I621" s="1">
        <v>0.0</v>
      </c>
      <c r="J621" s="1">
        <v>0.0</v>
      </c>
    </row>
    <row r="622">
      <c r="A622" s="1">
        <v>2.0</v>
      </c>
      <c r="B622" s="1">
        <v>8.0</v>
      </c>
      <c r="C622" s="1">
        <v>0.0</v>
      </c>
      <c r="D622" s="1">
        <v>0.0</v>
      </c>
      <c r="E622" s="1">
        <v>0.0</v>
      </c>
      <c r="F622" s="1">
        <v>0.0</v>
      </c>
      <c r="G622" s="2">
        <v>0.0</v>
      </c>
      <c r="H622" s="1" t="s">
        <v>217</v>
      </c>
      <c r="I622" s="1">
        <v>0.0</v>
      </c>
      <c r="J622" s="1">
        <v>0.0</v>
      </c>
    </row>
    <row r="623">
      <c r="A623" s="1">
        <v>1.0</v>
      </c>
      <c r="B623" s="1">
        <v>4.0</v>
      </c>
      <c r="C623" s="1">
        <v>0.0</v>
      </c>
      <c r="D623" s="1">
        <v>0.0</v>
      </c>
      <c r="E623" s="1">
        <v>0.0</v>
      </c>
      <c r="F623" s="1">
        <v>0.0</v>
      </c>
      <c r="G623" s="2">
        <v>0.0</v>
      </c>
      <c r="H623" s="1" t="s">
        <v>217</v>
      </c>
      <c r="I623" s="1">
        <v>0.0</v>
      </c>
      <c r="J623" s="1">
        <v>0.0</v>
      </c>
    </row>
    <row r="624">
      <c r="A624" s="1">
        <v>3.0</v>
      </c>
      <c r="B624" s="1">
        <v>12.0</v>
      </c>
      <c r="C624" s="1">
        <v>9.0</v>
      </c>
      <c r="D624" s="1">
        <v>10.67</v>
      </c>
      <c r="E624" s="1">
        <v>0.0</v>
      </c>
      <c r="F624" s="1">
        <v>0.0</v>
      </c>
      <c r="G624" s="6">
        <v>0.889</v>
      </c>
      <c r="H624" s="1" t="s">
        <v>105</v>
      </c>
      <c r="I624" s="1">
        <v>32.0</v>
      </c>
      <c r="J624" s="1">
        <v>0.0</v>
      </c>
    </row>
    <row r="625">
      <c r="A625" s="1">
        <v>1.0</v>
      </c>
      <c r="B625" s="1">
        <v>4.0</v>
      </c>
      <c r="C625" s="1">
        <v>4.0</v>
      </c>
      <c r="D625" s="1">
        <v>16.0</v>
      </c>
      <c r="E625" s="1">
        <v>0.0</v>
      </c>
      <c r="F625" s="1">
        <v>0.0</v>
      </c>
      <c r="G625" s="2">
        <v>1.0</v>
      </c>
      <c r="H625" s="1" t="s">
        <v>105</v>
      </c>
      <c r="I625" s="1">
        <v>16.0</v>
      </c>
      <c r="J625" s="1">
        <v>0.0</v>
      </c>
    </row>
    <row r="626">
      <c r="A626" s="1">
        <v>1.0</v>
      </c>
      <c r="B626" s="1">
        <v>4.0</v>
      </c>
      <c r="C626" s="1">
        <v>3.0</v>
      </c>
      <c r="D626" s="1">
        <v>-8.0</v>
      </c>
      <c r="E626" s="1">
        <v>2.0</v>
      </c>
      <c r="F626" s="1">
        <v>0.0</v>
      </c>
      <c r="G626" s="2">
        <v>0.0</v>
      </c>
      <c r="H626" s="1" t="s">
        <v>105</v>
      </c>
      <c r="I626" s="1">
        <v>-8.0</v>
      </c>
      <c r="J626" s="1">
        <v>2.0</v>
      </c>
    </row>
    <row r="627">
      <c r="A627" s="1">
        <v>1.0</v>
      </c>
      <c r="B627" s="1">
        <v>4.0</v>
      </c>
      <c r="C627" s="1">
        <v>1.0</v>
      </c>
      <c r="D627" s="1">
        <v>4.0</v>
      </c>
      <c r="E627" s="1">
        <v>0.0</v>
      </c>
      <c r="F627" s="1">
        <v>0.0</v>
      </c>
      <c r="G627" s="2">
        <v>1.0</v>
      </c>
      <c r="H627" s="1" t="s">
        <v>219</v>
      </c>
      <c r="I627" s="1">
        <v>4.0</v>
      </c>
      <c r="J627" s="1">
        <v>0.0</v>
      </c>
    </row>
    <row r="628">
      <c r="A628" s="1">
        <v>1.0</v>
      </c>
      <c r="B628" s="1">
        <v>4.0</v>
      </c>
      <c r="C628" s="1">
        <v>0.0</v>
      </c>
      <c r="D628" s="1">
        <v>0.0</v>
      </c>
      <c r="E628" s="1">
        <v>0.0</v>
      </c>
      <c r="F628" s="1">
        <v>0.0</v>
      </c>
      <c r="G628" s="2">
        <v>0.0</v>
      </c>
      <c r="H628" s="1" t="s">
        <v>220</v>
      </c>
      <c r="I628" s="1">
        <v>0.0</v>
      </c>
      <c r="J628" s="1">
        <v>0.0</v>
      </c>
    </row>
    <row r="629">
      <c r="A629" s="1">
        <v>2.0</v>
      </c>
      <c r="B629" s="1">
        <v>8.0</v>
      </c>
      <c r="C629" s="1">
        <v>0.0</v>
      </c>
      <c r="D629" s="1">
        <v>0.0</v>
      </c>
      <c r="E629" s="1">
        <v>0.0</v>
      </c>
      <c r="F629" s="1">
        <v>0.0</v>
      </c>
      <c r="G629" s="2">
        <v>0.0</v>
      </c>
      <c r="H629" s="1" t="s">
        <v>220</v>
      </c>
      <c r="I629" s="1">
        <v>0.0</v>
      </c>
      <c r="J629" s="1">
        <v>0.0</v>
      </c>
    </row>
    <row r="630">
      <c r="A630" s="1">
        <v>1.0</v>
      </c>
      <c r="B630" s="1">
        <v>4.0</v>
      </c>
      <c r="C630" s="1">
        <v>0.0</v>
      </c>
      <c r="D630" s="1">
        <v>0.0</v>
      </c>
      <c r="E630" s="1">
        <v>0.0</v>
      </c>
      <c r="F630" s="1">
        <v>0.0</v>
      </c>
      <c r="G630" s="2">
        <v>0.0</v>
      </c>
      <c r="H630" s="1" t="s">
        <v>220</v>
      </c>
      <c r="I630" s="1">
        <v>0.0</v>
      </c>
      <c r="J630" s="1">
        <v>0.0</v>
      </c>
    </row>
    <row r="631">
      <c r="A631" s="1">
        <v>1.0</v>
      </c>
      <c r="B631" s="1">
        <v>4.0</v>
      </c>
      <c r="C631" s="1">
        <v>0.0</v>
      </c>
      <c r="D631" s="1">
        <v>0.0</v>
      </c>
      <c r="E631" s="1">
        <v>0.0</v>
      </c>
      <c r="F631" s="1">
        <v>0.0</v>
      </c>
      <c r="G631" s="2">
        <v>0.0</v>
      </c>
      <c r="H631" s="1" t="s">
        <v>220</v>
      </c>
      <c r="I631" s="1">
        <v>0.0</v>
      </c>
      <c r="J631" s="1">
        <v>0.0</v>
      </c>
    </row>
    <row r="632">
      <c r="A632" s="1">
        <v>4.0</v>
      </c>
      <c r="B632" s="1">
        <v>15.0</v>
      </c>
      <c r="C632" s="1">
        <v>2.0</v>
      </c>
      <c r="D632" s="1">
        <v>2.0</v>
      </c>
      <c r="E632" s="1">
        <v>0.0</v>
      </c>
      <c r="F632" s="1">
        <v>0.0</v>
      </c>
      <c r="G632" s="2">
        <v>1.0</v>
      </c>
      <c r="H632" s="1" t="s">
        <v>222</v>
      </c>
      <c r="I632" s="1">
        <v>8.0</v>
      </c>
      <c r="J632" s="1">
        <v>0.0</v>
      </c>
    </row>
    <row r="633">
      <c r="A633" s="1">
        <v>1.0</v>
      </c>
      <c r="B633" s="1">
        <v>4.0</v>
      </c>
      <c r="C633" s="1">
        <v>0.0</v>
      </c>
      <c r="D633" s="1">
        <v>0.0</v>
      </c>
      <c r="E633" s="1">
        <v>0.0</v>
      </c>
      <c r="F633" s="1">
        <v>0.0</v>
      </c>
      <c r="G633" s="2">
        <v>0.0</v>
      </c>
      <c r="H633" s="1" t="s">
        <v>222</v>
      </c>
      <c r="I633" s="1">
        <v>0.0</v>
      </c>
      <c r="J633" s="1">
        <v>0.0</v>
      </c>
    </row>
    <row r="634">
      <c r="A634" s="1">
        <v>2.0</v>
      </c>
      <c r="B634" s="1">
        <v>7.0</v>
      </c>
      <c r="C634" s="1">
        <v>0.0</v>
      </c>
      <c r="D634" s="1">
        <v>0.0</v>
      </c>
      <c r="E634" s="1">
        <v>0.0</v>
      </c>
      <c r="F634" s="1">
        <v>0.0</v>
      </c>
      <c r="G634" s="2">
        <v>0.0</v>
      </c>
      <c r="H634" s="1" t="s">
        <v>224</v>
      </c>
      <c r="I634" s="1">
        <v>0.0</v>
      </c>
      <c r="J634" s="1">
        <v>0.0</v>
      </c>
    </row>
    <row r="635">
      <c r="A635" s="1">
        <v>5.0</v>
      </c>
      <c r="B635" s="1">
        <v>19.0</v>
      </c>
      <c r="C635" s="1">
        <v>15.0</v>
      </c>
      <c r="D635" s="1">
        <v>12.0</v>
      </c>
      <c r="E635" s="1">
        <v>0.0</v>
      </c>
      <c r="F635" s="1">
        <v>0.0</v>
      </c>
      <c r="G635" s="2">
        <v>1.0</v>
      </c>
      <c r="H635" s="1" t="s">
        <v>47</v>
      </c>
      <c r="I635" s="1">
        <v>60.0</v>
      </c>
      <c r="J635" s="1">
        <v>0.0</v>
      </c>
    </row>
    <row r="636">
      <c r="A636" s="1">
        <v>1.0</v>
      </c>
      <c r="B636" s="1">
        <v>4.0</v>
      </c>
      <c r="C636" s="1">
        <v>0.0</v>
      </c>
      <c r="D636" s="1">
        <v>0.0</v>
      </c>
      <c r="E636" s="1">
        <v>0.0</v>
      </c>
      <c r="F636" s="1">
        <v>0.0</v>
      </c>
      <c r="G636" s="2">
        <v>0.0</v>
      </c>
      <c r="H636" s="1" t="s">
        <v>225</v>
      </c>
      <c r="I636" s="1">
        <v>0.0</v>
      </c>
      <c r="J636" s="1">
        <v>0.0</v>
      </c>
    </row>
    <row r="637">
      <c r="A637" s="1">
        <v>1.0</v>
      </c>
      <c r="B637" s="1">
        <v>4.0</v>
      </c>
      <c r="C637" s="1">
        <v>1.0</v>
      </c>
      <c r="D637" s="1">
        <v>4.0</v>
      </c>
      <c r="E637" s="1">
        <v>0.0</v>
      </c>
      <c r="F637" s="1">
        <v>0.0</v>
      </c>
      <c r="G637" s="2">
        <v>1.0</v>
      </c>
      <c r="H637" s="1" t="s">
        <v>226</v>
      </c>
      <c r="I637" s="1">
        <v>4.0</v>
      </c>
      <c r="J637" s="1">
        <v>0.0</v>
      </c>
    </row>
    <row r="638">
      <c r="A638" s="1">
        <v>3.0</v>
      </c>
      <c r="B638" s="1">
        <v>11.0</v>
      </c>
      <c r="C638" s="1">
        <v>1.0</v>
      </c>
      <c r="D638" s="1">
        <v>0.0</v>
      </c>
      <c r="E638" s="1">
        <v>0.0</v>
      </c>
      <c r="F638" s="1">
        <v>0.0</v>
      </c>
      <c r="G638" s="2">
        <v>0.0</v>
      </c>
      <c r="H638" s="1" t="s">
        <v>226</v>
      </c>
      <c r="I638" s="1">
        <v>0.0</v>
      </c>
      <c r="J638" s="1">
        <v>0.0</v>
      </c>
    </row>
    <row r="639">
      <c r="A639" s="1">
        <v>1.0</v>
      </c>
      <c r="B639" s="1">
        <v>4.0</v>
      </c>
      <c r="C639" s="1">
        <v>1.0</v>
      </c>
      <c r="D639" s="1">
        <v>4.0</v>
      </c>
      <c r="E639" s="1">
        <v>0.0</v>
      </c>
      <c r="F639" s="1">
        <v>0.0</v>
      </c>
      <c r="G639" s="2">
        <v>1.0</v>
      </c>
      <c r="H639" s="1" t="s">
        <v>227</v>
      </c>
      <c r="I639" s="1">
        <v>4.0</v>
      </c>
      <c r="J639" s="1">
        <v>0.0</v>
      </c>
    </row>
    <row r="640">
      <c r="A640" s="1">
        <v>1.0</v>
      </c>
      <c r="B640" s="1">
        <v>4.0</v>
      </c>
      <c r="C640" s="1">
        <v>0.0</v>
      </c>
      <c r="D640" s="1">
        <v>0.0</v>
      </c>
      <c r="E640" s="1">
        <v>0.0</v>
      </c>
      <c r="F640" s="1">
        <v>0.0</v>
      </c>
      <c r="G640" s="2">
        <v>0.0</v>
      </c>
      <c r="H640" s="1" t="s">
        <v>227</v>
      </c>
      <c r="I640" s="1">
        <v>0.0</v>
      </c>
      <c r="J640" s="1">
        <v>0.0</v>
      </c>
    </row>
    <row r="641">
      <c r="A641" s="1">
        <v>3.0</v>
      </c>
      <c r="B641" s="1">
        <v>11.0</v>
      </c>
      <c r="C641" s="1">
        <v>1.0</v>
      </c>
      <c r="D641" s="1">
        <v>0.0</v>
      </c>
      <c r="E641" s="1">
        <v>0.0</v>
      </c>
      <c r="F641" s="1">
        <v>0.0</v>
      </c>
      <c r="G641" s="2">
        <v>0.0</v>
      </c>
      <c r="H641" s="1" t="s">
        <v>227</v>
      </c>
      <c r="I641" s="1">
        <v>0.0</v>
      </c>
      <c r="J641" s="1">
        <v>0.0</v>
      </c>
    </row>
    <row r="642">
      <c r="A642" s="1">
        <v>1.0</v>
      </c>
      <c r="B642" s="1">
        <v>4.0</v>
      </c>
      <c r="C642" s="1">
        <v>0.0</v>
      </c>
      <c r="D642" s="1">
        <v>0.0</v>
      </c>
      <c r="E642" s="1">
        <v>0.0</v>
      </c>
      <c r="F642" s="1">
        <v>0.0</v>
      </c>
      <c r="G642" s="2">
        <v>0.0</v>
      </c>
      <c r="H642" s="1" t="s">
        <v>229</v>
      </c>
      <c r="I642" s="1">
        <v>0.0</v>
      </c>
      <c r="J642" s="1">
        <v>0.0</v>
      </c>
    </row>
    <row r="643">
      <c r="A643" s="1">
        <v>1.0</v>
      </c>
      <c r="B643" s="1">
        <v>4.0</v>
      </c>
      <c r="C643" s="1">
        <v>1.0</v>
      </c>
      <c r="D643" s="1">
        <v>0.0</v>
      </c>
      <c r="E643" s="1">
        <v>0.0</v>
      </c>
      <c r="F643" s="1">
        <v>0.0</v>
      </c>
      <c r="G643" s="2">
        <v>0.0</v>
      </c>
      <c r="H643" s="1" t="s">
        <v>229</v>
      </c>
      <c r="I643" s="1">
        <v>0.0</v>
      </c>
      <c r="J643" s="1">
        <v>0.0</v>
      </c>
    </row>
    <row r="644">
      <c r="A644" s="1">
        <v>2.0</v>
      </c>
      <c r="B644" s="1">
        <v>7.0</v>
      </c>
      <c r="C644" s="1">
        <v>0.0</v>
      </c>
      <c r="D644" s="1">
        <v>0.0</v>
      </c>
      <c r="E644" s="1">
        <v>0.0</v>
      </c>
      <c r="F644" s="1">
        <v>0.0</v>
      </c>
      <c r="G644" s="2">
        <v>0.0</v>
      </c>
      <c r="H644" s="1" t="s">
        <v>229</v>
      </c>
      <c r="I644" s="1">
        <v>0.0</v>
      </c>
      <c r="J644" s="1">
        <v>0.0</v>
      </c>
    </row>
    <row r="645">
      <c r="A645" s="1">
        <v>1.0</v>
      </c>
      <c r="B645" s="1">
        <v>4.0</v>
      </c>
      <c r="C645" s="1">
        <v>0.0</v>
      </c>
      <c r="D645" s="1">
        <v>0.0</v>
      </c>
      <c r="E645" s="1">
        <v>0.0</v>
      </c>
      <c r="F645" s="1">
        <v>0.0</v>
      </c>
      <c r="G645" s="2">
        <v>0.0</v>
      </c>
      <c r="H645" s="1" t="s">
        <v>232</v>
      </c>
      <c r="I645" s="1">
        <v>0.0</v>
      </c>
      <c r="J645" s="1">
        <v>0.0</v>
      </c>
    </row>
    <row r="646">
      <c r="A646" s="1">
        <v>1.0</v>
      </c>
      <c r="B646" s="1">
        <v>4.0</v>
      </c>
      <c r="C646" s="1">
        <v>0.0</v>
      </c>
      <c r="D646" s="1">
        <v>0.0</v>
      </c>
      <c r="E646" s="1">
        <v>0.0</v>
      </c>
      <c r="F646" s="1">
        <v>0.0</v>
      </c>
      <c r="G646" s="2">
        <v>0.0</v>
      </c>
      <c r="H646" s="1" t="s">
        <v>232</v>
      </c>
      <c r="I646" s="1">
        <v>0.0</v>
      </c>
      <c r="J646" s="1">
        <v>0.0</v>
      </c>
    </row>
    <row r="647">
      <c r="A647" s="1">
        <v>3.0</v>
      </c>
      <c r="B647" s="1">
        <v>11.0</v>
      </c>
      <c r="C647" s="1">
        <v>0.0</v>
      </c>
      <c r="D647" s="1">
        <v>0.0</v>
      </c>
      <c r="E647" s="1">
        <v>0.0</v>
      </c>
      <c r="F647" s="1">
        <v>0.0</v>
      </c>
      <c r="G647" s="2">
        <v>0.0</v>
      </c>
      <c r="H647" s="1" t="s">
        <v>232</v>
      </c>
      <c r="I647" s="1">
        <v>0.0</v>
      </c>
      <c r="J647" s="1">
        <v>0.0</v>
      </c>
    </row>
    <row r="648">
      <c r="A648" s="1">
        <v>1.0</v>
      </c>
      <c r="B648" s="1">
        <v>4.0</v>
      </c>
      <c r="C648" s="1">
        <v>0.0</v>
      </c>
      <c r="D648" s="1">
        <v>0.0</v>
      </c>
      <c r="E648" s="1">
        <v>0.0</v>
      </c>
      <c r="F648" s="1">
        <v>0.0</v>
      </c>
      <c r="G648" s="2">
        <v>0.0</v>
      </c>
      <c r="H648" s="1" t="s">
        <v>233</v>
      </c>
      <c r="I648" s="1">
        <v>0.0</v>
      </c>
      <c r="J648" s="1">
        <v>0.0</v>
      </c>
    </row>
    <row r="649">
      <c r="A649" s="1">
        <v>1.0</v>
      </c>
      <c r="B649" s="1">
        <v>4.0</v>
      </c>
      <c r="C649" s="1">
        <v>0.0</v>
      </c>
      <c r="D649" s="1">
        <v>0.0</v>
      </c>
      <c r="E649" s="1">
        <v>0.0</v>
      </c>
      <c r="F649" s="1">
        <v>0.0</v>
      </c>
      <c r="G649" s="2">
        <v>0.0</v>
      </c>
      <c r="H649" s="1" t="s">
        <v>233</v>
      </c>
      <c r="I649" s="1">
        <v>0.0</v>
      </c>
      <c r="J649" s="1">
        <v>0.0</v>
      </c>
    </row>
    <row r="650">
      <c r="A650" s="1">
        <v>1.0</v>
      </c>
      <c r="B650" s="1">
        <v>4.0</v>
      </c>
      <c r="C650" s="1">
        <v>0.0</v>
      </c>
      <c r="D650" s="1">
        <v>0.0</v>
      </c>
      <c r="E650" s="1">
        <v>0.0</v>
      </c>
      <c r="F650" s="1">
        <v>0.0</v>
      </c>
      <c r="G650" s="2">
        <v>0.0</v>
      </c>
      <c r="H650" s="1" t="s">
        <v>233</v>
      </c>
      <c r="I650" s="1">
        <v>0.0</v>
      </c>
      <c r="J650" s="1">
        <v>0.0</v>
      </c>
    </row>
    <row r="651">
      <c r="A651" s="1">
        <v>1.0</v>
      </c>
      <c r="B651" s="1">
        <v>4.0</v>
      </c>
      <c r="C651" s="1">
        <v>0.0</v>
      </c>
      <c r="D651" s="1">
        <v>0.0</v>
      </c>
      <c r="E651" s="1">
        <v>0.0</v>
      </c>
      <c r="F651" s="1">
        <v>0.0</v>
      </c>
      <c r="G651" s="2">
        <v>0.0</v>
      </c>
      <c r="H651" s="1" t="s">
        <v>233</v>
      </c>
      <c r="I651" s="1">
        <v>0.0</v>
      </c>
      <c r="J651" s="1">
        <v>0.0</v>
      </c>
    </row>
    <row r="652">
      <c r="A652" s="1">
        <v>2.0</v>
      </c>
      <c r="B652" s="1">
        <v>7.0</v>
      </c>
      <c r="C652" s="1">
        <v>0.0</v>
      </c>
      <c r="D652" s="1">
        <v>0.0</v>
      </c>
      <c r="E652" s="1">
        <v>0.0</v>
      </c>
      <c r="F652" s="1">
        <v>0.0</v>
      </c>
      <c r="G652" s="2">
        <v>0.0</v>
      </c>
      <c r="H652" s="1" t="s">
        <v>234</v>
      </c>
      <c r="I652" s="1">
        <v>0.0</v>
      </c>
      <c r="J652" s="1">
        <v>0.0</v>
      </c>
    </row>
    <row r="653">
      <c r="A653" s="1">
        <v>1.0</v>
      </c>
      <c r="B653" s="1">
        <v>4.0</v>
      </c>
      <c r="C653" s="1">
        <v>0.0</v>
      </c>
      <c r="D653" s="1">
        <v>0.0</v>
      </c>
      <c r="E653" s="1">
        <v>0.0</v>
      </c>
      <c r="F653" s="1">
        <v>0.0</v>
      </c>
      <c r="G653" s="2">
        <v>0.0</v>
      </c>
      <c r="H653" s="1" t="s">
        <v>153</v>
      </c>
      <c r="I653" s="1">
        <v>0.0</v>
      </c>
      <c r="J653" s="1">
        <v>0.0</v>
      </c>
    </row>
    <row r="654">
      <c r="A654" s="1">
        <v>4.0</v>
      </c>
      <c r="B654" s="1">
        <v>15.0</v>
      </c>
      <c r="C654" s="1">
        <v>8.0</v>
      </c>
      <c r="D654" s="1">
        <v>1.0</v>
      </c>
      <c r="E654" s="1">
        <v>0.0</v>
      </c>
      <c r="F654" s="1">
        <v>0.0</v>
      </c>
      <c r="G654" s="6">
        <v>0.125</v>
      </c>
      <c r="H654" s="1" t="s">
        <v>235</v>
      </c>
      <c r="I654" s="1">
        <v>4.0</v>
      </c>
      <c r="J654" s="1">
        <v>0.0</v>
      </c>
    </row>
    <row r="655">
      <c r="A655" s="1">
        <v>4.0</v>
      </c>
      <c r="B655" s="1">
        <v>15.0</v>
      </c>
      <c r="C655" s="1">
        <v>0.0</v>
      </c>
      <c r="D655" s="1">
        <v>0.0</v>
      </c>
      <c r="E655" s="1">
        <v>0.0</v>
      </c>
      <c r="F655" s="1">
        <v>0.0</v>
      </c>
      <c r="G655" s="2">
        <v>0.0</v>
      </c>
      <c r="H655" s="1" t="s">
        <v>202</v>
      </c>
      <c r="I655" s="1">
        <v>0.0</v>
      </c>
      <c r="J655" s="1">
        <v>0.0</v>
      </c>
    </row>
    <row r="656">
      <c r="A656" s="1">
        <v>1.0</v>
      </c>
      <c r="B656" s="1">
        <v>4.0</v>
      </c>
      <c r="C656" s="1">
        <v>0.0</v>
      </c>
      <c r="D656" s="1">
        <v>0.0</v>
      </c>
      <c r="E656" s="1">
        <v>0.0</v>
      </c>
      <c r="F656" s="1">
        <v>0.0</v>
      </c>
      <c r="G656" s="2">
        <v>0.0</v>
      </c>
      <c r="H656" s="1" t="s">
        <v>202</v>
      </c>
      <c r="I656" s="1">
        <v>0.0</v>
      </c>
      <c r="J656" s="1">
        <v>0.0</v>
      </c>
    </row>
    <row r="657">
      <c r="A657" s="1">
        <v>3.0</v>
      </c>
      <c r="B657" s="1">
        <v>11.0</v>
      </c>
      <c r="C657" s="1">
        <v>0.0</v>
      </c>
      <c r="D657" s="1">
        <v>0.0</v>
      </c>
      <c r="E657" s="1">
        <v>0.0</v>
      </c>
      <c r="F657" s="1">
        <v>0.0</v>
      </c>
      <c r="G657" s="2">
        <v>0.0</v>
      </c>
      <c r="H657" s="1" t="s">
        <v>135</v>
      </c>
      <c r="I657" s="1">
        <v>0.0</v>
      </c>
      <c r="J657" s="1">
        <v>0.0</v>
      </c>
    </row>
    <row r="658">
      <c r="A658" s="1">
        <v>1.0</v>
      </c>
      <c r="B658" s="1">
        <v>4.0</v>
      </c>
      <c r="C658" s="1">
        <v>0.0</v>
      </c>
      <c r="D658" s="1">
        <v>0.0</v>
      </c>
      <c r="E658" s="1">
        <v>0.0</v>
      </c>
      <c r="F658" s="1">
        <v>0.0</v>
      </c>
      <c r="G658" s="2">
        <v>0.0</v>
      </c>
      <c r="H658" s="1" t="s">
        <v>135</v>
      </c>
      <c r="I658" s="1">
        <v>0.0</v>
      </c>
      <c r="J658" s="1">
        <v>0.0</v>
      </c>
    </row>
    <row r="659">
      <c r="A659" s="1">
        <v>1.0</v>
      </c>
      <c r="B659" s="1">
        <v>4.0</v>
      </c>
      <c r="C659" s="1">
        <v>0.0</v>
      </c>
      <c r="D659" s="1">
        <v>0.0</v>
      </c>
      <c r="E659" s="1">
        <v>0.0</v>
      </c>
      <c r="F659" s="1">
        <v>0.0</v>
      </c>
      <c r="G659" s="2">
        <v>0.0</v>
      </c>
      <c r="H659" s="1" t="s">
        <v>236</v>
      </c>
      <c r="I659" s="1">
        <v>0.0</v>
      </c>
      <c r="J659" s="1">
        <v>0.0</v>
      </c>
    </row>
    <row r="660">
      <c r="A660" s="1">
        <v>1.0</v>
      </c>
      <c r="B660" s="1">
        <v>4.0</v>
      </c>
      <c r="C660" s="1">
        <v>0.0</v>
      </c>
      <c r="D660" s="1">
        <v>0.0</v>
      </c>
      <c r="E660" s="1">
        <v>0.0</v>
      </c>
      <c r="F660" s="1">
        <v>0.0</v>
      </c>
      <c r="G660" s="2">
        <v>0.0</v>
      </c>
      <c r="H660" s="1" t="s">
        <v>236</v>
      </c>
      <c r="I660" s="1">
        <v>0.0</v>
      </c>
      <c r="J660" s="1">
        <v>0.0</v>
      </c>
    </row>
    <row r="661">
      <c r="A661" s="1">
        <v>1.0</v>
      </c>
      <c r="B661" s="1">
        <v>4.0</v>
      </c>
      <c r="C661" s="1">
        <v>0.0</v>
      </c>
      <c r="D661" s="1">
        <v>0.0</v>
      </c>
      <c r="E661" s="1">
        <v>0.0</v>
      </c>
      <c r="F661" s="1">
        <v>0.0</v>
      </c>
      <c r="G661" s="2">
        <v>0.0</v>
      </c>
      <c r="H661" s="1" t="s">
        <v>237</v>
      </c>
      <c r="I661" s="1">
        <v>0.0</v>
      </c>
      <c r="J661" s="1">
        <v>0.0</v>
      </c>
    </row>
    <row r="662">
      <c r="A662" s="1">
        <v>5.0</v>
      </c>
      <c r="B662" s="1">
        <v>20.0</v>
      </c>
      <c r="C662" s="1">
        <v>0.0</v>
      </c>
      <c r="D662" s="1">
        <v>0.0</v>
      </c>
      <c r="E662" s="1">
        <v>0.0</v>
      </c>
      <c r="F662" s="1">
        <v>0.0</v>
      </c>
      <c r="G662" s="2">
        <v>0.0</v>
      </c>
      <c r="H662" s="1" t="s">
        <v>182</v>
      </c>
      <c r="I662" s="1">
        <v>0.0</v>
      </c>
      <c r="J662" s="1">
        <v>0.0</v>
      </c>
    </row>
    <row r="663">
      <c r="A663" s="1">
        <v>5.0</v>
      </c>
      <c r="B663" s="1">
        <v>20.0</v>
      </c>
      <c r="C663" s="1">
        <v>10.0</v>
      </c>
      <c r="D663" s="1">
        <v>2.4</v>
      </c>
      <c r="E663" s="1">
        <v>0.2</v>
      </c>
      <c r="F663" s="1">
        <v>0.0</v>
      </c>
      <c r="G663" s="2">
        <v>0.4</v>
      </c>
      <c r="H663" s="1" t="s">
        <v>204</v>
      </c>
      <c r="I663" s="1">
        <v>12.0</v>
      </c>
      <c r="J663" s="1">
        <v>1.0</v>
      </c>
    </row>
    <row r="664">
      <c r="A664" s="1">
        <v>3.0</v>
      </c>
      <c r="B664" s="1">
        <v>12.0</v>
      </c>
      <c r="C664" s="1">
        <v>1.0</v>
      </c>
      <c r="D664" s="1">
        <v>0.0</v>
      </c>
      <c r="E664" s="1">
        <v>0.0</v>
      </c>
      <c r="F664" s="1">
        <v>0.0</v>
      </c>
      <c r="G664" s="2">
        <v>0.0</v>
      </c>
      <c r="H664" s="1" t="s">
        <v>238</v>
      </c>
      <c r="I664" s="1">
        <v>0.0</v>
      </c>
      <c r="J664" s="1">
        <v>0.0</v>
      </c>
    </row>
    <row r="665">
      <c r="A665" s="1">
        <v>5.0</v>
      </c>
      <c r="B665" s="1">
        <v>19.0</v>
      </c>
      <c r="C665" s="1">
        <v>2.0</v>
      </c>
      <c r="D665" s="1">
        <v>0.8</v>
      </c>
      <c r="E665" s="1">
        <v>0.0</v>
      </c>
      <c r="F665" s="1">
        <v>0.0</v>
      </c>
      <c r="G665" s="2">
        <v>0.5</v>
      </c>
      <c r="H665" s="1" t="s">
        <v>149</v>
      </c>
      <c r="I665" s="1">
        <v>4.0</v>
      </c>
      <c r="J665" s="1">
        <v>0.0</v>
      </c>
    </row>
    <row r="666">
      <c r="A666" s="1">
        <v>3.0</v>
      </c>
      <c r="B666" s="1">
        <v>12.0</v>
      </c>
      <c r="C666" s="1">
        <v>5.0</v>
      </c>
      <c r="D666" s="1">
        <v>4.0</v>
      </c>
      <c r="E666" s="1">
        <v>0.0</v>
      </c>
      <c r="F666" s="1">
        <v>0.0</v>
      </c>
      <c r="G666" s="2">
        <v>0.6</v>
      </c>
      <c r="H666" s="1" t="s">
        <v>240</v>
      </c>
      <c r="I666" s="1">
        <v>12.0</v>
      </c>
      <c r="J666" s="1">
        <v>0.0</v>
      </c>
    </row>
    <row r="667">
      <c r="A667" s="1">
        <v>1.0</v>
      </c>
      <c r="B667" s="1">
        <v>4.0</v>
      </c>
      <c r="C667" s="1">
        <v>0.0</v>
      </c>
      <c r="D667" s="1">
        <v>0.0</v>
      </c>
      <c r="E667" s="1">
        <v>0.0</v>
      </c>
      <c r="F667" s="1">
        <v>0.0</v>
      </c>
      <c r="G667" s="2">
        <v>0.0</v>
      </c>
      <c r="H667" s="1" t="s">
        <v>242</v>
      </c>
      <c r="I667" s="1">
        <v>0.0</v>
      </c>
      <c r="J667" s="1">
        <v>0.0</v>
      </c>
    </row>
    <row r="668">
      <c r="A668" s="1">
        <v>1.0</v>
      </c>
      <c r="B668" s="1">
        <v>4.0</v>
      </c>
      <c r="C668" s="1">
        <v>0.0</v>
      </c>
      <c r="D668" s="1">
        <v>0.0</v>
      </c>
      <c r="E668" s="1">
        <v>0.0</v>
      </c>
      <c r="F668" s="1">
        <v>0.0</v>
      </c>
      <c r="G668" s="2">
        <v>0.0</v>
      </c>
      <c r="H668" s="1" t="s">
        <v>243</v>
      </c>
      <c r="I668" s="1">
        <v>0.0</v>
      </c>
      <c r="J668" s="1">
        <v>0.0</v>
      </c>
    </row>
    <row r="669">
      <c r="A669" s="1">
        <v>3.0</v>
      </c>
      <c r="B669" s="1">
        <v>12.0</v>
      </c>
      <c r="C669" s="1">
        <v>0.0</v>
      </c>
      <c r="D669" s="1">
        <v>0.0</v>
      </c>
      <c r="E669" s="1">
        <v>0.0</v>
      </c>
      <c r="F669" s="1">
        <v>0.0</v>
      </c>
      <c r="G669" s="2">
        <v>0.0</v>
      </c>
      <c r="H669" s="1" t="s">
        <v>244</v>
      </c>
      <c r="I669" s="1">
        <v>0.0</v>
      </c>
      <c r="J669" s="1">
        <v>0.0</v>
      </c>
    </row>
    <row r="670">
      <c r="A670" s="1">
        <v>2.0</v>
      </c>
      <c r="B670" s="1">
        <v>8.0</v>
      </c>
      <c r="C670" s="1">
        <v>0.0</v>
      </c>
      <c r="D670" s="1">
        <v>0.0</v>
      </c>
      <c r="E670" s="1">
        <v>0.0</v>
      </c>
      <c r="F670" s="1">
        <v>0.0</v>
      </c>
      <c r="G670" s="2">
        <v>0.0</v>
      </c>
      <c r="H670" s="1" t="s">
        <v>244</v>
      </c>
      <c r="I670" s="1">
        <v>0.0</v>
      </c>
      <c r="J670" s="1">
        <v>0.0</v>
      </c>
    </row>
    <row r="671">
      <c r="A671" s="1">
        <v>3.0</v>
      </c>
      <c r="B671" s="1">
        <v>12.0</v>
      </c>
      <c r="C671" s="1">
        <v>0.0</v>
      </c>
      <c r="D671" s="1">
        <v>0.0</v>
      </c>
      <c r="E671" s="1">
        <v>0.0</v>
      </c>
      <c r="F671" s="1">
        <v>0.0</v>
      </c>
      <c r="G671" s="2">
        <v>0.0</v>
      </c>
      <c r="H671" s="1" t="s">
        <v>185</v>
      </c>
      <c r="I671" s="1">
        <v>0.0</v>
      </c>
      <c r="J671" s="1">
        <v>0.0</v>
      </c>
    </row>
    <row r="672">
      <c r="A672" s="1">
        <v>2.0</v>
      </c>
      <c r="B672" s="1">
        <v>8.0</v>
      </c>
      <c r="C672" s="1">
        <v>0.0</v>
      </c>
      <c r="D672" s="1">
        <v>0.0</v>
      </c>
      <c r="E672" s="1">
        <v>0.0</v>
      </c>
      <c r="F672" s="1">
        <v>0.0</v>
      </c>
      <c r="G672" s="2">
        <v>0.0</v>
      </c>
      <c r="H672" s="1" t="s">
        <v>185</v>
      </c>
      <c r="I672" s="1">
        <v>0.0</v>
      </c>
      <c r="J672" s="1">
        <v>0.0</v>
      </c>
    </row>
    <row r="673">
      <c r="A673" s="1">
        <v>3.0</v>
      </c>
      <c r="B673" s="1">
        <v>12.0</v>
      </c>
      <c r="C673" s="1">
        <v>4.0</v>
      </c>
      <c r="D673" s="1">
        <v>4.0</v>
      </c>
      <c r="E673" s="1">
        <v>0.0</v>
      </c>
      <c r="F673" s="1">
        <v>0.0</v>
      </c>
      <c r="G673" s="2">
        <v>0.75</v>
      </c>
      <c r="H673" s="1" t="s">
        <v>248</v>
      </c>
      <c r="I673" s="1">
        <v>12.0</v>
      </c>
      <c r="J673" s="1">
        <v>0.0</v>
      </c>
    </row>
    <row r="674">
      <c r="A674" s="1">
        <v>2.0</v>
      </c>
      <c r="B674" s="1">
        <v>8.0</v>
      </c>
      <c r="C674" s="1">
        <v>3.0</v>
      </c>
      <c r="D674" s="1">
        <v>0.0</v>
      </c>
      <c r="E674" s="1">
        <v>0.0</v>
      </c>
      <c r="F674" s="1">
        <v>0.0</v>
      </c>
      <c r="G674" s="2">
        <v>0.0</v>
      </c>
      <c r="H674" s="1" t="s">
        <v>248</v>
      </c>
      <c r="I674" s="1">
        <v>0.0</v>
      </c>
      <c r="J674" s="1">
        <v>0.0</v>
      </c>
    </row>
    <row r="675">
      <c r="A675" s="1">
        <v>2.0</v>
      </c>
      <c r="B675" s="1">
        <v>8.0</v>
      </c>
      <c r="C675" s="1">
        <v>2.0</v>
      </c>
      <c r="D675" s="1">
        <v>0.0</v>
      </c>
      <c r="E675" s="1">
        <v>0.5</v>
      </c>
      <c r="F675" s="1">
        <v>0.0</v>
      </c>
      <c r="G675" s="2">
        <v>0.5</v>
      </c>
      <c r="H675" s="1" t="s">
        <v>250</v>
      </c>
      <c r="I675" s="1">
        <v>0.0</v>
      </c>
      <c r="J675" s="1">
        <v>1.0</v>
      </c>
    </row>
    <row r="676">
      <c r="A676" s="1">
        <v>1.0</v>
      </c>
      <c r="B676" s="1">
        <v>4.0</v>
      </c>
      <c r="C676" s="1">
        <v>1.0</v>
      </c>
      <c r="D676" s="1">
        <v>4.0</v>
      </c>
      <c r="E676" s="1">
        <v>0.0</v>
      </c>
      <c r="F676" s="1">
        <v>0.0</v>
      </c>
      <c r="G676" s="2">
        <v>1.0</v>
      </c>
      <c r="H676" s="1" t="s">
        <v>250</v>
      </c>
      <c r="I676" s="1">
        <v>4.0</v>
      </c>
      <c r="J676" s="1">
        <v>0.0</v>
      </c>
    </row>
    <row r="677">
      <c r="A677" s="1">
        <v>1.0</v>
      </c>
      <c r="B677" s="1">
        <v>4.0</v>
      </c>
      <c r="C677" s="1">
        <v>1.0</v>
      </c>
      <c r="D677" s="1">
        <v>4.0</v>
      </c>
      <c r="E677" s="1">
        <v>0.0</v>
      </c>
      <c r="F677" s="1">
        <v>0.0</v>
      </c>
      <c r="G677" s="2">
        <v>1.0</v>
      </c>
      <c r="H677" s="1" t="s">
        <v>251</v>
      </c>
      <c r="I677" s="1">
        <v>4.0</v>
      </c>
      <c r="J677" s="1">
        <v>0.0</v>
      </c>
    </row>
    <row r="678">
      <c r="A678" s="1">
        <v>1.0</v>
      </c>
      <c r="B678" s="1">
        <v>4.0</v>
      </c>
      <c r="C678" s="1">
        <v>0.0</v>
      </c>
      <c r="D678" s="1">
        <v>0.0</v>
      </c>
      <c r="E678" s="1">
        <v>0.0</v>
      </c>
      <c r="F678" s="1">
        <v>0.0</v>
      </c>
      <c r="G678" s="2">
        <v>0.0</v>
      </c>
      <c r="H678" s="1" t="s">
        <v>239</v>
      </c>
      <c r="I678" s="1">
        <v>0.0</v>
      </c>
      <c r="J678" s="1">
        <v>0.0</v>
      </c>
    </row>
    <row r="679">
      <c r="A679" s="1">
        <v>4.0</v>
      </c>
      <c r="B679" s="1">
        <v>16.0</v>
      </c>
      <c r="C679" s="1">
        <v>11.0</v>
      </c>
      <c r="D679" s="1">
        <v>-2.0</v>
      </c>
      <c r="E679" s="1">
        <v>1.0</v>
      </c>
      <c r="F679" s="1">
        <v>0.0</v>
      </c>
      <c r="G679" s="6">
        <v>0.182</v>
      </c>
      <c r="H679" s="1" t="s">
        <v>253</v>
      </c>
      <c r="I679" s="1">
        <v>-8.0</v>
      </c>
      <c r="J679" s="1">
        <v>4.0</v>
      </c>
    </row>
    <row r="680">
      <c r="A680" s="1">
        <v>1.0</v>
      </c>
      <c r="B680" s="1">
        <v>4.0</v>
      </c>
      <c r="C680" s="1">
        <v>4.0</v>
      </c>
      <c r="D680" s="1">
        <v>16.0</v>
      </c>
      <c r="E680" s="1">
        <v>0.0</v>
      </c>
      <c r="F680" s="1">
        <v>0.0</v>
      </c>
      <c r="G680" s="2">
        <v>1.0</v>
      </c>
      <c r="H680" s="1" t="s">
        <v>253</v>
      </c>
      <c r="I680" s="1">
        <v>16.0</v>
      </c>
      <c r="J680" s="1">
        <v>0.0</v>
      </c>
    </row>
    <row r="681">
      <c r="A681" s="1">
        <v>4.0</v>
      </c>
      <c r="B681" s="1">
        <v>16.0</v>
      </c>
      <c r="C681" s="1">
        <v>1.0</v>
      </c>
      <c r="D681" s="1">
        <v>1.0</v>
      </c>
      <c r="E681" s="1">
        <v>0.0</v>
      </c>
      <c r="F681" s="1">
        <v>0.0</v>
      </c>
      <c r="G681" s="2">
        <v>1.0</v>
      </c>
      <c r="H681" s="1" t="s">
        <v>255</v>
      </c>
      <c r="I681" s="1">
        <v>4.0</v>
      </c>
      <c r="J681" s="1">
        <v>0.0</v>
      </c>
    </row>
    <row r="682">
      <c r="A682" s="1">
        <v>1.0</v>
      </c>
      <c r="B682" s="1">
        <v>4.0</v>
      </c>
      <c r="C682" s="1">
        <v>0.0</v>
      </c>
      <c r="D682" s="1">
        <v>0.0</v>
      </c>
      <c r="E682" s="1">
        <v>0.0</v>
      </c>
      <c r="F682" s="1">
        <v>0.0</v>
      </c>
      <c r="G682" s="2">
        <v>0.0</v>
      </c>
      <c r="H682" s="1" t="s">
        <v>255</v>
      </c>
      <c r="I682" s="1">
        <v>0.0</v>
      </c>
      <c r="J682" s="1">
        <v>0.0</v>
      </c>
    </row>
    <row r="683">
      <c r="A683" s="1">
        <v>4.0</v>
      </c>
      <c r="B683" s="1">
        <v>16.0</v>
      </c>
      <c r="C683" s="1">
        <v>1.0</v>
      </c>
      <c r="D683" s="1">
        <v>1.0</v>
      </c>
      <c r="E683" s="1">
        <v>0.0</v>
      </c>
      <c r="F683" s="1">
        <v>0.0</v>
      </c>
      <c r="G683" s="2">
        <v>1.0</v>
      </c>
      <c r="H683" s="1" t="s">
        <v>164</v>
      </c>
      <c r="I683" s="1">
        <v>4.0</v>
      </c>
      <c r="J683" s="1">
        <v>0.0</v>
      </c>
    </row>
    <row r="684">
      <c r="A684" s="1">
        <v>1.0</v>
      </c>
      <c r="B684" s="1">
        <v>4.0</v>
      </c>
      <c r="C684" s="1">
        <v>0.0</v>
      </c>
      <c r="D684" s="1">
        <v>0.0</v>
      </c>
      <c r="E684" s="1">
        <v>0.0</v>
      </c>
      <c r="F684" s="1">
        <v>0.0</v>
      </c>
      <c r="G684" s="2">
        <v>0.0</v>
      </c>
      <c r="H684" s="1" t="s">
        <v>164</v>
      </c>
      <c r="I684" s="1">
        <v>0.0</v>
      </c>
      <c r="J684" s="1">
        <v>0.0</v>
      </c>
    </row>
    <row r="685">
      <c r="A685" s="1">
        <v>1.0</v>
      </c>
      <c r="B685" s="1">
        <v>3.0</v>
      </c>
      <c r="C685" s="1">
        <v>2.0</v>
      </c>
      <c r="D685" s="1">
        <v>8.0</v>
      </c>
      <c r="E685" s="1">
        <v>0.0</v>
      </c>
      <c r="F685" s="1">
        <v>0.0</v>
      </c>
      <c r="G685" s="2">
        <v>1.0</v>
      </c>
      <c r="H685" s="1" t="s">
        <v>257</v>
      </c>
      <c r="I685" s="1">
        <v>8.0</v>
      </c>
      <c r="J685" s="1">
        <v>0.0</v>
      </c>
    </row>
    <row r="686">
      <c r="A686" s="1">
        <v>1.0</v>
      </c>
      <c r="B686" s="1">
        <v>3.0</v>
      </c>
      <c r="C686" s="1">
        <v>1.0</v>
      </c>
      <c r="D686" s="1">
        <v>4.0</v>
      </c>
      <c r="E686" s="1">
        <v>0.0</v>
      </c>
      <c r="F686" s="1">
        <v>0.0</v>
      </c>
      <c r="G686" s="2">
        <v>1.0</v>
      </c>
      <c r="H686" s="1" t="s">
        <v>257</v>
      </c>
      <c r="I686" s="1">
        <v>4.0</v>
      </c>
      <c r="J686" s="1">
        <v>0.0</v>
      </c>
    </row>
    <row r="687">
      <c r="A687" s="1">
        <v>2.0</v>
      </c>
      <c r="B687" s="1">
        <v>7.0</v>
      </c>
      <c r="C687" s="1">
        <v>1.0</v>
      </c>
      <c r="D687" s="1">
        <v>2.0</v>
      </c>
      <c r="E687" s="1">
        <v>0.0</v>
      </c>
      <c r="F687" s="1">
        <v>0.0</v>
      </c>
      <c r="G687" s="2">
        <v>1.0</v>
      </c>
      <c r="H687" s="1" t="s">
        <v>259</v>
      </c>
      <c r="I687" s="1">
        <v>4.0</v>
      </c>
      <c r="J687" s="1">
        <v>0.0</v>
      </c>
    </row>
    <row r="688">
      <c r="A688" s="1">
        <v>2.0</v>
      </c>
      <c r="B688" s="1">
        <v>7.0</v>
      </c>
      <c r="C688" s="1">
        <v>1.0</v>
      </c>
      <c r="D688" s="1">
        <v>0.0</v>
      </c>
      <c r="E688" s="1">
        <v>0.0</v>
      </c>
      <c r="F688" s="1">
        <v>0.0</v>
      </c>
      <c r="G688" s="2">
        <v>0.0</v>
      </c>
      <c r="H688" s="1" t="s">
        <v>259</v>
      </c>
      <c r="I688" s="1">
        <v>0.0</v>
      </c>
      <c r="J688" s="1">
        <v>0.0</v>
      </c>
    </row>
    <row r="689">
      <c r="A689" s="1">
        <v>3.0</v>
      </c>
      <c r="B689" s="1">
        <v>10.0</v>
      </c>
      <c r="C689" s="1">
        <v>0.0</v>
      </c>
      <c r="D689" s="1">
        <v>0.0</v>
      </c>
      <c r="E689" s="1">
        <v>0.0</v>
      </c>
      <c r="F689" s="1">
        <v>0.0</v>
      </c>
      <c r="G689" s="2">
        <v>0.0</v>
      </c>
      <c r="H689" s="1" t="s">
        <v>99</v>
      </c>
      <c r="I689" s="1">
        <v>0.0</v>
      </c>
      <c r="J689" s="1">
        <v>0.0</v>
      </c>
    </row>
    <row r="690">
      <c r="A690" s="1">
        <v>2.0</v>
      </c>
      <c r="B690" s="1">
        <v>7.0</v>
      </c>
      <c r="C690" s="1">
        <v>0.0</v>
      </c>
      <c r="D690" s="1">
        <v>0.0</v>
      </c>
      <c r="E690" s="1">
        <v>0.0</v>
      </c>
      <c r="F690" s="1">
        <v>0.0</v>
      </c>
      <c r="G690" s="2">
        <v>0.0</v>
      </c>
      <c r="H690" s="1" t="s">
        <v>99</v>
      </c>
      <c r="I690" s="1">
        <v>0.0</v>
      </c>
      <c r="J690" s="1">
        <v>0.0</v>
      </c>
    </row>
    <row r="691">
      <c r="A691" s="1">
        <v>3.0</v>
      </c>
      <c r="B691" s="1">
        <v>10.0</v>
      </c>
      <c r="C691" s="1">
        <v>1.0</v>
      </c>
      <c r="D691" s="1">
        <v>1.33</v>
      </c>
      <c r="E691" s="1">
        <v>0.0</v>
      </c>
      <c r="F691" s="1">
        <v>0.0</v>
      </c>
      <c r="G691" s="2">
        <v>1.0</v>
      </c>
      <c r="H691" s="1" t="s">
        <v>262</v>
      </c>
      <c r="I691" s="1">
        <v>4.0</v>
      </c>
      <c r="J691" s="1">
        <v>0.0</v>
      </c>
    </row>
    <row r="692">
      <c r="A692" s="1">
        <v>1.0</v>
      </c>
      <c r="B692" s="1">
        <v>3.0</v>
      </c>
      <c r="C692" s="1">
        <v>0.0</v>
      </c>
      <c r="D692" s="1">
        <v>0.0</v>
      </c>
      <c r="E692" s="1">
        <v>0.0</v>
      </c>
      <c r="F692" s="1">
        <v>0.0</v>
      </c>
      <c r="G692" s="2">
        <v>0.0</v>
      </c>
      <c r="H692" s="1" t="s">
        <v>262</v>
      </c>
      <c r="I692" s="1">
        <v>0.0</v>
      </c>
      <c r="J692" s="1">
        <v>0.0</v>
      </c>
    </row>
    <row r="693">
      <c r="A693" s="1">
        <v>1.0</v>
      </c>
      <c r="B693" s="1">
        <v>4.0</v>
      </c>
      <c r="C693" s="1">
        <v>1.0</v>
      </c>
      <c r="D693" s="1">
        <v>0.0</v>
      </c>
      <c r="E693" s="1">
        <v>0.0</v>
      </c>
      <c r="F693" s="1">
        <v>0.0</v>
      </c>
      <c r="G693" s="2">
        <v>0.0</v>
      </c>
      <c r="H693" s="1" t="s">
        <v>262</v>
      </c>
      <c r="I693" s="1">
        <v>0.0</v>
      </c>
      <c r="J693" s="1">
        <v>0.0</v>
      </c>
    </row>
    <row r="694">
      <c r="A694" s="1">
        <v>1.0</v>
      </c>
      <c r="B694" s="1">
        <v>3.0</v>
      </c>
      <c r="C694" s="1">
        <v>0.0</v>
      </c>
      <c r="D694" s="1">
        <v>0.0</v>
      </c>
      <c r="E694" s="1">
        <v>0.0</v>
      </c>
      <c r="F694" s="1">
        <v>0.0</v>
      </c>
      <c r="G694" s="2">
        <v>0.0</v>
      </c>
      <c r="H694" s="1" t="s">
        <v>241</v>
      </c>
      <c r="I694" s="1">
        <v>0.0</v>
      </c>
      <c r="J694" s="1">
        <v>0.0</v>
      </c>
    </row>
    <row r="695">
      <c r="A695" s="1">
        <v>1.0</v>
      </c>
      <c r="B695" s="1">
        <v>4.0</v>
      </c>
      <c r="C695" s="1">
        <v>0.0</v>
      </c>
      <c r="D695" s="1">
        <v>0.0</v>
      </c>
      <c r="E695" s="1">
        <v>0.0</v>
      </c>
      <c r="F695" s="1">
        <v>0.0</v>
      </c>
      <c r="G695" s="2">
        <v>0.0</v>
      </c>
      <c r="H695" s="1" t="s">
        <v>241</v>
      </c>
      <c r="I695" s="1">
        <v>0.0</v>
      </c>
      <c r="J695" s="1">
        <v>0.0</v>
      </c>
    </row>
    <row r="696">
      <c r="A696" s="1">
        <v>2.0</v>
      </c>
      <c r="B696" s="1">
        <v>7.0</v>
      </c>
      <c r="C696" s="1">
        <v>1.0</v>
      </c>
      <c r="D696" s="1">
        <v>2.0</v>
      </c>
      <c r="E696" s="1">
        <v>0.0</v>
      </c>
      <c r="F696" s="1">
        <v>0.0</v>
      </c>
      <c r="G696" s="2">
        <v>1.0</v>
      </c>
      <c r="H696" s="1" t="s">
        <v>263</v>
      </c>
      <c r="I696" s="1">
        <v>4.0</v>
      </c>
      <c r="J696" s="1">
        <v>0.0</v>
      </c>
    </row>
    <row r="697">
      <c r="A697" s="1">
        <v>1.0</v>
      </c>
      <c r="B697" s="1">
        <v>3.0</v>
      </c>
      <c r="C697" s="1">
        <v>0.0</v>
      </c>
      <c r="D697" s="1">
        <v>0.0</v>
      </c>
      <c r="E697" s="1">
        <v>0.0</v>
      </c>
      <c r="F697" s="1">
        <v>0.0</v>
      </c>
      <c r="G697" s="2">
        <v>0.0</v>
      </c>
      <c r="H697" s="1" t="s">
        <v>263</v>
      </c>
      <c r="I697" s="1">
        <v>0.0</v>
      </c>
      <c r="J697" s="1">
        <v>0.0</v>
      </c>
    </row>
    <row r="698">
      <c r="A698" s="1">
        <v>1.0</v>
      </c>
      <c r="B698" s="1">
        <v>3.0</v>
      </c>
      <c r="C698" s="1">
        <v>0.0</v>
      </c>
      <c r="D698" s="1">
        <v>0.0</v>
      </c>
      <c r="E698" s="1">
        <v>0.0</v>
      </c>
      <c r="F698" s="1">
        <v>0.0</v>
      </c>
      <c r="G698" s="2">
        <v>0.0</v>
      </c>
      <c r="H698" s="1" t="s">
        <v>264</v>
      </c>
      <c r="I698" s="1">
        <v>0.0</v>
      </c>
      <c r="J698" s="1">
        <v>0.0</v>
      </c>
    </row>
    <row r="699">
      <c r="A699" s="1">
        <v>3.0</v>
      </c>
      <c r="B699" s="1">
        <v>11.0</v>
      </c>
      <c r="C699" s="1">
        <v>0.0</v>
      </c>
      <c r="D699" s="1">
        <v>0.0</v>
      </c>
      <c r="E699" s="1">
        <v>0.0</v>
      </c>
      <c r="F699" s="1">
        <v>0.0</v>
      </c>
      <c r="G699" s="2">
        <v>0.0</v>
      </c>
      <c r="H699" s="1" t="s">
        <v>264</v>
      </c>
      <c r="I699" s="1">
        <v>0.0</v>
      </c>
      <c r="J699" s="1">
        <v>0.0</v>
      </c>
    </row>
    <row r="700">
      <c r="A700" s="1">
        <v>1.0</v>
      </c>
      <c r="B700" s="1">
        <v>3.0</v>
      </c>
      <c r="C700" s="1">
        <v>0.0</v>
      </c>
      <c r="D700" s="1">
        <v>0.0</v>
      </c>
      <c r="E700" s="1">
        <v>0.0</v>
      </c>
      <c r="F700" s="1">
        <v>0.0</v>
      </c>
      <c r="G700" s="2">
        <v>0.0</v>
      </c>
      <c r="H700" s="1" t="s">
        <v>265</v>
      </c>
      <c r="I700" s="1">
        <v>0.0</v>
      </c>
      <c r="J700" s="1">
        <v>0.0</v>
      </c>
    </row>
    <row r="701">
      <c r="A701" s="1">
        <v>4.0</v>
      </c>
      <c r="B701" s="1">
        <v>15.0</v>
      </c>
      <c r="C701" s="1">
        <v>8.0</v>
      </c>
      <c r="D701" s="1">
        <v>5.0</v>
      </c>
      <c r="E701" s="1">
        <v>0.0</v>
      </c>
      <c r="F701" s="1">
        <v>0.0</v>
      </c>
      <c r="G701" s="6">
        <v>0.625</v>
      </c>
      <c r="H701" s="1" t="s">
        <v>265</v>
      </c>
      <c r="I701" s="1">
        <v>20.0</v>
      </c>
      <c r="J701" s="1">
        <v>0.0</v>
      </c>
    </row>
    <row r="702">
      <c r="A702" s="1">
        <v>4.0</v>
      </c>
      <c r="B702" s="1">
        <v>15.0</v>
      </c>
      <c r="C702" s="1">
        <v>1.0</v>
      </c>
      <c r="D702" s="1">
        <v>0.0</v>
      </c>
      <c r="E702" s="1">
        <v>0.0</v>
      </c>
      <c r="F702" s="1">
        <v>0.0</v>
      </c>
      <c r="G702" s="2">
        <v>0.0</v>
      </c>
      <c r="H702" s="1" t="s">
        <v>266</v>
      </c>
      <c r="I702" s="1">
        <v>0.0</v>
      </c>
      <c r="J702" s="1">
        <v>0.0</v>
      </c>
    </row>
    <row r="703">
      <c r="A703" s="1">
        <v>1.0</v>
      </c>
      <c r="B703" s="1">
        <v>3.0</v>
      </c>
      <c r="C703" s="1">
        <v>1.0</v>
      </c>
      <c r="D703" s="1">
        <v>4.0</v>
      </c>
      <c r="E703" s="1">
        <v>0.0</v>
      </c>
      <c r="F703" s="1">
        <v>0.0</v>
      </c>
      <c r="G703" s="2">
        <v>1.0</v>
      </c>
      <c r="H703" s="1" t="s">
        <v>93</v>
      </c>
      <c r="I703" s="1">
        <v>4.0</v>
      </c>
      <c r="J703" s="1">
        <v>0.0</v>
      </c>
    </row>
    <row r="704">
      <c r="A704" s="1">
        <v>4.0</v>
      </c>
      <c r="B704" s="1">
        <v>15.0</v>
      </c>
      <c r="C704" s="1">
        <v>1.0</v>
      </c>
      <c r="D704" s="1">
        <v>-1.0</v>
      </c>
      <c r="E704" s="1">
        <v>0.25</v>
      </c>
      <c r="F704" s="1">
        <v>0.0</v>
      </c>
      <c r="G704" s="2">
        <v>0.0</v>
      </c>
      <c r="H704" s="1" t="s">
        <v>93</v>
      </c>
      <c r="I704" s="1">
        <v>-4.0</v>
      </c>
      <c r="J704" s="1">
        <v>1.0</v>
      </c>
    </row>
    <row r="705">
      <c r="A705" s="1">
        <v>1.0</v>
      </c>
      <c r="B705" s="1">
        <v>4.0</v>
      </c>
      <c r="C705" s="1">
        <v>0.0</v>
      </c>
      <c r="D705" s="1">
        <v>0.0</v>
      </c>
      <c r="E705" s="1">
        <v>0.0</v>
      </c>
      <c r="F705" s="1">
        <v>0.0</v>
      </c>
      <c r="G705" s="2">
        <v>0.0</v>
      </c>
      <c r="H705" s="1" t="s">
        <v>268</v>
      </c>
      <c r="I705" s="1">
        <v>0.0</v>
      </c>
      <c r="J705" s="1">
        <v>0.0</v>
      </c>
    </row>
    <row r="706">
      <c r="A706" s="1">
        <v>4.0</v>
      </c>
      <c r="B706" s="1">
        <v>15.0</v>
      </c>
      <c r="C706" s="1">
        <v>8.0</v>
      </c>
      <c r="D706" s="1">
        <v>4.0</v>
      </c>
      <c r="E706" s="1">
        <v>0.0</v>
      </c>
      <c r="F706" s="1">
        <v>0.0</v>
      </c>
      <c r="G706" s="2">
        <v>0.5</v>
      </c>
      <c r="H706" s="1" t="s">
        <v>80</v>
      </c>
      <c r="I706" s="1">
        <v>16.0</v>
      </c>
      <c r="J706" s="1">
        <v>0.0</v>
      </c>
    </row>
    <row r="707">
      <c r="A707" s="1">
        <v>1.0</v>
      </c>
      <c r="B707" s="1">
        <v>3.0</v>
      </c>
      <c r="C707" s="1">
        <v>0.0</v>
      </c>
      <c r="D707" s="1">
        <v>0.0</v>
      </c>
      <c r="E707" s="1">
        <v>0.0</v>
      </c>
      <c r="F707" s="1">
        <v>0.0</v>
      </c>
      <c r="G707" s="2">
        <v>0.0</v>
      </c>
      <c r="H707" s="1" t="s">
        <v>221</v>
      </c>
      <c r="I707" s="1">
        <v>0.0</v>
      </c>
      <c r="J707" s="1">
        <v>0.0</v>
      </c>
    </row>
    <row r="708">
      <c r="A708" s="1">
        <v>3.0</v>
      </c>
      <c r="B708" s="1">
        <v>12.0</v>
      </c>
      <c r="C708" s="1">
        <v>0.0</v>
      </c>
      <c r="D708" s="1">
        <v>0.0</v>
      </c>
      <c r="E708" s="1">
        <v>0.0</v>
      </c>
      <c r="F708" s="1">
        <v>0.0</v>
      </c>
      <c r="G708" s="2">
        <v>0.0</v>
      </c>
      <c r="H708" s="1" t="s">
        <v>221</v>
      </c>
      <c r="I708" s="1">
        <v>0.0</v>
      </c>
      <c r="J708" s="1">
        <v>0.0</v>
      </c>
    </row>
    <row r="709">
      <c r="A709" s="1">
        <v>1.0</v>
      </c>
      <c r="B709" s="1">
        <v>4.0</v>
      </c>
      <c r="C709" s="1">
        <v>1.0</v>
      </c>
      <c r="D709" s="1">
        <v>0.0</v>
      </c>
      <c r="E709" s="1">
        <v>0.0</v>
      </c>
      <c r="F709" s="1">
        <v>0.0</v>
      </c>
      <c r="G709" s="2">
        <v>0.0</v>
      </c>
      <c r="H709" s="1" t="s">
        <v>270</v>
      </c>
      <c r="I709" s="1">
        <v>0.0</v>
      </c>
      <c r="J709" s="1">
        <v>0.0</v>
      </c>
    </row>
    <row r="710">
      <c r="A710" s="1">
        <v>1.0</v>
      </c>
      <c r="B710" s="1">
        <v>4.0</v>
      </c>
      <c r="C710" s="1">
        <v>0.0</v>
      </c>
      <c r="D710" s="1">
        <v>0.0</v>
      </c>
      <c r="E710" s="1">
        <v>0.0</v>
      </c>
      <c r="F710" s="1">
        <v>0.0</v>
      </c>
      <c r="G710" s="2">
        <v>0.0</v>
      </c>
      <c r="H710" s="1" t="s">
        <v>270</v>
      </c>
      <c r="I710" s="1">
        <v>0.0</v>
      </c>
      <c r="J710" s="1">
        <v>0.0</v>
      </c>
    </row>
    <row r="711">
      <c r="A711" s="1">
        <v>1.0</v>
      </c>
      <c r="B711" s="1">
        <v>3.0</v>
      </c>
      <c r="C711" s="1">
        <v>1.0</v>
      </c>
      <c r="D711" s="1">
        <v>4.0</v>
      </c>
      <c r="E711" s="1">
        <v>0.0</v>
      </c>
      <c r="F711" s="1">
        <v>0.0</v>
      </c>
      <c r="G711" s="2">
        <v>1.0</v>
      </c>
      <c r="H711" s="1" t="s">
        <v>228</v>
      </c>
      <c r="I711" s="1">
        <v>4.0</v>
      </c>
      <c r="J711" s="1">
        <v>0.0</v>
      </c>
    </row>
    <row r="712">
      <c r="A712" s="1">
        <v>4.0</v>
      </c>
      <c r="B712" s="1">
        <v>16.0</v>
      </c>
      <c r="C712" s="1">
        <v>2.0</v>
      </c>
      <c r="D712" s="1">
        <v>1.0</v>
      </c>
      <c r="E712" s="1">
        <v>0.0</v>
      </c>
      <c r="F712" s="1">
        <v>0.0</v>
      </c>
      <c r="G712" s="2">
        <v>0.5</v>
      </c>
      <c r="H712" s="1" t="s">
        <v>228</v>
      </c>
      <c r="I712" s="1">
        <v>4.0</v>
      </c>
      <c r="J712" s="1">
        <v>0.0</v>
      </c>
    </row>
    <row r="713">
      <c r="A713" s="1">
        <v>1.0</v>
      </c>
      <c r="B713" s="1">
        <v>3.0</v>
      </c>
      <c r="C713" s="1">
        <v>1.0</v>
      </c>
      <c r="D713" s="1">
        <v>4.0</v>
      </c>
      <c r="E713" s="1">
        <v>0.0</v>
      </c>
      <c r="F713" s="1">
        <v>0.0</v>
      </c>
      <c r="G713" s="2">
        <v>1.0</v>
      </c>
      <c r="H713" s="1" t="s">
        <v>273</v>
      </c>
      <c r="I713" s="1">
        <v>4.0</v>
      </c>
      <c r="J713" s="1">
        <v>0.0</v>
      </c>
    </row>
    <row r="714">
      <c r="A714" s="1">
        <v>3.0</v>
      </c>
      <c r="B714" s="1">
        <v>13.0</v>
      </c>
      <c r="C714" s="1">
        <v>3.0</v>
      </c>
      <c r="D714" s="1">
        <v>0.0</v>
      </c>
      <c r="E714" s="1">
        <v>0.0</v>
      </c>
      <c r="F714" s="1">
        <v>0.0</v>
      </c>
      <c r="G714" s="2">
        <v>0.0</v>
      </c>
      <c r="H714" s="1" t="s">
        <v>273</v>
      </c>
      <c r="I714" s="1">
        <v>0.0</v>
      </c>
      <c r="J714" s="1">
        <v>0.0</v>
      </c>
    </row>
    <row r="715">
      <c r="A715" s="1">
        <v>1.0</v>
      </c>
      <c r="B715" s="1">
        <v>3.0</v>
      </c>
      <c r="C715" s="1">
        <v>0.0</v>
      </c>
      <c r="D715" s="1">
        <v>0.0</v>
      </c>
      <c r="E715" s="1">
        <v>0.0</v>
      </c>
      <c r="F715" s="1">
        <v>0.0</v>
      </c>
      <c r="G715" s="2">
        <v>0.0</v>
      </c>
      <c r="H715" s="1" t="s">
        <v>273</v>
      </c>
      <c r="I715" s="1">
        <v>0.0</v>
      </c>
      <c r="J715" s="1">
        <v>0.0</v>
      </c>
    </row>
    <row r="716">
      <c r="A716" s="1">
        <v>1.0</v>
      </c>
      <c r="B716" s="1">
        <v>3.0</v>
      </c>
      <c r="C716" s="1">
        <v>0.0</v>
      </c>
      <c r="D716" s="1">
        <v>0.0</v>
      </c>
      <c r="E716" s="1">
        <v>0.0</v>
      </c>
      <c r="F716" s="1">
        <v>0.0</v>
      </c>
      <c r="G716" s="2">
        <v>0.0</v>
      </c>
      <c r="H716" s="1" t="s">
        <v>275</v>
      </c>
      <c r="I716" s="1">
        <v>0.0</v>
      </c>
      <c r="J716" s="1">
        <v>0.0</v>
      </c>
    </row>
    <row r="717">
      <c r="A717" s="1">
        <v>3.0</v>
      </c>
      <c r="B717" s="1">
        <v>11.0</v>
      </c>
      <c r="C717" s="1">
        <v>0.0</v>
      </c>
      <c r="D717" s="1">
        <v>0.0</v>
      </c>
      <c r="E717" s="1">
        <v>0.0</v>
      </c>
      <c r="F717" s="1">
        <v>0.0</v>
      </c>
      <c r="G717" s="2">
        <v>0.0</v>
      </c>
      <c r="H717" s="1" t="s">
        <v>275</v>
      </c>
      <c r="I717" s="1">
        <v>0.0</v>
      </c>
      <c r="J717" s="1">
        <v>0.0</v>
      </c>
    </row>
    <row r="718">
      <c r="A718" s="1">
        <v>2.0</v>
      </c>
      <c r="B718" s="1">
        <v>6.0</v>
      </c>
      <c r="C718" s="1">
        <v>2.0</v>
      </c>
      <c r="D718" s="1">
        <v>0.0</v>
      </c>
      <c r="E718" s="1">
        <v>0.0</v>
      </c>
      <c r="F718" s="1">
        <v>0.0</v>
      </c>
      <c r="G718" s="2">
        <v>0.0</v>
      </c>
      <c r="H718" s="1" t="s">
        <v>276</v>
      </c>
      <c r="I718" s="1">
        <v>0.0</v>
      </c>
      <c r="J718" s="1">
        <v>0.0</v>
      </c>
    </row>
    <row r="719">
      <c r="A719" s="1">
        <v>2.0</v>
      </c>
      <c r="B719" s="1">
        <v>8.0</v>
      </c>
      <c r="C719" s="1">
        <v>1.0</v>
      </c>
      <c r="D719" s="1">
        <v>0.0</v>
      </c>
      <c r="E719" s="1">
        <v>0.0</v>
      </c>
      <c r="F719" s="1">
        <v>0.0</v>
      </c>
      <c r="G719" s="2">
        <v>0.0</v>
      </c>
      <c r="H719" s="1" t="s">
        <v>276</v>
      </c>
      <c r="I719" s="1">
        <v>0.0</v>
      </c>
      <c r="J719" s="1">
        <v>0.0</v>
      </c>
    </row>
    <row r="720">
      <c r="A720" s="1">
        <v>1.0</v>
      </c>
      <c r="B720" s="1">
        <v>3.0</v>
      </c>
      <c r="C720" s="1">
        <v>1.0</v>
      </c>
      <c r="D720" s="1">
        <v>-4.0</v>
      </c>
      <c r="E720" s="1">
        <v>1.0</v>
      </c>
      <c r="F720" s="1">
        <v>0.0</v>
      </c>
      <c r="G720" s="2">
        <v>0.0</v>
      </c>
      <c r="H720" s="1" t="s">
        <v>277</v>
      </c>
      <c r="I720" s="1">
        <v>-4.0</v>
      </c>
      <c r="J720" s="1">
        <v>1.0</v>
      </c>
    </row>
    <row r="721">
      <c r="A721" s="1">
        <v>4.0</v>
      </c>
      <c r="B721" s="1">
        <v>16.0</v>
      </c>
      <c r="C721" s="1">
        <v>3.0</v>
      </c>
      <c r="D721" s="1">
        <v>0.0</v>
      </c>
      <c r="E721" s="1">
        <v>0.0</v>
      </c>
      <c r="F721" s="1">
        <v>0.0</v>
      </c>
      <c r="G721" s="2">
        <v>0.0</v>
      </c>
      <c r="H721" s="1" t="s">
        <v>277</v>
      </c>
      <c r="I721" s="1">
        <v>0.0</v>
      </c>
      <c r="J721" s="1">
        <v>0.0</v>
      </c>
    </row>
    <row r="722">
      <c r="A722" s="1">
        <v>1.0</v>
      </c>
      <c r="B722" s="1">
        <v>3.0</v>
      </c>
      <c r="C722" s="1">
        <v>0.0</v>
      </c>
      <c r="D722" s="1">
        <v>0.0</v>
      </c>
      <c r="E722" s="1">
        <v>0.0</v>
      </c>
      <c r="F722" s="1">
        <v>0.0</v>
      </c>
      <c r="G722" s="2">
        <v>0.0</v>
      </c>
      <c r="H722" s="1" t="s">
        <v>172</v>
      </c>
      <c r="I722" s="1">
        <v>0.0</v>
      </c>
      <c r="J722" s="1">
        <v>0.0</v>
      </c>
    </row>
    <row r="723">
      <c r="A723" s="1">
        <v>3.0</v>
      </c>
      <c r="B723" s="1">
        <v>12.0</v>
      </c>
      <c r="C723" s="1">
        <v>0.0</v>
      </c>
      <c r="D723" s="1">
        <v>0.0</v>
      </c>
      <c r="E723" s="1">
        <v>0.0</v>
      </c>
      <c r="F723" s="1">
        <v>0.0</v>
      </c>
      <c r="G723" s="2">
        <v>0.0</v>
      </c>
      <c r="H723" s="1" t="s">
        <v>172</v>
      </c>
      <c r="I723" s="1">
        <v>0.0</v>
      </c>
      <c r="J723" s="1">
        <v>0.0</v>
      </c>
    </row>
    <row r="724">
      <c r="A724" s="1">
        <v>1.0</v>
      </c>
      <c r="B724" s="1">
        <v>3.0</v>
      </c>
      <c r="C724" s="1">
        <v>0.0</v>
      </c>
      <c r="D724" s="1">
        <v>0.0</v>
      </c>
      <c r="E724" s="1">
        <v>0.0</v>
      </c>
      <c r="F724" s="1">
        <v>0.0</v>
      </c>
      <c r="G724" s="2">
        <v>0.0</v>
      </c>
      <c r="H724" s="1" t="s">
        <v>279</v>
      </c>
      <c r="I724" s="1">
        <v>0.0</v>
      </c>
      <c r="J724" s="1">
        <v>0.0</v>
      </c>
    </row>
    <row r="725">
      <c r="A725" s="1">
        <v>4.0</v>
      </c>
      <c r="B725" s="1">
        <v>16.0</v>
      </c>
      <c r="C725" s="1">
        <v>7.0</v>
      </c>
      <c r="D725" s="1">
        <v>-1.0</v>
      </c>
      <c r="E725" s="1">
        <v>0.5</v>
      </c>
      <c r="F725" s="1">
        <v>0.0</v>
      </c>
      <c r="G725" s="6">
        <v>0.143</v>
      </c>
      <c r="H725" s="1" t="s">
        <v>279</v>
      </c>
      <c r="I725" s="1">
        <v>-4.0</v>
      </c>
      <c r="J725" s="1">
        <v>2.0</v>
      </c>
    </row>
    <row r="726">
      <c r="A726" s="1">
        <v>1.0</v>
      </c>
      <c r="B726" s="1">
        <v>4.0</v>
      </c>
      <c r="C726" s="1">
        <v>0.0</v>
      </c>
      <c r="D726" s="1">
        <v>0.0</v>
      </c>
      <c r="E726" s="1">
        <v>0.0</v>
      </c>
      <c r="F726" s="1">
        <v>0.0</v>
      </c>
      <c r="G726" s="2">
        <v>0.0</v>
      </c>
      <c r="H726" s="1" t="s">
        <v>280</v>
      </c>
      <c r="I726" s="1">
        <v>0.0</v>
      </c>
      <c r="J726" s="1">
        <v>0.0</v>
      </c>
    </row>
    <row r="727">
      <c r="A727" s="1">
        <v>1.0</v>
      </c>
      <c r="B727" s="1">
        <v>3.0</v>
      </c>
      <c r="C727" s="1">
        <v>1.0</v>
      </c>
      <c r="D727" s="1">
        <v>4.0</v>
      </c>
      <c r="E727" s="1">
        <v>0.0</v>
      </c>
      <c r="F727" s="1">
        <v>0.0</v>
      </c>
      <c r="G727" s="2">
        <v>1.0</v>
      </c>
      <c r="H727" s="1" t="s">
        <v>281</v>
      </c>
      <c r="I727" s="1">
        <v>4.0</v>
      </c>
      <c r="J727" s="1">
        <v>0.0</v>
      </c>
    </row>
    <row r="728">
      <c r="A728" s="1">
        <v>4.0</v>
      </c>
      <c r="B728" s="1">
        <v>16.0</v>
      </c>
      <c r="C728" s="1">
        <v>0.0</v>
      </c>
      <c r="D728" s="1">
        <v>0.0</v>
      </c>
      <c r="E728" s="1">
        <v>0.0</v>
      </c>
      <c r="F728" s="1">
        <v>0.0</v>
      </c>
      <c r="G728" s="2">
        <v>0.0</v>
      </c>
      <c r="H728" s="1" t="s">
        <v>281</v>
      </c>
      <c r="I728" s="1">
        <v>0.0</v>
      </c>
      <c r="J728" s="1">
        <v>0.0</v>
      </c>
    </row>
    <row r="729">
      <c r="A729" s="1">
        <v>2.0</v>
      </c>
      <c r="B729" s="1">
        <v>8.0</v>
      </c>
      <c r="C729" s="1">
        <v>0.0</v>
      </c>
      <c r="D729" s="1">
        <v>0.0</v>
      </c>
      <c r="E729" s="1">
        <v>0.0</v>
      </c>
      <c r="F729" s="1">
        <v>0.0</v>
      </c>
      <c r="G729" s="2">
        <v>0.0</v>
      </c>
      <c r="H729" s="1" t="s">
        <v>282</v>
      </c>
      <c r="I729" s="1">
        <v>0.0</v>
      </c>
      <c r="J729" s="1">
        <v>0.0</v>
      </c>
    </row>
    <row r="730">
      <c r="A730" s="1">
        <v>1.0</v>
      </c>
      <c r="B730" s="1">
        <v>4.0</v>
      </c>
      <c r="C730" s="1">
        <v>0.0</v>
      </c>
      <c r="D730" s="1">
        <v>0.0</v>
      </c>
      <c r="E730" s="1">
        <v>0.0</v>
      </c>
      <c r="F730" s="1">
        <v>0.0</v>
      </c>
      <c r="G730" s="2">
        <v>0.0</v>
      </c>
      <c r="H730" s="1" t="s">
        <v>282</v>
      </c>
      <c r="I730" s="1">
        <v>0.0</v>
      </c>
      <c r="J730" s="1">
        <v>0.0</v>
      </c>
    </row>
    <row r="731">
      <c r="A731" s="1">
        <v>3.0</v>
      </c>
      <c r="B731" s="1">
        <v>12.0</v>
      </c>
      <c r="C731" s="1">
        <v>6.0</v>
      </c>
      <c r="D731" s="1">
        <v>6.67</v>
      </c>
      <c r="E731" s="1">
        <v>0.0</v>
      </c>
      <c r="F731" s="1">
        <v>0.0</v>
      </c>
      <c r="G731" s="6">
        <v>0.833</v>
      </c>
      <c r="H731" s="1" t="s">
        <v>283</v>
      </c>
      <c r="I731" s="1">
        <v>20.0</v>
      </c>
      <c r="J731" s="1">
        <v>0.0</v>
      </c>
    </row>
    <row r="732">
      <c r="A732" s="1">
        <v>1.0</v>
      </c>
      <c r="B732" s="1">
        <v>4.0</v>
      </c>
      <c r="C732" s="1">
        <v>3.0</v>
      </c>
      <c r="D732" s="1">
        <v>4.0</v>
      </c>
      <c r="E732" s="1">
        <v>0.0</v>
      </c>
      <c r="F732" s="1">
        <v>0.0</v>
      </c>
      <c r="G732" s="6">
        <v>0.333</v>
      </c>
      <c r="H732" s="1" t="s">
        <v>283</v>
      </c>
      <c r="I732" s="1">
        <v>4.0</v>
      </c>
      <c r="J732" s="1">
        <v>0.0</v>
      </c>
    </row>
    <row r="733">
      <c r="A733" s="1">
        <v>1.0</v>
      </c>
      <c r="B733" s="1">
        <v>4.0</v>
      </c>
      <c r="C733" s="1">
        <v>0.0</v>
      </c>
      <c r="D733" s="1">
        <v>0.0</v>
      </c>
      <c r="E733" s="1">
        <v>0.0</v>
      </c>
      <c r="F733" s="1">
        <v>0.0</v>
      </c>
      <c r="G733" s="2">
        <v>0.0</v>
      </c>
      <c r="H733" s="1" t="s">
        <v>284</v>
      </c>
      <c r="I733" s="1">
        <v>0.0</v>
      </c>
      <c r="J733" s="1">
        <v>0.0</v>
      </c>
    </row>
    <row r="734">
      <c r="A734" s="1">
        <v>1.0</v>
      </c>
      <c r="B734" s="1">
        <v>4.0</v>
      </c>
      <c r="C734" s="1">
        <v>0.0</v>
      </c>
      <c r="D734" s="1">
        <v>0.0</v>
      </c>
      <c r="E734" s="1">
        <v>0.0</v>
      </c>
      <c r="F734" s="1">
        <v>0.0</v>
      </c>
      <c r="G734" s="2">
        <v>0.0</v>
      </c>
      <c r="H734" s="1" t="s">
        <v>284</v>
      </c>
      <c r="I734" s="1">
        <v>0.0</v>
      </c>
      <c r="J734" s="1">
        <v>0.0</v>
      </c>
    </row>
    <row r="735">
      <c r="A735" s="1">
        <v>1.0</v>
      </c>
      <c r="B735" s="1">
        <v>3.0</v>
      </c>
      <c r="C735" s="1">
        <v>3.0</v>
      </c>
      <c r="D735" s="1">
        <v>12.0</v>
      </c>
      <c r="E735" s="1">
        <v>0.0</v>
      </c>
      <c r="F735" s="1">
        <v>0.0</v>
      </c>
      <c r="G735" s="2">
        <v>1.0</v>
      </c>
      <c r="H735" s="1" t="s">
        <v>52</v>
      </c>
      <c r="I735" s="1">
        <v>12.0</v>
      </c>
      <c r="J735" s="1">
        <v>0.0</v>
      </c>
    </row>
    <row r="736">
      <c r="A736" s="1">
        <v>3.0</v>
      </c>
      <c r="B736" s="1">
        <v>12.0</v>
      </c>
      <c r="C736" s="1">
        <v>6.0</v>
      </c>
      <c r="D736" s="1">
        <v>8.0</v>
      </c>
      <c r="E736" s="1">
        <v>0.0</v>
      </c>
      <c r="F736" s="1">
        <v>0.0</v>
      </c>
      <c r="G736" s="2">
        <v>1.0</v>
      </c>
      <c r="H736" s="1" t="s">
        <v>52</v>
      </c>
      <c r="I736" s="1">
        <v>24.0</v>
      </c>
      <c r="J736" s="1">
        <v>0.0</v>
      </c>
    </row>
    <row r="737">
      <c r="A737" s="1">
        <v>1.0</v>
      </c>
      <c r="B737" s="1">
        <v>4.0</v>
      </c>
      <c r="C737" s="1">
        <v>1.0</v>
      </c>
      <c r="D737" s="1">
        <v>4.0</v>
      </c>
      <c r="E737" s="1">
        <v>0.0</v>
      </c>
      <c r="F737" s="1">
        <v>0.0</v>
      </c>
      <c r="G737" s="2">
        <v>1.0</v>
      </c>
      <c r="H737" s="1" t="s">
        <v>52</v>
      </c>
      <c r="I737" s="1">
        <v>4.0</v>
      </c>
      <c r="J737" s="1">
        <v>0.0</v>
      </c>
    </row>
    <row r="738">
      <c r="A738" s="1">
        <v>1.0</v>
      </c>
      <c r="B738" s="1">
        <v>4.0</v>
      </c>
      <c r="C738" s="1">
        <v>0.0</v>
      </c>
      <c r="D738" s="1">
        <v>0.0</v>
      </c>
      <c r="E738" s="1">
        <v>0.0</v>
      </c>
      <c r="F738" s="1">
        <v>0.0</v>
      </c>
      <c r="G738" s="2">
        <v>0.0</v>
      </c>
      <c r="H738" s="1" t="s">
        <v>223</v>
      </c>
      <c r="I738" s="1">
        <v>0.0</v>
      </c>
      <c r="J738" s="1">
        <v>0.0</v>
      </c>
    </row>
    <row r="739">
      <c r="A739" s="1">
        <v>1.0</v>
      </c>
      <c r="B739" s="1">
        <v>4.0</v>
      </c>
      <c r="C739" s="1">
        <v>0.0</v>
      </c>
      <c r="D739" s="1">
        <v>0.0</v>
      </c>
      <c r="E739" s="1">
        <v>0.0</v>
      </c>
      <c r="F739" s="1">
        <v>0.0</v>
      </c>
      <c r="G739" s="2">
        <v>0.0</v>
      </c>
      <c r="H739" s="1" t="s">
        <v>223</v>
      </c>
      <c r="I739" s="1">
        <v>0.0</v>
      </c>
      <c r="J739" s="1">
        <v>0.0</v>
      </c>
    </row>
    <row r="740">
      <c r="A740" s="1">
        <v>1.0</v>
      </c>
      <c r="B740" s="1">
        <v>3.0</v>
      </c>
      <c r="C740" s="1">
        <v>0.0</v>
      </c>
      <c r="D740" s="1">
        <v>0.0</v>
      </c>
      <c r="E740" s="1">
        <v>0.0</v>
      </c>
      <c r="F740" s="1">
        <v>0.0</v>
      </c>
      <c r="G740" s="2">
        <v>0.0</v>
      </c>
      <c r="H740" s="1" t="s">
        <v>223</v>
      </c>
      <c r="I740" s="1">
        <v>0.0</v>
      </c>
      <c r="J740" s="1">
        <v>0.0</v>
      </c>
    </row>
    <row r="741">
      <c r="A741" s="1">
        <v>1.0</v>
      </c>
      <c r="B741" s="1">
        <v>4.0</v>
      </c>
      <c r="C741" s="1">
        <v>0.0</v>
      </c>
      <c r="D741" s="1">
        <v>0.0</v>
      </c>
      <c r="E741" s="1">
        <v>0.0</v>
      </c>
      <c r="F741" s="1">
        <v>0.0</v>
      </c>
      <c r="G741" s="2">
        <v>0.0</v>
      </c>
      <c r="H741" s="1" t="s">
        <v>223</v>
      </c>
      <c r="I741" s="1">
        <v>0.0</v>
      </c>
      <c r="J741" s="1">
        <v>0.0</v>
      </c>
    </row>
    <row r="742">
      <c r="A742" s="1">
        <v>1.0</v>
      </c>
      <c r="B742" s="1">
        <v>4.0</v>
      </c>
      <c r="C742" s="1">
        <v>4.0</v>
      </c>
      <c r="D742" s="1">
        <v>16.0</v>
      </c>
      <c r="E742" s="1">
        <v>0.0</v>
      </c>
      <c r="F742" s="1">
        <v>0.0</v>
      </c>
      <c r="G742" s="2">
        <v>1.0</v>
      </c>
      <c r="H742" s="1" t="s">
        <v>207</v>
      </c>
      <c r="I742" s="1">
        <v>16.0</v>
      </c>
      <c r="J742" s="1">
        <v>0.0</v>
      </c>
    </row>
    <row r="743">
      <c r="A743" s="1">
        <v>1.0</v>
      </c>
      <c r="B743" s="1">
        <v>4.0</v>
      </c>
      <c r="C743" s="1">
        <v>3.0</v>
      </c>
      <c r="D743" s="1">
        <v>4.0</v>
      </c>
      <c r="E743" s="1">
        <v>1.0</v>
      </c>
      <c r="F743" s="1">
        <v>0.0</v>
      </c>
      <c r="G743" s="6">
        <v>0.667</v>
      </c>
      <c r="H743" s="1" t="s">
        <v>207</v>
      </c>
      <c r="I743" s="1">
        <v>4.0</v>
      </c>
      <c r="J743" s="1">
        <v>1.0</v>
      </c>
    </row>
    <row r="744">
      <c r="A744" s="1">
        <v>1.0</v>
      </c>
      <c r="B744" s="1">
        <v>4.0</v>
      </c>
      <c r="C744" s="1">
        <v>4.0</v>
      </c>
      <c r="D744" s="1">
        <v>16.0</v>
      </c>
      <c r="E744" s="1">
        <v>0.0</v>
      </c>
      <c r="F744" s="1">
        <v>0.0</v>
      </c>
      <c r="G744" s="2">
        <v>1.0</v>
      </c>
      <c r="H744" s="1" t="s">
        <v>207</v>
      </c>
      <c r="I744" s="1">
        <v>16.0</v>
      </c>
      <c r="J744" s="1">
        <v>0.0</v>
      </c>
    </row>
    <row r="745">
      <c r="A745" s="1">
        <v>2.0</v>
      </c>
      <c r="B745" s="1">
        <v>7.0</v>
      </c>
      <c r="C745" s="1">
        <v>4.0</v>
      </c>
      <c r="D745" s="1">
        <v>4.0</v>
      </c>
      <c r="E745" s="1">
        <v>0.0</v>
      </c>
      <c r="F745" s="1">
        <v>0.0</v>
      </c>
      <c r="G745" s="2">
        <v>0.5</v>
      </c>
      <c r="H745" s="1" t="s">
        <v>207</v>
      </c>
      <c r="I745" s="1">
        <v>8.0</v>
      </c>
      <c r="J745" s="1">
        <v>0.0</v>
      </c>
    </row>
    <row r="746">
      <c r="A746" s="1">
        <v>1.0</v>
      </c>
      <c r="B746" s="1">
        <v>4.0</v>
      </c>
      <c r="C746" s="1">
        <v>0.0</v>
      </c>
      <c r="D746" s="1">
        <v>0.0</v>
      </c>
      <c r="E746" s="1">
        <v>0.0</v>
      </c>
      <c r="F746" s="1">
        <v>0.0</v>
      </c>
      <c r="G746" s="2">
        <v>0.0</v>
      </c>
      <c r="H746" s="1" t="s">
        <v>288</v>
      </c>
      <c r="I746" s="1">
        <v>0.0</v>
      </c>
      <c r="J746" s="1">
        <v>0.0</v>
      </c>
    </row>
    <row r="747">
      <c r="A747" s="1">
        <v>1.0</v>
      </c>
      <c r="B747" s="1">
        <v>4.0</v>
      </c>
      <c r="C747" s="1">
        <v>1.0</v>
      </c>
      <c r="D747" s="1">
        <v>-4.0</v>
      </c>
      <c r="E747" s="1">
        <v>1.0</v>
      </c>
      <c r="F747" s="1">
        <v>0.0</v>
      </c>
      <c r="G747" s="2">
        <v>0.0</v>
      </c>
      <c r="H747" s="1" t="s">
        <v>245</v>
      </c>
      <c r="I747" s="1">
        <v>-4.0</v>
      </c>
      <c r="J747" s="1">
        <v>1.0</v>
      </c>
    </row>
    <row r="748">
      <c r="A748" s="1">
        <v>1.0</v>
      </c>
      <c r="B748" s="1">
        <v>4.0</v>
      </c>
      <c r="C748" s="1">
        <v>0.0</v>
      </c>
      <c r="D748" s="1">
        <v>0.0</v>
      </c>
      <c r="E748" s="1">
        <v>0.0</v>
      </c>
      <c r="F748" s="1">
        <v>0.0</v>
      </c>
      <c r="G748" s="2">
        <v>0.0</v>
      </c>
      <c r="H748" s="1" t="s">
        <v>245</v>
      </c>
      <c r="I748" s="1">
        <v>0.0</v>
      </c>
      <c r="J748" s="1">
        <v>0.0</v>
      </c>
    </row>
    <row r="749">
      <c r="A749" s="1">
        <v>1.0</v>
      </c>
      <c r="B749" s="1">
        <v>3.0</v>
      </c>
      <c r="C749" s="1">
        <v>0.0</v>
      </c>
      <c r="D749" s="1">
        <v>0.0</v>
      </c>
      <c r="E749" s="1">
        <v>0.0</v>
      </c>
      <c r="F749" s="1">
        <v>0.0</v>
      </c>
      <c r="G749" s="2">
        <v>0.0</v>
      </c>
      <c r="H749" s="1" t="s">
        <v>245</v>
      </c>
      <c r="I749" s="1">
        <v>0.0</v>
      </c>
      <c r="J749" s="1">
        <v>0.0</v>
      </c>
    </row>
    <row r="750">
      <c r="A750" s="1">
        <v>1.0</v>
      </c>
      <c r="B750" s="1">
        <v>4.0</v>
      </c>
      <c r="C750" s="1">
        <v>0.0</v>
      </c>
      <c r="D750" s="1">
        <v>0.0</v>
      </c>
      <c r="E750" s="1">
        <v>0.0</v>
      </c>
      <c r="F750" s="1">
        <v>0.0</v>
      </c>
      <c r="G750" s="2">
        <v>0.0</v>
      </c>
      <c r="H750" s="1" t="s">
        <v>290</v>
      </c>
      <c r="I750" s="1">
        <v>0.0</v>
      </c>
      <c r="J750" s="1">
        <v>0.0</v>
      </c>
    </row>
    <row r="751">
      <c r="A751" s="1">
        <v>4.0</v>
      </c>
      <c r="B751" s="1">
        <v>15.0</v>
      </c>
      <c r="C751" s="1">
        <v>7.0</v>
      </c>
      <c r="D751" s="1">
        <v>3.0</v>
      </c>
      <c r="E751" s="1">
        <v>0.0</v>
      </c>
      <c r="F751" s="1">
        <v>0.0</v>
      </c>
      <c r="G751" s="6">
        <v>0.429</v>
      </c>
      <c r="H751" s="1" t="s">
        <v>291</v>
      </c>
      <c r="I751" s="1">
        <v>12.0</v>
      </c>
      <c r="J751" s="1">
        <v>0.0</v>
      </c>
    </row>
    <row r="752">
      <c r="A752" s="1">
        <v>5.0</v>
      </c>
      <c r="B752" s="1">
        <v>19.0</v>
      </c>
      <c r="C752" s="1">
        <v>0.0</v>
      </c>
      <c r="D752" s="1">
        <v>0.0</v>
      </c>
      <c r="E752" s="1">
        <v>0.0</v>
      </c>
      <c r="F752" s="1">
        <v>0.0</v>
      </c>
      <c r="G752" s="2">
        <v>0.0</v>
      </c>
      <c r="H752" s="1" t="s">
        <v>267</v>
      </c>
      <c r="I752" s="1">
        <v>0.0</v>
      </c>
      <c r="J752" s="1">
        <v>0.0</v>
      </c>
    </row>
    <row r="753">
      <c r="A753" s="1">
        <v>5.0</v>
      </c>
      <c r="B753" s="1">
        <v>19.0</v>
      </c>
      <c r="C753" s="1">
        <v>9.0</v>
      </c>
      <c r="D753" s="1">
        <v>1.6</v>
      </c>
      <c r="E753" s="1">
        <v>0.4</v>
      </c>
      <c r="F753" s="1">
        <v>0.0</v>
      </c>
      <c r="G753" s="6">
        <v>0.444</v>
      </c>
      <c r="H753" s="1" t="s">
        <v>98</v>
      </c>
      <c r="I753" s="1">
        <v>8.0</v>
      </c>
      <c r="J753" s="1">
        <v>2.0</v>
      </c>
    </row>
    <row r="754">
      <c r="A754" s="1">
        <v>1.0</v>
      </c>
      <c r="B754" s="1">
        <v>4.0</v>
      </c>
      <c r="C754" s="1">
        <v>1.0</v>
      </c>
      <c r="D754" s="1">
        <v>4.0</v>
      </c>
      <c r="E754" s="1">
        <v>0.0</v>
      </c>
      <c r="F754" s="1">
        <v>0.0</v>
      </c>
      <c r="G754" s="2">
        <v>1.0</v>
      </c>
      <c r="H754" s="1" t="s">
        <v>106</v>
      </c>
      <c r="I754" s="1">
        <v>4.0</v>
      </c>
      <c r="J754" s="1">
        <v>0.0</v>
      </c>
    </row>
    <row r="755">
      <c r="A755" s="1">
        <v>3.0</v>
      </c>
      <c r="B755" s="1">
        <v>12.0</v>
      </c>
      <c r="C755" s="1">
        <v>2.0</v>
      </c>
      <c r="D755" s="1">
        <v>1.33</v>
      </c>
      <c r="E755" s="1">
        <v>0.0</v>
      </c>
      <c r="F755" s="1">
        <v>0.0</v>
      </c>
      <c r="G755" s="2">
        <v>0.5</v>
      </c>
      <c r="H755" s="1" t="s">
        <v>106</v>
      </c>
      <c r="I755" s="1">
        <v>4.0</v>
      </c>
      <c r="J755" s="1">
        <v>0.0</v>
      </c>
    </row>
    <row r="756">
      <c r="A756" s="1">
        <v>1.0</v>
      </c>
      <c r="B756" s="1">
        <v>4.0</v>
      </c>
      <c r="C756" s="1">
        <v>2.0</v>
      </c>
      <c r="D756" s="1">
        <v>8.0</v>
      </c>
      <c r="E756" s="1">
        <v>0.0</v>
      </c>
      <c r="F756" s="1">
        <v>0.0</v>
      </c>
      <c r="G756" s="2">
        <v>1.0</v>
      </c>
      <c r="H756" s="1" t="s">
        <v>106</v>
      </c>
      <c r="I756" s="1">
        <v>8.0</v>
      </c>
      <c r="J756" s="1">
        <v>0.0</v>
      </c>
    </row>
    <row r="757">
      <c r="A757" s="1">
        <v>2.0</v>
      </c>
      <c r="B757" s="1">
        <v>8.0</v>
      </c>
      <c r="C757" s="1">
        <v>0.0</v>
      </c>
      <c r="D757" s="1">
        <v>0.0</v>
      </c>
      <c r="E757" s="1">
        <v>0.0</v>
      </c>
      <c r="F757" s="1">
        <v>0.0</v>
      </c>
      <c r="G757" s="2">
        <v>0.0</v>
      </c>
      <c r="H757" s="1" t="s">
        <v>292</v>
      </c>
      <c r="I757" s="1">
        <v>0.0</v>
      </c>
      <c r="J757" s="1">
        <v>0.0</v>
      </c>
    </row>
    <row r="758">
      <c r="A758" s="1">
        <v>1.0</v>
      </c>
      <c r="B758" s="1">
        <v>4.0</v>
      </c>
      <c r="C758" s="1">
        <v>2.0</v>
      </c>
      <c r="D758" s="1">
        <v>8.0</v>
      </c>
      <c r="E758" s="1">
        <v>0.0</v>
      </c>
      <c r="F758" s="1">
        <v>0.0</v>
      </c>
      <c r="G758" s="2">
        <v>1.0</v>
      </c>
      <c r="H758" s="1" t="s">
        <v>269</v>
      </c>
      <c r="I758" s="1">
        <v>8.0</v>
      </c>
      <c r="J758" s="1">
        <v>0.0</v>
      </c>
    </row>
    <row r="759">
      <c r="A759" s="1">
        <v>3.0</v>
      </c>
      <c r="B759" s="1">
        <v>12.0</v>
      </c>
      <c r="C759" s="1">
        <v>6.0</v>
      </c>
      <c r="D759" s="1">
        <v>2.67</v>
      </c>
      <c r="E759" s="1">
        <v>0.0</v>
      </c>
      <c r="F759" s="1">
        <v>0.0</v>
      </c>
      <c r="G759" s="6">
        <v>0.333</v>
      </c>
      <c r="H759" s="1" t="s">
        <v>269</v>
      </c>
      <c r="I759" s="1">
        <v>8.0</v>
      </c>
      <c r="J759" s="1">
        <v>0.0</v>
      </c>
    </row>
    <row r="760">
      <c r="A760" s="1">
        <v>1.0</v>
      </c>
      <c r="B760" s="1">
        <v>4.0</v>
      </c>
      <c r="C760" s="1">
        <v>1.0</v>
      </c>
      <c r="D760" s="1">
        <v>0.0</v>
      </c>
      <c r="E760" s="1">
        <v>0.0</v>
      </c>
      <c r="F760" s="1">
        <v>0.0</v>
      </c>
      <c r="G760" s="2">
        <v>0.0</v>
      </c>
      <c r="H760" s="1" t="s">
        <v>269</v>
      </c>
      <c r="I760" s="1">
        <v>0.0</v>
      </c>
      <c r="J760" s="1">
        <v>0.0</v>
      </c>
    </row>
    <row r="761">
      <c r="A761" s="1">
        <v>1.0</v>
      </c>
      <c r="B761" s="1">
        <v>4.0</v>
      </c>
      <c r="C761" s="1">
        <v>0.0</v>
      </c>
      <c r="D761" s="1">
        <v>0.0</v>
      </c>
      <c r="E761" s="1">
        <v>0.0</v>
      </c>
      <c r="F761" s="1">
        <v>0.0</v>
      </c>
      <c r="G761" s="2">
        <v>0.0</v>
      </c>
      <c r="H761" s="1" t="s">
        <v>293</v>
      </c>
      <c r="I761" s="1">
        <v>0.0</v>
      </c>
      <c r="J761" s="1">
        <v>0.0</v>
      </c>
    </row>
    <row r="762">
      <c r="A762" s="1">
        <v>3.0</v>
      </c>
      <c r="B762" s="1">
        <v>12.0</v>
      </c>
      <c r="C762" s="1">
        <v>0.0</v>
      </c>
      <c r="D762" s="1">
        <v>0.0</v>
      </c>
      <c r="E762" s="1">
        <v>0.0</v>
      </c>
      <c r="F762" s="1">
        <v>0.0</v>
      </c>
      <c r="G762" s="2">
        <v>0.0</v>
      </c>
      <c r="H762" s="1" t="s">
        <v>293</v>
      </c>
      <c r="I762" s="1">
        <v>0.0</v>
      </c>
      <c r="J762" s="1">
        <v>0.0</v>
      </c>
    </row>
    <row r="763">
      <c r="A763" s="1">
        <v>1.0</v>
      </c>
      <c r="B763" s="1">
        <v>4.0</v>
      </c>
      <c r="C763" s="1">
        <v>0.0</v>
      </c>
      <c r="D763" s="1">
        <v>0.0</v>
      </c>
      <c r="E763" s="1">
        <v>0.0</v>
      </c>
      <c r="F763" s="1">
        <v>0.0</v>
      </c>
      <c r="G763" s="2">
        <v>0.0</v>
      </c>
      <c r="H763" s="1" t="s">
        <v>293</v>
      </c>
      <c r="I763" s="1">
        <v>0.0</v>
      </c>
      <c r="J763" s="1">
        <v>0.0</v>
      </c>
    </row>
    <row r="764">
      <c r="A764" s="1">
        <v>5.0</v>
      </c>
      <c r="B764" s="1">
        <v>18.0</v>
      </c>
      <c r="C764" s="1">
        <v>0.0</v>
      </c>
      <c r="D764" s="1">
        <v>0.0</v>
      </c>
      <c r="E764" s="1">
        <v>0.0</v>
      </c>
      <c r="F764" s="1">
        <v>0.0</v>
      </c>
      <c r="G764" s="2">
        <v>0.0</v>
      </c>
      <c r="H764" s="1" t="s">
        <v>285</v>
      </c>
      <c r="I764" s="1">
        <v>0.0</v>
      </c>
      <c r="J764" s="1">
        <v>0.0</v>
      </c>
    </row>
    <row r="765">
      <c r="A765" s="1">
        <v>1.0</v>
      </c>
      <c r="B765" s="1">
        <v>3.0</v>
      </c>
      <c r="C765" s="1">
        <v>0.0</v>
      </c>
      <c r="D765" s="1">
        <v>0.0</v>
      </c>
      <c r="E765" s="1">
        <v>0.0</v>
      </c>
      <c r="F765" s="1">
        <v>0.0</v>
      </c>
      <c r="G765" s="2">
        <v>0.0</v>
      </c>
      <c r="H765" s="1" t="s">
        <v>246</v>
      </c>
      <c r="I765" s="1">
        <v>0.0</v>
      </c>
      <c r="J765" s="1">
        <v>0.0</v>
      </c>
    </row>
    <row r="766">
      <c r="A766" s="1">
        <v>4.0</v>
      </c>
      <c r="B766" s="1">
        <v>15.0</v>
      </c>
      <c r="C766" s="1">
        <v>0.0</v>
      </c>
      <c r="D766" s="1">
        <v>0.0</v>
      </c>
      <c r="E766" s="1">
        <v>0.0</v>
      </c>
      <c r="F766" s="1">
        <v>0.0</v>
      </c>
      <c r="G766" s="2">
        <v>0.0</v>
      </c>
      <c r="H766" s="1" t="s">
        <v>295</v>
      </c>
      <c r="I766" s="1">
        <v>0.0</v>
      </c>
      <c r="J766" s="1">
        <v>0.0</v>
      </c>
    </row>
    <row r="767">
      <c r="A767" s="1">
        <v>5.0</v>
      </c>
      <c r="B767" s="1">
        <v>18.0</v>
      </c>
      <c r="C767" s="1">
        <v>3.0</v>
      </c>
      <c r="D767" s="1">
        <v>0.0</v>
      </c>
      <c r="E767" s="1">
        <v>0.2</v>
      </c>
      <c r="F767" s="1">
        <v>0.0</v>
      </c>
      <c r="G767" s="6">
        <v>0.333</v>
      </c>
      <c r="H767" s="1" t="s">
        <v>286</v>
      </c>
      <c r="I767" s="1">
        <v>0.0</v>
      </c>
      <c r="J767" s="1">
        <v>1.0</v>
      </c>
    </row>
    <row r="768">
      <c r="A768" s="1">
        <v>5.0</v>
      </c>
      <c r="B768" s="1">
        <v>18.0</v>
      </c>
      <c r="C768" s="1">
        <v>14.0</v>
      </c>
      <c r="D768" s="1">
        <v>0.0</v>
      </c>
      <c r="E768" s="1">
        <v>0.8</v>
      </c>
      <c r="F768" s="1">
        <v>0.0</v>
      </c>
      <c r="G768" s="6">
        <v>0.286</v>
      </c>
      <c r="H768" s="1" t="s">
        <v>297</v>
      </c>
      <c r="I768" s="1">
        <v>0.0</v>
      </c>
      <c r="J768" s="1">
        <v>4.0</v>
      </c>
    </row>
    <row r="769">
      <c r="A769" s="1">
        <v>3.0</v>
      </c>
      <c r="B769" s="1">
        <v>12.0</v>
      </c>
      <c r="C769" s="1">
        <v>2.0</v>
      </c>
      <c r="D769" s="1">
        <v>1.33</v>
      </c>
      <c r="E769" s="1">
        <v>0.0</v>
      </c>
      <c r="F769" s="1">
        <v>0.0</v>
      </c>
      <c r="G769" s="2">
        <v>0.5</v>
      </c>
      <c r="H769" s="1" t="s">
        <v>298</v>
      </c>
      <c r="I769" s="1">
        <v>4.0</v>
      </c>
      <c r="J769" s="1">
        <v>0.0</v>
      </c>
    </row>
    <row r="770">
      <c r="A770" s="1">
        <v>4.0</v>
      </c>
      <c r="B770" s="1">
        <v>16.0</v>
      </c>
      <c r="C770" s="1">
        <v>10.0</v>
      </c>
      <c r="D770" s="1">
        <v>4.0</v>
      </c>
      <c r="E770" s="1">
        <v>0.0</v>
      </c>
      <c r="F770" s="1">
        <v>0.0</v>
      </c>
      <c r="G770" s="2">
        <v>0.4</v>
      </c>
      <c r="H770" s="1" t="s">
        <v>296</v>
      </c>
      <c r="I770" s="1">
        <v>16.0</v>
      </c>
      <c r="J770" s="1">
        <v>0.0</v>
      </c>
    </row>
    <row r="771">
      <c r="A771" s="1">
        <v>4.0</v>
      </c>
      <c r="B771" s="1">
        <v>16.0</v>
      </c>
      <c r="C771" s="1">
        <v>1.0</v>
      </c>
      <c r="D771" s="1">
        <v>1.0</v>
      </c>
      <c r="E771" s="1">
        <v>0.0</v>
      </c>
      <c r="F771" s="1">
        <v>0.0</v>
      </c>
      <c r="G771" s="2">
        <v>1.0</v>
      </c>
      <c r="H771" s="1" t="s">
        <v>175</v>
      </c>
      <c r="I771" s="1">
        <v>4.0</v>
      </c>
      <c r="J771" s="1">
        <v>0.0</v>
      </c>
    </row>
    <row r="772">
      <c r="A772" s="1">
        <v>4.0</v>
      </c>
      <c r="B772" s="1">
        <v>16.0</v>
      </c>
      <c r="C772" s="1">
        <v>0.0</v>
      </c>
      <c r="D772" s="1">
        <v>0.0</v>
      </c>
      <c r="E772" s="1">
        <v>0.0</v>
      </c>
      <c r="F772" s="1">
        <v>0.0</v>
      </c>
      <c r="G772" s="2">
        <v>0.0</v>
      </c>
      <c r="H772" s="1" t="s">
        <v>300</v>
      </c>
      <c r="I772" s="1">
        <v>0.0</v>
      </c>
      <c r="J772" s="1">
        <v>0.0</v>
      </c>
    </row>
    <row r="773">
      <c r="A773" s="1">
        <v>4.0</v>
      </c>
      <c r="B773" s="1">
        <v>16.0</v>
      </c>
      <c r="C773" s="1">
        <v>2.0</v>
      </c>
      <c r="D773" s="1">
        <v>2.0</v>
      </c>
      <c r="E773" s="1">
        <v>0.0</v>
      </c>
      <c r="F773" s="1">
        <v>0.0</v>
      </c>
      <c r="G773" s="2">
        <v>1.0</v>
      </c>
      <c r="H773" s="1" t="s">
        <v>271</v>
      </c>
      <c r="I773" s="1">
        <v>8.0</v>
      </c>
      <c r="J773" s="1">
        <v>0.0</v>
      </c>
    </row>
    <row r="774">
      <c r="A774" s="1">
        <v>1.0</v>
      </c>
      <c r="B774" s="1">
        <v>4.0</v>
      </c>
      <c r="C774" s="1">
        <v>1.0</v>
      </c>
      <c r="D774" s="1">
        <v>0.0</v>
      </c>
      <c r="E774" s="1">
        <v>0.0</v>
      </c>
      <c r="F774" s="1">
        <v>0.0</v>
      </c>
      <c r="G774" s="2">
        <v>0.0</v>
      </c>
      <c r="H774" s="1" t="s">
        <v>271</v>
      </c>
      <c r="I774" s="1">
        <v>0.0</v>
      </c>
      <c r="J774" s="1">
        <v>0.0</v>
      </c>
    </row>
    <row r="775">
      <c r="A775" s="1">
        <v>4.0</v>
      </c>
      <c r="B775" s="1">
        <v>16.0</v>
      </c>
      <c r="C775" s="1">
        <v>0.0</v>
      </c>
      <c r="D775" s="1">
        <v>0.0</v>
      </c>
      <c r="E775" s="1">
        <v>0.0</v>
      </c>
      <c r="F775" s="1">
        <v>0.0</v>
      </c>
      <c r="G775" s="2">
        <v>0.0</v>
      </c>
      <c r="H775" s="1" t="s">
        <v>249</v>
      </c>
      <c r="I775" s="1">
        <v>0.0</v>
      </c>
      <c r="J775" s="1">
        <v>0.0</v>
      </c>
    </row>
    <row r="776">
      <c r="A776" s="1">
        <v>1.0</v>
      </c>
      <c r="B776" s="1">
        <v>4.0</v>
      </c>
      <c r="C776" s="1">
        <v>1.0</v>
      </c>
      <c r="D776" s="1">
        <v>0.0</v>
      </c>
      <c r="E776" s="1">
        <v>0.0</v>
      </c>
      <c r="F776" s="1">
        <v>0.0</v>
      </c>
      <c r="G776" s="2">
        <v>0.0</v>
      </c>
      <c r="H776" s="1" t="s">
        <v>249</v>
      </c>
      <c r="I776" s="1">
        <v>0.0</v>
      </c>
      <c r="J776" s="1">
        <v>0.0</v>
      </c>
    </row>
    <row r="777">
      <c r="A777" s="1">
        <v>4.0</v>
      </c>
      <c r="B777" s="1">
        <v>16.0</v>
      </c>
      <c r="C777" s="1">
        <v>8.0</v>
      </c>
      <c r="D777" s="1">
        <v>3.0</v>
      </c>
      <c r="E777" s="1">
        <v>0.0</v>
      </c>
      <c r="F777" s="1">
        <v>0.0</v>
      </c>
      <c r="G777" s="6">
        <v>0.375</v>
      </c>
      <c r="H777" s="1" t="s">
        <v>272</v>
      </c>
      <c r="I777" s="1">
        <v>12.0</v>
      </c>
      <c r="J777" s="1">
        <v>0.0</v>
      </c>
    </row>
    <row r="778">
      <c r="A778" s="1">
        <v>1.0</v>
      </c>
      <c r="B778" s="1">
        <v>4.0</v>
      </c>
      <c r="C778" s="1">
        <v>2.0</v>
      </c>
      <c r="D778" s="1">
        <v>0.0</v>
      </c>
      <c r="E778" s="1">
        <v>0.0</v>
      </c>
      <c r="F778" s="1">
        <v>0.0</v>
      </c>
      <c r="G778" s="2">
        <v>0.0</v>
      </c>
      <c r="H778" s="1" t="s">
        <v>272</v>
      </c>
      <c r="I778" s="1">
        <v>0.0</v>
      </c>
      <c r="J778" s="1">
        <v>0.0</v>
      </c>
    </row>
    <row r="779">
      <c r="A779" s="1">
        <v>4.0</v>
      </c>
      <c r="B779" s="1">
        <v>15.0</v>
      </c>
      <c r="C779" s="1">
        <v>10.0</v>
      </c>
      <c r="D779" s="1">
        <v>2.0</v>
      </c>
      <c r="E779" s="1">
        <v>0.25</v>
      </c>
      <c r="F779" s="1">
        <v>0.0</v>
      </c>
      <c r="G779" s="2">
        <v>0.3</v>
      </c>
      <c r="H779" s="1" t="s">
        <v>138</v>
      </c>
      <c r="I779" s="1">
        <v>8.0</v>
      </c>
      <c r="J779" s="1">
        <v>1.0</v>
      </c>
    </row>
    <row r="780">
      <c r="A780" s="1">
        <v>1.0</v>
      </c>
      <c r="B780" s="1">
        <v>4.0</v>
      </c>
      <c r="C780" s="1">
        <v>3.0</v>
      </c>
      <c r="D780" s="1">
        <v>4.0</v>
      </c>
      <c r="E780" s="1">
        <v>1.0</v>
      </c>
      <c r="F780" s="1">
        <v>0.0</v>
      </c>
      <c r="G780" s="6">
        <v>0.667</v>
      </c>
      <c r="H780" s="1" t="s">
        <v>138</v>
      </c>
      <c r="I780" s="1">
        <v>4.0</v>
      </c>
      <c r="J780" s="1">
        <v>1.0</v>
      </c>
    </row>
    <row r="781">
      <c r="A781" s="1">
        <v>2.0</v>
      </c>
      <c r="B781" s="1">
        <v>8.0</v>
      </c>
      <c r="C781" s="1">
        <v>0.0</v>
      </c>
      <c r="D781" s="1">
        <v>0.0</v>
      </c>
      <c r="E781" s="1">
        <v>0.0</v>
      </c>
      <c r="F781" s="1">
        <v>0.0</v>
      </c>
      <c r="G781" s="2">
        <v>0.0</v>
      </c>
      <c r="H781" s="1" t="s">
        <v>303</v>
      </c>
      <c r="I781" s="1">
        <v>0.0</v>
      </c>
      <c r="J781" s="1">
        <v>0.0</v>
      </c>
    </row>
    <row r="782">
      <c r="A782" s="1">
        <v>4.0</v>
      </c>
      <c r="B782" s="1">
        <v>15.0</v>
      </c>
      <c r="C782" s="1">
        <v>0.0</v>
      </c>
      <c r="D782" s="1">
        <v>0.0</v>
      </c>
      <c r="E782" s="1">
        <v>0.0</v>
      </c>
      <c r="F782" s="1">
        <v>0.0</v>
      </c>
      <c r="G782" s="2">
        <v>0.0</v>
      </c>
      <c r="H782" s="1" t="s">
        <v>304</v>
      </c>
      <c r="I782" s="1">
        <v>0.0</v>
      </c>
      <c r="J782" s="1">
        <v>0.0</v>
      </c>
    </row>
    <row r="783">
      <c r="A783" s="1">
        <v>1.0</v>
      </c>
      <c r="B783" s="1">
        <v>3.0</v>
      </c>
      <c r="C783" s="1">
        <v>1.0</v>
      </c>
      <c r="D783" s="1">
        <v>4.0</v>
      </c>
      <c r="E783" s="1">
        <v>0.0</v>
      </c>
      <c r="F783" s="1">
        <v>0.0</v>
      </c>
      <c r="G783" s="2">
        <v>1.0</v>
      </c>
      <c r="H783" s="1" t="s">
        <v>305</v>
      </c>
      <c r="I783" s="1">
        <v>4.0</v>
      </c>
      <c r="J783" s="1">
        <v>0.0</v>
      </c>
    </row>
    <row r="784">
      <c r="A784" s="1">
        <v>1.0</v>
      </c>
      <c r="B784" s="1">
        <v>3.0</v>
      </c>
      <c r="C784" s="1">
        <v>0.0</v>
      </c>
      <c r="D784" s="1">
        <v>0.0</v>
      </c>
      <c r="E784" s="1">
        <v>0.0</v>
      </c>
      <c r="F784" s="1">
        <v>0.0</v>
      </c>
      <c r="G784" s="2">
        <v>0.0</v>
      </c>
      <c r="H784" s="1" t="s">
        <v>306</v>
      </c>
      <c r="I784" s="1">
        <v>0.0</v>
      </c>
      <c r="J784" s="1">
        <v>0.0</v>
      </c>
    </row>
    <row r="785">
      <c r="A785" s="1">
        <v>1.0</v>
      </c>
      <c r="B785" s="1">
        <v>4.0</v>
      </c>
      <c r="C785" s="1">
        <v>1.0</v>
      </c>
      <c r="D785" s="1">
        <v>4.0</v>
      </c>
      <c r="E785" s="1">
        <v>0.0</v>
      </c>
      <c r="F785" s="1">
        <v>0.0</v>
      </c>
      <c r="G785" s="2">
        <v>1.0</v>
      </c>
      <c r="H785" s="1" t="s">
        <v>306</v>
      </c>
      <c r="I785" s="1">
        <v>4.0</v>
      </c>
      <c r="J785" s="1">
        <v>0.0</v>
      </c>
    </row>
    <row r="786">
      <c r="A786" s="1">
        <v>1.0</v>
      </c>
      <c r="B786" s="1">
        <v>3.0</v>
      </c>
      <c r="C786" s="1">
        <v>0.0</v>
      </c>
      <c r="D786" s="1">
        <v>0.0</v>
      </c>
      <c r="E786" s="1">
        <v>0.0</v>
      </c>
      <c r="F786" s="1">
        <v>0.0</v>
      </c>
      <c r="G786" s="2">
        <v>0.0</v>
      </c>
      <c r="H786" s="1" t="s">
        <v>306</v>
      </c>
      <c r="I786" s="1">
        <v>0.0</v>
      </c>
      <c r="J786" s="1">
        <v>0.0</v>
      </c>
    </row>
    <row r="787">
      <c r="A787" s="1">
        <v>1.0</v>
      </c>
      <c r="B787" s="1">
        <v>2.0</v>
      </c>
      <c r="C787" s="1">
        <v>0.0</v>
      </c>
      <c r="D787" s="1">
        <v>0.0</v>
      </c>
      <c r="E787" s="1">
        <v>0.0</v>
      </c>
      <c r="F787" s="1">
        <v>0.0</v>
      </c>
      <c r="G787" s="2">
        <v>0.0</v>
      </c>
      <c r="H787" s="1" t="s">
        <v>306</v>
      </c>
      <c r="I787" s="1">
        <v>0.0</v>
      </c>
      <c r="J787" s="1">
        <v>0.0</v>
      </c>
    </row>
    <row r="788">
      <c r="A788" s="1">
        <v>1.0</v>
      </c>
      <c r="B788" s="1">
        <v>3.0</v>
      </c>
      <c r="C788" s="1">
        <v>1.0</v>
      </c>
      <c r="D788" s="1">
        <v>4.0</v>
      </c>
      <c r="E788" s="1">
        <v>0.0</v>
      </c>
      <c r="F788" s="1">
        <v>0.0</v>
      </c>
      <c r="G788" s="2">
        <v>1.0</v>
      </c>
      <c r="H788" s="1" t="s">
        <v>141</v>
      </c>
      <c r="I788" s="1">
        <v>4.0</v>
      </c>
      <c r="J788" s="1">
        <v>0.0</v>
      </c>
    </row>
    <row r="789">
      <c r="A789" s="1">
        <v>1.0</v>
      </c>
      <c r="B789" s="1">
        <v>4.0</v>
      </c>
      <c r="C789" s="1">
        <v>0.0</v>
      </c>
      <c r="D789" s="1">
        <v>0.0</v>
      </c>
      <c r="E789" s="1">
        <v>0.0</v>
      </c>
      <c r="F789" s="1">
        <v>0.0</v>
      </c>
      <c r="G789" s="2">
        <v>0.0</v>
      </c>
      <c r="H789" s="1" t="s">
        <v>141</v>
      </c>
      <c r="I789" s="1">
        <v>0.0</v>
      </c>
      <c r="J789" s="1">
        <v>0.0</v>
      </c>
    </row>
    <row r="790">
      <c r="A790" s="1">
        <v>1.0</v>
      </c>
      <c r="B790" s="1">
        <v>3.0</v>
      </c>
      <c r="C790" s="1">
        <v>1.0</v>
      </c>
      <c r="D790" s="1">
        <v>0.0</v>
      </c>
      <c r="E790" s="1">
        <v>0.0</v>
      </c>
      <c r="F790" s="1">
        <v>0.0</v>
      </c>
      <c r="G790" s="2">
        <v>0.0</v>
      </c>
      <c r="H790" s="1" t="s">
        <v>141</v>
      </c>
      <c r="I790" s="1">
        <v>0.0</v>
      </c>
      <c r="J790" s="1">
        <v>0.0</v>
      </c>
    </row>
    <row r="791">
      <c r="A791" s="1">
        <v>1.0</v>
      </c>
      <c r="B791" s="1">
        <v>2.0</v>
      </c>
      <c r="C791" s="1">
        <v>2.0</v>
      </c>
      <c r="D791" s="1">
        <v>4.0</v>
      </c>
      <c r="E791" s="1">
        <v>0.0</v>
      </c>
      <c r="F791" s="1">
        <v>0.0</v>
      </c>
      <c r="G791" s="2">
        <v>0.5</v>
      </c>
      <c r="H791" s="1" t="s">
        <v>141</v>
      </c>
      <c r="I791" s="1">
        <v>4.0</v>
      </c>
      <c r="J791" s="1">
        <v>0.0</v>
      </c>
    </row>
    <row r="792">
      <c r="A792" s="1">
        <v>1.0</v>
      </c>
      <c r="B792" s="1">
        <v>3.0</v>
      </c>
      <c r="C792" s="1">
        <v>1.0</v>
      </c>
      <c r="D792" s="1">
        <v>4.0</v>
      </c>
      <c r="E792" s="1">
        <v>0.0</v>
      </c>
      <c r="F792" s="1">
        <v>0.0</v>
      </c>
      <c r="G792" s="2">
        <v>1.0</v>
      </c>
      <c r="H792" s="1" t="s">
        <v>308</v>
      </c>
      <c r="I792" s="1">
        <v>4.0</v>
      </c>
      <c r="J792" s="1">
        <v>0.0</v>
      </c>
    </row>
    <row r="793">
      <c r="A793" s="1">
        <v>1.0</v>
      </c>
      <c r="B793" s="1">
        <v>4.0</v>
      </c>
      <c r="C793" s="1">
        <v>3.0</v>
      </c>
      <c r="D793" s="1">
        <v>4.0</v>
      </c>
      <c r="E793" s="1">
        <v>1.0</v>
      </c>
      <c r="F793" s="1">
        <v>0.0</v>
      </c>
      <c r="G793" s="6">
        <v>0.667</v>
      </c>
      <c r="H793" s="1" t="s">
        <v>308</v>
      </c>
      <c r="I793" s="1">
        <v>4.0</v>
      </c>
      <c r="J793" s="1">
        <v>1.0</v>
      </c>
    </row>
    <row r="794">
      <c r="A794" s="1">
        <v>1.0</v>
      </c>
      <c r="B794" s="1">
        <v>3.0</v>
      </c>
      <c r="C794" s="1">
        <v>2.0</v>
      </c>
      <c r="D794" s="1">
        <v>0.0</v>
      </c>
      <c r="E794" s="1">
        <v>1.0</v>
      </c>
      <c r="F794" s="1">
        <v>0.0</v>
      </c>
      <c r="G794" s="2">
        <v>0.5</v>
      </c>
      <c r="H794" s="1" t="s">
        <v>308</v>
      </c>
      <c r="I794" s="1">
        <v>0.0</v>
      </c>
      <c r="J794" s="1">
        <v>1.0</v>
      </c>
    </row>
    <row r="795">
      <c r="A795" s="1">
        <v>1.0</v>
      </c>
      <c r="B795" s="1">
        <v>4.0</v>
      </c>
      <c r="C795" s="1">
        <v>0.0</v>
      </c>
      <c r="D795" s="1">
        <v>0.0</v>
      </c>
      <c r="E795" s="1">
        <v>0.0</v>
      </c>
      <c r="F795" s="1">
        <v>0.0</v>
      </c>
      <c r="G795" s="2">
        <v>0.0</v>
      </c>
      <c r="H795" s="1" t="s">
        <v>309</v>
      </c>
      <c r="I795" s="1">
        <v>0.0</v>
      </c>
      <c r="J795" s="1">
        <v>0.0</v>
      </c>
    </row>
    <row r="796">
      <c r="A796" s="1">
        <v>1.0</v>
      </c>
      <c r="B796" s="1">
        <v>3.0</v>
      </c>
      <c r="C796" s="1">
        <v>0.0</v>
      </c>
      <c r="D796" s="1">
        <v>0.0</v>
      </c>
      <c r="E796" s="1">
        <v>0.0</v>
      </c>
      <c r="F796" s="1">
        <v>0.0</v>
      </c>
      <c r="G796" s="2">
        <v>0.0</v>
      </c>
      <c r="H796" s="1" t="s">
        <v>309</v>
      </c>
      <c r="I796" s="1">
        <v>0.0</v>
      </c>
      <c r="J796" s="1">
        <v>0.0</v>
      </c>
    </row>
    <row r="797">
      <c r="A797" s="1">
        <v>1.0</v>
      </c>
      <c r="B797" s="1">
        <v>3.0</v>
      </c>
      <c r="C797" s="1">
        <v>0.0</v>
      </c>
      <c r="D797" s="1">
        <v>0.0</v>
      </c>
      <c r="E797" s="1">
        <v>0.0</v>
      </c>
      <c r="F797" s="1">
        <v>0.0</v>
      </c>
      <c r="G797" s="2">
        <v>0.0</v>
      </c>
      <c r="H797" s="1" t="s">
        <v>310</v>
      </c>
      <c r="I797" s="1">
        <v>0.0</v>
      </c>
      <c r="J797" s="1">
        <v>0.0</v>
      </c>
    </row>
    <row r="798">
      <c r="A798" s="1">
        <v>1.0</v>
      </c>
      <c r="B798" s="1">
        <v>3.0</v>
      </c>
      <c r="C798" s="1">
        <v>0.0</v>
      </c>
      <c r="D798" s="1">
        <v>0.0</v>
      </c>
      <c r="E798" s="1">
        <v>0.0</v>
      </c>
      <c r="F798" s="1">
        <v>0.0</v>
      </c>
      <c r="G798" s="2">
        <v>0.0</v>
      </c>
      <c r="H798" s="1" t="s">
        <v>310</v>
      </c>
      <c r="I798" s="1">
        <v>0.0</v>
      </c>
      <c r="J798" s="1">
        <v>0.0</v>
      </c>
    </row>
    <row r="799">
      <c r="A799" s="1">
        <v>1.0</v>
      </c>
      <c r="B799" s="1">
        <v>4.0</v>
      </c>
      <c r="C799" s="1">
        <v>0.0</v>
      </c>
      <c r="D799" s="1">
        <v>0.0</v>
      </c>
      <c r="E799" s="1">
        <v>0.0</v>
      </c>
      <c r="F799" s="1">
        <v>0.0</v>
      </c>
      <c r="G799" s="2">
        <v>0.0</v>
      </c>
      <c r="H799" s="1" t="s">
        <v>252</v>
      </c>
      <c r="I799" s="1">
        <v>0.0</v>
      </c>
      <c r="J799" s="1">
        <v>0.0</v>
      </c>
    </row>
    <row r="800">
      <c r="A800" s="1">
        <v>2.0</v>
      </c>
      <c r="B800" s="1">
        <v>7.0</v>
      </c>
      <c r="C800" s="1">
        <v>0.0</v>
      </c>
      <c r="D800" s="1">
        <v>0.0</v>
      </c>
      <c r="E800" s="1">
        <v>0.0</v>
      </c>
      <c r="F800" s="1">
        <v>0.0</v>
      </c>
      <c r="G800" s="2">
        <v>0.0</v>
      </c>
      <c r="H800" s="1" t="s">
        <v>252</v>
      </c>
      <c r="I800" s="1">
        <v>0.0</v>
      </c>
      <c r="J800" s="1">
        <v>0.0</v>
      </c>
    </row>
    <row r="801">
      <c r="A801" s="1">
        <v>3.0</v>
      </c>
      <c r="B801" s="1">
        <v>11.0</v>
      </c>
      <c r="C801" s="1">
        <v>2.0</v>
      </c>
      <c r="D801" s="1">
        <v>1.33</v>
      </c>
      <c r="E801" s="1">
        <v>0.0</v>
      </c>
      <c r="F801" s="1">
        <v>0.0</v>
      </c>
      <c r="G801" s="2">
        <v>0.5</v>
      </c>
      <c r="H801" s="1" t="s">
        <v>274</v>
      </c>
      <c r="I801" s="1">
        <v>4.0</v>
      </c>
      <c r="J801" s="1">
        <v>0.0</v>
      </c>
    </row>
    <row r="802">
      <c r="A802" s="1">
        <v>2.0</v>
      </c>
      <c r="B802" s="1">
        <v>8.0</v>
      </c>
      <c r="C802" s="1">
        <v>0.0</v>
      </c>
      <c r="D802" s="1">
        <v>0.0</v>
      </c>
      <c r="E802" s="1">
        <v>0.0</v>
      </c>
      <c r="F802" s="1">
        <v>0.0</v>
      </c>
      <c r="G802" s="2">
        <v>0.0</v>
      </c>
      <c r="H802" s="1" t="s">
        <v>274</v>
      </c>
      <c r="I802" s="1">
        <v>0.0</v>
      </c>
      <c r="J802" s="1">
        <v>0.0</v>
      </c>
    </row>
    <row r="803">
      <c r="A803" s="1">
        <v>3.0</v>
      </c>
      <c r="B803" s="1">
        <v>11.0</v>
      </c>
      <c r="C803" s="1">
        <v>1.0</v>
      </c>
      <c r="D803" s="1">
        <v>1.33</v>
      </c>
      <c r="E803" s="1">
        <v>0.0</v>
      </c>
      <c r="F803" s="1">
        <v>0.0</v>
      </c>
      <c r="G803" s="2">
        <v>1.0</v>
      </c>
      <c r="H803" s="1" t="s">
        <v>230</v>
      </c>
      <c r="I803" s="1">
        <v>4.0</v>
      </c>
      <c r="J803" s="1">
        <v>0.0</v>
      </c>
    </row>
    <row r="804">
      <c r="A804" s="1">
        <v>2.0</v>
      </c>
      <c r="B804" s="1">
        <v>8.0</v>
      </c>
      <c r="C804" s="1">
        <v>3.0</v>
      </c>
      <c r="D804" s="1">
        <v>2.0</v>
      </c>
      <c r="E804" s="1">
        <v>0.0</v>
      </c>
      <c r="F804" s="1">
        <v>0.0</v>
      </c>
      <c r="G804" s="6">
        <v>0.333</v>
      </c>
      <c r="H804" s="1" t="s">
        <v>230</v>
      </c>
      <c r="I804" s="1">
        <v>4.0</v>
      </c>
      <c r="J804" s="1">
        <v>0.0</v>
      </c>
    </row>
    <row r="805">
      <c r="A805" s="1">
        <v>1.0</v>
      </c>
      <c r="B805" s="1">
        <v>3.0</v>
      </c>
      <c r="C805" s="1">
        <v>0.0</v>
      </c>
      <c r="D805" s="1">
        <v>0.0</v>
      </c>
      <c r="E805" s="1">
        <v>0.0</v>
      </c>
      <c r="F805" s="1">
        <v>0.0</v>
      </c>
      <c r="G805" s="2">
        <v>0.0</v>
      </c>
      <c r="H805" s="1" t="s">
        <v>313</v>
      </c>
      <c r="I805" s="1">
        <v>0.0</v>
      </c>
      <c r="J805" s="1">
        <v>0.0</v>
      </c>
    </row>
    <row r="806">
      <c r="A806" s="1">
        <v>1.0</v>
      </c>
      <c r="B806" s="1">
        <v>4.0</v>
      </c>
      <c r="C806" s="1">
        <v>2.0</v>
      </c>
      <c r="D806" s="1">
        <v>4.0</v>
      </c>
      <c r="E806" s="1">
        <v>0.0</v>
      </c>
      <c r="F806" s="1">
        <v>0.0</v>
      </c>
      <c r="G806" s="2">
        <v>0.5</v>
      </c>
      <c r="H806" s="1" t="s">
        <v>313</v>
      </c>
      <c r="I806" s="1">
        <v>4.0</v>
      </c>
      <c r="J806" s="1">
        <v>0.0</v>
      </c>
    </row>
    <row r="807">
      <c r="A807" s="1">
        <v>2.0</v>
      </c>
      <c r="B807" s="1">
        <v>7.0</v>
      </c>
      <c r="C807" s="1">
        <v>0.0</v>
      </c>
      <c r="D807" s="1">
        <v>0.0</v>
      </c>
      <c r="E807" s="1">
        <v>0.0</v>
      </c>
      <c r="F807" s="1">
        <v>0.0</v>
      </c>
      <c r="G807" s="2">
        <v>0.0</v>
      </c>
      <c r="H807" s="1" t="s">
        <v>314</v>
      </c>
      <c r="I807" s="1">
        <v>0.0</v>
      </c>
      <c r="J807" s="1">
        <v>0.0</v>
      </c>
    </row>
    <row r="808">
      <c r="A808" s="1">
        <v>1.0</v>
      </c>
      <c r="B808" s="1">
        <v>4.0</v>
      </c>
      <c r="C808" s="1">
        <v>0.0</v>
      </c>
      <c r="D808" s="1">
        <v>0.0</v>
      </c>
      <c r="E808" s="1">
        <v>0.0</v>
      </c>
      <c r="F808" s="1">
        <v>0.0</v>
      </c>
      <c r="G808" s="2">
        <v>0.0</v>
      </c>
      <c r="H808" s="1" t="s">
        <v>314</v>
      </c>
      <c r="I808" s="1">
        <v>0.0</v>
      </c>
      <c r="J808" s="1">
        <v>0.0</v>
      </c>
    </row>
    <row r="809">
      <c r="A809" s="1">
        <v>3.0</v>
      </c>
      <c r="B809" s="1">
        <v>11.0</v>
      </c>
      <c r="C809" s="1">
        <v>2.0</v>
      </c>
      <c r="D809" s="1">
        <v>0.0</v>
      </c>
      <c r="E809" s="1">
        <v>0.33</v>
      </c>
      <c r="F809" s="1">
        <v>0.0</v>
      </c>
      <c r="G809" s="2">
        <v>0.5</v>
      </c>
      <c r="H809" s="1" t="s">
        <v>315</v>
      </c>
      <c r="I809" s="1">
        <v>0.0</v>
      </c>
      <c r="J809" s="1">
        <v>1.0</v>
      </c>
    </row>
    <row r="810">
      <c r="A810" s="1">
        <v>1.0</v>
      </c>
      <c r="B810" s="1">
        <v>4.0</v>
      </c>
      <c r="C810" s="1">
        <v>0.0</v>
      </c>
      <c r="D810" s="1">
        <v>0.0</v>
      </c>
      <c r="E810" s="1">
        <v>0.0</v>
      </c>
      <c r="F810" s="1">
        <v>0.0</v>
      </c>
      <c r="G810" s="2">
        <v>0.0</v>
      </c>
      <c r="H810" s="1" t="s">
        <v>315</v>
      </c>
      <c r="I810" s="1">
        <v>0.0</v>
      </c>
      <c r="J810" s="1">
        <v>0.0</v>
      </c>
    </row>
    <row r="811">
      <c r="A811" s="1">
        <v>3.0</v>
      </c>
      <c r="B811" s="1">
        <v>11.0</v>
      </c>
      <c r="C811" s="1">
        <v>2.0</v>
      </c>
      <c r="D811" s="1">
        <v>0.0</v>
      </c>
      <c r="E811" s="1">
        <v>0.0</v>
      </c>
      <c r="F811" s="1">
        <v>0.0</v>
      </c>
      <c r="G811" s="2">
        <v>0.0</v>
      </c>
      <c r="H811" s="1" t="s">
        <v>316</v>
      </c>
      <c r="I811" s="1">
        <v>0.0</v>
      </c>
      <c r="J811" s="1">
        <v>0.0</v>
      </c>
    </row>
    <row r="812">
      <c r="A812" s="1">
        <v>1.0</v>
      </c>
      <c r="B812" s="1">
        <v>4.0</v>
      </c>
      <c r="C812" s="1">
        <v>1.0</v>
      </c>
      <c r="D812" s="1">
        <v>-4.0</v>
      </c>
      <c r="E812" s="1">
        <v>1.0</v>
      </c>
      <c r="F812" s="1">
        <v>0.0</v>
      </c>
      <c r="G812" s="2">
        <v>0.0</v>
      </c>
      <c r="H812" s="1" t="s">
        <v>316</v>
      </c>
      <c r="I812" s="1">
        <v>-4.0</v>
      </c>
      <c r="J812" s="1">
        <v>1.0</v>
      </c>
    </row>
    <row r="813">
      <c r="A813" s="1">
        <v>1.0</v>
      </c>
      <c r="B813" s="1">
        <v>4.0</v>
      </c>
      <c r="C813" s="1">
        <v>0.0</v>
      </c>
      <c r="D813" s="1">
        <v>0.0</v>
      </c>
      <c r="E813" s="1">
        <v>0.0</v>
      </c>
      <c r="F813" s="1">
        <v>0.0</v>
      </c>
      <c r="G813" s="2">
        <v>0.0</v>
      </c>
      <c r="H813" s="1" t="s">
        <v>318</v>
      </c>
      <c r="I813" s="1">
        <v>0.0</v>
      </c>
      <c r="J813" s="1">
        <v>0.0</v>
      </c>
    </row>
    <row r="814">
      <c r="A814" s="1">
        <v>4.0</v>
      </c>
      <c r="B814" s="1">
        <v>15.0</v>
      </c>
      <c r="C814" s="1">
        <v>3.0</v>
      </c>
      <c r="D814" s="1">
        <v>2.0</v>
      </c>
      <c r="E814" s="1">
        <v>0.0</v>
      </c>
      <c r="F814" s="1">
        <v>0.0</v>
      </c>
      <c r="G814" s="6">
        <v>0.667</v>
      </c>
      <c r="H814" s="1" t="s">
        <v>254</v>
      </c>
      <c r="I814" s="1">
        <v>8.0</v>
      </c>
      <c r="J814" s="1">
        <v>0.0</v>
      </c>
    </row>
    <row r="815">
      <c r="A815" s="1">
        <v>1.0</v>
      </c>
      <c r="B815" s="1">
        <v>4.0</v>
      </c>
      <c r="C815" s="1">
        <v>2.0</v>
      </c>
      <c r="D815" s="1">
        <v>4.0</v>
      </c>
      <c r="E815" s="1">
        <v>0.0</v>
      </c>
      <c r="F815" s="1">
        <v>0.0</v>
      </c>
      <c r="G815" s="2">
        <v>0.5</v>
      </c>
      <c r="H815" s="1" t="s">
        <v>254</v>
      </c>
      <c r="I815" s="1">
        <v>4.0</v>
      </c>
      <c r="J815" s="1">
        <v>0.0</v>
      </c>
    </row>
    <row r="816">
      <c r="A816" s="1">
        <v>1.0</v>
      </c>
      <c r="B816" s="1">
        <v>4.0</v>
      </c>
      <c r="C816" s="1">
        <v>0.0</v>
      </c>
      <c r="D816" s="1">
        <v>0.0</v>
      </c>
      <c r="E816" s="1">
        <v>0.0</v>
      </c>
      <c r="F816" s="1">
        <v>0.0</v>
      </c>
      <c r="G816" s="2">
        <v>0.0</v>
      </c>
      <c r="H816" s="1" t="s">
        <v>317</v>
      </c>
      <c r="I816" s="1">
        <v>0.0</v>
      </c>
      <c r="J816" s="1">
        <v>0.0</v>
      </c>
    </row>
    <row r="817">
      <c r="A817" s="1">
        <v>2.0</v>
      </c>
      <c r="B817" s="1">
        <v>7.0</v>
      </c>
      <c r="C817" s="1">
        <v>0.0</v>
      </c>
      <c r="D817" s="1">
        <v>0.0</v>
      </c>
      <c r="E817" s="1">
        <v>0.0</v>
      </c>
      <c r="F817" s="1">
        <v>0.0</v>
      </c>
      <c r="G817" s="2">
        <v>0.0</v>
      </c>
      <c r="H817" s="1" t="s">
        <v>317</v>
      </c>
      <c r="I817" s="1">
        <v>0.0</v>
      </c>
      <c r="J817" s="1">
        <v>0.0</v>
      </c>
    </row>
    <row r="818">
      <c r="A818" s="1">
        <v>2.0</v>
      </c>
      <c r="B818" s="1">
        <v>7.0</v>
      </c>
      <c r="C818" s="1">
        <v>1.0</v>
      </c>
      <c r="D818" s="1">
        <v>2.0</v>
      </c>
      <c r="E818" s="1">
        <v>0.0</v>
      </c>
      <c r="F818" s="1">
        <v>0.0</v>
      </c>
      <c r="G818" s="2">
        <v>1.0</v>
      </c>
      <c r="H818" s="1" t="s">
        <v>133</v>
      </c>
      <c r="I818" s="1">
        <v>4.0</v>
      </c>
      <c r="J818" s="1">
        <v>0.0</v>
      </c>
    </row>
    <row r="819">
      <c r="A819" s="1">
        <v>1.0</v>
      </c>
      <c r="B819" s="1">
        <v>4.0</v>
      </c>
      <c r="C819" s="1">
        <v>2.0</v>
      </c>
      <c r="D819" s="1">
        <v>8.0</v>
      </c>
      <c r="E819" s="1">
        <v>0.0</v>
      </c>
      <c r="F819" s="1">
        <v>0.0</v>
      </c>
      <c r="G819" s="2">
        <v>1.0</v>
      </c>
      <c r="H819" s="1" t="s">
        <v>133</v>
      </c>
      <c r="I819" s="1">
        <v>8.0</v>
      </c>
      <c r="J819" s="1">
        <v>0.0</v>
      </c>
    </row>
    <row r="820">
      <c r="A820" s="1">
        <v>1.0</v>
      </c>
      <c r="B820" s="1">
        <v>3.0</v>
      </c>
      <c r="C820" s="1">
        <v>1.0</v>
      </c>
      <c r="D820" s="1">
        <v>0.0</v>
      </c>
      <c r="E820" s="1">
        <v>0.0</v>
      </c>
      <c r="F820" s="1">
        <v>0.0</v>
      </c>
      <c r="G820" s="2">
        <v>0.0</v>
      </c>
      <c r="H820" s="1" t="s">
        <v>319</v>
      </c>
      <c r="I820" s="1">
        <v>0.0</v>
      </c>
      <c r="J820" s="1">
        <v>0.0</v>
      </c>
    </row>
    <row r="821">
      <c r="A821" s="1">
        <v>5.0</v>
      </c>
      <c r="B821" s="1">
        <v>18.0</v>
      </c>
      <c r="C821" s="1">
        <v>6.0</v>
      </c>
      <c r="D821" s="1">
        <v>0.8</v>
      </c>
      <c r="E821" s="1">
        <v>0.0</v>
      </c>
      <c r="F821" s="1">
        <v>0.0</v>
      </c>
      <c r="G821" s="6">
        <v>0.167</v>
      </c>
      <c r="H821" s="1" t="s">
        <v>129</v>
      </c>
      <c r="I821" s="1">
        <v>4.0</v>
      </c>
      <c r="J821" s="1">
        <v>0.0</v>
      </c>
    </row>
    <row r="822">
      <c r="A822" s="1">
        <v>2.0</v>
      </c>
      <c r="B822" s="1">
        <v>7.0</v>
      </c>
      <c r="C822" s="1">
        <v>0.0</v>
      </c>
      <c r="D822" s="1">
        <v>0.0</v>
      </c>
      <c r="E822" s="1">
        <v>0.0</v>
      </c>
      <c r="F822" s="1">
        <v>0.0</v>
      </c>
      <c r="G822" s="2">
        <v>0.0</v>
      </c>
      <c r="H822" s="1" t="s">
        <v>320</v>
      </c>
      <c r="I822" s="1">
        <v>0.0</v>
      </c>
      <c r="J822" s="1">
        <v>0.0</v>
      </c>
    </row>
    <row r="823">
      <c r="A823" s="1">
        <v>1.0</v>
      </c>
      <c r="B823" s="1">
        <v>4.0</v>
      </c>
      <c r="C823" s="1">
        <v>0.0</v>
      </c>
      <c r="D823" s="1">
        <v>0.0</v>
      </c>
      <c r="E823" s="1">
        <v>0.0</v>
      </c>
      <c r="F823" s="1">
        <v>0.0</v>
      </c>
      <c r="G823" s="2">
        <v>0.0</v>
      </c>
      <c r="H823" s="1" t="s">
        <v>320</v>
      </c>
      <c r="I823" s="1">
        <v>0.0</v>
      </c>
      <c r="J823" s="1">
        <v>0.0</v>
      </c>
    </row>
    <row r="824">
      <c r="A824" s="1">
        <v>2.0</v>
      </c>
      <c r="B824" s="1">
        <v>8.0</v>
      </c>
      <c r="C824" s="1">
        <v>0.0</v>
      </c>
      <c r="D824" s="1">
        <v>0.0</v>
      </c>
      <c r="E824" s="1">
        <v>0.0</v>
      </c>
      <c r="F824" s="1">
        <v>0.0</v>
      </c>
      <c r="G824" s="2">
        <v>0.0</v>
      </c>
      <c r="H824" s="1" t="s">
        <v>320</v>
      </c>
      <c r="I824" s="1">
        <v>0.0</v>
      </c>
      <c r="J824" s="1">
        <v>0.0</v>
      </c>
    </row>
    <row r="825">
      <c r="A825" s="1">
        <v>2.0</v>
      </c>
      <c r="B825" s="1">
        <v>7.0</v>
      </c>
      <c r="C825" s="1">
        <v>0.0</v>
      </c>
      <c r="D825" s="1">
        <v>0.0</v>
      </c>
      <c r="E825" s="1">
        <v>0.0</v>
      </c>
      <c r="F825" s="1">
        <v>0.0</v>
      </c>
      <c r="G825" s="2">
        <v>0.0</v>
      </c>
      <c r="H825" s="1" t="s">
        <v>287</v>
      </c>
      <c r="I825" s="1">
        <v>0.0</v>
      </c>
      <c r="J825" s="1">
        <v>0.0</v>
      </c>
    </row>
    <row r="826">
      <c r="A826" s="1">
        <v>1.0</v>
      </c>
      <c r="B826" s="1">
        <v>4.0</v>
      </c>
      <c r="C826" s="1">
        <v>0.0</v>
      </c>
      <c r="D826" s="1">
        <v>0.0</v>
      </c>
      <c r="E826" s="1">
        <v>0.0</v>
      </c>
      <c r="F826" s="1">
        <v>0.0</v>
      </c>
      <c r="G826" s="2">
        <v>0.0</v>
      </c>
      <c r="H826" s="1" t="s">
        <v>287</v>
      </c>
      <c r="I826" s="1">
        <v>0.0</v>
      </c>
      <c r="J826" s="1">
        <v>0.0</v>
      </c>
    </row>
    <row r="827">
      <c r="A827" s="1">
        <v>2.0</v>
      </c>
      <c r="B827" s="1">
        <v>8.0</v>
      </c>
      <c r="C827" s="1">
        <v>0.0</v>
      </c>
      <c r="D827" s="1">
        <v>0.0</v>
      </c>
      <c r="E827" s="1">
        <v>0.0</v>
      </c>
      <c r="F827" s="1">
        <v>0.0</v>
      </c>
      <c r="G827" s="2">
        <v>0.0</v>
      </c>
      <c r="H827" s="1" t="s">
        <v>287</v>
      </c>
      <c r="I827" s="1">
        <v>0.0</v>
      </c>
      <c r="J827" s="1">
        <v>0.0</v>
      </c>
    </row>
    <row r="828">
      <c r="A828" s="1">
        <v>2.0</v>
      </c>
      <c r="B828" s="1">
        <v>7.0</v>
      </c>
      <c r="C828" s="1">
        <v>6.0</v>
      </c>
      <c r="D828" s="1">
        <v>10.0</v>
      </c>
      <c r="E828" s="1">
        <v>0.0</v>
      </c>
      <c r="F828" s="1">
        <v>0.0</v>
      </c>
      <c r="G828" s="6">
        <v>0.833</v>
      </c>
      <c r="H828" s="1" t="s">
        <v>289</v>
      </c>
      <c r="I828" s="1">
        <v>20.0</v>
      </c>
      <c r="J828" s="1">
        <v>0.0</v>
      </c>
    </row>
    <row r="829">
      <c r="A829" s="1">
        <v>1.0</v>
      </c>
      <c r="B829" s="1">
        <v>4.0</v>
      </c>
      <c r="C829" s="1">
        <v>3.0</v>
      </c>
      <c r="D829" s="1">
        <v>0.0</v>
      </c>
      <c r="E829" s="1">
        <v>0.0</v>
      </c>
      <c r="F829" s="1">
        <v>0.0</v>
      </c>
      <c r="G829" s="2">
        <v>0.0</v>
      </c>
      <c r="H829" s="1" t="s">
        <v>289</v>
      </c>
      <c r="I829" s="1">
        <v>0.0</v>
      </c>
      <c r="J829" s="1">
        <v>0.0</v>
      </c>
    </row>
    <row r="830">
      <c r="A830" s="1">
        <v>2.0</v>
      </c>
      <c r="B830" s="1">
        <v>8.0</v>
      </c>
      <c r="C830" s="1">
        <v>6.0</v>
      </c>
      <c r="D830" s="1">
        <v>6.0</v>
      </c>
      <c r="E830" s="1">
        <v>0.0</v>
      </c>
      <c r="F830" s="1">
        <v>0.0</v>
      </c>
      <c r="G830" s="2">
        <v>0.5</v>
      </c>
      <c r="H830" s="1" t="s">
        <v>289</v>
      </c>
      <c r="I830" s="1">
        <v>12.0</v>
      </c>
      <c r="J830" s="1">
        <v>0.0</v>
      </c>
    </row>
    <row r="831">
      <c r="A831" s="1">
        <v>2.0</v>
      </c>
      <c r="B831" s="1">
        <v>7.0</v>
      </c>
      <c r="C831" s="1">
        <v>0.0</v>
      </c>
      <c r="D831" s="1">
        <v>0.0</v>
      </c>
      <c r="E831" s="1">
        <v>0.0</v>
      </c>
      <c r="F831" s="1">
        <v>0.0</v>
      </c>
      <c r="G831" s="2">
        <v>0.0</v>
      </c>
      <c r="H831" s="1" t="s">
        <v>321</v>
      </c>
      <c r="I831" s="1">
        <v>0.0</v>
      </c>
      <c r="J831" s="1">
        <v>0.0</v>
      </c>
    </row>
    <row r="832">
      <c r="A832" s="1">
        <v>1.0</v>
      </c>
      <c r="B832" s="1">
        <v>4.0</v>
      </c>
      <c r="C832" s="1">
        <v>0.0</v>
      </c>
      <c r="D832" s="1">
        <v>0.0</v>
      </c>
      <c r="E832" s="1">
        <v>0.0</v>
      </c>
      <c r="F832" s="1">
        <v>0.0</v>
      </c>
      <c r="G832" s="2">
        <v>0.0</v>
      </c>
      <c r="H832" s="1" t="s">
        <v>321</v>
      </c>
      <c r="I832" s="1">
        <v>0.0</v>
      </c>
      <c r="J832" s="1">
        <v>0.0</v>
      </c>
    </row>
    <row r="833">
      <c r="A833" s="1">
        <v>1.0</v>
      </c>
      <c r="B833" s="1">
        <v>4.0</v>
      </c>
      <c r="C833" s="1">
        <v>0.0</v>
      </c>
      <c r="D833" s="1">
        <v>0.0</v>
      </c>
      <c r="E833" s="1">
        <v>0.0</v>
      </c>
      <c r="F833" s="1">
        <v>0.0</v>
      </c>
      <c r="G833" s="2">
        <v>0.0</v>
      </c>
      <c r="H833" s="1" t="s">
        <v>321</v>
      </c>
      <c r="I833" s="1">
        <v>0.0</v>
      </c>
      <c r="J833" s="1">
        <v>0.0</v>
      </c>
    </row>
    <row r="834">
      <c r="A834" s="1">
        <v>2.0</v>
      </c>
      <c r="B834" s="1">
        <v>7.0</v>
      </c>
      <c r="C834" s="1">
        <v>0.0</v>
      </c>
      <c r="D834" s="1">
        <v>0.0</v>
      </c>
      <c r="E834" s="1">
        <v>0.0</v>
      </c>
      <c r="F834" s="1">
        <v>0.0</v>
      </c>
      <c r="G834" s="2">
        <v>0.0</v>
      </c>
      <c r="H834" s="1" t="s">
        <v>323</v>
      </c>
      <c r="I834" s="1">
        <v>0.0</v>
      </c>
      <c r="J834" s="1">
        <v>0.0</v>
      </c>
    </row>
    <row r="835">
      <c r="A835" s="1">
        <v>1.0</v>
      </c>
      <c r="B835" s="1">
        <v>4.0</v>
      </c>
      <c r="C835" s="1">
        <v>0.0</v>
      </c>
      <c r="D835" s="1">
        <v>0.0</v>
      </c>
      <c r="E835" s="1">
        <v>0.0</v>
      </c>
      <c r="F835" s="1">
        <v>0.0</v>
      </c>
      <c r="G835" s="2">
        <v>0.0</v>
      </c>
      <c r="H835" s="1" t="s">
        <v>323</v>
      </c>
      <c r="I835" s="1">
        <v>0.0</v>
      </c>
      <c r="J835" s="1">
        <v>0.0</v>
      </c>
    </row>
    <row r="836">
      <c r="A836" s="1">
        <v>2.0</v>
      </c>
      <c r="B836" s="1">
        <v>8.0</v>
      </c>
      <c r="C836" s="1">
        <v>0.0</v>
      </c>
      <c r="D836" s="1">
        <v>0.0</v>
      </c>
      <c r="E836" s="1">
        <v>0.0</v>
      </c>
      <c r="F836" s="1">
        <v>0.0</v>
      </c>
      <c r="G836" s="2">
        <v>0.0</v>
      </c>
      <c r="H836" s="1" t="s">
        <v>323</v>
      </c>
      <c r="I836" s="1">
        <v>0.0</v>
      </c>
      <c r="J836" s="1">
        <v>0.0</v>
      </c>
    </row>
    <row r="837">
      <c r="A837" s="1">
        <v>1.0</v>
      </c>
      <c r="B837" s="1">
        <v>4.0</v>
      </c>
      <c r="C837" s="1">
        <v>0.0</v>
      </c>
      <c r="D837" s="1">
        <v>0.0</v>
      </c>
      <c r="E837" s="1">
        <v>0.0</v>
      </c>
      <c r="F837" s="1">
        <v>0.0</v>
      </c>
      <c r="G837" s="2">
        <v>0.0</v>
      </c>
      <c r="H837" s="1" t="s">
        <v>278</v>
      </c>
      <c r="I837" s="1">
        <v>0.0</v>
      </c>
      <c r="J837" s="1">
        <v>0.0</v>
      </c>
    </row>
    <row r="838">
      <c r="A838" s="1">
        <v>3.0</v>
      </c>
      <c r="B838" s="1">
        <v>11.0</v>
      </c>
      <c r="C838" s="1">
        <v>0.0</v>
      </c>
      <c r="D838" s="1">
        <v>0.0</v>
      </c>
      <c r="E838" s="1">
        <v>0.0</v>
      </c>
      <c r="F838" s="1">
        <v>0.0</v>
      </c>
      <c r="G838" s="2">
        <v>0.0</v>
      </c>
      <c r="H838" s="1" t="s">
        <v>278</v>
      </c>
      <c r="I838" s="1">
        <v>0.0</v>
      </c>
      <c r="J838" s="1">
        <v>0.0</v>
      </c>
    </row>
    <row r="839">
      <c r="A839" s="1">
        <v>1.0</v>
      </c>
      <c r="B839" s="1">
        <v>4.0</v>
      </c>
      <c r="C839" s="1">
        <v>0.0</v>
      </c>
      <c r="D839" s="1">
        <v>0.0</v>
      </c>
      <c r="E839" s="1">
        <v>0.0</v>
      </c>
      <c r="F839" s="1">
        <v>0.0</v>
      </c>
      <c r="G839" s="2">
        <v>0.0</v>
      </c>
      <c r="H839" s="1" t="s">
        <v>325</v>
      </c>
      <c r="I839" s="1">
        <v>0.0</v>
      </c>
      <c r="J839" s="1">
        <v>0.0</v>
      </c>
    </row>
    <row r="840">
      <c r="A840" s="1">
        <v>4.0</v>
      </c>
      <c r="B840" s="1">
        <v>15.0</v>
      </c>
      <c r="C840" s="1">
        <v>0.0</v>
      </c>
      <c r="D840" s="1">
        <v>0.0</v>
      </c>
      <c r="E840" s="1">
        <v>0.0</v>
      </c>
      <c r="F840" s="1">
        <v>0.0</v>
      </c>
      <c r="G840" s="2">
        <v>0.0</v>
      </c>
      <c r="H840" s="1" t="s">
        <v>325</v>
      </c>
      <c r="I840" s="1">
        <v>0.0</v>
      </c>
      <c r="J840" s="1">
        <v>0.0</v>
      </c>
    </row>
    <row r="841">
      <c r="A841" s="1">
        <v>1.0</v>
      </c>
      <c r="B841" s="1">
        <v>4.0</v>
      </c>
      <c r="C841" s="1">
        <v>0.0</v>
      </c>
      <c r="D841" s="1">
        <v>0.0</v>
      </c>
      <c r="E841" s="1">
        <v>0.0</v>
      </c>
      <c r="F841" s="1">
        <v>0.0</v>
      </c>
      <c r="G841" s="2">
        <v>0.0</v>
      </c>
      <c r="H841" s="1" t="s">
        <v>326</v>
      </c>
      <c r="I841" s="1">
        <v>0.0</v>
      </c>
      <c r="J841" s="1">
        <v>0.0</v>
      </c>
    </row>
    <row r="842">
      <c r="A842" s="1">
        <v>2.0</v>
      </c>
      <c r="B842" s="1">
        <v>8.0</v>
      </c>
      <c r="C842" s="1">
        <v>0.0</v>
      </c>
      <c r="D842" s="1">
        <v>0.0</v>
      </c>
      <c r="E842" s="1">
        <v>0.0</v>
      </c>
      <c r="F842" s="1">
        <v>0.0</v>
      </c>
      <c r="G842" s="2">
        <v>0.0</v>
      </c>
      <c r="H842" s="1" t="s">
        <v>326</v>
      </c>
      <c r="I842" s="1">
        <v>0.0</v>
      </c>
      <c r="J842" s="1">
        <v>0.0</v>
      </c>
    </row>
    <row r="843">
      <c r="A843" s="1">
        <v>1.0</v>
      </c>
      <c r="B843" s="1">
        <v>4.0</v>
      </c>
      <c r="C843" s="1">
        <v>4.0</v>
      </c>
      <c r="D843" s="1">
        <v>4.0</v>
      </c>
      <c r="E843" s="1">
        <v>1.0</v>
      </c>
      <c r="F843" s="1">
        <v>0.0</v>
      </c>
      <c r="G843" s="2">
        <v>0.5</v>
      </c>
      <c r="H843" s="1" t="s">
        <v>311</v>
      </c>
      <c r="I843" s="1">
        <v>4.0</v>
      </c>
      <c r="J843" s="1">
        <v>1.0</v>
      </c>
    </row>
    <row r="844">
      <c r="A844" s="1">
        <v>4.0</v>
      </c>
      <c r="B844" s="1">
        <v>15.0</v>
      </c>
      <c r="C844" s="1">
        <v>9.0</v>
      </c>
      <c r="D844" s="1">
        <v>3.0</v>
      </c>
      <c r="E844" s="1">
        <v>0.25</v>
      </c>
      <c r="F844" s="1">
        <v>0.0</v>
      </c>
      <c r="G844" s="6">
        <v>0.444</v>
      </c>
      <c r="H844" s="1" t="s">
        <v>311</v>
      </c>
      <c r="I844" s="1">
        <v>12.0</v>
      </c>
      <c r="J844" s="1">
        <v>1.0</v>
      </c>
    </row>
    <row r="845">
      <c r="A845" s="1">
        <v>1.0</v>
      </c>
      <c r="B845" s="1">
        <v>3.0</v>
      </c>
      <c r="C845" s="1">
        <v>1.0</v>
      </c>
      <c r="D845" s="1">
        <v>4.0</v>
      </c>
      <c r="E845" s="1">
        <v>0.0</v>
      </c>
      <c r="F845" s="1">
        <v>0.0</v>
      </c>
      <c r="G845" s="2">
        <v>1.0</v>
      </c>
      <c r="H845" s="1" t="s">
        <v>322</v>
      </c>
      <c r="I845" s="1">
        <v>4.0</v>
      </c>
      <c r="J845" s="1">
        <v>0.0</v>
      </c>
    </row>
    <row r="846">
      <c r="A846" s="1">
        <v>3.0</v>
      </c>
      <c r="B846" s="1">
        <v>12.0</v>
      </c>
      <c r="C846" s="1">
        <v>2.0</v>
      </c>
      <c r="D846" s="1">
        <v>2.67</v>
      </c>
      <c r="E846" s="1">
        <v>0.0</v>
      </c>
      <c r="F846" s="1">
        <v>0.0</v>
      </c>
      <c r="G846" s="2">
        <v>1.0</v>
      </c>
      <c r="H846" s="1" t="s">
        <v>322</v>
      </c>
      <c r="I846" s="1">
        <v>8.0</v>
      </c>
      <c r="J846" s="1">
        <v>0.0</v>
      </c>
    </row>
    <row r="847">
      <c r="A847" s="1">
        <v>3.0</v>
      </c>
      <c r="B847" s="1">
        <v>12.0</v>
      </c>
      <c r="C847" s="1">
        <v>3.0</v>
      </c>
      <c r="D847" s="1">
        <v>0.0</v>
      </c>
      <c r="E847" s="1">
        <v>0.0</v>
      </c>
      <c r="F847" s="1">
        <v>0.0</v>
      </c>
      <c r="G847" s="2">
        <v>0.0</v>
      </c>
      <c r="H847" s="1" t="s">
        <v>328</v>
      </c>
      <c r="I847" s="1">
        <v>0.0</v>
      </c>
      <c r="J847" s="1">
        <v>0.0</v>
      </c>
    </row>
    <row r="848">
      <c r="A848" s="1">
        <v>3.0</v>
      </c>
      <c r="B848" s="1">
        <v>12.0</v>
      </c>
      <c r="C848" s="1">
        <v>1.0</v>
      </c>
      <c r="D848" s="1">
        <v>0.0</v>
      </c>
      <c r="E848" s="1">
        <v>0.0</v>
      </c>
      <c r="F848" s="1">
        <v>0.0</v>
      </c>
      <c r="G848" s="2">
        <v>0.0</v>
      </c>
      <c r="H848" s="1" t="s">
        <v>329</v>
      </c>
      <c r="I848" s="1">
        <v>0.0</v>
      </c>
      <c r="J848" s="1">
        <v>0.0</v>
      </c>
    </row>
    <row r="849">
      <c r="A849" s="1">
        <v>1.0</v>
      </c>
      <c r="B849" s="1">
        <v>4.0</v>
      </c>
      <c r="C849" s="1">
        <v>0.0</v>
      </c>
      <c r="D849" s="1">
        <v>0.0</v>
      </c>
      <c r="E849" s="1">
        <v>0.0</v>
      </c>
      <c r="F849" s="1">
        <v>0.0</v>
      </c>
      <c r="G849" s="2">
        <v>0.0</v>
      </c>
      <c r="H849" s="1" t="s">
        <v>329</v>
      </c>
      <c r="I849" s="1">
        <v>0.0</v>
      </c>
      <c r="J849" s="1">
        <v>0.0</v>
      </c>
    </row>
    <row r="850">
      <c r="A850" s="1">
        <v>2.0</v>
      </c>
      <c r="B850" s="1">
        <v>8.0</v>
      </c>
      <c r="C850" s="1">
        <v>5.0</v>
      </c>
      <c r="D850" s="1">
        <v>0.0</v>
      </c>
      <c r="E850" s="1">
        <v>0.5</v>
      </c>
      <c r="F850" s="1">
        <v>0.0</v>
      </c>
      <c r="G850" s="2">
        <v>0.2</v>
      </c>
      <c r="H850" s="1" t="s">
        <v>330</v>
      </c>
      <c r="I850" s="1">
        <v>0.0</v>
      </c>
      <c r="J850" s="1">
        <v>1.0</v>
      </c>
    </row>
    <row r="851">
      <c r="A851" s="1">
        <v>3.0</v>
      </c>
      <c r="B851" s="1">
        <v>12.0</v>
      </c>
      <c r="C851" s="1">
        <v>6.0</v>
      </c>
      <c r="D851" s="1">
        <v>2.67</v>
      </c>
      <c r="E851" s="1">
        <v>0.0</v>
      </c>
      <c r="F851" s="1">
        <v>0.0</v>
      </c>
      <c r="G851" s="6">
        <v>0.333</v>
      </c>
      <c r="H851" s="1" t="s">
        <v>330</v>
      </c>
      <c r="I851" s="1">
        <v>8.0</v>
      </c>
      <c r="J851" s="1">
        <v>0.0</v>
      </c>
    </row>
    <row r="852">
      <c r="A852" s="1">
        <v>2.0</v>
      </c>
      <c r="B852" s="1">
        <v>8.0</v>
      </c>
      <c r="C852" s="1">
        <v>0.0</v>
      </c>
      <c r="D852" s="1">
        <v>0.0</v>
      </c>
      <c r="E852" s="1">
        <v>0.0</v>
      </c>
      <c r="F852" s="1">
        <v>0.0</v>
      </c>
      <c r="G852" s="2">
        <v>0.0</v>
      </c>
      <c r="H852" s="1" t="s">
        <v>331</v>
      </c>
      <c r="I852" s="1">
        <v>0.0</v>
      </c>
      <c r="J852" s="1">
        <v>0.0</v>
      </c>
    </row>
    <row r="853">
      <c r="A853" s="1">
        <v>2.0</v>
      </c>
      <c r="B853" s="1">
        <v>8.0</v>
      </c>
      <c r="C853" s="1">
        <v>0.0</v>
      </c>
      <c r="D853" s="1">
        <v>0.0</v>
      </c>
      <c r="E853" s="1">
        <v>0.0</v>
      </c>
      <c r="F853" s="1">
        <v>0.0</v>
      </c>
      <c r="G853" s="2">
        <v>0.0</v>
      </c>
      <c r="H853" s="1" t="s">
        <v>331</v>
      </c>
      <c r="I853" s="1">
        <v>0.0</v>
      </c>
      <c r="J853" s="1">
        <v>0.0</v>
      </c>
    </row>
    <row r="854">
      <c r="A854" s="1">
        <v>1.0</v>
      </c>
      <c r="B854" s="1">
        <v>4.0</v>
      </c>
      <c r="C854" s="1">
        <v>0.0</v>
      </c>
      <c r="D854" s="1">
        <v>0.0</v>
      </c>
      <c r="E854" s="1">
        <v>0.0</v>
      </c>
      <c r="F854" s="1">
        <v>0.0</v>
      </c>
      <c r="G854" s="2">
        <v>0.0</v>
      </c>
      <c r="H854" s="1" t="s">
        <v>332</v>
      </c>
      <c r="I854" s="1">
        <v>0.0</v>
      </c>
      <c r="J854" s="1">
        <v>0.0</v>
      </c>
    </row>
    <row r="855">
      <c r="A855" s="1">
        <v>1.0</v>
      </c>
      <c r="B855" s="1">
        <v>4.0</v>
      </c>
      <c r="C855" s="1">
        <v>1.0</v>
      </c>
      <c r="D855" s="1">
        <v>4.0</v>
      </c>
      <c r="E855" s="1">
        <v>0.0</v>
      </c>
      <c r="F855" s="1">
        <v>0.0</v>
      </c>
      <c r="G855" s="2">
        <v>1.0</v>
      </c>
      <c r="H855" s="1" t="s">
        <v>332</v>
      </c>
      <c r="I855" s="1">
        <v>4.0</v>
      </c>
      <c r="J855" s="1">
        <v>0.0</v>
      </c>
    </row>
    <row r="856">
      <c r="A856" s="1">
        <v>1.0</v>
      </c>
      <c r="B856" s="1">
        <v>4.0</v>
      </c>
      <c r="C856" s="1">
        <v>0.0</v>
      </c>
      <c r="D856" s="1">
        <v>0.0</v>
      </c>
      <c r="E856" s="1">
        <v>0.0</v>
      </c>
      <c r="F856" s="1">
        <v>0.0</v>
      </c>
      <c r="G856" s="2">
        <v>0.0</v>
      </c>
      <c r="H856" s="1" t="s">
        <v>333</v>
      </c>
      <c r="I856" s="1">
        <v>0.0</v>
      </c>
      <c r="J856" s="1">
        <v>0.0</v>
      </c>
    </row>
    <row r="857">
      <c r="A857" s="1">
        <v>3.0</v>
      </c>
      <c r="B857" s="1">
        <v>12.0</v>
      </c>
      <c r="C857" s="1">
        <v>0.0</v>
      </c>
      <c r="D857" s="1">
        <v>0.0</v>
      </c>
      <c r="E857" s="1">
        <v>0.0</v>
      </c>
      <c r="F857" s="1">
        <v>0.0</v>
      </c>
      <c r="G857" s="2">
        <v>0.0</v>
      </c>
      <c r="H857" s="1" t="s">
        <v>333</v>
      </c>
      <c r="I857" s="1">
        <v>0.0</v>
      </c>
      <c r="J857" s="1">
        <v>0.0</v>
      </c>
    </row>
    <row r="858">
      <c r="A858" s="1">
        <v>3.0</v>
      </c>
      <c r="B858" s="1">
        <v>12.0</v>
      </c>
      <c r="C858" s="1">
        <v>0.0</v>
      </c>
      <c r="D858" s="1">
        <v>0.0</v>
      </c>
      <c r="E858" s="1">
        <v>0.0</v>
      </c>
      <c r="F858" s="1">
        <v>0.0</v>
      </c>
      <c r="G858" s="2">
        <v>0.0</v>
      </c>
      <c r="H858" s="1" t="s">
        <v>324</v>
      </c>
      <c r="I858" s="1">
        <v>0.0</v>
      </c>
      <c r="J858" s="1">
        <v>0.0</v>
      </c>
    </row>
    <row r="859">
      <c r="A859" s="1">
        <v>1.0</v>
      </c>
      <c r="B859" s="1">
        <v>4.0</v>
      </c>
      <c r="C859" s="1">
        <v>0.0</v>
      </c>
      <c r="D859" s="1">
        <v>0.0</v>
      </c>
      <c r="E859" s="1">
        <v>0.0</v>
      </c>
      <c r="F859" s="1">
        <v>0.0</v>
      </c>
      <c r="G859" s="2">
        <v>0.0</v>
      </c>
      <c r="H859" s="1" t="s">
        <v>324</v>
      </c>
      <c r="I859" s="1">
        <v>0.0</v>
      </c>
      <c r="J859" s="1">
        <v>0.0</v>
      </c>
    </row>
    <row r="860">
      <c r="A860" s="1">
        <v>4.0</v>
      </c>
      <c r="B860" s="1">
        <v>16.0</v>
      </c>
      <c r="C860" s="1">
        <v>0.0</v>
      </c>
      <c r="D860" s="1">
        <v>0.0</v>
      </c>
      <c r="E860" s="1">
        <v>0.0</v>
      </c>
      <c r="F860" s="1">
        <v>0.0</v>
      </c>
      <c r="G860" s="2">
        <v>0.0</v>
      </c>
      <c r="H860" s="1" t="s">
        <v>186</v>
      </c>
      <c r="I860" s="1">
        <v>0.0</v>
      </c>
      <c r="J860" s="1">
        <v>0.0</v>
      </c>
    </row>
    <row r="861">
      <c r="A861" s="1">
        <v>1.0</v>
      </c>
      <c r="B861" s="1">
        <v>4.0</v>
      </c>
      <c r="C861" s="1">
        <v>0.0</v>
      </c>
      <c r="D861" s="1">
        <v>0.0</v>
      </c>
      <c r="E861" s="1">
        <v>0.0</v>
      </c>
      <c r="F861" s="1">
        <v>0.0</v>
      </c>
      <c r="G861" s="2">
        <v>0.0</v>
      </c>
      <c r="H861" s="1" t="s">
        <v>186</v>
      </c>
      <c r="I861" s="1">
        <v>0.0</v>
      </c>
      <c r="J861" s="1">
        <v>0.0</v>
      </c>
    </row>
    <row r="862">
      <c r="A862" s="1">
        <v>4.0</v>
      </c>
      <c r="B862" s="1">
        <v>16.0</v>
      </c>
      <c r="C862" s="1">
        <v>13.0</v>
      </c>
      <c r="D862" s="1">
        <v>7.0</v>
      </c>
      <c r="E862" s="1">
        <v>0.25</v>
      </c>
      <c r="F862" s="1">
        <v>0.0</v>
      </c>
      <c r="G862" s="6">
        <v>0.615</v>
      </c>
      <c r="H862" s="1" t="s">
        <v>157</v>
      </c>
      <c r="I862" s="1">
        <v>28.0</v>
      </c>
      <c r="J862" s="1">
        <v>1.0</v>
      </c>
    </row>
    <row r="863">
      <c r="A863" s="1">
        <v>1.0</v>
      </c>
      <c r="B863" s="1">
        <v>4.0</v>
      </c>
      <c r="C863" s="1">
        <v>4.0</v>
      </c>
      <c r="D863" s="1">
        <v>-4.0</v>
      </c>
      <c r="E863" s="1">
        <v>1.0</v>
      </c>
      <c r="F863" s="1">
        <v>0.0</v>
      </c>
      <c r="G863" s="2">
        <v>0.0</v>
      </c>
      <c r="H863" s="1" t="s">
        <v>157</v>
      </c>
      <c r="I863" s="1">
        <v>-4.0</v>
      </c>
      <c r="J863" s="1">
        <v>1.0</v>
      </c>
    </row>
    <row r="864">
      <c r="A864" s="1">
        <v>5.0</v>
      </c>
      <c r="B864" s="1">
        <v>19.0</v>
      </c>
      <c r="C864" s="1">
        <v>2.0</v>
      </c>
      <c r="D864" s="1">
        <v>0.0</v>
      </c>
      <c r="E864" s="1">
        <v>0.0</v>
      </c>
      <c r="F864" s="1">
        <v>0.0</v>
      </c>
      <c r="G864" s="2">
        <v>0.0</v>
      </c>
      <c r="H864" s="1" t="s">
        <v>155</v>
      </c>
      <c r="I864" s="1">
        <v>0.0</v>
      </c>
      <c r="J864" s="1">
        <v>0.0</v>
      </c>
    </row>
    <row r="865">
      <c r="A865" s="1">
        <v>5.0</v>
      </c>
      <c r="B865" s="1">
        <v>19.0</v>
      </c>
      <c r="C865" s="1">
        <v>0.0</v>
      </c>
      <c r="D865" s="1">
        <v>0.0</v>
      </c>
      <c r="E865" s="1">
        <v>0.0</v>
      </c>
      <c r="F865" s="1">
        <v>0.0</v>
      </c>
      <c r="G865" s="2">
        <v>0.0</v>
      </c>
      <c r="H865" s="1" t="s">
        <v>212</v>
      </c>
      <c r="I865" s="1">
        <v>0.0</v>
      </c>
      <c r="J865" s="1">
        <v>0.0</v>
      </c>
    </row>
    <row r="866">
      <c r="A866" s="1">
        <v>1.0</v>
      </c>
      <c r="B866" s="1">
        <v>4.0</v>
      </c>
      <c r="C866" s="1">
        <v>0.0</v>
      </c>
      <c r="D866" s="1">
        <v>0.0</v>
      </c>
      <c r="E866" s="1">
        <v>0.0</v>
      </c>
      <c r="F866" s="1">
        <v>0.0</v>
      </c>
      <c r="G866" s="2">
        <v>0.0</v>
      </c>
      <c r="H866" s="1" t="s">
        <v>334</v>
      </c>
      <c r="I866" s="1">
        <v>0.0</v>
      </c>
      <c r="J866" s="1">
        <v>0.0</v>
      </c>
    </row>
    <row r="867">
      <c r="A867" s="1">
        <v>5.0</v>
      </c>
      <c r="B867" s="1">
        <v>19.0</v>
      </c>
      <c r="C867" s="1">
        <v>11.0</v>
      </c>
      <c r="D867" s="1">
        <v>3.2</v>
      </c>
      <c r="E867" s="1">
        <v>0.4</v>
      </c>
      <c r="F867" s="1">
        <v>0.0</v>
      </c>
      <c r="G867" s="6">
        <v>0.545</v>
      </c>
      <c r="H867" s="1" t="s">
        <v>215</v>
      </c>
      <c r="I867" s="1">
        <v>16.0</v>
      </c>
      <c r="J867" s="1">
        <v>2.0</v>
      </c>
    </row>
    <row r="868">
      <c r="A868" s="1">
        <v>2.0</v>
      </c>
      <c r="B868" s="1">
        <v>7.0</v>
      </c>
      <c r="C868" s="1">
        <v>2.0</v>
      </c>
      <c r="D868" s="1">
        <v>4.0</v>
      </c>
      <c r="E868" s="1">
        <v>0.0</v>
      </c>
      <c r="F868" s="1">
        <v>0.0</v>
      </c>
      <c r="G868" s="2">
        <v>1.0</v>
      </c>
      <c r="H868" s="1" t="s">
        <v>168</v>
      </c>
      <c r="I868" s="1">
        <v>8.0</v>
      </c>
      <c r="J868" s="1">
        <v>0.0</v>
      </c>
    </row>
    <row r="869">
      <c r="A869" s="1">
        <v>3.0</v>
      </c>
      <c r="B869" s="1">
        <v>11.0</v>
      </c>
      <c r="C869" s="1">
        <v>4.0</v>
      </c>
      <c r="D869" s="1">
        <v>0.0</v>
      </c>
      <c r="E869" s="1">
        <v>0.33</v>
      </c>
      <c r="F869" s="1">
        <v>0.0</v>
      </c>
      <c r="G869" s="2">
        <v>0.25</v>
      </c>
      <c r="H869" s="1" t="s">
        <v>168</v>
      </c>
      <c r="I869" s="1">
        <v>0.0</v>
      </c>
      <c r="J869" s="1">
        <v>1.0</v>
      </c>
    </row>
    <row r="870">
      <c r="A870" s="1">
        <v>1.0</v>
      </c>
      <c r="B870" s="1">
        <v>4.0</v>
      </c>
      <c r="C870" s="1">
        <v>1.0</v>
      </c>
      <c r="D870" s="1">
        <v>4.0</v>
      </c>
      <c r="E870" s="1">
        <v>0.0</v>
      </c>
      <c r="F870" s="1">
        <v>0.0</v>
      </c>
      <c r="G870" s="2">
        <v>1.0</v>
      </c>
      <c r="H870" s="1" t="s">
        <v>113</v>
      </c>
      <c r="I870" s="1">
        <v>4.0</v>
      </c>
      <c r="J870" s="1">
        <v>0.0</v>
      </c>
    </row>
    <row r="871">
      <c r="A871" s="1">
        <v>1.0</v>
      </c>
      <c r="B871" s="1">
        <v>3.0</v>
      </c>
      <c r="C871" s="1">
        <v>1.0</v>
      </c>
      <c r="D871" s="1">
        <v>4.0</v>
      </c>
      <c r="E871" s="1">
        <v>0.0</v>
      </c>
      <c r="F871" s="1">
        <v>0.0</v>
      </c>
      <c r="G871" s="2">
        <v>1.0</v>
      </c>
      <c r="H871" s="1" t="s">
        <v>113</v>
      </c>
      <c r="I871" s="1">
        <v>4.0</v>
      </c>
      <c r="J871" s="1">
        <v>0.0</v>
      </c>
    </row>
    <row r="872">
      <c r="A872" s="1">
        <v>3.0</v>
      </c>
      <c r="B872" s="1">
        <v>11.0</v>
      </c>
      <c r="C872" s="1">
        <v>0.0</v>
      </c>
      <c r="D872" s="1">
        <v>0.0</v>
      </c>
      <c r="E872" s="1">
        <v>0.0</v>
      </c>
      <c r="F872" s="1">
        <v>0.0</v>
      </c>
      <c r="G872" s="2">
        <v>0.0</v>
      </c>
      <c r="H872" s="1" t="s">
        <v>113</v>
      </c>
      <c r="I872" s="1">
        <v>0.0</v>
      </c>
      <c r="J872" s="1">
        <v>0.0</v>
      </c>
    </row>
    <row r="873">
      <c r="A873" s="1">
        <v>1.0</v>
      </c>
      <c r="B873" s="1">
        <v>3.0</v>
      </c>
      <c r="C873" s="1">
        <v>1.0</v>
      </c>
      <c r="D873" s="1">
        <v>-4.0</v>
      </c>
      <c r="E873" s="1">
        <v>1.0</v>
      </c>
      <c r="F873" s="1">
        <v>0.0</v>
      </c>
      <c r="G873" s="2">
        <v>0.0</v>
      </c>
      <c r="H873" s="1" t="s">
        <v>335</v>
      </c>
      <c r="I873" s="1">
        <v>-4.0</v>
      </c>
      <c r="J873" s="1">
        <v>1.0</v>
      </c>
    </row>
    <row r="874">
      <c r="A874" s="1">
        <v>2.0</v>
      </c>
      <c r="B874" s="1">
        <v>8.0</v>
      </c>
      <c r="C874" s="1">
        <v>3.0</v>
      </c>
      <c r="D874" s="1">
        <v>4.0</v>
      </c>
      <c r="E874" s="1">
        <v>0.0</v>
      </c>
      <c r="F874" s="1">
        <v>0.0</v>
      </c>
      <c r="G874" s="6">
        <v>0.667</v>
      </c>
      <c r="H874" s="1" t="s">
        <v>335</v>
      </c>
      <c r="I874" s="1">
        <v>8.0</v>
      </c>
      <c r="J874" s="1">
        <v>0.0</v>
      </c>
    </row>
    <row r="875">
      <c r="A875" s="1">
        <v>1.0</v>
      </c>
      <c r="B875" s="1">
        <v>4.0</v>
      </c>
      <c r="C875" s="1">
        <v>0.0</v>
      </c>
      <c r="D875" s="1">
        <v>0.0</v>
      </c>
      <c r="E875" s="1">
        <v>0.0</v>
      </c>
      <c r="F875" s="1">
        <v>0.0</v>
      </c>
      <c r="G875" s="2">
        <v>0.0</v>
      </c>
      <c r="H875" s="1" t="s">
        <v>336</v>
      </c>
      <c r="I875" s="1">
        <v>0.0</v>
      </c>
      <c r="J875" s="1">
        <v>0.0</v>
      </c>
    </row>
    <row r="876">
      <c r="A876" s="1">
        <v>1.0</v>
      </c>
      <c r="B876" s="1">
        <v>3.0</v>
      </c>
      <c r="C876" s="1">
        <v>0.0</v>
      </c>
      <c r="D876" s="1">
        <v>0.0</v>
      </c>
      <c r="E876" s="1">
        <v>0.0</v>
      </c>
      <c r="F876" s="1">
        <v>0.0</v>
      </c>
      <c r="G876" s="2">
        <v>0.0</v>
      </c>
      <c r="H876" s="1" t="s">
        <v>336</v>
      </c>
      <c r="I876" s="1">
        <v>0.0</v>
      </c>
      <c r="J876" s="1">
        <v>0.0</v>
      </c>
    </row>
    <row r="877">
      <c r="A877" s="1">
        <v>2.0</v>
      </c>
      <c r="B877" s="1">
        <v>7.0</v>
      </c>
      <c r="C877" s="1">
        <v>2.0</v>
      </c>
      <c r="D877" s="1">
        <v>0.0</v>
      </c>
      <c r="E877" s="1">
        <v>0.5</v>
      </c>
      <c r="F877" s="1">
        <v>0.0</v>
      </c>
      <c r="G877" s="2">
        <v>0.5</v>
      </c>
      <c r="H877" s="1" t="s">
        <v>337</v>
      </c>
      <c r="I877" s="1">
        <v>0.0</v>
      </c>
      <c r="J877" s="1">
        <v>1.0</v>
      </c>
    </row>
    <row r="878">
      <c r="A878" s="1">
        <v>3.0</v>
      </c>
      <c r="B878" s="1">
        <v>11.0</v>
      </c>
      <c r="C878" s="1">
        <v>1.0</v>
      </c>
      <c r="D878" s="1">
        <v>1.33</v>
      </c>
      <c r="E878" s="1">
        <v>0.0</v>
      </c>
      <c r="F878" s="1">
        <v>0.0</v>
      </c>
      <c r="G878" s="2">
        <v>1.0</v>
      </c>
      <c r="H878" s="1" t="s">
        <v>337</v>
      </c>
      <c r="I878" s="1">
        <v>4.0</v>
      </c>
      <c r="J878" s="1">
        <v>0.0</v>
      </c>
    </row>
    <row r="879">
      <c r="A879" s="1">
        <v>4.0</v>
      </c>
      <c r="B879" s="1">
        <v>14.0</v>
      </c>
      <c r="C879" s="1">
        <v>2.0</v>
      </c>
      <c r="D879" s="1">
        <v>0.0</v>
      </c>
      <c r="E879" s="1">
        <v>0.0</v>
      </c>
      <c r="F879" s="1">
        <v>0.0</v>
      </c>
      <c r="G879" s="2">
        <v>0.0</v>
      </c>
      <c r="H879" s="1" t="s">
        <v>299</v>
      </c>
      <c r="I879" s="1">
        <v>0.0</v>
      </c>
      <c r="J879" s="1">
        <v>0.0</v>
      </c>
    </row>
    <row r="880">
      <c r="A880" s="1">
        <v>1.0</v>
      </c>
      <c r="B880" s="1">
        <v>3.0</v>
      </c>
      <c r="C880" s="1">
        <v>0.0</v>
      </c>
      <c r="D880" s="1">
        <v>0.0</v>
      </c>
      <c r="E880" s="1">
        <v>0.0</v>
      </c>
      <c r="F880" s="1">
        <v>0.0</v>
      </c>
      <c r="G880" s="2">
        <v>0.0</v>
      </c>
      <c r="H880" s="1" t="s">
        <v>256</v>
      </c>
      <c r="I880" s="1">
        <v>0.0</v>
      </c>
      <c r="J880" s="1">
        <v>0.0</v>
      </c>
    </row>
    <row r="881">
      <c r="A881" s="1">
        <v>1.0</v>
      </c>
      <c r="B881" s="1">
        <v>3.0</v>
      </c>
      <c r="C881" s="1">
        <v>0.0</v>
      </c>
      <c r="D881" s="1">
        <v>0.0</v>
      </c>
      <c r="E881" s="1">
        <v>0.0</v>
      </c>
      <c r="F881" s="1">
        <v>0.0</v>
      </c>
      <c r="G881" s="2">
        <v>0.0</v>
      </c>
      <c r="H881" s="1" t="s">
        <v>216</v>
      </c>
      <c r="I881" s="1">
        <v>0.0</v>
      </c>
      <c r="J881" s="1">
        <v>0.0</v>
      </c>
    </row>
    <row r="882">
      <c r="A882" s="1">
        <v>1.0</v>
      </c>
      <c r="B882" s="1">
        <v>4.0</v>
      </c>
      <c r="C882" s="1">
        <v>2.0</v>
      </c>
      <c r="D882" s="1">
        <v>0.0</v>
      </c>
      <c r="E882" s="1">
        <v>0.0</v>
      </c>
      <c r="F882" s="1">
        <v>0.0</v>
      </c>
      <c r="G882" s="2">
        <v>0.0</v>
      </c>
      <c r="H882" s="1" t="s">
        <v>216</v>
      </c>
      <c r="I882" s="1">
        <v>0.0</v>
      </c>
      <c r="J882" s="1">
        <v>0.0</v>
      </c>
    </row>
    <row r="883">
      <c r="A883" s="1">
        <v>3.0</v>
      </c>
      <c r="B883" s="1">
        <v>10.0</v>
      </c>
      <c r="C883" s="1">
        <v>4.0</v>
      </c>
      <c r="D883" s="1">
        <v>1.33</v>
      </c>
      <c r="E883" s="1">
        <v>0.0</v>
      </c>
      <c r="F883" s="1">
        <v>0.0</v>
      </c>
      <c r="G883" s="2">
        <v>0.25</v>
      </c>
      <c r="H883" s="1" t="s">
        <v>216</v>
      </c>
      <c r="I883" s="1">
        <v>4.0</v>
      </c>
      <c r="J883" s="1">
        <v>0.0</v>
      </c>
    </row>
    <row r="884">
      <c r="A884" s="1">
        <v>1.0</v>
      </c>
      <c r="B884" s="1">
        <v>4.0</v>
      </c>
      <c r="C884" s="1">
        <v>1.0</v>
      </c>
      <c r="D884" s="1">
        <v>4.0</v>
      </c>
      <c r="E884" s="1">
        <v>0.0</v>
      </c>
      <c r="F884" s="1">
        <v>0.0</v>
      </c>
      <c r="G884" s="2">
        <v>1.0</v>
      </c>
      <c r="H884" s="1" t="s">
        <v>338</v>
      </c>
      <c r="I884" s="1">
        <v>4.0</v>
      </c>
      <c r="J884" s="1">
        <v>0.0</v>
      </c>
    </row>
    <row r="885">
      <c r="A885" s="1">
        <v>1.0</v>
      </c>
      <c r="B885" s="1">
        <v>4.0</v>
      </c>
      <c r="C885" s="1">
        <v>1.0</v>
      </c>
      <c r="D885" s="1">
        <v>-4.0</v>
      </c>
      <c r="E885" s="1">
        <v>1.0</v>
      </c>
      <c r="F885" s="1">
        <v>0.0</v>
      </c>
      <c r="G885" s="2">
        <v>0.0</v>
      </c>
      <c r="H885" s="1" t="s">
        <v>338</v>
      </c>
      <c r="I885" s="1">
        <v>-4.0</v>
      </c>
      <c r="J885" s="1">
        <v>1.0</v>
      </c>
    </row>
    <row r="886">
      <c r="A886" s="1">
        <v>1.0</v>
      </c>
      <c r="B886" s="1">
        <v>4.0</v>
      </c>
      <c r="C886" s="1">
        <v>0.0</v>
      </c>
      <c r="D886" s="1">
        <v>0.0</v>
      </c>
      <c r="E886" s="1">
        <v>0.0</v>
      </c>
      <c r="F886" s="1">
        <v>0.0</v>
      </c>
      <c r="G886" s="2">
        <v>0.0</v>
      </c>
      <c r="H886" s="1" t="s">
        <v>339</v>
      </c>
      <c r="I886" s="1">
        <v>0.0</v>
      </c>
      <c r="J886" s="1">
        <v>0.0</v>
      </c>
    </row>
    <row r="887">
      <c r="A887" s="1">
        <v>1.0</v>
      </c>
      <c r="B887" s="1">
        <v>4.0</v>
      </c>
      <c r="C887" s="1">
        <v>2.0</v>
      </c>
      <c r="D887" s="1">
        <v>4.0</v>
      </c>
      <c r="E887" s="1">
        <v>0.0</v>
      </c>
      <c r="F887" s="1">
        <v>0.0</v>
      </c>
      <c r="G887" s="2">
        <v>0.5</v>
      </c>
      <c r="H887" s="1" t="s">
        <v>83</v>
      </c>
      <c r="I887" s="1">
        <v>4.0</v>
      </c>
      <c r="J887" s="1">
        <v>0.0</v>
      </c>
    </row>
    <row r="888">
      <c r="A888" s="1">
        <v>2.0</v>
      </c>
      <c r="B888" s="1">
        <v>8.0</v>
      </c>
      <c r="C888" s="1">
        <v>5.0</v>
      </c>
      <c r="D888" s="1">
        <v>0.0</v>
      </c>
      <c r="E888" s="1">
        <v>0.5</v>
      </c>
      <c r="F888" s="1">
        <v>0.0</v>
      </c>
      <c r="G888" s="2">
        <v>0.2</v>
      </c>
      <c r="H888" s="1" t="s">
        <v>83</v>
      </c>
      <c r="I888" s="1">
        <v>0.0</v>
      </c>
      <c r="J888" s="1">
        <v>1.0</v>
      </c>
    </row>
    <row r="889">
      <c r="A889" s="1">
        <v>1.0</v>
      </c>
      <c r="B889" s="1">
        <v>4.0</v>
      </c>
      <c r="C889" s="1">
        <v>1.0</v>
      </c>
      <c r="D889" s="1">
        <v>4.0</v>
      </c>
      <c r="E889" s="1">
        <v>0.0</v>
      </c>
      <c r="F889" s="1">
        <v>0.0</v>
      </c>
      <c r="G889" s="2">
        <v>1.0</v>
      </c>
      <c r="H889" s="1" t="s">
        <v>340</v>
      </c>
      <c r="I889" s="1">
        <v>4.0</v>
      </c>
      <c r="J889" s="1">
        <v>0.0</v>
      </c>
    </row>
    <row r="890">
      <c r="A890" s="1">
        <v>1.0</v>
      </c>
      <c r="B890" s="1">
        <v>4.0</v>
      </c>
      <c r="C890" s="1">
        <v>1.0</v>
      </c>
      <c r="D890" s="1">
        <v>4.0</v>
      </c>
      <c r="E890" s="1">
        <v>0.0</v>
      </c>
      <c r="F890" s="1">
        <v>0.0</v>
      </c>
      <c r="G890" s="2">
        <v>1.0</v>
      </c>
      <c r="H890" s="1" t="s">
        <v>340</v>
      </c>
      <c r="I890" s="1">
        <v>4.0</v>
      </c>
      <c r="J890" s="1">
        <v>0.0</v>
      </c>
    </row>
    <row r="891">
      <c r="A891" s="1">
        <v>3.0</v>
      </c>
      <c r="B891" s="1">
        <v>11.0</v>
      </c>
      <c r="C891" s="1">
        <v>0.0</v>
      </c>
      <c r="D891" s="1">
        <v>0.0</v>
      </c>
      <c r="E891" s="1">
        <v>0.0</v>
      </c>
      <c r="F891" s="1">
        <v>0.0</v>
      </c>
      <c r="G891" s="2">
        <v>0.0</v>
      </c>
      <c r="H891" s="1" t="s">
        <v>258</v>
      </c>
      <c r="I891" s="1">
        <v>0.0</v>
      </c>
      <c r="J891" s="1">
        <v>0.0</v>
      </c>
    </row>
    <row r="892">
      <c r="A892" s="1">
        <v>1.0</v>
      </c>
      <c r="B892" s="1">
        <v>4.0</v>
      </c>
      <c r="C892" s="1">
        <v>0.0</v>
      </c>
      <c r="D892" s="1">
        <v>0.0</v>
      </c>
      <c r="E892" s="1">
        <v>0.0</v>
      </c>
      <c r="F892" s="1">
        <v>0.0</v>
      </c>
      <c r="G892" s="2">
        <v>0.0</v>
      </c>
      <c r="H892" s="1" t="s">
        <v>301</v>
      </c>
      <c r="I892" s="1">
        <v>0.0</v>
      </c>
      <c r="J892" s="1">
        <v>0.0</v>
      </c>
    </row>
    <row r="893">
      <c r="A893" s="1">
        <v>1.0</v>
      </c>
      <c r="B893" s="1">
        <v>4.0</v>
      </c>
      <c r="C893" s="1">
        <v>0.0</v>
      </c>
      <c r="D893" s="1">
        <v>0.0</v>
      </c>
      <c r="E893" s="1">
        <v>0.0</v>
      </c>
      <c r="F893" s="1">
        <v>0.0</v>
      </c>
      <c r="G893" s="2">
        <v>0.0</v>
      </c>
      <c r="H893" s="1" t="s">
        <v>301</v>
      </c>
      <c r="I893" s="1">
        <v>0.0</v>
      </c>
      <c r="J893" s="1">
        <v>0.0</v>
      </c>
    </row>
    <row r="894">
      <c r="A894" s="1">
        <v>2.0</v>
      </c>
      <c r="B894" s="1">
        <v>7.0</v>
      </c>
      <c r="C894" s="1">
        <v>7.0</v>
      </c>
      <c r="D894" s="1">
        <v>8.0</v>
      </c>
      <c r="E894" s="1">
        <v>0.5</v>
      </c>
      <c r="F894" s="1">
        <v>0.0</v>
      </c>
      <c r="G894" s="6">
        <v>0.714</v>
      </c>
      <c r="H894" s="1" t="s">
        <v>87</v>
      </c>
      <c r="I894" s="1">
        <v>16.0</v>
      </c>
      <c r="J894" s="1">
        <v>1.0</v>
      </c>
    </row>
    <row r="895">
      <c r="A895" s="1">
        <v>1.0</v>
      </c>
      <c r="B895" s="1">
        <v>4.0</v>
      </c>
      <c r="C895" s="1">
        <v>0.0</v>
      </c>
      <c r="D895" s="1">
        <v>0.0</v>
      </c>
      <c r="E895" s="1">
        <v>0.0</v>
      </c>
      <c r="F895" s="1">
        <v>0.0</v>
      </c>
      <c r="G895" s="2">
        <v>0.0</v>
      </c>
      <c r="H895" s="1" t="s">
        <v>87</v>
      </c>
      <c r="I895" s="1">
        <v>0.0</v>
      </c>
      <c r="J895" s="1">
        <v>0.0</v>
      </c>
    </row>
    <row r="896">
      <c r="A896" s="1">
        <v>1.0</v>
      </c>
      <c r="B896" s="1">
        <v>4.0</v>
      </c>
      <c r="C896" s="1">
        <v>3.0</v>
      </c>
      <c r="D896" s="1">
        <v>4.0</v>
      </c>
      <c r="E896" s="1">
        <v>0.0</v>
      </c>
      <c r="F896" s="1">
        <v>0.0</v>
      </c>
      <c r="G896" s="6">
        <v>0.333</v>
      </c>
      <c r="H896" s="1" t="s">
        <v>87</v>
      </c>
      <c r="I896" s="1">
        <v>4.0</v>
      </c>
      <c r="J896" s="1">
        <v>0.0</v>
      </c>
    </row>
    <row r="897">
      <c r="A897" s="1">
        <v>1.0</v>
      </c>
      <c r="B897" s="1">
        <v>4.0</v>
      </c>
      <c r="C897" s="1">
        <v>0.0</v>
      </c>
      <c r="D897" s="1">
        <v>0.0</v>
      </c>
      <c r="E897" s="1">
        <v>0.0</v>
      </c>
      <c r="F897" s="1">
        <v>0.0</v>
      </c>
      <c r="G897" s="2">
        <v>0.0</v>
      </c>
      <c r="H897" s="1" t="s">
        <v>341</v>
      </c>
      <c r="I897" s="1">
        <v>0.0</v>
      </c>
      <c r="J897" s="1">
        <v>0.0</v>
      </c>
    </row>
    <row r="898">
      <c r="A898" s="1">
        <v>1.0</v>
      </c>
      <c r="B898" s="1">
        <v>3.0</v>
      </c>
      <c r="C898" s="1">
        <v>0.0</v>
      </c>
      <c r="D898" s="1">
        <v>0.0</v>
      </c>
      <c r="E898" s="1">
        <v>0.0</v>
      </c>
      <c r="F898" s="1">
        <v>0.0</v>
      </c>
      <c r="G898" s="2">
        <v>0.0</v>
      </c>
      <c r="H898" s="1" t="s">
        <v>341</v>
      </c>
      <c r="I898" s="1">
        <v>0.0</v>
      </c>
      <c r="J898" s="1">
        <v>0.0</v>
      </c>
    </row>
    <row r="899">
      <c r="A899" s="1">
        <v>5.0</v>
      </c>
      <c r="B899" s="1">
        <v>19.0</v>
      </c>
      <c r="C899" s="1">
        <v>5.0</v>
      </c>
      <c r="D899" s="1">
        <v>0.0</v>
      </c>
      <c r="E899" s="1">
        <v>0.2</v>
      </c>
      <c r="F899" s="1">
        <v>0.0</v>
      </c>
      <c r="G899" s="2">
        <v>0.2</v>
      </c>
      <c r="H899" s="1" t="s">
        <v>312</v>
      </c>
      <c r="I899" s="1">
        <v>0.0</v>
      </c>
      <c r="J899" s="1">
        <v>1.0</v>
      </c>
    </row>
    <row r="900">
      <c r="A900" s="1">
        <v>4.0</v>
      </c>
      <c r="B900" s="1">
        <v>15.0</v>
      </c>
      <c r="C900" s="1">
        <v>6.0</v>
      </c>
      <c r="D900" s="1">
        <v>2.0</v>
      </c>
      <c r="E900" s="1">
        <v>0.0</v>
      </c>
      <c r="F900" s="1">
        <v>0.0</v>
      </c>
      <c r="G900" s="6">
        <v>0.333</v>
      </c>
      <c r="H900" s="1" t="s">
        <v>260</v>
      </c>
      <c r="I900" s="1">
        <v>8.0</v>
      </c>
      <c r="J900" s="1">
        <v>0.0</v>
      </c>
    </row>
    <row r="901">
      <c r="A901" s="1">
        <v>1.0</v>
      </c>
      <c r="B901" s="1">
        <v>4.0</v>
      </c>
      <c r="C901" s="1">
        <v>2.0</v>
      </c>
      <c r="D901" s="1">
        <v>4.0</v>
      </c>
      <c r="E901" s="1">
        <v>0.0</v>
      </c>
      <c r="F901" s="1">
        <v>0.0</v>
      </c>
      <c r="G901" s="2">
        <v>0.5</v>
      </c>
      <c r="H901" s="1" t="s">
        <v>260</v>
      </c>
      <c r="I901" s="1">
        <v>4.0</v>
      </c>
      <c r="J901" s="1">
        <v>0.0</v>
      </c>
    </row>
    <row r="902">
      <c r="A902" s="1">
        <v>4.0</v>
      </c>
      <c r="B902" s="1">
        <v>16.0</v>
      </c>
      <c r="C902" s="1">
        <v>0.0</v>
      </c>
      <c r="D902" s="1">
        <v>0.0</v>
      </c>
      <c r="E902" s="1">
        <v>0.0</v>
      </c>
      <c r="F902" s="1">
        <v>0.0</v>
      </c>
      <c r="G902" s="2">
        <v>0.0</v>
      </c>
      <c r="H902" s="1" t="s">
        <v>327</v>
      </c>
      <c r="I902" s="1">
        <v>0.0</v>
      </c>
      <c r="J902" s="1">
        <v>0.0</v>
      </c>
    </row>
    <row r="903">
      <c r="A903" s="1">
        <v>5.0</v>
      </c>
      <c r="B903" s="1">
        <v>20.0</v>
      </c>
      <c r="C903" s="1">
        <v>16.0</v>
      </c>
      <c r="D903" s="1">
        <v>4.8</v>
      </c>
      <c r="E903" s="1">
        <v>0.4</v>
      </c>
      <c r="F903" s="1">
        <v>0.0</v>
      </c>
      <c r="G903" s="2">
        <v>0.5</v>
      </c>
      <c r="H903" s="1" t="s">
        <v>131</v>
      </c>
      <c r="I903" s="1">
        <v>24.0</v>
      </c>
      <c r="J903" s="1">
        <v>2.0</v>
      </c>
    </row>
    <row r="904">
      <c r="A904" s="1">
        <v>2.0</v>
      </c>
      <c r="B904" s="1">
        <v>8.0</v>
      </c>
      <c r="C904" s="1">
        <v>0.0</v>
      </c>
      <c r="D904" s="1">
        <v>0.0</v>
      </c>
      <c r="E904" s="1">
        <v>0.0</v>
      </c>
      <c r="F904" s="1">
        <v>0.0</v>
      </c>
      <c r="G904" s="2">
        <v>0.0</v>
      </c>
      <c r="H904" s="1" t="s">
        <v>342</v>
      </c>
      <c r="I904" s="1">
        <v>0.0</v>
      </c>
      <c r="J904" s="1">
        <v>0.0</v>
      </c>
    </row>
    <row r="905">
      <c r="A905" s="1">
        <v>4.0</v>
      </c>
      <c r="B905" s="1">
        <v>16.0</v>
      </c>
      <c r="C905" s="1">
        <v>0.0</v>
      </c>
      <c r="D905" s="1">
        <v>0.0</v>
      </c>
      <c r="E905" s="1">
        <v>0.0</v>
      </c>
      <c r="F905" s="1">
        <v>0.0</v>
      </c>
      <c r="G905" s="2">
        <v>0.0</v>
      </c>
      <c r="H905" s="1" t="s">
        <v>343</v>
      </c>
      <c r="I905" s="1">
        <v>0.0</v>
      </c>
      <c r="J905" s="1">
        <v>0.0</v>
      </c>
    </row>
    <row r="906">
      <c r="A906" s="1">
        <v>1.0</v>
      </c>
      <c r="B906" s="1">
        <v>4.0</v>
      </c>
      <c r="C906" s="1">
        <v>0.0</v>
      </c>
      <c r="D906" s="1">
        <v>0.0</v>
      </c>
      <c r="E906" s="1">
        <v>0.0</v>
      </c>
      <c r="F906" s="1">
        <v>0.0</v>
      </c>
      <c r="G906" s="2">
        <v>0.0</v>
      </c>
      <c r="H906" s="1" t="s">
        <v>343</v>
      </c>
      <c r="I906" s="1">
        <v>0.0</v>
      </c>
      <c r="J906" s="1">
        <v>0.0</v>
      </c>
    </row>
    <row r="907">
      <c r="A907" s="1">
        <v>2.0</v>
      </c>
      <c r="B907" s="1">
        <v>8.0</v>
      </c>
      <c r="C907" s="1">
        <v>0.0</v>
      </c>
      <c r="D907" s="1">
        <v>0.0</v>
      </c>
      <c r="E907" s="1">
        <v>0.0</v>
      </c>
      <c r="F907" s="1">
        <v>0.0</v>
      </c>
      <c r="G907" s="2">
        <v>0.0</v>
      </c>
      <c r="H907" s="1" t="s">
        <v>302</v>
      </c>
      <c r="I907" s="1">
        <v>0.0</v>
      </c>
      <c r="J907" s="1">
        <v>0.0</v>
      </c>
    </row>
    <row r="908">
      <c r="A908" s="1">
        <v>5.0</v>
      </c>
      <c r="B908" s="1">
        <v>19.0</v>
      </c>
      <c r="C908" s="1">
        <v>0.0</v>
      </c>
      <c r="D908" s="1">
        <v>0.0</v>
      </c>
      <c r="E908" s="1">
        <v>0.0</v>
      </c>
      <c r="F908" s="1">
        <v>0.0</v>
      </c>
      <c r="G908" s="2">
        <v>0.0</v>
      </c>
      <c r="H908" s="1" t="s">
        <v>231</v>
      </c>
      <c r="I908" s="1">
        <v>0.0</v>
      </c>
      <c r="J908" s="1">
        <v>0.0</v>
      </c>
    </row>
    <row r="909">
      <c r="A909" s="1">
        <v>5.0</v>
      </c>
      <c r="B909" s="1">
        <v>19.0</v>
      </c>
      <c r="C909" s="1">
        <v>15.0</v>
      </c>
      <c r="D909" s="1">
        <v>4.0</v>
      </c>
      <c r="E909" s="1">
        <v>1.0</v>
      </c>
      <c r="F909" s="1">
        <v>0.0</v>
      </c>
      <c r="G909" s="6">
        <v>0.667</v>
      </c>
      <c r="H909" s="1" t="s">
        <v>122</v>
      </c>
      <c r="I909" s="1">
        <v>20.0</v>
      </c>
      <c r="J909" s="1">
        <v>5.0</v>
      </c>
    </row>
    <row r="910">
      <c r="A910" s="1">
        <v>3.0</v>
      </c>
      <c r="B910" s="1">
        <v>12.0</v>
      </c>
      <c r="C910" s="1">
        <v>0.0</v>
      </c>
      <c r="D910" s="1">
        <v>0.0</v>
      </c>
      <c r="E910" s="1">
        <v>0.0</v>
      </c>
      <c r="F910" s="1">
        <v>0.0</v>
      </c>
      <c r="G910" s="2">
        <v>0.0</v>
      </c>
      <c r="H910" s="1" t="s">
        <v>261</v>
      </c>
      <c r="I910" s="1">
        <v>0.0</v>
      </c>
      <c r="J910" s="1">
        <v>0.0</v>
      </c>
    </row>
    <row r="911">
      <c r="A911" s="1">
        <v>5.0</v>
      </c>
      <c r="B911" s="1">
        <v>19.0</v>
      </c>
      <c r="C911" s="1">
        <v>2.0</v>
      </c>
      <c r="D911" s="1">
        <v>1.6</v>
      </c>
      <c r="E911" s="1">
        <v>0.0</v>
      </c>
      <c r="F911" s="1">
        <v>0.0</v>
      </c>
      <c r="G911" s="2">
        <v>1.0</v>
      </c>
      <c r="H911" s="1" t="s">
        <v>344</v>
      </c>
      <c r="I911" s="1">
        <v>8.0</v>
      </c>
      <c r="J911" s="1">
        <v>0.0</v>
      </c>
    </row>
    <row r="912">
      <c r="A912" s="1">
        <v>4.0</v>
      </c>
      <c r="B912" s="1">
        <v>12.0</v>
      </c>
      <c r="C912" s="1">
        <v>8.0</v>
      </c>
      <c r="D912" s="1">
        <v>0.0</v>
      </c>
      <c r="E912" s="1">
        <v>0.75</v>
      </c>
      <c r="F912" s="1">
        <v>0.0</v>
      </c>
      <c r="G912" s="6">
        <v>0.375</v>
      </c>
      <c r="H912" s="1" t="s">
        <v>345</v>
      </c>
      <c r="I912" s="1">
        <v>0.0</v>
      </c>
      <c r="J912" s="1">
        <v>3.0</v>
      </c>
    </row>
    <row r="913">
      <c r="A913" s="1">
        <v>1.0</v>
      </c>
      <c r="B913" s="1">
        <v>4.0</v>
      </c>
      <c r="C913" s="1">
        <v>3.0</v>
      </c>
      <c r="D913" s="1">
        <v>8.0</v>
      </c>
      <c r="E913" s="1">
        <v>0.0</v>
      </c>
      <c r="F913" s="1">
        <v>0.0</v>
      </c>
      <c r="G913" s="6">
        <v>0.667</v>
      </c>
      <c r="H913" s="1" t="s">
        <v>345</v>
      </c>
      <c r="I913" s="1">
        <v>8.0</v>
      </c>
      <c r="J913" s="1">
        <v>0.0</v>
      </c>
    </row>
    <row r="914">
      <c r="A914" s="1">
        <v>4.0</v>
      </c>
      <c r="B914" s="1">
        <v>12.0</v>
      </c>
      <c r="C914" s="1">
        <v>0.0</v>
      </c>
      <c r="D914" s="1">
        <v>0.0</v>
      </c>
      <c r="E914" s="1">
        <v>0.0</v>
      </c>
      <c r="F914" s="1">
        <v>0.0</v>
      </c>
      <c r="G914" s="2">
        <v>0.0</v>
      </c>
      <c r="H914" s="1" t="s">
        <v>346</v>
      </c>
      <c r="I914" s="1">
        <v>0.0</v>
      </c>
      <c r="J914" s="1">
        <v>0.0</v>
      </c>
    </row>
    <row r="915">
      <c r="A915" s="1">
        <v>1.0</v>
      </c>
      <c r="B915" s="1">
        <v>4.0</v>
      </c>
      <c r="C915" s="1">
        <v>0.0</v>
      </c>
      <c r="D915" s="1">
        <v>0.0</v>
      </c>
      <c r="E915" s="1">
        <v>0.0</v>
      </c>
      <c r="F915" s="1">
        <v>0.0</v>
      </c>
      <c r="G915" s="2">
        <v>0.0</v>
      </c>
      <c r="H915" s="1" t="s">
        <v>346</v>
      </c>
      <c r="I915" s="1">
        <v>0.0</v>
      </c>
      <c r="J915" s="1">
        <v>0.0</v>
      </c>
    </row>
    <row r="916">
      <c r="A916" s="1">
        <v>1.0</v>
      </c>
      <c r="B916" s="1">
        <v>4.0</v>
      </c>
      <c r="C916" s="1">
        <v>0.0</v>
      </c>
      <c r="D916" s="1">
        <v>0.0</v>
      </c>
      <c r="E916" s="1">
        <v>0.0</v>
      </c>
      <c r="F916" s="1">
        <v>0.0</v>
      </c>
      <c r="G916" s="2">
        <v>0.0</v>
      </c>
      <c r="H916" s="1" t="s">
        <v>347</v>
      </c>
      <c r="I916" s="1">
        <v>0.0</v>
      </c>
      <c r="J916" s="1">
        <v>0.0</v>
      </c>
    </row>
    <row r="917">
      <c r="A917" s="1">
        <v>4.0</v>
      </c>
      <c r="B917" s="1">
        <v>12.0</v>
      </c>
      <c r="C917" s="1">
        <v>2.0</v>
      </c>
      <c r="D917" s="1">
        <v>-2.0</v>
      </c>
      <c r="E917" s="1">
        <v>0.5</v>
      </c>
      <c r="F917" s="1">
        <v>0.0</v>
      </c>
      <c r="G917" s="2">
        <v>0.0</v>
      </c>
      <c r="H917" s="1" t="s">
        <v>347</v>
      </c>
      <c r="I917" s="1">
        <v>-8.0</v>
      </c>
      <c r="J917" s="1">
        <v>2.0</v>
      </c>
    </row>
    <row r="918">
      <c r="A918" s="1">
        <v>4.0</v>
      </c>
      <c r="B918" s="1">
        <v>12.0</v>
      </c>
      <c r="C918" s="1">
        <v>1.0</v>
      </c>
      <c r="D918" s="1">
        <v>1.0</v>
      </c>
      <c r="E918" s="1">
        <v>0.0</v>
      </c>
      <c r="F918" s="1">
        <v>0.0</v>
      </c>
      <c r="G918" s="2">
        <v>1.0</v>
      </c>
      <c r="H918" s="1" t="s">
        <v>188</v>
      </c>
      <c r="I918" s="1">
        <v>4.0</v>
      </c>
      <c r="J918" s="1">
        <v>0.0</v>
      </c>
    </row>
    <row r="919">
      <c r="A919" s="1">
        <v>1.0</v>
      </c>
      <c r="B919" s="1">
        <v>4.0</v>
      </c>
      <c r="C919" s="1">
        <v>0.0</v>
      </c>
      <c r="D919" s="1">
        <v>0.0</v>
      </c>
      <c r="E919" s="1">
        <v>0.0</v>
      </c>
      <c r="F919" s="1">
        <v>0.0</v>
      </c>
      <c r="G919" s="2">
        <v>0.0</v>
      </c>
      <c r="H919" s="1" t="s">
        <v>188</v>
      </c>
      <c r="I919" s="1">
        <v>0.0</v>
      </c>
      <c r="J919" s="1">
        <v>0.0</v>
      </c>
    </row>
    <row r="920">
      <c r="A920" s="1">
        <v>3.0</v>
      </c>
      <c r="B920" s="1">
        <v>11.0</v>
      </c>
      <c r="C920" s="1">
        <v>1.0</v>
      </c>
      <c r="D920" s="1">
        <v>1.33</v>
      </c>
      <c r="E920" s="1">
        <v>0.0</v>
      </c>
      <c r="F920" s="1">
        <v>0.0</v>
      </c>
      <c r="G920" s="2">
        <v>1.0</v>
      </c>
      <c r="H920" s="1" t="s">
        <v>119</v>
      </c>
      <c r="I920" s="1">
        <v>4.0</v>
      </c>
      <c r="J920" s="1">
        <v>0.0</v>
      </c>
    </row>
    <row r="921">
      <c r="A921" s="1">
        <v>3.0</v>
      </c>
      <c r="B921" s="1">
        <v>11.0</v>
      </c>
      <c r="C921" s="1">
        <v>5.0</v>
      </c>
      <c r="D921" s="1">
        <v>2.67</v>
      </c>
      <c r="E921" s="1">
        <v>0.33</v>
      </c>
      <c r="F921" s="1">
        <v>0.0</v>
      </c>
      <c r="G921" s="2">
        <v>0.6</v>
      </c>
      <c r="H921" s="1" t="s">
        <v>218</v>
      </c>
      <c r="I921" s="1">
        <v>8.0</v>
      </c>
      <c r="J921" s="1">
        <v>1.0</v>
      </c>
    </row>
    <row r="922">
      <c r="A922" s="1">
        <v>2.0</v>
      </c>
      <c r="B922" s="1">
        <v>8.0</v>
      </c>
      <c r="C922" s="1">
        <v>0.0</v>
      </c>
      <c r="D922" s="1">
        <v>0.0</v>
      </c>
      <c r="E922" s="1">
        <v>0.0</v>
      </c>
      <c r="F922" s="1">
        <v>0.0</v>
      </c>
      <c r="G922" s="2">
        <v>0.0</v>
      </c>
      <c r="H922" s="1" t="s">
        <v>348</v>
      </c>
      <c r="I922" s="1">
        <v>0.0</v>
      </c>
      <c r="J922" s="1">
        <v>0.0</v>
      </c>
    </row>
    <row r="923">
      <c r="A923" s="1">
        <v>3.0</v>
      </c>
      <c r="B923" s="1">
        <v>11.0</v>
      </c>
      <c r="C923" s="1">
        <v>4.0</v>
      </c>
      <c r="D923" s="1">
        <v>-1.33</v>
      </c>
      <c r="E923" s="1">
        <v>0.67</v>
      </c>
      <c r="F923" s="1">
        <v>0.0</v>
      </c>
      <c r="G923" s="2">
        <v>0.25</v>
      </c>
      <c r="H923" s="1" t="s">
        <v>349</v>
      </c>
      <c r="I923" s="1">
        <v>-4.0</v>
      </c>
      <c r="J923" s="1">
        <v>2.0</v>
      </c>
    </row>
    <row r="924">
      <c r="A924" s="1">
        <v>4.0</v>
      </c>
      <c r="B924" s="1">
        <v>15.0</v>
      </c>
      <c r="C924" s="1">
        <v>0.0</v>
      </c>
      <c r="D924" s="1">
        <v>0.0</v>
      </c>
      <c r="E924" s="1">
        <v>0.0</v>
      </c>
      <c r="F924" s="1">
        <v>0.0</v>
      </c>
      <c r="G924" s="2">
        <v>0.0</v>
      </c>
      <c r="H924" s="1" t="s">
        <v>193</v>
      </c>
      <c r="I924" s="1">
        <v>0.0</v>
      </c>
      <c r="J924" s="1">
        <v>0.0</v>
      </c>
    </row>
    <row r="925">
      <c r="A925" s="1">
        <v>1.0</v>
      </c>
      <c r="B925" s="1">
        <v>4.0</v>
      </c>
      <c r="C925" s="1">
        <v>0.0</v>
      </c>
      <c r="D925" s="1">
        <v>0.0</v>
      </c>
      <c r="E925" s="1">
        <v>0.0</v>
      </c>
      <c r="F925" s="1">
        <v>0.0</v>
      </c>
      <c r="G925" s="2">
        <v>0.0</v>
      </c>
      <c r="H925" s="1" t="s">
        <v>0</v>
      </c>
      <c r="I925" s="1">
        <v>0.0</v>
      </c>
      <c r="J925" s="1">
        <v>0.0</v>
      </c>
    </row>
    <row r="926">
      <c r="A926" s="1">
        <v>4.0</v>
      </c>
      <c r="B926" s="1">
        <v>16.0</v>
      </c>
      <c r="C926" s="1">
        <v>13.0</v>
      </c>
      <c r="D926" s="1">
        <v>2.0</v>
      </c>
      <c r="E926" s="1">
        <v>1.25</v>
      </c>
      <c r="F926" s="1">
        <v>0.0</v>
      </c>
      <c r="G926" s="6">
        <v>0.538</v>
      </c>
      <c r="H926" s="1" t="s">
        <v>2</v>
      </c>
      <c r="I926" s="1">
        <v>8.0</v>
      </c>
      <c r="J926" s="1">
        <v>5.0</v>
      </c>
    </row>
    <row r="927">
      <c r="A927" s="1">
        <v>1.0</v>
      </c>
      <c r="B927" s="1">
        <v>4.0</v>
      </c>
      <c r="C927" s="1">
        <v>1.0</v>
      </c>
      <c r="D927" s="1">
        <v>4.0</v>
      </c>
      <c r="E927" s="1">
        <v>0.0</v>
      </c>
      <c r="F927" s="1">
        <v>0.0</v>
      </c>
      <c r="G927" s="2">
        <v>1.0</v>
      </c>
      <c r="H927" s="1" t="s">
        <v>2</v>
      </c>
      <c r="I927" s="1">
        <v>4.0</v>
      </c>
      <c r="J927" s="1">
        <v>0.0</v>
      </c>
    </row>
    <row r="928">
      <c r="A928" s="1">
        <v>4.0</v>
      </c>
      <c r="B928" s="1">
        <v>16.0</v>
      </c>
      <c r="C928" s="1">
        <v>0.0</v>
      </c>
      <c r="D928" s="1">
        <v>0.0</v>
      </c>
      <c r="E928" s="1">
        <v>0.0</v>
      </c>
      <c r="F928" s="1">
        <v>0.0</v>
      </c>
      <c r="G928" s="2">
        <v>0.0</v>
      </c>
      <c r="H928" s="1" t="s">
        <v>5</v>
      </c>
      <c r="I928" s="1">
        <v>0.0</v>
      </c>
      <c r="J928" s="1">
        <v>0.0</v>
      </c>
    </row>
    <row r="929">
      <c r="A929" s="1">
        <v>1.0</v>
      </c>
      <c r="B929" s="1">
        <v>4.0</v>
      </c>
      <c r="C929" s="1">
        <v>0.0</v>
      </c>
      <c r="D929" s="1">
        <v>0.0</v>
      </c>
      <c r="E929" s="1">
        <v>0.0</v>
      </c>
      <c r="F929" s="1">
        <v>0.0</v>
      </c>
      <c r="G929" s="2">
        <v>0.0</v>
      </c>
      <c r="H929" s="1" t="s">
        <v>5</v>
      </c>
      <c r="I929" s="1">
        <v>0.0</v>
      </c>
      <c r="J929" s="1">
        <v>0.0</v>
      </c>
    </row>
    <row r="930">
      <c r="A930" s="1">
        <v>4.0</v>
      </c>
      <c r="B930" s="1">
        <v>16.0</v>
      </c>
      <c r="C930" s="1">
        <v>2.0</v>
      </c>
      <c r="D930" s="1">
        <v>2.0</v>
      </c>
      <c r="E930" s="1">
        <v>0.0</v>
      </c>
      <c r="F930" s="1">
        <v>0.0</v>
      </c>
      <c r="G930" s="2">
        <v>1.0</v>
      </c>
      <c r="H930" s="1" t="s">
        <v>8</v>
      </c>
      <c r="I930" s="1">
        <v>8.0</v>
      </c>
      <c r="J930" s="1">
        <v>0.0</v>
      </c>
    </row>
    <row r="931">
      <c r="A931" s="1">
        <v>1.0</v>
      </c>
      <c r="B931" s="1">
        <v>4.0</v>
      </c>
      <c r="C931" s="1">
        <v>3.0</v>
      </c>
      <c r="D931" s="1">
        <v>12.0</v>
      </c>
      <c r="E931" s="1">
        <v>0.0</v>
      </c>
      <c r="F931" s="1">
        <v>0.0</v>
      </c>
      <c r="G931" s="2">
        <v>1.0</v>
      </c>
      <c r="H931" s="1" t="s">
        <v>8</v>
      </c>
      <c r="I931" s="1">
        <v>12.0</v>
      </c>
      <c r="J931" s="1">
        <v>0.0</v>
      </c>
    </row>
    <row r="932">
      <c r="A932" s="1">
        <v>4.0</v>
      </c>
      <c r="B932" s="1">
        <v>16.0</v>
      </c>
      <c r="C932" s="1">
        <v>0.0</v>
      </c>
      <c r="D932" s="1">
        <v>0.0</v>
      </c>
      <c r="E932" s="1">
        <v>0.0</v>
      </c>
      <c r="F932" s="1">
        <v>0.0</v>
      </c>
      <c r="G932" s="2">
        <v>0.0</v>
      </c>
      <c r="H932" s="1" t="s">
        <v>11</v>
      </c>
      <c r="I932" s="1">
        <v>0.0</v>
      </c>
      <c r="J932" s="1">
        <v>0.0</v>
      </c>
    </row>
    <row r="933">
      <c r="A933" s="1">
        <v>3.0</v>
      </c>
      <c r="B933" s="1">
        <v>12.0</v>
      </c>
      <c r="C933" s="1">
        <v>4.0</v>
      </c>
      <c r="D933" s="1">
        <v>-1.33</v>
      </c>
      <c r="E933" s="1">
        <v>0.33</v>
      </c>
      <c r="F933" s="1">
        <v>0.0</v>
      </c>
      <c r="G933" s="2">
        <v>0.0</v>
      </c>
      <c r="H933" s="1" t="s">
        <v>12</v>
      </c>
      <c r="I933" s="1">
        <v>-4.0</v>
      </c>
      <c r="J933" s="1">
        <v>1.0</v>
      </c>
    </row>
    <row r="934">
      <c r="A934" s="1">
        <v>1.0</v>
      </c>
      <c r="B934" s="1">
        <v>4.0</v>
      </c>
      <c r="C934" s="1">
        <v>1.0</v>
      </c>
      <c r="D934" s="1">
        <v>-4.0</v>
      </c>
      <c r="E934" s="1">
        <v>1.0</v>
      </c>
      <c r="F934" s="1">
        <v>0.0</v>
      </c>
      <c r="G934" s="2">
        <v>0.0</v>
      </c>
      <c r="H934" s="1" t="s">
        <v>13</v>
      </c>
      <c r="I934" s="1">
        <v>-4.0</v>
      </c>
      <c r="J934" s="1">
        <v>1.0</v>
      </c>
    </row>
    <row r="935">
      <c r="A935" s="1">
        <v>4.0</v>
      </c>
      <c r="B935" s="1">
        <v>15.0</v>
      </c>
      <c r="C935" s="1">
        <v>0.0</v>
      </c>
      <c r="D935" s="1">
        <v>0.0</v>
      </c>
      <c r="E935" s="1">
        <v>0.0</v>
      </c>
      <c r="F935" s="1">
        <v>0.0</v>
      </c>
      <c r="G935" s="2">
        <v>0.0</v>
      </c>
      <c r="H935" s="1" t="s">
        <v>13</v>
      </c>
      <c r="I935" s="1">
        <v>0.0</v>
      </c>
      <c r="J935" s="1">
        <v>0.0</v>
      </c>
    </row>
    <row r="936">
      <c r="A936" s="1">
        <v>1.0</v>
      </c>
      <c r="B936" s="1">
        <v>4.0</v>
      </c>
      <c r="C936" s="1">
        <v>0.0</v>
      </c>
      <c r="D936" s="1">
        <v>0.0</v>
      </c>
      <c r="E936" s="1">
        <v>0.0</v>
      </c>
      <c r="F936" s="1">
        <v>0.0</v>
      </c>
      <c r="G936" s="2">
        <v>0.0</v>
      </c>
      <c r="H936" s="1" t="s">
        <v>15</v>
      </c>
      <c r="I936" s="1">
        <v>0.0</v>
      </c>
      <c r="J936" s="1">
        <v>0.0</v>
      </c>
    </row>
    <row r="937">
      <c r="A937" s="1">
        <v>4.0</v>
      </c>
      <c r="B937" s="1">
        <v>15.0</v>
      </c>
      <c r="C937" s="1">
        <v>4.0</v>
      </c>
      <c r="D937" s="1">
        <v>2.0</v>
      </c>
      <c r="E937" s="1">
        <v>0.25</v>
      </c>
      <c r="F937" s="1">
        <v>0.0</v>
      </c>
      <c r="G937" s="2">
        <v>0.75</v>
      </c>
      <c r="H937" s="1" t="s">
        <v>15</v>
      </c>
      <c r="I937" s="1">
        <v>8.0</v>
      </c>
      <c r="J937" s="1">
        <v>1.0</v>
      </c>
    </row>
    <row r="938">
      <c r="A938" s="1">
        <v>1.0</v>
      </c>
      <c r="B938" s="1">
        <v>4.0</v>
      </c>
      <c r="C938" s="1">
        <v>1.0</v>
      </c>
      <c r="D938" s="1">
        <v>0.0</v>
      </c>
      <c r="E938" s="1">
        <v>0.0</v>
      </c>
      <c r="F938" s="1">
        <v>0.0</v>
      </c>
      <c r="G938" s="2">
        <v>0.0</v>
      </c>
      <c r="H938" s="1" t="s">
        <v>17</v>
      </c>
      <c r="I938" s="1">
        <v>0.0</v>
      </c>
      <c r="J938" s="1">
        <v>0.0</v>
      </c>
    </row>
    <row r="939">
      <c r="A939" s="1">
        <v>4.0</v>
      </c>
      <c r="B939" s="1">
        <v>15.0</v>
      </c>
      <c r="C939" s="1">
        <v>1.0</v>
      </c>
      <c r="D939" s="1">
        <v>1.0</v>
      </c>
      <c r="E939" s="1">
        <v>0.0</v>
      </c>
      <c r="F939" s="1">
        <v>0.0</v>
      </c>
      <c r="G939" s="2">
        <v>1.0</v>
      </c>
      <c r="H939" s="1" t="s">
        <v>17</v>
      </c>
      <c r="I939" s="1">
        <v>4.0</v>
      </c>
      <c r="J939" s="1">
        <v>0.0</v>
      </c>
    </row>
    <row r="940">
      <c r="A940" s="1">
        <v>1.0</v>
      </c>
      <c r="B940" s="1">
        <v>4.0</v>
      </c>
      <c r="C940" s="1">
        <v>1.0</v>
      </c>
      <c r="D940" s="1">
        <v>0.0</v>
      </c>
      <c r="E940" s="1">
        <v>0.0</v>
      </c>
      <c r="F940" s="1">
        <v>0.0</v>
      </c>
      <c r="G940" s="2">
        <v>0.0</v>
      </c>
      <c r="H940" s="1" t="s">
        <v>20</v>
      </c>
      <c r="I940" s="1">
        <v>0.0</v>
      </c>
      <c r="J940" s="1">
        <v>0.0</v>
      </c>
    </row>
    <row r="941">
      <c r="A941" s="1">
        <v>1.0</v>
      </c>
      <c r="B941" s="1">
        <v>3.0</v>
      </c>
      <c r="C941" s="1">
        <v>0.0</v>
      </c>
      <c r="D941" s="1">
        <v>0.0</v>
      </c>
      <c r="E941" s="1">
        <v>0.0</v>
      </c>
      <c r="F941" s="1">
        <v>0.0</v>
      </c>
      <c r="G941" s="2">
        <v>0.0</v>
      </c>
      <c r="H941" s="1" t="s">
        <v>20</v>
      </c>
      <c r="I941" s="1">
        <v>0.0</v>
      </c>
      <c r="J941" s="1">
        <v>0.0</v>
      </c>
    </row>
    <row r="942">
      <c r="A942" s="1">
        <v>1.0</v>
      </c>
      <c r="B942" s="1">
        <v>4.0</v>
      </c>
      <c r="C942" s="1">
        <v>0.0</v>
      </c>
      <c r="D942" s="1">
        <v>0.0</v>
      </c>
      <c r="E942" s="1">
        <v>0.0</v>
      </c>
      <c r="F942" s="1">
        <v>0.0</v>
      </c>
      <c r="G942" s="2">
        <v>0.0</v>
      </c>
      <c r="H942" s="1" t="s">
        <v>24</v>
      </c>
      <c r="I942" s="1">
        <v>0.0</v>
      </c>
      <c r="J942" s="1">
        <v>0.0</v>
      </c>
    </row>
    <row r="943">
      <c r="A943" s="1">
        <v>1.0</v>
      </c>
      <c r="B943" s="1">
        <v>4.0</v>
      </c>
      <c r="C943" s="1">
        <v>0.0</v>
      </c>
      <c r="D943" s="1">
        <v>0.0</v>
      </c>
      <c r="E943" s="1">
        <v>0.0</v>
      </c>
      <c r="F943" s="1">
        <v>0.0</v>
      </c>
      <c r="G943" s="2">
        <v>0.0</v>
      </c>
      <c r="H943" s="1" t="s">
        <v>24</v>
      </c>
      <c r="I943" s="1">
        <v>0.0</v>
      </c>
      <c r="J943" s="1">
        <v>0.0</v>
      </c>
    </row>
    <row r="944">
      <c r="A944" s="1">
        <v>3.0</v>
      </c>
      <c r="B944" s="1">
        <v>12.0</v>
      </c>
      <c r="C944" s="1">
        <v>6.0</v>
      </c>
      <c r="D944" s="1">
        <v>8.0</v>
      </c>
      <c r="E944" s="1">
        <v>0.0</v>
      </c>
      <c r="F944" s="1">
        <v>0.0</v>
      </c>
      <c r="G944" s="2">
        <v>1.0</v>
      </c>
      <c r="H944" s="1" t="s">
        <v>29</v>
      </c>
      <c r="I944" s="1">
        <v>24.0</v>
      </c>
      <c r="J944" s="1">
        <v>0.0</v>
      </c>
    </row>
    <row r="945">
      <c r="A945" s="1">
        <v>1.0</v>
      </c>
      <c r="B945" s="1">
        <v>4.0</v>
      </c>
      <c r="C945" s="1">
        <v>3.0</v>
      </c>
      <c r="D945" s="1">
        <v>12.0</v>
      </c>
      <c r="E945" s="1">
        <v>0.0</v>
      </c>
      <c r="F945" s="1">
        <v>0.0</v>
      </c>
      <c r="G945" s="2">
        <v>1.0</v>
      </c>
      <c r="H945" s="1" t="s">
        <v>29</v>
      </c>
      <c r="I945" s="1">
        <v>12.0</v>
      </c>
      <c r="J945" s="1">
        <v>0.0</v>
      </c>
    </row>
    <row r="946">
      <c r="A946" s="1">
        <v>1.0</v>
      </c>
      <c r="B946" s="1">
        <v>4.0</v>
      </c>
      <c r="C946" s="1">
        <v>0.0</v>
      </c>
      <c r="D946" s="1">
        <v>0.0</v>
      </c>
      <c r="E946" s="1">
        <v>0.0</v>
      </c>
      <c r="F946" s="1">
        <v>0.0</v>
      </c>
      <c r="G946" s="2">
        <v>0.0</v>
      </c>
      <c r="H946" s="1" t="s">
        <v>29</v>
      </c>
      <c r="I946" s="1">
        <v>0.0</v>
      </c>
      <c r="J946" s="1">
        <v>0.0</v>
      </c>
    </row>
    <row r="947">
      <c r="A947" s="1">
        <v>2.0</v>
      </c>
      <c r="B947" s="1">
        <v>8.0</v>
      </c>
      <c r="C947" s="1">
        <v>0.0</v>
      </c>
      <c r="D947" s="1">
        <v>0.0</v>
      </c>
      <c r="E947" s="1">
        <v>0.0</v>
      </c>
      <c r="F947" s="1">
        <v>0.0</v>
      </c>
      <c r="G947" s="2">
        <v>0.0</v>
      </c>
      <c r="H947" s="1" t="s">
        <v>38</v>
      </c>
      <c r="I947" s="1">
        <v>0.0</v>
      </c>
      <c r="J947" s="1">
        <v>0.0</v>
      </c>
    </row>
    <row r="948">
      <c r="A948" s="1">
        <v>1.0</v>
      </c>
      <c r="B948" s="1">
        <v>4.0</v>
      </c>
      <c r="C948" s="1">
        <v>0.0</v>
      </c>
      <c r="D948" s="1">
        <v>0.0</v>
      </c>
      <c r="E948" s="1">
        <v>0.0</v>
      </c>
      <c r="F948" s="1">
        <v>0.0</v>
      </c>
      <c r="G948" s="2">
        <v>0.0</v>
      </c>
      <c r="H948" s="1" t="s">
        <v>38</v>
      </c>
      <c r="I948" s="1">
        <v>0.0</v>
      </c>
      <c r="J948" s="1">
        <v>0.0</v>
      </c>
    </row>
    <row r="949">
      <c r="A949" s="1">
        <v>3.0</v>
      </c>
      <c r="B949" s="1">
        <v>12.0</v>
      </c>
      <c r="C949" s="1">
        <v>0.0</v>
      </c>
      <c r="D949" s="1">
        <v>0.0</v>
      </c>
      <c r="E949" s="1">
        <v>0.0</v>
      </c>
      <c r="F949" s="1">
        <v>0.0</v>
      </c>
      <c r="G949" s="2">
        <v>0.0</v>
      </c>
      <c r="H949" s="1" t="s">
        <v>40</v>
      </c>
      <c r="I949" s="1">
        <v>0.0</v>
      </c>
      <c r="J949" s="1">
        <v>0.0</v>
      </c>
    </row>
    <row r="950">
      <c r="A950" s="1">
        <v>1.0</v>
      </c>
      <c r="B950" s="1">
        <v>4.0</v>
      </c>
      <c r="C950" s="1">
        <v>0.0</v>
      </c>
      <c r="D950" s="1">
        <v>0.0</v>
      </c>
      <c r="E950" s="1">
        <v>0.0</v>
      </c>
      <c r="F950" s="1">
        <v>0.0</v>
      </c>
      <c r="G950" s="2">
        <v>0.0</v>
      </c>
      <c r="H950" s="1" t="s">
        <v>40</v>
      </c>
      <c r="I950" s="1">
        <v>0.0</v>
      </c>
      <c r="J950" s="1">
        <v>0.0</v>
      </c>
    </row>
    <row r="951">
      <c r="A951" s="1">
        <v>1.0</v>
      </c>
      <c r="B951" s="1">
        <v>4.0</v>
      </c>
      <c r="C951" s="1">
        <v>2.0</v>
      </c>
      <c r="D951" s="1">
        <v>8.0</v>
      </c>
      <c r="E951" s="1">
        <v>0.0</v>
      </c>
      <c r="F951" s="1">
        <v>0.0</v>
      </c>
      <c r="G951" s="2">
        <v>1.0</v>
      </c>
      <c r="H951" s="1" t="s">
        <v>40</v>
      </c>
      <c r="I951" s="1">
        <v>8.0</v>
      </c>
      <c r="J951" s="1">
        <v>0.0</v>
      </c>
    </row>
    <row r="952">
      <c r="A952" s="1">
        <v>3.0</v>
      </c>
      <c r="B952" s="1">
        <v>12.0</v>
      </c>
      <c r="C952" s="1">
        <v>5.0</v>
      </c>
      <c r="D952" s="1">
        <v>2.67</v>
      </c>
      <c r="E952" s="1">
        <v>0.33</v>
      </c>
      <c r="F952" s="1">
        <v>0.0</v>
      </c>
      <c r="G952" s="2">
        <v>0.6</v>
      </c>
      <c r="H952" s="1" t="s">
        <v>46</v>
      </c>
      <c r="I952" s="1">
        <v>8.0</v>
      </c>
      <c r="J952" s="1">
        <v>1.0</v>
      </c>
    </row>
    <row r="953">
      <c r="A953" s="1">
        <v>1.0</v>
      </c>
      <c r="B953" s="1">
        <v>4.0</v>
      </c>
      <c r="C953" s="1">
        <v>1.0</v>
      </c>
      <c r="D953" s="1">
        <v>4.0</v>
      </c>
      <c r="E953" s="1">
        <v>0.0</v>
      </c>
      <c r="F953" s="1">
        <v>0.0</v>
      </c>
      <c r="G953" s="2">
        <v>1.0</v>
      </c>
      <c r="H953" s="1" t="s">
        <v>46</v>
      </c>
      <c r="I953" s="1">
        <v>4.0</v>
      </c>
      <c r="J953" s="1">
        <v>0.0</v>
      </c>
    </row>
    <row r="954">
      <c r="A954" s="1">
        <v>1.0</v>
      </c>
      <c r="B954" s="1">
        <v>4.0</v>
      </c>
      <c r="C954" s="1">
        <v>1.0</v>
      </c>
      <c r="D954" s="1">
        <v>4.0</v>
      </c>
      <c r="E954" s="1">
        <v>0.0</v>
      </c>
      <c r="F954" s="1">
        <v>0.0</v>
      </c>
      <c r="G954" s="2">
        <v>1.0</v>
      </c>
      <c r="H954" s="1" t="s">
        <v>46</v>
      </c>
      <c r="I954" s="1">
        <v>4.0</v>
      </c>
      <c r="J954" s="1">
        <v>0.0</v>
      </c>
    </row>
    <row r="955">
      <c r="A955" s="1">
        <v>4.0</v>
      </c>
      <c r="B955" s="1">
        <v>17.0</v>
      </c>
      <c r="C955" s="1">
        <v>0.0</v>
      </c>
      <c r="D955" s="1">
        <v>0.0</v>
      </c>
      <c r="E955" s="1">
        <v>0.0</v>
      </c>
      <c r="F955" s="1">
        <v>0.0</v>
      </c>
      <c r="G955" s="2">
        <v>0.0</v>
      </c>
      <c r="H955" s="1" t="s">
        <v>51</v>
      </c>
      <c r="I955" s="1">
        <v>0.0</v>
      </c>
      <c r="J955" s="1">
        <v>0.0</v>
      </c>
    </row>
    <row r="956">
      <c r="A956" s="1">
        <v>5.0</v>
      </c>
      <c r="B956" s="1">
        <v>21.0</v>
      </c>
      <c r="C956" s="1">
        <v>12.0</v>
      </c>
      <c r="D956" s="1">
        <v>5.6</v>
      </c>
      <c r="E956" s="1">
        <v>0.2</v>
      </c>
      <c r="F956" s="1">
        <v>0.0</v>
      </c>
      <c r="G956" s="6">
        <v>0.667</v>
      </c>
      <c r="H956" s="1" t="s">
        <v>54</v>
      </c>
      <c r="I956" s="1">
        <v>28.0</v>
      </c>
      <c r="J956" s="1">
        <v>1.0</v>
      </c>
    </row>
    <row r="957">
      <c r="A957" s="1">
        <v>1.0</v>
      </c>
      <c r="B957" s="1">
        <v>4.0</v>
      </c>
      <c r="C957" s="1">
        <v>0.0</v>
      </c>
      <c r="D957" s="1">
        <v>0.0</v>
      </c>
      <c r="E957" s="1">
        <v>0.0</v>
      </c>
      <c r="F957" s="1">
        <v>0.0</v>
      </c>
      <c r="G957" s="2">
        <v>0.0</v>
      </c>
      <c r="H957" s="1" t="s">
        <v>55</v>
      </c>
      <c r="I957" s="1">
        <v>0.0</v>
      </c>
      <c r="J957" s="1">
        <v>0.0</v>
      </c>
    </row>
    <row r="958">
      <c r="A958" s="1">
        <v>1.0</v>
      </c>
      <c r="B958" s="1">
        <v>4.0</v>
      </c>
      <c r="C958" s="1">
        <v>0.0</v>
      </c>
      <c r="D958" s="1">
        <v>0.0</v>
      </c>
      <c r="E958" s="1">
        <v>0.0</v>
      </c>
      <c r="F958" s="1">
        <v>0.0</v>
      </c>
      <c r="G958" s="2">
        <v>0.0</v>
      </c>
      <c r="H958" s="1" t="s">
        <v>55</v>
      </c>
      <c r="I958" s="1">
        <v>0.0</v>
      </c>
      <c r="J958" s="1">
        <v>0.0</v>
      </c>
    </row>
    <row r="959">
      <c r="A959" s="1">
        <v>5.0</v>
      </c>
      <c r="B959" s="1">
        <v>21.0</v>
      </c>
      <c r="C959" s="1">
        <v>0.0</v>
      </c>
      <c r="D959" s="1">
        <v>0.0</v>
      </c>
      <c r="E959" s="1">
        <v>0.0</v>
      </c>
      <c r="F959" s="1">
        <v>0.0</v>
      </c>
      <c r="G959" s="2">
        <v>0.0</v>
      </c>
      <c r="H959" s="1" t="s">
        <v>59</v>
      </c>
      <c r="I959" s="1">
        <v>0.0</v>
      </c>
      <c r="J959" s="1">
        <v>0.0</v>
      </c>
    </row>
    <row r="960">
      <c r="A960" s="1">
        <v>1.0</v>
      </c>
      <c r="B960" s="1">
        <v>4.0</v>
      </c>
      <c r="C960" s="1">
        <v>3.0</v>
      </c>
      <c r="D960" s="1">
        <v>8.0</v>
      </c>
      <c r="E960" s="1">
        <v>0.0</v>
      </c>
      <c r="F960" s="1">
        <v>0.0</v>
      </c>
      <c r="G960" s="6">
        <v>0.667</v>
      </c>
      <c r="H960" s="1" t="s">
        <v>61</v>
      </c>
      <c r="I960" s="1">
        <v>8.0</v>
      </c>
      <c r="J960" s="1">
        <v>0.0</v>
      </c>
    </row>
    <row r="961">
      <c r="A961" s="1">
        <v>4.0</v>
      </c>
      <c r="B961" s="1">
        <v>17.0</v>
      </c>
      <c r="C961" s="1">
        <v>4.0</v>
      </c>
      <c r="D961" s="1">
        <v>1.0</v>
      </c>
      <c r="E961" s="1">
        <v>0.0</v>
      </c>
      <c r="F961" s="1">
        <v>0.0</v>
      </c>
      <c r="G961" s="2">
        <v>0.25</v>
      </c>
      <c r="H961" s="1" t="s">
        <v>61</v>
      </c>
      <c r="I961" s="1">
        <v>4.0</v>
      </c>
      <c r="J961" s="1">
        <v>0.0</v>
      </c>
    </row>
    <row r="962">
      <c r="A962" s="1">
        <v>2.0</v>
      </c>
      <c r="B962" s="1">
        <v>8.0</v>
      </c>
      <c r="C962" s="1">
        <v>0.0</v>
      </c>
      <c r="D962" s="1">
        <v>0.0</v>
      </c>
      <c r="E962" s="1">
        <v>0.0</v>
      </c>
      <c r="F962" s="1">
        <v>0.0</v>
      </c>
      <c r="G962" s="2">
        <v>0.0</v>
      </c>
      <c r="H962" s="1" t="s">
        <v>65</v>
      </c>
      <c r="I962" s="1">
        <v>0.0</v>
      </c>
      <c r="J962" s="1">
        <v>0.0</v>
      </c>
    </row>
    <row r="963">
      <c r="A963" s="1">
        <v>5.0</v>
      </c>
      <c r="B963" s="1">
        <v>20.0</v>
      </c>
      <c r="C963" s="1">
        <v>4.0</v>
      </c>
      <c r="D963" s="1">
        <v>0.8</v>
      </c>
      <c r="E963" s="1">
        <v>0.2</v>
      </c>
      <c r="F963" s="1">
        <v>0.0</v>
      </c>
      <c r="G963" s="2">
        <v>0.5</v>
      </c>
      <c r="H963" s="1" t="s">
        <v>68</v>
      </c>
      <c r="I963" s="1">
        <v>4.0</v>
      </c>
      <c r="J963" s="1">
        <v>1.0</v>
      </c>
    </row>
    <row r="964">
      <c r="A964" s="1">
        <v>5.0</v>
      </c>
      <c r="B964" s="1">
        <v>20.0</v>
      </c>
      <c r="C964" s="1">
        <v>5.0</v>
      </c>
      <c r="D964" s="1">
        <v>-0.8</v>
      </c>
      <c r="E964" s="1">
        <v>0.4</v>
      </c>
      <c r="F964" s="1">
        <v>0.0</v>
      </c>
      <c r="G964" s="2">
        <v>0.2</v>
      </c>
      <c r="H964" s="1" t="s">
        <v>71</v>
      </c>
      <c r="I964" s="1">
        <v>-4.0</v>
      </c>
      <c r="J964" s="1">
        <v>2.0</v>
      </c>
    </row>
    <row r="965">
      <c r="A965" s="1">
        <v>1.0</v>
      </c>
      <c r="B965" s="1">
        <v>4.0</v>
      </c>
      <c r="C965" s="1">
        <v>0.0</v>
      </c>
      <c r="D965" s="1">
        <v>0.0</v>
      </c>
      <c r="E965" s="1">
        <v>0.0</v>
      </c>
      <c r="F965" s="1">
        <v>0.0</v>
      </c>
      <c r="G965" s="2">
        <v>0.0</v>
      </c>
      <c r="H965" s="1" t="s">
        <v>73</v>
      </c>
      <c r="I965" s="1">
        <v>0.0</v>
      </c>
      <c r="J965" s="1">
        <v>0.0</v>
      </c>
    </row>
    <row r="966">
      <c r="A966" s="1">
        <v>2.0</v>
      </c>
      <c r="B966" s="1">
        <v>8.0</v>
      </c>
      <c r="C966" s="1">
        <v>2.0</v>
      </c>
      <c r="D966" s="1">
        <v>4.0</v>
      </c>
      <c r="E966" s="1">
        <v>0.0</v>
      </c>
      <c r="F966" s="1">
        <v>0.0</v>
      </c>
      <c r="G966" s="2">
        <v>1.0</v>
      </c>
      <c r="H966" s="1" t="s">
        <v>73</v>
      </c>
      <c r="I966" s="1">
        <v>8.0</v>
      </c>
      <c r="J966" s="1">
        <v>0.0</v>
      </c>
    </row>
    <row r="967">
      <c r="A967" s="1">
        <v>1.0</v>
      </c>
      <c r="B967" s="1">
        <v>4.0</v>
      </c>
      <c r="C967" s="1">
        <v>0.0</v>
      </c>
      <c r="D967" s="1">
        <v>0.0</v>
      </c>
      <c r="E967" s="1">
        <v>0.0</v>
      </c>
      <c r="F967" s="1">
        <v>0.0</v>
      </c>
      <c r="G967" s="2">
        <v>0.0</v>
      </c>
      <c r="H967" s="1" t="s">
        <v>75</v>
      </c>
      <c r="I967" s="1">
        <v>0.0</v>
      </c>
      <c r="J967" s="1">
        <v>0.0</v>
      </c>
    </row>
    <row r="968">
      <c r="A968" s="1">
        <v>4.0</v>
      </c>
      <c r="B968" s="1">
        <v>16.0</v>
      </c>
      <c r="C968" s="1">
        <v>4.0</v>
      </c>
      <c r="D968" s="1">
        <v>2.0</v>
      </c>
      <c r="E968" s="1">
        <v>0.0</v>
      </c>
      <c r="F968" s="1">
        <v>0.0</v>
      </c>
      <c r="G968" s="2">
        <v>0.5</v>
      </c>
      <c r="H968" s="1" t="s">
        <v>75</v>
      </c>
      <c r="I968" s="1">
        <v>8.0</v>
      </c>
      <c r="J968" s="1">
        <v>0.0</v>
      </c>
    </row>
    <row r="969">
      <c r="A969" s="1">
        <v>1.0</v>
      </c>
      <c r="B969" s="1">
        <v>4.0</v>
      </c>
      <c r="C969" s="1">
        <v>0.0</v>
      </c>
      <c r="D969" s="1">
        <v>0.0</v>
      </c>
      <c r="E969" s="1">
        <v>0.0</v>
      </c>
      <c r="F969" s="1">
        <v>0.0</v>
      </c>
      <c r="G969" s="2">
        <v>0.0</v>
      </c>
      <c r="H969" s="1" t="s">
        <v>79</v>
      </c>
      <c r="I969" s="1">
        <v>0.0</v>
      </c>
      <c r="J969" s="1">
        <v>0.0</v>
      </c>
    </row>
    <row r="970">
      <c r="A970" s="1">
        <v>2.0</v>
      </c>
      <c r="B970" s="1">
        <v>8.0</v>
      </c>
      <c r="C970" s="1">
        <v>0.0</v>
      </c>
      <c r="D970" s="1">
        <v>0.0</v>
      </c>
      <c r="E970" s="1">
        <v>0.0</v>
      </c>
      <c r="F970" s="1">
        <v>0.0</v>
      </c>
      <c r="G970" s="2">
        <v>0.0</v>
      </c>
      <c r="H970" s="1" t="s">
        <v>79</v>
      </c>
      <c r="I970" s="1">
        <v>0.0</v>
      </c>
      <c r="J970" s="1">
        <v>0.0</v>
      </c>
    </row>
    <row r="971">
      <c r="A971" s="1">
        <v>1.0</v>
      </c>
      <c r="B971" s="1">
        <v>4.0</v>
      </c>
      <c r="C971" s="1">
        <v>1.0</v>
      </c>
      <c r="D971" s="1">
        <v>-4.0</v>
      </c>
      <c r="E971" s="1">
        <v>1.0</v>
      </c>
      <c r="F971" s="1">
        <v>0.0</v>
      </c>
      <c r="G971" s="2">
        <v>0.0</v>
      </c>
      <c r="H971" s="1" t="s">
        <v>79</v>
      </c>
      <c r="I971" s="1">
        <v>-4.0</v>
      </c>
      <c r="J971" s="1">
        <v>1.0</v>
      </c>
    </row>
    <row r="972">
      <c r="A972" s="1">
        <v>1.0</v>
      </c>
      <c r="B972" s="1">
        <v>4.0</v>
      </c>
      <c r="C972" s="1">
        <v>0.0</v>
      </c>
      <c r="D972" s="1">
        <v>0.0</v>
      </c>
      <c r="E972" s="1">
        <v>0.0</v>
      </c>
      <c r="F972" s="1">
        <v>0.0</v>
      </c>
      <c r="G972" s="2">
        <v>0.0</v>
      </c>
      <c r="H972" s="1" t="s">
        <v>79</v>
      </c>
      <c r="I972" s="1">
        <v>0.0</v>
      </c>
      <c r="J972" s="1">
        <v>0.0</v>
      </c>
    </row>
    <row r="973">
      <c r="A973" s="1">
        <v>1.0</v>
      </c>
      <c r="B973" s="1">
        <v>4.0</v>
      </c>
      <c r="C973" s="1">
        <v>0.0</v>
      </c>
      <c r="D973" s="1">
        <v>0.0</v>
      </c>
      <c r="E973" s="1">
        <v>0.0</v>
      </c>
      <c r="F973" s="1">
        <v>0.0</v>
      </c>
      <c r="G973" s="2">
        <v>0.0</v>
      </c>
      <c r="H973" s="1" t="s">
        <v>85</v>
      </c>
      <c r="I973" s="1">
        <v>0.0</v>
      </c>
      <c r="J973" s="1">
        <v>0.0</v>
      </c>
    </row>
    <row r="974">
      <c r="A974" s="1">
        <v>1.0</v>
      </c>
      <c r="B974" s="1">
        <v>4.0</v>
      </c>
      <c r="C974" s="1">
        <v>2.0</v>
      </c>
      <c r="D974" s="1">
        <v>4.0</v>
      </c>
      <c r="E974" s="1">
        <v>0.0</v>
      </c>
      <c r="F974" s="1">
        <v>0.0</v>
      </c>
      <c r="G974" s="2">
        <v>0.5</v>
      </c>
      <c r="H974" s="1" t="s">
        <v>88</v>
      </c>
      <c r="I974" s="1">
        <v>4.0</v>
      </c>
      <c r="J974" s="1">
        <v>0.0</v>
      </c>
    </row>
    <row r="975">
      <c r="A975" s="1">
        <v>2.0</v>
      </c>
      <c r="B975" s="1">
        <v>8.0</v>
      </c>
      <c r="C975" s="1">
        <v>0.0</v>
      </c>
      <c r="D975" s="1">
        <v>0.0</v>
      </c>
      <c r="E975" s="1">
        <v>0.0</v>
      </c>
      <c r="F975" s="1">
        <v>0.0</v>
      </c>
      <c r="G975" s="2">
        <v>0.0</v>
      </c>
      <c r="H975" s="1" t="s">
        <v>88</v>
      </c>
      <c r="I975" s="1">
        <v>0.0</v>
      </c>
      <c r="J975" s="1">
        <v>0.0</v>
      </c>
    </row>
    <row r="976">
      <c r="A976" s="1">
        <v>1.0</v>
      </c>
      <c r="B976" s="1">
        <v>4.0</v>
      </c>
      <c r="C976" s="1">
        <v>2.0</v>
      </c>
      <c r="D976" s="1">
        <v>8.0</v>
      </c>
      <c r="E976" s="1">
        <v>0.0</v>
      </c>
      <c r="F976" s="1">
        <v>0.0</v>
      </c>
      <c r="G976" s="2">
        <v>1.0</v>
      </c>
      <c r="H976" s="1" t="s">
        <v>76</v>
      </c>
      <c r="I976" s="1">
        <v>8.0</v>
      </c>
      <c r="J976" s="1">
        <v>0.0</v>
      </c>
    </row>
    <row r="977">
      <c r="A977" s="1">
        <v>4.0</v>
      </c>
      <c r="B977" s="1">
        <v>14.0</v>
      </c>
      <c r="C977" s="1">
        <v>0.0</v>
      </c>
      <c r="D977" s="1">
        <v>0.0</v>
      </c>
      <c r="E977" s="1">
        <v>0.0</v>
      </c>
      <c r="F977" s="1">
        <v>0.0</v>
      </c>
      <c r="G977" s="2">
        <v>0.0</v>
      </c>
      <c r="H977" s="1" t="s">
        <v>92</v>
      </c>
      <c r="I977" s="1">
        <v>0.0</v>
      </c>
      <c r="J977" s="1">
        <v>0.0</v>
      </c>
    </row>
    <row r="978">
      <c r="A978" s="1">
        <v>3.0</v>
      </c>
      <c r="B978" s="1">
        <v>11.0</v>
      </c>
      <c r="C978" s="1">
        <v>0.0</v>
      </c>
      <c r="D978" s="1">
        <v>0.0</v>
      </c>
      <c r="E978" s="1">
        <v>0.0</v>
      </c>
      <c r="F978" s="1">
        <v>0.0</v>
      </c>
      <c r="G978" s="2">
        <v>0.0</v>
      </c>
      <c r="H978" s="1" t="s">
        <v>94</v>
      </c>
      <c r="I978" s="1">
        <v>0.0</v>
      </c>
      <c r="J978" s="1">
        <v>0.0</v>
      </c>
    </row>
    <row r="979">
      <c r="A979" s="1">
        <v>4.0</v>
      </c>
      <c r="B979" s="1">
        <v>14.0</v>
      </c>
      <c r="C979" s="1">
        <v>0.0</v>
      </c>
      <c r="D979" s="1">
        <v>0.0</v>
      </c>
      <c r="E979" s="1">
        <v>0.0</v>
      </c>
      <c r="F979" s="1">
        <v>0.0</v>
      </c>
      <c r="G979" s="2">
        <v>0.0</v>
      </c>
      <c r="H979" s="1" t="s">
        <v>96</v>
      </c>
      <c r="I979" s="1">
        <v>0.0</v>
      </c>
      <c r="J979" s="1">
        <v>0.0</v>
      </c>
    </row>
    <row r="980">
      <c r="A980" s="1">
        <v>1.0</v>
      </c>
      <c r="B980" s="1">
        <v>4.0</v>
      </c>
      <c r="C980" s="1">
        <v>0.0</v>
      </c>
      <c r="D980" s="1">
        <v>0.0</v>
      </c>
      <c r="E980" s="1">
        <v>0.0</v>
      </c>
      <c r="F980" s="1">
        <v>0.0</v>
      </c>
      <c r="G980" s="2">
        <v>0.0</v>
      </c>
      <c r="H980" s="1" t="s">
        <v>96</v>
      </c>
      <c r="I980" s="1">
        <v>0.0</v>
      </c>
      <c r="J980" s="1">
        <v>0.0</v>
      </c>
    </row>
    <row r="981">
      <c r="A981" s="1">
        <v>5.0</v>
      </c>
      <c r="B981" s="1">
        <v>18.0</v>
      </c>
      <c r="C981" s="1">
        <v>9.0</v>
      </c>
      <c r="D981" s="1">
        <v>5.6</v>
      </c>
      <c r="E981" s="1">
        <v>0.0</v>
      </c>
      <c r="F981" s="1">
        <v>0.0</v>
      </c>
      <c r="G981" s="6">
        <v>0.778</v>
      </c>
      <c r="H981" s="1" t="s">
        <v>90</v>
      </c>
      <c r="I981" s="1">
        <v>28.0</v>
      </c>
      <c r="J981" s="1">
        <v>0.0</v>
      </c>
    </row>
    <row r="982">
      <c r="A982" s="1">
        <v>4.0</v>
      </c>
      <c r="B982" s="1">
        <v>14.0</v>
      </c>
      <c r="C982" s="1">
        <v>5.0</v>
      </c>
      <c r="D982" s="1">
        <v>5.0</v>
      </c>
      <c r="E982" s="1">
        <v>0.0</v>
      </c>
      <c r="F982" s="1">
        <v>0.0</v>
      </c>
      <c r="G982" s="2">
        <v>1.0</v>
      </c>
      <c r="H982" s="1" t="s">
        <v>100</v>
      </c>
      <c r="I982" s="1">
        <v>20.0</v>
      </c>
      <c r="J982" s="1">
        <v>0.0</v>
      </c>
    </row>
    <row r="983">
      <c r="A983" s="1">
        <v>1.0</v>
      </c>
      <c r="B983" s="1">
        <v>4.0</v>
      </c>
      <c r="C983" s="1">
        <v>0.0</v>
      </c>
      <c r="D983" s="1">
        <v>0.0</v>
      </c>
      <c r="E983" s="1">
        <v>0.0</v>
      </c>
      <c r="F983" s="1">
        <v>0.0</v>
      </c>
      <c r="G983" s="2">
        <v>0.0</v>
      </c>
      <c r="H983" s="1" t="s">
        <v>102</v>
      </c>
      <c r="I983" s="1">
        <v>0.0</v>
      </c>
      <c r="J983" s="1">
        <v>0.0</v>
      </c>
    </row>
    <row r="984">
      <c r="A984" s="1">
        <v>1.0</v>
      </c>
      <c r="B984" s="1">
        <v>4.0</v>
      </c>
      <c r="C984" s="1">
        <v>0.0</v>
      </c>
      <c r="D984" s="1">
        <v>0.0</v>
      </c>
      <c r="E984" s="1">
        <v>0.0</v>
      </c>
      <c r="F984" s="1">
        <v>0.0</v>
      </c>
      <c r="G984" s="2">
        <v>0.0</v>
      </c>
      <c r="H984" s="1" t="s">
        <v>102</v>
      </c>
      <c r="I984" s="1">
        <v>0.0</v>
      </c>
      <c r="J984" s="1">
        <v>0.0</v>
      </c>
    </row>
    <row r="985">
      <c r="A985" s="1">
        <v>5.0</v>
      </c>
      <c r="B985" s="1">
        <v>20.0</v>
      </c>
      <c r="C985" s="1">
        <v>9.0</v>
      </c>
      <c r="D985" s="1">
        <v>6.4</v>
      </c>
      <c r="E985" s="1">
        <v>0.0</v>
      </c>
      <c r="F985" s="1">
        <v>0.0</v>
      </c>
      <c r="G985" s="6">
        <v>0.889</v>
      </c>
      <c r="H985" s="1" t="s">
        <v>66</v>
      </c>
      <c r="I985" s="1">
        <v>32.0</v>
      </c>
      <c r="J985" s="1">
        <v>0.0</v>
      </c>
    </row>
    <row r="986">
      <c r="A986" s="1">
        <v>2.0</v>
      </c>
      <c r="B986" s="1">
        <v>8.0</v>
      </c>
      <c r="C986" s="1">
        <v>0.0</v>
      </c>
      <c r="D986" s="1">
        <v>0.0</v>
      </c>
      <c r="E986" s="1">
        <v>0.0</v>
      </c>
      <c r="F986" s="1">
        <v>0.0</v>
      </c>
      <c r="G986" s="2">
        <v>0.0</v>
      </c>
      <c r="H986" s="1" t="s">
        <v>108</v>
      </c>
      <c r="I986" s="1">
        <v>0.0</v>
      </c>
      <c r="J986" s="1">
        <v>0.0</v>
      </c>
    </row>
    <row r="987">
      <c r="A987" s="1">
        <v>2.0</v>
      </c>
      <c r="B987" s="1">
        <v>8.0</v>
      </c>
      <c r="C987" s="1">
        <v>0.0</v>
      </c>
      <c r="D987" s="1">
        <v>0.0</v>
      </c>
      <c r="E987" s="1">
        <v>0.0</v>
      </c>
      <c r="F987" s="1">
        <v>0.0</v>
      </c>
      <c r="G987" s="2">
        <v>0.0</v>
      </c>
      <c r="H987" s="1" t="s">
        <v>109</v>
      </c>
      <c r="I987" s="1">
        <v>0.0</v>
      </c>
      <c r="J987" s="1">
        <v>0.0</v>
      </c>
    </row>
    <row r="988">
      <c r="A988" s="1">
        <v>1.0</v>
      </c>
      <c r="B988" s="1">
        <v>4.0</v>
      </c>
      <c r="C988" s="1">
        <v>1.0</v>
      </c>
      <c r="D988" s="1">
        <v>4.0</v>
      </c>
      <c r="E988" s="1">
        <v>0.0</v>
      </c>
      <c r="F988" s="1">
        <v>0.0</v>
      </c>
      <c r="G988" s="2">
        <v>1.0</v>
      </c>
      <c r="H988" s="1" t="s">
        <v>110</v>
      </c>
      <c r="I988" s="1">
        <v>4.0</v>
      </c>
      <c r="J988" s="1">
        <v>0.0</v>
      </c>
    </row>
    <row r="989">
      <c r="A989" s="1">
        <v>2.0</v>
      </c>
      <c r="B989" s="1">
        <v>8.0</v>
      </c>
      <c r="C989" s="1">
        <v>1.0</v>
      </c>
      <c r="D989" s="1">
        <v>0.0</v>
      </c>
      <c r="E989" s="1">
        <v>0.0</v>
      </c>
      <c r="F989" s="1">
        <v>0.0</v>
      </c>
      <c r="G989" s="2">
        <v>0.0</v>
      </c>
      <c r="H989" s="1" t="s">
        <v>111</v>
      </c>
      <c r="I989" s="1">
        <v>0.0</v>
      </c>
      <c r="J989" s="1">
        <v>0.0</v>
      </c>
    </row>
    <row r="990">
      <c r="A990" s="1">
        <v>1.0</v>
      </c>
      <c r="B990" s="1">
        <v>4.0</v>
      </c>
      <c r="C990" s="1">
        <v>0.0</v>
      </c>
      <c r="D990" s="1">
        <v>0.0</v>
      </c>
      <c r="E990" s="1">
        <v>0.0</v>
      </c>
      <c r="F990" s="1">
        <v>0.0</v>
      </c>
      <c r="G990" s="2">
        <v>0.0</v>
      </c>
      <c r="H990" s="1" t="s">
        <v>111</v>
      </c>
      <c r="I990" s="1">
        <v>0.0</v>
      </c>
      <c r="J990" s="1">
        <v>0.0</v>
      </c>
    </row>
    <row r="991">
      <c r="A991" s="1">
        <v>2.0</v>
      </c>
      <c r="B991" s="1">
        <v>8.0</v>
      </c>
      <c r="C991" s="1">
        <v>0.0</v>
      </c>
      <c r="D991" s="1">
        <v>0.0</v>
      </c>
      <c r="E991" s="1">
        <v>0.0</v>
      </c>
      <c r="F991" s="1">
        <v>0.0</v>
      </c>
      <c r="G991" s="2">
        <v>0.0</v>
      </c>
      <c r="H991" s="1" t="s">
        <v>111</v>
      </c>
      <c r="I991" s="1">
        <v>0.0</v>
      </c>
      <c r="J991" s="1">
        <v>0.0</v>
      </c>
    </row>
    <row r="992">
      <c r="A992" s="1">
        <v>3.0</v>
      </c>
      <c r="B992" s="1">
        <v>12.0</v>
      </c>
      <c r="C992" s="1">
        <v>5.0</v>
      </c>
      <c r="D992" s="1">
        <v>4.0</v>
      </c>
      <c r="E992" s="1">
        <v>0.0</v>
      </c>
      <c r="F992" s="1">
        <v>0.0</v>
      </c>
      <c r="G992" s="2">
        <v>0.6</v>
      </c>
      <c r="H992" s="1" t="s">
        <v>115</v>
      </c>
      <c r="I992" s="1">
        <v>12.0</v>
      </c>
      <c r="J992" s="1">
        <v>0.0</v>
      </c>
    </row>
    <row r="993">
      <c r="A993" s="1">
        <v>2.0</v>
      </c>
      <c r="B993" s="1">
        <v>8.0</v>
      </c>
      <c r="C993" s="1">
        <v>4.0</v>
      </c>
      <c r="D993" s="1">
        <v>0.0</v>
      </c>
      <c r="E993" s="1">
        <v>0.0</v>
      </c>
      <c r="F993" s="1">
        <v>0.0</v>
      </c>
      <c r="G993" s="2">
        <v>0.0</v>
      </c>
      <c r="H993" s="1" t="s">
        <v>115</v>
      </c>
      <c r="I993" s="1">
        <v>0.0</v>
      </c>
      <c r="J993" s="1">
        <v>0.0</v>
      </c>
    </row>
    <row r="994">
      <c r="A994" s="1">
        <v>2.0</v>
      </c>
      <c r="B994" s="1">
        <v>8.0</v>
      </c>
      <c r="C994" s="1">
        <v>0.0</v>
      </c>
      <c r="D994" s="1">
        <v>0.0</v>
      </c>
      <c r="E994" s="1">
        <v>0.0</v>
      </c>
      <c r="F994" s="1">
        <v>0.0</v>
      </c>
      <c r="G994" s="2">
        <v>0.0</v>
      </c>
      <c r="H994" s="1" t="s">
        <v>117</v>
      </c>
      <c r="I994" s="1">
        <v>0.0</v>
      </c>
      <c r="J994" s="1">
        <v>0.0</v>
      </c>
    </row>
    <row r="995">
      <c r="A995" s="1">
        <v>1.0</v>
      </c>
      <c r="B995" s="1">
        <v>4.0</v>
      </c>
      <c r="C995" s="1">
        <v>0.0</v>
      </c>
      <c r="D995" s="1">
        <v>0.0</v>
      </c>
      <c r="E995" s="1">
        <v>0.0</v>
      </c>
      <c r="F995" s="1">
        <v>0.0</v>
      </c>
      <c r="G995" s="2">
        <v>0.0</v>
      </c>
      <c r="H995" s="1" t="s">
        <v>117</v>
      </c>
      <c r="I995" s="1">
        <v>0.0</v>
      </c>
      <c r="J995" s="1">
        <v>0.0</v>
      </c>
    </row>
    <row r="996">
      <c r="A996" s="1">
        <v>1.0</v>
      </c>
      <c r="B996" s="1">
        <v>4.0</v>
      </c>
      <c r="C996" s="1">
        <v>1.0</v>
      </c>
      <c r="D996" s="1">
        <v>-4.0</v>
      </c>
      <c r="E996" s="1">
        <v>1.0</v>
      </c>
      <c r="F996" s="1">
        <v>0.0</v>
      </c>
      <c r="G996" s="2">
        <v>0.0</v>
      </c>
      <c r="H996" s="1" t="s">
        <v>117</v>
      </c>
      <c r="I996" s="1">
        <v>-4.0</v>
      </c>
      <c r="J996" s="1">
        <v>1.0</v>
      </c>
    </row>
    <row r="997">
      <c r="A997" s="1">
        <v>1.0</v>
      </c>
      <c r="B997" s="1">
        <v>4.0</v>
      </c>
      <c r="C997" s="1">
        <v>0.0</v>
      </c>
      <c r="D997" s="1">
        <v>0.0</v>
      </c>
      <c r="E997" s="1">
        <v>0.0</v>
      </c>
      <c r="F997" s="1">
        <v>0.0</v>
      </c>
      <c r="G997" s="2">
        <v>0.0</v>
      </c>
      <c r="H997" s="1" t="s">
        <v>117</v>
      </c>
      <c r="I997" s="1">
        <v>0.0</v>
      </c>
      <c r="J997" s="1">
        <v>0.0</v>
      </c>
    </row>
    <row r="998">
      <c r="A998" s="1">
        <v>3.0</v>
      </c>
      <c r="B998" s="1">
        <v>12.0</v>
      </c>
      <c r="C998" s="1">
        <v>4.0</v>
      </c>
      <c r="D998" s="1">
        <v>5.33</v>
      </c>
      <c r="E998" s="1">
        <v>0.0</v>
      </c>
      <c r="F998" s="1">
        <v>0.0</v>
      </c>
      <c r="G998" s="2">
        <v>1.0</v>
      </c>
      <c r="H998" s="1" t="s">
        <v>123</v>
      </c>
      <c r="I998" s="1">
        <v>16.0</v>
      </c>
      <c r="J998" s="1">
        <v>0.0</v>
      </c>
    </row>
    <row r="999">
      <c r="A999" s="1">
        <v>5.0</v>
      </c>
      <c r="B999" s="1">
        <v>20.0</v>
      </c>
      <c r="C999" s="1">
        <v>0.0</v>
      </c>
      <c r="D999" s="1">
        <v>0.0</v>
      </c>
      <c r="E999" s="1">
        <v>0.0</v>
      </c>
      <c r="F999" s="1">
        <v>0.0</v>
      </c>
      <c r="G999" s="2">
        <v>0.0</v>
      </c>
      <c r="H999" s="1" t="s">
        <v>124</v>
      </c>
      <c r="I999" s="1">
        <v>0.0</v>
      </c>
      <c r="J999" s="1">
        <v>0.0</v>
      </c>
    </row>
    <row r="1000">
      <c r="A1000" s="1">
        <v>5.0</v>
      </c>
      <c r="B1000" s="1">
        <v>20.0</v>
      </c>
      <c r="C1000" s="1">
        <v>5.0</v>
      </c>
      <c r="D1000" s="1">
        <v>4.0</v>
      </c>
      <c r="E1000" s="1">
        <v>0.0</v>
      </c>
      <c r="F1000" s="1">
        <v>0.0</v>
      </c>
      <c r="G1000" s="2">
        <v>1.0</v>
      </c>
      <c r="H1000" s="1" t="s">
        <v>127</v>
      </c>
      <c r="I1000" s="1">
        <v>20.0</v>
      </c>
      <c r="J1000" s="1">
        <v>0.0</v>
      </c>
    </row>
    <row r="1001">
      <c r="A1001" s="1">
        <v>5.0</v>
      </c>
      <c r="B1001" s="1">
        <v>20.0</v>
      </c>
      <c r="C1001" s="1">
        <v>1.0</v>
      </c>
      <c r="D1001" s="1">
        <v>0.8</v>
      </c>
      <c r="E1001" s="1">
        <v>0.0</v>
      </c>
      <c r="F1001" s="1">
        <v>0.0</v>
      </c>
      <c r="G1001" s="2">
        <v>1.0</v>
      </c>
      <c r="H1001" s="1" t="s">
        <v>128</v>
      </c>
      <c r="I1001" s="1">
        <v>4.0</v>
      </c>
      <c r="J1001" s="1">
        <v>0.0</v>
      </c>
    </row>
    <row r="1002">
      <c r="A1002" s="1">
        <v>4.0</v>
      </c>
      <c r="B1002" s="1">
        <v>16.0</v>
      </c>
      <c r="C1002" s="1">
        <v>6.0</v>
      </c>
      <c r="D1002" s="1">
        <v>3.0</v>
      </c>
      <c r="E1002" s="1">
        <v>0.25</v>
      </c>
      <c r="F1002" s="1">
        <v>0.0</v>
      </c>
      <c r="G1002" s="6">
        <v>0.667</v>
      </c>
      <c r="H1002" s="1" t="s">
        <v>130</v>
      </c>
      <c r="I1002" s="1">
        <v>12.0</v>
      </c>
      <c r="J1002" s="1">
        <v>1.0</v>
      </c>
    </row>
    <row r="1003">
      <c r="A1003" s="1">
        <v>1.0</v>
      </c>
      <c r="B1003" s="1">
        <v>4.0</v>
      </c>
      <c r="C1003" s="1">
        <v>0.0</v>
      </c>
      <c r="D1003" s="1">
        <v>0.0</v>
      </c>
      <c r="E1003" s="1">
        <v>0.0</v>
      </c>
      <c r="F1003" s="1">
        <v>0.0</v>
      </c>
      <c r="G1003" s="2">
        <v>0.0</v>
      </c>
      <c r="H1003" s="1" t="s">
        <v>132</v>
      </c>
      <c r="I1003" s="1">
        <v>0.0</v>
      </c>
      <c r="J1003" s="1">
        <v>0.0</v>
      </c>
    </row>
    <row r="1004">
      <c r="A1004" s="1">
        <v>3.0</v>
      </c>
      <c r="B1004" s="1">
        <v>11.0</v>
      </c>
      <c r="C1004" s="1">
        <v>0.0</v>
      </c>
      <c r="D1004" s="1">
        <v>0.0</v>
      </c>
      <c r="E1004" s="1">
        <v>0.0</v>
      </c>
      <c r="F1004" s="1">
        <v>0.0</v>
      </c>
      <c r="G1004" s="2">
        <v>0.0</v>
      </c>
      <c r="H1004" s="1" t="s">
        <v>132</v>
      </c>
      <c r="I1004" s="1">
        <v>0.0</v>
      </c>
      <c r="J1004" s="1">
        <v>0.0</v>
      </c>
    </row>
    <row r="1005">
      <c r="A1005" s="1">
        <v>1.0</v>
      </c>
      <c r="B1005" s="1">
        <v>4.0</v>
      </c>
      <c r="C1005" s="1">
        <v>3.0</v>
      </c>
      <c r="D1005" s="1">
        <v>12.0</v>
      </c>
      <c r="E1005" s="1">
        <v>0.0</v>
      </c>
      <c r="F1005" s="1">
        <v>0.0</v>
      </c>
      <c r="G1005" s="2">
        <v>1.0</v>
      </c>
      <c r="H1005" s="1" t="s">
        <v>77</v>
      </c>
      <c r="I1005" s="1">
        <v>12.0</v>
      </c>
      <c r="J1005" s="1">
        <v>0.0</v>
      </c>
    </row>
    <row r="1006">
      <c r="A1006" s="1">
        <v>3.0</v>
      </c>
      <c r="B1006" s="1">
        <v>11.0</v>
      </c>
      <c r="C1006" s="1">
        <v>9.0</v>
      </c>
      <c r="D1006" s="1">
        <v>0.0</v>
      </c>
      <c r="E1006" s="1">
        <v>1.33</v>
      </c>
      <c r="F1006" s="1">
        <v>0.0</v>
      </c>
      <c r="G1006" s="6">
        <v>0.444</v>
      </c>
      <c r="H1006" s="1" t="s">
        <v>77</v>
      </c>
      <c r="I1006" s="1">
        <v>0.0</v>
      </c>
      <c r="J1006" s="1">
        <v>4.0</v>
      </c>
    </row>
    <row r="1007">
      <c r="A1007" s="1">
        <v>1.0</v>
      </c>
      <c r="B1007" s="1">
        <v>4.0</v>
      </c>
      <c r="C1007" s="1">
        <v>1.0</v>
      </c>
      <c r="D1007" s="1">
        <v>0.0</v>
      </c>
      <c r="E1007" s="1">
        <v>0.0</v>
      </c>
      <c r="F1007" s="1">
        <v>0.0</v>
      </c>
      <c r="G1007" s="2">
        <v>0.0</v>
      </c>
      <c r="H1007" s="1" t="s">
        <v>137</v>
      </c>
      <c r="I1007" s="1">
        <v>0.0</v>
      </c>
      <c r="J1007" s="1">
        <v>0.0</v>
      </c>
    </row>
    <row r="1008">
      <c r="A1008" s="1">
        <v>1.0</v>
      </c>
      <c r="B1008" s="1">
        <v>3.0</v>
      </c>
      <c r="C1008" s="1">
        <v>1.0</v>
      </c>
      <c r="D1008" s="1">
        <v>0.0</v>
      </c>
      <c r="E1008" s="1">
        <v>0.0</v>
      </c>
      <c r="F1008" s="1">
        <v>0.0</v>
      </c>
      <c r="G1008" s="2">
        <v>0.0</v>
      </c>
      <c r="H1008" s="1" t="s">
        <v>137</v>
      </c>
      <c r="I1008" s="1">
        <v>0.0</v>
      </c>
      <c r="J1008" s="1">
        <v>0.0</v>
      </c>
    </row>
    <row r="1009">
      <c r="A1009" s="1">
        <v>5.0</v>
      </c>
      <c r="B1009" s="1">
        <v>20.0</v>
      </c>
      <c r="C1009" s="1">
        <v>3.0</v>
      </c>
      <c r="D1009" s="1">
        <v>-0.8</v>
      </c>
      <c r="E1009" s="1">
        <v>0.4</v>
      </c>
      <c r="F1009" s="1">
        <v>0.0</v>
      </c>
      <c r="G1009" s="6">
        <v>0.333</v>
      </c>
      <c r="H1009" s="1" t="s">
        <v>139</v>
      </c>
      <c r="I1009" s="1">
        <v>-4.0</v>
      </c>
      <c r="J1009" s="1">
        <v>2.0</v>
      </c>
    </row>
    <row r="1010">
      <c r="A1010" s="1">
        <v>1.0</v>
      </c>
      <c r="B1010" s="1">
        <v>4.0</v>
      </c>
      <c r="C1010" s="1">
        <v>0.0</v>
      </c>
      <c r="D1010" s="1">
        <v>0.0</v>
      </c>
      <c r="E1010" s="1">
        <v>0.0</v>
      </c>
      <c r="F1010" s="1">
        <v>0.0</v>
      </c>
      <c r="G1010" s="2">
        <v>0.0</v>
      </c>
      <c r="H1010" s="1" t="s">
        <v>142</v>
      </c>
      <c r="I1010" s="1">
        <v>0.0</v>
      </c>
      <c r="J1010" s="1">
        <v>0.0</v>
      </c>
    </row>
    <row r="1011">
      <c r="A1011" s="1">
        <v>5.0</v>
      </c>
      <c r="B1011" s="1">
        <v>20.0</v>
      </c>
      <c r="C1011" s="1">
        <v>2.0</v>
      </c>
      <c r="D1011" s="1">
        <v>0.0</v>
      </c>
      <c r="E1011" s="1">
        <v>0.2</v>
      </c>
      <c r="F1011" s="1">
        <v>0.0</v>
      </c>
      <c r="G1011" s="2">
        <v>0.5</v>
      </c>
      <c r="H1011" s="1" t="s">
        <v>144</v>
      </c>
      <c r="I1011" s="1">
        <v>0.0</v>
      </c>
      <c r="J1011" s="1">
        <v>1.0</v>
      </c>
    </row>
    <row r="1012">
      <c r="A1012" s="1">
        <v>4.0</v>
      </c>
      <c r="B1012" s="1">
        <v>16.0</v>
      </c>
      <c r="C1012" s="1">
        <v>0.0</v>
      </c>
      <c r="D1012" s="1">
        <v>0.0</v>
      </c>
      <c r="E1012" s="1">
        <v>0.0</v>
      </c>
      <c r="F1012" s="1">
        <v>0.0</v>
      </c>
      <c r="G1012" s="2">
        <v>0.0</v>
      </c>
      <c r="H1012" s="1" t="s">
        <v>147</v>
      </c>
      <c r="I1012" s="1">
        <v>0.0</v>
      </c>
      <c r="J1012" s="1">
        <v>0.0</v>
      </c>
    </row>
    <row r="1013">
      <c r="A1013" s="1">
        <v>1.0</v>
      </c>
      <c r="B1013" s="1">
        <v>4.0</v>
      </c>
      <c r="C1013" s="1">
        <v>0.0</v>
      </c>
      <c r="D1013" s="1">
        <v>0.0</v>
      </c>
      <c r="E1013" s="1">
        <v>0.0</v>
      </c>
      <c r="F1013" s="1">
        <v>0.0</v>
      </c>
      <c r="G1013" s="2">
        <v>0.0</v>
      </c>
      <c r="H1013" s="1" t="s">
        <v>147</v>
      </c>
      <c r="I1013" s="1">
        <v>0.0</v>
      </c>
      <c r="J1013" s="1">
        <v>0.0</v>
      </c>
    </row>
    <row r="1014">
      <c r="A1014" s="1">
        <v>4.0</v>
      </c>
      <c r="B1014" s="1">
        <v>16.0</v>
      </c>
      <c r="C1014" s="1">
        <v>9.0</v>
      </c>
      <c r="D1014" s="1">
        <v>8.0</v>
      </c>
      <c r="E1014" s="1">
        <v>0.0</v>
      </c>
      <c r="F1014" s="1">
        <v>0.0</v>
      </c>
      <c r="G1014" s="6">
        <v>0.889</v>
      </c>
      <c r="H1014" s="1" t="s">
        <v>125</v>
      </c>
      <c r="I1014" s="1">
        <v>32.0</v>
      </c>
      <c r="J1014" s="1">
        <v>0.0</v>
      </c>
    </row>
    <row r="1015">
      <c r="A1015" s="1">
        <v>1.0</v>
      </c>
      <c r="B1015" s="1">
        <v>4.0</v>
      </c>
      <c r="C1015" s="1">
        <v>2.0</v>
      </c>
      <c r="D1015" s="1">
        <v>4.0</v>
      </c>
      <c r="E1015" s="1">
        <v>0.0</v>
      </c>
      <c r="F1015" s="1">
        <v>0.0</v>
      </c>
      <c r="G1015" s="2">
        <v>0.5</v>
      </c>
      <c r="H1015" s="1" t="s">
        <v>151</v>
      </c>
      <c r="I1015" s="1">
        <v>4.0</v>
      </c>
      <c r="J1015" s="1">
        <v>0.0</v>
      </c>
    </row>
    <row r="1016">
      <c r="A1016" s="1">
        <v>1.0</v>
      </c>
      <c r="B1016" s="1">
        <v>4.0</v>
      </c>
      <c r="C1016" s="1">
        <v>1.0</v>
      </c>
      <c r="D1016" s="1">
        <v>4.0</v>
      </c>
      <c r="E1016" s="1">
        <v>0.0</v>
      </c>
      <c r="F1016" s="1">
        <v>0.0</v>
      </c>
      <c r="G1016" s="2">
        <v>1.0</v>
      </c>
      <c r="H1016" s="1" t="s">
        <v>152</v>
      </c>
      <c r="I1016" s="1">
        <v>4.0</v>
      </c>
      <c r="J1016" s="1">
        <v>0.0</v>
      </c>
    </row>
    <row r="1017">
      <c r="A1017" s="1">
        <v>3.0</v>
      </c>
      <c r="B1017" s="1">
        <v>12.0</v>
      </c>
      <c r="C1017" s="1">
        <v>0.0</v>
      </c>
      <c r="D1017" s="1">
        <v>0.0</v>
      </c>
      <c r="E1017" s="1">
        <v>0.0</v>
      </c>
      <c r="F1017" s="1">
        <v>0.0</v>
      </c>
      <c r="G1017" s="2">
        <v>0.0</v>
      </c>
      <c r="H1017" s="1" t="s">
        <v>152</v>
      </c>
      <c r="I1017" s="1">
        <v>0.0</v>
      </c>
      <c r="J1017" s="1">
        <v>0.0</v>
      </c>
    </row>
    <row r="1018">
      <c r="A1018" s="1">
        <v>1.0</v>
      </c>
      <c r="B1018" s="1">
        <v>4.0</v>
      </c>
      <c r="C1018" s="1">
        <v>1.0</v>
      </c>
      <c r="D1018" s="1">
        <v>0.0</v>
      </c>
      <c r="E1018" s="1">
        <v>0.0</v>
      </c>
      <c r="F1018" s="1">
        <v>0.0</v>
      </c>
      <c r="G1018" s="2">
        <v>0.0</v>
      </c>
      <c r="H1018" s="1" t="s">
        <v>156</v>
      </c>
      <c r="I1018" s="1">
        <v>0.0</v>
      </c>
      <c r="J1018" s="1">
        <v>0.0</v>
      </c>
    </row>
    <row r="1019">
      <c r="A1019" s="1">
        <v>2.0</v>
      </c>
      <c r="B1019" s="1">
        <v>8.0</v>
      </c>
      <c r="C1019" s="1">
        <v>0.0</v>
      </c>
      <c r="D1019" s="1">
        <v>0.0</v>
      </c>
      <c r="E1019" s="1">
        <v>0.0</v>
      </c>
      <c r="F1019" s="1">
        <v>0.0</v>
      </c>
      <c r="G1019" s="2">
        <v>0.0</v>
      </c>
      <c r="H1019" s="1" t="s">
        <v>156</v>
      </c>
      <c r="I1019" s="1">
        <v>0.0</v>
      </c>
      <c r="J1019" s="1">
        <v>0.0</v>
      </c>
    </row>
    <row r="1020">
      <c r="A1020" s="1">
        <v>1.0</v>
      </c>
      <c r="B1020" s="1">
        <v>4.0</v>
      </c>
      <c r="C1020" s="1">
        <v>0.0</v>
      </c>
      <c r="D1020" s="1">
        <v>0.0</v>
      </c>
      <c r="E1020" s="1">
        <v>0.0</v>
      </c>
      <c r="F1020" s="1">
        <v>0.0</v>
      </c>
      <c r="G1020" s="2">
        <v>0.0</v>
      </c>
      <c r="H1020" s="1" t="s">
        <v>145</v>
      </c>
      <c r="I1020" s="1">
        <v>0.0</v>
      </c>
      <c r="J1020" s="1">
        <v>0.0</v>
      </c>
    </row>
    <row r="1021">
      <c r="A1021" s="1">
        <v>4.0</v>
      </c>
      <c r="B1021" s="1">
        <v>16.0</v>
      </c>
      <c r="C1021" s="1">
        <v>10.0</v>
      </c>
      <c r="D1021" s="1">
        <v>6.0</v>
      </c>
      <c r="E1021" s="1">
        <v>0.5</v>
      </c>
      <c r="F1021" s="1">
        <v>0.0</v>
      </c>
      <c r="G1021" s="2">
        <v>0.8</v>
      </c>
      <c r="H1021" s="1" t="s">
        <v>145</v>
      </c>
      <c r="I1021" s="1">
        <v>24.0</v>
      </c>
      <c r="J1021" s="1">
        <v>2.0</v>
      </c>
    </row>
    <row r="1022">
      <c r="A1022" s="1">
        <v>1.0</v>
      </c>
      <c r="B1022" s="1">
        <v>4.0</v>
      </c>
      <c r="C1022" s="1">
        <v>0.0</v>
      </c>
      <c r="D1022" s="1">
        <v>0.0</v>
      </c>
      <c r="E1022" s="1">
        <v>0.0</v>
      </c>
      <c r="F1022" s="1">
        <v>0.0</v>
      </c>
      <c r="G1022" s="2">
        <v>0.0</v>
      </c>
      <c r="H1022" s="1" t="s">
        <v>160</v>
      </c>
      <c r="I1022" s="1">
        <v>0.0</v>
      </c>
      <c r="J1022" s="1">
        <v>0.0</v>
      </c>
    </row>
    <row r="1023">
      <c r="A1023" s="1">
        <v>2.0</v>
      </c>
      <c r="B1023" s="1">
        <v>8.0</v>
      </c>
      <c r="C1023" s="1">
        <v>0.0</v>
      </c>
      <c r="D1023" s="1">
        <v>0.0</v>
      </c>
      <c r="E1023" s="1">
        <v>0.0</v>
      </c>
      <c r="F1023" s="1">
        <v>0.0</v>
      </c>
      <c r="G1023" s="2">
        <v>0.0</v>
      </c>
      <c r="H1023" s="1" t="s">
        <v>162</v>
      </c>
      <c r="I1023" s="1">
        <v>0.0</v>
      </c>
      <c r="J1023" s="1">
        <v>0.0</v>
      </c>
    </row>
    <row r="1024">
      <c r="A1024" s="1">
        <v>2.0</v>
      </c>
      <c r="B1024" s="1">
        <v>8.0</v>
      </c>
      <c r="C1024" s="1">
        <v>0.0</v>
      </c>
      <c r="D1024" s="1">
        <v>0.0</v>
      </c>
      <c r="E1024" s="1">
        <v>0.0</v>
      </c>
      <c r="F1024" s="1">
        <v>0.0</v>
      </c>
      <c r="G1024" s="2">
        <v>0.0</v>
      </c>
      <c r="H1024" s="1" t="s">
        <v>162</v>
      </c>
      <c r="I1024" s="1">
        <v>0.0</v>
      </c>
      <c r="J1024" s="1">
        <v>0.0</v>
      </c>
    </row>
    <row r="1025">
      <c r="A1025" s="1">
        <v>5.0</v>
      </c>
      <c r="B1025" s="1">
        <v>20.0</v>
      </c>
      <c r="C1025" s="1">
        <v>10.0</v>
      </c>
      <c r="D1025" s="1">
        <v>4.8</v>
      </c>
      <c r="E1025" s="1">
        <v>0.2</v>
      </c>
      <c r="F1025" s="1">
        <v>0.0</v>
      </c>
      <c r="G1025" s="2">
        <v>0.7</v>
      </c>
      <c r="H1025" s="1" t="s">
        <v>165</v>
      </c>
      <c r="I1025" s="1">
        <v>24.0</v>
      </c>
      <c r="J1025" s="1">
        <v>1.0</v>
      </c>
    </row>
    <row r="1026">
      <c r="A1026" s="1">
        <v>1.0</v>
      </c>
      <c r="B1026" s="1">
        <v>4.0</v>
      </c>
      <c r="C1026" s="1">
        <v>0.0</v>
      </c>
      <c r="D1026" s="1">
        <v>0.0</v>
      </c>
      <c r="E1026" s="1">
        <v>0.0</v>
      </c>
      <c r="F1026" s="1">
        <v>0.0</v>
      </c>
      <c r="G1026" s="2">
        <v>0.0</v>
      </c>
      <c r="H1026" s="1" t="s">
        <v>167</v>
      </c>
      <c r="I1026" s="1">
        <v>0.0</v>
      </c>
      <c r="J1026" s="1">
        <v>0.0</v>
      </c>
    </row>
    <row r="1027">
      <c r="A1027" s="1">
        <v>5.0</v>
      </c>
      <c r="B1027" s="1">
        <v>20.0</v>
      </c>
      <c r="C1027" s="1">
        <v>0.0</v>
      </c>
      <c r="D1027" s="1">
        <v>0.0</v>
      </c>
      <c r="E1027" s="1">
        <v>0.0</v>
      </c>
      <c r="F1027" s="1">
        <v>0.0</v>
      </c>
      <c r="G1027" s="2">
        <v>0.0</v>
      </c>
      <c r="H1027" s="1" t="s">
        <v>169</v>
      </c>
      <c r="I1027" s="1">
        <v>0.0</v>
      </c>
      <c r="J1027" s="1">
        <v>0.0</v>
      </c>
    </row>
    <row r="1028">
      <c r="A1028" s="1">
        <v>3.0</v>
      </c>
      <c r="B1028" s="1">
        <v>12.0</v>
      </c>
      <c r="C1028" s="1">
        <v>4.0</v>
      </c>
      <c r="D1028" s="1">
        <v>5.33</v>
      </c>
      <c r="E1028" s="1">
        <v>0.0</v>
      </c>
      <c r="F1028" s="1">
        <v>0.0</v>
      </c>
      <c r="G1028" s="2">
        <v>1.0</v>
      </c>
      <c r="H1028" s="1" t="s">
        <v>171</v>
      </c>
      <c r="I1028" s="1">
        <v>16.0</v>
      </c>
      <c r="J1028" s="1">
        <v>0.0</v>
      </c>
    </row>
    <row r="1029">
      <c r="A1029" s="1">
        <v>4.0</v>
      </c>
      <c r="B1029" s="1">
        <v>16.0</v>
      </c>
      <c r="C1029" s="1">
        <v>0.0</v>
      </c>
      <c r="D1029" s="1">
        <v>0.0</v>
      </c>
      <c r="E1029" s="1">
        <v>0.0</v>
      </c>
      <c r="F1029" s="1">
        <v>0.0</v>
      </c>
      <c r="G1029" s="2">
        <v>0.0</v>
      </c>
      <c r="H1029" s="1" t="s">
        <v>173</v>
      </c>
      <c r="I1029" s="1">
        <v>0.0</v>
      </c>
      <c r="J1029" s="1">
        <v>0.0</v>
      </c>
    </row>
    <row r="1030">
      <c r="A1030" s="1">
        <v>1.0</v>
      </c>
      <c r="B1030" s="1">
        <v>4.0</v>
      </c>
      <c r="C1030" s="1">
        <v>0.0</v>
      </c>
      <c r="D1030" s="1">
        <v>0.0</v>
      </c>
      <c r="E1030" s="1">
        <v>0.0</v>
      </c>
      <c r="F1030" s="1">
        <v>0.0</v>
      </c>
      <c r="G1030" s="2">
        <v>0.0</v>
      </c>
      <c r="H1030" s="1" t="s">
        <v>173</v>
      </c>
      <c r="I1030" s="1">
        <v>0.0</v>
      </c>
      <c r="J1030" s="1">
        <v>0.0</v>
      </c>
    </row>
    <row r="1031">
      <c r="A1031" s="1">
        <v>1.0</v>
      </c>
      <c r="B1031" s="1">
        <v>4.0</v>
      </c>
      <c r="C1031" s="1">
        <v>0.0</v>
      </c>
      <c r="D1031" s="1">
        <v>0.0</v>
      </c>
      <c r="E1031" s="1">
        <v>0.0</v>
      </c>
      <c r="F1031" s="1">
        <v>0.0</v>
      </c>
      <c r="G1031" s="2">
        <v>0.0</v>
      </c>
      <c r="H1031" s="1" t="s">
        <v>174</v>
      </c>
      <c r="I1031" s="1">
        <v>0.0</v>
      </c>
      <c r="J1031" s="1">
        <v>0.0</v>
      </c>
    </row>
    <row r="1032">
      <c r="A1032" s="1">
        <v>1.0</v>
      </c>
      <c r="B1032" s="1">
        <v>4.0</v>
      </c>
      <c r="C1032" s="1">
        <v>1.0</v>
      </c>
      <c r="D1032" s="1">
        <v>0.0</v>
      </c>
      <c r="E1032" s="1">
        <v>0.0</v>
      </c>
      <c r="F1032" s="1">
        <v>0.0</v>
      </c>
      <c r="G1032" s="2">
        <v>0.0</v>
      </c>
      <c r="H1032" s="1" t="s">
        <v>176</v>
      </c>
      <c r="I1032" s="1">
        <v>0.0</v>
      </c>
      <c r="J1032" s="1">
        <v>0.0</v>
      </c>
    </row>
    <row r="1033">
      <c r="A1033" s="1">
        <v>4.0</v>
      </c>
      <c r="B1033" s="1">
        <v>16.0</v>
      </c>
      <c r="C1033" s="1">
        <v>14.0</v>
      </c>
      <c r="D1033" s="1">
        <v>10.0</v>
      </c>
      <c r="E1033" s="1">
        <v>0.5</v>
      </c>
      <c r="F1033" s="1">
        <v>0.0</v>
      </c>
      <c r="G1033" s="6">
        <v>0.857</v>
      </c>
      <c r="H1033" s="1" t="s">
        <v>74</v>
      </c>
      <c r="I1033" s="1">
        <v>40.0</v>
      </c>
      <c r="J1033" s="1">
        <v>2.0</v>
      </c>
    </row>
    <row r="1034">
      <c r="A1034" s="1">
        <v>1.0</v>
      </c>
      <c r="B1034" s="1">
        <v>4.0</v>
      </c>
      <c r="C1034" s="1">
        <v>3.0</v>
      </c>
      <c r="D1034" s="1">
        <v>8.0</v>
      </c>
      <c r="E1034" s="1">
        <v>0.0</v>
      </c>
      <c r="F1034" s="1">
        <v>0.0</v>
      </c>
      <c r="G1034" s="6">
        <v>0.667</v>
      </c>
      <c r="H1034" s="1" t="s">
        <v>74</v>
      </c>
      <c r="I1034" s="1">
        <v>8.0</v>
      </c>
      <c r="J1034" s="1">
        <v>0.0</v>
      </c>
    </row>
    <row r="1035">
      <c r="A1035" s="1">
        <v>1.0</v>
      </c>
      <c r="B1035" s="1">
        <v>4.0</v>
      </c>
      <c r="C1035" s="1">
        <v>0.0</v>
      </c>
      <c r="D1035" s="1">
        <v>0.0</v>
      </c>
      <c r="E1035" s="1">
        <v>0.0</v>
      </c>
      <c r="F1035" s="1">
        <v>0.0</v>
      </c>
      <c r="G1035" s="2">
        <v>0.0</v>
      </c>
      <c r="H1035" s="1" t="s">
        <v>177</v>
      </c>
      <c r="I1035" s="1">
        <v>0.0</v>
      </c>
      <c r="J1035" s="1">
        <v>0.0</v>
      </c>
    </row>
    <row r="1036">
      <c r="A1036" s="1">
        <v>4.0</v>
      </c>
      <c r="B1036" s="1">
        <v>16.0</v>
      </c>
      <c r="C1036" s="1">
        <v>0.0</v>
      </c>
      <c r="D1036" s="1">
        <v>0.0</v>
      </c>
      <c r="E1036" s="1">
        <v>0.0</v>
      </c>
      <c r="F1036" s="1">
        <v>0.0</v>
      </c>
      <c r="G1036" s="2">
        <v>0.0</v>
      </c>
      <c r="H1036" s="1" t="s">
        <v>178</v>
      </c>
      <c r="I1036" s="1">
        <v>0.0</v>
      </c>
      <c r="J1036" s="1">
        <v>0.0</v>
      </c>
    </row>
    <row r="1037">
      <c r="A1037" s="1">
        <v>1.0</v>
      </c>
      <c r="B1037" s="1">
        <v>4.0</v>
      </c>
      <c r="C1037" s="1">
        <v>0.0</v>
      </c>
      <c r="D1037" s="1">
        <v>0.0</v>
      </c>
      <c r="E1037" s="1">
        <v>0.0</v>
      </c>
      <c r="F1037" s="1">
        <v>0.0</v>
      </c>
      <c r="G1037" s="2">
        <v>0.0</v>
      </c>
      <c r="H1037" s="1" t="s">
        <v>178</v>
      </c>
      <c r="I1037" s="1">
        <v>0.0</v>
      </c>
      <c r="J1037" s="1">
        <v>0.0</v>
      </c>
    </row>
    <row r="1038">
      <c r="A1038" s="1">
        <v>3.0</v>
      </c>
      <c r="B1038" s="1">
        <v>12.0</v>
      </c>
      <c r="C1038" s="1">
        <v>9.0</v>
      </c>
      <c r="D1038" s="1">
        <v>9.33</v>
      </c>
      <c r="E1038" s="1">
        <v>0.0</v>
      </c>
      <c r="F1038" s="1">
        <v>0.0</v>
      </c>
      <c r="G1038" s="6">
        <v>0.778</v>
      </c>
      <c r="H1038" s="1" t="s">
        <v>150</v>
      </c>
      <c r="I1038" s="1">
        <v>28.0</v>
      </c>
      <c r="J1038" s="1">
        <v>0.0</v>
      </c>
    </row>
    <row r="1039">
      <c r="A1039" s="1">
        <v>1.0</v>
      </c>
      <c r="B1039" s="1">
        <v>4.0</v>
      </c>
      <c r="C1039" s="1">
        <v>1.0</v>
      </c>
      <c r="D1039" s="1">
        <v>4.0</v>
      </c>
      <c r="E1039" s="1">
        <v>0.0</v>
      </c>
      <c r="F1039" s="1">
        <v>0.0</v>
      </c>
      <c r="G1039" s="2">
        <v>1.0</v>
      </c>
      <c r="H1039" s="1" t="s">
        <v>150</v>
      </c>
      <c r="I1039" s="1">
        <v>4.0</v>
      </c>
      <c r="J1039" s="1">
        <v>0.0</v>
      </c>
    </row>
    <row r="1040">
      <c r="A1040" s="1">
        <v>2.0</v>
      </c>
      <c r="B1040" s="1">
        <v>8.0</v>
      </c>
      <c r="C1040" s="1">
        <v>0.0</v>
      </c>
      <c r="D1040" s="1">
        <v>0.0</v>
      </c>
      <c r="E1040" s="1">
        <v>0.0</v>
      </c>
      <c r="F1040" s="1">
        <v>0.0</v>
      </c>
      <c r="G1040" s="2">
        <v>0.0</v>
      </c>
      <c r="H1040" s="1" t="s">
        <v>179</v>
      </c>
      <c r="I1040" s="1">
        <v>0.0</v>
      </c>
      <c r="J1040" s="1">
        <v>0.0</v>
      </c>
    </row>
    <row r="1041">
      <c r="A1041" s="1">
        <v>1.0</v>
      </c>
      <c r="B1041" s="1">
        <v>4.0</v>
      </c>
      <c r="C1041" s="1">
        <v>0.0</v>
      </c>
      <c r="D1041" s="1">
        <v>0.0</v>
      </c>
      <c r="E1041" s="1">
        <v>0.0</v>
      </c>
      <c r="F1041" s="1">
        <v>0.0</v>
      </c>
      <c r="G1041" s="2">
        <v>0.0</v>
      </c>
      <c r="H1041" s="1" t="s">
        <v>179</v>
      </c>
      <c r="I1041" s="1">
        <v>0.0</v>
      </c>
      <c r="J1041" s="1">
        <v>0.0</v>
      </c>
    </row>
    <row r="1042">
      <c r="A1042" s="1">
        <v>2.0</v>
      </c>
      <c r="B1042" s="1">
        <v>8.0</v>
      </c>
      <c r="C1042" s="1">
        <v>0.0</v>
      </c>
      <c r="D1042" s="1">
        <v>0.0</v>
      </c>
      <c r="E1042" s="1">
        <v>0.0</v>
      </c>
      <c r="F1042" s="1">
        <v>0.0</v>
      </c>
      <c r="G1042" s="2">
        <v>0.0</v>
      </c>
      <c r="H1042" s="1" t="s">
        <v>181</v>
      </c>
      <c r="I1042" s="1">
        <v>0.0</v>
      </c>
      <c r="J1042" s="1">
        <v>0.0</v>
      </c>
    </row>
    <row r="1043">
      <c r="A1043" s="1">
        <v>4.0</v>
      </c>
      <c r="B1043" s="1">
        <v>16.0</v>
      </c>
      <c r="C1043" s="1">
        <v>1.0</v>
      </c>
      <c r="D1043" s="1">
        <v>1.0</v>
      </c>
      <c r="E1043" s="1">
        <v>0.0</v>
      </c>
      <c r="F1043" s="1">
        <v>0.0</v>
      </c>
      <c r="G1043" s="2">
        <v>1.0</v>
      </c>
      <c r="H1043" s="1" t="s">
        <v>183</v>
      </c>
      <c r="I1043" s="1">
        <v>4.0</v>
      </c>
      <c r="J1043" s="1">
        <v>0.0</v>
      </c>
    </row>
    <row r="1044">
      <c r="A1044" s="1">
        <v>1.0</v>
      </c>
      <c r="B1044" s="1">
        <v>4.0</v>
      </c>
      <c r="C1044" s="1">
        <v>0.0</v>
      </c>
      <c r="D1044" s="1">
        <v>0.0</v>
      </c>
      <c r="E1044" s="1">
        <v>0.0</v>
      </c>
      <c r="F1044" s="1">
        <v>0.0</v>
      </c>
      <c r="G1044" s="2">
        <v>0.0</v>
      </c>
      <c r="H1044" s="1" t="s">
        <v>183</v>
      </c>
      <c r="I1044" s="1">
        <v>0.0</v>
      </c>
      <c r="J1044" s="1">
        <v>0.0</v>
      </c>
    </row>
    <row r="1045">
      <c r="A1045" s="1">
        <v>1.0</v>
      </c>
      <c r="B1045" s="1">
        <v>4.0</v>
      </c>
      <c r="C1045" s="1">
        <v>2.0</v>
      </c>
      <c r="D1045" s="1">
        <v>8.0</v>
      </c>
      <c r="E1045" s="1">
        <v>0.0</v>
      </c>
      <c r="F1045" s="1">
        <v>0.0</v>
      </c>
      <c r="G1045" s="2">
        <v>1.0</v>
      </c>
      <c r="H1045" s="1" t="s">
        <v>184</v>
      </c>
      <c r="I1045" s="1">
        <v>8.0</v>
      </c>
      <c r="J1045" s="1">
        <v>0.0</v>
      </c>
    </row>
    <row r="1046">
      <c r="A1046" s="1">
        <v>1.0</v>
      </c>
      <c r="B1046" s="1">
        <v>0.0</v>
      </c>
      <c r="C1046" s="1">
        <v>0.0</v>
      </c>
      <c r="D1046" s="1">
        <v>0.0</v>
      </c>
      <c r="E1046" s="1">
        <v>0.0</v>
      </c>
      <c r="F1046" s="1">
        <v>0.0</v>
      </c>
      <c r="G1046" s="2">
        <v>0.0</v>
      </c>
      <c r="H1046" s="1" t="s">
        <v>184</v>
      </c>
      <c r="I1046" s="1">
        <v>0.0</v>
      </c>
      <c r="J1046" s="1">
        <v>0.0</v>
      </c>
    </row>
    <row r="1047">
      <c r="A1047" s="1">
        <v>3.0</v>
      </c>
      <c r="B1047" s="1">
        <v>12.0</v>
      </c>
      <c r="C1047" s="1">
        <v>3.0</v>
      </c>
      <c r="D1047" s="1">
        <v>0.0</v>
      </c>
      <c r="E1047" s="1">
        <v>0.0</v>
      </c>
      <c r="F1047" s="1">
        <v>0.0</v>
      </c>
      <c r="G1047" s="2">
        <v>0.0</v>
      </c>
      <c r="H1047" s="1" t="s">
        <v>184</v>
      </c>
      <c r="I1047" s="1">
        <v>0.0</v>
      </c>
      <c r="J1047" s="1">
        <v>0.0</v>
      </c>
    </row>
    <row r="1048">
      <c r="A1048" s="1">
        <v>4.0</v>
      </c>
      <c r="B1048" s="1">
        <v>16.0</v>
      </c>
      <c r="C1048" s="1">
        <v>7.0</v>
      </c>
      <c r="D1048" s="1">
        <v>2.0</v>
      </c>
      <c r="E1048" s="1">
        <v>0.25</v>
      </c>
      <c r="F1048" s="1">
        <v>0.0</v>
      </c>
      <c r="G1048" s="6">
        <v>0.429</v>
      </c>
      <c r="H1048" s="1" t="s">
        <v>161</v>
      </c>
      <c r="I1048" s="1">
        <v>8.0</v>
      </c>
      <c r="J1048" s="1">
        <v>1.0</v>
      </c>
    </row>
    <row r="1049">
      <c r="A1049" s="1">
        <v>1.0</v>
      </c>
      <c r="B1049" s="1">
        <v>0.0</v>
      </c>
      <c r="C1049" s="1">
        <v>0.0</v>
      </c>
      <c r="D1049" s="1">
        <v>0.0</v>
      </c>
      <c r="E1049" s="1">
        <v>0.0</v>
      </c>
      <c r="F1049" s="1">
        <v>0.0</v>
      </c>
      <c r="G1049" s="2">
        <v>0.0</v>
      </c>
      <c r="H1049" s="1" t="s">
        <v>161</v>
      </c>
      <c r="I1049" s="1">
        <v>0.0</v>
      </c>
      <c r="J1049" s="1">
        <v>0.0</v>
      </c>
    </row>
    <row r="1050">
      <c r="A1050" s="1">
        <v>3.0</v>
      </c>
      <c r="B1050" s="1">
        <v>12.0</v>
      </c>
      <c r="C1050" s="1">
        <v>0.0</v>
      </c>
      <c r="D1050" s="1">
        <v>0.0</v>
      </c>
      <c r="E1050" s="1">
        <v>0.0</v>
      </c>
      <c r="F1050" s="1">
        <v>0.0</v>
      </c>
      <c r="G1050" s="2">
        <v>0.0</v>
      </c>
      <c r="H1050" s="1" t="s">
        <v>187</v>
      </c>
      <c r="I1050" s="1">
        <v>0.0</v>
      </c>
      <c r="J1050" s="1">
        <v>0.0</v>
      </c>
    </row>
    <row r="1051">
      <c r="A1051" s="1">
        <v>5.0</v>
      </c>
      <c r="B1051" s="1">
        <v>20.0</v>
      </c>
      <c r="C1051" s="1">
        <v>6.0</v>
      </c>
      <c r="D1051" s="1">
        <v>0.0</v>
      </c>
      <c r="E1051" s="1">
        <v>0.4</v>
      </c>
      <c r="F1051" s="1">
        <v>0.0</v>
      </c>
      <c r="G1051" s="6">
        <v>0.333</v>
      </c>
      <c r="H1051" s="1" t="s">
        <v>180</v>
      </c>
      <c r="I1051" s="1">
        <v>0.0</v>
      </c>
      <c r="J1051" s="1">
        <v>2.0</v>
      </c>
    </row>
    <row r="1052">
      <c r="A1052" s="1">
        <v>4.0</v>
      </c>
      <c r="B1052" s="1">
        <v>16.0</v>
      </c>
      <c r="C1052" s="1">
        <v>0.0</v>
      </c>
      <c r="D1052" s="1">
        <v>0.0</v>
      </c>
      <c r="E1052" s="1">
        <v>0.0</v>
      </c>
      <c r="F1052" s="1">
        <v>0.0</v>
      </c>
      <c r="G1052" s="2">
        <v>0.0</v>
      </c>
      <c r="H1052" s="1" t="s">
        <v>189</v>
      </c>
      <c r="I1052" s="1">
        <v>0.0</v>
      </c>
      <c r="J1052" s="1">
        <v>0.0</v>
      </c>
    </row>
    <row r="1053">
      <c r="A1053" s="1">
        <v>5.0</v>
      </c>
      <c r="B1053" s="1">
        <v>20.0</v>
      </c>
      <c r="C1053" s="1">
        <v>3.0</v>
      </c>
      <c r="D1053" s="1">
        <v>-0.8</v>
      </c>
      <c r="E1053" s="1">
        <v>0.2</v>
      </c>
      <c r="F1053" s="1">
        <v>0.0</v>
      </c>
      <c r="G1053" s="2">
        <v>0.0</v>
      </c>
      <c r="H1053" s="1" t="s">
        <v>190</v>
      </c>
      <c r="I1053" s="1">
        <v>-4.0</v>
      </c>
      <c r="J1053" s="1">
        <v>1.0</v>
      </c>
    </row>
    <row r="1054">
      <c r="A1054" s="1">
        <v>1.0</v>
      </c>
      <c r="B1054" s="1">
        <v>4.0</v>
      </c>
      <c r="C1054" s="1">
        <v>0.0</v>
      </c>
      <c r="D1054" s="1">
        <v>0.0</v>
      </c>
      <c r="E1054" s="1">
        <v>0.0</v>
      </c>
      <c r="F1054" s="1">
        <v>0.0</v>
      </c>
      <c r="G1054" s="2">
        <v>0.0</v>
      </c>
      <c r="H1054" s="1" t="s">
        <v>191</v>
      </c>
      <c r="I1054" s="1">
        <v>0.0</v>
      </c>
      <c r="J1054" s="1">
        <v>0.0</v>
      </c>
    </row>
    <row r="1055">
      <c r="A1055" s="1">
        <v>3.0</v>
      </c>
      <c r="B1055" s="1">
        <v>12.0</v>
      </c>
      <c r="C1055" s="1">
        <v>0.0</v>
      </c>
      <c r="D1055" s="1">
        <v>0.0</v>
      </c>
      <c r="E1055" s="1">
        <v>0.0</v>
      </c>
      <c r="F1055" s="1">
        <v>0.0</v>
      </c>
      <c r="G1055" s="2">
        <v>0.0</v>
      </c>
      <c r="H1055" s="1" t="s">
        <v>191</v>
      </c>
      <c r="I1055" s="1">
        <v>0.0</v>
      </c>
      <c r="J1055" s="1">
        <v>0.0</v>
      </c>
    </row>
    <row r="1056">
      <c r="A1056" s="1">
        <v>2.0</v>
      </c>
      <c r="B1056" s="1">
        <v>8.0</v>
      </c>
      <c r="C1056" s="1">
        <v>1.0</v>
      </c>
      <c r="D1056" s="1">
        <v>2.0</v>
      </c>
      <c r="E1056" s="1">
        <v>0.0</v>
      </c>
      <c r="F1056" s="1">
        <v>0.0</v>
      </c>
      <c r="G1056" s="2">
        <v>1.0</v>
      </c>
      <c r="H1056" s="1" t="s">
        <v>192</v>
      </c>
      <c r="I1056" s="1">
        <v>4.0</v>
      </c>
      <c r="J1056" s="1">
        <v>0.0</v>
      </c>
    </row>
    <row r="1057">
      <c r="A1057" s="1">
        <v>1.0</v>
      </c>
      <c r="B1057" s="1">
        <v>4.0</v>
      </c>
      <c r="C1057" s="1">
        <v>1.0</v>
      </c>
      <c r="D1057" s="1">
        <v>4.0</v>
      </c>
      <c r="E1057" s="1">
        <v>0.0</v>
      </c>
      <c r="F1057" s="1">
        <v>0.0</v>
      </c>
      <c r="G1057" s="2">
        <v>1.0</v>
      </c>
      <c r="H1057" s="1" t="s">
        <v>192</v>
      </c>
      <c r="I1057" s="1">
        <v>4.0</v>
      </c>
      <c r="J1057" s="1">
        <v>0.0</v>
      </c>
    </row>
    <row r="1058">
      <c r="A1058" s="1">
        <v>1.0</v>
      </c>
      <c r="B1058" s="1">
        <v>4.0</v>
      </c>
      <c r="C1058" s="1">
        <v>0.0</v>
      </c>
      <c r="D1058" s="1">
        <v>0.0</v>
      </c>
      <c r="E1058" s="1">
        <v>0.0</v>
      </c>
      <c r="F1058" s="1">
        <v>0.0</v>
      </c>
      <c r="G1058" s="2">
        <v>0.0</v>
      </c>
      <c r="H1058" s="1" t="s">
        <v>194</v>
      </c>
      <c r="I1058" s="1">
        <v>0.0</v>
      </c>
      <c r="J1058" s="1">
        <v>0.0</v>
      </c>
    </row>
    <row r="1059">
      <c r="A1059" s="1">
        <v>1.0</v>
      </c>
      <c r="B1059" s="1">
        <v>4.0</v>
      </c>
      <c r="C1059" s="1">
        <v>0.0</v>
      </c>
      <c r="D1059" s="1">
        <v>0.0</v>
      </c>
      <c r="E1059" s="1">
        <v>0.0</v>
      </c>
      <c r="F1059" s="1">
        <v>0.0</v>
      </c>
      <c r="G1059" s="2">
        <v>0.0</v>
      </c>
      <c r="H1059" s="1" t="s">
        <v>194</v>
      </c>
      <c r="I1059" s="1">
        <v>0.0</v>
      </c>
      <c r="J1059" s="1">
        <v>0.0</v>
      </c>
    </row>
    <row r="1060">
      <c r="A1060" s="1">
        <v>1.0</v>
      </c>
      <c r="B1060" s="1">
        <v>4.0</v>
      </c>
      <c r="C1060" s="1">
        <v>0.0</v>
      </c>
      <c r="D1060" s="1">
        <v>0.0</v>
      </c>
      <c r="E1060" s="1">
        <v>0.0</v>
      </c>
      <c r="F1060" s="1">
        <v>0.0</v>
      </c>
      <c r="G1060" s="2">
        <v>0.0</v>
      </c>
      <c r="H1060" s="1" t="s">
        <v>195</v>
      </c>
      <c r="I1060" s="1">
        <v>0.0</v>
      </c>
      <c r="J1060" s="1">
        <v>0.0</v>
      </c>
    </row>
    <row r="1061">
      <c r="A1061" s="1">
        <v>4.0</v>
      </c>
      <c r="B1061" s="1">
        <v>15.0</v>
      </c>
      <c r="C1061" s="1">
        <v>0.0</v>
      </c>
      <c r="D1061" s="1">
        <v>0.0</v>
      </c>
      <c r="E1061" s="1">
        <v>0.0</v>
      </c>
      <c r="F1061" s="1">
        <v>0.0</v>
      </c>
      <c r="G1061" s="2">
        <v>0.0</v>
      </c>
      <c r="H1061" s="1" t="s">
        <v>195</v>
      </c>
      <c r="I1061" s="1">
        <v>0.0</v>
      </c>
      <c r="J1061" s="1">
        <v>0.0</v>
      </c>
    </row>
    <row r="1062">
      <c r="A1062" s="1">
        <v>4.0</v>
      </c>
      <c r="B1062" s="1">
        <v>15.0</v>
      </c>
      <c r="C1062" s="1">
        <v>8.0</v>
      </c>
      <c r="D1062" s="1">
        <v>2.0</v>
      </c>
      <c r="E1062" s="1">
        <v>0.5</v>
      </c>
      <c r="F1062" s="1">
        <v>0.0</v>
      </c>
      <c r="G1062" s="2">
        <v>0.5</v>
      </c>
      <c r="H1062" s="1" t="s">
        <v>112</v>
      </c>
      <c r="I1062" s="1">
        <v>8.0</v>
      </c>
      <c r="J1062" s="1">
        <v>2.0</v>
      </c>
    </row>
    <row r="1063">
      <c r="A1063" s="1">
        <v>1.0</v>
      </c>
      <c r="B1063" s="1">
        <v>4.0</v>
      </c>
      <c r="C1063" s="1">
        <v>4.0</v>
      </c>
      <c r="D1063" s="1">
        <v>12.0</v>
      </c>
      <c r="E1063" s="1">
        <v>0.0</v>
      </c>
      <c r="F1063" s="1">
        <v>0.0</v>
      </c>
      <c r="G1063" s="2">
        <v>0.75</v>
      </c>
      <c r="H1063" s="1" t="s">
        <v>112</v>
      </c>
      <c r="I1063" s="1">
        <v>12.0</v>
      </c>
      <c r="J1063" s="1">
        <v>0.0</v>
      </c>
    </row>
    <row r="1064">
      <c r="A1064" s="1">
        <v>1.0</v>
      </c>
      <c r="B1064" s="1">
        <v>4.0</v>
      </c>
      <c r="C1064" s="1">
        <v>0.0</v>
      </c>
      <c r="D1064" s="1">
        <v>0.0</v>
      </c>
      <c r="E1064" s="1">
        <v>0.0</v>
      </c>
      <c r="F1064" s="1">
        <v>0.0</v>
      </c>
      <c r="G1064" s="2">
        <v>0.0</v>
      </c>
      <c r="H1064" s="1" t="s">
        <v>196</v>
      </c>
      <c r="I1064" s="1">
        <v>0.0</v>
      </c>
      <c r="J1064" s="1">
        <v>0.0</v>
      </c>
    </row>
    <row r="1065">
      <c r="A1065" s="1">
        <v>5.0</v>
      </c>
      <c r="B1065" s="1">
        <v>20.0</v>
      </c>
      <c r="C1065" s="1">
        <v>3.0</v>
      </c>
      <c r="D1065" s="1">
        <v>0.0</v>
      </c>
      <c r="E1065" s="1">
        <v>0.2</v>
      </c>
      <c r="F1065" s="1">
        <v>0.0</v>
      </c>
      <c r="G1065" s="6">
        <v>0.333</v>
      </c>
      <c r="H1065" s="1" t="s">
        <v>197</v>
      </c>
      <c r="I1065" s="1">
        <v>0.0</v>
      </c>
      <c r="J1065" s="1">
        <v>1.0</v>
      </c>
    </row>
    <row r="1066">
      <c r="A1066" s="1">
        <v>2.0</v>
      </c>
      <c r="B1066" s="1">
        <v>8.0</v>
      </c>
      <c r="C1066" s="1">
        <v>0.0</v>
      </c>
      <c r="D1066" s="1">
        <v>0.0</v>
      </c>
      <c r="E1066" s="1">
        <v>0.0</v>
      </c>
      <c r="F1066" s="1">
        <v>0.0</v>
      </c>
      <c r="G1066" s="2">
        <v>0.0</v>
      </c>
      <c r="H1066" s="1" t="s">
        <v>198</v>
      </c>
      <c r="I1066" s="1">
        <v>0.0</v>
      </c>
      <c r="J1066" s="1">
        <v>0.0</v>
      </c>
    </row>
    <row r="1067">
      <c r="A1067" s="1">
        <v>5.0</v>
      </c>
      <c r="B1067" s="1">
        <v>20.0</v>
      </c>
      <c r="C1067" s="1">
        <v>9.0</v>
      </c>
      <c r="D1067" s="1">
        <v>2.4</v>
      </c>
      <c r="E1067" s="1">
        <v>0.2</v>
      </c>
      <c r="F1067" s="1">
        <v>0.0</v>
      </c>
      <c r="G1067" s="6">
        <v>0.444</v>
      </c>
      <c r="H1067" s="1" t="s">
        <v>199</v>
      </c>
      <c r="I1067" s="1">
        <v>12.0</v>
      </c>
      <c r="J1067" s="1">
        <v>1.0</v>
      </c>
    </row>
    <row r="1068">
      <c r="A1068" s="1">
        <v>3.0</v>
      </c>
      <c r="B1068" s="1">
        <v>11.0</v>
      </c>
      <c r="C1068" s="1">
        <v>0.0</v>
      </c>
      <c r="D1068" s="1">
        <v>0.0</v>
      </c>
      <c r="E1068" s="1">
        <v>0.0</v>
      </c>
      <c r="F1068" s="1">
        <v>0.0</v>
      </c>
      <c r="G1068" s="2">
        <v>0.0</v>
      </c>
      <c r="H1068" s="1" t="s">
        <v>200</v>
      </c>
      <c r="I1068" s="1">
        <v>0.0</v>
      </c>
      <c r="J1068" s="1">
        <v>0.0</v>
      </c>
    </row>
    <row r="1069">
      <c r="A1069" s="1">
        <v>3.0</v>
      </c>
      <c r="B1069" s="1">
        <v>11.0</v>
      </c>
      <c r="C1069" s="1">
        <v>0.0</v>
      </c>
      <c r="D1069" s="1">
        <v>0.0</v>
      </c>
      <c r="E1069" s="1">
        <v>0.0</v>
      </c>
      <c r="F1069" s="1">
        <v>0.0</v>
      </c>
      <c r="G1069" s="2">
        <v>0.0</v>
      </c>
      <c r="H1069" s="1" t="s">
        <v>201</v>
      </c>
      <c r="I1069" s="1">
        <v>0.0</v>
      </c>
      <c r="J1069" s="1">
        <v>0.0</v>
      </c>
    </row>
    <row r="1070">
      <c r="A1070" s="1">
        <v>5.0</v>
      </c>
      <c r="B1070" s="1">
        <v>19.0</v>
      </c>
      <c r="C1070" s="1">
        <v>10.0</v>
      </c>
      <c r="D1070" s="1">
        <v>7.2</v>
      </c>
      <c r="E1070" s="1">
        <v>0.0</v>
      </c>
      <c r="F1070" s="1">
        <v>0.0</v>
      </c>
      <c r="G1070" s="2">
        <v>0.9</v>
      </c>
      <c r="H1070" s="1" t="s">
        <v>70</v>
      </c>
      <c r="I1070" s="1">
        <v>36.0</v>
      </c>
      <c r="J1070" s="1">
        <v>0.0</v>
      </c>
    </row>
    <row r="1071">
      <c r="A1071" s="1">
        <v>1.0</v>
      </c>
      <c r="B1071" s="1">
        <v>4.0</v>
      </c>
      <c r="C1071" s="1">
        <v>0.0</v>
      </c>
      <c r="D1071" s="1">
        <v>0.0</v>
      </c>
      <c r="E1071" s="1">
        <v>0.0</v>
      </c>
      <c r="F1071" s="1">
        <v>0.0</v>
      </c>
      <c r="G1071" s="2">
        <v>0.0</v>
      </c>
      <c r="H1071" s="1" t="s">
        <v>203</v>
      </c>
      <c r="I1071" s="1">
        <v>0.0</v>
      </c>
      <c r="J1071" s="1">
        <v>0.0</v>
      </c>
    </row>
    <row r="1072">
      <c r="A1072" s="1">
        <v>2.0</v>
      </c>
      <c r="B1072" s="1">
        <v>8.0</v>
      </c>
      <c r="C1072" s="1">
        <v>0.0</v>
      </c>
      <c r="D1072" s="1">
        <v>0.0</v>
      </c>
      <c r="E1072" s="1">
        <v>0.0</v>
      </c>
      <c r="F1072" s="1">
        <v>0.0</v>
      </c>
      <c r="G1072" s="2">
        <v>0.0</v>
      </c>
      <c r="H1072" s="1" t="s">
        <v>205</v>
      </c>
      <c r="I1072" s="1">
        <v>0.0</v>
      </c>
      <c r="J1072" s="1">
        <v>0.0</v>
      </c>
    </row>
    <row r="1073">
      <c r="A1073" s="1">
        <v>1.0</v>
      </c>
      <c r="B1073" s="1">
        <v>4.0</v>
      </c>
      <c r="C1073" s="1">
        <v>0.0</v>
      </c>
      <c r="D1073" s="1">
        <v>0.0</v>
      </c>
      <c r="E1073" s="1">
        <v>0.0</v>
      </c>
      <c r="F1073" s="1">
        <v>0.0</v>
      </c>
      <c r="G1073" s="2">
        <v>0.0</v>
      </c>
      <c r="H1073" s="1" t="s">
        <v>206</v>
      </c>
      <c r="I1073" s="1">
        <v>0.0</v>
      </c>
      <c r="J1073" s="1">
        <v>0.0</v>
      </c>
    </row>
    <row r="1074">
      <c r="A1074" s="1">
        <v>5.0</v>
      </c>
      <c r="B1074" s="1">
        <v>20.0</v>
      </c>
      <c r="C1074" s="1">
        <v>10.0</v>
      </c>
      <c r="D1074" s="1">
        <v>3.2</v>
      </c>
      <c r="E1074" s="1">
        <v>0.2</v>
      </c>
      <c r="F1074" s="1">
        <v>0.0</v>
      </c>
      <c r="G1074" s="2">
        <v>0.5</v>
      </c>
      <c r="H1074" s="1" t="s">
        <v>62</v>
      </c>
      <c r="I1074" s="1">
        <v>16.0</v>
      </c>
      <c r="J1074" s="1">
        <v>1.0</v>
      </c>
    </row>
    <row r="1075">
      <c r="A1075" s="1">
        <v>1.0</v>
      </c>
      <c r="B1075" s="1">
        <v>4.0</v>
      </c>
      <c r="C1075" s="1">
        <v>0.0</v>
      </c>
      <c r="D1075" s="1">
        <v>0.0</v>
      </c>
      <c r="E1075" s="1">
        <v>0.0</v>
      </c>
      <c r="F1075" s="1">
        <v>0.0</v>
      </c>
      <c r="G1075" s="2">
        <v>0.0</v>
      </c>
      <c r="H1075" s="1" t="s">
        <v>208</v>
      </c>
      <c r="I1075" s="1">
        <v>0.0</v>
      </c>
      <c r="J1075" s="1">
        <v>0.0</v>
      </c>
    </row>
    <row r="1076">
      <c r="A1076" s="1">
        <v>5.0</v>
      </c>
      <c r="B1076" s="1">
        <v>16.0</v>
      </c>
      <c r="C1076" s="1">
        <v>2.0</v>
      </c>
      <c r="D1076" s="1">
        <v>0.0</v>
      </c>
      <c r="E1076" s="1">
        <v>0.0</v>
      </c>
      <c r="F1076" s="1">
        <v>0.0</v>
      </c>
      <c r="G1076" s="2">
        <v>0.0</v>
      </c>
      <c r="H1076" s="1" t="s">
        <v>209</v>
      </c>
      <c r="I1076" s="1">
        <v>0.0</v>
      </c>
      <c r="J1076" s="1">
        <v>0.0</v>
      </c>
    </row>
    <row r="1077">
      <c r="A1077" s="1">
        <v>5.0</v>
      </c>
      <c r="B1077" s="1">
        <v>16.0</v>
      </c>
      <c r="C1077" s="1">
        <v>4.0</v>
      </c>
      <c r="D1077" s="1">
        <v>0.8</v>
      </c>
      <c r="E1077" s="1">
        <v>0.0</v>
      </c>
      <c r="F1077" s="1">
        <v>0.0</v>
      </c>
      <c r="G1077" s="2">
        <v>0.25</v>
      </c>
      <c r="H1077" s="1" t="s">
        <v>210</v>
      </c>
      <c r="I1077" s="1">
        <v>4.0</v>
      </c>
      <c r="J1077" s="1">
        <v>0.0</v>
      </c>
    </row>
    <row r="1078">
      <c r="A1078" s="1">
        <v>5.0</v>
      </c>
      <c r="B1078" s="1">
        <v>16.0</v>
      </c>
      <c r="C1078" s="1">
        <v>0.0</v>
      </c>
      <c r="D1078" s="1">
        <v>0.0</v>
      </c>
      <c r="E1078" s="1">
        <v>0.0</v>
      </c>
      <c r="F1078" s="1">
        <v>0.0</v>
      </c>
      <c r="G1078" s="2">
        <v>0.0</v>
      </c>
      <c r="H1078" s="1" t="s">
        <v>211</v>
      </c>
      <c r="I1078" s="1">
        <v>0.0</v>
      </c>
      <c r="J1078" s="1">
        <v>0.0</v>
      </c>
    </row>
    <row r="1079">
      <c r="A1079" s="1">
        <v>5.0</v>
      </c>
      <c r="B1079" s="1">
        <v>16.0</v>
      </c>
      <c r="C1079" s="1">
        <v>2.0</v>
      </c>
      <c r="D1079" s="1">
        <v>-0.8</v>
      </c>
      <c r="E1079" s="1">
        <v>0.2</v>
      </c>
      <c r="F1079" s="1">
        <v>0.0</v>
      </c>
      <c r="G1079" s="2">
        <v>0.0</v>
      </c>
      <c r="H1079" s="1" t="s">
        <v>213</v>
      </c>
      <c r="I1079" s="1">
        <v>-4.0</v>
      </c>
      <c r="J1079" s="1">
        <v>1.0</v>
      </c>
    </row>
    <row r="1080">
      <c r="A1080" s="1">
        <v>1.0</v>
      </c>
      <c r="B1080" s="1">
        <v>4.0</v>
      </c>
      <c r="C1080" s="1">
        <v>1.0</v>
      </c>
      <c r="D1080" s="1">
        <v>4.0</v>
      </c>
      <c r="E1080" s="1">
        <v>0.0</v>
      </c>
      <c r="F1080" s="1">
        <v>0.0</v>
      </c>
      <c r="G1080" s="2">
        <v>1.0</v>
      </c>
      <c r="H1080" s="1" t="s">
        <v>214</v>
      </c>
      <c r="I1080" s="1">
        <v>4.0</v>
      </c>
      <c r="J1080" s="1">
        <v>0.0</v>
      </c>
    </row>
    <row r="1081">
      <c r="A1081" s="1">
        <v>2.0</v>
      </c>
      <c r="B1081" s="1">
        <v>8.0</v>
      </c>
      <c r="C1081" s="1">
        <v>0.0</v>
      </c>
      <c r="D1081" s="1">
        <v>0.0</v>
      </c>
      <c r="E1081" s="1">
        <v>0.0</v>
      </c>
      <c r="F1081" s="1">
        <v>0.0</v>
      </c>
      <c r="G1081" s="2">
        <v>0.0</v>
      </c>
      <c r="H1081" s="1" t="s">
        <v>214</v>
      </c>
      <c r="I1081" s="1">
        <v>0.0</v>
      </c>
      <c r="J1081" s="1">
        <v>0.0</v>
      </c>
    </row>
    <row r="1082">
      <c r="A1082" s="1">
        <v>1.0</v>
      </c>
      <c r="B1082" s="1">
        <v>4.0</v>
      </c>
      <c r="C1082" s="1">
        <v>0.0</v>
      </c>
      <c r="D1082" s="1">
        <v>0.0</v>
      </c>
      <c r="E1082" s="1">
        <v>0.0</v>
      </c>
      <c r="F1082" s="1">
        <v>0.0</v>
      </c>
      <c r="G1082" s="2">
        <v>0.0</v>
      </c>
      <c r="H1082" s="1" t="s">
        <v>214</v>
      </c>
      <c r="I1082" s="1">
        <v>0.0</v>
      </c>
      <c r="J1082" s="1">
        <v>0.0</v>
      </c>
    </row>
    <row r="1083">
      <c r="A1083" s="1">
        <v>1.0</v>
      </c>
      <c r="B1083" s="1">
        <v>4.0</v>
      </c>
      <c r="C1083" s="1">
        <v>0.0</v>
      </c>
      <c r="D1083" s="1">
        <v>0.0</v>
      </c>
      <c r="E1083" s="1">
        <v>0.0</v>
      </c>
      <c r="F1083" s="1">
        <v>0.0</v>
      </c>
      <c r="G1083" s="2">
        <v>0.0</v>
      </c>
      <c r="H1083" s="1" t="s">
        <v>214</v>
      </c>
      <c r="I1083" s="1">
        <v>0.0</v>
      </c>
      <c r="J1083" s="1">
        <v>0.0</v>
      </c>
    </row>
    <row r="1084">
      <c r="A1084" s="1">
        <v>2.0</v>
      </c>
      <c r="B1084" s="1">
        <v>8.0</v>
      </c>
      <c r="C1084" s="1">
        <v>0.0</v>
      </c>
      <c r="D1084" s="1">
        <v>0.0</v>
      </c>
      <c r="E1084" s="1">
        <v>0.0</v>
      </c>
      <c r="F1084" s="1">
        <v>0.0</v>
      </c>
      <c r="G1084" s="2">
        <v>0.0</v>
      </c>
      <c r="H1084" s="1" t="s">
        <v>217</v>
      </c>
      <c r="I1084" s="1">
        <v>0.0</v>
      </c>
      <c r="J1084" s="1">
        <v>0.0</v>
      </c>
    </row>
    <row r="1085">
      <c r="A1085" s="1">
        <v>1.0</v>
      </c>
      <c r="B1085" s="1">
        <v>4.0</v>
      </c>
      <c r="C1085" s="1">
        <v>1.0</v>
      </c>
      <c r="D1085" s="1">
        <v>-4.0</v>
      </c>
      <c r="E1085" s="1">
        <v>1.0</v>
      </c>
      <c r="F1085" s="1">
        <v>0.0</v>
      </c>
      <c r="G1085" s="2">
        <v>0.0</v>
      </c>
      <c r="H1085" s="1" t="s">
        <v>217</v>
      </c>
      <c r="I1085" s="1">
        <v>-4.0</v>
      </c>
      <c r="J1085" s="1">
        <v>1.0</v>
      </c>
    </row>
    <row r="1086">
      <c r="A1086" s="1">
        <v>3.0</v>
      </c>
      <c r="B1086" s="1">
        <v>12.0</v>
      </c>
      <c r="C1086" s="1">
        <v>6.0</v>
      </c>
      <c r="D1086" s="1">
        <v>5.33</v>
      </c>
      <c r="E1086" s="1">
        <v>0.33</v>
      </c>
      <c r="F1086" s="1">
        <v>0.0</v>
      </c>
      <c r="G1086" s="6">
        <v>0.833</v>
      </c>
      <c r="H1086" s="1" t="s">
        <v>105</v>
      </c>
      <c r="I1086" s="1">
        <v>16.0</v>
      </c>
      <c r="J1086" s="1">
        <v>1.0</v>
      </c>
    </row>
    <row r="1087">
      <c r="A1087" s="1">
        <v>1.0</v>
      </c>
      <c r="B1087" s="1">
        <v>4.0</v>
      </c>
      <c r="C1087" s="1">
        <v>0.0</v>
      </c>
      <c r="D1087" s="1">
        <v>0.0</v>
      </c>
      <c r="E1087" s="1">
        <v>0.0</v>
      </c>
      <c r="F1087" s="1">
        <v>0.0</v>
      </c>
      <c r="G1087" s="2">
        <v>0.0</v>
      </c>
      <c r="H1087" s="1" t="s">
        <v>105</v>
      </c>
      <c r="I1087" s="1">
        <v>0.0</v>
      </c>
      <c r="J1087" s="1">
        <v>0.0</v>
      </c>
    </row>
    <row r="1088">
      <c r="A1088" s="1">
        <v>1.0</v>
      </c>
      <c r="B1088" s="1">
        <v>4.0</v>
      </c>
      <c r="C1088" s="1">
        <v>1.0</v>
      </c>
      <c r="D1088" s="1">
        <v>4.0</v>
      </c>
      <c r="E1088" s="1">
        <v>0.0</v>
      </c>
      <c r="F1088" s="1">
        <v>0.0</v>
      </c>
      <c r="G1088" s="2">
        <v>1.0</v>
      </c>
      <c r="H1088" s="1" t="s">
        <v>105</v>
      </c>
      <c r="I1088" s="1">
        <v>4.0</v>
      </c>
      <c r="J1088" s="1">
        <v>0.0</v>
      </c>
    </row>
    <row r="1089">
      <c r="A1089" s="1">
        <v>1.0</v>
      </c>
      <c r="B1089" s="1">
        <v>4.0</v>
      </c>
      <c r="C1089" s="1">
        <v>0.0</v>
      </c>
      <c r="D1089" s="1">
        <v>0.0</v>
      </c>
      <c r="E1089" s="1">
        <v>0.0</v>
      </c>
      <c r="F1089" s="1">
        <v>0.0</v>
      </c>
      <c r="G1089" s="2">
        <v>0.0</v>
      </c>
      <c r="H1089" s="1" t="s">
        <v>219</v>
      </c>
      <c r="I1089" s="1">
        <v>0.0</v>
      </c>
      <c r="J1089" s="1">
        <v>0.0</v>
      </c>
    </row>
    <row r="1090">
      <c r="A1090" s="1">
        <v>1.0</v>
      </c>
      <c r="B1090" s="1">
        <v>4.0</v>
      </c>
      <c r="C1090" s="1">
        <v>1.0</v>
      </c>
      <c r="D1090" s="1">
        <v>4.0</v>
      </c>
      <c r="E1090" s="1">
        <v>0.0</v>
      </c>
      <c r="F1090" s="1">
        <v>0.0</v>
      </c>
      <c r="G1090" s="2">
        <v>1.0</v>
      </c>
      <c r="H1090" s="1" t="s">
        <v>220</v>
      </c>
      <c r="I1090" s="1">
        <v>4.0</v>
      </c>
      <c r="J1090" s="1">
        <v>0.0</v>
      </c>
    </row>
    <row r="1091">
      <c r="A1091" s="1">
        <v>2.0</v>
      </c>
      <c r="B1091" s="1">
        <v>8.0</v>
      </c>
      <c r="C1091" s="1">
        <v>4.0</v>
      </c>
      <c r="D1091" s="1">
        <v>4.0</v>
      </c>
      <c r="E1091" s="1">
        <v>0.5</v>
      </c>
      <c r="F1091" s="1">
        <v>0.0</v>
      </c>
      <c r="G1091" s="2">
        <v>0.75</v>
      </c>
      <c r="H1091" s="1" t="s">
        <v>220</v>
      </c>
      <c r="I1091" s="1">
        <v>8.0</v>
      </c>
      <c r="J1091" s="1">
        <v>1.0</v>
      </c>
    </row>
    <row r="1092">
      <c r="A1092" s="1">
        <v>1.0</v>
      </c>
      <c r="B1092" s="1">
        <v>4.0</v>
      </c>
      <c r="C1092" s="1">
        <v>2.0</v>
      </c>
      <c r="D1092" s="1">
        <v>8.0</v>
      </c>
      <c r="E1092" s="1">
        <v>0.0</v>
      </c>
      <c r="F1092" s="1">
        <v>0.0</v>
      </c>
      <c r="G1092" s="2">
        <v>1.0</v>
      </c>
      <c r="H1092" s="1" t="s">
        <v>220</v>
      </c>
      <c r="I1092" s="1">
        <v>8.0</v>
      </c>
      <c r="J1092" s="1">
        <v>0.0</v>
      </c>
    </row>
    <row r="1093">
      <c r="A1093" s="1">
        <v>1.0</v>
      </c>
      <c r="B1093" s="1">
        <v>4.0</v>
      </c>
      <c r="C1093" s="1">
        <v>3.0</v>
      </c>
      <c r="D1093" s="1">
        <v>-4.0</v>
      </c>
      <c r="E1093" s="1">
        <v>1.0</v>
      </c>
      <c r="F1093" s="1">
        <v>0.0</v>
      </c>
      <c r="G1093" s="2">
        <v>0.0</v>
      </c>
      <c r="H1093" s="1" t="s">
        <v>220</v>
      </c>
      <c r="I1093" s="1">
        <v>-4.0</v>
      </c>
      <c r="J1093" s="1">
        <v>1.0</v>
      </c>
    </row>
    <row r="1094">
      <c r="A1094" s="1">
        <v>4.0</v>
      </c>
      <c r="B1094" s="1">
        <v>15.0</v>
      </c>
      <c r="C1094" s="1">
        <v>2.0</v>
      </c>
      <c r="D1094" s="1">
        <v>0.0</v>
      </c>
      <c r="E1094" s="1">
        <v>0.25</v>
      </c>
      <c r="F1094" s="1">
        <v>0.0</v>
      </c>
      <c r="G1094" s="2">
        <v>0.5</v>
      </c>
      <c r="H1094" s="1" t="s">
        <v>222</v>
      </c>
      <c r="I1094" s="1">
        <v>0.0</v>
      </c>
      <c r="J1094" s="1">
        <v>1.0</v>
      </c>
    </row>
    <row r="1095">
      <c r="A1095" s="1">
        <v>1.0</v>
      </c>
      <c r="B1095" s="1">
        <v>4.0</v>
      </c>
      <c r="C1095" s="1">
        <v>2.0</v>
      </c>
      <c r="D1095" s="1">
        <v>4.0</v>
      </c>
      <c r="E1095" s="1">
        <v>0.0</v>
      </c>
      <c r="F1095" s="1">
        <v>0.0</v>
      </c>
      <c r="G1095" s="2">
        <v>0.5</v>
      </c>
      <c r="H1095" s="1" t="s">
        <v>222</v>
      </c>
      <c r="I1095" s="1">
        <v>4.0</v>
      </c>
      <c r="J1095" s="1">
        <v>0.0</v>
      </c>
    </row>
    <row r="1096">
      <c r="A1096" s="1">
        <v>2.0</v>
      </c>
      <c r="B1096" s="1">
        <v>8.0</v>
      </c>
      <c r="C1096" s="1">
        <v>2.0</v>
      </c>
      <c r="D1096" s="1">
        <v>4.0</v>
      </c>
      <c r="E1096" s="1">
        <v>0.0</v>
      </c>
      <c r="F1096" s="1">
        <v>0.0</v>
      </c>
      <c r="G1096" s="2">
        <v>1.0</v>
      </c>
      <c r="H1096" s="1" t="s">
        <v>224</v>
      </c>
      <c r="I1096" s="1">
        <v>8.0</v>
      </c>
      <c r="J1096" s="1">
        <v>0.0</v>
      </c>
    </row>
    <row r="1097">
      <c r="A1097" s="1">
        <v>5.0</v>
      </c>
      <c r="B1097" s="1">
        <v>19.0</v>
      </c>
      <c r="C1097" s="1">
        <v>9.0</v>
      </c>
      <c r="D1097" s="1">
        <v>5.6</v>
      </c>
      <c r="E1097" s="1">
        <v>0.2</v>
      </c>
      <c r="F1097" s="1">
        <v>0.0</v>
      </c>
      <c r="G1097" s="6">
        <v>0.889</v>
      </c>
      <c r="H1097" s="1" t="s">
        <v>47</v>
      </c>
      <c r="I1097" s="1">
        <v>28.0</v>
      </c>
      <c r="J1097" s="1">
        <v>1.0</v>
      </c>
    </row>
    <row r="1098">
      <c r="A1098" s="1">
        <v>1.0</v>
      </c>
      <c r="B1098" s="1">
        <v>3.0</v>
      </c>
      <c r="C1098" s="1">
        <v>1.0</v>
      </c>
      <c r="D1098" s="1">
        <v>4.0</v>
      </c>
      <c r="E1098" s="1">
        <v>0.0</v>
      </c>
      <c r="F1098" s="1">
        <v>0.0</v>
      </c>
      <c r="G1098" s="2">
        <v>1.0</v>
      </c>
      <c r="H1098" s="1" t="s">
        <v>225</v>
      </c>
      <c r="I1098" s="1">
        <v>4.0</v>
      </c>
      <c r="J1098" s="1">
        <v>0.0</v>
      </c>
    </row>
    <row r="1099">
      <c r="A1099" s="1">
        <v>1.0</v>
      </c>
      <c r="B1099" s="1">
        <v>4.0</v>
      </c>
      <c r="C1099" s="1">
        <v>0.0</v>
      </c>
      <c r="D1099" s="1">
        <v>0.0</v>
      </c>
      <c r="E1099" s="1">
        <v>0.0</v>
      </c>
      <c r="F1099" s="1">
        <v>0.0</v>
      </c>
      <c r="G1099" s="2">
        <v>0.0</v>
      </c>
      <c r="H1099" s="1" t="s">
        <v>226</v>
      </c>
      <c r="I1099" s="1">
        <v>0.0</v>
      </c>
      <c r="J1099" s="1">
        <v>0.0</v>
      </c>
    </row>
    <row r="1100">
      <c r="A1100" s="1">
        <v>3.0</v>
      </c>
      <c r="B1100" s="1">
        <v>11.0</v>
      </c>
      <c r="C1100" s="1">
        <v>0.0</v>
      </c>
      <c r="D1100" s="1">
        <v>0.0</v>
      </c>
      <c r="E1100" s="1">
        <v>0.0</v>
      </c>
      <c r="F1100" s="1">
        <v>0.0</v>
      </c>
      <c r="G1100" s="2">
        <v>0.0</v>
      </c>
      <c r="H1100" s="1" t="s">
        <v>226</v>
      </c>
      <c r="I1100" s="1">
        <v>0.0</v>
      </c>
      <c r="J1100" s="1">
        <v>0.0</v>
      </c>
    </row>
    <row r="1101">
      <c r="A1101" s="1">
        <v>1.0</v>
      </c>
      <c r="B1101" s="1">
        <v>4.0</v>
      </c>
      <c r="C1101" s="1">
        <v>2.0</v>
      </c>
      <c r="D1101" s="1">
        <v>4.0</v>
      </c>
      <c r="E1101" s="1">
        <v>0.0</v>
      </c>
      <c r="F1101" s="1">
        <v>0.0</v>
      </c>
      <c r="G1101" s="2">
        <v>0.5</v>
      </c>
      <c r="H1101" s="1" t="s">
        <v>227</v>
      </c>
      <c r="I1101" s="1">
        <v>4.0</v>
      </c>
      <c r="J1101" s="1">
        <v>0.0</v>
      </c>
    </row>
    <row r="1102">
      <c r="A1102" s="1">
        <v>1.0</v>
      </c>
      <c r="B1102" s="1">
        <v>4.0</v>
      </c>
      <c r="C1102" s="1">
        <v>0.0</v>
      </c>
      <c r="D1102" s="1">
        <v>0.0</v>
      </c>
      <c r="E1102" s="1">
        <v>0.0</v>
      </c>
      <c r="F1102" s="1">
        <v>0.0</v>
      </c>
      <c r="G1102" s="2">
        <v>0.0</v>
      </c>
      <c r="H1102" s="1" t="s">
        <v>227</v>
      </c>
      <c r="I1102" s="1">
        <v>0.0</v>
      </c>
      <c r="J1102" s="1">
        <v>0.0</v>
      </c>
    </row>
    <row r="1103">
      <c r="A1103" s="1">
        <v>3.0</v>
      </c>
      <c r="B1103" s="1">
        <v>11.0</v>
      </c>
      <c r="C1103" s="1">
        <v>6.0</v>
      </c>
      <c r="D1103" s="1">
        <v>2.67</v>
      </c>
      <c r="E1103" s="1">
        <v>0.0</v>
      </c>
      <c r="F1103" s="1">
        <v>0.0</v>
      </c>
      <c r="G1103" s="6">
        <v>0.333</v>
      </c>
      <c r="H1103" s="1" t="s">
        <v>227</v>
      </c>
      <c r="I1103" s="1">
        <v>8.0</v>
      </c>
      <c r="J1103" s="1">
        <v>0.0</v>
      </c>
    </row>
    <row r="1104">
      <c r="A1104" s="1">
        <v>1.0</v>
      </c>
      <c r="B1104" s="1">
        <v>4.0</v>
      </c>
      <c r="C1104" s="1">
        <v>0.0</v>
      </c>
      <c r="D1104" s="1">
        <v>0.0</v>
      </c>
      <c r="E1104" s="1">
        <v>0.0</v>
      </c>
      <c r="F1104" s="1">
        <v>0.0</v>
      </c>
      <c r="G1104" s="2">
        <v>0.0</v>
      </c>
      <c r="H1104" s="1" t="s">
        <v>229</v>
      </c>
      <c r="I1104" s="1">
        <v>0.0</v>
      </c>
      <c r="J1104" s="1">
        <v>0.0</v>
      </c>
    </row>
    <row r="1105">
      <c r="A1105" s="1">
        <v>1.0</v>
      </c>
      <c r="B1105" s="1">
        <v>4.0</v>
      </c>
      <c r="C1105" s="1">
        <v>0.0</v>
      </c>
      <c r="D1105" s="1">
        <v>0.0</v>
      </c>
      <c r="E1105" s="1">
        <v>0.0</v>
      </c>
      <c r="F1105" s="1">
        <v>0.0</v>
      </c>
      <c r="G1105" s="2">
        <v>0.0</v>
      </c>
      <c r="H1105" s="1" t="s">
        <v>229</v>
      </c>
      <c r="I1105" s="1">
        <v>0.0</v>
      </c>
      <c r="J1105" s="1">
        <v>0.0</v>
      </c>
    </row>
    <row r="1106">
      <c r="A1106" s="1">
        <v>2.0</v>
      </c>
      <c r="B1106" s="1">
        <v>7.0</v>
      </c>
      <c r="C1106" s="1">
        <v>0.0</v>
      </c>
      <c r="D1106" s="1">
        <v>0.0</v>
      </c>
      <c r="E1106" s="1">
        <v>0.0</v>
      </c>
      <c r="F1106" s="1">
        <v>0.0</v>
      </c>
      <c r="G1106" s="2">
        <v>0.0</v>
      </c>
      <c r="H1106" s="1" t="s">
        <v>229</v>
      </c>
      <c r="I1106" s="1">
        <v>0.0</v>
      </c>
      <c r="J1106" s="1">
        <v>0.0</v>
      </c>
    </row>
    <row r="1107">
      <c r="A1107" s="1">
        <v>1.0</v>
      </c>
      <c r="B1107" s="1">
        <v>4.0</v>
      </c>
      <c r="C1107" s="1">
        <v>0.0</v>
      </c>
      <c r="D1107" s="1">
        <v>0.0</v>
      </c>
      <c r="E1107" s="1">
        <v>0.0</v>
      </c>
      <c r="F1107" s="1">
        <v>0.0</v>
      </c>
      <c r="G1107" s="2">
        <v>0.0</v>
      </c>
      <c r="H1107" s="1" t="s">
        <v>232</v>
      </c>
      <c r="I1107" s="1">
        <v>0.0</v>
      </c>
      <c r="J1107" s="1">
        <v>0.0</v>
      </c>
    </row>
    <row r="1108">
      <c r="A1108" s="1">
        <v>1.0</v>
      </c>
      <c r="B1108" s="1">
        <v>4.0</v>
      </c>
      <c r="C1108" s="1">
        <v>0.0</v>
      </c>
      <c r="D1108" s="1">
        <v>0.0</v>
      </c>
      <c r="E1108" s="1">
        <v>0.0</v>
      </c>
      <c r="F1108" s="1">
        <v>0.0</v>
      </c>
      <c r="G1108" s="2">
        <v>0.0</v>
      </c>
      <c r="H1108" s="1" t="s">
        <v>232</v>
      </c>
      <c r="I1108" s="1">
        <v>0.0</v>
      </c>
      <c r="J1108" s="1">
        <v>0.0</v>
      </c>
    </row>
    <row r="1109">
      <c r="A1109" s="1">
        <v>3.0</v>
      </c>
      <c r="B1109" s="1">
        <v>11.0</v>
      </c>
      <c r="C1109" s="1">
        <v>2.0</v>
      </c>
      <c r="D1109" s="1">
        <v>0.0</v>
      </c>
      <c r="E1109" s="1">
        <v>0.33</v>
      </c>
      <c r="F1109" s="1">
        <v>0.0</v>
      </c>
      <c r="G1109" s="2">
        <v>0.5</v>
      </c>
      <c r="H1109" s="1" t="s">
        <v>232</v>
      </c>
      <c r="I1109" s="1">
        <v>0.0</v>
      </c>
      <c r="J1109" s="1">
        <v>1.0</v>
      </c>
    </row>
    <row r="1110">
      <c r="A1110" s="1">
        <v>1.0</v>
      </c>
      <c r="B1110" s="1">
        <v>4.0</v>
      </c>
      <c r="C1110" s="1">
        <v>1.0</v>
      </c>
      <c r="D1110" s="1">
        <v>4.0</v>
      </c>
      <c r="E1110" s="1">
        <v>0.0</v>
      </c>
      <c r="F1110" s="1">
        <v>0.0</v>
      </c>
      <c r="G1110" s="2">
        <v>1.0</v>
      </c>
      <c r="H1110" s="1" t="s">
        <v>233</v>
      </c>
      <c r="I1110" s="1">
        <v>4.0</v>
      </c>
      <c r="J1110" s="1">
        <v>0.0</v>
      </c>
    </row>
    <row r="1111">
      <c r="A1111" s="1">
        <v>1.0</v>
      </c>
      <c r="B1111" s="1">
        <v>4.0</v>
      </c>
      <c r="C1111" s="1">
        <v>0.0</v>
      </c>
      <c r="D1111" s="1">
        <v>0.0</v>
      </c>
      <c r="E1111" s="1">
        <v>0.0</v>
      </c>
      <c r="F1111" s="1">
        <v>0.0</v>
      </c>
      <c r="G1111" s="2">
        <v>0.0</v>
      </c>
      <c r="H1111" s="1" t="s">
        <v>233</v>
      </c>
      <c r="I1111" s="1">
        <v>0.0</v>
      </c>
      <c r="J1111" s="1">
        <v>0.0</v>
      </c>
    </row>
    <row r="1112">
      <c r="A1112" s="1">
        <v>1.0</v>
      </c>
      <c r="B1112" s="1">
        <v>4.0</v>
      </c>
      <c r="C1112" s="1">
        <v>0.0</v>
      </c>
      <c r="D1112" s="1">
        <v>0.0</v>
      </c>
      <c r="E1112" s="1">
        <v>0.0</v>
      </c>
      <c r="F1112" s="1">
        <v>0.0</v>
      </c>
      <c r="G1112" s="2">
        <v>0.0</v>
      </c>
      <c r="H1112" s="1" t="s">
        <v>233</v>
      </c>
      <c r="I1112" s="1">
        <v>0.0</v>
      </c>
      <c r="J1112" s="1">
        <v>0.0</v>
      </c>
    </row>
    <row r="1113">
      <c r="A1113" s="1">
        <v>1.0</v>
      </c>
      <c r="B1113" s="1">
        <v>4.0</v>
      </c>
      <c r="C1113" s="1">
        <v>0.0</v>
      </c>
      <c r="D1113" s="1">
        <v>0.0</v>
      </c>
      <c r="E1113" s="1">
        <v>0.0</v>
      </c>
      <c r="F1113" s="1">
        <v>0.0</v>
      </c>
      <c r="G1113" s="2">
        <v>0.0</v>
      </c>
      <c r="H1113" s="1" t="s">
        <v>233</v>
      </c>
      <c r="I1113" s="1">
        <v>0.0</v>
      </c>
      <c r="J1113" s="1">
        <v>0.0</v>
      </c>
    </row>
    <row r="1114">
      <c r="A1114" s="1">
        <v>2.0</v>
      </c>
      <c r="B1114" s="1">
        <v>8.0</v>
      </c>
      <c r="C1114" s="1">
        <v>1.0</v>
      </c>
      <c r="D1114" s="1">
        <v>2.0</v>
      </c>
      <c r="E1114" s="1">
        <v>0.0</v>
      </c>
      <c r="F1114" s="1">
        <v>0.0</v>
      </c>
      <c r="G1114" s="2">
        <v>1.0</v>
      </c>
      <c r="H1114" s="1" t="s">
        <v>234</v>
      </c>
      <c r="I1114" s="1">
        <v>4.0</v>
      </c>
      <c r="J1114" s="1">
        <v>0.0</v>
      </c>
    </row>
    <row r="1115">
      <c r="A1115" s="1">
        <v>1.0</v>
      </c>
      <c r="B1115" s="1">
        <v>4.0</v>
      </c>
      <c r="C1115" s="1">
        <v>2.0</v>
      </c>
      <c r="D1115" s="1">
        <v>-4.0</v>
      </c>
      <c r="E1115" s="1">
        <v>1.0</v>
      </c>
      <c r="F1115" s="1">
        <v>0.0</v>
      </c>
      <c r="G1115" s="2">
        <v>0.0</v>
      </c>
      <c r="H1115" s="1" t="s">
        <v>153</v>
      </c>
      <c r="I1115" s="1">
        <v>-4.0</v>
      </c>
      <c r="J1115" s="1">
        <v>1.0</v>
      </c>
    </row>
    <row r="1116">
      <c r="A1116" s="1">
        <v>4.0</v>
      </c>
      <c r="B1116" s="1">
        <v>16.0</v>
      </c>
      <c r="C1116" s="1">
        <v>0.0</v>
      </c>
      <c r="D1116" s="1">
        <v>0.0</v>
      </c>
      <c r="E1116" s="1">
        <v>0.0</v>
      </c>
      <c r="F1116" s="1">
        <v>0.0</v>
      </c>
      <c r="G1116" s="2">
        <v>0.0</v>
      </c>
      <c r="H1116" s="1" t="s">
        <v>235</v>
      </c>
      <c r="I1116" s="1">
        <v>0.0</v>
      </c>
      <c r="J1116" s="1">
        <v>0.0</v>
      </c>
    </row>
    <row r="1117">
      <c r="A1117" s="1">
        <v>4.0</v>
      </c>
      <c r="B1117" s="1">
        <v>16.0</v>
      </c>
      <c r="C1117" s="1">
        <v>4.0</v>
      </c>
      <c r="D1117" s="1">
        <v>2.0</v>
      </c>
      <c r="E1117" s="1">
        <v>0.0</v>
      </c>
      <c r="F1117" s="1">
        <v>0.0</v>
      </c>
      <c r="G1117" s="2">
        <v>0.5</v>
      </c>
      <c r="H1117" s="1" t="s">
        <v>202</v>
      </c>
      <c r="I1117" s="1">
        <v>8.0</v>
      </c>
      <c r="J1117" s="1">
        <v>0.0</v>
      </c>
    </row>
    <row r="1118">
      <c r="A1118" s="1">
        <v>1.0</v>
      </c>
      <c r="B1118" s="1">
        <v>4.0</v>
      </c>
      <c r="C1118" s="1">
        <v>2.0</v>
      </c>
      <c r="D1118" s="1">
        <v>8.0</v>
      </c>
      <c r="E1118" s="1">
        <v>0.0</v>
      </c>
      <c r="F1118" s="1">
        <v>0.0</v>
      </c>
      <c r="G1118" s="2">
        <v>1.0</v>
      </c>
      <c r="H1118" s="1" t="s">
        <v>202</v>
      </c>
      <c r="I1118" s="1">
        <v>8.0</v>
      </c>
      <c r="J1118" s="1">
        <v>0.0</v>
      </c>
    </row>
    <row r="1119">
      <c r="A1119" s="1">
        <v>3.0</v>
      </c>
      <c r="B1119" s="1">
        <v>12.0</v>
      </c>
      <c r="C1119" s="1">
        <v>5.0</v>
      </c>
      <c r="D1119" s="1">
        <v>2.67</v>
      </c>
      <c r="E1119" s="1">
        <v>0.33</v>
      </c>
      <c r="F1119" s="1">
        <v>0.0</v>
      </c>
      <c r="G1119" s="2">
        <v>0.6</v>
      </c>
      <c r="H1119" s="1" t="s">
        <v>135</v>
      </c>
      <c r="I1119" s="1">
        <v>8.0</v>
      </c>
      <c r="J1119" s="1">
        <v>1.0</v>
      </c>
    </row>
    <row r="1120">
      <c r="A1120" s="1">
        <v>1.0</v>
      </c>
      <c r="B1120" s="1">
        <v>4.0</v>
      </c>
      <c r="C1120" s="1">
        <v>1.0</v>
      </c>
      <c r="D1120" s="1">
        <v>4.0</v>
      </c>
      <c r="E1120" s="1">
        <v>0.0</v>
      </c>
      <c r="F1120" s="1">
        <v>0.0</v>
      </c>
      <c r="G1120" s="2">
        <v>1.0</v>
      </c>
      <c r="H1120" s="1" t="s">
        <v>135</v>
      </c>
      <c r="I1120" s="1">
        <v>4.0</v>
      </c>
      <c r="J1120" s="1">
        <v>0.0</v>
      </c>
    </row>
    <row r="1121">
      <c r="A1121" s="1">
        <v>1.0</v>
      </c>
      <c r="B1121" s="1">
        <v>4.0</v>
      </c>
      <c r="C1121" s="1">
        <v>0.0</v>
      </c>
      <c r="D1121" s="1">
        <v>0.0</v>
      </c>
      <c r="E1121" s="1">
        <v>0.0</v>
      </c>
      <c r="F1121" s="1">
        <v>0.0</v>
      </c>
      <c r="G1121" s="2">
        <v>0.0</v>
      </c>
      <c r="H1121" s="1" t="s">
        <v>236</v>
      </c>
      <c r="I1121" s="1">
        <v>0.0</v>
      </c>
      <c r="J1121" s="1">
        <v>0.0</v>
      </c>
    </row>
    <row r="1122">
      <c r="A1122" s="1">
        <v>1.0</v>
      </c>
      <c r="B1122" s="1">
        <v>4.0</v>
      </c>
      <c r="C1122" s="1">
        <v>0.0</v>
      </c>
      <c r="D1122" s="1">
        <v>0.0</v>
      </c>
      <c r="E1122" s="1">
        <v>0.0</v>
      </c>
      <c r="F1122" s="1">
        <v>0.0</v>
      </c>
      <c r="G1122" s="2">
        <v>0.0</v>
      </c>
      <c r="H1122" s="1" t="s">
        <v>236</v>
      </c>
      <c r="I1122" s="1">
        <v>0.0</v>
      </c>
      <c r="J1122" s="1">
        <v>0.0</v>
      </c>
    </row>
    <row r="1123">
      <c r="A1123" s="1">
        <v>1.0</v>
      </c>
      <c r="B1123" s="1">
        <v>4.0</v>
      </c>
      <c r="C1123" s="1">
        <v>0.0</v>
      </c>
      <c r="D1123" s="1">
        <v>0.0</v>
      </c>
      <c r="E1123" s="1">
        <v>0.0</v>
      </c>
      <c r="F1123" s="1">
        <v>0.0</v>
      </c>
      <c r="G1123" s="2">
        <v>0.0</v>
      </c>
      <c r="H1123" s="1" t="s">
        <v>237</v>
      </c>
      <c r="I1123" s="1">
        <v>0.0</v>
      </c>
      <c r="J1123" s="1">
        <v>0.0</v>
      </c>
    </row>
    <row r="1124">
      <c r="A1124" s="1">
        <v>5.0</v>
      </c>
      <c r="B1124" s="1">
        <v>20.0</v>
      </c>
      <c r="C1124" s="1">
        <v>5.0</v>
      </c>
      <c r="D1124" s="1">
        <v>2.4</v>
      </c>
      <c r="E1124" s="1">
        <v>0.0</v>
      </c>
      <c r="F1124" s="1">
        <v>0.0</v>
      </c>
      <c r="G1124" s="2">
        <v>0.6</v>
      </c>
      <c r="H1124" s="1" t="s">
        <v>182</v>
      </c>
      <c r="I1124" s="1">
        <v>12.0</v>
      </c>
      <c r="J1124" s="1">
        <v>0.0</v>
      </c>
    </row>
    <row r="1125">
      <c r="A1125" s="1">
        <v>5.0</v>
      </c>
      <c r="B1125" s="1">
        <v>20.0</v>
      </c>
      <c r="C1125" s="1">
        <v>7.0</v>
      </c>
      <c r="D1125" s="1">
        <v>3.2</v>
      </c>
      <c r="E1125" s="1">
        <v>0.0</v>
      </c>
      <c r="F1125" s="1">
        <v>0.0</v>
      </c>
      <c r="G1125" s="6">
        <v>0.571</v>
      </c>
      <c r="H1125" s="1" t="s">
        <v>204</v>
      </c>
      <c r="I1125" s="1">
        <v>16.0</v>
      </c>
      <c r="J1125" s="1">
        <v>0.0</v>
      </c>
    </row>
    <row r="1126">
      <c r="A1126" s="1">
        <v>3.0</v>
      </c>
      <c r="B1126" s="1">
        <v>12.0</v>
      </c>
      <c r="C1126" s="1">
        <v>2.0</v>
      </c>
      <c r="D1126" s="1">
        <v>1.33</v>
      </c>
      <c r="E1126" s="1">
        <v>0.0</v>
      </c>
      <c r="F1126" s="1">
        <v>0.0</v>
      </c>
      <c r="G1126" s="2">
        <v>0.5</v>
      </c>
      <c r="H1126" s="1" t="s">
        <v>238</v>
      </c>
      <c r="I1126" s="1">
        <v>4.0</v>
      </c>
      <c r="J1126" s="1">
        <v>0.0</v>
      </c>
    </row>
    <row r="1127">
      <c r="A1127" s="1">
        <v>5.0</v>
      </c>
      <c r="B1127" s="1">
        <v>20.0</v>
      </c>
      <c r="C1127" s="1">
        <v>4.0</v>
      </c>
      <c r="D1127" s="1">
        <v>1.6</v>
      </c>
      <c r="E1127" s="1">
        <v>0.0</v>
      </c>
      <c r="F1127" s="1">
        <v>0.0</v>
      </c>
      <c r="G1127" s="2">
        <v>0.5</v>
      </c>
      <c r="H1127" s="1" t="s">
        <v>149</v>
      </c>
      <c r="I1127" s="1">
        <v>8.0</v>
      </c>
      <c r="J1127" s="1">
        <v>0.0</v>
      </c>
    </row>
    <row r="1128">
      <c r="A1128" s="1">
        <v>3.0</v>
      </c>
      <c r="B1128" s="1">
        <v>12.0</v>
      </c>
      <c r="C1128" s="1">
        <v>1.0</v>
      </c>
      <c r="D1128" s="1">
        <v>1.33</v>
      </c>
      <c r="E1128" s="1">
        <v>0.0</v>
      </c>
      <c r="F1128" s="1">
        <v>0.0</v>
      </c>
      <c r="G1128" s="2">
        <v>1.0</v>
      </c>
      <c r="H1128" s="1" t="s">
        <v>240</v>
      </c>
      <c r="I1128" s="1">
        <v>4.0</v>
      </c>
      <c r="J1128" s="1">
        <v>0.0</v>
      </c>
    </row>
    <row r="1129">
      <c r="A1129" s="1">
        <v>1.0</v>
      </c>
      <c r="B1129" s="1">
        <v>4.0</v>
      </c>
      <c r="C1129" s="1">
        <v>1.0</v>
      </c>
      <c r="D1129" s="1">
        <v>0.0</v>
      </c>
      <c r="E1129" s="1">
        <v>0.0</v>
      </c>
      <c r="F1129" s="1">
        <v>0.0</v>
      </c>
      <c r="G1129" s="2">
        <v>0.0</v>
      </c>
      <c r="H1129" s="1" t="s">
        <v>242</v>
      </c>
      <c r="I1129" s="1">
        <v>0.0</v>
      </c>
      <c r="J1129" s="1">
        <v>0.0</v>
      </c>
    </row>
    <row r="1130">
      <c r="A1130" s="1">
        <v>1.0</v>
      </c>
      <c r="B1130" s="1">
        <v>4.0</v>
      </c>
      <c r="C1130" s="1">
        <v>1.0</v>
      </c>
      <c r="D1130" s="1">
        <v>-4.0</v>
      </c>
      <c r="E1130" s="1">
        <v>1.0</v>
      </c>
      <c r="F1130" s="1">
        <v>0.0</v>
      </c>
      <c r="G1130" s="2">
        <v>0.0</v>
      </c>
      <c r="H1130" s="1" t="s">
        <v>243</v>
      </c>
      <c r="I1130" s="1">
        <v>-4.0</v>
      </c>
      <c r="J1130" s="1">
        <v>1.0</v>
      </c>
    </row>
    <row r="1131">
      <c r="A1131" s="1">
        <v>3.0</v>
      </c>
      <c r="B1131" s="1">
        <v>12.0</v>
      </c>
      <c r="C1131" s="1">
        <v>0.0</v>
      </c>
      <c r="D1131" s="1">
        <v>0.0</v>
      </c>
      <c r="E1131" s="1">
        <v>0.0</v>
      </c>
      <c r="F1131" s="1">
        <v>0.0</v>
      </c>
      <c r="G1131" s="2">
        <v>0.0</v>
      </c>
      <c r="H1131" s="1" t="s">
        <v>244</v>
      </c>
      <c r="I1131" s="1">
        <v>0.0</v>
      </c>
      <c r="J1131" s="1">
        <v>0.0</v>
      </c>
    </row>
    <row r="1132">
      <c r="A1132" s="1">
        <v>2.0</v>
      </c>
      <c r="B1132" s="1">
        <v>8.0</v>
      </c>
      <c r="C1132" s="1">
        <v>0.0</v>
      </c>
      <c r="D1132" s="1">
        <v>0.0</v>
      </c>
      <c r="E1132" s="1">
        <v>0.0</v>
      </c>
      <c r="F1132" s="1">
        <v>0.0</v>
      </c>
      <c r="G1132" s="2">
        <v>0.0</v>
      </c>
      <c r="H1132" s="1" t="s">
        <v>244</v>
      </c>
      <c r="I1132" s="1">
        <v>0.0</v>
      </c>
      <c r="J1132" s="1">
        <v>0.0</v>
      </c>
    </row>
    <row r="1133">
      <c r="A1133" s="1">
        <v>3.0</v>
      </c>
      <c r="B1133" s="1">
        <v>12.0</v>
      </c>
      <c r="C1133" s="1">
        <v>10.0</v>
      </c>
      <c r="D1133" s="1">
        <v>9.33</v>
      </c>
      <c r="E1133" s="1">
        <v>0.33</v>
      </c>
      <c r="F1133" s="1">
        <v>0.0</v>
      </c>
      <c r="G1133" s="2">
        <v>0.8</v>
      </c>
      <c r="H1133" s="1" t="s">
        <v>185</v>
      </c>
      <c r="I1133" s="1">
        <v>28.0</v>
      </c>
      <c r="J1133" s="1">
        <v>1.0</v>
      </c>
    </row>
    <row r="1134">
      <c r="A1134" s="1">
        <v>2.0</v>
      </c>
      <c r="B1134" s="1">
        <v>8.0</v>
      </c>
      <c r="C1134" s="1">
        <v>5.0</v>
      </c>
      <c r="D1134" s="1">
        <v>8.0</v>
      </c>
      <c r="E1134" s="1">
        <v>0.0</v>
      </c>
      <c r="F1134" s="1">
        <v>0.0</v>
      </c>
      <c r="G1134" s="2">
        <v>0.8</v>
      </c>
      <c r="H1134" s="1" t="s">
        <v>185</v>
      </c>
      <c r="I1134" s="1">
        <v>16.0</v>
      </c>
      <c r="J1134" s="1">
        <v>0.0</v>
      </c>
    </row>
    <row r="1135">
      <c r="A1135" s="1">
        <v>3.0</v>
      </c>
      <c r="B1135" s="1">
        <v>12.0</v>
      </c>
      <c r="C1135" s="1">
        <v>0.0</v>
      </c>
      <c r="D1135" s="1">
        <v>0.0</v>
      </c>
      <c r="E1135" s="1">
        <v>0.0</v>
      </c>
      <c r="F1135" s="1">
        <v>0.0</v>
      </c>
      <c r="G1135" s="2">
        <v>0.0</v>
      </c>
      <c r="H1135" s="1" t="s">
        <v>248</v>
      </c>
      <c r="I1135" s="1">
        <v>0.0</v>
      </c>
      <c r="J1135" s="1">
        <v>0.0</v>
      </c>
    </row>
    <row r="1136">
      <c r="A1136" s="1">
        <v>2.0</v>
      </c>
      <c r="B1136" s="1">
        <v>8.0</v>
      </c>
      <c r="C1136" s="1">
        <v>0.0</v>
      </c>
      <c r="D1136" s="1">
        <v>0.0</v>
      </c>
      <c r="E1136" s="1">
        <v>0.0</v>
      </c>
      <c r="F1136" s="1">
        <v>0.0</v>
      </c>
      <c r="G1136" s="2">
        <v>0.0</v>
      </c>
      <c r="H1136" s="1" t="s">
        <v>248</v>
      </c>
      <c r="I1136" s="1">
        <v>0.0</v>
      </c>
      <c r="J1136" s="1">
        <v>0.0</v>
      </c>
    </row>
    <row r="1137">
      <c r="A1137" s="1">
        <v>2.0</v>
      </c>
      <c r="B1137" s="1">
        <v>8.0</v>
      </c>
      <c r="C1137" s="1">
        <v>0.0</v>
      </c>
      <c r="D1137" s="1">
        <v>0.0</v>
      </c>
      <c r="E1137" s="1">
        <v>0.0</v>
      </c>
      <c r="F1137" s="1">
        <v>0.0</v>
      </c>
      <c r="G1137" s="2">
        <v>0.0</v>
      </c>
      <c r="H1137" s="1" t="s">
        <v>250</v>
      </c>
      <c r="I1137" s="1">
        <v>0.0</v>
      </c>
      <c r="J1137" s="1">
        <v>0.0</v>
      </c>
    </row>
    <row r="1138">
      <c r="A1138" s="1">
        <v>1.0</v>
      </c>
      <c r="B1138" s="1">
        <v>4.0</v>
      </c>
      <c r="C1138" s="1">
        <v>0.0</v>
      </c>
      <c r="D1138" s="1">
        <v>0.0</v>
      </c>
      <c r="E1138" s="1">
        <v>0.0</v>
      </c>
      <c r="F1138" s="1">
        <v>0.0</v>
      </c>
      <c r="G1138" s="2">
        <v>0.0</v>
      </c>
      <c r="H1138" s="1" t="s">
        <v>250</v>
      </c>
      <c r="I1138" s="1">
        <v>0.0</v>
      </c>
      <c r="J1138" s="1">
        <v>0.0</v>
      </c>
    </row>
    <row r="1139">
      <c r="A1139" s="1">
        <v>1.0</v>
      </c>
      <c r="B1139" s="1">
        <v>4.0</v>
      </c>
      <c r="C1139" s="1">
        <v>0.0</v>
      </c>
      <c r="D1139" s="1">
        <v>0.0</v>
      </c>
      <c r="E1139" s="1">
        <v>0.0</v>
      </c>
      <c r="F1139" s="1">
        <v>0.0</v>
      </c>
      <c r="G1139" s="2">
        <v>0.0</v>
      </c>
      <c r="H1139" s="1" t="s">
        <v>251</v>
      </c>
      <c r="I1139" s="1">
        <v>0.0</v>
      </c>
      <c r="J1139" s="1">
        <v>0.0</v>
      </c>
    </row>
    <row r="1140">
      <c r="A1140" s="1">
        <v>1.0</v>
      </c>
      <c r="B1140" s="1">
        <v>4.0</v>
      </c>
      <c r="C1140" s="1">
        <v>0.0</v>
      </c>
      <c r="D1140" s="1">
        <v>0.0</v>
      </c>
      <c r="E1140" s="1">
        <v>0.0</v>
      </c>
      <c r="F1140" s="1">
        <v>0.0</v>
      </c>
      <c r="G1140" s="2">
        <v>0.0</v>
      </c>
      <c r="H1140" s="1" t="s">
        <v>239</v>
      </c>
      <c r="I1140" s="1">
        <v>0.0</v>
      </c>
      <c r="J1140" s="1">
        <v>0.0</v>
      </c>
    </row>
    <row r="1141">
      <c r="A1141" s="1">
        <v>4.0</v>
      </c>
      <c r="B1141" s="1">
        <v>16.0</v>
      </c>
      <c r="C1141" s="1">
        <v>1.0</v>
      </c>
      <c r="D1141" s="1">
        <v>-1.0</v>
      </c>
      <c r="E1141" s="1">
        <v>0.25</v>
      </c>
      <c r="F1141" s="1">
        <v>0.0</v>
      </c>
      <c r="G1141" s="2">
        <v>0.0</v>
      </c>
      <c r="H1141" s="1" t="s">
        <v>253</v>
      </c>
      <c r="I1141" s="1">
        <v>-4.0</v>
      </c>
      <c r="J1141" s="1">
        <v>1.0</v>
      </c>
    </row>
    <row r="1142">
      <c r="A1142" s="1">
        <v>1.0</v>
      </c>
      <c r="B1142" s="1">
        <v>4.0</v>
      </c>
      <c r="C1142" s="1">
        <v>0.0</v>
      </c>
      <c r="D1142" s="1">
        <v>0.0</v>
      </c>
      <c r="E1142" s="1">
        <v>0.0</v>
      </c>
      <c r="F1142" s="1">
        <v>0.0</v>
      </c>
      <c r="G1142" s="2">
        <v>0.0</v>
      </c>
      <c r="H1142" s="1" t="s">
        <v>253</v>
      </c>
      <c r="I1142" s="1">
        <v>0.0</v>
      </c>
      <c r="J1142" s="1">
        <v>0.0</v>
      </c>
    </row>
    <row r="1143">
      <c r="A1143" s="1">
        <v>4.0</v>
      </c>
      <c r="B1143" s="1">
        <v>16.0</v>
      </c>
      <c r="C1143" s="1">
        <v>2.0</v>
      </c>
      <c r="D1143" s="1">
        <v>0.0</v>
      </c>
      <c r="E1143" s="1">
        <v>0.0</v>
      </c>
      <c r="F1143" s="1">
        <v>0.0</v>
      </c>
      <c r="G1143" s="2">
        <v>0.0</v>
      </c>
      <c r="H1143" s="1" t="s">
        <v>255</v>
      </c>
      <c r="I1143" s="1">
        <v>0.0</v>
      </c>
      <c r="J1143" s="1">
        <v>0.0</v>
      </c>
    </row>
    <row r="1144">
      <c r="A1144" s="1">
        <v>1.0</v>
      </c>
      <c r="B1144" s="1">
        <v>4.0</v>
      </c>
      <c r="C1144" s="1">
        <v>0.0</v>
      </c>
      <c r="D1144" s="1">
        <v>0.0</v>
      </c>
      <c r="E1144" s="1">
        <v>0.0</v>
      </c>
      <c r="F1144" s="1">
        <v>0.0</v>
      </c>
      <c r="G1144" s="2">
        <v>0.0</v>
      </c>
      <c r="H1144" s="1" t="s">
        <v>255</v>
      </c>
      <c r="I1144" s="1">
        <v>0.0</v>
      </c>
      <c r="J1144" s="1">
        <v>0.0</v>
      </c>
    </row>
    <row r="1145">
      <c r="A1145" s="1">
        <v>4.0</v>
      </c>
      <c r="B1145" s="1">
        <v>16.0</v>
      </c>
      <c r="C1145" s="1">
        <v>5.0</v>
      </c>
      <c r="D1145" s="1">
        <v>2.0</v>
      </c>
      <c r="E1145" s="1">
        <v>0.25</v>
      </c>
      <c r="F1145" s="1">
        <v>0.0</v>
      </c>
      <c r="G1145" s="2">
        <v>0.6</v>
      </c>
      <c r="H1145" s="1" t="s">
        <v>164</v>
      </c>
      <c r="I1145" s="1">
        <v>8.0</v>
      </c>
      <c r="J1145" s="1">
        <v>1.0</v>
      </c>
    </row>
    <row r="1146">
      <c r="A1146" s="1">
        <v>1.0</v>
      </c>
      <c r="B1146" s="1">
        <v>4.0</v>
      </c>
      <c r="C1146" s="1">
        <v>2.0</v>
      </c>
      <c r="D1146" s="1">
        <v>8.0</v>
      </c>
      <c r="E1146" s="1">
        <v>0.0</v>
      </c>
      <c r="F1146" s="1">
        <v>0.0</v>
      </c>
      <c r="G1146" s="2">
        <v>1.0</v>
      </c>
      <c r="H1146" s="1" t="s">
        <v>164</v>
      </c>
      <c r="I1146" s="1">
        <v>8.0</v>
      </c>
      <c r="J1146" s="1">
        <v>0.0</v>
      </c>
    </row>
    <row r="1147">
      <c r="A1147" s="1">
        <v>1.0</v>
      </c>
      <c r="B1147" s="1">
        <v>4.0</v>
      </c>
      <c r="C1147" s="1">
        <v>1.0</v>
      </c>
      <c r="D1147" s="1">
        <v>0.0</v>
      </c>
      <c r="E1147" s="1">
        <v>0.0</v>
      </c>
      <c r="F1147" s="1">
        <v>0.0</v>
      </c>
      <c r="G1147" s="2">
        <v>0.0</v>
      </c>
      <c r="H1147" s="1" t="s">
        <v>257</v>
      </c>
      <c r="I1147" s="1">
        <v>0.0</v>
      </c>
      <c r="J1147" s="1">
        <v>0.0</v>
      </c>
    </row>
    <row r="1148">
      <c r="A1148" s="1">
        <v>1.0</v>
      </c>
      <c r="B1148" s="1">
        <v>4.0</v>
      </c>
      <c r="C1148" s="1">
        <v>0.0</v>
      </c>
      <c r="D1148" s="1">
        <v>0.0</v>
      </c>
      <c r="E1148" s="1">
        <v>0.0</v>
      </c>
      <c r="F1148" s="1">
        <v>0.0</v>
      </c>
      <c r="G1148" s="2">
        <v>0.0</v>
      </c>
      <c r="H1148" s="1" t="s">
        <v>257</v>
      </c>
      <c r="I1148" s="1">
        <v>0.0</v>
      </c>
      <c r="J1148" s="1">
        <v>0.0</v>
      </c>
    </row>
    <row r="1149">
      <c r="A1149" s="1">
        <v>2.0</v>
      </c>
      <c r="B1149" s="1">
        <v>8.0</v>
      </c>
      <c r="C1149" s="1">
        <v>0.0</v>
      </c>
      <c r="D1149" s="1">
        <v>0.0</v>
      </c>
      <c r="E1149" s="1">
        <v>0.0</v>
      </c>
      <c r="F1149" s="1">
        <v>0.0</v>
      </c>
      <c r="G1149" s="2">
        <v>0.0</v>
      </c>
      <c r="H1149" s="1" t="s">
        <v>259</v>
      </c>
      <c r="I1149" s="1">
        <v>0.0</v>
      </c>
      <c r="J1149" s="1">
        <v>0.0</v>
      </c>
    </row>
    <row r="1150">
      <c r="A1150" s="1">
        <v>2.0</v>
      </c>
      <c r="B1150" s="1">
        <v>8.0</v>
      </c>
      <c r="C1150" s="1">
        <v>0.0</v>
      </c>
      <c r="D1150" s="1">
        <v>0.0</v>
      </c>
      <c r="E1150" s="1">
        <v>0.0</v>
      </c>
      <c r="F1150" s="1">
        <v>0.0</v>
      </c>
      <c r="G1150" s="2">
        <v>0.0</v>
      </c>
      <c r="H1150" s="1" t="s">
        <v>259</v>
      </c>
      <c r="I1150" s="1">
        <v>0.0</v>
      </c>
      <c r="J1150" s="1">
        <v>0.0</v>
      </c>
    </row>
    <row r="1151">
      <c r="A1151" s="1">
        <v>3.0</v>
      </c>
      <c r="B1151" s="1">
        <v>12.0</v>
      </c>
      <c r="C1151" s="1">
        <v>7.0</v>
      </c>
      <c r="D1151" s="1">
        <v>8.0</v>
      </c>
      <c r="E1151" s="1">
        <v>0.0</v>
      </c>
      <c r="F1151" s="1">
        <v>0.0</v>
      </c>
      <c r="G1151" s="6">
        <v>0.857</v>
      </c>
      <c r="H1151" s="1" t="s">
        <v>99</v>
      </c>
      <c r="I1151" s="1">
        <v>24.0</v>
      </c>
      <c r="J1151" s="1">
        <v>0.0</v>
      </c>
    </row>
    <row r="1152">
      <c r="A1152" s="1">
        <v>2.0</v>
      </c>
      <c r="B1152" s="1">
        <v>8.0</v>
      </c>
      <c r="C1152" s="1">
        <v>8.0</v>
      </c>
      <c r="D1152" s="1">
        <v>14.0</v>
      </c>
      <c r="E1152" s="1">
        <v>0.0</v>
      </c>
      <c r="F1152" s="1">
        <v>0.0</v>
      </c>
      <c r="G1152" s="6">
        <v>0.857</v>
      </c>
      <c r="H1152" s="1" t="s">
        <v>99</v>
      </c>
      <c r="I1152" s="1">
        <v>28.0</v>
      </c>
      <c r="J1152" s="1">
        <v>0.0</v>
      </c>
    </row>
    <row r="1153">
      <c r="A1153" s="1">
        <v>3.0</v>
      </c>
      <c r="B1153" s="1">
        <v>12.0</v>
      </c>
      <c r="C1153" s="1">
        <v>0.0</v>
      </c>
      <c r="D1153" s="1">
        <v>0.0</v>
      </c>
      <c r="E1153" s="1">
        <v>0.0</v>
      </c>
      <c r="F1153" s="1">
        <v>0.0</v>
      </c>
      <c r="G1153" s="2">
        <v>0.0</v>
      </c>
      <c r="H1153" s="1" t="s">
        <v>262</v>
      </c>
      <c r="I1153" s="1">
        <v>0.0</v>
      </c>
      <c r="J1153" s="1">
        <v>0.0</v>
      </c>
    </row>
    <row r="1154">
      <c r="A1154" s="1">
        <v>1.0</v>
      </c>
      <c r="B1154" s="1">
        <v>4.0</v>
      </c>
      <c r="C1154" s="1">
        <v>0.0</v>
      </c>
      <c r="D1154" s="1">
        <v>0.0</v>
      </c>
      <c r="E1154" s="1">
        <v>0.0</v>
      </c>
      <c r="F1154" s="1">
        <v>0.0</v>
      </c>
      <c r="G1154" s="2">
        <v>0.0</v>
      </c>
      <c r="H1154" s="1" t="s">
        <v>262</v>
      </c>
      <c r="I1154" s="1">
        <v>0.0</v>
      </c>
      <c r="J1154" s="1">
        <v>0.0</v>
      </c>
    </row>
    <row r="1155">
      <c r="A1155" s="1">
        <v>1.0</v>
      </c>
      <c r="B1155" s="1">
        <v>4.0</v>
      </c>
      <c r="C1155" s="1">
        <v>0.0</v>
      </c>
      <c r="D1155" s="1">
        <v>0.0</v>
      </c>
      <c r="E1155" s="1">
        <v>0.0</v>
      </c>
      <c r="F1155" s="1">
        <v>0.0</v>
      </c>
      <c r="G1155" s="2">
        <v>0.0</v>
      </c>
      <c r="H1155" s="1" t="s">
        <v>262</v>
      </c>
      <c r="I1155" s="1">
        <v>0.0</v>
      </c>
      <c r="J1155" s="1">
        <v>0.0</v>
      </c>
    </row>
    <row r="1156">
      <c r="A1156" s="1">
        <v>1.0</v>
      </c>
      <c r="B1156" s="1">
        <v>4.0</v>
      </c>
      <c r="C1156" s="1">
        <v>0.0</v>
      </c>
      <c r="D1156" s="1">
        <v>0.0</v>
      </c>
      <c r="E1156" s="1">
        <v>0.0</v>
      </c>
      <c r="F1156" s="1">
        <v>0.0</v>
      </c>
      <c r="G1156" s="2">
        <v>0.0</v>
      </c>
      <c r="H1156" s="1" t="s">
        <v>241</v>
      </c>
      <c r="I1156" s="1">
        <v>0.0</v>
      </c>
      <c r="J1156" s="1">
        <v>0.0</v>
      </c>
    </row>
    <row r="1157">
      <c r="A1157" s="1">
        <v>1.0</v>
      </c>
      <c r="B1157" s="1">
        <v>4.0</v>
      </c>
      <c r="C1157" s="1">
        <v>0.0</v>
      </c>
      <c r="D1157" s="1">
        <v>0.0</v>
      </c>
      <c r="E1157" s="1">
        <v>0.0</v>
      </c>
      <c r="F1157" s="1">
        <v>0.0</v>
      </c>
      <c r="G1157" s="2">
        <v>0.0</v>
      </c>
      <c r="H1157" s="1" t="s">
        <v>241</v>
      </c>
      <c r="I1157" s="1">
        <v>0.0</v>
      </c>
      <c r="J1157" s="1">
        <v>0.0</v>
      </c>
    </row>
    <row r="1158">
      <c r="A1158" s="1">
        <v>2.0</v>
      </c>
      <c r="B1158" s="1">
        <v>8.0</v>
      </c>
      <c r="C1158" s="1">
        <v>1.0</v>
      </c>
      <c r="D1158" s="1">
        <v>2.0</v>
      </c>
      <c r="E1158" s="1">
        <v>0.0</v>
      </c>
      <c r="F1158" s="1">
        <v>0.0</v>
      </c>
      <c r="G1158" s="2">
        <v>1.0</v>
      </c>
      <c r="H1158" s="1" t="s">
        <v>263</v>
      </c>
      <c r="I1158" s="1">
        <v>4.0</v>
      </c>
      <c r="J1158" s="1">
        <v>0.0</v>
      </c>
    </row>
    <row r="1159">
      <c r="A1159" s="1">
        <v>1.0</v>
      </c>
      <c r="B1159" s="1">
        <v>4.0</v>
      </c>
      <c r="C1159" s="1">
        <v>0.0</v>
      </c>
      <c r="D1159" s="1">
        <v>0.0</v>
      </c>
      <c r="E1159" s="1">
        <v>0.0</v>
      </c>
      <c r="F1159" s="1">
        <v>0.0</v>
      </c>
      <c r="G1159" s="2">
        <v>0.0</v>
      </c>
      <c r="H1159" s="1" t="s">
        <v>263</v>
      </c>
      <c r="I1159" s="1">
        <v>0.0</v>
      </c>
      <c r="J1159" s="1">
        <v>0.0</v>
      </c>
    </row>
    <row r="1160">
      <c r="A1160" s="1">
        <v>1.0</v>
      </c>
      <c r="B1160" s="1">
        <v>3.0</v>
      </c>
      <c r="C1160" s="1">
        <v>1.0</v>
      </c>
      <c r="D1160" s="1">
        <v>4.0</v>
      </c>
      <c r="E1160" s="1">
        <v>0.0</v>
      </c>
      <c r="F1160" s="1">
        <v>0.0</v>
      </c>
      <c r="G1160" s="2">
        <v>1.0</v>
      </c>
      <c r="H1160" s="1" t="s">
        <v>264</v>
      </c>
      <c r="I1160" s="1">
        <v>4.0</v>
      </c>
      <c r="J1160" s="1">
        <v>0.0</v>
      </c>
    </row>
    <row r="1161">
      <c r="A1161" s="1">
        <v>3.0</v>
      </c>
      <c r="B1161" s="1">
        <v>12.0</v>
      </c>
      <c r="C1161" s="1">
        <v>7.0</v>
      </c>
      <c r="D1161" s="1">
        <v>5.33</v>
      </c>
      <c r="E1161" s="1">
        <v>0.33</v>
      </c>
      <c r="F1161" s="1">
        <v>0.0</v>
      </c>
      <c r="G1161" s="6">
        <v>0.714</v>
      </c>
      <c r="H1161" s="1" t="s">
        <v>264</v>
      </c>
      <c r="I1161" s="1">
        <v>16.0</v>
      </c>
      <c r="J1161" s="1">
        <v>1.0</v>
      </c>
    </row>
    <row r="1162">
      <c r="A1162" s="1">
        <v>1.0</v>
      </c>
      <c r="B1162" s="1">
        <v>3.0</v>
      </c>
      <c r="C1162" s="1">
        <v>0.0</v>
      </c>
      <c r="D1162" s="1">
        <v>0.0</v>
      </c>
      <c r="E1162" s="1">
        <v>0.0</v>
      </c>
      <c r="F1162" s="1">
        <v>0.0</v>
      </c>
      <c r="G1162" s="2">
        <v>0.0</v>
      </c>
      <c r="H1162" s="1" t="s">
        <v>265</v>
      </c>
      <c r="I1162" s="1">
        <v>0.0</v>
      </c>
      <c r="J1162" s="1">
        <v>0.0</v>
      </c>
    </row>
    <row r="1163">
      <c r="A1163" s="1">
        <v>4.0</v>
      </c>
      <c r="B1163" s="1">
        <v>16.0</v>
      </c>
      <c r="C1163" s="1">
        <v>0.0</v>
      </c>
      <c r="D1163" s="1">
        <v>0.0</v>
      </c>
      <c r="E1163" s="1">
        <v>0.0</v>
      </c>
      <c r="F1163" s="1">
        <v>0.0</v>
      </c>
      <c r="G1163" s="2">
        <v>0.0</v>
      </c>
      <c r="H1163" s="1" t="s">
        <v>265</v>
      </c>
      <c r="I1163" s="1">
        <v>0.0</v>
      </c>
      <c r="J1163" s="1">
        <v>0.0</v>
      </c>
    </row>
    <row r="1164">
      <c r="A1164" s="1">
        <v>4.0</v>
      </c>
      <c r="B1164" s="1">
        <v>16.0</v>
      </c>
      <c r="C1164" s="1">
        <v>1.0</v>
      </c>
      <c r="D1164" s="1">
        <v>1.0</v>
      </c>
      <c r="E1164" s="1">
        <v>0.0</v>
      </c>
      <c r="F1164" s="1">
        <v>0.0</v>
      </c>
      <c r="G1164" s="2">
        <v>1.0</v>
      </c>
      <c r="H1164" s="1" t="s">
        <v>266</v>
      </c>
      <c r="I1164" s="1">
        <v>4.0</v>
      </c>
      <c r="J1164" s="1">
        <v>0.0</v>
      </c>
    </row>
    <row r="1165">
      <c r="A1165" s="1">
        <v>1.0</v>
      </c>
      <c r="B1165" s="1">
        <v>3.0</v>
      </c>
      <c r="C1165" s="1">
        <v>1.0</v>
      </c>
      <c r="D1165" s="1">
        <v>4.0</v>
      </c>
      <c r="E1165" s="1">
        <v>0.0</v>
      </c>
      <c r="F1165" s="1">
        <v>0.0</v>
      </c>
      <c r="G1165" s="2">
        <v>1.0</v>
      </c>
      <c r="H1165" s="1" t="s">
        <v>93</v>
      </c>
      <c r="I1165" s="1">
        <v>4.0</v>
      </c>
      <c r="J1165" s="1">
        <v>0.0</v>
      </c>
    </row>
    <row r="1166">
      <c r="A1166" s="1">
        <v>4.0</v>
      </c>
      <c r="B1166" s="1">
        <v>16.0</v>
      </c>
      <c r="C1166" s="1">
        <v>3.0</v>
      </c>
      <c r="D1166" s="1">
        <v>3.0</v>
      </c>
      <c r="E1166" s="1">
        <v>0.0</v>
      </c>
      <c r="F1166" s="1">
        <v>0.0</v>
      </c>
      <c r="G1166" s="2">
        <v>1.0</v>
      </c>
      <c r="H1166" s="1" t="s">
        <v>93</v>
      </c>
      <c r="I1166" s="1">
        <v>12.0</v>
      </c>
      <c r="J1166" s="1">
        <v>0.0</v>
      </c>
    </row>
    <row r="1167">
      <c r="A1167" s="1">
        <v>1.0</v>
      </c>
      <c r="B1167" s="1">
        <v>4.0</v>
      </c>
      <c r="C1167" s="1">
        <v>0.0</v>
      </c>
      <c r="D1167" s="1">
        <v>0.0</v>
      </c>
      <c r="E1167" s="1">
        <v>0.0</v>
      </c>
      <c r="F1167" s="1">
        <v>0.0</v>
      </c>
      <c r="G1167" s="2">
        <v>0.0</v>
      </c>
      <c r="H1167" s="1" t="s">
        <v>268</v>
      </c>
      <c r="I1167" s="1">
        <v>0.0</v>
      </c>
      <c r="J1167" s="1">
        <v>0.0</v>
      </c>
    </row>
    <row r="1168">
      <c r="A1168" s="1">
        <v>4.0</v>
      </c>
      <c r="B1168" s="1">
        <v>16.0</v>
      </c>
      <c r="C1168" s="1">
        <v>13.0</v>
      </c>
      <c r="D1168" s="1">
        <v>10.0</v>
      </c>
      <c r="E1168" s="1">
        <v>0.25</v>
      </c>
      <c r="F1168" s="1">
        <v>0.0</v>
      </c>
      <c r="G1168" s="6">
        <v>0.846</v>
      </c>
      <c r="H1168" s="1" t="s">
        <v>80</v>
      </c>
      <c r="I1168" s="1">
        <v>40.0</v>
      </c>
      <c r="J1168" s="1">
        <v>1.0</v>
      </c>
    </row>
    <row r="1169">
      <c r="A1169" s="1">
        <v>1.0</v>
      </c>
      <c r="B1169" s="1">
        <v>4.0</v>
      </c>
      <c r="C1169" s="1">
        <v>1.0</v>
      </c>
      <c r="D1169" s="1">
        <v>4.0</v>
      </c>
      <c r="E1169" s="1">
        <v>0.0</v>
      </c>
      <c r="F1169" s="1">
        <v>0.0</v>
      </c>
      <c r="G1169" s="2">
        <v>1.0</v>
      </c>
      <c r="H1169" s="1" t="s">
        <v>221</v>
      </c>
      <c r="I1169" s="1">
        <v>4.0</v>
      </c>
      <c r="J1169" s="1">
        <v>0.0</v>
      </c>
    </row>
    <row r="1170">
      <c r="A1170" s="1">
        <v>3.0</v>
      </c>
      <c r="B1170" s="1">
        <v>12.0</v>
      </c>
      <c r="C1170" s="1">
        <v>0.0</v>
      </c>
      <c r="D1170" s="1">
        <v>0.0</v>
      </c>
      <c r="E1170" s="1">
        <v>0.0</v>
      </c>
      <c r="F1170" s="1">
        <v>0.0</v>
      </c>
      <c r="G1170" s="2">
        <v>0.0</v>
      </c>
      <c r="H1170" s="1" t="s">
        <v>221</v>
      </c>
      <c r="I1170" s="1">
        <v>0.0</v>
      </c>
      <c r="J1170" s="1">
        <v>0.0</v>
      </c>
    </row>
    <row r="1171">
      <c r="A1171" s="1">
        <v>1.0</v>
      </c>
      <c r="B1171" s="1">
        <v>4.0</v>
      </c>
      <c r="C1171" s="1">
        <v>0.0</v>
      </c>
      <c r="D1171" s="1">
        <v>0.0</v>
      </c>
      <c r="E1171" s="1">
        <v>0.0</v>
      </c>
      <c r="F1171" s="1">
        <v>0.0</v>
      </c>
      <c r="G1171" s="2">
        <v>0.0</v>
      </c>
      <c r="H1171" s="1" t="s">
        <v>270</v>
      </c>
      <c r="I1171" s="1">
        <v>0.0</v>
      </c>
      <c r="J1171" s="1">
        <v>0.0</v>
      </c>
    </row>
    <row r="1172">
      <c r="A1172" s="1">
        <v>1.0</v>
      </c>
      <c r="B1172" s="1">
        <v>4.0</v>
      </c>
      <c r="C1172" s="1">
        <v>0.0</v>
      </c>
      <c r="D1172" s="1">
        <v>0.0</v>
      </c>
      <c r="E1172" s="1">
        <v>0.0</v>
      </c>
      <c r="F1172" s="1">
        <v>0.0</v>
      </c>
      <c r="G1172" s="2">
        <v>0.0</v>
      </c>
      <c r="H1172" s="1" t="s">
        <v>270</v>
      </c>
      <c r="I1172" s="1">
        <v>0.0</v>
      </c>
      <c r="J1172" s="1">
        <v>0.0</v>
      </c>
    </row>
    <row r="1173">
      <c r="A1173" s="1">
        <v>1.0</v>
      </c>
      <c r="B1173" s="1">
        <v>4.0</v>
      </c>
      <c r="C1173" s="1">
        <v>0.0</v>
      </c>
      <c r="D1173" s="1">
        <v>0.0</v>
      </c>
      <c r="E1173" s="1">
        <v>0.0</v>
      </c>
      <c r="F1173" s="1">
        <v>0.0</v>
      </c>
      <c r="G1173" s="2">
        <v>0.0</v>
      </c>
      <c r="H1173" s="1" t="s">
        <v>228</v>
      </c>
      <c r="I1173" s="1">
        <v>0.0</v>
      </c>
      <c r="J1173" s="1">
        <v>0.0</v>
      </c>
    </row>
    <row r="1174">
      <c r="A1174" s="1">
        <v>4.0</v>
      </c>
      <c r="B1174" s="1">
        <v>16.0</v>
      </c>
      <c r="C1174" s="1">
        <v>5.0</v>
      </c>
      <c r="D1174" s="1">
        <v>3.0</v>
      </c>
      <c r="E1174" s="1">
        <v>0.0</v>
      </c>
      <c r="F1174" s="1">
        <v>0.0</v>
      </c>
      <c r="G1174" s="2">
        <v>0.6</v>
      </c>
      <c r="H1174" s="1" t="s">
        <v>228</v>
      </c>
      <c r="I1174" s="1">
        <v>12.0</v>
      </c>
      <c r="J1174" s="1">
        <v>0.0</v>
      </c>
    </row>
    <row r="1175">
      <c r="A1175" s="1">
        <v>1.0</v>
      </c>
      <c r="B1175" s="1">
        <v>4.0</v>
      </c>
      <c r="C1175" s="1">
        <v>1.0</v>
      </c>
      <c r="D1175" s="1">
        <v>0.0</v>
      </c>
      <c r="E1175" s="1">
        <v>0.0</v>
      </c>
      <c r="F1175" s="1">
        <v>0.0</v>
      </c>
      <c r="G1175" s="2">
        <v>0.0</v>
      </c>
      <c r="H1175" s="1" t="s">
        <v>273</v>
      </c>
      <c r="I1175" s="1">
        <v>0.0</v>
      </c>
      <c r="J1175" s="1">
        <v>0.0</v>
      </c>
    </row>
    <row r="1176">
      <c r="A1176" s="1">
        <v>3.0</v>
      </c>
      <c r="B1176" s="1">
        <v>12.0</v>
      </c>
      <c r="C1176" s="1">
        <v>2.0</v>
      </c>
      <c r="D1176" s="1">
        <v>1.33</v>
      </c>
      <c r="E1176" s="1">
        <v>0.0</v>
      </c>
      <c r="F1176" s="1">
        <v>0.0</v>
      </c>
      <c r="G1176" s="2">
        <v>0.5</v>
      </c>
      <c r="H1176" s="1" t="s">
        <v>273</v>
      </c>
      <c r="I1176" s="1">
        <v>4.0</v>
      </c>
      <c r="J1176" s="1">
        <v>0.0</v>
      </c>
    </row>
    <row r="1177">
      <c r="A1177" s="1">
        <v>1.0</v>
      </c>
      <c r="B1177" s="1">
        <v>4.0</v>
      </c>
      <c r="C1177" s="1">
        <v>1.0</v>
      </c>
      <c r="D1177" s="1">
        <v>4.0</v>
      </c>
      <c r="E1177" s="1">
        <v>0.0</v>
      </c>
      <c r="F1177" s="1">
        <v>0.0</v>
      </c>
      <c r="G1177" s="2">
        <v>1.0</v>
      </c>
      <c r="H1177" s="1" t="s">
        <v>273</v>
      </c>
      <c r="I1177" s="1">
        <v>4.0</v>
      </c>
      <c r="J1177" s="1">
        <v>0.0</v>
      </c>
    </row>
    <row r="1178">
      <c r="A1178" s="1">
        <v>1.0</v>
      </c>
      <c r="B1178" s="1">
        <v>4.0</v>
      </c>
      <c r="C1178" s="1">
        <v>1.0</v>
      </c>
      <c r="D1178" s="1">
        <v>0.0</v>
      </c>
      <c r="E1178" s="1">
        <v>0.0</v>
      </c>
      <c r="F1178" s="1">
        <v>0.0</v>
      </c>
      <c r="G1178" s="2">
        <v>0.0</v>
      </c>
      <c r="H1178" s="1" t="s">
        <v>275</v>
      </c>
      <c r="I1178" s="1">
        <v>0.0</v>
      </c>
      <c r="J1178" s="1">
        <v>0.0</v>
      </c>
    </row>
    <row r="1179">
      <c r="A1179" s="1">
        <v>3.0</v>
      </c>
      <c r="B1179" s="1">
        <v>13.0</v>
      </c>
      <c r="C1179" s="1">
        <v>2.0</v>
      </c>
      <c r="D1179" s="1">
        <v>-1.33</v>
      </c>
      <c r="E1179" s="1">
        <v>0.33</v>
      </c>
      <c r="F1179" s="1">
        <v>0.0</v>
      </c>
      <c r="G1179" s="2">
        <v>0.0</v>
      </c>
      <c r="H1179" s="1" t="s">
        <v>275</v>
      </c>
      <c r="I1179" s="1">
        <v>-4.0</v>
      </c>
      <c r="J1179" s="1">
        <v>1.0</v>
      </c>
    </row>
    <row r="1180">
      <c r="A1180" s="1">
        <v>2.0</v>
      </c>
      <c r="B1180" s="1">
        <v>8.0</v>
      </c>
      <c r="C1180" s="1">
        <v>0.0</v>
      </c>
      <c r="D1180" s="1">
        <v>0.0</v>
      </c>
      <c r="E1180" s="1">
        <v>0.0</v>
      </c>
      <c r="F1180" s="1">
        <v>0.0</v>
      </c>
      <c r="G1180" s="2">
        <v>0.0</v>
      </c>
      <c r="H1180" s="1" t="s">
        <v>276</v>
      </c>
      <c r="I1180" s="1">
        <v>0.0</v>
      </c>
      <c r="J1180" s="1">
        <v>0.0</v>
      </c>
    </row>
    <row r="1181">
      <c r="A1181" s="1">
        <v>2.0</v>
      </c>
      <c r="B1181" s="1">
        <v>9.0</v>
      </c>
      <c r="C1181" s="1">
        <v>1.0</v>
      </c>
      <c r="D1181" s="1">
        <v>2.0</v>
      </c>
      <c r="E1181" s="1">
        <v>0.0</v>
      </c>
      <c r="F1181" s="1">
        <v>0.0</v>
      </c>
      <c r="G1181" s="2">
        <v>1.0</v>
      </c>
      <c r="H1181" s="1" t="s">
        <v>276</v>
      </c>
      <c r="I1181" s="1">
        <v>4.0</v>
      </c>
      <c r="J1181" s="1">
        <v>0.0</v>
      </c>
    </row>
    <row r="1182">
      <c r="A1182" s="1">
        <v>1.0</v>
      </c>
      <c r="B1182" s="1">
        <v>4.0</v>
      </c>
      <c r="C1182" s="1">
        <v>0.0</v>
      </c>
      <c r="D1182" s="1">
        <v>0.0</v>
      </c>
      <c r="E1182" s="1">
        <v>0.0</v>
      </c>
      <c r="F1182" s="1">
        <v>0.0</v>
      </c>
      <c r="G1182" s="2">
        <v>0.0</v>
      </c>
      <c r="H1182" s="1" t="s">
        <v>277</v>
      </c>
      <c r="I1182" s="1">
        <v>0.0</v>
      </c>
      <c r="J1182" s="1">
        <v>0.0</v>
      </c>
    </row>
    <row r="1183">
      <c r="A1183" s="1">
        <v>4.0</v>
      </c>
      <c r="B1183" s="1">
        <v>16.0</v>
      </c>
      <c r="C1183" s="1">
        <v>3.0</v>
      </c>
      <c r="D1183" s="1">
        <v>0.0</v>
      </c>
      <c r="E1183" s="1">
        <v>0.25</v>
      </c>
      <c r="F1183" s="1">
        <v>0.0</v>
      </c>
      <c r="G1183" s="6">
        <v>0.333</v>
      </c>
      <c r="H1183" s="1" t="s">
        <v>277</v>
      </c>
      <c r="I1183" s="1">
        <v>0.0</v>
      </c>
      <c r="J1183" s="1">
        <v>1.0</v>
      </c>
    </row>
    <row r="1184">
      <c r="A1184" s="1">
        <v>1.0</v>
      </c>
      <c r="B1184" s="1">
        <v>4.0</v>
      </c>
      <c r="C1184" s="1">
        <v>0.0</v>
      </c>
      <c r="D1184" s="1">
        <v>0.0</v>
      </c>
      <c r="E1184" s="1">
        <v>0.0</v>
      </c>
      <c r="F1184" s="1">
        <v>0.0</v>
      </c>
      <c r="G1184" s="2">
        <v>0.0</v>
      </c>
      <c r="H1184" s="1" t="s">
        <v>172</v>
      </c>
      <c r="I1184" s="1">
        <v>0.0</v>
      </c>
      <c r="J1184" s="1">
        <v>0.0</v>
      </c>
    </row>
    <row r="1185">
      <c r="A1185" s="1">
        <v>3.0</v>
      </c>
      <c r="B1185" s="1">
        <v>12.0</v>
      </c>
      <c r="C1185" s="1">
        <v>0.0</v>
      </c>
      <c r="D1185" s="1">
        <v>0.0</v>
      </c>
      <c r="E1185" s="1">
        <v>0.0</v>
      </c>
      <c r="F1185" s="1">
        <v>0.0</v>
      </c>
      <c r="G1185" s="2">
        <v>0.0</v>
      </c>
      <c r="H1185" s="1" t="s">
        <v>172</v>
      </c>
      <c r="I1185" s="1">
        <v>0.0</v>
      </c>
      <c r="J1185" s="1">
        <v>0.0</v>
      </c>
    </row>
    <row r="1186">
      <c r="A1186" s="1">
        <v>1.0</v>
      </c>
      <c r="B1186" s="1">
        <v>4.0</v>
      </c>
      <c r="C1186" s="1">
        <v>0.0</v>
      </c>
      <c r="D1186" s="1">
        <v>0.0</v>
      </c>
      <c r="E1186" s="1">
        <v>0.0</v>
      </c>
      <c r="F1186" s="1">
        <v>0.0</v>
      </c>
      <c r="G1186" s="2">
        <v>0.0</v>
      </c>
      <c r="H1186" s="1" t="s">
        <v>279</v>
      </c>
      <c r="I1186" s="1">
        <v>0.0</v>
      </c>
      <c r="J1186" s="1">
        <v>0.0</v>
      </c>
    </row>
    <row r="1187">
      <c r="A1187" s="1">
        <v>4.0</v>
      </c>
      <c r="B1187" s="1">
        <v>16.0</v>
      </c>
      <c r="C1187" s="1">
        <v>4.0</v>
      </c>
      <c r="D1187" s="1">
        <v>1.0</v>
      </c>
      <c r="E1187" s="1">
        <v>0.25</v>
      </c>
      <c r="F1187" s="1">
        <v>0.0</v>
      </c>
      <c r="G1187" s="2">
        <v>0.5</v>
      </c>
      <c r="H1187" s="1" t="s">
        <v>279</v>
      </c>
      <c r="I1187" s="1">
        <v>4.0</v>
      </c>
      <c r="J1187" s="1">
        <v>1.0</v>
      </c>
    </row>
    <row r="1188">
      <c r="A1188" s="1">
        <v>1.0</v>
      </c>
      <c r="B1188" s="1">
        <v>4.0</v>
      </c>
      <c r="C1188" s="1">
        <v>0.0</v>
      </c>
      <c r="D1188" s="1">
        <v>0.0</v>
      </c>
      <c r="E1188" s="1">
        <v>0.0</v>
      </c>
      <c r="F1188" s="1">
        <v>0.0</v>
      </c>
      <c r="G1188" s="2">
        <v>0.0</v>
      </c>
      <c r="H1188" s="1" t="s">
        <v>280</v>
      </c>
      <c r="I1188" s="1">
        <v>0.0</v>
      </c>
      <c r="J1188" s="1">
        <v>0.0</v>
      </c>
    </row>
    <row r="1189">
      <c r="A1189" s="1">
        <v>1.0</v>
      </c>
      <c r="B1189" s="1">
        <v>4.0</v>
      </c>
      <c r="C1189" s="1">
        <v>1.0</v>
      </c>
      <c r="D1189" s="1">
        <v>4.0</v>
      </c>
      <c r="E1189" s="1">
        <v>0.0</v>
      </c>
      <c r="F1189" s="1">
        <v>0.0</v>
      </c>
      <c r="G1189" s="2">
        <v>1.0</v>
      </c>
      <c r="H1189" s="1" t="s">
        <v>281</v>
      </c>
      <c r="I1189" s="1">
        <v>4.0</v>
      </c>
      <c r="J1189" s="1">
        <v>0.0</v>
      </c>
    </row>
    <row r="1190">
      <c r="A1190" s="1">
        <v>4.0</v>
      </c>
      <c r="B1190" s="1">
        <v>16.0</v>
      </c>
      <c r="C1190" s="1">
        <v>0.0</v>
      </c>
      <c r="D1190" s="1">
        <v>0.0</v>
      </c>
      <c r="E1190" s="1">
        <v>0.0</v>
      </c>
      <c r="F1190" s="1">
        <v>0.0</v>
      </c>
      <c r="G1190" s="2">
        <v>0.0</v>
      </c>
      <c r="H1190" s="1" t="s">
        <v>281</v>
      </c>
      <c r="I1190" s="1">
        <v>0.0</v>
      </c>
      <c r="J1190" s="1">
        <v>0.0</v>
      </c>
    </row>
    <row r="1191">
      <c r="A1191" s="1">
        <v>2.0</v>
      </c>
      <c r="B1191" s="1">
        <v>8.0</v>
      </c>
      <c r="C1191" s="1">
        <v>0.0</v>
      </c>
      <c r="D1191" s="1">
        <v>0.0</v>
      </c>
      <c r="E1191" s="1">
        <v>0.0</v>
      </c>
      <c r="F1191" s="1">
        <v>0.0</v>
      </c>
      <c r="G1191" s="2">
        <v>0.0</v>
      </c>
      <c r="H1191" s="1" t="s">
        <v>282</v>
      </c>
      <c r="I1191" s="1">
        <v>0.0</v>
      </c>
      <c r="J1191" s="1">
        <v>0.0</v>
      </c>
    </row>
    <row r="1192">
      <c r="A1192" s="1">
        <v>1.0</v>
      </c>
      <c r="B1192" s="1">
        <v>4.0</v>
      </c>
      <c r="C1192" s="1">
        <v>0.0</v>
      </c>
      <c r="D1192" s="1">
        <v>0.0</v>
      </c>
      <c r="E1192" s="1">
        <v>0.0</v>
      </c>
      <c r="F1192" s="1">
        <v>0.0</v>
      </c>
      <c r="G1192" s="2">
        <v>0.0</v>
      </c>
      <c r="H1192" s="1" t="s">
        <v>282</v>
      </c>
      <c r="I1192" s="1">
        <v>0.0</v>
      </c>
      <c r="J1192" s="1">
        <v>0.0</v>
      </c>
    </row>
    <row r="1193">
      <c r="A1193" s="1">
        <v>3.0</v>
      </c>
      <c r="B1193" s="1">
        <v>12.0</v>
      </c>
      <c r="C1193" s="1">
        <v>0.0</v>
      </c>
      <c r="D1193" s="1">
        <v>0.0</v>
      </c>
      <c r="E1193" s="1">
        <v>0.0</v>
      </c>
      <c r="F1193" s="1">
        <v>0.0</v>
      </c>
      <c r="G1193" s="2">
        <v>0.0</v>
      </c>
      <c r="H1193" s="1" t="s">
        <v>283</v>
      </c>
      <c r="I1193" s="1">
        <v>0.0</v>
      </c>
      <c r="J1193" s="1">
        <v>0.0</v>
      </c>
    </row>
    <row r="1194">
      <c r="A1194" s="1">
        <v>1.0</v>
      </c>
      <c r="B1194" s="1">
        <v>4.0</v>
      </c>
      <c r="C1194" s="1">
        <v>0.0</v>
      </c>
      <c r="D1194" s="1">
        <v>0.0</v>
      </c>
      <c r="E1194" s="1">
        <v>0.0</v>
      </c>
      <c r="F1194" s="1">
        <v>0.0</v>
      </c>
      <c r="G1194" s="2">
        <v>0.0</v>
      </c>
      <c r="H1194" s="1" t="s">
        <v>283</v>
      </c>
      <c r="I1194" s="1">
        <v>0.0</v>
      </c>
      <c r="J1194" s="1">
        <v>0.0</v>
      </c>
    </row>
    <row r="1195">
      <c r="A1195" s="1">
        <v>1.0</v>
      </c>
      <c r="B1195" s="1">
        <v>4.0</v>
      </c>
      <c r="C1195" s="1">
        <v>0.0</v>
      </c>
      <c r="D1195" s="1">
        <v>0.0</v>
      </c>
      <c r="E1195" s="1">
        <v>0.0</v>
      </c>
      <c r="F1195" s="1">
        <v>0.0</v>
      </c>
      <c r="G1195" s="2">
        <v>0.0</v>
      </c>
      <c r="H1195" s="1" t="s">
        <v>284</v>
      </c>
      <c r="I1195" s="1">
        <v>0.0</v>
      </c>
      <c r="J1195" s="1">
        <v>0.0</v>
      </c>
    </row>
    <row r="1196">
      <c r="A1196" s="1">
        <v>1.0</v>
      </c>
      <c r="B1196" s="1">
        <v>4.0</v>
      </c>
      <c r="C1196" s="1">
        <v>0.0</v>
      </c>
      <c r="D1196" s="1">
        <v>0.0</v>
      </c>
      <c r="E1196" s="1">
        <v>0.0</v>
      </c>
      <c r="F1196" s="1">
        <v>0.0</v>
      </c>
      <c r="G1196" s="2">
        <v>0.0</v>
      </c>
      <c r="H1196" s="1" t="s">
        <v>284</v>
      </c>
      <c r="I1196" s="1">
        <v>0.0</v>
      </c>
      <c r="J1196" s="1">
        <v>0.0</v>
      </c>
    </row>
    <row r="1197">
      <c r="A1197" s="1">
        <v>1.0</v>
      </c>
      <c r="B1197" s="1">
        <v>4.0</v>
      </c>
      <c r="C1197" s="1">
        <v>4.0</v>
      </c>
      <c r="D1197" s="1">
        <v>4.0</v>
      </c>
      <c r="E1197" s="1">
        <v>1.0</v>
      </c>
      <c r="F1197" s="1">
        <v>0.0</v>
      </c>
      <c r="G1197" s="2">
        <v>0.5</v>
      </c>
      <c r="H1197" s="1" t="s">
        <v>52</v>
      </c>
      <c r="I1197" s="1">
        <v>4.0</v>
      </c>
      <c r="J1197" s="1">
        <v>1.0</v>
      </c>
    </row>
    <row r="1198">
      <c r="A1198" s="1">
        <v>3.0</v>
      </c>
      <c r="B1198" s="1">
        <v>12.0</v>
      </c>
      <c r="C1198" s="1">
        <v>5.0</v>
      </c>
      <c r="D1198" s="1">
        <v>6.67</v>
      </c>
      <c r="E1198" s="1">
        <v>0.0</v>
      </c>
      <c r="F1198" s="1">
        <v>0.0</v>
      </c>
      <c r="G1198" s="2">
        <v>1.0</v>
      </c>
      <c r="H1198" s="1" t="s">
        <v>52</v>
      </c>
      <c r="I1198" s="1">
        <v>20.0</v>
      </c>
      <c r="J1198" s="1">
        <v>0.0</v>
      </c>
    </row>
    <row r="1199">
      <c r="A1199" s="1">
        <v>1.0</v>
      </c>
      <c r="B1199" s="1">
        <v>4.0</v>
      </c>
      <c r="C1199" s="1">
        <v>3.0</v>
      </c>
      <c r="D1199" s="1">
        <v>0.0</v>
      </c>
      <c r="E1199" s="1">
        <v>1.0</v>
      </c>
      <c r="F1199" s="1">
        <v>0.0</v>
      </c>
      <c r="G1199" s="6">
        <v>0.333</v>
      </c>
      <c r="H1199" s="1" t="s">
        <v>52</v>
      </c>
      <c r="I1199" s="1">
        <v>0.0</v>
      </c>
      <c r="J1199" s="1">
        <v>1.0</v>
      </c>
    </row>
    <row r="1200">
      <c r="A1200" s="1">
        <v>1.0</v>
      </c>
      <c r="B1200" s="1">
        <v>4.0</v>
      </c>
      <c r="C1200" s="1">
        <v>0.0</v>
      </c>
      <c r="D1200" s="1">
        <v>0.0</v>
      </c>
      <c r="E1200" s="1">
        <v>0.0</v>
      </c>
      <c r="F1200" s="1">
        <v>0.0</v>
      </c>
      <c r="G1200" s="2">
        <v>0.0</v>
      </c>
      <c r="H1200" s="1" t="s">
        <v>223</v>
      </c>
      <c r="I1200" s="1">
        <v>0.0</v>
      </c>
      <c r="J1200" s="1">
        <v>0.0</v>
      </c>
    </row>
    <row r="1201">
      <c r="A1201" s="1">
        <v>1.0</v>
      </c>
      <c r="B1201" s="1">
        <v>4.0</v>
      </c>
      <c r="C1201" s="1">
        <v>0.0</v>
      </c>
      <c r="D1201" s="1">
        <v>0.0</v>
      </c>
      <c r="E1201" s="1">
        <v>0.0</v>
      </c>
      <c r="F1201" s="1">
        <v>0.0</v>
      </c>
      <c r="G1201" s="2">
        <v>0.0</v>
      </c>
      <c r="H1201" s="1" t="s">
        <v>223</v>
      </c>
      <c r="I1201" s="1">
        <v>0.0</v>
      </c>
      <c r="J1201" s="1">
        <v>0.0</v>
      </c>
    </row>
    <row r="1202">
      <c r="A1202" s="1">
        <v>1.0</v>
      </c>
      <c r="B1202" s="1">
        <v>4.0</v>
      </c>
      <c r="C1202" s="1">
        <v>0.0</v>
      </c>
      <c r="D1202" s="1">
        <v>0.0</v>
      </c>
      <c r="E1202" s="1">
        <v>0.0</v>
      </c>
      <c r="F1202" s="1">
        <v>0.0</v>
      </c>
      <c r="G1202" s="2">
        <v>0.0</v>
      </c>
      <c r="H1202" s="1" t="s">
        <v>223</v>
      </c>
      <c r="I1202" s="1">
        <v>0.0</v>
      </c>
      <c r="J1202" s="1">
        <v>0.0</v>
      </c>
    </row>
    <row r="1203">
      <c r="A1203" s="1">
        <v>1.0</v>
      </c>
      <c r="B1203" s="1">
        <v>4.0</v>
      </c>
      <c r="C1203" s="1">
        <v>1.0</v>
      </c>
      <c r="D1203" s="1">
        <v>-4.0</v>
      </c>
      <c r="E1203" s="1">
        <v>1.0</v>
      </c>
      <c r="F1203" s="1">
        <v>0.0</v>
      </c>
      <c r="G1203" s="2">
        <v>0.0</v>
      </c>
      <c r="H1203" s="1" t="s">
        <v>223</v>
      </c>
      <c r="I1203" s="1">
        <v>-4.0</v>
      </c>
      <c r="J1203" s="1">
        <v>1.0</v>
      </c>
    </row>
    <row r="1204">
      <c r="A1204" s="1">
        <v>1.0</v>
      </c>
      <c r="B1204" s="1">
        <v>4.0</v>
      </c>
      <c r="C1204" s="1">
        <v>0.0</v>
      </c>
      <c r="D1204" s="1">
        <v>0.0</v>
      </c>
      <c r="E1204" s="1">
        <v>0.0</v>
      </c>
      <c r="F1204" s="1">
        <v>0.0</v>
      </c>
      <c r="G1204" s="2">
        <v>0.0</v>
      </c>
      <c r="H1204" s="1" t="s">
        <v>207</v>
      </c>
      <c r="I1204" s="1">
        <v>0.0</v>
      </c>
      <c r="J1204" s="1">
        <v>0.0</v>
      </c>
    </row>
    <row r="1205">
      <c r="A1205" s="1">
        <v>1.0</v>
      </c>
      <c r="B1205" s="1">
        <v>4.0</v>
      </c>
      <c r="C1205" s="1">
        <v>0.0</v>
      </c>
      <c r="D1205" s="1">
        <v>0.0</v>
      </c>
      <c r="E1205" s="1">
        <v>0.0</v>
      </c>
      <c r="F1205" s="1">
        <v>0.0</v>
      </c>
      <c r="G1205" s="2">
        <v>0.0</v>
      </c>
      <c r="H1205" s="1" t="s">
        <v>207</v>
      </c>
      <c r="I1205" s="1">
        <v>0.0</v>
      </c>
      <c r="J1205" s="1">
        <v>0.0</v>
      </c>
    </row>
    <row r="1206">
      <c r="A1206" s="1">
        <v>1.0</v>
      </c>
      <c r="B1206" s="1">
        <v>4.0</v>
      </c>
      <c r="C1206" s="1">
        <v>1.0</v>
      </c>
      <c r="D1206" s="1">
        <v>4.0</v>
      </c>
      <c r="E1206" s="1">
        <v>0.0</v>
      </c>
      <c r="F1206" s="1">
        <v>0.0</v>
      </c>
      <c r="G1206" s="2">
        <v>1.0</v>
      </c>
      <c r="H1206" s="1" t="s">
        <v>207</v>
      </c>
      <c r="I1206" s="1">
        <v>4.0</v>
      </c>
      <c r="J1206" s="1">
        <v>0.0</v>
      </c>
    </row>
    <row r="1207">
      <c r="A1207" s="1">
        <v>2.0</v>
      </c>
      <c r="B1207" s="1">
        <v>8.0</v>
      </c>
      <c r="C1207" s="1">
        <v>1.0</v>
      </c>
      <c r="D1207" s="1">
        <v>-2.0</v>
      </c>
      <c r="E1207" s="1">
        <v>0.5</v>
      </c>
      <c r="F1207" s="1">
        <v>0.0</v>
      </c>
      <c r="G1207" s="2">
        <v>0.0</v>
      </c>
      <c r="H1207" s="1" t="s">
        <v>207</v>
      </c>
      <c r="I1207" s="1">
        <v>-4.0</v>
      </c>
      <c r="J1207" s="1">
        <v>1.0</v>
      </c>
    </row>
    <row r="1208">
      <c r="A1208" s="1">
        <v>1.0</v>
      </c>
      <c r="B1208" s="1">
        <v>4.0</v>
      </c>
      <c r="C1208" s="1">
        <v>0.0</v>
      </c>
      <c r="D1208" s="1">
        <v>0.0</v>
      </c>
      <c r="E1208" s="1">
        <v>0.0</v>
      </c>
      <c r="F1208" s="1">
        <v>0.0</v>
      </c>
      <c r="G1208" s="2">
        <v>0.0</v>
      </c>
      <c r="H1208" s="1" t="s">
        <v>288</v>
      </c>
      <c r="I1208" s="1">
        <v>0.0</v>
      </c>
      <c r="J1208" s="1">
        <v>0.0</v>
      </c>
    </row>
    <row r="1209">
      <c r="A1209" s="1">
        <v>1.0</v>
      </c>
      <c r="B1209" s="1">
        <v>4.0</v>
      </c>
      <c r="C1209" s="1">
        <v>4.0</v>
      </c>
      <c r="D1209" s="1">
        <v>16.0</v>
      </c>
      <c r="E1209" s="1">
        <v>0.0</v>
      </c>
      <c r="F1209" s="1">
        <v>0.0</v>
      </c>
      <c r="G1209" s="2">
        <v>1.0</v>
      </c>
      <c r="H1209" s="1" t="s">
        <v>245</v>
      </c>
      <c r="I1209" s="1">
        <v>16.0</v>
      </c>
      <c r="J1209" s="1">
        <v>0.0</v>
      </c>
    </row>
    <row r="1210">
      <c r="A1210" s="1">
        <v>1.0</v>
      </c>
      <c r="B1210" s="1">
        <v>4.0</v>
      </c>
      <c r="C1210" s="1">
        <v>3.0</v>
      </c>
      <c r="D1210" s="1">
        <v>4.0</v>
      </c>
      <c r="E1210" s="1">
        <v>1.0</v>
      </c>
      <c r="F1210" s="1">
        <v>0.0</v>
      </c>
      <c r="G1210" s="6">
        <v>0.667</v>
      </c>
      <c r="H1210" s="1" t="s">
        <v>245</v>
      </c>
      <c r="I1210" s="1">
        <v>4.0</v>
      </c>
      <c r="J1210" s="1">
        <v>1.0</v>
      </c>
    </row>
    <row r="1211">
      <c r="A1211" s="1">
        <v>1.0</v>
      </c>
      <c r="B1211" s="1">
        <v>4.0</v>
      </c>
      <c r="C1211" s="1">
        <v>0.0</v>
      </c>
      <c r="D1211" s="1">
        <v>0.0</v>
      </c>
      <c r="E1211" s="1">
        <v>0.0</v>
      </c>
      <c r="F1211" s="1">
        <v>0.0</v>
      </c>
      <c r="G1211" s="2">
        <v>0.0</v>
      </c>
      <c r="H1211" s="1" t="s">
        <v>245</v>
      </c>
      <c r="I1211" s="1">
        <v>0.0</v>
      </c>
      <c r="J1211" s="1">
        <v>0.0</v>
      </c>
    </row>
    <row r="1212">
      <c r="A1212" s="1">
        <v>1.0</v>
      </c>
      <c r="B1212" s="1">
        <v>4.0</v>
      </c>
      <c r="C1212" s="1">
        <v>0.0</v>
      </c>
      <c r="D1212" s="1">
        <v>0.0</v>
      </c>
      <c r="E1212" s="1">
        <v>0.0</v>
      </c>
      <c r="F1212" s="1">
        <v>0.0</v>
      </c>
      <c r="G1212" s="2">
        <v>0.0</v>
      </c>
      <c r="H1212" s="1" t="s">
        <v>290</v>
      </c>
      <c r="I1212" s="1">
        <v>0.0</v>
      </c>
      <c r="J1212" s="1">
        <v>0.0</v>
      </c>
    </row>
    <row r="1213">
      <c r="A1213" s="1">
        <v>4.0</v>
      </c>
      <c r="B1213" s="1">
        <v>16.0</v>
      </c>
      <c r="C1213" s="1">
        <v>0.0</v>
      </c>
      <c r="D1213" s="1">
        <v>0.0</v>
      </c>
      <c r="E1213" s="1">
        <v>0.0</v>
      </c>
      <c r="F1213" s="1">
        <v>0.0</v>
      </c>
      <c r="G1213" s="2">
        <v>0.0</v>
      </c>
      <c r="H1213" s="1" t="s">
        <v>291</v>
      </c>
      <c r="I1213" s="1">
        <v>0.0</v>
      </c>
      <c r="J1213" s="1">
        <v>0.0</v>
      </c>
    </row>
    <row r="1214">
      <c r="A1214" s="1">
        <v>5.0</v>
      </c>
      <c r="B1214" s="1">
        <v>20.0</v>
      </c>
      <c r="C1214" s="1">
        <v>0.0</v>
      </c>
      <c r="D1214" s="1">
        <v>0.0</v>
      </c>
      <c r="E1214" s="1">
        <v>0.0</v>
      </c>
      <c r="F1214" s="1">
        <v>0.0</v>
      </c>
      <c r="G1214" s="2">
        <v>0.0</v>
      </c>
      <c r="H1214" s="1" t="s">
        <v>267</v>
      </c>
      <c r="I1214" s="1">
        <v>0.0</v>
      </c>
      <c r="J1214" s="1">
        <v>0.0</v>
      </c>
    </row>
    <row r="1215">
      <c r="A1215" s="1">
        <v>5.0</v>
      </c>
      <c r="B1215" s="1">
        <v>20.0</v>
      </c>
      <c r="C1215" s="1">
        <v>17.0</v>
      </c>
      <c r="D1215" s="1">
        <v>12.0</v>
      </c>
      <c r="E1215" s="1">
        <v>0.0</v>
      </c>
      <c r="F1215" s="1">
        <v>0.0</v>
      </c>
      <c r="G1215" s="6">
        <v>0.882</v>
      </c>
      <c r="H1215" s="1" t="s">
        <v>98</v>
      </c>
      <c r="I1215" s="1">
        <v>60.0</v>
      </c>
      <c r="J1215" s="1">
        <v>0.0</v>
      </c>
    </row>
    <row r="1216">
      <c r="A1216" s="1">
        <v>1.0</v>
      </c>
      <c r="B1216" s="1">
        <v>4.0</v>
      </c>
      <c r="C1216" s="1">
        <v>1.0</v>
      </c>
      <c r="D1216" s="1">
        <v>0.0</v>
      </c>
      <c r="E1216" s="1">
        <v>0.0</v>
      </c>
      <c r="F1216" s="1">
        <v>0.0</v>
      </c>
      <c r="G1216" s="2">
        <v>0.0</v>
      </c>
      <c r="H1216" s="1" t="s">
        <v>106</v>
      </c>
      <c r="I1216" s="1">
        <v>0.0</v>
      </c>
      <c r="J1216" s="1">
        <v>0.0</v>
      </c>
    </row>
    <row r="1217">
      <c r="A1217" s="1">
        <v>3.0</v>
      </c>
      <c r="B1217" s="1">
        <v>12.0</v>
      </c>
      <c r="C1217" s="1">
        <v>1.0</v>
      </c>
      <c r="D1217" s="1">
        <v>1.33</v>
      </c>
      <c r="E1217" s="1">
        <v>0.0</v>
      </c>
      <c r="F1217" s="1">
        <v>0.0</v>
      </c>
      <c r="G1217" s="2">
        <v>1.0</v>
      </c>
      <c r="H1217" s="1" t="s">
        <v>106</v>
      </c>
      <c r="I1217" s="1">
        <v>4.0</v>
      </c>
      <c r="J1217" s="1">
        <v>0.0</v>
      </c>
    </row>
    <row r="1218">
      <c r="A1218" s="1">
        <v>1.0</v>
      </c>
      <c r="B1218" s="1">
        <v>4.0</v>
      </c>
      <c r="C1218" s="1">
        <v>1.0</v>
      </c>
      <c r="D1218" s="1">
        <v>4.0</v>
      </c>
      <c r="E1218" s="1">
        <v>0.0</v>
      </c>
      <c r="F1218" s="1">
        <v>0.0</v>
      </c>
      <c r="G1218" s="2">
        <v>1.0</v>
      </c>
      <c r="H1218" s="1" t="s">
        <v>106</v>
      </c>
      <c r="I1218" s="1">
        <v>4.0</v>
      </c>
      <c r="J1218" s="1">
        <v>0.0</v>
      </c>
    </row>
    <row r="1219">
      <c r="A1219" s="1">
        <v>2.0</v>
      </c>
      <c r="B1219" s="1">
        <v>8.0</v>
      </c>
      <c r="C1219" s="1">
        <v>2.0</v>
      </c>
      <c r="D1219" s="1">
        <v>4.0</v>
      </c>
      <c r="E1219" s="1">
        <v>0.0</v>
      </c>
      <c r="F1219" s="1">
        <v>0.0</v>
      </c>
      <c r="G1219" s="2">
        <v>1.0</v>
      </c>
      <c r="H1219" s="1" t="s">
        <v>292</v>
      </c>
      <c r="I1219" s="1">
        <v>8.0</v>
      </c>
      <c r="J1219" s="1">
        <v>0.0</v>
      </c>
    </row>
    <row r="1220">
      <c r="A1220" s="1">
        <v>1.0</v>
      </c>
      <c r="B1220" s="1">
        <v>4.0</v>
      </c>
      <c r="C1220" s="1">
        <v>0.0</v>
      </c>
      <c r="D1220" s="1">
        <v>0.0</v>
      </c>
      <c r="E1220" s="1">
        <v>0.0</v>
      </c>
      <c r="F1220" s="1">
        <v>0.0</v>
      </c>
      <c r="G1220" s="2">
        <v>0.0</v>
      </c>
      <c r="H1220" s="1" t="s">
        <v>269</v>
      </c>
      <c r="I1220" s="1">
        <v>0.0</v>
      </c>
      <c r="J1220" s="1">
        <v>0.0</v>
      </c>
    </row>
    <row r="1221">
      <c r="A1221" s="1">
        <v>3.0</v>
      </c>
      <c r="B1221" s="1">
        <v>12.0</v>
      </c>
      <c r="C1221" s="1">
        <v>3.0</v>
      </c>
      <c r="D1221" s="1">
        <v>1.33</v>
      </c>
      <c r="E1221" s="1">
        <v>0.33</v>
      </c>
      <c r="F1221" s="1">
        <v>0.0</v>
      </c>
      <c r="G1221" s="6">
        <v>0.667</v>
      </c>
      <c r="H1221" s="1" t="s">
        <v>269</v>
      </c>
      <c r="I1221" s="1">
        <v>4.0</v>
      </c>
      <c r="J1221" s="1">
        <v>1.0</v>
      </c>
    </row>
    <row r="1222">
      <c r="A1222" s="1">
        <v>1.0</v>
      </c>
      <c r="B1222" s="1">
        <v>4.0</v>
      </c>
      <c r="C1222" s="1">
        <v>2.0</v>
      </c>
      <c r="D1222" s="1">
        <v>8.0</v>
      </c>
      <c r="E1222" s="1">
        <v>0.0</v>
      </c>
      <c r="F1222" s="1">
        <v>0.0</v>
      </c>
      <c r="G1222" s="2">
        <v>1.0</v>
      </c>
      <c r="H1222" s="1" t="s">
        <v>269</v>
      </c>
      <c r="I1222" s="1">
        <v>8.0</v>
      </c>
      <c r="J1222" s="1">
        <v>0.0</v>
      </c>
    </row>
    <row r="1223">
      <c r="A1223" s="1">
        <v>1.0</v>
      </c>
      <c r="B1223" s="1">
        <v>4.0</v>
      </c>
      <c r="C1223" s="1">
        <v>0.0</v>
      </c>
      <c r="D1223" s="1">
        <v>0.0</v>
      </c>
      <c r="E1223" s="1">
        <v>0.0</v>
      </c>
      <c r="F1223" s="1">
        <v>0.0</v>
      </c>
      <c r="G1223" s="2">
        <v>0.0</v>
      </c>
      <c r="H1223" s="1" t="s">
        <v>293</v>
      </c>
      <c r="I1223" s="1">
        <v>0.0</v>
      </c>
      <c r="J1223" s="1">
        <v>0.0</v>
      </c>
    </row>
    <row r="1224">
      <c r="A1224" s="1">
        <v>3.0</v>
      </c>
      <c r="B1224" s="1">
        <v>12.0</v>
      </c>
      <c r="C1224" s="1">
        <v>0.0</v>
      </c>
      <c r="D1224" s="1">
        <v>0.0</v>
      </c>
      <c r="E1224" s="1">
        <v>0.0</v>
      </c>
      <c r="F1224" s="1">
        <v>0.0</v>
      </c>
      <c r="G1224" s="2">
        <v>0.0</v>
      </c>
      <c r="H1224" s="1" t="s">
        <v>293</v>
      </c>
      <c r="I1224" s="1">
        <v>0.0</v>
      </c>
      <c r="J1224" s="1">
        <v>0.0</v>
      </c>
    </row>
    <row r="1225">
      <c r="A1225" s="1">
        <v>1.0</v>
      </c>
      <c r="B1225" s="1">
        <v>4.0</v>
      </c>
      <c r="C1225" s="1">
        <v>0.0</v>
      </c>
      <c r="D1225" s="1">
        <v>0.0</v>
      </c>
      <c r="E1225" s="1">
        <v>0.0</v>
      </c>
      <c r="F1225" s="1">
        <v>0.0</v>
      </c>
      <c r="G1225" s="2">
        <v>0.0</v>
      </c>
      <c r="H1225" s="1" t="s">
        <v>293</v>
      </c>
      <c r="I1225" s="1">
        <v>0.0</v>
      </c>
      <c r="J1225" s="1">
        <v>0.0</v>
      </c>
    </row>
    <row r="1226">
      <c r="A1226" s="1">
        <v>5.0</v>
      </c>
      <c r="B1226" s="1">
        <v>20.0</v>
      </c>
      <c r="C1226" s="1">
        <v>0.0</v>
      </c>
      <c r="D1226" s="1">
        <v>0.0</v>
      </c>
      <c r="E1226" s="1">
        <v>0.0</v>
      </c>
      <c r="F1226" s="1">
        <v>0.0</v>
      </c>
      <c r="G1226" s="2">
        <v>0.0</v>
      </c>
      <c r="H1226" s="1" t="s">
        <v>285</v>
      </c>
      <c r="I1226" s="1">
        <v>0.0</v>
      </c>
      <c r="J1226" s="1">
        <v>0.0</v>
      </c>
    </row>
    <row r="1227">
      <c r="A1227" s="1">
        <v>1.0</v>
      </c>
      <c r="B1227" s="1">
        <v>4.0</v>
      </c>
      <c r="C1227" s="1">
        <v>0.0</v>
      </c>
      <c r="D1227" s="1">
        <v>0.0</v>
      </c>
      <c r="E1227" s="1">
        <v>0.0</v>
      </c>
      <c r="F1227" s="1">
        <v>0.0</v>
      </c>
      <c r="G1227" s="2">
        <v>0.0</v>
      </c>
      <c r="H1227" s="1" t="s">
        <v>246</v>
      </c>
      <c r="I1227" s="1">
        <v>0.0</v>
      </c>
      <c r="J1227" s="1">
        <v>0.0</v>
      </c>
    </row>
    <row r="1228">
      <c r="A1228" s="1">
        <v>4.0</v>
      </c>
      <c r="B1228" s="1">
        <v>16.0</v>
      </c>
      <c r="C1228" s="1">
        <v>2.0</v>
      </c>
      <c r="D1228" s="1">
        <v>-1.0</v>
      </c>
      <c r="E1228" s="1">
        <v>0.25</v>
      </c>
      <c r="F1228" s="1">
        <v>0.0</v>
      </c>
      <c r="G1228" s="2">
        <v>0.0</v>
      </c>
      <c r="H1228" s="1" t="s">
        <v>295</v>
      </c>
      <c r="I1228" s="1">
        <v>-4.0</v>
      </c>
      <c r="J1228" s="1">
        <v>1.0</v>
      </c>
    </row>
    <row r="1229">
      <c r="A1229" s="1">
        <v>5.0</v>
      </c>
      <c r="B1229" s="1">
        <v>20.0</v>
      </c>
      <c r="C1229" s="1">
        <v>9.0</v>
      </c>
      <c r="D1229" s="1">
        <v>4.0</v>
      </c>
      <c r="E1229" s="1">
        <v>0.2</v>
      </c>
      <c r="F1229" s="1">
        <v>0.0</v>
      </c>
      <c r="G1229" s="6">
        <v>0.667</v>
      </c>
      <c r="H1229" s="1" t="s">
        <v>286</v>
      </c>
      <c r="I1229" s="1">
        <v>20.0</v>
      </c>
      <c r="J1229" s="1">
        <v>1.0</v>
      </c>
    </row>
    <row r="1230">
      <c r="A1230" s="1">
        <v>5.0</v>
      </c>
      <c r="B1230" s="1">
        <v>20.0</v>
      </c>
      <c r="C1230" s="1">
        <v>0.0</v>
      </c>
      <c r="D1230" s="1">
        <v>0.0</v>
      </c>
      <c r="E1230" s="1">
        <v>0.0</v>
      </c>
      <c r="F1230" s="1">
        <v>0.0</v>
      </c>
      <c r="G1230" s="2">
        <v>0.0</v>
      </c>
      <c r="H1230" s="1" t="s">
        <v>297</v>
      </c>
      <c r="I1230" s="1">
        <v>0.0</v>
      </c>
      <c r="J1230" s="1">
        <v>0.0</v>
      </c>
    </row>
    <row r="1231">
      <c r="A1231" s="1">
        <v>3.0</v>
      </c>
      <c r="B1231" s="1">
        <v>12.0</v>
      </c>
      <c r="C1231" s="1">
        <v>1.0</v>
      </c>
      <c r="D1231" s="1">
        <v>1.33</v>
      </c>
      <c r="E1231" s="1">
        <v>0.0</v>
      </c>
      <c r="F1231" s="1">
        <v>0.0</v>
      </c>
      <c r="G1231" s="2">
        <v>1.0</v>
      </c>
      <c r="H1231" s="1" t="s">
        <v>298</v>
      </c>
      <c r="I1231" s="1">
        <v>4.0</v>
      </c>
      <c r="J1231" s="1">
        <v>0.0</v>
      </c>
    </row>
    <row r="1232">
      <c r="A1232" s="1">
        <v>4.0</v>
      </c>
      <c r="B1232" s="1">
        <v>16.0</v>
      </c>
      <c r="C1232" s="1">
        <v>3.0</v>
      </c>
      <c r="D1232" s="1">
        <v>0.0</v>
      </c>
      <c r="E1232" s="1">
        <v>0.0</v>
      </c>
      <c r="F1232" s="1">
        <v>0.0</v>
      </c>
      <c r="G1232" s="2">
        <v>0.0</v>
      </c>
      <c r="H1232" s="1" t="s">
        <v>296</v>
      </c>
      <c r="I1232" s="1">
        <v>0.0</v>
      </c>
      <c r="J1232" s="1">
        <v>0.0</v>
      </c>
    </row>
    <row r="1233">
      <c r="A1233" s="1">
        <v>4.0</v>
      </c>
      <c r="B1233" s="1">
        <v>16.0</v>
      </c>
      <c r="C1233" s="1">
        <v>4.0</v>
      </c>
      <c r="D1233" s="1">
        <v>2.0</v>
      </c>
      <c r="E1233" s="1">
        <v>0.25</v>
      </c>
      <c r="F1233" s="1">
        <v>0.0</v>
      </c>
      <c r="G1233" s="2">
        <v>0.75</v>
      </c>
      <c r="H1233" s="1" t="s">
        <v>175</v>
      </c>
      <c r="I1233" s="1">
        <v>8.0</v>
      </c>
      <c r="J1233" s="1">
        <v>1.0</v>
      </c>
    </row>
    <row r="1234">
      <c r="A1234" s="1">
        <v>4.0</v>
      </c>
      <c r="B1234" s="1">
        <v>16.0</v>
      </c>
      <c r="C1234" s="1">
        <v>0.0</v>
      </c>
      <c r="D1234" s="1">
        <v>0.0</v>
      </c>
      <c r="E1234" s="1">
        <v>0.0</v>
      </c>
      <c r="F1234" s="1">
        <v>0.0</v>
      </c>
      <c r="G1234" s="2">
        <v>0.0</v>
      </c>
      <c r="H1234" s="1" t="s">
        <v>300</v>
      </c>
      <c r="I1234" s="1">
        <v>0.0</v>
      </c>
      <c r="J1234" s="1">
        <v>0.0</v>
      </c>
    </row>
    <row r="1235">
      <c r="A1235" s="1">
        <v>4.0</v>
      </c>
      <c r="B1235" s="1">
        <v>16.0</v>
      </c>
      <c r="C1235" s="1">
        <v>0.0</v>
      </c>
      <c r="D1235" s="1">
        <v>0.0</v>
      </c>
      <c r="E1235" s="1">
        <v>0.0</v>
      </c>
      <c r="F1235" s="1">
        <v>0.0</v>
      </c>
      <c r="G1235" s="2">
        <v>0.0</v>
      </c>
      <c r="H1235" s="1" t="s">
        <v>271</v>
      </c>
      <c r="I1235" s="1">
        <v>0.0</v>
      </c>
      <c r="J1235" s="1">
        <v>0.0</v>
      </c>
    </row>
    <row r="1236">
      <c r="A1236" s="1">
        <v>1.0</v>
      </c>
      <c r="B1236" s="1">
        <v>4.0</v>
      </c>
      <c r="C1236" s="1">
        <v>0.0</v>
      </c>
      <c r="D1236" s="1">
        <v>0.0</v>
      </c>
      <c r="E1236" s="1">
        <v>0.0</v>
      </c>
      <c r="F1236" s="1">
        <v>0.0</v>
      </c>
      <c r="G1236" s="2">
        <v>0.0</v>
      </c>
      <c r="H1236" s="1" t="s">
        <v>271</v>
      </c>
      <c r="I1236" s="1">
        <v>0.0</v>
      </c>
      <c r="J1236" s="1">
        <v>0.0</v>
      </c>
    </row>
    <row r="1237">
      <c r="A1237" s="1">
        <v>4.0</v>
      </c>
      <c r="B1237" s="1">
        <v>16.0</v>
      </c>
      <c r="C1237" s="1">
        <v>6.0</v>
      </c>
      <c r="D1237" s="1">
        <v>4.0</v>
      </c>
      <c r="E1237" s="1">
        <v>0.0</v>
      </c>
      <c r="F1237" s="1">
        <v>0.0</v>
      </c>
      <c r="G1237" s="6">
        <v>0.667</v>
      </c>
      <c r="H1237" s="1" t="s">
        <v>249</v>
      </c>
      <c r="I1237" s="1">
        <v>16.0</v>
      </c>
      <c r="J1237" s="1">
        <v>0.0</v>
      </c>
    </row>
    <row r="1238">
      <c r="A1238" s="1">
        <v>1.0</v>
      </c>
      <c r="B1238" s="1">
        <v>4.0</v>
      </c>
      <c r="C1238" s="1">
        <v>1.0</v>
      </c>
      <c r="D1238" s="1">
        <v>4.0</v>
      </c>
      <c r="E1238" s="1">
        <v>0.0</v>
      </c>
      <c r="F1238" s="1">
        <v>0.0</v>
      </c>
      <c r="G1238" s="2">
        <v>1.0</v>
      </c>
      <c r="H1238" s="1" t="s">
        <v>249</v>
      </c>
      <c r="I1238" s="1">
        <v>4.0</v>
      </c>
      <c r="J1238" s="1">
        <v>0.0</v>
      </c>
    </row>
    <row r="1239">
      <c r="A1239" s="1">
        <v>4.0</v>
      </c>
      <c r="B1239" s="1">
        <v>16.0</v>
      </c>
      <c r="C1239" s="1">
        <v>2.0</v>
      </c>
      <c r="D1239" s="1">
        <v>2.0</v>
      </c>
      <c r="E1239" s="1">
        <v>0.0</v>
      </c>
      <c r="F1239" s="1">
        <v>0.0</v>
      </c>
      <c r="G1239" s="2">
        <v>1.0</v>
      </c>
      <c r="H1239" s="1" t="s">
        <v>272</v>
      </c>
      <c r="I1239" s="1">
        <v>8.0</v>
      </c>
      <c r="J1239" s="1">
        <v>0.0</v>
      </c>
    </row>
    <row r="1240">
      <c r="A1240" s="1">
        <v>1.0</v>
      </c>
      <c r="B1240" s="1">
        <v>4.0</v>
      </c>
      <c r="C1240" s="1">
        <v>2.0</v>
      </c>
      <c r="D1240" s="1">
        <v>0.0</v>
      </c>
      <c r="E1240" s="1">
        <v>0.0</v>
      </c>
      <c r="F1240" s="1">
        <v>0.0</v>
      </c>
      <c r="G1240" s="2">
        <v>0.0</v>
      </c>
      <c r="H1240" s="1" t="s">
        <v>272</v>
      </c>
      <c r="I1240" s="1">
        <v>0.0</v>
      </c>
      <c r="J1240" s="1">
        <v>0.0</v>
      </c>
    </row>
    <row r="1241">
      <c r="A1241" s="1">
        <v>4.0</v>
      </c>
      <c r="B1241" s="1">
        <v>16.0</v>
      </c>
      <c r="C1241" s="1">
        <v>10.0</v>
      </c>
      <c r="D1241" s="1">
        <v>3.0</v>
      </c>
      <c r="E1241" s="1">
        <v>0.25</v>
      </c>
      <c r="F1241" s="1">
        <v>0.0</v>
      </c>
      <c r="G1241" s="2">
        <v>0.4</v>
      </c>
      <c r="H1241" s="1" t="s">
        <v>138</v>
      </c>
      <c r="I1241" s="1">
        <v>12.0</v>
      </c>
      <c r="J1241" s="1">
        <v>1.0</v>
      </c>
    </row>
    <row r="1242">
      <c r="A1242" s="1">
        <v>1.0</v>
      </c>
      <c r="B1242" s="1">
        <v>4.0</v>
      </c>
      <c r="C1242" s="1">
        <v>0.0</v>
      </c>
      <c r="D1242" s="1">
        <v>0.0</v>
      </c>
      <c r="E1242" s="1">
        <v>0.0</v>
      </c>
      <c r="F1242" s="1">
        <v>0.0</v>
      </c>
      <c r="G1242" s="2">
        <v>0.0</v>
      </c>
      <c r="H1242" s="1" t="s">
        <v>138</v>
      </c>
      <c r="I1242" s="1">
        <v>0.0</v>
      </c>
      <c r="J1242" s="1">
        <v>0.0</v>
      </c>
    </row>
    <row r="1243">
      <c r="A1243" s="1">
        <v>2.0</v>
      </c>
      <c r="B1243" s="1">
        <v>8.0</v>
      </c>
      <c r="C1243" s="1">
        <v>0.0</v>
      </c>
      <c r="D1243" s="1">
        <v>0.0</v>
      </c>
      <c r="E1243" s="1">
        <v>0.0</v>
      </c>
      <c r="F1243" s="1">
        <v>0.0</v>
      </c>
      <c r="G1243" s="2">
        <v>0.0</v>
      </c>
      <c r="H1243" s="1" t="s">
        <v>303</v>
      </c>
      <c r="I1243" s="1">
        <v>0.0</v>
      </c>
      <c r="J1243" s="1">
        <v>0.0</v>
      </c>
    </row>
    <row r="1244">
      <c r="A1244" s="1">
        <v>4.0</v>
      </c>
      <c r="B1244" s="1">
        <v>16.0</v>
      </c>
      <c r="C1244" s="1">
        <v>0.0</v>
      </c>
      <c r="D1244" s="1">
        <v>0.0</v>
      </c>
      <c r="E1244" s="1">
        <v>0.0</v>
      </c>
      <c r="F1244" s="1">
        <v>0.0</v>
      </c>
      <c r="G1244" s="2">
        <v>0.0</v>
      </c>
      <c r="H1244" s="1" t="s">
        <v>304</v>
      </c>
      <c r="I1244" s="1">
        <v>0.0</v>
      </c>
      <c r="J1244" s="1">
        <v>0.0</v>
      </c>
    </row>
    <row r="1245">
      <c r="A1245" s="1">
        <v>1.0</v>
      </c>
      <c r="B1245" s="1">
        <v>4.0</v>
      </c>
      <c r="C1245" s="1">
        <v>0.0</v>
      </c>
      <c r="D1245" s="1">
        <v>0.0</v>
      </c>
      <c r="E1245" s="1">
        <v>0.0</v>
      </c>
      <c r="F1245" s="1">
        <v>0.0</v>
      </c>
      <c r="G1245" s="2">
        <v>0.0</v>
      </c>
      <c r="H1245" s="1" t="s">
        <v>305</v>
      </c>
      <c r="I1245" s="1">
        <v>0.0</v>
      </c>
      <c r="J1245" s="1">
        <v>0.0</v>
      </c>
    </row>
    <row r="1246">
      <c r="A1246" s="1">
        <v>1.0</v>
      </c>
      <c r="B1246" s="1">
        <v>4.0</v>
      </c>
      <c r="C1246" s="1">
        <v>2.0</v>
      </c>
      <c r="D1246" s="1">
        <v>8.0</v>
      </c>
      <c r="E1246" s="1">
        <v>0.0</v>
      </c>
      <c r="F1246" s="1">
        <v>0.0</v>
      </c>
      <c r="G1246" s="2">
        <v>1.0</v>
      </c>
      <c r="H1246" s="1" t="s">
        <v>306</v>
      </c>
      <c r="I1246" s="1">
        <v>8.0</v>
      </c>
      <c r="J1246" s="1">
        <v>0.0</v>
      </c>
    </row>
    <row r="1247">
      <c r="A1247" s="1">
        <v>1.0</v>
      </c>
      <c r="B1247" s="1">
        <v>4.0</v>
      </c>
      <c r="C1247" s="1">
        <v>0.0</v>
      </c>
      <c r="D1247" s="1">
        <v>0.0</v>
      </c>
      <c r="E1247" s="1">
        <v>0.0</v>
      </c>
      <c r="F1247" s="1">
        <v>0.0</v>
      </c>
      <c r="G1247" s="2">
        <v>0.0</v>
      </c>
      <c r="H1247" s="1" t="s">
        <v>306</v>
      </c>
      <c r="I1247" s="1">
        <v>0.0</v>
      </c>
      <c r="J1247" s="1">
        <v>0.0</v>
      </c>
    </row>
    <row r="1248">
      <c r="A1248" s="1">
        <v>1.0</v>
      </c>
      <c r="B1248" s="1">
        <v>4.0</v>
      </c>
      <c r="C1248" s="1">
        <v>0.0</v>
      </c>
      <c r="D1248" s="1">
        <v>0.0</v>
      </c>
      <c r="E1248" s="1">
        <v>0.0</v>
      </c>
      <c r="F1248" s="1">
        <v>0.0</v>
      </c>
      <c r="G1248" s="2">
        <v>0.0</v>
      </c>
      <c r="H1248" s="1" t="s">
        <v>306</v>
      </c>
      <c r="I1248" s="1">
        <v>0.0</v>
      </c>
      <c r="J1248" s="1">
        <v>0.0</v>
      </c>
    </row>
    <row r="1249">
      <c r="A1249" s="1">
        <v>1.0</v>
      </c>
      <c r="B1249" s="1">
        <v>4.0</v>
      </c>
      <c r="C1249" s="1">
        <v>1.0</v>
      </c>
      <c r="D1249" s="1">
        <v>0.0</v>
      </c>
      <c r="E1249" s="1">
        <v>0.0</v>
      </c>
      <c r="F1249" s="1">
        <v>0.0</v>
      </c>
      <c r="G1249" s="2">
        <v>0.0</v>
      </c>
      <c r="H1249" s="1" t="s">
        <v>306</v>
      </c>
      <c r="I1249" s="1">
        <v>0.0</v>
      </c>
      <c r="J1249" s="1">
        <v>0.0</v>
      </c>
    </row>
    <row r="1250">
      <c r="A1250" s="1">
        <v>1.0</v>
      </c>
      <c r="B1250" s="1">
        <v>4.0</v>
      </c>
      <c r="C1250" s="1">
        <v>0.0</v>
      </c>
      <c r="D1250" s="1">
        <v>0.0</v>
      </c>
      <c r="E1250" s="1">
        <v>0.0</v>
      </c>
      <c r="F1250" s="1">
        <v>0.0</v>
      </c>
      <c r="G1250" s="2">
        <v>0.0</v>
      </c>
      <c r="H1250" s="1" t="s">
        <v>141</v>
      </c>
      <c r="I1250" s="1">
        <v>0.0</v>
      </c>
      <c r="J1250" s="1">
        <v>0.0</v>
      </c>
    </row>
    <row r="1251">
      <c r="A1251" s="1">
        <v>1.0</v>
      </c>
      <c r="B1251" s="1">
        <v>4.0</v>
      </c>
      <c r="C1251" s="1">
        <v>0.0</v>
      </c>
      <c r="D1251" s="1">
        <v>0.0</v>
      </c>
      <c r="E1251" s="1">
        <v>0.0</v>
      </c>
      <c r="F1251" s="1">
        <v>0.0</v>
      </c>
      <c r="G1251" s="2">
        <v>0.0</v>
      </c>
      <c r="H1251" s="1" t="s">
        <v>141</v>
      </c>
      <c r="I1251" s="1">
        <v>0.0</v>
      </c>
      <c r="J1251" s="1">
        <v>0.0</v>
      </c>
    </row>
    <row r="1252">
      <c r="A1252" s="1">
        <v>1.0</v>
      </c>
      <c r="B1252" s="1">
        <v>4.0</v>
      </c>
      <c r="C1252" s="1">
        <v>4.0</v>
      </c>
      <c r="D1252" s="1">
        <v>12.0</v>
      </c>
      <c r="E1252" s="1">
        <v>0.0</v>
      </c>
      <c r="F1252" s="1">
        <v>0.0</v>
      </c>
      <c r="G1252" s="2">
        <v>0.75</v>
      </c>
      <c r="H1252" s="1" t="s">
        <v>141</v>
      </c>
      <c r="I1252" s="1">
        <v>12.0</v>
      </c>
      <c r="J1252" s="1">
        <v>0.0</v>
      </c>
    </row>
    <row r="1253">
      <c r="A1253" s="1">
        <v>1.0</v>
      </c>
      <c r="B1253" s="1">
        <v>4.0</v>
      </c>
      <c r="C1253" s="1">
        <v>0.0</v>
      </c>
      <c r="D1253" s="1">
        <v>0.0</v>
      </c>
      <c r="E1253" s="1">
        <v>0.0</v>
      </c>
      <c r="F1253" s="1">
        <v>0.0</v>
      </c>
      <c r="G1253" s="2">
        <v>0.0</v>
      </c>
      <c r="H1253" s="1" t="s">
        <v>141</v>
      </c>
      <c r="I1253" s="1">
        <v>0.0</v>
      </c>
      <c r="J1253" s="1">
        <v>0.0</v>
      </c>
    </row>
    <row r="1254">
      <c r="A1254" s="1">
        <v>1.0</v>
      </c>
      <c r="B1254" s="1">
        <v>4.0</v>
      </c>
      <c r="C1254" s="1">
        <v>1.0</v>
      </c>
      <c r="D1254" s="1">
        <v>4.0</v>
      </c>
      <c r="E1254" s="1">
        <v>0.0</v>
      </c>
      <c r="F1254" s="1">
        <v>0.0</v>
      </c>
      <c r="G1254" s="2">
        <v>1.0</v>
      </c>
      <c r="H1254" s="1" t="s">
        <v>308</v>
      </c>
      <c r="I1254" s="1">
        <v>4.0</v>
      </c>
      <c r="J1254" s="1">
        <v>0.0</v>
      </c>
    </row>
    <row r="1255">
      <c r="A1255" s="1">
        <v>1.0</v>
      </c>
      <c r="B1255" s="1">
        <v>4.0</v>
      </c>
      <c r="C1255" s="1">
        <v>2.0</v>
      </c>
      <c r="D1255" s="1">
        <v>8.0</v>
      </c>
      <c r="E1255" s="1">
        <v>0.0</v>
      </c>
      <c r="F1255" s="1">
        <v>0.0</v>
      </c>
      <c r="G1255" s="2">
        <v>1.0</v>
      </c>
      <c r="H1255" s="1" t="s">
        <v>308</v>
      </c>
      <c r="I1255" s="1">
        <v>8.0</v>
      </c>
      <c r="J1255" s="1">
        <v>0.0</v>
      </c>
    </row>
    <row r="1256">
      <c r="A1256" s="1">
        <v>1.0</v>
      </c>
      <c r="B1256" s="1">
        <v>4.0</v>
      </c>
      <c r="C1256" s="1">
        <v>0.0</v>
      </c>
      <c r="D1256" s="1">
        <v>0.0</v>
      </c>
      <c r="E1256" s="1">
        <v>0.0</v>
      </c>
      <c r="F1256" s="1">
        <v>0.0</v>
      </c>
      <c r="G1256" s="2">
        <v>0.0</v>
      </c>
      <c r="H1256" s="1" t="s">
        <v>308</v>
      </c>
      <c r="I1256" s="1">
        <v>0.0</v>
      </c>
      <c r="J1256" s="1">
        <v>0.0</v>
      </c>
    </row>
    <row r="1257">
      <c r="A1257" s="1">
        <v>1.0</v>
      </c>
      <c r="B1257" s="1">
        <v>4.0</v>
      </c>
      <c r="C1257" s="1">
        <v>0.0</v>
      </c>
      <c r="D1257" s="1">
        <v>0.0</v>
      </c>
      <c r="E1257" s="1">
        <v>0.0</v>
      </c>
      <c r="F1257" s="1">
        <v>0.0</v>
      </c>
      <c r="G1257" s="2">
        <v>0.0</v>
      </c>
      <c r="H1257" s="1" t="s">
        <v>309</v>
      </c>
      <c r="I1257" s="1">
        <v>0.0</v>
      </c>
      <c r="J1257" s="1">
        <v>0.0</v>
      </c>
    </row>
    <row r="1258">
      <c r="A1258" s="1">
        <v>1.0</v>
      </c>
      <c r="B1258" s="1">
        <v>4.0</v>
      </c>
      <c r="C1258" s="1">
        <v>0.0</v>
      </c>
      <c r="D1258" s="1">
        <v>0.0</v>
      </c>
      <c r="E1258" s="1">
        <v>0.0</v>
      </c>
      <c r="F1258" s="1">
        <v>0.0</v>
      </c>
      <c r="G1258" s="2">
        <v>0.0</v>
      </c>
      <c r="H1258" s="1" t="s">
        <v>309</v>
      </c>
      <c r="I1258" s="1">
        <v>0.0</v>
      </c>
      <c r="J1258" s="1">
        <v>0.0</v>
      </c>
    </row>
    <row r="1259">
      <c r="A1259" s="1">
        <v>1.0</v>
      </c>
      <c r="B1259" s="1">
        <v>4.0</v>
      </c>
      <c r="C1259" s="1">
        <v>0.0</v>
      </c>
      <c r="D1259" s="1">
        <v>0.0</v>
      </c>
      <c r="E1259" s="1">
        <v>0.0</v>
      </c>
      <c r="F1259" s="1">
        <v>0.0</v>
      </c>
      <c r="G1259" s="2">
        <v>0.0</v>
      </c>
      <c r="H1259" s="1" t="s">
        <v>310</v>
      </c>
      <c r="I1259" s="1">
        <v>0.0</v>
      </c>
      <c r="J1259" s="1">
        <v>0.0</v>
      </c>
    </row>
    <row r="1260">
      <c r="A1260" s="1">
        <v>1.0</v>
      </c>
      <c r="B1260" s="1">
        <v>4.0</v>
      </c>
      <c r="C1260" s="1">
        <v>0.0</v>
      </c>
      <c r="D1260" s="1">
        <v>0.0</v>
      </c>
      <c r="E1260" s="1">
        <v>0.0</v>
      </c>
      <c r="F1260" s="1">
        <v>0.0</v>
      </c>
      <c r="G1260" s="2">
        <v>0.0</v>
      </c>
      <c r="H1260" s="1" t="s">
        <v>310</v>
      </c>
      <c r="I1260" s="1">
        <v>0.0</v>
      </c>
      <c r="J1260" s="1">
        <v>0.0</v>
      </c>
    </row>
    <row r="1261">
      <c r="A1261" s="1">
        <v>1.0</v>
      </c>
      <c r="B1261" s="1">
        <v>4.0</v>
      </c>
      <c r="C1261" s="1">
        <v>1.0</v>
      </c>
      <c r="D1261" s="1">
        <v>4.0</v>
      </c>
      <c r="E1261" s="1">
        <v>0.0</v>
      </c>
      <c r="F1261" s="1">
        <v>0.0</v>
      </c>
      <c r="G1261" s="2">
        <v>1.0</v>
      </c>
      <c r="H1261" s="1" t="s">
        <v>252</v>
      </c>
      <c r="I1261" s="1">
        <v>4.0</v>
      </c>
      <c r="J1261" s="1">
        <v>0.0</v>
      </c>
    </row>
    <row r="1262">
      <c r="A1262" s="1">
        <v>2.0</v>
      </c>
      <c r="B1262" s="1">
        <v>8.0</v>
      </c>
      <c r="C1262" s="1">
        <v>0.0</v>
      </c>
      <c r="D1262" s="1">
        <v>0.0</v>
      </c>
      <c r="E1262" s="1">
        <v>0.0</v>
      </c>
      <c r="F1262" s="1">
        <v>0.0</v>
      </c>
      <c r="G1262" s="2">
        <v>0.0</v>
      </c>
      <c r="H1262" s="1" t="s">
        <v>252</v>
      </c>
      <c r="I1262" s="1">
        <v>0.0</v>
      </c>
      <c r="J1262" s="1">
        <v>0.0</v>
      </c>
    </row>
    <row r="1263">
      <c r="A1263" s="1">
        <v>3.0</v>
      </c>
      <c r="B1263" s="1">
        <v>12.0</v>
      </c>
      <c r="C1263" s="1">
        <v>4.0</v>
      </c>
      <c r="D1263" s="1">
        <v>4.0</v>
      </c>
      <c r="E1263" s="1">
        <v>0.0</v>
      </c>
      <c r="F1263" s="1">
        <v>0.0</v>
      </c>
      <c r="G1263" s="2">
        <v>0.75</v>
      </c>
      <c r="H1263" s="1" t="s">
        <v>274</v>
      </c>
      <c r="I1263" s="1">
        <v>12.0</v>
      </c>
      <c r="J1263" s="1">
        <v>0.0</v>
      </c>
    </row>
    <row r="1264">
      <c r="A1264" s="1">
        <v>2.0</v>
      </c>
      <c r="B1264" s="1">
        <v>8.0</v>
      </c>
      <c r="C1264" s="1">
        <v>4.0</v>
      </c>
      <c r="D1264" s="1">
        <v>6.0</v>
      </c>
      <c r="E1264" s="1">
        <v>0.0</v>
      </c>
      <c r="F1264" s="1">
        <v>0.0</v>
      </c>
      <c r="G1264" s="2">
        <v>0.75</v>
      </c>
      <c r="H1264" s="1" t="s">
        <v>274</v>
      </c>
      <c r="I1264" s="1">
        <v>12.0</v>
      </c>
      <c r="J1264" s="1">
        <v>0.0</v>
      </c>
    </row>
    <row r="1265">
      <c r="A1265" s="1">
        <v>3.0</v>
      </c>
      <c r="B1265" s="1">
        <v>12.0</v>
      </c>
      <c r="C1265" s="1">
        <v>3.0</v>
      </c>
      <c r="D1265" s="1">
        <v>1.33</v>
      </c>
      <c r="E1265" s="1">
        <v>0.33</v>
      </c>
      <c r="F1265" s="1">
        <v>0.0</v>
      </c>
      <c r="G1265" s="6">
        <v>0.667</v>
      </c>
      <c r="H1265" s="1" t="s">
        <v>230</v>
      </c>
      <c r="I1265" s="1">
        <v>4.0</v>
      </c>
      <c r="J1265" s="1">
        <v>1.0</v>
      </c>
    </row>
    <row r="1266">
      <c r="A1266" s="1">
        <v>2.0</v>
      </c>
      <c r="B1266" s="1">
        <v>8.0</v>
      </c>
      <c r="C1266" s="1">
        <v>1.0</v>
      </c>
      <c r="D1266" s="1">
        <v>-2.0</v>
      </c>
      <c r="E1266" s="1">
        <v>0.5</v>
      </c>
      <c r="F1266" s="1">
        <v>0.0</v>
      </c>
      <c r="G1266" s="2">
        <v>0.0</v>
      </c>
      <c r="H1266" s="1" t="s">
        <v>230</v>
      </c>
      <c r="I1266" s="1">
        <v>-4.0</v>
      </c>
      <c r="J1266" s="1">
        <v>1.0</v>
      </c>
    </row>
    <row r="1267">
      <c r="A1267" s="1">
        <v>1.0</v>
      </c>
      <c r="B1267" s="1">
        <v>4.0</v>
      </c>
      <c r="C1267" s="1">
        <v>0.0</v>
      </c>
      <c r="D1267" s="1">
        <v>0.0</v>
      </c>
      <c r="E1267" s="1">
        <v>0.0</v>
      </c>
      <c r="F1267" s="1">
        <v>0.0</v>
      </c>
      <c r="G1267" s="2">
        <v>0.0</v>
      </c>
      <c r="H1267" s="1" t="s">
        <v>313</v>
      </c>
      <c r="I1267" s="1">
        <v>0.0</v>
      </c>
      <c r="J1267" s="1">
        <v>0.0</v>
      </c>
    </row>
    <row r="1268">
      <c r="A1268" s="1">
        <v>1.0</v>
      </c>
      <c r="B1268" s="1">
        <v>4.0</v>
      </c>
      <c r="C1268" s="1">
        <v>0.0</v>
      </c>
      <c r="D1268" s="1">
        <v>0.0</v>
      </c>
      <c r="E1268" s="1">
        <v>0.0</v>
      </c>
      <c r="F1268" s="1">
        <v>0.0</v>
      </c>
      <c r="G1268" s="2">
        <v>0.0</v>
      </c>
      <c r="H1268" s="1" t="s">
        <v>313</v>
      </c>
      <c r="I1268" s="1">
        <v>0.0</v>
      </c>
      <c r="J1268" s="1">
        <v>0.0</v>
      </c>
    </row>
    <row r="1269">
      <c r="A1269" s="1">
        <v>2.0</v>
      </c>
      <c r="B1269" s="1">
        <v>8.0</v>
      </c>
      <c r="C1269" s="1">
        <v>0.0</v>
      </c>
      <c r="D1269" s="1">
        <v>0.0</v>
      </c>
      <c r="E1269" s="1">
        <v>0.0</v>
      </c>
      <c r="F1269" s="1">
        <v>0.0</v>
      </c>
      <c r="G1269" s="2">
        <v>0.0</v>
      </c>
      <c r="H1269" s="1" t="s">
        <v>314</v>
      </c>
      <c r="I1269" s="1">
        <v>0.0</v>
      </c>
      <c r="J1269" s="1">
        <v>0.0</v>
      </c>
    </row>
    <row r="1270">
      <c r="A1270" s="1">
        <v>1.0</v>
      </c>
      <c r="B1270" s="1">
        <v>4.0</v>
      </c>
      <c r="C1270" s="1">
        <v>2.0</v>
      </c>
      <c r="D1270" s="1">
        <v>8.0</v>
      </c>
      <c r="E1270" s="1">
        <v>0.0</v>
      </c>
      <c r="F1270" s="1">
        <v>0.0</v>
      </c>
      <c r="G1270" s="2">
        <v>1.0</v>
      </c>
      <c r="H1270" s="1" t="s">
        <v>314</v>
      </c>
      <c r="I1270" s="1">
        <v>8.0</v>
      </c>
      <c r="J1270" s="1">
        <v>0.0</v>
      </c>
    </row>
    <row r="1271">
      <c r="A1271" s="1">
        <v>3.0</v>
      </c>
      <c r="B1271" s="1">
        <v>12.0</v>
      </c>
      <c r="C1271" s="1">
        <v>3.0</v>
      </c>
      <c r="D1271" s="1">
        <v>-1.33</v>
      </c>
      <c r="E1271" s="1">
        <v>0.67</v>
      </c>
      <c r="F1271" s="1">
        <v>0.0</v>
      </c>
      <c r="G1271" s="6">
        <v>0.333</v>
      </c>
      <c r="H1271" s="1" t="s">
        <v>315</v>
      </c>
      <c r="I1271" s="1">
        <v>-4.0</v>
      </c>
      <c r="J1271" s="1">
        <v>2.0</v>
      </c>
    </row>
    <row r="1272">
      <c r="A1272" s="1">
        <v>1.0</v>
      </c>
      <c r="B1272" s="1">
        <v>4.0</v>
      </c>
      <c r="C1272" s="1">
        <v>0.0</v>
      </c>
      <c r="D1272" s="1">
        <v>0.0</v>
      </c>
      <c r="E1272" s="1">
        <v>0.0</v>
      </c>
      <c r="F1272" s="1">
        <v>0.0</v>
      </c>
      <c r="G1272" s="2">
        <v>0.0</v>
      </c>
      <c r="H1272" s="1" t="s">
        <v>315</v>
      </c>
      <c r="I1272" s="1">
        <v>0.0</v>
      </c>
      <c r="J1272" s="1">
        <v>0.0</v>
      </c>
    </row>
    <row r="1273">
      <c r="A1273" s="1">
        <v>3.0</v>
      </c>
      <c r="B1273" s="1">
        <v>12.0</v>
      </c>
      <c r="C1273" s="1">
        <v>2.0</v>
      </c>
      <c r="D1273" s="1">
        <v>2.67</v>
      </c>
      <c r="E1273" s="1">
        <v>0.0</v>
      </c>
      <c r="F1273" s="1">
        <v>0.0</v>
      </c>
      <c r="G1273" s="2">
        <v>1.0</v>
      </c>
      <c r="H1273" s="1" t="s">
        <v>316</v>
      </c>
      <c r="I1273" s="1">
        <v>8.0</v>
      </c>
      <c r="J1273" s="1">
        <v>0.0</v>
      </c>
    </row>
    <row r="1274">
      <c r="A1274" s="1">
        <v>1.0</v>
      </c>
      <c r="B1274" s="1">
        <v>4.0</v>
      </c>
      <c r="C1274" s="1">
        <v>1.0</v>
      </c>
      <c r="D1274" s="1">
        <v>4.0</v>
      </c>
      <c r="E1274" s="1">
        <v>0.0</v>
      </c>
      <c r="F1274" s="1">
        <v>0.0</v>
      </c>
      <c r="G1274" s="2">
        <v>1.0</v>
      </c>
      <c r="H1274" s="1" t="s">
        <v>316</v>
      </c>
      <c r="I1274" s="1">
        <v>4.0</v>
      </c>
      <c r="J1274" s="1">
        <v>0.0</v>
      </c>
    </row>
    <row r="1275">
      <c r="A1275" s="1">
        <v>1.0</v>
      </c>
      <c r="B1275" s="1">
        <v>4.0</v>
      </c>
      <c r="C1275" s="1">
        <v>0.0</v>
      </c>
      <c r="D1275" s="1">
        <v>0.0</v>
      </c>
      <c r="E1275" s="1">
        <v>0.0</v>
      </c>
      <c r="F1275" s="1">
        <v>0.0</v>
      </c>
      <c r="G1275" s="2">
        <v>0.0</v>
      </c>
      <c r="H1275" s="1" t="s">
        <v>318</v>
      </c>
      <c r="I1275" s="1">
        <v>0.0</v>
      </c>
      <c r="J1275" s="1">
        <v>0.0</v>
      </c>
    </row>
    <row r="1276">
      <c r="A1276" s="1">
        <v>4.0</v>
      </c>
      <c r="B1276" s="1">
        <v>16.0</v>
      </c>
      <c r="C1276" s="1">
        <v>4.0</v>
      </c>
      <c r="D1276" s="1">
        <v>0.0</v>
      </c>
      <c r="E1276" s="1">
        <v>0.5</v>
      </c>
      <c r="F1276" s="1">
        <v>0.0</v>
      </c>
      <c r="G1276" s="2">
        <v>0.5</v>
      </c>
      <c r="H1276" s="1" t="s">
        <v>254</v>
      </c>
      <c r="I1276" s="1">
        <v>0.0</v>
      </c>
      <c r="J1276" s="1">
        <v>2.0</v>
      </c>
    </row>
    <row r="1277">
      <c r="A1277" s="1">
        <v>1.0</v>
      </c>
      <c r="B1277" s="1">
        <v>4.0</v>
      </c>
      <c r="C1277" s="1">
        <v>0.0</v>
      </c>
      <c r="D1277" s="1">
        <v>0.0</v>
      </c>
      <c r="E1277" s="1">
        <v>0.0</v>
      </c>
      <c r="F1277" s="1">
        <v>0.0</v>
      </c>
      <c r="G1277" s="2">
        <v>0.0</v>
      </c>
      <c r="H1277" s="1" t="s">
        <v>254</v>
      </c>
      <c r="I1277" s="1">
        <v>0.0</v>
      </c>
      <c r="J1277" s="1">
        <v>0.0</v>
      </c>
    </row>
    <row r="1278">
      <c r="A1278" s="1">
        <v>1.0</v>
      </c>
      <c r="B1278" s="1">
        <v>4.0</v>
      </c>
      <c r="C1278" s="1">
        <v>0.0</v>
      </c>
      <c r="D1278" s="1">
        <v>0.0</v>
      </c>
      <c r="E1278" s="1">
        <v>0.0</v>
      </c>
      <c r="F1278" s="1">
        <v>0.0</v>
      </c>
      <c r="G1278" s="2">
        <v>0.0</v>
      </c>
      <c r="H1278" s="1" t="s">
        <v>317</v>
      </c>
      <c r="I1278" s="1">
        <v>0.0</v>
      </c>
      <c r="J1278" s="1">
        <v>0.0</v>
      </c>
    </row>
    <row r="1279">
      <c r="A1279" s="1">
        <v>2.0</v>
      </c>
      <c r="B1279" s="1">
        <v>7.0</v>
      </c>
      <c r="C1279" s="1">
        <v>1.0</v>
      </c>
      <c r="D1279" s="1">
        <v>0.0</v>
      </c>
      <c r="E1279" s="1">
        <v>0.0</v>
      </c>
      <c r="F1279" s="1">
        <v>0.0</v>
      </c>
      <c r="G1279" s="2">
        <v>0.0</v>
      </c>
      <c r="H1279" s="1" t="s">
        <v>317</v>
      </c>
      <c r="I1279" s="1">
        <v>0.0</v>
      </c>
      <c r="J1279" s="1">
        <v>0.0</v>
      </c>
    </row>
    <row r="1280">
      <c r="A1280" s="1">
        <v>2.0</v>
      </c>
      <c r="B1280" s="1">
        <v>4.0</v>
      </c>
      <c r="C1280" s="1">
        <v>2.0</v>
      </c>
      <c r="D1280" s="1">
        <v>0.0</v>
      </c>
      <c r="E1280" s="1">
        <v>0.0</v>
      </c>
      <c r="F1280" s="1">
        <v>0.0</v>
      </c>
      <c r="G1280" s="2">
        <v>0.0</v>
      </c>
      <c r="H1280" s="1" t="s">
        <v>133</v>
      </c>
      <c r="I1280" s="1">
        <v>0.0</v>
      </c>
      <c r="J1280" s="1">
        <v>0.0</v>
      </c>
    </row>
    <row r="1281">
      <c r="A1281" s="1">
        <v>1.0</v>
      </c>
      <c r="B1281" s="1">
        <v>3.0</v>
      </c>
      <c r="C1281" s="1">
        <v>0.0</v>
      </c>
      <c r="D1281" s="1">
        <v>0.0</v>
      </c>
      <c r="E1281" s="1">
        <v>0.0</v>
      </c>
      <c r="F1281" s="1">
        <v>0.0</v>
      </c>
      <c r="G1281" s="2">
        <v>0.0</v>
      </c>
      <c r="H1281" s="1" t="s">
        <v>133</v>
      </c>
      <c r="I1281" s="1">
        <v>0.0</v>
      </c>
      <c r="J1281" s="1">
        <v>0.0</v>
      </c>
    </row>
    <row r="1282">
      <c r="A1282" s="1">
        <v>1.0</v>
      </c>
      <c r="B1282" s="1">
        <v>4.0</v>
      </c>
      <c r="C1282" s="1">
        <v>1.0</v>
      </c>
      <c r="D1282" s="1">
        <v>0.0</v>
      </c>
      <c r="E1282" s="1">
        <v>0.0</v>
      </c>
      <c r="F1282" s="1">
        <v>0.0</v>
      </c>
      <c r="G1282" s="2">
        <v>0.0</v>
      </c>
      <c r="H1282" s="1" t="s">
        <v>319</v>
      </c>
      <c r="I1282" s="1">
        <v>0.0</v>
      </c>
      <c r="J1282" s="1">
        <v>0.0</v>
      </c>
    </row>
    <row r="1283">
      <c r="A1283" s="1">
        <v>5.0</v>
      </c>
      <c r="B1283" s="1">
        <v>15.0</v>
      </c>
      <c r="C1283" s="1">
        <v>4.0</v>
      </c>
      <c r="D1283" s="1">
        <v>2.4</v>
      </c>
      <c r="E1283" s="1">
        <v>0.0</v>
      </c>
      <c r="F1283" s="1">
        <v>0.0</v>
      </c>
      <c r="G1283" s="2">
        <v>0.75</v>
      </c>
      <c r="H1283" s="1" t="s">
        <v>129</v>
      </c>
      <c r="I1283" s="1">
        <v>12.0</v>
      </c>
      <c r="J1283" s="1">
        <v>0.0</v>
      </c>
    </row>
    <row r="1284">
      <c r="A1284" s="1">
        <v>2.0</v>
      </c>
      <c r="B1284" s="1">
        <v>8.0</v>
      </c>
      <c r="C1284" s="1">
        <v>0.0</v>
      </c>
      <c r="D1284" s="1">
        <v>0.0</v>
      </c>
      <c r="E1284" s="1">
        <v>0.0</v>
      </c>
      <c r="F1284" s="1">
        <v>0.0</v>
      </c>
      <c r="G1284" s="2">
        <v>0.0</v>
      </c>
      <c r="H1284" s="1" t="s">
        <v>320</v>
      </c>
      <c r="I1284" s="1">
        <v>0.0</v>
      </c>
      <c r="J1284" s="1">
        <v>0.0</v>
      </c>
    </row>
    <row r="1285">
      <c r="A1285" s="1">
        <v>1.0</v>
      </c>
      <c r="B1285" s="1">
        <v>4.0</v>
      </c>
      <c r="C1285" s="1">
        <v>0.0</v>
      </c>
      <c r="D1285" s="1">
        <v>0.0</v>
      </c>
      <c r="E1285" s="1">
        <v>0.0</v>
      </c>
      <c r="F1285" s="1">
        <v>0.0</v>
      </c>
      <c r="G1285" s="2">
        <v>0.0</v>
      </c>
      <c r="H1285" s="1" t="s">
        <v>320</v>
      </c>
      <c r="I1285" s="1">
        <v>0.0</v>
      </c>
      <c r="J1285" s="1">
        <v>0.0</v>
      </c>
    </row>
    <row r="1286">
      <c r="A1286" s="1">
        <v>2.0</v>
      </c>
      <c r="B1286" s="1">
        <v>8.0</v>
      </c>
      <c r="C1286" s="1">
        <v>2.0</v>
      </c>
      <c r="D1286" s="1">
        <v>2.0</v>
      </c>
      <c r="E1286" s="1">
        <v>0.0</v>
      </c>
      <c r="F1286" s="1">
        <v>0.0</v>
      </c>
      <c r="G1286" s="2">
        <v>0.5</v>
      </c>
      <c r="H1286" s="1" t="s">
        <v>320</v>
      </c>
      <c r="I1286" s="1">
        <v>4.0</v>
      </c>
      <c r="J1286" s="1">
        <v>0.0</v>
      </c>
    </row>
    <row r="1287">
      <c r="A1287" s="1">
        <v>2.0</v>
      </c>
      <c r="B1287" s="1">
        <v>8.0</v>
      </c>
      <c r="C1287" s="1">
        <v>0.0</v>
      </c>
      <c r="D1287" s="1">
        <v>0.0</v>
      </c>
      <c r="E1287" s="1">
        <v>0.0</v>
      </c>
      <c r="F1287" s="1">
        <v>0.0</v>
      </c>
      <c r="G1287" s="2">
        <v>0.0</v>
      </c>
      <c r="H1287" s="1" t="s">
        <v>287</v>
      </c>
      <c r="I1287" s="1">
        <v>0.0</v>
      </c>
      <c r="J1287" s="1">
        <v>0.0</v>
      </c>
    </row>
    <row r="1288">
      <c r="A1288" s="1">
        <v>1.0</v>
      </c>
      <c r="B1288" s="1">
        <v>4.0</v>
      </c>
      <c r="C1288" s="1">
        <v>0.0</v>
      </c>
      <c r="D1288" s="1">
        <v>0.0</v>
      </c>
      <c r="E1288" s="1">
        <v>0.0</v>
      </c>
      <c r="F1288" s="1">
        <v>0.0</v>
      </c>
      <c r="G1288" s="2">
        <v>0.0</v>
      </c>
      <c r="H1288" s="1" t="s">
        <v>287</v>
      </c>
      <c r="I1288" s="1">
        <v>0.0</v>
      </c>
      <c r="J1288" s="1">
        <v>0.0</v>
      </c>
    </row>
    <row r="1289">
      <c r="A1289" s="1">
        <v>2.0</v>
      </c>
      <c r="B1289" s="1">
        <v>8.0</v>
      </c>
      <c r="C1289" s="1">
        <v>0.0</v>
      </c>
      <c r="D1289" s="1">
        <v>0.0</v>
      </c>
      <c r="E1289" s="1">
        <v>0.0</v>
      </c>
      <c r="F1289" s="1">
        <v>0.0</v>
      </c>
      <c r="G1289" s="2">
        <v>0.0</v>
      </c>
      <c r="H1289" s="1" t="s">
        <v>287</v>
      </c>
      <c r="I1289" s="1">
        <v>0.0</v>
      </c>
      <c r="J1289" s="1">
        <v>0.0</v>
      </c>
    </row>
    <row r="1290">
      <c r="A1290" s="1">
        <v>2.0</v>
      </c>
      <c r="B1290" s="1">
        <v>8.0</v>
      </c>
      <c r="C1290" s="1">
        <v>0.0</v>
      </c>
      <c r="D1290" s="1">
        <v>0.0</v>
      </c>
      <c r="E1290" s="1">
        <v>0.0</v>
      </c>
      <c r="F1290" s="1">
        <v>0.0</v>
      </c>
      <c r="G1290" s="2">
        <v>0.0</v>
      </c>
      <c r="H1290" s="1" t="s">
        <v>289</v>
      </c>
      <c r="I1290" s="1">
        <v>0.0</v>
      </c>
      <c r="J1290" s="1">
        <v>0.0</v>
      </c>
    </row>
    <row r="1291">
      <c r="A1291" s="1">
        <v>1.0</v>
      </c>
      <c r="B1291" s="1">
        <v>4.0</v>
      </c>
      <c r="C1291" s="1">
        <v>0.0</v>
      </c>
      <c r="D1291" s="1">
        <v>0.0</v>
      </c>
      <c r="E1291" s="1">
        <v>0.0</v>
      </c>
      <c r="F1291" s="1">
        <v>0.0</v>
      </c>
      <c r="G1291" s="2">
        <v>0.0</v>
      </c>
      <c r="H1291" s="1" t="s">
        <v>289</v>
      </c>
      <c r="I1291" s="1">
        <v>0.0</v>
      </c>
      <c r="J1291" s="1">
        <v>0.0</v>
      </c>
    </row>
    <row r="1292">
      <c r="A1292" s="1">
        <v>2.0</v>
      </c>
      <c r="B1292" s="1">
        <v>8.0</v>
      </c>
      <c r="C1292" s="1">
        <v>0.0</v>
      </c>
      <c r="D1292" s="1">
        <v>0.0</v>
      </c>
      <c r="E1292" s="1">
        <v>0.0</v>
      </c>
      <c r="F1292" s="1">
        <v>0.0</v>
      </c>
      <c r="G1292" s="2">
        <v>0.0</v>
      </c>
      <c r="H1292" s="1" t="s">
        <v>289</v>
      </c>
      <c r="I1292" s="1">
        <v>0.0</v>
      </c>
      <c r="J1292" s="1">
        <v>0.0</v>
      </c>
    </row>
    <row r="1293">
      <c r="A1293" s="1">
        <v>2.0</v>
      </c>
      <c r="B1293" s="1">
        <v>8.0</v>
      </c>
      <c r="C1293" s="1">
        <v>0.0</v>
      </c>
      <c r="D1293" s="1">
        <v>0.0</v>
      </c>
      <c r="E1293" s="1">
        <v>0.0</v>
      </c>
      <c r="F1293" s="1">
        <v>0.0</v>
      </c>
      <c r="G1293" s="2">
        <v>0.0</v>
      </c>
      <c r="H1293" s="1" t="s">
        <v>321</v>
      </c>
      <c r="I1293" s="1">
        <v>0.0</v>
      </c>
      <c r="J1293" s="1">
        <v>0.0</v>
      </c>
    </row>
    <row r="1294">
      <c r="A1294" s="1">
        <v>1.0</v>
      </c>
      <c r="B1294" s="1">
        <v>4.0</v>
      </c>
      <c r="C1294" s="1">
        <v>0.0</v>
      </c>
      <c r="D1294" s="1">
        <v>0.0</v>
      </c>
      <c r="E1294" s="1">
        <v>0.0</v>
      </c>
      <c r="F1294" s="1">
        <v>0.0</v>
      </c>
      <c r="G1294" s="2">
        <v>0.0</v>
      </c>
      <c r="H1294" s="1" t="s">
        <v>321</v>
      </c>
      <c r="I1294" s="1">
        <v>0.0</v>
      </c>
      <c r="J1294" s="1">
        <v>0.0</v>
      </c>
    </row>
    <row r="1295">
      <c r="A1295" s="1">
        <v>1.0</v>
      </c>
      <c r="B1295" s="1">
        <v>4.0</v>
      </c>
      <c r="C1295" s="1">
        <v>0.0</v>
      </c>
      <c r="D1295" s="1">
        <v>0.0</v>
      </c>
      <c r="E1295" s="1">
        <v>0.0</v>
      </c>
      <c r="F1295" s="1">
        <v>0.0</v>
      </c>
      <c r="G1295" s="2">
        <v>0.0</v>
      </c>
      <c r="H1295" s="1" t="s">
        <v>321</v>
      </c>
      <c r="I1295" s="1">
        <v>0.0</v>
      </c>
      <c r="J1295" s="1">
        <v>0.0</v>
      </c>
    </row>
    <row r="1296">
      <c r="A1296" s="1">
        <v>2.0</v>
      </c>
      <c r="B1296" s="1">
        <v>8.0</v>
      </c>
      <c r="C1296" s="1">
        <v>5.0</v>
      </c>
      <c r="D1296" s="1">
        <v>4.0</v>
      </c>
      <c r="E1296" s="1">
        <v>0.0</v>
      </c>
      <c r="F1296" s="1">
        <v>0.0</v>
      </c>
      <c r="G1296" s="2">
        <v>0.4</v>
      </c>
      <c r="H1296" s="1" t="s">
        <v>323</v>
      </c>
      <c r="I1296" s="1">
        <v>8.0</v>
      </c>
      <c r="J1296" s="1">
        <v>0.0</v>
      </c>
    </row>
    <row r="1297">
      <c r="A1297" s="1">
        <v>1.0</v>
      </c>
      <c r="B1297" s="1">
        <v>4.0</v>
      </c>
      <c r="C1297" s="1">
        <v>2.0</v>
      </c>
      <c r="D1297" s="1">
        <v>0.0</v>
      </c>
      <c r="E1297" s="1">
        <v>1.0</v>
      </c>
      <c r="F1297" s="1">
        <v>0.0</v>
      </c>
      <c r="G1297" s="2">
        <v>0.5</v>
      </c>
      <c r="H1297" s="1" t="s">
        <v>323</v>
      </c>
      <c r="I1297" s="1">
        <v>0.0</v>
      </c>
      <c r="J1297" s="1">
        <v>1.0</v>
      </c>
    </row>
    <row r="1298">
      <c r="A1298" s="1">
        <v>2.0</v>
      </c>
      <c r="B1298" s="1">
        <v>8.0</v>
      </c>
      <c r="C1298" s="1">
        <v>3.0</v>
      </c>
      <c r="D1298" s="1">
        <v>-2.0</v>
      </c>
      <c r="E1298" s="1">
        <v>0.5</v>
      </c>
      <c r="F1298" s="1">
        <v>0.0</v>
      </c>
      <c r="G1298" s="2">
        <v>0.0</v>
      </c>
      <c r="H1298" s="1" t="s">
        <v>323</v>
      </c>
      <c r="I1298" s="1">
        <v>-4.0</v>
      </c>
      <c r="J1298" s="1">
        <v>1.0</v>
      </c>
    </row>
    <row r="1299">
      <c r="A1299" s="1">
        <v>1.0</v>
      </c>
      <c r="B1299" s="1">
        <v>4.0</v>
      </c>
      <c r="C1299" s="1">
        <v>0.0</v>
      </c>
      <c r="D1299" s="1">
        <v>0.0</v>
      </c>
      <c r="E1299" s="1">
        <v>0.0</v>
      </c>
      <c r="F1299" s="1">
        <v>0.0</v>
      </c>
      <c r="G1299" s="2">
        <v>0.0</v>
      </c>
      <c r="H1299" s="1" t="s">
        <v>278</v>
      </c>
      <c r="I1299" s="1">
        <v>0.0</v>
      </c>
      <c r="J1299" s="1">
        <v>0.0</v>
      </c>
    </row>
    <row r="1300">
      <c r="A1300" s="1">
        <v>3.0</v>
      </c>
      <c r="B1300" s="1">
        <v>12.0</v>
      </c>
      <c r="C1300" s="1">
        <v>2.0</v>
      </c>
      <c r="D1300" s="1">
        <v>0.0</v>
      </c>
      <c r="E1300" s="1">
        <v>0.33</v>
      </c>
      <c r="F1300" s="1">
        <v>0.0</v>
      </c>
      <c r="G1300" s="2">
        <v>0.5</v>
      </c>
      <c r="H1300" s="1" t="s">
        <v>278</v>
      </c>
      <c r="I1300" s="1">
        <v>0.0</v>
      </c>
      <c r="J1300" s="1">
        <v>1.0</v>
      </c>
    </row>
    <row r="1301">
      <c r="A1301" s="1">
        <v>1.0</v>
      </c>
      <c r="B1301" s="1">
        <v>4.0</v>
      </c>
      <c r="C1301" s="1">
        <v>1.0</v>
      </c>
      <c r="D1301" s="1">
        <v>4.0</v>
      </c>
      <c r="E1301" s="1">
        <v>0.0</v>
      </c>
      <c r="F1301" s="1">
        <v>0.0</v>
      </c>
      <c r="G1301" s="2">
        <v>1.0</v>
      </c>
      <c r="H1301" s="1" t="s">
        <v>325</v>
      </c>
      <c r="I1301" s="1">
        <v>4.0</v>
      </c>
      <c r="J1301" s="1">
        <v>0.0</v>
      </c>
    </row>
    <row r="1302">
      <c r="A1302" s="1">
        <v>4.0</v>
      </c>
      <c r="B1302" s="1">
        <v>16.0</v>
      </c>
      <c r="C1302" s="1">
        <v>1.0</v>
      </c>
      <c r="D1302" s="1">
        <v>1.0</v>
      </c>
      <c r="E1302" s="1">
        <v>0.0</v>
      </c>
      <c r="F1302" s="1">
        <v>0.0</v>
      </c>
      <c r="G1302" s="2">
        <v>1.0</v>
      </c>
      <c r="H1302" s="1" t="s">
        <v>325</v>
      </c>
      <c r="I1302" s="1">
        <v>4.0</v>
      </c>
      <c r="J1302" s="1">
        <v>0.0</v>
      </c>
    </row>
    <row r="1303">
      <c r="A1303" s="1">
        <v>1.0</v>
      </c>
      <c r="B1303" s="1">
        <v>4.0</v>
      </c>
      <c r="C1303" s="1">
        <v>3.0</v>
      </c>
      <c r="D1303" s="1">
        <v>4.0</v>
      </c>
      <c r="E1303" s="1">
        <v>0.0</v>
      </c>
      <c r="F1303" s="1">
        <v>0.0</v>
      </c>
      <c r="G1303" s="6">
        <v>0.333</v>
      </c>
      <c r="H1303" s="1" t="s">
        <v>326</v>
      </c>
      <c r="I1303" s="1">
        <v>4.0</v>
      </c>
      <c r="J1303" s="1">
        <v>0.0</v>
      </c>
    </row>
    <row r="1304">
      <c r="A1304" s="1">
        <v>2.0</v>
      </c>
      <c r="B1304" s="1">
        <v>8.0</v>
      </c>
      <c r="C1304" s="1">
        <v>4.0</v>
      </c>
      <c r="D1304" s="1">
        <v>-2.0</v>
      </c>
      <c r="E1304" s="1">
        <v>0.5</v>
      </c>
      <c r="F1304" s="1">
        <v>0.0</v>
      </c>
      <c r="G1304" s="2">
        <v>0.0</v>
      </c>
      <c r="H1304" s="1" t="s">
        <v>326</v>
      </c>
      <c r="I1304" s="1">
        <v>-4.0</v>
      </c>
      <c r="J1304" s="1">
        <v>1.0</v>
      </c>
    </row>
    <row r="1305">
      <c r="A1305" s="1">
        <v>1.0</v>
      </c>
      <c r="B1305" s="1">
        <v>4.0</v>
      </c>
      <c r="C1305" s="1">
        <v>0.0</v>
      </c>
      <c r="D1305" s="1">
        <v>0.0</v>
      </c>
      <c r="E1305" s="1">
        <v>0.0</v>
      </c>
      <c r="F1305" s="1">
        <v>0.0</v>
      </c>
      <c r="G1305" s="2">
        <v>0.0</v>
      </c>
      <c r="H1305" s="1" t="s">
        <v>311</v>
      </c>
      <c r="I1305" s="1">
        <v>0.0</v>
      </c>
      <c r="J1305" s="1">
        <v>0.0</v>
      </c>
    </row>
    <row r="1306">
      <c r="A1306" s="1">
        <v>4.0</v>
      </c>
      <c r="B1306" s="1">
        <v>16.0</v>
      </c>
      <c r="C1306" s="1">
        <v>1.0</v>
      </c>
      <c r="D1306" s="1">
        <v>0.0</v>
      </c>
      <c r="E1306" s="1">
        <v>0.0</v>
      </c>
      <c r="F1306" s="1">
        <v>0.0</v>
      </c>
      <c r="G1306" s="2">
        <v>0.0</v>
      </c>
      <c r="H1306" s="1" t="s">
        <v>311</v>
      </c>
      <c r="I1306" s="1">
        <v>0.0</v>
      </c>
      <c r="J1306" s="1">
        <v>0.0</v>
      </c>
    </row>
    <row r="1307">
      <c r="A1307" s="1">
        <v>1.0</v>
      </c>
      <c r="B1307" s="1">
        <v>4.0</v>
      </c>
      <c r="C1307" s="1">
        <v>0.0</v>
      </c>
      <c r="D1307" s="1">
        <v>0.0</v>
      </c>
      <c r="E1307" s="1">
        <v>0.0</v>
      </c>
      <c r="F1307" s="1">
        <v>0.0</v>
      </c>
      <c r="G1307" s="2">
        <v>0.0</v>
      </c>
      <c r="H1307" s="1" t="s">
        <v>322</v>
      </c>
      <c r="I1307" s="1">
        <v>0.0</v>
      </c>
      <c r="J1307" s="1">
        <v>0.0</v>
      </c>
    </row>
    <row r="1308">
      <c r="A1308" s="1">
        <v>3.0</v>
      </c>
      <c r="B1308" s="1">
        <v>12.0</v>
      </c>
      <c r="C1308" s="1">
        <v>1.0</v>
      </c>
      <c r="D1308" s="1">
        <v>1.33</v>
      </c>
      <c r="E1308" s="1">
        <v>0.0</v>
      </c>
      <c r="F1308" s="1">
        <v>0.0</v>
      </c>
      <c r="G1308" s="2">
        <v>1.0</v>
      </c>
      <c r="H1308" s="1" t="s">
        <v>322</v>
      </c>
      <c r="I1308" s="1">
        <v>4.0</v>
      </c>
      <c r="J1308" s="1">
        <v>0.0</v>
      </c>
    </row>
    <row r="1309">
      <c r="A1309" s="1">
        <v>3.0</v>
      </c>
      <c r="B1309" s="1">
        <v>12.0</v>
      </c>
      <c r="C1309" s="1">
        <v>1.0</v>
      </c>
      <c r="D1309" s="1">
        <v>0.0</v>
      </c>
      <c r="E1309" s="1">
        <v>0.0</v>
      </c>
      <c r="F1309" s="1">
        <v>0.0</v>
      </c>
      <c r="G1309" s="2">
        <v>0.0</v>
      </c>
      <c r="H1309" s="1" t="s">
        <v>328</v>
      </c>
      <c r="I1309" s="1">
        <v>0.0</v>
      </c>
      <c r="J1309" s="1">
        <v>0.0</v>
      </c>
    </row>
    <row r="1310">
      <c r="A1310" s="1">
        <v>3.0</v>
      </c>
      <c r="B1310" s="1">
        <v>12.0</v>
      </c>
      <c r="C1310" s="1">
        <v>3.0</v>
      </c>
      <c r="D1310" s="1">
        <v>1.33</v>
      </c>
      <c r="E1310" s="1">
        <v>0.0</v>
      </c>
      <c r="F1310" s="1">
        <v>0.0</v>
      </c>
      <c r="G1310" s="6">
        <v>0.333</v>
      </c>
      <c r="H1310" s="1" t="s">
        <v>329</v>
      </c>
      <c r="I1310" s="1">
        <v>4.0</v>
      </c>
      <c r="J1310" s="1">
        <v>0.0</v>
      </c>
    </row>
    <row r="1311">
      <c r="A1311" s="1">
        <v>1.0</v>
      </c>
      <c r="B1311" s="1">
        <v>3.0</v>
      </c>
      <c r="C1311" s="1">
        <v>0.0</v>
      </c>
      <c r="D1311" s="1">
        <v>0.0</v>
      </c>
      <c r="E1311" s="1">
        <v>0.0</v>
      </c>
      <c r="F1311" s="1">
        <v>0.0</v>
      </c>
      <c r="G1311" s="2">
        <v>0.0</v>
      </c>
      <c r="H1311" s="1" t="s">
        <v>329</v>
      </c>
      <c r="I1311" s="1">
        <v>0.0</v>
      </c>
      <c r="J1311" s="1">
        <v>0.0</v>
      </c>
    </row>
    <row r="1312">
      <c r="A1312" s="1">
        <v>2.0</v>
      </c>
      <c r="B1312" s="1">
        <v>7.0</v>
      </c>
      <c r="C1312" s="1">
        <v>2.0</v>
      </c>
      <c r="D1312" s="1">
        <v>0.0</v>
      </c>
      <c r="E1312" s="1">
        <v>0.0</v>
      </c>
      <c r="F1312" s="1">
        <v>0.0</v>
      </c>
      <c r="G1312" s="2">
        <v>0.0</v>
      </c>
      <c r="H1312" s="1" t="s">
        <v>330</v>
      </c>
      <c r="I1312" s="1">
        <v>0.0</v>
      </c>
      <c r="J1312" s="1">
        <v>0.0</v>
      </c>
    </row>
    <row r="1313">
      <c r="A1313" s="1">
        <v>3.0</v>
      </c>
      <c r="B1313" s="1">
        <v>12.0</v>
      </c>
      <c r="C1313" s="1">
        <v>4.0</v>
      </c>
      <c r="D1313" s="1">
        <v>1.33</v>
      </c>
      <c r="E1313" s="1">
        <v>0.0</v>
      </c>
      <c r="F1313" s="1">
        <v>0.0</v>
      </c>
      <c r="G1313" s="2">
        <v>0.25</v>
      </c>
      <c r="H1313" s="1" t="s">
        <v>330</v>
      </c>
      <c r="I1313" s="1">
        <v>4.0</v>
      </c>
      <c r="J1313" s="1">
        <v>0.0</v>
      </c>
    </row>
    <row r="1314">
      <c r="A1314" s="1">
        <v>2.0</v>
      </c>
      <c r="B1314" s="1">
        <v>7.0</v>
      </c>
      <c r="C1314" s="1">
        <v>0.0</v>
      </c>
      <c r="D1314" s="1">
        <v>0.0</v>
      </c>
      <c r="E1314" s="1">
        <v>0.0</v>
      </c>
      <c r="F1314" s="1">
        <v>0.0</v>
      </c>
      <c r="G1314" s="2">
        <v>0.0</v>
      </c>
      <c r="H1314" s="1" t="s">
        <v>331</v>
      </c>
      <c r="I1314" s="1">
        <v>0.0</v>
      </c>
      <c r="J1314" s="1">
        <v>0.0</v>
      </c>
    </row>
    <row r="1315">
      <c r="A1315" s="1">
        <v>2.0</v>
      </c>
      <c r="B1315" s="1">
        <v>8.0</v>
      </c>
      <c r="C1315" s="1">
        <v>0.0</v>
      </c>
      <c r="D1315" s="1">
        <v>0.0</v>
      </c>
      <c r="E1315" s="1">
        <v>0.0</v>
      </c>
      <c r="F1315" s="1">
        <v>0.0</v>
      </c>
      <c r="G1315" s="2">
        <v>0.0</v>
      </c>
      <c r="H1315" s="1" t="s">
        <v>331</v>
      </c>
      <c r="I1315" s="1">
        <v>0.0</v>
      </c>
      <c r="J1315" s="1">
        <v>0.0</v>
      </c>
    </row>
    <row r="1316">
      <c r="A1316" s="1">
        <v>1.0</v>
      </c>
      <c r="B1316" s="1">
        <v>4.0</v>
      </c>
      <c r="C1316" s="1">
        <v>0.0</v>
      </c>
      <c r="D1316" s="1">
        <v>0.0</v>
      </c>
      <c r="E1316" s="1">
        <v>0.0</v>
      </c>
      <c r="F1316" s="1">
        <v>0.0</v>
      </c>
      <c r="G1316" s="2">
        <v>0.0</v>
      </c>
      <c r="H1316" s="1" t="s">
        <v>332</v>
      </c>
      <c r="I1316" s="1">
        <v>0.0</v>
      </c>
      <c r="J1316" s="1">
        <v>0.0</v>
      </c>
    </row>
    <row r="1317">
      <c r="A1317" s="1">
        <v>1.0</v>
      </c>
      <c r="B1317" s="1">
        <v>3.0</v>
      </c>
      <c r="C1317" s="1">
        <v>1.0</v>
      </c>
      <c r="D1317" s="1">
        <v>0.0</v>
      </c>
      <c r="E1317" s="1">
        <v>0.0</v>
      </c>
      <c r="F1317" s="1">
        <v>0.0</v>
      </c>
      <c r="G1317" s="2">
        <v>0.0</v>
      </c>
      <c r="H1317" s="1" t="s">
        <v>332</v>
      </c>
      <c r="I1317" s="1">
        <v>0.0</v>
      </c>
      <c r="J1317" s="1">
        <v>0.0</v>
      </c>
    </row>
    <row r="1318">
      <c r="A1318" s="1">
        <v>1.0</v>
      </c>
      <c r="B1318" s="1">
        <v>0.0</v>
      </c>
      <c r="C1318" s="1">
        <v>0.0</v>
      </c>
      <c r="D1318" s="1">
        <v>0.0</v>
      </c>
      <c r="E1318" s="1">
        <v>0.0</v>
      </c>
      <c r="F1318" s="1">
        <v>0.0</v>
      </c>
      <c r="G1318" s="2">
        <v>0.0</v>
      </c>
      <c r="H1318" s="1" t="s">
        <v>333</v>
      </c>
      <c r="I1318" s="1">
        <v>0.0</v>
      </c>
      <c r="J1318" s="1">
        <v>0.0</v>
      </c>
    </row>
    <row r="1319">
      <c r="A1319" s="1">
        <v>3.0</v>
      </c>
      <c r="B1319" s="1">
        <v>12.0</v>
      </c>
      <c r="C1319" s="1">
        <v>0.0</v>
      </c>
      <c r="D1319" s="1">
        <v>0.0</v>
      </c>
      <c r="E1319" s="1">
        <v>0.0</v>
      </c>
      <c r="F1319" s="1">
        <v>0.0</v>
      </c>
      <c r="G1319" s="2">
        <v>0.0</v>
      </c>
      <c r="H1319" s="1" t="s">
        <v>333</v>
      </c>
      <c r="I1319" s="1">
        <v>0.0</v>
      </c>
      <c r="J1319" s="1">
        <v>0.0</v>
      </c>
    </row>
    <row r="1320">
      <c r="A1320" s="1">
        <v>3.0</v>
      </c>
      <c r="B1320" s="1">
        <v>12.0</v>
      </c>
      <c r="C1320" s="1">
        <v>0.0</v>
      </c>
      <c r="D1320" s="1">
        <v>0.0</v>
      </c>
      <c r="E1320" s="1">
        <v>0.0</v>
      </c>
      <c r="F1320" s="1">
        <v>0.0</v>
      </c>
      <c r="G1320" s="2">
        <v>0.0</v>
      </c>
      <c r="H1320" s="1" t="s">
        <v>324</v>
      </c>
      <c r="I1320" s="1">
        <v>0.0</v>
      </c>
      <c r="J1320" s="1">
        <v>0.0</v>
      </c>
    </row>
    <row r="1321">
      <c r="A1321" s="1">
        <v>1.0</v>
      </c>
      <c r="B1321" s="1">
        <v>0.0</v>
      </c>
      <c r="C1321" s="1">
        <v>0.0</v>
      </c>
      <c r="D1321" s="1">
        <v>0.0</v>
      </c>
      <c r="E1321" s="1">
        <v>0.0</v>
      </c>
      <c r="F1321" s="1">
        <v>0.0</v>
      </c>
      <c r="G1321" s="2">
        <v>0.0</v>
      </c>
      <c r="H1321" s="1" t="s">
        <v>324</v>
      </c>
      <c r="I1321" s="1">
        <v>0.0</v>
      </c>
      <c r="J1321" s="1">
        <v>0.0</v>
      </c>
    </row>
    <row r="1322">
      <c r="A1322" s="1">
        <v>4.0</v>
      </c>
      <c r="B1322" s="1">
        <v>16.0</v>
      </c>
      <c r="C1322" s="1">
        <v>7.0</v>
      </c>
      <c r="D1322" s="1">
        <v>6.0</v>
      </c>
      <c r="E1322" s="1">
        <v>0.0</v>
      </c>
      <c r="F1322" s="1">
        <v>0.0</v>
      </c>
      <c r="G1322" s="6">
        <v>0.857</v>
      </c>
      <c r="H1322" s="1" t="s">
        <v>186</v>
      </c>
      <c r="I1322" s="1">
        <v>24.0</v>
      </c>
      <c r="J1322" s="1">
        <v>0.0</v>
      </c>
    </row>
    <row r="1323">
      <c r="A1323" s="1">
        <v>1.0</v>
      </c>
      <c r="B1323" s="1">
        <v>0.0</v>
      </c>
      <c r="C1323" s="1">
        <v>0.0</v>
      </c>
      <c r="D1323" s="1">
        <v>0.0</v>
      </c>
      <c r="E1323" s="1">
        <v>0.0</v>
      </c>
      <c r="F1323" s="1">
        <v>0.0</v>
      </c>
      <c r="G1323" s="2">
        <v>0.0</v>
      </c>
      <c r="H1323" s="1" t="s">
        <v>186</v>
      </c>
      <c r="I1323" s="1">
        <v>0.0</v>
      </c>
      <c r="J1323" s="1">
        <v>0.0</v>
      </c>
    </row>
    <row r="1324">
      <c r="A1324" s="1">
        <v>4.0</v>
      </c>
      <c r="B1324" s="1">
        <v>16.0</v>
      </c>
      <c r="C1324" s="1">
        <v>5.0</v>
      </c>
      <c r="D1324" s="1">
        <v>4.0</v>
      </c>
      <c r="E1324" s="1">
        <v>0.0</v>
      </c>
      <c r="F1324" s="1">
        <v>0.0</v>
      </c>
      <c r="G1324" s="2">
        <v>0.8</v>
      </c>
      <c r="H1324" s="1" t="s">
        <v>157</v>
      </c>
      <c r="I1324" s="1">
        <v>16.0</v>
      </c>
      <c r="J1324" s="1">
        <v>0.0</v>
      </c>
    </row>
    <row r="1325">
      <c r="A1325" s="1">
        <v>1.0</v>
      </c>
      <c r="B1325" s="1">
        <v>0.0</v>
      </c>
      <c r="C1325" s="1">
        <v>0.0</v>
      </c>
      <c r="D1325" s="1">
        <v>0.0</v>
      </c>
      <c r="E1325" s="1">
        <v>0.0</v>
      </c>
      <c r="F1325" s="1">
        <v>0.0</v>
      </c>
      <c r="G1325" s="2">
        <v>0.0</v>
      </c>
      <c r="H1325" s="1" t="s">
        <v>157</v>
      </c>
      <c r="I1325" s="1">
        <v>0.0</v>
      </c>
      <c r="J1325" s="1">
        <v>0.0</v>
      </c>
    </row>
    <row r="1326">
      <c r="A1326" s="1">
        <v>5.0</v>
      </c>
      <c r="B1326" s="1">
        <v>20.0</v>
      </c>
      <c r="C1326" s="1">
        <v>1.0</v>
      </c>
      <c r="D1326" s="1">
        <v>0.8</v>
      </c>
      <c r="E1326" s="1">
        <v>0.0</v>
      </c>
      <c r="F1326" s="1">
        <v>0.0</v>
      </c>
      <c r="G1326" s="2">
        <v>1.0</v>
      </c>
      <c r="H1326" s="1" t="s">
        <v>155</v>
      </c>
      <c r="I1326" s="1">
        <v>4.0</v>
      </c>
      <c r="J1326" s="1">
        <v>0.0</v>
      </c>
    </row>
    <row r="1327">
      <c r="A1327" s="1">
        <v>5.0</v>
      </c>
      <c r="B1327" s="1">
        <v>20.0</v>
      </c>
      <c r="C1327" s="1">
        <v>12.0</v>
      </c>
      <c r="D1327" s="1">
        <v>6.4</v>
      </c>
      <c r="E1327" s="1">
        <v>0.2</v>
      </c>
      <c r="F1327" s="1">
        <v>0.0</v>
      </c>
      <c r="G1327" s="2">
        <v>0.75</v>
      </c>
      <c r="H1327" s="1" t="s">
        <v>212</v>
      </c>
      <c r="I1327" s="1">
        <v>32.0</v>
      </c>
      <c r="J1327" s="1">
        <v>1.0</v>
      </c>
    </row>
    <row r="1328">
      <c r="A1328" s="1">
        <v>1.0</v>
      </c>
      <c r="B1328" s="1">
        <v>4.0</v>
      </c>
      <c r="C1328" s="1">
        <v>0.0</v>
      </c>
      <c r="D1328" s="1">
        <v>0.0</v>
      </c>
      <c r="E1328" s="1">
        <v>0.0</v>
      </c>
      <c r="F1328" s="1">
        <v>0.0</v>
      </c>
      <c r="G1328" s="2">
        <v>0.0</v>
      </c>
      <c r="H1328" s="1" t="s">
        <v>334</v>
      </c>
      <c r="I1328" s="1">
        <v>0.0</v>
      </c>
      <c r="J1328" s="1">
        <v>0.0</v>
      </c>
    </row>
    <row r="1329">
      <c r="A1329" s="1">
        <v>5.0</v>
      </c>
      <c r="B1329" s="1">
        <v>20.0</v>
      </c>
      <c r="C1329" s="1">
        <v>0.0</v>
      </c>
      <c r="D1329" s="1">
        <v>0.0</v>
      </c>
      <c r="E1329" s="1">
        <v>0.0</v>
      </c>
      <c r="F1329" s="1">
        <v>0.0</v>
      </c>
      <c r="G1329" s="2">
        <v>0.0</v>
      </c>
      <c r="H1329" s="1" t="s">
        <v>215</v>
      </c>
      <c r="I1329" s="1">
        <v>0.0</v>
      </c>
      <c r="J1329" s="1">
        <v>0.0</v>
      </c>
    </row>
    <row r="1330">
      <c r="A1330" s="1">
        <v>2.0</v>
      </c>
      <c r="B1330" s="1">
        <v>7.0</v>
      </c>
      <c r="C1330" s="1">
        <v>1.0</v>
      </c>
      <c r="D1330" s="1">
        <v>2.0</v>
      </c>
      <c r="E1330" s="1">
        <v>0.0</v>
      </c>
      <c r="F1330" s="1">
        <v>0.0</v>
      </c>
      <c r="G1330" s="2">
        <v>1.0</v>
      </c>
      <c r="H1330" s="1" t="s">
        <v>168</v>
      </c>
      <c r="I1330" s="1">
        <v>4.0</v>
      </c>
      <c r="J1330" s="1">
        <v>0.0</v>
      </c>
    </row>
    <row r="1331">
      <c r="A1331" s="1">
        <v>3.0</v>
      </c>
      <c r="B1331" s="1">
        <v>12.0</v>
      </c>
      <c r="C1331" s="1">
        <v>1.0</v>
      </c>
      <c r="D1331" s="1">
        <v>1.33</v>
      </c>
      <c r="E1331" s="1">
        <v>0.0</v>
      </c>
      <c r="F1331" s="1">
        <v>0.0</v>
      </c>
      <c r="G1331" s="2">
        <v>1.0</v>
      </c>
      <c r="H1331" s="1" t="s">
        <v>168</v>
      </c>
      <c r="I1331" s="1">
        <v>4.0</v>
      </c>
      <c r="J1331" s="1">
        <v>0.0</v>
      </c>
    </row>
    <row r="1332">
      <c r="A1332" s="1">
        <v>1.0</v>
      </c>
      <c r="B1332" s="1">
        <v>4.0</v>
      </c>
      <c r="C1332" s="1">
        <v>1.0</v>
      </c>
      <c r="D1332" s="1">
        <v>4.0</v>
      </c>
      <c r="E1332" s="1">
        <v>0.0</v>
      </c>
      <c r="F1332" s="1">
        <v>0.0</v>
      </c>
      <c r="G1332" s="2">
        <v>1.0</v>
      </c>
      <c r="H1332" s="1" t="s">
        <v>113</v>
      </c>
      <c r="I1332" s="1">
        <v>4.0</v>
      </c>
      <c r="J1332" s="1">
        <v>0.0</v>
      </c>
    </row>
    <row r="1333">
      <c r="A1333" s="1">
        <v>1.0</v>
      </c>
      <c r="B1333" s="1">
        <v>4.0</v>
      </c>
      <c r="C1333" s="1">
        <v>0.0</v>
      </c>
      <c r="D1333" s="1">
        <v>0.0</v>
      </c>
      <c r="E1333" s="1">
        <v>0.0</v>
      </c>
      <c r="F1333" s="1">
        <v>0.0</v>
      </c>
      <c r="G1333" s="2">
        <v>0.0</v>
      </c>
      <c r="H1333" s="1" t="s">
        <v>113</v>
      </c>
      <c r="I1333" s="1">
        <v>0.0</v>
      </c>
      <c r="J1333" s="1">
        <v>0.0</v>
      </c>
    </row>
    <row r="1334">
      <c r="A1334" s="1">
        <v>3.0</v>
      </c>
      <c r="B1334" s="1">
        <v>12.0</v>
      </c>
      <c r="C1334" s="1">
        <v>5.0</v>
      </c>
      <c r="D1334" s="1">
        <v>2.67</v>
      </c>
      <c r="E1334" s="1">
        <v>0.33</v>
      </c>
      <c r="F1334" s="1">
        <v>0.0</v>
      </c>
      <c r="G1334" s="2">
        <v>0.6</v>
      </c>
      <c r="H1334" s="1" t="s">
        <v>113</v>
      </c>
      <c r="I1334" s="1">
        <v>8.0</v>
      </c>
      <c r="J1334" s="1">
        <v>1.0</v>
      </c>
    </row>
    <row r="1335">
      <c r="A1335" s="1">
        <v>1.0</v>
      </c>
      <c r="B1335" s="1">
        <v>4.0</v>
      </c>
      <c r="C1335" s="1">
        <v>0.0</v>
      </c>
      <c r="D1335" s="1">
        <v>0.0</v>
      </c>
      <c r="E1335" s="1">
        <v>0.0</v>
      </c>
      <c r="F1335" s="1">
        <v>0.0</v>
      </c>
      <c r="G1335" s="2">
        <v>0.0</v>
      </c>
      <c r="H1335" s="1" t="s">
        <v>335</v>
      </c>
      <c r="I1335" s="1">
        <v>0.0</v>
      </c>
      <c r="J1335" s="1">
        <v>0.0</v>
      </c>
    </row>
    <row r="1336">
      <c r="A1336" s="1">
        <v>2.0</v>
      </c>
      <c r="B1336" s="1">
        <v>8.0</v>
      </c>
      <c r="C1336" s="1">
        <v>0.0</v>
      </c>
      <c r="D1336" s="1">
        <v>0.0</v>
      </c>
      <c r="E1336" s="1">
        <v>0.0</v>
      </c>
      <c r="F1336" s="1">
        <v>0.0</v>
      </c>
      <c r="G1336" s="2">
        <v>0.0</v>
      </c>
      <c r="H1336" s="1" t="s">
        <v>335</v>
      </c>
      <c r="I1336" s="1">
        <v>0.0</v>
      </c>
      <c r="J1336" s="1">
        <v>0.0</v>
      </c>
    </row>
    <row r="1337">
      <c r="A1337" s="1">
        <v>1.0</v>
      </c>
      <c r="B1337" s="1">
        <v>4.0</v>
      </c>
      <c r="C1337" s="1">
        <v>0.0</v>
      </c>
      <c r="D1337" s="1">
        <v>0.0</v>
      </c>
      <c r="E1337" s="1">
        <v>0.0</v>
      </c>
      <c r="F1337" s="1">
        <v>0.0</v>
      </c>
      <c r="G1337" s="2">
        <v>0.0</v>
      </c>
      <c r="H1337" s="1" t="s">
        <v>336</v>
      </c>
      <c r="I1337" s="1">
        <v>0.0</v>
      </c>
      <c r="J1337" s="1">
        <v>0.0</v>
      </c>
    </row>
    <row r="1338">
      <c r="A1338" s="1">
        <v>1.0</v>
      </c>
      <c r="B1338" s="1">
        <v>4.0</v>
      </c>
      <c r="C1338" s="1">
        <v>0.0</v>
      </c>
      <c r="D1338" s="1">
        <v>0.0</v>
      </c>
      <c r="E1338" s="1">
        <v>0.0</v>
      </c>
      <c r="F1338" s="1">
        <v>0.0</v>
      </c>
      <c r="G1338" s="2">
        <v>0.0</v>
      </c>
      <c r="H1338" s="1" t="s">
        <v>336</v>
      </c>
      <c r="I1338" s="1">
        <v>0.0</v>
      </c>
      <c r="J1338" s="1">
        <v>0.0</v>
      </c>
    </row>
    <row r="1339">
      <c r="A1339" s="1">
        <v>2.0</v>
      </c>
      <c r="B1339" s="1">
        <v>8.0</v>
      </c>
      <c r="C1339" s="1">
        <v>0.0</v>
      </c>
      <c r="D1339" s="1">
        <v>0.0</v>
      </c>
      <c r="E1339" s="1">
        <v>0.0</v>
      </c>
      <c r="F1339" s="1">
        <v>0.0</v>
      </c>
      <c r="G1339" s="2">
        <v>0.0</v>
      </c>
      <c r="H1339" s="1" t="s">
        <v>337</v>
      </c>
      <c r="I1339" s="1">
        <v>0.0</v>
      </c>
      <c r="J1339" s="1">
        <v>0.0</v>
      </c>
    </row>
    <row r="1340">
      <c r="A1340" s="1">
        <v>3.0</v>
      </c>
      <c r="B1340" s="1">
        <v>12.0</v>
      </c>
      <c r="C1340" s="1">
        <v>0.0</v>
      </c>
      <c r="D1340" s="1">
        <v>0.0</v>
      </c>
      <c r="E1340" s="1">
        <v>0.0</v>
      </c>
      <c r="F1340" s="1">
        <v>0.0</v>
      </c>
      <c r="G1340" s="2">
        <v>0.0</v>
      </c>
      <c r="H1340" s="1" t="s">
        <v>337</v>
      </c>
      <c r="I1340" s="1">
        <v>0.0</v>
      </c>
      <c r="J1340" s="1">
        <v>0.0</v>
      </c>
    </row>
    <row r="1341">
      <c r="A1341" s="1">
        <v>4.0</v>
      </c>
      <c r="B1341" s="1">
        <v>16.0</v>
      </c>
      <c r="C1341" s="1">
        <v>4.0</v>
      </c>
      <c r="D1341" s="1">
        <v>2.0</v>
      </c>
      <c r="E1341" s="1">
        <v>0.0</v>
      </c>
      <c r="F1341" s="1">
        <v>0.0</v>
      </c>
      <c r="G1341" s="2">
        <v>0.5</v>
      </c>
      <c r="H1341" s="1" t="s">
        <v>299</v>
      </c>
      <c r="I1341" s="1">
        <v>8.0</v>
      </c>
      <c r="J1341" s="1">
        <v>0.0</v>
      </c>
    </row>
    <row r="1342">
      <c r="A1342" s="1">
        <v>1.0</v>
      </c>
      <c r="B1342" s="1">
        <v>4.0</v>
      </c>
      <c r="C1342" s="1">
        <v>1.0</v>
      </c>
      <c r="D1342" s="1">
        <v>0.0</v>
      </c>
      <c r="E1342" s="1">
        <v>0.0</v>
      </c>
      <c r="F1342" s="1">
        <v>0.0</v>
      </c>
      <c r="G1342" s="2">
        <v>0.0</v>
      </c>
      <c r="H1342" s="1" t="s">
        <v>256</v>
      </c>
      <c r="I1342" s="1">
        <v>0.0</v>
      </c>
      <c r="J1342" s="1">
        <v>0.0</v>
      </c>
    </row>
    <row r="1343">
      <c r="A1343" s="1">
        <v>1.0</v>
      </c>
      <c r="B1343" s="1">
        <v>4.0</v>
      </c>
      <c r="C1343" s="1">
        <v>2.0</v>
      </c>
      <c r="D1343" s="1">
        <v>0.0</v>
      </c>
      <c r="E1343" s="1">
        <v>1.0</v>
      </c>
      <c r="F1343" s="1">
        <v>0.0</v>
      </c>
      <c r="G1343" s="2">
        <v>0.5</v>
      </c>
      <c r="H1343" s="1" t="s">
        <v>216</v>
      </c>
      <c r="I1343" s="1">
        <v>0.0</v>
      </c>
      <c r="J1343" s="1">
        <v>1.0</v>
      </c>
    </row>
    <row r="1344">
      <c r="A1344" s="1">
        <v>1.0</v>
      </c>
      <c r="B1344" s="1">
        <v>4.0</v>
      </c>
      <c r="C1344" s="1">
        <v>2.0</v>
      </c>
      <c r="D1344" s="1">
        <v>8.0</v>
      </c>
      <c r="E1344" s="1">
        <v>0.0</v>
      </c>
      <c r="F1344" s="1">
        <v>0.0</v>
      </c>
      <c r="G1344" s="2">
        <v>1.0</v>
      </c>
      <c r="H1344" s="1" t="s">
        <v>216</v>
      </c>
      <c r="I1344" s="1">
        <v>8.0</v>
      </c>
      <c r="J1344" s="1">
        <v>0.0</v>
      </c>
    </row>
    <row r="1345">
      <c r="A1345" s="1">
        <v>3.0</v>
      </c>
      <c r="B1345" s="1">
        <v>12.0</v>
      </c>
      <c r="C1345" s="1">
        <v>5.0</v>
      </c>
      <c r="D1345" s="1">
        <v>-1.33</v>
      </c>
      <c r="E1345" s="1">
        <v>0.67</v>
      </c>
      <c r="F1345" s="1">
        <v>0.0</v>
      </c>
      <c r="G1345" s="2">
        <v>0.2</v>
      </c>
      <c r="H1345" s="1" t="s">
        <v>216</v>
      </c>
      <c r="I1345" s="1">
        <v>-4.0</v>
      </c>
      <c r="J1345" s="1">
        <v>2.0</v>
      </c>
    </row>
    <row r="1346">
      <c r="A1346" s="1">
        <v>1.0</v>
      </c>
      <c r="B1346" s="1">
        <v>4.0</v>
      </c>
      <c r="C1346" s="1">
        <v>0.0</v>
      </c>
      <c r="D1346" s="1">
        <v>0.0</v>
      </c>
      <c r="E1346" s="1">
        <v>0.0</v>
      </c>
      <c r="F1346" s="1">
        <v>0.0</v>
      </c>
      <c r="G1346" s="2">
        <v>0.0</v>
      </c>
      <c r="H1346" s="1" t="s">
        <v>338</v>
      </c>
      <c r="I1346" s="1">
        <v>0.0</v>
      </c>
      <c r="J1346" s="1">
        <v>0.0</v>
      </c>
    </row>
    <row r="1347">
      <c r="A1347" s="1">
        <v>1.0</v>
      </c>
      <c r="B1347" s="1">
        <v>4.0</v>
      </c>
      <c r="C1347" s="1">
        <v>0.0</v>
      </c>
      <c r="D1347" s="1">
        <v>0.0</v>
      </c>
      <c r="E1347" s="1">
        <v>0.0</v>
      </c>
      <c r="F1347" s="1">
        <v>0.0</v>
      </c>
      <c r="G1347" s="2">
        <v>0.0</v>
      </c>
      <c r="H1347" s="1" t="s">
        <v>338</v>
      </c>
      <c r="I1347" s="1">
        <v>0.0</v>
      </c>
      <c r="J1347" s="1">
        <v>0.0</v>
      </c>
    </row>
    <row r="1348">
      <c r="A1348" s="1">
        <v>1.0</v>
      </c>
      <c r="B1348" s="1">
        <v>4.0</v>
      </c>
      <c r="C1348" s="1">
        <v>0.0</v>
      </c>
      <c r="D1348" s="1">
        <v>0.0</v>
      </c>
      <c r="E1348" s="1">
        <v>0.0</v>
      </c>
      <c r="F1348" s="1">
        <v>0.0</v>
      </c>
      <c r="G1348" s="2">
        <v>0.0</v>
      </c>
      <c r="H1348" s="1" t="s">
        <v>339</v>
      </c>
      <c r="I1348" s="1">
        <v>0.0</v>
      </c>
      <c r="J1348" s="1">
        <v>0.0</v>
      </c>
    </row>
    <row r="1349">
      <c r="A1349" s="1">
        <v>1.0</v>
      </c>
      <c r="B1349" s="1">
        <v>4.0</v>
      </c>
      <c r="C1349" s="1">
        <v>2.0</v>
      </c>
      <c r="D1349" s="1">
        <v>8.0</v>
      </c>
      <c r="E1349" s="1">
        <v>0.0</v>
      </c>
      <c r="F1349" s="1">
        <v>0.0</v>
      </c>
      <c r="G1349" s="2">
        <v>1.0</v>
      </c>
      <c r="H1349" s="1" t="s">
        <v>83</v>
      </c>
      <c r="I1349" s="1">
        <v>8.0</v>
      </c>
      <c r="J1349" s="1">
        <v>0.0</v>
      </c>
    </row>
    <row r="1350">
      <c r="A1350" s="1">
        <v>2.0</v>
      </c>
      <c r="B1350" s="1">
        <v>8.0</v>
      </c>
      <c r="C1350" s="1">
        <v>7.0</v>
      </c>
      <c r="D1350" s="1">
        <v>8.0</v>
      </c>
      <c r="E1350" s="1">
        <v>0.5</v>
      </c>
      <c r="F1350" s="1">
        <v>0.0</v>
      </c>
      <c r="G1350" s="6">
        <v>0.714</v>
      </c>
      <c r="H1350" s="1" t="s">
        <v>83</v>
      </c>
      <c r="I1350" s="1">
        <v>16.0</v>
      </c>
      <c r="J1350" s="1">
        <v>1.0</v>
      </c>
    </row>
    <row r="1351">
      <c r="A1351" s="1">
        <v>1.0</v>
      </c>
      <c r="B1351" s="1">
        <v>4.0</v>
      </c>
      <c r="C1351" s="1">
        <v>0.0</v>
      </c>
      <c r="D1351" s="1">
        <v>0.0</v>
      </c>
      <c r="E1351" s="1">
        <v>0.0</v>
      </c>
      <c r="F1351" s="1">
        <v>0.0</v>
      </c>
      <c r="G1351" s="2">
        <v>0.0</v>
      </c>
      <c r="H1351" s="1" t="s">
        <v>340</v>
      </c>
      <c r="I1351" s="1">
        <v>0.0</v>
      </c>
      <c r="J1351" s="1">
        <v>0.0</v>
      </c>
    </row>
    <row r="1352">
      <c r="A1352" s="1">
        <v>1.0</v>
      </c>
      <c r="B1352" s="1">
        <v>4.0</v>
      </c>
      <c r="C1352" s="1">
        <v>0.0</v>
      </c>
      <c r="D1352" s="1">
        <v>0.0</v>
      </c>
      <c r="E1352" s="1">
        <v>0.0</v>
      </c>
      <c r="F1352" s="1">
        <v>0.0</v>
      </c>
      <c r="G1352" s="2">
        <v>0.0</v>
      </c>
      <c r="H1352" s="1" t="s">
        <v>340</v>
      </c>
      <c r="I1352" s="1">
        <v>0.0</v>
      </c>
      <c r="J1352" s="1">
        <v>0.0</v>
      </c>
    </row>
    <row r="1353">
      <c r="A1353" s="1">
        <v>3.0</v>
      </c>
      <c r="B1353" s="1">
        <v>12.0</v>
      </c>
      <c r="C1353" s="1">
        <v>5.0</v>
      </c>
      <c r="D1353" s="1">
        <v>6.67</v>
      </c>
      <c r="E1353" s="1">
        <v>0.0</v>
      </c>
      <c r="F1353" s="1">
        <v>0.0</v>
      </c>
      <c r="G1353" s="2">
        <v>1.0</v>
      </c>
      <c r="H1353" s="1" t="s">
        <v>258</v>
      </c>
      <c r="I1353" s="1">
        <v>20.0</v>
      </c>
      <c r="J1353" s="1">
        <v>0.0</v>
      </c>
    </row>
    <row r="1354">
      <c r="A1354" s="1">
        <v>1.0</v>
      </c>
      <c r="B1354" s="1">
        <v>4.0</v>
      </c>
      <c r="C1354" s="1">
        <v>2.0</v>
      </c>
      <c r="D1354" s="1">
        <v>8.0</v>
      </c>
      <c r="E1354" s="1">
        <v>0.0</v>
      </c>
      <c r="F1354" s="1">
        <v>0.0</v>
      </c>
      <c r="G1354" s="2">
        <v>1.0</v>
      </c>
      <c r="H1354" s="1" t="s">
        <v>301</v>
      </c>
      <c r="I1354" s="1">
        <v>8.0</v>
      </c>
      <c r="J1354" s="1">
        <v>0.0</v>
      </c>
    </row>
    <row r="1355">
      <c r="A1355" s="1">
        <v>1.0</v>
      </c>
      <c r="B1355" s="1">
        <v>4.0</v>
      </c>
      <c r="C1355" s="1">
        <v>1.0</v>
      </c>
      <c r="D1355" s="1">
        <v>0.0</v>
      </c>
      <c r="E1355" s="1">
        <v>0.0</v>
      </c>
      <c r="F1355" s="1">
        <v>0.0</v>
      </c>
      <c r="G1355" s="2">
        <v>0.0</v>
      </c>
      <c r="H1355" s="1" t="s">
        <v>301</v>
      </c>
      <c r="I1355" s="1">
        <v>0.0</v>
      </c>
      <c r="J1355" s="1">
        <v>0.0</v>
      </c>
    </row>
    <row r="1356">
      <c r="A1356" s="1">
        <v>2.0</v>
      </c>
      <c r="B1356" s="1">
        <v>8.0</v>
      </c>
      <c r="C1356" s="1">
        <v>2.0</v>
      </c>
      <c r="D1356" s="1">
        <v>4.0</v>
      </c>
      <c r="E1356" s="1">
        <v>0.0</v>
      </c>
      <c r="F1356" s="1">
        <v>0.0</v>
      </c>
      <c r="G1356" s="2">
        <v>1.0</v>
      </c>
      <c r="H1356" s="1" t="s">
        <v>87</v>
      </c>
      <c r="I1356" s="1">
        <v>8.0</v>
      </c>
      <c r="J1356" s="1">
        <v>0.0</v>
      </c>
    </row>
    <row r="1357">
      <c r="A1357" s="1">
        <v>1.0</v>
      </c>
      <c r="B1357" s="1">
        <v>4.0</v>
      </c>
      <c r="C1357" s="1">
        <v>0.0</v>
      </c>
      <c r="D1357" s="1">
        <v>0.0</v>
      </c>
      <c r="E1357" s="1">
        <v>0.0</v>
      </c>
      <c r="F1357" s="1">
        <v>0.0</v>
      </c>
      <c r="G1357" s="2">
        <v>0.0</v>
      </c>
      <c r="H1357" s="1" t="s">
        <v>87</v>
      </c>
      <c r="I1357" s="1">
        <v>0.0</v>
      </c>
      <c r="J1357" s="1">
        <v>0.0</v>
      </c>
    </row>
    <row r="1358">
      <c r="A1358" s="1">
        <v>1.0</v>
      </c>
      <c r="B1358" s="1">
        <v>4.0</v>
      </c>
      <c r="C1358" s="1">
        <v>0.0</v>
      </c>
      <c r="D1358" s="1">
        <v>0.0</v>
      </c>
      <c r="E1358" s="1">
        <v>0.0</v>
      </c>
      <c r="F1358" s="1">
        <v>0.0</v>
      </c>
      <c r="G1358" s="2">
        <v>0.0</v>
      </c>
      <c r="H1358" s="1" t="s">
        <v>87</v>
      </c>
      <c r="I1358" s="1">
        <v>0.0</v>
      </c>
      <c r="J1358" s="1">
        <v>0.0</v>
      </c>
    </row>
    <row r="1359">
      <c r="A1359" s="1">
        <v>1.0</v>
      </c>
      <c r="B1359" s="1">
        <v>4.0</v>
      </c>
      <c r="C1359" s="1">
        <v>0.0</v>
      </c>
      <c r="D1359" s="1">
        <v>0.0</v>
      </c>
      <c r="E1359" s="1">
        <v>0.0</v>
      </c>
      <c r="F1359" s="1">
        <v>0.0</v>
      </c>
      <c r="G1359" s="2">
        <v>0.0</v>
      </c>
      <c r="H1359" s="1" t="s">
        <v>341</v>
      </c>
      <c r="I1359" s="1">
        <v>0.0</v>
      </c>
      <c r="J1359" s="1">
        <v>0.0</v>
      </c>
    </row>
    <row r="1360">
      <c r="A1360" s="1">
        <v>1.0</v>
      </c>
      <c r="B1360" s="1">
        <v>4.0</v>
      </c>
      <c r="C1360" s="1">
        <v>1.0</v>
      </c>
      <c r="D1360" s="1">
        <v>0.0</v>
      </c>
      <c r="E1360" s="1">
        <v>0.0</v>
      </c>
      <c r="F1360" s="1">
        <v>0.0</v>
      </c>
      <c r="G1360" s="2">
        <v>0.0</v>
      </c>
      <c r="H1360" s="1" t="s">
        <v>341</v>
      </c>
      <c r="I1360" s="1">
        <v>0.0</v>
      </c>
      <c r="J1360" s="1">
        <v>0.0</v>
      </c>
    </row>
    <row r="1361">
      <c r="A1361" s="1">
        <v>5.0</v>
      </c>
      <c r="B1361" s="1">
        <v>20.0</v>
      </c>
      <c r="C1361" s="1">
        <v>1.0</v>
      </c>
      <c r="D1361" s="1">
        <v>0.0</v>
      </c>
      <c r="E1361" s="1">
        <v>0.0</v>
      </c>
      <c r="F1361" s="1">
        <v>0.0</v>
      </c>
      <c r="G1361" s="2">
        <v>0.0</v>
      </c>
      <c r="H1361" s="1" t="s">
        <v>312</v>
      </c>
      <c r="I1361" s="1">
        <v>0.0</v>
      </c>
      <c r="J1361" s="1">
        <v>0.0</v>
      </c>
    </row>
    <row r="1362">
      <c r="A1362" s="1">
        <v>4.0</v>
      </c>
      <c r="B1362" s="1">
        <v>16.0</v>
      </c>
      <c r="C1362" s="1">
        <v>7.0</v>
      </c>
      <c r="D1362" s="1">
        <v>6.0</v>
      </c>
      <c r="E1362" s="1">
        <v>0.0</v>
      </c>
      <c r="F1362" s="1">
        <v>0.0</v>
      </c>
      <c r="G1362" s="6">
        <v>0.857</v>
      </c>
      <c r="H1362" s="1" t="s">
        <v>260</v>
      </c>
      <c r="I1362" s="1">
        <v>24.0</v>
      </c>
      <c r="J1362" s="1">
        <v>0.0</v>
      </c>
    </row>
    <row r="1363">
      <c r="A1363" s="1">
        <v>1.0</v>
      </c>
      <c r="B1363" s="1">
        <v>4.0</v>
      </c>
      <c r="C1363" s="1">
        <v>0.0</v>
      </c>
      <c r="D1363" s="1">
        <v>0.0</v>
      </c>
      <c r="E1363" s="1">
        <v>0.0</v>
      </c>
      <c r="F1363" s="1">
        <v>0.0</v>
      </c>
      <c r="G1363" s="2">
        <v>0.0</v>
      </c>
      <c r="H1363" s="1" t="s">
        <v>260</v>
      </c>
      <c r="I1363" s="1">
        <v>0.0</v>
      </c>
      <c r="J1363" s="1">
        <v>0.0</v>
      </c>
    </row>
    <row r="1364">
      <c r="A1364" s="1">
        <v>4.0</v>
      </c>
      <c r="B1364" s="1">
        <v>16.0</v>
      </c>
      <c r="C1364" s="1">
        <v>1.0</v>
      </c>
      <c r="D1364" s="1">
        <v>1.0</v>
      </c>
      <c r="E1364" s="1">
        <v>0.0</v>
      </c>
      <c r="F1364" s="1">
        <v>0.0</v>
      </c>
      <c r="G1364" s="2">
        <v>1.0</v>
      </c>
      <c r="H1364" s="1" t="s">
        <v>327</v>
      </c>
      <c r="I1364" s="1">
        <v>4.0</v>
      </c>
      <c r="J1364" s="1">
        <v>0.0</v>
      </c>
    </row>
    <row r="1365">
      <c r="A1365" s="1">
        <v>5.0</v>
      </c>
      <c r="B1365" s="1">
        <v>20.0</v>
      </c>
      <c r="C1365" s="1">
        <v>7.0</v>
      </c>
      <c r="D1365" s="1">
        <v>1.6</v>
      </c>
      <c r="E1365" s="1">
        <v>0.2</v>
      </c>
      <c r="F1365" s="1">
        <v>0.0</v>
      </c>
      <c r="G1365" s="6">
        <v>0.429</v>
      </c>
      <c r="H1365" s="1" t="s">
        <v>131</v>
      </c>
      <c r="I1365" s="1">
        <v>8.0</v>
      </c>
      <c r="J1365" s="1">
        <v>1.0</v>
      </c>
    </row>
    <row r="1366">
      <c r="A1366" s="1">
        <v>2.0</v>
      </c>
      <c r="B1366" s="1">
        <v>8.0</v>
      </c>
      <c r="C1366" s="1">
        <v>0.0</v>
      </c>
      <c r="D1366" s="1">
        <v>0.0</v>
      </c>
      <c r="E1366" s="1">
        <v>0.0</v>
      </c>
      <c r="F1366" s="1">
        <v>0.0</v>
      </c>
      <c r="G1366" s="2">
        <v>0.0</v>
      </c>
      <c r="H1366" s="1" t="s">
        <v>342</v>
      </c>
      <c r="I1366" s="1">
        <v>0.0</v>
      </c>
      <c r="J1366" s="1">
        <v>0.0</v>
      </c>
    </row>
    <row r="1367">
      <c r="A1367" s="1">
        <v>4.0</v>
      </c>
      <c r="B1367" s="1">
        <v>16.0</v>
      </c>
      <c r="C1367" s="1">
        <v>2.0</v>
      </c>
      <c r="D1367" s="1">
        <v>1.0</v>
      </c>
      <c r="E1367" s="1">
        <v>0.0</v>
      </c>
      <c r="F1367" s="1">
        <v>0.0</v>
      </c>
      <c r="G1367" s="2">
        <v>0.5</v>
      </c>
      <c r="H1367" s="1" t="s">
        <v>343</v>
      </c>
      <c r="I1367" s="1">
        <v>4.0</v>
      </c>
      <c r="J1367" s="1">
        <v>0.0</v>
      </c>
    </row>
    <row r="1368">
      <c r="A1368" s="1">
        <v>1.0</v>
      </c>
      <c r="B1368" s="1">
        <v>4.0</v>
      </c>
      <c r="C1368" s="1">
        <v>0.0</v>
      </c>
      <c r="D1368" s="1">
        <v>0.0</v>
      </c>
      <c r="E1368" s="1">
        <v>0.0</v>
      </c>
      <c r="F1368" s="1">
        <v>0.0</v>
      </c>
      <c r="G1368" s="2">
        <v>0.0</v>
      </c>
      <c r="H1368" s="1" t="s">
        <v>343</v>
      </c>
      <c r="I1368" s="1">
        <v>0.0</v>
      </c>
      <c r="J1368" s="1">
        <v>0.0</v>
      </c>
    </row>
    <row r="1369">
      <c r="A1369" s="1">
        <v>2.0</v>
      </c>
      <c r="B1369" s="1">
        <v>8.0</v>
      </c>
      <c r="C1369" s="1">
        <v>0.0</v>
      </c>
      <c r="D1369" s="1">
        <v>0.0</v>
      </c>
      <c r="E1369" s="1">
        <v>0.0</v>
      </c>
      <c r="F1369" s="1">
        <v>0.0</v>
      </c>
      <c r="G1369" s="2">
        <v>0.0</v>
      </c>
      <c r="H1369" s="1" t="s">
        <v>302</v>
      </c>
      <c r="I1369" s="1">
        <v>0.0</v>
      </c>
      <c r="J1369" s="1">
        <v>0.0</v>
      </c>
    </row>
    <row r="1370">
      <c r="A1370" s="1">
        <v>5.0</v>
      </c>
      <c r="B1370" s="1">
        <v>20.0</v>
      </c>
      <c r="C1370" s="1">
        <v>0.0</v>
      </c>
      <c r="D1370" s="1">
        <v>0.0</v>
      </c>
      <c r="E1370" s="1">
        <v>0.0</v>
      </c>
      <c r="F1370" s="1">
        <v>0.0</v>
      </c>
      <c r="G1370" s="2">
        <v>0.0</v>
      </c>
      <c r="H1370" s="1" t="s">
        <v>231</v>
      </c>
      <c r="I1370" s="1">
        <v>0.0</v>
      </c>
      <c r="J1370" s="1">
        <v>0.0</v>
      </c>
    </row>
    <row r="1371">
      <c r="A1371" s="1">
        <v>5.0</v>
      </c>
      <c r="B1371" s="1">
        <v>20.0</v>
      </c>
      <c r="C1371" s="1">
        <v>13.0</v>
      </c>
      <c r="D1371" s="1">
        <v>5.6</v>
      </c>
      <c r="E1371" s="1">
        <v>0.6</v>
      </c>
      <c r="F1371" s="1">
        <v>0.0</v>
      </c>
      <c r="G1371" s="6">
        <v>0.769</v>
      </c>
      <c r="H1371" s="1" t="s">
        <v>122</v>
      </c>
      <c r="I1371" s="1">
        <v>28.0</v>
      </c>
      <c r="J1371" s="1">
        <v>3.0</v>
      </c>
    </row>
    <row r="1372">
      <c r="A1372" s="1">
        <v>3.0</v>
      </c>
      <c r="B1372" s="1">
        <v>12.0</v>
      </c>
      <c r="C1372" s="1">
        <v>0.0</v>
      </c>
      <c r="D1372" s="1">
        <v>0.0</v>
      </c>
      <c r="E1372" s="1">
        <v>0.0</v>
      </c>
      <c r="F1372" s="1">
        <v>0.0</v>
      </c>
      <c r="G1372" s="2">
        <v>0.0</v>
      </c>
      <c r="H1372" s="1" t="s">
        <v>261</v>
      </c>
      <c r="I1372" s="1">
        <v>0.0</v>
      </c>
      <c r="J1372" s="1">
        <v>0.0</v>
      </c>
    </row>
    <row r="1373">
      <c r="A1373" s="1">
        <v>5.0</v>
      </c>
      <c r="B1373" s="1">
        <v>20.0</v>
      </c>
      <c r="C1373" s="1">
        <v>5.0</v>
      </c>
      <c r="D1373" s="1">
        <v>-0.8</v>
      </c>
      <c r="E1373" s="1">
        <v>0.4</v>
      </c>
      <c r="F1373" s="1">
        <v>0.0</v>
      </c>
      <c r="G1373" s="2">
        <v>0.2</v>
      </c>
      <c r="H1373" s="1" t="s">
        <v>344</v>
      </c>
      <c r="I1373" s="1">
        <v>-4.0</v>
      </c>
      <c r="J1373" s="1">
        <v>2.0</v>
      </c>
    </row>
    <row r="1374">
      <c r="A1374" s="1">
        <v>4.0</v>
      </c>
      <c r="B1374" s="1">
        <v>16.0</v>
      </c>
      <c r="C1374" s="1">
        <v>0.0</v>
      </c>
      <c r="D1374" s="1">
        <v>0.0</v>
      </c>
      <c r="E1374" s="1">
        <v>0.0</v>
      </c>
      <c r="F1374" s="1">
        <v>0.0</v>
      </c>
      <c r="G1374" s="2">
        <v>0.0</v>
      </c>
      <c r="H1374" s="1" t="s">
        <v>345</v>
      </c>
      <c r="I1374" s="1">
        <v>0.0</v>
      </c>
      <c r="J1374" s="1">
        <v>0.0</v>
      </c>
    </row>
    <row r="1375">
      <c r="A1375" s="1">
        <v>1.0</v>
      </c>
      <c r="B1375" s="1">
        <v>4.0</v>
      </c>
      <c r="C1375" s="1">
        <v>0.0</v>
      </c>
      <c r="D1375" s="1">
        <v>0.0</v>
      </c>
      <c r="E1375" s="1">
        <v>0.0</v>
      </c>
      <c r="F1375" s="1">
        <v>0.0</v>
      </c>
      <c r="G1375" s="2">
        <v>0.0</v>
      </c>
      <c r="H1375" s="1" t="s">
        <v>345</v>
      </c>
      <c r="I1375" s="1">
        <v>0.0</v>
      </c>
      <c r="J1375" s="1">
        <v>0.0</v>
      </c>
    </row>
    <row r="1376">
      <c r="A1376" s="1">
        <v>4.0</v>
      </c>
      <c r="B1376" s="1">
        <v>16.0</v>
      </c>
      <c r="C1376" s="1">
        <v>0.0</v>
      </c>
      <c r="D1376" s="1">
        <v>0.0</v>
      </c>
      <c r="E1376" s="1">
        <v>0.0</v>
      </c>
      <c r="F1376" s="1">
        <v>0.0</v>
      </c>
      <c r="G1376" s="2">
        <v>0.0</v>
      </c>
      <c r="H1376" s="1" t="s">
        <v>346</v>
      </c>
      <c r="I1376" s="1">
        <v>0.0</v>
      </c>
      <c r="J1376" s="1">
        <v>0.0</v>
      </c>
    </row>
    <row r="1377">
      <c r="A1377" s="1">
        <v>1.0</v>
      </c>
      <c r="B1377" s="1">
        <v>4.0</v>
      </c>
      <c r="C1377" s="1">
        <v>0.0</v>
      </c>
      <c r="D1377" s="1">
        <v>0.0</v>
      </c>
      <c r="E1377" s="1">
        <v>0.0</v>
      </c>
      <c r="F1377" s="1">
        <v>0.0</v>
      </c>
      <c r="G1377" s="2">
        <v>0.0</v>
      </c>
      <c r="H1377" s="1" t="s">
        <v>346</v>
      </c>
      <c r="I1377" s="1">
        <v>0.0</v>
      </c>
      <c r="J1377" s="1">
        <v>0.0</v>
      </c>
    </row>
    <row r="1378">
      <c r="A1378" s="1">
        <v>1.0</v>
      </c>
      <c r="B1378" s="1">
        <v>4.0</v>
      </c>
      <c r="C1378" s="1">
        <v>0.0</v>
      </c>
      <c r="D1378" s="1">
        <v>0.0</v>
      </c>
      <c r="E1378" s="1">
        <v>0.0</v>
      </c>
      <c r="F1378" s="1">
        <v>0.0</v>
      </c>
      <c r="G1378" s="2">
        <v>0.0</v>
      </c>
      <c r="H1378" s="1" t="s">
        <v>347</v>
      </c>
      <c r="I1378" s="1">
        <v>0.0</v>
      </c>
      <c r="J1378" s="1">
        <v>0.0</v>
      </c>
    </row>
    <row r="1379">
      <c r="A1379" s="1">
        <v>4.0</v>
      </c>
      <c r="B1379" s="1">
        <v>16.0</v>
      </c>
      <c r="C1379" s="1">
        <v>0.0</v>
      </c>
      <c r="D1379" s="1">
        <v>0.0</v>
      </c>
      <c r="E1379" s="1">
        <v>0.0</v>
      </c>
      <c r="F1379" s="1">
        <v>0.0</v>
      </c>
      <c r="G1379" s="2">
        <v>0.0</v>
      </c>
      <c r="H1379" s="1" t="s">
        <v>347</v>
      </c>
      <c r="I1379" s="1">
        <v>0.0</v>
      </c>
      <c r="J1379" s="1">
        <v>0.0</v>
      </c>
    </row>
    <row r="1380">
      <c r="A1380" s="1">
        <v>4.0</v>
      </c>
      <c r="B1380" s="1">
        <v>16.0</v>
      </c>
      <c r="C1380" s="1">
        <v>15.0</v>
      </c>
      <c r="D1380" s="1">
        <v>10.0</v>
      </c>
      <c r="E1380" s="1">
        <v>0.5</v>
      </c>
      <c r="F1380" s="1">
        <v>0.0</v>
      </c>
      <c r="G1380" s="2">
        <v>0.8</v>
      </c>
      <c r="H1380" s="1" t="s">
        <v>188</v>
      </c>
      <c r="I1380" s="1">
        <v>40.0</v>
      </c>
      <c r="J1380" s="1">
        <v>2.0</v>
      </c>
    </row>
    <row r="1381">
      <c r="A1381" s="1">
        <v>1.0</v>
      </c>
      <c r="B1381" s="1">
        <v>4.0</v>
      </c>
      <c r="C1381" s="1">
        <v>4.0</v>
      </c>
      <c r="D1381" s="1">
        <v>12.0</v>
      </c>
      <c r="E1381" s="1">
        <v>0.0</v>
      </c>
      <c r="F1381" s="1">
        <v>0.0</v>
      </c>
      <c r="G1381" s="2">
        <v>0.75</v>
      </c>
      <c r="H1381" s="1" t="s">
        <v>188</v>
      </c>
      <c r="I1381" s="1">
        <v>12.0</v>
      </c>
      <c r="J1381" s="1">
        <v>0.0</v>
      </c>
    </row>
    <row r="1382">
      <c r="A1382" s="1">
        <v>3.0</v>
      </c>
      <c r="B1382" s="1">
        <v>12.0</v>
      </c>
      <c r="C1382" s="1">
        <v>6.0</v>
      </c>
      <c r="D1382" s="1">
        <v>8.0</v>
      </c>
      <c r="E1382" s="1">
        <v>0.0</v>
      </c>
      <c r="F1382" s="1">
        <v>0.0</v>
      </c>
      <c r="G1382" s="2">
        <v>1.0</v>
      </c>
      <c r="H1382" s="1" t="s">
        <v>119</v>
      </c>
      <c r="I1382" s="1">
        <v>24.0</v>
      </c>
      <c r="J1382" s="1">
        <v>0.0</v>
      </c>
    </row>
    <row r="1383">
      <c r="A1383" s="1">
        <v>3.0</v>
      </c>
      <c r="B1383" s="1">
        <v>12.0</v>
      </c>
      <c r="C1383" s="1">
        <v>6.0</v>
      </c>
      <c r="D1383" s="1">
        <v>2.67</v>
      </c>
      <c r="E1383" s="1">
        <v>0.33</v>
      </c>
      <c r="F1383" s="1">
        <v>0.0</v>
      </c>
      <c r="G1383" s="2">
        <v>0.5</v>
      </c>
      <c r="H1383" s="1" t="s">
        <v>218</v>
      </c>
      <c r="I1383" s="1">
        <v>8.0</v>
      </c>
      <c r="J1383" s="1">
        <v>1.0</v>
      </c>
    </row>
    <row r="1384">
      <c r="A1384" s="1">
        <v>2.0</v>
      </c>
      <c r="B1384" s="1">
        <v>8.0</v>
      </c>
      <c r="C1384" s="1">
        <v>1.0</v>
      </c>
      <c r="D1384" s="1">
        <v>0.0</v>
      </c>
      <c r="E1384" s="1">
        <v>0.0</v>
      </c>
      <c r="F1384" s="1">
        <v>0.0</v>
      </c>
      <c r="G1384" s="2">
        <v>0.0</v>
      </c>
      <c r="H1384" s="1" t="s">
        <v>348</v>
      </c>
      <c r="I1384" s="1">
        <v>0.0</v>
      </c>
      <c r="J1384" s="1">
        <v>0.0</v>
      </c>
    </row>
    <row r="1385">
      <c r="A1385" s="1">
        <v>3.0</v>
      </c>
      <c r="B1385" s="1">
        <v>12.0</v>
      </c>
      <c r="C1385" s="1">
        <v>0.0</v>
      </c>
      <c r="D1385" s="1">
        <v>0.0</v>
      </c>
      <c r="E1385" s="1">
        <v>0.0</v>
      </c>
      <c r="F1385" s="1">
        <v>0.0</v>
      </c>
      <c r="G1385" s="2">
        <v>0.0</v>
      </c>
      <c r="H1385" s="1" t="s">
        <v>349</v>
      </c>
      <c r="I1385" s="1">
        <v>0.0</v>
      </c>
      <c r="J1385" s="1">
        <v>0.0</v>
      </c>
    </row>
    <row r="1386">
      <c r="A1386" s="1">
        <v>4.0</v>
      </c>
      <c r="B1386" s="1">
        <v>16.0</v>
      </c>
      <c r="C1386" s="1">
        <v>1.0</v>
      </c>
      <c r="D1386" s="1">
        <v>1.0</v>
      </c>
      <c r="E1386" s="1">
        <v>0.0</v>
      </c>
      <c r="F1386" s="1">
        <v>0.0</v>
      </c>
      <c r="G1386" s="2">
        <v>1.0</v>
      </c>
      <c r="H1386" s="1" t="s">
        <v>193</v>
      </c>
      <c r="I1386" s="1">
        <v>4.0</v>
      </c>
      <c r="J1386" s="1">
        <v>0.0</v>
      </c>
    </row>
    <row r="1387">
      <c r="A1387" s="1">
        <v>1.0</v>
      </c>
      <c r="B1387" s="1">
        <v>4.0</v>
      </c>
      <c r="C1387" s="1">
        <v>1.0</v>
      </c>
      <c r="D1387" s="1">
        <v>0.0</v>
      </c>
      <c r="E1387" s="1">
        <v>0.0</v>
      </c>
      <c r="F1387" s="1">
        <v>0.0</v>
      </c>
      <c r="G1387" s="2">
        <v>0.0</v>
      </c>
      <c r="H1387" s="1" t="s">
        <v>0</v>
      </c>
      <c r="I1387" s="1">
        <v>0.0</v>
      </c>
      <c r="J1387" s="1">
        <v>0.0</v>
      </c>
    </row>
    <row r="1388">
      <c r="A1388" s="1">
        <v>4.0</v>
      </c>
      <c r="B1388" s="1">
        <v>16.0</v>
      </c>
      <c r="C1388" s="1">
        <v>3.0</v>
      </c>
      <c r="D1388" s="1">
        <v>1.0</v>
      </c>
      <c r="E1388" s="1">
        <v>0.25</v>
      </c>
      <c r="F1388" s="1">
        <v>0.0</v>
      </c>
      <c r="G1388" s="6">
        <v>0.667</v>
      </c>
      <c r="H1388" s="1" t="s">
        <v>2</v>
      </c>
      <c r="I1388" s="1">
        <v>4.0</v>
      </c>
      <c r="J1388" s="1">
        <v>1.0</v>
      </c>
    </row>
    <row r="1389">
      <c r="A1389" s="1">
        <v>1.0</v>
      </c>
      <c r="B1389" s="1">
        <v>4.0</v>
      </c>
      <c r="C1389" s="1">
        <v>0.0</v>
      </c>
      <c r="D1389" s="1">
        <v>0.0</v>
      </c>
      <c r="E1389" s="1">
        <v>0.0</v>
      </c>
      <c r="F1389" s="1">
        <v>0.0</v>
      </c>
      <c r="G1389" s="2">
        <v>0.0</v>
      </c>
      <c r="H1389" s="1" t="s">
        <v>2</v>
      </c>
      <c r="I1389" s="1">
        <v>0.0</v>
      </c>
      <c r="J1389" s="1">
        <v>0.0</v>
      </c>
    </row>
    <row r="1390">
      <c r="A1390" s="1">
        <v>4.0</v>
      </c>
      <c r="B1390" s="1">
        <v>16.0</v>
      </c>
      <c r="C1390" s="1">
        <v>0.0</v>
      </c>
      <c r="D1390" s="1">
        <v>0.0</v>
      </c>
      <c r="E1390" s="1">
        <v>0.0</v>
      </c>
      <c r="F1390" s="1">
        <v>0.0</v>
      </c>
      <c r="G1390" s="2">
        <v>0.0</v>
      </c>
      <c r="H1390" s="1" t="s">
        <v>5</v>
      </c>
      <c r="I1390" s="1">
        <v>0.0</v>
      </c>
      <c r="J1390" s="1">
        <v>0.0</v>
      </c>
    </row>
    <row r="1391">
      <c r="A1391" s="1">
        <v>1.0</v>
      </c>
      <c r="B1391" s="1">
        <v>4.0</v>
      </c>
      <c r="C1391" s="1">
        <v>0.0</v>
      </c>
      <c r="D1391" s="1">
        <v>0.0</v>
      </c>
      <c r="E1391" s="1">
        <v>0.0</v>
      </c>
      <c r="F1391" s="1">
        <v>0.0</v>
      </c>
      <c r="G1391" s="2">
        <v>0.0</v>
      </c>
      <c r="H1391" s="1" t="s">
        <v>5</v>
      </c>
      <c r="I1391" s="1">
        <v>0.0</v>
      </c>
      <c r="J1391" s="1">
        <v>0.0</v>
      </c>
    </row>
    <row r="1392">
      <c r="A1392" s="1">
        <v>4.0</v>
      </c>
      <c r="B1392" s="1">
        <v>16.0</v>
      </c>
      <c r="C1392" s="1">
        <v>9.0</v>
      </c>
      <c r="D1392" s="1">
        <v>-1.0</v>
      </c>
      <c r="E1392" s="1">
        <v>1.0</v>
      </c>
      <c r="F1392" s="1">
        <v>0.0</v>
      </c>
      <c r="G1392" s="6">
        <v>0.333</v>
      </c>
      <c r="H1392" s="1" t="s">
        <v>8</v>
      </c>
      <c r="I1392" s="1">
        <v>-4.0</v>
      </c>
      <c r="J1392" s="1">
        <v>4.0</v>
      </c>
    </row>
    <row r="1393">
      <c r="A1393" s="1">
        <v>1.0</v>
      </c>
      <c r="B1393" s="1">
        <v>4.0</v>
      </c>
      <c r="C1393" s="1">
        <v>4.0</v>
      </c>
      <c r="D1393" s="1">
        <v>8.0</v>
      </c>
      <c r="E1393" s="1">
        <v>1.0</v>
      </c>
      <c r="F1393" s="1">
        <v>0.0</v>
      </c>
      <c r="G1393" s="2">
        <v>0.75</v>
      </c>
      <c r="H1393" s="1" t="s">
        <v>8</v>
      </c>
      <c r="I1393" s="1">
        <v>8.0</v>
      </c>
      <c r="J1393" s="1">
        <v>1.0</v>
      </c>
    </row>
    <row r="1394">
      <c r="A1394" s="1">
        <v>4.0</v>
      </c>
      <c r="B1394" s="1">
        <v>16.0</v>
      </c>
      <c r="C1394" s="1">
        <v>0.0</v>
      </c>
      <c r="D1394" s="1">
        <v>0.0</v>
      </c>
      <c r="E1394" s="1">
        <v>0.0</v>
      </c>
      <c r="F1394" s="1">
        <v>0.0</v>
      </c>
      <c r="G1394" s="2">
        <v>0.0</v>
      </c>
      <c r="H1394" s="1" t="s">
        <v>11</v>
      </c>
      <c r="I1394" s="1">
        <v>0.0</v>
      </c>
      <c r="J1394" s="1">
        <v>0.0</v>
      </c>
    </row>
    <row r="1395">
      <c r="A1395" s="1">
        <v>3.0</v>
      </c>
      <c r="B1395" s="1">
        <v>12.0</v>
      </c>
      <c r="C1395" s="1">
        <v>1.0</v>
      </c>
      <c r="D1395" s="1">
        <v>0.0</v>
      </c>
      <c r="E1395" s="1">
        <v>0.0</v>
      </c>
      <c r="F1395" s="1">
        <v>0.0</v>
      </c>
      <c r="G1395" s="2">
        <v>0.0</v>
      </c>
      <c r="H1395" s="1" t="s">
        <v>12</v>
      </c>
      <c r="I1395" s="1">
        <v>0.0</v>
      </c>
      <c r="J1395" s="1">
        <v>0.0</v>
      </c>
    </row>
    <row r="1396">
      <c r="A1396" s="1">
        <v>1.0</v>
      </c>
      <c r="B1396" s="1">
        <v>4.0</v>
      </c>
      <c r="C1396" s="1">
        <v>1.0</v>
      </c>
      <c r="D1396" s="1">
        <v>4.0</v>
      </c>
      <c r="E1396" s="1">
        <v>0.0</v>
      </c>
      <c r="F1396" s="1">
        <v>0.0</v>
      </c>
      <c r="G1396" s="2">
        <v>1.0</v>
      </c>
      <c r="H1396" s="1" t="s">
        <v>13</v>
      </c>
      <c r="I1396" s="1">
        <v>4.0</v>
      </c>
      <c r="J1396" s="1">
        <v>0.0</v>
      </c>
    </row>
    <row r="1397">
      <c r="A1397" s="1">
        <v>4.0</v>
      </c>
      <c r="B1397" s="1">
        <v>16.0</v>
      </c>
      <c r="C1397" s="1">
        <v>1.0</v>
      </c>
      <c r="D1397" s="1">
        <v>0.0</v>
      </c>
      <c r="E1397" s="1">
        <v>0.0</v>
      </c>
      <c r="F1397" s="1">
        <v>0.0</v>
      </c>
      <c r="G1397" s="2">
        <v>0.0</v>
      </c>
      <c r="H1397" s="1" t="s">
        <v>13</v>
      </c>
      <c r="I1397" s="1">
        <v>0.0</v>
      </c>
      <c r="J1397" s="1">
        <v>0.0</v>
      </c>
    </row>
    <row r="1398">
      <c r="A1398" s="1">
        <v>1.0</v>
      </c>
      <c r="B1398" s="1">
        <v>4.0</v>
      </c>
      <c r="C1398" s="1">
        <v>2.0</v>
      </c>
      <c r="D1398" s="1">
        <v>4.0</v>
      </c>
      <c r="E1398" s="1">
        <v>0.0</v>
      </c>
      <c r="F1398" s="1">
        <v>0.0</v>
      </c>
      <c r="G1398" s="2">
        <v>0.5</v>
      </c>
      <c r="H1398" s="1" t="s">
        <v>15</v>
      </c>
      <c r="I1398" s="1">
        <v>4.0</v>
      </c>
      <c r="J1398" s="1">
        <v>0.0</v>
      </c>
    </row>
    <row r="1399">
      <c r="A1399" s="1">
        <v>4.0</v>
      </c>
      <c r="B1399" s="1">
        <v>16.0</v>
      </c>
      <c r="C1399" s="1">
        <v>7.0</v>
      </c>
      <c r="D1399" s="1">
        <v>4.0</v>
      </c>
      <c r="E1399" s="1">
        <v>0.25</v>
      </c>
      <c r="F1399" s="1">
        <v>0.0</v>
      </c>
      <c r="G1399" s="6">
        <v>0.714</v>
      </c>
      <c r="H1399" s="1" t="s">
        <v>15</v>
      </c>
      <c r="I1399" s="1">
        <v>16.0</v>
      </c>
      <c r="J1399" s="1">
        <v>1.0</v>
      </c>
    </row>
    <row r="1400">
      <c r="A1400" s="1">
        <v>1.0</v>
      </c>
      <c r="B1400" s="1">
        <v>4.0</v>
      </c>
      <c r="C1400" s="1">
        <v>0.0</v>
      </c>
      <c r="D1400" s="1">
        <v>0.0</v>
      </c>
      <c r="E1400" s="1">
        <v>0.0</v>
      </c>
      <c r="F1400" s="1">
        <v>0.0</v>
      </c>
      <c r="G1400" s="2">
        <v>0.0</v>
      </c>
      <c r="H1400" s="1" t="s">
        <v>17</v>
      </c>
      <c r="I1400" s="1">
        <v>0.0</v>
      </c>
      <c r="J1400" s="1">
        <v>0.0</v>
      </c>
    </row>
    <row r="1401">
      <c r="A1401" s="1">
        <v>4.0</v>
      </c>
      <c r="B1401" s="1">
        <v>16.0</v>
      </c>
      <c r="C1401" s="1">
        <v>2.0</v>
      </c>
      <c r="D1401" s="1">
        <v>1.0</v>
      </c>
      <c r="E1401" s="1">
        <v>0.0</v>
      </c>
      <c r="F1401" s="1">
        <v>0.0</v>
      </c>
      <c r="G1401" s="2">
        <v>0.5</v>
      </c>
      <c r="H1401" s="1" t="s">
        <v>17</v>
      </c>
      <c r="I1401" s="1">
        <v>4.0</v>
      </c>
      <c r="J1401" s="1">
        <v>0.0</v>
      </c>
    </row>
    <row r="1402">
      <c r="A1402" s="1">
        <v>1.0</v>
      </c>
      <c r="B1402" s="1">
        <v>4.0</v>
      </c>
      <c r="C1402" s="1">
        <v>0.0</v>
      </c>
      <c r="D1402" s="1">
        <v>0.0</v>
      </c>
      <c r="E1402" s="1">
        <v>0.0</v>
      </c>
      <c r="F1402" s="1">
        <v>0.0</v>
      </c>
      <c r="G1402" s="2">
        <v>0.0</v>
      </c>
      <c r="H1402" s="1" t="s">
        <v>20</v>
      </c>
      <c r="I1402" s="1">
        <v>0.0</v>
      </c>
      <c r="J1402" s="1">
        <v>0.0</v>
      </c>
    </row>
    <row r="1403">
      <c r="A1403" s="1">
        <v>1.0</v>
      </c>
      <c r="B1403" s="1">
        <v>4.0</v>
      </c>
      <c r="C1403" s="1">
        <v>0.0</v>
      </c>
      <c r="D1403" s="1">
        <v>0.0</v>
      </c>
      <c r="E1403" s="1">
        <v>0.0</v>
      </c>
      <c r="F1403" s="1">
        <v>0.0</v>
      </c>
      <c r="G1403" s="2">
        <v>0.0</v>
      </c>
      <c r="H1403" s="1" t="s">
        <v>20</v>
      </c>
      <c r="I1403" s="1">
        <v>0.0</v>
      </c>
      <c r="J1403" s="1">
        <v>0.0</v>
      </c>
    </row>
    <row r="1404">
      <c r="A1404" s="1">
        <v>1.0</v>
      </c>
      <c r="B1404" s="1">
        <v>4.0</v>
      </c>
      <c r="C1404" s="1">
        <v>1.0</v>
      </c>
      <c r="D1404" s="1">
        <v>-4.0</v>
      </c>
      <c r="E1404" s="1">
        <v>1.0</v>
      </c>
      <c r="F1404" s="1">
        <v>0.0</v>
      </c>
      <c r="G1404" s="2">
        <v>0.0</v>
      </c>
      <c r="H1404" s="1" t="s">
        <v>24</v>
      </c>
      <c r="I1404" s="1">
        <v>-4.0</v>
      </c>
      <c r="J1404" s="1">
        <v>1.0</v>
      </c>
    </row>
    <row r="1405">
      <c r="A1405" s="1">
        <v>1.0</v>
      </c>
      <c r="B1405" s="1">
        <v>4.0</v>
      </c>
      <c r="C1405" s="1">
        <v>3.0</v>
      </c>
      <c r="D1405" s="1">
        <v>12.0</v>
      </c>
      <c r="E1405" s="1">
        <v>0.0</v>
      </c>
      <c r="F1405" s="1">
        <v>0.0</v>
      </c>
      <c r="G1405" s="2">
        <v>1.0</v>
      </c>
      <c r="H1405" s="1" t="s">
        <v>24</v>
      </c>
      <c r="I1405" s="1">
        <v>12.0</v>
      </c>
      <c r="J1405" s="1">
        <v>0.0</v>
      </c>
    </row>
    <row r="1406">
      <c r="A1406" s="1">
        <v>3.0</v>
      </c>
      <c r="B1406" s="1">
        <v>12.0</v>
      </c>
      <c r="C1406" s="1">
        <v>2.0</v>
      </c>
      <c r="D1406" s="1">
        <v>1.33</v>
      </c>
      <c r="E1406" s="1">
        <v>0.0</v>
      </c>
      <c r="F1406" s="1">
        <v>0.0</v>
      </c>
      <c r="G1406" s="2">
        <v>0.5</v>
      </c>
      <c r="H1406" s="1" t="s">
        <v>29</v>
      </c>
      <c r="I1406" s="1">
        <v>4.0</v>
      </c>
      <c r="J1406" s="1">
        <v>0.0</v>
      </c>
    </row>
    <row r="1407">
      <c r="A1407" s="1">
        <v>1.0</v>
      </c>
      <c r="B1407" s="1">
        <v>4.0</v>
      </c>
      <c r="C1407" s="1">
        <v>1.0</v>
      </c>
      <c r="D1407" s="1">
        <v>-4.0</v>
      </c>
      <c r="E1407" s="1">
        <v>1.0</v>
      </c>
      <c r="F1407" s="1">
        <v>0.0</v>
      </c>
      <c r="G1407" s="2">
        <v>0.0</v>
      </c>
      <c r="H1407" s="1" t="s">
        <v>29</v>
      </c>
      <c r="I1407" s="1">
        <v>-4.0</v>
      </c>
      <c r="J1407" s="1">
        <v>1.0</v>
      </c>
    </row>
    <row r="1408">
      <c r="A1408" s="1">
        <v>1.0</v>
      </c>
      <c r="B1408" s="1">
        <v>4.0</v>
      </c>
      <c r="C1408" s="1">
        <v>4.0</v>
      </c>
      <c r="D1408" s="1">
        <v>12.0</v>
      </c>
      <c r="E1408" s="1">
        <v>0.0</v>
      </c>
      <c r="F1408" s="1">
        <v>0.0</v>
      </c>
      <c r="G1408" s="2">
        <v>0.75</v>
      </c>
      <c r="H1408" s="1" t="s">
        <v>29</v>
      </c>
      <c r="I1408" s="1">
        <v>12.0</v>
      </c>
      <c r="J1408" s="1">
        <v>0.0</v>
      </c>
    </row>
    <row r="1409">
      <c r="A1409" s="1">
        <v>2.0</v>
      </c>
      <c r="B1409" s="1">
        <v>8.0</v>
      </c>
      <c r="C1409" s="1">
        <v>1.0</v>
      </c>
      <c r="D1409" s="1">
        <v>2.0</v>
      </c>
      <c r="E1409" s="1">
        <v>0.0</v>
      </c>
      <c r="F1409" s="1">
        <v>0.0</v>
      </c>
      <c r="G1409" s="2">
        <v>1.0</v>
      </c>
      <c r="H1409" s="1" t="s">
        <v>38</v>
      </c>
      <c r="I1409" s="1">
        <v>4.0</v>
      </c>
      <c r="J1409" s="1">
        <v>0.0</v>
      </c>
    </row>
    <row r="1410">
      <c r="A1410" s="1">
        <v>1.0</v>
      </c>
      <c r="B1410" s="1">
        <v>4.0</v>
      </c>
      <c r="C1410" s="1">
        <v>0.0</v>
      </c>
      <c r="D1410" s="1">
        <v>0.0</v>
      </c>
      <c r="E1410" s="1">
        <v>0.0</v>
      </c>
      <c r="F1410" s="1">
        <v>0.0</v>
      </c>
      <c r="G1410" s="2">
        <v>0.0</v>
      </c>
      <c r="H1410" s="1" t="s">
        <v>38</v>
      </c>
      <c r="I1410" s="1">
        <v>0.0</v>
      </c>
      <c r="J1410" s="1">
        <v>0.0</v>
      </c>
    </row>
    <row r="1411">
      <c r="A1411" s="1">
        <v>3.0</v>
      </c>
      <c r="B1411" s="1">
        <v>12.0</v>
      </c>
      <c r="C1411" s="1">
        <v>3.0</v>
      </c>
      <c r="D1411" s="1">
        <v>0.0</v>
      </c>
      <c r="E1411" s="1">
        <v>0.33</v>
      </c>
      <c r="F1411" s="1">
        <v>0.0</v>
      </c>
      <c r="G1411" s="6">
        <v>0.333</v>
      </c>
      <c r="H1411" s="1" t="s">
        <v>40</v>
      </c>
      <c r="I1411" s="1">
        <v>0.0</v>
      </c>
      <c r="J1411" s="1">
        <v>1.0</v>
      </c>
    </row>
    <row r="1412">
      <c r="A1412" s="1">
        <v>1.0</v>
      </c>
      <c r="B1412" s="1">
        <v>4.0</v>
      </c>
      <c r="C1412" s="1">
        <v>1.0</v>
      </c>
      <c r="D1412" s="1">
        <v>4.0</v>
      </c>
      <c r="E1412" s="1">
        <v>0.0</v>
      </c>
      <c r="F1412" s="1">
        <v>0.0</v>
      </c>
      <c r="G1412" s="2">
        <v>1.0</v>
      </c>
      <c r="H1412" s="1" t="s">
        <v>40</v>
      </c>
      <c r="I1412" s="1">
        <v>4.0</v>
      </c>
      <c r="J1412" s="1">
        <v>0.0</v>
      </c>
    </row>
    <row r="1413">
      <c r="A1413" s="1">
        <v>1.0</v>
      </c>
      <c r="B1413" s="1">
        <v>4.0</v>
      </c>
      <c r="C1413" s="1">
        <v>0.0</v>
      </c>
      <c r="D1413" s="1">
        <v>0.0</v>
      </c>
      <c r="E1413" s="1">
        <v>0.0</v>
      </c>
      <c r="F1413" s="1">
        <v>0.0</v>
      </c>
      <c r="G1413" s="2">
        <v>0.0</v>
      </c>
      <c r="H1413" s="1" t="s">
        <v>40</v>
      </c>
      <c r="I1413" s="1">
        <v>0.0</v>
      </c>
      <c r="J1413" s="1">
        <v>0.0</v>
      </c>
    </row>
    <row r="1414">
      <c r="A1414" s="1">
        <v>3.0</v>
      </c>
      <c r="B1414" s="1">
        <v>12.0</v>
      </c>
      <c r="C1414" s="1">
        <v>0.0</v>
      </c>
      <c r="D1414" s="1">
        <v>0.0</v>
      </c>
      <c r="E1414" s="1">
        <v>0.0</v>
      </c>
      <c r="F1414" s="1">
        <v>0.0</v>
      </c>
      <c r="G1414" s="2">
        <v>0.0</v>
      </c>
      <c r="H1414" s="1" t="s">
        <v>46</v>
      </c>
      <c r="I1414" s="1">
        <v>0.0</v>
      </c>
      <c r="J1414" s="1">
        <v>0.0</v>
      </c>
    </row>
    <row r="1415">
      <c r="A1415" s="1">
        <v>1.0</v>
      </c>
      <c r="B1415" s="1">
        <v>4.0</v>
      </c>
      <c r="C1415" s="1">
        <v>1.0</v>
      </c>
      <c r="D1415" s="1">
        <v>0.0</v>
      </c>
      <c r="E1415" s="1">
        <v>0.0</v>
      </c>
      <c r="F1415" s="1">
        <v>0.0</v>
      </c>
      <c r="G1415" s="2">
        <v>0.0</v>
      </c>
      <c r="H1415" s="1" t="s">
        <v>46</v>
      </c>
      <c r="I1415" s="1">
        <v>0.0</v>
      </c>
      <c r="J1415" s="1">
        <v>0.0</v>
      </c>
    </row>
    <row r="1416">
      <c r="A1416" s="1">
        <v>1.0</v>
      </c>
      <c r="B1416" s="1">
        <v>4.0</v>
      </c>
      <c r="C1416" s="1">
        <v>0.0</v>
      </c>
      <c r="D1416" s="1">
        <v>0.0</v>
      </c>
      <c r="E1416" s="1">
        <v>0.0</v>
      </c>
      <c r="F1416" s="1">
        <v>0.0</v>
      </c>
      <c r="G1416" s="2">
        <v>0.0</v>
      </c>
      <c r="H1416" s="1" t="s">
        <v>46</v>
      </c>
      <c r="I1416" s="1">
        <v>0.0</v>
      </c>
      <c r="J1416" s="1">
        <v>0.0</v>
      </c>
    </row>
    <row r="1417">
      <c r="A1417" s="1">
        <v>4.0</v>
      </c>
      <c r="B1417" s="1">
        <v>16.0</v>
      </c>
      <c r="C1417" s="1">
        <v>1.0</v>
      </c>
      <c r="D1417" s="1">
        <v>1.0</v>
      </c>
      <c r="E1417" s="1">
        <v>0.0</v>
      </c>
      <c r="F1417" s="1">
        <v>0.0</v>
      </c>
      <c r="G1417" s="2">
        <v>1.0</v>
      </c>
      <c r="H1417" s="1" t="s">
        <v>51</v>
      </c>
      <c r="I1417" s="1">
        <v>4.0</v>
      </c>
      <c r="J1417" s="1">
        <v>0.0</v>
      </c>
    </row>
    <row r="1418">
      <c r="A1418" s="1">
        <v>5.0</v>
      </c>
      <c r="B1418" s="1">
        <v>19.0</v>
      </c>
      <c r="C1418" s="1">
        <v>5.0</v>
      </c>
      <c r="D1418" s="1">
        <v>1.6</v>
      </c>
      <c r="E1418" s="1">
        <v>0.2</v>
      </c>
      <c r="F1418" s="1">
        <v>0.0</v>
      </c>
      <c r="G1418" s="2">
        <v>0.6</v>
      </c>
      <c r="H1418" s="1" t="s">
        <v>54</v>
      </c>
      <c r="I1418" s="1">
        <v>8.0</v>
      </c>
      <c r="J1418" s="1">
        <v>1.0</v>
      </c>
    </row>
    <row r="1419">
      <c r="A1419" s="1">
        <v>1.0</v>
      </c>
      <c r="B1419" s="1">
        <v>3.0</v>
      </c>
      <c r="C1419" s="1">
        <v>0.0</v>
      </c>
      <c r="D1419" s="1">
        <v>0.0</v>
      </c>
      <c r="E1419" s="1">
        <v>0.0</v>
      </c>
      <c r="F1419" s="1">
        <v>0.0</v>
      </c>
      <c r="G1419" s="2">
        <v>0.0</v>
      </c>
      <c r="H1419" s="1" t="s">
        <v>55</v>
      </c>
      <c r="I1419" s="1">
        <v>0.0</v>
      </c>
      <c r="J1419" s="1">
        <v>0.0</v>
      </c>
    </row>
    <row r="1420">
      <c r="A1420" s="1">
        <v>1.0</v>
      </c>
      <c r="B1420" s="1">
        <v>4.0</v>
      </c>
      <c r="C1420" s="1">
        <v>0.0</v>
      </c>
      <c r="D1420" s="1">
        <v>0.0</v>
      </c>
      <c r="E1420" s="1">
        <v>0.0</v>
      </c>
      <c r="F1420" s="1">
        <v>0.0</v>
      </c>
      <c r="G1420" s="2">
        <v>0.0</v>
      </c>
      <c r="H1420" s="1" t="s">
        <v>55</v>
      </c>
      <c r="I1420" s="1">
        <v>0.0</v>
      </c>
      <c r="J1420" s="1">
        <v>0.0</v>
      </c>
    </row>
    <row r="1421">
      <c r="A1421" s="1">
        <v>5.0</v>
      </c>
      <c r="B1421" s="1">
        <v>19.0</v>
      </c>
      <c r="C1421" s="1">
        <v>0.0</v>
      </c>
      <c r="D1421" s="1">
        <v>0.0</v>
      </c>
      <c r="E1421" s="1">
        <v>0.0</v>
      </c>
      <c r="F1421" s="1">
        <v>0.0</v>
      </c>
      <c r="G1421" s="2">
        <v>0.0</v>
      </c>
      <c r="H1421" s="1" t="s">
        <v>59</v>
      </c>
      <c r="I1421" s="1">
        <v>0.0</v>
      </c>
      <c r="J1421" s="1">
        <v>0.0</v>
      </c>
    </row>
    <row r="1422">
      <c r="A1422" s="1">
        <v>1.0</v>
      </c>
      <c r="B1422" s="1">
        <v>3.0</v>
      </c>
      <c r="C1422" s="1">
        <v>0.0</v>
      </c>
      <c r="D1422" s="1">
        <v>0.0</v>
      </c>
      <c r="E1422" s="1">
        <v>0.0</v>
      </c>
      <c r="F1422" s="1">
        <v>0.0</v>
      </c>
      <c r="G1422" s="2">
        <v>0.0</v>
      </c>
      <c r="H1422" s="1" t="s">
        <v>61</v>
      </c>
      <c r="I1422" s="1">
        <v>0.0</v>
      </c>
      <c r="J1422" s="1">
        <v>0.0</v>
      </c>
    </row>
    <row r="1423">
      <c r="A1423" s="1">
        <v>4.0</v>
      </c>
      <c r="B1423" s="1">
        <v>16.0</v>
      </c>
      <c r="C1423" s="1">
        <v>6.0</v>
      </c>
      <c r="D1423" s="1">
        <v>3.0</v>
      </c>
      <c r="E1423" s="1">
        <v>0.0</v>
      </c>
      <c r="F1423" s="1">
        <v>0.0</v>
      </c>
      <c r="G1423" s="2">
        <v>0.5</v>
      </c>
      <c r="H1423" s="1" t="s">
        <v>61</v>
      </c>
      <c r="I1423" s="1">
        <v>12.0</v>
      </c>
      <c r="J1423" s="1">
        <v>0.0</v>
      </c>
    </row>
    <row r="1424">
      <c r="A1424" s="1">
        <v>2.0</v>
      </c>
      <c r="B1424" s="1">
        <v>7.0</v>
      </c>
      <c r="C1424" s="1">
        <v>0.0</v>
      </c>
      <c r="D1424" s="1">
        <v>0.0</v>
      </c>
      <c r="E1424" s="1">
        <v>0.0</v>
      </c>
      <c r="F1424" s="1">
        <v>0.0</v>
      </c>
      <c r="G1424" s="2">
        <v>0.0</v>
      </c>
      <c r="H1424" s="1" t="s">
        <v>65</v>
      </c>
      <c r="I1424" s="1">
        <v>0.0</v>
      </c>
      <c r="J1424" s="1">
        <v>0.0</v>
      </c>
    </row>
    <row r="1425">
      <c r="A1425" s="1">
        <v>5.0</v>
      </c>
      <c r="B1425" s="1">
        <v>19.0</v>
      </c>
      <c r="C1425" s="1">
        <v>0.0</v>
      </c>
      <c r="D1425" s="1">
        <v>0.0</v>
      </c>
      <c r="E1425" s="1">
        <v>0.0</v>
      </c>
      <c r="F1425" s="1">
        <v>0.0</v>
      </c>
      <c r="G1425" s="2">
        <v>0.0</v>
      </c>
      <c r="H1425" s="1" t="s">
        <v>68</v>
      </c>
      <c r="I1425" s="1">
        <v>0.0</v>
      </c>
      <c r="J1425" s="1">
        <v>0.0</v>
      </c>
    </row>
    <row r="1426">
      <c r="A1426" s="1">
        <v>5.0</v>
      </c>
      <c r="B1426" s="1">
        <v>19.0</v>
      </c>
      <c r="C1426" s="1">
        <v>11.0</v>
      </c>
      <c r="D1426" s="1">
        <v>2.4</v>
      </c>
      <c r="E1426" s="1">
        <v>0.4</v>
      </c>
      <c r="F1426" s="1">
        <v>0.0</v>
      </c>
      <c r="G1426" s="6">
        <v>0.455</v>
      </c>
      <c r="H1426" s="1" t="s">
        <v>71</v>
      </c>
      <c r="I1426" s="1">
        <v>12.0</v>
      </c>
      <c r="J1426" s="1">
        <v>2.0</v>
      </c>
    </row>
    <row r="1427">
      <c r="A1427" s="1">
        <v>1.0</v>
      </c>
      <c r="B1427" s="1">
        <v>4.0</v>
      </c>
      <c r="C1427" s="1">
        <v>2.0</v>
      </c>
      <c r="D1427" s="1">
        <v>0.0</v>
      </c>
      <c r="E1427" s="1">
        <v>1.0</v>
      </c>
      <c r="F1427" s="1">
        <v>0.0</v>
      </c>
      <c r="G1427" s="2">
        <v>0.5</v>
      </c>
      <c r="H1427" s="1" t="s">
        <v>73</v>
      </c>
      <c r="I1427" s="1">
        <v>0.0</v>
      </c>
      <c r="J1427" s="1">
        <v>1.0</v>
      </c>
    </row>
    <row r="1428">
      <c r="A1428" s="1">
        <v>2.0</v>
      </c>
      <c r="B1428" s="1">
        <v>8.0</v>
      </c>
      <c r="C1428" s="1">
        <v>1.0</v>
      </c>
      <c r="D1428" s="1">
        <v>2.0</v>
      </c>
      <c r="E1428" s="1">
        <v>0.0</v>
      </c>
      <c r="F1428" s="1">
        <v>0.0</v>
      </c>
      <c r="G1428" s="2">
        <v>1.0</v>
      </c>
      <c r="H1428" s="1" t="s">
        <v>73</v>
      </c>
      <c r="I1428" s="1">
        <v>4.0</v>
      </c>
      <c r="J1428" s="1">
        <v>0.0</v>
      </c>
    </row>
    <row r="1429">
      <c r="A1429" s="1">
        <v>1.0</v>
      </c>
      <c r="B1429" s="1">
        <v>4.0</v>
      </c>
      <c r="C1429" s="1">
        <v>1.0</v>
      </c>
      <c r="D1429" s="1">
        <v>4.0</v>
      </c>
      <c r="E1429" s="1">
        <v>0.0</v>
      </c>
      <c r="F1429" s="1">
        <v>0.0</v>
      </c>
      <c r="G1429" s="2">
        <v>1.0</v>
      </c>
      <c r="H1429" s="1" t="s">
        <v>75</v>
      </c>
      <c r="I1429" s="1">
        <v>4.0</v>
      </c>
      <c r="J1429" s="1">
        <v>0.0</v>
      </c>
    </row>
    <row r="1430">
      <c r="A1430" s="1">
        <v>4.0</v>
      </c>
      <c r="B1430" s="1">
        <v>14.0</v>
      </c>
      <c r="C1430" s="1">
        <v>5.0</v>
      </c>
      <c r="D1430" s="1">
        <v>1.0</v>
      </c>
      <c r="E1430" s="1">
        <v>0.0</v>
      </c>
      <c r="F1430" s="1">
        <v>0.0</v>
      </c>
      <c r="G1430" s="2">
        <v>0.2</v>
      </c>
      <c r="H1430" s="1" t="s">
        <v>75</v>
      </c>
      <c r="I1430" s="1">
        <v>4.0</v>
      </c>
      <c r="J1430" s="1">
        <v>0.0</v>
      </c>
    </row>
    <row r="1431">
      <c r="A1431" s="1">
        <v>1.0</v>
      </c>
      <c r="B1431" s="1">
        <v>4.0</v>
      </c>
      <c r="C1431" s="1">
        <v>0.0</v>
      </c>
      <c r="D1431" s="1">
        <v>0.0</v>
      </c>
      <c r="E1431" s="1">
        <v>0.0</v>
      </c>
      <c r="F1431" s="1">
        <v>0.0</v>
      </c>
      <c r="G1431" s="2">
        <v>0.0</v>
      </c>
      <c r="H1431" s="1" t="s">
        <v>79</v>
      </c>
      <c r="I1431" s="1">
        <v>0.0</v>
      </c>
      <c r="J1431" s="1">
        <v>0.0</v>
      </c>
    </row>
    <row r="1432">
      <c r="A1432" s="1">
        <v>2.0</v>
      </c>
      <c r="B1432" s="1">
        <v>7.0</v>
      </c>
      <c r="C1432" s="1">
        <v>1.0</v>
      </c>
      <c r="D1432" s="1">
        <v>2.0</v>
      </c>
      <c r="E1432" s="1">
        <v>0.0</v>
      </c>
      <c r="F1432" s="1">
        <v>0.0</v>
      </c>
      <c r="G1432" s="2">
        <v>1.0</v>
      </c>
      <c r="H1432" s="1" t="s">
        <v>79</v>
      </c>
      <c r="I1432" s="1">
        <v>4.0</v>
      </c>
      <c r="J1432" s="1">
        <v>0.0</v>
      </c>
    </row>
    <row r="1433">
      <c r="A1433" s="1">
        <v>1.0</v>
      </c>
      <c r="B1433" s="1">
        <v>3.0</v>
      </c>
      <c r="C1433" s="1">
        <v>1.0</v>
      </c>
      <c r="D1433" s="1">
        <v>4.0</v>
      </c>
      <c r="E1433" s="1">
        <v>0.0</v>
      </c>
      <c r="F1433" s="1">
        <v>0.0</v>
      </c>
      <c r="G1433" s="2">
        <v>1.0</v>
      </c>
      <c r="H1433" s="1" t="s">
        <v>79</v>
      </c>
      <c r="I1433" s="1">
        <v>4.0</v>
      </c>
      <c r="J1433" s="1">
        <v>0.0</v>
      </c>
    </row>
    <row r="1434">
      <c r="A1434" s="1">
        <v>1.0</v>
      </c>
      <c r="B1434" s="1">
        <v>4.0</v>
      </c>
      <c r="C1434" s="1">
        <v>1.0</v>
      </c>
      <c r="D1434" s="1">
        <v>4.0</v>
      </c>
      <c r="E1434" s="1">
        <v>0.0</v>
      </c>
      <c r="F1434" s="1">
        <v>0.0</v>
      </c>
      <c r="G1434" s="2">
        <v>1.0</v>
      </c>
      <c r="H1434" s="1" t="s">
        <v>79</v>
      </c>
      <c r="I1434" s="1">
        <v>4.0</v>
      </c>
      <c r="J1434" s="1">
        <v>0.0</v>
      </c>
    </row>
    <row r="1435">
      <c r="A1435" s="1">
        <v>1.0</v>
      </c>
      <c r="B1435" s="1">
        <v>4.0</v>
      </c>
      <c r="C1435" s="1">
        <v>1.0</v>
      </c>
      <c r="D1435" s="1">
        <v>4.0</v>
      </c>
      <c r="E1435" s="1">
        <v>0.0</v>
      </c>
      <c r="F1435" s="1">
        <v>0.0</v>
      </c>
      <c r="G1435" s="2">
        <v>1.0</v>
      </c>
      <c r="H1435" s="1" t="s">
        <v>85</v>
      </c>
      <c r="I1435" s="1">
        <v>4.0</v>
      </c>
      <c r="J1435" s="1">
        <v>0.0</v>
      </c>
    </row>
    <row r="1436">
      <c r="A1436" s="1">
        <v>1.0</v>
      </c>
      <c r="B1436" s="1">
        <v>4.0</v>
      </c>
      <c r="C1436" s="1">
        <v>0.0</v>
      </c>
      <c r="D1436" s="1">
        <v>0.0</v>
      </c>
      <c r="E1436" s="1">
        <v>0.0</v>
      </c>
      <c r="F1436" s="1">
        <v>0.0</v>
      </c>
      <c r="G1436" s="2">
        <v>0.0</v>
      </c>
      <c r="H1436" s="1" t="s">
        <v>88</v>
      </c>
      <c r="I1436" s="1">
        <v>0.0</v>
      </c>
      <c r="J1436" s="1">
        <v>0.0</v>
      </c>
    </row>
    <row r="1437">
      <c r="A1437" s="1">
        <v>2.0</v>
      </c>
      <c r="B1437" s="1">
        <v>6.0</v>
      </c>
      <c r="C1437" s="1">
        <v>0.0</v>
      </c>
      <c r="D1437" s="1">
        <v>0.0</v>
      </c>
      <c r="E1437" s="1">
        <v>0.0</v>
      </c>
      <c r="F1437" s="1">
        <v>0.0</v>
      </c>
      <c r="G1437" s="2">
        <v>0.0</v>
      </c>
      <c r="H1437" s="1" t="s">
        <v>88</v>
      </c>
      <c r="I1437" s="1">
        <v>0.0</v>
      </c>
      <c r="J1437" s="1">
        <v>0.0</v>
      </c>
    </row>
    <row r="1438">
      <c r="A1438" s="1">
        <v>1.0</v>
      </c>
      <c r="B1438" s="1">
        <v>4.0</v>
      </c>
      <c r="C1438" s="1">
        <v>2.0</v>
      </c>
      <c r="D1438" s="1">
        <v>8.0</v>
      </c>
      <c r="E1438" s="1">
        <v>0.0</v>
      </c>
      <c r="F1438" s="1">
        <v>0.0</v>
      </c>
      <c r="G1438" s="2">
        <v>1.0</v>
      </c>
      <c r="H1438" s="1" t="s">
        <v>76</v>
      </c>
      <c r="I1438" s="1">
        <v>8.0</v>
      </c>
      <c r="J1438" s="1">
        <v>0.0</v>
      </c>
    </row>
    <row r="1439">
      <c r="A1439" s="1">
        <v>4.0</v>
      </c>
      <c r="B1439" s="1">
        <v>15.0</v>
      </c>
      <c r="C1439" s="1">
        <v>6.0</v>
      </c>
      <c r="D1439" s="1">
        <v>0.0</v>
      </c>
      <c r="E1439" s="1">
        <v>0.5</v>
      </c>
      <c r="F1439" s="1">
        <v>0.0</v>
      </c>
      <c r="G1439" s="6">
        <v>0.333</v>
      </c>
      <c r="H1439" s="1" t="s">
        <v>92</v>
      </c>
      <c r="I1439" s="1">
        <v>0.0</v>
      </c>
      <c r="J1439" s="1">
        <v>2.0</v>
      </c>
    </row>
    <row r="1440">
      <c r="A1440" s="1">
        <v>3.0</v>
      </c>
      <c r="B1440" s="1">
        <v>12.0</v>
      </c>
      <c r="C1440" s="1">
        <v>6.0</v>
      </c>
      <c r="D1440" s="1">
        <v>2.67</v>
      </c>
      <c r="E1440" s="1">
        <v>0.33</v>
      </c>
      <c r="F1440" s="1">
        <v>0.0</v>
      </c>
      <c r="G1440" s="2">
        <v>0.5</v>
      </c>
      <c r="H1440" s="1" t="s">
        <v>94</v>
      </c>
      <c r="I1440" s="1">
        <v>8.0</v>
      </c>
      <c r="J1440" s="1">
        <v>1.0</v>
      </c>
    </row>
    <row r="1441">
      <c r="A1441" s="1">
        <v>4.0</v>
      </c>
      <c r="B1441" s="1">
        <v>15.0</v>
      </c>
      <c r="C1441" s="1">
        <v>2.0</v>
      </c>
      <c r="D1441" s="1">
        <v>2.0</v>
      </c>
      <c r="E1441" s="1">
        <v>0.0</v>
      </c>
      <c r="F1441" s="1">
        <v>0.0</v>
      </c>
      <c r="G1441" s="2">
        <v>1.0</v>
      </c>
      <c r="H1441" s="1" t="s">
        <v>96</v>
      </c>
      <c r="I1441" s="1">
        <v>8.0</v>
      </c>
      <c r="J1441" s="1">
        <v>0.0</v>
      </c>
    </row>
    <row r="1442">
      <c r="A1442" s="1">
        <v>1.0</v>
      </c>
      <c r="B1442" s="1">
        <v>4.0</v>
      </c>
      <c r="C1442" s="1">
        <v>0.0</v>
      </c>
      <c r="D1442" s="1">
        <v>0.0</v>
      </c>
      <c r="E1442" s="1">
        <v>0.0</v>
      </c>
      <c r="F1442" s="1">
        <v>0.0</v>
      </c>
      <c r="G1442" s="2">
        <v>0.0</v>
      </c>
      <c r="H1442" s="1" t="s">
        <v>96</v>
      </c>
      <c r="I1442" s="1">
        <v>0.0</v>
      </c>
      <c r="J1442" s="1">
        <v>0.0</v>
      </c>
    </row>
    <row r="1443">
      <c r="A1443" s="1">
        <v>5.0</v>
      </c>
      <c r="B1443" s="1">
        <v>19.0</v>
      </c>
      <c r="C1443" s="1">
        <v>3.0</v>
      </c>
      <c r="D1443" s="1">
        <v>2.4</v>
      </c>
      <c r="E1443" s="1">
        <v>0.0</v>
      </c>
      <c r="F1443" s="1">
        <v>0.0</v>
      </c>
      <c r="G1443" s="2">
        <v>1.0</v>
      </c>
      <c r="H1443" s="1" t="s">
        <v>90</v>
      </c>
      <c r="I1443" s="1">
        <v>12.0</v>
      </c>
      <c r="J1443" s="1">
        <v>0.0</v>
      </c>
    </row>
    <row r="1444">
      <c r="A1444" s="1">
        <v>4.0</v>
      </c>
      <c r="B1444" s="1">
        <v>15.0</v>
      </c>
      <c r="C1444" s="1">
        <v>1.0</v>
      </c>
      <c r="D1444" s="1">
        <v>-1.0</v>
      </c>
      <c r="E1444" s="1">
        <v>0.25</v>
      </c>
      <c r="F1444" s="1">
        <v>0.0</v>
      </c>
      <c r="G1444" s="2">
        <v>0.0</v>
      </c>
      <c r="H1444" s="1" t="s">
        <v>100</v>
      </c>
      <c r="I1444" s="1">
        <v>-4.0</v>
      </c>
      <c r="J1444" s="1">
        <v>1.0</v>
      </c>
    </row>
    <row r="1445">
      <c r="A1445" s="1">
        <v>1.0</v>
      </c>
      <c r="B1445" s="1">
        <v>4.0</v>
      </c>
      <c r="C1445" s="1">
        <v>1.0</v>
      </c>
      <c r="D1445" s="1">
        <v>4.0</v>
      </c>
      <c r="E1445" s="1">
        <v>0.0</v>
      </c>
      <c r="F1445" s="1">
        <v>0.0</v>
      </c>
      <c r="G1445" s="2">
        <v>1.0</v>
      </c>
      <c r="H1445" s="1" t="s">
        <v>102</v>
      </c>
      <c r="I1445" s="1">
        <v>4.0</v>
      </c>
      <c r="J1445" s="1">
        <v>0.0</v>
      </c>
    </row>
    <row r="1446">
      <c r="A1446" s="1">
        <v>1.0</v>
      </c>
      <c r="B1446" s="1">
        <v>4.0</v>
      </c>
      <c r="C1446" s="1">
        <v>0.0</v>
      </c>
      <c r="D1446" s="1">
        <v>0.0</v>
      </c>
      <c r="E1446" s="1">
        <v>0.0</v>
      </c>
      <c r="F1446" s="1">
        <v>0.0</v>
      </c>
      <c r="G1446" s="2">
        <v>0.0</v>
      </c>
      <c r="H1446" s="1" t="s">
        <v>102</v>
      </c>
      <c r="I1446" s="1">
        <v>0.0</v>
      </c>
      <c r="J1446" s="1">
        <v>0.0</v>
      </c>
    </row>
    <row r="1447">
      <c r="A1447" s="1">
        <v>5.0</v>
      </c>
      <c r="B1447" s="1">
        <v>20.0</v>
      </c>
      <c r="C1447" s="1">
        <v>10.0</v>
      </c>
      <c r="D1447" s="1">
        <v>6.4</v>
      </c>
      <c r="E1447" s="1">
        <v>0.2</v>
      </c>
      <c r="F1447" s="1">
        <v>0.0</v>
      </c>
      <c r="G1447" s="2">
        <v>0.9</v>
      </c>
      <c r="H1447" s="1" t="s">
        <v>66</v>
      </c>
      <c r="I1447" s="1">
        <v>32.0</v>
      </c>
      <c r="J1447" s="1">
        <v>1.0</v>
      </c>
    </row>
    <row r="1448">
      <c r="A1448" s="1">
        <v>2.0</v>
      </c>
      <c r="B1448" s="1">
        <v>8.0</v>
      </c>
      <c r="C1448" s="1">
        <v>1.0</v>
      </c>
      <c r="D1448" s="1">
        <v>2.0</v>
      </c>
      <c r="E1448" s="1">
        <v>0.0</v>
      </c>
      <c r="F1448" s="1">
        <v>0.0</v>
      </c>
      <c r="G1448" s="2">
        <v>1.0</v>
      </c>
      <c r="H1448" s="1" t="s">
        <v>108</v>
      </c>
      <c r="I1448" s="1">
        <v>4.0</v>
      </c>
      <c r="J1448" s="1">
        <v>0.0</v>
      </c>
    </row>
    <row r="1449">
      <c r="A1449" s="1">
        <v>2.0</v>
      </c>
      <c r="B1449" s="1">
        <v>8.0</v>
      </c>
      <c r="C1449" s="1">
        <v>1.0</v>
      </c>
      <c r="D1449" s="1">
        <v>2.0</v>
      </c>
      <c r="E1449" s="1">
        <v>0.0</v>
      </c>
      <c r="F1449" s="1">
        <v>0.0</v>
      </c>
      <c r="G1449" s="2">
        <v>1.0</v>
      </c>
      <c r="H1449" s="1" t="s">
        <v>109</v>
      </c>
      <c r="I1449" s="1">
        <v>4.0</v>
      </c>
      <c r="J1449" s="1">
        <v>0.0</v>
      </c>
    </row>
    <row r="1450">
      <c r="A1450" s="1">
        <v>1.0</v>
      </c>
      <c r="B1450" s="1">
        <v>4.0</v>
      </c>
      <c r="C1450" s="1">
        <v>0.0</v>
      </c>
      <c r="D1450" s="1">
        <v>0.0</v>
      </c>
      <c r="E1450" s="1">
        <v>0.0</v>
      </c>
      <c r="F1450" s="1">
        <v>0.0</v>
      </c>
      <c r="G1450" s="2">
        <v>0.0</v>
      </c>
      <c r="H1450" s="1" t="s">
        <v>110</v>
      </c>
      <c r="I1450" s="1">
        <v>0.0</v>
      </c>
      <c r="J1450" s="1">
        <v>0.0</v>
      </c>
    </row>
    <row r="1451">
      <c r="A1451" s="1">
        <v>2.0</v>
      </c>
      <c r="B1451" s="1">
        <v>8.0</v>
      </c>
      <c r="C1451" s="1">
        <v>4.0</v>
      </c>
      <c r="D1451" s="1">
        <v>2.0</v>
      </c>
      <c r="E1451" s="1">
        <v>0.0</v>
      </c>
      <c r="F1451" s="1">
        <v>0.0</v>
      </c>
      <c r="G1451" s="2">
        <v>0.25</v>
      </c>
      <c r="H1451" s="1" t="s">
        <v>111</v>
      </c>
      <c r="I1451" s="1">
        <v>4.0</v>
      </c>
      <c r="J1451" s="1">
        <v>0.0</v>
      </c>
    </row>
    <row r="1452">
      <c r="A1452" s="1">
        <v>1.0</v>
      </c>
      <c r="B1452" s="1">
        <v>4.0</v>
      </c>
      <c r="C1452" s="1">
        <v>4.0</v>
      </c>
      <c r="D1452" s="1">
        <v>4.0</v>
      </c>
      <c r="E1452" s="1">
        <v>1.0</v>
      </c>
      <c r="F1452" s="1">
        <v>0.0</v>
      </c>
      <c r="G1452" s="2">
        <v>0.5</v>
      </c>
      <c r="H1452" s="1" t="s">
        <v>111</v>
      </c>
      <c r="I1452" s="1">
        <v>4.0</v>
      </c>
      <c r="J1452" s="1">
        <v>1.0</v>
      </c>
    </row>
    <row r="1453">
      <c r="A1453" s="1">
        <v>2.0</v>
      </c>
      <c r="B1453" s="1">
        <v>8.0</v>
      </c>
      <c r="C1453" s="1">
        <v>5.0</v>
      </c>
      <c r="D1453" s="1">
        <v>6.0</v>
      </c>
      <c r="E1453" s="1">
        <v>0.0</v>
      </c>
      <c r="F1453" s="1">
        <v>0.0</v>
      </c>
      <c r="G1453" s="2">
        <v>0.6</v>
      </c>
      <c r="H1453" s="1" t="s">
        <v>111</v>
      </c>
      <c r="I1453" s="1">
        <v>12.0</v>
      </c>
      <c r="J1453" s="1">
        <v>0.0</v>
      </c>
    </row>
    <row r="1454">
      <c r="A1454" s="1">
        <v>3.0</v>
      </c>
      <c r="B1454" s="1">
        <v>12.0</v>
      </c>
      <c r="C1454" s="1">
        <v>0.0</v>
      </c>
      <c r="D1454" s="1">
        <v>0.0</v>
      </c>
      <c r="E1454" s="1">
        <v>0.0</v>
      </c>
      <c r="F1454" s="1">
        <v>0.0</v>
      </c>
      <c r="G1454" s="2">
        <v>0.0</v>
      </c>
      <c r="H1454" s="1" t="s">
        <v>115</v>
      </c>
      <c r="I1454" s="1">
        <v>0.0</v>
      </c>
      <c r="J1454" s="1">
        <v>0.0</v>
      </c>
    </row>
    <row r="1455">
      <c r="A1455" s="1">
        <v>2.0</v>
      </c>
      <c r="B1455" s="1">
        <v>8.0</v>
      </c>
      <c r="C1455" s="1">
        <v>0.0</v>
      </c>
      <c r="D1455" s="1">
        <v>0.0</v>
      </c>
      <c r="E1455" s="1">
        <v>0.0</v>
      </c>
      <c r="F1455" s="1">
        <v>0.0</v>
      </c>
      <c r="G1455" s="2">
        <v>0.0</v>
      </c>
      <c r="H1455" s="1" t="s">
        <v>115</v>
      </c>
      <c r="I1455" s="1">
        <v>0.0</v>
      </c>
      <c r="J1455" s="1">
        <v>0.0</v>
      </c>
    </row>
    <row r="1456">
      <c r="A1456" s="1">
        <v>2.0</v>
      </c>
      <c r="B1456" s="1">
        <v>8.0</v>
      </c>
      <c r="C1456" s="1">
        <v>0.0</v>
      </c>
      <c r="D1456" s="1">
        <v>0.0</v>
      </c>
      <c r="E1456" s="1">
        <v>0.0</v>
      </c>
      <c r="F1456" s="1">
        <v>0.0</v>
      </c>
      <c r="G1456" s="2">
        <v>0.0</v>
      </c>
      <c r="H1456" s="1" t="s">
        <v>117</v>
      </c>
      <c r="I1456" s="1">
        <v>0.0</v>
      </c>
      <c r="J1456" s="1">
        <v>0.0</v>
      </c>
    </row>
    <row r="1457">
      <c r="A1457" s="1">
        <v>1.0</v>
      </c>
      <c r="B1457" s="1">
        <v>4.0</v>
      </c>
      <c r="C1457" s="1">
        <v>0.0</v>
      </c>
      <c r="D1457" s="1">
        <v>0.0</v>
      </c>
      <c r="E1457" s="1">
        <v>0.0</v>
      </c>
      <c r="F1457" s="1">
        <v>0.0</v>
      </c>
      <c r="G1457" s="2">
        <v>0.0</v>
      </c>
      <c r="H1457" s="1" t="s">
        <v>117</v>
      </c>
      <c r="I1457" s="1">
        <v>0.0</v>
      </c>
      <c r="J1457" s="1">
        <v>0.0</v>
      </c>
    </row>
    <row r="1458">
      <c r="A1458" s="1">
        <v>1.0</v>
      </c>
      <c r="B1458" s="1">
        <v>4.0</v>
      </c>
      <c r="C1458" s="1">
        <v>0.0</v>
      </c>
      <c r="D1458" s="1">
        <v>0.0</v>
      </c>
      <c r="E1458" s="1">
        <v>0.0</v>
      </c>
      <c r="F1458" s="1">
        <v>0.0</v>
      </c>
      <c r="G1458" s="2">
        <v>0.0</v>
      </c>
      <c r="H1458" s="1" t="s">
        <v>117</v>
      </c>
      <c r="I1458" s="1">
        <v>0.0</v>
      </c>
      <c r="J1458" s="1">
        <v>0.0</v>
      </c>
    </row>
    <row r="1459">
      <c r="A1459" s="1">
        <v>1.0</v>
      </c>
      <c r="B1459" s="1">
        <v>4.0</v>
      </c>
      <c r="C1459" s="1">
        <v>0.0</v>
      </c>
      <c r="D1459" s="1">
        <v>0.0</v>
      </c>
      <c r="E1459" s="1">
        <v>0.0</v>
      </c>
      <c r="F1459" s="1">
        <v>0.0</v>
      </c>
      <c r="G1459" s="2">
        <v>0.0</v>
      </c>
      <c r="H1459" s="1" t="s">
        <v>117</v>
      </c>
      <c r="I1459" s="1">
        <v>0.0</v>
      </c>
      <c r="J1459" s="1">
        <v>0.0</v>
      </c>
    </row>
    <row r="1460">
      <c r="A1460" s="1">
        <v>3.0</v>
      </c>
      <c r="B1460" s="1">
        <v>13.0</v>
      </c>
      <c r="C1460" s="1">
        <v>2.0</v>
      </c>
      <c r="D1460" s="1">
        <v>2.67</v>
      </c>
      <c r="E1460" s="1">
        <v>0.0</v>
      </c>
      <c r="F1460" s="1">
        <v>0.0</v>
      </c>
      <c r="G1460" s="2">
        <v>1.0</v>
      </c>
      <c r="H1460" s="1" t="s">
        <v>123</v>
      </c>
      <c r="I1460" s="1">
        <v>8.0</v>
      </c>
      <c r="J1460" s="1">
        <v>0.0</v>
      </c>
    </row>
    <row r="1461">
      <c r="A1461" s="1">
        <v>5.0</v>
      </c>
      <c r="B1461" s="1">
        <v>21.0</v>
      </c>
      <c r="C1461" s="1">
        <v>5.0</v>
      </c>
      <c r="D1461" s="1">
        <v>3.2</v>
      </c>
      <c r="E1461" s="1">
        <v>0.0</v>
      </c>
      <c r="F1461" s="1">
        <v>0.0</v>
      </c>
      <c r="G1461" s="2">
        <v>0.8</v>
      </c>
      <c r="H1461" s="1" t="s">
        <v>124</v>
      </c>
      <c r="I1461" s="1">
        <v>16.0</v>
      </c>
      <c r="J1461" s="1">
        <v>0.0</v>
      </c>
    </row>
    <row r="1462">
      <c r="A1462" s="1">
        <v>5.0</v>
      </c>
      <c r="B1462" s="1">
        <v>21.0</v>
      </c>
      <c r="C1462" s="1">
        <v>4.0</v>
      </c>
      <c r="D1462" s="1">
        <v>0.0</v>
      </c>
      <c r="E1462" s="1">
        <v>0.4</v>
      </c>
      <c r="F1462" s="1">
        <v>0.0</v>
      </c>
      <c r="G1462" s="2">
        <v>0.5</v>
      </c>
      <c r="H1462" s="1" t="s">
        <v>127</v>
      </c>
      <c r="I1462" s="1">
        <v>0.0</v>
      </c>
      <c r="J1462" s="1">
        <v>2.0</v>
      </c>
    </row>
    <row r="1463">
      <c r="A1463" s="1">
        <v>5.0</v>
      </c>
      <c r="B1463" s="1">
        <v>21.0</v>
      </c>
      <c r="C1463" s="1">
        <v>4.0</v>
      </c>
      <c r="D1463" s="1">
        <v>0.0</v>
      </c>
      <c r="E1463" s="1">
        <v>0.2</v>
      </c>
      <c r="F1463" s="1">
        <v>0.0</v>
      </c>
      <c r="G1463" s="2">
        <v>0.25</v>
      </c>
      <c r="H1463" s="1" t="s">
        <v>128</v>
      </c>
      <c r="I1463" s="1">
        <v>0.0</v>
      </c>
      <c r="J1463" s="1">
        <v>1.0</v>
      </c>
    </row>
    <row r="1464">
      <c r="A1464" s="1">
        <v>4.0</v>
      </c>
      <c r="B1464" s="1">
        <v>16.0</v>
      </c>
      <c r="C1464" s="1">
        <v>2.0</v>
      </c>
      <c r="D1464" s="1">
        <v>-1.0</v>
      </c>
      <c r="E1464" s="1">
        <v>0.25</v>
      </c>
      <c r="F1464" s="1">
        <v>0.0</v>
      </c>
      <c r="G1464" s="2">
        <v>0.0</v>
      </c>
      <c r="H1464" s="1" t="s">
        <v>130</v>
      </c>
      <c r="I1464" s="1">
        <v>-4.0</v>
      </c>
      <c r="J1464" s="1">
        <v>1.0</v>
      </c>
    </row>
    <row r="1465">
      <c r="A1465" s="1">
        <v>1.0</v>
      </c>
      <c r="B1465" s="1">
        <v>4.0</v>
      </c>
      <c r="C1465" s="1">
        <v>0.0</v>
      </c>
      <c r="D1465" s="1">
        <v>0.0</v>
      </c>
      <c r="E1465" s="1">
        <v>0.0</v>
      </c>
      <c r="F1465" s="1">
        <v>0.0</v>
      </c>
      <c r="G1465" s="2">
        <v>0.0</v>
      </c>
      <c r="H1465" s="1" t="s">
        <v>132</v>
      </c>
      <c r="I1465" s="1">
        <v>0.0</v>
      </c>
      <c r="J1465" s="1">
        <v>0.0</v>
      </c>
    </row>
    <row r="1466">
      <c r="A1466" s="1">
        <v>3.0</v>
      </c>
      <c r="B1466" s="1">
        <v>11.0</v>
      </c>
      <c r="C1466" s="1">
        <v>0.0</v>
      </c>
      <c r="D1466" s="1">
        <v>0.0</v>
      </c>
      <c r="E1466" s="1">
        <v>0.0</v>
      </c>
      <c r="F1466" s="1">
        <v>0.0</v>
      </c>
      <c r="G1466" s="2">
        <v>0.0</v>
      </c>
      <c r="H1466" s="1" t="s">
        <v>132</v>
      </c>
      <c r="I1466" s="1">
        <v>0.0</v>
      </c>
      <c r="J1466" s="1">
        <v>0.0</v>
      </c>
    </row>
    <row r="1467">
      <c r="A1467" s="1">
        <v>1.0</v>
      </c>
      <c r="B1467" s="1">
        <v>4.0</v>
      </c>
      <c r="C1467" s="1">
        <v>4.0</v>
      </c>
      <c r="D1467" s="1">
        <v>8.0</v>
      </c>
      <c r="E1467" s="1">
        <v>1.0</v>
      </c>
      <c r="F1467" s="1">
        <v>0.0</v>
      </c>
      <c r="G1467" s="2">
        <v>0.75</v>
      </c>
      <c r="H1467" s="1" t="s">
        <v>77</v>
      </c>
      <c r="I1467" s="1">
        <v>8.0</v>
      </c>
      <c r="J1467" s="1">
        <v>1.0</v>
      </c>
    </row>
    <row r="1468">
      <c r="A1468" s="1">
        <v>3.0</v>
      </c>
      <c r="B1468" s="1">
        <v>11.0</v>
      </c>
      <c r="C1468" s="1">
        <v>11.0</v>
      </c>
      <c r="D1468" s="1">
        <v>10.67</v>
      </c>
      <c r="E1468" s="1">
        <v>0.33</v>
      </c>
      <c r="F1468" s="1">
        <v>0.0</v>
      </c>
      <c r="G1468" s="6">
        <v>0.818</v>
      </c>
      <c r="H1468" s="1" t="s">
        <v>77</v>
      </c>
      <c r="I1468" s="1">
        <v>32.0</v>
      </c>
      <c r="J1468" s="1">
        <v>1.0</v>
      </c>
    </row>
    <row r="1469">
      <c r="A1469" s="1">
        <v>1.0</v>
      </c>
      <c r="B1469" s="1">
        <v>4.0</v>
      </c>
      <c r="C1469" s="1">
        <v>0.0</v>
      </c>
      <c r="D1469" s="1">
        <v>0.0</v>
      </c>
      <c r="E1469" s="1">
        <v>0.0</v>
      </c>
      <c r="F1469" s="1">
        <v>0.0</v>
      </c>
      <c r="G1469" s="2">
        <v>0.0</v>
      </c>
      <c r="H1469" s="1" t="s">
        <v>137</v>
      </c>
      <c r="I1469" s="1">
        <v>0.0</v>
      </c>
      <c r="J1469" s="1">
        <v>0.0</v>
      </c>
    </row>
    <row r="1470">
      <c r="A1470" s="1">
        <v>1.0</v>
      </c>
      <c r="B1470" s="1">
        <v>3.0</v>
      </c>
      <c r="C1470" s="1">
        <v>0.0</v>
      </c>
      <c r="D1470" s="1">
        <v>0.0</v>
      </c>
      <c r="E1470" s="1">
        <v>0.0</v>
      </c>
      <c r="F1470" s="1">
        <v>0.0</v>
      </c>
      <c r="G1470" s="2">
        <v>0.0</v>
      </c>
      <c r="H1470" s="1" t="s">
        <v>137</v>
      </c>
      <c r="I1470" s="1">
        <v>0.0</v>
      </c>
      <c r="J1470" s="1">
        <v>0.0</v>
      </c>
    </row>
    <row r="1471">
      <c r="A1471" s="1">
        <v>5.0</v>
      </c>
      <c r="B1471" s="1">
        <v>20.0</v>
      </c>
      <c r="C1471" s="1">
        <v>3.0</v>
      </c>
      <c r="D1471" s="1">
        <v>2.4</v>
      </c>
      <c r="E1471" s="1">
        <v>0.0</v>
      </c>
      <c r="F1471" s="1">
        <v>0.0</v>
      </c>
      <c r="G1471" s="2">
        <v>1.0</v>
      </c>
      <c r="H1471" s="1" t="s">
        <v>139</v>
      </c>
      <c r="I1471" s="1">
        <v>12.0</v>
      </c>
      <c r="J1471" s="1">
        <v>0.0</v>
      </c>
    </row>
    <row r="1472">
      <c r="A1472" s="1">
        <v>1.0</v>
      </c>
      <c r="B1472" s="1">
        <v>4.0</v>
      </c>
      <c r="C1472" s="1">
        <v>1.0</v>
      </c>
      <c r="D1472" s="1">
        <v>0.0</v>
      </c>
      <c r="E1472" s="1">
        <v>0.0</v>
      </c>
      <c r="F1472" s="1">
        <v>0.0</v>
      </c>
      <c r="G1472" s="2">
        <v>0.0</v>
      </c>
      <c r="H1472" s="1" t="s">
        <v>142</v>
      </c>
      <c r="I1472" s="1">
        <v>0.0</v>
      </c>
      <c r="J1472" s="1">
        <v>0.0</v>
      </c>
    </row>
    <row r="1473">
      <c r="A1473" s="1">
        <v>5.0</v>
      </c>
      <c r="B1473" s="1">
        <v>20.0</v>
      </c>
      <c r="C1473" s="1">
        <v>7.0</v>
      </c>
      <c r="D1473" s="1">
        <v>4.0</v>
      </c>
      <c r="E1473" s="1">
        <v>0.0</v>
      </c>
      <c r="F1473" s="1">
        <v>0.0</v>
      </c>
      <c r="G1473" s="6">
        <v>0.714</v>
      </c>
      <c r="H1473" s="1" t="s">
        <v>144</v>
      </c>
      <c r="I1473" s="1">
        <v>20.0</v>
      </c>
      <c r="J1473" s="1">
        <v>0.0</v>
      </c>
    </row>
    <row r="1474">
      <c r="A1474" s="1">
        <v>4.0</v>
      </c>
      <c r="B1474" s="1">
        <v>16.0</v>
      </c>
      <c r="C1474" s="1">
        <v>0.0</v>
      </c>
      <c r="D1474" s="1">
        <v>0.0</v>
      </c>
      <c r="E1474" s="1">
        <v>0.0</v>
      </c>
      <c r="F1474" s="1">
        <v>0.0</v>
      </c>
      <c r="G1474" s="2">
        <v>0.0</v>
      </c>
      <c r="H1474" s="1" t="s">
        <v>147</v>
      </c>
      <c r="I1474" s="1">
        <v>0.0</v>
      </c>
      <c r="J1474" s="1">
        <v>0.0</v>
      </c>
    </row>
    <row r="1475">
      <c r="A1475" s="1">
        <v>1.0</v>
      </c>
      <c r="B1475" s="1">
        <v>4.0</v>
      </c>
      <c r="C1475" s="1">
        <v>0.0</v>
      </c>
      <c r="D1475" s="1">
        <v>0.0</v>
      </c>
      <c r="E1475" s="1">
        <v>0.0</v>
      </c>
      <c r="F1475" s="1">
        <v>0.0</v>
      </c>
      <c r="G1475" s="2">
        <v>0.0</v>
      </c>
      <c r="H1475" s="1" t="s">
        <v>147</v>
      </c>
      <c r="I1475" s="1">
        <v>0.0</v>
      </c>
      <c r="J1475" s="1">
        <v>0.0</v>
      </c>
    </row>
    <row r="1476">
      <c r="A1476" s="1">
        <v>4.0</v>
      </c>
      <c r="B1476" s="1">
        <v>16.0</v>
      </c>
      <c r="C1476" s="1">
        <v>3.0</v>
      </c>
      <c r="D1476" s="1">
        <v>2.0</v>
      </c>
      <c r="E1476" s="1">
        <v>0.0</v>
      </c>
      <c r="F1476" s="1">
        <v>0.0</v>
      </c>
      <c r="G1476" s="6">
        <v>0.667</v>
      </c>
      <c r="H1476" s="1" t="s">
        <v>125</v>
      </c>
      <c r="I1476" s="1">
        <v>8.0</v>
      </c>
      <c r="J1476" s="1">
        <v>0.0</v>
      </c>
    </row>
    <row r="1477">
      <c r="A1477" s="1">
        <v>1.0</v>
      </c>
      <c r="B1477" s="1">
        <v>3.0</v>
      </c>
      <c r="C1477" s="1">
        <v>1.0</v>
      </c>
      <c r="D1477" s="1">
        <v>0.0</v>
      </c>
      <c r="E1477" s="1">
        <v>0.0</v>
      </c>
      <c r="F1477" s="1">
        <v>0.0</v>
      </c>
      <c r="G1477" s="2">
        <v>0.0</v>
      </c>
      <c r="H1477" s="1" t="s">
        <v>151</v>
      </c>
      <c r="I1477" s="1">
        <v>0.0</v>
      </c>
      <c r="J1477" s="1">
        <v>0.0</v>
      </c>
    </row>
    <row r="1478">
      <c r="A1478" s="1">
        <v>1.0</v>
      </c>
      <c r="B1478" s="1">
        <v>3.0</v>
      </c>
      <c r="C1478" s="1">
        <v>0.0</v>
      </c>
      <c r="D1478" s="1">
        <v>0.0</v>
      </c>
      <c r="E1478" s="1">
        <v>0.0</v>
      </c>
      <c r="F1478" s="1">
        <v>0.0</v>
      </c>
      <c r="G1478" s="2">
        <v>0.0</v>
      </c>
      <c r="H1478" s="1" t="s">
        <v>152</v>
      </c>
      <c r="I1478" s="1">
        <v>0.0</v>
      </c>
      <c r="J1478" s="1">
        <v>0.0</v>
      </c>
    </row>
    <row r="1479">
      <c r="A1479" s="1">
        <v>3.0</v>
      </c>
      <c r="B1479" s="1">
        <v>12.0</v>
      </c>
      <c r="C1479" s="1">
        <v>0.0</v>
      </c>
      <c r="D1479" s="1">
        <v>0.0</v>
      </c>
      <c r="E1479" s="1">
        <v>0.0</v>
      </c>
      <c r="F1479" s="1">
        <v>0.0</v>
      </c>
      <c r="G1479" s="2">
        <v>0.0</v>
      </c>
      <c r="H1479" s="1" t="s">
        <v>152</v>
      </c>
      <c r="I1479" s="1">
        <v>0.0</v>
      </c>
      <c r="J1479" s="1">
        <v>0.0</v>
      </c>
    </row>
    <row r="1480">
      <c r="A1480" s="1">
        <v>1.0</v>
      </c>
      <c r="B1480" s="1">
        <v>3.0</v>
      </c>
      <c r="C1480" s="1">
        <v>0.0</v>
      </c>
      <c r="D1480" s="1">
        <v>0.0</v>
      </c>
      <c r="E1480" s="1">
        <v>0.0</v>
      </c>
      <c r="F1480" s="1">
        <v>0.0</v>
      </c>
      <c r="G1480" s="2">
        <v>0.0</v>
      </c>
      <c r="H1480" s="1" t="s">
        <v>156</v>
      </c>
      <c r="I1480" s="1">
        <v>0.0</v>
      </c>
      <c r="J1480" s="1">
        <v>0.0</v>
      </c>
    </row>
    <row r="1481">
      <c r="A1481" s="1">
        <v>2.0</v>
      </c>
      <c r="B1481" s="1">
        <v>8.0</v>
      </c>
      <c r="C1481" s="1">
        <v>1.0</v>
      </c>
      <c r="D1481" s="1">
        <v>0.0</v>
      </c>
      <c r="E1481" s="1">
        <v>0.0</v>
      </c>
      <c r="F1481" s="1">
        <v>0.0</v>
      </c>
      <c r="G1481" s="2">
        <v>0.0</v>
      </c>
      <c r="H1481" s="1" t="s">
        <v>156</v>
      </c>
      <c r="I1481" s="1">
        <v>0.0</v>
      </c>
      <c r="J1481" s="1">
        <v>0.0</v>
      </c>
    </row>
    <row r="1482">
      <c r="A1482" s="1">
        <v>1.0</v>
      </c>
      <c r="B1482" s="1">
        <v>3.0</v>
      </c>
      <c r="C1482" s="1">
        <v>2.0</v>
      </c>
      <c r="D1482" s="1">
        <v>-4.0</v>
      </c>
      <c r="E1482" s="1">
        <v>1.0</v>
      </c>
      <c r="F1482" s="1">
        <v>0.0</v>
      </c>
      <c r="G1482" s="2">
        <v>0.0</v>
      </c>
      <c r="H1482" s="1" t="s">
        <v>145</v>
      </c>
      <c r="I1482" s="1">
        <v>-4.0</v>
      </c>
      <c r="J1482" s="1">
        <v>1.0</v>
      </c>
    </row>
    <row r="1483">
      <c r="A1483" s="1">
        <v>4.0</v>
      </c>
      <c r="B1483" s="1">
        <v>16.0</v>
      </c>
      <c r="C1483" s="1">
        <v>10.0</v>
      </c>
      <c r="D1483" s="1">
        <v>2.0</v>
      </c>
      <c r="E1483" s="1">
        <v>0.25</v>
      </c>
      <c r="F1483" s="1">
        <v>0.0</v>
      </c>
      <c r="G1483" s="2">
        <v>0.3</v>
      </c>
      <c r="H1483" s="1" t="s">
        <v>145</v>
      </c>
      <c r="I1483" s="1">
        <v>8.0</v>
      </c>
      <c r="J1483" s="1">
        <v>1.0</v>
      </c>
    </row>
    <row r="1484">
      <c r="A1484" s="1">
        <v>1.0</v>
      </c>
      <c r="B1484" s="1">
        <v>4.0</v>
      </c>
      <c r="C1484" s="1">
        <v>1.0</v>
      </c>
      <c r="D1484" s="1">
        <v>0.0</v>
      </c>
      <c r="E1484" s="1">
        <v>0.0</v>
      </c>
      <c r="F1484" s="1">
        <v>0.0</v>
      </c>
      <c r="G1484" s="2">
        <v>0.0</v>
      </c>
      <c r="H1484" s="1" t="s">
        <v>160</v>
      </c>
      <c r="I1484" s="1">
        <v>0.0</v>
      </c>
      <c r="J1484" s="1">
        <v>0.0</v>
      </c>
    </row>
    <row r="1485">
      <c r="A1485" s="1">
        <v>2.0</v>
      </c>
      <c r="B1485" s="1">
        <v>8.0</v>
      </c>
      <c r="C1485" s="1">
        <v>1.0</v>
      </c>
      <c r="D1485" s="1">
        <v>2.0</v>
      </c>
      <c r="E1485" s="1">
        <v>0.0</v>
      </c>
      <c r="F1485" s="1">
        <v>0.0</v>
      </c>
      <c r="G1485" s="2">
        <v>1.0</v>
      </c>
      <c r="H1485" s="1" t="s">
        <v>162</v>
      </c>
      <c r="I1485" s="1">
        <v>4.0</v>
      </c>
      <c r="J1485" s="1">
        <v>0.0</v>
      </c>
    </row>
    <row r="1486">
      <c r="A1486" s="1">
        <v>2.0</v>
      </c>
      <c r="B1486" s="1">
        <v>8.0</v>
      </c>
      <c r="C1486" s="1">
        <v>2.0</v>
      </c>
      <c r="D1486" s="1">
        <v>0.0</v>
      </c>
      <c r="E1486" s="1">
        <v>0.5</v>
      </c>
      <c r="F1486" s="1">
        <v>0.0</v>
      </c>
      <c r="G1486" s="2">
        <v>0.5</v>
      </c>
      <c r="H1486" s="1" t="s">
        <v>162</v>
      </c>
      <c r="I1486" s="1">
        <v>0.0</v>
      </c>
      <c r="J1486" s="1">
        <v>1.0</v>
      </c>
    </row>
    <row r="1487">
      <c r="A1487" s="1">
        <v>5.0</v>
      </c>
      <c r="B1487" s="1">
        <v>19.0</v>
      </c>
      <c r="C1487" s="1">
        <v>1.0</v>
      </c>
      <c r="D1487" s="1">
        <v>-0.8</v>
      </c>
      <c r="E1487" s="1">
        <v>0.2</v>
      </c>
      <c r="F1487" s="1">
        <v>0.0</v>
      </c>
      <c r="G1487" s="2">
        <v>0.0</v>
      </c>
      <c r="H1487" s="1" t="s">
        <v>165</v>
      </c>
      <c r="I1487" s="1">
        <v>-4.0</v>
      </c>
      <c r="J1487" s="1">
        <v>1.0</v>
      </c>
    </row>
    <row r="1488">
      <c r="A1488" s="1">
        <v>1.0</v>
      </c>
      <c r="B1488" s="1">
        <v>4.0</v>
      </c>
      <c r="C1488" s="1">
        <v>1.0</v>
      </c>
      <c r="D1488" s="1">
        <v>4.0</v>
      </c>
      <c r="E1488" s="1">
        <v>0.0</v>
      </c>
      <c r="F1488" s="1">
        <v>0.0</v>
      </c>
      <c r="G1488" s="2">
        <v>1.0</v>
      </c>
      <c r="H1488" s="1" t="s">
        <v>167</v>
      </c>
      <c r="I1488" s="1">
        <v>4.0</v>
      </c>
      <c r="J1488" s="1">
        <v>0.0</v>
      </c>
    </row>
    <row r="1489">
      <c r="A1489" s="1">
        <v>5.0</v>
      </c>
      <c r="B1489" s="1">
        <v>19.0</v>
      </c>
      <c r="C1489" s="1">
        <v>8.0</v>
      </c>
      <c r="D1489" s="1">
        <v>4.0</v>
      </c>
      <c r="E1489" s="1">
        <v>0.0</v>
      </c>
      <c r="F1489" s="1">
        <v>0.0</v>
      </c>
      <c r="G1489" s="6">
        <v>0.625</v>
      </c>
      <c r="H1489" s="1" t="s">
        <v>169</v>
      </c>
      <c r="I1489" s="1">
        <v>20.0</v>
      </c>
      <c r="J1489" s="1">
        <v>0.0</v>
      </c>
    </row>
    <row r="1490">
      <c r="A1490" s="1">
        <v>3.0</v>
      </c>
      <c r="B1490" s="1">
        <v>11.0</v>
      </c>
      <c r="C1490" s="1">
        <v>1.0</v>
      </c>
      <c r="D1490" s="1">
        <v>-1.33</v>
      </c>
      <c r="E1490" s="1">
        <v>0.33</v>
      </c>
      <c r="F1490" s="1">
        <v>0.0</v>
      </c>
      <c r="G1490" s="2">
        <v>0.0</v>
      </c>
      <c r="H1490" s="1" t="s">
        <v>171</v>
      </c>
      <c r="I1490" s="1">
        <v>-4.0</v>
      </c>
      <c r="J1490" s="1">
        <v>1.0</v>
      </c>
    </row>
    <row r="1491">
      <c r="A1491" s="1">
        <v>4.0</v>
      </c>
      <c r="B1491" s="1">
        <v>15.0</v>
      </c>
      <c r="C1491" s="1">
        <v>1.0</v>
      </c>
      <c r="D1491" s="1">
        <v>-1.0</v>
      </c>
      <c r="E1491" s="1">
        <v>0.25</v>
      </c>
      <c r="F1491" s="1">
        <v>0.0</v>
      </c>
      <c r="G1491" s="2">
        <v>0.0</v>
      </c>
      <c r="H1491" s="1" t="s">
        <v>173</v>
      </c>
      <c r="I1491" s="1">
        <v>-4.0</v>
      </c>
      <c r="J1491" s="1">
        <v>1.0</v>
      </c>
    </row>
    <row r="1492">
      <c r="A1492" s="1">
        <v>1.0</v>
      </c>
      <c r="B1492" s="1">
        <v>4.0</v>
      </c>
      <c r="C1492" s="1">
        <v>0.0</v>
      </c>
      <c r="D1492" s="1">
        <v>0.0</v>
      </c>
      <c r="E1492" s="1">
        <v>0.0</v>
      </c>
      <c r="F1492" s="1">
        <v>0.0</v>
      </c>
      <c r="G1492" s="2">
        <v>0.0</v>
      </c>
      <c r="H1492" s="1" t="s">
        <v>173</v>
      </c>
      <c r="I1492" s="1">
        <v>0.0</v>
      </c>
      <c r="J1492" s="1">
        <v>0.0</v>
      </c>
    </row>
    <row r="1493">
      <c r="A1493" s="1">
        <v>1.0</v>
      </c>
      <c r="B1493" s="1">
        <v>4.0</v>
      </c>
      <c r="C1493" s="1">
        <v>0.0</v>
      </c>
      <c r="D1493" s="1">
        <v>0.0</v>
      </c>
      <c r="E1493" s="1">
        <v>0.0</v>
      </c>
      <c r="F1493" s="1">
        <v>0.0</v>
      </c>
      <c r="G1493" s="2">
        <v>0.0</v>
      </c>
      <c r="H1493" s="1" t="s">
        <v>174</v>
      </c>
      <c r="I1493" s="1">
        <v>0.0</v>
      </c>
      <c r="J1493" s="1">
        <v>0.0</v>
      </c>
    </row>
    <row r="1494">
      <c r="A1494" s="1">
        <v>1.0</v>
      </c>
      <c r="B1494" s="1">
        <v>4.0</v>
      </c>
      <c r="C1494" s="1">
        <v>0.0</v>
      </c>
      <c r="D1494" s="1">
        <v>0.0</v>
      </c>
      <c r="E1494" s="1">
        <v>0.0</v>
      </c>
      <c r="F1494" s="1">
        <v>0.0</v>
      </c>
      <c r="G1494" s="2">
        <v>0.0</v>
      </c>
      <c r="H1494" s="1" t="s">
        <v>176</v>
      </c>
      <c r="I1494" s="1">
        <v>0.0</v>
      </c>
      <c r="J1494" s="1">
        <v>0.0</v>
      </c>
    </row>
    <row r="1495">
      <c r="A1495" s="1">
        <v>4.0</v>
      </c>
      <c r="B1495" s="1">
        <v>15.0</v>
      </c>
      <c r="C1495" s="1">
        <v>9.0</v>
      </c>
      <c r="D1495" s="1">
        <v>5.0</v>
      </c>
      <c r="E1495" s="1">
        <v>0.5</v>
      </c>
      <c r="F1495" s="1">
        <v>0.0</v>
      </c>
      <c r="G1495" s="6">
        <v>0.778</v>
      </c>
      <c r="H1495" s="1" t="s">
        <v>74</v>
      </c>
      <c r="I1495" s="1">
        <v>20.0</v>
      </c>
      <c r="J1495" s="1">
        <v>2.0</v>
      </c>
    </row>
    <row r="1496">
      <c r="A1496" s="1">
        <v>1.0</v>
      </c>
      <c r="B1496" s="1">
        <v>4.0</v>
      </c>
      <c r="C1496" s="1">
        <v>4.0</v>
      </c>
      <c r="D1496" s="1">
        <v>4.0</v>
      </c>
      <c r="E1496" s="1">
        <v>0.0</v>
      </c>
      <c r="F1496" s="1">
        <v>0.0</v>
      </c>
      <c r="G1496" s="2">
        <v>0.25</v>
      </c>
      <c r="H1496" s="1" t="s">
        <v>74</v>
      </c>
      <c r="I1496" s="1">
        <v>4.0</v>
      </c>
      <c r="J1496" s="1">
        <v>0.0</v>
      </c>
    </row>
    <row r="1497">
      <c r="A1497" s="1">
        <v>1.0</v>
      </c>
      <c r="B1497" s="1">
        <v>4.0</v>
      </c>
      <c r="C1497" s="1">
        <v>0.0</v>
      </c>
      <c r="D1497" s="1">
        <v>0.0</v>
      </c>
      <c r="E1497" s="1">
        <v>0.0</v>
      </c>
      <c r="F1497" s="1">
        <v>0.0</v>
      </c>
      <c r="G1497" s="2">
        <v>0.0</v>
      </c>
      <c r="H1497" s="1" t="s">
        <v>177</v>
      </c>
      <c r="I1497" s="1">
        <v>0.0</v>
      </c>
      <c r="J1497" s="1">
        <v>0.0</v>
      </c>
    </row>
    <row r="1498">
      <c r="A1498" s="1">
        <v>4.0</v>
      </c>
      <c r="B1498" s="1">
        <v>15.0</v>
      </c>
      <c r="C1498" s="1">
        <v>0.0</v>
      </c>
      <c r="D1498" s="1">
        <v>0.0</v>
      </c>
      <c r="E1498" s="1">
        <v>0.0</v>
      </c>
      <c r="F1498" s="1">
        <v>0.0</v>
      </c>
      <c r="G1498" s="2">
        <v>0.0</v>
      </c>
      <c r="H1498" s="1" t="s">
        <v>178</v>
      </c>
      <c r="I1498" s="1">
        <v>0.0</v>
      </c>
      <c r="J1498" s="1">
        <v>0.0</v>
      </c>
    </row>
    <row r="1499">
      <c r="A1499" s="1">
        <v>1.0</v>
      </c>
      <c r="B1499" s="1">
        <v>4.0</v>
      </c>
      <c r="C1499" s="1">
        <v>0.0</v>
      </c>
      <c r="D1499" s="1">
        <v>0.0</v>
      </c>
      <c r="E1499" s="1">
        <v>0.0</v>
      </c>
      <c r="F1499" s="1">
        <v>0.0</v>
      </c>
      <c r="G1499" s="2">
        <v>0.0</v>
      </c>
      <c r="H1499" s="1" t="s">
        <v>178</v>
      </c>
      <c r="I1499" s="1">
        <v>0.0</v>
      </c>
      <c r="J1499" s="1">
        <v>0.0</v>
      </c>
    </row>
    <row r="1500">
      <c r="A1500" s="1">
        <v>3.0</v>
      </c>
      <c r="B1500" s="1">
        <v>11.0</v>
      </c>
      <c r="C1500" s="1">
        <v>1.0</v>
      </c>
      <c r="D1500" s="1">
        <v>1.33</v>
      </c>
      <c r="E1500" s="1">
        <v>0.0</v>
      </c>
      <c r="F1500" s="1">
        <v>0.0</v>
      </c>
      <c r="G1500" s="2">
        <v>1.0</v>
      </c>
      <c r="H1500" s="1" t="s">
        <v>150</v>
      </c>
      <c r="I1500" s="1">
        <v>4.0</v>
      </c>
      <c r="J1500" s="1">
        <v>0.0</v>
      </c>
    </row>
    <row r="1501">
      <c r="A1501" s="1">
        <v>1.0</v>
      </c>
      <c r="B1501" s="1">
        <v>4.0</v>
      </c>
      <c r="C1501" s="1">
        <v>1.0</v>
      </c>
      <c r="D1501" s="1">
        <v>4.0</v>
      </c>
      <c r="E1501" s="1">
        <v>0.0</v>
      </c>
      <c r="F1501" s="1">
        <v>0.0</v>
      </c>
      <c r="G1501" s="2">
        <v>1.0</v>
      </c>
      <c r="H1501" s="1" t="s">
        <v>150</v>
      </c>
      <c r="I1501" s="1">
        <v>4.0</v>
      </c>
      <c r="J1501" s="1">
        <v>0.0</v>
      </c>
    </row>
    <row r="1502">
      <c r="A1502" s="1">
        <v>2.0</v>
      </c>
      <c r="B1502" s="1">
        <v>7.0</v>
      </c>
      <c r="C1502" s="1">
        <v>5.0</v>
      </c>
      <c r="D1502" s="1">
        <v>-6.0</v>
      </c>
      <c r="E1502" s="1">
        <v>1.5</v>
      </c>
      <c r="F1502" s="1">
        <v>0.0</v>
      </c>
      <c r="G1502" s="2">
        <v>0.0</v>
      </c>
      <c r="H1502" s="1" t="s">
        <v>179</v>
      </c>
      <c r="I1502" s="1">
        <v>-12.0</v>
      </c>
      <c r="J1502" s="1">
        <v>3.0</v>
      </c>
    </row>
    <row r="1503">
      <c r="A1503" s="1">
        <v>1.0</v>
      </c>
      <c r="B1503" s="1">
        <v>4.0</v>
      </c>
      <c r="C1503" s="1">
        <v>2.0</v>
      </c>
      <c r="D1503" s="1">
        <v>0.0</v>
      </c>
      <c r="E1503" s="1">
        <v>0.0</v>
      </c>
      <c r="F1503" s="1">
        <v>0.0</v>
      </c>
      <c r="G1503" s="2">
        <v>0.0</v>
      </c>
      <c r="H1503" s="1" t="s">
        <v>179</v>
      </c>
      <c r="I1503" s="1">
        <v>0.0</v>
      </c>
      <c r="J1503" s="1">
        <v>0.0</v>
      </c>
    </row>
    <row r="1504">
      <c r="A1504" s="1">
        <v>2.0</v>
      </c>
      <c r="B1504" s="1">
        <v>8.0</v>
      </c>
      <c r="C1504" s="1">
        <v>5.0</v>
      </c>
      <c r="D1504" s="1">
        <v>10.0</v>
      </c>
      <c r="E1504" s="1">
        <v>0.0</v>
      </c>
      <c r="F1504" s="1">
        <v>0.0</v>
      </c>
      <c r="G1504" s="2">
        <v>1.0</v>
      </c>
      <c r="H1504" s="1" t="s">
        <v>181</v>
      </c>
      <c r="I1504" s="1">
        <v>20.0</v>
      </c>
      <c r="J1504" s="1">
        <v>0.0</v>
      </c>
    </row>
    <row r="1505">
      <c r="A1505" s="1">
        <v>4.0</v>
      </c>
      <c r="B1505" s="1">
        <v>15.0</v>
      </c>
      <c r="C1505" s="1">
        <v>1.0</v>
      </c>
      <c r="D1505" s="1">
        <v>-1.0</v>
      </c>
      <c r="E1505" s="1">
        <v>0.25</v>
      </c>
      <c r="F1505" s="1">
        <v>0.0</v>
      </c>
      <c r="G1505" s="2">
        <v>0.0</v>
      </c>
      <c r="H1505" s="1" t="s">
        <v>183</v>
      </c>
      <c r="I1505" s="1">
        <v>-4.0</v>
      </c>
      <c r="J1505" s="1">
        <v>1.0</v>
      </c>
    </row>
    <row r="1506">
      <c r="A1506" s="1">
        <v>1.0</v>
      </c>
      <c r="B1506" s="1">
        <v>4.0</v>
      </c>
      <c r="C1506" s="1">
        <v>0.0</v>
      </c>
      <c r="D1506" s="1">
        <v>0.0</v>
      </c>
      <c r="E1506" s="1">
        <v>0.0</v>
      </c>
      <c r="F1506" s="1">
        <v>0.0</v>
      </c>
      <c r="G1506" s="2">
        <v>0.0</v>
      </c>
      <c r="H1506" s="1" t="s">
        <v>183</v>
      </c>
      <c r="I1506" s="1">
        <v>0.0</v>
      </c>
      <c r="J1506" s="1">
        <v>0.0</v>
      </c>
    </row>
    <row r="1507">
      <c r="A1507" s="1">
        <v>1.0</v>
      </c>
      <c r="B1507" s="1">
        <v>4.0</v>
      </c>
      <c r="C1507" s="1">
        <v>0.0</v>
      </c>
      <c r="D1507" s="1">
        <v>0.0</v>
      </c>
      <c r="E1507" s="1">
        <v>0.0</v>
      </c>
      <c r="F1507" s="1">
        <v>0.0</v>
      </c>
      <c r="G1507" s="2">
        <v>0.0</v>
      </c>
      <c r="H1507" s="1" t="s">
        <v>184</v>
      </c>
      <c r="I1507" s="1">
        <v>0.0</v>
      </c>
      <c r="J1507" s="1">
        <v>0.0</v>
      </c>
    </row>
    <row r="1508">
      <c r="A1508" s="1">
        <v>1.0</v>
      </c>
      <c r="B1508" s="1">
        <v>4.0</v>
      </c>
      <c r="C1508" s="1">
        <v>0.0</v>
      </c>
      <c r="D1508" s="1">
        <v>0.0</v>
      </c>
      <c r="E1508" s="1">
        <v>0.0</v>
      </c>
      <c r="F1508" s="1">
        <v>0.0</v>
      </c>
      <c r="G1508" s="2">
        <v>0.0</v>
      </c>
      <c r="H1508" s="1" t="s">
        <v>184</v>
      </c>
      <c r="I1508" s="1">
        <v>0.0</v>
      </c>
      <c r="J1508" s="1">
        <v>0.0</v>
      </c>
    </row>
    <row r="1509">
      <c r="A1509" s="1">
        <v>3.0</v>
      </c>
      <c r="B1509" s="1">
        <v>12.0</v>
      </c>
      <c r="C1509" s="1">
        <v>1.0</v>
      </c>
      <c r="D1509" s="1">
        <v>0.0</v>
      </c>
      <c r="E1509" s="1">
        <v>0.0</v>
      </c>
      <c r="F1509" s="1">
        <v>0.0</v>
      </c>
      <c r="G1509" s="2">
        <v>0.0</v>
      </c>
      <c r="H1509" s="1" t="s">
        <v>184</v>
      </c>
      <c r="I1509" s="1">
        <v>0.0</v>
      </c>
      <c r="J1509" s="1">
        <v>0.0</v>
      </c>
    </row>
    <row r="1510">
      <c r="A1510" s="1">
        <v>4.0</v>
      </c>
      <c r="B1510" s="1">
        <v>16.0</v>
      </c>
      <c r="C1510" s="1">
        <v>8.0</v>
      </c>
      <c r="D1510" s="1">
        <v>3.0</v>
      </c>
      <c r="E1510" s="1">
        <v>0.0</v>
      </c>
      <c r="F1510" s="1">
        <v>0.0</v>
      </c>
      <c r="G1510" s="6">
        <v>0.375</v>
      </c>
      <c r="H1510" s="1" t="s">
        <v>161</v>
      </c>
      <c r="I1510" s="1">
        <v>12.0</v>
      </c>
      <c r="J1510" s="1">
        <v>0.0</v>
      </c>
    </row>
    <row r="1511">
      <c r="A1511" s="1">
        <v>1.0</v>
      </c>
      <c r="B1511" s="1">
        <v>4.0</v>
      </c>
      <c r="C1511" s="1">
        <v>1.0</v>
      </c>
      <c r="D1511" s="1">
        <v>4.0</v>
      </c>
      <c r="E1511" s="1">
        <v>0.0</v>
      </c>
      <c r="F1511" s="1">
        <v>0.0</v>
      </c>
      <c r="G1511" s="2">
        <v>1.0</v>
      </c>
      <c r="H1511" s="1" t="s">
        <v>161</v>
      </c>
      <c r="I1511" s="1">
        <v>4.0</v>
      </c>
      <c r="J1511" s="1">
        <v>0.0</v>
      </c>
    </row>
    <row r="1512">
      <c r="A1512" s="1">
        <v>3.0</v>
      </c>
      <c r="B1512" s="1">
        <v>12.0</v>
      </c>
      <c r="C1512" s="1">
        <v>0.0</v>
      </c>
      <c r="D1512" s="1">
        <v>0.0</v>
      </c>
      <c r="E1512" s="1">
        <v>0.0</v>
      </c>
      <c r="F1512" s="1">
        <v>0.0</v>
      </c>
      <c r="G1512" s="2">
        <v>0.0</v>
      </c>
      <c r="H1512" s="1" t="s">
        <v>187</v>
      </c>
      <c r="I1512" s="1">
        <v>0.0</v>
      </c>
      <c r="J1512" s="1">
        <v>0.0</v>
      </c>
    </row>
    <row r="1513">
      <c r="A1513" s="1">
        <v>5.0</v>
      </c>
      <c r="B1513" s="1">
        <v>21.0</v>
      </c>
      <c r="C1513" s="1">
        <v>3.0</v>
      </c>
      <c r="D1513" s="1">
        <v>-0.8</v>
      </c>
      <c r="E1513" s="1">
        <v>0.2</v>
      </c>
      <c r="F1513" s="1">
        <v>0.0</v>
      </c>
      <c r="G1513" s="2">
        <v>0.0</v>
      </c>
      <c r="H1513" s="1" t="s">
        <v>180</v>
      </c>
      <c r="I1513" s="1">
        <v>-4.0</v>
      </c>
      <c r="J1513" s="1">
        <v>1.0</v>
      </c>
    </row>
    <row r="1514">
      <c r="A1514" s="1">
        <v>4.0</v>
      </c>
      <c r="B1514" s="1">
        <v>16.0</v>
      </c>
      <c r="C1514" s="1">
        <v>2.0</v>
      </c>
      <c r="D1514" s="1">
        <v>1.0</v>
      </c>
      <c r="E1514" s="1">
        <v>0.0</v>
      </c>
      <c r="F1514" s="1">
        <v>0.0</v>
      </c>
      <c r="G1514" s="2">
        <v>0.5</v>
      </c>
      <c r="H1514" s="1" t="s">
        <v>189</v>
      </c>
      <c r="I1514" s="1">
        <v>4.0</v>
      </c>
      <c r="J1514" s="1">
        <v>0.0</v>
      </c>
    </row>
    <row r="1515">
      <c r="A1515" s="1">
        <v>5.0</v>
      </c>
      <c r="B1515" s="1">
        <v>21.0</v>
      </c>
      <c r="C1515" s="1">
        <v>10.0</v>
      </c>
      <c r="D1515" s="1">
        <v>4.8</v>
      </c>
      <c r="E1515" s="1">
        <v>0.2</v>
      </c>
      <c r="F1515" s="1">
        <v>0.0</v>
      </c>
      <c r="G1515" s="2">
        <v>0.7</v>
      </c>
      <c r="H1515" s="1" t="s">
        <v>190</v>
      </c>
      <c r="I1515" s="1">
        <v>24.0</v>
      </c>
      <c r="J1515" s="1">
        <v>1.0</v>
      </c>
    </row>
    <row r="1516">
      <c r="A1516" s="1">
        <v>1.0</v>
      </c>
      <c r="B1516" s="1">
        <v>4.0</v>
      </c>
      <c r="C1516" s="1">
        <v>0.0</v>
      </c>
      <c r="D1516" s="1">
        <v>0.0</v>
      </c>
      <c r="E1516" s="1">
        <v>0.0</v>
      </c>
      <c r="F1516" s="1">
        <v>0.0</v>
      </c>
      <c r="G1516" s="2">
        <v>0.0</v>
      </c>
      <c r="H1516" s="1" t="s">
        <v>191</v>
      </c>
      <c r="I1516" s="1">
        <v>0.0</v>
      </c>
      <c r="J1516" s="1">
        <v>0.0</v>
      </c>
    </row>
    <row r="1517">
      <c r="A1517" s="1">
        <v>3.0</v>
      </c>
      <c r="B1517" s="1">
        <v>12.0</v>
      </c>
      <c r="C1517" s="1">
        <v>0.0</v>
      </c>
      <c r="D1517" s="1">
        <v>0.0</v>
      </c>
      <c r="E1517" s="1">
        <v>0.0</v>
      </c>
      <c r="F1517" s="1">
        <v>0.0</v>
      </c>
      <c r="G1517" s="2">
        <v>0.0</v>
      </c>
      <c r="H1517" s="1" t="s">
        <v>191</v>
      </c>
      <c r="I1517" s="1">
        <v>0.0</v>
      </c>
      <c r="J1517" s="1">
        <v>0.0</v>
      </c>
    </row>
    <row r="1518">
      <c r="A1518" s="1">
        <v>2.0</v>
      </c>
      <c r="B1518" s="1">
        <v>8.0</v>
      </c>
      <c r="C1518" s="1">
        <v>0.0</v>
      </c>
      <c r="D1518" s="1">
        <v>0.0</v>
      </c>
      <c r="E1518" s="1">
        <v>0.0</v>
      </c>
      <c r="F1518" s="1">
        <v>0.0</v>
      </c>
      <c r="G1518" s="2">
        <v>0.0</v>
      </c>
      <c r="H1518" s="1" t="s">
        <v>192</v>
      </c>
      <c r="I1518" s="1">
        <v>0.0</v>
      </c>
      <c r="J1518" s="1">
        <v>0.0</v>
      </c>
    </row>
    <row r="1519">
      <c r="A1519" s="1">
        <v>1.0</v>
      </c>
      <c r="B1519" s="1">
        <v>4.0</v>
      </c>
      <c r="C1519" s="1">
        <v>0.0</v>
      </c>
      <c r="D1519" s="1">
        <v>0.0</v>
      </c>
      <c r="E1519" s="1">
        <v>0.0</v>
      </c>
      <c r="F1519" s="1">
        <v>0.0</v>
      </c>
      <c r="G1519" s="2">
        <v>0.0</v>
      </c>
      <c r="H1519" s="1" t="s">
        <v>192</v>
      </c>
      <c r="I1519" s="1">
        <v>0.0</v>
      </c>
      <c r="J1519" s="1">
        <v>0.0</v>
      </c>
    </row>
    <row r="1520">
      <c r="A1520" s="1">
        <v>1.0</v>
      </c>
      <c r="B1520" s="1">
        <v>4.0</v>
      </c>
      <c r="C1520" s="1">
        <v>0.0</v>
      </c>
      <c r="D1520" s="1">
        <v>0.0</v>
      </c>
      <c r="E1520" s="1">
        <v>0.0</v>
      </c>
      <c r="F1520" s="1">
        <v>0.0</v>
      </c>
      <c r="G1520" s="2">
        <v>0.0</v>
      </c>
      <c r="H1520" s="1" t="s">
        <v>194</v>
      </c>
      <c r="I1520" s="1">
        <v>0.0</v>
      </c>
      <c r="J1520" s="1">
        <v>0.0</v>
      </c>
    </row>
    <row r="1521">
      <c r="A1521" s="1">
        <v>1.0</v>
      </c>
      <c r="B1521" s="1">
        <v>4.0</v>
      </c>
      <c r="C1521" s="1">
        <v>0.0</v>
      </c>
      <c r="D1521" s="1">
        <v>0.0</v>
      </c>
      <c r="E1521" s="1">
        <v>0.0</v>
      </c>
      <c r="F1521" s="1">
        <v>0.0</v>
      </c>
      <c r="G1521" s="2">
        <v>0.0</v>
      </c>
      <c r="H1521" s="1" t="s">
        <v>194</v>
      </c>
      <c r="I1521" s="1">
        <v>0.0</v>
      </c>
      <c r="J1521" s="1">
        <v>0.0</v>
      </c>
    </row>
    <row r="1522">
      <c r="A1522" s="1">
        <v>1.0</v>
      </c>
      <c r="B1522" s="1">
        <v>4.0</v>
      </c>
      <c r="C1522" s="1">
        <v>3.0</v>
      </c>
      <c r="D1522" s="1">
        <v>8.0</v>
      </c>
      <c r="E1522" s="1">
        <v>0.0</v>
      </c>
      <c r="F1522" s="1">
        <v>0.0</v>
      </c>
      <c r="G1522" s="6">
        <v>0.667</v>
      </c>
      <c r="H1522" s="1" t="s">
        <v>195</v>
      </c>
      <c r="I1522" s="1">
        <v>8.0</v>
      </c>
      <c r="J1522" s="1">
        <v>0.0</v>
      </c>
    </row>
    <row r="1523">
      <c r="A1523" s="1">
        <v>4.0</v>
      </c>
      <c r="B1523" s="1">
        <v>17.0</v>
      </c>
      <c r="C1523" s="1">
        <v>6.0</v>
      </c>
      <c r="D1523" s="1">
        <v>3.0</v>
      </c>
      <c r="E1523" s="1">
        <v>0.0</v>
      </c>
      <c r="F1523" s="1">
        <v>0.0</v>
      </c>
      <c r="G1523" s="2">
        <v>0.5</v>
      </c>
      <c r="H1523" s="1" t="s">
        <v>195</v>
      </c>
      <c r="I1523" s="1">
        <v>12.0</v>
      </c>
      <c r="J1523" s="1">
        <v>0.0</v>
      </c>
    </row>
    <row r="1524">
      <c r="A1524" s="1">
        <v>1.0</v>
      </c>
      <c r="B1524" s="1">
        <v>4.0</v>
      </c>
      <c r="C1524" s="1">
        <v>1.0</v>
      </c>
      <c r="D1524" s="1">
        <v>-4.0</v>
      </c>
      <c r="E1524" s="1">
        <v>1.0</v>
      </c>
      <c r="F1524" s="1">
        <v>0.0</v>
      </c>
      <c r="G1524" s="2">
        <v>0.0</v>
      </c>
      <c r="H1524" s="1" t="s">
        <v>112</v>
      </c>
      <c r="I1524" s="1">
        <v>-4.0</v>
      </c>
      <c r="J1524" s="1">
        <v>1.0</v>
      </c>
    </row>
    <row r="1525">
      <c r="A1525" s="1">
        <v>4.0</v>
      </c>
      <c r="B1525" s="1">
        <v>17.0</v>
      </c>
      <c r="C1525" s="1">
        <v>4.0</v>
      </c>
      <c r="D1525" s="1">
        <v>3.0</v>
      </c>
      <c r="E1525" s="1">
        <v>0.0</v>
      </c>
      <c r="F1525" s="1">
        <v>0.0</v>
      </c>
      <c r="G1525" s="2">
        <v>0.75</v>
      </c>
      <c r="H1525" s="1" t="s">
        <v>112</v>
      </c>
      <c r="I1525" s="1">
        <v>12.0</v>
      </c>
      <c r="J1525" s="1">
        <v>0.0</v>
      </c>
    </row>
    <row r="1526">
      <c r="A1526" s="1">
        <v>1.0</v>
      </c>
      <c r="B1526" s="1">
        <v>4.0</v>
      </c>
      <c r="C1526" s="1">
        <v>0.0</v>
      </c>
      <c r="D1526" s="1">
        <v>0.0</v>
      </c>
      <c r="E1526" s="1">
        <v>0.0</v>
      </c>
      <c r="F1526" s="1">
        <v>0.0</v>
      </c>
      <c r="G1526" s="2">
        <v>0.0</v>
      </c>
      <c r="H1526" s="1" t="s">
        <v>196</v>
      </c>
      <c r="I1526" s="1">
        <v>0.0</v>
      </c>
      <c r="J1526" s="1">
        <v>0.0</v>
      </c>
    </row>
    <row r="1527">
      <c r="A1527" s="1">
        <v>5.0</v>
      </c>
      <c r="B1527" s="1">
        <v>19.0</v>
      </c>
      <c r="C1527" s="1">
        <v>6.0</v>
      </c>
      <c r="D1527" s="1">
        <v>0.8</v>
      </c>
      <c r="E1527" s="1">
        <v>0.0</v>
      </c>
      <c r="F1527" s="1">
        <v>0.0</v>
      </c>
      <c r="G1527" s="6">
        <v>0.167</v>
      </c>
      <c r="H1527" s="1" t="s">
        <v>197</v>
      </c>
      <c r="I1527" s="1">
        <v>4.0</v>
      </c>
      <c r="J1527" s="1">
        <v>0.0</v>
      </c>
    </row>
    <row r="1528">
      <c r="A1528" s="1">
        <v>2.0</v>
      </c>
      <c r="B1528" s="1">
        <v>8.0</v>
      </c>
      <c r="C1528" s="1">
        <v>0.0</v>
      </c>
      <c r="D1528" s="1">
        <v>0.0</v>
      </c>
      <c r="E1528" s="1">
        <v>0.0</v>
      </c>
      <c r="F1528" s="1">
        <v>0.0</v>
      </c>
      <c r="G1528" s="2">
        <v>0.0</v>
      </c>
      <c r="H1528" s="1" t="s">
        <v>198</v>
      </c>
      <c r="I1528" s="1">
        <v>0.0</v>
      </c>
      <c r="J1528" s="1">
        <v>0.0</v>
      </c>
    </row>
    <row r="1529">
      <c r="A1529" s="1">
        <v>5.0</v>
      </c>
      <c r="B1529" s="1">
        <v>19.0</v>
      </c>
      <c r="C1529" s="1">
        <v>7.0</v>
      </c>
      <c r="D1529" s="1">
        <v>2.4</v>
      </c>
      <c r="E1529" s="1">
        <v>0.0</v>
      </c>
      <c r="F1529" s="1">
        <v>0.0</v>
      </c>
      <c r="G1529" s="6">
        <v>0.429</v>
      </c>
      <c r="H1529" s="1" t="s">
        <v>199</v>
      </c>
      <c r="I1529" s="1">
        <v>12.0</v>
      </c>
      <c r="J1529" s="1">
        <v>0.0</v>
      </c>
    </row>
    <row r="1530">
      <c r="A1530" s="1">
        <v>3.0</v>
      </c>
      <c r="B1530" s="1">
        <v>12.0</v>
      </c>
      <c r="C1530" s="1">
        <v>0.0</v>
      </c>
      <c r="D1530" s="1">
        <v>0.0</v>
      </c>
      <c r="E1530" s="1">
        <v>0.0</v>
      </c>
      <c r="F1530" s="1">
        <v>0.0</v>
      </c>
      <c r="G1530" s="2">
        <v>0.0</v>
      </c>
      <c r="H1530" s="1" t="s">
        <v>200</v>
      </c>
      <c r="I1530" s="1">
        <v>0.0</v>
      </c>
      <c r="J1530" s="1">
        <v>0.0</v>
      </c>
    </row>
    <row r="1531">
      <c r="A1531" s="1">
        <v>3.0</v>
      </c>
      <c r="B1531" s="1">
        <v>11.0</v>
      </c>
      <c r="C1531" s="1">
        <v>0.0</v>
      </c>
      <c r="D1531" s="1">
        <v>0.0</v>
      </c>
      <c r="E1531" s="1">
        <v>0.0</v>
      </c>
      <c r="F1531" s="1">
        <v>0.0</v>
      </c>
      <c r="G1531" s="2">
        <v>0.0</v>
      </c>
      <c r="H1531" s="1" t="s">
        <v>201</v>
      </c>
      <c r="I1531" s="1">
        <v>0.0</v>
      </c>
      <c r="J1531" s="1">
        <v>0.0</v>
      </c>
    </row>
    <row r="1532">
      <c r="A1532" s="1">
        <v>5.0</v>
      </c>
      <c r="B1532" s="1">
        <v>19.0</v>
      </c>
      <c r="C1532" s="1">
        <v>19.0</v>
      </c>
      <c r="D1532" s="1">
        <v>8.0</v>
      </c>
      <c r="E1532" s="1">
        <v>0.6</v>
      </c>
      <c r="F1532" s="1">
        <v>0.0</v>
      </c>
      <c r="G1532" s="6">
        <v>0.684</v>
      </c>
      <c r="H1532" s="1" t="s">
        <v>70</v>
      </c>
      <c r="I1532" s="1">
        <v>40.0</v>
      </c>
      <c r="J1532" s="1">
        <v>3.0</v>
      </c>
    </row>
    <row r="1533">
      <c r="A1533" s="1">
        <v>1.0</v>
      </c>
      <c r="B1533" s="1">
        <v>4.0</v>
      </c>
      <c r="C1533" s="1">
        <v>0.0</v>
      </c>
      <c r="D1533" s="1">
        <v>0.0</v>
      </c>
      <c r="E1533" s="1">
        <v>0.0</v>
      </c>
      <c r="F1533" s="1">
        <v>0.0</v>
      </c>
      <c r="G1533" s="2">
        <v>0.0</v>
      </c>
      <c r="H1533" s="1" t="s">
        <v>203</v>
      </c>
      <c r="I1533" s="1">
        <v>0.0</v>
      </c>
      <c r="J1533" s="1">
        <v>0.0</v>
      </c>
    </row>
    <row r="1534">
      <c r="A1534" s="1">
        <v>2.0</v>
      </c>
      <c r="B1534" s="1">
        <v>8.0</v>
      </c>
      <c r="C1534" s="1">
        <v>0.0</v>
      </c>
      <c r="D1534" s="1">
        <v>0.0</v>
      </c>
      <c r="E1534" s="1">
        <v>0.0</v>
      </c>
      <c r="F1534" s="1">
        <v>0.0</v>
      </c>
      <c r="G1534" s="2">
        <v>0.0</v>
      </c>
      <c r="H1534" s="1" t="s">
        <v>205</v>
      </c>
      <c r="I1534" s="1">
        <v>0.0</v>
      </c>
      <c r="J1534" s="1">
        <v>0.0</v>
      </c>
    </row>
    <row r="1535">
      <c r="A1535" s="1">
        <v>1.0</v>
      </c>
      <c r="B1535" s="1">
        <v>4.0</v>
      </c>
      <c r="C1535" s="1">
        <v>0.0</v>
      </c>
      <c r="D1535" s="1">
        <v>0.0</v>
      </c>
      <c r="E1535" s="1">
        <v>0.0</v>
      </c>
      <c r="F1535" s="1">
        <v>0.0</v>
      </c>
      <c r="G1535" s="2">
        <v>0.0</v>
      </c>
      <c r="H1535" s="1" t="s">
        <v>206</v>
      </c>
      <c r="I1535" s="1">
        <v>0.0</v>
      </c>
      <c r="J1535" s="1">
        <v>0.0</v>
      </c>
    </row>
    <row r="1536">
      <c r="A1536" s="1">
        <v>5.0</v>
      </c>
      <c r="B1536" s="1">
        <v>20.0</v>
      </c>
      <c r="C1536" s="1">
        <v>15.0</v>
      </c>
      <c r="D1536" s="1">
        <v>11.2</v>
      </c>
      <c r="E1536" s="1">
        <v>0.0</v>
      </c>
      <c r="F1536" s="1">
        <v>0.0</v>
      </c>
      <c r="G1536" s="6">
        <v>0.933</v>
      </c>
      <c r="H1536" s="1" t="s">
        <v>62</v>
      </c>
      <c r="I1536" s="1">
        <v>56.0</v>
      </c>
      <c r="J1536" s="1">
        <v>0.0</v>
      </c>
    </row>
    <row r="1537">
      <c r="A1537" s="1">
        <v>1.0</v>
      </c>
      <c r="B1537" s="1">
        <v>4.0</v>
      </c>
      <c r="C1537" s="1">
        <v>1.0</v>
      </c>
      <c r="D1537" s="1">
        <v>-4.0</v>
      </c>
      <c r="E1537" s="1">
        <v>1.0</v>
      </c>
      <c r="F1537" s="1">
        <v>0.0</v>
      </c>
      <c r="G1537" s="2">
        <v>0.0</v>
      </c>
      <c r="H1537" s="1" t="s">
        <v>208</v>
      </c>
      <c r="I1537" s="1">
        <v>-4.0</v>
      </c>
      <c r="J1537" s="1">
        <v>1.0</v>
      </c>
    </row>
    <row r="1538">
      <c r="A1538" s="1">
        <v>5.0</v>
      </c>
      <c r="B1538" s="1">
        <v>20.0</v>
      </c>
      <c r="C1538" s="1">
        <v>4.0</v>
      </c>
      <c r="D1538" s="1">
        <v>1.6</v>
      </c>
      <c r="E1538" s="1">
        <v>0.0</v>
      </c>
      <c r="F1538" s="1">
        <v>0.0</v>
      </c>
      <c r="G1538" s="2">
        <v>0.5</v>
      </c>
      <c r="H1538" s="1" t="s">
        <v>209</v>
      </c>
      <c r="I1538" s="1">
        <v>8.0</v>
      </c>
      <c r="J1538" s="1">
        <v>0.0</v>
      </c>
    </row>
    <row r="1539">
      <c r="A1539" s="1">
        <v>5.0</v>
      </c>
      <c r="B1539" s="1">
        <v>20.0</v>
      </c>
      <c r="C1539" s="1">
        <v>4.0</v>
      </c>
      <c r="D1539" s="1">
        <v>0.8</v>
      </c>
      <c r="E1539" s="1">
        <v>0.0</v>
      </c>
      <c r="F1539" s="1">
        <v>0.0</v>
      </c>
      <c r="G1539" s="2">
        <v>0.25</v>
      </c>
      <c r="H1539" s="1" t="s">
        <v>210</v>
      </c>
      <c r="I1539" s="1">
        <v>4.0</v>
      </c>
      <c r="J1539" s="1">
        <v>0.0</v>
      </c>
    </row>
    <row r="1540">
      <c r="A1540" s="1">
        <v>5.0</v>
      </c>
      <c r="B1540" s="1">
        <v>20.0</v>
      </c>
      <c r="C1540" s="1">
        <v>1.0</v>
      </c>
      <c r="D1540" s="1">
        <v>0.0</v>
      </c>
      <c r="E1540" s="1">
        <v>0.0</v>
      </c>
      <c r="F1540" s="1">
        <v>0.0</v>
      </c>
      <c r="G1540" s="2">
        <v>0.0</v>
      </c>
      <c r="H1540" s="1" t="s">
        <v>211</v>
      </c>
      <c r="I1540" s="1">
        <v>0.0</v>
      </c>
      <c r="J1540" s="1">
        <v>0.0</v>
      </c>
    </row>
    <row r="1541">
      <c r="A1541" s="1">
        <v>5.0</v>
      </c>
      <c r="B1541" s="1">
        <v>20.0</v>
      </c>
      <c r="C1541" s="1">
        <v>7.0</v>
      </c>
      <c r="D1541" s="1">
        <v>3.2</v>
      </c>
      <c r="E1541" s="1">
        <v>0.0</v>
      </c>
      <c r="F1541" s="1">
        <v>0.0</v>
      </c>
      <c r="G1541" s="6">
        <v>0.571</v>
      </c>
      <c r="H1541" s="1" t="s">
        <v>213</v>
      </c>
      <c r="I1541" s="1">
        <v>16.0</v>
      </c>
      <c r="J1541" s="1">
        <v>0.0</v>
      </c>
    </row>
    <row r="1542">
      <c r="A1542" s="1">
        <v>1.0</v>
      </c>
      <c r="B1542" s="1">
        <v>4.0</v>
      </c>
      <c r="C1542" s="1">
        <v>2.0</v>
      </c>
      <c r="D1542" s="1">
        <v>-8.0</v>
      </c>
      <c r="E1542" s="1">
        <v>2.0</v>
      </c>
      <c r="F1542" s="1">
        <v>0.0</v>
      </c>
      <c r="G1542" s="2">
        <v>0.0</v>
      </c>
      <c r="H1542" s="1" t="s">
        <v>214</v>
      </c>
      <c r="I1542" s="1">
        <v>-8.0</v>
      </c>
      <c r="J1542" s="1">
        <v>2.0</v>
      </c>
    </row>
    <row r="1543">
      <c r="A1543" s="1">
        <v>2.0</v>
      </c>
      <c r="B1543" s="1">
        <v>8.0</v>
      </c>
      <c r="C1543" s="1">
        <v>5.0</v>
      </c>
      <c r="D1543" s="1">
        <v>6.0</v>
      </c>
      <c r="E1543" s="1">
        <v>0.5</v>
      </c>
      <c r="F1543" s="1">
        <v>0.0</v>
      </c>
      <c r="G1543" s="2">
        <v>0.8</v>
      </c>
      <c r="H1543" s="1" t="s">
        <v>214</v>
      </c>
      <c r="I1543" s="1">
        <v>12.0</v>
      </c>
      <c r="J1543" s="1">
        <v>1.0</v>
      </c>
    </row>
    <row r="1544">
      <c r="A1544" s="1">
        <v>1.0</v>
      </c>
      <c r="B1544" s="1">
        <v>4.0</v>
      </c>
      <c r="C1544" s="1">
        <v>1.0</v>
      </c>
      <c r="D1544" s="1">
        <v>4.0</v>
      </c>
      <c r="E1544" s="1">
        <v>0.0</v>
      </c>
      <c r="F1544" s="1">
        <v>0.0</v>
      </c>
      <c r="G1544" s="2">
        <v>1.0</v>
      </c>
      <c r="H1544" s="1" t="s">
        <v>214</v>
      </c>
      <c r="I1544" s="1">
        <v>4.0</v>
      </c>
      <c r="J1544" s="1">
        <v>0.0</v>
      </c>
    </row>
    <row r="1545">
      <c r="A1545" s="1">
        <v>1.0</v>
      </c>
      <c r="B1545" s="1">
        <v>4.0</v>
      </c>
      <c r="C1545" s="1">
        <v>0.0</v>
      </c>
      <c r="D1545" s="1">
        <v>0.0</v>
      </c>
      <c r="E1545" s="1">
        <v>0.0</v>
      </c>
      <c r="F1545" s="1">
        <v>0.0</v>
      </c>
      <c r="G1545" s="2">
        <v>0.0</v>
      </c>
      <c r="H1545" s="1" t="s">
        <v>214</v>
      </c>
      <c r="I1545" s="1">
        <v>0.0</v>
      </c>
      <c r="J1545" s="1">
        <v>0.0</v>
      </c>
    </row>
    <row r="1546">
      <c r="A1546" s="1">
        <v>2.0</v>
      </c>
      <c r="B1546" s="1">
        <v>8.0</v>
      </c>
      <c r="C1546" s="1">
        <v>0.0</v>
      </c>
      <c r="D1546" s="1">
        <v>0.0</v>
      </c>
      <c r="E1546" s="1">
        <v>0.0</v>
      </c>
      <c r="F1546" s="1">
        <v>0.0</v>
      </c>
      <c r="G1546" s="2">
        <v>0.0</v>
      </c>
      <c r="H1546" s="1" t="s">
        <v>217</v>
      </c>
      <c r="I1546" s="1">
        <v>0.0</v>
      </c>
      <c r="J1546" s="1">
        <v>0.0</v>
      </c>
    </row>
    <row r="1547">
      <c r="A1547" s="1">
        <v>1.0</v>
      </c>
      <c r="B1547" s="1">
        <v>4.0</v>
      </c>
      <c r="C1547" s="1">
        <v>0.0</v>
      </c>
      <c r="D1547" s="1">
        <v>0.0</v>
      </c>
      <c r="E1547" s="1">
        <v>0.0</v>
      </c>
      <c r="F1547" s="1">
        <v>0.0</v>
      </c>
      <c r="G1547" s="2">
        <v>0.0</v>
      </c>
      <c r="H1547" s="1" t="s">
        <v>217</v>
      </c>
      <c r="I1547" s="1">
        <v>0.0</v>
      </c>
      <c r="J1547" s="1">
        <v>0.0</v>
      </c>
    </row>
    <row r="1548">
      <c r="A1548" s="1">
        <v>3.0</v>
      </c>
      <c r="B1548" s="1">
        <v>12.0</v>
      </c>
      <c r="C1548" s="1">
        <v>3.0</v>
      </c>
      <c r="D1548" s="1">
        <v>4.0</v>
      </c>
      <c r="E1548" s="1">
        <v>0.0</v>
      </c>
      <c r="F1548" s="1">
        <v>0.0</v>
      </c>
      <c r="G1548" s="2">
        <v>1.0</v>
      </c>
      <c r="H1548" s="1" t="s">
        <v>105</v>
      </c>
      <c r="I1548" s="1">
        <v>12.0</v>
      </c>
      <c r="J1548" s="1">
        <v>0.0</v>
      </c>
    </row>
    <row r="1549">
      <c r="A1549" s="1">
        <v>1.0</v>
      </c>
      <c r="B1549" s="1">
        <v>4.0</v>
      </c>
      <c r="C1549" s="1">
        <v>2.0</v>
      </c>
      <c r="D1549" s="1">
        <v>0.0</v>
      </c>
      <c r="E1549" s="1">
        <v>1.0</v>
      </c>
      <c r="F1549" s="1">
        <v>0.0</v>
      </c>
      <c r="G1549" s="2">
        <v>0.5</v>
      </c>
      <c r="H1549" s="1" t="s">
        <v>105</v>
      </c>
      <c r="I1549" s="1">
        <v>0.0</v>
      </c>
      <c r="J1549" s="1">
        <v>1.0</v>
      </c>
    </row>
    <row r="1550">
      <c r="A1550" s="1">
        <v>1.0</v>
      </c>
      <c r="B1550" s="1">
        <v>4.0</v>
      </c>
      <c r="C1550" s="1">
        <v>2.0</v>
      </c>
      <c r="D1550" s="1">
        <v>4.0</v>
      </c>
      <c r="E1550" s="1">
        <v>0.0</v>
      </c>
      <c r="F1550" s="1">
        <v>0.0</v>
      </c>
      <c r="G1550" s="2">
        <v>0.5</v>
      </c>
      <c r="H1550" s="1" t="s">
        <v>105</v>
      </c>
      <c r="I1550" s="1">
        <v>4.0</v>
      </c>
      <c r="J1550" s="1">
        <v>0.0</v>
      </c>
    </row>
    <row r="1551">
      <c r="A1551" s="1">
        <v>1.0</v>
      </c>
      <c r="B1551" s="1">
        <v>4.0</v>
      </c>
      <c r="C1551" s="1">
        <v>1.0</v>
      </c>
      <c r="D1551" s="1">
        <v>4.0</v>
      </c>
      <c r="E1551" s="1">
        <v>0.0</v>
      </c>
      <c r="F1551" s="1">
        <v>0.0</v>
      </c>
      <c r="G1551" s="2">
        <v>1.0</v>
      </c>
      <c r="H1551" s="1" t="s">
        <v>219</v>
      </c>
      <c r="I1551" s="1">
        <v>4.0</v>
      </c>
      <c r="J1551" s="1">
        <v>0.0</v>
      </c>
    </row>
    <row r="1552">
      <c r="A1552" s="1">
        <v>1.0</v>
      </c>
      <c r="B1552" s="1">
        <v>4.0</v>
      </c>
      <c r="C1552" s="1">
        <v>0.0</v>
      </c>
      <c r="D1552" s="1">
        <v>0.0</v>
      </c>
      <c r="E1552" s="1">
        <v>0.0</v>
      </c>
      <c r="F1552" s="1">
        <v>0.0</v>
      </c>
      <c r="G1552" s="2">
        <v>0.0</v>
      </c>
      <c r="H1552" s="1" t="s">
        <v>220</v>
      </c>
      <c r="I1552" s="1">
        <v>0.0</v>
      </c>
      <c r="J1552" s="1">
        <v>0.0</v>
      </c>
    </row>
    <row r="1553">
      <c r="A1553" s="1">
        <v>2.0</v>
      </c>
      <c r="B1553" s="1">
        <v>8.0</v>
      </c>
      <c r="C1553" s="1">
        <v>0.0</v>
      </c>
      <c r="D1553" s="1">
        <v>0.0</v>
      </c>
      <c r="E1553" s="1">
        <v>0.0</v>
      </c>
      <c r="F1553" s="1">
        <v>0.0</v>
      </c>
      <c r="G1553" s="2">
        <v>0.0</v>
      </c>
      <c r="H1553" s="1" t="s">
        <v>220</v>
      </c>
      <c r="I1553" s="1">
        <v>0.0</v>
      </c>
      <c r="J1553" s="1">
        <v>0.0</v>
      </c>
    </row>
    <row r="1554">
      <c r="A1554" s="1">
        <v>1.0</v>
      </c>
      <c r="B1554" s="1">
        <v>4.0</v>
      </c>
      <c r="C1554" s="1">
        <v>0.0</v>
      </c>
      <c r="D1554" s="1">
        <v>0.0</v>
      </c>
      <c r="E1554" s="1">
        <v>0.0</v>
      </c>
      <c r="F1554" s="1">
        <v>0.0</v>
      </c>
      <c r="G1554" s="2">
        <v>0.0</v>
      </c>
      <c r="H1554" s="1" t="s">
        <v>220</v>
      </c>
      <c r="I1554" s="1">
        <v>0.0</v>
      </c>
      <c r="J1554" s="1">
        <v>0.0</v>
      </c>
    </row>
    <row r="1555">
      <c r="A1555" s="1">
        <v>1.0</v>
      </c>
      <c r="B1555" s="1">
        <v>4.0</v>
      </c>
      <c r="C1555" s="1">
        <v>0.0</v>
      </c>
      <c r="D1555" s="1">
        <v>0.0</v>
      </c>
      <c r="E1555" s="1">
        <v>0.0</v>
      </c>
      <c r="F1555" s="1">
        <v>0.0</v>
      </c>
      <c r="G1555" s="2">
        <v>0.0</v>
      </c>
      <c r="H1555" s="1" t="s">
        <v>220</v>
      </c>
      <c r="I1555" s="1">
        <v>0.0</v>
      </c>
      <c r="J1555" s="1">
        <v>0.0</v>
      </c>
    </row>
    <row r="1556">
      <c r="A1556" s="1">
        <v>4.0</v>
      </c>
      <c r="B1556" s="1">
        <v>18.0</v>
      </c>
      <c r="C1556" s="1">
        <v>0.0</v>
      </c>
      <c r="D1556" s="1">
        <v>0.0</v>
      </c>
      <c r="E1556" s="1">
        <v>0.0</v>
      </c>
      <c r="F1556" s="1">
        <v>0.0</v>
      </c>
      <c r="G1556" s="2">
        <v>0.0</v>
      </c>
      <c r="H1556" s="1" t="s">
        <v>222</v>
      </c>
      <c r="I1556" s="1">
        <v>0.0</v>
      </c>
      <c r="J1556" s="1">
        <v>0.0</v>
      </c>
    </row>
    <row r="1557">
      <c r="A1557" s="1">
        <v>1.0</v>
      </c>
      <c r="B1557" s="1">
        <v>4.0</v>
      </c>
      <c r="C1557" s="1">
        <v>2.0</v>
      </c>
      <c r="D1557" s="1">
        <v>0.0</v>
      </c>
      <c r="E1557" s="1">
        <v>1.0</v>
      </c>
      <c r="F1557" s="1">
        <v>0.0</v>
      </c>
      <c r="G1557" s="2">
        <v>0.5</v>
      </c>
      <c r="H1557" s="1" t="s">
        <v>222</v>
      </c>
      <c r="I1557" s="1">
        <v>0.0</v>
      </c>
      <c r="J1557" s="1">
        <v>1.0</v>
      </c>
    </row>
    <row r="1558">
      <c r="A1558" s="1">
        <v>2.0</v>
      </c>
      <c r="B1558" s="1">
        <v>9.0</v>
      </c>
      <c r="C1558" s="1">
        <v>1.0</v>
      </c>
      <c r="D1558" s="1">
        <v>2.0</v>
      </c>
      <c r="E1558" s="1">
        <v>0.0</v>
      </c>
      <c r="F1558" s="1">
        <v>0.0</v>
      </c>
      <c r="G1558" s="2">
        <v>1.0</v>
      </c>
      <c r="H1558" s="1" t="s">
        <v>224</v>
      </c>
      <c r="I1558" s="1">
        <v>4.0</v>
      </c>
      <c r="J1558" s="1">
        <v>0.0</v>
      </c>
    </row>
    <row r="1559">
      <c r="A1559" s="1">
        <v>5.0</v>
      </c>
      <c r="B1559" s="1">
        <v>22.0</v>
      </c>
      <c r="C1559" s="1">
        <v>12.0</v>
      </c>
      <c r="D1559" s="1">
        <v>7.2</v>
      </c>
      <c r="E1559" s="1">
        <v>0.2</v>
      </c>
      <c r="F1559" s="1">
        <v>0.0</v>
      </c>
      <c r="G1559" s="6">
        <v>0.833</v>
      </c>
      <c r="H1559" s="1" t="s">
        <v>47</v>
      </c>
      <c r="I1559" s="1">
        <v>36.0</v>
      </c>
      <c r="J1559" s="1">
        <v>1.0</v>
      </c>
    </row>
    <row r="1560">
      <c r="A1560" s="1">
        <v>1.0</v>
      </c>
      <c r="B1560" s="1">
        <v>5.0</v>
      </c>
      <c r="C1560" s="1">
        <v>0.0</v>
      </c>
      <c r="D1560" s="1">
        <v>0.0</v>
      </c>
      <c r="E1560" s="1">
        <v>0.0</v>
      </c>
      <c r="F1560" s="1">
        <v>0.0</v>
      </c>
      <c r="G1560" s="2">
        <v>0.0</v>
      </c>
      <c r="H1560" s="1" t="s">
        <v>225</v>
      </c>
      <c r="I1560" s="1">
        <v>0.0</v>
      </c>
      <c r="J1560" s="1">
        <v>0.0</v>
      </c>
    </row>
    <row r="1561">
      <c r="A1561" s="1">
        <v>1.0</v>
      </c>
      <c r="B1561" s="1">
        <v>4.0</v>
      </c>
      <c r="C1561" s="1">
        <v>0.0</v>
      </c>
      <c r="D1561" s="1">
        <v>0.0</v>
      </c>
      <c r="E1561" s="1">
        <v>0.0</v>
      </c>
      <c r="F1561" s="1">
        <v>0.0</v>
      </c>
      <c r="G1561" s="2">
        <v>0.0</v>
      </c>
      <c r="H1561" s="1" t="s">
        <v>226</v>
      </c>
      <c r="I1561" s="1">
        <v>0.0</v>
      </c>
      <c r="J1561" s="1">
        <v>0.0</v>
      </c>
    </row>
    <row r="1562">
      <c r="A1562" s="1">
        <v>3.0</v>
      </c>
      <c r="B1562" s="1">
        <v>11.0</v>
      </c>
      <c r="C1562" s="1">
        <v>2.0</v>
      </c>
      <c r="D1562" s="1">
        <v>0.0</v>
      </c>
      <c r="E1562" s="1">
        <v>0.33</v>
      </c>
      <c r="F1562" s="1">
        <v>0.0</v>
      </c>
      <c r="G1562" s="2">
        <v>0.5</v>
      </c>
      <c r="H1562" s="1" t="s">
        <v>226</v>
      </c>
      <c r="I1562" s="1">
        <v>0.0</v>
      </c>
      <c r="J1562" s="1">
        <v>1.0</v>
      </c>
    </row>
    <row r="1563">
      <c r="A1563" s="1">
        <v>1.0</v>
      </c>
      <c r="B1563" s="1">
        <v>4.0</v>
      </c>
      <c r="C1563" s="1">
        <v>0.0</v>
      </c>
      <c r="D1563" s="1">
        <v>0.0</v>
      </c>
      <c r="E1563" s="1">
        <v>0.0</v>
      </c>
      <c r="F1563" s="1">
        <v>0.0</v>
      </c>
      <c r="G1563" s="2">
        <v>0.0</v>
      </c>
      <c r="H1563" s="1" t="s">
        <v>227</v>
      </c>
      <c r="I1563" s="1">
        <v>0.0</v>
      </c>
      <c r="J1563" s="1">
        <v>0.0</v>
      </c>
    </row>
    <row r="1564">
      <c r="A1564" s="1">
        <v>1.0</v>
      </c>
      <c r="B1564" s="1">
        <v>4.0</v>
      </c>
      <c r="C1564" s="1">
        <v>0.0</v>
      </c>
      <c r="D1564" s="1">
        <v>0.0</v>
      </c>
      <c r="E1564" s="1">
        <v>0.0</v>
      </c>
      <c r="F1564" s="1">
        <v>0.0</v>
      </c>
      <c r="G1564" s="2">
        <v>0.0</v>
      </c>
      <c r="H1564" s="1" t="s">
        <v>227</v>
      </c>
      <c r="I1564" s="1">
        <v>0.0</v>
      </c>
      <c r="J1564" s="1">
        <v>0.0</v>
      </c>
    </row>
    <row r="1565">
      <c r="A1565" s="1">
        <v>3.0</v>
      </c>
      <c r="B1565" s="1">
        <v>11.0</v>
      </c>
      <c r="C1565" s="1">
        <v>2.0</v>
      </c>
      <c r="D1565" s="1">
        <v>0.0</v>
      </c>
      <c r="E1565" s="1">
        <v>0.0</v>
      </c>
      <c r="F1565" s="1">
        <v>0.0</v>
      </c>
      <c r="G1565" s="2">
        <v>0.0</v>
      </c>
      <c r="H1565" s="1" t="s">
        <v>227</v>
      </c>
      <c r="I1565" s="1">
        <v>0.0</v>
      </c>
      <c r="J1565" s="1">
        <v>0.0</v>
      </c>
    </row>
    <row r="1566">
      <c r="A1566" s="1">
        <v>1.0</v>
      </c>
      <c r="B1566" s="1">
        <v>4.0</v>
      </c>
      <c r="C1566" s="1">
        <v>0.0</v>
      </c>
      <c r="D1566" s="1">
        <v>0.0</v>
      </c>
      <c r="E1566" s="1">
        <v>0.0</v>
      </c>
      <c r="F1566" s="1">
        <v>0.0</v>
      </c>
      <c r="G1566" s="2">
        <v>0.0</v>
      </c>
      <c r="H1566" s="1" t="s">
        <v>229</v>
      </c>
      <c r="I1566" s="1">
        <v>0.0</v>
      </c>
      <c r="J1566" s="1">
        <v>0.0</v>
      </c>
    </row>
    <row r="1567">
      <c r="A1567" s="1">
        <v>1.0</v>
      </c>
      <c r="B1567" s="1">
        <v>4.0</v>
      </c>
      <c r="C1567" s="1">
        <v>0.0</v>
      </c>
      <c r="D1567" s="1">
        <v>0.0</v>
      </c>
      <c r="E1567" s="1">
        <v>0.0</v>
      </c>
      <c r="F1567" s="1">
        <v>0.0</v>
      </c>
      <c r="G1567" s="2">
        <v>0.0</v>
      </c>
      <c r="H1567" s="1" t="s">
        <v>229</v>
      </c>
      <c r="I1567" s="1">
        <v>0.0</v>
      </c>
      <c r="J1567" s="1">
        <v>0.0</v>
      </c>
    </row>
    <row r="1568">
      <c r="A1568" s="1">
        <v>2.0</v>
      </c>
      <c r="B1568" s="1">
        <v>7.0</v>
      </c>
      <c r="C1568" s="1">
        <v>0.0</v>
      </c>
      <c r="D1568" s="1">
        <v>0.0</v>
      </c>
      <c r="E1568" s="1">
        <v>0.0</v>
      </c>
      <c r="F1568" s="1">
        <v>0.0</v>
      </c>
      <c r="G1568" s="2">
        <v>0.0</v>
      </c>
      <c r="H1568" s="1" t="s">
        <v>229</v>
      </c>
      <c r="I1568" s="1">
        <v>0.0</v>
      </c>
      <c r="J1568" s="1">
        <v>0.0</v>
      </c>
    </row>
    <row r="1569">
      <c r="A1569" s="1">
        <v>1.0</v>
      </c>
      <c r="B1569" s="1">
        <v>4.0</v>
      </c>
      <c r="C1569" s="1">
        <v>0.0</v>
      </c>
      <c r="D1569" s="1">
        <v>0.0</v>
      </c>
      <c r="E1569" s="1">
        <v>0.0</v>
      </c>
      <c r="F1569" s="1">
        <v>0.0</v>
      </c>
      <c r="G1569" s="2">
        <v>0.0</v>
      </c>
      <c r="H1569" s="1" t="s">
        <v>232</v>
      </c>
      <c r="I1569" s="1">
        <v>0.0</v>
      </c>
      <c r="J1569" s="1">
        <v>0.0</v>
      </c>
    </row>
    <row r="1570">
      <c r="A1570" s="1">
        <v>1.0</v>
      </c>
      <c r="B1570" s="1">
        <v>4.0</v>
      </c>
      <c r="C1570" s="1">
        <v>1.0</v>
      </c>
      <c r="D1570" s="1">
        <v>4.0</v>
      </c>
      <c r="E1570" s="1">
        <v>0.0</v>
      </c>
      <c r="F1570" s="1">
        <v>0.0</v>
      </c>
      <c r="G1570" s="2">
        <v>1.0</v>
      </c>
      <c r="H1570" s="1" t="s">
        <v>232</v>
      </c>
      <c r="I1570" s="1">
        <v>4.0</v>
      </c>
      <c r="J1570" s="1">
        <v>0.0</v>
      </c>
    </row>
    <row r="1571">
      <c r="A1571" s="1">
        <v>3.0</v>
      </c>
      <c r="B1571" s="1">
        <v>11.0</v>
      </c>
      <c r="C1571" s="1">
        <v>0.0</v>
      </c>
      <c r="D1571" s="1">
        <v>0.0</v>
      </c>
      <c r="E1571" s="1">
        <v>0.0</v>
      </c>
      <c r="F1571" s="1">
        <v>0.0</v>
      </c>
      <c r="G1571" s="2">
        <v>0.0</v>
      </c>
      <c r="H1571" s="1" t="s">
        <v>232</v>
      </c>
      <c r="I1571" s="1">
        <v>0.0</v>
      </c>
      <c r="J1571" s="1">
        <v>0.0</v>
      </c>
    </row>
    <row r="1572">
      <c r="A1572" s="1">
        <v>1.0</v>
      </c>
      <c r="B1572" s="1">
        <v>4.0</v>
      </c>
      <c r="C1572" s="1">
        <v>1.0</v>
      </c>
      <c r="D1572" s="1">
        <v>4.0</v>
      </c>
      <c r="E1572" s="1">
        <v>0.0</v>
      </c>
      <c r="F1572" s="1">
        <v>0.0</v>
      </c>
      <c r="G1572" s="2">
        <v>1.0</v>
      </c>
      <c r="H1572" s="1" t="s">
        <v>233</v>
      </c>
      <c r="I1572" s="1">
        <v>4.0</v>
      </c>
      <c r="J1572" s="1">
        <v>0.0</v>
      </c>
    </row>
    <row r="1573">
      <c r="A1573" s="1">
        <v>1.0</v>
      </c>
      <c r="B1573" s="1">
        <v>4.0</v>
      </c>
      <c r="C1573" s="1">
        <v>2.0</v>
      </c>
      <c r="D1573" s="1">
        <v>4.0</v>
      </c>
      <c r="E1573" s="1">
        <v>0.0</v>
      </c>
      <c r="F1573" s="1">
        <v>0.0</v>
      </c>
      <c r="G1573" s="2">
        <v>0.5</v>
      </c>
      <c r="H1573" s="1" t="s">
        <v>233</v>
      </c>
      <c r="I1573" s="1">
        <v>4.0</v>
      </c>
      <c r="J1573" s="1">
        <v>0.0</v>
      </c>
    </row>
    <row r="1574">
      <c r="A1574" s="1">
        <v>1.0</v>
      </c>
      <c r="B1574" s="1">
        <v>4.0</v>
      </c>
      <c r="C1574" s="1">
        <v>1.0</v>
      </c>
      <c r="D1574" s="1">
        <v>4.0</v>
      </c>
      <c r="E1574" s="1">
        <v>0.0</v>
      </c>
      <c r="F1574" s="1">
        <v>0.0</v>
      </c>
      <c r="G1574" s="2">
        <v>1.0</v>
      </c>
      <c r="H1574" s="1" t="s">
        <v>233</v>
      </c>
      <c r="I1574" s="1">
        <v>4.0</v>
      </c>
      <c r="J1574" s="1">
        <v>0.0</v>
      </c>
    </row>
    <row r="1575">
      <c r="A1575" s="1">
        <v>1.0</v>
      </c>
      <c r="B1575" s="1">
        <v>4.0</v>
      </c>
      <c r="C1575" s="1">
        <v>1.0</v>
      </c>
      <c r="D1575" s="1">
        <v>0.0</v>
      </c>
      <c r="E1575" s="1">
        <v>0.0</v>
      </c>
      <c r="F1575" s="1">
        <v>0.0</v>
      </c>
      <c r="G1575" s="2">
        <v>0.0</v>
      </c>
      <c r="H1575" s="1" t="s">
        <v>233</v>
      </c>
      <c r="I1575" s="1">
        <v>0.0</v>
      </c>
      <c r="J1575" s="1">
        <v>0.0</v>
      </c>
    </row>
    <row r="1576">
      <c r="A1576" s="1">
        <v>2.0</v>
      </c>
      <c r="B1576" s="1">
        <v>7.0</v>
      </c>
      <c r="C1576" s="1">
        <v>0.0</v>
      </c>
      <c r="D1576" s="1">
        <v>0.0</v>
      </c>
      <c r="E1576" s="1">
        <v>0.0</v>
      </c>
      <c r="F1576" s="1">
        <v>0.0</v>
      </c>
      <c r="G1576" s="2">
        <v>0.0</v>
      </c>
      <c r="H1576" s="1" t="s">
        <v>234</v>
      </c>
      <c r="I1576" s="1">
        <v>0.0</v>
      </c>
      <c r="J1576" s="1">
        <v>0.0</v>
      </c>
    </row>
    <row r="1577">
      <c r="A1577" s="1">
        <v>1.0</v>
      </c>
      <c r="B1577" s="1">
        <v>4.0</v>
      </c>
      <c r="C1577" s="1">
        <v>2.0</v>
      </c>
      <c r="D1577" s="1">
        <v>8.0</v>
      </c>
      <c r="E1577" s="1">
        <v>0.0</v>
      </c>
      <c r="F1577" s="1">
        <v>0.0</v>
      </c>
      <c r="G1577" s="2">
        <v>1.0</v>
      </c>
      <c r="H1577" s="1" t="s">
        <v>153</v>
      </c>
      <c r="I1577" s="1">
        <v>8.0</v>
      </c>
      <c r="J1577" s="1">
        <v>0.0</v>
      </c>
    </row>
    <row r="1578">
      <c r="A1578" s="1">
        <v>4.0</v>
      </c>
      <c r="B1578" s="1">
        <v>15.0</v>
      </c>
      <c r="C1578" s="1">
        <v>0.0</v>
      </c>
      <c r="D1578" s="1">
        <v>0.0</v>
      </c>
      <c r="E1578" s="1">
        <v>0.0</v>
      </c>
      <c r="F1578" s="1">
        <v>0.0</v>
      </c>
      <c r="G1578" s="2">
        <v>0.0</v>
      </c>
      <c r="H1578" s="1" t="s">
        <v>235</v>
      </c>
      <c r="I1578" s="1">
        <v>0.0</v>
      </c>
      <c r="J1578" s="1">
        <v>0.0</v>
      </c>
    </row>
    <row r="1579">
      <c r="A1579" s="1">
        <v>4.0</v>
      </c>
      <c r="B1579" s="1">
        <v>15.0</v>
      </c>
      <c r="C1579" s="1">
        <v>2.0</v>
      </c>
      <c r="D1579" s="1">
        <v>0.0</v>
      </c>
      <c r="E1579" s="1">
        <v>0.0</v>
      </c>
      <c r="F1579" s="1">
        <v>0.0</v>
      </c>
      <c r="G1579" s="2">
        <v>0.0</v>
      </c>
      <c r="H1579" s="1" t="s">
        <v>202</v>
      </c>
      <c r="I1579" s="1">
        <v>0.0</v>
      </c>
      <c r="J1579" s="1">
        <v>0.0</v>
      </c>
    </row>
    <row r="1580">
      <c r="A1580" s="1">
        <v>1.0</v>
      </c>
      <c r="B1580" s="1">
        <v>4.0</v>
      </c>
      <c r="C1580" s="1">
        <v>0.0</v>
      </c>
      <c r="D1580" s="1">
        <v>0.0</v>
      </c>
      <c r="E1580" s="1">
        <v>0.0</v>
      </c>
      <c r="F1580" s="1">
        <v>0.0</v>
      </c>
      <c r="G1580" s="2">
        <v>0.0</v>
      </c>
      <c r="H1580" s="1" t="s">
        <v>202</v>
      </c>
      <c r="I1580" s="1">
        <v>0.0</v>
      </c>
      <c r="J1580" s="1">
        <v>0.0</v>
      </c>
    </row>
    <row r="1581">
      <c r="A1581" s="1">
        <v>3.0</v>
      </c>
      <c r="B1581" s="1">
        <v>11.0</v>
      </c>
      <c r="C1581" s="1">
        <v>7.0</v>
      </c>
      <c r="D1581" s="1">
        <v>4.0</v>
      </c>
      <c r="E1581" s="1">
        <v>0.33</v>
      </c>
      <c r="F1581" s="1">
        <v>0.0</v>
      </c>
      <c r="G1581" s="6">
        <v>0.571</v>
      </c>
      <c r="H1581" s="1" t="s">
        <v>135</v>
      </c>
      <c r="I1581" s="1">
        <v>12.0</v>
      </c>
      <c r="J1581" s="1">
        <v>1.0</v>
      </c>
    </row>
    <row r="1582">
      <c r="A1582" s="1">
        <v>1.0</v>
      </c>
      <c r="B1582" s="1">
        <v>4.0</v>
      </c>
      <c r="C1582" s="1">
        <v>3.0</v>
      </c>
      <c r="D1582" s="1">
        <v>0.0</v>
      </c>
      <c r="E1582" s="1">
        <v>1.0</v>
      </c>
      <c r="F1582" s="1">
        <v>0.0</v>
      </c>
      <c r="G1582" s="6">
        <v>0.333</v>
      </c>
      <c r="H1582" s="1" t="s">
        <v>135</v>
      </c>
      <c r="I1582" s="1">
        <v>0.0</v>
      </c>
      <c r="J1582" s="1">
        <v>1.0</v>
      </c>
    </row>
    <row r="1583">
      <c r="A1583" s="1">
        <v>1.0</v>
      </c>
      <c r="B1583" s="1">
        <v>4.0</v>
      </c>
      <c r="C1583" s="1">
        <v>0.0</v>
      </c>
      <c r="D1583" s="1">
        <v>0.0</v>
      </c>
      <c r="E1583" s="1">
        <v>0.0</v>
      </c>
      <c r="F1583" s="1">
        <v>0.0</v>
      </c>
      <c r="G1583" s="2">
        <v>0.0</v>
      </c>
      <c r="H1583" s="1" t="s">
        <v>236</v>
      </c>
      <c r="I1583" s="1">
        <v>0.0</v>
      </c>
      <c r="J1583" s="1">
        <v>0.0</v>
      </c>
    </row>
    <row r="1584">
      <c r="A1584" s="1">
        <v>1.0</v>
      </c>
      <c r="B1584" s="1">
        <v>4.0</v>
      </c>
      <c r="C1584" s="1">
        <v>0.0</v>
      </c>
      <c r="D1584" s="1">
        <v>0.0</v>
      </c>
      <c r="E1584" s="1">
        <v>0.0</v>
      </c>
      <c r="F1584" s="1">
        <v>0.0</v>
      </c>
      <c r="G1584" s="2">
        <v>0.0</v>
      </c>
      <c r="H1584" s="1" t="s">
        <v>236</v>
      </c>
      <c r="I1584" s="1">
        <v>0.0</v>
      </c>
      <c r="J1584" s="1">
        <v>0.0</v>
      </c>
    </row>
    <row r="1585">
      <c r="A1585" s="1">
        <v>1.0</v>
      </c>
      <c r="B1585" s="1">
        <v>4.0</v>
      </c>
      <c r="C1585" s="1">
        <v>0.0</v>
      </c>
      <c r="D1585" s="1">
        <v>0.0</v>
      </c>
      <c r="E1585" s="1">
        <v>0.0</v>
      </c>
      <c r="F1585" s="1">
        <v>0.0</v>
      </c>
      <c r="G1585" s="2">
        <v>0.0</v>
      </c>
      <c r="H1585" s="1" t="s">
        <v>237</v>
      </c>
      <c r="I1585" s="1">
        <v>0.0</v>
      </c>
      <c r="J1585" s="1">
        <v>0.0</v>
      </c>
    </row>
    <row r="1586">
      <c r="A1586" s="1">
        <v>5.0</v>
      </c>
      <c r="B1586" s="1">
        <v>20.0</v>
      </c>
      <c r="C1586" s="1">
        <v>6.0</v>
      </c>
      <c r="D1586" s="1">
        <v>1.6</v>
      </c>
      <c r="E1586" s="1">
        <v>0.2</v>
      </c>
      <c r="F1586" s="1">
        <v>0.0</v>
      </c>
      <c r="G1586" s="2">
        <v>0.5</v>
      </c>
      <c r="H1586" s="1" t="s">
        <v>182</v>
      </c>
      <c r="I1586" s="1">
        <v>8.0</v>
      </c>
      <c r="J1586" s="1">
        <v>1.0</v>
      </c>
    </row>
    <row r="1587">
      <c r="A1587" s="1">
        <v>5.0</v>
      </c>
      <c r="B1587" s="1">
        <v>20.0</v>
      </c>
      <c r="C1587" s="1">
        <v>6.0</v>
      </c>
      <c r="D1587" s="1">
        <v>3.2</v>
      </c>
      <c r="E1587" s="1">
        <v>0.0</v>
      </c>
      <c r="F1587" s="1">
        <v>0.0</v>
      </c>
      <c r="G1587" s="6">
        <v>0.667</v>
      </c>
      <c r="H1587" s="1" t="s">
        <v>204</v>
      </c>
      <c r="I1587" s="1">
        <v>16.0</v>
      </c>
      <c r="J1587" s="1">
        <v>0.0</v>
      </c>
    </row>
    <row r="1588">
      <c r="A1588" s="1">
        <v>3.0</v>
      </c>
      <c r="B1588" s="1">
        <v>12.0</v>
      </c>
      <c r="C1588" s="1">
        <v>0.0</v>
      </c>
      <c r="D1588" s="1">
        <v>0.0</v>
      </c>
      <c r="E1588" s="1">
        <v>0.0</v>
      </c>
      <c r="F1588" s="1">
        <v>0.0</v>
      </c>
      <c r="G1588" s="2">
        <v>0.0</v>
      </c>
      <c r="H1588" s="1" t="s">
        <v>238</v>
      </c>
      <c r="I1588" s="1">
        <v>0.0</v>
      </c>
      <c r="J1588" s="1">
        <v>0.0</v>
      </c>
    </row>
    <row r="1589">
      <c r="A1589" s="1">
        <v>5.0</v>
      </c>
      <c r="B1589" s="1">
        <v>21.0</v>
      </c>
      <c r="C1589" s="1">
        <v>14.0</v>
      </c>
      <c r="D1589" s="1">
        <v>4.0</v>
      </c>
      <c r="E1589" s="1">
        <v>0.0</v>
      </c>
      <c r="F1589" s="1">
        <v>0.0</v>
      </c>
      <c r="G1589" s="6">
        <v>0.357</v>
      </c>
      <c r="H1589" s="1" t="s">
        <v>149</v>
      </c>
      <c r="I1589" s="1">
        <v>20.0</v>
      </c>
      <c r="J1589" s="1">
        <v>0.0</v>
      </c>
    </row>
    <row r="1590">
      <c r="A1590" s="1">
        <v>3.0</v>
      </c>
      <c r="B1590" s="1">
        <v>12.0</v>
      </c>
      <c r="C1590" s="1">
        <v>0.0</v>
      </c>
      <c r="D1590" s="1">
        <v>0.0</v>
      </c>
      <c r="E1590" s="1">
        <v>0.0</v>
      </c>
      <c r="F1590" s="1">
        <v>0.0</v>
      </c>
      <c r="G1590" s="2">
        <v>0.0</v>
      </c>
      <c r="H1590" s="1" t="s">
        <v>240</v>
      </c>
      <c r="I1590" s="1">
        <v>0.0</v>
      </c>
      <c r="J1590" s="1">
        <v>0.0</v>
      </c>
    </row>
    <row r="1591">
      <c r="A1591" s="1">
        <v>1.0</v>
      </c>
      <c r="B1591" s="1">
        <v>4.0</v>
      </c>
      <c r="C1591" s="1">
        <v>0.0</v>
      </c>
      <c r="D1591" s="1">
        <v>0.0</v>
      </c>
      <c r="E1591" s="1">
        <v>0.0</v>
      </c>
      <c r="F1591" s="1">
        <v>0.0</v>
      </c>
      <c r="G1591" s="2">
        <v>0.0</v>
      </c>
      <c r="H1591" s="1" t="s">
        <v>242</v>
      </c>
      <c r="I1591" s="1">
        <v>0.0</v>
      </c>
      <c r="J1591" s="1">
        <v>0.0</v>
      </c>
    </row>
    <row r="1592">
      <c r="A1592" s="1">
        <v>1.0</v>
      </c>
      <c r="B1592" s="1">
        <v>4.0</v>
      </c>
      <c r="C1592" s="1">
        <v>0.0</v>
      </c>
      <c r="D1592" s="1">
        <v>0.0</v>
      </c>
      <c r="E1592" s="1">
        <v>0.0</v>
      </c>
      <c r="F1592" s="1">
        <v>0.0</v>
      </c>
      <c r="G1592" s="2">
        <v>0.0</v>
      </c>
      <c r="H1592" s="1" t="s">
        <v>243</v>
      </c>
      <c r="I1592" s="1">
        <v>0.0</v>
      </c>
      <c r="J1592" s="1">
        <v>0.0</v>
      </c>
    </row>
    <row r="1593">
      <c r="A1593" s="1">
        <v>3.0</v>
      </c>
      <c r="B1593" s="1">
        <v>12.0</v>
      </c>
      <c r="C1593" s="1">
        <v>0.0</v>
      </c>
      <c r="D1593" s="1">
        <v>0.0</v>
      </c>
      <c r="E1593" s="1">
        <v>0.0</v>
      </c>
      <c r="F1593" s="1">
        <v>0.0</v>
      </c>
      <c r="G1593" s="2">
        <v>0.0</v>
      </c>
      <c r="H1593" s="1" t="s">
        <v>244</v>
      </c>
      <c r="I1593" s="1">
        <v>0.0</v>
      </c>
      <c r="J1593" s="1">
        <v>0.0</v>
      </c>
    </row>
    <row r="1594">
      <c r="A1594" s="1">
        <v>2.0</v>
      </c>
      <c r="B1594" s="1">
        <v>8.0</v>
      </c>
      <c r="C1594" s="1">
        <v>0.0</v>
      </c>
      <c r="D1594" s="1">
        <v>0.0</v>
      </c>
      <c r="E1594" s="1">
        <v>0.0</v>
      </c>
      <c r="F1594" s="1">
        <v>0.0</v>
      </c>
      <c r="G1594" s="2">
        <v>0.0</v>
      </c>
      <c r="H1594" s="1" t="s">
        <v>244</v>
      </c>
      <c r="I1594" s="1">
        <v>0.0</v>
      </c>
      <c r="J1594" s="1">
        <v>0.0</v>
      </c>
    </row>
    <row r="1595">
      <c r="A1595" s="1">
        <v>3.0</v>
      </c>
      <c r="B1595" s="1">
        <v>12.0</v>
      </c>
      <c r="C1595" s="1">
        <v>1.0</v>
      </c>
      <c r="D1595" s="1">
        <v>-1.33</v>
      </c>
      <c r="E1595" s="1">
        <v>0.33</v>
      </c>
      <c r="F1595" s="1">
        <v>0.0</v>
      </c>
      <c r="G1595" s="2">
        <v>0.0</v>
      </c>
      <c r="H1595" s="1" t="s">
        <v>185</v>
      </c>
      <c r="I1595" s="1">
        <v>-4.0</v>
      </c>
      <c r="J1595" s="1">
        <v>1.0</v>
      </c>
    </row>
    <row r="1596">
      <c r="A1596" s="1">
        <v>2.0</v>
      </c>
      <c r="B1596" s="1">
        <v>8.0</v>
      </c>
      <c r="C1596" s="1">
        <v>1.0</v>
      </c>
      <c r="D1596" s="1">
        <v>0.0</v>
      </c>
      <c r="E1596" s="1">
        <v>0.0</v>
      </c>
      <c r="F1596" s="1">
        <v>0.0</v>
      </c>
      <c r="G1596" s="2">
        <v>0.0</v>
      </c>
      <c r="H1596" s="1" t="s">
        <v>185</v>
      </c>
      <c r="I1596" s="1">
        <v>0.0</v>
      </c>
      <c r="J1596" s="1">
        <v>0.0</v>
      </c>
    </row>
    <row r="1597">
      <c r="A1597" s="1">
        <v>3.0</v>
      </c>
      <c r="B1597" s="1">
        <v>12.0</v>
      </c>
      <c r="C1597" s="1">
        <v>8.0</v>
      </c>
      <c r="D1597" s="1">
        <v>6.67</v>
      </c>
      <c r="E1597" s="1">
        <v>0.33</v>
      </c>
      <c r="F1597" s="1">
        <v>0.0</v>
      </c>
      <c r="G1597" s="2">
        <v>0.75</v>
      </c>
      <c r="H1597" s="1" t="s">
        <v>248</v>
      </c>
      <c r="I1597" s="1">
        <v>20.0</v>
      </c>
      <c r="J1597" s="1">
        <v>1.0</v>
      </c>
    </row>
    <row r="1598">
      <c r="A1598" s="1">
        <v>2.0</v>
      </c>
      <c r="B1598" s="1">
        <v>8.0</v>
      </c>
      <c r="C1598" s="1">
        <v>5.0</v>
      </c>
      <c r="D1598" s="1">
        <v>-6.0</v>
      </c>
      <c r="E1598" s="1">
        <v>1.5</v>
      </c>
      <c r="F1598" s="1">
        <v>0.0</v>
      </c>
      <c r="G1598" s="2">
        <v>0.0</v>
      </c>
      <c r="H1598" s="1" t="s">
        <v>248</v>
      </c>
      <c r="I1598" s="1">
        <v>-12.0</v>
      </c>
      <c r="J1598" s="1">
        <v>3.0</v>
      </c>
    </row>
    <row r="1599">
      <c r="A1599" s="1">
        <v>2.0</v>
      </c>
      <c r="B1599" s="1">
        <v>8.0</v>
      </c>
      <c r="C1599" s="1">
        <v>0.0</v>
      </c>
      <c r="D1599" s="1">
        <v>0.0</v>
      </c>
      <c r="E1599" s="1">
        <v>0.0</v>
      </c>
      <c r="F1599" s="1">
        <v>0.0</v>
      </c>
      <c r="G1599" s="2">
        <v>0.0</v>
      </c>
      <c r="H1599" s="1" t="s">
        <v>250</v>
      </c>
      <c r="I1599" s="1">
        <v>0.0</v>
      </c>
      <c r="J1599" s="1">
        <v>0.0</v>
      </c>
    </row>
    <row r="1600">
      <c r="A1600" s="1">
        <v>1.0</v>
      </c>
      <c r="B1600" s="1">
        <v>4.0</v>
      </c>
      <c r="C1600" s="1">
        <v>0.0</v>
      </c>
      <c r="D1600" s="1">
        <v>0.0</v>
      </c>
      <c r="E1600" s="1">
        <v>0.0</v>
      </c>
      <c r="F1600" s="1">
        <v>0.0</v>
      </c>
      <c r="G1600" s="2">
        <v>0.0</v>
      </c>
      <c r="H1600" s="1" t="s">
        <v>250</v>
      </c>
      <c r="I1600" s="1">
        <v>0.0</v>
      </c>
      <c r="J1600" s="1">
        <v>0.0</v>
      </c>
    </row>
    <row r="1601">
      <c r="A1601" s="1">
        <v>1.0</v>
      </c>
      <c r="B1601" s="1">
        <v>4.0</v>
      </c>
      <c r="C1601" s="1">
        <v>0.0</v>
      </c>
      <c r="D1601" s="1">
        <v>0.0</v>
      </c>
      <c r="E1601" s="1">
        <v>0.0</v>
      </c>
      <c r="F1601" s="1">
        <v>0.0</v>
      </c>
      <c r="G1601" s="2">
        <v>0.0</v>
      </c>
      <c r="H1601" s="1" t="s">
        <v>251</v>
      </c>
      <c r="I1601" s="1">
        <v>0.0</v>
      </c>
      <c r="J1601" s="1">
        <v>0.0</v>
      </c>
    </row>
    <row r="1602">
      <c r="A1602" s="1">
        <v>1.0</v>
      </c>
      <c r="B1602" s="1">
        <v>4.0</v>
      </c>
      <c r="C1602" s="1">
        <v>0.0</v>
      </c>
      <c r="D1602" s="1">
        <v>0.0</v>
      </c>
      <c r="E1602" s="1">
        <v>0.0</v>
      </c>
      <c r="F1602" s="1">
        <v>0.0</v>
      </c>
      <c r="G1602" s="2">
        <v>0.0</v>
      </c>
      <c r="H1602" s="1" t="s">
        <v>239</v>
      </c>
      <c r="I1602" s="1">
        <v>0.0</v>
      </c>
      <c r="J1602" s="1">
        <v>0.0</v>
      </c>
    </row>
    <row r="1603">
      <c r="A1603" s="1">
        <v>4.0</v>
      </c>
      <c r="B1603" s="1">
        <v>16.0</v>
      </c>
      <c r="C1603" s="1">
        <v>2.0</v>
      </c>
      <c r="D1603" s="1">
        <v>1.0</v>
      </c>
      <c r="E1603" s="1">
        <v>0.0</v>
      </c>
      <c r="F1603" s="1">
        <v>0.0</v>
      </c>
      <c r="G1603" s="2">
        <v>0.5</v>
      </c>
      <c r="H1603" s="1" t="s">
        <v>253</v>
      </c>
      <c r="I1603" s="1">
        <v>4.0</v>
      </c>
      <c r="J1603" s="1">
        <v>0.0</v>
      </c>
    </row>
    <row r="1604">
      <c r="A1604" s="1">
        <v>1.0</v>
      </c>
      <c r="B1604" s="1">
        <v>4.0</v>
      </c>
      <c r="C1604" s="1">
        <v>0.0</v>
      </c>
      <c r="D1604" s="1">
        <v>0.0</v>
      </c>
      <c r="E1604" s="1">
        <v>0.0</v>
      </c>
      <c r="F1604" s="1">
        <v>0.0</v>
      </c>
      <c r="G1604" s="2">
        <v>0.0</v>
      </c>
      <c r="H1604" s="1" t="s">
        <v>253</v>
      </c>
      <c r="I1604" s="1">
        <v>0.0</v>
      </c>
      <c r="J1604" s="1">
        <v>0.0</v>
      </c>
    </row>
    <row r="1605">
      <c r="A1605" s="1">
        <v>4.0</v>
      </c>
      <c r="B1605" s="1">
        <v>16.0</v>
      </c>
      <c r="C1605" s="1">
        <v>9.0</v>
      </c>
      <c r="D1605" s="1">
        <v>1.0</v>
      </c>
      <c r="E1605" s="1">
        <v>0.5</v>
      </c>
      <c r="F1605" s="1">
        <v>0.0</v>
      </c>
      <c r="G1605" s="6">
        <v>0.333</v>
      </c>
      <c r="H1605" s="1" t="s">
        <v>255</v>
      </c>
      <c r="I1605" s="1">
        <v>4.0</v>
      </c>
      <c r="J1605" s="1">
        <v>2.0</v>
      </c>
    </row>
    <row r="1606">
      <c r="A1606" s="1">
        <v>1.0</v>
      </c>
      <c r="B1606" s="1">
        <v>4.0</v>
      </c>
      <c r="C1606" s="1">
        <v>3.0</v>
      </c>
      <c r="D1606" s="1">
        <v>-4.0</v>
      </c>
      <c r="E1606" s="1">
        <v>2.0</v>
      </c>
      <c r="F1606" s="1">
        <v>0.0</v>
      </c>
      <c r="G1606" s="6">
        <v>0.333</v>
      </c>
      <c r="H1606" s="1" t="s">
        <v>255</v>
      </c>
      <c r="I1606" s="1">
        <v>-4.0</v>
      </c>
      <c r="J1606" s="1">
        <v>2.0</v>
      </c>
    </row>
    <row r="1607">
      <c r="A1607" s="1">
        <v>4.0</v>
      </c>
      <c r="B1607" s="1">
        <v>16.0</v>
      </c>
      <c r="C1607" s="1">
        <v>2.0</v>
      </c>
      <c r="D1607" s="1">
        <v>0.0</v>
      </c>
      <c r="E1607" s="1">
        <v>0.25</v>
      </c>
      <c r="F1607" s="1">
        <v>0.0</v>
      </c>
      <c r="G1607" s="2">
        <v>0.5</v>
      </c>
      <c r="H1607" s="1" t="s">
        <v>164</v>
      </c>
      <c r="I1607" s="1">
        <v>0.0</v>
      </c>
      <c r="J1607" s="1">
        <v>1.0</v>
      </c>
    </row>
    <row r="1608">
      <c r="A1608" s="1">
        <v>1.0</v>
      </c>
      <c r="B1608" s="1">
        <v>4.0</v>
      </c>
      <c r="C1608" s="1">
        <v>1.0</v>
      </c>
      <c r="D1608" s="1">
        <v>4.0</v>
      </c>
      <c r="E1608" s="1">
        <v>0.0</v>
      </c>
      <c r="F1608" s="1">
        <v>0.0</v>
      </c>
      <c r="G1608" s="2">
        <v>1.0</v>
      </c>
      <c r="H1608" s="1" t="s">
        <v>164</v>
      </c>
      <c r="I1608" s="1">
        <v>4.0</v>
      </c>
      <c r="J1608" s="1">
        <v>0.0</v>
      </c>
    </row>
    <row r="1609">
      <c r="A1609" s="1">
        <v>1.0</v>
      </c>
      <c r="B1609" s="1">
        <v>3.0</v>
      </c>
      <c r="C1609" s="1">
        <v>0.0</v>
      </c>
      <c r="D1609" s="1">
        <v>0.0</v>
      </c>
      <c r="E1609" s="1">
        <v>0.0</v>
      </c>
      <c r="F1609" s="1">
        <v>0.0</v>
      </c>
      <c r="G1609" s="2">
        <v>0.0</v>
      </c>
      <c r="H1609" s="1" t="s">
        <v>257</v>
      </c>
      <c r="I1609" s="1">
        <v>0.0</v>
      </c>
      <c r="J1609" s="1">
        <v>0.0</v>
      </c>
    </row>
    <row r="1610">
      <c r="A1610" s="1">
        <v>1.0</v>
      </c>
      <c r="B1610" s="1">
        <v>4.0</v>
      </c>
      <c r="C1610" s="1">
        <v>0.0</v>
      </c>
      <c r="D1610" s="1">
        <v>0.0</v>
      </c>
      <c r="E1610" s="1">
        <v>0.0</v>
      </c>
      <c r="F1610" s="1">
        <v>0.0</v>
      </c>
      <c r="G1610" s="2">
        <v>0.0</v>
      </c>
      <c r="H1610" s="1" t="s">
        <v>257</v>
      </c>
      <c r="I1610" s="1">
        <v>0.0</v>
      </c>
      <c r="J1610" s="1">
        <v>0.0</v>
      </c>
    </row>
    <row r="1611">
      <c r="A1611" s="1">
        <v>2.0</v>
      </c>
      <c r="B1611" s="1">
        <v>7.0</v>
      </c>
      <c r="C1611" s="1">
        <v>1.0</v>
      </c>
      <c r="D1611" s="1">
        <v>2.0</v>
      </c>
      <c r="E1611" s="1">
        <v>0.0</v>
      </c>
      <c r="F1611" s="1">
        <v>0.0</v>
      </c>
      <c r="G1611" s="2">
        <v>1.0</v>
      </c>
      <c r="H1611" s="1" t="s">
        <v>259</v>
      </c>
      <c r="I1611" s="1">
        <v>4.0</v>
      </c>
      <c r="J1611" s="1">
        <v>0.0</v>
      </c>
    </row>
    <row r="1612">
      <c r="A1612" s="1">
        <v>2.0</v>
      </c>
      <c r="B1612" s="1">
        <v>8.0</v>
      </c>
      <c r="C1612" s="1">
        <v>2.0</v>
      </c>
      <c r="D1612" s="1">
        <v>0.0</v>
      </c>
      <c r="E1612" s="1">
        <v>0.5</v>
      </c>
      <c r="F1612" s="1">
        <v>0.0</v>
      </c>
      <c r="G1612" s="2">
        <v>0.5</v>
      </c>
      <c r="H1612" s="1" t="s">
        <v>259</v>
      </c>
      <c r="I1612" s="1">
        <v>0.0</v>
      </c>
      <c r="J1612" s="1">
        <v>1.0</v>
      </c>
    </row>
    <row r="1613">
      <c r="A1613" s="1">
        <v>3.0</v>
      </c>
      <c r="B1613" s="1">
        <v>10.0</v>
      </c>
      <c r="C1613" s="1">
        <v>4.0</v>
      </c>
      <c r="D1613" s="1">
        <v>2.67</v>
      </c>
      <c r="E1613" s="1">
        <v>0.33</v>
      </c>
      <c r="F1613" s="1">
        <v>0.0</v>
      </c>
      <c r="G1613" s="2">
        <v>0.75</v>
      </c>
      <c r="H1613" s="1" t="s">
        <v>99</v>
      </c>
      <c r="I1613" s="1">
        <v>8.0</v>
      </c>
      <c r="J1613" s="1">
        <v>1.0</v>
      </c>
    </row>
    <row r="1614">
      <c r="A1614" s="1">
        <v>2.0</v>
      </c>
      <c r="B1614" s="1">
        <v>8.0</v>
      </c>
      <c r="C1614" s="1">
        <v>2.0</v>
      </c>
      <c r="D1614" s="1">
        <v>0.0</v>
      </c>
      <c r="E1614" s="1">
        <v>0.0</v>
      </c>
      <c r="F1614" s="1">
        <v>0.0</v>
      </c>
      <c r="G1614" s="2">
        <v>0.0</v>
      </c>
      <c r="H1614" s="1" t="s">
        <v>99</v>
      </c>
      <c r="I1614" s="1">
        <v>0.0</v>
      </c>
      <c r="J1614" s="1">
        <v>0.0</v>
      </c>
    </row>
    <row r="1615">
      <c r="A1615" s="1">
        <v>3.0</v>
      </c>
      <c r="B1615" s="1">
        <v>10.0</v>
      </c>
      <c r="C1615" s="1">
        <v>0.0</v>
      </c>
      <c r="D1615" s="1">
        <v>0.0</v>
      </c>
      <c r="E1615" s="1">
        <v>0.0</v>
      </c>
      <c r="F1615" s="1">
        <v>0.0</v>
      </c>
      <c r="G1615" s="2">
        <v>0.0</v>
      </c>
      <c r="H1615" s="1" t="s">
        <v>262</v>
      </c>
      <c r="I1615" s="1">
        <v>0.0</v>
      </c>
      <c r="J1615" s="1">
        <v>0.0</v>
      </c>
    </row>
    <row r="1616">
      <c r="A1616" s="1">
        <v>1.0</v>
      </c>
      <c r="B1616" s="1">
        <v>4.0</v>
      </c>
      <c r="C1616" s="1">
        <v>0.0</v>
      </c>
      <c r="D1616" s="1">
        <v>0.0</v>
      </c>
      <c r="E1616" s="1">
        <v>0.0</v>
      </c>
      <c r="F1616" s="1">
        <v>0.0</v>
      </c>
      <c r="G1616" s="2">
        <v>0.0</v>
      </c>
      <c r="H1616" s="1" t="s">
        <v>262</v>
      </c>
      <c r="I1616" s="1">
        <v>0.0</v>
      </c>
      <c r="J1616" s="1">
        <v>0.0</v>
      </c>
    </row>
    <row r="1617">
      <c r="A1617" s="1">
        <v>1.0</v>
      </c>
      <c r="B1617" s="1">
        <v>4.0</v>
      </c>
      <c r="C1617" s="1">
        <v>1.0</v>
      </c>
      <c r="D1617" s="1">
        <v>0.0</v>
      </c>
      <c r="E1617" s="1">
        <v>0.0</v>
      </c>
      <c r="F1617" s="1">
        <v>0.0</v>
      </c>
      <c r="G1617" s="2">
        <v>0.0</v>
      </c>
      <c r="H1617" s="1" t="s">
        <v>262</v>
      </c>
      <c r="I1617" s="1">
        <v>0.0</v>
      </c>
      <c r="J1617" s="1">
        <v>0.0</v>
      </c>
    </row>
    <row r="1618">
      <c r="A1618" s="1">
        <v>1.0</v>
      </c>
      <c r="B1618" s="1">
        <v>4.0</v>
      </c>
      <c r="C1618" s="1">
        <v>2.0</v>
      </c>
      <c r="D1618" s="1">
        <v>0.0</v>
      </c>
      <c r="E1618" s="1">
        <v>1.0</v>
      </c>
      <c r="F1618" s="1">
        <v>0.0</v>
      </c>
      <c r="G1618" s="2">
        <v>0.5</v>
      </c>
      <c r="H1618" s="1" t="s">
        <v>241</v>
      </c>
      <c r="I1618" s="1">
        <v>0.0</v>
      </c>
      <c r="J1618" s="1">
        <v>1.0</v>
      </c>
    </row>
    <row r="1619">
      <c r="A1619" s="1">
        <v>1.0</v>
      </c>
      <c r="B1619" s="1">
        <v>4.0</v>
      </c>
      <c r="C1619" s="1">
        <v>3.0</v>
      </c>
      <c r="D1619" s="1">
        <v>12.0</v>
      </c>
      <c r="E1619" s="1">
        <v>0.0</v>
      </c>
      <c r="F1619" s="1">
        <v>0.0</v>
      </c>
      <c r="G1619" s="2">
        <v>1.0</v>
      </c>
      <c r="H1619" s="1" t="s">
        <v>241</v>
      </c>
      <c r="I1619" s="1">
        <v>12.0</v>
      </c>
      <c r="J1619" s="1">
        <v>0.0</v>
      </c>
    </row>
    <row r="1620">
      <c r="A1620" s="1">
        <v>2.0</v>
      </c>
      <c r="B1620" s="1">
        <v>8.0</v>
      </c>
      <c r="C1620" s="1">
        <v>0.0</v>
      </c>
      <c r="D1620" s="1">
        <v>0.0</v>
      </c>
      <c r="E1620" s="1">
        <v>0.0</v>
      </c>
      <c r="F1620" s="1">
        <v>0.0</v>
      </c>
      <c r="G1620" s="2">
        <v>0.0</v>
      </c>
      <c r="H1620" s="1" t="s">
        <v>263</v>
      </c>
      <c r="I1620" s="1">
        <v>0.0</v>
      </c>
      <c r="J1620" s="1">
        <v>0.0</v>
      </c>
    </row>
    <row r="1621">
      <c r="A1621" s="1">
        <v>1.0</v>
      </c>
      <c r="B1621" s="1">
        <v>4.0</v>
      </c>
      <c r="C1621" s="1">
        <v>1.0</v>
      </c>
      <c r="D1621" s="1">
        <v>4.0</v>
      </c>
      <c r="E1621" s="1">
        <v>0.0</v>
      </c>
      <c r="F1621" s="1">
        <v>0.0</v>
      </c>
      <c r="G1621" s="2">
        <v>1.0</v>
      </c>
      <c r="H1621" s="1" t="s">
        <v>263</v>
      </c>
      <c r="I1621" s="1">
        <v>4.0</v>
      </c>
      <c r="J1621" s="1">
        <v>0.0</v>
      </c>
    </row>
    <row r="1622">
      <c r="A1622" s="1">
        <v>1.0</v>
      </c>
      <c r="B1622" s="1">
        <v>3.0</v>
      </c>
      <c r="C1622" s="1">
        <v>0.0</v>
      </c>
      <c r="D1622" s="1">
        <v>0.0</v>
      </c>
      <c r="E1622" s="1">
        <v>0.0</v>
      </c>
      <c r="F1622" s="1">
        <v>0.0</v>
      </c>
      <c r="G1622" s="2">
        <v>0.0</v>
      </c>
      <c r="H1622" s="1" t="s">
        <v>264</v>
      </c>
      <c r="I1622" s="1">
        <v>0.0</v>
      </c>
      <c r="J1622" s="1">
        <v>0.0</v>
      </c>
    </row>
    <row r="1623">
      <c r="A1623" s="1">
        <v>3.0</v>
      </c>
      <c r="B1623" s="1">
        <v>12.0</v>
      </c>
      <c r="C1623" s="1">
        <v>0.0</v>
      </c>
      <c r="D1623" s="1">
        <v>0.0</v>
      </c>
      <c r="E1623" s="1">
        <v>0.0</v>
      </c>
      <c r="F1623" s="1">
        <v>0.0</v>
      </c>
      <c r="G1623" s="2">
        <v>0.0</v>
      </c>
      <c r="H1623" s="1" t="s">
        <v>264</v>
      </c>
      <c r="I1623" s="1">
        <v>0.0</v>
      </c>
      <c r="J1623" s="1">
        <v>0.0</v>
      </c>
    </row>
    <row r="1624">
      <c r="A1624" s="1">
        <v>1.0</v>
      </c>
      <c r="B1624" s="1">
        <v>3.0</v>
      </c>
      <c r="C1624" s="1">
        <v>0.0</v>
      </c>
      <c r="D1624" s="1">
        <v>0.0</v>
      </c>
      <c r="E1624" s="1">
        <v>0.0</v>
      </c>
      <c r="F1624" s="1">
        <v>0.0</v>
      </c>
      <c r="G1624" s="2">
        <v>0.0</v>
      </c>
      <c r="H1624" s="1" t="s">
        <v>265</v>
      </c>
      <c r="I1624" s="1">
        <v>0.0</v>
      </c>
      <c r="J1624" s="1">
        <v>0.0</v>
      </c>
    </row>
    <row r="1625">
      <c r="A1625" s="1">
        <v>4.0</v>
      </c>
      <c r="B1625" s="1">
        <v>16.0</v>
      </c>
      <c r="C1625" s="1">
        <v>2.0</v>
      </c>
      <c r="D1625" s="1">
        <v>1.0</v>
      </c>
      <c r="E1625" s="1">
        <v>0.0</v>
      </c>
      <c r="F1625" s="1">
        <v>0.0</v>
      </c>
      <c r="G1625" s="2">
        <v>0.5</v>
      </c>
      <c r="H1625" s="1" t="s">
        <v>265</v>
      </c>
      <c r="I1625" s="1">
        <v>4.0</v>
      </c>
      <c r="J1625" s="1">
        <v>0.0</v>
      </c>
    </row>
    <row r="1626">
      <c r="A1626" s="1">
        <v>4.0</v>
      </c>
      <c r="B1626" s="1">
        <v>16.0</v>
      </c>
      <c r="C1626" s="1">
        <v>3.0</v>
      </c>
      <c r="D1626" s="1">
        <v>1.0</v>
      </c>
      <c r="E1626" s="1">
        <v>0.25</v>
      </c>
      <c r="F1626" s="1">
        <v>0.0</v>
      </c>
      <c r="G1626" s="6">
        <v>0.667</v>
      </c>
      <c r="H1626" s="1" t="s">
        <v>266</v>
      </c>
      <c r="I1626" s="1">
        <v>4.0</v>
      </c>
      <c r="J1626" s="1">
        <v>1.0</v>
      </c>
    </row>
    <row r="1627">
      <c r="A1627" s="1">
        <v>1.0</v>
      </c>
      <c r="B1627" s="1">
        <v>3.0</v>
      </c>
      <c r="C1627" s="1">
        <v>3.0</v>
      </c>
      <c r="D1627" s="1">
        <v>12.0</v>
      </c>
      <c r="E1627" s="1">
        <v>0.0</v>
      </c>
      <c r="F1627" s="1">
        <v>0.0</v>
      </c>
      <c r="G1627" s="2">
        <v>1.0</v>
      </c>
      <c r="H1627" s="1" t="s">
        <v>93</v>
      </c>
      <c r="I1627" s="1">
        <v>12.0</v>
      </c>
      <c r="J1627" s="1">
        <v>0.0</v>
      </c>
    </row>
    <row r="1628">
      <c r="A1628" s="1">
        <v>4.0</v>
      </c>
      <c r="B1628" s="1">
        <v>16.0</v>
      </c>
      <c r="C1628" s="1">
        <v>8.0</v>
      </c>
      <c r="D1628" s="1">
        <v>6.0</v>
      </c>
      <c r="E1628" s="1">
        <v>0.0</v>
      </c>
      <c r="F1628" s="1">
        <v>0.0</v>
      </c>
      <c r="G1628" s="2">
        <v>0.75</v>
      </c>
      <c r="H1628" s="1" t="s">
        <v>93</v>
      </c>
      <c r="I1628" s="1">
        <v>24.0</v>
      </c>
      <c r="J1628" s="1">
        <v>0.0</v>
      </c>
    </row>
    <row r="1629">
      <c r="A1629" s="1">
        <v>1.0</v>
      </c>
      <c r="B1629" s="1">
        <v>4.0</v>
      </c>
      <c r="C1629" s="1">
        <v>1.0</v>
      </c>
      <c r="D1629" s="1">
        <v>4.0</v>
      </c>
      <c r="E1629" s="1">
        <v>0.0</v>
      </c>
      <c r="F1629" s="1">
        <v>0.0</v>
      </c>
      <c r="G1629" s="2">
        <v>1.0</v>
      </c>
      <c r="H1629" s="1" t="s">
        <v>268</v>
      </c>
      <c r="I1629" s="1">
        <v>4.0</v>
      </c>
      <c r="J1629" s="1">
        <v>0.0</v>
      </c>
    </row>
    <row r="1630">
      <c r="A1630" s="1">
        <v>4.0</v>
      </c>
      <c r="B1630" s="1">
        <v>15.0</v>
      </c>
      <c r="C1630" s="1">
        <v>6.0</v>
      </c>
      <c r="D1630" s="1">
        <v>1.0</v>
      </c>
      <c r="E1630" s="1">
        <v>0.25</v>
      </c>
      <c r="F1630" s="1">
        <v>0.0</v>
      </c>
      <c r="G1630" s="6">
        <v>0.333</v>
      </c>
      <c r="H1630" s="1" t="s">
        <v>80</v>
      </c>
      <c r="I1630" s="1">
        <v>4.0</v>
      </c>
      <c r="J1630" s="1">
        <v>1.0</v>
      </c>
    </row>
    <row r="1631">
      <c r="A1631" s="1">
        <v>1.0</v>
      </c>
      <c r="B1631" s="1">
        <v>3.0</v>
      </c>
      <c r="C1631" s="1">
        <v>0.0</v>
      </c>
      <c r="D1631" s="1">
        <v>0.0</v>
      </c>
      <c r="E1631" s="1">
        <v>0.0</v>
      </c>
      <c r="F1631" s="1">
        <v>0.0</v>
      </c>
      <c r="G1631" s="2">
        <v>0.0</v>
      </c>
      <c r="H1631" s="1" t="s">
        <v>221</v>
      </c>
      <c r="I1631" s="1">
        <v>0.0</v>
      </c>
      <c r="J1631" s="1">
        <v>0.0</v>
      </c>
    </row>
    <row r="1632">
      <c r="A1632" s="1">
        <v>3.0</v>
      </c>
      <c r="B1632" s="1">
        <v>12.0</v>
      </c>
      <c r="C1632" s="1">
        <v>0.0</v>
      </c>
      <c r="D1632" s="1">
        <v>0.0</v>
      </c>
      <c r="E1632" s="1">
        <v>0.0</v>
      </c>
      <c r="F1632" s="1">
        <v>0.0</v>
      </c>
      <c r="G1632" s="2">
        <v>0.0</v>
      </c>
      <c r="H1632" s="1" t="s">
        <v>221</v>
      </c>
      <c r="I1632" s="1">
        <v>0.0</v>
      </c>
      <c r="J1632" s="1">
        <v>0.0</v>
      </c>
    </row>
    <row r="1633">
      <c r="A1633" s="1">
        <v>1.0</v>
      </c>
      <c r="B1633" s="1">
        <v>4.0</v>
      </c>
      <c r="C1633" s="1">
        <v>0.0</v>
      </c>
      <c r="D1633" s="1">
        <v>0.0</v>
      </c>
      <c r="E1633" s="1">
        <v>0.0</v>
      </c>
      <c r="F1633" s="1">
        <v>0.0</v>
      </c>
      <c r="G1633" s="2">
        <v>0.0</v>
      </c>
      <c r="H1633" s="1" t="s">
        <v>270</v>
      </c>
      <c r="I1633" s="1">
        <v>0.0</v>
      </c>
      <c r="J1633" s="1">
        <v>0.0</v>
      </c>
    </row>
    <row r="1634">
      <c r="A1634" s="1">
        <v>1.0</v>
      </c>
      <c r="B1634" s="1">
        <v>4.0</v>
      </c>
      <c r="C1634" s="1">
        <v>1.0</v>
      </c>
      <c r="D1634" s="1">
        <v>0.0</v>
      </c>
      <c r="E1634" s="1">
        <v>0.0</v>
      </c>
      <c r="F1634" s="1">
        <v>0.0</v>
      </c>
      <c r="G1634" s="2">
        <v>0.0</v>
      </c>
      <c r="H1634" s="1" t="s">
        <v>270</v>
      </c>
      <c r="I1634" s="1">
        <v>0.0</v>
      </c>
      <c r="J1634" s="1">
        <v>0.0</v>
      </c>
    </row>
    <row r="1635">
      <c r="A1635" s="1">
        <v>1.0</v>
      </c>
      <c r="B1635" s="1">
        <v>3.0</v>
      </c>
      <c r="C1635" s="1">
        <v>1.0</v>
      </c>
      <c r="D1635" s="1">
        <v>4.0</v>
      </c>
      <c r="E1635" s="1">
        <v>0.0</v>
      </c>
      <c r="F1635" s="1">
        <v>0.0</v>
      </c>
      <c r="G1635" s="2">
        <v>1.0</v>
      </c>
      <c r="H1635" s="1" t="s">
        <v>228</v>
      </c>
      <c r="I1635" s="1">
        <v>4.0</v>
      </c>
      <c r="J1635" s="1">
        <v>0.0</v>
      </c>
    </row>
    <row r="1636">
      <c r="A1636" s="1">
        <v>4.0</v>
      </c>
      <c r="B1636" s="1">
        <v>16.0</v>
      </c>
      <c r="C1636" s="1">
        <v>3.0</v>
      </c>
      <c r="D1636" s="1">
        <v>1.0</v>
      </c>
      <c r="E1636" s="1">
        <v>0.0</v>
      </c>
      <c r="F1636" s="1">
        <v>0.0</v>
      </c>
      <c r="G1636" s="6">
        <v>0.333</v>
      </c>
      <c r="H1636" s="1" t="s">
        <v>228</v>
      </c>
      <c r="I1636" s="1">
        <v>4.0</v>
      </c>
      <c r="J1636" s="1">
        <v>0.0</v>
      </c>
    </row>
    <row r="1637">
      <c r="A1637" s="1">
        <v>1.0</v>
      </c>
      <c r="B1637" s="1">
        <v>3.0</v>
      </c>
      <c r="C1637" s="1">
        <v>1.0</v>
      </c>
      <c r="D1637" s="1">
        <v>0.0</v>
      </c>
      <c r="E1637" s="1">
        <v>0.0</v>
      </c>
      <c r="F1637" s="1">
        <v>0.0</v>
      </c>
      <c r="G1637" s="2">
        <v>0.0</v>
      </c>
      <c r="H1637" s="1" t="s">
        <v>273</v>
      </c>
      <c r="I1637" s="1">
        <v>0.0</v>
      </c>
      <c r="J1637" s="1">
        <v>0.0</v>
      </c>
    </row>
    <row r="1638">
      <c r="A1638" s="1">
        <v>3.0</v>
      </c>
      <c r="B1638" s="1">
        <v>12.0</v>
      </c>
      <c r="C1638" s="1">
        <v>2.0</v>
      </c>
      <c r="D1638" s="1">
        <v>1.33</v>
      </c>
      <c r="E1638" s="1">
        <v>0.0</v>
      </c>
      <c r="F1638" s="1">
        <v>0.0</v>
      </c>
      <c r="G1638" s="2">
        <v>0.5</v>
      </c>
      <c r="H1638" s="1" t="s">
        <v>273</v>
      </c>
      <c r="I1638" s="1">
        <v>4.0</v>
      </c>
      <c r="J1638" s="1">
        <v>0.0</v>
      </c>
    </row>
    <row r="1639">
      <c r="A1639" s="1">
        <v>1.0</v>
      </c>
      <c r="B1639" s="1">
        <v>4.0</v>
      </c>
      <c r="C1639" s="1">
        <v>0.0</v>
      </c>
      <c r="D1639" s="1">
        <v>0.0</v>
      </c>
      <c r="E1639" s="1">
        <v>0.0</v>
      </c>
      <c r="F1639" s="1">
        <v>0.0</v>
      </c>
      <c r="G1639" s="2">
        <v>0.0</v>
      </c>
      <c r="H1639" s="1" t="s">
        <v>273</v>
      </c>
      <c r="I1639" s="1">
        <v>0.0</v>
      </c>
      <c r="J1639" s="1">
        <v>0.0</v>
      </c>
    </row>
    <row r="1640">
      <c r="A1640" s="1">
        <v>1.0</v>
      </c>
      <c r="B1640" s="1">
        <v>3.0</v>
      </c>
      <c r="C1640" s="1">
        <v>0.0</v>
      </c>
      <c r="D1640" s="1">
        <v>0.0</v>
      </c>
      <c r="E1640" s="1">
        <v>0.0</v>
      </c>
      <c r="F1640" s="1">
        <v>0.0</v>
      </c>
      <c r="G1640" s="2">
        <v>0.0</v>
      </c>
      <c r="H1640" s="1" t="s">
        <v>275</v>
      </c>
      <c r="I1640" s="1">
        <v>0.0</v>
      </c>
      <c r="J1640" s="1">
        <v>0.0</v>
      </c>
    </row>
    <row r="1641">
      <c r="A1641" s="1">
        <v>3.0</v>
      </c>
      <c r="B1641" s="1">
        <v>12.0</v>
      </c>
      <c r="C1641" s="1">
        <v>4.0</v>
      </c>
      <c r="D1641" s="1">
        <v>1.33</v>
      </c>
      <c r="E1641" s="1">
        <v>0.0</v>
      </c>
      <c r="F1641" s="1">
        <v>0.0</v>
      </c>
      <c r="G1641" s="2">
        <v>0.25</v>
      </c>
      <c r="H1641" s="1" t="s">
        <v>275</v>
      </c>
      <c r="I1641" s="1">
        <v>4.0</v>
      </c>
      <c r="J1641" s="1">
        <v>0.0</v>
      </c>
    </row>
    <row r="1642">
      <c r="A1642" s="1">
        <v>2.0</v>
      </c>
      <c r="B1642" s="1">
        <v>7.0</v>
      </c>
      <c r="C1642" s="1">
        <v>1.0</v>
      </c>
      <c r="D1642" s="1">
        <v>2.0</v>
      </c>
      <c r="E1642" s="1">
        <v>0.0</v>
      </c>
      <c r="F1642" s="1">
        <v>0.0</v>
      </c>
      <c r="G1642" s="2">
        <v>1.0</v>
      </c>
      <c r="H1642" s="1" t="s">
        <v>276</v>
      </c>
      <c r="I1642" s="1">
        <v>4.0</v>
      </c>
      <c r="J1642" s="1">
        <v>0.0</v>
      </c>
    </row>
    <row r="1643">
      <c r="A1643" s="1">
        <v>2.0</v>
      </c>
      <c r="B1643" s="1">
        <v>8.0</v>
      </c>
      <c r="C1643" s="1">
        <v>0.0</v>
      </c>
      <c r="D1643" s="1">
        <v>0.0</v>
      </c>
      <c r="E1643" s="1">
        <v>0.0</v>
      </c>
      <c r="F1643" s="1">
        <v>0.0</v>
      </c>
      <c r="G1643" s="2">
        <v>0.0</v>
      </c>
      <c r="H1643" s="1" t="s">
        <v>276</v>
      </c>
      <c r="I1643" s="1">
        <v>0.0</v>
      </c>
      <c r="J1643" s="1">
        <v>0.0</v>
      </c>
    </row>
    <row r="1644">
      <c r="A1644" s="1">
        <v>1.0</v>
      </c>
      <c r="B1644" s="1">
        <v>4.0</v>
      </c>
      <c r="C1644" s="1">
        <v>1.0</v>
      </c>
      <c r="D1644" s="1">
        <v>0.0</v>
      </c>
      <c r="E1644" s="1">
        <v>0.0</v>
      </c>
      <c r="F1644" s="1">
        <v>0.0</v>
      </c>
      <c r="G1644" s="2">
        <v>0.0</v>
      </c>
      <c r="H1644" s="1" t="s">
        <v>277</v>
      </c>
      <c r="I1644" s="1">
        <v>0.0</v>
      </c>
      <c r="J1644" s="1">
        <v>0.0</v>
      </c>
    </row>
    <row r="1645">
      <c r="A1645" s="1">
        <v>4.0</v>
      </c>
      <c r="B1645" s="1">
        <v>16.0</v>
      </c>
      <c r="C1645" s="1">
        <v>4.0</v>
      </c>
      <c r="D1645" s="1">
        <v>-1.0</v>
      </c>
      <c r="E1645" s="1">
        <v>0.25</v>
      </c>
      <c r="F1645" s="1">
        <v>0.0</v>
      </c>
      <c r="G1645" s="2">
        <v>0.0</v>
      </c>
      <c r="H1645" s="1" t="s">
        <v>277</v>
      </c>
      <c r="I1645" s="1">
        <v>-4.0</v>
      </c>
      <c r="J1645" s="1">
        <v>1.0</v>
      </c>
    </row>
    <row r="1646">
      <c r="A1646" s="1">
        <v>1.0</v>
      </c>
      <c r="B1646" s="1">
        <v>4.0</v>
      </c>
      <c r="C1646" s="1">
        <v>0.0</v>
      </c>
      <c r="D1646" s="1">
        <v>0.0</v>
      </c>
      <c r="E1646" s="1">
        <v>0.0</v>
      </c>
      <c r="F1646" s="1">
        <v>0.0</v>
      </c>
      <c r="G1646" s="2">
        <v>0.0</v>
      </c>
      <c r="H1646" s="1" t="s">
        <v>172</v>
      </c>
      <c r="I1646" s="1">
        <v>0.0</v>
      </c>
      <c r="J1646" s="1">
        <v>0.0</v>
      </c>
    </row>
    <row r="1647">
      <c r="A1647" s="1">
        <v>3.0</v>
      </c>
      <c r="B1647" s="1">
        <v>12.0</v>
      </c>
      <c r="C1647" s="1">
        <v>1.0</v>
      </c>
      <c r="D1647" s="1">
        <v>1.33</v>
      </c>
      <c r="E1647" s="1">
        <v>0.0</v>
      </c>
      <c r="F1647" s="1">
        <v>0.0</v>
      </c>
      <c r="G1647" s="2">
        <v>1.0</v>
      </c>
      <c r="H1647" s="1" t="s">
        <v>172</v>
      </c>
      <c r="I1647" s="1">
        <v>4.0</v>
      </c>
      <c r="J1647" s="1">
        <v>0.0</v>
      </c>
    </row>
    <row r="1648">
      <c r="A1648" s="1">
        <v>1.0</v>
      </c>
      <c r="B1648" s="1">
        <v>4.0</v>
      </c>
      <c r="C1648" s="1">
        <v>1.0</v>
      </c>
      <c r="D1648" s="1">
        <v>-4.0</v>
      </c>
      <c r="E1648" s="1">
        <v>1.0</v>
      </c>
      <c r="F1648" s="1">
        <v>0.0</v>
      </c>
      <c r="G1648" s="2">
        <v>0.0</v>
      </c>
      <c r="H1648" s="1" t="s">
        <v>279</v>
      </c>
      <c r="I1648" s="1">
        <v>-4.0</v>
      </c>
      <c r="J1648" s="1">
        <v>1.0</v>
      </c>
    </row>
    <row r="1649">
      <c r="A1649" s="1">
        <v>4.0</v>
      </c>
      <c r="B1649" s="1">
        <v>16.0</v>
      </c>
      <c r="C1649" s="1">
        <v>2.0</v>
      </c>
      <c r="D1649" s="1">
        <v>2.0</v>
      </c>
      <c r="E1649" s="1">
        <v>0.0</v>
      </c>
      <c r="F1649" s="1">
        <v>0.0</v>
      </c>
      <c r="G1649" s="2">
        <v>1.0</v>
      </c>
      <c r="H1649" s="1" t="s">
        <v>279</v>
      </c>
      <c r="I1649" s="1">
        <v>8.0</v>
      </c>
      <c r="J1649" s="1">
        <v>0.0</v>
      </c>
    </row>
    <row r="1650">
      <c r="A1650" s="1">
        <v>1.0</v>
      </c>
      <c r="B1650" s="1">
        <v>4.0</v>
      </c>
      <c r="C1650" s="1">
        <v>1.0</v>
      </c>
      <c r="D1650" s="1">
        <v>-4.0</v>
      </c>
      <c r="E1650" s="1">
        <v>1.0</v>
      </c>
      <c r="F1650" s="1">
        <v>0.0</v>
      </c>
      <c r="G1650" s="2">
        <v>0.0</v>
      </c>
      <c r="H1650" s="1" t="s">
        <v>280</v>
      </c>
      <c r="I1650" s="1">
        <v>-4.0</v>
      </c>
      <c r="J1650" s="1">
        <v>1.0</v>
      </c>
    </row>
    <row r="1651">
      <c r="A1651" s="1">
        <v>1.0</v>
      </c>
      <c r="B1651" s="1">
        <v>4.0</v>
      </c>
      <c r="C1651" s="1">
        <v>2.0</v>
      </c>
      <c r="D1651" s="1">
        <v>8.0</v>
      </c>
      <c r="E1651" s="1">
        <v>0.0</v>
      </c>
      <c r="F1651" s="1">
        <v>0.0</v>
      </c>
      <c r="G1651" s="2">
        <v>1.0</v>
      </c>
      <c r="H1651" s="1" t="s">
        <v>281</v>
      </c>
      <c r="I1651" s="1">
        <v>8.0</v>
      </c>
      <c r="J1651" s="1">
        <v>0.0</v>
      </c>
    </row>
    <row r="1652">
      <c r="A1652" s="1">
        <v>4.0</v>
      </c>
      <c r="B1652" s="1">
        <v>16.0</v>
      </c>
      <c r="C1652" s="1">
        <v>4.0</v>
      </c>
      <c r="D1652" s="1">
        <v>1.0</v>
      </c>
      <c r="E1652" s="1">
        <v>0.25</v>
      </c>
      <c r="F1652" s="1">
        <v>0.0</v>
      </c>
      <c r="G1652" s="2">
        <v>0.5</v>
      </c>
      <c r="H1652" s="1" t="s">
        <v>281</v>
      </c>
      <c r="I1652" s="1">
        <v>4.0</v>
      </c>
      <c r="J1652" s="1">
        <v>1.0</v>
      </c>
    </row>
    <row r="1653">
      <c r="A1653" s="1">
        <v>2.0</v>
      </c>
      <c r="B1653" s="1">
        <v>8.0</v>
      </c>
      <c r="C1653" s="1">
        <v>3.0</v>
      </c>
      <c r="D1653" s="1">
        <v>6.0</v>
      </c>
      <c r="E1653" s="1">
        <v>0.0</v>
      </c>
      <c r="F1653" s="1">
        <v>0.0</v>
      </c>
      <c r="G1653" s="2">
        <v>1.0</v>
      </c>
      <c r="H1653" s="1" t="s">
        <v>282</v>
      </c>
      <c r="I1653" s="1">
        <v>12.0</v>
      </c>
      <c r="J1653" s="1">
        <v>0.0</v>
      </c>
    </row>
    <row r="1654">
      <c r="A1654" s="1">
        <v>1.0</v>
      </c>
      <c r="B1654" s="1">
        <v>4.0</v>
      </c>
      <c r="C1654" s="1">
        <v>1.0</v>
      </c>
      <c r="D1654" s="1">
        <v>0.0</v>
      </c>
      <c r="E1654" s="1">
        <v>0.0</v>
      </c>
      <c r="F1654" s="1">
        <v>0.0</v>
      </c>
      <c r="G1654" s="2">
        <v>0.0</v>
      </c>
      <c r="H1654" s="1" t="s">
        <v>282</v>
      </c>
      <c r="I1654" s="1">
        <v>0.0</v>
      </c>
      <c r="J1654" s="1">
        <v>0.0</v>
      </c>
    </row>
    <row r="1655">
      <c r="A1655" s="1">
        <v>3.0</v>
      </c>
      <c r="B1655" s="1">
        <v>12.0</v>
      </c>
      <c r="C1655" s="1">
        <v>0.0</v>
      </c>
      <c r="D1655" s="1">
        <v>0.0</v>
      </c>
      <c r="E1655" s="1">
        <v>0.0</v>
      </c>
      <c r="F1655" s="1">
        <v>0.0</v>
      </c>
      <c r="G1655" s="2">
        <v>0.0</v>
      </c>
      <c r="H1655" s="1" t="s">
        <v>283</v>
      </c>
      <c r="I1655" s="1">
        <v>0.0</v>
      </c>
      <c r="J1655" s="1">
        <v>0.0</v>
      </c>
    </row>
    <row r="1656">
      <c r="A1656" s="1">
        <v>1.0</v>
      </c>
      <c r="B1656" s="1">
        <v>4.0</v>
      </c>
      <c r="C1656" s="1">
        <v>0.0</v>
      </c>
      <c r="D1656" s="1">
        <v>0.0</v>
      </c>
      <c r="E1656" s="1">
        <v>0.0</v>
      </c>
      <c r="F1656" s="1">
        <v>0.0</v>
      </c>
      <c r="G1656" s="2">
        <v>0.0</v>
      </c>
      <c r="H1656" s="1" t="s">
        <v>283</v>
      </c>
      <c r="I1656" s="1">
        <v>0.0</v>
      </c>
      <c r="J1656" s="1">
        <v>0.0</v>
      </c>
    </row>
    <row r="1657">
      <c r="A1657" s="1">
        <v>1.0</v>
      </c>
      <c r="B1657" s="1">
        <v>4.0</v>
      </c>
      <c r="C1657" s="1">
        <v>0.0</v>
      </c>
      <c r="D1657" s="1">
        <v>0.0</v>
      </c>
      <c r="E1657" s="1">
        <v>0.0</v>
      </c>
      <c r="F1657" s="1">
        <v>0.0</v>
      </c>
      <c r="G1657" s="2">
        <v>0.0</v>
      </c>
      <c r="H1657" s="1" t="s">
        <v>284</v>
      </c>
      <c r="I1657" s="1">
        <v>0.0</v>
      </c>
      <c r="J1657" s="1">
        <v>0.0</v>
      </c>
    </row>
    <row r="1658">
      <c r="A1658" s="1">
        <v>1.0</v>
      </c>
      <c r="B1658" s="1">
        <v>4.0</v>
      </c>
      <c r="C1658" s="1">
        <v>0.0</v>
      </c>
      <c r="D1658" s="1">
        <v>0.0</v>
      </c>
      <c r="E1658" s="1">
        <v>0.0</v>
      </c>
      <c r="F1658" s="1">
        <v>0.0</v>
      </c>
      <c r="G1658" s="2">
        <v>0.0</v>
      </c>
      <c r="H1658" s="1" t="s">
        <v>284</v>
      </c>
      <c r="I1658" s="1">
        <v>0.0</v>
      </c>
      <c r="J1658" s="1">
        <v>0.0</v>
      </c>
    </row>
    <row r="1659">
      <c r="A1659" s="1">
        <v>1.0</v>
      </c>
      <c r="B1659" s="1">
        <v>3.0</v>
      </c>
      <c r="C1659" s="1">
        <v>3.0</v>
      </c>
      <c r="D1659" s="1">
        <v>4.0</v>
      </c>
      <c r="E1659" s="1">
        <v>1.0</v>
      </c>
      <c r="F1659" s="1">
        <v>0.0</v>
      </c>
      <c r="G1659" s="6">
        <v>0.667</v>
      </c>
      <c r="H1659" s="1" t="s">
        <v>52</v>
      </c>
      <c r="I1659" s="1">
        <v>4.0</v>
      </c>
      <c r="J1659" s="1">
        <v>1.0</v>
      </c>
    </row>
    <row r="1660">
      <c r="A1660" s="1">
        <v>3.0</v>
      </c>
      <c r="B1660" s="1">
        <v>12.0</v>
      </c>
      <c r="C1660" s="1">
        <v>6.0</v>
      </c>
      <c r="D1660" s="1">
        <v>1.33</v>
      </c>
      <c r="E1660" s="1">
        <v>0.67</v>
      </c>
      <c r="F1660" s="1">
        <v>0.0</v>
      </c>
      <c r="G1660" s="2">
        <v>0.5</v>
      </c>
      <c r="H1660" s="1" t="s">
        <v>52</v>
      </c>
      <c r="I1660" s="1">
        <v>4.0</v>
      </c>
      <c r="J1660" s="1">
        <v>2.0</v>
      </c>
    </row>
    <row r="1661">
      <c r="A1661" s="1">
        <v>1.0</v>
      </c>
      <c r="B1661" s="1">
        <v>4.0</v>
      </c>
      <c r="C1661" s="1">
        <v>2.0</v>
      </c>
      <c r="D1661" s="1">
        <v>8.0</v>
      </c>
      <c r="E1661" s="1">
        <v>0.0</v>
      </c>
      <c r="F1661" s="1">
        <v>0.0</v>
      </c>
      <c r="G1661" s="2">
        <v>1.0</v>
      </c>
      <c r="H1661" s="1" t="s">
        <v>52</v>
      </c>
      <c r="I1661" s="1">
        <v>8.0</v>
      </c>
      <c r="J1661" s="1">
        <v>0.0</v>
      </c>
    </row>
    <row r="1662">
      <c r="A1662" s="1">
        <v>1.0</v>
      </c>
      <c r="B1662" s="1">
        <v>4.0</v>
      </c>
      <c r="C1662" s="1">
        <v>1.0</v>
      </c>
      <c r="D1662" s="1">
        <v>4.0</v>
      </c>
      <c r="E1662" s="1">
        <v>0.0</v>
      </c>
      <c r="F1662" s="1">
        <v>0.0</v>
      </c>
      <c r="G1662" s="2">
        <v>1.0</v>
      </c>
      <c r="H1662" s="1" t="s">
        <v>223</v>
      </c>
      <c r="I1662" s="1">
        <v>4.0</v>
      </c>
      <c r="J1662" s="1">
        <v>0.0</v>
      </c>
    </row>
    <row r="1663">
      <c r="A1663" s="1">
        <v>1.0</v>
      </c>
      <c r="B1663" s="1">
        <v>4.0</v>
      </c>
      <c r="C1663" s="1">
        <v>2.0</v>
      </c>
      <c r="D1663" s="1">
        <v>0.0</v>
      </c>
      <c r="E1663" s="1">
        <v>1.0</v>
      </c>
      <c r="F1663" s="1">
        <v>0.0</v>
      </c>
      <c r="G1663" s="2">
        <v>0.5</v>
      </c>
      <c r="H1663" s="1" t="s">
        <v>223</v>
      </c>
      <c r="I1663" s="1">
        <v>0.0</v>
      </c>
      <c r="J1663" s="1">
        <v>1.0</v>
      </c>
    </row>
    <row r="1664">
      <c r="A1664" s="1">
        <v>1.0</v>
      </c>
      <c r="B1664" s="1">
        <v>4.0</v>
      </c>
      <c r="C1664" s="1">
        <v>0.0</v>
      </c>
      <c r="D1664" s="1">
        <v>0.0</v>
      </c>
      <c r="E1664" s="1">
        <v>0.0</v>
      </c>
      <c r="F1664" s="1">
        <v>0.0</v>
      </c>
      <c r="G1664" s="2">
        <v>0.0</v>
      </c>
      <c r="H1664" s="1" t="s">
        <v>223</v>
      </c>
      <c r="I1664" s="1">
        <v>0.0</v>
      </c>
      <c r="J1664" s="1">
        <v>0.0</v>
      </c>
    </row>
    <row r="1665">
      <c r="A1665" s="1">
        <v>1.0</v>
      </c>
      <c r="B1665" s="1">
        <v>3.0</v>
      </c>
      <c r="C1665" s="1">
        <v>2.0</v>
      </c>
      <c r="D1665" s="1">
        <v>4.0</v>
      </c>
      <c r="E1665" s="1">
        <v>0.0</v>
      </c>
      <c r="F1665" s="1">
        <v>0.0</v>
      </c>
      <c r="G1665" s="2">
        <v>0.5</v>
      </c>
      <c r="H1665" s="1" t="s">
        <v>223</v>
      </c>
      <c r="I1665" s="1">
        <v>4.0</v>
      </c>
      <c r="J1665" s="1">
        <v>0.0</v>
      </c>
    </row>
    <row r="1666">
      <c r="A1666" s="1">
        <v>1.0</v>
      </c>
      <c r="B1666" s="1">
        <v>4.0</v>
      </c>
      <c r="C1666" s="1">
        <v>2.0</v>
      </c>
      <c r="D1666" s="1">
        <v>-8.0</v>
      </c>
      <c r="E1666" s="1">
        <v>2.0</v>
      </c>
      <c r="F1666" s="1">
        <v>0.0</v>
      </c>
      <c r="G1666" s="2">
        <v>0.0</v>
      </c>
      <c r="H1666" s="1" t="s">
        <v>207</v>
      </c>
      <c r="I1666" s="1">
        <v>-8.0</v>
      </c>
      <c r="J1666" s="1">
        <v>2.0</v>
      </c>
    </row>
    <row r="1667">
      <c r="A1667" s="1">
        <v>1.0</v>
      </c>
      <c r="B1667" s="1">
        <v>4.0</v>
      </c>
      <c r="C1667" s="1">
        <v>3.0</v>
      </c>
      <c r="D1667" s="1">
        <v>4.0</v>
      </c>
      <c r="E1667" s="1">
        <v>0.0</v>
      </c>
      <c r="F1667" s="1">
        <v>0.0</v>
      </c>
      <c r="G1667" s="6">
        <v>0.333</v>
      </c>
      <c r="H1667" s="1" t="s">
        <v>207</v>
      </c>
      <c r="I1667" s="1">
        <v>4.0</v>
      </c>
      <c r="J1667" s="1">
        <v>0.0</v>
      </c>
    </row>
    <row r="1668">
      <c r="A1668" s="1">
        <v>1.0</v>
      </c>
      <c r="B1668" s="1">
        <v>4.0</v>
      </c>
      <c r="C1668" s="1">
        <v>0.0</v>
      </c>
      <c r="D1668" s="1">
        <v>0.0</v>
      </c>
      <c r="E1668" s="1">
        <v>0.0</v>
      </c>
      <c r="F1668" s="1">
        <v>0.0</v>
      </c>
      <c r="G1668" s="2">
        <v>0.0</v>
      </c>
      <c r="H1668" s="1" t="s">
        <v>207</v>
      </c>
      <c r="I1668" s="1">
        <v>0.0</v>
      </c>
      <c r="J1668" s="1">
        <v>0.0</v>
      </c>
    </row>
    <row r="1669">
      <c r="A1669" s="1">
        <v>2.0</v>
      </c>
      <c r="B1669" s="1">
        <v>7.0</v>
      </c>
      <c r="C1669" s="1">
        <v>3.0</v>
      </c>
      <c r="D1669" s="1">
        <v>-4.0</v>
      </c>
      <c r="E1669" s="1">
        <v>1.0</v>
      </c>
      <c r="F1669" s="1">
        <v>0.0</v>
      </c>
      <c r="G1669" s="2">
        <v>0.0</v>
      </c>
      <c r="H1669" s="1" t="s">
        <v>207</v>
      </c>
      <c r="I1669" s="1">
        <v>-8.0</v>
      </c>
      <c r="J1669" s="1">
        <v>2.0</v>
      </c>
    </row>
    <row r="1670">
      <c r="A1670" s="1">
        <v>1.0</v>
      </c>
      <c r="B1670" s="1">
        <v>4.0</v>
      </c>
      <c r="C1670" s="1">
        <v>1.0</v>
      </c>
      <c r="D1670" s="1">
        <v>-4.0</v>
      </c>
      <c r="E1670" s="1">
        <v>1.0</v>
      </c>
      <c r="F1670" s="1">
        <v>0.0</v>
      </c>
      <c r="G1670" s="2">
        <v>0.0</v>
      </c>
      <c r="H1670" s="1" t="s">
        <v>288</v>
      </c>
      <c r="I1670" s="1">
        <v>-4.0</v>
      </c>
      <c r="J1670" s="1">
        <v>1.0</v>
      </c>
    </row>
    <row r="1671">
      <c r="A1671" s="1">
        <v>1.0</v>
      </c>
      <c r="B1671" s="1">
        <v>4.0</v>
      </c>
      <c r="C1671" s="1">
        <v>0.0</v>
      </c>
      <c r="D1671" s="1">
        <v>0.0</v>
      </c>
      <c r="E1671" s="1">
        <v>0.0</v>
      </c>
      <c r="F1671" s="1">
        <v>0.0</v>
      </c>
      <c r="G1671" s="2">
        <v>0.0</v>
      </c>
      <c r="H1671" s="1" t="s">
        <v>245</v>
      </c>
      <c r="I1671" s="1">
        <v>0.0</v>
      </c>
      <c r="J1671" s="1">
        <v>0.0</v>
      </c>
    </row>
    <row r="1672">
      <c r="A1672" s="1">
        <v>1.0</v>
      </c>
      <c r="B1672" s="1">
        <v>4.0</v>
      </c>
      <c r="C1672" s="1">
        <v>1.0</v>
      </c>
      <c r="D1672" s="1">
        <v>4.0</v>
      </c>
      <c r="E1672" s="1">
        <v>0.0</v>
      </c>
      <c r="F1672" s="1">
        <v>0.0</v>
      </c>
      <c r="G1672" s="2">
        <v>1.0</v>
      </c>
      <c r="H1672" s="1" t="s">
        <v>245</v>
      </c>
      <c r="I1672" s="1">
        <v>4.0</v>
      </c>
      <c r="J1672" s="1">
        <v>0.0</v>
      </c>
    </row>
    <row r="1673">
      <c r="A1673" s="1">
        <v>1.0</v>
      </c>
      <c r="B1673" s="1">
        <v>4.0</v>
      </c>
      <c r="C1673" s="1">
        <v>2.0</v>
      </c>
      <c r="D1673" s="1">
        <v>-4.0</v>
      </c>
      <c r="E1673" s="1">
        <v>1.0</v>
      </c>
      <c r="F1673" s="1">
        <v>0.0</v>
      </c>
      <c r="G1673" s="2">
        <v>0.0</v>
      </c>
      <c r="H1673" s="1" t="s">
        <v>245</v>
      </c>
      <c r="I1673" s="1">
        <v>-4.0</v>
      </c>
      <c r="J1673" s="1">
        <v>1.0</v>
      </c>
    </row>
    <row r="1674">
      <c r="A1674" s="1">
        <v>1.0</v>
      </c>
      <c r="B1674" s="1">
        <v>4.0</v>
      </c>
      <c r="C1674" s="1">
        <v>0.0</v>
      </c>
      <c r="D1674" s="1">
        <v>0.0</v>
      </c>
      <c r="E1674" s="1">
        <v>0.0</v>
      </c>
      <c r="F1674" s="1">
        <v>0.0</v>
      </c>
      <c r="G1674" s="2">
        <v>0.0</v>
      </c>
      <c r="H1674" s="1" t="s">
        <v>290</v>
      </c>
      <c r="I1674" s="1">
        <v>0.0</v>
      </c>
      <c r="J1674" s="1">
        <v>0.0</v>
      </c>
    </row>
    <row r="1675">
      <c r="A1675" s="1">
        <v>4.0</v>
      </c>
      <c r="B1675" s="1">
        <v>15.0</v>
      </c>
      <c r="C1675" s="1">
        <v>5.0</v>
      </c>
      <c r="D1675" s="1">
        <v>1.0</v>
      </c>
      <c r="E1675" s="1">
        <v>0.0</v>
      </c>
      <c r="F1675" s="1">
        <v>0.0</v>
      </c>
      <c r="G1675" s="2">
        <v>0.2</v>
      </c>
      <c r="H1675" s="1" t="s">
        <v>291</v>
      </c>
      <c r="I1675" s="1">
        <v>4.0</v>
      </c>
      <c r="J1675" s="1">
        <v>0.0</v>
      </c>
    </row>
    <row r="1676">
      <c r="A1676" s="1">
        <v>5.0</v>
      </c>
      <c r="B1676" s="1">
        <v>19.0</v>
      </c>
      <c r="C1676" s="1">
        <v>0.0</v>
      </c>
      <c r="D1676" s="1">
        <v>0.0</v>
      </c>
      <c r="E1676" s="1">
        <v>0.0</v>
      </c>
      <c r="F1676" s="1">
        <v>0.0</v>
      </c>
      <c r="G1676" s="2">
        <v>0.0</v>
      </c>
      <c r="H1676" s="1" t="s">
        <v>267</v>
      </c>
      <c r="I1676" s="1">
        <v>0.0</v>
      </c>
      <c r="J1676" s="1">
        <v>0.0</v>
      </c>
    </row>
    <row r="1677">
      <c r="A1677" s="1">
        <v>5.0</v>
      </c>
      <c r="B1677" s="1">
        <v>19.0</v>
      </c>
      <c r="C1677" s="1">
        <v>11.0</v>
      </c>
      <c r="D1677" s="1">
        <v>-0.8</v>
      </c>
      <c r="E1677" s="1">
        <v>0.6</v>
      </c>
      <c r="F1677" s="1">
        <v>0.0</v>
      </c>
      <c r="G1677" s="6">
        <v>0.182</v>
      </c>
      <c r="H1677" s="1" t="s">
        <v>98</v>
      </c>
      <c r="I1677" s="1">
        <v>-4.0</v>
      </c>
      <c r="J1677" s="1">
        <v>3.0</v>
      </c>
    </row>
    <row r="1678">
      <c r="A1678" s="1">
        <v>1.0</v>
      </c>
      <c r="B1678" s="1">
        <v>4.0</v>
      </c>
      <c r="C1678" s="1">
        <v>3.0</v>
      </c>
      <c r="D1678" s="1">
        <v>-4.0</v>
      </c>
      <c r="E1678" s="1">
        <v>2.0</v>
      </c>
      <c r="F1678" s="1">
        <v>0.0</v>
      </c>
      <c r="G1678" s="6">
        <v>0.333</v>
      </c>
      <c r="H1678" s="1" t="s">
        <v>106</v>
      </c>
      <c r="I1678" s="1">
        <v>-4.0</v>
      </c>
      <c r="J1678" s="1">
        <v>2.0</v>
      </c>
    </row>
    <row r="1679">
      <c r="A1679" s="1">
        <v>3.0</v>
      </c>
      <c r="B1679" s="1">
        <v>12.0</v>
      </c>
      <c r="C1679" s="1">
        <v>12.0</v>
      </c>
      <c r="D1679" s="1">
        <v>6.67</v>
      </c>
      <c r="E1679" s="1">
        <v>0.33</v>
      </c>
      <c r="F1679" s="1">
        <v>0.0</v>
      </c>
      <c r="G1679" s="2">
        <v>0.5</v>
      </c>
      <c r="H1679" s="1" t="s">
        <v>106</v>
      </c>
      <c r="I1679" s="1">
        <v>20.0</v>
      </c>
      <c r="J1679" s="1">
        <v>1.0</v>
      </c>
    </row>
    <row r="1680">
      <c r="A1680" s="1">
        <v>1.0</v>
      </c>
      <c r="B1680" s="1">
        <v>4.0</v>
      </c>
      <c r="C1680" s="1">
        <v>3.0</v>
      </c>
      <c r="D1680" s="1">
        <v>12.0</v>
      </c>
      <c r="E1680" s="1">
        <v>0.0</v>
      </c>
      <c r="F1680" s="1">
        <v>0.0</v>
      </c>
      <c r="G1680" s="2">
        <v>1.0</v>
      </c>
      <c r="H1680" s="1" t="s">
        <v>106</v>
      </c>
      <c r="I1680" s="1">
        <v>12.0</v>
      </c>
      <c r="J1680" s="1">
        <v>0.0</v>
      </c>
    </row>
    <row r="1681">
      <c r="A1681" s="1">
        <v>2.0</v>
      </c>
      <c r="B1681" s="1">
        <v>8.0</v>
      </c>
      <c r="C1681" s="1">
        <v>0.0</v>
      </c>
      <c r="D1681" s="1">
        <v>0.0</v>
      </c>
      <c r="E1681" s="1">
        <v>0.0</v>
      </c>
      <c r="F1681" s="1">
        <v>0.0</v>
      </c>
      <c r="G1681" s="2">
        <v>0.0</v>
      </c>
      <c r="H1681" s="1" t="s">
        <v>292</v>
      </c>
      <c r="I1681" s="1">
        <v>0.0</v>
      </c>
      <c r="J1681" s="1">
        <v>0.0</v>
      </c>
    </row>
    <row r="1682">
      <c r="A1682" s="1">
        <v>1.0</v>
      </c>
      <c r="B1682" s="1">
        <v>4.0</v>
      </c>
      <c r="C1682" s="1">
        <v>0.0</v>
      </c>
      <c r="D1682" s="1">
        <v>0.0</v>
      </c>
      <c r="E1682" s="1">
        <v>0.0</v>
      </c>
      <c r="F1682" s="1">
        <v>0.0</v>
      </c>
      <c r="G1682" s="2">
        <v>0.0</v>
      </c>
      <c r="H1682" s="1" t="s">
        <v>269</v>
      </c>
      <c r="I1682" s="1">
        <v>0.0</v>
      </c>
      <c r="J1682" s="1">
        <v>0.0</v>
      </c>
    </row>
    <row r="1683">
      <c r="A1683" s="1">
        <v>3.0</v>
      </c>
      <c r="B1683" s="1">
        <v>12.0</v>
      </c>
      <c r="C1683" s="1">
        <v>0.0</v>
      </c>
      <c r="D1683" s="1">
        <v>0.0</v>
      </c>
      <c r="E1683" s="1">
        <v>0.0</v>
      </c>
      <c r="F1683" s="1">
        <v>0.0</v>
      </c>
      <c r="G1683" s="2">
        <v>0.0</v>
      </c>
      <c r="H1683" s="1" t="s">
        <v>269</v>
      </c>
      <c r="I1683" s="1">
        <v>0.0</v>
      </c>
      <c r="J1683" s="1">
        <v>0.0</v>
      </c>
    </row>
    <row r="1684">
      <c r="A1684" s="1">
        <v>1.0</v>
      </c>
      <c r="B1684" s="1">
        <v>4.0</v>
      </c>
      <c r="C1684" s="1">
        <v>1.0</v>
      </c>
      <c r="D1684" s="1">
        <v>4.0</v>
      </c>
      <c r="E1684" s="1">
        <v>0.0</v>
      </c>
      <c r="F1684" s="1">
        <v>0.0</v>
      </c>
      <c r="G1684" s="2">
        <v>1.0</v>
      </c>
      <c r="H1684" s="1" t="s">
        <v>269</v>
      </c>
      <c r="I1684" s="1">
        <v>4.0</v>
      </c>
      <c r="J1684" s="1">
        <v>0.0</v>
      </c>
    </row>
    <row r="1685">
      <c r="A1685" s="1">
        <v>1.0</v>
      </c>
      <c r="B1685" s="1">
        <v>4.0</v>
      </c>
      <c r="C1685" s="1">
        <v>0.0</v>
      </c>
      <c r="D1685" s="1">
        <v>0.0</v>
      </c>
      <c r="E1685" s="1">
        <v>0.0</v>
      </c>
      <c r="F1685" s="1">
        <v>0.0</v>
      </c>
      <c r="G1685" s="2">
        <v>0.0</v>
      </c>
      <c r="H1685" s="1" t="s">
        <v>293</v>
      </c>
      <c r="I1685" s="1">
        <v>0.0</v>
      </c>
      <c r="J1685" s="1">
        <v>0.0</v>
      </c>
    </row>
    <row r="1686">
      <c r="A1686" s="1">
        <v>3.0</v>
      </c>
      <c r="B1686" s="1">
        <v>12.0</v>
      </c>
      <c r="C1686" s="1">
        <v>0.0</v>
      </c>
      <c r="D1686" s="1">
        <v>0.0</v>
      </c>
      <c r="E1686" s="1">
        <v>0.0</v>
      </c>
      <c r="F1686" s="1">
        <v>0.0</v>
      </c>
      <c r="G1686" s="2">
        <v>0.0</v>
      </c>
      <c r="H1686" s="1" t="s">
        <v>293</v>
      </c>
      <c r="I1686" s="1">
        <v>0.0</v>
      </c>
      <c r="J1686" s="1">
        <v>0.0</v>
      </c>
    </row>
    <row r="1687">
      <c r="A1687" s="1">
        <v>1.0</v>
      </c>
      <c r="B1687" s="1">
        <v>4.0</v>
      </c>
      <c r="C1687" s="1">
        <v>0.0</v>
      </c>
      <c r="D1687" s="1">
        <v>0.0</v>
      </c>
      <c r="E1687" s="1">
        <v>0.0</v>
      </c>
      <c r="F1687" s="1">
        <v>0.0</v>
      </c>
      <c r="G1687" s="2">
        <v>0.0</v>
      </c>
      <c r="H1687" s="1" t="s">
        <v>293</v>
      </c>
      <c r="I1687" s="1">
        <v>0.0</v>
      </c>
      <c r="J1687" s="1">
        <v>0.0</v>
      </c>
    </row>
    <row r="1688">
      <c r="A1688" s="1">
        <v>5.0</v>
      </c>
      <c r="B1688" s="1">
        <v>20.0</v>
      </c>
      <c r="C1688" s="1">
        <v>0.0</v>
      </c>
      <c r="D1688" s="1">
        <v>0.0</v>
      </c>
      <c r="E1688" s="1">
        <v>0.0</v>
      </c>
      <c r="F1688" s="1">
        <v>0.0</v>
      </c>
      <c r="G1688" s="2">
        <v>0.0</v>
      </c>
      <c r="H1688" s="1" t="s">
        <v>285</v>
      </c>
      <c r="I1688" s="1">
        <v>0.0</v>
      </c>
      <c r="J1688" s="1">
        <v>0.0</v>
      </c>
    </row>
    <row r="1689">
      <c r="A1689" s="1">
        <v>1.0</v>
      </c>
      <c r="B1689" s="1">
        <v>4.0</v>
      </c>
      <c r="C1689" s="1">
        <v>0.0</v>
      </c>
      <c r="D1689" s="1">
        <v>0.0</v>
      </c>
      <c r="E1689" s="1">
        <v>0.0</v>
      </c>
      <c r="F1689" s="1">
        <v>0.0</v>
      </c>
      <c r="G1689" s="2">
        <v>0.0</v>
      </c>
      <c r="H1689" s="1" t="s">
        <v>246</v>
      </c>
      <c r="I1689" s="1">
        <v>0.0</v>
      </c>
      <c r="J1689" s="1">
        <v>0.0</v>
      </c>
    </row>
    <row r="1690">
      <c r="A1690" s="1">
        <v>4.0</v>
      </c>
      <c r="B1690" s="1">
        <v>16.0</v>
      </c>
      <c r="C1690" s="1">
        <v>2.0</v>
      </c>
      <c r="D1690" s="1">
        <v>-1.0</v>
      </c>
      <c r="E1690" s="1">
        <v>0.25</v>
      </c>
      <c r="F1690" s="1">
        <v>0.0</v>
      </c>
      <c r="G1690" s="2">
        <v>0.0</v>
      </c>
      <c r="H1690" s="1" t="s">
        <v>295</v>
      </c>
      <c r="I1690" s="1">
        <v>-4.0</v>
      </c>
      <c r="J1690" s="1">
        <v>1.0</v>
      </c>
    </row>
    <row r="1691">
      <c r="A1691" s="1">
        <v>5.0</v>
      </c>
      <c r="B1691" s="1">
        <v>20.0</v>
      </c>
      <c r="C1691" s="1">
        <v>15.0</v>
      </c>
      <c r="D1691" s="1">
        <v>2.4</v>
      </c>
      <c r="E1691" s="1">
        <v>0.2</v>
      </c>
      <c r="F1691" s="1">
        <v>0.0</v>
      </c>
      <c r="G1691" s="6">
        <v>0.267</v>
      </c>
      <c r="H1691" s="1" t="s">
        <v>286</v>
      </c>
      <c r="I1691" s="1">
        <v>12.0</v>
      </c>
      <c r="J1691" s="1">
        <v>1.0</v>
      </c>
    </row>
    <row r="1692">
      <c r="A1692" s="1">
        <v>5.0</v>
      </c>
      <c r="B1692" s="1">
        <v>20.0</v>
      </c>
      <c r="C1692" s="1">
        <v>1.0</v>
      </c>
      <c r="D1692" s="1">
        <v>0.0</v>
      </c>
      <c r="E1692" s="1">
        <v>0.0</v>
      </c>
      <c r="F1692" s="1">
        <v>0.0</v>
      </c>
      <c r="G1692" s="2">
        <v>0.0</v>
      </c>
      <c r="H1692" s="1" t="s">
        <v>297</v>
      </c>
      <c r="I1692" s="1">
        <v>0.0</v>
      </c>
      <c r="J1692" s="1">
        <v>0.0</v>
      </c>
    </row>
    <row r="1693">
      <c r="A1693" s="1">
        <v>3.0</v>
      </c>
      <c r="B1693" s="1">
        <v>11.0</v>
      </c>
      <c r="C1693" s="1">
        <v>2.0</v>
      </c>
      <c r="D1693" s="1">
        <v>1.33</v>
      </c>
      <c r="E1693" s="1">
        <v>0.0</v>
      </c>
      <c r="F1693" s="1">
        <v>0.0</v>
      </c>
      <c r="G1693" s="2">
        <v>0.5</v>
      </c>
      <c r="H1693" s="1" t="s">
        <v>298</v>
      </c>
      <c r="I1693" s="1">
        <v>4.0</v>
      </c>
      <c r="J1693" s="1">
        <v>0.0</v>
      </c>
    </row>
    <row r="1694">
      <c r="A1694" s="1">
        <v>4.0</v>
      </c>
      <c r="B1694" s="1">
        <v>15.0</v>
      </c>
      <c r="C1694" s="1">
        <v>1.0</v>
      </c>
      <c r="D1694" s="1">
        <v>0.0</v>
      </c>
      <c r="E1694" s="1">
        <v>0.0</v>
      </c>
      <c r="F1694" s="1">
        <v>0.0</v>
      </c>
      <c r="G1694" s="2">
        <v>0.0</v>
      </c>
      <c r="H1694" s="1" t="s">
        <v>296</v>
      </c>
      <c r="I1694" s="1">
        <v>0.0</v>
      </c>
      <c r="J1694" s="1">
        <v>0.0</v>
      </c>
    </row>
    <row r="1695">
      <c r="A1695" s="1">
        <v>4.0</v>
      </c>
      <c r="B1695" s="1">
        <v>15.0</v>
      </c>
      <c r="C1695" s="1">
        <v>2.0</v>
      </c>
      <c r="D1695" s="1">
        <v>1.0</v>
      </c>
      <c r="E1695" s="1">
        <v>0.0</v>
      </c>
      <c r="F1695" s="1">
        <v>0.0</v>
      </c>
      <c r="G1695" s="2">
        <v>0.5</v>
      </c>
      <c r="H1695" s="1" t="s">
        <v>175</v>
      </c>
      <c r="I1695" s="1">
        <v>4.0</v>
      </c>
      <c r="J1695" s="1">
        <v>0.0</v>
      </c>
    </row>
    <row r="1696">
      <c r="A1696" s="1">
        <v>4.0</v>
      </c>
      <c r="B1696" s="1">
        <v>15.0</v>
      </c>
      <c r="C1696" s="1">
        <v>1.0</v>
      </c>
      <c r="D1696" s="1">
        <v>-1.0</v>
      </c>
      <c r="E1696" s="1">
        <v>0.25</v>
      </c>
      <c r="F1696" s="1">
        <v>0.0</v>
      </c>
      <c r="G1696" s="2">
        <v>0.0</v>
      </c>
      <c r="H1696" s="1" t="s">
        <v>300</v>
      </c>
      <c r="I1696" s="1">
        <v>-4.0</v>
      </c>
      <c r="J1696" s="1">
        <v>1.0</v>
      </c>
    </row>
    <row r="1697">
      <c r="A1697" s="1">
        <v>4.0</v>
      </c>
      <c r="B1697" s="1">
        <v>16.0</v>
      </c>
      <c r="C1697" s="1">
        <v>1.0</v>
      </c>
      <c r="D1697" s="1">
        <v>0.0</v>
      </c>
      <c r="E1697" s="1">
        <v>0.0</v>
      </c>
      <c r="F1697" s="1">
        <v>0.0</v>
      </c>
      <c r="G1697" s="2">
        <v>0.0</v>
      </c>
      <c r="H1697" s="1" t="s">
        <v>271</v>
      </c>
      <c r="I1697" s="1">
        <v>0.0</v>
      </c>
      <c r="J1697" s="1">
        <v>0.0</v>
      </c>
    </row>
    <row r="1698">
      <c r="A1698" s="1">
        <v>1.0</v>
      </c>
      <c r="B1698" s="1">
        <v>4.0</v>
      </c>
      <c r="C1698" s="1">
        <v>0.0</v>
      </c>
      <c r="D1698" s="1">
        <v>0.0</v>
      </c>
      <c r="E1698" s="1">
        <v>0.0</v>
      </c>
      <c r="F1698" s="1">
        <v>0.0</v>
      </c>
      <c r="G1698" s="2">
        <v>0.0</v>
      </c>
      <c r="H1698" s="1" t="s">
        <v>271</v>
      </c>
      <c r="I1698" s="1">
        <v>0.0</v>
      </c>
      <c r="J1698" s="1">
        <v>0.0</v>
      </c>
    </row>
    <row r="1699">
      <c r="A1699" s="1">
        <v>4.0</v>
      </c>
      <c r="B1699" s="1">
        <v>16.0</v>
      </c>
      <c r="C1699" s="1">
        <v>4.0</v>
      </c>
      <c r="D1699" s="1">
        <v>4.0</v>
      </c>
      <c r="E1699" s="1">
        <v>0.0</v>
      </c>
      <c r="F1699" s="1">
        <v>0.0</v>
      </c>
      <c r="G1699" s="2">
        <v>1.0</v>
      </c>
      <c r="H1699" s="1" t="s">
        <v>249</v>
      </c>
      <c r="I1699" s="1">
        <v>16.0</v>
      </c>
      <c r="J1699" s="1">
        <v>0.0</v>
      </c>
    </row>
    <row r="1700">
      <c r="A1700" s="1">
        <v>1.0</v>
      </c>
      <c r="B1700" s="1">
        <v>4.0</v>
      </c>
      <c r="C1700" s="1">
        <v>0.0</v>
      </c>
      <c r="D1700" s="1">
        <v>0.0</v>
      </c>
      <c r="E1700" s="1">
        <v>0.0</v>
      </c>
      <c r="F1700" s="1">
        <v>0.0</v>
      </c>
      <c r="G1700" s="2">
        <v>0.0</v>
      </c>
      <c r="H1700" s="1" t="s">
        <v>249</v>
      </c>
      <c r="I1700" s="1">
        <v>0.0</v>
      </c>
      <c r="J1700" s="1">
        <v>0.0</v>
      </c>
    </row>
    <row r="1701">
      <c r="A1701" s="1">
        <v>4.0</v>
      </c>
      <c r="B1701" s="1">
        <v>16.0</v>
      </c>
      <c r="C1701" s="1">
        <v>4.0</v>
      </c>
      <c r="D1701" s="1">
        <v>1.0</v>
      </c>
      <c r="E1701" s="1">
        <v>0.25</v>
      </c>
      <c r="F1701" s="1">
        <v>0.0</v>
      </c>
      <c r="G1701" s="2">
        <v>0.5</v>
      </c>
      <c r="H1701" s="1" t="s">
        <v>272</v>
      </c>
      <c r="I1701" s="1">
        <v>4.0</v>
      </c>
      <c r="J1701" s="1">
        <v>1.0</v>
      </c>
    </row>
    <row r="1702">
      <c r="A1702" s="1">
        <v>1.0</v>
      </c>
      <c r="B1702" s="1">
        <v>4.0</v>
      </c>
      <c r="C1702" s="1">
        <v>3.0</v>
      </c>
      <c r="D1702" s="1">
        <v>0.0</v>
      </c>
      <c r="E1702" s="1">
        <v>0.0</v>
      </c>
      <c r="F1702" s="1">
        <v>0.0</v>
      </c>
      <c r="G1702" s="2">
        <v>0.0</v>
      </c>
      <c r="H1702" s="1" t="s">
        <v>272</v>
      </c>
      <c r="I1702" s="1">
        <v>0.0</v>
      </c>
      <c r="J1702" s="1">
        <v>0.0</v>
      </c>
    </row>
    <row r="1703">
      <c r="A1703" s="1">
        <v>4.0</v>
      </c>
      <c r="B1703" s="1">
        <v>15.0</v>
      </c>
      <c r="C1703" s="1">
        <v>11.0</v>
      </c>
      <c r="D1703" s="1">
        <v>6.0</v>
      </c>
      <c r="E1703" s="1">
        <v>0.0</v>
      </c>
      <c r="F1703" s="1">
        <v>0.0</v>
      </c>
      <c r="G1703" s="6">
        <v>0.545</v>
      </c>
      <c r="H1703" s="1" t="s">
        <v>138</v>
      </c>
      <c r="I1703" s="1">
        <v>24.0</v>
      </c>
      <c r="J1703" s="1">
        <v>0.0</v>
      </c>
    </row>
    <row r="1704">
      <c r="A1704" s="1">
        <v>1.0</v>
      </c>
      <c r="B1704" s="1">
        <v>4.0</v>
      </c>
      <c r="C1704" s="1">
        <v>1.0</v>
      </c>
      <c r="D1704" s="1">
        <v>-4.0</v>
      </c>
      <c r="E1704" s="1">
        <v>1.0</v>
      </c>
      <c r="F1704" s="1">
        <v>0.0</v>
      </c>
      <c r="G1704" s="2">
        <v>0.0</v>
      </c>
      <c r="H1704" s="1" t="s">
        <v>138</v>
      </c>
      <c r="I1704" s="1">
        <v>-4.0</v>
      </c>
      <c r="J1704" s="1">
        <v>1.0</v>
      </c>
    </row>
    <row r="1705">
      <c r="A1705" s="1">
        <v>2.0</v>
      </c>
      <c r="B1705" s="1">
        <v>8.0</v>
      </c>
      <c r="C1705" s="1">
        <v>2.0</v>
      </c>
      <c r="D1705" s="1">
        <v>4.0</v>
      </c>
      <c r="E1705" s="1">
        <v>0.0</v>
      </c>
      <c r="F1705" s="1">
        <v>0.0</v>
      </c>
      <c r="G1705" s="2">
        <v>1.0</v>
      </c>
      <c r="H1705" s="1" t="s">
        <v>303</v>
      </c>
      <c r="I1705" s="1">
        <v>8.0</v>
      </c>
      <c r="J1705" s="1">
        <v>0.0</v>
      </c>
    </row>
    <row r="1706">
      <c r="A1706" s="1">
        <v>4.0</v>
      </c>
      <c r="B1706" s="1">
        <v>15.0</v>
      </c>
      <c r="C1706" s="1">
        <v>0.0</v>
      </c>
      <c r="D1706" s="1">
        <v>0.0</v>
      </c>
      <c r="E1706" s="1">
        <v>0.0</v>
      </c>
      <c r="F1706" s="1">
        <v>0.0</v>
      </c>
      <c r="G1706" s="2">
        <v>0.0</v>
      </c>
      <c r="H1706" s="1" t="s">
        <v>304</v>
      </c>
      <c r="I1706" s="1">
        <v>0.0</v>
      </c>
      <c r="J1706" s="1">
        <v>0.0</v>
      </c>
    </row>
    <row r="1707">
      <c r="A1707" s="1">
        <v>1.0</v>
      </c>
      <c r="B1707" s="1">
        <v>4.0</v>
      </c>
      <c r="C1707" s="1">
        <v>0.0</v>
      </c>
      <c r="D1707" s="1">
        <v>0.0</v>
      </c>
      <c r="E1707" s="1">
        <v>0.0</v>
      </c>
      <c r="F1707" s="1">
        <v>0.0</v>
      </c>
      <c r="G1707" s="2">
        <v>0.0</v>
      </c>
      <c r="H1707" s="1" t="s">
        <v>305</v>
      </c>
      <c r="I1707" s="1">
        <v>0.0</v>
      </c>
      <c r="J1707" s="1">
        <v>0.0</v>
      </c>
    </row>
    <row r="1708">
      <c r="A1708" s="1">
        <v>1.0</v>
      </c>
      <c r="B1708" s="1">
        <v>4.0</v>
      </c>
      <c r="C1708" s="1">
        <v>0.0</v>
      </c>
      <c r="D1708" s="1">
        <v>0.0</v>
      </c>
      <c r="E1708" s="1">
        <v>0.0</v>
      </c>
      <c r="F1708" s="1">
        <v>0.0</v>
      </c>
      <c r="G1708" s="2">
        <v>0.0</v>
      </c>
      <c r="H1708" s="1" t="s">
        <v>306</v>
      </c>
      <c r="I1708" s="1">
        <v>0.0</v>
      </c>
      <c r="J1708" s="1">
        <v>0.0</v>
      </c>
    </row>
    <row r="1709">
      <c r="A1709" s="1">
        <v>1.0</v>
      </c>
      <c r="B1709" s="1">
        <v>4.0</v>
      </c>
      <c r="C1709" s="1">
        <v>1.0</v>
      </c>
      <c r="D1709" s="1">
        <v>-4.0</v>
      </c>
      <c r="E1709" s="1">
        <v>1.0</v>
      </c>
      <c r="F1709" s="1">
        <v>0.0</v>
      </c>
      <c r="G1709" s="2">
        <v>0.0</v>
      </c>
      <c r="H1709" s="1" t="s">
        <v>306</v>
      </c>
      <c r="I1709" s="1">
        <v>-4.0</v>
      </c>
      <c r="J1709" s="1">
        <v>1.0</v>
      </c>
    </row>
    <row r="1710">
      <c r="A1710" s="1">
        <v>1.0</v>
      </c>
      <c r="B1710" s="1">
        <v>3.0</v>
      </c>
      <c r="C1710" s="1">
        <v>1.0</v>
      </c>
      <c r="D1710" s="1">
        <v>0.0</v>
      </c>
      <c r="E1710" s="1">
        <v>0.0</v>
      </c>
      <c r="F1710" s="1">
        <v>0.0</v>
      </c>
      <c r="G1710" s="2">
        <v>0.0</v>
      </c>
      <c r="H1710" s="1" t="s">
        <v>306</v>
      </c>
      <c r="I1710" s="1">
        <v>0.0</v>
      </c>
      <c r="J1710" s="1">
        <v>0.0</v>
      </c>
    </row>
    <row r="1711">
      <c r="A1711" s="1">
        <v>1.0</v>
      </c>
      <c r="B1711" s="1">
        <v>4.0</v>
      </c>
      <c r="C1711" s="1">
        <v>0.0</v>
      </c>
      <c r="D1711" s="1">
        <v>0.0</v>
      </c>
      <c r="E1711" s="1">
        <v>0.0</v>
      </c>
      <c r="F1711" s="1">
        <v>0.0</v>
      </c>
      <c r="G1711" s="2">
        <v>0.0</v>
      </c>
      <c r="H1711" s="1" t="s">
        <v>306</v>
      </c>
      <c r="I1711" s="1">
        <v>0.0</v>
      </c>
      <c r="J1711" s="1">
        <v>0.0</v>
      </c>
    </row>
    <row r="1712">
      <c r="A1712" s="1">
        <v>1.0</v>
      </c>
      <c r="B1712" s="1">
        <v>4.0</v>
      </c>
      <c r="C1712" s="1">
        <v>1.0</v>
      </c>
      <c r="D1712" s="1">
        <v>4.0</v>
      </c>
      <c r="E1712" s="1">
        <v>0.0</v>
      </c>
      <c r="F1712" s="1">
        <v>0.0</v>
      </c>
      <c r="G1712" s="2">
        <v>1.0</v>
      </c>
      <c r="H1712" s="1" t="s">
        <v>141</v>
      </c>
      <c r="I1712" s="1">
        <v>4.0</v>
      </c>
      <c r="J1712" s="1">
        <v>0.0</v>
      </c>
    </row>
    <row r="1713">
      <c r="A1713" s="1">
        <v>1.0</v>
      </c>
      <c r="B1713" s="1">
        <v>4.0</v>
      </c>
      <c r="C1713" s="1">
        <v>0.0</v>
      </c>
      <c r="D1713" s="1">
        <v>0.0</v>
      </c>
      <c r="E1713" s="1">
        <v>0.0</v>
      </c>
      <c r="F1713" s="1">
        <v>0.0</v>
      </c>
      <c r="G1713" s="2">
        <v>0.0</v>
      </c>
      <c r="H1713" s="1" t="s">
        <v>141</v>
      </c>
      <c r="I1713" s="1">
        <v>0.0</v>
      </c>
      <c r="J1713" s="1">
        <v>0.0</v>
      </c>
    </row>
    <row r="1714">
      <c r="A1714" s="1">
        <v>1.0</v>
      </c>
      <c r="B1714" s="1">
        <v>3.0</v>
      </c>
      <c r="C1714" s="1">
        <v>1.0</v>
      </c>
      <c r="D1714" s="1">
        <v>4.0</v>
      </c>
      <c r="E1714" s="1">
        <v>0.0</v>
      </c>
      <c r="F1714" s="1">
        <v>0.0</v>
      </c>
      <c r="G1714" s="2">
        <v>1.0</v>
      </c>
      <c r="H1714" s="1" t="s">
        <v>141</v>
      </c>
      <c r="I1714" s="1">
        <v>4.0</v>
      </c>
      <c r="J1714" s="1">
        <v>0.0</v>
      </c>
    </row>
    <row r="1715">
      <c r="A1715" s="1">
        <v>1.0</v>
      </c>
      <c r="B1715" s="1">
        <v>4.0</v>
      </c>
      <c r="C1715" s="1">
        <v>0.0</v>
      </c>
      <c r="D1715" s="1">
        <v>0.0</v>
      </c>
      <c r="E1715" s="1">
        <v>0.0</v>
      </c>
      <c r="F1715" s="1">
        <v>0.0</v>
      </c>
      <c r="G1715" s="2">
        <v>0.0</v>
      </c>
      <c r="H1715" s="1" t="s">
        <v>141</v>
      </c>
      <c r="I1715" s="1">
        <v>0.0</v>
      </c>
      <c r="J1715" s="1">
        <v>0.0</v>
      </c>
    </row>
    <row r="1716">
      <c r="A1716" s="1">
        <v>1.0</v>
      </c>
      <c r="B1716" s="1">
        <v>4.0</v>
      </c>
      <c r="C1716" s="1">
        <v>1.0</v>
      </c>
      <c r="D1716" s="1">
        <v>-4.0</v>
      </c>
      <c r="E1716" s="1">
        <v>1.0</v>
      </c>
      <c r="F1716" s="1">
        <v>0.0</v>
      </c>
      <c r="G1716" s="2">
        <v>0.0</v>
      </c>
      <c r="H1716" s="1" t="s">
        <v>308</v>
      </c>
      <c r="I1716" s="1">
        <v>-4.0</v>
      </c>
      <c r="J1716" s="1">
        <v>1.0</v>
      </c>
    </row>
    <row r="1717">
      <c r="A1717" s="1">
        <v>1.0</v>
      </c>
      <c r="B1717" s="1">
        <v>4.0</v>
      </c>
      <c r="C1717" s="1">
        <v>0.0</v>
      </c>
      <c r="D1717" s="1">
        <v>0.0</v>
      </c>
      <c r="E1717" s="1">
        <v>0.0</v>
      </c>
      <c r="F1717" s="1">
        <v>0.0</v>
      </c>
      <c r="G1717" s="2">
        <v>0.0</v>
      </c>
      <c r="H1717" s="1" t="s">
        <v>308</v>
      </c>
      <c r="I1717" s="1">
        <v>0.0</v>
      </c>
      <c r="J1717" s="1">
        <v>0.0</v>
      </c>
    </row>
    <row r="1718">
      <c r="A1718" s="1">
        <v>1.0</v>
      </c>
      <c r="B1718" s="1">
        <v>3.0</v>
      </c>
      <c r="C1718" s="1">
        <v>1.0</v>
      </c>
      <c r="D1718" s="1">
        <v>0.0</v>
      </c>
      <c r="E1718" s="1">
        <v>0.0</v>
      </c>
      <c r="F1718" s="1">
        <v>0.0</v>
      </c>
      <c r="G1718" s="2">
        <v>0.0</v>
      </c>
      <c r="H1718" s="1" t="s">
        <v>308</v>
      </c>
      <c r="I1718" s="1">
        <v>0.0</v>
      </c>
      <c r="J1718" s="1">
        <v>0.0</v>
      </c>
    </row>
    <row r="1719">
      <c r="A1719" s="1">
        <v>1.0</v>
      </c>
      <c r="B1719" s="1">
        <v>4.0</v>
      </c>
      <c r="C1719" s="1">
        <v>2.0</v>
      </c>
      <c r="D1719" s="1">
        <v>8.0</v>
      </c>
      <c r="E1719" s="1">
        <v>0.0</v>
      </c>
      <c r="F1719" s="1">
        <v>0.0</v>
      </c>
      <c r="G1719" s="2">
        <v>1.0</v>
      </c>
      <c r="H1719" s="1" t="s">
        <v>309</v>
      </c>
      <c r="I1719" s="1">
        <v>8.0</v>
      </c>
      <c r="J1719" s="1">
        <v>0.0</v>
      </c>
    </row>
    <row r="1720">
      <c r="A1720" s="1">
        <v>1.0</v>
      </c>
      <c r="B1720" s="1">
        <v>3.0</v>
      </c>
      <c r="C1720" s="1">
        <v>0.0</v>
      </c>
      <c r="D1720" s="1">
        <v>0.0</v>
      </c>
      <c r="E1720" s="1">
        <v>0.0</v>
      </c>
      <c r="F1720" s="1">
        <v>0.0</v>
      </c>
      <c r="G1720" s="2">
        <v>0.0</v>
      </c>
      <c r="H1720" s="1" t="s">
        <v>309</v>
      </c>
      <c r="I1720" s="1">
        <v>0.0</v>
      </c>
      <c r="J1720" s="1">
        <v>0.0</v>
      </c>
    </row>
    <row r="1721">
      <c r="A1721" s="1">
        <v>1.0</v>
      </c>
      <c r="B1721" s="1">
        <v>4.0</v>
      </c>
      <c r="C1721" s="1">
        <v>0.0</v>
      </c>
      <c r="D1721" s="1">
        <v>0.0</v>
      </c>
      <c r="E1721" s="1">
        <v>0.0</v>
      </c>
      <c r="F1721" s="1">
        <v>0.0</v>
      </c>
      <c r="G1721" s="2">
        <v>0.0</v>
      </c>
      <c r="H1721" s="1" t="s">
        <v>310</v>
      </c>
      <c r="I1721" s="1">
        <v>0.0</v>
      </c>
      <c r="J1721" s="1">
        <v>0.0</v>
      </c>
    </row>
    <row r="1722">
      <c r="A1722" s="1">
        <v>1.0</v>
      </c>
      <c r="B1722" s="1">
        <v>3.0</v>
      </c>
      <c r="C1722" s="1">
        <v>0.0</v>
      </c>
      <c r="D1722" s="1">
        <v>0.0</v>
      </c>
      <c r="E1722" s="1">
        <v>0.0</v>
      </c>
      <c r="F1722" s="1">
        <v>0.0</v>
      </c>
      <c r="G1722" s="2">
        <v>0.0</v>
      </c>
      <c r="H1722" s="1" t="s">
        <v>310</v>
      </c>
      <c r="I1722" s="1">
        <v>0.0</v>
      </c>
      <c r="J1722" s="1">
        <v>0.0</v>
      </c>
    </row>
    <row r="1723">
      <c r="A1723" s="1">
        <v>1.0</v>
      </c>
      <c r="B1723" s="1">
        <v>4.0</v>
      </c>
      <c r="C1723" s="1">
        <v>0.0</v>
      </c>
      <c r="D1723" s="1">
        <v>0.0</v>
      </c>
      <c r="E1723" s="1">
        <v>0.0</v>
      </c>
      <c r="F1723" s="1">
        <v>0.0</v>
      </c>
      <c r="G1723" s="2">
        <v>0.0</v>
      </c>
      <c r="H1723" s="1" t="s">
        <v>252</v>
      </c>
      <c r="I1723" s="1">
        <v>0.0</v>
      </c>
      <c r="J1723" s="1">
        <v>0.0</v>
      </c>
    </row>
    <row r="1724">
      <c r="A1724" s="1">
        <v>2.0</v>
      </c>
      <c r="B1724" s="1">
        <v>7.0</v>
      </c>
      <c r="C1724" s="1">
        <v>1.0</v>
      </c>
      <c r="D1724" s="1">
        <v>2.0</v>
      </c>
      <c r="E1724" s="1">
        <v>0.0</v>
      </c>
      <c r="F1724" s="1">
        <v>0.0</v>
      </c>
      <c r="G1724" s="2">
        <v>1.0</v>
      </c>
      <c r="H1724" s="1" t="s">
        <v>252</v>
      </c>
      <c r="I1724" s="1">
        <v>4.0</v>
      </c>
      <c r="J1724" s="1">
        <v>0.0</v>
      </c>
    </row>
    <row r="1725">
      <c r="A1725" s="1">
        <v>3.0</v>
      </c>
      <c r="B1725" s="1">
        <v>11.0</v>
      </c>
      <c r="C1725" s="1">
        <v>1.0</v>
      </c>
      <c r="D1725" s="1">
        <v>1.33</v>
      </c>
      <c r="E1725" s="1">
        <v>0.0</v>
      </c>
      <c r="F1725" s="1">
        <v>0.0</v>
      </c>
      <c r="G1725" s="2">
        <v>1.0</v>
      </c>
      <c r="H1725" s="1" t="s">
        <v>274</v>
      </c>
      <c r="I1725" s="1">
        <v>4.0</v>
      </c>
      <c r="J1725" s="1">
        <v>0.0</v>
      </c>
    </row>
    <row r="1726">
      <c r="A1726" s="1">
        <v>2.0</v>
      </c>
      <c r="B1726" s="1">
        <v>8.0</v>
      </c>
      <c r="C1726" s="1">
        <v>2.0</v>
      </c>
      <c r="D1726" s="1">
        <v>2.0</v>
      </c>
      <c r="E1726" s="1">
        <v>0.0</v>
      </c>
      <c r="F1726" s="1">
        <v>0.0</v>
      </c>
      <c r="G1726" s="2">
        <v>0.5</v>
      </c>
      <c r="H1726" s="1" t="s">
        <v>274</v>
      </c>
      <c r="I1726" s="1">
        <v>4.0</v>
      </c>
      <c r="J1726" s="1">
        <v>0.0</v>
      </c>
    </row>
    <row r="1727">
      <c r="A1727" s="1">
        <v>3.0</v>
      </c>
      <c r="B1727" s="1">
        <v>11.0</v>
      </c>
      <c r="C1727" s="1">
        <v>2.0</v>
      </c>
      <c r="D1727" s="1">
        <v>0.0</v>
      </c>
      <c r="E1727" s="1">
        <v>0.0</v>
      </c>
      <c r="F1727" s="1">
        <v>0.0</v>
      </c>
      <c r="G1727" s="2">
        <v>0.0</v>
      </c>
      <c r="H1727" s="1" t="s">
        <v>230</v>
      </c>
      <c r="I1727" s="1">
        <v>0.0</v>
      </c>
      <c r="J1727" s="1">
        <v>0.0</v>
      </c>
    </row>
    <row r="1728">
      <c r="A1728" s="1">
        <v>2.0</v>
      </c>
      <c r="B1728" s="1">
        <v>8.0</v>
      </c>
      <c r="C1728" s="1">
        <v>0.0</v>
      </c>
      <c r="D1728" s="1">
        <v>0.0</v>
      </c>
      <c r="E1728" s="1">
        <v>0.0</v>
      </c>
      <c r="F1728" s="1">
        <v>0.0</v>
      </c>
      <c r="G1728" s="2">
        <v>0.0</v>
      </c>
      <c r="H1728" s="1" t="s">
        <v>230</v>
      </c>
      <c r="I1728" s="1">
        <v>0.0</v>
      </c>
      <c r="J1728" s="1">
        <v>0.0</v>
      </c>
    </row>
    <row r="1729">
      <c r="A1729" s="1">
        <v>1.0</v>
      </c>
      <c r="B1729" s="1">
        <v>3.0</v>
      </c>
      <c r="C1729" s="1">
        <v>1.0</v>
      </c>
      <c r="D1729" s="1">
        <v>0.0</v>
      </c>
      <c r="E1729" s="1">
        <v>0.0</v>
      </c>
      <c r="F1729" s="1">
        <v>0.0</v>
      </c>
      <c r="G1729" s="2">
        <v>0.0</v>
      </c>
      <c r="H1729" s="1" t="s">
        <v>313</v>
      </c>
      <c r="I1729" s="1">
        <v>0.0</v>
      </c>
      <c r="J1729" s="1">
        <v>0.0</v>
      </c>
    </row>
    <row r="1730">
      <c r="A1730" s="1">
        <v>1.0</v>
      </c>
      <c r="B1730" s="1">
        <v>4.0</v>
      </c>
      <c r="C1730" s="1">
        <v>2.0</v>
      </c>
      <c r="D1730" s="1">
        <v>0.0</v>
      </c>
      <c r="E1730" s="1">
        <v>0.0</v>
      </c>
      <c r="F1730" s="1">
        <v>0.0</v>
      </c>
      <c r="G1730" s="2">
        <v>0.0</v>
      </c>
      <c r="H1730" s="1" t="s">
        <v>313</v>
      </c>
      <c r="I1730" s="1">
        <v>0.0</v>
      </c>
      <c r="J1730" s="1">
        <v>0.0</v>
      </c>
    </row>
    <row r="1731">
      <c r="A1731" s="1">
        <v>2.0</v>
      </c>
      <c r="B1731" s="1">
        <v>8.0</v>
      </c>
      <c r="C1731" s="1">
        <v>1.0</v>
      </c>
      <c r="D1731" s="1">
        <v>-2.0</v>
      </c>
      <c r="E1731" s="1">
        <v>0.5</v>
      </c>
      <c r="F1731" s="1">
        <v>0.0</v>
      </c>
      <c r="G1731" s="2">
        <v>0.0</v>
      </c>
      <c r="H1731" s="1" t="s">
        <v>314</v>
      </c>
      <c r="I1731" s="1">
        <v>-4.0</v>
      </c>
      <c r="J1731" s="1">
        <v>1.0</v>
      </c>
    </row>
    <row r="1732">
      <c r="A1732" s="1">
        <v>1.0</v>
      </c>
      <c r="B1732" s="1">
        <v>4.0</v>
      </c>
      <c r="C1732" s="1">
        <v>0.0</v>
      </c>
      <c r="D1732" s="1">
        <v>0.0</v>
      </c>
      <c r="E1732" s="1">
        <v>0.0</v>
      </c>
      <c r="F1732" s="1">
        <v>0.0</v>
      </c>
      <c r="G1732" s="2">
        <v>0.0</v>
      </c>
      <c r="H1732" s="1" t="s">
        <v>314</v>
      </c>
      <c r="I1732" s="1">
        <v>0.0</v>
      </c>
      <c r="J1732" s="1">
        <v>0.0</v>
      </c>
    </row>
    <row r="1733">
      <c r="A1733" s="1">
        <v>3.0</v>
      </c>
      <c r="B1733" s="1">
        <v>12.0</v>
      </c>
      <c r="C1733" s="1">
        <v>3.0</v>
      </c>
      <c r="D1733" s="1">
        <v>1.33</v>
      </c>
      <c r="E1733" s="1">
        <v>0.33</v>
      </c>
      <c r="F1733" s="1">
        <v>0.0</v>
      </c>
      <c r="G1733" s="6">
        <v>0.667</v>
      </c>
      <c r="H1733" s="1" t="s">
        <v>315</v>
      </c>
      <c r="I1733" s="1">
        <v>4.0</v>
      </c>
      <c r="J1733" s="1">
        <v>1.0</v>
      </c>
    </row>
    <row r="1734">
      <c r="A1734" s="1">
        <v>1.0</v>
      </c>
      <c r="B1734" s="1">
        <v>4.0</v>
      </c>
      <c r="C1734" s="1">
        <v>0.0</v>
      </c>
      <c r="D1734" s="1">
        <v>0.0</v>
      </c>
      <c r="E1734" s="1">
        <v>0.0</v>
      </c>
      <c r="F1734" s="1">
        <v>0.0</v>
      </c>
      <c r="G1734" s="2">
        <v>0.0</v>
      </c>
      <c r="H1734" s="1" t="s">
        <v>315</v>
      </c>
      <c r="I1734" s="1">
        <v>0.0</v>
      </c>
      <c r="J1734" s="1">
        <v>0.0</v>
      </c>
    </row>
    <row r="1735">
      <c r="A1735" s="1">
        <v>3.0</v>
      </c>
      <c r="B1735" s="1">
        <v>12.0</v>
      </c>
      <c r="C1735" s="1">
        <v>1.0</v>
      </c>
      <c r="D1735" s="1">
        <v>1.33</v>
      </c>
      <c r="E1735" s="1">
        <v>0.0</v>
      </c>
      <c r="F1735" s="1">
        <v>0.0</v>
      </c>
      <c r="G1735" s="2">
        <v>1.0</v>
      </c>
      <c r="H1735" s="1" t="s">
        <v>316</v>
      </c>
      <c r="I1735" s="1">
        <v>4.0</v>
      </c>
      <c r="J1735" s="1">
        <v>0.0</v>
      </c>
    </row>
    <row r="1736">
      <c r="A1736" s="1">
        <v>1.0</v>
      </c>
      <c r="B1736" s="1">
        <v>4.0</v>
      </c>
      <c r="C1736" s="1">
        <v>1.0</v>
      </c>
      <c r="D1736" s="1">
        <v>4.0</v>
      </c>
      <c r="E1736" s="1">
        <v>0.0</v>
      </c>
      <c r="F1736" s="1">
        <v>0.0</v>
      </c>
      <c r="G1736" s="2">
        <v>1.0</v>
      </c>
      <c r="H1736" s="1" t="s">
        <v>316</v>
      </c>
      <c r="I1736" s="1">
        <v>4.0</v>
      </c>
      <c r="J1736" s="1">
        <v>0.0</v>
      </c>
    </row>
    <row r="1737">
      <c r="A1737" s="1">
        <v>1.0</v>
      </c>
      <c r="B1737" s="1">
        <v>4.0</v>
      </c>
      <c r="C1737" s="1">
        <v>0.0</v>
      </c>
      <c r="D1737" s="1">
        <v>0.0</v>
      </c>
      <c r="E1737" s="1">
        <v>0.0</v>
      </c>
      <c r="F1737" s="1">
        <v>0.0</v>
      </c>
      <c r="G1737" s="2">
        <v>0.0</v>
      </c>
      <c r="H1737" s="1" t="s">
        <v>318</v>
      </c>
      <c r="I1737" s="1">
        <v>0.0</v>
      </c>
      <c r="J1737" s="1">
        <v>0.0</v>
      </c>
    </row>
    <row r="1738">
      <c r="A1738" s="1">
        <v>4.0</v>
      </c>
      <c r="B1738" s="1">
        <v>16.0</v>
      </c>
      <c r="C1738" s="1">
        <v>7.0</v>
      </c>
      <c r="D1738" s="1">
        <v>1.0</v>
      </c>
      <c r="E1738" s="1">
        <v>0.0</v>
      </c>
      <c r="F1738" s="1">
        <v>0.0</v>
      </c>
      <c r="G1738" s="6">
        <v>0.143</v>
      </c>
      <c r="H1738" s="1" t="s">
        <v>254</v>
      </c>
      <c r="I1738" s="1">
        <v>4.0</v>
      </c>
      <c r="J1738" s="1">
        <v>0.0</v>
      </c>
    </row>
    <row r="1739">
      <c r="A1739" s="1">
        <v>1.0</v>
      </c>
      <c r="B1739" s="1">
        <v>4.0</v>
      </c>
      <c r="C1739" s="1">
        <v>1.0</v>
      </c>
      <c r="D1739" s="1">
        <v>4.0</v>
      </c>
      <c r="E1739" s="1">
        <v>0.0</v>
      </c>
      <c r="F1739" s="1">
        <v>0.0</v>
      </c>
      <c r="G1739" s="2">
        <v>1.0</v>
      </c>
      <c r="H1739" s="1" t="s">
        <v>254</v>
      </c>
      <c r="I1739" s="1">
        <v>4.0</v>
      </c>
      <c r="J1739" s="1">
        <v>0.0</v>
      </c>
    </row>
    <row r="1740">
      <c r="A1740" s="1">
        <v>1.0</v>
      </c>
      <c r="B1740" s="1">
        <v>4.0</v>
      </c>
      <c r="C1740" s="1">
        <v>1.0</v>
      </c>
      <c r="D1740" s="1">
        <v>0.0</v>
      </c>
      <c r="E1740" s="1">
        <v>0.0</v>
      </c>
      <c r="F1740" s="1">
        <v>0.0</v>
      </c>
      <c r="G1740" s="2">
        <v>0.0</v>
      </c>
      <c r="H1740" s="1" t="s">
        <v>317</v>
      </c>
      <c r="I1740" s="1">
        <v>0.0</v>
      </c>
      <c r="J1740" s="1">
        <v>0.0</v>
      </c>
    </row>
    <row r="1741">
      <c r="A1741" s="1">
        <v>2.0</v>
      </c>
      <c r="B1741" s="1">
        <v>8.0</v>
      </c>
      <c r="C1741" s="1">
        <v>1.0</v>
      </c>
      <c r="D1741" s="1">
        <v>2.0</v>
      </c>
      <c r="E1741" s="1">
        <v>0.0</v>
      </c>
      <c r="F1741" s="1">
        <v>0.0</v>
      </c>
      <c r="G1741" s="2">
        <v>1.0</v>
      </c>
      <c r="H1741" s="1" t="s">
        <v>317</v>
      </c>
      <c r="I1741" s="1">
        <v>4.0</v>
      </c>
      <c r="J1741" s="1">
        <v>0.0</v>
      </c>
    </row>
    <row r="1742">
      <c r="A1742" s="1">
        <v>2.0</v>
      </c>
      <c r="B1742" s="1">
        <v>8.0</v>
      </c>
      <c r="C1742" s="1">
        <v>6.0</v>
      </c>
      <c r="D1742" s="1">
        <v>8.0</v>
      </c>
      <c r="E1742" s="1">
        <v>0.0</v>
      </c>
      <c r="F1742" s="1">
        <v>0.0</v>
      </c>
      <c r="G1742" s="6">
        <v>0.667</v>
      </c>
      <c r="H1742" s="1" t="s">
        <v>133</v>
      </c>
      <c r="I1742" s="1">
        <v>16.0</v>
      </c>
      <c r="J1742" s="1">
        <v>0.0</v>
      </c>
    </row>
    <row r="1743">
      <c r="A1743" s="1">
        <v>1.0</v>
      </c>
      <c r="B1743" s="1">
        <v>4.0</v>
      </c>
      <c r="C1743" s="1">
        <v>4.0</v>
      </c>
      <c r="D1743" s="1">
        <v>8.0</v>
      </c>
      <c r="E1743" s="1">
        <v>0.0</v>
      </c>
      <c r="F1743" s="1">
        <v>0.0</v>
      </c>
      <c r="G1743" s="2">
        <v>0.5</v>
      </c>
      <c r="H1743" s="1" t="s">
        <v>133</v>
      </c>
      <c r="I1743" s="1">
        <v>8.0</v>
      </c>
      <c r="J1743" s="1">
        <v>0.0</v>
      </c>
    </row>
    <row r="1744">
      <c r="A1744" s="1">
        <v>1.0</v>
      </c>
      <c r="B1744" s="1">
        <v>4.0</v>
      </c>
      <c r="C1744" s="1">
        <v>1.0</v>
      </c>
      <c r="D1744" s="1">
        <v>0.0</v>
      </c>
      <c r="E1744" s="1">
        <v>0.0</v>
      </c>
      <c r="F1744" s="1">
        <v>0.0</v>
      </c>
      <c r="G1744" s="2">
        <v>0.0</v>
      </c>
      <c r="H1744" s="1" t="s">
        <v>319</v>
      </c>
      <c r="I1744" s="1">
        <v>0.0</v>
      </c>
      <c r="J1744" s="1">
        <v>0.0</v>
      </c>
    </row>
    <row r="1745">
      <c r="A1745" s="1">
        <v>5.0</v>
      </c>
      <c r="B1745" s="1">
        <v>20.0</v>
      </c>
      <c r="C1745" s="1">
        <v>1.0</v>
      </c>
      <c r="D1745" s="1">
        <v>0.0</v>
      </c>
      <c r="E1745" s="1">
        <v>0.0</v>
      </c>
      <c r="F1745" s="1">
        <v>0.0</v>
      </c>
      <c r="G1745" s="2">
        <v>0.0</v>
      </c>
      <c r="H1745" s="1" t="s">
        <v>129</v>
      </c>
      <c r="I1745" s="1">
        <v>0.0</v>
      </c>
      <c r="J1745" s="1">
        <v>0.0</v>
      </c>
    </row>
    <row r="1746">
      <c r="A1746" s="1">
        <v>2.0</v>
      </c>
      <c r="B1746" s="1">
        <v>8.0</v>
      </c>
      <c r="C1746" s="1">
        <v>2.0</v>
      </c>
      <c r="D1746" s="1">
        <v>2.0</v>
      </c>
      <c r="E1746" s="1">
        <v>0.0</v>
      </c>
      <c r="F1746" s="1">
        <v>0.0</v>
      </c>
      <c r="G1746" s="2">
        <v>0.5</v>
      </c>
      <c r="H1746" s="1" t="s">
        <v>320</v>
      </c>
      <c r="I1746" s="1">
        <v>4.0</v>
      </c>
      <c r="J1746" s="1">
        <v>0.0</v>
      </c>
    </row>
    <row r="1747">
      <c r="A1747" s="1">
        <v>1.0</v>
      </c>
      <c r="B1747" s="1">
        <v>4.0</v>
      </c>
      <c r="C1747" s="1">
        <v>2.0</v>
      </c>
      <c r="D1747" s="1">
        <v>0.0</v>
      </c>
      <c r="E1747" s="1">
        <v>0.0</v>
      </c>
      <c r="F1747" s="1">
        <v>0.0</v>
      </c>
      <c r="G1747" s="2">
        <v>0.0</v>
      </c>
      <c r="H1747" s="1" t="s">
        <v>320</v>
      </c>
      <c r="I1747" s="1">
        <v>0.0</v>
      </c>
      <c r="J1747" s="1">
        <v>0.0</v>
      </c>
    </row>
    <row r="1748">
      <c r="A1748" s="1">
        <v>2.0</v>
      </c>
      <c r="B1748" s="1">
        <v>8.0</v>
      </c>
      <c r="C1748" s="1">
        <v>8.0</v>
      </c>
      <c r="D1748" s="1">
        <v>4.0</v>
      </c>
      <c r="E1748" s="1">
        <v>0.0</v>
      </c>
      <c r="F1748" s="1">
        <v>0.0</v>
      </c>
      <c r="G1748" s="2">
        <v>0.25</v>
      </c>
      <c r="H1748" s="1" t="s">
        <v>320</v>
      </c>
      <c r="I1748" s="1">
        <v>8.0</v>
      </c>
      <c r="J1748" s="1">
        <v>0.0</v>
      </c>
    </row>
    <row r="1749">
      <c r="A1749" s="1">
        <v>2.0</v>
      </c>
      <c r="B1749" s="1">
        <v>8.0</v>
      </c>
      <c r="C1749" s="1">
        <v>0.0</v>
      </c>
      <c r="D1749" s="1">
        <v>0.0</v>
      </c>
      <c r="E1749" s="1">
        <v>0.0</v>
      </c>
      <c r="F1749" s="1">
        <v>0.0</v>
      </c>
      <c r="G1749" s="2">
        <v>0.0</v>
      </c>
      <c r="H1749" s="1" t="s">
        <v>287</v>
      </c>
      <c r="I1749" s="1">
        <v>0.0</v>
      </c>
      <c r="J1749" s="1">
        <v>0.0</v>
      </c>
    </row>
    <row r="1750">
      <c r="A1750" s="1">
        <v>1.0</v>
      </c>
      <c r="B1750" s="1">
        <v>4.0</v>
      </c>
      <c r="C1750" s="1">
        <v>0.0</v>
      </c>
      <c r="D1750" s="1">
        <v>0.0</v>
      </c>
      <c r="E1750" s="1">
        <v>0.0</v>
      </c>
      <c r="F1750" s="1">
        <v>0.0</v>
      </c>
      <c r="G1750" s="2">
        <v>0.0</v>
      </c>
      <c r="H1750" s="1" t="s">
        <v>287</v>
      </c>
      <c r="I1750" s="1">
        <v>0.0</v>
      </c>
      <c r="J1750" s="1">
        <v>0.0</v>
      </c>
    </row>
    <row r="1751">
      <c r="A1751" s="1">
        <v>2.0</v>
      </c>
      <c r="B1751" s="1">
        <v>8.0</v>
      </c>
      <c r="C1751" s="1">
        <v>0.0</v>
      </c>
      <c r="D1751" s="1">
        <v>0.0</v>
      </c>
      <c r="E1751" s="1">
        <v>0.0</v>
      </c>
      <c r="F1751" s="1">
        <v>0.0</v>
      </c>
      <c r="G1751" s="2">
        <v>0.0</v>
      </c>
      <c r="H1751" s="1" t="s">
        <v>287</v>
      </c>
      <c r="I1751" s="1">
        <v>0.0</v>
      </c>
      <c r="J1751" s="1">
        <v>0.0</v>
      </c>
    </row>
    <row r="1752">
      <c r="A1752" s="1">
        <v>2.0</v>
      </c>
      <c r="B1752" s="1">
        <v>8.0</v>
      </c>
      <c r="C1752" s="1">
        <v>0.0</v>
      </c>
      <c r="D1752" s="1">
        <v>0.0</v>
      </c>
      <c r="E1752" s="1">
        <v>0.0</v>
      </c>
      <c r="F1752" s="1">
        <v>0.0</v>
      </c>
      <c r="G1752" s="2">
        <v>0.0</v>
      </c>
      <c r="H1752" s="1" t="s">
        <v>289</v>
      </c>
      <c r="I1752" s="1">
        <v>0.0</v>
      </c>
      <c r="J1752" s="1">
        <v>0.0</v>
      </c>
    </row>
    <row r="1753">
      <c r="A1753" s="1">
        <v>1.0</v>
      </c>
      <c r="B1753" s="1">
        <v>4.0</v>
      </c>
      <c r="C1753" s="1">
        <v>0.0</v>
      </c>
      <c r="D1753" s="1">
        <v>0.0</v>
      </c>
      <c r="E1753" s="1">
        <v>0.0</v>
      </c>
      <c r="F1753" s="1">
        <v>0.0</v>
      </c>
      <c r="G1753" s="2">
        <v>0.0</v>
      </c>
      <c r="H1753" s="1" t="s">
        <v>289</v>
      </c>
      <c r="I1753" s="1">
        <v>0.0</v>
      </c>
      <c r="J1753" s="1">
        <v>0.0</v>
      </c>
    </row>
    <row r="1754">
      <c r="A1754" s="1">
        <v>2.0</v>
      </c>
      <c r="B1754" s="1">
        <v>8.0</v>
      </c>
      <c r="C1754" s="1">
        <v>0.0</v>
      </c>
      <c r="D1754" s="1">
        <v>0.0</v>
      </c>
      <c r="E1754" s="1">
        <v>0.0</v>
      </c>
      <c r="F1754" s="1">
        <v>0.0</v>
      </c>
      <c r="G1754" s="2">
        <v>0.0</v>
      </c>
      <c r="H1754" s="1" t="s">
        <v>289</v>
      </c>
      <c r="I1754" s="1">
        <v>0.0</v>
      </c>
      <c r="J1754" s="1">
        <v>0.0</v>
      </c>
    </row>
    <row r="1755">
      <c r="A1755" s="1">
        <v>2.0</v>
      </c>
      <c r="B1755" s="1">
        <v>8.0</v>
      </c>
      <c r="C1755" s="1">
        <v>1.0</v>
      </c>
      <c r="D1755" s="1">
        <v>0.0</v>
      </c>
      <c r="E1755" s="1">
        <v>0.0</v>
      </c>
      <c r="F1755" s="1">
        <v>0.0</v>
      </c>
      <c r="G1755" s="2">
        <v>0.0</v>
      </c>
      <c r="H1755" s="1" t="s">
        <v>321</v>
      </c>
      <c r="I1755" s="1">
        <v>0.0</v>
      </c>
      <c r="J1755" s="1">
        <v>0.0</v>
      </c>
    </row>
    <row r="1756">
      <c r="A1756" s="1">
        <v>1.0</v>
      </c>
      <c r="B1756" s="1">
        <v>4.0</v>
      </c>
      <c r="C1756" s="1">
        <v>0.0</v>
      </c>
      <c r="D1756" s="1">
        <v>0.0</v>
      </c>
      <c r="E1756" s="1">
        <v>0.0</v>
      </c>
      <c r="F1756" s="1">
        <v>0.0</v>
      </c>
      <c r="G1756" s="2">
        <v>0.0</v>
      </c>
      <c r="H1756" s="1" t="s">
        <v>321</v>
      </c>
      <c r="I1756" s="1">
        <v>0.0</v>
      </c>
      <c r="J1756" s="1">
        <v>0.0</v>
      </c>
    </row>
    <row r="1757">
      <c r="A1757" s="1">
        <v>1.0</v>
      </c>
      <c r="B1757" s="1">
        <v>4.0</v>
      </c>
      <c r="C1757" s="1">
        <v>0.0</v>
      </c>
      <c r="D1757" s="1">
        <v>0.0</v>
      </c>
      <c r="E1757" s="1">
        <v>0.0</v>
      </c>
      <c r="F1757" s="1">
        <v>0.0</v>
      </c>
      <c r="G1757" s="2">
        <v>0.0</v>
      </c>
      <c r="H1757" s="1" t="s">
        <v>321</v>
      </c>
      <c r="I1757" s="1">
        <v>0.0</v>
      </c>
      <c r="J1757" s="1">
        <v>0.0</v>
      </c>
    </row>
    <row r="1758">
      <c r="A1758" s="1">
        <v>2.0</v>
      </c>
      <c r="B1758" s="1">
        <v>8.0</v>
      </c>
      <c r="C1758" s="1">
        <v>1.0</v>
      </c>
      <c r="D1758" s="1">
        <v>-2.0</v>
      </c>
      <c r="E1758" s="1">
        <v>0.5</v>
      </c>
      <c r="F1758" s="1">
        <v>0.0</v>
      </c>
      <c r="G1758" s="2">
        <v>0.0</v>
      </c>
      <c r="H1758" s="1" t="s">
        <v>323</v>
      </c>
      <c r="I1758" s="1">
        <v>-4.0</v>
      </c>
      <c r="J1758" s="1">
        <v>1.0</v>
      </c>
    </row>
    <row r="1759">
      <c r="A1759" s="1">
        <v>1.0</v>
      </c>
      <c r="B1759" s="1">
        <v>4.0</v>
      </c>
      <c r="C1759" s="1">
        <v>0.0</v>
      </c>
      <c r="D1759" s="1">
        <v>0.0</v>
      </c>
      <c r="E1759" s="1">
        <v>0.0</v>
      </c>
      <c r="F1759" s="1">
        <v>0.0</v>
      </c>
      <c r="G1759" s="2">
        <v>0.0</v>
      </c>
      <c r="H1759" s="1" t="s">
        <v>323</v>
      </c>
      <c r="I1759" s="1">
        <v>0.0</v>
      </c>
      <c r="J1759" s="1">
        <v>0.0</v>
      </c>
    </row>
    <row r="1760">
      <c r="A1760" s="1">
        <v>2.0</v>
      </c>
      <c r="B1760" s="1">
        <v>8.0</v>
      </c>
      <c r="C1760" s="1">
        <v>0.0</v>
      </c>
      <c r="D1760" s="1">
        <v>0.0</v>
      </c>
      <c r="E1760" s="1">
        <v>0.0</v>
      </c>
      <c r="F1760" s="1">
        <v>0.0</v>
      </c>
      <c r="G1760" s="2">
        <v>0.0</v>
      </c>
      <c r="H1760" s="1" t="s">
        <v>323</v>
      </c>
      <c r="I1760" s="1">
        <v>0.0</v>
      </c>
      <c r="J1760" s="1">
        <v>0.0</v>
      </c>
    </row>
    <row r="1761">
      <c r="A1761" s="1">
        <v>1.0</v>
      </c>
      <c r="B1761" s="1">
        <v>4.0</v>
      </c>
      <c r="C1761" s="1">
        <v>1.0</v>
      </c>
      <c r="D1761" s="1">
        <v>4.0</v>
      </c>
      <c r="E1761" s="1">
        <v>0.0</v>
      </c>
      <c r="F1761" s="1">
        <v>0.0</v>
      </c>
      <c r="G1761" s="2">
        <v>1.0</v>
      </c>
      <c r="H1761" s="1" t="s">
        <v>278</v>
      </c>
      <c r="I1761" s="1">
        <v>4.0</v>
      </c>
      <c r="J1761" s="1">
        <v>0.0</v>
      </c>
    </row>
    <row r="1762">
      <c r="A1762" s="1">
        <v>3.0</v>
      </c>
      <c r="B1762" s="1">
        <v>11.0</v>
      </c>
      <c r="C1762" s="1">
        <v>4.0</v>
      </c>
      <c r="D1762" s="1">
        <v>5.33</v>
      </c>
      <c r="E1762" s="1">
        <v>0.0</v>
      </c>
      <c r="F1762" s="1">
        <v>0.0</v>
      </c>
      <c r="G1762" s="2">
        <v>1.0</v>
      </c>
      <c r="H1762" s="1" t="s">
        <v>278</v>
      </c>
      <c r="I1762" s="1">
        <v>16.0</v>
      </c>
      <c r="J1762" s="1">
        <v>0.0</v>
      </c>
    </row>
    <row r="1763">
      <c r="A1763" s="1">
        <v>1.0</v>
      </c>
      <c r="B1763" s="1">
        <v>4.0</v>
      </c>
      <c r="C1763" s="1">
        <v>0.0</v>
      </c>
      <c r="D1763" s="1">
        <v>0.0</v>
      </c>
      <c r="E1763" s="1">
        <v>0.0</v>
      </c>
      <c r="F1763" s="1">
        <v>0.0</v>
      </c>
      <c r="G1763" s="2">
        <v>0.0</v>
      </c>
      <c r="H1763" s="1" t="s">
        <v>325</v>
      </c>
      <c r="I1763" s="1">
        <v>0.0</v>
      </c>
      <c r="J1763" s="1">
        <v>0.0</v>
      </c>
    </row>
    <row r="1764">
      <c r="A1764" s="1">
        <v>4.0</v>
      </c>
      <c r="B1764" s="1">
        <v>15.0</v>
      </c>
      <c r="C1764" s="1">
        <v>0.0</v>
      </c>
      <c r="D1764" s="1">
        <v>0.0</v>
      </c>
      <c r="E1764" s="1">
        <v>0.0</v>
      </c>
      <c r="F1764" s="1">
        <v>0.0</v>
      </c>
      <c r="G1764" s="2">
        <v>0.0</v>
      </c>
      <c r="H1764" s="1" t="s">
        <v>325</v>
      </c>
      <c r="I1764" s="1">
        <v>0.0</v>
      </c>
      <c r="J1764" s="1">
        <v>0.0</v>
      </c>
    </row>
    <row r="1765">
      <c r="A1765" s="1">
        <v>1.0</v>
      </c>
      <c r="B1765" s="1">
        <v>4.0</v>
      </c>
      <c r="C1765" s="1">
        <v>0.0</v>
      </c>
      <c r="D1765" s="1">
        <v>0.0</v>
      </c>
      <c r="E1765" s="1">
        <v>0.0</v>
      </c>
      <c r="F1765" s="1">
        <v>0.0</v>
      </c>
      <c r="G1765" s="2">
        <v>0.0</v>
      </c>
      <c r="H1765" s="1" t="s">
        <v>326</v>
      </c>
      <c r="I1765" s="1">
        <v>0.0</v>
      </c>
      <c r="J1765" s="1">
        <v>0.0</v>
      </c>
    </row>
    <row r="1766">
      <c r="A1766" s="1">
        <v>2.0</v>
      </c>
      <c r="B1766" s="1">
        <v>8.0</v>
      </c>
      <c r="C1766" s="1">
        <v>0.0</v>
      </c>
      <c r="D1766" s="1">
        <v>0.0</v>
      </c>
      <c r="E1766" s="1">
        <v>0.0</v>
      </c>
      <c r="F1766" s="1">
        <v>0.0</v>
      </c>
      <c r="G1766" s="2">
        <v>0.0</v>
      </c>
      <c r="H1766" s="1" t="s">
        <v>326</v>
      </c>
      <c r="I1766" s="1">
        <v>0.0</v>
      </c>
      <c r="J1766" s="1">
        <v>0.0</v>
      </c>
    </row>
    <row r="1767">
      <c r="A1767" s="1">
        <v>1.0</v>
      </c>
      <c r="B1767" s="1">
        <v>4.0</v>
      </c>
      <c r="C1767" s="1">
        <v>1.0</v>
      </c>
      <c r="D1767" s="1">
        <v>0.0</v>
      </c>
      <c r="E1767" s="1">
        <v>0.0</v>
      </c>
      <c r="F1767" s="1">
        <v>0.0</v>
      </c>
      <c r="G1767" s="2">
        <v>0.0</v>
      </c>
      <c r="H1767" s="1" t="s">
        <v>311</v>
      </c>
      <c r="I1767" s="1">
        <v>0.0</v>
      </c>
      <c r="J1767" s="1">
        <v>0.0</v>
      </c>
    </row>
    <row r="1768">
      <c r="A1768" s="1">
        <v>4.0</v>
      </c>
      <c r="B1768" s="1">
        <v>15.0</v>
      </c>
      <c r="C1768" s="1">
        <v>3.0</v>
      </c>
      <c r="D1768" s="1">
        <v>1.0</v>
      </c>
      <c r="E1768" s="1">
        <v>0.0</v>
      </c>
      <c r="F1768" s="1">
        <v>0.0</v>
      </c>
      <c r="G1768" s="6">
        <v>0.333</v>
      </c>
      <c r="H1768" s="1" t="s">
        <v>311</v>
      </c>
      <c r="I1768" s="1">
        <v>4.0</v>
      </c>
      <c r="J1768" s="1">
        <v>0.0</v>
      </c>
    </row>
    <row r="1769">
      <c r="A1769" s="1">
        <v>1.0</v>
      </c>
      <c r="B1769" s="1">
        <v>3.0</v>
      </c>
      <c r="C1769" s="1">
        <v>0.0</v>
      </c>
      <c r="D1769" s="1">
        <v>0.0</v>
      </c>
      <c r="E1769" s="1">
        <v>0.0</v>
      </c>
      <c r="F1769" s="1">
        <v>0.0</v>
      </c>
      <c r="G1769" s="2">
        <v>0.0</v>
      </c>
      <c r="H1769" s="1" t="s">
        <v>322</v>
      </c>
      <c r="I1769" s="1">
        <v>0.0</v>
      </c>
      <c r="J1769" s="1">
        <v>0.0</v>
      </c>
    </row>
    <row r="1770">
      <c r="A1770" s="1">
        <v>3.0</v>
      </c>
      <c r="B1770" s="1">
        <v>12.0</v>
      </c>
      <c r="C1770" s="1">
        <v>2.0</v>
      </c>
      <c r="D1770" s="1">
        <v>0.0</v>
      </c>
      <c r="E1770" s="1">
        <v>0.0</v>
      </c>
      <c r="F1770" s="1">
        <v>0.0</v>
      </c>
      <c r="G1770" s="2">
        <v>0.0</v>
      </c>
      <c r="H1770" s="1" t="s">
        <v>322</v>
      </c>
      <c r="I1770" s="1">
        <v>0.0</v>
      </c>
      <c r="J1770" s="1">
        <v>0.0</v>
      </c>
    </row>
    <row r="1771">
      <c r="A1771" s="1">
        <v>3.0</v>
      </c>
      <c r="B1771" s="1">
        <v>12.0</v>
      </c>
      <c r="C1771" s="1">
        <v>2.0</v>
      </c>
      <c r="D1771" s="1">
        <v>1.33</v>
      </c>
      <c r="E1771" s="1">
        <v>0.0</v>
      </c>
      <c r="F1771" s="1">
        <v>0.0</v>
      </c>
      <c r="G1771" s="2">
        <v>0.5</v>
      </c>
      <c r="H1771" s="1" t="s">
        <v>328</v>
      </c>
      <c r="I1771" s="1">
        <v>4.0</v>
      </c>
      <c r="J1771" s="1">
        <v>0.0</v>
      </c>
    </row>
    <row r="1772">
      <c r="A1772" s="1">
        <v>3.0</v>
      </c>
      <c r="B1772" s="1">
        <v>12.0</v>
      </c>
      <c r="C1772" s="1">
        <v>2.0</v>
      </c>
      <c r="D1772" s="1">
        <v>0.0</v>
      </c>
      <c r="E1772" s="1">
        <v>0.0</v>
      </c>
      <c r="F1772" s="1">
        <v>0.0</v>
      </c>
      <c r="G1772" s="2">
        <v>0.0</v>
      </c>
      <c r="H1772" s="1" t="s">
        <v>329</v>
      </c>
      <c r="I1772" s="1">
        <v>0.0</v>
      </c>
      <c r="J1772" s="1">
        <v>0.0</v>
      </c>
    </row>
    <row r="1773">
      <c r="A1773" s="1">
        <v>1.0</v>
      </c>
      <c r="B1773" s="1">
        <v>4.0</v>
      </c>
      <c r="C1773" s="1">
        <v>1.0</v>
      </c>
      <c r="D1773" s="1">
        <v>0.0</v>
      </c>
      <c r="E1773" s="1">
        <v>0.0</v>
      </c>
      <c r="F1773" s="1">
        <v>0.0</v>
      </c>
      <c r="G1773" s="2">
        <v>0.0</v>
      </c>
      <c r="H1773" s="1" t="s">
        <v>329</v>
      </c>
      <c r="I1773" s="1">
        <v>0.0</v>
      </c>
      <c r="J1773" s="1">
        <v>0.0</v>
      </c>
    </row>
    <row r="1774">
      <c r="A1774" s="1">
        <v>2.0</v>
      </c>
      <c r="B1774" s="1">
        <v>8.0</v>
      </c>
      <c r="C1774" s="1">
        <v>0.0</v>
      </c>
      <c r="D1774" s="1">
        <v>0.0</v>
      </c>
      <c r="E1774" s="1">
        <v>0.0</v>
      </c>
      <c r="F1774" s="1">
        <v>0.0</v>
      </c>
      <c r="G1774" s="2">
        <v>0.0</v>
      </c>
      <c r="H1774" s="1" t="s">
        <v>330</v>
      </c>
      <c r="I1774" s="1">
        <v>0.0</v>
      </c>
      <c r="J1774" s="1">
        <v>0.0</v>
      </c>
    </row>
    <row r="1775">
      <c r="A1775" s="1">
        <v>3.0</v>
      </c>
      <c r="B1775" s="1">
        <v>12.0</v>
      </c>
      <c r="C1775" s="1">
        <v>1.0</v>
      </c>
      <c r="D1775" s="1">
        <v>1.33</v>
      </c>
      <c r="E1775" s="1">
        <v>0.0</v>
      </c>
      <c r="F1775" s="1">
        <v>0.0</v>
      </c>
      <c r="G1775" s="2">
        <v>1.0</v>
      </c>
      <c r="H1775" s="1" t="s">
        <v>330</v>
      </c>
      <c r="I1775" s="1">
        <v>4.0</v>
      </c>
      <c r="J1775" s="1">
        <v>0.0</v>
      </c>
    </row>
    <row r="1776">
      <c r="A1776" s="1">
        <v>2.0</v>
      </c>
      <c r="B1776" s="1">
        <v>8.0</v>
      </c>
      <c r="C1776" s="1">
        <v>5.0</v>
      </c>
      <c r="D1776" s="1">
        <v>6.0</v>
      </c>
      <c r="E1776" s="1">
        <v>0.0</v>
      </c>
      <c r="F1776" s="1">
        <v>0.0</v>
      </c>
      <c r="G1776" s="2">
        <v>0.6</v>
      </c>
      <c r="H1776" s="1" t="s">
        <v>331</v>
      </c>
      <c r="I1776" s="1">
        <v>12.0</v>
      </c>
      <c r="J1776" s="1">
        <v>0.0</v>
      </c>
    </row>
    <row r="1777">
      <c r="A1777" s="1">
        <v>2.0</v>
      </c>
      <c r="B1777" s="1">
        <v>8.0</v>
      </c>
      <c r="C1777" s="1">
        <v>2.0</v>
      </c>
      <c r="D1777" s="1">
        <v>0.0</v>
      </c>
      <c r="E1777" s="1">
        <v>0.0</v>
      </c>
      <c r="F1777" s="1">
        <v>0.0</v>
      </c>
      <c r="G1777" s="2">
        <v>0.0</v>
      </c>
      <c r="H1777" s="1" t="s">
        <v>331</v>
      </c>
      <c r="I1777" s="1">
        <v>0.0</v>
      </c>
      <c r="J1777" s="1">
        <v>0.0</v>
      </c>
    </row>
    <row r="1778">
      <c r="A1778" s="1">
        <v>1.0</v>
      </c>
      <c r="B1778" s="1">
        <v>4.0</v>
      </c>
      <c r="C1778" s="1">
        <v>0.0</v>
      </c>
      <c r="D1778" s="1">
        <v>0.0</v>
      </c>
      <c r="E1778" s="1">
        <v>0.0</v>
      </c>
      <c r="F1778" s="1">
        <v>0.0</v>
      </c>
      <c r="G1778" s="2">
        <v>0.0</v>
      </c>
      <c r="H1778" s="1" t="s">
        <v>332</v>
      </c>
      <c r="I1778" s="1">
        <v>0.0</v>
      </c>
      <c r="J1778" s="1">
        <v>0.0</v>
      </c>
    </row>
    <row r="1779">
      <c r="A1779" s="1">
        <v>1.0</v>
      </c>
      <c r="B1779" s="1">
        <v>4.0</v>
      </c>
      <c r="C1779" s="1">
        <v>0.0</v>
      </c>
      <c r="D1779" s="1">
        <v>0.0</v>
      </c>
      <c r="E1779" s="1">
        <v>0.0</v>
      </c>
      <c r="F1779" s="1">
        <v>0.0</v>
      </c>
      <c r="G1779" s="2">
        <v>0.0</v>
      </c>
      <c r="H1779" s="1" t="s">
        <v>332</v>
      </c>
      <c r="I1779" s="1">
        <v>0.0</v>
      </c>
      <c r="J1779" s="1">
        <v>0.0</v>
      </c>
    </row>
    <row r="1780">
      <c r="A1780" s="1">
        <v>1.0</v>
      </c>
      <c r="B1780" s="1">
        <v>4.0</v>
      </c>
      <c r="C1780" s="1">
        <v>0.0</v>
      </c>
      <c r="D1780" s="1">
        <v>0.0</v>
      </c>
      <c r="E1780" s="1">
        <v>0.0</v>
      </c>
      <c r="F1780" s="1">
        <v>0.0</v>
      </c>
      <c r="G1780" s="2">
        <v>0.0</v>
      </c>
      <c r="H1780" s="1" t="s">
        <v>333</v>
      </c>
      <c r="I1780" s="1">
        <v>0.0</v>
      </c>
      <c r="J1780" s="1">
        <v>0.0</v>
      </c>
    </row>
    <row r="1781">
      <c r="A1781" s="1">
        <v>3.0</v>
      </c>
      <c r="B1781" s="1">
        <v>11.0</v>
      </c>
      <c r="C1781" s="1">
        <v>0.0</v>
      </c>
      <c r="D1781" s="1">
        <v>0.0</v>
      </c>
      <c r="E1781" s="1">
        <v>0.0</v>
      </c>
      <c r="F1781" s="1">
        <v>0.0</v>
      </c>
      <c r="G1781" s="2">
        <v>0.0</v>
      </c>
      <c r="H1781" s="1" t="s">
        <v>333</v>
      </c>
      <c r="I1781" s="1">
        <v>0.0</v>
      </c>
      <c r="J1781" s="1">
        <v>0.0</v>
      </c>
    </row>
    <row r="1782">
      <c r="A1782" s="1">
        <v>3.0</v>
      </c>
      <c r="B1782" s="1">
        <v>11.0</v>
      </c>
      <c r="C1782" s="1">
        <v>0.0</v>
      </c>
      <c r="D1782" s="1">
        <v>0.0</v>
      </c>
      <c r="E1782" s="1">
        <v>0.0</v>
      </c>
      <c r="F1782" s="1">
        <v>0.0</v>
      </c>
      <c r="G1782" s="2">
        <v>0.0</v>
      </c>
      <c r="H1782" s="1" t="s">
        <v>324</v>
      </c>
      <c r="I1782" s="1">
        <v>0.0</v>
      </c>
      <c r="J1782" s="1">
        <v>0.0</v>
      </c>
    </row>
    <row r="1783">
      <c r="A1783" s="1">
        <v>1.0</v>
      </c>
      <c r="B1783" s="1">
        <v>4.0</v>
      </c>
      <c r="C1783" s="1">
        <v>2.0</v>
      </c>
      <c r="D1783" s="1">
        <v>4.0</v>
      </c>
      <c r="E1783" s="1">
        <v>0.0</v>
      </c>
      <c r="F1783" s="1">
        <v>0.0</v>
      </c>
      <c r="G1783" s="2">
        <v>0.5</v>
      </c>
      <c r="H1783" s="1" t="s">
        <v>324</v>
      </c>
      <c r="I1783" s="1">
        <v>4.0</v>
      </c>
      <c r="J1783" s="1">
        <v>0.0</v>
      </c>
    </row>
    <row r="1784">
      <c r="A1784" s="1">
        <v>4.0</v>
      </c>
      <c r="B1784" s="1">
        <v>15.0</v>
      </c>
      <c r="C1784" s="1">
        <v>0.0</v>
      </c>
      <c r="D1784" s="1">
        <v>0.0</v>
      </c>
      <c r="E1784" s="1">
        <v>0.0</v>
      </c>
      <c r="F1784" s="1">
        <v>0.0</v>
      </c>
      <c r="G1784" s="2">
        <v>0.0</v>
      </c>
      <c r="H1784" s="1" t="s">
        <v>186</v>
      </c>
      <c r="I1784" s="1">
        <v>0.0</v>
      </c>
      <c r="J1784" s="1">
        <v>0.0</v>
      </c>
    </row>
    <row r="1785">
      <c r="A1785" s="1">
        <v>1.0</v>
      </c>
      <c r="B1785" s="1">
        <v>4.0</v>
      </c>
      <c r="C1785" s="1">
        <v>1.0</v>
      </c>
      <c r="D1785" s="1">
        <v>4.0</v>
      </c>
      <c r="E1785" s="1">
        <v>0.0</v>
      </c>
      <c r="F1785" s="1">
        <v>0.0</v>
      </c>
      <c r="G1785" s="2">
        <v>1.0</v>
      </c>
      <c r="H1785" s="1" t="s">
        <v>186</v>
      </c>
      <c r="I1785" s="1">
        <v>4.0</v>
      </c>
      <c r="J1785" s="1">
        <v>0.0</v>
      </c>
    </row>
    <row r="1786">
      <c r="A1786" s="1">
        <v>4.0</v>
      </c>
      <c r="B1786" s="1">
        <v>15.0</v>
      </c>
      <c r="C1786" s="1">
        <v>11.0</v>
      </c>
      <c r="D1786" s="1">
        <v>4.0</v>
      </c>
      <c r="E1786" s="1">
        <v>0.5</v>
      </c>
      <c r="F1786" s="1">
        <v>0.0</v>
      </c>
      <c r="G1786" s="6">
        <v>0.545</v>
      </c>
      <c r="H1786" s="1" t="s">
        <v>157</v>
      </c>
      <c r="I1786" s="1">
        <v>16.0</v>
      </c>
      <c r="J1786" s="1">
        <v>2.0</v>
      </c>
    </row>
    <row r="1787">
      <c r="A1787" s="1">
        <v>1.0</v>
      </c>
      <c r="B1787" s="1">
        <v>4.0</v>
      </c>
      <c r="C1787" s="1">
        <v>1.0</v>
      </c>
      <c r="D1787" s="1">
        <v>0.0</v>
      </c>
      <c r="E1787" s="1">
        <v>0.0</v>
      </c>
      <c r="F1787" s="1">
        <v>0.0</v>
      </c>
      <c r="G1787" s="2">
        <v>0.0</v>
      </c>
      <c r="H1787" s="1" t="s">
        <v>157</v>
      </c>
      <c r="I1787" s="1">
        <v>0.0</v>
      </c>
      <c r="J1787" s="1">
        <v>0.0</v>
      </c>
    </row>
    <row r="1788">
      <c r="A1788" s="1">
        <v>5.0</v>
      </c>
      <c r="B1788" s="1">
        <v>20.0</v>
      </c>
      <c r="C1788" s="1">
        <v>9.0</v>
      </c>
      <c r="D1788" s="1">
        <v>1.6</v>
      </c>
      <c r="E1788" s="1">
        <v>0.4</v>
      </c>
      <c r="F1788" s="1">
        <v>0.0</v>
      </c>
      <c r="G1788" s="6">
        <v>0.444</v>
      </c>
      <c r="H1788" s="1" t="s">
        <v>155</v>
      </c>
      <c r="I1788" s="1">
        <v>8.0</v>
      </c>
      <c r="J1788" s="1">
        <v>2.0</v>
      </c>
    </row>
    <row r="1789">
      <c r="A1789" s="1">
        <v>5.0</v>
      </c>
      <c r="B1789" s="1">
        <v>20.0</v>
      </c>
      <c r="C1789" s="1">
        <v>7.0</v>
      </c>
      <c r="D1789" s="1">
        <v>3.2</v>
      </c>
      <c r="E1789" s="1">
        <v>0.2</v>
      </c>
      <c r="F1789" s="1">
        <v>0.0</v>
      </c>
      <c r="G1789" s="6">
        <v>0.714</v>
      </c>
      <c r="H1789" s="1" t="s">
        <v>212</v>
      </c>
      <c r="I1789" s="1">
        <v>16.0</v>
      </c>
      <c r="J1789" s="1">
        <v>1.0</v>
      </c>
    </row>
    <row r="1790">
      <c r="A1790" s="1">
        <v>1.0</v>
      </c>
      <c r="B1790" s="1">
        <v>4.0</v>
      </c>
      <c r="C1790" s="1">
        <v>0.0</v>
      </c>
      <c r="D1790" s="1">
        <v>0.0</v>
      </c>
      <c r="E1790" s="1">
        <v>0.0</v>
      </c>
      <c r="F1790" s="1">
        <v>0.0</v>
      </c>
      <c r="G1790" s="2">
        <v>0.0</v>
      </c>
      <c r="H1790" s="1" t="s">
        <v>334</v>
      </c>
      <c r="I1790" s="1">
        <v>0.0</v>
      </c>
      <c r="J1790" s="1">
        <v>0.0</v>
      </c>
    </row>
    <row r="1791">
      <c r="A1791" s="1">
        <v>5.0</v>
      </c>
      <c r="B1791" s="1">
        <v>20.0</v>
      </c>
      <c r="C1791" s="1">
        <v>0.0</v>
      </c>
      <c r="D1791" s="1">
        <v>0.0</v>
      </c>
      <c r="E1791" s="1">
        <v>0.0</v>
      </c>
      <c r="F1791" s="1">
        <v>0.0</v>
      </c>
      <c r="G1791" s="2">
        <v>0.0</v>
      </c>
      <c r="H1791" s="1" t="s">
        <v>215</v>
      </c>
      <c r="I1791" s="1">
        <v>0.0</v>
      </c>
      <c r="J1791" s="1">
        <v>0.0</v>
      </c>
    </row>
    <row r="1792">
      <c r="A1792" s="1">
        <v>2.0</v>
      </c>
      <c r="B1792" s="1">
        <v>8.0</v>
      </c>
      <c r="C1792" s="1">
        <v>0.0</v>
      </c>
      <c r="D1792" s="1">
        <v>0.0</v>
      </c>
      <c r="E1792" s="1">
        <v>0.0</v>
      </c>
      <c r="F1792" s="1">
        <v>0.0</v>
      </c>
      <c r="G1792" s="2">
        <v>0.0</v>
      </c>
      <c r="H1792" s="1" t="s">
        <v>168</v>
      </c>
      <c r="I1792" s="1">
        <v>0.0</v>
      </c>
      <c r="J1792" s="1">
        <v>0.0</v>
      </c>
    </row>
    <row r="1793">
      <c r="A1793" s="1">
        <v>3.0</v>
      </c>
      <c r="B1793" s="1">
        <v>11.0</v>
      </c>
      <c r="C1793" s="1">
        <v>0.0</v>
      </c>
      <c r="D1793" s="1">
        <v>0.0</v>
      </c>
      <c r="E1793" s="1">
        <v>0.0</v>
      </c>
      <c r="F1793" s="1">
        <v>0.0</v>
      </c>
      <c r="G1793" s="2">
        <v>0.0</v>
      </c>
      <c r="H1793" s="1" t="s">
        <v>168</v>
      </c>
      <c r="I1793" s="1">
        <v>0.0</v>
      </c>
      <c r="J1793" s="1">
        <v>0.0</v>
      </c>
    </row>
    <row r="1794">
      <c r="A1794" s="1">
        <v>1.0</v>
      </c>
      <c r="B1794" s="1">
        <v>4.0</v>
      </c>
      <c r="C1794" s="1">
        <v>3.0</v>
      </c>
      <c r="D1794" s="1">
        <v>12.0</v>
      </c>
      <c r="E1794" s="1">
        <v>0.0</v>
      </c>
      <c r="F1794" s="1">
        <v>0.0</v>
      </c>
      <c r="G1794" s="2">
        <v>1.0</v>
      </c>
      <c r="H1794" s="1" t="s">
        <v>113</v>
      </c>
      <c r="I1794" s="1">
        <v>12.0</v>
      </c>
      <c r="J1794" s="1">
        <v>0.0</v>
      </c>
    </row>
    <row r="1795">
      <c r="A1795" s="1">
        <v>1.0</v>
      </c>
      <c r="B1795" s="1">
        <v>4.0</v>
      </c>
      <c r="C1795" s="1">
        <v>3.0</v>
      </c>
      <c r="D1795" s="1">
        <v>12.0</v>
      </c>
      <c r="E1795" s="1">
        <v>0.0</v>
      </c>
      <c r="F1795" s="1">
        <v>0.0</v>
      </c>
      <c r="G1795" s="2">
        <v>1.0</v>
      </c>
      <c r="H1795" s="1" t="s">
        <v>113</v>
      </c>
      <c r="I1795" s="1">
        <v>12.0</v>
      </c>
      <c r="J1795" s="1">
        <v>0.0</v>
      </c>
    </row>
    <row r="1796">
      <c r="A1796" s="1">
        <v>3.0</v>
      </c>
      <c r="B1796" s="1">
        <v>11.0</v>
      </c>
      <c r="C1796" s="1">
        <v>8.0</v>
      </c>
      <c r="D1796" s="1">
        <v>1.33</v>
      </c>
      <c r="E1796" s="1">
        <v>0.67</v>
      </c>
      <c r="F1796" s="1">
        <v>0.0</v>
      </c>
      <c r="G1796" s="6">
        <v>0.375</v>
      </c>
      <c r="H1796" s="1" t="s">
        <v>113</v>
      </c>
      <c r="I1796" s="1">
        <v>4.0</v>
      </c>
      <c r="J1796" s="1">
        <v>2.0</v>
      </c>
    </row>
    <row r="1797">
      <c r="A1797" s="1">
        <v>1.0</v>
      </c>
      <c r="B1797" s="1">
        <v>4.0</v>
      </c>
      <c r="C1797" s="1">
        <v>0.0</v>
      </c>
      <c r="D1797" s="1">
        <v>0.0</v>
      </c>
      <c r="E1797" s="1">
        <v>0.0</v>
      </c>
      <c r="F1797" s="1">
        <v>0.0</v>
      </c>
      <c r="G1797" s="2">
        <v>0.0</v>
      </c>
      <c r="H1797" s="1" t="s">
        <v>335</v>
      </c>
      <c r="I1797" s="1">
        <v>0.0</v>
      </c>
      <c r="J1797" s="1">
        <v>0.0</v>
      </c>
    </row>
    <row r="1798">
      <c r="A1798" s="1">
        <v>2.0</v>
      </c>
      <c r="B1798" s="1">
        <v>8.0</v>
      </c>
      <c r="C1798" s="1">
        <v>0.0</v>
      </c>
      <c r="D1798" s="1">
        <v>0.0</v>
      </c>
      <c r="E1798" s="1">
        <v>0.0</v>
      </c>
      <c r="F1798" s="1">
        <v>0.0</v>
      </c>
      <c r="G1798" s="2">
        <v>0.0</v>
      </c>
      <c r="H1798" s="1" t="s">
        <v>335</v>
      </c>
      <c r="I1798" s="1">
        <v>0.0</v>
      </c>
      <c r="J1798" s="1">
        <v>0.0</v>
      </c>
    </row>
    <row r="1799">
      <c r="A1799" s="1">
        <v>1.0</v>
      </c>
      <c r="B1799" s="1">
        <v>4.0</v>
      </c>
      <c r="C1799" s="1">
        <v>0.0</v>
      </c>
      <c r="D1799" s="1">
        <v>0.0</v>
      </c>
      <c r="E1799" s="1">
        <v>0.0</v>
      </c>
      <c r="F1799" s="1">
        <v>0.0</v>
      </c>
      <c r="G1799" s="2">
        <v>0.0</v>
      </c>
      <c r="H1799" s="1" t="s">
        <v>336</v>
      </c>
      <c r="I1799" s="1">
        <v>0.0</v>
      </c>
      <c r="J1799" s="1">
        <v>0.0</v>
      </c>
    </row>
    <row r="1800">
      <c r="A1800" s="1">
        <v>1.0</v>
      </c>
      <c r="B1800" s="1">
        <v>4.0</v>
      </c>
      <c r="C1800" s="1">
        <v>0.0</v>
      </c>
      <c r="D1800" s="1">
        <v>0.0</v>
      </c>
      <c r="E1800" s="1">
        <v>0.0</v>
      </c>
      <c r="F1800" s="1">
        <v>0.0</v>
      </c>
      <c r="G1800" s="2">
        <v>0.0</v>
      </c>
      <c r="H1800" s="1" t="s">
        <v>336</v>
      </c>
      <c r="I1800" s="1">
        <v>0.0</v>
      </c>
      <c r="J1800" s="1">
        <v>0.0</v>
      </c>
    </row>
    <row r="1801">
      <c r="A1801" s="1">
        <v>2.0</v>
      </c>
      <c r="B1801" s="1">
        <v>8.0</v>
      </c>
      <c r="C1801" s="1">
        <v>1.0</v>
      </c>
      <c r="D1801" s="1">
        <v>2.0</v>
      </c>
      <c r="E1801" s="1">
        <v>0.0</v>
      </c>
      <c r="F1801" s="1">
        <v>0.0</v>
      </c>
      <c r="G1801" s="2">
        <v>1.0</v>
      </c>
      <c r="H1801" s="1" t="s">
        <v>337</v>
      </c>
      <c r="I1801" s="1">
        <v>4.0</v>
      </c>
      <c r="J1801" s="1">
        <v>0.0</v>
      </c>
    </row>
    <row r="1802">
      <c r="A1802" s="1">
        <v>3.0</v>
      </c>
      <c r="B1802" s="1">
        <v>11.0</v>
      </c>
      <c r="C1802" s="1">
        <v>0.0</v>
      </c>
      <c r="D1802" s="1">
        <v>0.0</v>
      </c>
      <c r="E1802" s="1">
        <v>0.0</v>
      </c>
      <c r="F1802" s="1">
        <v>0.0</v>
      </c>
      <c r="G1802" s="2">
        <v>0.0</v>
      </c>
      <c r="H1802" s="1" t="s">
        <v>337</v>
      </c>
      <c r="I1802" s="1">
        <v>0.0</v>
      </c>
      <c r="J1802" s="1">
        <v>0.0</v>
      </c>
    </row>
    <row r="1803">
      <c r="A1803" s="1">
        <v>4.0</v>
      </c>
      <c r="B1803" s="1">
        <v>14.0</v>
      </c>
      <c r="C1803" s="1">
        <v>4.0</v>
      </c>
      <c r="D1803" s="1">
        <v>1.0</v>
      </c>
      <c r="E1803" s="1">
        <v>0.0</v>
      </c>
      <c r="F1803" s="1">
        <v>0.0</v>
      </c>
      <c r="G1803" s="2">
        <v>0.25</v>
      </c>
      <c r="H1803" s="1" t="s">
        <v>299</v>
      </c>
      <c r="I1803" s="1">
        <v>4.0</v>
      </c>
      <c r="J1803" s="1">
        <v>0.0</v>
      </c>
    </row>
    <row r="1804">
      <c r="A1804" s="1">
        <v>1.0</v>
      </c>
      <c r="B1804" s="1">
        <v>3.0</v>
      </c>
      <c r="C1804" s="1">
        <v>1.0</v>
      </c>
      <c r="D1804" s="1">
        <v>4.0</v>
      </c>
      <c r="E1804" s="1">
        <v>0.0</v>
      </c>
      <c r="F1804" s="1">
        <v>0.0</v>
      </c>
      <c r="G1804" s="2">
        <v>1.0</v>
      </c>
      <c r="H1804" s="1" t="s">
        <v>256</v>
      </c>
      <c r="I1804" s="1">
        <v>4.0</v>
      </c>
      <c r="J1804" s="1">
        <v>0.0</v>
      </c>
    </row>
    <row r="1805">
      <c r="A1805" s="1">
        <v>1.0</v>
      </c>
      <c r="B1805" s="1">
        <v>3.0</v>
      </c>
      <c r="C1805" s="1">
        <v>0.0</v>
      </c>
      <c r="D1805" s="1">
        <v>0.0</v>
      </c>
      <c r="E1805" s="1">
        <v>0.0</v>
      </c>
      <c r="F1805" s="1">
        <v>0.0</v>
      </c>
      <c r="G1805" s="2">
        <v>0.0</v>
      </c>
      <c r="H1805" s="1" t="s">
        <v>216</v>
      </c>
      <c r="I1805" s="1">
        <v>0.0</v>
      </c>
      <c r="J1805" s="1">
        <v>0.0</v>
      </c>
    </row>
    <row r="1806">
      <c r="A1806" s="1">
        <v>1.0</v>
      </c>
      <c r="B1806" s="1">
        <v>4.0</v>
      </c>
      <c r="C1806" s="1">
        <v>0.0</v>
      </c>
      <c r="D1806" s="1">
        <v>0.0</v>
      </c>
      <c r="E1806" s="1">
        <v>0.0</v>
      </c>
      <c r="F1806" s="1">
        <v>0.0</v>
      </c>
      <c r="G1806" s="2">
        <v>0.0</v>
      </c>
      <c r="H1806" s="1" t="s">
        <v>216</v>
      </c>
      <c r="I1806" s="1">
        <v>0.0</v>
      </c>
      <c r="J1806" s="1">
        <v>0.0</v>
      </c>
    </row>
    <row r="1807">
      <c r="A1807" s="1">
        <v>3.0</v>
      </c>
      <c r="B1807" s="1">
        <v>10.0</v>
      </c>
      <c r="C1807" s="1">
        <v>6.0</v>
      </c>
      <c r="D1807" s="1">
        <v>1.33</v>
      </c>
      <c r="E1807" s="1">
        <v>0.33</v>
      </c>
      <c r="F1807" s="1">
        <v>0.0</v>
      </c>
      <c r="G1807" s="6">
        <v>0.333</v>
      </c>
      <c r="H1807" s="1" t="s">
        <v>216</v>
      </c>
      <c r="I1807" s="1">
        <v>4.0</v>
      </c>
      <c r="J1807" s="1">
        <v>1.0</v>
      </c>
    </row>
    <row r="1808">
      <c r="A1808" s="1">
        <v>1.0</v>
      </c>
      <c r="B1808" s="1">
        <v>4.0</v>
      </c>
      <c r="C1808" s="1">
        <v>0.0</v>
      </c>
      <c r="D1808" s="1">
        <v>0.0</v>
      </c>
      <c r="E1808" s="1">
        <v>0.0</v>
      </c>
      <c r="F1808" s="1">
        <v>0.0</v>
      </c>
      <c r="G1808" s="2">
        <v>0.0</v>
      </c>
      <c r="H1808" s="1" t="s">
        <v>338</v>
      </c>
      <c r="I1808" s="1">
        <v>0.0</v>
      </c>
      <c r="J1808" s="1">
        <v>0.0</v>
      </c>
    </row>
    <row r="1809">
      <c r="A1809" s="1">
        <v>1.0</v>
      </c>
      <c r="B1809" s="1">
        <v>4.0</v>
      </c>
      <c r="C1809" s="1">
        <v>0.0</v>
      </c>
      <c r="D1809" s="1">
        <v>0.0</v>
      </c>
      <c r="E1809" s="1">
        <v>0.0</v>
      </c>
      <c r="F1809" s="1">
        <v>0.0</v>
      </c>
      <c r="G1809" s="2">
        <v>0.0</v>
      </c>
      <c r="H1809" s="1" t="s">
        <v>338</v>
      </c>
      <c r="I1809" s="1">
        <v>0.0</v>
      </c>
      <c r="J1809" s="1">
        <v>0.0</v>
      </c>
    </row>
    <row r="1810">
      <c r="A1810" s="1">
        <v>1.0</v>
      </c>
      <c r="B1810" s="1">
        <v>4.0</v>
      </c>
      <c r="C1810" s="1">
        <v>1.0</v>
      </c>
      <c r="D1810" s="1">
        <v>4.0</v>
      </c>
      <c r="E1810" s="1">
        <v>0.0</v>
      </c>
      <c r="F1810" s="1">
        <v>0.0</v>
      </c>
      <c r="G1810" s="2">
        <v>1.0</v>
      </c>
      <c r="H1810" s="1" t="s">
        <v>339</v>
      </c>
      <c r="I1810" s="1">
        <v>4.0</v>
      </c>
      <c r="J1810" s="1">
        <v>0.0</v>
      </c>
    </row>
    <row r="1811">
      <c r="A1811" s="1">
        <v>1.0</v>
      </c>
      <c r="B1811" s="1">
        <v>4.0</v>
      </c>
      <c r="C1811" s="1">
        <v>1.0</v>
      </c>
      <c r="D1811" s="1">
        <v>4.0</v>
      </c>
      <c r="E1811" s="1">
        <v>0.0</v>
      </c>
      <c r="F1811" s="1">
        <v>0.0</v>
      </c>
      <c r="G1811" s="2">
        <v>1.0</v>
      </c>
      <c r="H1811" s="1" t="s">
        <v>83</v>
      </c>
      <c r="I1811" s="1">
        <v>4.0</v>
      </c>
      <c r="J1811" s="1">
        <v>0.0</v>
      </c>
    </row>
    <row r="1812">
      <c r="A1812" s="1">
        <v>2.0</v>
      </c>
      <c r="B1812" s="1">
        <v>8.0</v>
      </c>
      <c r="C1812" s="1">
        <v>5.0</v>
      </c>
      <c r="D1812" s="1">
        <v>4.0</v>
      </c>
      <c r="E1812" s="1">
        <v>0.0</v>
      </c>
      <c r="F1812" s="1">
        <v>0.0</v>
      </c>
      <c r="G1812" s="2">
        <v>0.4</v>
      </c>
      <c r="H1812" s="1" t="s">
        <v>83</v>
      </c>
      <c r="I1812" s="1">
        <v>8.0</v>
      </c>
      <c r="J1812" s="1">
        <v>0.0</v>
      </c>
    </row>
    <row r="1813">
      <c r="A1813" s="1">
        <v>1.0</v>
      </c>
      <c r="B1813" s="1">
        <v>4.0</v>
      </c>
      <c r="C1813" s="1">
        <v>1.0</v>
      </c>
      <c r="D1813" s="1">
        <v>0.0</v>
      </c>
      <c r="E1813" s="1">
        <v>0.0</v>
      </c>
      <c r="F1813" s="1">
        <v>0.0</v>
      </c>
      <c r="G1813" s="2">
        <v>0.0</v>
      </c>
      <c r="H1813" s="1" t="s">
        <v>340</v>
      </c>
      <c r="I1813" s="1">
        <v>0.0</v>
      </c>
      <c r="J1813" s="1">
        <v>0.0</v>
      </c>
    </row>
    <row r="1814">
      <c r="A1814" s="1">
        <v>1.0</v>
      </c>
      <c r="B1814" s="1">
        <v>4.0</v>
      </c>
      <c r="C1814" s="1">
        <v>0.0</v>
      </c>
      <c r="D1814" s="1">
        <v>0.0</v>
      </c>
      <c r="E1814" s="1">
        <v>0.0</v>
      </c>
      <c r="F1814" s="1">
        <v>0.0</v>
      </c>
      <c r="G1814" s="2">
        <v>0.0</v>
      </c>
      <c r="H1814" s="1" t="s">
        <v>340</v>
      </c>
      <c r="I1814" s="1">
        <v>0.0</v>
      </c>
      <c r="J1814" s="1">
        <v>0.0</v>
      </c>
    </row>
    <row r="1815">
      <c r="A1815" s="1">
        <v>3.0</v>
      </c>
      <c r="B1815" s="1">
        <v>11.0</v>
      </c>
      <c r="C1815" s="1">
        <v>0.0</v>
      </c>
      <c r="D1815" s="1">
        <v>0.0</v>
      </c>
      <c r="E1815" s="1">
        <v>0.0</v>
      </c>
      <c r="F1815" s="1">
        <v>0.0</v>
      </c>
      <c r="G1815" s="2">
        <v>0.0</v>
      </c>
      <c r="H1815" s="1" t="s">
        <v>258</v>
      </c>
      <c r="I1815" s="1">
        <v>0.0</v>
      </c>
      <c r="J1815" s="1">
        <v>0.0</v>
      </c>
    </row>
    <row r="1816">
      <c r="A1816" s="1">
        <v>1.0</v>
      </c>
      <c r="B1816" s="1">
        <v>4.0</v>
      </c>
      <c r="C1816" s="1">
        <v>0.0</v>
      </c>
      <c r="D1816" s="1">
        <v>0.0</v>
      </c>
      <c r="E1816" s="1">
        <v>0.0</v>
      </c>
      <c r="F1816" s="1">
        <v>0.0</v>
      </c>
      <c r="G1816" s="2">
        <v>0.0</v>
      </c>
      <c r="H1816" s="1" t="s">
        <v>301</v>
      </c>
      <c r="I1816" s="1">
        <v>0.0</v>
      </c>
      <c r="J1816" s="1">
        <v>0.0</v>
      </c>
    </row>
    <row r="1817">
      <c r="A1817" s="1">
        <v>1.0</v>
      </c>
      <c r="B1817" s="1">
        <v>4.0</v>
      </c>
      <c r="C1817" s="1">
        <v>0.0</v>
      </c>
      <c r="D1817" s="1">
        <v>0.0</v>
      </c>
      <c r="E1817" s="1">
        <v>0.0</v>
      </c>
      <c r="F1817" s="1">
        <v>0.0</v>
      </c>
      <c r="G1817" s="2">
        <v>0.0</v>
      </c>
      <c r="H1817" s="1" t="s">
        <v>301</v>
      </c>
      <c r="I1817" s="1">
        <v>0.0</v>
      </c>
      <c r="J1817" s="1">
        <v>0.0</v>
      </c>
    </row>
    <row r="1818">
      <c r="A1818" s="1">
        <v>2.0</v>
      </c>
      <c r="B1818" s="1">
        <v>7.0</v>
      </c>
      <c r="C1818" s="1">
        <v>6.0</v>
      </c>
      <c r="D1818" s="1">
        <v>10.0</v>
      </c>
      <c r="E1818" s="1">
        <v>0.0</v>
      </c>
      <c r="F1818" s="1">
        <v>0.0</v>
      </c>
      <c r="G1818" s="6">
        <v>0.833</v>
      </c>
      <c r="H1818" s="1" t="s">
        <v>87</v>
      </c>
      <c r="I1818" s="1">
        <v>20.0</v>
      </c>
      <c r="J1818" s="1">
        <v>0.0</v>
      </c>
    </row>
    <row r="1819">
      <c r="A1819" s="1">
        <v>1.0</v>
      </c>
      <c r="B1819" s="1">
        <v>4.0</v>
      </c>
      <c r="C1819" s="1">
        <v>2.0</v>
      </c>
      <c r="D1819" s="1">
        <v>8.0</v>
      </c>
      <c r="E1819" s="1">
        <v>0.0</v>
      </c>
      <c r="F1819" s="1">
        <v>0.0</v>
      </c>
      <c r="G1819" s="2">
        <v>1.0</v>
      </c>
      <c r="H1819" s="1" t="s">
        <v>87</v>
      </c>
      <c r="I1819" s="1">
        <v>8.0</v>
      </c>
      <c r="J1819" s="1">
        <v>0.0</v>
      </c>
    </row>
    <row r="1820">
      <c r="A1820" s="1">
        <v>1.0</v>
      </c>
      <c r="B1820" s="1">
        <v>4.0</v>
      </c>
      <c r="C1820" s="1">
        <v>4.0</v>
      </c>
      <c r="D1820" s="1">
        <v>4.0</v>
      </c>
      <c r="E1820" s="1">
        <v>1.0</v>
      </c>
      <c r="F1820" s="1">
        <v>0.0</v>
      </c>
      <c r="G1820" s="2">
        <v>0.5</v>
      </c>
      <c r="H1820" s="1" t="s">
        <v>87</v>
      </c>
      <c r="I1820" s="1">
        <v>4.0</v>
      </c>
      <c r="J1820" s="1">
        <v>1.0</v>
      </c>
    </row>
    <row r="1821">
      <c r="A1821" s="1">
        <v>1.0</v>
      </c>
      <c r="B1821" s="1">
        <v>4.0</v>
      </c>
      <c r="C1821" s="1">
        <v>0.0</v>
      </c>
      <c r="D1821" s="1">
        <v>0.0</v>
      </c>
      <c r="E1821" s="1">
        <v>0.0</v>
      </c>
      <c r="F1821" s="1">
        <v>0.0</v>
      </c>
      <c r="G1821" s="2">
        <v>0.0</v>
      </c>
      <c r="H1821" s="1" t="s">
        <v>341</v>
      </c>
      <c r="I1821" s="1">
        <v>0.0</v>
      </c>
      <c r="J1821" s="1">
        <v>0.0</v>
      </c>
    </row>
    <row r="1822">
      <c r="A1822" s="1">
        <v>1.0</v>
      </c>
      <c r="B1822" s="1">
        <v>4.0</v>
      </c>
      <c r="C1822" s="1">
        <v>0.0</v>
      </c>
      <c r="D1822" s="1">
        <v>0.0</v>
      </c>
      <c r="E1822" s="1">
        <v>0.0</v>
      </c>
      <c r="F1822" s="1">
        <v>0.0</v>
      </c>
      <c r="G1822" s="2">
        <v>0.0</v>
      </c>
      <c r="H1822" s="1" t="s">
        <v>341</v>
      </c>
      <c r="I1822" s="1">
        <v>0.0</v>
      </c>
      <c r="J1822" s="1">
        <v>0.0</v>
      </c>
    </row>
    <row r="1823">
      <c r="A1823" s="1">
        <v>5.0</v>
      </c>
      <c r="B1823" s="1">
        <v>20.0</v>
      </c>
      <c r="C1823" s="1">
        <v>11.0</v>
      </c>
      <c r="D1823" s="1">
        <v>0.0</v>
      </c>
      <c r="E1823" s="1">
        <v>0.4</v>
      </c>
      <c r="F1823" s="1">
        <v>0.0</v>
      </c>
      <c r="G1823" s="6">
        <v>0.182</v>
      </c>
      <c r="H1823" s="1" t="s">
        <v>312</v>
      </c>
      <c r="I1823" s="1">
        <v>0.0</v>
      </c>
      <c r="J1823" s="1">
        <v>2.0</v>
      </c>
    </row>
    <row r="1824">
      <c r="A1824" s="1">
        <v>4.0</v>
      </c>
      <c r="B1824" s="1">
        <v>16.0</v>
      </c>
      <c r="C1824" s="1">
        <v>2.0</v>
      </c>
      <c r="D1824" s="1">
        <v>1.0</v>
      </c>
      <c r="E1824" s="1">
        <v>0.0</v>
      </c>
      <c r="F1824" s="1">
        <v>0.0</v>
      </c>
      <c r="G1824" s="2">
        <v>0.5</v>
      </c>
      <c r="H1824" s="1" t="s">
        <v>260</v>
      </c>
      <c r="I1824" s="1">
        <v>4.0</v>
      </c>
      <c r="J1824" s="1">
        <v>0.0</v>
      </c>
    </row>
    <row r="1825">
      <c r="A1825" s="1">
        <v>1.0</v>
      </c>
      <c r="B1825" s="1">
        <v>4.0</v>
      </c>
      <c r="C1825" s="1">
        <v>0.0</v>
      </c>
      <c r="D1825" s="1">
        <v>0.0</v>
      </c>
      <c r="E1825" s="1">
        <v>0.0</v>
      </c>
      <c r="F1825" s="1">
        <v>0.0</v>
      </c>
      <c r="G1825" s="2">
        <v>0.0</v>
      </c>
      <c r="H1825" s="1" t="s">
        <v>260</v>
      </c>
      <c r="I1825" s="1">
        <v>0.0</v>
      </c>
      <c r="J1825" s="1">
        <v>0.0</v>
      </c>
    </row>
    <row r="1826">
      <c r="A1826" s="1">
        <v>4.0</v>
      </c>
      <c r="B1826" s="1">
        <v>16.0</v>
      </c>
      <c r="C1826" s="1">
        <v>2.0</v>
      </c>
      <c r="D1826" s="1">
        <v>1.0</v>
      </c>
      <c r="E1826" s="1">
        <v>0.0</v>
      </c>
      <c r="F1826" s="1">
        <v>0.0</v>
      </c>
      <c r="G1826" s="2">
        <v>0.5</v>
      </c>
      <c r="H1826" s="1" t="s">
        <v>327</v>
      </c>
      <c r="I1826" s="1">
        <v>4.0</v>
      </c>
      <c r="J1826" s="1">
        <v>0.0</v>
      </c>
    </row>
    <row r="1827">
      <c r="A1827" s="1">
        <v>5.0</v>
      </c>
      <c r="B1827" s="1">
        <v>20.0</v>
      </c>
      <c r="C1827" s="1">
        <v>13.0</v>
      </c>
      <c r="D1827" s="1">
        <v>3.2</v>
      </c>
      <c r="E1827" s="1">
        <v>0.6</v>
      </c>
      <c r="F1827" s="1">
        <v>0.0</v>
      </c>
      <c r="G1827" s="6">
        <v>0.538</v>
      </c>
      <c r="H1827" s="1" t="s">
        <v>131</v>
      </c>
      <c r="I1827" s="1">
        <v>16.0</v>
      </c>
      <c r="J1827" s="1">
        <v>3.0</v>
      </c>
    </row>
    <row r="1828">
      <c r="A1828" s="1">
        <v>2.0</v>
      </c>
      <c r="B1828" s="1">
        <v>8.0</v>
      </c>
      <c r="C1828" s="1">
        <v>1.0</v>
      </c>
      <c r="D1828" s="1">
        <v>2.0</v>
      </c>
      <c r="E1828" s="1">
        <v>0.0</v>
      </c>
      <c r="F1828" s="1">
        <v>0.0</v>
      </c>
      <c r="G1828" s="2">
        <v>1.0</v>
      </c>
      <c r="H1828" s="1" t="s">
        <v>342</v>
      </c>
      <c r="I1828" s="1">
        <v>4.0</v>
      </c>
      <c r="J1828" s="1">
        <v>0.0</v>
      </c>
    </row>
    <row r="1829">
      <c r="A1829" s="1">
        <v>4.0</v>
      </c>
      <c r="B1829" s="1">
        <v>16.0</v>
      </c>
      <c r="C1829" s="1">
        <v>0.0</v>
      </c>
      <c r="D1829" s="1">
        <v>0.0</v>
      </c>
      <c r="E1829" s="1">
        <v>0.0</v>
      </c>
      <c r="F1829" s="1">
        <v>0.0</v>
      </c>
      <c r="G1829" s="2">
        <v>0.0</v>
      </c>
      <c r="H1829" s="1" t="s">
        <v>343</v>
      </c>
      <c r="I1829" s="1">
        <v>0.0</v>
      </c>
      <c r="J1829" s="1">
        <v>0.0</v>
      </c>
    </row>
    <row r="1830">
      <c r="A1830" s="1">
        <v>1.0</v>
      </c>
      <c r="B1830" s="1">
        <v>4.0</v>
      </c>
      <c r="C1830" s="1">
        <v>0.0</v>
      </c>
      <c r="D1830" s="1">
        <v>0.0</v>
      </c>
      <c r="E1830" s="1">
        <v>0.0</v>
      </c>
      <c r="F1830" s="1">
        <v>0.0</v>
      </c>
      <c r="G1830" s="2">
        <v>0.0</v>
      </c>
      <c r="H1830" s="1" t="s">
        <v>343</v>
      </c>
      <c r="I1830" s="1">
        <v>0.0</v>
      </c>
      <c r="J1830" s="1">
        <v>0.0</v>
      </c>
    </row>
    <row r="1831">
      <c r="A1831" s="1">
        <v>2.0</v>
      </c>
      <c r="B1831" s="1">
        <v>8.0</v>
      </c>
      <c r="C1831" s="1">
        <v>1.0</v>
      </c>
      <c r="D1831" s="1">
        <v>0.0</v>
      </c>
      <c r="E1831" s="1">
        <v>0.0</v>
      </c>
      <c r="F1831" s="1">
        <v>0.0</v>
      </c>
      <c r="G1831" s="2">
        <v>0.0</v>
      </c>
      <c r="H1831" s="1" t="s">
        <v>302</v>
      </c>
      <c r="I1831" s="1">
        <v>0.0</v>
      </c>
      <c r="J1831" s="1">
        <v>0.0</v>
      </c>
    </row>
    <row r="1832">
      <c r="A1832" s="1">
        <v>5.0</v>
      </c>
      <c r="B1832" s="1">
        <v>19.0</v>
      </c>
      <c r="C1832" s="1">
        <v>0.0</v>
      </c>
      <c r="D1832" s="1">
        <v>0.0</v>
      </c>
      <c r="E1832" s="1">
        <v>0.0</v>
      </c>
      <c r="F1832" s="1">
        <v>0.0</v>
      </c>
      <c r="G1832" s="2">
        <v>0.0</v>
      </c>
      <c r="H1832" s="1" t="s">
        <v>231</v>
      </c>
      <c r="I1832" s="1">
        <v>0.0</v>
      </c>
      <c r="J1832" s="1">
        <v>0.0</v>
      </c>
    </row>
    <row r="1833">
      <c r="A1833" s="1">
        <v>5.0</v>
      </c>
      <c r="B1833" s="1">
        <v>19.0</v>
      </c>
      <c r="C1833" s="1">
        <v>10.0</v>
      </c>
      <c r="D1833" s="1">
        <v>0.0</v>
      </c>
      <c r="E1833" s="1">
        <v>0.8</v>
      </c>
      <c r="F1833" s="1">
        <v>0.0</v>
      </c>
      <c r="G1833" s="2">
        <v>0.4</v>
      </c>
      <c r="H1833" s="1" t="s">
        <v>122</v>
      </c>
      <c r="I1833" s="1">
        <v>0.0</v>
      </c>
      <c r="J1833" s="1">
        <v>4.0</v>
      </c>
    </row>
    <row r="1834">
      <c r="A1834" s="1">
        <v>3.0</v>
      </c>
      <c r="B1834" s="1">
        <v>12.0</v>
      </c>
      <c r="C1834" s="1">
        <v>3.0</v>
      </c>
      <c r="D1834" s="1">
        <v>2.67</v>
      </c>
      <c r="E1834" s="1">
        <v>0.0</v>
      </c>
      <c r="F1834" s="1">
        <v>0.0</v>
      </c>
      <c r="G1834" s="6">
        <v>0.667</v>
      </c>
      <c r="H1834" s="1" t="s">
        <v>261</v>
      </c>
      <c r="I1834" s="1">
        <v>8.0</v>
      </c>
      <c r="J1834" s="1">
        <v>0.0</v>
      </c>
    </row>
    <row r="1835">
      <c r="A1835" s="1">
        <v>5.0</v>
      </c>
      <c r="B1835" s="1">
        <v>19.0</v>
      </c>
      <c r="C1835" s="1">
        <v>4.0</v>
      </c>
      <c r="D1835" s="1">
        <v>0.0</v>
      </c>
      <c r="E1835" s="1">
        <v>0.4</v>
      </c>
      <c r="F1835" s="1">
        <v>0.0</v>
      </c>
      <c r="G1835" s="2">
        <v>0.5</v>
      </c>
      <c r="H1835" s="1" t="s">
        <v>344</v>
      </c>
      <c r="I1835" s="1">
        <v>0.0</v>
      </c>
      <c r="J1835" s="1">
        <v>2.0</v>
      </c>
    </row>
    <row r="1836">
      <c r="A1836" s="1">
        <v>1.0</v>
      </c>
      <c r="B1836" s="1">
        <v>4.0</v>
      </c>
      <c r="C1836" s="1">
        <v>0.0</v>
      </c>
      <c r="D1836" s="1">
        <v>0.0</v>
      </c>
      <c r="E1836" s="1">
        <v>0.0</v>
      </c>
      <c r="F1836" s="1">
        <v>0.0</v>
      </c>
      <c r="G1836" s="2">
        <v>0.0</v>
      </c>
      <c r="H1836" s="1" t="s">
        <v>345</v>
      </c>
      <c r="I1836" s="1">
        <v>0.0</v>
      </c>
      <c r="J1836" s="1">
        <v>0.0</v>
      </c>
    </row>
    <row r="1837">
      <c r="A1837" s="1">
        <v>4.0</v>
      </c>
      <c r="B1837" s="1">
        <v>15.0</v>
      </c>
      <c r="C1837" s="1">
        <v>0.0</v>
      </c>
      <c r="D1837" s="1">
        <v>0.0</v>
      </c>
      <c r="E1837" s="1">
        <v>0.0</v>
      </c>
      <c r="F1837" s="1">
        <v>0.0</v>
      </c>
      <c r="G1837" s="2">
        <v>0.0</v>
      </c>
      <c r="H1837" s="1" t="s">
        <v>345</v>
      </c>
      <c r="I1837" s="1">
        <v>0.0</v>
      </c>
      <c r="J1837" s="1">
        <v>0.0</v>
      </c>
    </row>
    <row r="1838">
      <c r="A1838" s="1">
        <v>1.0</v>
      </c>
      <c r="B1838" s="1">
        <v>4.0</v>
      </c>
      <c r="C1838" s="1">
        <v>1.0</v>
      </c>
      <c r="D1838" s="1">
        <v>-4.0</v>
      </c>
      <c r="E1838" s="1">
        <v>1.0</v>
      </c>
      <c r="F1838" s="1">
        <v>0.0</v>
      </c>
      <c r="G1838" s="2">
        <v>0.0</v>
      </c>
      <c r="H1838" s="1" t="s">
        <v>346</v>
      </c>
      <c r="I1838" s="1">
        <v>-4.0</v>
      </c>
      <c r="J1838" s="1">
        <v>1.0</v>
      </c>
    </row>
    <row r="1839">
      <c r="A1839" s="1">
        <v>4.0</v>
      </c>
      <c r="B1839" s="1">
        <v>15.0</v>
      </c>
      <c r="C1839" s="1">
        <v>9.0</v>
      </c>
      <c r="D1839" s="1">
        <v>3.0</v>
      </c>
      <c r="E1839" s="1">
        <v>0.5</v>
      </c>
      <c r="F1839" s="1">
        <v>0.0</v>
      </c>
      <c r="G1839" s="6">
        <v>0.556</v>
      </c>
      <c r="H1839" s="1" t="s">
        <v>346</v>
      </c>
      <c r="I1839" s="1">
        <v>12.0</v>
      </c>
      <c r="J1839" s="1">
        <v>2.0</v>
      </c>
    </row>
    <row r="1840">
      <c r="A1840" s="1">
        <v>1.0</v>
      </c>
      <c r="B1840" s="1">
        <v>4.0</v>
      </c>
      <c r="C1840" s="1">
        <v>2.0</v>
      </c>
      <c r="D1840" s="1">
        <v>0.0</v>
      </c>
      <c r="E1840" s="1">
        <v>1.0</v>
      </c>
      <c r="F1840" s="1">
        <v>0.0</v>
      </c>
      <c r="G1840" s="2">
        <v>0.5</v>
      </c>
      <c r="H1840" s="1" t="s">
        <v>347</v>
      </c>
      <c r="I1840" s="1">
        <v>0.0</v>
      </c>
      <c r="J1840" s="1">
        <v>1.0</v>
      </c>
    </row>
    <row r="1841">
      <c r="A1841" s="1">
        <v>4.0</v>
      </c>
      <c r="B1841" s="1">
        <v>15.0</v>
      </c>
      <c r="C1841" s="1">
        <v>2.0</v>
      </c>
      <c r="D1841" s="1">
        <v>-2.0</v>
      </c>
      <c r="E1841" s="1">
        <v>0.5</v>
      </c>
      <c r="F1841" s="1">
        <v>0.0</v>
      </c>
      <c r="G1841" s="2">
        <v>0.0</v>
      </c>
      <c r="H1841" s="1" t="s">
        <v>347</v>
      </c>
      <c r="I1841" s="1">
        <v>-8.0</v>
      </c>
      <c r="J1841" s="1">
        <v>2.0</v>
      </c>
    </row>
    <row r="1842">
      <c r="A1842" s="1">
        <v>1.0</v>
      </c>
      <c r="B1842" s="1">
        <v>4.0</v>
      </c>
      <c r="C1842" s="1">
        <v>1.0</v>
      </c>
      <c r="D1842" s="1">
        <v>-4.0</v>
      </c>
      <c r="E1842" s="1">
        <v>1.0</v>
      </c>
      <c r="F1842" s="1">
        <v>0.0</v>
      </c>
      <c r="G1842" s="2">
        <v>0.0</v>
      </c>
      <c r="H1842" s="1" t="s">
        <v>188</v>
      </c>
      <c r="I1842" s="1">
        <v>-4.0</v>
      </c>
      <c r="J1842" s="1">
        <v>1.0</v>
      </c>
    </row>
    <row r="1843">
      <c r="A1843" s="1">
        <v>4.0</v>
      </c>
      <c r="B1843" s="1">
        <v>15.0</v>
      </c>
      <c r="C1843" s="1">
        <v>3.0</v>
      </c>
      <c r="D1843" s="1">
        <v>-1.0</v>
      </c>
      <c r="E1843" s="1">
        <v>0.25</v>
      </c>
      <c r="F1843" s="1">
        <v>0.0</v>
      </c>
      <c r="G1843" s="2">
        <v>0.0</v>
      </c>
      <c r="H1843" s="1" t="s">
        <v>188</v>
      </c>
      <c r="I1843" s="1">
        <v>-4.0</v>
      </c>
      <c r="J1843" s="1">
        <v>1.0</v>
      </c>
    </row>
    <row r="1844">
      <c r="A1844" s="1">
        <v>3.0</v>
      </c>
      <c r="B1844" s="1">
        <v>11.0</v>
      </c>
      <c r="C1844" s="1">
        <v>4.0</v>
      </c>
      <c r="D1844" s="1">
        <v>1.33</v>
      </c>
      <c r="E1844" s="1">
        <v>0.33</v>
      </c>
      <c r="F1844" s="1">
        <v>0.0</v>
      </c>
      <c r="G1844" s="2">
        <v>0.5</v>
      </c>
      <c r="H1844" s="1" t="s">
        <v>119</v>
      </c>
      <c r="I1844" s="1">
        <v>4.0</v>
      </c>
      <c r="J1844" s="1">
        <v>1.0</v>
      </c>
    </row>
    <row r="1845">
      <c r="A1845" s="1">
        <v>3.0</v>
      </c>
      <c r="B1845" s="1">
        <v>11.0</v>
      </c>
      <c r="C1845" s="1">
        <v>4.0</v>
      </c>
      <c r="D1845" s="1">
        <v>4.0</v>
      </c>
      <c r="E1845" s="1">
        <v>0.0</v>
      </c>
      <c r="F1845" s="1">
        <v>0.0</v>
      </c>
      <c r="G1845" s="2">
        <v>0.75</v>
      </c>
      <c r="H1845" s="1" t="s">
        <v>218</v>
      </c>
      <c r="I1845" s="1">
        <v>12.0</v>
      </c>
      <c r="J1845" s="1">
        <v>0.0</v>
      </c>
    </row>
    <row r="1846">
      <c r="A1846" s="1">
        <v>2.0</v>
      </c>
      <c r="B1846" s="1">
        <v>8.0</v>
      </c>
      <c r="C1846" s="1">
        <v>1.0</v>
      </c>
      <c r="D1846" s="1">
        <v>2.0</v>
      </c>
      <c r="E1846" s="1">
        <v>0.0</v>
      </c>
      <c r="F1846" s="1">
        <v>0.0</v>
      </c>
      <c r="G1846" s="2">
        <v>1.0</v>
      </c>
      <c r="H1846" s="1" t="s">
        <v>348</v>
      </c>
      <c r="I1846" s="1">
        <v>4.0</v>
      </c>
      <c r="J1846" s="1">
        <v>0.0</v>
      </c>
    </row>
    <row r="1847">
      <c r="A1847" s="1">
        <v>3.0</v>
      </c>
      <c r="B1847" s="1">
        <v>11.0</v>
      </c>
      <c r="C1847" s="1">
        <v>0.0</v>
      </c>
      <c r="D1847" s="1">
        <v>0.0</v>
      </c>
      <c r="E1847" s="1">
        <v>0.0</v>
      </c>
      <c r="F1847" s="1">
        <v>0.0</v>
      </c>
      <c r="G1847" s="2">
        <v>0.0</v>
      </c>
      <c r="H1847" s="1" t="s">
        <v>349</v>
      </c>
      <c r="I1847" s="1">
        <v>0.0</v>
      </c>
      <c r="J1847" s="1">
        <v>0.0</v>
      </c>
    </row>
    <row r="1848">
      <c r="A1848" s="1">
        <v>4.0</v>
      </c>
      <c r="B1848" s="1">
        <v>15.0</v>
      </c>
      <c r="C1848" s="1">
        <v>2.0</v>
      </c>
      <c r="D1848" s="1">
        <v>1.0</v>
      </c>
      <c r="E1848" s="1">
        <v>0.0</v>
      </c>
      <c r="F1848" s="1">
        <v>0.0</v>
      </c>
      <c r="G1848" s="2">
        <v>0.5</v>
      </c>
      <c r="H1848" s="1" t="s">
        <v>193</v>
      </c>
      <c r="I1848" s="1">
        <v>4.0</v>
      </c>
      <c r="J1848" s="1">
        <v>0.0</v>
      </c>
    </row>
    <row r="1849">
      <c r="A1849" s="1">
        <v>1.0</v>
      </c>
      <c r="B1849" s="1">
        <v>4.0</v>
      </c>
      <c r="C1849" s="1">
        <v>0.0</v>
      </c>
      <c r="D1849" s="1">
        <v>0.0</v>
      </c>
      <c r="E1849" s="1">
        <v>0.0</v>
      </c>
      <c r="F1849" s="1">
        <v>0.0</v>
      </c>
      <c r="G1849" s="2">
        <v>0.0</v>
      </c>
      <c r="H1849" s="1" t="s">
        <v>0</v>
      </c>
      <c r="I1849" s="1">
        <v>0.0</v>
      </c>
      <c r="J1849" s="1">
        <v>0.0</v>
      </c>
    </row>
    <row r="1850">
      <c r="A1850" s="1">
        <v>4.0</v>
      </c>
      <c r="B1850" s="1">
        <v>16.0</v>
      </c>
      <c r="C1850" s="1">
        <v>0.0</v>
      </c>
      <c r="D1850" s="1">
        <v>0.0</v>
      </c>
      <c r="E1850" s="1">
        <v>0.0</v>
      </c>
      <c r="F1850" s="1">
        <v>0.0</v>
      </c>
      <c r="G1850" s="2">
        <v>0.0</v>
      </c>
      <c r="H1850" s="1" t="s">
        <v>2</v>
      </c>
      <c r="I1850" s="1">
        <v>0.0</v>
      </c>
      <c r="J1850" s="1">
        <v>0.0</v>
      </c>
    </row>
    <row r="1851">
      <c r="A1851" s="1">
        <v>1.0</v>
      </c>
      <c r="B1851" s="1">
        <v>4.0</v>
      </c>
      <c r="C1851" s="1">
        <v>0.0</v>
      </c>
      <c r="D1851" s="1">
        <v>0.0</v>
      </c>
      <c r="E1851" s="1">
        <v>0.0</v>
      </c>
      <c r="F1851" s="1">
        <v>0.0</v>
      </c>
      <c r="G1851" s="2">
        <v>0.0</v>
      </c>
      <c r="H1851" s="1" t="s">
        <v>2</v>
      </c>
      <c r="I1851" s="1">
        <v>0.0</v>
      </c>
      <c r="J1851" s="1">
        <v>0.0</v>
      </c>
    </row>
    <row r="1852">
      <c r="A1852" s="1">
        <v>4.0</v>
      </c>
      <c r="B1852" s="1">
        <v>16.0</v>
      </c>
      <c r="C1852" s="1">
        <v>0.0</v>
      </c>
      <c r="D1852" s="1">
        <v>0.0</v>
      </c>
      <c r="E1852" s="1">
        <v>0.0</v>
      </c>
      <c r="F1852" s="1">
        <v>0.0</v>
      </c>
      <c r="G1852" s="2">
        <v>0.0</v>
      </c>
      <c r="H1852" s="1" t="s">
        <v>5</v>
      </c>
      <c r="I1852" s="1">
        <v>0.0</v>
      </c>
      <c r="J1852" s="1">
        <v>0.0</v>
      </c>
    </row>
    <row r="1853">
      <c r="A1853" s="1">
        <v>1.0</v>
      </c>
      <c r="B1853" s="1">
        <v>4.0</v>
      </c>
      <c r="C1853" s="1">
        <v>0.0</v>
      </c>
      <c r="D1853" s="1">
        <v>0.0</v>
      </c>
      <c r="E1853" s="1">
        <v>0.0</v>
      </c>
      <c r="F1853" s="1">
        <v>0.0</v>
      </c>
      <c r="G1853" s="2">
        <v>0.0</v>
      </c>
      <c r="H1853" s="1" t="s">
        <v>5</v>
      </c>
      <c r="I1853" s="1">
        <v>0.0</v>
      </c>
      <c r="J1853" s="1">
        <v>0.0</v>
      </c>
    </row>
    <row r="1854">
      <c r="A1854" s="1">
        <v>4.0</v>
      </c>
      <c r="B1854" s="1">
        <v>16.0</v>
      </c>
      <c r="C1854" s="1">
        <v>12.0</v>
      </c>
      <c r="D1854" s="1">
        <v>6.0</v>
      </c>
      <c r="E1854" s="1">
        <v>0.75</v>
      </c>
      <c r="F1854" s="1">
        <v>0.0</v>
      </c>
      <c r="G1854" s="2">
        <v>0.75</v>
      </c>
      <c r="H1854" s="1" t="s">
        <v>8</v>
      </c>
      <c r="I1854" s="1">
        <v>24.0</v>
      </c>
      <c r="J1854" s="1">
        <v>3.0</v>
      </c>
    </row>
    <row r="1855">
      <c r="A1855" s="1">
        <v>1.0</v>
      </c>
      <c r="B1855" s="1">
        <v>4.0</v>
      </c>
      <c r="C1855" s="1">
        <v>3.0</v>
      </c>
      <c r="D1855" s="1">
        <v>0.0</v>
      </c>
      <c r="E1855" s="1">
        <v>1.0</v>
      </c>
      <c r="F1855" s="1">
        <v>0.0</v>
      </c>
      <c r="G1855" s="6">
        <v>0.333</v>
      </c>
      <c r="H1855" s="1" t="s">
        <v>8</v>
      </c>
      <c r="I1855" s="1">
        <v>0.0</v>
      </c>
      <c r="J1855" s="1">
        <v>1.0</v>
      </c>
    </row>
    <row r="1856">
      <c r="A1856" s="1">
        <v>4.0</v>
      </c>
      <c r="B1856" s="1">
        <v>16.0</v>
      </c>
      <c r="C1856" s="1">
        <v>0.0</v>
      </c>
      <c r="D1856" s="1">
        <v>0.0</v>
      </c>
      <c r="E1856" s="1">
        <v>0.0</v>
      </c>
      <c r="F1856" s="1">
        <v>0.0</v>
      </c>
      <c r="G1856" s="2">
        <v>0.0</v>
      </c>
      <c r="H1856" s="1" t="s">
        <v>11</v>
      </c>
      <c r="I1856" s="1">
        <v>0.0</v>
      </c>
      <c r="J1856" s="1">
        <v>0.0</v>
      </c>
    </row>
    <row r="1857">
      <c r="A1857" s="1">
        <v>3.0</v>
      </c>
      <c r="B1857" s="1">
        <v>12.0</v>
      </c>
      <c r="C1857" s="1">
        <v>0.0</v>
      </c>
      <c r="D1857" s="1">
        <v>0.0</v>
      </c>
      <c r="E1857" s="1">
        <v>0.0</v>
      </c>
      <c r="F1857" s="1">
        <v>0.0</v>
      </c>
      <c r="G1857" s="2">
        <v>0.0</v>
      </c>
      <c r="H1857" s="1" t="s">
        <v>12</v>
      </c>
      <c r="I1857" s="1">
        <v>0.0</v>
      </c>
      <c r="J1857" s="1">
        <v>0.0</v>
      </c>
    </row>
    <row r="1858">
      <c r="A1858" s="1">
        <v>1.0</v>
      </c>
      <c r="B1858" s="1">
        <v>4.0</v>
      </c>
      <c r="C1858" s="1">
        <v>3.0</v>
      </c>
      <c r="D1858" s="1">
        <v>12.0</v>
      </c>
      <c r="E1858" s="1">
        <v>0.0</v>
      </c>
      <c r="F1858" s="1">
        <v>0.0</v>
      </c>
      <c r="G1858" s="2">
        <v>1.0</v>
      </c>
      <c r="H1858" s="1" t="s">
        <v>13</v>
      </c>
      <c r="I1858" s="1">
        <v>12.0</v>
      </c>
      <c r="J1858" s="1">
        <v>0.0</v>
      </c>
    </row>
    <row r="1859">
      <c r="A1859" s="1">
        <v>4.0</v>
      </c>
      <c r="B1859" s="1">
        <v>16.0</v>
      </c>
      <c r="C1859" s="1">
        <v>8.0</v>
      </c>
      <c r="D1859" s="1">
        <v>5.0</v>
      </c>
      <c r="E1859" s="1">
        <v>0.0</v>
      </c>
      <c r="F1859" s="1">
        <v>0.0</v>
      </c>
      <c r="G1859" s="6">
        <v>0.625</v>
      </c>
      <c r="H1859" s="1" t="s">
        <v>13</v>
      </c>
      <c r="I1859" s="1">
        <v>20.0</v>
      </c>
      <c r="J1859" s="1">
        <v>0.0</v>
      </c>
    </row>
    <row r="1860">
      <c r="A1860" s="1">
        <v>1.0</v>
      </c>
      <c r="B1860" s="1">
        <v>4.0</v>
      </c>
      <c r="C1860" s="1">
        <v>0.0</v>
      </c>
      <c r="D1860" s="1">
        <v>0.0</v>
      </c>
      <c r="E1860" s="1">
        <v>0.0</v>
      </c>
      <c r="F1860" s="1">
        <v>0.0</v>
      </c>
      <c r="G1860" s="2">
        <v>0.0</v>
      </c>
      <c r="H1860" s="1" t="s">
        <v>15</v>
      </c>
      <c r="I1860" s="1">
        <v>0.0</v>
      </c>
      <c r="J1860" s="1">
        <v>0.0</v>
      </c>
    </row>
    <row r="1861">
      <c r="A1861" s="1">
        <v>4.0</v>
      </c>
      <c r="B1861" s="1">
        <v>16.0</v>
      </c>
      <c r="C1861" s="1">
        <v>0.0</v>
      </c>
      <c r="D1861" s="1">
        <v>0.0</v>
      </c>
      <c r="E1861" s="1">
        <v>0.0</v>
      </c>
      <c r="F1861" s="1">
        <v>0.0</v>
      </c>
      <c r="G1861" s="2">
        <v>0.0</v>
      </c>
      <c r="H1861" s="1" t="s">
        <v>15</v>
      </c>
      <c r="I1861" s="1">
        <v>0.0</v>
      </c>
      <c r="J1861" s="1">
        <v>0.0</v>
      </c>
    </row>
    <row r="1862">
      <c r="A1862" s="1">
        <v>1.0</v>
      </c>
      <c r="B1862" s="1">
        <v>4.0</v>
      </c>
      <c r="C1862" s="1">
        <v>0.0</v>
      </c>
      <c r="D1862" s="1">
        <v>0.0</v>
      </c>
      <c r="E1862" s="1">
        <v>0.0</v>
      </c>
      <c r="F1862" s="1">
        <v>0.0</v>
      </c>
      <c r="G1862" s="2">
        <v>0.0</v>
      </c>
      <c r="H1862" s="1" t="s">
        <v>17</v>
      </c>
      <c r="I1862" s="1">
        <v>0.0</v>
      </c>
      <c r="J1862" s="1">
        <v>0.0</v>
      </c>
    </row>
    <row r="1863">
      <c r="A1863" s="1">
        <v>4.0</v>
      </c>
      <c r="B1863" s="1">
        <v>16.0</v>
      </c>
      <c r="C1863" s="1">
        <v>4.0</v>
      </c>
      <c r="D1863" s="1">
        <v>1.0</v>
      </c>
      <c r="E1863" s="1">
        <v>0.0</v>
      </c>
      <c r="F1863" s="1">
        <v>0.0</v>
      </c>
      <c r="G1863" s="2">
        <v>0.25</v>
      </c>
      <c r="H1863" s="1" t="s">
        <v>17</v>
      </c>
      <c r="I1863" s="1">
        <v>4.0</v>
      </c>
      <c r="J1863" s="1">
        <v>0.0</v>
      </c>
    </row>
    <row r="1864">
      <c r="A1864" s="1">
        <v>1.0</v>
      </c>
      <c r="B1864" s="1">
        <v>4.0</v>
      </c>
      <c r="C1864" s="1">
        <v>0.0</v>
      </c>
      <c r="D1864" s="1">
        <v>0.0</v>
      </c>
      <c r="E1864" s="1">
        <v>0.0</v>
      </c>
      <c r="F1864" s="1">
        <v>0.0</v>
      </c>
      <c r="G1864" s="2">
        <v>0.0</v>
      </c>
      <c r="H1864" s="1" t="s">
        <v>20</v>
      </c>
      <c r="I1864" s="1">
        <v>0.0</v>
      </c>
      <c r="J1864" s="1">
        <v>0.0</v>
      </c>
    </row>
    <row r="1865">
      <c r="A1865" s="1">
        <v>1.0</v>
      </c>
      <c r="B1865" s="1">
        <v>4.0</v>
      </c>
      <c r="C1865" s="1">
        <v>0.0</v>
      </c>
      <c r="D1865" s="1">
        <v>0.0</v>
      </c>
      <c r="E1865" s="1">
        <v>0.0</v>
      </c>
      <c r="F1865" s="1">
        <v>0.0</v>
      </c>
      <c r="G1865" s="2">
        <v>0.0</v>
      </c>
      <c r="H1865" s="1" t="s">
        <v>20</v>
      </c>
      <c r="I1865" s="1">
        <v>0.0</v>
      </c>
      <c r="J1865" s="1">
        <v>0.0</v>
      </c>
    </row>
    <row r="1866">
      <c r="A1866" s="1">
        <v>1.0</v>
      </c>
      <c r="B1866" s="1">
        <v>4.0</v>
      </c>
      <c r="C1866" s="1">
        <v>1.0</v>
      </c>
      <c r="D1866" s="1">
        <v>0.0</v>
      </c>
      <c r="E1866" s="1">
        <v>0.0</v>
      </c>
      <c r="F1866" s="1">
        <v>0.0</v>
      </c>
      <c r="G1866" s="2">
        <v>0.0</v>
      </c>
      <c r="H1866" s="1" t="s">
        <v>24</v>
      </c>
      <c r="I1866" s="1">
        <v>0.0</v>
      </c>
      <c r="J1866" s="1">
        <v>0.0</v>
      </c>
    </row>
    <row r="1867">
      <c r="A1867" s="1">
        <v>1.0</v>
      </c>
      <c r="B1867" s="1">
        <v>4.0</v>
      </c>
      <c r="C1867" s="1">
        <v>0.0</v>
      </c>
      <c r="D1867" s="1">
        <v>0.0</v>
      </c>
      <c r="E1867" s="1">
        <v>0.0</v>
      </c>
      <c r="F1867" s="1">
        <v>0.0</v>
      </c>
      <c r="G1867" s="2">
        <v>0.0</v>
      </c>
      <c r="H1867" s="1" t="s">
        <v>24</v>
      </c>
      <c r="I1867" s="1">
        <v>0.0</v>
      </c>
      <c r="J1867" s="1">
        <v>0.0</v>
      </c>
    </row>
    <row r="1868">
      <c r="A1868" s="1">
        <v>3.0</v>
      </c>
      <c r="B1868" s="1">
        <v>12.0</v>
      </c>
      <c r="C1868" s="1">
        <v>2.0</v>
      </c>
      <c r="D1868" s="1">
        <v>0.0</v>
      </c>
      <c r="E1868" s="1">
        <v>0.33</v>
      </c>
      <c r="F1868" s="1">
        <v>0.0</v>
      </c>
      <c r="G1868" s="2">
        <v>0.5</v>
      </c>
      <c r="H1868" s="1" t="s">
        <v>29</v>
      </c>
      <c r="I1868" s="1">
        <v>0.0</v>
      </c>
      <c r="J1868" s="1">
        <v>1.0</v>
      </c>
    </row>
    <row r="1869">
      <c r="A1869" s="1">
        <v>1.0</v>
      </c>
      <c r="B1869" s="1">
        <v>4.0</v>
      </c>
      <c r="C1869" s="1">
        <v>0.0</v>
      </c>
      <c r="D1869" s="1">
        <v>0.0</v>
      </c>
      <c r="E1869" s="1">
        <v>0.0</v>
      </c>
      <c r="F1869" s="1">
        <v>0.0</v>
      </c>
      <c r="G1869" s="2">
        <v>0.0</v>
      </c>
      <c r="H1869" s="1" t="s">
        <v>29</v>
      </c>
      <c r="I1869" s="1">
        <v>0.0</v>
      </c>
      <c r="J1869" s="1">
        <v>0.0</v>
      </c>
    </row>
    <row r="1870">
      <c r="A1870" s="1">
        <v>1.0</v>
      </c>
      <c r="B1870" s="1">
        <v>4.0</v>
      </c>
      <c r="C1870" s="1">
        <v>2.0</v>
      </c>
      <c r="D1870" s="1">
        <v>8.0</v>
      </c>
      <c r="E1870" s="1">
        <v>0.0</v>
      </c>
      <c r="F1870" s="1">
        <v>0.0</v>
      </c>
      <c r="G1870" s="2">
        <v>1.0</v>
      </c>
      <c r="H1870" s="1" t="s">
        <v>29</v>
      </c>
      <c r="I1870" s="1">
        <v>8.0</v>
      </c>
      <c r="J1870" s="1">
        <v>0.0</v>
      </c>
    </row>
    <row r="1871">
      <c r="A1871" s="1">
        <v>2.0</v>
      </c>
      <c r="B1871" s="1">
        <v>8.0</v>
      </c>
      <c r="C1871" s="1">
        <v>1.0</v>
      </c>
      <c r="D1871" s="1">
        <v>0.0</v>
      </c>
      <c r="E1871" s="1">
        <v>0.0</v>
      </c>
      <c r="F1871" s="1">
        <v>0.0</v>
      </c>
      <c r="G1871" s="2">
        <v>0.0</v>
      </c>
      <c r="H1871" s="1" t="s">
        <v>38</v>
      </c>
      <c r="I1871" s="1">
        <v>0.0</v>
      </c>
      <c r="J1871" s="1">
        <v>0.0</v>
      </c>
    </row>
    <row r="1872">
      <c r="A1872" s="1">
        <v>1.0</v>
      </c>
      <c r="B1872" s="1">
        <v>4.0</v>
      </c>
      <c r="C1872" s="1">
        <v>1.0</v>
      </c>
      <c r="D1872" s="1">
        <v>0.0</v>
      </c>
      <c r="E1872" s="1">
        <v>0.0</v>
      </c>
      <c r="F1872" s="1">
        <v>0.0</v>
      </c>
      <c r="G1872" s="2">
        <v>0.0</v>
      </c>
      <c r="H1872" s="1" t="s">
        <v>38</v>
      </c>
      <c r="I1872" s="1">
        <v>0.0</v>
      </c>
      <c r="J1872" s="1">
        <v>0.0</v>
      </c>
    </row>
    <row r="1873">
      <c r="A1873" s="1">
        <v>3.0</v>
      </c>
      <c r="B1873" s="1">
        <v>12.0</v>
      </c>
      <c r="C1873" s="1">
        <v>4.0</v>
      </c>
      <c r="D1873" s="1">
        <v>1.33</v>
      </c>
      <c r="E1873" s="1">
        <v>0.33</v>
      </c>
      <c r="F1873" s="1">
        <v>0.0</v>
      </c>
      <c r="G1873" s="2">
        <v>0.5</v>
      </c>
      <c r="H1873" s="1" t="s">
        <v>40</v>
      </c>
      <c r="I1873" s="1">
        <v>4.0</v>
      </c>
      <c r="J1873" s="1">
        <v>1.0</v>
      </c>
    </row>
    <row r="1874">
      <c r="A1874" s="1">
        <v>1.0</v>
      </c>
      <c r="B1874" s="1">
        <v>4.0</v>
      </c>
      <c r="C1874" s="1">
        <v>1.0</v>
      </c>
      <c r="D1874" s="1">
        <v>-4.0</v>
      </c>
      <c r="E1874" s="1">
        <v>1.0</v>
      </c>
      <c r="F1874" s="1">
        <v>0.0</v>
      </c>
      <c r="G1874" s="2">
        <v>0.0</v>
      </c>
      <c r="H1874" s="1" t="s">
        <v>40</v>
      </c>
      <c r="I1874" s="1">
        <v>-4.0</v>
      </c>
      <c r="J1874" s="1">
        <v>1.0</v>
      </c>
    </row>
    <row r="1875">
      <c r="A1875" s="1">
        <v>1.0</v>
      </c>
      <c r="B1875" s="1">
        <v>4.0</v>
      </c>
      <c r="C1875" s="1">
        <v>1.0</v>
      </c>
      <c r="D1875" s="1">
        <v>4.0</v>
      </c>
      <c r="E1875" s="1">
        <v>0.0</v>
      </c>
      <c r="F1875" s="1">
        <v>0.0</v>
      </c>
      <c r="G1875" s="2">
        <v>1.0</v>
      </c>
      <c r="H1875" s="1" t="s">
        <v>40</v>
      </c>
      <c r="I1875" s="1">
        <v>4.0</v>
      </c>
      <c r="J1875" s="1">
        <v>0.0</v>
      </c>
    </row>
    <row r="1876">
      <c r="A1876" s="1">
        <v>3.0</v>
      </c>
      <c r="B1876" s="1">
        <v>12.0</v>
      </c>
      <c r="C1876" s="1">
        <v>2.0</v>
      </c>
      <c r="D1876" s="1">
        <v>1.33</v>
      </c>
      <c r="E1876" s="1">
        <v>0.0</v>
      </c>
      <c r="F1876" s="1">
        <v>0.0</v>
      </c>
      <c r="G1876" s="2">
        <v>0.5</v>
      </c>
      <c r="H1876" s="1" t="s">
        <v>46</v>
      </c>
      <c r="I1876" s="1">
        <v>4.0</v>
      </c>
      <c r="J1876" s="1">
        <v>0.0</v>
      </c>
    </row>
    <row r="1877">
      <c r="A1877" s="1">
        <v>1.0</v>
      </c>
      <c r="B1877" s="1">
        <v>4.0</v>
      </c>
      <c r="C1877" s="1">
        <v>0.0</v>
      </c>
      <c r="D1877" s="1">
        <v>0.0</v>
      </c>
      <c r="E1877" s="1">
        <v>0.0</v>
      </c>
      <c r="F1877" s="1">
        <v>0.0</v>
      </c>
      <c r="G1877" s="2">
        <v>0.0</v>
      </c>
      <c r="H1877" s="1" t="s">
        <v>46</v>
      </c>
      <c r="I1877" s="1">
        <v>0.0</v>
      </c>
      <c r="J1877" s="1">
        <v>0.0</v>
      </c>
    </row>
    <row r="1878">
      <c r="A1878" s="1">
        <v>1.0</v>
      </c>
      <c r="B1878" s="1">
        <v>4.0</v>
      </c>
      <c r="C1878" s="1">
        <v>0.0</v>
      </c>
      <c r="D1878" s="1">
        <v>0.0</v>
      </c>
      <c r="E1878" s="1">
        <v>0.0</v>
      </c>
      <c r="F1878" s="1">
        <v>0.0</v>
      </c>
      <c r="G1878" s="2">
        <v>0.0</v>
      </c>
      <c r="H1878" s="1" t="s">
        <v>46</v>
      </c>
      <c r="I1878" s="1">
        <v>0.0</v>
      </c>
      <c r="J1878" s="1">
        <v>0.0</v>
      </c>
    </row>
    <row r="1879">
      <c r="A1879" s="1">
        <v>4.0</v>
      </c>
      <c r="B1879" s="1">
        <v>15.0</v>
      </c>
      <c r="C1879" s="1">
        <v>0.0</v>
      </c>
      <c r="D1879" s="1">
        <v>0.0</v>
      </c>
      <c r="E1879" s="1">
        <v>0.0</v>
      </c>
      <c r="F1879" s="1">
        <v>0.0</v>
      </c>
      <c r="G1879" s="2">
        <v>0.0</v>
      </c>
      <c r="H1879" s="1" t="s">
        <v>51</v>
      </c>
      <c r="I1879" s="1">
        <v>0.0</v>
      </c>
      <c r="J1879" s="1">
        <v>0.0</v>
      </c>
    </row>
    <row r="1880">
      <c r="A1880" s="1">
        <v>5.0</v>
      </c>
      <c r="B1880" s="1">
        <v>18.0</v>
      </c>
      <c r="C1880" s="1">
        <v>2.0</v>
      </c>
      <c r="D1880" s="1">
        <v>1.6</v>
      </c>
      <c r="E1880" s="1">
        <v>0.0</v>
      </c>
      <c r="F1880" s="1">
        <v>0.0</v>
      </c>
      <c r="G1880" s="2">
        <v>1.0</v>
      </c>
      <c r="H1880" s="1" t="s">
        <v>54</v>
      </c>
      <c r="I1880" s="1">
        <v>8.0</v>
      </c>
      <c r="J1880" s="1">
        <v>0.0</v>
      </c>
    </row>
    <row r="1881">
      <c r="A1881" s="1">
        <v>1.0</v>
      </c>
      <c r="B1881" s="1">
        <v>3.0</v>
      </c>
      <c r="C1881" s="1">
        <v>0.0</v>
      </c>
      <c r="D1881" s="1">
        <v>0.0</v>
      </c>
      <c r="E1881" s="1">
        <v>0.0</v>
      </c>
      <c r="F1881" s="1">
        <v>0.0</v>
      </c>
      <c r="G1881" s="2">
        <v>0.0</v>
      </c>
      <c r="H1881" s="1" t="s">
        <v>55</v>
      </c>
      <c r="I1881" s="1">
        <v>0.0</v>
      </c>
      <c r="J1881" s="1">
        <v>0.0</v>
      </c>
    </row>
    <row r="1882">
      <c r="A1882" s="1">
        <v>1.0</v>
      </c>
      <c r="B1882" s="1">
        <v>4.0</v>
      </c>
      <c r="C1882" s="1">
        <v>0.0</v>
      </c>
      <c r="D1882" s="1">
        <v>0.0</v>
      </c>
      <c r="E1882" s="1">
        <v>0.0</v>
      </c>
      <c r="F1882" s="1">
        <v>0.0</v>
      </c>
      <c r="G1882" s="2">
        <v>0.0</v>
      </c>
      <c r="H1882" s="1" t="s">
        <v>55</v>
      </c>
      <c r="I1882" s="1">
        <v>0.0</v>
      </c>
      <c r="J1882" s="1">
        <v>0.0</v>
      </c>
    </row>
    <row r="1883">
      <c r="A1883" s="1">
        <v>5.0</v>
      </c>
      <c r="B1883" s="1">
        <v>18.0</v>
      </c>
      <c r="C1883" s="1">
        <v>0.0</v>
      </c>
      <c r="D1883" s="1">
        <v>0.0</v>
      </c>
      <c r="E1883" s="1">
        <v>0.0</v>
      </c>
      <c r="F1883" s="1">
        <v>0.0</v>
      </c>
      <c r="G1883" s="2">
        <v>0.0</v>
      </c>
      <c r="H1883" s="1" t="s">
        <v>59</v>
      </c>
      <c r="I1883" s="1">
        <v>0.0</v>
      </c>
      <c r="J1883" s="1">
        <v>0.0</v>
      </c>
    </row>
    <row r="1884">
      <c r="A1884" s="1">
        <v>1.0</v>
      </c>
      <c r="B1884" s="1">
        <v>3.0</v>
      </c>
      <c r="C1884" s="1">
        <v>0.0</v>
      </c>
      <c r="D1884" s="1">
        <v>0.0</v>
      </c>
      <c r="E1884" s="1">
        <v>0.0</v>
      </c>
      <c r="F1884" s="1">
        <v>0.0</v>
      </c>
      <c r="G1884" s="2">
        <v>0.0</v>
      </c>
      <c r="H1884" s="1" t="s">
        <v>61</v>
      </c>
      <c r="I1884" s="1">
        <v>0.0</v>
      </c>
      <c r="J1884" s="1">
        <v>0.0</v>
      </c>
    </row>
    <row r="1885">
      <c r="A1885" s="1">
        <v>4.0</v>
      </c>
      <c r="B1885" s="1">
        <v>15.0</v>
      </c>
      <c r="C1885" s="1">
        <v>4.0</v>
      </c>
      <c r="D1885" s="1">
        <v>0.0</v>
      </c>
      <c r="E1885" s="1">
        <v>0.0</v>
      </c>
      <c r="F1885" s="1">
        <v>0.0</v>
      </c>
      <c r="G1885" s="2">
        <v>0.0</v>
      </c>
      <c r="H1885" s="1" t="s">
        <v>61</v>
      </c>
      <c r="I1885" s="1">
        <v>0.0</v>
      </c>
      <c r="J1885" s="1">
        <v>0.0</v>
      </c>
    </row>
    <row r="1886">
      <c r="A1886" s="1">
        <v>2.0</v>
      </c>
      <c r="B1886" s="1">
        <v>7.0</v>
      </c>
      <c r="C1886" s="1">
        <v>5.0</v>
      </c>
      <c r="D1886" s="1">
        <v>2.0</v>
      </c>
      <c r="E1886" s="1">
        <v>0.0</v>
      </c>
      <c r="F1886" s="1">
        <v>0.0</v>
      </c>
      <c r="G1886" s="2">
        <v>0.2</v>
      </c>
      <c r="H1886" s="1" t="s">
        <v>65</v>
      </c>
      <c r="I1886" s="1">
        <v>4.0</v>
      </c>
      <c r="J1886" s="1">
        <v>0.0</v>
      </c>
    </row>
    <row r="1887">
      <c r="A1887" s="1">
        <v>5.0</v>
      </c>
      <c r="B1887" s="1">
        <v>19.0</v>
      </c>
      <c r="C1887" s="1">
        <v>0.0</v>
      </c>
      <c r="D1887" s="1">
        <v>0.0</v>
      </c>
      <c r="E1887" s="1">
        <v>0.0</v>
      </c>
      <c r="F1887" s="1">
        <v>0.0</v>
      </c>
      <c r="G1887" s="2">
        <v>0.0</v>
      </c>
      <c r="H1887" s="1" t="s">
        <v>68</v>
      </c>
      <c r="I1887" s="1">
        <v>0.0</v>
      </c>
      <c r="J1887" s="1">
        <v>0.0</v>
      </c>
    </row>
    <row r="1888">
      <c r="A1888" s="1">
        <v>5.0</v>
      </c>
      <c r="B1888" s="1">
        <v>19.0</v>
      </c>
      <c r="C1888" s="1">
        <v>3.0</v>
      </c>
      <c r="D1888" s="1">
        <v>0.0</v>
      </c>
      <c r="E1888" s="1">
        <v>0.0</v>
      </c>
      <c r="F1888" s="1">
        <v>0.0</v>
      </c>
      <c r="G1888" s="2">
        <v>0.0</v>
      </c>
      <c r="H1888" s="1" t="s">
        <v>71</v>
      </c>
      <c r="I1888" s="1">
        <v>0.0</v>
      </c>
      <c r="J1888" s="1">
        <v>0.0</v>
      </c>
    </row>
    <row r="1889">
      <c r="A1889" s="1">
        <v>1.0</v>
      </c>
      <c r="B1889" s="1">
        <v>4.0</v>
      </c>
      <c r="C1889" s="1">
        <v>0.0</v>
      </c>
      <c r="D1889" s="1">
        <v>0.0</v>
      </c>
      <c r="E1889" s="1">
        <v>0.0</v>
      </c>
      <c r="F1889" s="1">
        <v>0.0</v>
      </c>
      <c r="G1889" s="2">
        <v>0.0</v>
      </c>
      <c r="H1889" s="1" t="s">
        <v>73</v>
      </c>
      <c r="I1889" s="1">
        <v>0.0</v>
      </c>
      <c r="J1889" s="1">
        <v>0.0</v>
      </c>
    </row>
    <row r="1890">
      <c r="A1890" s="1">
        <v>2.0</v>
      </c>
      <c r="B1890" s="1">
        <v>8.0</v>
      </c>
      <c r="C1890" s="1">
        <v>2.0</v>
      </c>
      <c r="D1890" s="1">
        <v>0.0</v>
      </c>
      <c r="E1890" s="1">
        <v>0.0</v>
      </c>
      <c r="F1890" s="1">
        <v>0.0</v>
      </c>
      <c r="G1890" s="2">
        <v>0.0</v>
      </c>
      <c r="H1890" s="1" t="s">
        <v>73</v>
      </c>
      <c r="I1890" s="1">
        <v>0.0</v>
      </c>
      <c r="J1890" s="1">
        <v>0.0</v>
      </c>
    </row>
    <row r="1891">
      <c r="A1891" s="1">
        <v>1.0</v>
      </c>
      <c r="B1891" s="1">
        <v>4.0</v>
      </c>
      <c r="C1891" s="1">
        <v>0.0</v>
      </c>
      <c r="D1891" s="1">
        <v>0.0</v>
      </c>
      <c r="E1891" s="1">
        <v>0.0</v>
      </c>
      <c r="F1891" s="1">
        <v>0.0</v>
      </c>
      <c r="G1891" s="2">
        <v>0.0</v>
      </c>
      <c r="H1891" s="1" t="s">
        <v>75</v>
      </c>
      <c r="I1891" s="1">
        <v>0.0</v>
      </c>
      <c r="J1891" s="1">
        <v>0.0</v>
      </c>
    </row>
    <row r="1892">
      <c r="A1892" s="1">
        <v>4.0</v>
      </c>
      <c r="B1892" s="1">
        <v>15.0</v>
      </c>
      <c r="C1892" s="1">
        <v>5.0</v>
      </c>
      <c r="D1892" s="1">
        <v>1.0</v>
      </c>
      <c r="E1892" s="1">
        <v>0.0</v>
      </c>
      <c r="F1892" s="1">
        <v>0.0</v>
      </c>
      <c r="G1892" s="2">
        <v>0.2</v>
      </c>
      <c r="H1892" s="1" t="s">
        <v>75</v>
      </c>
      <c r="I1892" s="1">
        <v>4.0</v>
      </c>
      <c r="J1892" s="1">
        <v>0.0</v>
      </c>
    </row>
    <row r="1893">
      <c r="A1893" s="1">
        <v>1.0</v>
      </c>
      <c r="B1893" s="1">
        <v>4.0</v>
      </c>
      <c r="C1893" s="1">
        <v>1.0</v>
      </c>
      <c r="D1893" s="1">
        <v>4.0</v>
      </c>
      <c r="E1893" s="1">
        <v>0.0</v>
      </c>
      <c r="F1893" s="1">
        <v>0.0</v>
      </c>
      <c r="G1893" s="2">
        <v>1.0</v>
      </c>
      <c r="H1893" s="1" t="s">
        <v>79</v>
      </c>
      <c r="I1893" s="1">
        <v>4.0</v>
      </c>
      <c r="J1893" s="1">
        <v>0.0</v>
      </c>
    </row>
    <row r="1894">
      <c r="A1894" s="1">
        <v>2.0</v>
      </c>
      <c r="B1894" s="1">
        <v>8.0</v>
      </c>
      <c r="C1894" s="1">
        <v>2.0</v>
      </c>
      <c r="D1894" s="1">
        <v>4.0</v>
      </c>
      <c r="E1894" s="1">
        <v>0.0</v>
      </c>
      <c r="F1894" s="1">
        <v>0.0</v>
      </c>
      <c r="G1894" s="2">
        <v>1.0</v>
      </c>
      <c r="H1894" s="1" t="s">
        <v>79</v>
      </c>
      <c r="I1894" s="1">
        <v>8.0</v>
      </c>
      <c r="J1894" s="1">
        <v>0.0</v>
      </c>
    </row>
    <row r="1895">
      <c r="A1895" s="1">
        <v>1.0</v>
      </c>
      <c r="B1895" s="1">
        <v>3.0</v>
      </c>
      <c r="C1895" s="1">
        <v>1.0</v>
      </c>
      <c r="D1895" s="1">
        <v>4.0</v>
      </c>
      <c r="E1895" s="1">
        <v>0.0</v>
      </c>
      <c r="F1895" s="1">
        <v>0.0</v>
      </c>
      <c r="G1895" s="2">
        <v>1.0</v>
      </c>
      <c r="H1895" s="1" t="s">
        <v>79</v>
      </c>
      <c r="I1895" s="1">
        <v>4.0</v>
      </c>
      <c r="J1895" s="1">
        <v>0.0</v>
      </c>
    </row>
    <row r="1896">
      <c r="A1896" s="1">
        <v>1.0</v>
      </c>
      <c r="B1896" s="1">
        <v>4.0</v>
      </c>
      <c r="C1896" s="1">
        <v>1.0</v>
      </c>
      <c r="D1896" s="1">
        <v>-4.0</v>
      </c>
      <c r="E1896" s="1">
        <v>1.0</v>
      </c>
      <c r="F1896" s="1">
        <v>0.0</v>
      </c>
      <c r="G1896" s="2">
        <v>0.0</v>
      </c>
      <c r="H1896" s="1" t="s">
        <v>79</v>
      </c>
      <c r="I1896" s="1">
        <v>-4.0</v>
      </c>
      <c r="J1896" s="1">
        <v>1.0</v>
      </c>
    </row>
    <row r="1897">
      <c r="A1897" s="1">
        <v>1.0</v>
      </c>
      <c r="B1897" s="1">
        <v>4.0</v>
      </c>
      <c r="C1897" s="1">
        <v>0.0</v>
      </c>
      <c r="D1897" s="1">
        <v>0.0</v>
      </c>
      <c r="E1897" s="1">
        <v>0.0</v>
      </c>
      <c r="F1897" s="1">
        <v>0.0</v>
      </c>
      <c r="G1897" s="2">
        <v>0.0</v>
      </c>
      <c r="H1897" s="1" t="s">
        <v>85</v>
      </c>
      <c r="I1897" s="1">
        <v>0.0</v>
      </c>
      <c r="J1897" s="1">
        <v>0.0</v>
      </c>
    </row>
    <row r="1898">
      <c r="A1898" s="1">
        <v>1.0</v>
      </c>
      <c r="B1898" s="1">
        <v>4.0</v>
      </c>
      <c r="C1898" s="1">
        <v>1.0</v>
      </c>
      <c r="D1898" s="1">
        <v>0.0</v>
      </c>
      <c r="E1898" s="1">
        <v>0.0</v>
      </c>
      <c r="F1898" s="1">
        <v>0.0</v>
      </c>
      <c r="G1898" s="2">
        <v>0.0</v>
      </c>
      <c r="H1898" s="1" t="s">
        <v>88</v>
      </c>
      <c r="I1898" s="1">
        <v>0.0</v>
      </c>
      <c r="J1898" s="1">
        <v>0.0</v>
      </c>
    </row>
    <row r="1899">
      <c r="A1899" s="1">
        <v>2.0</v>
      </c>
      <c r="B1899" s="1">
        <v>7.0</v>
      </c>
      <c r="C1899" s="1">
        <v>0.0</v>
      </c>
      <c r="D1899" s="1">
        <v>0.0</v>
      </c>
      <c r="E1899" s="1">
        <v>0.0</v>
      </c>
      <c r="F1899" s="1">
        <v>0.0</v>
      </c>
      <c r="G1899" s="2">
        <v>0.0</v>
      </c>
      <c r="H1899" s="1" t="s">
        <v>88</v>
      </c>
      <c r="I1899" s="1">
        <v>0.0</v>
      </c>
      <c r="J1899" s="1">
        <v>0.0</v>
      </c>
    </row>
    <row r="1900">
      <c r="A1900" s="1">
        <v>1.0</v>
      </c>
      <c r="B1900" s="1">
        <v>4.0</v>
      </c>
      <c r="C1900" s="1">
        <v>1.0</v>
      </c>
      <c r="D1900" s="1">
        <v>0.0</v>
      </c>
      <c r="E1900" s="1">
        <v>0.0</v>
      </c>
      <c r="F1900" s="1">
        <v>0.0</v>
      </c>
      <c r="G1900" s="2">
        <v>0.0</v>
      </c>
      <c r="H1900" s="1" t="s">
        <v>76</v>
      </c>
      <c r="I1900" s="1">
        <v>0.0</v>
      </c>
      <c r="J1900" s="1">
        <v>0.0</v>
      </c>
    </row>
    <row r="1901">
      <c r="A1901" s="1">
        <v>4.0</v>
      </c>
      <c r="B1901" s="1">
        <v>15.0</v>
      </c>
      <c r="C1901" s="1">
        <v>2.0</v>
      </c>
      <c r="D1901" s="1">
        <v>2.0</v>
      </c>
      <c r="E1901" s="1">
        <v>0.0</v>
      </c>
      <c r="F1901" s="1">
        <v>0.0</v>
      </c>
      <c r="G1901" s="2">
        <v>1.0</v>
      </c>
      <c r="H1901" s="1" t="s">
        <v>92</v>
      </c>
      <c r="I1901" s="1">
        <v>8.0</v>
      </c>
      <c r="J1901" s="1">
        <v>0.0</v>
      </c>
    </row>
    <row r="1902">
      <c r="A1902" s="1">
        <v>3.0</v>
      </c>
      <c r="B1902" s="1">
        <v>12.0</v>
      </c>
      <c r="C1902" s="1">
        <v>6.0</v>
      </c>
      <c r="D1902" s="1">
        <v>8.0</v>
      </c>
      <c r="E1902" s="1">
        <v>0.0</v>
      </c>
      <c r="F1902" s="1">
        <v>0.0</v>
      </c>
      <c r="G1902" s="2">
        <v>1.0</v>
      </c>
      <c r="H1902" s="1" t="s">
        <v>94</v>
      </c>
      <c r="I1902" s="1">
        <v>24.0</v>
      </c>
      <c r="J1902" s="1">
        <v>0.0</v>
      </c>
    </row>
    <row r="1903">
      <c r="A1903" s="1">
        <v>4.0</v>
      </c>
      <c r="B1903" s="1">
        <v>15.0</v>
      </c>
      <c r="C1903" s="1">
        <v>2.0</v>
      </c>
      <c r="D1903" s="1">
        <v>0.0</v>
      </c>
      <c r="E1903" s="1">
        <v>0.25</v>
      </c>
      <c r="F1903" s="1">
        <v>0.0</v>
      </c>
      <c r="G1903" s="2">
        <v>0.5</v>
      </c>
      <c r="H1903" s="1" t="s">
        <v>96</v>
      </c>
      <c r="I1903" s="1">
        <v>0.0</v>
      </c>
      <c r="J1903" s="1">
        <v>1.0</v>
      </c>
    </row>
    <row r="1904">
      <c r="A1904" s="1">
        <v>1.0</v>
      </c>
      <c r="B1904" s="1">
        <v>4.0</v>
      </c>
      <c r="C1904" s="1">
        <v>2.0</v>
      </c>
      <c r="D1904" s="1">
        <v>0.0</v>
      </c>
      <c r="E1904" s="1">
        <v>1.0</v>
      </c>
      <c r="F1904" s="1">
        <v>0.0</v>
      </c>
      <c r="G1904" s="2">
        <v>0.5</v>
      </c>
      <c r="H1904" s="1" t="s">
        <v>96</v>
      </c>
      <c r="I1904" s="1">
        <v>0.0</v>
      </c>
      <c r="J1904" s="1">
        <v>1.0</v>
      </c>
    </row>
    <row r="1905">
      <c r="A1905" s="1">
        <v>5.0</v>
      </c>
      <c r="B1905" s="1">
        <v>19.0</v>
      </c>
      <c r="C1905" s="1">
        <v>3.0</v>
      </c>
      <c r="D1905" s="1">
        <v>1.6</v>
      </c>
      <c r="E1905" s="1">
        <v>0.0</v>
      </c>
      <c r="F1905" s="1">
        <v>0.0</v>
      </c>
      <c r="G1905" s="6">
        <v>0.667</v>
      </c>
      <c r="H1905" s="1" t="s">
        <v>90</v>
      </c>
      <c r="I1905" s="1">
        <v>8.0</v>
      </c>
      <c r="J1905" s="1">
        <v>0.0</v>
      </c>
    </row>
    <row r="1906">
      <c r="A1906" s="1">
        <v>4.0</v>
      </c>
      <c r="B1906" s="1">
        <v>15.0</v>
      </c>
      <c r="C1906" s="1">
        <v>1.0</v>
      </c>
      <c r="D1906" s="1">
        <v>0.0</v>
      </c>
      <c r="E1906" s="1">
        <v>0.0</v>
      </c>
      <c r="F1906" s="1">
        <v>0.0</v>
      </c>
      <c r="G1906" s="2">
        <v>0.0</v>
      </c>
      <c r="H1906" s="1" t="s">
        <v>100</v>
      </c>
      <c r="I1906" s="1">
        <v>0.0</v>
      </c>
      <c r="J1906" s="1">
        <v>0.0</v>
      </c>
    </row>
    <row r="1907">
      <c r="A1907" s="1">
        <v>1.0</v>
      </c>
      <c r="B1907" s="1">
        <v>4.0</v>
      </c>
      <c r="C1907" s="1">
        <v>0.0</v>
      </c>
      <c r="D1907" s="1">
        <v>0.0</v>
      </c>
      <c r="E1907" s="1">
        <v>0.0</v>
      </c>
      <c r="F1907" s="1">
        <v>0.0</v>
      </c>
      <c r="G1907" s="2">
        <v>0.0</v>
      </c>
      <c r="H1907" s="1" t="s">
        <v>102</v>
      </c>
      <c r="I1907" s="1">
        <v>0.0</v>
      </c>
      <c r="J1907" s="1">
        <v>0.0</v>
      </c>
    </row>
    <row r="1908">
      <c r="A1908" s="1">
        <v>1.0</v>
      </c>
      <c r="B1908" s="1">
        <v>4.0</v>
      </c>
      <c r="C1908" s="1">
        <v>0.0</v>
      </c>
      <c r="D1908" s="1">
        <v>0.0</v>
      </c>
      <c r="E1908" s="1">
        <v>0.0</v>
      </c>
      <c r="F1908" s="1">
        <v>0.0</v>
      </c>
      <c r="G1908" s="2">
        <v>0.0</v>
      </c>
      <c r="H1908" s="1" t="s">
        <v>102</v>
      </c>
      <c r="I1908" s="1">
        <v>0.0</v>
      </c>
      <c r="J1908" s="1">
        <v>0.0</v>
      </c>
    </row>
    <row r="1909">
      <c r="A1909" s="1">
        <v>5.0</v>
      </c>
      <c r="B1909" s="1">
        <v>20.0</v>
      </c>
      <c r="C1909" s="1">
        <v>7.0</v>
      </c>
      <c r="D1909" s="1">
        <v>5.6</v>
      </c>
      <c r="E1909" s="1">
        <v>0.0</v>
      </c>
      <c r="F1909" s="1">
        <v>0.0</v>
      </c>
      <c r="G1909" s="2">
        <v>1.0</v>
      </c>
      <c r="H1909" s="1" t="s">
        <v>66</v>
      </c>
      <c r="I1909" s="1">
        <v>28.0</v>
      </c>
      <c r="J1909" s="1">
        <v>0.0</v>
      </c>
    </row>
    <row r="1910">
      <c r="A1910" s="1">
        <v>2.0</v>
      </c>
      <c r="B1910" s="1">
        <v>8.0</v>
      </c>
      <c r="C1910" s="1">
        <v>0.0</v>
      </c>
      <c r="D1910" s="1">
        <v>0.0</v>
      </c>
      <c r="E1910" s="1">
        <v>0.0</v>
      </c>
      <c r="F1910" s="1">
        <v>0.0</v>
      </c>
      <c r="G1910" s="2">
        <v>0.0</v>
      </c>
      <c r="H1910" s="1" t="s">
        <v>108</v>
      </c>
      <c r="I1910" s="1">
        <v>0.0</v>
      </c>
      <c r="J1910" s="1">
        <v>0.0</v>
      </c>
    </row>
    <row r="1911">
      <c r="A1911" s="1">
        <v>2.0</v>
      </c>
      <c r="B1911" s="1">
        <v>8.0</v>
      </c>
      <c r="C1911" s="1">
        <v>0.0</v>
      </c>
      <c r="D1911" s="1">
        <v>0.0</v>
      </c>
      <c r="E1911" s="1">
        <v>0.0</v>
      </c>
      <c r="F1911" s="1">
        <v>0.0</v>
      </c>
      <c r="G1911" s="2">
        <v>0.0</v>
      </c>
      <c r="H1911" s="1" t="s">
        <v>109</v>
      </c>
      <c r="I1911" s="1">
        <v>0.0</v>
      </c>
      <c r="J1911" s="1">
        <v>0.0</v>
      </c>
    </row>
    <row r="1912">
      <c r="A1912" s="1">
        <v>1.0</v>
      </c>
      <c r="B1912" s="1">
        <v>4.0</v>
      </c>
      <c r="C1912" s="1">
        <v>0.0</v>
      </c>
      <c r="D1912" s="1">
        <v>0.0</v>
      </c>
      <c r="E1912" s="1">
        <v>0.0</v>
      </c>
      <c r="F1912" s="1">
        <v>0.0</v>
      </c>
      <c r="G1912" s="2">
        <v>0.0</v>
      </c>
      <c r="H1912" s="1" t="s">
        <v>110</v>
      </c>
      <c r="I1912" s="1">
        <v>0.0</v>
      </c>
      <c r="J1912" s="1">
        <v>0.0</v>
      </c>
    </row>
    <row r="1913">
      <c r="A1913" s="1">
        <v>2.0</v>
      </c>
      <c r="B1913" s="1">
        <v>8.0</v>
      </c>
      <c r="C1913" s="1">
        <v>0.0</v>
      </c>
      <c r="D1913" s="1">
        <v>0.0</v>
      </c>
      <c r="E1913" s="1">
        <v>0.0</v>
      </c>
      <c r="F1913" s="1">
        <v>0.0</v>
      </c>
      <c r="G1913" s="2">
        <v>0.0</v>
      </c>
      <c r="H1913" s="1" t="s">
        <v>111</v>
      </c>
      <c r="I1913" s="1">
        <v>0.0</v>
      </c>
      <c r="J1913" s="1">
        <v>0.0</v>
      </c>
    </row>
    <row r="1914">
      <c r="A1914" s="1">
        <v>1.0</v>
      </c>
      <c r="B1914" s="1">
        <v>4.0</v>
      </c>
      <c r="C1914" s="1">
        <v>0.0</v>
      </c>
      <c r="D1914" s="1">
        <v>0.0</v>
      </c>
      <c r="E1914" s="1">
        <v>0.0</v>
      </c>
      <c r="F1914" s="1">
        <v>0.0</v>
      </c>
      <c r="G1914" s="2">
        <v>0.0</v>
      </c>
      <c r="H1914" s="1" t="s">
        <v>111</v>
      </c>
      <c r="I1914" s="1">
        <v>0.0</v>
      </c>
      <c r="J1914" s="1">
        <v>0.0</v>
      </c>
    </row>
    <row r="1915">
      <c r="A1915" s="1">
        <v>2.0</v>
      </c>
      <c r="B1915" s="1">
        <v>8.0</v>
      </c>
      <c r="C1915" s="1">
        <v>0.0</v>
      </c>
      <c r="D1915" s="1">
        <v>0.0</v>
      </c>
      <c r="E1915" s="1">
        <v>0.0</v>
      </c>
      <c r="F1915" s="1">
        <v>0.0</v>
      </c>
      <c r="G1915" s="2">
        <v>0.0</v>
      </c>
      <c r="H1915" s="1" t="s">
        <v>111</v>
      </c>
      <c r="I1915" s="1">
        <v>0.0</v>
      </c>
      <c r="J1915" s="1">
        <v>0.0</v>
      </c>
    </row>
    <row r="1916">
      <c r="A1916" s="1">
        <v>3.0</v>
      </c>
      <c r="B1916" s="1">
        <v>12.0</v>
      </c>
      <c r="C1916" s="1">
        <v>0.0</v>
      </c>
      <c r="D1916" s="1">
        <v>0.0</v>
      </c>
      <c r="E1916" s="1">
        <v>0.0</v>
      </c>
      <c r="F1916" s="1">
        <v>0.0</v>
      </c>
      <c r="G1916" s="2">
        <v>0.0</v>
      </c>
      <c r="H1916" s="1" t="s">
        <v>115</v>
      </c>
      <c r="I1916" s="1">
        <v>0.0</v>
      </c>
      <c r="J1916" s="1">
        <v>0.0</v>
      </c>
    </row>
    <row r="1917">
      <c r="A1917" s="1">
        <v>2.0</v>
      </c>
      <c r="B1917" s="1">
        <v>8.0</v>
      </c>
      <c r="C1917" s="1">
        <v>0.0</v>
      </c>
      <c r="D1917" s="1">
        <v>0.0</v>
      </c>
      <c r="E1917" s="1">
        <v>0.0</v>
      </c>
      <c r="F1917" s="1">
        <v>0.0</v>
      </c>
      <c r="G1917" s="2">
        <v>0.0</v>
      </c>
      <c r="H1917" s="1" t="s">
        <v>115</v>
      </c>
      <c r="I1917" s="1">
        <v>0.0</v>
      </c>
      <c r="J1917" s="1">
        <v>0.0</v>
      </c>
    </row>
    <row r="1918">
      <c r="A1918" s="1">
        <v>2.0</v>
      </c>
      <c r="B1918" s="1">
        <v>8.0</v>
      </c>
      <c r="C1918" s="1">
        <v>2.0</v>
      </c>
      <c r="D1918" s="1">
        <v>4.0</v>
      </c>
      <c r="E1918" s="1">
        <v>0.0</v>
      </c>
      <c r="F1918" s="1">
        <v>0.0</v>
      </c>
      <c r="G1918" s="2">
        <v>1.0</v>
      </c>
      <c r="H1918" s="1" t="s">
        <v>117</v>
      </c>
      <c r="I1918" s="1">
        <v>8.0</v>
      </c>
      <c r="J1918" s="1">
        <v>0.0</v>
      </c>
    </row>
    <row r="1919">
      <c r="A1919" s="1">
        <v>1.0</v>
      </c>
      <c r="B1919" s="1">
        <v>4.0</v>
      </c>
      <c r="C1919" s="1">
        <v>1.0</v>
      </c>
      <c r="D1919" s="1">
        <v>4.0</v>
      </c>
      <c r="E1919" s="1">
        <v>0.0</v>
      </c>
      <c r="F1919" s="1">
        <v>0.0</v>
      </c>
      <c r="G1919" s="2">
        <v>1.0</v>
      </c>
      <c r="H1919" s="1" t="s">
        <v>117</v>
      </c>
      <c r="I1919" s="1">
        <v>4.0</v>
      </c>
      <c r="J1919" s="1">
        <v>0.0</v>
      </c>
    </row>
    <row r="1920">
      <c r="A1920" s="1">
        <v>1.0</v>
      </c>
      <c r="B1920" s="1">
        <v>4.0</v>
      </c>
      <c r="C1920" s="1">
        <v>3.0</v>
      </c>
      <c r="D1920" s="1">
        <v>12.0</v>
      </c>
      <c r="E1920" s="1">
        <v>0.0</v>
      </c>
      <c r="F1920" s="1">
        <v>0.0</v>
      </c>
      <c r="G1920" s="2">
        <v>1.0</v>
      </c>
      <c r="H1920" s="1" t="s">
        <v>117</v>
      </c>
      <c r="I1920" s="1">
        <v>12.0</v>
      </c>
      <c r="J1920" s="1">
        <v>0.0</v>
      </c>
    </row>
    <row r="1921">
      <c r="A1921" s="1">
        <v>1.0</v>
      </c>
      <c r="B1921" s="1">
        <v>4.0</v>
      </c>
      <c r="C1921" s="1">
        <v>3.0</v>
      </c>
      <c r="D1921" s="1">
        <v>0.0</v>
      </c>
      <c r="E1921" s="1">
        <v>0.0</v>
      </c>
      <c r="F1921" s="1">
        <v>0.0</v>
      </c>
      <c r="G1921" s="2">
        <v>0.0</v>
      </c>
      <c r="H1921" s="1" t="s">
        <v>117</v>
      </c>
      <c r="I1921" s="1">
        <v>0.0</v>
      </c>
      <c r="J1921" s="1">
        <v>0.0</v>
      </c>
    </row>
    <row r="1922">
      <c r="A1922" s="1">
        <v>3.0</v>
      </c>
      <c r="B1922" s="1">
        <v>11.0</v>
      </c>
      <c r="C1922" s="1">
        <v>0.0</v>
      </c>
      <c r="D1922" s="1">
        <v>0.0</v>
      </c>
      <c r="E1922" s="1">
        <v>0.0</v>
      </c>
      <c r="F1922" s="1">
        <v>0.0</v>
      </c>
      <c r="G1922" s="2">
        <v>0.0</v>
      </c>
      <c r="H1922" s="1" t="s">
        <v>123</v>
      </c>
      <c r="I1922" s="1">
        <v>0.0</v>
      </c>
      <c r="J1922" s="1">
        <v>0.0</v>
      </c>
    </row>
    <row r="1923">
      <c r="A1923" s="1">
        <v>5.0</v>
      </c>
      <c r="B1923" s="1">
        <v>19.0</v>
      </c>
      <c r="C1923" s="1">
        <v>1.0</v>
      </c>
      <c r="D1923" s="1">
        <v>0.8</v>
      </c>
      <c r="E1923" s="1">
        <v>0.0</v>
      </c>
      <c r="F1923" s="1">
        <v>0.0</v>
      </c>
      <c r="G1923" s="2">
        <v>1.0</v>
      </c>
      <c r="H1923" s="1" t="s">
        <v>124</v>
      </c>
      <c r="I1923" s="1">
        <v>4.0</v>
      </c>
      <c r="J1923" s="1">
        <v>0.0</v>
      </c>
    </row>
    <row r="1924">
      <c r="A1924" s="1">
        <v>5.0</v>
      </c>
      <c r="B1924" s="1">
        <v>19.0</v>
      </c>
      <c r="C1924" s="1">
        <v>6.0</v>
      </c>
      <c r="D1924" s="1">
        <v>4.0</v>
      </c>
      <c r="E1924" s="1">
        <v>0.0</v>
      </c>
      <c r="F1924" s="1">
        <v>0.0</v>
      </c>
      <c r="G1924" s="6">
        <v>0.833</v>
      </c>
      <c r="H1924" s="1" t="s">
        <v>127</v>
      </c>
      <c r="I1924" s="1">
        <v>20.0</v>
      </c>
      <c r="J1924" s="1">
        <v>0.0</v>
      </c>
    </row>
    <row r="1925">
      <c r="A1925" s="1">
        <v>5.0</v>
      </c>
      <c r="B1925" s="1">
        <v>19.0</v>
      </c>
      <c r="C1925" s="1">
        <v>1.0</v>
      </c>
      <c r="D1925" s="1">
        <v>0.0</v>
      </c>
      <c r="E1925" s="1">
        <v>0.0</v>
      </c>
      <c r="F1925" s="1">
        <v>0.0</v>
      </c>
      <c r="G1925" s="2">
        <v>0.0</v>
      </c>
      <c r="H1925" s="1" t="s">
        <v>128</v>
      </c>
      <c r="I1925" s="1">
        <v>0.0</v>
      </c>
      <c r="J1925" s="1">
        <v>0.0</v>
      </c>
    </row>
    <row r="1926">
      <c r="A1926" s="1">
        <v>4.0</v>
      </c>
      <c r="B1926" s="1">
        <v>16.0</v>
      </c>
      <c r="C1926" s="1">
        <v>0.0</v>
      </c>
      <c r="D1926" s="1">
        <v>0.0</v>
      </c>
      <c r="E1926" s="1">
        <v>0.0</v>
      </c>
      <c r="F1926" s="1">
        <v>0.0</v>
      </c>
      <c r="G1926" s="2">
        <v>0.0</v>
      </c>
      <c r="H1926" s="1" t="s">
        <v>130</v>
      </c>
      <c r="I1926" s="1">
        <v>0.0</v>
      </c>
      <c r="J1926" s="1">
        <v>0.0</v>
      </c>
    </row>
    <row r="1927">
      <c r="A1927" s="1">
        <v>1.0</v>
      </c>
      <c r="B1927" s="1">
        <v>4.0</v>
      </c>
      <c r="C1927" s="1">
        <v>0.0</v>
      </c>
      <c r="D1927" s="1">
        <v>0.0</v>
      </c>
      <c r="E1927" s="1">
        <v>0.0</v>
      </c>
      <c r="F1927" s="1">
        <v>0.0</v>
      </c>
      <c r="G1927" s="2">
        <v>0.0</v>
      </c>
      <c r="H1927" s="1" t="s">
        <v>132</v>
      </c>
      <c r="I1927" s="1">
        <v>0.0</v>
      </c>
      <c r="J1927" s="1">
        <v>0.0</v>
      </c>
    </row>
    <row r="1928">
      <c r="A1928" s="1">
        <v>3.0</v>
      </c>
      <c r="B1928" s="1">
        <v>11.0</v>
      </c>
      <c r="C1928" s="1">
        <v>0.0</v>
      </c>
      <c r="D1928" s="1">
        <v>0.0</v>
      </c>
      <c r="E1928" s="1">
        <v>0.0</v>
      </c>
      <c r="F1928" s="1">
        <v>0.0</v>
      </c>
      <c r="G1928" s="2">
        <v>0.0</v>
      </c>
      <c r="H1928" s="1" t="s">
        <v>132</v>
      </c>
      <c r="I1928" s="1">
        <v>0.0</v>
      </c>
      <c r="J1928" s="1">
        <v>0.0</v>
      </c>
    </row>
    <row r="1929">
      <c r="A1929" s="1">
        <v>1.0</v>
      </c>
      <c r="B1929" s="1">
        <v>4.0</v>
      </c>
      <c r="C1929" s="1">
        <v>3.0</v>
      </c>
      <c r="D1929" s="1">
        <v>8.0</v>
      </c>
      <c r="E1929" s="1">
        <v>0.0</v>
      </c>
      <c r="F1929" s="1">
        <v>0.0</v>
      </c>
      <c r="G1929" s="6">
        <v>0.667</v>
      </c>
      <c r="H1929" s="1" t="s">
        <v>77</v>
      </c>
      <c r="I1929" s="1">
        <v>8.0</v>
      </c>
      <c r="J1929" s="1">
        <v>0.0</v>
      </c>
    </row>
    <row r="1930">
      <c r="A1930" s="1">
        <v>3.0</v>
      </c>
      <c r="B1930" s="1">
        <v>11.0</v>
      </c>
      <c r="C1930" s="1">
        <v>8.0</v>
      </c>
      <c r="D1930" s="1">
        <v>5.33</v>
      </c>
      <c r="E1930" s="1">
        <v>0.0</v>
      </c>
      <c r="F1930" s="1">
        <v>0.0</v>
      </c>
      <c r="G1930" s="2">
        <v>0.5</v>
      </c>
      <c r="H1930" s="1" t="s">
        <v>77</v>
      </c>
      <c r="I1930" s="1">
        <v>16.0</v>
      </c>
      <c r="J1930" s="1">
        <v>0.0</v>
      </c>
    </row>
    <row r="1931">
      <c r="A1931" s="1">
        <v>1.0</v>
      </c>
      <c r="B1931" s="1">
        <v>4.0</v>
      </c>
      <c r="C1931" s="1">
        <v>0.0</v>
      </c>
      <c r="D1931" s="1">
        <v>0.0</v>
      </c>
      <c r="E1931" s="1">
        <v>0.0</v>
      </c>
      <c r="F1931" s="1">
        <v>0.0</v>
      </c>
      <c r="G1931" s="2">
        <v>0.0</v>
      </c>
      <c r="H1931" s="1" t="s">
        <v>137</v>
      </c>
      <c r="I1931" s="1">
        <v>0.0</v>
      </c>
      <c r="J1931" s="1">
        <v>0.0</v>
      </c>
    </row>
    <row r="1932">
      <c r="A1932" s="1">
        <v>1.0</v>
      </c>
      <c r="B1932" s="1">
        <v>3.0</v>
      </c>
      <c r="C1932" s="1">
        <v>0.0</v>
      </c>
      <c r="D1932" s="1">
        <v>0.0</v>
      </c>
      <c r="E1932" s="1">
        <v>0.0</v>
      </c>
      <c r="F1932" s="1">
        <v>0.0</v>
      </c>
      <c r="G1932" s="2">
        <v>0.0</v>
      </c>
      <c r="H1932" s="1" t="s">
        <v>137</v>
      </c>
      <c r="I1932" s="1">
        <v>0.0</v>
      </c>
      <c r="J1932" s="1">
        <v>0.0</v>
      </c>
    </row>
    <row r="1933">
      <c r="A1933" s="1">
        <v>5.0</v>
      </c>
      <c r="B1933" s="1">
        <v>20.0</v>
      </c>
      <c r="C1933" s="1">
        <v>7.0</v>
      </c>
      <c r="D1933" s="1">
        <v>4.0</v>
      </c>
      <c r="E1933" s="1">
        <v>0.2</v>
      </c>
      <c r="F1933" s="1">
        <v>0.0</v>
      </c>
      <c r="G1933" s="6">
        <v>0.857</v>
      </c>
      <c r="H1933" s="1" t="s">
        <v>139</v>
      </c>
      <c r="I1933" s="1">
        <v>20.0</v>
      </c>
      <c r="J1933" s="1">
        <v>1.0</v>
      </c>
    </row>
    <row r="1934">
      <c r="A1934" s="1">
        <v>1.0</v>
      </c>
      <c r="B1934" s="1">
        <v>4.0</v>
      </c>
      <c r="C1934" s="1">
        <v>0.0</v>
      </c>
      <c r="D1934" s="1">
        <v>0.0</v>
      </c>
      <c r="E1934" s="1">
        <v>0.0</v>
      </c>
      <c r="F1934" s="1">
        <v>0.0</v>
      </c>
      <c r="G1934" s="2">
        <v>0.0</v>
      </c>
      <c r="H1934" s="1" t="s">
        <v>142</v>
      </c>
      <c r="I1934" s="1">
        <v>0.0</v>
      </c>
      <c r="J1934" s="1">
        <v>0.0</v>
      </c>
    </row>
    <row r="1935">
      <c r="A1935" s="1">
        <v>5.0</v>
      </c>
      <c r="B1935" s="1">
        <v>20.0</v>
      </c>
      <c r="C1935" s="1">
        <v>9.0</v>
      </c>
      <c r="D1935" s="1">
        <v>5.6</v>
      </c>
      <c r="E1935" s="1">
        <v>0.0</v>
      </c>
      <c r="F1935" s="1">
        <v>0.0</v>
      </c>
      <c r="G1935" s="6">
        <v>0.778</v>
      </c>
      <c r="H1935" s="1" t="s">
        <v>144</v>
      </c>
      <c r="I1935" s="1">
        <v>28.0</v>
      </c>
      <c r="J1935" s="1">
        <v>0.0</v>
      </c>
    </row>
    <row r="1936">
      <c r="A1936" s="1">
        <v>4.0</v>
      </c>
      <c r="B1936" s="1">
        <v>16.0</v>
      </c>
      <c r="C1936" s="1">
        <v>0.0</v>
      </c>
      <c r="D1936" s="1">
        <v>0.0</v>
      </c>
      <c r="E1936" s="1">
        <v>0.0</v>
      </c>
      <c r="F1936" s="1">
        <v>0.0</v>
      </c>
      <c r="G1936" s="2">
        <v>0.0</v>
      </c>
      <c r="H1936" s="1" t="s">
        <v>147</v>
      </c>
      <c r="I1936" s="1">
        <v>0.0</v>
      </c>
      <c r="J1936" s="1">
        <v>0.0</v>
      </c>
    </row>
    <row r="1937">
      <c r="A1937" s="1">
        <v>1.0</v>
      </c>
      <c r="B1937" s="1">
        <v>4.0</v>
      </c>
      <c r="C1937" s="1">
        <v>0.0</v>
      </c>
      <c r="D1937" s="1">
        <v>0.0</v>
      </c>
      <c r="E1937" s="1">
        <v>0.0</v>
      </c>
      <c r="F1937" s="1">
        <v>0.0</v>
      </c>
      <c r="G1937" s="2">
        <v>0.0</v>
      </c>
      <c r="H1937" s="1" t="s">
        <v>147</v>
      </c>
      <c r="I1937" s="1">
        <v>0.0</v>
      </c>
      <c r="J1937" s="1">
        <v>0.0</v>
      </c>
    </row>
    <row r="1938">
      <c r="A1938" s="1">
        <v>4.0</v>
      </c>
      <c r="B1938" s="1">
        <v>16.0</v>
      </c>
      <c r="C1938" s="1">
        <v>0.0</v>
      </c>
      <c r="D1938" s="1">
        <v>0.0</v>
      </c>
      <c r="E1938" s="1">
        <v>0.0</v>
      </c>
      <c r="F1938" s="1">
        <v>0.0</v>
      </c>
      <c r="G1938" s="2">
        <v>0.0</v>
      </c>
      <c r="H1938" s="1" t="s">
        <v>125</v>
      </c>
      <c r="I1938" s="1">
        <v>0.0</v>
      </c>
      <c r="J1938" s="1">
        <v>0.0</v>
      </c>
    </row>
    <row r="1939">
      <c r="A1939" s="1">
        <v>1.0</v>
      </c>
      <c r="B1939" s="1">
        <v>3.0</v>
      </c>
      <c r="C1939" s="1">
        <v>0.0</v>
      </c>
      <c r="D1939" s="1">
        <v>0.0</v>
      </c>
      <c r="E1939" s="1">
        <v>0.0</v>
      </c>
      <c r="F1939" s="1">
        <v>0.0</v>
      </c>
      <c r="G1939" s="2">
        <v>0.0</v>
      </c>
      <c r="H1939" s="1" t="s">
        <v>151</v>
      </c>
      <c r="I1939" s="1">
        <v>0.0</v>
      </c>
      <c r="J1939" s="1">
        <v>0.0</v>
      </c>
    </row>
    <row r="1940">
      <c r="A1940" s="1">
        <v>1.0</v>
      </c>
      <c r="B1940" s="1">
        <v>3.0</v>
      </c>
      <c r="C1940" s="1">
        <v>0.0</v>
      </c>
      <c r="D1940" s="1">
        <v>0.0</v>
      </c>
      <c r="E1940" s="1">
        <v>0.0</v>
      </c>
      <c r="F1940" s="1">
        <v>0.0</v>
      </c>
      <c r="G1940" s="2">
        <v>0.0</v>
      </c>
      <c r="H1940" s="1" t="s">
        <v>152</v>
      </c>
      <c r="I1940" s="1">
        <v>0.0</v>
      </c>
      <c r="J1940" s="1">
        <v>0.0</v>
      </c>
    </row>
    <row r="1941">
      <c r="A1941" s="1">
        <v>3.0</v>
      </c>
      <c r="B1941" s="1">
        <v>12.0</v>
      </c>
      <c r="C1941" s="1">
        <v>0.0</v>
      </c>
      <c r="D1941" s="1">
        <v>0.0</v>
      </c>
      <c r="E1941" s="1">
        <v>0.0</v>
      </c>
      <c r="F1941" s="1">
        <v>0.0</v>
      </c>
      <c r="G1941" s="2">
        <v>0.0</v>
      </c>
      <c r="H1941" s="1" t="s">
        <v>152</v>
      </c>
      <c r="I1941" s="1">
        <v>0.0</v>
      </c>
      <c r="J1941" s="1">
        <v>0.0</v>
      </c>
    </row>
    <row r="1942">
      <c r="A1942" s="1">
        <v>1.0</v>
      </c>
      <c r="B1942" s="1">
        <v>3.0</v>
      </c>
      <c r="C1942" s="1">
        <v>0.0</v>
      </c>
      <c r="D1942" s="1">
        <v>0.0</v>
      </c>
      <c r="E1942" s="1">
        <v>0.0</v>
      </c>
      <c r="F1942" s="1">
        <v>0.0</v>
      </c>
      <c r="G1942" s="2">
        <v>0.0</v>
      </c>
      <c r="H1942" s="1" t="s">
        <v>156</v>
      </c>
      <c r="I1942" s="1">
        <v>0.0</v>
      </c>
      <c r="J1942" s="1">
        <v>0.0</v>
      </c>
    </row>
    <row r="1943">
      <c r="A1943" s="1">
        <v>2.0</v>
      </c>
      <c r="B1943" s="1">
        <v>8.0</v>
      </c>
      <c r="C1943" s="1">
        <v>0.0</v>
      </c>
      <c r="D1943" s="1">
        <v>0.0</v>
      </c>
      <c r="E1943" s="1">
        <v>0.0</v>
      </c>
      <c r="F1943" s="1">
        <v>0.0</v>
      </c>
      <c r="G1943" s="2">
        <v>0.0</v>
      </c>
      <c r="H1943" s="1" t="s">
        <v>156</v>
      </c>
      <c r="I1943" s="1">
        <v>0.0</v>
      </c>
      <c r="J1943" s="1">
        <v>0.0</v>
      </c>
    </row>
    <row r="1944">
      <c r="A1944" s="1">
        <v>1.0</v>
      </c>
      <c r="B1944" s="1">
        <v>3.0</v>
      </c>
      <c r="C1944" s="1">
        <v>3.0</v>
      </c>
      <c r="D1944" s="1">
        <v>4.0</v>
      </c>
      <c r="E1944" s="1">
        <v>0.0</v>
      </c>
      <c r="F1944" s="1">
        <v>0.0</v>
      </c>
      <c r="G1944" s="6">
        <v>0.333</v>
      </c>
      <c r="H1944" s="1" t="s">
        <v>145</v>
      </c>
      <c r="I1944" s="1">
        <v>4.0</v>
      </c>
      <c r="J1944" s="1">
        <v>0.0</v>
      </c>
    </row>
    <row r="1945">
      <c r="A1945" s="1">
        <v>4.0</v>
      </c>
      <c r="B1945" s="1">
        <v>16.0</v>
      </c>
      <c r="C1945" s="1">
        <v>8.0</v>
      </c>
      <c r="D1945" s="1">
        <v>1.0</v>
      </c>
      <c r="E1945" s="1">
        <v>0.25</v>
      </c>
      <c r="F1945" s="1">
        <v>0.0</v>
      </c>
      <c r="G1945" s="2">
        <v>0.25</v>
      </c>
      <c r="H1945" s="1" t="s">
        <v>145</v>
      </c>
      <c r="I1945" s="1">
        <v>4.0</v>
      </c>
      <c r="J1945" s="1">
        <v>1.0</v>
      </c>
    </row>
    <row r="1946">
      <c r="A1946" s="1">
        <v>1.0</v>
      </c>
      <c r="B1946" s="1">
        <v>4.0</v>
      </c>
      <c r="C1946" s="1">
        <v>0.0</v>
      </c>
      <c r="D1946" s="1">
        <v>0.0</v>
      </c>
      <c r="E1946" s="1">
        <v>0.0</v>
      </c>
      <c r="F1946" s="1">
        <v>0.0</v>
      </c>
      <c r="G1946" s="2">
        <v>0.0</v>
      </c>
      <c r="H1946" s="1" t="s">
        <v>160</v>
      </c>
      <c r="I1946" s="1">
        <v>0.0</v>
      </c>
      <c r="J1946" s="1">
        <v>0.0</v>
      </c>
    </row>
    <row r="1947">
      <c r="A1947" s="1">
        <v>2.0</v>
      </c>
      <c r="B1947" s="1">
        <v>8.0</v>
      </c>
      <c r="C1947" s="1">
        <v>1.0</v>
      </c>
      <c r="D1947" s="1">
        <v>2.0</v>
      </c>
      <c r="E1947" s="1">
        <v>0.0</v>
      </c>
      <c r="F1947" s="1">
        <v>0.0</v>
      </c>
      <c r="G1947" s="2">
        <v>1.0</v>
      </c>
      <c r="H1947" s="1" t="s">
        <v>162</v>
      </c>
      <c r="I1947" s="1">
        <v>4.0</v>
      </c>
      <c r="J1947" s="1">
        <v>0.0</v>
      </c>
    </row>
    <row r="1948">
      <c r="A1948" s="1">
        <v>2.0</v>
      </c>
      <c r="B1948" s="1">
        <v>8.0</v>
      </c>
      <c r="C1948" s="1">
        <v>1.0</v>
      </c>
      <c r="D1948" s="1">
        <v>0.0</v>
      </c>
      <c r="E1948" s="1">
        <v>0.0</v>
      </c>
      <c r="F1948" s="1">
        <v>0.0</v>
      </c>
      <c r="G1948" s="2">
        <v>0.0</v>
      </c>
      <c r="H1948" s="1" t="s">
        <v>162</v>
      </c>
      <c r="I1948" s="1">
        <v>0.0</v>
      </c>
      <c r="J1948" s="1">
        <v>0.0</v>
      </c>
    </row>
    <row r="1949">
      <c r="A1949" s="1">
        <v>5.0</v>
      </c>
      <c r="B1949" s="1">
        <v>20.0</v>
      </c>
      <c r="C1949" s="1">
        <v>0.0</v>
      </c>
      <c r="D1949" s="1">
        <v>0.0</v>
      </c>
      <c r="E1949" s="1">
        <v>0.0</v>
      </c>
      <c r="F1949" s="1">
        <v>0.0</v>
      </c>
      <c r="G1949" s="2">
        <v>0.0</v>
      </c>
      <c r="H1949" s="1" t="s">
        <v>165</v>
      </c>
      <c r="I1949" s="1">
        <v>0.0</v>
      </c>
      <c r="J1949" s="1">
        <v>0.0</v>
      </c>
    </row>
    <row r="1950">
      <c r="A1950" s="1">
        <v>1.0</v>
      </c>
      <c r="B1950" s="1">
        <v>4.0</v>
      </c>
      <c r="C1950" s="1">
        <v>1.0</v>
      </c>
      <c r="D1950" s="1">
        <v>0.0</v>
      </c>
      <c r="E1950" s="1">
        <v>0.0</v>
      </c>
      <c r="F1950" s="1">
        <v>0.0</v>
      </c>
      <c r="G1950" s="2">
        <v>0.0</v>
      </c>
      <c r="H1950" s="1" t="s">
        <v>167</v>
      </c>
      <c r="I1950" s="1">
        <v>0.0</v>
      </c>
      <c r="J1950" s="1">
        <v>0.0</v>
      </c>
    </row>
    <row r="1951">
      <c r="A1951" s="1">
        <v>5.0</v>
      </c>
      <c r="B1951" s="1">
        <v>20.0</v>
      </c>
      <c r="C1951" s="1">
        <v>8.0</v>
      </c>
      <c r="D1951" s="1">
        <v>4.0</v>
      </c>
      <c r="E1951" s="1">
        <v>0.0</v>
      </c>
      <c r="F1951" s="1">
        <v>0.0</v>
      </c>
      <c r="G1951" s="6">
        <v>0.625</v>
      </c>
      <c r="H1951" s="1" t="s">
        <v>169</v>
      </c>
      <c r="I1951" s="1">
        <v>20.0</v>
      </c>
      <c r="J1951" s="1">
        <v>0.0</v>
      </c>
    </row>
    <row r="1952">
      <c r="A1952" s="1">
        <v>3.0</v>
      </c>
      <c r="B1952" s="1">
        <v>12.0</v>
      </c>
      <c r="C1952" s="1">
        <v>0.0</v>
      </c>
      <c r="D1952" s="1">
        <v>0.0</v>
      </c>
      <c r="E1952" s="1">
        <v>0.0</v>
      </c>
      <c r="F1952" s="1">
        <v>0.0</v>
      </c>
      <c r="G1952" s="2">
        <v>0.0</v>
      </c>
      <c r="H1952" s="1" t="s">
        <v>171</v>
      </c>
      <c r="I1952" s="1">
        <v>0.0</v>
      </c>
      <c r="J1952" s="1">
        <v>0.0</v>
      </c>
    </row>
    <row r="1953">
      <c r="A1953" s="1">
        <v>4.0</v>
      </c>
      <c r="B1953" s="1">
        <v>16.0</v>
      </c>
      <c r="C1953" s="1">
        <v>2.0</v>
      </c>
      <c r="D1953" s="1">
        <v>-1.0</v>
      </c>
      <c r="E1953" s="1">
        <v>0.25</v>
      </c>
      <c r="F1953" s="1">
        <v>0.0</v>
      </c>
      <c r="G1953" s="2">
        <v>0.0</v>
      </c>
      <c r="H1953" s="1" t="s">
        <v>173</v>
      </c>
      <c r="I1953" s="1">
        <v>-4.0</v>
      </c>
      <c r="J1953" s="1">
        <v>1.0</v>
      </c>
    </row>
    <row r="1954">
      <c r="A1954" s="1">
        <v>1.0</v>
      </c>
      <c r="B1954" s="1">
        <v>4.0</v>
      </c>
      <c r="C1954" s="1">
        <v>0.0</v>
      </c>
      <c r="D1954" s="1">
        <v>0.0</v>
      </c>
      <c r="E1954" s="1">
        <v>0.0</v>
      </c>
      <c r="F1954" s="1">
        <v>0.0</v>
      </c>
      <c r="G1954" s="2">
        <v>0.0</v>
      </c>
      <c r="H1954" s="1" t="s">
        <v>173</v>
      </c>
      <c r="I1954" s="1">
        <v>0.0</v>
      </c>
      <c r="J1954" s="1">
        <v>0.0</v>
      </c>
    </row>
    <row r="1955">
      <c r="A1955" s="1">
        <v>1.0</v>
      </c>
      <c r="B1955" s="1">
        <v>4.0</v>
      </c>
      <c r="C1955" s="1">
        <v>1.0</v>
      </c>
      <c r="D1955" s="1">
        <v>4.0</v>
      </c>
      <c r="E1955" s="1">
        <v>0.0</v>
      </c>
      <c r="F1955" s="1">
        <v>0.0</v>
      </c>
      <c r="G1955" s="2">
        <v>1.0</v>
      </c>
      <c r="H1955" s="1" t="s">
        <v>174</v>
      </c>
      <c r="I1955" s="1">
        <v>4.0</v>
      </c>
      <c r="J1955" s="1">
        <v>0.0</v>
      </c>
    </row>
    <row r="1956">
      <c r="A1956" s="1">
        <v>1.0</v>
      </c>
      <c r="B1956" s="1">
        <v>4.0</v>
      </c>
      <c r="C1956" s="1">
        <v>0.0</v>
      </c>
      <c r="D1956" s="1">
        <v>0.0</v>
      </c>
      <c r="E1956" s="1">
        <v>0.0</v>
      </c>
      <c r="F1956" s="1">
        <v>0.0</v>
      </c>
      <c r="G1956" s="2">
        <v>0.0</v>
      </c>
      <c r="H1956" s="1" t="s">
        <v>176</v>
      </c>
      <c r="I1956" s="1">
        <v>0.0</v>
      </c>
      <c r="J1956" s="1">
        <v>0.0</v>
      </c>
    </row>
    <row r="1957">
      <c r="A1957" s="1">
        <v>4.0</v>
      </c>
      <c r="B1957" s="1">
        <v>16.0</v>
      </c>
      <c r="C1957" s="1">
        <v>5.0</v>
      </c>
      <c r="D1957" s="1">
        <v>3.0</v>
      </c>
      <c r="E1957" s="1">
        <v>0.0</v>
      </c>
      <c r="F1957" s="1">
        <v>0.0</v>
      </c>
      <c r="G1957" s="2">
        <v>0.6</v>
      </c>
      <c r="H1957" s="1" t="s">
        <v>74</v>
      </c>
      <c r="I1957" s="1">
        <v>12.0</v>
      </c>
      <c r="J1957" s="1">
        <v>0.0</v>
      </c>
    </row>
    <row r="1958">
      <c r="A1958" s="1">
        <v>1.0</v>
      </c>
      <c r="B1958" s="1">
        <v>4.0</v>
      </c>
      <c r="C1958" s="1">
        <v>4.0</v>
      </c>
      <c r="D1958" s="1">
        <v>4.0</v>
      </c>
      <c r="E1958" s="1">
        <v>0.0</v>
      </c>
      <c r="F1958" s="1">
        <v>0.0</v>
      </c>
      <c r="G1958" s="2">
        <v>0.25</v>
      </c>
      <c r="H1958" s="1" t="s">
        <v>74</v>
      </c>
      <c r="I1958" s="1">
        <v>4.0</v>
      </c>
      <c r="J1958" s="1">
        <v>0.0</v>
      </c>
    </row>
    <row r="1959">
      <c r="A1959" s="1">
        <v>1.0</v>
      </c>
      <c r="B1959" s="1">
        <v>4.0</v>
      </c>
      <c r="C1959" s="1">
        <v>0.0</v>
      </c>
      <c r="D1959" s="1">
        <v>0.0</v>
      </c>
      <c r="E1959" s="1">
        <v>0.0</v>
      </c>
      <c r="F1959" s="1">
        <v>0.0</v>
      </c>
      <c r="G1959" s="2">
        <v>0.0</v>
      </c>
      <c r="H1959" s="1" t="s">
        <v>177</v>
      </c>
      <c r="I1959" s="1">
        <v>0.0</v>
      </c>
      <c r="J1959" s="1">
        <v>0.0</v>
      </c>
    </row>
    <row r="1960">
      <c r="A1960" s="1">
        <v>4.0</v>
      </c>
      <c r="B1960" s="1">
        <v>15.0</v>
      </c>
      <c r="C1960" s="1">
        <v>0.0</v>
      </c>
      <c r="D1960" s="1">
        <v>0.0</v>
      </c>
      <c r="E1960" s="1">
        <v>0.0</v>
      </c>
      <c r="F1960" s="1">
        <v>0.0</v>
      </c>
      <c r="G1960" s="2">
        <v>0.0</v>
      </c>
      <c r="H1960" s="1" t="s">
        <v>178</v>
      </c>
      <c r="I1960" s="1">
        <v>0.0</v>
      </c>
      <c r="J1960" s="1">
        <v>0.0</v>
      </c>
    </row>
    <row r="1961">
      <c r="A1961" s="1">
        <v>1.0</v>
      </c>
      <c r="B1961" s="1">
        <v>4.0</v>
      </c>
      <c r="C1961" s="1">
        <v>0.0</v>
      </c>
      <c r="D1961" s="1">
        <v>0.0</v>
      </c>
      <c r="E1961" s="1">
        <v>0.0</v>
      </c>
      <c r="F1961" s="1">
        <v>0.0</v>
      </c>
      <c r="G1961" s="2">
        <v>0.0</v>
      </c>
      <c r="H1961" s="1" t="s">
        <v>178</v>
      </c>
      <c r="I1961" s="1">
        <v>0.0</v>
      </c>
      <c r="J1961" s="1">
        <v>0.0</v>
      </c>
    </row>
    <row r="1962">
      <c r="A1962" s="1">
        <v>3.0</v>
      </c>
      <c r="B1962" s="1">
        <v>11.0</v>
      </c>
      <c r="C1962" s="1">
        <v>3.0</v>
      </c>
      <c r="D1962" s="1">
        <v>2.67</v>
      </c>
      <c r="E1962" s="1">
        <v>0.0</v>
      </c>
      <c r="F1962" s="1">
        <v>0.0</v>
      </c>
      <c r="G1962" s="6">
        <v>0.667</v>
      </c>
      <c r="H1962" s="1" t="s">
        <v>150</v>
      </c>
      <c r="I1962" s="1">
        <v>8.0</v>
      </c>
      <c r="J1962" s="1">
        <v>0.0</v>
      </c>
    </row>
    <row r="1963">
      <c r="A1963" s="1">
        <v>1.0</v>
      </c>
      <c r="B1963" s="1">
        <v>4.0</v>
      </c>
      <c r="C1963" s="1">
        <v>0.0</v>
      </c>
      <c r="D1963" s="1">
        <v>0.0</v>
      </c>
      <c r="E1963" s="1">
        <v>0.0</v>
      </c>
      <c r="F1963" s="1">
        <v>0.0</v>
      </c>
      <c r="G1963" s="2">
        <v>0.0</v>
      </c>
      <c r="H1963" s="1" t="s">
        <v>150</v>
      </c>
      <c r="I1963" s="1">
        <v>0.0</v>
      </c>
      <c r="J1963" s="1">
        <v>0.0</v>
      </c>
    </row>
    <row r="1964">
      <c r="A1964" s="1">
        <v>2.0</v>
      </c>
      <c r="B1964" s="1">
        <v>7.0</v>
      </c>
      <c r="C1964" s="1">
        <v>4.0</v>
      </c>
      <c r="D1964" s="1">
        <v>4.0</v>
      </c>
      <c r="E1964" s="1">
        <v>0.0</v>
      </c>
      <c r="F1964" s="1">
        <v>0.0</v>
      </c>
      <c r="G1964" s="2">
        <v>0.5</v>
      </c>
      <c r="H1964" s="1" t="s">
        <v>179</v>
      </c>
      <c r="I1964" s="1">
        <v>8.0</v>
      </c>
      <c r="J1964" s="1">
        <v>0.0</v>
      </c>
    </row>
    <row r="1965">
      <c r="A1965" s="1">
        <v>1.0</v>
      </c>
      <c r="B1965" s="1">
        <v>4.0</v>
      </c>
      <c r="C1965" s="1">
        <v>3.0</v>
      </c>
      <c r="D1965" s="1">
        <v>12.0</v>
      </c>
      <c r="E1965" s="1">
        <v>0.0</v>
      </c>
      <c r="F1965" s="1">
        <v>0.0</v>
      </c>
      <c r="G1965" s="2">
        <v>1.0</v>
      </c>
      <c r="H1965" s="1" t="s">
        <v>179</v>
      </c>
      <c r="I1965" s="1">
        <v>12.0</v>
      </c>
      <c r="J1965" s="1">
        <v>0.0</v>
      </c>
    </row>
    <row r="1966">
      <c r="A1966" s="1">
        <v>2.0</v>
      </c>
      <c r="B1966" s="1">
        <v>8.0</v>
      </c>
      <c r="C1966" s="1">
        <v>3.0</v>
      </c>
      <c r="D1966" s="1">
        <v>0.0</v>
      </c>
      <c r="E1966" s="1">
        <v>0.0</v>
      </c>
      <c r="F1966" s="1">
        <v>0.0</v>
      </c>
      <c r="G1966" s="2">
        <v>0.0</v>
      </c>
      <c r="H1966" s="1" t="s">
        <v>181</v>
      </c>
      <c r="I1966" s="1">
        <v>0.0</v>
      </c>
      <c r="J1966" s="1">
        <v>0.0</v>
      </c>
    </row>
    <row r="1967">
      <c r="A1967" s="1">
        <v>4.0</v>
      </c>
      <c r="B1967" s="1">
        <v>15.0</v>
      </c>
      <c r="C1967" s="1">
        <v>0.0</v>
      </c>
      <c r="D1967" s="1">
        <v>0.0</v>
      </c>
      <c r="E1967" s="1">
        <v>0.0</v>
      </c>
      <c r="F1967" s="1">
        <v>0.0</v>
      </c>
      <c r="G1967" s="2">
        <v>0.0</v>
      </c>
      <c r="H1967" s="1" t="s">
        <v>183</v>
      </c>
      <c r="I1967" s="1">
        <v>0.0</v>
      </c>
      <c r="J1967" s="1">
        <v>0.0</v>
      </c>
    </row>
    <row r="1968">
      <c r="A1968" s="1">
        <v>1.0</v>
      </c>
      <c r="B1968" s="1">
        <v>4.0</v>
      </c>
      <c r="C1968" s="1">
        <v>0.0</v>
      </c>
      <c r="D1968" s="1">
        <v>0.0</v>
      </c>
      <c r="E1968" s="1">
        <v>0.0</v>
      </c>
      <c r="F1968" s="1">
        <v>0.0</v>
      </c>
      <c r="G1968" s="2">
        <v>0.0</v>
      </c>
      <c r="H1968" s="1" t="s">
        <v>183</v>
      </c>
      <c r="I1968" s="1">
        <v>0.0</v>
      </c>
      <c r="J1968" s="1">
        <v>0.0</v>
      </c>
    </row>
    <row r="1969">
      <c r="A1969" s="1">
        <v>1.0</v>
      </c>
      <c r="B1969" s="1">
        <v>4.0</v>
      </c>
      <c r="C1969" s="1">
        <v>0.0</v>
      </c>
      <c r="D1969" s="1">
        <v>0.0</v>
      </c>
      <c r="E1969" s="1">
        <v>0.0</v>
      </c>
      <c r="F1969" s="1">
        <v>0.0</v>
      </c>
      <c r="G1969" s="2">
        <v>0.0</v>
      </c>
      <c r="H1969" s="1" t="s">
        <v>184</v>
      </c>
      <c r="I1969" s="1">
        <v>0.0</v>
      </c>
      <c r="J1969" s="1">
        <v>0.0</v>
      </c>
    </row>
    <row r="1970">
      <c r="A1970" s="1">
        <v>1.0</v>
      </c>
      <c r="B1970" s="1">
        <v>3.0</v>
      </c>
      <c r="C1970" s="1">
        <v>0.0</v>
      </c>
      <c r="D1970" s="1">
        <v>0.0</v>
      </c>
      <c r="E1970" s="1">
        <v>0.0</v>
      </c>
      <c r="F1970" s="1">
        <v>0.0</v>
      </c>
      <c r="G1970" s="2">
        <v>0.0</v>
      </c>
      <c r="H1970" s="1" t="s">
        <v>184</v>
      </c>
      <c r="I1970" s="1">
        <v>0.0</v>
      </c>
      <c r="J1970" s="1">
        <v>0.0</v>
      </c>
    </row>
    <row r="1971">
      <c r="A1971" s="1">
        <v>3.0</v>
      </c>
      <c r="B1971" s="1">
        <v>12.0</v>
      </c>
      <c r="C1971" s="1">
        <v>1.0</v>
      </c>
      <c r="D1971" s="1">
        <v>0.0</v>
      </c>
      <c r="E1971" s="1">
        <v>0.0</v>
      </c>
      <c r="F1971" s="1">
        <v>0.0</v>
      </c>
      <c r="G1971" s="2">
        <v>0.0</v>
      </c>
      <c r="H1971" s="1" t="s">
        <v>184</v>
      </c>
      <c r="I1971" s="1">
        <v>0.0</v>
      </c>
      <c r="J1971" s="1">
        <v>0.0</v>
      </c>
    </row>
    <row r="1972">
      <c r="A1972" s="1">
        <v>4.0</v>
      </c>
      <c r="B1972" s="1">
        <v>16.0</v>
      </c>
      <c r="C1972" s="1">
        <v>5.0</v>
      </c>
      <c r="D1972" s="1">
        <v>0.0</v>
      </c>
      <c r="E1972" s="1">
        <v>0.0</v>
      </c>
      <c r="F1972" s="1">
        <v>0.0</v>
      </c>
      <c r="G1972" s="2">
        <v>0.0</v>
      </c>
      <c r="H1972" s="1" t="s">
        <v>161</v>
      </c>
      <c r="I1972" s="1">
        <v>0.0</v>
      </c>
      <c r="J1972" s="1">
        <v>0.0</v>
      </c>
    </row>
    <row r="1973">
      <c r="A1973" s="1">
        <v>1.0</v>
      </c>
      <c r="B1973" s="1">
        <v>3.0</v>
      </c>
      <c r="C1973" s="1">
        <v>1.0</v>
      </c>
      <c r="D1973" s="1">
        <v>4.0</v>
      </c>
      <c r="E1973" s="1">
        <v>0.0</v>
      </c>
      <c r="F1973" s="1">
        <v>0.0</v>
      </c>
      <c r="G1973" s="2">
        <v>1.0</v>
      </c>
      <c r="H1973" s="1" t="s">
        <v>161</v>
      </c>
      <c r="I1973" s="1">
        <v>4.0</v>
      </c>
      <c r="J1973" s="1">
        <v>0.0</v>
      </c>
    </row>
    <row r="1974">
      <c r="A1974" s="1">
        <v>3.0</v>
      </c>
      <c r="B1974" s="1">
        <v>12.0</v>
      </c>
      <c r="C1974" s="1">
        <v>0.0</v>
      </c>
      <c r="D1974" s="1">
        <v>0.0</v>
      </c>
      <c r="E1974" s="1">
        <v>0.0</v>
      </c>
      <c r="F1974" s="1">
        <v>0.0</v>
      </c>
      <c r="G1974" s="2">
        <v>0.0</v>
      </c>
      <c r="H1974" s="1" t="s">
        <v>187</v>
      </c>
      <c r="I1974" s="1">
        <v>0.0</v>
      </c>
      <c r="J1974" s="1">
        <v>0.0</v>
      </c>
    </row>
    <row r="1975">
      <c r="A1975" s="1">
        <v>5.0</v>
      </c>
      <c r="B1975" s="1">
        <v>20.0</v>
      </c>
      <c r="C1975" s="1">
        <v>3.0</v>
      </c>
      <c r="D1975" s="1">
        <v>2.4</v>
      </c>
      <c r="E1975" s="1">
        <v>0.0</v>
      </c>
      <c r="F1975" s="1">
        <v>0.0</v>
      </c>
      <c r="G1975" s="2">
        <v>1.0</v>
      </c>
      <c r="H1975" s="1" t="s">
        <v>180</v>
      </c>
      <c r="I1975" s="1">
        <v>12.0</v>
      </c>
      <c r="J1975" s="1">
        <v>0.0</v>
      </c>
    </row>
    <row r="1976">
      <c r="A1976" s="1">
        <v>4.0</v>
      </c>
      <c r="B1976" s="1">
        <v>16.0</v>
      </c>
      <c r="C1976" s="1">
        <v>4.0</v>
      </c>
      <c r="D1976" s="1">
        <v>2.0</v>
      </c>
      <c r="E1976" s="1">
        <v>0.25</v>
      </c>
      <c r="F1976" s="1">
        <v>0.0</v>
      </c>
      <c r="G1976" s="2">
        <v>0.75</v>
      </c>
      <c r="H1976" s="1" t="s">
        <v>189</v>
      </c>
      <c r="I1976" s="1">
        <v>8.0</v>
      </c>
      <c r="J1976" s="1">
        <v>1.0</v>
      </c>
    </row>
    <row r="1977">
      <c r="A1977" s="1">
        <v>5.0</v>
      </c>
      <c r="B1977" s="1">
        <v>20.0</v>
      </c>
      <c r="C1977" s="1">
        <v>8.0</v>
      </c>
      <c r="D1977" s="1">
        <v>4.8</v>
      </c>
      <c r="E1977" s="1">
        <v>0.2</v>
      </c>
      <c r="F1977" s="1">
        <v>0.0</v>
      </c>
      <c r="G1977" s="6">
        <v>0.875</v>
      </c>
      <c r="H1977" s="1" t="s">
        <v>190</v>
      </c>
      <c r="I1977" s="1">
        <v>24.0</v>
      </c>
      <c r="J1977" s="1">
        <v>1.0</v>
      </c>
    </row>
    <row r="1978">
      <c r="A1978" s="1">
        <v>1.0</v>
      </c>
      <c r="B1978" s="1">
        <v>4.0</v>
      </c>
      <c r="C1978" s="1">
        <v>0.0</v>
      </c>
      <c r="D1978" s="1">
        <v>0.0</v>
      </c>
      <c r="E1978" s="1">
        <v>0.0</v>
      </c>
      <c r="F1978" s="1">
        <v>0.0</v>
      </c>
      <c r="G1978" s="2">
        <v>0.0</v>
      </c>
      <c r="H1978" s="1" t="s">
        <v>191</v>
      </c>
      <c r="I1978" s="1">
        <v>0.0</v>
      </c>
      <c r="J1978" s="1">
        <v>0.0</v>
      </c>
    </row>
    <row r="1979">
      <c r="A1979" s="1">
        <v>3.0</v>
      </c>
      <c r="B1979" s="1">
        <v>13.0</v>
      </c>
      <c r="C1979" s="1">
        <v>0.0</v>
      </c>
      <c r="D1979" s="1">
        <v>0.0</v>
      </c>
      <c r="E1979" s="1">
        <v>0.0</v>
      </c>
      <c r="F1979" s="1">
        <v>0.0</v>
      </c>
      <c r="G1979" s="2">
        <v>0.0</v>
      </c>
      <c r="H1979" s="1" t="s">
        <v>191</v>
      </c>
      <c r="I1979" s="1">
        <v>0.0</v>
      </c>
      <c r="J1979" s="1">
        <v>0.0</v>
      </c>
    </row>
    <row r="1980">
      <c r="A1980" s="1">
        <v>2.0</v>
      </c>
      <c r="B1980" s="1">
        <v>9.0</v>
      </c>
      <c r="C1980" s="1">
        <v>0.0</v>
      </c>
      <c r="D1980" s="1">
        <v>0.0</v>
      </c>
      <c r="E1980" s="1">
        <v>0.0</v>
      </c>
      <c r="F1980" s="1">
        <v>0.0</v>
      </c>
      <c r="G1980" s="2">
        <v>0.0</v>
      </c>
      <c r="H1980" s="1" t="s">
        <v>192</v>
      </c>
      <c r="I1980" s="1">
        <v>0.0</v>
      </c>
      <c r="J1980" s="1">
        <v>0.0</v>
      </c>
    </row>
    <row r="1981">
      <c r="A1981" s="1">
        <v>1.0</v>
      </c>
      <c r="B1981" s="1">
        <v>4.0</v>
      </c>
      <c r="C1981" s="1">
        <v>0.0</v>
      </c>
      <c r="D1981" s="1">
        <v>0.0</v>
      </c>
      <c r="E1981" s="1">
        <v>0.0</v>
      </c>
      <c r="F1981" s="1">
        <v>0.0</v>
      </c>
      <c r="G1981" s="2">
        <v>0.0</v>
      </c>
      <c r="H1981" s="1" t="s">
        <v>192</v>
      </c>
      <c r="I1981" s="1">
        <v>0.0</v>
      </c>
      <c r="J1981" s="1">
        <v>0.0</v>
      </c>
    </row>
    <row r="1982">
      <c r="A1982" s="1">
        <v>1.0</v>
      </c>
      <c r="B1982" s="1">
        <v>4.0</v>
      </c>
      <c r="C1982" s="1">
        <v>0.0</v>
      </c>
      <c r="D1982" s="1">
        <v>0.0</v>
      </c>
      <c r="E1982" s="1">
        <v>0.0</v>
      </c>
      <c r="F1982" s="1">
        <v>0.0</v>
      </c>
      <c r="G1982" s="2">
        <v>0.0</v>
      </c>
      <c r="H1982" s="1" t="s">
        <v>194</v>
      </c>
      <c r="I1982" s="1">
        <v>0.0</v>
      </c>
      <c r="J1982" s="1">
        <v>0.0</v>
      </c>
    </row>
    <row r="1983">
      <c r="A1983" s="1">
        <v>1.0</v>
      </c>
      <c r="B1983" s="1">
        <v>4.0</v>
      </c>
      <c r="C1983" s="1">
        <v>0.0</v>
      </c>
      <c r="D1983" s="1">
        <v>0.0</v>
      </c>
      <c r="E1983" s="1">
        <v>0.0</v>
      </c>
      <c r="F1983" s="1">
        <v>0.0</v>
      </c>
      <c r="G1983" s="2">
        <v>0.0</v>
      </c>
      <c r="H1983" s="1" t="s">
        <v>194</v>
      </c>
      <c r="I1983" s="1">
        <v>0.0</v>
      </c>
      <c r="J1983" s="1">
        <v>0.0</v>
      </c>
    </row>
    <row r="1984">
      <c r="A1984" s="1">
        <v>1.0</v>
      </c>
      <c r="B1984" s="1">
        <v>4.0</v>
      </c>
      <c r="C1984" s="1">
        <v>3.0</v>
      </c>
      <c r="D1984" s="1">
        <v>12.0</v>
      </c>
      <c r="E1984" s="1">
        <v>0.0</v>
      </c>
      <c r="F1984" s="1">
        <v>0.0</v>
      </c>
      <c r="G1984" s="2">
        <v>1.0</v>
      </c>
      <c r="H1984" s="1" t="s">
        <v>195</v>
      </c>
      <c r="I1984" s="1">
        <v>12.0</v>
      </c>
      <c r="J1984" s="1">
        <v>0.0</v>
      </c>
    </row>
    <row r="1985">
      <c r="A1985" s="1">
        <v>4.0</v>
      </c>
      <c r="B1985" s="1">
        <v>17.0</v>
      </c>
      <c r="C1985" s="1">
        <v>7.0</v>
      </c>
      <c r="D1985" s="1">
        <v>4.0</v>
      </c>
      <c r="E1985" s="1">
        <v>0.25</v>
      </c>
      <c r="F1985" s="1">
        <v>0.0</v>
      </c>
      <c r="G1985" s="6">
        <v>0.714</v>
      </c>
      <c r="H1985" s="1" t="s">
        <v>195</v>
      </c>
      <c r="I1985" s="1">
        <v>16.0</v>
      </c>
      <c r="J1985" s="1">
        <v>1.0</v>
      </c>
    </row>
    <row r="1986">
      <c r="A1986" s="1">
        <v>1.0</v>
      </c>
      <c r="B1986" s="1">
        <v>4.0</v>
      </c>
      <c r="C1986" s="1">
        <v>0.0</v>
      </c>
      <c r="D1986" s="1">
        <v>0.0</v>
      </c>
      <c r="E1986" s="1">
        <v>0.0</v>
      </c>
      <c r="F1986" s="1">
        <v>0.0</v>
      </c>
      <c r="G1986" s="2">
        <v>0.0</v>
      </c>
      <c r="H1986" s="1" t="s">
        <v>112</v>
      </c>
      <c r="I1986" s="1">
        <v>0.0</v>
      </c>
      <c r="J1986" s="1">
        <v>0.0</v>
      </c>
    </row>
    <row r="1987">
      <c r="A1987" s="1">
        <v>4.0</v>
      </c>
      <c r="B1987" s="1">
        <v>17.0</v>
      </c>
      <c r="C1987" s="1">
        <v>3.0</v>
      </c>
      <c r="D1987" s="1">
        <v>0.0</v>
      </c>
      <c r="E1987" s="1">
        <v>0.25</v>
      </c>
      <c r="F1987" s="1">
        <v>0.0</v>
      </c>
      <c r="G1987" s="6">
        <v>0.333</v>
      </c>
      <c r="H1987" s="1" t="s">
        <v>112</v>
      </c>
      <c r="I1987" s="1">
        <v>0.0</v>
      </c>
      <c r="J1987" s="1">
        <v>1.0</v>
      </c>
    </row>
    <row r="1988">
      <c r="A1988" s="1">
        <v>1.0</v>
      </c>
      <c r="B1988" s="1">
        <v>4.0</v>
      </c>
      <c r="C1988" s="1">
        <v>0.0</v>
      </c>
      <c r="D1988" s="1">
        <v>0.0</v>
      </c>
      <c r="E1988" s="1">
        <v>0.0</v>
      </c>
      <c r="F1988" s="1">
        <v>0.0</v>
      </c>
      <c r="G1988" s="2">
        <v>0.0</v>
      </c>
      <c r="H1988" s="1" t="s">
        <v>196</v>
      </c>
      <c r="I1988" s="1">
        <v>0.0</v>
      </c>
      <c r="J1988" s="1">
        <v>0.0</v>
      </c>
    </row>
    <row r="1989">
      <c r="A1989" s="1">
        <v>5.0</v>
      </c>
      <c r="B1989" s="1">
        <v>19.0</v>
      </c>
      <c r="C1989" s="1">
        <v>3.0</v>
      </c>
      <c r="D1989" s="1">
        <v>-0.8</v>
      </c>
      <c r="E1989" s="1">
        <v>0.2</v>
      </c>
      <c r="F1989" s="1">
        <v>0.0</v>
      </c>
      <c r="G1989" s="2">
        <v>0.0</v>
      </c>
      <c r="H1989" s="1" t="s">
        <v>197</v>
      </c>
      <c r="I1989" s="1">
        <v>-4.0</v>
      </c>
      <c r="J1989" s="1">
        <v>1.0</v>
      </c>
    </row>
    <row r="1990">
      <c r="A1990" s="1">
        <v>2.0</v>
      </c>
      <c r="B1990" s="1">
        <v>8.0</v>
      </c>
      <c r="C1990" s="1">
        <v>0.0</v>
      </c>
      <c r="D1990" s="1">
        <v>0.0</v>
      </c>
      <c r="E1990" s="1">
        <v>0.0</v>
      </c>
      <c r="F1990" s="1">
        <v>0.0</v>
      </c>
      <c r="G1990" s="2">
        <v>0.0</v>
      </c>
      <c r="H1990" s="1" t="s">
        <v>198</v>
      </c>
      <c r="I1990" s="1">
        <v>0.0</v>
      </c>
      <c r="J1990" s="1">
        <v>0.0</v>
      </c>
    </row>
    <row r="1991">
      <c r="A1991" s="1">
        <v>5.0</v>
      </c>
      <c r="B1991" s="1">
        <v>19.0</v>
      </c>
      <c r="C1991" s="1">
        <v>9.0</v>
      </c>
      <c r="D1991" s="1">
        <v>2.4</v>
      </c>
      <c r="E1991" s="1">
        <v>0.2</v>
      </c>
      <c r="F1991" s="1">
        <v>0.0</v>
      </c>
      <c r="G1991" s="6">
        <v>0.444</v>
      </c>
      <c r="H1991" s="1" t="s">
        <v>199</v>
      </c>
      <c r="I1991" s="1">
        <v>12.0</v>
      </c>
      <c r="J1991" s="1">
        <v>1.0</v>
      </c>
    </row>
    <row r="1992">
      <c r="A1992" s="1">
        <v>3.0</v>
      </c>
      <c r="B1992" s="1">
        <v>12.0</v>
      </c>
      <c r="C1992" s="1">
        <v>6.0</v>
      </c>
      <c r="D1992" s="1">
        <v>4.0</v>
      </c>
      <c r="E1992" s="1">
        <v>0.0</v>
      </c>
      <c r="F1992" s="1">
        <v>0.0</v>
      </c>
      <c r="G1992" s="2">
        <v>0.5</v>
      </c>
      <c r="H1992" s="1" t="s">
        <v>200</v>
      </c>
      <c r="I1992" s="1">
        <v>12.0</v>
      </c>
      <c r="J1992" s="1">
        <v>0.0</v>
      </c>
    </row>
    <row r="1993">
      <c r="A1993" s="1">
        <v>3.0</v>
      </c>
      <c r="B1993" s="1">
        <v>11.0</v>
      </c>
      <c r="C1993" s="1">
        <v>0.0</v>
      </c>
      <c r="D1993" s="1">
        <v>0.0</v>
      </c>
      <c r="E1993" s="1">
        <v>0.0</v>
      </c>
      <c r="F1993" s="1">
        <v>0.0</v>
      </c>
      <c r="G1993" s="2">
        <v>0.0</v>
      </c>
      <c r="H1993" s="1" t="s">
        <v>201</v>
      </c>
      <c r="I1993" s="1">
        <v>0.0</v>
      </c>
      <c r="J1993" s="1">
        <v>0.0</v>
      </c>
    </row>
    <row r="1994">
      <c r="A1994" s="1">
        <v>5.0</v>
      </c>
      <c r="B1994" s="1">
        <v>19.0</v>
      </c>
      <c r="C1994" s="1">
        <v>7.0</v>
      </c>
      <c r="D1994" s="1">
        <v>4.0</v>
      </c>
      <c r="E1994" s="1">
        <v>0.2</v>
      </c>
      <c r="F1994" s="1">
        <v>0.0</v>
      </c>
      <c r="G1994" s="6">
        <v>0.857</v>
      </c>
      <c r="H1994" s="1" t="s">
        <v>70</v>
      </c>
      <c r="I1994" s="1">
        <v>20.0</v>
      </c>
      <c r="J1994" s="1">
        <v>1.0</v>
      </c>
    </row>
    <row r="1995">
      <c r="A1995" s="1">
        <v>1.0</v>
      </c>
      <c r="B1995" s="1">
        <v>4.0</v>
      </c>
      <c r="C1995" s="1">
        <v>1.0</v>
      </c>
      <c r="D1995" s="1">
        <v>0.0</v>
      </c>
      <c r="E1995" s="1">
        <v>0.0</v>
      </c>
      <c r="F1995" s="1">
        <v>0.0</v>
      </c>
      <c r="G1995" s="2">
        <v>0.0</v>
      </c>
      <c r="H1995" s="1" t="s">
        <v>203</v>
      </c>
      <c r="I1995" s="1">
        <v>0.0</v>
      </c>
      <c r="J1995" s="1">
        <v>0.0</v>
      </c>
    </row>
    <row r="1996">
      <c r="A1996" s="1">
        <v>2.0</v>
      </c>
      <c r="B1996" s="1">
        <v>8.0</v>
      </c>
      <c r="C1996" s="1">
        <v>3.0</v>
      </c>
      <c r="D1996" s="1">
        <v>4.0</v>
      </c>
      <c r="E1996" s="1">
        <v>0.0</v>
      </c>
      <c r="F1996" s="1">
        <v>0.0</v>
      </c>
      <c r="G1996" s="6">
        <v>0.667</v>
      </c>
      <c r="H1996" s="1" t="s">
        <v>205</v>
      </c>
      <c r="I1996" s="1">
        <v>8.0</v>
      </c>
      <c r="J1996" s="1">
        <v>0.0</v>
      </c>
    </row>
    <row r="1997">
      <c r="A1997" s="1">
        <v>1.0</v>
      </c>
      <c r="B1997" s="1">
        <v>4.0</v>
      </c>
      <c r="C1997" s="1">
        <v>0.0</v>
      </c>
      <c r="D1997" s="1">
        <v>0.0</v>
      </c>
      <c r="E1997" s="1">
        <v>0.0</v>
      </c>
      <c r="F1997" s="1">
        <v>0.0</v>
      </c>
      <c r="G1997" s="2">
        <v>0.0</v>
      </c>
      <c r="H1997" s="1" t="s">
        <v>206</v>
      </c>
      <c r="I1997" s="1">
        <v>0.0</v>
      </c>
      <c r="J1997" s="1">
        <v>0.0</v>
      </c>
    </row>
    <row r="1998">
      <c r="A1998" s="1">
        <v>5.0</v>
      </c>
      <c r="B1998" s="1">
        <v>20.0</v>
      </c>
      <c r="C1998" s="1">
        <v>10.0</v>
      </c>
      <c r="D1998" s="1">
        <v>3.2</v>
      </c>
      <c r="E1998" s="1">
        <v>0.2</v>
      </c>
      <c r="F1998" s="1">
        <v>0.0</v>
      </c>
      <c r="G1998" s="6">
        <v>0.5</v>
      </c>
      <c r="H1998" s="1" t="s">
        <v>62</v>
      </c>
      <c r="I1998" s="1">
        <v>16.0</v>
      </c>
      <c r="J1998" s="1">
        <v>1.0</v>
      </c>
    </row>
    <row r="1999">
      <c r="A1999" s="1">
        <v>1.0</v>
      </c>
      <c r="B1999" s="1">
        <v>4.0</v>
      </c>
      <c r="C1999" s="1">
        <v>0.0</v>
      </c>
      <c r="D1999" s="1">
        <v>0.0</v>
      </c>
      <c r="E1999" s="1">
        <v>0.0</v>
      </c>
      <c r="F1999" s="1">
        <v>0.0</v>
      </c>
      <c r="G1999" s="2">
        <v>0.0</v>
      </c>
      <c r="H1999" s="1" t="s">
        <v>208</v>
      </c>
      <c r="I1999" s="1">
        <v>0.0</v>
      </c>
      <c r="J1999" s="1">
        <v>0.0</v>
      </c>
    </row>
    <row r="2000">
      <c r="A2000" s="1">
        <v>5.0</v>
      </c>
      <c r="B2000" s="1">
        <v>20.0</v>
      </c>
      <c r="C2000" s="1">
        <v>1.0</v>
      </c>
      <c r="D2000" s="1">
        <v>0.8</v>
      </c>
      <c r="E2000" s="1">
        <v>0.0</v>
      </c>
      <c r="F2000" s="1">
        <v>0.0</v>
      </c>
      <c r="G2000" s="2">
        <v>1.0</v>
      </c>
      <c r="H2000" s="1" t="s">
        <v>209</v>
      </c>
      <c r="I2000" s="1">
        <v>4.0</v>
      </c>
      <c r="J2000" s="1">
        <v>0.0</v>
      </c>
    </row>
    <row r="2001">
      <c r="A2001" s="1">
        <v>5.0</v>
      </c>
      <c r="B2001" s="1">
        <v>20.0</v>
      </c>
      <c r="C2001" s="1">
        <v>12.0</v>
      </c>
      <c r="D2001" s="1">
        <v>5.6</v>
      </c>
      <c r="E2001" s="1">
        <v>0.0</v>
      </c>
      <c r="F2001" s="1">
        <v>0.0</v>
      </c>
      <c r="G2001" s="6">
        <v>0.583</v>
      </c>
      <c r="H2001" s="1" t="s">
        <v>210</v>
      </c>
      <c r="I2001" s="1">
        <v>28.0</v>
      </c>
      <c r="J2001" s="1">
        <v>0.0</v>
      </c>
    </row>
    <row r="2002">
      <c r="A2002" s="1">
        <v>5.0</v>
      </c>
      <c r="B2002" s="1">
        <v>20.0</v>
      </c>
      <c r="C2002" s="1">
        <v>0.0</v>
      </c>
      <c r="D2002" s="1">
        <v>0.0</v>
      </c>
      <c r="E2002" s="1">
        <v>0.0</v>
      </c>
      <c r="F2002" s="1">
        <v>0.0</v>
      </c>
      <c r="G2002" s="2">
        <v>0.0</v>
      </c>
      <c r="H2002" s="1" t="s">
        <v>211</v>
      </c>
      <c r="I2002" s="1">
        <v>0.0</v>
      </c>
      <c r="J2002" s="1">
        <v>0.0</v>
      </c>
    </row>
    <row r="2003">
      <c r="A2003" s="1">
        <v>5.0</v>
      </c>
      <c r="B2003" s="1">
        <v>20.0</v>
      </c>
      <c r="C2003" s="1">
        <v>1.0</v>
      </c>
      <c r="D2003" s="1">
        <v>0.0</v>
      </c>
      <c r="E2003" s="1">
        <v>0.0</v>
      </c>
      <c r="F2003" s="1">
        <v>0.0</v>
      </c>
      <c r="G2003" s="2">
        <v>0.0</v>
      </c>
      <c r="H2003" s="1" t="s">
        <v>213</v>
      </c>
      <c r="I2003" s="1">
        <v>0.0</v>
      </c>
      <c r="J2003" s="1">
        <v>0.0</v>
      </c>
    </row>
    <row r="2004">
      <c r="A2004" s="1">
        <v>1.0</v>
      </c>
      <c r="B2004" s="1">
        <v>4.0</v>
      </c>
      <c r="C2004" s="1">
        <v>3.0</v>
      </c>
      <c r="D2004" s="1">
        <v>4.0</v>
      </c>
      <c r="E2004" s="1">
        <v>1.0</v>
      </c>
      <c r="F2004" s="1">
        <v>0.0</v>
      </c>
      <c r="G2004" s="6">
        <v>0.667</v>
      </c>
      <c r="H2004" s="1" t="s">
        <v>214</v>
      </c>
      <c r="I2004" s="1">
        <v>4.0</v>
      </c>
      <c r="J2004" s="1">
        <v>1.0</v>
      </c>
    </row>
    <row r="2005">
      <c r="A2005" s="1">
        <v>2.0</v>
      </c>
      <c r="B2005" s="1">
        <v>8.0</v>
      </c>
      <c r="C2005" s="1">
        <v>6.0</v>
      </c>
      <c r="D2005" s="1">
        <v>4.0</v>
      </c>
      <c r="E2005" s="1">
        <v>0.5</v>
      </c>
      <c r="F2005" s="1">
        <v>0.0</v>
      </c>
      <c r="G2005" s="2">
        <v>0.5</v>
      </c>
      <c r="H2005" s="1" t="s">
        <v>214</v>
      </c>
      <c r="I2005" s="1">
        <v>8.0</v>
      </c>
      <c r="J2005" s="1">
        <v>1.0</v>
      </c>
    </row>
    <row r="2006">
      <c r="A2006" s="1">
        <v>1.0</v>
      </c>
      <c r="B2006" s="1">
        <v>4.0</v>
      </c>
      <c r="C2006" s="1">
        <v>3.0</v>
      </c>
      <c r="D2006" s="1">
        <v>4.0</v>
      </c>
      <c r="E2006" s="1">
        <v>1.0</v>
      </c>
      <c r="F2006" s="1">
        <v>0.0</v>
      </c>
      <c r="G2006" s="6">
        <v>0.667</v>
      </c>
      <c r="H2006" s="1" t="s">
        <v>214</v>
      </c>
      <c r="I2006" s="1">
        <v>4.0</v>
      </c>
      <c r="J2006" s="1">
        <v>1.0</v>
      </c>
    </row>
    <row r="2007">
      <c r="A2007" s="1">
        <v>1.0</v>
      </c>
      <c r="B2007" s="1">
        <v>4.0</v>
      </c>
      <c r="C2007" s="1">
        <v>4.0</v>
      </c>
      <c r="D2007" s="1">
        <v>-4.0</v>
      </c>
      <c r="E2007" s="1">
        <v>1.0</v>
      </c>
      <c r="F2007" s="1">
        <v>0.0</v>
      </c>
      <c r="G2007" s="2">
        <v>0.0</v>
      </c>
      <c r="H2007" s="1" t="s">
        <v>214</v>
      </c>
      <c r="I2007" s="1">
        <v>-4.0</v>
      </c>
      <c r="J2007" s="1">
        <v>1.0</v>
      </c>
    </row>
    <row r="2008">
      <c r="A2008" s="1">
        <v>2.0</v>
      </c>
      <c r="B2008" s="1">
        <v>8.0</v>
      </c>
      <c r="C2008" s="1">
        <v>0.0</v>
      </c>
      <c r="D2008" s="1">
        <v>0.0</v>
      </c>
      <c r="E2008" s="1">
        <v>0.0</v>
      </c>
      <c r="F2008" s="1">
        <v>0.0</v>
      </c>
      <c r="G2008" s="2">
        <v>0.0</v>
      </c>
      <c r="H2008" s="1" t="s">
        <v>217</v>
      </c>
      <c r="I2008" s="1">
        <v>0.0</v>
      </c>
      <c r="J2008" s="1">
        <v>0.0</v>
      </c>
    </row>
    <row r="2009">
      <c r="A2009" s="1">
        <v>1.0</v>
      </c>
      <c r="B2009" s="1">
        <v>4.0</v>
      </c>
      <c r="C2009" s="1">
        <v>0.0</v>
      </c>
      <c r="D2009" s="1">
        <v>0.0</v>
      </c>
      <c r="E2009" s="1">
        <v>0.0</v>
      </c>
      <c r="F2009" s="1">
        <v>0.0</v>
      </c>
      <c r="G2009" s="2">
        <v>0.0</v>
      </c>
      <c r="H2009" s="1" t="s">
        <v>217</v>
      </c>
      <c r="I2009" s="1">
        <v>0.0</v>
      </c>
      <c r="J2009" s="1">
        <v>0.0</v>
      </c>
    </row>
    <row r="2010">
      <c r="A2010" s="1">
        <v>3.0</v>
      </c>
      <c r="B2010" s="1">
        <v>12.0</v>
      </c>
      <c r="C2010" s="1">
        <v>2.0</v>
      </c>
      <c r="D2010" s="1">
        <v>2.67</v>
      </c>
      <c r="E2010" s="1">
        <v>0.0</v>
      </c>
      <c r="F2010" s="1">
        <v>0.0</v>
      </c>
      <c r="G2010" s="2">
        <v>1.0</v>
      </c>
      <c r="H2010" s="1" t="s">
        <v>105</v>
      </c>
      <c r="I2010" s="1">
        <v>8.0</v>
      </c>
      <c r="J2010" s="1">
        <v>0.0</v>
      </c>
    </row>
    <row r="2011">
      <c r="A2011" s="1">
        <v>1.0</v>
      </c>
      <c r="B2011" s="1">
        <v>4.0</v>
      </c>
      <c r="C2011" s="1">
        <v>0.0</v>
      </c>
      <c r="D2011" s="1">
        <v>0.0</v>
      </c>
      <c r="E2011" s="1">
        <v>0.0</v>
      </c>
      <c r="F2011" s="1">
        <v>0.0</v>
      </c>
      <c r="G2011" s="2">
        <v>0.0</v>
      </c>
      <c r="H2011" s="1" t="s">
        <v>105</v>
      </c>
      <c r="I2011" s="1">
        <v>0.0</v>
      </c>
      <c r="J2011" s="1">
        <v>0.0</v>
      </c>
    </row>
    <row r="2012">
      <c r="A2012" s="1">
        <v>1.0</v>
      </c>
      <c r="B2012" s="1">
        <v>4.0</v>
      </c>
      <c r="C2012" s="1">
        <v>0.0</v>
      </c>
      <c r="D2012" s="1">
        <v>0.0</v>
      </c>
      <c r="E2012" s="1">
        <v>0.0</v>
      </c>
      <c r="F2012" s="1">
        <v>0.0</v>
      </c>
      <c r="G2012" s="2">
        <v>0.0</v>
      </c>
      <c r="H2012" s="1" t="s">
        <v>105</v>
      </c>
      <c r="I2012" s="1">
        <v>0.0</v>
      </c>
      <c r="J2012" s="1">
        <v>0.0</v>
      </c>
    </row>
    <row r="2013">
      <c r="A2013" s="1">
        <v>1.0</v>
      </c>
      <c r="B2013" s="1">
        <v>4.0</v>
      </c>
      <c r="C2013" s="1">
        <v>0.0</v>
      </c>
      <c r="D2013" s="1">
        <v>0.0</v>
      </c>
      <c r="E2013" s="1">
        <v>0.0</v>
      </c>
      <c r="F2013" s="1">
        <v>0.0</v>
      </c>
      <c r="G2013" s="2">
        <v>0.0</v>
      </c>
      <c r="H2013" s="1" t="s">
        <v>219</v>
      </c>
      <c r="I2013" s="1">
        <v>0.0</v>
      </c>
      <c r="J2013" s="1">
        <v>0.0</v>
      </c>
    </row>
    <row r="2014">
      <c r="A2014" s="1">
        <v>1.0</v>
      </c>
      <c r="B2014" s="1">
        <v>4.0</v>
      </c>
      <c r="C2014" s="1">
        <v>0.0</v>
      </c>
      <c r="D2014" s="1">
        <v>0.0</v>
      </c>
      <c r="E2014" s="1">
        <v>0.0</v>
      </c>
      <c r="F2014" s="1">
        <v>0.0</v>
      </c>
      <c r="G2014" s="2">
        <v>0.0</v>
      </c>
      <c r="H2014" s="1" t="s">
        <v>220</v>
      </c>
      <c r="I2014" s="1">
        <v>0.0</v>
      </c>
      <c r="J2014" s="1">
        <v>0.0</v>
      </c>
    </row>
    <row r="2015">
      <c r="A2015" s="1">
        <v>2.0</v>
      </c>
      <c r="B2015" s="1">
        <v>8.0</v>
      </c>
      <c r="C2015" s="1">
        <v>0.0</v>
      </c>
      <c r="D2015" s="1">
        <v>0.0</v>
      </c>
      <c r="E2015" s="1">
        <v>0.0</v>
      </c>
      <c r="F2015" s="1">
        <v>0.0</v>
      </c>
      <c r="G2015" s="2">
        <v>0.0</v>
      </c>
      <c r="H2015" s="1" t="s">
        <v>220</v>
      </c>
      <c r="I2015" s="1">
        <v>0.0</v>
      </c>
      <c r="J2015" s="1">
        <v>0.0</v>
      </c>
    </row>
    <row r="2016">
      <c r="A2016" s="1">
        <v>1.0</v>
      </c>
      <c r="B2016" s="1">
        <v>4.0</v>
      </c>
      <c r="C2016" s="1">
        <v>0.0</v>
      </c>
      <c r="D2016" s="1">
        <v>0.0</v>
      </c>
      <c r="E2016" s="1">
        <v>0.0</v>
      </c>
      <c r="F2016" s="1">
        <v>0.0</v>
      </c>
      <c r="G2016" s="2">
        <v>0.0</v>
      </c>
      <c r="H2016" s="1" t="s">
        <v>220</v>
      </c>
      <c r="I2016" s="1">
        <v>0.0</v>
      </c>
      <c r="J2016" s="1">
        <v>0.0</v>
      </c>
    </row>
    <row r="2017">
      <c r="A2017" s="1">
        <v>1.0</v>
      </c>
      <c r="B2017" s="1">
        <v>4.0</v>
      </c>
      <c r="C2017" s="1">
        <v>0.0</v>
      </c>
      <c r="D2017" s="1">
        <v>0.0</v>
      </c>
      <c r="E2017" s="1">
        <v>0.0</v>
      </c>
      <c r="F2017" s="1">
        <v>0.0</v>
      </c>
      <c r="G2017" s="2">
        <v>0.0</v>
      </c>
      <c r="H2017" s="1" t="s">
        <v>220</v>
      </c>
      <c r="I2017" s="1">
        <v>0.0</v>
      </c>
      <c r="J2017" s="1">
        <v>0.0</v>
      </c>
    </row>
    <row r="2018">
      <c r="A2018" s="1">
        <v>4.0</v>
      </c>
      <c r="B2018" s="1">
        <v>16.0</v>
      </c>
      <c r="C2018" s="1">
        <v>0.0</v>
      </c>
      <c r="D2018" s="1">
        <v>0.0</v>
      </c>
      <c r="E2018" s="1">
        <v>0.0</v>
      </c>
      <c r="F2018" s="1">
        <v>0.0</v>
      </c>
      <c r="G2018" s="2">
        <v>0.0</v>
      </c>
      <c r="H2018" s="1" t="s">
        <v>222</v>
      </c>
      <c r="I2018" s="1">
        <v>0.0</v>
      </c>
      <c r="J2018" s="1">
        <v>0.0</v>
      </c>
    </row>
    <row r="2019">
      <c r="A2019" s="1">
        <v>1.0</v>
      </c>
      <c r="B2019" s="1">
        <v>4.0</v>
      </c>
      <c r="C2019" s="1">
        <v>0.0</v>
      </c>
      <c r="D2019" s="1">
        <v>0.0</v>
      </c>
      <c r="E2019" s="1">
        <v>0.0</v>
      </c>
      <c r="F2019" s="1">
        <v>0.0</v>
      </c>
      <c r="G2019" s="2">
        <v>0.0</v>
      </c>
      <c r="H2019" s="1" t="s">
        <v>222</v>
      </c>
      <c r="I2019" s="1">
        <v>0.0</v>
      </c>
      <c r="J2019" s="1">
        <v>0.0</v>
      </c>
    </row>
    <row r="2020">
      <c r="A2020" s="1">
        <v>2.0</v>
      </c>
      <c r="B2020" s="1">
        <v>8.0</v>
      </c>
      <c r="C2020" s="1">
        <v>0.0</v>
      </c>
      <c r="D2020" s="1">
        <v>0.0</v>
      </c>
      <c r="E2020" s="1">
        <v>0.0</v>
      </c>
      <c r="F2020" s="1">
        <v>0.0</v>
      </c>
      <c r="G2020" s="2">
        <v>0.0</v>
      </c>
      <c r="H2020" s="1" t="s">
        <v>224</v>
      </c>
      <c r="I2020" s="1">
        <v>0.0</v>
      </c>
      <c r="J2020" s="1">
        <v>0.0</v>
      </c>
    </row>
    <row r="2021">
      <c r="A2021" s="1">
        <v>5.0</v>
      </c>
      <c r="B2021" s="1">
        <v>20.0</v>
      </c>
      <c r="C2021" s="1">
        <v>18.0</v>
      </c>
      <c r="D2021" s="1">
        <v>11.2</v>
      </c>
      <c r="E2021" s="1">
        <v>0.4</v>
      </c>
      <c r="F2021" s="1">
        <v>0.0</v>
      </c>
      <c r="G2021" s="6">
        <v>0.889</v>
      </c>
      <c r="H2021" s="1" t="s">
        <v>47</v>
      </c>
      <c r="I2021" s="1">
        <v>56.0</v>
      </c>
      <c r="J2021" s="1">
        <v>2.0</v>
      </c>
    </row>
    <row r="2022">
      <c r="A2022" s="1">
        <v>1.0</v>
      </c>
      <c r="B2022" s="1">
        <v>4.0</v>
      </c>
      <c r="C2022" s="1">
        <v>0.0</v>
      </c>
      <c r="D2022" s="1">
        <v>0.0</v>
      </c>
      <c r="E2022" s="1">
        <v>0.0</v>
      </c>
      <c r="F2022" s="1">
        <v>0.0</v>
      </c>
      <c r="G2022" s="2">
        <v>0.0</v>
      </c>
      <c r="H2022" s="1" t="s">
        <v>225</v>
      </c>
      <c r="I2022" s="1">
        <v>0.0</v>
      </c>
      <c r="J2022" s="1">
        <v>0.0</v>
      </c>
    </row>
    <row r="2023">
      <c r="A2023" s="1">
        <v>1.0</v>
      </c>
      <c r="B2023" s="1">
        <v>4.0</v>
      </c>
      <c r="C2023" s="1">
        <v>0.0</v>
      </c>
      <c r="D2023" s="1">
        <v>0.0</v>
      </c>
      <c r="E2023" s="1">
        <v>0.0</v>
      </c>
      <c r="F2023" s="1">
        <v>0.0</v>
      </c>
      <c r="G2023" s="2">
        <v>0.0</v>
      </c>
      <c r="H2023" s="1" t="s">
        <v>226</v>
      </c>
      <c r="I2023" s="1">
        <v>0.0</v>
      </c>
      <c r="J2023" s="1">
        <v>0.0</v>
      </c>
    </row>
    <row r="2024">
      <c r="A2024" s="1">
        <v>3.0</v>
      </c>
      <c r="B2024" s="1">
        <v>11.0</v>
      </c>
      <c r="C2024" s="1">
        <v>0.0</v>
      </c>
      <c r="D2024" s="1">
        <v>0.0</v>
      </c>
      <c r="E2024" s="1">
        <v>0.0</v>
      </c>
      <c r="F2024" s="1">
        <v>0.0</v>
      </c>
      <c r="G2024" s="2">
        <v>0.0</v>
      </c>
      <c r="H2024" s="1" t="s">
        <v>226</v>
      </c>
      <c r="I2024" s="1">
        <v>0.0</v>
      </c>
      <c r="J2024" s="1">
        <v>0.0</v>
      </c>
    </row>
    <row r="2025">
      <c r="A2025" s="1">
        <v>1.0</v>
      </c>
      <c r="B2025" s="1">
        <v>4.0</v>
      </c>
      <c r="C2025" s="1">
        <v>1.0</v>
      </c>
      <c r="D2025" s="1">
        <v>0.0</v>
      </c>
      <c r="E2025" s="1">
        <v>0.0</v>
      </c>
      <c r="F2025" s="1">
        <v>0.0</v>
      </c>
      <c r="G2025" s="2">
        <v>0.0</v>
      </c>
      <c r="H2025" s="1" t="s">
        <v>227</v>
      </c>
      <c r="I2025" s="1">
        <v>0.0</v>
      </c>
      <c r="J2025" s="1">
        <v>0.0</v>
      </c>
    </row>
    <row r="2026">
      <c r="A2026" s="1">
        <v>1.0</v>
      </c>
      <c r="B2026" s="1">
        <v>4.0</v>
      </c>
      <c r="C2026" s="1">
        <v>1.0</v>
      </c>
      <c r="D2026" s="1">
        <v>4.0</v>
      </c>
      <c r="E2026" s="1">
        <v>0.0</v>
      </c>
      <c r="F2026" s="1">
        <v>0.0</v>
      </c>
      <c r="G2026" s="2">
        <v>1.0</v>
      </c>
      <c r="H2026" s="1" t="s">
        <v>227</v>
      </c>
      <c r="I2026" s="1">
        <v>4.0</v>
      </c>
      <c r="J2026" s="1">
        <v>0.0</v>
      </c>
    </row>
    <row r="2027">
      <c r="A2027" s="1">
        <v>3.0</v>
      </c>
      <c r="B2027" s="1">
        <v>11.0</v>
      </c>
      <c r="C2027" s="1">
        <v>1.0</v>
      </c>
      <c r="D2027" s="1">
        <v>0.0</v>
      </c>
      <c r="E2027" s="1">
        <v>0.0</v>
      </c>
      <c r="F2027" s="1">
        <v>0.0</v>
      </c>
      <c r="G2027" s="2">
        <v>0.0</v>
      </c>
      <c r="H2027" s="1" t="s">
        <v>227</v>
      </c>
      <c r="I2027" s="1">
        <v>0.0</v>
      </c>
      <c r="J2027" s="1">
        <v>0.0</v>
      </c>
    </row>
    <row r="2028">
      <c r="A2028" s="1">
        <v>1.0</v>
      </c>
      <c r="B2028" s="1">
        <v>4.0</v>
      </c>
      <c r="C2028" s="1">
        <v>0.0</v>
      </c>
      <c r="D2028" s="1">
        <v>0.0</v>
      </c>
      <c r="E2028" s="1">
        <v>0.0</v>
      </c>
      <c r="F2028" s="1">
        <v>0.0</v>
      </c>
      <c r="G2028" s="2">
        <v>0.0</v>
      </c>
      <c r="H2028" s="1" t="s">
        <v>229</v>
      </c>
      <c r="I2028" s="1">
        <v>0.0</v>
      </c>
      <c r="J2028" s="1">
        <v>0.0</v>
      </c>
    </row>
    <row r="2029">
      <c r="A2029" s="1">
        <v>1.0</v>
      </c>
      <c r="B2029" s="1">
        <v>4.0</v>
      </c>
      <c r="C2029" s="1">
        <v>0.0</v>
      </c>
      <c r="D2029" s="1">
        <v>0.0</v>
      </c>
      <c r="E2029" s="1">
        <v>0.0</v>
      </c>
      <c r="F2029" s="1">
        <v>0.0</v>
      </c>
      <c r="G2029" s="2">
        <v>0.0</v>
      </c>
      <c r="H2029" s="1" t="s">
        <v>229</v>
      </c>
      <c r="I2029" s="1">
        <v>0.0</v>
      </c>
      <c r="J2029" s="1">
        <v>0.0</v>
      </c>
    </row>
    <row r="2030">
      <c r="A2030" s="1">
        <v>2.0</v>
      </c>
      <c r="B2030" s="1">
        <v>7.0</v>
      </c>
      <c r="C2030" s="1">
        <v>0.0</v>
      </c>
      <c r="D2030" s="1">
        <v>0.0</v>
      </c>
      <c r="E2030" s="1">
        <v>0.0</v>
      </c>
      <c r="F2030" s="1">
        <v>0.0</v>
      </c>
      <c r="G2030" s="2">
        <v>0.0</v>
      </c>
      <c r="H2030" s="1" t="s">
        <v>229</v>
      </c>
      <c r="I2030" s="1">
        <v>0.0</v>
      </c>
      <c r="J2030" s="1">
        <v>0.0</v>
      </c>
    </row>
    <row r="2031">
      <c r="A2031" s="1">
        <v>1.0</v>
      </c>
      <c r="B2031" s="1">
        <v>4.0</v>
      </c>
      <c r="C2031" s="1">
        <v>1.0</v>
      </c>
      <c r="D2031" s="1">
        <v>0.0</v>
      </c>
      <c r="E2031" s="1">
        <v>0.0</v>
      </c>
      <c r="F2031" s="1">
        <v>0.0</v>
      </c>
      <c r="G2031" s="2">
        <v>0.0</v>
      </c>
      <c r="H2031" s="1" t="s">
        <v>232</v>
      </c>
      <c r="I2031" s="1">
        <v>0.0</v>
      </c>
      <c r="J2031" s="1">
        <v>0.0</v>
      </c>
    </row>
    <row r="2032">
      <c r="A2032" s="1">
        <v>1.0</v>
      </c>
      <c r="B2032" s="1">
        <v>4.0</v>
      </c>
      <c r="C2032" s="1">
        <v>1.0</v>
      </c>
      <c r="D2032" s="1">
        <v>0.0</v>
      </c>
      <c r="E2032" s="1">
        <v>0.0</v>
      </c>
      <c r="F2032" s="1">
        <v>0.0</v>
      </c>
      <c r="G2032" s="2">
        <v>0.0</v>
      </c>
      <c r="H2032" s="1" t="s">
        <v>232</v>
      </c>
      <c r="I2032" s="1">
        <v>0.0</v>
      </c>
      <c r="J2032" s="1">
        <v>0.0</v>
      </c>
    </row>
    <row r="2033">
      <c r="A2033" s="1">
        <v>3.0</v>
      </c>
      <c r="B2033" s="1">
        <v>11.0</v>
      </c>
      <c r="C2033" s="1">
        <v>0.0</v>
      </c>
      <c r="D2033" s="1">
        <v>0.0</v>
      </c>
      <c r="E2033" s="1">
        <v>0.0</v>
      </c>
      <c r="F2033" s="1">
        <v>0.0</v>
      </c>
      <c r="G2033" s="2">
        <v>0.0</v>
      </c>
      <c r="H2033" s="1" t="s">
        <v>232</v>
      </c>
      <c r="I2033" s="1">
        <v>0.0</v>
      </c>
      <c r="J2033" s="1">
        <v>0.0</v>
      </c>
    </row>
    <row r="2034">
      <c r="A2034" s="1">
        <v>1.0</v>
      </c>
      <c r="B2034" s="1">
        <v>4.0</v>
      </c>
      <c r="C2034" s="1">
        <v>2.0</v>
      </c>
      <c r="D2034" s="1">
        <v>8.0</v>
      </c>
      <c r="E2034" s="1">
        <v>0.0</v>
      </c>
      <c r="F2034" s="1">
        <v>0.0</v>
      </c>
      <c r="G2034" s="2">
        <v>1.0</v>
      </c>
      <c r="H2034" s="1" t="s">
        <v>233</v>
      </c>
      <c r="I2034" s="1">
        <v>8.0</v>
      </c>
      <c r="J2034" s="1">
        <v>0.0</v>
      </c>
    </row>
    <row r="2035">
      <c r="A2035" s="1">
        <v>1.0</v>
      </c>
      <c r="B2035" s="1">
        <v>4.0</v>
      </c>
      <c r="C2035" s="1">
        <v>2.0</v>
      </c>
      <c r="D2035" s="1">
        <v>8.0</v>
      </c>
      <c r="E2035" s="1">
        <v>0.0</v>
      </c>
      <c r="F2035" s="1">
        <v>0.0</v>
      </c>
      <c r="G2035" s="2">
        <v>1.0</v>
      </c>
      <c r="H2035" s="1" t="s">
        <v>233</v>
      </c>
      <c r="I2035" s="1">
        <v>8.0</v>
      </c>
      <c r="J2035" s="1">
        <v>0.0</v>
      </c>
    </row>
    <row r="2036">
      <c r="A2036" s="1">
        <v>1.0</v>
      </c>
      <c r="B2036" s="1">
        <v>4.0</v>
      </c>
      <c r="C2036" s="1">
        <v>3.0</v>
      </c>
      <c r="D2036" s="1">
        <v>-4.0</v>
      </c>
      <c r="E2036" s="1">
        <v>1.0</v>
      </c>
      <c r="F2036" s="1">
        <v>0.0</v>
      </c>
      <c r="G2036" s="2">
        <v>0.0</v>
      </c>
      <c r="H2036" s="1" t="s">
        <v>233</v>
      </c>
      <c r="I2036" s="1">
        <v>-4.0</v>
      </c>
      <c r="J2036" s="1">
        <v>1.0</v>
      </c>
    </row>
    <row r="2037">
      <c r="A2037" s="1">
        <v>1.0</v>
      </c>
      <c r="B2037" s="1">
        <v>4.0</v>
      </c>
      <c r="C2037" s="1">
        <v>2.0</v>
      </c>
      <c r="D2037" s="1">
        <v>4.0</v>
      </c>
      <c r="E2037" s="1">
        <v>0.0</v>
      </c>
      <c r="F2037" s="1">
        <v>0.0</v>
      </c>
      <c r="G2037" s="2">
        <v>0.5</v>
      </c>
      <c r="H2037" s="1" t="s">
        <v>233</v>
      </c>
      <c r="I2037" s="1">
        <v>4.0</v>
      </c>
      <c r="J2037" s="1">
        <v>0.0</v>
      </c>
    </row>
    <row r="2038">
      <c r="A2038" s="1">
        <v>2.0</v>
      </c>
      <c r="B2038" s="1">
        <v>7.0</v>
      </c>
      <c r="C2038" s="1">
        <v>0.0</v>
      </c>
      <c r="D2038" s="1">
        <v>0.0</v>
      </c>
      <c r="E2038" s="1">
        <v>0.0</v>
      </c>
      <c r="F2038" s="1">
        <v>0.0</v>
      </c>
      <c r="G2038" s="2">
        <v>0.0</v>
      </c>
      <c r="H2038" s="1" t="s">
        <v>234</v>
      </c>
      <c r="I2038" s="1">
        <v>0.0</v>
      </c>
      <c r="J2038" s="1">
        <v>0.0</v>
      </c>
    </row>
    <row r="2039">
      <c r="A2039" s="1">
        <v>1.0</v>
      </c>
      <c r="B2039" s="1">
        <v>4.0</v>
      </c>
      <c r="C2039" s="1">
        <v>3.0</v>
      </c>
      <c r="D2039" s="1">
        <v>8.0</v>
      </c>
      <c r="E2039" s="1">
        <v>0.0</v>
      </c>
      <c r="F2039" s="1">
        <v>0.0</v>
      </c>
      <c r="G2039" s="6">
        <v>0.667</v>
      </c>
      <c r="H2039" s="1" t="s">
        <v>153</v>
      </c>
      <c r="I2039" s="1">
        <v>8.0</v>
      </c>
      <c r="J2039" s="1">
        <v>0.0</v>
      </c>
    </row>
    <row r="2040">
      <c r="A2040" s="1">
        <v>4.0</v>
      </c>
      <c r="B2040" s="1">
        <v>15.0</v>
      </c>
      <c r="C2040" s="1">
        <v>0.0</v>
      </c>
      <c r="D2040" s="1">
        <v>0.0</v>
      </c>
      <c r="E2040" s="1">
        <v>0.0</v>
      </c>
      <c r="F2040" s="1">
        <v>0.0</v>
      </c>
      <c r="G2040" s="2">
        <v>0.0</v>
      </c>
      <c r="H2040" s="1" t="s">
        <v>235</v>
      </c>
      <c r="I2040" s="1">
        <v>0.0</v>
      </c>
      <c r="J2040" s="1">
        <v>0.0</v>
      </c>
    </row>
    <row r="2041">
      <c r="A2041" s="1">
        <v>4.0</v>
      </c>
      <c r="B2041" s="1">
        <v>15.0</v>
      </c>
      <c r="C2041" s="1">
        <v>1.0</v>
      </c>
      <c r="D2041" s="1">
        <v>1.0</v>
      </c>
      <c r="E2041" s="1">
        <v>0.0</v>
      </c>
      <c r="F2041" s="1">
        <v>0.0</v>
      </c>
      <c r="G2041" s="2">
        <v>1.0</v>
      </c>
      <c r="H2041" s="1" t="s">
        <v>202</v>
      </c>
      <c r="I2041" s="1">
        <v>4.0</v>
      </c>
      <c r="J2041" s="1">
        <v>0.0</v>
      </c>
    </row>
    <row r="2042">
      <c r="A2042" s="1">
        <v>1.0</v>
      </c>
      <c r="B2042" s="1">
        <v>4.0</v>
      </c>
      <c r="C2042" s="1">
        <v>0.0</v>
      </c>
      <c r="D2042" s="1">
        <v>0.0</v>
      </c>
      <c r="E2042" s="1">
        <v>0.0</v>
      </c>
      <c r="F2042" s="1">
        <v>0.0</v>
      </c>
      <c r="G2042" s="2">
        <v>0.0</v>
      </c>
      <c r="H2042" s="1" t="s">
        <v>202</v>
      </c>
      <c r="I2042" s="1">
        <v>0.0</v>
      </c>
      <c r="J2042" s="1">
        <v>0.0</v>
      </c>
    </row>
    <row r="2043">
      <c r="A2043" s="1">
        <v>3.0</v>
      </c>
      <c r="B2043" s="1">
        <v>11.0</v>
      </c>
      <c r="C2043" s="1">
        <v>10.0</v>
      </c>
      <c r="D2043" s="1">
        <v>9.33</v>
      </c>
      <c r="E2043" s="1">
        <v>0.33</v>
      </c>
      <c r="F2043" s="1">
        <v>0.0</v>
      </c>
      <c r="G2043" s="2">
        <v>0.8</v>
      </c>
      <c r="H2043" s="1" t="s">
        <v>135</v>
      </c>
      <c r="I2043" s="1">
        <v>28.0</v>
      </c>
      <c r="J2043" s="1">
        <v>1.0</v>
      </c>
    </row>
    <row r="2044">
      <c r="A2044" s="1">
        <v>1.0</v>
      </c>
      <c r="B2044" s="1">
        <v>4.0</v>
      </c>
      <c r="C2044" s="1">
        <v>0.0</v>
      </c>
      <c r="D2044" s="1">
        <v>0.0</v>
      </c>
      <c r="E2044" s="1">
        <v>0.0</v>
      </c>
      <c r="F2044" s="1">
        <v>0.0</v>
      </c>
      <c r="G2044" s="2">
        <v>0.0</v>
      </c>
      <c r="H2044" s="1" t="s">
        <v>135</v>
      </c>
      <c r="I2044" s="1">
        <v>0.0</v>
      </c>
      <c r="J2044" s="1">
        <v>0.0</v>
      </c>
    </row>
    <row r="2045">
      <c r="A2045" s="1">
        <v>1.0</v>
      </c>
      <c r="B2045" s="1">
        <v>4.0</v>
      </c>
      <c r="C2045" s="1">
        <v>1.0</v>
      </c>
      <c r="D2045" s="1">
        <v>4.0</v>
      </c>
      <c r="E2045" s="1">
        <v>0.0</v>
      </c>
      <c r="F2045" s="1">
        <v>0.0</v>
      </c>
      <c r="G2045" s="2">
        <v>1.0</v>
      </c>
      <c r="H2045" s="1" t="s">
        <v>236</v>
      </c>
      <c r="I2045" s="1">
        <v>4.0</v>
      </c>
      <c r="J2045" s="1">
        <v>0.0</v>
      </c>
    </row>
    <row r="2046">
      <c r="A2046" s="1">
        <v>1.0</v>
      </c>
      <c r="B2046" s="1">
        <v>4.0</v>
      </c>
      <c r="C2046" s="1">
        <v>1.0</v>
      </c>
      <c r="D2046" s="1">
        <v>0.0</v>
      </c>
      <c r="E2046" s="1">
        <v>0.0</v>
      </c>
      <c r="F2046" s="1">
        <v>0.0</v>
      </c>
      <c r="G2046" s="2">
        <v>0.0</v>
      </c>
      <c r="H2046" s="1" t="s">
        <v>236</v>
      </c>
      <c r="I2046" s="1">
        <v>0.0</v>
      </c>
      <c r="J2046" s="1">
        <v>0.0</v>
      </c>
    </row>
    <row r="2047">
      <c r="A2047" s="1">
        <v>1.0</v>
      </c>
      <c r="B2047" s="1">
        <v>4.0</v>
      </c>
      <c r="C2047" s="1">
        <v>0.0</v>
      </c>
      <c r="D2047" s="1">
        <v>0.0</v>
      </c>
      <c r="E2047" s="1">
        <v>0.0</v>
      </c>
      <c r="F2047" s="1">
        <v>0.0</v>
      </c>
      <c r="G2047" s="2">
        <v>0.0</v>
      </c>
      <c r="H2047" s="1" t="s">
        <v>237</v>
      </c>
      <c r="I2047" s="1">
        <v>0.0</v>
      </c>
      <c r="J2047" s="1">
        <v>0.0</v>
      </c>
    </row>
    <row r="2048">
      <c r="A2048" s="1">
        <v>5.0</v>
      </c>
      <c r="B2048" s="1">
        <v>21.0</v>
      </c>
      <c r="C2048" s="1">
        <v>4.0</v>
      </c>
      <c r="D2048" s="1">
        <v>1.6</v>
      </c>
      <c r="E2048" s="1">
        <v>0.0</v>
      </c>
      <c r="F2048" s="1">
        <v>0.0</v>
      </c>
      <c r="G2048" s="2">
        <v>0.5</v>
      </c>
      <c r="H2048" s="1" t="s">
        <v>182</v>
      </c>
      <c r="I2048" s="1">
        <v>8.0</v>
      </c>
      <c r="J2048" s="1">
        <v>0.0</v>
      </c>
    </row>
    <row r="2049">
      <c r="A2049" s="1">
        <v>5.0</v>
      </c>
      <c r="B2049" s="1">
        <v>21.0</v>
      </c>
      <c r="C2049" s="1">
        <v>0.0</v>
      </c>
      <c r="D2049" s="1">
        <v>0.0</v>
      </c>
      <c r="E2049" s="1">
        <v>0.0</v>
      </c>
      <c r="F2049" s="1">
        <v>0.0</v>
      </c>
      <c r="G2049" s="2">
        <v>0.0</v>
      </c>
      <c r="H2049" s="1" t="s">
        <v>204</v>
      </c>
      <c r="I2049" s="1">
        <v>0.0</v>
      </c>
      <c r="J2049" s="1">
        <v>0.0</v>
      </c>
    </row>
    <row r="2050">
      <c r="A2050" s="1">
        <v>3.0</v>
      </c>
      <c r="B2050" s="1">
        <v>12.0</v>
      </c>
      <c r="C2050" s="1">
        <v>0.0</v>
      </c>
      <c r="D2050" s="1">
        <v>0.0</v>
      </c>
      <c r="E2050" s="1">
        <v>0.0</v>
      </c>
      <c r="F2050" s="1">
        <v>0.0</v>
      </c>
      <c r="G2050" s="2">
        <v>0.0</v>
      </c>
      <c r="H2050" s="1" t="s">
        <v>238</v>
      </c>
      <c r="I2050" s="1">
        <v>0.0</v>
      </c>
      <c r="J2050" s="1">
        <v>0.0</v>
      </c>
    </row>
    <row r="2051">
      <c r="A2051" s="1">
        <v>5.0</v>
      </c>
      <c r="B2051" s="1">
        <v>19.0</v>
      </c>
      <c r="C2051" s="1">
        <v>11.0</v>
      </c>
      <c r="D2051" s="1">
        <v>5.6</v>
      </c>
      <c r="E2051" s="1">
        <v>0.0</v>
      </c>
      <c r="F2051" s="1">
        <v>0.0</v>
      </c>
      <c r="G2051" s="6">
        <v>0.636</v>
      </c>
      <c r="H2051" s="1" t="s">
        <v>149</v>
      </c>
      <c r="I2051" s="1">
        <v>28.0</v>
      </c>
      <c r="J2051" s="1">
        <v>0.0</v>
      </c>
    </row>
    <row r="2052">
      <c r="A2052" s="1">
        <v>3.0</v>
      </c>
      <c r="B2052" s="1">
        <v>12.0</v>
      </c>
      <c r="C2052" s="1">
        <v>1.0</v>
      </c>
      <c r="D2052" s="1">
        <v>0.0</v>
      </c>
      <c r="E2052" s="1">
        <v>0.0</v>
      </c>
      <c r="F2052" s="1">
        <v>0.0</v>
      </c>
      <c r="G2052" s="2">
        <v>0.0</v>
      </c>
      <c r="H2052" s="1" t="s">
        <v>240</v>
      </c>
      <c r="I2052" s="1">
        <v>0.0</v>
      </c>
      <c r="J2052" s="1">
        <v>0.0</v>
      </c>
    </row>
    <row r="2053">
      <c r="A2053" s="1">
        <v>1.0</v>
      </c>
      <c r="B2053" s="1">
        <v>4.0</v>
      </c>
      <c r="C2053" s="1">
        <v>0.0</v>
      </c>
      <c r="D2053" s="1">
        <v>0.0</v>
      </c>
      <c r="E2053" s="1">
        <v>0.0</v>
      </c>
      <c r="F2053" s="1">
        <v>0.0</v>
      </c>
      <c r="G2053" s="2">
        <v>0.0</v>
      </c>
      <c r="H2053" s="1" t="s">
        <v>242</v>
      </c>
      <c r="I2053" s="1">
        <v>0.0</v>
      </c>
      <c r="J2053" s="1">
        <v>0.0</v>
      </c>
    </row>
    <row r="2054">
      <c r="A2054" s="1">
        <v>1.0</v>
      </c>
      <c r="B2054" s="1">
        <v>4.0</v>
      </c>
      <c r="C2054" s="1">
        <v>0.0</v>
      </c>
      <c r="D2054" s="1">
        <v>0.0</v>
      </c>
      <c r="E2054" s="1">
        <v>0.0</v>
      </c>
      <c r="F2054" s="1">
        <v>0.0</v>
      </c>
      <c r="G2054" s="2">
        <v>0.0</v>
      </c>
      <c r="H2054" s="1" t="s">
        <v>243</v>
      </c>
      <c r="I2054" s="1">
        <v>0.0</v>
      </c>
      <c r="J2054" s="1">
        <v>0.0</v>
      </c>
    </row>
    <row r="2055">
      <c r="A2055" s="1">
        <v>3.0</v>
      </c>
      <c r="B2055" s="1">
        <v>12.0</v>
      </c>
      <c r="C2055" s="1">
        <v>0.0</v>
      </c>
      <c r="D2055" s="1">
        <v>0.0</v>
      </c>
      <c r="E2055" s="1">
        <v>0.0</v>
      </c>
      <c r="F2055" s="1">
        <v>0.0</v>
      </c>
      <c r="G2055" s="2">
        <v>0.0</v>
      </c>
      <c r="H2055" s="1" t="s">
        <v>244</v>
      </c>
      <c r="I2055" s="1">
        <v>0.0</v>
      </c>
      <c r="J2055" s="1">
        <v>0.0</v>
      </c>
    </row>
    <row r="2056">
      <c r="A2056" s="1">
        <v>2.0</v>
      </c>
      <c r="B2056" s="1">
        <v>8.0</v>
      </c>
      <c r="C2056" s="1">
        <v>1.0</v>
      </c>
      <c r="D2056" s="1">
        <v>0.0</v>
      </c>
      <c r="E2056" s="1">
        <v>0.0</v>
      </c>
      <c r="F2056" s="1">
        <v>0.0</v>
      </c>
      <c r="G2056" s="2">
        <v>0.0</v>
      </c>
      <c r="H2056" s="1" t="s">
        <v>244</v>
      </c>
      <c r="I2056" s="1">
        <v>0.0</v>
      </c>
      <c r="J2056" s="1">
        <v>0.0</v>
      </c>
    </row>
    <row r="2057">
      <c r="A2057" s="1">
        <v>3.0</v>
      </c>
      <c r="B2057" s="1">
        <v>12.0</v>
      </c>
      <c r="C2057" s="1">
        <v>4.0</v>
      </c>
      <c r="D2057" s="1">
        <v>2.67</v>
      </c>
      <c r="E2057" s="1">
        <v>0.33</v>
      </c>
      <c r="F2057" s="1">
        <v>0.0</v>
      </c>
      <c r="G2057" s="2">
        <v>0.75</v>
      </c>
      <c r="H2057" s="1" t="s">
        <v>185</v>
      </c>
      <c r="I2057" s="1">
        <v>8.0</v>
      </c>
      <c r="J2057" s="1">
        <v>1.0</v>
      </c>
    </row>
    <row r="2058">
      <c r="A2058" s="1">
        <v>2.0</v>
      </c>
      <c r="B2058" s="1">
        <v>8.0</v>
      </c>
      <c r="C2058" s="1">
        <v>0.0</v>
      </c>
      <c r="D2058" s="1">
        <v>0.0</v>
      </c>
      <c r="E2058" s="1">
        <v>0.0</v>
      </c>
      <c r="F2058" s="1">
        <v>0.0</v>
      </c>
      <c r="G2058" s="2">
        <v>0.0</v>
      </c>
      <c r="H2058" s="1" t="s">
        <v>185</v>
      </c>
      <c r="I2058" s="1">
        <v>0.0</v>
      </c>
      <c r="J2058" s="1">
        <v>0.0</v>
      </c>
    </row>
    <row r="2059">
      <c r="A2059" s="1">
        <v>3.0</v>
      </c>
      <c r="B2059" s="1">
        <v>12.0</v>
      </c>
      <c r="C2059" s="1">
        <v>2.0</v>
      </c>
      <c r="D2059" s="1">
        <v>2.67</v>
      </c>
      <c r="E2059" s="1">
        <v>0.0</v>
      </c>
      <c r="F2059" s="1">
        <v>0.0</v>
      </c>
      <c r="G2059" s="2">
        <v>1.0</v>
      </c>
      <c r="H2059" s="1" t="s">
        <v>248</v>
      </c>
      <c r="I2059" s="1">
        <v>8.0</v>
      </c>
      <c r="J2059" s="1">
        <v>0.0</v>
      </c>
    </row>
    <row r="2060">
      <c r="A2060" s="1">
        <v>2.0</v>
      </c>
      <c r="B2060" s="1">
        <v>8.0</v>
      </c>
      <c r="C2060" s="1">
        <v>5.0</v>
      </c>
      <c r="D2060" s="1">
        <v>2.0</v>
      </c>
      <c r="E2060" s="1">
        <v>0.0</v>
      </c>
      <c r="F2060" s="1">
        <v>0.0</v>
      </c>
      <c r="G2060" s="2">
        <v>0.2</v>
      </c>
      <c r="H2060" s="1" t="s">
        <v>248</v>
      </c>
      <c r="I2060" s="1">
        <v>4.0</v>
      </c>
      <c r="J2060" s="1">
        <v>0.0</v>
      </c>
    </row>
    <row r="2061">
      <c r="A2061" s="1">
        <v>2.0</v>
      </c>
      <c r="B2061" s="1">
        <v>8.0</v>
      </c>
      <c r="C2061" s="1">
        <v>0.0</v>
      </c>
      <c r="D2061" s="1">
        <v>0.0</v>
      </c>
      <c r="E2061" s="1">
        <v>0.0</v>
      </c>
      <c r="F2061" s="1">
        <v>0.0</v>
      </c>
      <c r="G2061" s="2">
        <v>0.0</v>
      </c>
      <c r="H2061" s="1" t="s">
        <v>250</v>
      </c>
      <c r="I2061" s="1">
        <v>0.0</v>
      </c>
      <c r="J2061" s="1">
        <v>0.0</v>
      </c>
    </row>
    <row r="2062">
      <c r="A2062" s="1">
        <v>1.0</v>
      </c>
      <c r="B2062" s="1">
        <v>4.0</v>
      </c>
      <c r="C2062" s="1">
        <v>0.0</v>
      </c>
      <c r="D2062" s="1">
        <v>0.0</v>
      </c>
      <c r="E2062" s="1">
        <v>0.0</v>
      </c>
      <c r="F2062" s="1">
        <v>0.0</v>
      </c>
      <c r="G2062" s="2">
        <v>0.0</v>
      </c>
      <c r="H2062" s="1" t="s">
        <v>250</v>
      </c>
      <c r="I2062" s="1">
        <v>0.0</v>
      </c>
      <c r="J2062" s="1">
        <v>0.0</v>
      </c>
    </row>
    <row r="2063">
      <c r="A2063" s="1">
        <v>1.0</v>
      </c>
      <c r="B2063" s="1">
        <v>4.0</v>
      </c>
      <c r="C2063" s="1">
        <v>0.0</v>
      </c>
      <c r="D2063" s="1">
        <v>0.0</v>
      </c>
      <c r="E2063" s="1">
        <v>0.0</v>
      </c>
      <c r="F2063" s="1">
        <v>0.0</v>
      </c>
      <c r="G2063" s="2">
        <v>0.0</v>
      </c>
      <c r="H2063" s="1" t="s">
        <v>251</v>
      </c>
      <c r="I2063" s="1">
        <v>0.0</v>
      </c>
      <c r="J2063" s="1">
        <v>0.0</v>
      </c>
    </row>
    <row r="2064">
      <c r="A2064" s="1">
        <v>1.0</v>
      </c>
      <c r="B2064" s="1">
        <v>4.0</v>
      </c>
      <c r="C2064" s="1">
        <v>3.0</v>
      </c>
      <c r="D2064" s="1">
        <v>8.0</v>
      </c>
      <c r="E2064" s="1">
        <v>0.0</v>
      </c>
      <c r="F2064" s="1">
        <v>0.0</v>
      </c>
      <c r="G2064" s="6">
        <v>0.667</v>
      </c>
      <c r="H2064" s="1" t="s">
        <v>239</v>
      </c>
      <c r="I2064" s="1">
        <v>8.0</v>
      </c>
      <c r="J2064" s="1">
        <v>0.0</v>
      </c>
    </row>
    <row r="2065">
      <c r="A2065" s="1">
        <v>4.0</v>
      </c>
      <c r="B2065" s="1">
        <v>16.0</v>
      </c>
      <c r="C2065" s="1">
        <v>4.0</v>
      </c>
      <c r="D2065" s="1">
        <v>3.0</v>
      </c>
      <c r="E2065" s="1">
        <v>0.0</v>
      </c>
      <c r="F2065" s="1">
        <v>0.0</v>
      </c>
      <c r="G2065" s="2">
        <v>0.75</v>
      </c>
      <c r="H2065" s="1" t="s">
        <v>253</v>
      </c>
      <c r="I2065" s="1">
        <v>12.0</v>
      </c>
      <c r="J2065" s="1">
        <v>0.0</v>
      </c>
    </row>
    <row r="2066">
      <c r="A2066" s="1">
        <v>1.0</v>
      </c>
      <c r="B2066" s="1">
        <v>4.0</v>
      </c>
      <c r="C2066" s="1">
        <v>2.0</v>
      </c>
      <c r="D2066" s="1">
        <v>0.0</v>
      </c>
      <c r="E2066" s="1">
        <v>1.0</v>
      </c>
      <c r="F2066" s="1">
        <v>0.0</v>
      </c>
      <c r="G2066" s="2">
        <v>0.5</v>
      </c>
      <c r="H2066" s="1" t="s">
        <v>253</v>
      </c>
      <c r="I2066" s="1">
        <v>0.0</v>
      </c>
      <c r="J2066" s="1">
        <v>1.0</v>
      </c>
    </row>
    <row r="2067">
      <c r="A2067" s="1">
        <v>4.0</v>
      </c>
      <c r="B2067" s="1">
        <v>16.0</v>
      </c>
      <c r="C2067" s="1">
        <v>2.0</v>
      </c>
      <c r="D2067" s="1">
        <v>1.0</v>
      </c>
      <c r="E2067" s="1">
        <v>0.0</v>
      </c>
      <c r="F2067" s="1">
        <v>0.0</v>
      </c>
      <c r="G2067" s="2">
        <v>0.5</v>
      </c>
      <c r="H2067" s="1" t="s">
        <v>255</v>
      </c>
      <c r="I2067" s="1">
        <v>4.0</v>
      </c>
      <c r="J2067" s="1">
        <v>0.0</v>
      </c>
    </row>
    <row r="2068">
      <c r="A2068" s="1">
        <v>1.0</v>
      </c>
      <c r="B2068" s="1">
        <v>4.0</v>
      </c>
      <c r="C2068" s="1">
        <v>0.0</v>
      </c>
      <c r="D2068" s="1">
        <v>0.0</v>
      </c>
      <c r="E2068" s="1">
        <v>0.0</v>
      </c>
      <c r="F2068" s="1">
        <v>0.0</v>
      </c>
      <c r="G2068" s="2">
        <v>0.0</v>
      </c>
      <c r="H2068" s="1" t="s">
        <v>255</v>
      </c>
      <c r="I2068" s="1">
        <v>0.0</v>
      </c>
      <c r="J2068" s="1">
        <v>0.0</v>
      </c>
    </row>
    <row r="2069">
      <c r="A2069" s="1">
        <v>4.0</v>
      </c>
      <c r="B2069" s="1">
        <v>16.0</v>
      </c>
      <c r="C2069" s="1">
        <v>1.0</v>
      </c>
      <c r="D2069" s="1">
        <v>0.0</v>
      </c>
      <c r="E2069" s="1">
        <v>0.0</v>
      </c>
      <c r="F2069" s="1">
        <v>0.0</v>
      </c>
      <c r="G2069" s="2">
        <v>0.0</v>
      </c>
      <c r="H2069" s="1" t="s">
        <v>164</v>
      </c>
      <c r="I2069" s="1">
        <v>0.0</v>
      </c>
      <c r="J2069" s="1">
        <v>0.0</v>
      </c>
    </row>
    <row r="2070">
      <c r="A2070" s="1">
        <v>1.0</v>
      </c>
      <c r="B2070" s="1">
        <v>4.0</v>
      </c>
      <c r="C2070" s="1">
        <v>0.0</v>
      </c>
      <c r="D2070" s="1">
        <v>0.0</v>
      </c>
      <c r="E2070" s="1">
        <v>0.0</v>
      </c>
      <c r="F2070" s="1">
        <v>0.0</v>
      </c>
      <c r="G2070" s="2">
        <v>0.0</v>
      </c>
      <c r="H2070" s="1" t="s">
        <v>164</v>
      </c>
      <c r="I2070" s="1">
        <v>0.0</v>
      </c>
      <c r="J2070" s="1">
        <v>0.0</v>
      </c>
    </row>
    <row r="2071">
      <c r="A2071" s="1">
        <v>1.0</v>
      </c>
      <c r="B2071" s="1">
        <v>3.0</v>
      </c>
      <c r="C2071" s="1">
        <v>0.0</v>
      </c>
      <c r="D2071" s="1">
        <v>0.0</v>
      </c>
      <c r="E2071" s="1">
        <v>0.0</v>
      </c>
      <c r="F2071" s="1">
        <v>0.0</v>
      </c>
      <c r="G2071" s="2">
        <v>0.0</v>
      </c>
      <c r="H2071" s="1" t="s">
        <v>257</v>
      </c>
      <c r="I2071" s="1">
        <v>0.0</v>
      </c>
      <c r="J2071" s="1">
        <v>0.0</v>
      </c>
    </row>
    <row r="2072">
      <c r="A2072" s="1">
        <v>1.0</v>
      </c>
      <c r="B2072" s="1">
        <v>4.0</v>
      </c>
      <c r="C2072" s="1">
        <v>0.0</v>
      </c>
      <c r="D2072" s="1">
        <v>0.0</v>
      </c>
      <c r="E2072" s="1">
        <v>0.0</v>
      </c>
      <c r="F2072" s="1">
        <v>0.0</v>
      </c>
      <c r="G2072" s="2">
        <v>0.0</v>
      </c>
      <c r="H2072" s="1" t="s">
        <v>257</v>
      </c>
      <c r="I2072" s="1">
        <v>0.0</v>
      </c>
      <c r="J2072" s="1">
        <v>0.0</v>
      </c>
    </row>
    <row r="2073">
      <c r="A2073" s="1">
        <v>2.0</v>
      </c>
      <c r="B2073" s="1">
        <v>7.0</v>
      </c>
      <c r="C2073" s="1">
        <v>0.0</v>
      </c>
      <c r="D2073" s="1">
        <v>0.0</v>
      </c>
      <c r="E2073" s="1">
        <v>0.0</v>
      </c>
      <c r="F2073" s="1">
        <v>0.0</v>
      </c>
      <c r="G2073" s="2">
        <v>0.0</v>
      </c>
      <c r="H2073" s="1" t="s">
        <v>259</v>
      </c>
      <c r="I2073" s="1">
        <v>0.0</v>
      </c>
      <c r="J2073" s="1">
        <v>0.0</v>
      </c>
    </row>
    <row r="2074">
      <c r="A2074" s="1">
        <v>2.0</v>
      </c>
      <c r="B2074" s="1">
        <v>8.0</v>
      </c>
      <c r="C2074" s="1">
        <v>0.0</v>
      </c>
      <c r="D2074" s="1">
        <v>0.0</v>
      </c>
      <c r="E2074" s="1">
        <v>0.0</v>
      </c>
      <c r="F2074" s="1">
        <v>0.0</v>
      </c>
      <c r="G2074" s="2">
        <v>0.0</v>
      </c>
      <c r="H2074" s="1" t="s">
        <v>259</v>
      </c>
      <c r="I2074" s="1">
        <v>0.0</v>
      </c>
      <c r="J2074" s="1">
        <v>0.0</v>
      </c>
    </row>
    <row r="2075">
      <c r="A2075" s="1">
        <v>3.0</v>
      </c>
      <c r="B2075" s="1">
        <v>11.0</v>
      </c>
      <c r="C2075" s="1">
        <v>9.0</v>
      </c>
      <c r="D2075" s="1">
        <v>8.0</v>
      </c>
      <c r="E2075" s="1">
        <v>0.0</v>
      </c>
      <c r="F2075" s="1">
        <v>0.0</v>
      </c>
      <c r="G2075" s="6">
        <v>0.667</v>
      </c>
      <c r="H2075" s="1" t="s">
        <v>99</v>
      </c>
      <c r="I2075" s="1">
        <v>24.0</v>
      </c>
      <c r="J2075" s="1">
        <v>0.0</v>
      </c>
    </row>
    <row r="2076">
      <c r="A2076" s="1">
        <v>2.0</v>
      </c>
      <c r="B2076" s="1">
        <v>8.0</v>
      </c>
      <c r="C2076" s="1">
        <v>6.0</v>
      </c>
      <c r="D2076" s="1">
        <v>2.0</v>
      </c>
      <c r="E2076" s="1">
        <v>0.5</v>
      </c>
      <c r="F2076" s="1">
        <v>0.0</v>
      </c>
      <c r="G2076" s="6">
        <v>0.333</v>
      </c>
      <c r="H2076" s="1" t="s">
        <v>99</v>
      </c>
      <c r="I2076" s="1">
        <v>4.0</v>
      </c>
      <c r="J2076" s="1">
        <v>1.0</v>
      </c>
    </row>
    <row r="2077">
      <c r="A2077" s="1">
        <v>3.0</v>
      </c>
      <c r="B2077" s="1">
        <v>11.0</v>
      </c>
      <c r="C2077" s="1">
        <v>0.0</v>
      </c>
      <c r="D2077" s="1">
        <v>0.0</v>
      </c>
      <c r="E2077" s="1">
        <v>0.0</v>
      </c>
      <c r="F2077" s="1">
        <v>0.0</v>
      </c>
      <c r="G2077" s="2">
        <v>0.0</v>
      </c>
      <c r="H2077" s="1" t="s">
        <v>262</v>
      </c>
      <c r="I2077" s="1">
        <v>0.0</v>
      </c>
      <c r="J2077" s="1">
        <v>0.0</v>
      </c>
    </row>
    <row r="2078">
      <c r="A2078" s="1">
        <v>1.0</v>
      </c>
      <c r="B2078" s="1">
        <v>4.0</v>
      </c>
      <c r="C2078" s="1">
        <v>0.0</v>
      </c>
      <c r="D2078" s="1">
        <v>0.0</v>
      </c>
      <c r="E2078" s="1">
        <v>0.0</v>
      </c>
      <c r="F2078" s="1">
        <v>0.0</v>
      </c>
      <c r="G2078" s="2">
        <v>0.0</v>
      </c>
      <c r="H2078" s="1" t="s">
        <v>262</v>
      </c>
      <c r="I2078" s="1">
        <v>0.0</v>
      </c>
      <c r="J2078" s="1">
        <v>0.0</v>
      </c>
    </row>
    <row r="2079">
      <c r="A2079" s="1">
        <v>1.0</v>
      </c>
      <c r="B2079" s="1">
        <v>4.0</v>
      </c>
      <c r="C2079" s="1">
        <v>0.0</v>
      </c>
      <c r="D2079" s="1">
        <v>0.0</v>
      </c>
      <c r="E2079" s="1">
        <v>0.0</v>
      </c>
      <c r="F2079" s="1">
        <v>0.0</v>
      </c>
      <c r="G2079" s="2">
        <v>0.0</v>
      </c>
      <c r="H2079" s="1" t="s">
        <v>262</v>
      </c>
      <c r="I2079" s="1">
        <v>0.0</v>
      </c>
      <c r="J2079" s="1">
        <v>0.0</v>
      </c>
    </row>
    <row r="2080">
      <c r="A2080" s="1">
        <v>1.0</v>
      </c>
      <c r="B2080" s="1">
        <v>4.0</v>
      </c>
      <c r="C2080" s="1">
        <v>0.0</v>
      </c>
      <c r="D2080" s="1">
        <v>0.0</v>
      </c>
      <c r="E2080" s="1">
        <v>0.0</v>
      </c>
      <c r="F2080" s="1">
        <v>0.0</v>
      </c>
      <c r="G2080" s="2">
        <v>0.0</v>
      </c>
      <c r="H2080" s="1" t="s">
        <v>241</v>
      </c>
      <c r="I2080" s="1">
        <v>0.0</v>
      </c>
      <c r="J2080" s="1">
        <v>0.0</v>
      </c>
    </row>
    <row r="2081">
      <c r="A2081" s="1">
        <v>1.0</v>
      </c>
      <c r="B2081" s="1">
        <v>4.0</v>
      </c>
      <c r="C2081" s="1">
        <v>2.0</v>
      </c>
      <c r="D2081" s="1">
        <v>4.0</v>
      </c>
      <c r="E2081" s="1">
        <v>0.0</v>
      </c>
      <c r="F2081" s="1">
        <v>0.0</v>
      </c>
      <c r="G2081" s="2">
        <v>0.5</v>
      </c>
      <c r="H2081" s="1" t="s">
        <v>241</v>
      </c>
      <c r="I2081" s="1">
        <v>4.0</v>
      </c>
      <c r="J2081" s="1">
        <v>0.0</v>
      </c>
    </row>
    <row r="2082">
      <c r="A2082" s="1">
        <v>2.0</v>
      </c>
      <c r="B2082" s="1">
        <v>8.0</v>
      </c>
      <c r="C2082" s="1">
        <v>0.0</v>
      </c>
      <c r="D2082" s="1">
        <v>0.0</v>
      </c>
      <c r="E2082" s="1">
        <v>0.0</v>
      </c>
      <c r="F2082" s="1">
        <v>0.0</v>
      </c>
      <c r="G2082" s="2">
        <v>0.0</v>
      </c>
      <c r="H2082" s="1" t="s">
        <v>263</v>
      </c>
      <c r="I2082" s="1">
        <v>0.0</v>
      </c>
      <c r="J2082" s="1">
        <v>0.0</v>
      </c>
    </row>
    <row r="2083">
      <c r="A2083" s="1">
        <v>1.0</v>
      </c>
      <c r="B2083" s="1">
        <v>4.0</v>
      </c>
      <c r="C2083" s="1">
        <v>0.0</v>
      </c>
      <c r="D2083" s="1">
        <v>0.0</v>
      </c>
      <c r="E2083" s="1">
        <v>0.0</v>
      </c>
      <c r="F2083" s="1">
        <v>0.0</v>
      </c>
      <c r="G2083" s="2">
        <v>0.0</v>
      </c>
      <c r="H2083" s="1" t="s">
        <v>263</v>
      </c>
      <c r="I2083" s="1">
        <v>0.0</v>
      </c>
      <c r="J2083" s="1">
        <v>0.0</v>
      </c>
    </row>
    <row r="2084">
      <c r="A2084" s="1">
        <v>1.0</v>
      </c>
      <c r="B2084" s="1">
        <v>3.0</v>
      </c>
      <c r="C2084" s="1">
        <v>0.0</v>
      </c>
      <c r="D2084" s="1">
        <v>0.0</v>
      </c>
      <c r="E2084" s="1">
        <v>0.0</v>
      </c>
      <c r="F2084" s="1">
        <v>0.0</v>
      </c>
      <c r="G2084" s="2">
        <v>0.0</v>
      </c>
      <c r="H2084" s="1" t="s">
        <v>264</v>
      </c>
      <c r="I2084" s="1">
        <v>0.0</v>
      </c>
      <c r="J2084" s="1">
        <v>0.0</v>
      </c>
    </row>
    <row r="2085">
      <c r="A2085" s="1">
        <v>3.0</v>
      </c>
      <c r="B2085" s="1">
        <v>12.0</v>
      </c>
      <c r="C2085" s="1">
        <v>0.0</v>
      </c>
      <c r="D2085" s="1">
        <v>0.0</v>
      </c>
      <c r="E2085" s="1">
        <v>0.0</v>
      </c>
      <c r="F2085" s="1">
        <v>0.0</v>
      </c>
      <c r="G2085" s="2">
        <v>0.0</v>
      </c>
      <c r="H2085" s="1" t="s">
        <v>264</v>
      </c>
      <c r="I2085" s="1">
        <v>0.0</v>
      </c>
      <c r="J2085" s="1">
        <v>0.0</v>
      </c>
    </row>
    <row r="2086">
      <c r="A2086" s="1">
        <v>1.0</v>
      </c>
      <c r="B2086" s="1">
        <v>3.0</v>
      </c>
      <c r="C2086" s="1">
        <v>0.0</v>
      </c>
      <c r="D2086" s="1">
        <v>0.0</v>
      </c>
      <c r="E2086" s="1">
        <v>0.0</v>
      </c>
      <c r="F2086" s="1">
        <v>0.0</v>
      </c>
      <c r="G2086" s="2">
        <v>0.0</v>
      </c>
      <c r="H2086" s="1" t="s">
        <v>265</v>
      </c>
      <c r="I2086" s="1">
        <v>0.0</v>
      </c>
      <c r="J2086" s="1">
        <v>0.0</v>
      </c>
    </row>
    <row r="2087">
      <c r="A2087" s="1">
        <v>4.0</v>
      </c>
      <c r="B2087" s="1">
        <v>16.0</v>
      </c>
      <c r="C2087" s="1">
        <v>0.0</v>
      </c>
      <c r="D2087" s="1">
        <v>0.0</v>
      </c>
      <c r="E2087" s="1">
        <v>0.0</v>
      </c>
      <c r="F2087" s="1">
        <v>0.0</v>
      </c>
      <c r="G2087" s="2">
        <v>0.0</v>
      </c>
      <c r="H2087" s="1" t="s">
        <v>265</v>
      </c>
      <c r="I2087" s="1">
        <v>0.0</v>
      </c>
      <c r="J2087" s="1">
        <v>0.0</v>
      </c>
    </row>
    <row r="2088">
      <c r="A2088" s="1">
        <v>4.0</v>
      </c>
      <c r="B2088" s="1">
        <v>16.0</v>
      </c>
      <c r="C2088" s="1">
        <v>4.0</v>
      </c>
      <c r="D2088" s="1">
        <v>0.0</v>
      </c>
      <c r="E2088" s="1">
        <v>0.5</v>
      </c>
      <c r="F2088" s="1">
        <v>0.0</v>
      </c>
      <c r="G2088" s="2">
        <v>0.5</v>
      </c>
      <c r="H2088" s="1" t="s">
        <v>266</v>
      </c>
      <c r="I2088" s="1">
        <v>0.0</v>
      </c>
      <c r="J2088" s="1">
        <v>2.0</v>
      </c>
    </row>
    <row r="2089">
      <c r="A2089" s="1">
        <v>1.0</v>
      </c>
      <c r="B2089" s="1">
        <v>3.0</v>
      </c>
      <c r="C2089" s="1">
        <v>2.0</v>
      </c>
      <c r="D2089" s="1">
        <v>8.0</v>
      </c>
      <c r="E2089" s="1">
        <v>0.0</v>
      </c>
      <c r="F2089" s="1">
        <v>0.0</v>
      </c>
      <c r="G2089" s="2">
        <v>1.0</v>
      </c>
      <c r="H2089" s="1" t="s">
        <v>93</v>
      </c>
      <c r="I2089" s="1">
        <v>8.0</v>
      </c>
      <c r="J2089" s="1">
        <v>0.0</v>
      </c>
    </row>
    <row r="2090">
      <c r="A2090" s="1">
        <v>4.0</v>
      </c>
      <c r="B2090" s="1">
        <v>16.0</v>
      </c>
      <c r="C2090" s="1">
        <v>9.0</v>
      </c>
      <c r="D2090" s="1">
        <v>7.0</v>
      </c>
      <c r="E2090" s="1">
        <v>0.0</v>
      </c>
      <c r="F2090" s="1">
        <v>0.0</v>
      </c>
      <c r="G2090" s="6">
        <v>0.778</v>
      </c>
      <c r="H2090" s="1" t="s">
        <v>93</v>
      </c>
      <c r="I2090" s="1">
        <v>28.0</v>
      </c>
      <c r="J2090" s="1">
        <v>0.0</v>
      </c>
    </row>
    <row r="2091">
      <c r="A2091" s="1">
        <v>1.0</v>
      </c>
      <c r="B2091" s="1">
        <v>4.0</v>
      </c>
      <c r="C2091" s="1">
        <v>0.0</v>
      </c>
      <c r="D2091" s="1">
        <v>0.0</v>
      </c>
      <c r="E2091" s="1">
        <v>0.0</v>
      </c>
      <c r="F2091" s="1">
        <v>0.0</v>
      </c>
      <c r="G2091" s="2">
        <v>0.0</v>
      </c>
      <c r="H2091" s="1" t="s">
        <v>268</v>
      </c>
      <c r="I2091" s="1">
        <v>0.0</v>
      </c>
      <c r="J2091" s="1">
        <v>0.0</v>
      </c>
    </row>
    <row r="2092">
      <c r="A2092" s="1">
        <v>4.0</v>
      </c>
      <c r="B2092" s="1">
        <v>15.0</v>
      </c>
      <c r="C2092" s="1">
        <v>7.0</v>
      </c>
      <c r="D2092" s="1">
        <v>3.0</v>
      </c>
      <c r="E2092" s="1">
        <v>0.0</v>
      </c>
      <c r="F2092" s="1">
        <v>0.0</v>
      </c>
      <c r="G2092" s="6">
        <v>0.429</v>
      </c>
      <c r="H2092" s="1" t="s">
        <v>80</v>
      </c>
      <c r="I2092" s="1">
        <v>12.0</v>
      </c>
      <c r="J2092" s="1">
        <v>0.0</v>
      </c>
    </row>
    <row r="2093">
      <c r="A2093" s="1">
        <v>1.0</v>
      </c>
      <c r="B2093" s="1">
        <v>3.0</v>
      </c>
      <c r="C2093" s="1">
        <v>0.0</v>
      </c>
      <c r="D2093" s="1">
        <v>0.0</v>
      </c>
      <c r="E2093" s="1">
        <v>0.0</v>
      </c>
      <c r="F2093" s="1">
        <v>0.0</v>
      </c>
      <c r="G2093" s="2">
        <v>0.0</v>
      </c>
      <c r="H2093" s="1" t="s">
        <v>221</v>
      </c>
      <c r="I2093" s="1">
        <v>0.0</v>
      </c>
      <c r="J2093" s="1">
        <v>0.0</v>
      </c>
    </row>
    <row r="2094">
      <c r="A2094" s="1">
        <v>3.0</v>
      </c>
      <c r="B2094" s="1">
        <v>12.0</v>
      </c>
      <c r="C2094" s="1">
        <v>0.0</v>
      </c>
      <c r="D2094" s="1">
        <v>0.0</v>
      </c>
      <c r="E2094" s="1">
        <v>0.0</v>
      </c>
      <c r="F2094" s="1">
        <v>0.0</v>
      </c>
      <c r="G2094" s="2">
        <v>0.0</v>
      </c>
      <c r="H2094" s="1" t="s">
        <v>221</v>
      </c>
      <c r="I2094" s="1">
        <v>0.0</v>
      </c>
      <c r="J2094" s="1">
        <v>0.0</v>
      </c>
    </row>
    <row r="2095">
      <c r="A2095" s="1">
        <v>1.0</v>
      </c>
      <c r="B2095" s="1">
        <v>4.0</v>
      </c>
      <c r="C2095" s="1">
        <v>0.0</v>
      </c>
      <c r="D2095" s="1">
        <v>0.0</v>
      </c>
      <c r="E2095" s="1">
        <v>0.0</v>
      </c>
      <c r="F2095" s="1">
        <v>0.0</v>
      </c>
      <c r="G2095" s="2">
        <v>0.0</v>
      </c>
      <c r="H2095" s="1" t="s">
        <v>270</v>
      </c>
      <c r="I2095" s="1">
        <v>0.0</v>
      </c>
      <c r="J2095" s="1">
        <v>0.0</v>
      </c>
    </row>
    <row r="2096">
      <c r="A2096" s="1">
        <v>1.0</v>
      </c>
      <c r="B2096" s="1">
        <v>4.0</v>
      </c>
      <c r="C2096" s="1">
        <v>1.0</v>
      </c>
      <c r="D2096" s="1">
        <v>-4.0</v>
      </c>
      <c r="E2096" s="1">
        <v>1.0</v>
      </c>
      <c r="F2096" s="1">
        <v>0.0</v>
      </c>
      <c r="G2096" s="2">
        <v>0.0</v>
      </c>
      <c r="H2096" s="1" t="s">
        <v>270</v>
      </c>
      <c r="I2096" s="1">
        <v>-4.0</v>
      </c>
      <c r="J2096" s="1">
        <v>1.0</v>
      </c>
    </row>
    <row r="2097">
      <c r="A2097" s="1">
        <v>1.0</v>
      </c>
      <c r="B2097" s="1">
        <v>3.0</v>
      </c>
      <c r="C2097" s="1">
        <v>0.0</v>
      </c>
      <c r="D2097" s="1">
        <v>0.0</v>
      </c>
      <c r="E2097" s="1">
        <v>0.0</v>
      </c>
      <c r="F2097" s="1">
        <v>0.0</v>
      </c>
      <c r="G2097" s="2">
        <v>0.0</v>
      </c>
      <c r="H2097" s="1" t="s">
        <v>228</v>
      </c>
      <c r="I2097" s="1">
        <v>0.0</v>
      </c>
      <c r="J2097" s="1">
        <v>0.0</v>
      </c>
    </row>
    <row r="2098">
      <c r="A2098" s="1">
        <v>4.0</v>
      </c>
      <c r="B2098" s="1">
        <v>14.0</v>
      </c>
      <c r="C2098" s="1">
        <v>1.0</v>
      </c>
      <c r="D2098" s="1">
        <v>1.0</v>
      </c>
      <c r="E2098" s="1">
        <v>0.0</v>
      </c>
      <c r="F2098" s="1">
        <v>0.0</v>
      </c>
      <c r="G2098" s="2">
        <v>1.0</v>
      </c>
      <c r="H2098" s="1" t="s">
        <v>228</v>
      </c>
      <c r="I2098" s="1">
        <v>4.0</v>
      </c>
      <c r="J2098" s="1">
        <v>0.0</v>
      </c>
    </row>
    <row r="2099">
      <c r="A2099" s="1">
        <v>1.0</v>
      </c>
      <c r="B2099" s="1">
        <v>3.0</v>
      </c>
      <c r="C2099" s="1">
        <v>0.0</v>
      </c>
      <c r="D2099" s="1">
        <v>0.0</v>
      </c>
      <c r="E2099" s="1">
        <v>0.0</v>
      </c>
      <c r="F2099" s="1">
        <v>0.0</v>
      </c>
      <c r="G2099" s="2">
        <v>0.0</v>
      </c>
      <c r="H2099" s="1" t="s">
        <v>273</v>
      </c>
      <c r="I2099" s="1">
        <v>0.0</v>
      </c>
      <c r="J2099" s="1">
        <v>0.0</v>
      </c>
    </row>
    <row r="2100">
      <c r="A2100" s="1">
        <v>3.0</v>
      </c>
      <c r="B2100" s="1">
        <v>11.0</v>
      </c>
      <c r="C2100" s="1">
        <v>0.0</v>
      </c>
      <c r="D2100" s="1">
        <v>0.0</v>
      </c>
      <c r="E2100" s="1">
        <v>0.0</v>
      </c>
      <c r="F2100" s="1">
        <v>0.0</v>
      </c>
      <c r="G2100" s="2">
        <v>0.0</v>
      </c>
      <c r="H2100" s="1" t="s">
        <v>273</v>
      </c>
      <c r="I2100" s="1">
        <v>0.0</v>
      </c>
      <c r="J2100" s="1">
        <v>0.0</v>
      </c>
    </row>
    <row r="2101">
      <c r="A2101" s="1">
        <v>1.0</v>
      </c>
      <c r="B2101" s="1">
        <v>3.0</v>
      </c>
      <c r="C2101" s="1">
        <v>0.0</v>
      </c>
      <c r="D2101" s="1">
        <v>0.0</v>
      </c>
      <c r="E2101" s="1">
        <v>0.0</v>
      </c>
      <c r="F2101" s="1">
        <v>0.0</v>
      </c>
      <c r="G2101" s="2">
        <v>0.0</v>
      </c>
      <c r="H2101" s="1" t="s">
        <v>273</v>
      </c>
      <c r="I2101" s="1">
        <v>0.0</v>
      </c>
      <c r="J2101" s="1">
        <v>0.0</v>
      </c>
    </row>
    <row r="2102">
      <c r="A2102" s="1">
        <v>1.0</v>
      </c>
      <c r="B2102" s="1">
        <v>3.0</v>
      </c>
      <c r="C2102" s="1">
        <v>0.0</v>
      </c>
      <c r="D2102" s="1">
        <v>0.0</v>
      </c>
      <c r="E2102" s="1">
        <v>0.0</v>
      </c>
      <c r="F2102" s="1">
        <v>0.0</v>
      </c>
      <c r="G2102" s="2">
        <v>0.0</v>
      </c>
      <c r="H2102" s="1" t="s">
        <v>275</v>
      </c>
      <c r="I2102" s="1">
        <v>0.0</v>
      </c>
      <c r="J2102" s="1">
        <v>0.0</v>
      </c>
    </row>
    <row r="2103">
      <c r="A2103" s="1">
        <v>3.0</v>
      </c>
      <c r="B2103" s="1">
        <v>10.0</v>
      </c>
      <c r="C2103" s="1">
        <v>0.0</v>
      </c>
      <c r="D2103" s="1">
        <v>0.0</v>
      </c>
      <c r="E2103" s="1">
        <v>0.0</v>
      </c>
      <c r="F2103" s="1">
        <v>0.0</v>
      </c>
      <c r="G2103" s="2">
        <v>0.0</v>
      </c>
      <c r="H2103" s="1" t="s">
        <v>275</v>
      </c>
      <c r="I2103" s="1">
        <v>0.0</v>
      </c>
      <c r="J2103" s="1">
        <v>0.0</v>
      </c>
    </row>
    <row r="2104">
      <c r="A2104" s="1">
        <v>2.0</v>
      </c>
      <c r="B2104" s="1">
        <v>6.0</v>
      </c>
      <c r="C2104" s="1">
        <v>2.0</v>
      </c>
      <c r="D2104" s="1">
        <v>4.0</v>
      </c>
      <c r="E2104" s="1">
        <v>0.0</v>
      </c>
      <c r="F2104" s="1">
        <v>0.0</v>
      </c>
      <c r="G2104" s="2">
        <v>1.0</v>
      </c>
      <c r="H2104" s="1" t="s">
        <v>276</v>
      </c>
      <c r="I2104" s="1">
        <v>8.0</v>
      </c>
      <c r="J2104" s="1">
        <v>0.0</v>
      </c>
    </row>
    <row r="2105">
      <c r="A2105" s="1">
        <v>2.0</v>
      </c>
      <c r="B2105" s="1">
        <v>7.0</v>
      </c>
      <c r="C2105" s="1">
        <v>6.0</v>
      </c>
      <c r="D2105" s="1">
        <v>6.0</v>
      </c>
      <c r="E2105" s="1">
        <v>0.0</v>
      </c>
      <c r="F2105" s="1">
        <v>0.0</v>
      </c>
      <c r="G2105" s="2">
        <v>0.5</v>
      </c>
      <c r="H2105" s="1" t="s">
        <v>276</v>
      </c>
      <c r="I2105" s="1">
        <v>12.0</v>
      </c>
      <c r="J2105" s="1">
        <v>0.0</v>
      </c>
    </row>
    <row r="2106">
      <c r="A2106" s="1">
        <v>1.0</v>
      </c>
      <c r="B2106" s="1">
        <v>4.0</v>
      </c>
      <c r="C2106" s="1">
        <v>0.0</v>
      </c>
      <c r="D2106" s="1">
        <v>0.0</v>
      </c>
      <c r="E2106" s="1">
        <v>0.0</v>
      </c>
      <c r="F2106" s="1">
        <v>0.0</v>
      </c>
      <c r="G2106" s="2">
        <v>0.0</v>
      </c>
      <c r="H2106" s="1" t="s">
        <v>277</v>
      </c>
      <c r="I2106" s="1">
        <v>0.0</v>
      </c>
      <c r="J2106" s="1">
        <v>0.0</v>
      </c>
    </row>
    <row r="2107">
      <c r="A2107" s="1">
        <v>4.0</v>
      </c>
      <c r="B2107" s="1">
        <v>16.0</v>
      </c>
      <c r="C2107" s="1">
        <v>0.0</v>
      </c>
      <c r="D2107" s="1">
        <v>0.0</v>
      </c>
      <c r="E2107" s="1">
        <v>0.0</v>
      </c>
      <c r="F2107" s="1">
        <v>0.0</v>
      </c>
      <c r="G2107" s="2">
        <v>0.0</v>
      </c>
      <c r="H2107" s="1" t="s">
        <v>277</v>
      </c>
      <c r="I2107" s="1">
        <v>0.0</v>
      </c>
      <c r="J2107" s="1">
        <v>0.0</v>
      </c>
    </row>
    <row r="2108">
      <c r="A2108" s="1">
        <v>1.0</v>
      </c>
      <c r="B2108" s="1">
        <v>4.0</v>
      </c>
      <c r="C2108" s="1">
        <v>3.0</v>
      </c>
      <c r="D2108" s="1">
        <v>12.0</v>
      </c>
      <c r="E2108" s="1">
        <v>0.0</v>
      </c>
      <c r="F2108" s="1">
        <v>0.0</v>
      </c>
      <c r="G2108" s="2">
        <v>1.0</v>
      </c>
      <c r="H2108" s="1" t="s">
        <v>172</v>
      </c>
      <c r="I2108" s="1">
        <v>12.0</v>
      </c>
      <c r="J2108" s="1">
        <v>0.0</v>
      </c>
    </row>
    <row r="2109">
      <c r="A2109" s="1">
        <v>3.0</v>
      </c>
      <c r="B2109" s="1">
        <v>12.0</v>
      </c>
      <c r="C2109" s="1">
        <v>8.0</v>
      </c>
      <c r="D2109" s="1">
        <v>9.33</v>
      </c>
      <c r="E2109" s="1">
        <v>0.0</v>
      </c>
      <c r="F2109" s="1">
        <v>0.0</v>
      </c>
      <c r="G2109" s="6">
        <v>0.875</v>
      </c>
      <c r="H2109" s="1" t="s">
        <v>172</v>
      </c>
      <c r="I2109" s="1">
        <v>28.0</v>
      </c>
      <c r="J2109" s="1">
        <v>0.0</v>
      </c>
    </row>
    <row r="2110">
      <c r="A2110" s="1">
        <v>1.0</v>
      </c>
      <c r="B2110" s="1">
        <v>4.0</v>
      </c>
      <c r="C2110" s="1">
        <v>0.0</v>
      </c>
      <c r="D2110" s="1">
        <v>0.0</v>
      </c>
      <c r="E2110" s="1">
        <v>0.0</v>
      </c>
      <c r="F2110" s="1">
        <v>0.0</v>
      </c>
      <c r="G2110" s="2">
        <v>0.0</v>
      </c>
      <c r="H2110" s="1" t="s">
        <v>279</v>
      </c>
      <c r="I2110" s="1">
        <v>0.0</v>
      </c>
      <c r="J2110" s="1">
        <v>0.0</v>
      </c>
    </row>
    <row r="2111">
      <c r="A2111" s="1">
        <v>4.0</v>
      </c>
      <c r="B2111" s="1">
        <v>16.0</v>
      </c>
      <c r="C2111" s="1">
        <v>0.0</v>
      </c>
      <c r="D2111" s="1">
        <v>0.0</v>
      </c>
      <c r="E2111" s="1">
        <v>0.0</v>
      </c>
      <c r="F2111" s="1">
        <v>0.0</v>
      </c>
      <c r="G2111" s="2">
        <v>0.0</v>
      </c>
      <c r="H2111" s="1" t="s">
        <v>279</v>
      </c>
      <c r="I2111" s="1">
        <v>0.0</v>
      </c>
      <c r="J2111" s="1">
        <v>0.0</v>
      </c>
    </row>
    <row r="2112">
      <c r="A2112" s="1">
        <v>1.0</v>
      </c>
      <c r="B2112" s="1">
        <v>4.0</v>
      </c>
      <c r="C2112" s="1">
        <v>0.0</v>
      </c>
      <c r="D2112" s="1">
        <v>0.0</v>
      </c>
      <c r="E2112" s="1">
        <v>0.0</v>
      </c>
      <c r="F2112" s="1">
        <v>0.0</v>
      </c>
      <c r="G2112" s="2">
        <v>0.0</v>
      </c>
      <c r="H2112" s="1" t="s">
        <v>280</v>
      </c>
      <c r="I2112" s="1">
        <v>0.0</v>
      </c>
      <c r="J2112" s="1">
        <v>0.0</v>
      </c>
    </row>
    <row r="2113">
      <c r="A2113" s="1">
        <v>1.0</v>
      </c>
      <c r="B2113" s="1">
        <v>4.0</v>
      </c>
      <c r="C2113" s="1">
        <v>0.0</v>
      </c>
      <c r="D2113" s="1">
        <v>0.0</v>
      </c>
      <c r="E2113" s="1">
        <v>0.0</v>
      </c>
      <c r="F2113" s="1">
        <v>0.0</v>
      </c>
      <c r="G2113" s="2">
        <v>0.0</v>
      </c>
      <c r="H2113" s="1" t="s">
        <v>281</v>
      </c>
      <c r="I2113" s="1">
        <v>0.0</v>
      </c>
      <c r="J2113" s="1">
        <v>0.0</v>
      </c>
    </row>
    <row r="2114">
      <c r="A2114" s="1">
        <v>4.0</v>
      </c>
      <c r="B2114" s="1">
        <v>16.0</v>
      </c>
      <c r="C2114" s="1">
        <v>4.0</v>
      </c>
      <c r="D2114" s="1">
        <v>2.0</v>
      </c>
      <c r="E2114" s="1">
        <v>0.0</v>
      </c>
      <c r="F2114" s="1">
        <v>0.0</v>
      </c>
      <c r="G2114" s="2">
        <v>0.5</v>
      </c>
      <c r="H2114" s="1" t="s">
        <v>281</v>
      </c>
      <c r="I2114" s="1">
        <v>8.0</v>
      </c>
      <c r="J2114" s="1">
        <v>0.0</v>
      </c>
    </row>
    <row r="2115">
      <c r="A2115" s="1">
        <v>2.0</v>
      </c>
      <c r="B2115" s="1">
        <v>8.0</v>
      </c>
      <c r="C2115" s="1">
        <v>0.0</v>
      </c>
      <c r="D2115" s="1">
        <v>0.0</v>
      </c>
      <c r="E2115" s="1">
        <v>0.0</v>
      </c>
      <c r="F2115" s="1">
        <v>0.0</v>
      </c>
      <c r="G2115" s="2">
        <v>0.0</v>
      </c>
      <c r="H2115" s="1" t="s">
        <v>282</v>
      </c>
      <c r="I2115" s="1">
        <v>0.0</v>
      </c>
      <c r="J2115" s="1">
        <v>0.0</v>
      </c>
    </row>
    <row r="2116">
      <c r="A2116" s="1">
        <v>1.0</v>
      </c>
      <c r="B2116" s="1">
        <v>4.0</v>
      </c>
      <c r="C2116" s="1">
        <v>1.0</v>
      </c>
      <c r="D2116" s="1">
        <v>0.0</v>
      </c>
      <c r="E2116" s="1">
        <v>0.0</v>
      </c>
      <c r="F2116" s="1">
        <v>0.0</v>
      </c>
      <c r="G2116" s="2">
        <v>0.0</v>
      </c>
      <c r="H2116" s="1" t="s">
        <v>282</v>
      </c>
      <c r="I2116" s="1">
        <v>0.0</v>
      </c>
      <c r="J2116" s="1">
        <v>0.0</v>
      </c>
    </row>
    <row r="2117">
      <c r="A2117" s="1">
        <v>3.0</v>
      </c>
      <c r="B2117" s="1">
        <v>12.0</v>
      </c>
      <c r="C2117" s="1">
        <v>0.0</v>
      </c>
      <c r="D2117" s="1">
        <v>0.0</v>
      </c>
      <c r="E2117" s="1">
        <v>0.0</v>
      </c>
      <c r="F2117" s="1">
        <v>0.0</v>
      </c>
      <c r="G2117" s="2">
        <v>0.0</v>
      </c>
      <c r="H2117" s="1" t="s">
        <v>283</v>
      </c>
      <c r="I2117" s="1">
        <v>0.0</v>
      </c>
      <c r="J2117" s="1">
        <v>0.0</v>
      </c>
    </row>
    <row r="2118">
      <c r="A2118" s="1">
        <v>1.0</v>
      </c>
      <c r="B2118" s="1">
        <v>4.0</v>
      </c>
      <c r="C2118" s="1">
        <v>0.0</v>
      </c>
      <c r="D2118" s="1">
        <v>0.0</v>
      </c>
      <c r="E2118" s="1">
        <v>0.0</v>
      </c>
      <c r="F2118" s="1">
        <v>0.0</v>
      </c>
      <c r="G2118" s="2">
        <v>0.0</v>
      </c>
      <c r="H2118" s="1" t="s">
        <v>283</v>
      </c>
      <c r="I2118" s="1">
        <v>0.0</v>
      </c>
      <c r="J2118" s="1">
        <v>0.0</v>
      </c>
    </row>
    <row r="2119">
      <c r="A2119" s="1">
        <v>1.0</v>
      </c>
      <c r="B2119" s="1">
        <v>4.0</v>
      </c>
      <c r="C2119" s="1">
        <v>1.0</v>
      </c>
      <c r="D2119" s="1">
        <v>4.0</v>
      </c>
      <c r="E2119" s="1">
        <v>0.0</v>
      </c>
      <c r="F2119" s="1">
        <v>0.0</v>
      </c>
      <c r="G2119" s="2">
        <v>1.0</v>
      </c>
      <c r="H2119" s="1" t="s">
        <v>284</v>
      </c>
      <c r="I2119" s="1">
        <v>4.0</v>
      </c>
      <c r="J2119" s="1">
        <v>0.0</v>
      </c>
    </row>
    <row r="2120">
      <c r="A2120" s="1">
        <v>1.0</v>
      </c>
      <c r="B2120" s="1">
        <v>4.0</v>
      </c>
      <c r="C2120" s="1">
        <v>1.0</v>
      </c>
      <c r="D2120" s="1">
        <v>4.0</v>
      </c>
      <c r="E2120" s="1">
        <v>0.0</v>
      </c>
      <c r="F2120" s="1">
        <v>0.0</v>
      </c>
      <c r="G2120" s="2">
        <v>1.0</v>
      </c>
      <c r="H2120" s="1" t="s">
        <v>284</v>
      </c>
      <c r="I2120" s="1">
        <v>4.0</v>
      </c>
      <c r="J2120" s="1">
        <v>0.0</v>
      </c>
    </row>
    <row r="2121">
      <c r="A2121" s="1">
        <v>1.0</v>
      </c>
      <c r="B2121" s="1">
        <v>4.0</v>
      </c>
      <c r="C2121" s="1">
        <v>2.0</v>
      </c>
      <c r="D2121" s="1">
        <v>8.0</v>
      </c>
      <c r="E2121" s="1">
        <v>0.0</v>
      </c>
      <c r="F2121" s="1">
        <v>0.0</v>
      </c>
      <c r="G2121" s="2">
        <v>1.0</v>
      </c>
      <c r="H2121" s="1" t="s">
        <v>52</v>
      </c>
      <c r="I2121" s="1">
        <v>8.0</v>
      </c>
      <c r="J2121" s="1">
        <v>0.0</v>
      </c>
    </row>
    <row r="2122">
      <c r="A2122" s="1">
        <v>3.0</v>
      </c>
      <c r="B2122" s="1">
        <v>12.0</v>
      </c>
      <c r="C2122" s="1">
        <v>7.0</v>
      </c>
      <c r="D2122" s="1">
        <v>6.67</v>
      </c>
      <c r="E2122" s="1">
        <v>0.0</v>
      </c>
      <c r="F2122" s="1">
        <v>0.0</v>
      </c>
      <c r="G2122" s="6">
        <v>0.714</v>
      </c>
      <c r="H2122" s="1" t="s">
        <v>52</v>
      </c>
      <c r="I2122" s="1">
        <v>20.0</v>
      </c>
      <c r="J2122" s="1">
        <v>0.0</v>
      </c>
    </row>
    <row r="2123">
      <c r="A2123" s="1">
        <v>1.0</v>
      </c>
      <c r="B2123" s="1">
        <v>4.0</v>
      </c>
      <c r="C2123" s="1">
        <v>1.0</v>
      </c>
      <c r="D2123" s="1">
        <v>-4.0</v>
      </c>
      <c r="E2123" s="1">
        <v>1.0</v>
      </c>
      <c r="F2123" s="1">
        <v>0.0</v>
      </c>
      <c r="G2123" s="2">
        <v>0.0</v>
      </c>
      <c r="H2123" s="1" t="s">
        <v>52</v>
      </c>
      <c r="I2123" s="1">
        <v>-4.0</v>
      </c>
      <c r="J2123" s="1">
        <v>1.0</v>
      </c>
    </row>
    <row r="2124">
      <c r="A2124" s="1">
        <v>1.0</v>
      </c>
      <c r="B2124" s="1">
        <v>4.0</v>
      </c>
      <c r="C2124" s="1">
        <v>0.0</v>
      </c>
      <c r="D2124" s="1">
        <v>0.0</v>
      </c>
      <c r="E2124" s="1">
        <v>0.0</v>
      </c>
      <c r="F2124" s="1">
        <v>0.0</v>
      </c>
      <c r="G2124" s="2">
        <v>0.0</v>
      </c>
      <c r="H2124" s="1" t="s">
        <v>223</v>
      </c>
      <c r="I2124" s="1">
        <v>0.0</v>
      </c>
      <c r="J2124" s="1">
        <v>0.0</v>
      </c>
    </row>
    <row r="2125">
      <c r="A2125" s="1">
        <v>1.0</v>
      </c>
      <c r="B2125" s="1">
        <v>4.0</v>
      </c>
      <c r="C2125" s="1">
        <v>1.0</v>
      </c>
      <c r="D2125" s="1">
        <v>4.0</v>
      </c>
      <c r="E2125" s="1">
        <v>0.0</v>
      </c>
      <c r="F2125" s="1">
        <v>0.0</v>
      </c>
      <c r="G2125" s="2">
        <v>1.0</v>
      </c>
      <c r="H2125" s="1" t="s">
        <v>223</v>
      </c>
      <c r="I2125" s="1">
        <v>4.0</v>
      </c>
      <c r="J2125" s="1">
        <v>0.0</v>
      </c>
    </row>
    <row r="2126">
      <c r="A2126" s="1">
        <v>1.0</v>
      </c>
      <c r="B2126" s="1">
        <v>4.0</v>
      </c>
      <c r="C2126" s="1">
        <v>0.0</v>
      </c>
      <c r="D2126" s="1">
        <v>0.0</v>
      </c>
      <c r="E2126" s="1">
        <v>0.0</v>
      </c>
      <c r="F2126" s="1">
        <v>0.0</v>
      </c>
      <c r="G2126" s="2">
        <v>0.0</v>
      </c>
      <c r="H2126" s="1" t="s">
        <v>223</v>
      </c>
      <c r="I2126" s="1">
        <v>0.0</v>
      </c>
      <c r="J2126" s="1">
        <v>0.0</v>
      </c>
    </row>
    <row r="2127">
      <c r="A2127" s="1">
        <v>1.0</v>
      </c>
      <c r="B2127" s="1">
        <v>4.0</v>
      </c>
      <c r="C2127" s="1">
        <v>1.0</v>
      </c>
      <c r="D2127" s="1">
        <v>0.0</v>
      </c>
      <c r="E2127" s="1">
        <v>0.0</v>
      </c>
      <c r="F2127" s="1">
        <v>0.0</v>
      </c>
      <c r="G2127" s="2">
        <v>0.0</v>
      </c>
      <c r="H2127" s="1" t="s">
        <v>223</v>
      </c>
      <c r="I2127" s="1">
        <v>0.0</v>
      </c>
      <c r="J2127" s="1">
        <v>0.0</v>
      </c>
    </row>
    <row r="2128">
      <c r="A2128" s="1">
        <v>1.0</v>
      </c>
      <c r="B2128" s="1">
        <v>4.0</v>
      </c>
      <c r="C2128" s="1">
        <v>3.0</v>
      </c>
      <c r="D2128" s="1">
        <v>0.0</v>
      </c>
      <c r="E2128" s="1">
        <v>1.0</v>
      </c>
      <c r="F2128" s="1">
        <v>0.0</v>
      </c>
      <c r="G2128" s="6">
        <v>0.333</v>
      </c>
      <c r="H2128" s="1" t="s">
        <v>207</v>
      </c>
      <c r="I2128" s="1">
        <v>0.0</v>
      </c>
      <c r="J2128" s="1">
        <v>1.0</v>
      </c>
    </row>
    <row r="2129">
      <c r="A2129" s="1">
        <v>1.0</v>
      </c>
      <c r="B2129" s="1">
        <v>4.0</v>
      </c>
      <c r="C2129" s="1">
        <v>2.0</v>
      </c>
      <c r="D2129" s="1">
        <v>0.0</v>
      </c>
      <c r="E2129" s="1">
        <v>0.0</v>
      </c>
      <c r="F2129" s="1">
        <v>0.0</v>
      </c>
      <c r="G2129" s="2">
        <v>0.0</v>
      </c>
      <c r="H2129" s="1" t="s">
        <v>207</v>
      </c>
      <c r="I2129" s="1">
        <v>0.0</v>
      </c>
      <c r="J2129" s="1">
        <v>0.0</v>
      </c>
    </row>
    <row r="2130">
      <c r="A2130" s="1">
        <v>1.0</v>
      </c>
      <c r="B2130" s="1">
        <v>4.0</v>
      </c>
      <c r="C2130" s="1">
        <v>2.0</v>
      </c>
      <c r="D2130" s="1">
        <v>4.0</v>
      </c>
      <c r="E2130" s="1">
        <v>0.0</v>
      </c>
      <c r="F2130" s="1">
        <v>0.0</v>
      </c>
      <c r="G2130" s="2">
        <v>0.5</v>
      </c>
      <c r="H2130" s="1" t="s">
        <v>207</v>
      </c>
      <c r="I2130" s="1">
        <v>4.0</v>
      </c>
      <c r="J2130" s="1">
        <v>0.0</v>
      </c>
    </row>
    <row r="2131">
      <c r="A2131" s="1">
        <v>2.0</v>
      </c>
      <c r="B2131" s="1">
        <v>8.0</v>
      </c>
      <c r="C2131" s="1">
        <v>3.0</v>
      </c>
      <c r="D2131" s="1">
        <v>2.0</v>
      </c>
      <c r="E2131" s="1">
        <v>0.0</v>
      </c>
      <c r="F2131" s="1">
        <v>0.0</v>
      </c>
      <c r="G2131" s="6">
        <v>0.333</v>
      </c>
      <c r="H2131" s="1" t="s">
        <v>207</v>
      </c>
      <c r="I2131" s="1">
        <v>4.0</v>
      </c>
      <c r="J2131" s="1">
        <v>0.0</v>
      </c>
    </row>
    <row r="2132">
      <c r="A2132" s="1">
        <v>1.0</v>
      </c>
      <c r="B2132" s="1">
        <v>4.0</v>
      </c>
      <c r="C2132" s="1">
        <v>0.0</v>
      </c>
      <c r="D2132" s="1">
        <v>0.0</v>
      </c>
      <c r="E2132" s="1">
        <v>0.0</v>
      </c>
      <c r="F2132" s="1">
        <v>0.0</v>
      </c>
      <c r="G2132" s="2">
        <v>0.0</v>
      </c>
      <c r="H2132" s="1" t="s">
        <v>288</v>
      </c>
      <c r="I2132" s="1">
        <v>0.0</v>
      </c>
      <c r="J2132" s="1">
        <v>0.0</v>
      </c>
    </row>
    <row r="2133">
      <c r="A2133" s="1">
        <v>1.0</v>
      </c>
      <c r="B2133" s="1">
        <v>4.0</v>
      </c>
      <c r="C2133" s="1">
        <v>1.0</v>
      </c>
      <c r="D2133" s="1">
        <v>4.0</v>
      </c>
      <c r="E2133" s="1">
        <v>0.0</v>
      </c>
      <c r="F2133" s="1">
        <v>0.0</v>
      </c>
      <c r="G2133" s="2">
        <v>1.0</v>
      </c>
      <c r="H2133" s="1" t="s">
        <v>245</v>
      </c>
      <c r="I2133" s="1">
        <v>4.0</v>
      </c>
      <c r="J2133" s="1">
        <v>0.0</v>
      </c>
    </row>
    <row r="2134">
      <c r="A2134" s="1">
        <v>1.0</v>
      </c>
      <c r="B2134" s="1">
        <v>4.0</v>
      </c>
      <c r="C2134" s="1">
        <v>0.0</v>
      </c>
      <c r="D2134" s="1">
        <v>0.0</v>
      </c>
      <c r="E2134" s="1">
        <v>0.0</v>
      </c>
      <c r="F2134" s="1">
        <v>0.0</v>
      </c>
      <c r="G2134" s="2">
        <v>0.0</v>
      </c>
      <c r="H2134" s="1" t="s">
        <v>245</v>
      </c>
      <c r="I2134" s="1">
        <v>0.0</v>
      </c>
      <c r="J2134" s="1">
        <v>0.0</v>
      </c>
    </row>
    <row r="2135">
      <c r="A2135" s="1">
        <v>1.0</v>
      </c>
      <c r="B2135" s="1">
        <v>4.0</v>
      </c>
      <c r="C2135" s="1">
        <v>1.0</v>
      </c>
      <c r="D2135" s="1">
        <v>4.0</v>
      </c>
      <c r="E2135" s="1">
        <v>0.0</v>
      </c>
      <c r="F2135" s="1">
        <v>0.0</v>
      </c>
      <c r="G2135" s="2">
        <v>1.0</v>
      </c>
      <c r="H2135" s="1" t="s">
        <v>245</v>
      </c>
      <c r="I2135" s="1">
        <v>4.0</v>
      </c>
      <c r="J2135" s="1">
        <v>0.0</v>
      </c>
    </row>
    <row r="2136">
      <c r="A2136" s="1">
        <v>1.0</v>
      </c>
      <c r="B2136" s="1">
        <v>4.0</v>
      </c>
      <c r="C2136" s="1">
        <v>0.0</v>
      </c>
      <c r="D2136" s="1">
        <v>0.0</v>
      </c>
      <c r="E2136" s="1">
        <v>0.0</v>
      </c>
      <c r="F2136" s="1">
        <v>0.0</v>
      </c>
      <c r="G2136" s="2">
        <v>0.0</v>
      </c>
      <c r="H2136" s="1" t="s">
        <v>290</v>
      </c>
      <c r="I2136" s="1">
        <v>0.0</v>
      </c>
      <c r="J2136" s="1">
        <v>0.0</v>
      </c>
    </row>
    <row r="2137">
      <c r="A2137" s="1">
        <v>4.0</v>
      </c>
      <c r="B2137" s="1">
        <v>16.0</v>
      </c>
      <c r="C2137" s="1">
        <v>1.0</v>
      </c>
      <c r="D2137" s="1">
        <v>1.0</v>
      </c>
      <c r="E2137" s="1">
        <v>0.0</v>
      </c>
      <c r="F2137" s="1">
        <v>0.0</v>
      </c>
      <c r="G2137" s="2">
        <v>1.0</v>
      </c>
      <c r="H2137" s="1" t="s">
        <v>291</v>
      </c>
      <c r="I2137" s="1">
        <v>4.0</v>
      </c>
      <c r="J2137" s="1">
        <v>0.0</v>
      </c>
    </row>
    <row r="2138">
      <c r="A2138" s="1">
        <v>5.0</v>
      </c>
      <c r="B2138" s="1">
        <v>20.0</v>
      </c>
      <c r="C2138" s="1">
        <v>2.0</v>
      </c>
      <c r="D2138" s="1">
        <v>0.8</v>
      </c>
      <c r="E2138" s="1">
        <v>0.0</v>
      </c>
      <c r="F2138" s="1">
        <v>0.0</v>
      </c>
      <c r="G2138" s="2">
        <v>0.5</v>
      </c>
      <c r="H2138" s="1" t="s">
        <v>267</v>
      </c>
      <c r="I2138" s="1">
        <v>4.0</v>
      </c>
      <c r="J2138" s="1">
        <v>0.0</v>
      </c>
    </row>
    <row r="2139">
      <c r="A2139" s="1">
        <v>5.0</v>
      </c>
      <c r="B2139" s="1">
        <v>20.0</v>
      </c>
      <c r="C2139" s="1">
        <v>9.0</v>
      </c>
      <c r="D2139" s="1">
        <v>5.6</v>
      </c>
      <c r="E2139" s="1">
        <v>0.0</v>
      </c>
      <c r="F2139" s="1">
        <v>0.0</v>
      </c>
      <c r="G2139" s="6">
        <v>0.778</v>
      </c>
      <c r="H2139" s="1" t="s">
        <v>98</v>
      </c>
      <c r="I2139" s="1">
        <v>28.0</v>
      </c>
      <c r="J2139" s="1">
        <v>0.0</v>
      </c>
    </row>
    <row r="2140">
      <c r="A2140" s="1">
        <v>1.0</v>
      </c>
      <c r="B2140" s="1">
        <v>4.0</v>
      </c>
      <c r="C2140" s="1">
        <v>2.0</v>
      </c>
      <c r="D2140" s="1">
        <v>0.0</v>
      </c>
      <c r="E2140" s="1">
        <v>1.0</v>
      </c>
      <c r="F2140" s="1">
        <v>0.0</v>
      </c>
      <c r="G2140" s="2">
        <v>0.5</v>
      </c>
      <c r="H2140" s="1" t="s">
        <v>106</v>
      </c>
      <c r="I2140" s="1">
        <v>0.0</v>
      </c>
      <c r="J2140" s="1">
        <v>1.0</v>
      </c>
    </row>
    <row r="2141">
      <c r="A2141" s="1">
        <v>3.0</v>
      </c>
      <c r="B2141" s="1">
        <v>12.0</v>
      </c>
      <c r="C2141" s="1">
        <v>5.0</v>
      </c>
      <c r="D2141" s="1">
        <v>5.33</v>
      </c>
      <c r="E2141" s="1">
        <v>0.0</v>
      </c>
      <c r="F2141" s="1">
        <v>0.0</v>
      </c>
      <c r="G2141" s="2">
        <v>0.8</v>
      </c>
      <c r="H2141" s="1" t="s">
        <v>106</v>
      </c>
      <c r="I2141" s="1">
        <v>16.0</v>
      </c>
      <c r="J2141" s="1">
        <v>0.0</v>
      </c>
    </row>
    <row r="2142">
      <c r="A2142" s="1">
        <v>1.0</v>
      </c>
      <c r="B2142" s="1">
        <v>4.0</v>
      </c>
      <c r="C2142" s="1">
        <v>4.0</v>
      </c>
      <c r="D2142" s="1">
        <v>16.0</v>
      </c>
      <c r="E2142" s="1">
        <v>0.0</v>
      </c>
      <c r="F2142" s="1">
        <v>0.0</v>
      </c>
      <c r="G2142" s="2">
        <v>1.0</v>
      </c>
      <c r="H2142" s="1" t="s">
        <v>106</v>
      </c>
      <c r="I2142" s="1">
        <v>16.0</v>
      </c>
      <c r="J2142" s="1">
        <v>0.0</v>
      </c>
    </row>
    <row r="2143">
      <c r="A2143" s="1">
        <v>2.0</v>
      </c>
      <c r="B2143" s="1">
        <v>8.0</v>
      </c>
      <c r="C2143" s="1">
        <v>1.0</v>
      </c>
      <c r="D2143" s="1">
        <v>2.0</v>
      </c>
      <c r="E2143" s="1">
        <v>0.0</v>
      </c>
      <c r="F2143" s="1">
        <v>0.0</v>
      </c>
      <c r="G2143" s="2">
        <v>1.0</v>
      </c>
      <c r="H2143" s="1" t="s">
        <v>292</v>
      </c>
      <c r="I2143" s="1">
        <v>4.0</v>
      </c>
      <c r="J2143" s="1">
        <v>0.0</v>
      </c>
    </row>
    <row r="2144">
      <c r="A2144" s="1">
        <v>1.0</v>
      </c>
      <c r="B2144" s="1">
        <v>4.0</v>
      </c>
      <c r="C2144" s="1">
        <v>1.0</v>
      </c>
      <c r="D2144" s="1">
        <v>4.0</v>
      </c>
      <c r="E2144" s="1">
        <v>0.0</v>
      </c>
      <c r="F2144" s="1">
        <v>0.0</v>
      </c>
      <c r="G2144" s="2">
        <v>1.0</v>
      </c>
      <c r="H2144" s="1" t="s">
        <v>269</v>
      </c>
      <c r="I2144" s="1">
        <v>4.0</v>
      </c>
      <c r="J2144" s="1">
        <v>0.0</v>
      </c>
    </row>
    <row r="2145">
      <c r="A2145" s="1">
        <v>3.0</v>
      </c>
      <c r="B2145" s="1">
        <v>12.0</v>
      </c>
      <c r="C2145" s="1">
        <v>0.0</v>
      </c>
      <c r="D2145" s="1">
        <v>0.0</v>
      </c>
      <c r="E2145" s="1">
        <v>0.0</v>
      </c>
      <c r="F2145" s="1">
        <v>0.0</v>
      </c>
      <c r="G2145" s="2">
        <v>0.0</v>
      </c>
      <c r="H2145" s="1" t="s">
        <v>269</v>
      </c>
      <c r="I2145" s="1">
        <v>0.0</v>
      </c>
      <c r="J2145" s="1">
        <v>0.0</v>
      </c>
    </row>
    <row r="2146">
      <c r="A2146" s="1">
        <v>1.0</v>
      </c>
      <c r="B2146" s="1">
        <v>4.0</v>
      </c>
      <c r="C2146" s="1">
        <v>0.0</v>
      </c>
      <c r="D2146" s="1">
        <v>0.0</v>
      </c>
      <c r="E2146" s="1">
        <v>0.0</v>
      </c>
      <c r="F2146" s="1">
        <v>0.0</v>
      </c>
      <c r="G2146" s="2">
        <v>0.0</v>
      </c>
      <c r="H2146" s="1" t="s">
        <v>269</v>
      </c>
      <c r="I2146" s="1">
        <v>0.0</v>
      </c>
      <c r="J2146" s="1">
        <v>0.0</v>
      </c>
    </row>
    <row r="2147">
      <c r="A2147" s="1">
        <v>1.0</v>
      </c>
      <c r="B2147" s="1">
        <v>4.0</v>
      </c>
      <c r="C2147" s="1">
        <v>0.0</v>
      </c>
      <c r="D2147" s="1">
        <v>0.0</v>
      </c>
      <c r="E2147" s="1">
        <v>0.0</v>
      </c>
      <c r="F2147" s="1">
        <v>0.0</v>
      </c>
      <c r="G2147" s="2">
        <v>0.0</v>
      </c>
      <c r="H2147" s="1" t="s">
        <v>293</v>
      </c>
      <c r="I2147" s="1">
        <v>0.0</v>
      </c>
      <c r="J2147" s="1">
        <v>0.0</v>
      </c>
    </row>
    <row r="2148">
      <c r="A2148" s="1">
        <v>3.0</v>
      </c>
      <c r="B2148" s="1">
        <v>12.0</v>
      </c>
      <c r="C2148" s="1">
        <v>0.0</v>
      </c>
      <c r="D2148" s="1">
        <v>0.0</v>
      </c>
      <c r="E2148" s="1">
        <v>0.0</v>
      </c>
      <c r="F2148" s="1">
        <v>0.0</v>
      </c>
      <c r="G2148" s="2">
        <v>0.0</v>
      </c>
      <c r="H2148" s="1" t="s">
        <v>293</v>
      </c>
      <c r="I2148" s="1">
        <v>0.0</v>
      </c>
      <c r="J2148" s="1">
        <v>0.0</v>
      </c>
    </row>
    <row r="2149">
      <c r="A2149" s="1">
        <v>1.0</v>
      </c>
      <c r="B2149" s="1">
        <v>4.0</v>
      </c>
      <c r="C2149" s="1">
        <v>0.0</v>
      </c>
      <c r="D2149" s="1">
        <v>0.0</v>
      </c>
      <c r="E2149" s="1">
        <v>0.0</v>
      </c>
      <c r="F2149" s="1">
        <v>0.0</v>
      </c>
      <c r="G2149" s="2">
        <v>0.0</v>
      </c>
      <c r="H2149" s="1" t="s">
        <v>293</v>
      </c>
      <c r="I2149" s="1">
        <v>0.0</v>
      </c>
      <c r="J2149" s="1">
        <v>0.0</v>
      </c>
    </row>
    <row r="2150">
      <c r="A2150" s="1">
        <v>5.0</v>
      </c>
      <c r="B2150" s="1">
        <v>20.0</v>
      </c>
      <c r="C2150" s="1">
        <v>0.0</v>
      </c>
      <c r="D2150" s="1">
        <v>0.0</v>
      </c>
      <c r="E2150" s="1">
        <v>0.0</v>
      </c>
      <c r="F2150" s="1">
        <v>0.0</v>
      </c>
      <c r="G2150" s="2">
        <v>0.0</v>
      </c>
      <c r="H2150" s="1" t="s">
        <v>285</v>
      </c>
      <c r="I2150" s="1">
        <v>0.0</v>
      </c>
      <c r="J2150" s="1">
        <v>0.0</v>
      </c>
    </row>
    <row r="2151">
      <c r="A2151" s="1">
        <v>1.0</v>
      </c>
      <c r="B2151" s="1">
        <v>4.0</v>
      </c>
      <c r="C2151" s="1">
        <v>2.0</v>
      </c>
      <c r="D2151" s="1">
        <v>8.0</v>
      </c>
      <c r="E2151" s="1">
        <v>0.0</v>
      </c>
      <c r="F2151" s="1">
        <v>0.0</v>
      </c>
      <c r="G2151" s="2">
        <v>1.0</v>
      </c>
      <c r="H2151" s="1" t="s">
        <v>246</v>
      </c>
      <c r="I2151" s="1">
        <v>8.0</v>
      </c>
      <c r="J2151" s="1">
        <v>0.0</v>
      </c>
    </row>
    <row r="2152">
      <c r="A2152" s="1">
        <v>4.0</v>
      </c>
      <c r="B2152" s="1">
        <v>16.0</v>
      </c>
      <c r="C2152" s="1">
        <v>7.0</v>
      </c>
      <c r="D2152" s="1">
        <v>0.0</v>
      </c>
      <c r="E2152" s="1">
        <v>0.75</v>
      </c>
      <c r="F2152" s="1">
        <v>0.0</v>
      </c>
      <c r="G2152" s="6">
        <v>0.429</v>
      </c>
      <c r="H2152" s="1" t="s">
        <v>295</v>
      </c>
      <c r="I2152" s="1">
        <v>0.0</v>
      </c>
      <c r="J2152" s="1">
        <v>3.0</v>
      </c>
    </row>
    <row r="2153">
      <c r="A2153" s="1">
        <v>5.0</v>
      </c>
      <c r="B2153" s="1">
        <v>20.0</v>
      </c>
      <c r="C2153" s="1">
        <v>3.0</v>
      </c>
      <c r="D2153" s="1">
        <v>-0.8</v>
      </c>
      <c r="E2153" s="1">
        <v>0.2</v>
      </c>
      <c r="F2153" s="1">
        <v>0.0</v>
      </c>
      <c r="G2153" s="2">
        <v>0.0</v>
      </c>
      <c r="H2153" s="1" t="s">
        <v>286</v>
      </c>
      <c r="I2153" s="1">
        <v>-4.0</v>
      </c>
      <c r="J2153" s="1">
        <v>1.0</v>
      </c>
    </row>
    <row r="2154">
      <c r="A2154" s="1">
        <v>5.0</v>
      </c>
      <c r="B2154" s="1">
        <v>20.0</v>
      </c>
      <c r="C2154" s="1">
        <v>0.0</v>
      </c>
      <c r="D2154" s="1">
        <v>0.0</v>
      </c>
      <c r="E2154" s="1">
        <v>0.0</v>
      </c>
      <c r="F2154" s="1">
        <v>0.0</v>
      </c>
      <c r="G2154" s="2">
        <v>0.0</v>
      </c>
      <c r="H2154" s="1" t="s">
        <v>297</v>
      </c>
      <c r="I2154" s="1">
        <v>0.0</v>
      </c>
      <c r="J2154" s="1">
        <v>0.0</v>
      </c>
    </row>
    <row r="2155">
      <c r="A2155" s="1">
        <v>3.0</v>
      </c>
      <c r="B2155" s="1">
        <v>11.0</v>
      </c>
      <c r="C2155" s="1">
        <v>0.0</v>
      </c>
      <c r="D2155" s="1">
        <v>0.0</v>
      </c>
      <c r="E2155" s="1">
        <v>0.0</v>
      </c>
      <c r="F2155" s="1">
        <v>0.0</v>
      </c>
      <c r="G2155" s="2">
        <v>0.0</v>
      </c>
      <c r="H2155" s="1" t="s">
        <v>298</v>
      </c>
      <c r="I2155" s="1">
        <v>0.0</v>
      </c>
      <c r="J2155" s="1">
        <v>0.0</v>
      </c>
    </row>
    <row r="2156">
      <c r="A2156" s="1">
        <v>4.0</v>
      </c>
      <c r="B2156" s="1">
        <v>15.0</v>
      </c>
      <c r="C2156" s="1">
        <v>0.0</v>
      </c>
      <c r="D2156" s="1">
        <v>0.0</v>
      </c>
      <c r="E2156" s="1">
        <v>0.0</v>
      </c>
      <c r="F2156" s="1">
        <v>0.0</v>
      </c>
      <c r="G2156" s="2">
        <v>0.0</v>
      </c>
      <c r="H2156" s="1" t="s">
        <v>296</v>
      </c>
      <c r="I2156" s="1">
        <v>0.0</v>
      </c>
      <c r="J2156" s="1">
        <v>0.0</v>
      </c>
    </row>
    <row r="2157">
      <c r="A2157" s="1">
        <v>4.0</v>
      </c>
      <c r="B2157" s="1">
        <v>15.0</v>
      </c>
      <c r="C2157" s="1">
        <v>12.0</v>
      </c>
      <c r="D2157" s="1">
        <v>7.0</v>
      </c>
      <c r="E2157" s="1">
        <v>0.0</v>
      </c>
      <c r="F2157" s="1">
        <v>0.0</v>
      </c>
      <c r="G2157" s="6">
        <v>0.583</v>
      </c>
      <c r="H2157" s="1" t="s">
        <v>175</v>
      </c>
      <c r="I2157" s="1">
        <v>28.0</v>
      </c>
      <c r="J2157" s="1">
        <v>0.0</v>
      </c>
    </row>
    <row r="2158">
      <c r="A2158" s="1">
        <v>4.0</v>
      </c>
      <c r="B2158" s="1">
        <v>15.0</v>
      </c>
      <c r="C2158" s="1">
        <v>1.0</v>
      </c>
      <c r="D2158" s="1">
        <v>0.0</v>
      </c>
      <c r="E2158" s="1">
        <v>0.0</v>
      </c>
      <c r="F2158" s="1">
        <v>0.0</v>
      </c>
      <c r="G2158" s="2">
        <v>0.0</v>
      </c>
      <c r="H2158" s="1" t="s">
        <v>300</v>
      </c>
      <c r="I2158" s="1">
        <v>0.0</v>
      </c>
      <c r="J2158" s="1">
        <v>0.0</v>
      </c>
    </row>
    <row r="2159">
      <c r="A2159" s="1">
        <v>4.0</v>
      </c>
      <c r="B2159" s="1">
        <v>16.0</v>
      </c>
      <c r="C2159" s="1">
        <v>8.0</v>
      </c>
      <c r="D2159" s="1">
        <v>4.0</v>
      </c>
      <c r="E2159" s="1">
        <v>0.0</v>
      </c>
      <c r="F2159" s="1">
        <v>0.0</v>
      </c>
      <c r="G2159" s="2">
        <v>0.5</v>
      </c>
      <c r="H2159" s="1" t="s">
        <v>271</v>
      </c>
      <c r="I2159" s="1">
        <v>16.0</v>
      </c>
      <c r="J2159" s="1">
        <v>0.0</v>
      </c>
    </row>
    <row r="2160">
      <c r="A2160" s="1">
        <v>1.0</v>
      </c>
      <c r="B2160" s="1">
        <v>4.0</v>
      </c>
      <c r="C2160" s="1">
        <v>4.0</v>
      </c>
      <c r="D2160" s="1">
        <v>12.0</v>
      </c>
      <c r="E2160" s="1">
        <v>0.0</v>
      </c>
      <c r="F2160" s="1">
        <v>0.0</v>
      </c>
      <c r="G2160" s="2">
        <v>0.75</v>
      </c>
      <c r="H2160" s="1" t="s">
        <v>271</v>
      </c>
      <c r="I2160" s="1">
        <v>12.0</v>
      </c>
      <c r="J2160" s="1">
        <v>0.0</v>
      </c>
    </row>
    <row r="2161">
      <c r="A2161" s="1">
        <v>4.0</v>
      </c>
      <c r="B2161" s="1">
        <v>16.0</v>
      </c>
      <c r="C2161" s="1">
        <v>0.0</v>
      </c>
      <c r="D2161" s="1">
        <v>0.0</v>
      </c>
      <c r="E2161" s="1">
        <v>0.0</v>
      </c>
      <c r="F2161" s="1">
        <v>0.0</v>
      </c>
      <c r="G2161" s="2">
        <v>0.0</v>
      </c>
      <c r="H2161" s="1" t="s">
        <v>249</v>
      </c>
      <c r="I2161" s="1">
        <v>0.0</v>
      </c>
      <c r="J2161" s="1">
        <v>0.0</v>
      </c>
    </row>
    <row r="2162">
      <c r="A2162" s="1">
        <v>1.0</v>
      </c>
      <c r="B2162" s="1">
        <v>4.0</v>
      </c>
      <c r="C2162" s="1">
        <v>0.0</v>
      </c>
      <c r="D2162" s="1">
        <v>0.0</v>
      </c>
      <c r="E2162" s="1">
        <v>0.0</v>
      </c>
      <c r="F2162" s="1">
        <v>0.0</v>
      </c>
      <c r="G2162" s="2">
        <v>0.0</v>
      </c>
      <c r="H2162" s="1" t="s">
        <v>249</v>
      </c>
      <c r="I2162" s="1">
        <v>0.0</v>
      </c>
      <c r="J2162" s="1">
        <v>0.0</v>
      </c>
    </row>
    <row r="2163">
      <c r="A2163" s="1">
        <v>4.0</v>
      </c>
      <c r="B2163" s="1">
        <v>16.0</v>
      </c>
      <c r="C2163" s="1">
        <v>1.0</v>
      </c>
      <c r="D2163" s="1">
        <v>0.0</v>
      </c>
      <c r="E2163" s="1">
        <v>0.0</v>
      </c>
      <c r="F2163" s="1">
        <v>0.0</v>
      </c>
      <c r="G2163" s="2">
        <v>0.0</v>
      </c>
      <c r="H2163" s="1" t="s">
        <v>272</v>
      </c>
      <c r="I2163" s="1">
        <v>0.0</v>
      </c>
      <c r="J2163" s="1">
        <v>0.0</v>
      </c>
    </row>
    <row r="2164">
      <c r="A2164" s="1">
        <v>1.0</v>
      </c>
      <c r="B2164" s="1">
        <v>4.0</v>
      </c>
      <c r="C2164" s="1">
        <v>0.0</v>
      </c>
      <c r="D2164" s="1">
        <v>0.0</v>
      </c>
      <c r="E2164" s="1">
        <v>0.0</v>
      </c>
      <c r="F2164" s="1">
        <v>0.0</v>
      </c>
      <c r="G2164" s="2">
        <v>0.0</v>
      </c>
      <c r="H2164" s="1" t="s">
        <v>272</v>
      </c>
      <c r="I2164" s="1">
        <v>0.0</v>
      </c>
      <c r="J2164" s="1">
        <v>0.0</v>
      </c>
    </row>
    <row r="2165">
      <c r="A2165" s="1">
        <v>4.0</v>
      </c>
      <c r="B2165" s="1">
        <v>16.0</v>
      </c>
      <c r="C2165" s="1">
        <v>4.0</v>
      </c>
      <c r="D2165" s="1">
        <v>0.0</v>
      </c>
      <c r="E2165" s="1">
        <v>0.0</v>
      </c>
      <c r="F2165" s="1">
        <v>0.0</v>
      </c>
      <c r="G2165" s="2">
        <v>0.0</v>
      </c>
      <c r="H2165" s="1" t="s">
        <v>138</v>
      </c>
      <c r="I2165" s="1">
        <v>0.0</v>
      </c>
      <c r="J2165" s="1">
        <v>0.0</v>
      </c>
    </row>
    <row r="2166">
      <c r="A2166" s="1">
        <v>1.0</v>
      </c>
      <c r="B2166" s="1">
        <v>4.0</v>
      </c>
      <c r="C2166" s="1">
        <v>0.0</v>
      </c>
      <c r="D2166" s="1">
        <v>0.0</v>
      </c>
      <c r="E2166" s="1">
        <v>0.0</v>
      </c>
      <c r="F2166" s="1">
        <v>0.0</v>
      </c>
      <c r="G2166" s="2">
        <v>0.0</v>
      </c>
      <c r="H2166" s="1" t="s">
        <v>138</v>
      </c>
      <c r="I2166" s="1">
        <v>0.0</v>
      </c>
      <c r="J2166" s="1">
        <v>0.0</v>
      </c>
    </row>
    <row r="2167">
      <c r="A2167" s="1">
        <v>2.0</v>
      </c>
      <c r="B2167" s="1">
        <v>8.0</v>
      </c>
      <c r="C2167" s="1">
        <v>0.0</v>
      </c>
      <c r="D2167" s="1">
        <v>0.0</v>
      </c>
      <c r="E2167" s="1">
        <v>0.0</v>
      </c>
      <c r="F2167" s="1">
        <v>0.0</v>
      </c>
      <c r="G2167" s="2">
        <v>0.0</v>
      </c>
      <c r="H2167" s="1" t="s">
        <v>303</v>
      </c>
      <c r="I2167" s="1">
        <v>0.0</v>
      </c>
      <c r="J2167" s="1">
        <v>0.0</v>
      </c>
    </row>
    <row r="2168">
      <c r="A2168" s="1">
        <v>4.0</v>
      </c>
      <c r="B2168" s="1">
        <v>16.0</v>
      </c>
      <c r="C2168" s="1">
        <v>8.0</v>
      </c>
      <c r="D2168" s="1">
        <v>4.0</v>
      </c>
      <c r="E2168" s="1">
        <v>0.25</v>
      </c>
      <c r="F2168" s="1">
        <v>0.0</v>
      </c>
      <c r="G2168" s="6">
        <v>0.625</v>
      </c>
      <c r="H2168" s="1" t="s">
        <v>304</v>
      </c>
      <c r="I2168" s="1">
        <v>16.0</v>
      </c>
      <c r="J2168" s="1">
        <v>1.0</v>
      </c>
    </row>
    <row r="2169">
      <c r="A2169" s="1">
        <v>1.0</v>
      </c>
      <c r="B2169" s="1">
        <v>4.0</v>
      </c>
      <c r="C2169" s="1">
        <v>0.0</v>
      </c>
      <c r="D2169" s="1">
        <v>0.0</v>
      </c>
      <c r="E2169" s="1">
        <v>0.0</v>
      </c>
      <c r="F2169" s="1">
        <v>0.0</v>
      </c>
      <c r="G2169" s="2">
        <v>0.0</v>
      </c>
      <c r="H2169" s="1" t="s">
        <v>305</v>
      </c>
      <c r="I2169" s="1">
        <v>0.0</v>
      </c>
      <c r="J2169" s="1">
        <v>0.0</v>
      </c>
    </row>
    <row r="2170">
      <c r="A2170" s="1">
        <v>1.0</v>
      </c>
      <c r="B2170" s="1">
        <v>4.0</v>
      </c>
      <c r="C2170" s="1">
        <v>0.0</v>
      </c>
      <c r="D2170" s="1">
        <v>0.0</v>
      </c>
      <c r="E2170" s="1">
        <v>0.0</v>
      </c>
      <c r="F2170" s="1">
        <v>0.0</v>
      </c>
      <c r="G2170" s="2">
        <v>0.0</v>
      </c>
      <c r="H2170" s="1" t="s">
        <v>306</v>
      </c>
      <c r="I2170" s="1">
        <v>0.0</v>
      </c>
      <c r="J2170" s="1">
        <v>0.0</v>
      </c>
    </row>
    <row r="2171">
      <c r="A2171" s="1">
        <v>1.0</v>
      </c>
      <c r="B2171" s="1">
        <v>4.0</v>
      </c>
      <c r="C2171" s="1">
        <v>1.0</v>
      </c>
      <c r="D2171" s="1">
        <v>0.0</v>
      </c>
      <c r="E2171" s="1">
        <v>0.0</v>
      </c>
      <c r="F2171" s="1">
        <v>0.0</v>
      </c>
      <c r="G2171" s="2">
        <v>0.0</v>
      </c>
      <c r="H2171" s="1" t="s">
        <v>306</v>
      </c>
      <c r="I2171" s="1">
        <v>0.0</v>
      </c>
      <c r="J2171" s="1">
        <v>0.0</v>
      </c>
    </row>
    <row r="2172">
      <c r="A2172" s="1">
        <v>1.0</v>
      </c>
      <c r="B2172" s="1">
        <v>3.0</v>
      </c>
      <c r="C2172" s="1">
        <v>0.0</v>
      </c>
      <c r="D2172" s="1">
        <v>0.0</v>
      </c>
      <c r="E2172" s="1">
        <v>0.0</v>
      </c>
      <c r="F2172" s="1">
        <v>0.0</v>
      </c>
      <c r="G2172" s="2">
        <v>0.0</v>
      </c>
      <c r="H2172" s="1" t="s">
        <v>306</v>
      </c>
      <c r="I2172" s="1">
        <v>0.0</v>
      </c>
      <c r="J2172" s="1">
        <v>0.0</v>
      </c>
    </row>
    <row r="2173">
      <c r="A2173" s="1">
        <v>1.0</v>
      </c>
      <c r="B2173" s="1">
        <v>4.0</v>
      </c>
      <c r="C2173" s="1">
        <v>0.0</v>
      </c>
      <c r="D2173" s="1">
        <v>0.0</v>
      </c>
      <c r="E2173" s="1">
        <v>0.0</v>
      </c>
      <c r="F2173" s="1">
        <v>0.0</v>
      </c>
      <c r="G2173" s="2">
        <v>0.0</v>
      </c>
      <c r="H2173" s="1" t="s">
        <v>306</v>
      </c>
      <c r="I2173" s="1">
        <v>0.0</v>
      </c>
      <c r="J2173" s="1">
        <v>0.0</v>
      </c>
    </row>
    <row r="2174">
      <c r="A2174" s="1">
        <v>1.0</v>
      </c>
      <c r="B2174" s="1">
        <v>4.0</v>
      </c>
      <c r="C2174" s="1">
        <v>0.0</v>
      </c>
      <c r="D2174" s="1">
        <v>0.0</v>
      </c>
      <c r="E2174" s="1">
        <v>0.0</v>
      </c>
      <c r="F2174" s="1">
        <v>0.0</v>
      </c>
      <c r="G2174" s="2">
        <v>0.0</v>
      </c>
      <c r="H2174" s="1" t="s">
        <v>141</v>
      </c>
      <c r="I2174" s="1">
        <v>0.0</v>
      </c>
      <c r="J2174" s="1">
        <v>0.0</v>
      </c>
    </row>
    <row r="2175">
      <c r="A2175" s="1">
        <v>1.0</v>
      </c>
      <c r="B2175" s="1">
        <v>4.0</v>
      </c>
      <c r="C2175" s="1">
        <v>0.0</v>
      </c>
      <c r="D2175" s="1">
        <v>0.0</v>
      </c>
      <c r="E2175" s="1">
        <v>0.0</v>
      </c>
      <c r="F2175" s="1">
        <v>0.0</v>
      </c>
      <c r="G2175" s="2">
        <v>0.0</v>
      </c>
      <c r="H2175" s="1" t="s">
        <v>141</v>
      </c>
      <c r="I2175" s="1">
        <v>0.0</v>
      </c>
      <c r="J2175" s="1">
        <v>0.0</v>
      </c>
    </row>
    <row r="2176">
      <c r="A2176" s="1">
        <v>1.0</v>
      </c>
      <c r="B2176" s="1">
        <v>3.0</v>
      </c>
      <c r="C2176" s="1">
        <v>0.0</v>
      </c>
      <c r="D2176" s="1">
        <v>0.0</v>
      </c>
      <c r="E2176" s="1">
        <v>0.0</v>
      </c>
      <c r="F2176" s="1">
        <v>0.0</v>
      </c>
      <c r="G2176" s="2">
        <v>0.0</v>
      </c>
      <c r="H2176" s="1" t="s">
        <v>141</v>
      </c>
      <c r="I2176" s="1">
        <v>0.0</v>
      </c>
      <c r="J2176" s="1">
        <v>0.0</v>
      </c>
    </row>
    <row r="2177">
      <c r="A2177" s="1">
        <v>1.0</v>
      </c>
      <c r="B2177" s="1">
        <v>4.0</v>
      </c>
      <c r="C2177" s="1">
        <v>4.0</v>
      </c>
      <c r="D2177" s="1">
        <v>12.0</v>
      </c>
      <c r="E2177" s="1">
        <v>0.0</v>
      </c>
      <c r="F2177" s="1">
        <v>0.0</v>
      </c>
      <c r="G2177" s="2">
        <v>0.75</v>
      </c>
      <c r="H2177" s="1" t="s">
        <v>141</v>
      </c>
      <c r="I2177" s="1">
        <v>12.0</v>
      </c>
      <c r="J2177" s="1">
        <v>0.0</v>
      </c>
    </row>
    <row r="2178">
      <c r="A2178" s="1">
        <v>1.0</v>
      </c>
      <c r="B2178" s="1">
        <v>4.0</v>
      </c>
      <c r="C2178" s="1">
        <v>0.0</v>
      </c>
      <c r="D2178" s="1">
        <v>0.0</v>
      </c>
      <c r="E2178" s="1">
        <v>0.0</v>
      </c>
      <c r="F2178" s="1">
        <v>0.0</v>
      </c>
      <c r="G2178" s="2">
        <v>0.0</v>
      </c>
      <c r="H2178" s="1" t="s">
        <v>308</v>
      </c>
      <c r="I2178" s="1">
        <v>0.0</v>
      </c>
      <c r="J2178" s="1">
        <v>0.0</v>
      </c>
    </row>
    <row r="2179">
      <c r="A2179" s="1">
        <v>1.0</v>
      </c>
      <c r="B2179" s="1">
        <v>4.0</v>
      </c>
      <c r="C2179" s="1">
        <v>0.0</v>
      </c>
      <c r="D2179" s="1">
        <v>0.0</v>
      </c>
      <c r="E2179" s="1">
        <v>0.0</v>
      </c>
      <c r="F2179" s="1">
        <v>0.0</v>
      </c>
      <c r="G2179" s="2">
        <v>0.0</v>
      </c>
      <c r="H2179" s="1" t="s">
        <v>308</v>
      </c>
      <c r="I2179" s="1">
        <v>0.0</v>
      </c>
      <c r="J2179" s="1">
        <v>0.0</v>
      </c>
    </row>
    <row r="2180">
      <c r="A2180" s="1">
        <v>1.0</v>
      </c>
      <c r="B2180" s="1">
        <v>3.0</v>
      </c>
      <c r="C2180" s="1">
        <v>0.0</v>
      </c>
      <c r="D2180" s="1">
        <v>0.0</v>
      </c>
      <c r="E2180" s="1">
        <v>0.0</v>
      </c>
      <c r="F2180" s="1">
        <v>0.0</v>
      </c>
      <c r="G2180" s="2">
        <v>0.0</v>
      </c>
      <c r="H2180" s="1" t="s">
        <v>308</v>
      </c>
      <c r="I2180" s="1">
        <v>0.0</v>
      </c>
      <c r="J2180" s="1">
        <v>0.0</v>
      </c>
    </row>
    <row r="2181">
      <c r="A2181" s="1">
        <v>1.0</v>
      </c>
      <c r="B2181" s="1">
        <v>4.0</v>
      </c>
      <c r="C2181" s="1">
        <v>0.0</v>
      </c>
      <c r="D2181" s="1">
        <v>0.0</v>
      </c>
      <c r="E2181" s="1">
        <v>0.0</v>
      </c>
      <c r="F2181" s="1">
        <v>0.0</v>
      </c>
      <c r="G2181" s="2">
        <v>0.0</v>
      </c>
      <c r="H2181" s="1" t="s">
        <v>309</v>
      </c>
      <c r="I2181" s="1">
        <v>0.0</v>
      </c>
      <c r="J2181" s="1">
        <v>0.0</v>
      </c>
    </row>
    <row r="2182">
      <c r="A2182" s="1">
        <v>1.0</v>
      </c>
      <c r="B2182" s="1">
        <v>3.0</v>
      </c>
      <c r="C2182" s="1">
        <v>1.0</v>
      </c>
      <c r="D2182" s="1">
        <v>0.0</v>
      </c>
      <c r="E2182" s="1">
        <v>0.0</v>
      </c>
      <c r="F2182" s="1">
        <v>0.0</v>
      </c>
      <c r="G2182" s="2">
        <v>0.0</v>
      </c>
      <c r="H2182" s="1" t="s">
        <v>309</v>
      </c>
      <c r="I2182" s="1">
        <v>0.0</v>
      </c>
      <c r="J2182" s="1">
        <v>0.0</v>
      </c>
    </row>
    <row r="2183">
      <c r="A2183" s="1">
        <v>1.0</v>
      </c>
      <c r="B2183" s="1">
        <v>4.0</v>
      </c>
      <c r="C2183" s="1">
        <v>1.0</v>
      </c>
      <c r="D2183" s="1">
        <v>0.0</v>
      </c>
      <c r="E2183" s="1">
        <v>0.0</v>
      </c>
      <c r="F2183" s="1">
        <v>0.0</v>
      </c>
      <c r="G2183" s="2">
        <v>0.0</v>
      </c>
      <c r="H2183" s="1" t="s">
        <v>310</v>
      </c>
      <c r="I2183" s="1">
        <v>0.0</v>
      </c>
      <c r="J2183" s="1">
        <v>0.0</v>
      </c>
    </row>
    <row r="2184">
      <c r="A2184" s="1">
        <v>1.0</v>
      </c>
      <c r="B2184" s="1">
        <v>3.0</v>
      </c>
      <c r="C2184" s="1">
        <v>1.0</v>
      </c>
      <c r="D2184" s="1">
        <v>4.0</v>
      </c>
      <c r="E2184" s="1">
        <v>0.0</v>
      </c>
      <c r="F2184" s="1">
        <v>0.0</v>
      </c>
      <c r="G2184" s="2">
        <v>1.0</v>
      </c>
      <c r="H2184" s="1" t="s">
        <v>310</v>
      </c>
      <c r="I2184" s="1">
        <v>4.0</v>
      </c>
      <c r="J2184" s="1">
        <v>0.0</v>
      </c>
    </row>
    <row r="2185">
      <c r="A2185" s="1">
        <v>1.0</v>
      </c>
      <c r="B2185" s="1">
        <v>4.0</v>
      </c>
      <c r="C2185" s="1">
        <v>2.0</v>
      </c>
      <c r="D2185" s="1">
        <v>8.0</v>
      </c>
      <c r="E2185" s="1">
        <v>0.0</v>
      </c>
      <c r="F2185" s="1">
        <v>0.0</v>
      </c>
      <c r="G2185" s="2">
        <v>1.0</v>
      </c>
      <c r="H2185" s="1" t="s">
        <v>252</v>
      </c>
      <c r="I2185" s="1">
        <v>8.0</v>
      </c>
      <c r="J2185" s="1">
        <v>0.0</v>
      </c>
    </row>
    <row r="2186">
      <c r="A2186" s="1">
        <v>2.0</v>
      </c>
      <c r="B2186" s="1">
        <v>7.0</v>
      </c>
      <c r="C2186" s="1">
        <v>4.0</v>
      </c>
      <c r="D2186" s="1">
        <v>4.0</v>
      </c>
      <c r="E2186" s="1">
        <v>0.0</v>
      </c>
      <c r="F2186" s="1">
        <v>0.0</v>
      </c>
      <c r="G2186" s="2">
        <v>0.5</v>
      </c>
      <c r="H2186" s="1" t="s">
        <v>252</v>
      </c>
      <c r="I2186" s="1">
        <v>8.0</v>
      </c>
      <c r="J2186" s="1">
        <v>0.0</v>
      </c>
    </row>
    <row r="2187">
      <c r="A2187" s="1">
        <v>3.0</v>
      </c>
      <c r="B2187" s="1">
        <v>11.0</v>
      </c>
      <c r="C2187" s="1">
        <v>0.0</v>
      </c>
      <c r="D2187" s="1">
        <v>0.0</v>
      </c>
      <c r="E2187" s="1">
        <v>0.0</v>
      </c>
      <c r="F2187" s="1">
        <v>0.0</v>
      </c>
      <c r="G2187" s="2">
        <v>0.0</v>
      </c>
      <c r="H2187" s="1" t="s">
        <v>274</v>
      </c>
      <c r="I2187" s="1">
        <v>0.0</v>
      </c>
      <c r="J2187" s="1">
        <v>0.0</v>
      </c>
    </row>
    <row r="2188">
      <c r="A2188" s="1">
        <v>2.0</v>
      </c>
      <c r="B2188" s="1">
        <v>8.0</v>
      </c>
      <c r="C2188" s="1">
        <v>0.0</v>
      </c>
      <c r="D2188" s="1">
        <v>0.0</v>
      </c>
      <c r="E2188" s="1">
        <v>0.0</v>
      </c>
      <c r="F2188" s="1">
        <v>0.0</v>
      </c>
      <c r="G2188" s="2">
        <v>0.0</v>
      </c>
      <c r="H2188" s="1" t="s">
        <v>274</v>
      </c>
      <c r="I2188" s="1">
        <v>0.0</v>
      </c>
      <c r="J2188" s="1">
        <v>0.0</v>
      </c>
    </row>
    <row r="2189">
      <c r="A2189" s="1">
        <v>3.0</v>
      </c>
      <c r="B2189" s="1">
        <v>11.0</v>
      </c>
      <c r="C2189" s="1">
        <v>0.0</v>
      </c>
      <c r="D2189" s="1">
        <v>0.0</v>
      </c>
      <c r="E2189" s="1">
        <v>0.0</v>
      </c>
      <c r="F2189" s="1">
        <v>0.0</v>
      </c>
      <c r="G2189" s="2">
        <v>0.0</v>
      </c>
      <c r="H2189" s="1" t="s">
        <v>230</v>
      </c>
      <c r="I2189" s="1">
        <v>0.0</v>
      </c>
      <c r="J2189" s="1">
        <v>0.0</v>
      </c>
    </row>
    <row r="2190">
      <c r="A2190" s="1">
        <v>2.0</v>
      </c>
      <c r="B2190" s="1">
        <v>8.0</v>
      </c>
      <c r="C2190" s="1">
        <v>0.0</v>
      </c>
      <c r="D2190" s="1">
        <v>0.0</v>
      </c>
      <c r="E2190" s="1">
        <v>0.0</v>
      </c>
      <c r="F2190" s="1">
        <v>0.0</v>
      </c>
      <c r="G2190" s="2">
        <v>0.0</v>
      </c>
      <c r="H2190" s="1" t="s">
        <v>230</v>
      </c>
      <c r="I2190" s="1">
        <v>0.0</v>
      </c>
      <c r="J2190" s="1">
        <v>0.0</v>
      </c>
    </row>
    <row r="2191">
      <c r="A2191" s="1">
        <v>1.0</v>
      </c>
      <c r="B2191" s="1">
        <v>3.0</v>
      </c>
      <c r="C2191" s="1">
        <v>0.0</v>
      </c>
      <c r="D2191" s="1">
        <v>0.0</v>
      </c>
      <c r="E2191" s="1">
        <v>0.0</v>
      </c>
      <c r="F2191" s="1">
        <v>0.0</v>
      </c>
      <c r="G2191" s="2">
        <v>0.0</v>
      </c>
      <c r="H2191" s="1" t="s">
        <v>313</v>
      </c>
      <c r="I2191" s="1">
        <v>0.0</v>
      </c>
      <c r="J2191" s="1">
        <v>0.0</v>
      </c>
    </row>
    <row r="2192">
      <c r="A2192" s="1">
        <v>1.0</v>
      </c>
      <c r="B2192" s="1">
        <v>4.0</v>
      </c>
      <c r="C2192" s="1">
        <v>2.0</v>
      </c>
      <c r="D2192" s="1">
        <v>0.0</v>
      </c>
      <c r="E2192" s="1">
        <v>0.0</v>
      </c>
      <c r="F2192" s="1">
        <v>0.0</v>
      </c>
      <c r="G2192" s="2">
        <v>0.0</v>
      </c>
      <c r="H2192" s="1" t="s">
        <v>313</v>
      </c>
      <c r="I2192" s="1">
        <v>0.0</v>
      </c>
      <c r="J2192" s="1">
        <v>0.0</v>
      </c>
    </row>
    <row r="2193">
      <c r="A2193" s="1">
        <v>2.0</v>
      </c>
      <c r="B2193" s="1">
        <v>8.0</v>
      </c>
      <c r="C2193" s="1">
        <v>1.0</v>
      </c>
      <c r="D2193" s="1">
        <v>2.0</v>
      </c>
      <c r="E2193" s="1">
        <v>0.0</v>
      </c>
      <c r="F2193" s="1">
        <v>0.0</v>
      </c>
      <c r="G2193" s="2">
        <v>1.0</v>
      </c>
      <c r="H2193" s="1" t="s">
        <v>314</v>
      </c>
      <c r="I2193" s="1">
        <v>4.0</v>
      </c>
      <c r="J2193" s="1">
        <v>0.0</v>
      </c>
    </row>
    <row r="2194">
      <c r="A2194" s="1">
        <v>1.0</v>
      </c>
      <c r="B2194" s="1">
        <v>4.0</v>
      </c>
      <c r="C2194" s="1">
        <v>0.0</v>
      </c>
      <c r="D2194" s="1">
        <v>0.0</v>
      </c>
      <c r="E2194" s="1">
        <v>0.0</v>
      </c>
      <c r="F2194" s="1">
        <v>0.0</v>
      </c>
      <c r="G2194" s="2">
        <v>0.0</v>
      </c>
      <c r="H2194" s="1" t="s">
        <v>314</v>
      </c>
      <c r="I2194" s="1">
        <v>0.0</v>
      </c>
      <c r="J2194" s="1">
        <v>0.0</v>
      </c>
    </row>
    <row r="2195">
      <c r="A2195" s="1">
        <v>3.0</v>
      </c>
      <c r="B2195" s="1">
        <v>12.0</v>
      </c>
      <c r="C2195" s="1">
        <v>3.0</v>
      </c>
      <c r="D2195" s="1">
        <v>-1.33</v>
      </c>
      <c r="E2195" s="1">
        <v>0.67</v>
      </c>
      <c r="F2195" s="1">
        <v>0.0</v>
      </c>
      <c r="G2195" s="6">
        <v>0.333</v>
      </c>
      <c r="H2195" s="1" t="s">
        <v>315</v>
      </c>
      <c r="I2195" s="1">
        <v>-4.0</v>
      </c>
      <c r="J2195" s="1">
        <v>2.0</v>
      </c>
    </row>
    <row r="2196">
      <c r="A2196" s="1">
        <v>1.0</v>
      </c>
      <c r="B2196" s="1">
        <v>4.0</v>
      </c>
      <c r="C2196" s="1">
        <v>1.0</v>
      </c>
      <c r="D2196" s="1">
        <v>4.0</v>
      </c>
      <c r="E2196" s="1">
        <v>0.0</v>
      </c>
      <c r="F2196" s="1">
        <v>0.0</v>
      </c>
      <c r="G2196" s="2">
        <v>1.0</v>
      </c>
      <c r="H2196" s="1" t="s">
        <v>315</v>
      </c>
      <c r="I2196" s="1">
        <v>4.0</v>
      </c>
      <c r="J2196" s="1">
        <v>0.0</v>
      </c>
    </row>
    <row r="2197">
      <c r="A2197" s="1">
        <v>3.0</v>
      </c>
      <c r="B2197" s="1">
        <v>12.0</v>
      </c>
      <c r="C2197" s="1">
        <v>0.0</v>
      </c>
      <c r="D2197" s="1">
        <v>0.0</v>
      </c>
      <c r="E2197" s="1">
        <v>0.0</v>
      </c>
      <c r="F2197" s="1">
        <v>0.0</v>
      </c>
      <c r="G2197" s="2">
        <v>0.0</v>
      </c>
      <c r="H2197" s="1" t="s">
        <v>316</v>
      </c>
      <c r="I2197" s="1">
        <v>0.0</v>
      </c>
      <c r="J2197" s="1">
        <v>0.0</v>
      </c>
    </row>
    <row r="2198">
      <c r="A2198" s="1">
        <v>1.0</v>
      </c>
      <c r="B2198" s="1">
        <v>4.0</v>
      </c>
      <c r="C2198" s="1">
        <v>0.0</v>
      </c>
      <c r="D2198" s="1">
        <v>0.0</v>
      </c>
      <c r="E2198" s="1">
        <v>0.0</v>
      </c>
      <c r="F2198" s="1">
        <v>0.0</v>
      </c>
      <c r="G2198" s="2">
        <v>0.0</v>
      </c>
      <c r="H2198" s="1" t="s">
        <v>316</v>
      </c>
      <c r="I2198" s="1">
        <v>0.0</v>
      </c>
      <c r="J2198" s="1">
        <v>0.0</v>
      </c>
    </row>
    <row r="2199">
      <c r="A2199" s="1">
        <v>1.0</v>
      </c>
      <c r="B2199" s="1">
        <v>4.0</v>
      </c>
      <c r="C2199" s="1">
        <v>0.0</v>
      </c>
      <c r="D2199" s="1">
        <v>0.0</v>
      </c>
      <c r="E2199" s="1">
        <v>0.0</v>
      </c>
      <c r="F2199" s="1">
        <v>0.0</v>
      </c>
      <c r="G2199" s="2">
        <v>0.0</v>
      </c>
      <c r="H2199" s="1" t="s">
        <v>318</v>
      </c>
      <c r="I2199" s="1">
        <v>0.0</v>
      </c>
      <c r="J2199" s="1">
        <v>0.0</v>
      </c>
    </row>
    <row r="2200">
      <c r="A2200" s="1">
        <v>4.0</v>
      </c>
      <c r="B2200" s="1">
        <v>16.0</v>
      </c>
      <c r="C2200" s="1">
        <v>9.0</v>
      </c>
      <c r="D2200" s="1">
        <v>2.0</v>
      </c>
      <c r="E2200" s="1">
        <v>0.5</v>
      </c>
      <c r="F2200" s="1">
        <v>0.0</v>
      </c>
      <c r="G2200" s="6">
        <v>0.444</v>
      </c>
      <c r="H2200" s="1" t="s">
        <v>254</v>
      </c>
      <c r="I2200" s="1">
        <v>8.0</v>
      </c>
      <c r="J2200" s="1">
        <v>2.0</v>
      </c>
    </row>
    <row r="2201">
      <c r="A2201" s="1">
        <v>1.0</v>
      </c>
      <c r="B2201" s="1">
        <v>4.0</v>
      </c>
      <c r="C2201" s="1">
        <v>3.0</v>
      </c>
      <c r="D2201" s="1">
        <v>4.0</v>
      </c>
      <c r="E2201" s="1">
        <v>1.0</v>
      </c>
      <c r="F2201" s="1">
        <v>0.0</v>
      </c>
      <c r="G2201" s="6">
        <v>0.667</v>
      </c>
      <c r="H2201" s="1" t="s">
        <v>254</v>
      </c>
      <c r="I2201" s="1">
        <v>4.0</v>
      </c>
      <c r="J2201" s="1">
        <v>1.0</v>
      </c>
    </row>
    <row r="2202">
      <c r="A2202" s="1">
        <v>1.0</v>
      </c>
      <c r="B2202" s="1">
        <v>4.0</v>
      </c>
      <c r="C2202" s="1">
        <v>0.0</v>
      </c>
      <c r="D2202" s="1">
        <v>0.0</v>
      </c>
      <c r="E2202" s="1">
        <v>0.0</v>
      </c>
      <c r="F2202" s="1">
        <v>0.0</v>
      </c>
      <c r="G2202" s="2">
        <v>0.0</v>
      </c>
      <c r="H2202" s="1" t="s">
        <v>317</v>
      </c>
      <c r="I2202" s="1">
        <v>0.0</v>
      </c>
      <c r="J2202" s="1">
        <v>0.0</v>
      </c>
    </row>
    <row r="2203">
      <c r="A2203" s="1">
        <v>2.0</v>
      </c>
      <c r="B2203" s="1">
        <v>7.0</v>
      </c>
      <c r="C2203" s="1">
        <v>6.0</v>
      </c>
      <c r="D2203" s="1">
        <v>6.0</v>
      </c>
      <c r="E2203" s="1">
        <v>0.0</v>
      </c>
      <c r="F2203" s="1">
        <v>0.0</v>
      </c>
      <c r="G2203" s="2">
        <v>0.5</v>
      </c>
      <c r="H2203" s="1" t="s">
        <v>317</v>
      </c>
      <c r="I2203" s="1">
        <v>12.0</v>
      </c>
      <c r="J2203" s="1">
        <v>0.0</v>
      </c>
    </row>
    <row r="2204">
      <c r="A2204" s="1">
        <v>2.0</v>
      </c>
      <c r="B2204" s="1">
        <v>9.0</v>
      </c>
      <c r="C2204" s="1">
        <v>0.0</v>
      </c>
      <c r="D2204" s="1">
        <v>0.0</v>
      </c>
      <c r="E2204" s="1">
        <v>0.0</v>
      </c>
      <c r="F2204" s="1">
        <v>0.0</v>
      </c>
      <c r="G2204" s="2">
        <v>0.0</v>
      </c>
      <c r="H2204" s="1" t="s">
        <v>133</v>
      </c>
      <c r="I2204" s="1">
        <v>0.0</v>
      </c>
      <c r="J2204" s="1">
        <v>0.0</v>
      </c>
    </row>
    <row r="2205">
      <c r="A2205" s="1">
        <v>1.0</v>
      </c>
      <c r="B2205" s="1">
        <v>3.0</v>
      </c>
      <c r="C2205" s="1">
        <v>0.0</v>
      </c>
      <c r="D2205" s="1">
        <v>0.0</v>
      </c>
      <c r="E2205" s="1">
        <v>0.0</v>
      </c>
      <c r="F2205" s="1">
        <v>0.0</v>
      </c>
      <c r="G2205" s="2">
        <v>0.0</v>
      </c>
      <c r="H2205" s="1" t="s">
        <v>133</v>
      </c>
      <c r="I2205" s="1">
        <v>0.0</v>
      </c>
      <c r="J2205" s="1">
        <v>0.0</v>
      </c>
    </row>
    <row r="2206">
      <c r="A2206" s="1">
        <v>1.0</v>
      </c>
      <c r="B2206" s="1">
        <v>4.0</v>
      </c>
      <c r="C2206" s="1">
        <v>0.0</v>
      </c>
      <c r="D2206" s="1">
        <v>0.0</v>
      </c>
      <c r="E2206" s="1">
        <v>0.0</v>
      </c>
      <c r="F2206" s="1">
        <v>0.0</v>
      </c>
      <c r="G2206" s="2">
        <v>0.0</v>
      </c>
      <c r="H2206" s="1" t="s">
        <v>319</v>
      </c>
      <c r="I2206" s="1">
        <v>0.0</v>
      </c>
      <c r="J2206" s="1">
        <v>0.0</v>
      </c>
    </row>
    <row r="2207">
      <c r="A2207" s="1">
        <v>5.0</v>
      </c>
      <c r="B2207" s="1">
        <v>20.0</v>
      </c>
      <c r="C2207" s="1">
        <v>4.0</v>
      </c>
      <c r="D2207" s="1">
        <v>1.6</v>
      </c>
      <c r="E2207" s="1">
        <v>0.0</v>
      </c>
      <c r="F2207" s="1">
        <v>0.0</v>
      </c>
      <c r="G2207" s="2">
        <v>0.5</v>
      </c>
      <c r="H2207" s="1" t="s">
        <v>129</v>
      </c>
      <c r="I2207" s="1">
        <v>8.0</v>
      </c>
      <c r="J2207" s="1">
        <v>0.0</v>
      </c>
    </row>
    <row r="2208">
      <c r="A2208" s="1">
        <v>2.0</v>
      </c>
      <c r="B2208" s="1">
        <v>8.0</v>
      </c>
      <c r="C2208" s="1">
        <v>2.0</v>
      </c>
      <c r="D2208" s="1">
        <v>0.0</v>
      </c>
      <c r="E2208" s="1">
        <v>0.0</v>
      </c>
      <c r="F2208" s="1">
        <v>0.0</v>
      </c>
      <c r="G2208" s="2">
        <v>0.0</v>
      </c>
      <c r="H2208" s="1" t="s">
        <v>320</v>
      </c>
      <c r="I2208" s="1">
        <v>0.0</v>
      </c>
      <c r="J2208" s="1">
        <v>0.0</v>
      </c>
    </row>
    <row r="2209">
      <c r="A2209" s="1">
        <v>1.0</v>
      </c>
      <c r="B2209" s="1">
        <v>4.0</v>
      </c>
      <c r="C2209" s="1">
        <v>0.0</v>
      </c>
      <c r="D2209" s="1">
        <v>0.0</v>
      </c>
      <c r="E2209" s="1">
        <v>0.0</v>
      </c>
      <c r="F2209" s="1">
        <v>0.0</v>
      </c>
      <c r="G2209" s="2">
        <v>0.0</v>
      </c>
      <c r="H2209" s="1" t="s">
        <v>320</v>
      </c>
      <c r="I2209" s="1">
        <v>0.0</v>
      </c>
      <c r="J2209" s="1">
        <v>0.0</v>
      </c>
    </row>
    <row r="2210">
      <c r="A2210" s="1">
        <v>2.0</v>
      </c>
      <c r="B2210" s="1">
        <v>8.0</v>
      </c>
      <c r="C2210" s="1">
        <v>3.0</v>
      </c>
      <c r="D2210" s="1">
        <v>0.0</v>
      </c>
      <c r="E2210" s="1">
        <v>0.0</v>
      </c>
      <c r="F2210" s="1">
        <v>0.0</v>
      </c>
      <c r="G2210" s="2">
        <v>0.0</v>
      </c>
      <c r="H2210" s="1" t="s">
        <v>320</v>
      </c>
      <c r="I2210" s="1">
        <v>0.0</v>
      </c>
      <c r="J2210" s="1">
        <v>0.0</v>
      </c>
    </row>
    <row r="2211">
      <c r="A2211" s="1">
        <v>2.0</v>
      </c>
      <c r="B2211" s="1">
        <v>8.0</v>
      </c>
      <c r="C2211" s="1">
        <v>0.0</v>
      </c>
      <c r="D2211" s="1">
        <v>0.0</v>
      </c>
      <c r="E2211" s="1">
        <v>0.0</v>
      </c>
      <c r="F2211" s="1">
        <v>0.0</v>
      </c>
      <c r="G2211" s="2">
        <v>0.0</v>
      </c>
      <c r="H2211" s="1" t="s">
        <v>287</v>
      </c>
      <c r="I2211" s="1">
        <v>0.0</v>
      </c>
      <c r="J2211" s="1">
        <v>0.0</v>
      </c>
    </row>
    <row r="2212">
      <c r="A2212" s="1">
        <v>1.0</v>
      </c>
      <c r="B2212" s="1">
        <v>4.0</v>
      </c>
      <c r="C2212" s="1">
        <v>0.0</v>
      </c>
      <c r="D2212" s="1">
        <v>0.0</v>
      </c>
      <c r="E2212" s="1">
        <v>0.0</v>
      </c>
      <c r="F2212" s="1">
        <v>0.0</v>
      </c>
      <c r="G2212" s="2">
        <v>0.0</v>
      </c>
      <c r="H2212" s="1" t="s">
        <v>287</v>
      </c>
      <c r="I2212" s="1">
        <v>0.0</v>
      </c>
      <c r="J2212" s="1">
        <v>0.0</v>
      </c>
    </row>
    <row r="2213">
      <c r="A2213" s="1">
        <v>2.0</v>
      </c>
      <c r="B2213" s="1">
        <v>8.0</v>
      </c>
      <c r="C2213" s="1">
        <v>0.0</v>
      </c>
      <c r="D2213" s="1">
        <v>0.0</v>
      </c>
      <c r="E2213" s="1">
        <v>0.0</v>
      </c>
      <c r="F2213" s="1">
        <v>0.0</v>
      </c>
      <c r="G2213" s="2">
        <v>0.0</v>
      </c>
      <c r="H2213" s="1" t="s">
        <v>287</v>
      </c>
      <c r="I2213" s="1">
        <v>0.0</v>
      </c>
      <c r="J2213" s="1">
        <v>0.0</v>
      </c>
    </row>
    <row r="2214">
      <c r="A2214" s="1">
        <v>2.0</v>
      </c>
      <c r="B2214" s="1">
        <v>8.0</v>
      </c>
      <c r="C2214" s="1">
        <v>0.0</v>
      </c>
      <c r="D2214" s="1">
        <v>0.0</v>
      </c>
      <c r="E2214" s="1">
        <v>0.0</v>
      </c>
      <c r="F2214" s="1">
        <v>0.0</v>
      </c>
      <c r="G2214" s="2">
        <v>0.0</v>
      </c>
      <c r="H2214" s="1" t="s">
        <v>289</v>
      </c>
      <c r="I2214" s="1">
        <v>0.0</v>
      </c>
      <c r="J2214" s="1">
        <v>0.0</v>
      </c>
    </row>
    <row r="2215">
      <c r="A2215" s="1">
        <v>1.0</v>
      </c>
      <c r="B2215" s="1">
        <v>4.0</v>
      </c>
      <c r="C2215" s="1">
        <v>0.0</v>
      </c>
      <c r="D2215" s="1">
        <v>0.0</v>
      </c>
      <c r="E2215" s="1">
        <v>0.0</v>
      </c>
      <c r="F2215" s="1">
        <v>0.0</v>
      </c>
      <c r="G2215" s="2">
        <v>0.0</v>
      </c>
      <c r="H2215" s="1" t="s">
        <v>289</v>
      </c>
      <c r="I2215" s="1">
        <v>0.0</v>
      </c>
      <c r="J2215" s="1">
        <v>0.0</v>
      </c>
    </row>
    <row r="2216">
      <c r="A2216" s="1">
        <v>2.0</v>
      </c>
      <c r="B2216" s="1">
        <v>8.0</v>
      </c>
      <c r="C2216" s="1">
        <v>0.0</v>
      </c>
      <c r="D2216" s="1">
        <v>0.0</v>
      </c>
      <c r="E2216" s="1">
        <v>0.0</v>
      </c>
      <c r="F2216" s="1">
        <v>0.0</v>
      </c>
      <c r="G2216" s="2">
        <v>0.0</v>
      </c>
      <c r="H2216" s="1" t="s">
        <v>289</v>
      </c>
      <c r="I2216" s="1">
        <v>0.0</v>
      </c>
      <c r="J2216" s="1">
        <v>0.0</v>
      </c>
    </row>
    <row r="2217">
      <c r="A2217" s="1">
        <v>2.0</v>
      </c>
      <c r="B2217" s="1">
        <v>8.0</v>
      </c>
      <c r="C2217" s="1">
        <v>0.0</v>
      </c>
      <c r="D2217" s="1">
        <v>0.0</v>
      </c>
      <c r="E2217" s="1">
        <v>0.0</v>
      </c>
      <c r="F2217" s="1">
        <v>0.0</v>
      </c>
      <c r="G2217" s="2">
        <v>0.0</v>
      </c>
      <c r="H2217" s="1" t="s">
        <v>321</v>
      </c>
      <c r="I2217" s="1">
        <v>0.0</v>
      </c>
      <c r="J2217" s="1">
        <v>0.0</v>
      </c>
    </row>
    <row r="2218">
      <c r="A2218" s="1">
        <v>1.0</v>
      </c>
      <c r="B2218" s="1">
        <v>4.0</v>
      </c>
      <c r="C2218" s="1">
        <v>0.0</v>
      </c>
      <c r="D2218" s="1">
        <v>0.0</v>
      </c>
      <c r="E2218" s="1">
        <v>0.0</v>
      </c>
      <c r="F2218" s="1">
        <v>0.0</v>
      </c>
      <c r="G2218" s="2">
        <v>0.0</v>
      </c>
      <c r="H2218" s="1" t="s">
        <v>321</v>
      </c>
      <c r="I2218" s="1">
        <v>0.0</v>
      </c>
      <c r="J2218" s="1">
        <v>0.0</v>
      </c>
    </row>
    <row r="2219">
      <c r="A2219" s="1">
        <v>1.0</v>
      </c>
      <c r="B2219" s="1">
        <v>4.0</v>
      </c>
      <c r="C2219" s="1">
        <v>0.0</v>
      </c>
      <c r="D2219" s="1">
        <v>0.0</v>
      </c>
      <c r="E2219" s="1">
        <v>0.0</v>
      </c>
      <c r="F2219" s="1">
        <v>0.0</v>
      </c>
      <c r="G2219" s="2">
        <v>0.0</v>
      </c>
      <c r="H2219" s="1" t="s">
        <v>321</v>
      </c>
      <c r="I2219" s="1">
        <v>0.0</v>
      </c>
      <c r="J2219" s="1">
        <v>0.0</v>
      </c>
    </row>
    <row r="2220">
      <c r="A2220" s="1">
        <v>2.0</v>
      </c>
      <c r="B2220" s="1">
        <v>8.0</v>
      </c>
      <c r="C2220" s="1">
        <v>2.0</v>
      </c>
      <c r="D2220" s="1">
        <v>0.0</v>
      </c>
      <c r="E2220" s="1">
        <v>0.0</v>
      </c>
      <c r="F2220" s="1">
        <v>0.0</v>
      </c>
      <c r="G2220" s="2">
        <v>0.0</v>
      </c>
      <c r="H2220" s="1" t="s">
        <v>323</v>
      </c>
      <c r="I2220" s="1">
        <v>0.0</v>
      </c>
      <c r="J2220" s="1">
        <v>0.0</v>
      </c>
    </row>
    <row r="2221">
      <c r="A2221" s="1">
        <v>1.0</v>
      </c>
      <c r="B2221" s="1">
        <v>4.0</v>
      </c>
      <c r="C2221" s="1">
        <v>1.0</v>
      </c>
      <c r="D2221" s="1">
        <v>0.0</v>
      </c>
      <c r="E2221" s="1">
        <v>0.0</v>
      </c>
      <c r="F2221" s="1">
        <v>0.0</v>
      </c>
      <c r="G2221" s="2">
        <v>0.0</v>
      </c>
      <c r="H2221" s="1" t="s">
        <v>323</v>
      </c>
      <c r="I2221" s="1">
        <v>0.0</v>
      </c>
      <c r="J2221" s="1">
        <v>0.0</v>
      </c>
    </row>
    <row r="2222">
      <c r="A2222" s="1">
        <v>2.0</v>
      </c>
      <c r="B2222" s="1">
        <v>8.0</v>
      </c>
      <c r="C2222" s="1">
        <v>5.0</v>
      </c>
      <c r="D2222" s="1">
        <v>2.0</v>
      </c>
      <c r="E2222" s="1">
        <v>0.0</v>
      </c>
      <c r="F2222" s="1">
        <v>0.0</v>
      </c>
      <c r="G2222" s="2">
        <v>0.2</v>
      </c>
      <c r="H2222" s="1" t="s">
        <v>323</v>
      </c>
      <c r="I2222" s="1">
        <v>4.0</v>
      </c>
      <c r="J2222" s="1">
        <v>0.0</v>
      </c>
    </row>
    <row r="2223">
      <c r="A2223" s="1">
        <v>1.0</v>
      </c>
      <c r="B2223" s="1">
        <v>4.0</v>
      </c>
      <c r="C2223" s="1">
        <v>1.0</v>
      </c>
      <c r="D2223" s="1">
        <v>4.0</v>
      </c>
      <c r="E2223" s="1">
        <v>0.0</v>
      </c>
      <c r="F2223" s="1">
        <v>0.0</v>
      </c>
      <c r="G2223" s="2">
        <v>1.0</v>
      </c>
      <c r="H2223" s="1" t="s">
        <v>278</v>
      </c>
      <c r="I2223" s="1">
        <v>4.0</v>
      </c>
      <c r="J2223" s="1">
        <v>0.0</v>
      </c>
    </row>
    <row r="2224">
      <c r="A2224" s="1">
        <v>3.0</v>
      </c>
      <c r="B2224" s="1">
        <v>12.0</v>
      </c>
      <c r="C2224" s="1">
        <v>5.0</v>
      </c>
      <c r="D2224" s="1">
        <v>2.67</v>
      </c>
      <c r="E2224" s="1">
        <v>0.33</v>
      </c>
      <c r="F2224" s="1">
        <v>0.0</v>
      </c>
      <c r="G2224" s="2">
        <v>0.6</v>
      </c>
      <c r="H2224" s="1" t="s">
        <v>278</v>
      </c>
      <c r="I2224" s="1">
        <v>8.0</v>
      </c>
      <c r="J2224" s="1">
        <v>1.0</v>
      </c>
    </row>
    <row r="2225">
      <c r="A2225" s="1">
        <v>1.0</v>
      </c>
      <c r="B2225" s="1">
        <v>4.0</v>
      </c>
      <c r="C2225" s="1">
        <v>0.0</v>
      </c>
      <c r="D2225" s="1">
        <v>0.0</v>
      </c>
      <c r="E2225" s="1">
        <v>0.0</v>
      </c>
      <c r="F2225" s="1">
        <v>0.0</v>
      </c>
      <c r="G2225" s="2">
        <v>0.0</v>
      </c>
      <c r="H2225" s="1" t="s">
        <v>325</v>
      </c>
      <c r="I2225" s="1">
        <v>0.0</v>
      </c>
      <c r="J2225" s="1">
        <v>0.0</v>
      </c>
    </row>
    <row r="2226">
      <c r="A2226" s="1">
        <v>4.0</v>
      </c>
      <c r="B2226" s="1">
        <v>16.0</v>
      </c>
      <c r="C2226" s="1">
        <v>1.0</v>
      </c>
      <c r="D2226" s="1">
        <v>0.0</v>
      </c>
      <c r="E2226" s="1">
        <v>0.0</v>
      </c>
      <c r="F2226" s="1">
        <v>0.0</v>
      </c>
      <c r="G2226" s="2">
        <v>0.0</v>
      </c>
      <c r="H2226" s="1" t="s">
        <v>325</v>
      </c>
      <c r="I2226" s="1">
        <v>0.0</v>
      </c>
      <c r="J2226" s="1">
        <v>0.0</v>
      </c>
    </row>
    <row r="2227">
      <c r="A2227" s="1">
        <v>1.0</v>
      </c>
      <c r="B2227" s="1">
        <v>4.0</v>
      </c>
      <c r="C2227" s="1">
        <v>1.0</v>
      </c>
      <c r="D2227" s="1">
        <v>-4.0</v>
      </c>
      <c r="E2227" s="1">
        <v>1.0</v>
      </c>
      <c r="F2227" s="1">
        <v>0.0</v>
      </c>
      <c r="G2227" s="2">
        <v>0.0</v>
      </c>
      <c r="H2227" s="1" t="s">
        <v>326</v>
      </c>
      <c r="I2227" s="1">
        <v>-4.0</v>
      </c>
      <c r="J2227" s="1">
        <v>1.0</v>
      </c>
    </row>
    <row r="2228">
      <c r="A2228" s="1">
        <v>2.0</v>
      </c>
      <c r="B2228" s="1">
        <v>8.0</v>
      </c>
      <c r="C2228" s="1">
        <v>0.0</v>
      </c>
      <c r="D2228" s="1">
        <v>0.0</v>
      </c>
      <c r="E2228" s="1">
        <v>0.0</v>
      </c>
      <c r="F2228" s="1">
        <v>0.0</v>
      </c>
      <c r="G2228" s="2">
        <v>0.0</v>
      </c>
      <c r="H2228" s="1" t="s">
        <v>326</v>
      </c>
      <c r="I2228" s="1">
        <v>0.0</v>
      </c>
      <c r="J2228" s="1">
        <v>0.0</v>
      </c>
    </row>
    <row r="2229">
      <c r="A2229" s="1">
        <v>1.0</v>
      </c>
      <c r="B2229" s="1">
        <v>4.0</v>
      </c>
      <c r="C2229" s="1">
        <v>0.0</v>
      </c>
      <c r="D2229" s="1">
        <v>0.0</v>
      </c>
      <c r="E2229" s="1">
        <v>0.0</v>
      </c>
      <c r="F2229" s="1">
        <v>0.0</v>
      </c>
      <c r="G2229" s="2">
        <v>0.0</v>
      </c>
      <c r="H2229" s="1" t="s">
        <v>311</v>
      </c>
      <c r="I2229" s="1">
        <v>0.0</v>
      </c>
      <c r="J2229" s="1">
        <v>0.0</v>
      </c>
    </row>
    <row r="2230">
      <c r="A2230" s="1">
        <v>4.0</v>
      </c>
      <c r="B2230" s="1">
        <v>16.0</v>
      </c>
      <c r="C2230" s="1">
        <v>1.0</v>
      </c>
      <c r="D2230" s="1">
        <v>0.0</v>
      </c>
      <c r="E2230" s="1">
        <v>0.0</v>
      </c>
      <c r="F2230" s="1">
        <v>0.0</v>
      </c>
      <c r="G2230" s="2">
        <v>0.0</v>
      </c>
      <c r="H2230" s="1" t="s">
        <v>311</v>
      </c>
      <c r="I2230" s="1">
        <v>0.0</v>
      </c>
      <c r="J2230" s="1">
        <v>0.0</v>
      </c>
    </row>
    <row r="2231">
      <c r="A2231" s="1">
        <v>1.0</v>
      </c>
      <c r="B2231" s="1">
        <v>4.0</v>
      </c>
      <c r="C2231" s="1">
        <v>0.0</v>
      </c>
      <c r="D2231" s="1">
        <v>0.0</v>
      </c>
      <c r="E2231" s="1">
        <v>0.0</v>
      </c>
      <c r="F2231" s="1">
        <v>0.0</v>
      </c>
      <c r="G2231" s="2">
        <v>0.0</v>
      </c>
      <c r="H2231" s="1" t="s">
        <v>322</v>
      </c>
      <c r="I2231" s="1">
        <v>0.0</v>
      </c>
      <c r="J2231" s="1">
        <v>0.0</v>
      </c>
    </row>
    <row r="2232">
      <c r="A2232" s="1">
        <v>3.0</v>
      </c>
      <c r="B2232" s="1">
        <v>12.0</v>
      </c>
      <c r="C2232" s="1">
        <v>1.0</v>
      </c>
      <c r="D2232" s="1">
        <v>1.33</v>
      </c>
      <c r="E2232" s="1">
        <v>0.0</v>
      </c>
      <c r="F2232" s="1">
        <v>0.0</v>
      </c>
      <c r="G2232" s="2">
        <v>1.0</v>
      </c>
      <c r="H2232" s="1" t="s">
        <v>322</v>
      </c>
      <c r="I2232" s="1">
        <v>4.0</v>
      </c>
      <c r="J2232" s="1">
        <v>0.0</v>
      </c>
    </row>
    <row r="2233">
      <c r="A2233" s="1">
        <v>3.0</v>
      </c>
      <c r="B2233" s="1">
        <v>12.0</v>
      </c>
      <c r="C2233" s="1">
        <v>0.0</v>
      </c>
      <c r="D2233" s="1">
        <v>0.0</v>
      </c>
      <c r="E2233" s="1">
        <v>0.0</v>
      </c>
      <c r="F2233" s="1">
        <v>0.0</v>
      </c>
      <c r="G2233" s="2">
        <v>0.0</v>
      </c>
      <c r="H2233" s="1" t="s">
        <v>328</v>
      </c>
      <c r="I2233" s="1">
        <v>0.0</v>
      </c>
      <c r="J2233" s="1">
        <v>0.0</v>
      </c>
    </row>
    <row r="2234">
      <c r="A2234" s="1">
        <v>3.0</v>
      </c>
      <c r="B2234" s="1">
        <v>12.0</v>
      </c>
      <c r="C2234" s="1">
        <v>0.0</v>
      </c>
      <c r="D2234" s="1">
        <v>0.0</v>
      </c>
      <c r="E2234" s="1">
        <v>0.0</v>
      </c>
      <c r="F2234" s="1">
        <v>0.0</v>
      </c>
      <c r="G2234" s="2">
        <v>0.0</v>
      </c>
      <c r="H2234" s="1" t="s">
        <v>329</v>
      </c>
      <c r="I2234" s="1">
        <v>0.0</v>
      </c>
      <c r="J2234" s="1">
        <v>0.0</v>
      </c>
    </row>
    <row r="2235">
      <c r="A2235" s="1">
        <v>1.0</v>
      </c>
      <c r="B2235" s="1">
        <v>3.0</v>
      </c>
      <c r="C2235" s="1">
        <v>0.0</v>
      </c>
      <c r="D2235" s="1">
        <v>0.0</v>
      </c>
      <c r="E2235" s="1">
        <v>0.0</v>
      </c>
      <c r="F2235" s="1">
        <v>0.0</v>
      </c>
      <c r="G2235" s="2">
        <v>0.0</v>
      </c>
      <c r="H2235" s="1" t="s">
        <v>329</v>
      </c>
      <c r="I2235" s="1">
        <v>0.0</v>
      </c>
      <c r="J2235" s="1">
        <v>0.0</v>
      </c>
    </row>
    <row r="2236">
      <c r="A2236" s="1">
        <v>2.0</v>
      </c>
      <c r="B2236" s="1">
        <v>7.0</v>
      </c>
      <c r="C2236" s="1">
        <v>1.0</v>
      </c>
      <c r="D2236" s="1">
        <v>0.0</v>
      </c>
      <c r="E2236" s="1">
        <v>0.0</v>
      </c>
      <c r="F2236" s="1">
        <v>0.0</v>
      </c>
      <c r="G2236" s="2">
        <v>0.0</v>
      </c>
      <c r="H2236" s="1" t="s">
        <v>330</v>
      </c>
      <c r="I2236" s="1">
        <v>0.0</v>
      </c>
      <c r="J2236" s="1">
        <v>0.0</v>
      </c>
    </row>
    <row r="2237">
      <c r="A2237" s="1">
        <v>3.0</v>
      </c>
      <c r="B2237" s="1">
        <v>12.0</v>
      </c>
      <c r="C2237" s="1">
        <v>0.0</v>
      </c>
      <c r="D2237" s="1">
        <v>0.0</v>
      </c>
      <c r="E2237" s="1">
        <v>0.0</v>
      </c>
      <c r="F2237" s="1">
        <v>0.0</v>
      </c>
      <c r="G2237" s="2">
        <v>0.0</v>
      </c>
      <c r="H2237" s="1" t="s">
        <v>330</v>
      </c>
      <c r="I2237" s="1">
        <v>0.0</v>
      </c>
      <c r="J2237" s="1">
        <v>0.0</v>
      </c>
    </row>
    <row r="2238">
      <c r="A2238" s="1">
        <v>2.0</v>
      </c>
      <c r="B2238" s="1">
        <v>7.0</v>
      </c>
      <c r="C2238" s="1">
        <v>4.0</v>
      </c>
      <c r="D2238" s="1">
        <v>0.0</v>
      </c>
      <c r="E2238" s="1">
        <v>0.0</v>
      </c>
      <c r="F2238" s="1">
        <v>0.0</v>
      </c>
      <c r="G2238" s="2">
        <v>0.0</v>
      </c>
      <c r="H2238" s="1" t="s">
        <v>331</v>
      </c>
      <c r="I2238" s="1">
        <v>0.0</v>
      </c>
      <c r="J2238" s="1">
        <v>0.0</v>
      </c>
    </row>
    <row r="2239">
      <c r="A2239" s="1">
        <v>2.0</v>
      </c>
      <c r="B2239" s="1">
        <v>8.0</v>
      </c>
      <c r="C2239" s="1">
        <v>4.0</v>
      </c>
      <c r="D2239" s="1">
        <v>-2.0</v>
      </c>
      <c r="E2239" s="1">
        <v>0.5</v>
      </c>
      <c r="F2239" s="1">
        <v>0.0</v>
      </c>
      <c r="G2239" s="2">
        <v>0.0</v>
      </c>
      <c r="H2239" s="1" t="s">
        <v>331</v>
      </c>
      <c r="I2239" s="1">
        <v>-4.0</v>
      </c>
      <c r="J2239" s="1">
        <v>1.0</v>
      </c>
    </row>
    <row r="2240">
      <c r="A2240" s="1">
        <v>1.0</v>
      </c>
      <c r="B2240" s="1">
        <v>4.0</v>
      </c>
      <c r="C2240" s="1">
        <v>1.0</v>
      </c>
      <c r="D2240" s="1">
        <v>4.0</v>
      </c>
      <c r="E2240" s="1">
        <v>0.0</v>
      </c>
      <c r="F2240" s="1">
        <v>0.0</v>
      </c>
      <c r="G2240" s="2">
        <v>1.0</v>
      </c>
      <c r="H2240" s="1" t="s">
        <v>332</v>
      </c>
      <c r="I2240" s="1">
        <v>4.0</v>
      </c>
      <c r="J2240" s="1">
        <v>0.0</v>
      </c>
    </row>
    <row r="2241">
      <c r="A2241" s="1">
        <v>1.0</v>
      </c>
      <c r="B2241" s="1">
        <v>3.0</v>
      </c>
      <c r="C2241" s="1">
        <v>0.0</v>
      </c>
      <c r="D2241" s="1">
        <v>0.0</v>
      </c>
      <c r="E2241" s="1">
        <v>0.0</v>
      </c>
      <c r="F2241" s="1">
        <v>0.0</v>
      </c>
      <c r="G2241" s="2">
        <v>0.0</v>
      </c>
      <c r="H2241" s="1" t="s">
        <v>332</v>
      </c>
      <c r="I2241" s="1">
        <v>0.0</v>
      </c>
      <c r="J2241" s="1">
        <v>0.0</v>
      </c>
    </row>
    <row r="2242">
      <c r="A2242" s="1">
        <v>1.0</v>
      </c>
      <c r="B2242" s="1">
        <v>3.0</v>
      </c>
      <c r="C2242" s="1">
        <v>2.0</v>
      </c>
      <c r="D2242" s="1">
        <v>8.0</v>
      </c>
      <c r="E2242" s="1">
        <v>0.0</v>
      </c>
      <c r="F2242" s="1">
        <v>0.0</v>
      </c>
      <c r="G2242" s="2">
        <v>1.0</v>
      </c>
      <c r="H2242" s="1" t="s">
        <v>333</v>
      </c>
      <c r="I2242" s="1">
        <v>8.0</v>
      </c>
      <c r="J2242" s="1">
        <v>0.0</v>
      </c>
    </row>
    <row r="2243">
      <c r="A2243" s="1">
        <v>3.0</v>
      </c>
      <c r="B2243" s="1">
        <v>12.0</v>
      </c>
      <c r="C2243" s="1">
        <v>7.0</v>
      </c>
      <c r="D2243" s="1">
        <v>0.0</v>
      </c>
      <c r="E2243" s="1">
        <v>0.33</v>
      </c>
      <c r="F2243" s="1">
        <v>0.0</v>
      </c>
      <c r="G2243" s="6">
        <v>0.143</v>
      </c>
      <c r="H2243" s="1" t="s">
        <v>333</v>
      </c>
      <c r="I2243" s="1">
        <v>0.0</v>
      </c>
      <c r="J2243" s="1">
        <v>1.0</v>
      </c>
    </row>
    <row r="2244">
      <c r="A2244" s="1">
        <v>3.0</v>
      </c>
      <c r="B2244" s="1">
        <v>12.0</v>
      </c>
      <c r="C2244" s="1">
        <v>4.0</v>
      </c>
      <c r="D2244" s="1">
        <v>2.67</v>
      </c>
      <c r="E2244" s="1">
        <v>0.0</v>
      </c>
      <c r="F2244" s="1">
        <v>0.0</v>
      </c>
      <c r="G2244" s="2">
        <v>0.5</v>
      </c>
      <c r="H2244" s="1" t="s">
        <v>324</v>
      </c>
      <c r="I2244" s="1">
        <v>8.0</v>
      </c>
      <c r="J2244" s="1">
        <v>0.0</v>
      </c>
    </row>
    <row r="2245">
      <c r="A2245" s="1">
        <v>1.0</v>
      </c>
      <c r="B2245" s="1">
        <v>3.0</v>
      </c>
      <c r="C2245" s="1">
        <v>0.0</v>
      </c>
      <c r="D2245" s="1">
        <v>0.0</v>
      </c>
      <c r="E2245" s="1">
        <v>0.0</v>
      </c>
      <c r="F2245" s="1">
        <v>0.0</v>
      </c>
      <c r="G2245" s="2">
        <v>0.0</v>
      </c>
      <c r="H2245" s="1" t="s">
        <v>324</v>
      </c>
      <c r="I2245" s="1">
        <v>0.0</v>
      </c>
      <c r="J2245" s="1">
        <v>0.0</v>
      </c>
    </row>
    <row r="2246">
      <c r="A2246" s="1">
        <v>4.0</v>
      </c>
      <c r="B2246" s="1">
        <v>16.0</v>
      </c>
      <c r="C2246" s="1">
        <v>0.0</v>
      </c>
      <c r="D2246" s="1">
        <v>0.0</v>
      </c>
      <c r="E2246" s="1">
        <v>0.0</v>
      </c>
      <c r="F2246" s="1">
        <v>0.0</v>
      </c>
      <c r="G2246" s="2">
        <v>0.0</v>
      </c>
      <c r="H2246" s="1" t="s">
        <v>186</v>
      </c>
      <c r="I2246" s="1">
        <v>0.0</v>
      </c>
      <c r="J2246" s="1">
        <v>0.0</v>
      </c>
    </row>
    <row r="2247">
      <c r="A2247" s="1">
        <v>1.0</v>
      </c>
      <c r="B2247" s="1">
        <v>3.0</v>
      </c>
      <c r="C2247" s="1">
        <v>0.0</v>
      </c>
      <c r="D2247" s="1">
        <v>0.0</v>
      </c>
      <c r="E2247" s="1">
        <v>0.0</v>
      </c>
      <c r="F2247" s="1">
        <v>0.0</v>
      </c>
      <c r="G2247" s="2">
        <v>0.0</v>
      </c>
      <c r="H2247" s="1" t="s">
        <v>186</v>
      </c>
      <c r="I2247" s="1">
        <v>0.0</v>
      </c>
      <c r="J2247" s="1">
        <v>0.0</v>
      </c>
    </row>
    <row r="2248">
      <c r="A2248" s="1">
        <v>4.0</v>
      </c>
      <c r="B2248" s="1">
        <v>16.0</v>
      </c>
      <c r="C2248" s="1">
        <v>1.0</v>
      </c>
      <c r="D2248" s="1">
        <v>0.0</v>
      </c>
      <c r="E2248" s="1">
        <v>0.0</v>
      </c>
      <c r="F2248" s="1">
        <v>0.0</v>
      </c>
      <c r="G2248" s="2">
        <v>0.0</v>
      </c>
      <c r="H2248" s="1" t="s">
        <v>157</v>
      </c>
      <c r="I2248" s="1">
        <v>0.0</v>
      </c>
      <c r="J2248" s="1">
        <v>0.0</v>
      </c>
    </row>
    <row r="2249">
      <c r="A2249" s="1">
        <v>1.0</v>
      </c>
      <c r="B2249" s="1">
        <v>3.0</v>
      </c>
      <c r="C2249" s="1">
        <v>0.0</v>
      </c>
      <c r="D2249" s="1">
        <v>0.0</v>
      </c>
      <c r="E2249" s="1">
        <v>0.0</v>
      </c>
      <c r="F2249" s="1">
        <v>0.0</v>
      </c>
      <c r="G2249" s="2">
        <v>0.0</v>
      </c>
      <c r="H2249" s="1" t="s">
        <v>157</v>
      </c>
      <c r="I2249" s="1">
        <v>0.0</v>
      </c>
      <c r="J2249" s="1">
        <v>0.0</v>
      </c>
    </row>
    <row r="2250">
      <c r="A2250" s="1">
        <v>5.0</v>
      </c>
      <c r="B2250" s="1">
        <v>20.0</v>
      </c>
      <c r="C2250" s="1">
        <v>16.0</v>
      </c>
      <c r="D2250" s="1">
        <v>9.6</v>
      </c>
      <c r="E2250" s="1">
        <v>0.2</v>
      </c>
      <c r="F2250" s="1">
        <v>0.0</v>
      </c>
      <c r="G2250" s="6">
        <v>0.813</v>
      </c>
      <c r="H2250" s="1" t="s">
        <v>155</v>
      </c>
      <c r="I2250" s="1">
        <v>48.0</v>
      </c>
      <c r="J2250" s="1">
        <v>1.0</v>
      </c>
    </row>
    <row r="2251">
      <c r="A2251" s="1">
        <v>5.0</v>
      </c>
      <c r="B2251" s="1">
        <v>20.0</v>
      </c>
      <c r="C2251" s="1">
        <v>0.0</v>
      </c>
      <c r="D2251" s="1">
        <v>0.0</v>
      </c>
      <c r="E2251" s="1">
        <v>0.0</v>
      </c>
      <c r="F2251" s="1">
        <v>0.0</v>
      </c>
      <c r="G2251" s="2">
        <v>0.0</v>
      </c>
      <c r="H2251" s="1" t="s">
        <v>212</v>
      </c>
      <c r="I2251" s="1">
        <v>0.0</v>
      </c>
      <c r="J2251" s="1">
        <v>0.0</v>
      </c>
    </row>
    <row r="2252">
      <c r="A2252" s="1">
        <v>1.0</v>
      </c>
      <c r="B2252" s="1">
        <v>4.0</v>
      </c>
      <c r="C2252" s="1">
        <v>0.0</v>
      </c>
      <c r="D2252" s="1">
        <v>0.0</v>
      </c>
      <c r="E2252" s="1">
        <v>0.0</v>
      </c>
      <c r="F2252" s="1">
        <v>0.0</v>
      </c>
      <c r="G2252" s="2">
        <v>0.0</v>
      </c>
      <c r="H2252" s="1" t="s">
        <v>334</v>
      </c>
      <c r="I2252" s="1">
        <v>0.0</v>
      </c>
      <c r="J2252" s="1">
        <v>0.0</v>
      </c>
    </row>
    <row r="2253">
      <c r="A2253" s="1">
        <v>5.0</v>
      </c>
      <c r="B2253" s="1">
        <v>20.0</v>
      </c>
      <c r="C2253" s="1">
        <v>0.0</v>
      </c>
      <c r="D2253" s="1">
        <v>0.0</v>
      </c>
      <c r="E2253" s="1">
        <v>0.0</v>
      </c>
      <c r="F2253" s="1">
        <v>0.0</v>
      </c>
      <c r="G2253" s="2">
        <v>0.0</v>
      </c>
      <c r="H2253" s="1" t="s">
        <v>215</v>
      </c>
      <c r="I2253" s="1">
        <v>0.0</v>
      </c>
      <c r="J2253" s="1">
        <v>0.0</v>
      </c>
    </row>
    <row r="2254">
      <c r="A2254" s="1">
        <v>2.0</v>
      </c>
      <c r="B2254" s="1">
        <v>8.0</v>
      </c>
      <c r="C2254" s="1">
        <v>0.0</v>
      </c>
      <c r="D2254" s="1">
        <v>0.0</v>
      </c>
      <c r="E2254" s="1">
        <v>0.0</v>
      </c>
      <c r="F2254" s="1">
        <v>0.0</v>
      </c>
      <c r="G2254" s="2">
        <v>0.0</v>
      </c>
      <c r="H2254" s="1" t="s">
        <v>168</v>
      </c>
      <c r="I2254" s="1">
        <v>0.0</v>
      </c>
      <c r="J2254" s="1">
        <v>0.0</v>
      </c>
    </row>
    <row r="2255">
      <c r="A2255" s="1">
        <v>3.0</v>
      </c>
      <c r="B2255" s="1">
        <v>12.0</v>
      </c>
      <c r="C2255" s="1">
        <v>0.0</v>
      </c>
      <c r="D2255" s="1">
        <v>0.0</v>
      </c>
      <c r="E2255" s="1">
        <v>0.0</v>
      </c>
      <c r="F2255" s="1">
        <v>0.0</v>
      </c>
      <c r="G2255" s="2">
        <v>0.0</v>
      </c>
      <c r="H2255" s="1" t="s">
        <v>168</v>
      </c>
      <c r="I2255" s="1">
        <v>0.0</v>
      </c>
      <c r="J2255" s="1">
        <v>0.0</v>
      </c>
    </row>
    <row r="2256">
      <c r="A2256" s="1">
        <v>1.0</v>
      </c>
      <c r="B2256" s="1">
        <v>4.0</v>
      </c>
      <c r="C2256" s="1">
        <v>2.0</v>
      </c>
      <c r="D2256" s="1">
        <v>8.0</v>
      </c>
      <c r="E2256" s="1">
        <v>0.0</v>
      </c>
      <c r="F2256" s="1">
        <v>0.0</v>
      </c>
      <c r="G2256" s="2">
        <v>1.0</v>
      </c>
      <c r="H2256" s="1" t="s">
        <v>113</v>
      </c>
      <c r="I2256" s="1">
        <v>8.0</v>
      </c>
      <c r="J2256" s="1">
        <v>0.0</v>
      </c>
    </row>
    <row r="2257">
      <c r="A2257" s="1">
        <v>1.0</v>
      </c>
      <c r="B2257" s="1">
        <v>4.0</v>
      </c>
      <c r="C2257" s="1">
        <v>2.0</v>
      </c>
      <c r="D2257" s="1">
        <v>8.0</v>
      </c>
      <c r="E2257" s="1">
        <v>0.0</v>
      </c>
      <c r="F2257" s="1">
        <v>0.0</v>
      </c>
      <c r="G2257" s="2">
        <v>1.0</v>
      </c>
      <c r="H2257" s="1" t="s">
        <v>113</v>
      </c>
      <c r="I2257" s="1">
        <v>8.0</v>
      </c>
      <c r="J2257" s="1">
        <v>0.0</v>
      </c>
    </row>
    <row r="2258">
      <c r="A2258" s="1">
        <v>3.0</v>
      </c>
      <c r="B2258" s="1">
        <v>12.0</v>
      </c>
      <c r="C2258" s="1">
        <v>4.0</v>
      </c>
      <c r="D2258" s="1">
        <v>4.0</v>
      </c>
      <c r="E2258" s="1">
        <v>0.0</v>
      </c>
      <c r="F2258" s="1">
        <v>0.0</v>
      </c>
      <c r="G2258" s="2">
        <v>0.75</v>
      </c>
      <c r="H2258" s="1" t="s">
        <v>113</v>
      </c>
      <c r="I2258" s="1">
        <v>12.0</v>
      </c>
      <c r="J2258" s="1">
        <v>0.0</v>
      </c>
    </row>
    <row r="2259">
      <c r="A2259" s="1">
        <v>1.0</v>
      </c>
      <c r="B2259" s="1">
        <v>4.0</v>
      </c>
      <c r="C2259" s="1">
        <v>0.0</v>
      </c>
      <c r="D2259" s="1">
        <v>0.0</v>
      </c>
      <c r="E2259" s="1">
        <v>0.0</v>
      </c>
      <c r="F2259" s="1">
        <v>0.0</v>
      </c>
      <c r="G2259" s="2">
        <v>0.0</v>
      </c>
      <c r="H2259" s="1" t="s">
        <v>335</v>
      </c>
      <c r="I2259" s="1">
        <v>0.0</v>
      </c>
      <c r="J2259" s="1">
        <v>0.0</v>
      </c>
    </row>
    <row r="2260">
      <c r="A2260" s="1">
        <v>2.0</v>
      </c>
      <c r="B2260" s="1">
        <v>8.0</v>
      </c>
      <c r="C2260" s="1">
        <v>0.0</v>
      </c>
      <c r="D2260" s="1">
        <v>0.0</v>
      </c>
      <c r="E2260" s="1">
        <v>0.0</v>
      </c>
      <c r="F2260" s="1">
        <v>0.0</v>
      </c>
      <c r="G2260" s="2">
        <v>0.0</v>
      </c>
      <c r="H2260" s="1" t="s">
        <v>335</v>
      </c>
      <c r="I2260" s="1">
        <v>0.0</v>
      </c>
      <c r="J2260" s="1">
        <v>0.0</v>
      </c>
    </row>
    <row r="2261">
      <c r="A2261" s="1">
        <v>1.0</v>
      </c>
      <c r="B2261" s="1">
        <v>4.0</v>
      </c>
      <c r="C2261" s="1">
        <v>0.0</v>
      </c>
      <c r="D2261" s="1">
        <v>0.0</v>
      </c>
      <c r="E2261" s="1">
        <v>0.0</v>
      </c>
      <c r="F2261" s="1">
        <v>0.0</v>
      </c>
      <c r="G2261" s="2">
        <v>0.0</v>
      </c>
      <c r="H2261" s="1" t="s">
        <v>336</v>
      </c>
      <c r="I2261" s="1">
        <v>0.0</v>
      </c>
      <c r="J2261" s="1">
        <v>0.0</v>
      </c>
    </row>
    <row r="2262">
      <c r="A2262" s="1">
        <v>1.0</v>
      </c>
      <c r="B2262" s="1">
        <v>4.0</v>
      </c>
      <c r="C2262" s="1">
        <v>0.0</v>
      </c>
      <c r="D2262" s="1">
        <v>0.0</v>
      </c>
      <c r="E2262" s="1">
        <v>0.0</v>
      </c>
      <c r="F2262" s="1">
        <v>0.0</v>
      </c>
      <c r="G2262" s="2">
        <v>0.0</v>
      </c>
      <c r="H2262" s="1" t="s">
        <v>336</v>
      </c>
      <c r="I2262" s="1">
        <v>0.0</v>
      </c>
      <c r="J2262" s="1">
        <v>0.0</v>
      </c>
    </row>
    <row r="2263">
      <c r="A2263" s="1">
        <v>2.0</v>
      </c>
      <c r="B2263" s="1">
        <v>8.0</v>
      </c>
      <c r="C2263" s="1">
        <v>3.0</v>
      </c>
      <c r="D2263" s="1">
        <v>6.0</v>
      </c>
      <c r="E2263" s="1">
        <v>0.0</v>
      </c>
      <c r="F2263" s="1">
        <v>0.0</v>
      </c>
      <c r="G2263" s="2">
        <v>1.0</v>
      </c>
      <c r="H2263" s="1" t="s">
        <v>337</v>
      </c>
      <c r="I2263" s="1">
        <v>12.0</v>
      </c>
      <c r="J2263" s="1">
        <v>0.0</v>
      </c>
    </row>
    <row r="2264">
      <c r="A2264" s="1">
        <v>3.0</v>
      </c>
      <c r="B2264" s="1">
        <v>12.0</v>
      </c>
      <c r="C2264" s="1">
        <v>6.0</v>
      </c>
      <c r="D2264" s="1">
        <v>-1.33</v>
      </c>
      <c r="E2264" s="1">
        <v>1.0</v>
      </c>
      <c r="F2264" s="1">
        <v>0.0</v>
      </c>
      <c r="G2264" s="6">
        <v>0.333</v>
      </c>
      <c r="H2264" s="1" t="s">
        <v>337</v>
      </c>
      <c r="I2264" s="1">
        <v>-4.0</v>
      </c>
      <c r="J2264" s="1">
        <v>3.0</v>
      </c>
    </row>
    <row r="2265">
      <c r="A2265" s="1">
        <v>4.0</v>
      </c>
      <c r="B2265" s="1">
        <v>16.0</v>
      </c>
      <c r="C2265" s="1">
        <v>10.0</v>
      </c>
      <c r="D2265" s="1">
        <v>3.0</v>
      </c>
      <c r="E2265" s="1">
        <v>0.25</v>
      </c>
      <c r="F2265" s="1">
        <v>0.0</v>
      </c>
      <c r="G2265" s="2">
        <v>0.4</v>
      </c>
      <c r="H2265" s="1" t="s">
        <v>299</v>
      </c>
      <c r="I2265" s="1">
        <v>12.0</v>
      </c>
      <c r="J2265" s="1">
        <v>1.0</v>
      </c>
    </row>
    <row r="2266">
      <c r="A2266" s="1">
        <v>1.0</v>
      </c>
      <c r="B2266" s="1">
        <v>4.0</v>
      </c>
      <c r="C2266" s="1">
        <v>1.0</v>
      </c>
      <c r="D2266" s="1">
        <v>4.0</v>
      </c>
      <c r="E2266" s="1">
        <v>0.0</v>
      </c>
      <c r="F2266" s="1">
        <v>0.0</v>
      </c>
      <c r="G2266" s="2">
        <v>1.0</v>
      </c>
      <c r="H2266" s="1" t="s">
        <v>256</v>
      </c>
      <c r="I2266" s="1">
        <v>4.0</v>
      </c>
      <c r="J2266" s="1">
        <v>0.0</v>
      </c>
    </row>
    <row r="2267">
      <c r="A2267" s="1">
        <v>1.0</v>
      </c>
      <c r="B2267" s="1">
        <v>4.0</v>
      </c>
      <c r="C2267" s="1">
        <v>0.0</v>
      </c>
      <c r="D2267" s="1">
        <v>0.0</v>
      </c>
      <c r="E2267" s="1">
        <v>0.0</v>
      </c>
      <c r="F2267" s="1">
        <v>0.0</v>
      </c>
      <c r="G2267" s="2">
        <v>0.0</v>
      </c>
      <c r="H2267" s="1" t="s">
        <v>216</v>
      </c>
      <c r="I2267" s="1">
        <v>0.0</v>
      </c>
      <c r="J2267" s="1">
        <v>0.0</v>
      </c>
    </row>
    <row r="2268">
      <c r="A2268" s="1">
        <v>1.0</v>
      </c>
      <c r="B2268" s="1">
        <v>4.0</v>
      </c>
      <c r="C2268" s="1">
        <v>0.0</v>
      </c>
      <c r="D2268" s="1">
        <v>0.0</v>
      </c>
      <c r="E2268" s="1">
        <v>0.0</v>
      </c>
      <c r="F2268" s="1">
        <v>0.0</v>
      </c>
      <c r="G2268" s="2">
        <v>0.0</v>
      </c>
      <c r="H2268" s="1" t="s">
        <v>216</v>
      </c>
      <c r="I2268" s="1">
        <v>0.0</v>
      </c>
      <c r="J2268" s="1">
        <v>0.0</v>
      </c>
    </row>
    <row r="2269">
      <c r="A2269" s="1">
        <v>3.0</v>
      </c>
      <c r="B2269" s="1">
        <v>12.0</v>
      </c>
      <c r="C2269" s="1">
        <v>0.0</v>
      </c>
      <c r="D2269" s="1">
        <v>0.0</v>
      </c>
      <c r="E2269" s="1">
        <v>0.0</v>
      </c>
      <c r="F2269" s="1">
        <v>0.0</v>
      </c>
      <c r="G2269" s="2">
        <v>0.0</v>
      </c>
      <c r="H2269" s="1" t="s">
        <v>216</v>
      </c>
      <c r="I2269" s="1">
        <v>0.0</v>
      </c>
      <c r="J2269" s="1">
        <v>0.0</v>
      </c>
    </row>
    <row r="2270">
      <c r="A2270" s="1">
        <v>1.0</v>
      </c>
      <c r="B2270" s="1">
        <v>4.0</v>
      </c>
      <c r="C2270" s="1">
        <v>0.0</v>
      </c>
      <c r="D2270" s="1">
        <v>0.0</v>
      </c>
      <c r="E2270" s="1">
        <v>0.0</v>
      </c>
      <c r="F2270" s="1">
        <v>0.0</v>
      </c>
      <c r="G2270" s="2">
        <v>0.0</v>
      </c>
      <c r="H2270" s="1" t="s">
        <v>338</v>
      </c>
      <c r="I2270" s="1">
        <v>0.0</v>
      </c>
      <c r="J2270" s="1">
        <v>0.0</v>
      </c>
    </row>
    <row r="2271">
      <c r="A2271" s="1">
        <v>1.0</v>
      </c>
      <c r="B2271" s="1">
        <v>4.0</v>
      </c>
      <c r="C2271" s="1">
        <v>1.0</v>
      </c>
      <c r="D2271" s="1">
        <v>0.0</v>
      </c>
      <c r="E2271" s="1">
        <v>0.0</v>
      </c>
      <c r="F2271" s="1">
        <v>0.0</v>
      </c>
      <c r="G2271" s="2">
        <v>0.0</v>
      </c>
      <c r="H2271" s="1" t="s">
        <v>338</v>
      </c>
      <c r="I2271" s="1">
        <v>0.0</v>
      </c>
      <c r="J2271" s="1">
        <v>0.0</v>
      </c>
    </row>
    <row r="2272">
      <c r="A2272" s="1">
        <v>1.0</v>
      </c>
      <c r="B2272" s="1">
        <v>4.0</v>
      </c>
      <c r="C2272" s="1">
        <v>1.0</v>
      </c>
      <c r="D2272" s="1">
        <v>0.0</v>
      </c>
      <c r="E2272" s="1">
        <v>0.0</v>
      </c>
      <c r="F2272" s="1">
        <v>0.0</v>
      </c>
      <c r="G2272" s="2">
        <v>0.0</v>
      </c>
      <c r="H2272" s="1" t="s">
        <v>339</v>
      </c>
      <c r="I2272" s="1">
        <v>0.0</v>
      </c>
      <c r="J2272" s="1">
        <v>0.0</v>
      </c>
    </row>
    <row r="2273">
      <c r="A2273" s="1">
        <v>1.0</v>
      </c>
      <c r="B2273" s="1">
        <v>4.0</v>
      </c>
      <c r="C2273" s="1">
        <v>1.0</v>
      </c>
      <c r="D2273" s="1">
        <v>0.0</v>
      </c>
      <c r="E2273" s="1">
        <v>0.0</v>
      </c>
      <c r="F2273" s="1">
        <v>0.0</v>
      </c>
      <c r="G2273" s="2">
        <v>0.0</v>
      </c>
      <c r="H2273" s="1" t="s">
        <v>83</v>
      </c>
      <c r="I2273" s="1">
        <v>0.0</v>
      </c>
      <c r="J2273" s="1">
        <v>0.0</v>
      </c>
    </row>
    <row r="2274">
      <c r="A2274" s="1">
        <v>2.0</v>
      </c>
      <c r="B2274" s="1">
        <v>8.0</v>
      </c>
      <c r="C2274" s="1">
        <v>3.0</v>
      </c>
      <c r="D2274" s="1">
        <v>0.0</v>
      </c>
      <c r="E2274" s="1">
        <v>0.0</v>
      </c>
      <c r="F2274" s="1">
        <v>0.0</v>
      </c>
      <c r="G2274" s="2">
        <v>0.0</v>
      </c>
      <c r="H2274" s="1" t="s">
        <v>83</v>
      </c>
      <c r="I2274" s="1">
        <v>0.0</v>
      </c>
      <c r="J2274" s="1">
        <v>0.0</v>
      </c>
    </row>
    <row r="2275">
      <c r="A2275" s="1">
        <v>1.0</v>
      </c>
      <c r="B2275" s="1">
        <v>4.0</v>
      </c>
      <c r="C2275" s="1">
        <v>0.0</v>
      </c>
      <c r="D2275" s="1">
        <v>0.0</v>
      </c>
      <c r="E2275" s="1">
        <v>0.0</v>
      </c>
      <c r="F2275" s="1">
        <v>0.0</v>
      </c>
      <c r="G2275" s="2">
        <v>0.0</v>
      </c>
      <c r="H2275" s="1" t="s">
        <v>340</v>
      </c>
      <c r="I2275" s="1">
        <v>0.0</v>
      </c>
      <c r="J2275" s="1">
        <v>0.0</v>
      </c>
    </row>
    <row r="2276">
      <c r="A2276" s="1">
        <v>1.0</v>
      </c>
      <c r="B2276" s="1">
        <v>4.0</v>
      </c>
      <c r="C2276" s="1">
        <v>0.0</v>
      </c>
      <c r="D2276" s="1">
        <v>0.0</v>
      </c>
      <c r="E2276" s="1">
        <v>0.0</v>
      </c>
      <c r="F2276" s="1">
        <v>0.0</v>
      </c>
      <c r="G2276" s="2">
        <v>0.0</v>
      </c>
      <c r="H2276" s="1" t="s">
        <v>340</v>
      </c>
      <c r="I2276" s="1">
        <v>0.0</v>
      </c>
      <c r="J2276" s="1">
        <v>0.0</v>
      </c>
    </row>
    <row r="2277">
      <c r="A2277" s="1">
        <v>3.0</v>
      </c>
      <c r="B2277" s="1">
        <v>11.0</v>
      </c>
      <c r="C2277" s="1">
        <v>0.0</v>
      </c>
      <c r="D2277" s="1">
        <v>0.0</v>
      </c>
      <c r="E2277" s="1">
        <v>0.0</v>
      </c>
      <c r="F2277" s="1">
        <v>0.0</v>
      </c>
      <c r="G2277" s="2">
        <v>0.0</v>
      </c>
      <c r="H2277" s="1" t="s">
        <v>258</v>
      </c>
      <c r="I2277" s="1">
        <v>0.0</v>
      </c>
      <c r="J2277" s="1">
        <v>0.0</v>
      </c>
    </row>
    <row r="2278">
      <c r="A2278" s="1">
        <v>1.0</v>
      </c>
      <c r="B2278" s="1">
        <v>4.0</v>
      </c>
      <c r="C2278" s="1">
        <v>0.0</v>
      </c>
      <c r="D2278" s="1">
        <v>0.0</v>
      </c>
      <c r="E2278" s="1">
        <v>0.0</v>
      </c>
      <c r="F2278" s="1">
        <v>0.0</v>
      </c>
      <c r="G2278" s="2">
        <v>0.0</v>
      </c>
      <c r="H2278" s="1" t="s">
        <v>301</v>
      </c>
      <c r="I2278" s="1">
        <v>0.0</v>
      </c>
      <c r="J2278" s="1">
        <v>0.0</v>
      </c>
    </row>
    <row r="2279">
      <c r="A2279" s="1">
        <v>1.0</v>
      </c>
      <c r="B2279" s="1">
        <v>4.0</v>
      </c>
      <c r="C2279" s="1">
        <v>0.0</v>
      </c>
      <c r="D2279" s="1">
        <v>0.0</v>
      </c>
      <c r="E2279" s="1">
        <v>0.0</v>
      </c>
      <c r="F2279" s="1">
        <v>0.0</v>
      </c>
      <c r="G2279" s="2">
        <v>0.0</v>
      </c>
      <c r="H2279" s="1" t="s">
        <v>301</v>
      </c>
      <c r="I2279" s="1">
        <v>0.0</v>
      </c>
      <c r="J2279" s="1">
        <v>0.0</v>
      </c>
    </row>
    <row r="2280">
      <c r="A2280" s="1">
        <v>2.0</v>
      </c>
      <c r="B2280" s="1">
        <v>7.0</v>
      </c>
      <c r="C2280" s="1">
        <v>6.0</v>
      </c>
      <c r="D2280" s="1">
        <v>8.0</v>
      </c>
      <c r="E2280" s="1">
        <v>0.5</v>
      </c>
      <c r="F2280" s="1">
        <v>0.0</v>
      </c>
      <c r="G2280" s="6">
        <v>0.833</v>
      </c>
      <c r="H2280" s="1" t="s">
        <v>87</v>
      </c>
      <c r="I2280" s="1">
        <v>16.0</v>
      </c>
      <c r="J2280" s="1">
        <v>1.0</v>
      </c>
    </row>
    <row r="2281">
      <c r="A2281" s="1">
        <v>1.0</v>
      </c>
      <c r="B2281" s="1">
        <v>4.0</v>
      </c>
      <c r="C2281" s="1">
        <v>3.0</v>
      </c>
      <c r="D2281" s="1">
        <v>4.0</v>
      </c>
      <c r="E2281" s="1">
        <v>1.0</v>
      </c>
      <c r="F2281" s="1">
        <v>0.0</v>
      </c>
      <c r="G2281" s="6">
        <v>0.667</v>
      </c>
      <c r="H2281" s="1" t="s">
        <v>87</v>
      </c>
      <c r="I2281" s="1">
        <v>4.0</v>
      </c>
      <c r="J2281" s="1">
        <v>1.0</v>
      </c>
    </row>
    <row r="2282">
      <c r="A2282" s="1">
        <v>1.0</v>
      </c>
      <c r="B2282" s="1">
        <v>4.0</v>
      </c>
      <c r="C2282" s="1">
        <v>4.0</v>
      </c>
      <c r="D2282" s="1">
        <v>4.0</v>
      </c>
      <c r="E2282" s="1">
        <v>1.0</v>
      </c>
      <c r="F2282" s="1">
        <v>0.0</v>
      </c>
      <c r="G2282" s="2">
        <v>0.5</v>
      </c>
      <c r="H2282" s="1" t="s">
        <v>87</v>
      </c>
      <c r="I2282" s="1">
        <v>4.0</v>
      </c>
      <c r="J2282" s="1">
        <v>1.0</v>
      </c>
    </row>
    <row r="2283">
      <c r="A2283" s="1">
        <v>1.0</v>
      </c>
      <c r="B2283" s="1">
        <v>4.0</v>
      </c>
      <c r="C2283" s="1">
        <v>1.0</v>
      </c>
      <c r="D2283" s="1">
        <v>0.0</v>
      </c>
      <c r="E2283" s="1">
        <v>0.0</v>
      </c>
      <c r="F2283" s="1">
        <v>0.0</v>
      </c>
      <c r="G2283" s="2">
        <v>0.0</v>
      </c>
      <c r="H2283" s="1" t="s">
        <v>341</v>
      </c>
      <c r="I2283" s="1">
        <v>0.0</v>
      </c>
      <c r="J2283" s="1">
        <v>0.0</v>
      </c>
    </row>
    <row r="2284">
      <c r="A2284" s="1">
        <v>1.0</v>
      </c>
      <c r="B2284" s="1">
        <v>4.0</v>
      </c>
      <c r="C2284" s="1">
        <v>2.0</v>
      </c>
      <c r="D2284" s="1">
        <v>4.0</v>
      </c>
      <c r="E2284" s="1">
        <v>0.0</v>
      </c>
      <c r="F2284" s="1">
        <v>0.0</v>
      </c>
      <c r="G2284" s="2">
        <v>0.5</v>
      </c>
      <c r="H2284" s="1" t="s">
        <v>341</v>
      </c>
      <c r="I2284" s="1">
        <v>4.0</v>
      </c>
      <c r="J2284" s="1">
        <v>0.0</v>
      </c>
    </row>
    <row r="2285">
      <c r="A2285" s="1">
        <v>5.0</v>
      </c>
      <c r="B2285" s="1">
        <v>20.0</v>
      </c>
      <c r="C2285" s="1">
        <v>2.0</v>
      </c>
      <c r="D2285" s="1">
        <v>0.0</v>
      </c>
      <c r="E2285" s="1">
        <v>0.0</v>
      </c>
      <c r="F2285" s="1">
        <v>0.0</v>
      </c>
      <c r="G2285" s="2">
        <v>0.0</v>
      </c>
      <c r="H2285" s="1" t="s">
        <v>312</v>
      </c>
      <c r="I2285" s="1">
        <v>0.0</v>
      </c>
      <c r="J2285" s="1">
        <v>0.0</v>
      </c>
    </row>
    <row r="2286">
      <c r="A2286" s="1">
        <v>4.0</v>
      </c>
      <c r="B2286" s="1">
        <v>16.0</v>
      </c>
      <c r="C2286" s="1">
        <v>2.0</v>
      </c>
      <c r="D2286" s="1">
        <v>0.0</v>
      </c>
      <c r="E2286" s="1">
        <v>0.0</v>
      </c>
      <c r="F2286" s="1">
        <v>0.0</v>
      </c>
      <c r="G2286" s="2">
        <v>0.0</v>
      </c>
      <c r="H2286" s="1" t="s">
        <v>260</v>
      </c>
      <c r="I2286" s="1">
        <v>0.0</v>
      </c>
      <c r="J2286" s="1">
        <v>0.0</v>
      </c>
    </row>
    <row r="2287">
      <c r="A2287" s="1">
        <v>1.0</v>
      </c>
      <c r="B2287" s="1">
        <v>4.0</v>
      </c>
      <c r="C2287" s="1">
        <v>0.0</v>
      </c>
      <c r="D2287" s="1">
        <v>0.0</v>
      </c>
      <c r="E2287" s="1">
        <v>0.0</v>
      </c>
      <c r="F2287" s="1">
        <v>0.0</v>
      </c>
      <c r="G2287" s="2">
        <v>0.0</v>
      </c>
      <c r="H2287" s="1" t="s">
        <v>260</v>
      </c>
      <c r="I2287" s="1">
        <v>0.0</v>
      </c>
      <c r="J2287" s="1">
        <v>0.0</v>
      </c>
    </row>
    <row r="2288">
      <c r="A2288" s="1">
        <v>4.0</v>
      </c>
      <c r="B2288" s="1">
        <v>16.0</v>
      </c>
      <c r="C2288" s="1">
        <v>4.0</v>
      </c>
      <c r="D2288" s="1">
        <v>3.0</v>
      </c>
      <c r="E2288" s="1">
        <v>0.0</v>
      </c>
      <c r="F2288" s="1">
        <v>0.0</v>
      </c>
      <c r="G2288" s="2">
        <v>0.75</v>
      </c>
      <c r="H2288" s="1" t="s">
        <v>327</v>
      </c>
      <c r="I2288" s="1">
        <v>12.0</v>
      </c>
      <c r="J2288" s="1">
        <v>0.0</v>
      </c>
    </row>
    <row r="2289">
      <c r="A2289" s="1">
        <v>5.0</v>
      </c>
      <c r="B2289" s="1">
        <v>20.0</v>
      </c>
      <c r="C2289" s="1">
        <v>6.0</v>
      </c>
      <c r="D2289" s="1">
        <v>4.0</v>
      </c>
      <c r="E2289" s="1">
        <v>0.0</v>
      </c>
      <c r="F2289" s="1">
        <v>0.0</v>
      </c>
      <c r="G2289" s="6">
        <v>0.833</v>
      </c>
      <c r="H2289" s="1" t="s">
        <v>131</v>
      </c>
      <c r="I2289" s="1">
        <v>20.0</v>
      </c>
      <c r="J2289" s="1">
        <v>0.0</v>
      </c>
    </row>
    <row r="2290">
      <c r="A2290" s="1">
        <v>2.0</v>
      </c>
      <c r="B2290" s="1">
        <v>8.0</v>
      </c>
      <c r="C2290" s="1">
        <v>2.0</v>
      </c>
      <c r="D2290" s="1">
        <v>0.0</v>
      </c>
      <c r="E2290" s="1">
        <v>0.0</v>
      </c>
      <c r="F2290" s="1">
        <v>0.0</v>
      </c>
      <c r="G2290" s="2">
        <v>0.0</v>
      </c>
      <c r="H2290" s="1" t="s">
        <v>342</v>
      </c>
      <c r="I2290" s="1">
        <v>0.0</v>
      </c>
      <c r="J2290" s="1">
        <v>0.0</v>
      </c>
    </row>
    <row r="2291">
      <c r="A2291" s="1">
        <v>4.0</v>
      </c>
      <c r="B2291" s="1">
        <v>16.0</v>
      </c>
      <c r="C2291" s="1">
        <v>0.0</v>
      </c>
      <c r="D2291" s="1">
        <v>0.0</v>
      </c>
      <c r="E2291" s="1">
        <v>0.0</v>
      </c>
      <c r="F2291" s="1">
        <v>0.0</v>
      </c>
      <c r="G2291" s="2">
        <v>0.0</v>
      </c>
      <c r="H2291" s="1" t="s">
        <v>343</v>
      </c>
      <c r="I2291" s="1">
        <v>0.0</v>
      </c>
      <c r="J2291" s="1">
        <v>0.0</v>
      </c>
    </row>
    <row r="2292">
      <c r="A2292" s="1">
        <v>1.0</v>
      </c>
      <c r="B2292" s="1">
        <v>4.0</v>
      </c>
      <c r="C2292" s="1">
        <v>0.0</v>
      </c>
      <c r="D2292" s="1">
        <v>0.0</v>
      </c>
      <c r="E2292" s="1">
        <v>0.0</v>
      </c>
      <c r="F2292" s="1">
        <v>0.0</v>
      </c>
      <c r="G2292" s="2">
        <v>0.0</v>
      </c>
      <c r="H2292" s="1" t="s">
        <v>343</v>
      </c>
      <c r="I2292" s="1">
        <v>0.0</v>
      </c>
      <c r="J2292" s="1">
        <v>0.0</v>
      </c>
    </row>
    <row r="2293">
      <c r="A2293" s="1">
        <v>2.0</v>
      </c>
      <c r="B2293" s="1">
        <v>8.0</v>
      </c>
      <c r="C2293" s="1">
        <v>5.0</v>
      </c>
      <c r="D2293" s="1">
        <v>6.0</v>
      </c>
      <c r="E2293" s="1">
        <v>0.0</v>
      </c>
      <c r="F2293" s="1">
        <v>0.0</v>
      </c>
      <c r="G2293" s="2">
        <v>0.6</v>
      </c>
      <c r="H2293" s="1" t="s">
        <v>302</v>
      </c>
      <c r="I2293" s="1">
        <v>12.0</v>
      </c>
      <c r="J2293" s="1">
        <v>0.0</v>
      </c>
    </row>
    <row r="2294">
      <c r="A2294" s="1">
        <v>5.0</v>
      </c>
      <c r="B2294" s="1">
        <v>20.0</v>
      </c>
      <c r="C2294" s="1">
        <v>6.0</v>
      </c>
      <c r="D2294" s="1">
        <v>4.0</v>
      </c>
      <c r="E2294" s="1">
        <v>0.0</v>
      </c>
      <c r="F2294" s="1">
        <v>0.0</v>
      </c>
      <c r="G2294" s="6">
        <v>0.833</v>
      </c>
      <c r="H2294" s="1" t="s">
        <v>231</v>
      </c>
      <c r="I2294" s="1">
        <v>20.0</v>
      </c>
      <c r="J2294" s="1">
        <v>0.0</v>
      </c>
    </row>
    <row r="2295">
      <c r="A2295" s="1">
        <v>5.0</v>
      </c>
      <c r="B2295" s="1">
        <v>20.0</v>
      </c>
      <c r="C2295" s="1">
        <v>3.0</v>
      </c>
      <c r="D2295" s="1">
        <v>0.0</v>
      </c>
      <c r="E2295" s="1">
        <v>0.2</v>
      </c>
      <c r="F2295" s="1">
        <v>0.0</v>
      </c>
      <c r="G2295" s="6">
        <v>0.333</v>
      </c>
      <c r="H2295" s="1" t="s">
        <v>122</v>
      </c>
      <c r="I2295" s="1">
        <v>0.0</v>
      </c>
      <c r="J2295" s="1">
        <v>1.0</v>
      </c>
    </row>
    <row r="2296">
      <c r="A2296" s="1">
        <v>3.0</v>
      </c>
      <c r="B2296" s="1">
        <v>12.0</v>
      </c>
      <c r="C2296" s="1">
        <v>5.0</v>
      </c>
      <c r="D2296" s="1">
        <v>5.33</v>
      </c>
      <c r="E2296" s="1">
        <v>0.0</v>
      </c>
      <c r="F2296" s="1">
        <v>0.0</v>
      </c>
      <c r="G2296" s="2">
        <v>0.8</v>
      </c>
      <c r="H2296" s="1" t="s">
        <v>261</v>
      </c>
      <c r="I2296" s="1">
        <v>16.0</v>
      </c>
      <c r="J2296" s="1">
        <v>0.0</v>
      </c>
    </row>
    <row r="2297">
      <c r="A2297" s="1">
        <v>5.0</v>
      </c>
      <c r="B2297" s="1">
        <v>20.0</v>
      </c>
      <c r="C2297" s="1">
        <v>0.0</v>
      </c>
      <c r="D2297" s="1">
        <v>0.0</v>
      </c>
      <c r="E2297" s="1">
        <v>0.0</v>
      </c>
      <c r="F2297" s="1">
        <v>0.0</v>
      </c>
      <c r="G2297" s="2">
        <v>0.0</v>
      </c>
      <c r="H2297" s="1" t="s">
        <v>344</v>
      </c>
      <c r="I2297" s="1">
        <v>0.0</v>
      </c>
      <c r="J2297" s="1">
        <v>0.0</v>
      </c>
    </row>
    <row r="2298">
      <c r="A2298" s="1">
        <v>1.0</v>
      </c>
      <c r="B2298" s="1">
        <v>4.0</v>
      </c>
      <c r="C2298" s="1">
        <v>0.0</v>
      </c>
      <c r="D2298" s="1">
        <v>0.0</v>
      </c>
      <c r="E2298" s="1">
        <v>0.0</v>
      </c>
      <c r="F2298" s="1">
        <v>0.0</v>
      </c>
      <c r="G2298" s="2">
        <v>0.0</v>
      </c>
      <c r="H2298" s="1" t="s">
        <v>345</v>
      </c>
      <c r="I2298" s="1">
        <v>0.0</v>
      </c>
      <c r="J2298" s="1">
        <v>0.0</v>
      </c>
    </row>
    <row r="2299">
      <c r="A2299" s="1">
        <v>4.0</v>
      </c>
      <c r="B2299" s="1">
        <v>16.0</v>
      </c>
      <c r="C2299" s="1">
        <v>0.0</v>
      </c>
      <c r="D2299" s="1">
        <v>0.0</v>
      </c>
      <c r="E2299" s="1">
        <v>0.0</v>
      </c>
      <c r="F2299" s="1">
        <v>0.0</v>
      </c>
      <c r="G2299" s="2">
        <v>0.0</v>
      </c>
      <c r="H2299" s="1" t="s">
        <v>345</v>
      </c>
      <c r="I2299" s="1">
        <v>0.0</v>
      </c>
      <c r="J2299" s="1">
        <v>0.0</v>
      </c>
    </row>
    <row r="2300">
      <c r="A2300" s="1">
        <v>1.0</v>
      </c>
      <c r="B2300" s="1">
        <v>4.0</v>
      </c>
      <c r="C2300" s="1">
        <v>1.0</v>
      </c>
      <c r="D2300" s="1">
        <v>4.0</v>
      </c>
      <c r="E2300" s="1">
        <v>0.0</v>
      </c>
      <c r="F2300" s="1">
        <v>0.0</v>
      </c>
      <c r="G2300" s="2">
        <v>1.0</v>
      </c>
      <c r="H2300" s="1" t="s">
        <v>346</v>
      </c>
      <c r="I2300" s="1">
        <v>4.0</v>
      </c>
      <c r="J2300" s="1">
        <v>0.0</v>
      </c>
    </row>
    <row r="2301">
      <c r="A2301" s="1">
        <v>4.0</v>
      </c>
      <c r="B2301" s="1">
        <v>16.0</v>
      </c>
      <c r="C2301" s="1">
        <v>0.0</v>
      </c>
      <c r="D2301" s="1">
        <v>0.0</v>
      </c>
      <c r="E2301" s="1">
        <v>0.0</v>
      </c>
      <c r="F2301" s="1">
        <v>0.0</v>
      </c>
      <c r="G2301" s="2">
        <v>0.0</v>
      </c>
      <c r="H2301" s="1" t="s">
        <v>346</v>
      </c>
      <c r="I2301" s="1">
        <v>0.0</v>
      </c>
      <c r="J2301" s="1">
        <v>0.0</v>
      </c>
    </row>
    <row r="2302">
      <c r="A2302" s="1">
        <v>1.0</v>
      </c>
      <c r="B2302" s="1">
        <v>4.0</v>
      </c>
      <c r="C2302" s="1">
        <v>2.0</v>
      </c>
      <c r="D2302" s="1">
        <v>-4.0</v>
      </c>
      <c r="E2302" s="1">
        <v>1.0</v>
      </c>
      <c r="F2302" s="1">
        <v>0.0</v>
      </c>
      <c r="G2302" s="2">
        <v>0.0</v>
      </c>
      <c r="H2302" s="1" t="s">
        <v>347</v>
      </c>
      <c r="I2302" s="1">
        <v>-4.0</v>
      </c>
      <c r="J2302" s="1">
        <v>1.0</v>
      </c>
    </row>
    <row r="2303">
      <c r="A2303" s="1">
        <v>4.0</v>
      </c>
      <c r="B2303" s="1">
        <v>16.0</v>
      </c>
      <c r="C2303" s="1">
        <v>15.0</v>
      </c>
      <c r="D2303" s="1">
        <v>4.0</v>
      </c>
      <c r="E2303" s="1">
        <v>0.75</v>
      </c>
      <c r="F2303" s="1">
        <v>0.0</v>
      </c>
      <c r="G2303" s="6">
        <v>0.467</v>
      </c>
      <c r="H2303" s="1" t="s">
        <v>347</v>
      </c>
      <c r="I2303" s="1">
        <v>16.0</v>
      </c>
      <c r="J2303" s="1">
        <v>3.0</v>
      </c>
    </row>
    <row r="2304">
      <c r="A2304" s="1">
        <v>1.0</v>
      </c>
      <c r="B2304" s="1">
        <v>4.0</v>
      </c>
      <c r="C2304" s="1">
        <v>1.0</v>
      </c>
      <c r="D2304" s="1">
        <v>4.0</v>
      </c>
      <c r="E2304" s="1">
        <v>0.0</v>
      </c>
      <c r="F2304" s="1">
        <v>0.0</v>
      </c>
      <c r="G2304" s="2">
        <v>1.0</v>
      </c>
      <c r="H2304" s="1" t="s">
        <v>188</v>
      </c>
      <c r="I2304" s="1">
        <v>4.0</v>
      </c>
      <c r="J2304" s="1">
        <v>0.0</v>
      </c>
    </row>
    <row r="2305">
      <c r="A2305" s="1">
        <v>4.0</v>
      </c>
      <c r="B2305" s="1">
        <v>16.0</v>
      </c>
      <c r="C2305" s="1">
        <v>0.0</v>
      </c>
      <c r="D2305" s="1">
        <v>0.0</v>
      </c>
      <c r="E2305" s="1">
        <v>0.0</v>
      </c>
      <c r="F2305" s="1">
        <v>0.0</v>
      </c>
      <c r="G2305" s="2">
        <v>0.0</v>
      </c>
      <c r="H2305" s="1" t="s">
        <v>188</v>
      </c>
      <c r="I2305" s="1">
        <v>0.0</v>
      </c>
      <c r="J2305" s="1">
        <v>0.0</v>
      </c>
    </row>
    <row r="2306">
      <c r="A2306" s="1">
        <v>3.0</v>
      </c>
      <c r="B2306" s="1">
        <v>11.0</v>
      </c>
      <c r="C2306" s="1">
        <v>4.0</v>
      </c>
      <c r="D2306" s="1">
        <v>4.0</v>
      </c>
      <c r="E2306" s="1">
        <v>0.0</v>
      </c>
      <c r="F2306" s="1">
        <v>0.0</v>
      </c>
      <c r="G2306" s="2">
        <v>0.75</v>
      </c>
      <c r="H2306" s="1" t="s">
        <v>119</v>
      </c>
      <c r="I2306" s="1">
        <v>12.0</v>
      </c>
      <c r="J2306" s="1">
        <v>0.0</v>
      </c>
    </row>
    <row r="2307">
      <c r="A2307" s="1">
        <v>3.0</v>
      </c>
      <c r="B2307" s="1">
        <v>11.0</v>
      </c>
      <c r="C2307" s="1">
        <v>0.0</v>
      </c>
      <c r="D2307" s="1">
        <v>0.0</v>
      </c>
      <c r="E2307" s="1">
        <v>0.0</v>
      </c>
      <c r="F2307" s="1">
        <v>0.0</v>
      </c>
      <c r="G2307" s="2">
        <v>0.0</v>
      </c>
      <c r="H2307" s="1" t="s">
        <v>218</v>
      </c>
      <c r="I2307" s="1">
        <v>0.0</v>
      </c>
      <c r="J2307" s="1">
        <v>0.0</v>
      </c>
    </row>
    <row r="2308">
      <c r="A2308" s="1">
        <v>2.0</v>
      </c>
      <c r="B2308" s="1">
        <v>8.0</v>
      </c>
      <c r="C2308" s="1">
        <v>0.0</v>
      </c>
      <c r="D2308" s="1">
        <v>0.0</v>
      </c>
      <c r="E2308" s="1">
        <v>0.0</v>
      </c>
      <c r="F2308" s="1">
        <v>0.0</v>
      </c>
      <c r="G2308" s="2">
        <v>0.0</v>
      </c>
      <c r="H2308" s="1" t="s">
        <v>348</v>
      </c>
      <c r="I2308" s="1">
        <v>0.0</v>
      </c>
      <c r="J2308" s="1">
        <v>0.0</v>
      </c>
    </row>
    <row r="2309">
      <c r="A2309" s="1">
        <v>3.0</v>
      </c>
      <c r="B2309" s="1">
        <v>11.0</v>
      </c>
      <c r="C2309" s="1">
        <v>0.0</v>
      </c>
      <c r="D2309" s="1">
        <v>0.0</v>
      </c>
      <c r="E2309" s="1">
        <v>0.0</v>
      </c>
      <c r="F2309" s="1">
        <v>0.0</v>
      </c>
      <c r="G2309" s="2">
        <v>0.0</v>
      </c>
      <c r="H2309" s="1" t="s">
        <v>349</v>
      </c>
      <c r="I2309" s="1">
        <v>0.0</v>
      </c>
      <c r="J2309" s="1">
        <v>0.0</v>
      </c>
    </row>
    <row r="2310">
      <c r="A2310" s="1">
        <v>4.0</v>
      </c>
      <c r="B2310" s="1">
        <v>15.0</v>
      </c>
      <c r="C2310" s="1">
        <v>9.0</v>
      </c>
      <c r="D2310" s="1">
        <v>8.0</v>
      </c>
      <c r="E2310" s="1">
        <v>0.0</v>
      </c>
      <c r="F2310" s="1">
        <v>0.0</v>
      </c>
      <c r="G2310" s="6">
        <v>0.889</v>
      </c>
      <c r="H2310" s="1" t="s">
        <v>193</v>
      </c>
      <c r="I2310" s="1">
        <v>32.0</v>
      </c>
      <c r="J2310" s="1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8" max="8" width="37.63"/>
  </cols>
  <sheetData>
    <row r="1" ht="22.5" customHeight="1">
      <c r="A1" s="11" t="s">
        <v>350</v>
      </c>
      <c r="B1" s="11" t="s">
        <v>351</v>
      </c>
      <c r="C1" s="11" t="s">
        <v>352</v>
      </c>
      <c r="D1" s="11" t="s">
        <v>353</v>
      </c>
      <c r="E1" s="11" t="s">
        <v>354</v>
      </c>
      <c r="F1" s="11" t="s">
        <v>355</v>
      </c>
      <c r="G1" s="11" t="s">
        <v>356</v>
      </c>
      <c r="H1" s="11" t="s">
        <v>357</v>
      </c>
      <c r="I1" s="17" t="s">
        <v>358</v>
      </c>
      <c r="J1" s="17" t="s">
        <v>359</v>
      </c>
    </row>
    <row r="2" ht="22.5" customHeight="1">
      <c r="A2" s="16">
        <v>1.0</v>
      </c>
      <c r="B2" s="16">
        <v>4.0</v>
      </c>
      <c r="C2" s="16">
        <v>0.0</v>
      </c>
      <c r="D2" s="16">
        <v>0.0</v>
      </c>
      <c r="E2" s="16">
        <v>0.0</v>
      </c>
      <c r="F2" s="16">
        <v>0.0</v>
      </c>
      <c r="G2" s="18">
        <v>0.0</v>
      </c>
      <c r="H2" s="16" t="s">
        <v>0</v>
      </c>
      <c r="I2" s="19">
        <f t="shared" ref="I2:I463" si="1">round(D2 *A2,0)</f>
        <v>0</v>
      </c>
      <c r="J2" s="19">
        <f t="shared" ref="J2:J463" si="2">round(E2*A2,0)</f>
        <v>0</v>
      </c>
    </row>
    <row r="3" ht="22.5" customHeight="1">
      <c r="A3" s="16">
        <v>4.0</v>
      </c>
      <c r="B3" s="16">
        <v>16.0</v>
      </c>
      <c r="C3" s="16">
        <v>0.0</v>
      </c>
      <c r="D3" s="16">
        <v>0.0</v>
      </c>
      <c r="E3" s="16">
        <v>0.0</v>
      </c>
      <c r="F3" s="16">
        <v>0.0</v>
      </c>
      <c r="G3" s="18">
        <v>0.0</v>
      </c>
      <c r="H3" s="16" t="s">
        <v>2</v>
      </c>
      <c r="I3" s="19">
        <f t="shared" si="1"/>
        <v>0</v>
      </c>
      <c r="J3" s="19">
        <f t="shared" si="2"/>
        <v>0</v>
      </c>
    </row>
    <row r="4" ht="22.5" customHeight="1">
      <c r="A4" s="16">
        <v>1.0</v>
      </c>
      <c r="B4" s="16">
        <v>4.0</v>
      </c>
      <c r="C4" s="16">
        <v>0.0</v>
      </c>
      <c r="D4" s="16">
        <v>0.0</v>
      </c>
      <c r="E4" s="16">
        <v>0.0</v>
      </c>
      <c r="F4" s="16">
        <v>0.0</v>
      </c>
      <c r="G4" s="18">
        <v>0.0</v>
      </c>
      <c r="H4" s="16" t="s">
        <v>2</v>
      </c>
      <c r="I4" s="19">
        <f t="shared" si="1"/>
        <v>0</v>
      </c>
      <c r="J4" s="19">
        <f t="shared" si="2"/>
        <v>0</v>
      </c>
    </row>
    <row r="5" ht="22.5" customHeight="1">
      <c r="A5" s="16">
        <v>4.0</v>
      </c>
      <c r="B5" s="16">
        <v>16.0</v>
      </c>
      <c r="C5" s="16">
        <v>0.0</v>
      </c>
      <c r="D5" s="16">
        <v>0.0</v>
      </c>
      <c r="E5" s="16">
        <v>0.0</v>
      </c>
      <c r="F5" s="16">
        <v>0.0</v>
      </c>
      <c r="G5" s="18">
        <v>0.0</v>
      </c>
      <c r="H5" s="16" t="s">
        <v>5</v>
      </c>
      <c r="I5" s="19">
        <f t="shared" si="1"/>
        <v>0</v>
      </c>
      <c r="J5" s="19">
        <f t="shared" si="2"/>
        <v>0</v>
      </c>
    </row>
    <row r="6" ht="22.5" customHeight="1">
      <c r="A6" s="16">
        <v>1.0</v>
      </c>
      <c r="B6" s="16">
        <v>4.0</v>
      </c>
      <c r="C6" s="16">
        <v>0.0</v>
      </c>
      <c r="D6" s="16">
        <v>0.0</v>
      </c>
      <c r="E6" s="16">
        <v>0.0</v>
      </c>
      <c r="F6" s="16">
        <v>0.0</v>
      </c>
      <c r="G6" s="18">
        <v>0.0</v>
      </c>
      <c r="H6" s="16" t="s">
        <v>5</v>
      </c>
      <c r="I6" s="19">
        <f t="shared" si="1"/>
        <v>0</v>
      </c>
      <c r="J6" s="19">
        <f t="shared" si="2"/>
        <v>0</v>
      </c>
    </row>
    <row r="7" ht="22.5" customHeight="1">
      <c r="A7" s="16">
        <v>4.0</v>
      </c>
      <c r="B7" s="16">
        <v>16.0</v>
      </c>
      <c r="C7" s="16">
        <v>12.0</v>
      </c>
      <c r="D7" s="16">
        <v>6.0</v>
      </c>
      <c r="E7" s="16">
        <v>0.75</v>
      </c>
      <c r="F7" s="16">
        <v>0.0</v>
      </c>
      <c r="G7" s="18">
        <v>0.75</v>
      </c>
      <c r="H7" s="16" t="s">
        <v>8</v>
      </c>
      <c r="I7" s="19">
        <f t="shared" si="1"/>
        <v>24</v>
      </c>
      <c r="J7" s="19">
        <f t="shared" si="2"/>
        <v>3</v>
      </c>
    </row>
    <row r="8" ht="22.5" customHeight="1">
      <c r="A8" s="16">
        <v>1.0</v>
      </c>
      <c r="B8" s="16">
        <v>4.0</v>
      </c>
      <c r="C8" s="16">
        <v>3.0</v>
      </c>
      <c r="D8" s="16">
        <v>0.0</v>
      </c>
      <c r="E8" s="16">
        <v>1.0</v>
      </c>
      <c r="F8" s="16">
        <v>0.0</v>
      </c>
      <c r="G8" s="20">
        <v>0.333</v>
      </c>
      <c r="H8" s="16" t="s">
        <v>8</v>
      </c>
      <c r="I8" s="19">
        <f t="shared" si="1"/>
        <v>0</v>
      </c>
      <c r="J8" s="19">
        <f t="shared" si="2"/>
        <v>1</v>
      </c>
    </row>
    <row r="9" ht="22.5" customHeight="1">
      <c r="A9" s="16">
        <v>4.0</v>
      </c>
      <c r="B9" s="16">
        <v>16.0</v>
      </c>
      <c r="C9" s="16">
        <v>0.0</v>
      </c>
      <c r="D9" s="16">
        <v>0.0</v>
      </c>
      <c r="E9" s="16">
        <v>0.0</v>
      </c>
      <c r="F9" s="16">
        <v>0.0</v>
      </c>
      <c r="G9" s="18">
        <v>0.0</v>
      </c>
      <c r="H9" s="16" t="s">
        <v>11</v>
      </c>
      <c r="I9" s="19">
        <f t="shared" si="1"/>
        <v>0</v>
      </c>
      <c r="J9" s="19">
        <f t="shared" si="2"/>
        <v>0</v>
      </c>
    </row>
    <row r="10" ht="22.5" customHeight="1">
      <c r="A10" s="16">
        <v>3.0</v>
      </c>
      <c r="B10" s="16">
        <v>12.0</v>
      </c>
      <c r="C10" s="16">
        <v>0.0</v>
      </c>
      <c r="D10" s="16">
        <v>0.0</v>
      </c>
      <c r="E10" s="16">
        <v>0.0</v>
      </c>
      <c r="F10" s="16">
        <v>0.0</v>
      </c>
      <c r="G10" s="18">
        <v>0.0</v>
      </c>
      <c r="H10" s="16" t="s">
        <v>12</v>
      </c>
      <c r="I10" s="19">
        <f t="shared" si="1"/>
        <v>0</v>
      </c>
      <c r="J10" s="19">
        <f t="shared" si="2"/>
        <v>0</v>
      </c>
    </row>
    <row r="11" ht="22.5" customHeight="1">
      <c r="A11" s="16">
        <v>1.0</v>
      </c>
      <c r="B11" s="16">
        <v>4.0</v>
      </c>
      <c r="C11" s="16">
        <v>3.0</v>
      </c>
      <c r="D11" s="16">
        <v>12.0</v>
      </c>
      <c r="E11" s="16">
        <v>0.0</v>
      </c>
      <c r="F11" s="16">
        <v>0.0</v>
      </c>
      <c r="G11" s="18">
        <v>1.0</v>
      </c>
      <c r="H11" s="16" t="s">
        <v>13</v>
      </c>
      <c r="I11" s="19">
        <f t="shared" si="1"/>
        <v>12</v>
      </c>
      <c r="J11" s="19">
        <f t="shared" si="2"/>
        <v>0</v>
      </c>
    </row>
    <row r="12" ht="22.5" customHeight="1">
      <c r="A12" s="16">
        <v>4.0</v>
      </c>
      <c r="B12" s="16">
        <v>16.0</v>
      </c>
      <c r="C12" s="16">
        <v>8.0</v>
      </c>
      <c r="D12" s="16">
        <v>5.0</v>
      </c>
      <c r="E12" s="16">
        <v>0.0</v>
      </c>
      <c r="F12" s="16">
        <v>0.0</v>
      </c>
      <c r="G12" s="20">
        <v>0.625</v>
      </c>
      <c r="H12" s="16" t="s">
        <v>13</v>
      </c>
      <c r="I12" s="19">
        <f t="shared" si="1"/>
        <v>20</v>
      </c>
      <c r="J12" s="19">
        <f t="shared" si="2"/>
        <v>0</v>
      </c>
    </row>
    <row r="13" ht="22.5" customHeight="1">
      <c r="A13" s="16">
        <v>1.0</v>
      </c>
      <c r="B13" s="16">
        <v>4.0</v>
      </c>
      <c r="C13" s="16">
        <v>0.0</v>
      </c>
      <c r="D13" s="16">
        <v>0.0</v>
      </c>
      <c r="E13" s="16">
        <v>0.0</v>
      </c>
      <c r="F13" s="16">
        <v>0.0</v>
      </c>
      <c r="G13" s="18">
        <v>0.0</v>
      </c>
      <c r="H13" s="16" t="s">
        <v>15</v>
      </c>
      <c r="I13" s="19">
        <f t="shared" si="1"/>
        <v>0</v>
      </c>
      <c r="J13" s="19">
        <f t="shared" si="2"/>
        <v>0</v>
      </c>
    </row>
    <row r="14" ht="22.5" customHeight="1">
      <c r="A14" s="16">
        <v>4.0</v>
      </c>
      <c r="B14" s="16">
        <v>16.0</v>
      </c>
      <c r="C14" s="16">
        <v>0.0</v>
      </c>
      <c r="D14" s="16">
        <v>0.0</v>
      </c>
      <c r="E14" s="16">
        <v>0.0</v>
      </c>
      <c r="F14" s="16">
        <v>0.0</v>
      </c>
      <c r="G14" s="18">
        <v>0.0</v>
      </c>
      <c r="H14" s="16" t="s">
        <v>15</v>
      </c>
      <c r="I14" s="19">
        <f t="shared" si="1"/>
        <v>0</v>
      </c>
      <c r="J14" s="19">
        <f t="shared" si="2"/>
        <v>0</v>
      </c>
    </row>
    <row r="15" ht="22.5" customHeight="1">
      <c r="A15" s="16">
        <v>1.0</v>
      </c>
      <c r="B15" s="16">
        <v>4.0</v>
      </c>
      <c r="C15" s="16">
        <v>0.0</v>
      </c>
      <c r="D15" s="16">
        <v>0.0</v>
      </c>
      <c r="E15" s="16">
        <v>0.0</v>
      </c>
      <c r="F15" s="16">
        <v>0.0</v>
      </c>
      <c r="G15" s="18">
        <v>0.0</v>
      </c>
      <c r="H15" s="16" t="s">
        <v>17</v>
      </c>
      <c r="I15" s="19">
        <f t="shared" si="1"/>
        <v>0</v>
      </c>
      <c r="J15" s="19">
        <f t="shared" si="2"/>
        <v>0</v>
      </c>
    </row>
    <row r="16" ht="22.5" customHeight="1">
      <c r="A16" s="16">
        <v>4.0</v>
      </c>
      <c r="B16" s="16">
        <v>16.0</v>
      </c>
      <c r="C16" s="16">
        <v>4.0</v>
      </c>
      <c r="D16" s="16">
        <v>1.0</v>
      </c>
      <c r="E16" s="16">
        <v>0.0</v>
      </c>
      <c r="F16" s="16">
        <v>0.0</v>
      </c>
      <c r="G16" s="18">
        <v>0.25</v>
      </c>
      <c r="H16" s="16" t="s">
        <v>17</v>
      </c>
      <c r="I16" s="19">
        <f t="shared" si="1"/>
        <v>4</v>
      </c>
      <c r="J16" s="19">
        <f t="shared" si="2"/>
        <v>0</v>
      </c>
    </row>
    <row r="17" ht="22.5" customHeight="1">
      <c r="A17" s="16">
        <v>1.0</v>
      </c>
      <c r="B17" s="16">
        <v>4.0</v>
      </c>
      <c r="C17" s="16">
        <v>0.0</v>
      </c>
      <c r="D17" s="16">
        <v>0.0</v>
      </c>
      <c r="E17" s="16">
        <v>0.0</v>
      </c>
      <c r="F17" s="16">
        <v>0.0</v>
      </c>
      <c r="G17" s="18">
        <v>0.0</v>
      </c>
      <c r="H17" s="16" t="s">
        <v>20</v>
      </c>
      <c r="I17" s="19">
        <f t="shared" si="1"/>
        <v>0</v>
      </c>
      <c r="J17" s="19">
        <f t="shared" si="2"/>
        <v>0</v>
      </c>
    </row>
    <row r="18" ht="22.5" customHeight="1">
      <c r="A18" s="16">
        <v>1.0</v>
      </c>
      <c r="B18" s="16">
        <v>4.0</v>
      </c>
      <c r="C18" s="16">
        <v>0.0</v>
      </c>
      <c r="D18" s="16">
        <v>0.0</v>
      </c>
      <c r="E18" s="16">
        <v>0.0</v>
      </c>
      <c r="F18" s="16">
        <v>0.0</v>
      </c>
      <c r="G18" s="18">
        <v>0.0</v>
      </c>
      <c r="H18" s="16" t="s">
        <v>20</v>
      </c>
      <c r="I18" s="19">
        <f t="shared" si="1"/>
        <v>0</v>
      </c>
      <c r="J18" s="19">
        <f t="shared" si="2"/>
        <v>0</v>
      </c>
    </row>
    <row r="19" ht="22.5" customHeight="1">
      <c r="A19" s="16">
        <v>1.0</v>
      </c>
      <c r="B19" s="16">
        <v>4.0</v>
      </c>
      <c r="C19" s="16">
        <v>1.0</v>
      </c>
      <c r="D19" s="16">
        <v>0.0</v>
      </c>
      <c r="E19" s="16">
        <v>0.0</v>
      </c>
      <c r="F19" s="16">
        <v>0.0</v>
      </c>
      <c r="G19" s="18">
        <v>0.0</v>
      </c>
      <c r="H19" s="16" t="s">
        <v>24</v>
      </c>
      <c r="I19" s="19">
        <f t="shared" si="1"/>
        <v>0</v>
      </c>
      <c r="J19" s="19">
        <f t="shared" si="2"/>
        <v>0</v>
      </c>
    </row>
    <row r="20" ht="22.5" customHeight="1">
      <c r="A20" s="16">
        <v>1.0</v>
      </c>
      <c r="B20" s="16">
        <v>4.0</v>
      </c>
      <c r="C20" s="16">
        <v>0.0</v>
      </c>
      <c r="D20" s="16">
        <v>0.0</v>
      </c>
      <c r="E20" s="16">
        <v>0.0</v>
      </c>
      <c r="F20" s="16">
        <v>0.0</v>
      </c>
      <c r="G20" s="18">
        <v>0.0</v>
      </c>
      <c r="H20" s="16" t="s">
        <v>24</v>
      </c>
      <c r="I20" s="19">
        <f t="shared" si="1"/>
        <v>0</v>
      </c>
      <c r="J20" s="19">
        <f t="shared" si="2"/>
        <v>0</v>
      </c>
    </row>
    <row r="21" ht="22.5" customHeight="1">
      <c r="A21" s="16">
        <v>3.0</v>
      </c>
      <c r="B21" s="16">
        <v>12.0</v>
      </c>
      <c r="C21" s="16">
        <v>2.0</v>
      </c>
      <c r="D21" s="16">
        <v>0.0</v>
      </c>
      <c r="E21" s="16">
        <v>0.33</v>
      </c>
      <c r="F21" s="16">
        <v>0.0</v>
      </c>
      <c r="G21" s="18">
        <v>0.5</v>
      </c>
      <c r="H21" s="16" t="s">
        <v>29</v>
      </c>
      <c r="I21" s="19">
        <f t="shared" si="1"/>
        <v>0</v>
      </c>
      <c r="J21" s="19">
        <f t="shared" si="2"/>
        <v>1</v>
      </c>
    </row>
    <row r="22" ht="22.5" customHeight="1">
      <c r="A22" s="16">
        <v>1.0</v>
      </c>
      <c r="B22" s="16">
        <v>4.0</v>
      </c>
      <c r="C22" s="16">
        <v>0.0</v>
      </c>
      <c r="D22" s="16">
        <v>0.0</v>
      </c>
      <c r="E22" s="16">
        <v>0.0</v>
      </c>
      <c r="F22" s="16">
        <v>0.0</v>
      </c>
      <c r="G22" s="18">
        <v>0.0</v>
      </c>
      <c r="H22" s="16" t="s">
        <v>29</v>
      </c>
      <c r="I22" s="19">
        <f t="shared" si="1"/>
        <v>0</v>
      </c>
      <c r="J22" s="19">
        <f t="shared" si="2"/>
        <v>0</v>
      </c>
    </row>
    <row r="23" ht="22.5" customHeight="1">
      <c r="A23" s="16">
        <v>1.0</v>
      </c>
      <c r="B23" s="16">
        <v>4.0</v>
      </c>
      <c r="C23" s="16">
        <v>2.0</v>
      </c>
      <c r="D23" s="16">
        <v>8.0</v>
      </c>
      <c r="E23" s="16">
        <v>0.0</v>
      </c>
      <c r="F23" s="16">
        <v>0.0</v>
      </c>
      <c r="G23" s="18">
        <v>1.0</v>
      </c>
      <c r="H23" s="16" t="s">
        <v>29</v>
      </c>
      <c r="I23" s="19">
        <f t="shared" si="1"/>
        <v>8</v>
      </c>
      <c r="J23" s="19">
        <f t="shared" si="2"/>
        <v>0</v>
      </c>
    </row>
    <row r="24" ht="22.5" customHeight="1">
      <c r="A24" s="16">
        <v>2.0</v>
      </c>
      <c r="B24" s="16">
        <v>8.0</v>
      </c>
      <c r="C24" s="16">
        <v>1.0</v>
      </c>
      <c r="D24" s="16">
        <v>0.0</v>
      </c>
      <c r="E24" s="16">
        <v>0.0</v>
      </c>
      <c r="F24" s="16">
        <v>0.0</v>
      </c>
      <c r="G24" s="18">
        <v>0.0</v>
      </c>
      <c r="H24" s="16" t="s">
        <v>38</v>
      </c>
      <c r="I24" s="19">
        <f t="shared" si="1"/>
        <v>0</v>
      </c>
      <c r="J24" s="19">
        <f t="shared" si="2"/>
        <v>0</v>
      </c>
    </row>
    <row r="25" ht="22.5" customHeight="1">
      <c r="A25" s="16">
        <v>1.0</v>
      </c>
      <c r="B25" s="16">
        <v>4.0</v>
      </c>
      <c r="C25" s="16">
        <v>1.0</v>
      </c>
      <c r="D25" s="16">
        <v>0.0</v>
      </c>
      <c r="E25" s="16">
        <v>0.0</v>
      </c>
      <c r="F25" s="16">
        <v>0.0</v>
      </c>
      <c r="G25" s="18">
        <v>0.0</v>
      </c>
      <c r="H25" s="16" t="s">
        <v>38</v>
      </c>
      <c r="I25" s="19">
        <f t="shared" si="1"/>
        <v>0</v>
      </c>
      <c r="J25" s="19">
        <f t="shared" si="2"/>
        <v>0</v>
      </c>
    </row>
    <row r="26" ht="22.5" customHeight="1">
      <c r="A26" s="16">
        <v>3.0</v>
      </c>
      <c r="B26" s="16">
        <v>12.0</v>
      </c>
      <c r="C26" s="16">
        <v>4.0</v>
      </c>
      <c r="D26" s="16">
        <v>1.33</v>
      </c>
      <c r="E26" s="16">
        <v>0.33</v>
      </c>
      <c r="F26" s="16">
        <v>0.0</v>
      </c>
      <c r="G26" s="18">
        <v>0.5</v>
      </c>
      <c r="H26" s="16" t="s">
        <v>40</v>
      </c>
      <c r="I26" s="19">
        <f t="shared" si="1"/>
        <v>4</v>
      </c>
      <c r="J26" s="19">
        <f t="shared" si="2"/>
        <v>1</v>
      </c>
    </row>
    <row r="27" ht="22.5" customHeight="1">
      <c r="A27" s="16">
        <v>1.0</v>
      </c>
      <c r="B27" s="16">
        <v>4.0</v>
      </c>
      <c r="C27" s="16">
        <v>1.0</v>
      </c>
      <c r="D27" s="16">
        <v>-4.0</v>
      </c>
      <c r="E27" s="16">
        <v>1.0</v>
      </c>
      <c r="F27" s="16">
        <v>0.0</v>
      </c>
      <c r="G27" s="18">
        <v>0.0</v>
      </c>
      <c r="H27" s="16" t="s">
        <v>40</v>
      </c>
      <c r="I27" s="19">
        <f t="shared" si="1"/>
        <v>-4</v>
      </c>
      <c r="J27" s="19">
        <f t="shared" si="2"/>
        <v>1</v>
      </c>
    </row>
    <row r="28" ht="22.5" customHeight="1">
      <c r="A28" s="16">
        <v>1.0</v>
      </c>
      <c r="B28" s="16">
        <v>4.0</v>
      </c>
      <c r="C28" s="16">
        <v>1.0</v>
      </c>
      <c r="D28" s="16">
        <v>4.0</v>
      </c>
      <c r="E28" s="16">
        <v>0.0</v>
      </c>
      <c r="F28" s="16">
        <v>0.0</v>
      </c>
      <c r="G28" s="18">
        <v>1.0</v>
      </c>
      <c r="H28" s="16" t="s">
        <v>40</v>
      </c>
      <c r="I28" s="19">
        <f t="shared" si="1"/>
        <v>4</v>
      </c>
      <c r="J28" s="19">
        <f t="shared" si="2"/>
        <v>0</v>
      </c>
    </row>
    <row r="29" ht="22.5" customHeight="1">
      <c r="A29" s="16">
        <v>3.0</v>
      </c>
      <c r="B29" s="16">
        <v>12.0</v>
      </c>
      <c r="C29" s="16">
        <v>2.0</v>
      </c>
      <c r="D29" s="16">
        <v>1.33</v>
      </c>
      <c r="E29" s="16">
        <v>0.0</v>
      </c>
      <c r="F29" s="16">
        <v>0.0</v>
      </c>
      <c r="G29" s="18">
        <v>0.5</v>
      </c>
      <c r="H29" s="16" t="s">
        <v>46</v>
      </c>
      <c r="I29" s="19">
        <f t="shared" si="1"/>
        <v>4</v>
      </c>
      <c r="J29" s="19">
        <f t="shared" si="2"/>
        <v>0</v>
      </c>
    </row>
    <row r="30" ht="22.5" customHeight="1">
      <c r="A30" s="16">
        <v>1.0</v>
      </c>
      <c r="B30" s="16">
        <v>4.0</v>
      </c>
      <c r="C30" s="16">
        <v>0.0</v>
      </c>
      <c r="D30" s="16">
        <v>0.0</v>
      </c>
      <c r="E30" s="16">
        <v>0.0</v>
      </c>
      <c r="F30" s="16">
        <v>0.0</v>
      </c>
      <c r="G30" s="18">
        <v>0.0</v>
      </c>
      <c r="H30" s="16" t="s">
        <v>46</v>
      </c>
      <c r="I30" s="19">
        <f t="shared" si="1"/>
        <v>0</v>
      </c>
      <c r="J30" s="19">
        <f t="shared" si="2"/>
        <v>0</v>
      </c>
    </row>
    <row r="31" ht="22.5" customHeight="1">
      <c r="A31" s="16">
        <v>1.0</v>
      </c>
      <c r="B31" s="16">
        <v>4.0</v>
      </c>
      <c r="C31" s="16">
        <v>0.0</v>
      </c>
      <c r="D31" s="16">
        <v>0.0</v>
      </c>
      <c r="E31" s="16">
        <v>0.0</v>
      </c>
      <c r="F31" s="16">
        <v>0.0</v>
      </c>
      <c r="G31" s="18">
        <v>0.0</v>
      </c>
      <c r="H31" s="16" t="s">
        <v>46</v>
      </c>
      <c r="I31" s="19">
        <f t="shared" si="1"/>
        <v>0</v>
      </c>
      <c r="J31" s="19">
        <f t="shared" si="2"/>
        <v>0</v>
      </c>
    </row>
    <row r="32" ht="22.5" customHeight="1">
      <c r="A32" s="16">
        <v>4.0</v>
      </c>
      <c r="B32" s="16">
        <v>15.0</v>
      </c>
      <c r="C32" s="16">
        <v>0.0</v>
      </c>
      <c r="D32" s="16">
        <v>0.0</v>
      </c>
      <c r="E32" s="16">
        <v>0.0</v>
      </c>
      <c r="F32" s="16">
        <v>0.0</v>
      </c>
      <c r="G32" s="18">
        <v>0.0</v>
      </c>
      <c r="H32" s="16" t="s">
        <v>51</v>
      </c>
      <c r="I32" s="19">
        <f t="shared" si="1"/>
        <v>0</v>
      </c>
      <c r="J32" s="19">
        <f t="shared" si="2"/>
        <v>0</v>
      </c>
    </row>
    <row r="33" ht="22.5" customHeight="1">
      <c r="A33" s="16">
        <v>5.0</v>
      </c>
      <c r="B33" s="16">
        <v>18.0</v>
      </c>
      <c r="C33" s="16">
        <v>2.0</v>
      </c>
      <c r="D33" s="16">
        <v>1.6</v>
      </c>
      <c r="E33" s="16">
        <v>0.0</v>
      </c>
      <c r="F33" s="16">
        <v>0.0</v>
      </c>
      <c r="G33" s="18">
        <v>1.0</v>
      </c>
      <c r="H33" s="16" t="s">
        <v>54</v>
      </c>
      <c r="I33" s="19">
        <f t="shared" si="1"/>
        <v>8</v>
      </c>
      <c r="J33" s="19">
        <f t="shared" si="2"/>
        <v>0</v>
      </c>
    </row>
    <row r="34" ht="22.5" customHeight="1">
      <c r="A34" s="16">
        <v>1.0</v>
      </c>
      <c r="B34" s="16">
        <v>3.0</v>
      </c>
      <c r="C34" s="16">
        <v>0.0</v>
      </c>
      <c r="D34" s="16">
        <v>0.0</v>
      </c>
      <c r="E34" s="16">
        <v>0.0</v>
      </c>
      <c r="F34" s="16">
        <v>0.0</v>
      </c>
      <c r="G34" s="18">
        <v>0.0</v>
      </c>
      <c r="H34" s="16" t="s">
        <v>55</v>
      </c>
      <c r="I34" s="19">
        <f t="shared" si="1"/>
        <v>0</v>
      </c>
      <c r="J34" s="19">
        <f t="shared" si="2"/>
        <v>0</v>
      </c>
    </row>
    <row r="35" ht="22.5" customHeight="1">
      <c r="A35" s="16">
        <v>1.0</v>
      </c>
      <c r="B35" s="16">
        <v>4.0</v>
      </c>
      <c r="C35" s="16">
        <v>0.0</v>
      </c>
      <c r="D35" s="16">
        <v>0.0</v>
      </c>
      <c r="E35" s="16">
        <v>0.0</v>
      </c>
      <c r="F35" s="16">
        <v>0.0</v>
      </c>
      <c r="G35" s="18">
        <v>0.0</v>
      </c>
      <c r="H35" s="16" t="s">
        <v>55</v>
      </c>
      <c r="I35" s="19">
        <f t="shared" si="1"/>
        <v>0</v>
      </c>
      <c r="J35" s="19">
        <f t="shared" si="2"/>
        <v>0</v>
      </c>
    </row>
    <row r="36" ht="22.5" customHeight="1">
      <c r="A36" s="16">
        <v>5.0</v>
      </c>
      <c r="B36" s="16">
        <v>18.0</v>
      </c>
      <c r="C36" s="16">
        <v>0.0</v>
      </c>
      <c r="D36" s="16">
        <v>0.0</v>
      </c>
      <c r="E36" s="16">
        <v>0.0</v>
      </c>
      <c r="F36" s="16">
        <v>0.0</v>
      </c>
      <c r="G36" s="18">
        <v>0.0</v>
      </c>
      <c r="H36" s="16" t="s">
        <v>59</v>
      </c>
      <c r="I36" s="19">
        <f t="shared" si="1"/>
        <v>0</v>
      </c>
      <c r="J36" s="19">
        <f t="shared" si="2"/>
        <v>0</v>
      </c>
    </row>
    <row r="37" ht="22.5" customHeight="1">
      <c r="A37" s="16">
        <v>1.0</v>
      </c>
      <c r="B37" s="16">
        <v>3.0</v>
      </c>
      <c r="C37" s="16">
        <v>0.0</v>
      </c>
      <c r="D37" s="16">
        <v>0.0</v>
      </c>
      <c r="E37" s="16">
        <v>0.0</v>
      </c>
      <c r="F37" s="16">
        <v>0.0</v>
      </c>
      <c r="G37" s="18">
        <v>0.0</v>
      </c>
      <c r="H37" s="16" t="s">
        <v>61</v>
      </c>
      <c r="I37" s="19">
        <f t="shared" si="1"/>
        <v>0</v>
      </c>
      <c r="J37" s="19">
        <f t="shared" si="2"/>
        <v>0</v>
      </c>
    </row>
    <row r="38" ht="22.5" customHeight="1">
      <c r="A38" s="16">
        <v>4.0</v>
      </c>
      <c r="B38" s="16">
        <v>15.0</v>
      </c>
      <c r="C38" s="16">
        <v>4.0</v>
      </c>
      <c r="D38" s="16">
        <v>0.0</v>
      </c>
      <c r="E38" s="16">
        <v>0.0</v>
      </c>
      <c r="F38" s="16">
        <v>0.0</v>
      </c>
      <c r="G38" s="18">
        <v>0.0</v>
      </c>
      <c r="H38" s="16" t="s">
        <v>61</v>
      </c>
      <c r="I38" s="19">
        <f t="shared" si="1"/>
        <v>0</v>
      </c>
      <c r="J38" s="19">
        <f t="shared" si="2"/>
        <v>0</v>
      </c>
    </row>
    <row r="39" ht="22.5" customHeight="1">
      <c r="A39" s="16">
        <v>2.0</v>
      </c>
      <c r="B39" s="16">
        <v>7.0</v>
      </c>
      <c r="C39" s="16">
        <v>5.0</v>
      </c>
      <c r="D39" s="16">
        <v>2.0</v>
      </c>
      <c r="E39" s="16">
        <v>0.0</v>
      </c>
      <c r="F39" s="16">
        <v>0.0</v>
      </c>
      <c r="G39" s="18">
        <v>0.2</v>
      </c>
      <c r="H39" s="16" t="s">
        <v>65</v>
      </c>
      <c r="I39" s="19">
        <f t="shared" si="1"/>
        <v>4</v>
      </c>
      <c r="J39" s="19">
        <f t="shared" si="2"/>
        <v>0</v>
      </c>
    </row>
    <row r="40" ht="22.5" customHeight="1">
      <c r="A40" s="16">
        <v>5.0</v>
      </c>
      <c r="B40" s="16">
        <v>19.0</v>
      </c>
      <c r="C40" s="16">
        <v>0.0</v>
      </c>
      <c r="D40" s="16">
        <v>0.0</v>
      </c>
      <c r="E40" s="16">
        <v>0.0</v>
      </c>
      <c r="F40" s="16">
        <v>0.0</v>
      </c>
      <c r="G40" s="18">
        <v>0.0</v>
      </c>
      <c r="H40" s="16" t="s">
        <v>68</v>
      </c>
      <c r="I40" s="19">
        <f t="shared" si="1"/>
        <v>0</v>
      </c>
      <c r="J40" s="19">
        <f t="shared" si="2"/>
        <v>0</v>
      </c>
    </row>
    <row r="41" ht="22.5" customHeight="1">
      <c r="A41" s="16">
        <v>5.0</v>
      </c>
      <c r="B41" s="16">
        <v>19.0</v>
      </c>
      <c r="C41" s="16">
        <v>3.0</v>
      </c>
      <c r="D41" s="16">
        <v>0.0</v>
      </c>
      <c r="E41" s="16">
        <v>0.0</v>
      </c>
      <c r="F41" s="16">
        <v>0.0</v>
      </c>
      <c r="G41" s="18">
        <v>0.0</v>
      </c>
      <c r="H41" s="16" t="s">
        <v>71</v>
      </c>
      <c r="I41" s="19">
        <f t="shared" si="1"/>
        <v>0</v>
      </c>
      <c r="J41" s="19">
        <f t="shared" si="2"/>
        <v>0</v>
      </c>
    </row>
    <row r="42" ht="22.5" customHeight="1">
      <c r="A42" s="16">
        <v>1.0</v>
      </c>
      <c r="B42" s="16">
        <v>4.0</v>
      </c>
      <c r="C42" s="16">
        <v>0.0</v>
      </c>
      <c r="D42" s="16">
        <v>0.0</v>
      </c>
      <c r="E42" s="16">
        <v>0.0</v>
      </c>
      <c r="F42" s="16">
        <v>0.0</v>
      </c>
      <c r="G42" s="18">
        <v>0.0</v>
      </c>
      <c r="H42" s="16" t="s">
        <v>73</v>
      </c>
      <c r="I42" s="19">
        <f t="shared" si="1"/>
        <v>0</v>
      </c>
      <c r="J42" s="19">
        <f t="shared" si="2"/>
        <v>0</v>
      </c>
    </row>
    <row r="43" ht="22.5" customHeight="1">
      <c r="A43" s="16">
        <v>2.0</v>
      </c>
      <c r="B43" s="16">
        <v>8.0</v>
      </c>
      <c r="C43" s="16">
        <v>2.0</v>
      </c>
      <c r="D43" s="16">
        <v>0.0</v>
      </c>
      <c r="E43" s="16">
        <v>0.0</v>
      </c>
      <c r="F43" s="16">
        <v>0.0</v>
      </c>
      <c r="G43" s="18">
        <v>0.0</v>
      </c>
      <c r="H43" s="16" t="s">
        <v>73</v>
      </c>
      <c r="I43" s="19">
        <f t="shared" si="1"/>
        <v>0</v>
      </c>
      <c r="J43" s="19">
        <f t="shared" si="2"/>
        <v>0</v>
      </c>
    </row>
    <row r="44" ht="22.5" customHeight="1">
      <c r="A44" s="16">
        <v>1.0</v>
      </c>
      <c r="B44" s="16">
        <v>4.0</v>
      </c>
      <c r="C44" s="16">
        <v>0.0</v>
      </c>
      <c r="D44" s="16">
        <v>0.0</v>
      </c>
      <c r="E44" s="16">
        <v>0.0</v>
      </c>
      <c r="F44" s="16">
        <v>0.0</v>
      </c>
      <c r="G44" s="18">
        <v>0.0</v>
      </c>
      <c r="H44" s="16" t="s">
        <v>75</v>
      </c>
      <c r="I44" s="19">
        <f t="shared" si="1"/>
        <v>0</v>
      </c>
      <c r="J44" s="19">
        <f t="shared" si="2"/>
        <v>0</v>
      </c>
    </row>
    <row r="45" ht="22.5" customHeight="1">
      <c r="A45" s="16">
        <v>4.0</v>
      </c>
      <c r="B45" s="16">
        <v>15.0</v>
      </c>
      <c r="C45" s="16">
        <v>5.0</v>
      </c>
      <c r="D45" s="16">
        <v>1.0</v>
      </c>
      <c r="E45" s="16">
        <v>0.0</v>
      </c>
      <c r="F45" s="16">
        <v>0.0</v>
      </c>
      <c r="G45" s="18">
        <v>0.2</v>
      </c>
      <c r="H45" s="16" t="s">
        <v>75</v>
      </c>
      <c r="I45" s="19">
        <f t="shared" si="1"/>
        <v>4</v>
      </c>
      <c r="J45" s="19">
        <f t="shared" si="2"/>
        <v>0</v>
      </c>
    </row>
    <row r="46" ht="22.5" customHeight="1">
      <c r="A46" s="16">
        <v>1.0</v>
      </c>
      <c r="B46" s="16">
        <v>4.0</v>
      </c>
      <c r="C46" s="16">
        <v>1.0</v>
      </c>
      <c r="D46" s="16">
        <v>4.0</v>
      </c>
      <c r="E46" s="16">
        <v>0.0</v>
      </c>
      <c r="F46" s="16">
        <v>0.0</v>
      </c>
      <c r="G46" s="18">
        <v>1.0</v>
      </c>
      <c r="H46" s="16" t="s">
        <v>79</v>
      </c>
      <c r="I46" s="19">
        <f t="shared" si="1"/>
        <v>4</v>
      </c>
      <c r="J46" s="19">
        <f t="shared" si="2"/>
        <v>0</v>
      </c>
    </row>
    <row r="47" ht="22.5" customHeight="1">
      <c r="A47" s="16">
        <v>2.0</v>
      </c>
      <c r="B47" s="16">
        <v>8.0</v>
      </c>
      <c r="C47" s="16">
        <v>2.0</v>
      </c>
      <c r="D47" s="16">
        <v>4.0</v>
      </c>
      <c r="E47" s="16">
        <v>0.0</v>
      </c>
      <c r="F47" s="16">
        <v>0.0</v>
      </c>
      <c r="G47" s="18">
        <v>1.0</v>
      </c>
      <c r="H47" s="16" t="s">
        <v>79</v>
      </c>
      <c r="I47" s="19">
        <f t="shared" si="1"/>
        <v>8</v>
      </c>
      <c r="J47" s="19">
        <f t="shared" si="2"/>
        <v>0</v>
      </c>
    </row>
    <row r="48" ht="22.5" customHeight="1">
      <c r="A48" s="16">
        <v>1.0</v>
      </c>
      <c r="B48" s="16">
        <v>3.0</v>
      </c>
      <c r="C48" s="16">
        <v>1.0</v>
      </c>
      <c r="D48" s="16">
        <v>4.0</v>
      </c>
      <c r="E48" s="16">
        <v>0.0</v>
      </c>
      <c r="F48" s="16">
        <v>0.0</v>
      </c>
      <c r="G48" s="18">
        <v>1.0</v>
      </c>
      <c r="H48" s="16" t="s">
        <v>79</v>
      </c>
      <c r="I48" s="19">
        <f t="shared" si="1"/>
        <v>4</v>
      </c>
      <c r="J48" s="19">
        <f t="shared" si="2"/>
        <v>0</v>
      </c>
    </row>
    <row r="49" ht="22.5" customHeight="1">
      <c r="A49" s="16">
        <v>1.0</v>
      </c>
      <c r="B49" s="16">
        <v>4.0</v>
      </c>
      <c r="C49" s="16">
        <v>1.0</v>
      </c>
      <c r="D49" s="16">
        <v>-4.0</v>
      </c>
      <c r="E49" s="16">
        <v>1.0</v>
      </c>
      <c r="F49" s="16">
        <v>0.0</v>
      </c>
      <c r="G49" s="18">
        <v>0.0</v>
      </c>
      <c r="H49" s="16" t="s">
        <v>79</v>
      </c>
      <c r="I49" s="19">
        <f t="shared" si="1"/>
        <v>-4</v>
      </c>
      <c r="J49" s="19">
        <f t="shared" si="2"/>
        <v>1</v>
      </c>
    </row>
    <row r="50" ht="22.5" customHeight="1">
      <c r="A50" s="16">
        <v>1.0</v>
      </c>
      <c r="B50" s="16">
        <v>4.0</v>
      </c>
      <c r="C50" s="16">
        <v>0.0</v>
      </c>
      <c r="D50" s="16">
        <v>0.0</v>
      </c>
      <c r="E50" s="16">
        <v>0.0</v>
      </c>
      <c r="F50" s="16">
        <v>0.0</v>
      </c>
      <c r="G50" s="18">
        <v>0.0</v>
      </c>
      <c r="H50" s="16" t="s">
        <v>85</v>
      </c>
      <c r="I50" s="19">
        <f t="shared" si="1"/>
        <v>0</v>
      </c>
      <c r="J50" s="19">
        <f t="shared" si="2"/>
        <v>0</v>
      </c>
    </row>
    <row r="51" ht="22.5" customHeight="1">
      <c r="A51" s="16">
        <v>1.0</v>
      </c>
      <c r="B51" s="16">
        <v>4.0</v>
      </c>
      <c r="C51" s="16">
        <v>1.0</v>
      </c>
      <c r="D51" s="16">
        <v>0.0</v>
      </c>
      <c r="E51" s="16">
        <v>0.0</v>
      </c>
      <c r="F51" s="16">
        <v>0.0</v>
      </c>
      <c r="G51" s="18">
        <v>0.0</v>
      </c>
      <c r="H51" s="16" t="s">
        <v>88</v>
      </c>
      <c r="I51" s="19">
        <f t="shared" si="1"/>
        <v>0</v>
      </c>
      <c r="J51" s="19">
        <f t="shared" si="2"/>
        <v>0</v>
      </c>
    </row>
    <row r="52" ht="22.5" customHeight="1">
      <c r="A52" s="16">
        <v>2.0</v>
      </c>
      <c r="B52" s="16">
        <v>7.0</v>
      </c>
      <c r="C52" s="16">
        <v>0.0</v>
      </c>
      <c r="D52" s="16">
        <v>0.0</v>
      </c>
      <c r="E52" s="16">
        <v>0.0</v>
      </c>
      <c r="F52" s="16">
        <v>0.0</v>
      </c>
      <c r="G52" s="18">
        <v>0.0</v>
      </c>
      <c r="H52" s="16" t="s">
        <v>88</v>
      </c>
      <c r="I52" s="19">
        <f t="shared" si="1"/>
        <v>0</v>
      </c>
      <c r="J52" s="19">
        <f t="shared" si="2"/>
        <v>0</v>
      </c>
    </row>
    <row r="53" ht="22.5" customHeight="1">
      <c r="A53" s="16">
        <v>1.0</v>
      </c>
      <c r="B53" s="16">
        <v>4.0</v>
      </c>
      <c r="C53" s="16">
        <v>1.0</v>
      </c>
      <c r="D53" s="16">
        <v>0.0</v>
      </c>
      <c r="E53" s="16">
        <v>0.0</v>
      </c>
      <c r="F53" s="16">
        <v>0.0</v>
      </c>
      <c r="G53" s="18">
        <v>0.0</v>
      </c>
      <c r="H53" s="16" t="s">
        <v>76</v>
      </c>
      <c r="I53" s="19">
        <f t="shared" si="1"/>
        <v>0</v>
      </c>
      <c r="J53" s="19">
        <f t="shared" si="2"/>
        <v>0</v>
      </c>
    </row>
    <row r="54" ht="22.5" customHeight="1">
      <c r="A54" s="16">
        <v>4.0</v>
      </c>
      <c r="B54" s="16">
        <v>15.0</v>
      </c>
      <c r="C54" s="16">
        <v>2.0</v>
      </c>
      <c r="D54" s="16">
        <v>2.0</v>
      </c>
      <c r="E54" s="16">
        <v>0.0</v>
      </c>
      <c r="F54" s="16">
        <v>0.0</v>
      </c>
      <c r="G54" s="18">
        <v>1.0</v>
      </c>
      <c r="H54" s="16" t="s">
        <v>92</v>
      </c>
      <c r="I54" s="19">
        <f t="shared" si="1"/>
        <v>8</v>
      </c>
      <c r="J54" s="19">
        <f t="shared" si="2"/>
        <v>0</v>
      </c>
    </row>
    <row r="55" ht="22.5" customHeight="1">
      <c r="A55" s="16">
        <v>3.0</v>
      </c>
      <c r="B55" s="16">
        <v>12.0</v>
      </c>
      <c r="C55" s="16">
        <v>6.0</v>
      </c>
      <c r="D55" s="16">
        <v>8.0</v>
      </c>
      <c r="E55" s="16">
        <v>0.0</v>
      </c>
      <c r="F55" s="16">
        <v>0.0</v>
      </c>
      <c r="G55" s="18">
        <v>1.0</v>
      </c>
      <c r="H55" s="16" t="s">
        <v>94</v>
      </c>
      <c r="I55" s="19">
        <f t="shared" si="1"/>
        <v>24</v>
      </c>
      <c r="J55" s="19">
        <f t="shared" si="2"/>
        <v>0</v>
      </c>
    </row>
    <row r="56" ht="22.5" customHeight="1">
      <c r="A56" s="16">
        <v>4.0</v>
      </c>
      <c r="B56" s="16">
        <v>15.0</v>
      </c>
      <c r="C56" s="16">
        <v>2.0</v>
      </c>
      <c r="D56" s="16">
        <v>0.0</v>
      </c>
      <c r="E56" s="16">
        <v>0.25</v>
      </c>
      <c r="F56" s="16">
        <v>0.0</v>
      </c>
      <c r="G56" s="18">
        <v>0.5</v>
      </c>
      <c r="H56" s="16" t="s">
        <v>96</v>
      </c>
      <c r="I56" s="19">
        <f t="shared" si="1"/>
        <v>0</v>
      </c>
      <c r="J56" s="19">
        <f t="shared" si="2"/>
        <v>1</v>
      </c>
    </row>
    <row r="57" ht="22.5" customHeight="1">
      <c r="A57" s="16">
        <v>1.0</v>
      </c>
      <c r="B57" s="16">
        <v>4.0</v>
      </c>
      <c r="C57" s="16">
        <v>2.0</v>
      </c>
      <c r="D57" s="16">
        <v>0.0</v>
      </c>
      <c r="E57" s="16">
        <v>1.0</v>
      </c>
      <c r="F57" s="16">
        <v>0.0</v>
      </c>
      <c r="G57" s="18">
        <v>0.5</v>
      </c>
      <c r="H57" s="16" t="s">
        <v>96</v>
      </c>
      <c r="I57" s="19">
        <f t="shared" si="1"/>
        <v>0</v>
      </c>
      <c r="J57" s="19">
        <f t="shared" si="2"/>
        <v>1</v>
      </c>
    </row>
    <row r="58" ht="22.5" customHeight="1">
      <c r="A58" s="16">
        <v>5.0</v>
      </c>
      <c r="B58" s="16">
        <v>19.0</v>
      </c>
      <c r="C58" s="16">
        <v>3.0</v>
      </c>
      <c r="D58" s="16">
        <v>1.6</v>
      </c>
      <c r="E58" s="16">
        <v>0.0</v>
      </c>
      <c r="F58" s="16">
        <v>0.0</v>
      </c>
      <c r="G58" s="20">
        <v>0.667</v>
      </c>
      <c r="H58" s="16" t="s">
        <v>90</v>
      </c>
      <c r="I58" s="19">
        <f t="shared" si="1"/>
        <v>8</v>
      </c>
      <c r="J58" s="19">
        <f t="shared" si="2"/>
        <v>0</v>
      </c>
    </row>
    <row r="59" ht="22.5" customHeight="1">
      <c r="A59" s="16">
        <v>4.0</v>
      </c>
      <c r="B59" s="16">
        <v>15.0</v>
      </c>
      <c r="C59" s="16">
        <v>1.0</v>
      </c>
      <c r="D59" s="16">
        <v>0.0</v>
      </c>
      <c r="E59" s="16">
        <v>0.0</v>
      </c>
      <c r="F59" s="16">
        <v>0.0</v>
      </c>
      <c r="G59" s="18">
        <v>0.0</v>
      </c>
      <c r="H59" s="16" t="s">
        <v>100</v>
      </c>
      <c r="I59" s="19">
        <f t="shared" si="1"/>
        <v>0</v>
      </c>
      <c r="J59" s="19">
        <f t="shared" si="2"/>
        <v>0</v>
      </c>
    </row>
    <row r="60" ht="22.5" customHeight="1">
      <c r="A60" s="16">
        <v>1.0</v>
      </c>
      <c r="B60" s="16">
        <v>4.0</v>
      </c>
      <c r="C60" s="16">
        <v>0.0</v>
      </c>
      <c r="D60" s="16">
        <v>0.0</v>
      </c>
      <c r="E60" s="16">
        <v>0.0</v>
      </c>
      <c r="F60" s="16">
        <v>0.0</v>
      </c>
      <c r="G60" s="18">
        <v>0.0</v>
      </c>
      <c r="H60" s="16" t="s">
        <v>102</v>
      </c>
      <c r="I60" s="19">
        <f t="shared" si="1"/>
        <v>0</v>
      </c>
      <c r="J60" s="19">
        <f t="shared" si="2"/>
        <v>0</v>
      </c>
    </row>
    <row r="61" ht="22.5" customHeight="1">
      <c r="A61" s="16">
        <v>1.0</v>
      </c>
      <c r="B61" s="16">
        <v>4.0</v>
      </c>
      <c r="C61" s="16">
        <v>0.0</v>
      </c>
      <c r="D61" s="16">
        <v>0.0</v>
      </c>
      <c r="E61" s="16">
        <v>0.0</v>
      </c>
      <c r="F61" s="16">
        <v>0.0</v>
      </c>
      <c r="G61" s="18">
        <v>0.0</v>
      </c>
      <c r="H61" s="16" t="s">
        <v>102</v>
      </c>
      <c r="I61" s="19">
        <f t="shared" si="1"/>
        <v>0</v>
      </c>
      <c r="J61" s="19">
        <f t="shared" si="2"/>
        <v>0</v>
      </c>
    </row>
    <row r="62" ht="22.5" customHeight="1">
      <c r="A62" s="16">
        <v>5.0</v>
      </c>
      <c r="B62" s="16">
        <v>20.0</v>
      </c>
      <c r="C62" s="16">
        <v>7.0</v>
      </c>
      <c r="D62" s="16">
        <v>5.6</v>
      </c>
      <c r="E62" s="16">
        <v>0.0</v>
      </c>
      <c r="F62" s="16">
        <v>0.0</v>
      </c>
      <c r="G62" s="18">
        <v>1.0</v>
      </c>
      <c r="H62" s="16" t="s">
        <v>66</v>
      </c>
      <c r="I62" s="19">
        <f t="shared" si="1"/>
        <v>28</v>
      </c>
      <c r="J62" s="19">
        <f t="shared" si="2"/>
        <v>0</v>
      </c>
    </row>
    <row r="63" ht="22.5" customHeight="1">
      <c r="A63" s="16">
        <v>2.0</v>
      </c>
      <c r="B63" s="16">
        <v>8.0</v>
      </c>
      <c r="C63" s="16">
        <v>0.0</v>
      </c>
      <c r="D63" s="16">
        <v>0.0</v>
      </c>
      <c r="E63" s="16">
        <v>0.0</v>
      </c>
      <c r="F63" s="16">
        <v>0.0</v>
      </c>
      <c r="G63" s="18">
        <v>0.0</v>
      </c>
      <c r="H63" s="16" t="s">
        <v>108</v>
      </c>
      <c r="I63" s="19">
        <f t="shared" si="1"/>
        <v>0</v>
      </c>
      <c r="J63" s="19">
        <f t="shared" si="2"/>
        <v>0</v>
      </c>
    </row>
    <row r="64" ht="22.5" customHeight="1">
      <c r="A64" s="16">
        <v>2.0</v>
      </c>
      <c r="B64" s="16">
        <v>8.0</v>
      </c>
      <c r="C64" s="16">
        <v>0.0</v>
      </c>
      <c r="D64" s="16">
        <v>0.0</v>
      </c>
      <c r="E64" s="16">
        <v>0.0</v>
      </c>
      <c r="F64" s="16">
        <v>0.0</v>
      </c>
      <c r="G64" s="18">
        <v>0.0</v>
      </c>
      <c r="H64" s="16" t="s">
        <v>109</v>
      </c>
      <c r="I64" s="19">
        <f t="shared" si="1"/>
        <v>0</v>
      </c>
      <c r="J64" s="19">
        <f t="shared" si="2"/>
        <v>0</v>
      </c>
    </row>
    <row r="65" ht="22.5" customHeight="1">
      <c r="A65" s="16">
        <v>1.0</v>
      </c>
      <c r="B65" s="16">
        <v>4.0</v>
      </c>
      <c r="C65" s="16">
        <v>0.0</v>
      </c>
      <c r="D65" s="16">
        <v>0.0</v>
      </c>
      <c r="E65" s="16">
        <v>0.0</v>
      </c>
      <c r="F65" s="16">
        <v>0.0</v>
      </c>
      <c r="G65" s="18">
        <v>0.0</v>
      </c>
      <c r="H65" s="16" t="s">
        <v>110</v>
      </c>
      <c r="I65" s="19">
        <f t="shared" si="1"/>
        <v>0</v>
      </c>
      <c r="J65" s="19">
        <f t="shared" si="2"/>
        <v>0</v>
      </c>
    </row>
    <row r="66" ht="22.5" customHeight="1">
      <c r="A66" s="16">
        <v>2.0</v>
      </c>
      <c r="B66" s="16">
        <v>8.0</v>
      </c>
      <c r="C66" s="16">
        <v>0.0</v>
      </c>
      <c r="D66" s="16">
        <v>0.0</v>
      </c>
      <c r="E66" s="16">
        <v>0.0</v>
      </c>
      <c r="F66" s="16">
        <v>0.0</v>
      </c>
      <c r="G66" s="18">
        <v>0.0</v>
      </c>
      <c r="H66" s="16" t="s">
        <v>111</v>
      </c>
      <c r="I66" s="19">
        <f t="shared" si="1"/>
        <v>0</v>
      </c>
      <c r="J66" s="19">
        <f t="shared" si="2"/>
        <v>0</v>
      </c>
    </row>
    <row r="67" ht="22.5" customHeight="1">
      <c r="A67" s="16">
        <v>1.0</v>
      </c>
      <c r="B67" s="16">
        <v>4.0</v>
      </c>
      <c r="C67" s="16">
        <v>0.0</v>
      </c>
      <c r="D67" s="16">
        <v>0.0</v>
      </c>
      <c r="E67" s="16">
        <v>0.0</v>
      </c>
      <c r="F67" s="16">
        <v>0.0</v>
      </c>
      <c r="G67" s="18">
        <v>0.0</v>
      </c>
      <c r="H67" s="16" t="s">
        <v>111</v>
      </c>
      <c r="I67" s="19">
        <f t="shared" si="1"/>
        <v>0</v>
      </c>
      <c r="J67" s="19">
        <f t="shared" si="2"/>
        <v>0</v>
      </c>
    </row>
    <row r="68" ht="22.5" customHeight="1">
      <c r="A68" s="16">
        <v>2.0</v>
      </c>
      <c r="B68" s="16">
        <v>8.0</v>
      </c>
      <c r="C68" s="16">
        <v>0.0</v>
      </c>
      <c r="D68" s="16">
        <v>0.0</v>
      </c>
      <c r="E68" s="16">
        <v>0.0</v>
      </c>
      <c r="F68" s="16">
        <v>0.0</v>
      </c>
      <c r="G68" s="18">
        <v>0.0</v>
      </c>
      <c r="H68" s="16" t="s">
        <v>111</v>
      </c>
      <c r="I68" s="19">
        <f t="shared" si="1"/>
        <v>0</v>
      </c>
      <c r="J68" s="19">
        <f t="shared" si="2"/>
        <v>0</v>
      </c>
    </row>
    <row r="69" ht="22.5" customHeight="1">
      <c r="A69" s="16">
        <v>3.0</v>
      </c>
      <c r="B69" s="16">
        <v>12.0</v>
      </c>
      <c r="C69" s="16">
        <v>0.0</v>
      </c>
      <c r="D69" s="16">
        <v>0.0</v>
      </c>
      <c r="E69" s="16">
        <v>0.0</v>
      </c>
      <c r="F69" s="16">
        <v>0.0</v>
      </c>
      <c r="G69" s="18">
        <v>0.0</v>
      </c>
      <c r="H69" s="16" t="s">
        <v>115</v>
      </c>
      <c r="I69" s="19">
        <f t="shared" si="1"/>
        <v>0</v>
      </c>
      <c r="J69" s="19">
        <f t="shared" si="2"/>
        <v>0</v>
      </c>
    </row>
    <row r="70" ht="22.5" customHeight="1">
      <c r="A70" s="16">
        <v>2.0</v>
      </c>
      <c r="B70" s="16">
        <v>8.0</v>
      </c>
      <c r="C70" s="16">
        <v>0.0</v>
      </c>
      <c r="D70" s="16">
        <v>0.0</v>
      </c>
      <c r="E70" s="16">
        <v>0.0</v>
      </c>
      <c r="F70" s="16">
        <v>0.0</v>
      </c>
      <c r="G70" s="18">
        <v>0.0</v>
      </c>
      <c r="H70" s="16" t="s">
        <v>115</v>
      </c>
      <c r="I70" s="19">
        <f t="shared" si="1"/>
        <v>0</v>
      </c>
      <c r="J70" s="19">
        <f t="shared" si="2"/>
        <v>0</v>
      </c>
    </row>
    <row r="71" ht="22.5" customHeight="1">
      <c r="A71" s="16">
        <v>2.0</v>
      </c>
      <c r="B71" s="16">
        <v>8.0</v>
      </c>
      <c r="C71" s="16">
        <v>2.0</v>
      </c>
      <c r="D71" s="16">
        <v>4.0</v>
      </c>
      <c r="E71" s="16">
        <v>0.0</v>
      </c>
      <c r="F71" s="16">
        <v>0.0</v>
      </c>
      <c r="G71" s="18">
        <v>1.0</v>
      </c>
      <c r="H71" s="16" t="s">
        <v>117</v>
      </c>
      <c r="I71" s="19">
        <f t="shared" si="1"/>
        <v>8</v>
      </c>
      <c r="J71" s="19">
        <f t="shared" si="2"/>
        <v>0</v>
      </c>
    </row>
    <row r="72" ht="22.5" customHeight="1">
      <c r="A72" s="16">
        <v>1.0</v>
      </c>
      <c r="B72" s="16">
        <v>4.0</v>
      </c>
      <c r="C72" s="16">
        <v>1.0</v>
      </c>
      <c r="D72" s="16">
        <v>4.0</v>
      </c>
      <c r="E72" s="16">
        <v>0.0</v>
      </c>
      <c r="F72" s="16">
        <v>0.0</v>
      </c>
      <c r="G72" s="18">
        <v>1.0</v>
      </c>
      <c r="H72" s="16" t="s">
        <v>117</v>
      </c>
      <c r="I72" s="19">
        <f t="shared" si="1"/>
        <v>4</v>
      </c>
      <c r="J72" s="19">
        <f t="shared" si="2"/>
        <v>0</v>
      </c>
    </row>
    <row r="73" ht="22.5" customHeight="1">
      <c r="A73" s="16">
        <v>1.0</v>
      </c>
      <c r="B73" s="16">
        <v>4.0</v>
      </c>
      <c r="C73" s="16">
        <v>3.0</v>
      </c>
      <c r="D73" s="16">
        <v>12.0</v>
      </c>
      <c r="E73" s="16">
        <v>0.0</v>
      </c>
      <c r="F73" s="16">
        <v>0.0</v>
      </c>
      <c r="G73" s="18">
        <v>1.0</v>
      </c>
      <c r="H73" s="16" t="s">
        <v>117</v>
      </c>
      <c r="I73" s="19">
        <f t="shared" si="1"/>
        <v>12</v>
      </c>
      <c r="J73" s="19">
        <f t="shared" si="2"/>
        <v>0</v>
      </c>
    </row>
    <row r="74" ht="22.5" customHeight="1">
      <c r="A74" s="16">
        <v>1.0</v>
      </c>
      <c r="B74" s="16">
        <v>4.0</v>
      </c>
      <c r="C74" s="16">
        <v>3.0</v>
      </c>
      <c r="D74" s="16">
        <v>0.0</v>
      </c>
      <c r="E74" s="16">
        <v>0.0</v>
      </c>
      <c r="F74" s="16">
        <v>0.0</v>
      </c>
      <c r="G74" s="18">
        <v>0.0</v>
      </c>
      <c r="H74" s="16" t="s">
        <v>117</v>
      </c>
      <c r="I74" s="19">
        <f t="shared" si="1"/>
        <v>0</v>
      </c>
      <c r="J74" s="19">
        <f t="shared" si="2"/>
        <v>0</v>
      </c>
    </row>
    <row r="75" ht="22.5" customHeight="1">
      <c r="A75" s="16">
        <v>3.0</v>
      </c>
      <c r="B75" s="16">
        <v>11.0</v>
      </c>
      <c r="C75" s="16">
        <v>0.0</v>
      </c>
      <c r="D75" s="16">
        <v>0.0</v>
      </c>
      <c r="E75" s="16">
        <v>0.0</v>
      </c>
      <c r="F75" s="16">
        <v>0.0</v>
      </c>
      <c r="G75" s="18">
        <v>0.0</v>
      </c>
      <c r="H75" s="16" t="s">
        <v>123</v>
      </c>
      <c r="I75" s="19">
        <f t="shared" si="1"/>
        <v>0</v>
      </c>
      <c r="J75" s="19">
        <f t="shared" si="2"/>
        <v>0</v>
      </c>
    </row>
    <row r="76" ht="22.5" customHeight="1">
      <c r="A76" s="16">
        <v>5.0</v>
      </c>
      <c r="B76" s="16">
        <v>19.0</v>
      </c>
      <c r="C76" s="16">
        <v>1.0</v>
      </c>
      <c r="D76" s="16">
        <v>0.8</v>
      </c>
      <c r="E76" s="16">
        <v>0.0</v>
      </c>
      <c r="F76" s="16">
        <v>0.0</v>
      </c>
      <c r="G76" s="18">
        <v>1.0</v>
      </c>
      <c r="H76" s="16" t="s">
        <v>124</v>
      </c>
      <c r="I76" s="19">
        <f t="shared" si="1"/>
        <v>4</v>
      </c>
      <c r="J76" s="19">
        <f t="shared" si="2"/>
        <v>0</v>
      </c>
    </row>
    <row r="77" ht="22.5" customHeight="1">
      <c r="A77" s="16">
        <v>5.0</v>
      </c>
      <c r="B77" s="16">
        <v>19.0</v>
      </c>
      <c r="C77" s="16">
        <v>6.0</v>
      </c>
      <c r="D77" s="16">
        <v>4.0</v>
      </c>
      <c r="E77" s="16">
        <v>0.0</v>
      </c>
      <c r="F77" s="16">
        <v>0.0</v>
      </c>
      <c r="G77" s="20">
        <v>0.833</v>
      </c>
      <c r="H77" s="16" t="s">
        <v>127</v>
      </c>
      <c r="I77" s="19">
        <f t="shared" si="1"/>
        <v>20</v>
      </c>
      <c r="J77" s="19">
        <f t="shared" si="2"/>
        <v>0</v>
      </c>
    </row>
    <row r="78" ht="22.5" customHeight="1">
      <c r="A78" s="16">
        <v>5.0</v>
      </c>
      <c r="B78" s="16">
        <v>19.0</v>
      </c>
      <c r="C78" s="16">
        <v>1.0</v>
      </c>
      <c r="D78" s="16">
        <v>0.0</v>
      </c>
      <c r="E78" s="16">
        <v>0.0</v>
      </c>
      <c r="F78" s="16">
        <v>0.0</v>
      </c>
      <c r="G78" s="18">
        <v>0.0</v>
      </c>
      <c r="H78" s="16" t="s">
        <v>128</v>
      </c>
      <c r="I78" s="19">
        <f t="shared" si="1"/>
        <v>0</v>
      </c>
      <c r="J78" s="19">
        <f t="shared" si="2"/>
        <v>0</v>
      </c>
    </row>
    <row r="79" ht="22.5" customHeight="1">
      <c r="A79" s="16">
        <v>4.0</v>
      </c>
      <c r="B79" s="16">
        <v>16.0</v>
      </c>
      <c r="C79" s="16">
        <v>0.0</v>
      </c>
      <c r="D79" s="16">
        <v>0.0</v>
      </c>
      <c r="E79" s="16">
        <v>0.0</v>
      </c>
      <c r="F79" s="16">
        <v>0.0</v>
      </c>
      <c r="G79" s="18">
        <v>0.0</v>
      </c>
      <c r="H79" s="16" t="s">
        <v>130</v>
      </c>
      <c r="I79" s="19">
        <f t="shared" si="1"/>
        <v>0</v>
      </c>
      <c r="J79" s="19">
        <f t="shared" si="2"/>
        <v>0</v>
      </c>
    </row>
    <row r="80" ht="22.5" customHeight="1">
      <c r="A80" s="16">
        <v>1.0</v>
      </c>
      <c r="B80" s="16">
        <v>4.0</v>
      </c>
      <c r="C80" s="16">
        <v>0.0</v>
      </c>
      <c r="D80" s="16">
        <v>0.0</v>
      </c>
      <c r="E80" s="16">
        <v>0.0</v>
      </c>
      <c r="F80" s="16">
        <v>0.0</v>
      </c>
      <c r="G80" s="18">
        <v>0.0</v>
      </c>
      <c r="H80" s="16" t="s">
        <v>132</v>
      </c>
      <c r="I80" s="19">
        <f t="shared" si="1"/>
        <v>0</v>
      </c>
      <c r="J80" s="19">
        <f t="shared" si="2"/>
        <v>0</v>
      </c>
    </row>
    <row r="81" ht="22.5" customHeight="1">
      <c r="A81" s="16">
        <v>3.0</v>
      </c>
      <c r="B81" s="16">
        <v>11.0</v>
      </c>
      <c r="C81" s="16">
        <v>0.0</v>
      </c>
      <c r="D81" s="16">
        <v>0.0</v>
      </c>
      <c r="E81" s="16">
        <v>0.0</v>
      </c>
      <c r="F81" s="16">
        <v>0.0</v>
      </c>
      <c r="G81" s="18">
        <v>0.0</v>
      </c>
      <c r="H81" s="16" t="s">
        <v>132</v>
      </c>
      <c r="I81" s="19">
        <f t="shared" si="1"/>
        <v>0</v>
      </c>
      <c r="J81" s="19">
        <f t="shared" si="2"/>
        <v>0</v>
      </c>
    </row>
    <row r="82" ht="22.5" customHeight="1">
      <c r="A82" s="16">
        <v>1.0</v>
      </c>
      <c r="B82" s="16">
        <v>4.0</v>
      </c>
      <c r="C82" s="16">
        <v>3.0</v>
      </c>
      <c r="D82" s="16">
        <v>8.0</v>
      </c>
      <c r="E82" s="16">
        <v>0.0</v>
      </c>
      <c r="F82" s="16">
        <v>0.0</v>
      </c>
      <c r="G82" s="20">
        <v>0.667</v>
      </c>
      <c r="H82" s="16" t="s">
        <v>77</v>
      </c>
      <c r="I82" s="19">
        <f t="shared" si="1"/>
        <v>8</v>
      </c>
      <c r="J82" s="19">
        <f t="shared" si="2"/>
        <v>0</v>
      </c>
    </row>
    <row r="83" ht="22.5" customHeight="1">
      <c r="A83" s="16">
        <v>3.0</v>
      </c>
      <c r="B83" s="16">
        <v>11.0</v>
      </c>
      <c r="C83" s="16">
        <v>8.0</v>
      </c>
      <c r="D83" s="16">
        <v>5.33</v>
      </c>
      <c r="E83" s="16">
        <v>0.0</v>
      </c>
      <c r="F83" s="16">
        <v>0.0</v>
      </c>
      <c r="G83" s="18">
        <v>0.5</v>
      </c>
      <c r="H83" s="16" t="s">
        <v>77</v>
      </c>
      <c r="I83" s="19">
        <f t="shared" si="1"/>
        <v>16</v>
      </c>
      <c r="J83" s="19">
        <f t="shared" si="2"/>
        <v>0</v>
      </c>
    </row>
    <row r="84" ht="22.5" customHeight="1">
      <c r="A84" s="16">
        <v>1.0</v>
      </c>
      <c r="B84" s="16">
        <v>4.0</v>
      </c>
      <c r="C84" s="16">
        <v>0.0</v>
      </c>
      <c r="D84" s="16">
        <v>0.0</v>
      </c>
      <c r="E84" s="16">
        <v>0.0</v>
      </c>
      <c r="F84" s="16">
        <v>0.0</v>
      </c>
      <c r="G84" s="18">
        <v>0.0</v>
      </c>
      <c r="H84" s="16" t="s">
        <v>137</v>
      </c>
      <c r="I84" s="19">
        <f t="shared" si="1"/>
        <v>0</v>
      </c>
      <c r="J84" s="19">
        <f t="shared" si="2"/>
        <v>0</v>
      </c>
    </row>
    <row r="85" ht="22.5" customHeight="1">
      <c r="A85" s="16">
        <v>1.0</v>
      </c>
      <c r="B85" s="16">
        <v>3.0</v>
      </c>
      <c r="C85" s="16">
        <v>0.0</v>
      </c>
      <c r="D85" s="16">
        <v>0.0</v>
      </c>
      <c r="E85" s="16">
        <v>0.0</v>
      </c>
      <c r="F85" s="16">
        <v>0.0</v>
      </c>
      <c r="G85" s="18">
        <v>0.0</v>
      </c>
      <c r="H85" s="16" t="s">
        <v>137</v>
      </c>
      <c r="I85" s="19">
        <f t="shared" si="1"/>
        <v>0</v>
      </c>
      <c r="J85" s="19">
        <f t="shared" si="2"/>
        <v>0</v>
      </c>
    </row>
    <row r="86" ht="22.5" customHeight="1">
      <c r="A86" s="16">
        <v>5.0</v>
      </c>
      <c r="B86" s="16">
        <v>20.0</v>
      </c>
      <c r="C86" s="16">
        <v>7.0</v>
      </c>
      <c r="D86" s="16">
        <v>4.0</v>
      </c>
      <c r="E86" s="16">
        <v>0.2</v>
      </c>
      <c r="F86" s="16">
        <v>0.0</v>
      </c>
      <c r="G86" s="20">
        <v>0.857</v>
      </c>
      <c r="H86" s="16" t="s">
        <v>139</v>
      </c>
      <c r="I86" s="19">
        <f t="shared" si="1"/>
        <v>20</v>
      </c>
      <c r="J86" s="19">
        <f t="shared" si="2"/>
        <v>1</v>
      </c>
    </row>
    <row r="87" ht="22.5" customHeight="1">
      <c r="A87" s="16">
        <v>1.0</v>
      </c>
      <c r="B87" s="16">
        <v>4.0</v>
      </c>
      <c r="C87" s="16">
        <v>0.0</v>
      </c>
      <c r="D87" s="16">
        <v>0.0</v>
      </c>
      <c r="E87" s="16">
        <v>0.0</v>
      </c>
      <c r="F87" s="16">
        <v>0.0</v>
      </c>
      <c r="G87" s="18">
        <v>0.0</v>
      </c>
      <c r="H87" s="16" t="s">
        <v>142</v>
      </c>
      <c r="I87" s="19">
        <f t="shared" si="1"/>
        <v>0</v>
      </c>
      <c r="J87" s="19">
        <f t="shared" si="2"/>
        <v>0</v>
      </c>
    </row>
    <row r="88" ht="22.5" customHeight="1">
      <c r="A88" s="16">
        <v>5.0</v>
      </c>
      <c r="B88" s="16">
        <v>20.0</v>
      </c>
      <c r="C88" s="16">
        <v>9.0</v>
      </c>
      <c r="D88" s="16">
        <v>5.6</v>
      </c>
      <c r="E88" s="16">
        <v>0.0</v>
      </c>
      <c r="F88" s="16">
        <v>0.0</v>
      </c>
      <c r="G88" s="20">
        <v>0.778</v>
      </c>
      <c r="H88" s="16" t="s">
        <v>144</v>
      </c>
      <c r="I88" s="19">
        <f t="shared" si="1"/>
        <v>28</v>
      </c>
      <c r="J88" s="19">
        <f t="shared" si="2"/>
        <v>0</v>
      </c>
    </row>
    <row r="89" ht="22.5" customHeight="1">
      <c r="A89" s="16">
        <v>4.0</v>
      </c>
      <c r="B89" s="16">
        <v>16.0</v>
      </c>
      <c r="C89" s="16">
        <v>0.0</v>
      </c>
      <c r="D89" s="16">
        <v>0.0</v>
      </c>
      <c r="E89" s="16">
        <v>0.0</v>
      </c>
      <c r="F89" s="16">
        <v>0.0</v>
      </c>
      <c r="G89" s="18">
        <v>0.0</v>
      </c>
      <c r="H89" s="16" t="s">
        <v>147</v>
      </c>
      <c r="I89" s="19">
        <f t="shared" si="1"/>
        <v>0</v>
      </c>
      <c r="J89" s="19">
        <f t="shared" si="2"/>
        <v>0</v>
      </c>
    </row>
    <row r="90" ht="22.5" customHeight="1">
      <c r="A90" s="16">
        <v>1.0</v>
      </c>
      <c r="B90" s="16">
        <v>4.0</v>
      </c>
      <c r="C90" s="16">
        <v>0.0</v>
      </c>
      <c r="D90" s="16">
        <v>0.0</v>
      </c>
      <c r="E90" s="16">
        <v>0.0</v>
      </c>
      <c r="F90" s="16">
        <v>0.0</v>
      </c>
      <c r="G90" s="18">
        <v>0.0</v>
      </c>
      <c r="H90" s="16" t="s">
        <v>147</v>
      </c>
      <c r="I90" s="19">
        <f t="shared" si="1"/>
        <v>0</v>
      </c>
      <c r="J90" s="19">
        <f t="shared" si="2"/>
        <v>0</v>
      </c>
    </row>
    <row r="91" ht="22.5" customHeight="1">
      <c r="A91" s="16">
        <v>4.0</v>
      </c>
      <c r="B91" s="16">
        <v>16.0</v>
      </c>
      <c r="C91" s="16">
        <v>0.0</v>
      </c>
      <c r="D91" s="16">
        <v>0.0</v>
      </c>
      <c r="E91" s="16">
        <v>0.0</v>
      </c>
      <c r="F91" s="16">
        <v>0.0</v>
      </c>
      <c r="G91" s="18">
        <v>0.0</v>
      </c>
      <c r="H91" s="16" t="s">
        <v>125</v>
      </c>
      <c r="I91" s="19">
        <f t="shared" si="1"/>
        <v>0</v>
      </c>
      <c r="J91" s="19">
        <f t="shared" si="2"/>
        <v>0</v>
      </c>
    </row>
    <row r="92" ht="22.5" customHeight="1">
      <c r="A92" s="16">
        <v>1.0</v>
      </c>
      <c r="B92" s="16">
        <v>3.0</v>
      </c>
      <c r="C92" s="16">
        <v>0.0</v>
      </c>
      <c r="D92" s="16">
        <v>0.0</v>
      </c>
      <c r="E92" s="16">
        <v>0.0</v>
      </c>
      <c r="F92" s="16">
        <v>0.0</v>
      </c>
      <c r="G92" s="18">
        <v>0.0</v>
      </c>
      <c r="H92" s="16" t="s">
        <v>151</v>
      </c>
      <c r="I92" s="19">
        <f t="shared" si="1"/>
        <v>0</v>
      </c>
      <c r="J92" s="19">
        <f t="shared" si="2"/>
        <v>0</v>
      </c>
    </row>
    <row r="93" ht="22.5" customHeight="1">
      <c r="A93" s="16">
        <v>1.0</v>
      </c>
      <c r="B93" s="16">
        <v>3.0</v>
      </c>
      <c r="C93" s="16">
        <v>0.0</v>
      </c>
      <c r="D93" s="16">
        <v>0.0</v>
      </c>
      <c r="E93" s="16">
        <v>0.0</v>
      </c>
      <c r="F93" s="16">
        <v>0.0</v>
      </c>
      <c r="G93" s="18">
        <v>0.0</v>
      </c>
      <c r="H93" s="16" t="s">
        <v>152</v>
      </c>
      <c r="I93" s="19">
        <f t="shared" si="1"/>
        <v>0</v>
      </c>
      <c r="J93" s="19">
        <f t="shared" si="2"/>
        <v>0</v>
      </c>
    </row>
    <row r="94" ht="22.5" customHeight="1">
      <c r="A94" s="16">
        <v>3.0</v>
      </c>
      <c r="B94" s="16">
        <v>12.0</v>
      </c>
      <c r="C94" s="16">
        <v>0.0</v>
      </c>
      <c r="D94" s="16">
        <v>0.0</v>
      </c>
      <c r="E94" s="16">
        <v>0.0</v>
      </c>
      <c r="F94" s="16">
        <v>0.0</v>
      </c>
      <c r="G94" s="18">
        <v>0.0</v>
      </c>
      <c r="H94" s="16" t="s">
        <v>152</v>
      </c>
      <c r="I94" s="19">
        <f t="shared" si="1"/>
        <v>0</v>
      </c>
      <c r="J94" s="19">
        <f t="shared" si="2"/>
        <v>0</v>
      </c>
    </row>
    <row r="95" ht="22.5" customHeight="1">
      <c r="A95" s="16">
        <v>1.0</v>
      </c>
      <c r="B95" s="16">
        <v>3.0</v>
      </c>
      <c r="C95" s="16">
        <v>0.0</v>
      </c>
      <c r="D95" s="16">
        <v>0.0</v>
      </c>
      <c r="E95" s="16">
        <v>0.0</v>
      </c>
      <c r="F95" s="16">
        <v>0.0</v>
      </c>
      <c r="G95" s="18">
        <v>0.0</v>
      </c>
      <c r="H95" s="16" t="s">
        <v>156</v>
      </c>
      <c r="I95" s="19">
        <f t="shared" si="1"/>
        <v>0</v>
      </c>
      <c r="J95" s="19">
        <f t="shared" si="2"/>
        <v>0</v>
      </c>
    </row>
    <row r="96" ht="22.5" customHeight="1">
      <c r="A96" s="16">
        <v>2.0</v>
      </c>
      <c r="B96" s="16">
        <v>8.0</v>
      </c>
      <c r="C96" s="16">
        <v>0.0</v>
      </c>
      <c r="D96" s="16">
        <v>0.0</v>
      </c>
      <c r="E96" s="16">
        <v>0.0</v>
      </c>
      <c r="F96" s="16">
        <v>0.0</v>
      </c>
      <c r="G96" s="18">
        <v>0.0</v>
      </c>
      <c r="H96" s="16" t="s">
        <v>156</v>
      </c>
      <c r="I96" s="19">
        <f t="shared" si="1"/>
        <v>0</v>
      </c>
      <c r="J96" s="19">
        <f t="shared" si="2"/>
        <v>0</v>
      </c>
    </row>
    <row r="97" ht="22.5" customHeight="1">
      <c r="A97" s="16">
        <v>1.0</v>
      </c>
      <c r="B97" s="16">
        <v>3.0</v>
      </c>
      <c r="C97" s="16">
        <v>3.0</v>
      </c>
      <c r="D97" s="16">
        <v>4.0</v>
      </c>
      <c r="E97" s="16">
        <v>0.0</v>
      </c>
      <c r="F97" s="16">
        <v>0.0</v>
      </c>
      <c r="G97" s="20">
        <v>0.333</v>
      </c>
      <c r="H97" s="16" t="s">
        <v>145</v>
      </c>
      <c r="I97" s="19">
        <f t="shared" si="1"/>
        <v>4</v>
      </c>
      <c r="J97" s="19">
        <f t="shared" si="2"/>
        <v>0</v>
      </c>
    </row>
    <row r="98" ht="22.5" customHeight="1">
      <c r="A98" s="16">
        <v>4.0</v>
      </c>
      <c r="B98" s="16">
        <v>16.0</v>
      </c>
      <c r="C98" s="16">
        <v>8.0</v>
      </c>
      <c r="D98" s="16">
        <v>1.0</v>
      </c>
      <c r="E98" s="16">
        <v>0.25</v>
      </c>
      <c r="F98" s="16">
        <v>0.0</v>
      </c>
      <c r="G98" s="18">
        <v>0.25</v>
      </c>
      <c r="H98" s="16" t="s">
        <v>145</v>
      </c>
      <c r="I98" s="19">
        <f t="shared" si="1"/>
        <v>4</v>
      </c>
      <c r="J98" s="19">
        <f t="shared" si="2"/>
        <v>1</v>
      </c>
    </row>
    <row r="99" ht="22.5" customHeight="1">
      <c r="A99" s="16">
        <v>1.0</v>
      </c>
      <c r="B99" s="16">
        <v>4.0</v>
      </c>
      <c r="C99" s="16">
        <v>0.0</v>
      </c>
      <c r="D99" s="16">
        <v>0.0</v>
      </c>
      <c r="E99" s="16">
        <v>0.0</v>
      </c>
      <c r="F99" s="16">
        <v>0.0</v>
      </c>
      <c r="G99" s="18">
        <v>0.0</v>
      </c>
      <c r="H99" s="16" t="s">
        <v>160</v>
      </c>
      <c r="I99" s="19">
        <f t="shared" si="1"/>
        <v>0</v>
      </c>
      <c r="J99" s="19">
        <f t="shared" si="2"/>
        <v>0</v>
      </c>
    </row>
    <row r="100" ht="22.5" customHeight="1">
      <c r="A100" s="16">
        <v>2.0</v>
      </c>
      <c r="B100" s="16">
        <v>8.0</v>
      </c>
      <c r="C100" s="16">
        <v>1.0</v>
      </c>
      <c r="D100" s="16">
        <v>2.0</v>
      </c>
      <c r="E100" s="16">
        <v>0.0</v>
      </c>
      <c r="F100" s="16">
        <v>0.0</v>
      </c>
      <c r="G100" s="18">
        <v>1.0</v>
      </c>
      <c r="H100" s="16" t="s">
        <v>162</v>
      </c>
      <c r="I100" s="19">
        <f t="shared" si="1"/>
        <v>4</v>
      </c>
      <c r="J100" s="19">
        <f t="shared" si="2"/>
        <v>0</v>
      </c>
    </row>
    <row r="101" ht="22.5" customHeight="1">
      <c r="A101" s="16">
        <v>2.0</v>
      </c>
      <c r="B101" s="16">
        <v>8.0</v>
      </c>
      <c r="C101" s="16">
        <v>1.0</v>
      </c>
      <c r="D101" s="16">
        <v>0.0</v>
      </c>
      <c r="E101" s="16">
        <v>0.0</v>
      </c>
      <c r="F101" s="16">
        <v>0.0</v>
      </c>
      <c r="G101" s="18">
        <v>0.0</v>
      </c>
      <c r="H101" s="16" t="s">
        <v>162</v>
      </c>
      <c r="I101" s="19">
        <f t="shared" si="1"/>
        <v>0</v>
      </c>
      <c r="J101" s="19">
        <f t="shared" si="2"/>
        <v>0</v>
      </c>
    </row>
    <row r="102" ht="22.5" customHeight="1">
      <c r="A102" s="16">
        <v>5.0</v>
      </c>
      <c r="B102" s="16">
        <v>20.0</v>
      </c>
      <c r="C102" s="16">
        <v>0.0</v>
      </c>
      <c r="D102" s="16">
        <v>0.0</v>
      </c>
      <c r="E102" s="16">
        <v>0.0</v>
      </c>
      <c r="F102" s="16">
        <v>0.0</v>
      </c>
      <c r="G102" s="18">
        <v>0.0</v>
      </c>
      <c r="H102" s="16" t="s">
        <v>165</v>
      </c>
      <c r="I102" s="19">
        <f t="shared" si="1"/>
        <v>0</v>
      </c>
      <c r="J102" s="19">
        <f t="shared" si="2"/>
        <v>0</v>
      </c>
    </row>
    <row r="103" ht="22.5" customHeight="1">
      <c r="A103" s="16">
        <v>1.0</v>
      </c>
      <c r="B103" s="16">
        <v>4.0</v>
      </c>
      <c r="C103" s="16">
        <v>1.0</v>
      </c>
      <c r="D103" s="16">
        <v>0.0</v>
      </c>
      <c r="E103" s="16">
        <v>0.0</v>
      </c>
      <c r="F103" s="16">
        <v>0.0</v>
      </c>
      <c r="G103" s="18">
        <v>0.0</v>
      </c>
      <c r="H103" s="16" t="s">
        <v>167</v>
      </c>
      <c r="I103" s="19">
        <f t="shared" si="1"/>
        <v>0</v>
      </c>
      <c r="J103" s="19">
        <f t="shared" si="2"/>
        <v>0</v>
      </c>
    </row>
    <row r="104" ht="22.5" customHeight="1">
      <c r="A104" s="16">
        <v>5.0</v>
      </c>
      <c r="B104" s="16">
        <v>20.0</v>
      </c>
      <c r="C104" s="16">
        <v>8.0</v>
      </c>
      <c r="D104" s="16">
        <v>4.0</v>
      </c>
      <c r="E104" s="16">
        <v>0.0</v>
      </c>
      <c r="F104" s="16">
        <v>0.0</v>
      </c>
      <c r="G104" s="20">
        <v>0.625</v>
      </c>
      <c r="H104" s="16" t="s">
        <v>169</v>
      </c>
      <c r="I104" s="19">
        <f t="shared" si="1"/>
        <v>20</v>
      </c>
      <c r="J104" s="19">
        <f t="shared" si="2"/>
        <v>0</v>
      </c>
    </row>
    <row r="105" ht="22.5" customHeight="1">
      <c r="A105" s="16">
        <v>3.0</v>
      </c>
      <c r="B105" s="16">
        <v>12.0</v>
      </c>
      <c r="C105" s="16">
        <v>0.0</v>
      </c>
      <c r="D105" s="16">
        <v>0.0</v>
      </c>
      <c r="E105" s="16">
        <v>0.0</v>
      </c>
      <c r="F105" s="16">
        <v>0.0</v>
      </c>
      <c r="G105" s="18">
        <v>0.0</v>
      </c>
      <c r="H105" s="16" t="s">
        <v>171</v>
      </c>
      <c r="I105" s="19">
        <f t="shared" si="1"/>
        <v>0</v>
      </c>
      <c r="J105" s="19">
        <f t="shared" si="2"/>
        <v>0</v>
      </c>
    </row>
    <row r="106" ht="22.5" customHeight="1">
      <c r="A106" s="16">
        <v>4.0</v>
      </c>
      <c r="B106" s="16">
        <v>16.0</v>
      </c>
      <c r="C106" s="16">
        <v>2.0</v>
      </c>
      <c r="D106" s="16">
        <v>-1.0</v>
      </c>
      <c r="E106" s="16">
        <v>0.25</v>
      </c>
      <c r="F106" s="16">
        <v>0.0</v>
      </c>
      <c r="G106" s="18">
        <v>0.0</v>
      </c>
      <c r="H106" s="16" t="s">
        <v>173</v>
      </c>
      <c r="I106" s="19">
        <f t="shared" si="1"/>
        <v>-4</v>
      </c>
      <c r="J106" s="19">
        <f t="shared" si="2"/>
        <v>1</v>
      </c>
    </row>
    <row r="107" ht="22.5" customHeight="1">
      <c r="A107" s="16">
        <v>1.0</v>
      </c>
      <c r="B107" s="16">
        <v>4.0</v>
      </c>
      <c r="C107" s="16">
        <v>0.0</v>
      </c>
      <c r="D107" s="16">
        <v>0.0</v>
      </c>
      <c r="E107" s="16">
        <v>0.0</v>
      </c>
      <c r="F107" s="16">
        <v>0.0</v>
      </c>
      <c r="G107" s="18">
        <v>0.0</v>
      </c>
      <c r="H107" s="16" t="s">
        <v>173</v>
      </c>
      <c r="I107" s="19">
        <f t="shared" si="1"/>
        <v>0</v>
      </c>
      <c r="J107" s="19">
        <f t="shared" si="2"/>
        <v>0</v>
      </c>
    </row>
    <row r="108" ht="22.5" customHeight="1">
      <c r="A108" s="16">
        <v>1.0</v>
      </c>
      <c r="B108" s="16">
        <v>4.0</v>
      </c>
      <c r="C108" s="16">
        <v>1.0</v>
      </c>
      <c r="D108" s="16">
        <v>4.0</v>
      </c>
      <c r="E108" s="16">
        <v>0.0</v>
      </c>
      <c r="F108" s="16">
        <v>0.0</v>
      </c>
      <c r="G108" s="18">
        <v>1.0</v>
      </c>
      <c r="H108" s="16" t="s">
        <v>174</v>
      </c>
      <c r="I108" s="19">
        <f t="shared" si="1"/>
        <v>4</v>
      </c>
      <c r="J108" s="19">
        <f t="shared" si="2"/>
        <v>0</v>
      </c>
    </row>
    <row r="109" ht="22.5" customHeight="1">
      <c r="A109" s="16">
        <v>1.0</v>
      </c>
      <c r="B109" s="16">
        <v>4.0</v>
      </c>
      <c r="C109" s="16">
        <v>0.0</v>
      </c>
      <c r="D109" s="16">
        <v>0.0</v>
      </c>
      <c r="E109" s="16">
        <v>0.0</v>
      </c>
      <c r="F109" s="16">
        <v>0.0</v>
      </c>
      <c r="G109" s="18">
        <v>0.0</v>
      </c>
      <c r="H109" s="16" t="s">
        <v>176</v>
      </c>
      <c r="I109" s="19">
        <f t="shared" si="1"/>
        <v>0</v>
      </c>
      <c r="J109" s="19">
        <f t="shared" si="2"/>
        <v>0</v>
      </c>
    </row>
    <row r="110" ht="22.5" customHeight="1">
      <c r="A110" s="16">
        <v>4.0</v>
      </c>
      <c r="B110" s="16">
        <v>16.0</v>
      </c>
      <c r="C110" s="16">
        <v>5.0</v>
      </c>
      <c r="D110" s="16">
        <v>3.0</v>
      </c>
      <c r="E110" s="16">
        <v>0.0</v>
      </c>
      <c r="F110" s="16">
        <v>0.0</v>
      </c>
      <c r="G110" s="18">
        <v>0.6</v>
      </c>
      <c r="H110" s="16" t="s">
        <v>74</v>
      </c>
      <c r="I110" s="19">
        <f t="shared" si="1"/>
        <v>12</v>
      </c>
      <c r="J110" s="19">
        <f t="shared" si="2"/>
        <v>0</v>
      </c>
    </row>
    <row r="111" ht="22.5" customHeight="1">
      <c r="A111" s="16">
        <v>1.0</v>
      </c>
      <c r="B111" s="16">
        <v>4.0</v>
      </c>
      <c r="C111" s="16">
        <v>4.0</v>
      </c>
      <c r="D111" s="16">
        <v>4.0</v>
      </c>
      <c r="E111" s="16">
        <v>0.0</v>
      </c>
      <c r="F111" s="16">
        <v>0.0</v>
      </c>
      <c r="G111" s="18">
        <v>0.25</v>
      </c>
      <c r="H111" s="16" t="s">
        <v>74</v>
      </c>
      <c r="I111" s="19">
        <f t="shared" si="1"/>
        <v>4</v>
      </c>
      <c r="J111" s="19">
        <f t="shared" si="2"/>
        <v>0</v>
      </c>
    </row>
    <row r="112" ht="22.5" customHeight="1">
      <c r="A112" s="16">
        <v>1.0</v>
      </c>
      <c r="B112" s="16">
        <v>4.0</v>
      </c>
      <c r="C112" s="16">
        <v>0.0</v>
      </c>
      <c r="D112" s="16">
        <v>0.0</v>
      </c>
      <c r="E112" s="16">
        <v>0.0</v>
      </c>
      <c r="F112" s="16">
        <v>0.0</v>
      </c>
      <c r="G112" s="18">
        <v>0.0</v>
      </c>
      <c r="H112" s="16" t="s">
        <v>177</v>
      </c>
      <c r="I112" s="19">
        <f t="shared" si="1"/>
        <v>0</v>
      </c>
      <c r="J112" s="19">
        <f t="shared" si="2"/>
        <v>0</v>
      </c>
    </row>
    <row r="113" ht="22.5" customHeight="1">
      <c r="A113" s="16">
        <v>4.0</v>
      </c>
      <c r="B113" s="16">
        <v>15.0</v>
      </c>
      <c r="C113" s="16">
        <v>0.0</v>
      </c>
      <c r="D113" s="16">
        <v>0.0</v>
      </c>
      <c r="E113" s="16">
        <v>0.0</v>
      </c>
      <c r="F113" s="16">
        <v>0.0</v>
      </c>
      <c r="G113" s="18">
        <v>0.0</v>
      </c>
      <c r="H113" s="16" t="s">
        <v>178</v>
      </c>
      <c r="I113" s="19">
        <f t="shared" si="1"/>
        <v>0</v>
      </c>
      <c r="J113" s="19">
        <f t="shared" si="2"/>
        <v>0</v>
      </c>
    </row>
    <row r="114" ht="22.5" customHeight="1">
      <c r="A114" s="16">
        <v>1.0</v>
      </c>
      <c r="B114" s="16">
        <v>4.0</v>
      </c>
      <c r="C114" s="16">
        <v>0.0</v>
      </c>
      <c r="D114" s="16">
        <v>0.0</v>
      </c>
      <c r="E114" s="16">
        <v>0.0</v>
      </c>
      <c r="F114" s="16">
        <v>0.0</v>
      </c>
      <c r="G114" s="18">
        <v>0.0</v>
      </c>
      <c r="H114" s="16" t="s">
        <v>178</v>
      </c>
      <c r="I114" s="19">
        <f t="shared" si="1"/>
        <v>0</v>
      </c>
      <c r="J114" s="19">
        <f t="shared" si="2"/>
        <v>0</v>
      </c>
    </row>
    <row r="115" ht="22.5" customHeight="1">
      <c r="A115" s="16">
        <v>3.0</v>
      </c>
      <c r="B115" s="16">
        <v>11.0</v>
      </c>
      <c r="C115" s="16">
        <v>3.0</v>
      </c>
      <c r="D115" s="16">
        <v>2.67</v>
      </c>
      <c r="E115" s="16">
        <v>0.0</v>
      </c>
      <c r="F115" s="16">
        <v>0.0</v>
      </c>
      <c r="G115" s="20">
        <v>0.667</v>
      </c>
      <c r="H115" s="16" t="s">
        <v>150</v>
      </c>
      <c r="I115" s="19">
        <f t="shared" si="1"/>
        <v>8</v>
      </c>
      <c r="J115" s="19">
        <f t="shared" si="2"/>
        <v>0</v>
      </c>
    </row>
    <row r="116" ht="22.5" customHeight="1">
      <c r="A116" s="16">
        <v>1.0</v>
      </c>
      <c r="B116" s="16">
        <v>4.0</v>
      </c>
      <c r="C116" s="16">
        <v>0.0</v>
      </c>
      <c r="D116" s="16">
        <v>0.0</v>
      </c>
      <c r="E116" s="16">
        <v>0.0</v>
      </c>
      <c r="F116" s="16">
        <v>0.0</v>
      </c>
      <c r="G116" s="18">
        <v>0.0</v>
      </c>
      <c r="H116" s="16" t="s">
        <v>150</v>
      </c>
      <c r="I116" s="19">
        <f t="shared" si="1"/>
        <v>0</v>
      </c>
      <c r="J116" s="19">
        <f t="shared" si="2"/>
        <v>0</v>
      </c>
    </row>
    <row r="117" ht="22.5" customHeight="1">
      <c r="A117" s="16">
        <v>2.0</v>
      </c>
      <c r="B117" s="16">
        <v>7.0</v>
      </c>
      <c r="C117" s="16">
        <v>4.0</v>
      </c>
      <c r="D117" s="16">
        <v>4.0</v>
      </c>
      <c r="E117" s="16">
        <v>0.0</v>
      </c>
      <c r="F117" s="16">
        <v>0.0</v>
      </c>
      <c r="G117" s="18">
        <v>0.5</v>
      </c>
      <c r="H117" s="16" t="s">
        <v>179</v>
      </c>
      <c r="I117" s="19">
        <f t="shared" si="1"/>
        <v>8</v>
      </c>
      <c r="J117" s="19">
        <f t="shared" si="2"/>
        <v>0</v>
      </c>
    </row>
    <row r="118" ht="22.5" customHeight="1">
      <c r="A118" s="16">
        <v>1.0</v>
      </c>
      <c r="B118" s="16">
        <v>4.0</v>
      </c>
      <c r="C118" s="16">
        <v>3.0</v>
      </c>
      <c r="D118" s="16">
        <v>12.0</v>
      </c>
      <c r="E118" s="16">
        <v>0.0</v>
      </c>
      <c r="F118" s="16">
        <v>0.0</v>
      </c>
      <c r="G118" s="18">
        <v>1.0</v>
      </c>
      <c r="H118" s="16" t="s">
        <v>179</v>
      </c>
      <c r="I118" s="19">
        <f t="shared" si="1"/>
        <v>12</v>
      </c>
      <c r="J118" s="19">
        <f t="shared" si="2"/>
        <v>0</v>
      </c>
    </row>
    <row r="119" ht="22.5" customHeight="1">
      <c r="A119" s="16">
        <v>2.0</v>
      </c>
      <c r="B119" s="16">
        <v>8.0</v>
      </c>
      <c r="C119" s="16">
        <v>3.0</v>
      </c>
      <c r="D119" s="16">
        <v>0.0</v>
      </c>
      <c r="E119" s="16">
        <v>0.0</v>
      </c>
      <c r="F119" s="16">
        <v>0.0</v>
      </c>
      <c r="G119" s="18">
        <v>0.0</v>
      </c>
      <c r="H119" s="16" t="s">
        <v>181</v>
      </c>
      <c r="I119" s="19">
        <f t="shared" si="1"/>
        <v>0</v>
      </c>
      <c r="J119" s="19">
        <f t="shared" si="2"/>
        <v>0</v>
      </c>
    </row>
    <row r="120" ht="22.5" customHeight="1">
      <c r="A120" s="16">
        <v>4.0</v>
      </c>
      <c r="B120" s="16">
        <v>15.0</v>
      </c>
      <c r="C120" s="16">
        <v>0.0</v>
      </c>
      <c r="D120" s="16">
        <v>0.0</v>
      </c>
      <c r="E120" s="16">
        <v>0.0</v>
      </c>
      <c r="F120" s="16">
        <v>0.0</v>
      </c>
      <c r="G120" s="18">
        <v>0.0</v>
      </c>
      <c r="H120" s="16" t="s">
        <v>183</v>
      </c>
      <c r="I120" s="19">
        <f t="shared" si="1"/>
        <v>0</v>
      </c>
      <c r="J120" s="19">
        <f t="shared" si="2"/>
        <v>0</v>
      </c>
    </row>
    <row r="121" ht="22.5" customHeight="1">
      <c r="A121" s="16">
        <v>1.0</v>
      </c>
      <c r="B121" s="16">
        <v>4.0</v>
      </c>
      <c r="C121" s="16">
        <v>0.0</v>
      </c>
      <c r="D121" s="16">
        <v>0.0</v>
      </c>
      <c r="E121" s="16">
        <v>0.0</v>
      </c>
      <c r="F121" s="16">
        <v>0.0</v>
      </c>
      <c r="G121" s="18">
        <v>0.0</v>
      </c>
      <c r="H121" s="16" t="s">
        <v>183</v>
      </c>
      <c r="I121" s="19">
        <f t="shared" si="1"/>
        <v>0</v>
      </c>
      <c r="J121" s="19">
        <f t="shared" si="2"/>
        <v>0</v>
      </c>
    </row>
    <row r="122" ht="22.5" customHeight="1">
      <c r="A122" s="16">
        <v>1.0</v>
      </c>
      <c r="B122" s="16">
        <v>4.0</v>
      </c>
      <c r="C122" s="16">
        <v>0.0</v>
      </c>
      <c r="D122" s="16">
        <v>0.0</v>
      </c>
      <c r="E122" s="16">
        <v>0.0</v>
      </c>
      <c r="F122" s="16">
        <v>0.0</v>
      </c>
      <c r="G122" s="18">
        <v>0.0</v>
      </c>
      <c r="H122" s="16" t="s">
        <v>184</v>
      </c>
      <c r="I122" s="19">
        <f t="shared" si="1"/>
        <v>0</v>
      </c>
      <c r="J122" s="19">
        <f t="shared" si="2"/>
        <v>0</v>
      </c>
    </row>
    <row r="123" ht="22.5" customHeight="1">
      <c r="A123" s="16">
        <v>1.0</v>
      </c>
      <c r="B123" s="16">
        <v>3.0</v>
      </c>
      <c r="C123" s="16">
        <v>0.0</v>
      </c>
      <c r="D123" s="16">
        <v>0.0</v>
      </c>
      <c r="E123" s="16">
        <v>0.0</v>
      </c>
      <c r="F123" s="16">
        <v>0.0</v>
      </c>
      <c r="G123" s="18">
        <v>0.0</v>
      </c>
      <c r="H123" s="16" t="s">
        <v>184</v>
      </c>
      <c r="I123" s="19">
        <f t="shared" si="1"/>
        <v>0</v>
      </c>
      <c r="J123" s="19">
        <f t="shared" si="2"/>
        <v>0</v>
      </c>
    </row>
    <row r="124" ht="22.5" customHeight="1">
      <c r="A124" s="16">
        <v>3.0</v>
      </c>
      <c r="B124" s="16">
        <v>12.0</v>
      </c>
      <c r="C124" s="16">
        <v>1.0</v>
      </c>
      <c r="D124" s="16">
        <v>0.0</v>
      </c>
      <c r="E124" s="16">
        <v>0.0</v>
      </c>
      <c r="F124" s="16">
        <v>0.0</v>
      </c>
      <c r="G124" s="18">
        <v>0.0</v>
      </c>
      <c r="H124" s="16" t="s">
        <v>184</v>
      </c>
      <c r="I124" s="19">
        <f t="shared" si="1"/>
        <v>0</v>
      </c>
      <c r="J124" s="19">
        <f t="shared" si="2"/>
        <v>0</v>
      </c>
    </row>
    <row r="125" ht="22.5" customHeight="1">
      <c r="A125" s="16">
        <v>4.0</v>
      </c>
      <c r="B125" s="16">
        <v>16.0</v>
      </c>
      <c r="C125" s="16">
        <v>5.0</v>
      </c>
      <c r="D125" s="16">
        <v>0.0</v>
      </c>
      <c r="E125" s="16">
        <v>0.0</v>
      </c>
      <c r="F125" s="16">
        <v>0.0</v>
      </c>
      <c r="G125" s="18">
        <v>0.0</v>
      </c>
      <c r="H125" s="16" t="s">
        <v>161</v>
      </c>
      <c r="I125" s="19">
        <f t="shared" si="1"/>
        <v>0</v>
      </c>
      <c r="J125" s="19">
        <f t="shared" si="2"/>
        <v>0</v>
      </c>
    </row>
    <row r="126" ht="22.5" customHeight="1">
      <c r="A126" s="16">
        <v>1.0</v>
      </c>
      <c r="B126" s="16">
        <v>3.0</v>
      </c>
      <c r="C126" s="16">
        <v>1.0</v>
      </c>
      <c r="D126" s="16">
        <v>4.0</v>
      </c>
      <c r="E126" s="16">
        <v>0.0</v>
      </c>
      <c r="F126" s="16">
        <v>0.0</v>
      </c>
      <c r="G126" s="18">
        <v>1.0</v>
      </c>
      <c r="H126" s="16" t="s">
        <v>161</v>
      </c>
      <c r="I126" s="19">
        <f t="shared" si="1"/>
        <v>4</v>
      </c>
      <c r="J126" s="19">
        <f t="shared" si="2"/>
        <v>0</v>
      </c>
    </row>
    <row r="127" ht="22.5" customHeight="1">
      <c r="A127" s="16">
        <v>3.0</v>
      </c>
      <c r="B127" s="16">
        <v>12.0</v>
      </c>
      <c r="C127" s="16">
        <v>0.0</v>
      </c>
      <c r="D127" s="16">
        <v>0.0</v>
      </c>
      <c r="E127" s="16">
        <v>0.0</v>
      </c>
      <c r="F127" s="16">
        <v>0.0</v>
      </c>
      <c r="G127" s="18">
        <v>0.0</v>
      </c>
      <c r="H127" s="16" t="s">
        <v>187</v>
      </c>
      <c r="I127" s="19">
        <f t="shared" si="1"/>
        <v>0</v>
      </c>
      <c r="J127" s="19">
        <f t="shared" si="2"/>
        <v>0</v>
      </c>
    </row>
    <row r="128" ht="22.5" customHeight="1">
      <c r="A128" s="16">
        <v>5.0</v>
      </c>
      <c r="B128" s="16">
        <v>20.0</v>
      </c>
      <c r="C128" s="16">
        <v>3.0</v>
      </c>
      <c r="D128" s="16">
        <v>2.4</v>
      </c>
      <c r="E128" s="16">
        <v>0.0</v>
      </c>
      <c r="F128" s="16">
        <v>0.0</v>
      </c>
      <c r="G128" s="18">
        <v>1.0</v>
      </c>
      <c r="H128" s="16" t="s">
        <v>180</v>
      </c>
      <c r="I128" s="19">
        <f t="shared" si="1"/>
        <v>12</v>
      </c>
      <c r="J128" s="19">
        <f t="shared" si="2"/>
        <v>0</v>
      </c>
    </row>
    <row r="129" ht="22.5" customHeight="1">
      <c r="A129" s="16">
        <v>4.0</v>
      </c>
      <c r="B129" s="16">
        <v>16.0</v>
      </c>
      <c r="C129" s="16">
        <v>4.0</v>
      </c>
      <c r="D129" s="16">
        <v>2.0</v>
      </c>
      <c r="E129" s="16">
        <v>0.25</v>
      </c>
      <c r="F129" s="16">
        <v>0.0</v>
      </c>
      <c r="G129" s="18">
        <v>0.75</v>
      </c>
      <c r="H129" s="16" t="s">
        <v>189</v>
      </c>
      <c r="I129" s="19">
        <f t="shared" si="1"/>
        <v>8</v>
      </c>
      <c r="J129" s="19">
        <f t="shared" si="2"/>
        <v>1</v>
      </c>
    </row>
    <row r="130" ht="22.5" customHeight="1">
      <c r="A130" s="16">
        <v>5.0</v>
      </c>
      <c r="B130" s="16">
        <v>20.0</v>
      </c>
      <c r="C130" s="16">
        <v>8.0</v>
      </c>
      <c r="D130" s="16">
        <v>4.8</v>
      </c>
      <c r="E130" s="16">
        <v>0.2</v>
      </c>
      <c r="F130" s="16">
        <v>0.0</v>
      </c>
      <c r="G130" s="20">
        <v>0.875</v>
      </c>
      <c r="H130" s="16" t="s">
        <v>190</v>
      </c>
      <c r="I130" s="19">
        <f t="shared" si="1"/>
        <v>24</v>
      </c>
      <c r="J130" s="19">
        <f t="shared" si="2"/>
        <v>1</v>
      </c>
    </row>
    <row r="131" ht="22.5" customHeight="1">
      <c r="A131" s="16">
        <v>1.0</v>
      </c>
      <c r="B131" s="16">
        <v>4.0</v>
      </c>
      <c r="C131" s="16">
        <v>0.0</v>
      </c>
      <c r="D131" s="16">
        <v>0.0</v>
      </c>
      <c r="E131" s="16">
        <v>0.0</v>
      </c>
      <c r="F131" s="16">
        <v>0.0</v>
      </c>
      <c r="G131" s="18">
        <v>0.0</v>
      </c>
      <c r="H131" s="16" t="s">
        <v>191</v>
      </c>
      <c r="I131" s="19">
        <f t="shared" si="1"/>
        <v>0</v>
      </c>
      <c r="J131" s="19">
        <f t="shared" si="2"/>
        <v>0</v>
      </c>
    </row>
    <row r="132" ht="22.5" customHeight="1">
      <c r="A132" s="16">
        <v>3.0</v>
      </c>
      <c r="B132" s="16">
        <v>13.0</v>
      </c>
      <c r="C132" s="16">
        <v>0.0</v>
      </c>
      <c r="D132" s="16">
        <v>0.0</v>
      </c>
      <c r="E132" s="16">
        <v>0.0</v>
      </c>
      <c r="F132" s="16">
        <v>0.0</v>
      </c>
      <c r="G132" s="18">
        <v>0.0</v>
      </c>
      <c r="H132" s="16" t="s">
        <v>191</v>
      </c>
      <c r="I132" s="19">
        <f t="shared" si="1"/>
        <v>0</v>
      </c>
      <c r="J132" s="19">
        <f t="shared" si="2"/>
        <v>0</v>
      </c>
    </row>
    <row r="133" ht="22.5" customHeight="1">
      <c r="A133" s="16">
        <v>2.0</v>
      </c>
      <c r="B133" s="16">
        <v>9.0</v>
      </c>
      <c r="C133" s="16">
        <v>0.0</v>
      </c>
      <c r="D133" s="16">
        <v>0.0</v>
      </c>
      <c r="E133" s="16">
        <v>0.0</v>
      </c>
      <c r="F133" s="16">
        <v>0.0</v>
      </c>
      <c r="G133" s="18">
        <v>0.0</v>
      </c>
      <c r="H133" s="16" t="s">
        <v>192</v>
      </c>
      <c r="I133" s="19">
        <f t="shared" si="1"/>
        <v>0</v>
      </c>
      <c r="J133" s="19">
        <f t="shared" si="2"/>
        <v>0</v>
      </c>
    </row>
    <row r="134" ht="22.5" customHeight="1">
      <c r="A134" s="16">
        <v>1.0</v>
      </c>
      <c r="B134" s="16">
        <v>4.0</v>
      </c>
      <c r="C134" s="16">
        <v>0.0</v>
      </c>
      <c r="D134" s="16">
        <v>0.0</v>
      </c>
      <c r="E134" s="16">
        <v>0.0</v>
      </c>
      <c r="F134" s="16">
        <v>0.0</v>
      </c>
      <c r="G134" s="18">
        <v>0.0</v>
      </c>
      <c r="H134" s="16" t="s">
        <v>192</v>
      </c>
      <c r="I134" s="19">
        <f t="shared" si="1"/>
        <v>0</v>
      </c>
      <c r="J134" s="19">
        <f t="shared" si="2"/>
        <v>0</v>
      </c>
    </row>
    <row r="135" ht="22.5" customHeight="1">
      <c r="A135" s="16">
        <v>1.0</v>
      </c>
      <c r="B135" s="16">
        <v>4.0</v>
      </c>
      <c r="C135" s="16">
        <v>0.0</v>
      </c>
      <c r="D135" s="16">
        <v>0.0</v>
      </c>
      <c r="E135" s="16">
        <v>0.0</v>
      </c>
      <c r="F135" s="16">
        <v>0.0</v>
      </c>
      <c r="G135" s="18">
        <v>0.0</v>
      </c>
      <c r="H135" s="16" t="s">
        <v>194</v>
      </c>
      <c r="I135" s="19">
        <f t="shared" si="1"/>
        <v>0</v>
      </c>
      <c r="J135" s="19">
        <f t="shared" si="2"/>
        <v>0</v>
      </c>
    </row>
    <row r="136" ht="22.5" customHeight="1">
      <c r="A136" s="16">
        <v>1.0</v>
      </c>
      <c r="B136" s="16">
        <v>4.0</v>
      </c>
      <c r="C136" s="16">
        <v>0.0</v>
      </c>
      <c r="D136" s="16">
        <v>0.0</v>
      </c>
      <c r="E136" s="16">
        <v>0.0</v>
      </c>
      <c r="F136" s="16">
        <v>0.0</v>
      </c>
      <c r="G136" s="18">
        <v>0.0</v>
      </c>
      <c r="H136" s="16" t="s">
        <v>194</v>
      </c>
      <c r="I136" s="19">
        <f t="shared" si="1"/>
        <v>0</v>
      </c>
      <c r="J136" s="19">
        <f t="shared" si="2"/>
        <v>0</v>
      </c>
    </row>
    <row r="137" ht="22.5" customHeight="1">
      <c r="A137" s="16">
        <v>1.0</v>
      </c>
      <c r="B137" s="16">
        <v>4.0</v>
      </c>
      <c r="C137" s="16">
        <v>3.0</v>
      </c>
      <c r="D137" s="16">
        <v>12.0</v>
      </c>
      <c r="E137" s="16">
        <v>0.0</v>
      </c>
      <c r="F137" s="16">
        <v>0.0</v>
      </c>
      <c r="G137" s="18">
        <v>1.0</v>
      </c>
      <c r="H137" s="16" t="s">
        <v>195</v>
      </c>
      <c r="I137" s="19">
        <f t="shared" si="1"/>
        <v>12</v>
      </c>
      <c r="J137" s="19">
        <f t="shared" si="2"/>
        <v>0</v>
      </c>
    </row>
    <row r="138" ht="22.5" customHeight="1">
      <c r="A138" s="16">
        <v>4.0</v>
      </c>
      <c r="B138" s="16">
        <v>17.0</v>
      </c>
      <c r="C138" s="16">
        <v>7.0</v>
      </c>
      <c r="D138" s="16">
        <v>4.0</v>
      </c>
      <c r="E138" s="16">
        <v>0.25</v>
      </c>
      <c r="F138" s="16">
        <v>0.0</v>
      </c>
      <c r="G138" s="20">
        <v>0.714</v>
      </c>
      <c r="H138" s="16" t="s">
        <v>195</v>
      </c>
      <c r="I138" s="19">
        <f t="shared" si="1"/>
        <v>16</v>
      </c>
      <c r="J138" s="19">
        <f t="shared" si="2"/>
        <v>1</v>
      </c>
    </row>
    <row r="139" ht="22.5" customHeight="1">
      <c r="A139" s="16">
        <v>1.0</v>
      </c>
      <c r="B139" s="16">
        <v>4.0</v>
      </c>
      <c r="C139" s="16">
        <v>0.0</v>
      </c>
      <c r="D139" s="16">
        <v>0.0</v>
      </c>
      <c r="E139" s="16">
        <v>0.0</v>
      </c>
      <c r="F139" s="16">
        <v>0.0</v>
      </c>
      <c r="G139" s="18">
        <v>0.0</v>
      </c>
      <c r="H139" s="16" t="s">
        <v>112</v>
      </c>
      <c r="I139" s="19">
        <f t="shared" si="1"/>
        <v>0</v>
      </c>
      <c r="J139" s="19">
        <f t="shared" si="2"/>
        <v>0</v>
      </c>
    </row>
    <row r="140" ht="22.5" customHeight="1">
      <c r="A140" s="16">
        <v>4.0</v>
      </c>
      <c r="B140" s="16">
        <v>17.0</v>
      </c>
      <c r="C140" s="16">
        <v>3.0</v>
      </c>
      <c r="D140" s="16">
        <v>0.0</v>
      </c>
      <c r="E140" s="16">
        <v>0.25</v>
      </c>
      <c r="F140" s="16">
        <v>0.0</v>
      </c>
      <c r="G140" s="20">
        <v>0.333</v>
      </c>
      <c r="H140" s="16" t="s">
        <v>112</v>
      </c>
      <c r="I140" s="19">
        <f t="shared" si="1"/>
        <v>0</v>
      </c>
      <c r="J140" s="19">
        <f t="shared" si="2"/>
        <v>1</v>
      </c>
    </row>
    <row r="141" ht="22.5" customHeight="1">
      <c r="A141" s="16">
        <v>1.0</v>
      </c>
      <c r="B141" s="16">
        <v>4.0</v>
      </c>
      <c r="C141" s="16">
        <v>0.0</v>
      </c>
      <c r="D141" s="16">
        <v>0.0</v>
      </c>
      <c r="E141" s="16">
        <v>0.0</v>
      </c>
      <c r="F141" s="16">
        <v>0.0</v>
      </c>
      <c r="G141" s="18">
        <v>0.0</v>
      </c>
      <c r="H141" s="16" t="s">
        <v>196</v>
      </c>
      <c r="I141" s="19">
        <f t="shared" si="1"/>
        <v>0</v>
      </c>
      <c r="J141" s="19">
        <f t="shared" si="2"/>
        <v>0</v>
      </c>
    </row>
    <row r="142" ht="22.5" customHeight="1">
      <c r="A142" s="16">
        <v>5.0</v>
      </c>
      <c r="B142" s="16">
        <v>19.0</v>
      </c>
      <c r="C142" s="16">
        <v>3.0</v>
      </c>
      <c r="D142" s="16">
        <v>-0.8</v>
      </c>
      <c r="E142" s="16">
        <v>0.2</v>
      </c>
      <c r="F142" s="16">
        <v>0.0</v>
      </c>
      <c r="G142" s="18">
        <v>0.0</v>
      </c>
      <c r="H142" s="16" t="s">
        <v>197</v>
      </c>
      <c r="I142" s="19">
        <f t="shared" si="1"/>
        <v>-4</v>
      </c>
      <c r="J142" s="19">
        <f t="shared" si="2"/>
        <v>1</v>
      </c>
    </row>
    <row r="143" ht="22.5" customHeight="1">
      <c r="A143" s="16">
        <v>2.0</v>
      </c>
      <c r="B143" s="16">
        <v>8.0</v>
      </c>
      <c r="C143" s="16">
        <v>0.0</v>
      </c>
      <c r="D143" s="16">
        <v>0.0</v>
      </c>
      <c r="E143" s="16">
        <v>0.0</v>
      </c>
      <c r="F143" s="16">
        <v>0.0</v>
      </c>
      <c r="G143" s="18">
        <v>0.0</v>
      </c>
      <c r="H143" s="16" t="s">
        <v>198</v>
      </c>
      <c r="I143" s="19">
        <f t="shared" si="1"/>
        <v>0</v>
      </c>
      <c r="J143" s="19">
        <f t="shared" si="2"/>
        <v>0</v>
      </c>
    </row>
    <row r="144" ht="22.5" customHeight="1">
      <c r="A144" s="16">
        <v>5.0</v>
      </c>
      <c r="B144" s="16">
        <v>19.0</v>
      </c>
      <c r="C144" s="16">
        <v>9.0</v>
      </c>
      <c r="D144" s="16">
        <v>2.4</v>
      </c>
      <c r="E144" s="16">
        <v>0.2</v>
      </c>
      <c r="F144" s="16">
        <v>0.0</v>
      </c>
      <c r="G144" s="20">
        <v>0.444</v>
      </c>
      <c r="H144" s="16" t="s">
        <v>199</v>
      </c>
      <c r="I144" s="19">
        <f t="shared" si="1"/>
        <v>12</v>
      </c>
      <c r="J144" s="19">
        <f t="shared" si="2"/>
        <v>1</v>
      </c>
    </row>
    <row r="145" ht="22.5" customHeight="1">
      <c r="A145" s="16">
        <v>3.0</v>
      </c>
      <c r="B145" s="16">
        <v>12.0</v>
      </c>
      <c r="C145" s="16">
        <v>6.0</v>
      </c>
      <c r="D145" s="16">
        <v>4.0</v>
      </c>
      <c r="E145" s="16">
        <v>0.0</v>
      </c>
      <c r="F145" s="16">
        <v>0.0</v>
      </c>
      <c r="G145" s="18">
        <v>0.5</v>
      </c>
      <c r="H145" s="16" t="s">
        <v>200</v>
      </c>
      <c r="I145" s="19">
        <f t="shared" si="1"/>
        <v>12</v>
      </c>
      <c r="J145" s="19">
        <f t="shared" si="2"/>
        <v>0</v>
      </c>
    </row>
    <row r="146" ht="22.5" customHeight="1">
      <c r="A146" s="16">
        <v>3.0</v>
      </c>
      <c r="B146" s="16">
        <v>11.0</v>
      </c>
      <c r="C146" s="16">
        <v>0.0</v>
      </c>
      <c r="D146" s="16">
        <v>0.0</v>
      </c>
      <c r="E146" s="16">
        <v>0.0</v>
      </c>
      <c r="F146" s="16">
        <v>0.0</v>
      </c>
      <c r="G146" s="18">
        <v>0.0</v>
      </c>
      <c r="H146" s="16" t="s">
        <v>201</v>
      </c>
      <c r="I146" s="19">
        <f t="shared" si="1"/>
        <v>0</v>
      </c>
      <c r="J146" s="19">
        <f t="shared" si="2"/>
        <v>0</v>
      </c>
    </row>
    <row r="147" ht="22.5" customHeight="1">
      <c r="A147" s="16">
        <v>5.0</v>
      </c>
      <c r="B147" s="16">
        <v>19.0</v>
      </c>
      <c r="C147" s="16">
        <v>7.0</v>
      </c>
      <c r="D147" s="16">
        <v>4.0</v>
      </c>
      <c r="E147" s="16">
        <v>0.2</v>
      </c>
      <c r="F147" s="16">
        <v>0.0</v>
      </c>
      <c r="G147" s="20">
        <v>0.857</v>
      </c>
      <c r="H147" s="16" t="s">
        <v>70</v>
      </c>
      <c r="I147" s="19">
        <f t="shared" si="1"/>
        <v>20</v>
      </c>
      <c r="J147" s="19">
        <f t="shared" si="2"/>
        <v>1</v>
      </c>
    </row>
    <row r="148" ht="22.5" customHeight="1">
      <c r="A148" s="16">
        <v>1.0</v>
      </c>
      <c r="B148" s="16">
        <v>4.0</v>
      </c>
      <c r="C148" s="16">
        <v>1.0</v>
      </c>
      <c r="D148" s="16">
        <v>0.0</v>
      </c>
      <c r="E148" s="16">
        <v>0.0</v>
      </c>
      <c r="F148" s="16">
        <v>0.0</v>
      </c>
      <c r="G148" s="18">
        <v>0.0</v>
      </c>
      <c r="H148" s="16" t="s">
        <v>203</v>
      </c>
      <c r="I148" s="19">
        <f t="shared" si="1"/>
        <v>0</v>
      </c>
      <c r="J148" s="19">
        <f t="shared" si="2"/>
        <v>0</v>
      </c>
    </row>
    <row r="149" ht="22.5" customHeight="1">
      <c r="A149" s="16">
        <v>2.0</v>
      </c>
      <c r="B149" s="16">
        <v>8.0</v>
      </c>
      <c r="C149" s="16">
        <v>3.0</v>
      </c>
      <c r="D149" s="16">
        <v>4.0</v>
      </c>
      <c r="E149" s="16">
        <v>0.0</v>
      </c>
      <c r="F149" s="16">
        <v>0.0</v>
      </c>
      <c r="G149" s="20">
        <v>0.667</v>
      </c>
      <c r="H149" s="16" t="s">
        <v>205</v>
      </c>
      <c r="I149" s="19">
        <f t="shared" si="1"/>
        <v>8</v>
      </c>
      <c r="J149" s="19">
        <f t="shared" si="2"/>
        <v>0</v>
      </c>
    </row>
    <row r="150" ht="22.5" customHeight="1">
      <c r="A150" s="16">
        <v>1.0</v>
      </c>
      <c r="B150" s="16">
        <v>4.0</v>
      </c>
      <c r="C150" s="16">
        <v>0.0</v>
      </c>
      <c r="D150" s="16">
        <v>0.0</v>
      </c>
      <c r="E150" s="16">
        <v>0.0</v>
      </c>
      <c r="F150" s="16">
        <v>0.0</v>
      </c>
      <c r="G150" s="18">
        <v>0.0</v>
      </c>
      <c r="H150" s="16" t="s">
        <v>206</v>
      </c>
      <c r="I150" s="19">
        <f t="shared" si="1"/>
        <v>0</v>
      </c>
      <c r="J150" s="19">
        <f t="shared" si="2"/>
        <v>0</v>
      </c>
    </row>
    <row r="151" ht="22.5" customHeight="1">
      <c r="A151" s="16">
        <v>5.0</v>
      </c>
      <c r="B151" s="16">
        <v>20.0</v>
      </c>
      <c r="C151" s="16">
        <v>10.0</v>
      </c>
      <c r="D151" s="16">
        <v>3.2</v>
      </c>
      <c r="E151" s="16">
        <v>0.2</v>
      </c>
      <c r="F151" s="16">
        <v>0.0</v>
      </c>
      <c r="G151" s="20">
        <v>0.5</v>
      </c>
      <c r="H151" s="16" t="s">
        <v>62</v>
      </c>
      <c r="I151" s="19">
        <f t="shared" si="1"/>
        <v>16</v>
      </c>
      <c r="J151" s="19">
        <f t="shared" si="2"/>
        <v>1</v>
      </c>
    </row>
    <row r="152" ht="22.5" customHeight="1">
      <c r="A152" s="16">
        <v>1.0</v>
      </c>
      <c r="B152" s="16">
        <v>4.0</v>
      </c>
      <c r="C152" s="16">
        <v>0.0</v>
      </c>
      <c r="D152" s="16">
        <v>0.0</v>
      </c>
      <c r="E152" s="16">
        <v>0.0</v>
      </c>
      <c r="F152" s="16">
        <v>0.0</v>
      </c>
      <c r="G152" s="18">
        <v>0.0</v>
      </c>
      <c r="H152" s="16" t="s">
        <v>208</v>
      </c>
      <c r="I152" s="19">
        <f t="shared" si="1"/>
        <v>0</v>
      </c>
      <c r="J152" s="19">
        <f t="shared" si="2"/>
        <v>0</v>
      </c>
    </row>
    <row r="153" ht="22.5" customHeight="1">
      <c r="A153" s="16">
        <v>5.0</v>
      </c>
      <c r="B153" s="16">
        <v>20.0</v>
      </c>
      <c r="C153" s="16">
        <v>1.0</v>
      </c>
      <c r="D153" s="16">
        <v>0.8</v>
      </c>
      <c r="E153" s="16">
        <v>0.0</v>
      </c>
      <c r="F153" s="16">
        <v>0.0</v>
      </c>
      <c r="G153" s="18">
        <v>1.0</v>
      </c>
      <c r="H153" s="16" t="s">
        <v>209</v>
      </c>
      <c r="I153" s="19">
        <f t="shared" si="1"/>
        <v>4</v>
      </c>
      <c r="J153" s="19">
        <f t="shared" si="2"/>
        <v>0</v>
      </c>
    </row>
    <row r="154" ht="22.5" customHeight="1">
      <c r="A154" s="16">
        <v>5.0</v>
      </c>
      <c r="B154" s="16">
        <v>20.0</v>
      </c>
      <c r="C154" s="16">
        <v>12.0</v>
      </c>
      <c r="D154" s="16">
        <v>5.6</v>
      </c>
      <c r="E154" s="16">
        <v>0.0</v>
      </c>
      <c r="F154" s="16">
        <v>0.0</v>
      </c>
      <c r="G154" s="20">
        <v>0.583</v>
      </c>
      <c r="H154" s="16" t="s">
        <v>210</v>
      </c>
      <c r="I154" s="19">
        <f t="shared" si="1"/>
        <v>28</v>
      </c>
      <c r="J154" s="19">
        <f t="shared" si="2"/>
        <v>0</v>
      </c>
    </row>
    <row r="155" ht="22.5" customHeight="1">
      <c r="A155" s="16">
        <v>5.0</v>
      </c>
      <c r="B155" s="16">
        <v>20.0</v>
      </c>
      <c r="C155" s="16">
        <v>0.0</v>
      </c>
      <c r="D155" s="16">
        <v>0.0</v>
      </c>
      <c r="E155" s="16">
        <v>0.0</v>
      </c>
      <c r="F155" s="16">
        <v>0.0</v>
      </c>
      <c r="G155" s="18">
        <v>0.0</v>
      </c>
      <c r="H155" s="16" t="s">
        <v>211</v>
      </c>
      <c r="I155" s="19">
        <f t="shared" si="1"/>
        <v>0</v>
      </c>
      <c r="J155" s="19">
        <f t="shared" si="2"/>
        <v>0</v>
      </c>
    </row>
    <row r="156" ht="22.5" customHeight="1">
      <c r="A156" s="16">
        <v>5.0</v>
      </c>
      <c r="B156" s="16">
        <v>20.0</v>
      </c>
      <c r="C156" s="16">
        <v>1.0</v>
      </c>
      <c r="D156" s="16">
        <v>0.0</v>
      </c>
      <c r="E156" s="16">
        <v>0.0</v>
      </c>
      <c r="F156" s="16">
        <v>0.0</v>
      </c>
      <c r="G156" s="18">
        <v>0.0</v>
      </c>
      <c r="H156" s="16" t="s">
        <v>213</v>
      </c>
      <c r="I156" s="19">
        <f t="shared" si="1"/>
        <v>0</v>
      </c>
      <c r="J156" s="19">
        <f t="shared" si="2"/>
        <v>0</v>
      </c>
    </row>
    <row r="157" ht="22.5" customHeight="1">
      <c r="A157" s="16">
        <v>1.0</v>
      </c>
      <c r="B157" s="16">
        <v>4.0</v>
      </c>
      <c r="C157" s="16">
        <v>3.0</v>
      </c>
      <c r="D157" s="16">
        <v>4.0</v>
      </c>
      <c r="E157" s="16">
        <v>1.0</v>
      </c>
      <c r="F157" s="16">
        <v>0.0</v>
      </c>
      <c r="G157" s="20">
        <v>0.667</v>
      </c>
      <c r="H157" s="16" t="s">
        <v>214</v>
      </c>
      <c r="I157" s="19">
        <f t="shared" si="1"/>
        <v>4</v>
      </c>
      <c r="J157" s="19">
        <f t="shared" si="2"/>
        <v>1</v>
      </c>
    </row>
    <row r="158" ht="22.5" customHeight="1">
      <c r="A158" s="16">
        <v>2.0</v>
      </c>
      <c r="B158" s="16">
        <v>8.0</v>
      </c>
      <c r="C158" s="16">
        <v>6.0</v>
      </c>
      <c r="D158" s="16">
        <v>4.0</v>
      </c>
      <c r="E158" s="16">
        <v>0.5</v>
      </c>
      <c r="F158" s="16">
        <v>0.0</v>
      </c>
      <c r="G158" s="18">
        <v>0.5</v>
      </c>
      <c r="H158" s="16" t="s">
        <v>214</v>
      </c>
      <c r="I158" s="19">
        <f t="shared" si="1"/>
        <v>8</v>
      </c>
      <c r="J158" s="19">
        <f t="shared" si="2"/>
        <v>1</v>
      </c>
    </row>
    <row r="159" ht="22.5" customHeight="1">
      <c r="A159" s="16">
        <v>1.0</v>
      </c>
      <c r="B159" s="16">
        <v>4.0</v>
      </c>
      <c r="C159" s="16">
        <v>3.0</v>
      </c>
      <c r="D159" s="16">
        <v>4.0</v>
      </c>
      <c r="E159" s="16">
        <v>1.0</v>
      </c>
      <c r="F159" s="16">
        <v>0.0</v>
      </c>
      <c r="G159" s="20">
        <v>0.667</v>
      </c>
      <c r="H159" s="16" t="s">
        <v>214</v>
      </c>
      <c r="I159" s="19">
        <f t="shared" si="1"/>
        <v>4</v>
      </c>
      <c r="J159" s="19">
        <f t="shared" si="2"/>
        <v>1</v>
      </c>
    </row>
    <row r="160" ht="22.5" customHeight="1">
      <c r="A160" s="16">
        <v>1.0</v>
      </c>
      <c r="B160" s="16">
        <v>4.0</v>
      </c>
      <c r="C160" s="16">
        <v>4.0</v>
      </c>
      <c r="D160" s="16">
        <v>-4.0</v>
      </c>
      <c r="E160" s="16">
        <v>1.0</v>
      </c>
      <c r="F160" s="16">
        <v>0.0</v>
      </c>
      <c r="G160" s="18">
        <v>0.0</v>
      </c>
      <c r="H160" s="16" t="s">
        <v>214</v>
      </c>
      <c r="I160" s="19">
        <f t="shared" si="1"/>
        <v>-4</v>
      </c>
      <c r="J160" s="19">
        <f t="shared" si="2"/>
        <v>1</v>
      </c>
    </row>
    <row r="161" ht="22.5" customHeight="1">
      <c r="A161" s="16">
        <v>2.0</v>
      </c>
      <c r="B161" s="16">
        <v>8.0</v>
      </c>
      <c r="C161" s="16">
        <v>0.0</v>
      </c>
      <c r="D161" s="16">
        <v>0.0</v>
      </c>
      <c r="E161" s="16">
        <v>0.0</v>
      </c>
      <c r="F161" s="16">
        <v>0.0</v>
      </c>
      <c r="G161" s="18">
        <v>0.0</v>
      </c>
      <c r="H161" s="16" t="s">
        <v>217</v>
      </c>
      <c r="I161" s="19">
        <f t="shared" si="1"/>
        <v>0</v>
      </c>
      <c r="J161" s="19">
        <f t="shared" si="2"/>
        <v>0</v>
      </c>
    </row>
    <row r="162" ht="22.5" customHeight="1">
      <c r="A162" s="16">
        <v>1.0</v>
      </c>
      <c r="B162" s="16">
        <v>4.0</v>
      </c>
      <c r="C162" s="16">
        <v>0.0</v>
      </c>
      <c r="D162" s="16">
        <v>0.0</v>
      </c>
      <c r="E162" s="16">
        <v>0.0</v>
      </c>
      <c r="F162" s="16">
        <v>0.0</v>
      </c>
      <c r="G162" s="18">
        <v>0.0</v>
      </c>
      <c r="H162" s="16" t="s">
        <v>217</v>
      </c>
      <c r="I162" s="19">
        <f t="shared" si="1"/>
        <v>0</v>
      </c>
      <c r="J162" s="19">
        <f t="shared" si="2"/>
        <v>0</v>
      </c>
    </row>
    <row r="163" ht="22.5" customHeight="1">
      <c r="A163" s="16">
        <v>3.0</v>
      </c>
      <c r="B163" s="16">
        <v>12.0</v>
      </c>
      <c r="C163" s="16">
        <v>2.0</v>
      </c>
      <c r="D163" s="16">
        <v>2.67</v>
      </c>
      <c r="E163" s="16">
        <v>0.0</v>
      </c>
      <c r="F163" s="16">
        <v>0.0</v>
      </c>
      <c r="G163" s="18">
        <v>1.0</v>
      </c>
      <c r="H163" s="16" t="s">
        <v>105</v>
      </c>
      <c r="I163" s="19">
        <f t="shared" si="1"/>
        <v>8</v>
      </c>
      <c r="J163" s="19">
        <f t="shared" si="2"/>
        <v>0</v>
      </c>
    </row>
    <row r="164" ht="22.5" customHeight="1">
      <c r="A164" s="16">
        <v>1.0</v>
      </c>
      <c r="B164" s="16">
        <v>4.0</v>
      </c>
      <c r="C164" s="16">
        <v>0.0</v>
      </c>
      <c r="D164" s="16">
        <v>0.0</v>
      </c>
      <c r="E164" s="16">
        <v>0.0</v>
      </c>
      <c r="F164" s="16">
        <v>0.0</v>
      </c>
      <c r="G164" s="18">
        <v>0.0</v>
      </c>
      <c r="H164" s="16" t="s">
        <v>105</v>
      </c>
      <c r="I164" s="19">
        <f t="shared" si="1"/>
        <v>0</v>
      </c>
      <c r="J164" s="19">
        <f t="shared" si="2"/>
        <v>0</v>
      </c>
    </row>
    <row r="165" ht="22.5" customHeight="1">
      <c r="A165" s="16">
        <v>1.0</v>
      </c>
      <c r="B165" s="16">
        <v>4.0</v>
      </c>
      <c r="C165" s="16">
        <v>0.0</v>
      </c>
      <c r="D165" s="16">
        <v>0.0</v>
      </c>
      <c r="E165" s="16">
        <v>0.0</v>
      </c>
      <c r="F165" s="16">
        <v>0.0</v>
      </c>
      <c r="G165" s="18">
        <v>0.0</v>
      </c>
      <c r="H165" s="16" t="s">
        <v>105</v>
      </c>
      <c r="I165" s="19">
        <f t="shared" si="1"/>
        <v>0</v>
      </c>
      <c r="J165" s="19">
        <f t="shared" si="2"/>
        <v>0</v>
      </c>
    </row>
    <row r="166" ht="22.5" customHeight="1">
      <c r="A166" s="16">
        <v>1.0</v>
      </c>
      <c r="B166" s="16">
        <v>4.0</v>
      </c>
      <c r="C166" s="16">
        <v>0.0</v>
      </c>
      <c r="D166" s="16">
        <v>0.0</v>
      </c>
      <c r="E166" s="16">
        <v>0.0</v>
      </c>
      <c r="F166" s="16">
        <v>0.0</v>
      </c>
      <c r="G166" s="18">
        <v>0.0</v>
      </c>
      <c r="H166" s="16" t="s">
        <v>219</v>
      </c>
      <c r="I166" s="19">
        <f t="shared" si="1"/>
        <v>0</v>
      </c>
      <c r="J166" s="19">
        <f t="shared" si="2"/>
        <v>0</v>
      </c>
    </row>
    <row r="167" ht="22.5" customHeight="1">
      <c r="A167" s="16">
        <v>1.0</v>
      </c>
      <c r="B167" s="16">
        <v>4.0</v>
      </c>
      <c r="C167" s="16">
        <v>0.0</v>
      </c>
      <c r="D167" s="16">
        <v>0.0</v>
      </c>
      <c r="E167" s="16">
        <v>0.0</v>
      </c>
      <c r="F167" s="16">
        <v>0.0</v>
      </c>
      <c r="G167" s="18">
        <v>0.0</v>
      </c>
      <c r="H167" s="16" t="s">
        <v>220</v>
      </c>
      <c r="I167" s="19">
        <f t="shared" si="1"/>
        <v>0</v>
      </c>
      <c r="J167" s="19">
        <f t="shared" si="2"/>
        <v>0</v>
      </c>
    </row>
    <row r="168" ht="22.5" customHeight="1">
      <c r="A168" s="16">
        <v>2.0</v>
      </c>
      <c r="B168" s="16">
        <v>8.0</v>
      </c>
      <c r="C168" s="16">
        <v>0.0</v>
      </c>
      <c r="D168" s="16">
        <v>0.0</v>
      </c>
      <c r="E168" s="16">
        <v>0.0</v>
      </c>
      <c r="F168" s="16">
        <v>0.0</v>
      </c>
      <c r="G168" s="18">
        <v>0.0</v>
      </c>
      <c r="H168" s="16" t="s">
        <v>220</v>
      </c>
      <c r="I168" s="19">
        <f t="shared" si="1"/>
        <v>0</v>
      </c>
      <c r="J168" s="19">
        <f t="shared" si="2"/>
        <v>0</v>
      </c>
    </row>
    <row r="169" ht="22.5" customHeight="1">
      <c r="A169" s="16">
        <v>1.0</v>
      </c>
      <c r="B169" s="16">
        <v>4.0</v>
      </c>
      <c r="C169" s="16">
        <v>0.0</v>
      </c>
      <c r="D169" s="16">
        <v>0.0</v>
      </c>
      <c r="E169" s="16">
        <v>0.0</v>
      </c>
      <c r="F169" s="16">
        <v>0.0</v>
      </c>
      <c r="G169" s="18">
        <v>0.0</v>
      </c>
      <c r="H169" s="16" t="s">
        <v>220</v>
      </c>
      <c r="I169" s="19">
        <f t="shared" si="1"/>
        <v>0</v>
      </c>
      <c r="J169" s="19">
        <f t="shared" si="2"/>
        <v>0</v>
      </c>
    </row>
    <row r="170" ht="22.5" customHeight="1">
      <c r="A170" s="16">
        <v>1.0</v>
      </c>
      <c r="B170" s="16">
        <v>4.0</v>
      </c>
      <c r="C170" s="16">
        <v>0.0</v>
      </c>
      <c r="D170" s="16">
        <v>0.0</v>
      </c>
      <c r="E170" s="16">
        <v>0.0</v>
      </c>
      <c r="F170" s="16">
        <v>0.0</v>
      </c>
      <c r="G170" s="18">
        <v>0.0</v>
      </c>
      <c r="H170" s="16" t="s">
        <v>220</v>
      </c>
      <c r="I170" s="19">
        <f t="shared" si="1"/>
        <v>0</v>
      </c>
      <c r="J170" s="19">
        <f t="shared" si="2"/>
        <v>0</v>
      </c>
    </row>
    <row r="171" ht="22.5" customHeight="1">
      <c r="A171" s="16">
        <v>4.0</v>
      </c>
      <c r="B171" s="16">
        <v>16.0</v>
      </c>
      <c r="C171" s="16">
        <v>0.0</v>
      </c>
      <c r="D171" s="16">
        <v>0.0</v>
      </c>
      <c r="E171" s="16">
        <v>0.0</v>
      </c>
      <c r="F171" s="16">
        <v>0.0</v>
      </c>
      <c r="G171" s="18">
        <v>0.0</v>
      </c>
      <c r="H171" s="16" t="s">
        <v>222</v>
      </c>
      <c r="I171" s="19">
        <f t="shared" si="1"/>
        <v>0</v>
      </c>
      <c r="J171" s="19">
        <f t="shared" si="2"/>
        <v>0</v>
      </c>
    </row>
    <row r="172" ht="22.5" customHeight="1">
      <c r="A172" s="16">
        <v>1.0</v>
      </c>
      <c r="B172" s="16">
        <v>4.0</v>
      </c>
      <c r="C172" s="16">
        <v>0.0</v>
      </c>
      <c r="D172" s="16">
        <v>0.0</v>
      </c>
      <c r="E172" s="16">
        <v>0.0</v>
      </c>
      <c r="F172" s="16">
        <v>0.0</v>
      </c>
      <c r="G172" s="18">
        <v>0.0</v>
      </c>
      <c r="H172" s="16" t="s">
        <v>222</v>
      </c>
      <c r="I172" s="19">
        <f t="shared" si="1"/>
        <v>0</v>
      </c>
      <c r="J172" s="19">
        <f t="shared" si="2"/>
        <v>0</v>
      </c>
    </row>
    <row r="173" ht="22.5" customHeight="1">
      <c r="A173" s="16">
        <v>2.0</v>
      </c>
      <c r="B173" s="16">
        <v>8.0</v>
      </c>
      <c r="C173" s="16">
        <v>0.0</v>
      </c>
      <c r="D173" s="16">
        <v>0.0</v>
      </c>
      <c r="E173" s="16">
        <v>0.0</v>
      </c>
      <c r="F173" s="16">
        <v>0.0</v>
      </c>
      <c r="G173" s="18">
        <v>0.0</v>
      </c>
      <c r="H173" s="16" t="s">
        <v>224</v>
      </c>
      <c r="I173" s="19">
        <f t="shared" si="1"/>
        <v>0</v>
      </c>
      <c r="J173" s="19">
        <f t="shared" si="2"/>
        <v>0</v>
      </c>
    </row>
    <row r="174" ht="22.5" customHeight="1">
      <c r="A174" s="16">
        <v>5.0</v>
      </c>
      <c r="B174" s="16">
        <v>20.0</v>
      </c>
      <c r="C174" s="16">
        <v>18.0</v>
      </c>
      <c r="D174" s="16">
        <v>11.2</v>
      </c>
      <c r="E174" s="16">
        <v>0.4</v>
      </c>
      <c r="F174" s="16">
        <v>0.0</v>
      </c>
      <c r="G174" s="20">
        <v>0.889</v>
      </c>
      <c r="H174" s="16" t="s">
        <v>47</v>
      </c>
      <c r="I174" s="19">
        <f t="shared" si="1"/>
        <v>56</v>
      </c>
      <c r="J174" s="19">
        <f t="shared" si="2"/>
        <v>2</v>
      </c>
    </row>
    <row r="175" ht="22.5" customHeight="1">
      <c r="A175" s="16">
        <v>1.0</v>
      </c>
      <c r="B175" s="16">
        <v>4.0</v>
      </c>
      <c r="C175" s="16">
        <v>0.0</v>
      </c>
      <c r="D175" s="16">
        <v>0.0</v>
      </c>
      <c r="E175" s="16">
        <v>0.0</v>
      </c>
      <c r="F175" s="16">
        <v>0.0</v>
      </c>
      <c r="G175" s="18">
        <v>0.0</v>
      </c>
      <c r="H175" s="16" t="s">
        <v>225</v>
      </c>
      <c r="I175" s="19">
        <f t="shared" si="1"/>
        <v>0</v>
      </c>
      <c r="J175" s="19">
        <f t="shared" si="2"/>
        <v>0</v>
      </c>
    </row>
    <row r="176" ht="22.5" customHeight="1">
      <c r="A176" s="16">
        <v>1.0</v>
      </c>
      <c r="B176" s="16">
        <v>4.0</v>
      </c>
      <c r="C176" s="16">
        <v>0.0</v>
      </c>
      <c r="D176" s="16">
        <v>0.0</v>
      </c>
      <c r="E176" s="16">
        <v>0.0</v>
      </c>
      <c r="F176" s="16">
        <v>0.0</v>
      </c>
      <c r="G176" s="18">
        <v>0.0</v>
      </c>
      <c r="H176" s="16" t="s">
        <v>226</v>
      </c>
      <c r="I176" s="19">
        <f t="shared" si="1"/>
        <v>0</v>
      </c>
      <c r="J176" s="19">
        <f t="shared" si="2"/>
        <v>0</v>
      </c>
    </row>
    <row r="177" ht="22.5" customHeight="1">
      <c r="A177" s="16">
        <v>3.0</v>
      </c>
      <c r="B177" s="16">
        <v>11.0</v>
      </c>
      <c r="C177" s="16">
        <v>0.0</v>
      </c>
      <c r="D177" s="16">
        <v>0.0</v>
      </c>
      <c r="E177" s="16">
        <v>0.0</v>
      </c>
      <c r="F177" s="16">
        <v>0.0</v>
      </c>
      <c r="G177" s="18">
        <v>0.0</v>
      </c>
      <c r="H177" s="16" t="s">
        <v>226</v>
      </c>
      <c r="I177" s="19">
        <f t="shared" si="1"/>
        <v>0</v>
      </c>
      <c r="J177" s="19">
        <f t="shared" si="2"/>
        <v>0</v>
      </c>
    </row>
    <row r="178" ht="22.5" customHeight="1">
      <c r="A178" s="16">
        <v>1.0</v>
      </c>
      <c r="B178" s="16">
        <v>4.0</v>
      </c>
      <c r="C178" s="16">
        <v>1.0</v>
      </c>
      <c r="D178" s="16">
        <v>0.0</v>
      </c>
      <c r="E178" s="16">
        <v>0.0</v>
      </c>
      <c r="F178" s="16">
        <v>0.0</v>
      </c>
      <c r="G178" s="18">
        <v>0.0</v>
      </c>
      <c r="H178" s="16" t="s">
        <v>227</v>
      </c>
      <c r="I178" s="19">
        <f t="shared" si="1"/>
        <v>0</v>
      </c>
      <c r="J178" s="19">
        <f t="shared" si="2"/>
        <v>0</v>
      </c>
    </row>
    <row r="179" ht="22.5" customHeight="1">
      <c r="A179" s="16">
        <v>1.0</v>
      </c>
      <c r="B179" s="16">
        <v>4.0</v>
      </c>
      <c r="C179" s="16">
        <v>1.0</v>
      </c>
      <c r="D179" s="16">
        <v>4.0</v>
      </c>
      <c r="E179" s="16">
        <v>0.0</v>
      </c>
      <c r="F179" s="16">
        <v>0.0</v>
      </c>
      <c r="G179" s="18">
        <v>1.0</v>
      </c>
      <c r="H179" s="16" t="s">
        <v>227</v>
      </c>
      <c r="I179" s="19">
        <f t="shared" si="1"/>
        <v>4</v>
      </c>
      <c r="J179" s="19">
        <f t="shared" si="2"/>
        <v>0</v>
      </c>
    </row>
    <row r="180" ht="22.5" customHeight="1">
      <c r="A180" s="16">
        <v>3.0</v>
      </c>
      <c r="B180" s="16">
        <v>11.0</v>
      </c>
      <c r="C180" s="16">
        <v>1.0</v>
      </c>
      <c r="D180" s="16">
        <v>0.0</v>
      </c>
      <c r="E180" s="16">
        <v>0.0</v>
      </c>
      <c r="F180" s="16">
        <v>0.0</v>
      </c>
      <c r="G180" s="18">
        <v>0.0</v>
      </c>
      <c r="H180" s="16" t="s">
        <v>227</v>
      </c>
      <c r="I180" s="19">
        <f t="shared" si="1"/>
        <v>0</v>
      </c>
      <c r="J180" s="19">
        <f t="shared" si="2"/>
        <v>0</v>
      </c>
    </row>
    <row r="181" ht="22.5" customHeight="1">
      <c r="A181" s="16">
        <v>1.0</v>
      </c>
      <c r="B181" s="16">
        <v>4.0</v>
      </c>
      <c r="C181" s="16">
        <v>0.0</v>
      </c>
      <c r="D181" s="16">
        <v>0.0</v>
      </c>
      <c r="E181" s="16">
        <v>0.0</v>
      </c>
      <c r="F181" s="16">
        <v>0.0</v>
      </c>
      <c r="G181" s="18">
        <v>0.0</v>
      </c>
      <c r="H181" s="16" t="s">
        <v>229</v>
      </c>
      <c r="I181" s="19">
        <f t="shared" si="1"/>
        <v>0</v>
      </c>
      <c r="J181" s="19">
        <f t="shared" si="2"/>
        <v>0</v>
      </c>
    </row>
    <row r="182" ht="22.5" customHeight="1">
      <c r="A182" s="16">
        <v>1.0</v>
      </c>
      <c r="B182" s="16">
        <v>4.0</v>
      </c>
      <c r="C182" s="16">
        <v>0.0</v>
      </c>
      <c r="D182" s="16">
        <v>0.0</v>
      </c>
      <c r="E182" s="16">
        <v>0.0</v>
      </c>
      <c r="F182" s="16">
        <v>0.0</v>
      </c>
      <c r="G182" s="18">
        <v>0.0</v>
      </c>
      <c r="H182" s="16" t="s">
        <v>229</v>
      </c>
      <c r="I182" s="19">
        <f t="shared" si="1"/>
        <v>0</v>
      </c>
      <c r="J182" s="19">
        <f t="shared" si="2"/>
        <v>0</v>
      </c>
    </row>
    <row r="183" ht="22.5" customHeight="1">
      <c r="A183" s="16">
        <v>2.0</v>
      </c>
      <c r="B183" s="16">
        <v>7.0</v>
      </c>
      <c r="C183" s="16">
        <v>0.0</v>
      </c>
      <c r="D183" s="16">
        <v>0.0</v>
      </c>
      <c r="E183" s="16">
        <v>0.0</v>
      </c>
      <c r="F183" s="16">
        <v>0.0</v>
      </c>
      <c r="G183" s="18">
        <v>0.0</v>
      </c>
      <c r="H183" s="16" t="s">
        <v>229</v>
      </c>
      <c r="I183" s="19">
        <f t="shared" si="1"/>
        <v>0</v>
      </c>
      <c r="J183" s="19">
        <f t="shared" si="2"/>
        <v>0</v>
      </c>
    </row>
    <row r="184" ht="22.5" customHeight="1">
      <c r="A184" s="16">
        <v>1.0</v>
      </c>
      <c r="B184" s="16">
        <v>4.0</v>
      </c>
      <c r="C184" s="16">
        <v>1.0</v>
      </c>
      <c r="D184" s="16">
        <v>0.0</v>
      </c>
      <c r="E184" s="16">
        <v>0.0</v>
      </c>
      <c r="F184" s="16">
        <v>0.0</v>
      </c>
      <c r="G184" s="18">
        <v>0.0</v>
      </c>
      <c r="H184" s="16" t="s">
        <v>232</v>
      </c>
      <c r="I184" s="19">
        <f t="shared" si="1"/>
        <v>0</v>
      </c>
      <c r="J184" s="19">
        <f t="shared" si="2"/>
        <v>0</v>
      </c>
    </row>
    <row r="185" ht="22.5" customHeight="1">
      <c r="A185" s="16">
        <v>1.0</v>
      </c>
      <c r="B185" s="16">
        <v>4.0</v>
      </c>
      <c r="C185" s="16">
        <v>1.0</v>
      </c>
      <c r="D185" s="16">
        <v>0.0</v>
      </c>
      <c r="E185" s="16">
        <v>0.0</v>
      </c>
      <c r="F185" s="16">
        <v>0.0</v>
      </c>
      <c r="G185" s="18">
        <v>0.0</v>
      </c>
      <c r="H185" s="16" t="s">
        <v>232</v>
      </c>
      <c r="I185" s="19">
        <f t="shared" si="1"/>
        <v>0</v>
      </c>
      <c r="J185" s="19">
        <f t="shared" si="2"/>
        <v>0</v>
      </c>
    </row>
    <row r="186" ht="22.5" customHeight="1">
      <c r="A186" s="16">
        <v>3.0</v>
      </c>
      <c r="B186" s="16">
        <v>11.0</v>
      </c>
      <c r="C186" s="16">
        <v>0.0</v>
      </c>
      <c r="D186" s="16">
        <v>0.0</v>
      </c>
      <c r="E186" s="16">
        <v>0.0</v>
      </c>
      <c r="F186" s="16">
        <v>0.0</v>
      </c>
      <c r="G186" s="18">
        <v>0.0</v>
      </c>
      <c r="H186" s="16" t="s">
        <v>232</v>
      </c>
      <c r="I186" s="19">
        <f t="shared" si="1"/>
        <v>0</v>
      </c>
      <c r="J186" s="19">
        <f t="shared" si="2"/>
        <v>0</v>
      </c>
    </row>
    <row r="187" ht="22.5" customHeight="1">
      <c r="A187" s="16">
        <v>1.0</v>
      </c>
      <c r="B187" s="16">
        <v>4.0</v>
      </c>
      <c r="C187" s="16">
        <v>2.0</v>
      </c>
      <c r="D187" s="16">
        <v>8.0</v>
      </c>
      <c r="E187" s="16">
        <v>0.0</v>
      </c>
      <c r="F187" s="16">
        <v>0.0</v>
      </c>
      <c r="G187" s="18">
        <v>1.0</v>
      </c>
      <c r="H187" s="16" t="s">
        <v>233</v>
      </c>
      <c r="I187" s="19">
        <f t="shared" si="1"/>
        <v>8</v>
      </c>
      <c r="J187" s="19">
        <f t="shared" si="2"/>
        <v>0</v>
      </c>
    </row>
    <row r="188" ht="22.5" customHeight="1">
      <c r="A188" s="16">
        <v>1.0</v>
      </c>
      <c r="B188" s="16">
        <v>4.0</v>
      </c>
      <c r="C188" s="16">
        <v>2.0</v>
      </c>
      <c r="D188" s="16">
        <v>8.0</v>
      </c>
      <c r="E188" s="16">
        <v>0.0</v>
      </c>
      <c r="F188" s="16">
        <v>0.0</v>
      </c>
      <c r="G188" s="18">
        <v>1.0</v>
      </c>
      <c r="H188" s="16" t="s">
        <v>233</v>
      </c>
      <c r="I188" s="19">
        <f t="shared" si="1"/>
        <v>8</v>
      </c>
      <c r="J188" s="19">
        <f t="shared" si="2"/>
        <v>0</v>
      </c>
    </row>
    <row r="189" ht="22.5" customHeight="1">
      <c r="A189" s="16">
        <v>1.0</v>
      </c>
      <c r="B189" s="16">
        <v>4.0</v>
      </c>
      <c r="C189" s="16">
        <v>3.0</v>
      </c>
      <c r="D189" s="16">
        <v>-4.0</v>
      </c>
      <c r="E189" s="16">
        <v>1.0</v>
      </c>
      <c r="F189" s="16">
        <v>0.0</v>
      </c>
      <c r="G189" s="18">
        <v>0.0</v>
      </c>
      <c r="H189" s="16" t="s">
        <v>233</v>
      </c>
      <c r="I189" s="19">
        <f t="shared" si="1"/>
        <v>-4</v>
      </c>
      <c r="J189" s="19">
        <f t="shared" si="2"/>
        <v>1</v>
      </c>
    </row>
    <row r="190" ht="22.5" customHeight="1">
      <c r="A190" s="16">
        <v>1.0</v>
      </c>
      <c r="B190" s="16">
        <v>4.0</v>
      </c>
      <c r="C190" s="16">
        <v>2.0</v>
      </c>
      <c r="D190" s="16">
        <v>4.0</v>
      </c>
      <c r="E190" s="16">
        <v>0.0</v>
      </c>
      <c r="F190" s="16">
        <v>0.0</v>
      </c>
      <c r="G190" s="18">
        <v>0.5</v>
      </c>
      <c r="H190" s="16" t="s">
        <v>233</v>
      </c>
      <c r="I190" s="19">
        <f t="shared" si="1"/>
        <v>4</v>
      </c>
      <c r="J190" s="19">
        <f t="shared" si="2"/>
        <v>0</v>
      </c>
    </row>
    <row r="191" ht="22.5" customHeight="1">
      <c r="A191" s="16">
        <v>2.0</v>
      </c>
      <c r="B191" s="16">
        <v>7.0</v>
      </c>
      <c r="C191" s="16">
        <v>0.0</v>
      </c>
      <c r="D191" s="16">
        <v>0.0</v>
      </c>
      <c r="E191" s="16">
        <v>0.0</v>
      </c>
      <c r="F191" s="16">
        <v>0.0</v>
      </c>
      <c r="G191" s="18">
        <v>0.0</v>
      </c>
      <c r="H191" s="16" t="s">
        <v>234</v>
      </c>
      <c r="I191" s="19">
        <f t="shared" si="1"/>
        <v>0</v>
      </c>
      <c r="J191" s="19">
        <f t="shared" si="2"/>
        <v>0</v>
      </c>
    </row>
    <row r="192" ht="22.5" customHeight="1">
      <c r="A192" s="16">
        <v>1.0</v>
      </c>
      <c r="B192" s="16">
        <v>4.0</v>
      </c>
      <c r="C192" s="16">
        <v>3.0</v>
      </c>
      <c r="D192" s="16">
        <v>8.0</v>
      </c>
      <c r="E192" s="16">
        <v>0.0</v>
      </c>
      <c r="F192" s="16">
        <v>0.0</v>
      </c>
      <c r="G192" s="20">
        <v>0.667</v>
      </c>
      <c r="H192" s="16" t="s">
        <v>153</v>
      </c>
      <c r="I192" s="19">
        <f t="shared" si="1"/>
        <v>8</v>
      </c>
      <c r="J192" s="19">
        <f t="shared" si="2"/>
        <v>0</v>
      </c>
    </row>
    <row r="193" ht="22.5" customHeight="1">
      <c r="A193" s="16">
        <v>4.0</v>
      </c>
      <c r="B193" s="16">
        <v>15.0</v>
      </c>
      <c r="C193" s="16">
        <v>0.0</v>
      </c>
      <c r="D193" s="16">
        <v>0.0</v>
      </c>
      <c r="E193" s="16">
        <v>0.0</v>
      </c>
      <c r="F193" s="16">
        <v>0.0</v>
      </c>
      <c r="G193" s="18">
        <v>0.0</v>
      </c>
      <c r="H193" s="16" t="s">
        <v>235</v>
      </c>
      <c r="I193" s="19">
        <f t="shared" si="1"/>
        <v>0</v>
      </c>
      <c r="J193" s="19">
        <f t="shared" si="2"/>
        <v>0</v>
      </c>
    </row>
    <row r="194" ht="22.5" customHeight="1">
      <c r="A194" s="16">
        <v>4.0</v>
      </c>
      <c r="B194" s="16">
        <v>15.0</v>
      </c>
      <c r="C194" s="16">
        <v>1.0</v>
      </c>
      <c r="D194" s="16">
        <v>1.0</v>
      </c>
      <c r="E194" s="16">
        <v>0.0</v>
      </c>
      <c r="F194" s="16">
        <v>0.0</v>
      </c>
      <c r="G194" s="18">
        <v>1.0</v>
      </c>
      <c r="H194" s="16" t="s">
        <v>202</v>
      </c>
      <c r="I194" s="19">
        <f t="shared" si="1"/>
        <v>4</v>
      </c>
      <c r="J194" s="19">
        <f t="shared" si="2"/>
        <v>0</v>
      </c>
    </row>
    <row r="195" ht="22.5" customHeight="1">
      <c r="A195" s="16">
        <v>1.0</v>
      </c>
      <c r="B195" s="16">
        <v>4.0</v>
      </c>
      <c r="C195" s="16">
        <v>0.0</v>
      </c>
      <c r="D195" s="16">
        <v>0.0</v>
      </c>
      <c r="E195" s="16">
        <v>0.0</v>
      </c>
      <c r="F195" s="16">
        <v>0.0</v>
      </c>
      <c r="G195" s="18">
        <v>0.0</v>
      </c>
      <c r="H195" s="16" t="s">
        <v>202</v>
      </c>
      <c r="I195" s="19">
        <f t="shared" si="1"/>
        <v>0</v>
      </c>
      <c r="J195" s="19">
        <f t="shared" si="2"/>
        <v>0</v>
      </c>
    </row>
    <row r="196" ht="22.5" customHeight="1">
      <c r="A196" s="16">
        <v>3.0</v>
      </c>
      <c r="B196" s="16">
        <v>11.0</v>
      </c>
      <c r="C196" s="16">
        <v>10.0</v>
      </c>
      <c r="D196" s="16">
        <v>9.33</v>
      </c>
      <c r="E196" s="16">
        <v>0.33</v>
      </c>
      <c r="F196" s="16">
        <v>0.0</v>
      </c>
      <c r="G196" s="18">
        <v>0.8</v>
      </c>
      <c r="H196" s="16" t="s">
        <v>135</v>
      </c>
      <c r="I196" s="19">
        <f t="shared" si="1"/>
        <v>28</v>
      </c>
      <c r="J196" s="19">
        <f t="shared" si="2"/>
        <v>1</v>
      </c>
    </row>
    <row r="197" ht="22.5" customHeight="1">
      <c r="A197" s="16">
        <v>1.0</v>
      </c>
      <c r="B197" s="16">
        <v>4.0</v>
      </c>
      <c r="C197" s="16">
        <v>0.0</v>
      </c>
      <c r="D197" s="16">
        <v>0.0</v>
      </c>
      <c r="E197" s="16">
        <v>0.0</v>
      </c>
      <c r="F197" s="16">
        <v>0.0</v>
      </c>
      <c r="G197" s="18">
        <v>0.0</v>
      </c>
      <c r="H197" s="16" t="s">
        <v>135</v>
      </c>
      <c r="I197" s="19">
        <f t="shared" si="1"/>
        <v>0</v>
      </c>
      <c r="J197" s="19">
        <f t="shared" si="2"/>
        <v>0</v>
      </c>
    </row>
    <row r="198" ht="22.5" customHeight="1">
      <c r="A198" s="16">
        <v>1.0</v>
      </c>
      <c r="B198" s="16">
        <v>4.0</v>
      </c>
      <c r="C198" s="16">
        <v>1.0</v>
      </c>
      <c r="D198" s="16">
        <v>4.0</v>
      </c>
      <c r="E198" s="16">
        <v>0.0</v>
      </c>
      <c r="F198" s="16">
        <v>0.0</v>
      </c>
      <c r="G198" s="18">
        <v>1.0</v>
      </c>
      <c r="H198" s="16" t="s">
        <v>236</v>
      </c>
      <c r="I198" s="19">
        <f t="shared" si="1"/>
        <v>4</v>
      </c>
      <c r="J198" s="19">
        <f t="shared" si="2"/>
        <v>0</v>
      </c>
    </row>
    <row r="199" ht="22.5" customHeight="1">
      <c r="A199" s="16">
        <v>1.0</v>
      </c>
      <c r="B199" s="16">
        <v>4.0</v>
      </c>
      <c r="C199" s="16">
        <v>1.0</v>
      </c>
      <c r="D199" s="16">
        <v>0.0</v>
      </c>
      <c r="E199" s="16">
        <v>0.0</v>
      </c>
      <c r="F199" s="16">
        <v>0.0</v>
      </c>
      <c r="G199" s="18">
        <v>0.0</v>
      </c>
      <c r="H199" s="16" t="s">
        <v>236</v>
      </c>
      <c r="I199" s="19">
        <f t="shared" si="1"/>
        <v>0</v>
      </c>
      <c r="J199" s="19">
        <f t="shared" si="2"/>
        <v>0</v>
      </c>
    </row>
    <row r="200" ht="22.5" customHeight="1">
      <c r="A200" s="16">
        <v>1.0</v>
      </c>
      <c r="B200" s="16">
        <v>4.0</v>
      </c>
      <c r="C200" s="16">
        <v>0.0</v>
      </c>
      <c r="D200" s="16">
        <v>0.0</v>
      </c>
      <c r="E200" s="16">
        <v>0.0</v>
      </c>
      <c r="F200" s="16">
        <v>0.0</v>
      </c>
      <c r="G200" s="18">
        <v>0.0</v>
      </c>
      <c r="H200" s="16" t="s">
        <v>237</v>
      </c>
      <c r="I200" s="19">
        <f t="shared" si="1"/>
        <v>0</v>
      </c>
      <c r="J200" s="19">
        <f t="shared" si="2"/>
        <v>0</v>
      </c>
    </row>
    <row r="201" ht="22.5" customHeight="1">
      <c r="A201" s="16">
        <v>5.0</v>
      </c>
      <c r="B201" s="16">
        <v>21.0</v>
      </c>
      <c r="C201" s="16">
        <v>4.0</v>
      </c>
      <c r="D201" s="16">
        <v>1.6</v>
      </c>
      <c r="E201" s="16">
        <v>0.0</v>
      </c>
      <c r="F201" s="16">
        <v>0.0</v>
      </c>
      <c r="G201" s="18">
        <v>0.5</v>
      </c>
      <c r="H201" s="16" t="s">
        <v>182</v>
      </c>
      <c r="I201" s="19">
        <f t="shared" si="1"/>
        <v>8</v>
      </c>
      <c r="J201" s="19">
        <f t="shared" si="2"/>
        <v>0</v>
      </c>
    </row>
    <row r="202" ht="22.5" customHeight="1">
      <c r="A202" s="16">
        <v>5.0</v>
      </c>
      <c r="B202" s="16">
        <v>21.0</v>
      </c>
      <c r="C202" s="16">
        <v>0.0</v>
      </c>
      <c r="D202" s="16">
        <v>0.0</v>
      </c>
      <c r="E202" s="16">
        <v>0.0</v>
      </c>
      <c r="F202" s="16">
        <v>0.0</v>
      </c>
      <c r="G202" s="18">
        <v>0.0</v>
      </c>
      <c r="H202" s="16" t="s">
        <v>204</v>
      </c>
      <c r="I202" s="19">
        <f t="shared" si="1"/>
        <v>0</v>
      </c>
      <c r="J202" s="19">
        <f t="shared" si="2"/>
        <v>0</v>
      </c>
    </row>
    <row r="203" ht="22.5" customHeight="1">
      <c r="A203" s="16">
        <v>3.0</v>
      </c>
      <c r="B203" s="16">
        <v>12.0</v>
      </c>
      <c r="C203" s="16">
        <v>0.0</v>
      </c>
      <c r="D203" s="16">
        <v>0.0</v>
      </c>
      <c r="E203" s="16">
        <v>0.0</v>
      </c>
      <c r="F203" s="16">
        <v>0.0</v>
      </c>
      <c r="G203" s="18">
        <v>0.0</v>
      </c>
      <c r="H203" s="16" t="s">
        <v>238</v>
      </c>
      <c r="I203" s="19">
        <f t="shared" si="1"/>
        <v>0</v>
      </c>
      <c r="J203" s="19">
        <f t="shared" si="2"/>
        <v>0</v>
      </c>
    </row>
    <row r="204" ht="22.5" customHeight="1">
      <c r="A204" s="16">
        <v>5.0</v>
      </c>
      <c r="B204" s="16">
        <v>19.0</v>
      </c>
      <c r="C204" s="16">
        <v>11.0</v>
      </c>
      <c r="D204" s="16">
        <v>5.6</v>
      </c>
      <c r="E204" s="16">
        <v>0.0</v>
      </c>
      <c r="F204" s="16">
        <v>0.0</v>
      </c>
      <c r="G204" s="20">
        <v>0.636</v>
      </c>
      <c r="H204" s="16" t="s">
        <v>149</v>
      </c>
      <c r="I204" s="19">
        <f t="shared" si="1"/>
        <v>28</v>
      </c>
      <c r="J204" s="19">
        <f t="shared" si="2"/>
        <v>0</v>
      </c>
    </row>
    <row r="205" ht="22.5" customHeight="1">
      <c r="A205" s="16">
        <v>3.0</v>
      </c>
      <c r="B205" s="16">
        <v>12.0</v>
      </c>
      <c r="C205" s="16">
        <v>1.0</v>
      </c>
      <c r="D205" s="16">
        <v>0.0</v>
      </c>
      <c r="E205" s="16">
        <v>0.0</v>
      </c>
      <c r="F205" s="16">
        <v>0.0</v>
      </c>
      <c r="G205" s="18">
        <v>0.0</v>
      </c>
      <c r="H205" s="16" t="s">
        <v>240</v>
      </c>
      <c r="I205" s="19">
        <f t="shared" si="1"/>
        <v>0</v>
      </c>
      <c r="J205" s="19">
        <f t="shared" si="2"/>
        <v>0</v>
      </c>
    </row>
    <row r="206" ht="22.5" customHeight="1">
      <c r="A206" s="16">
        <v>1.0</v>
      </c>
      <c r="B206" s="16">
        <v>4.0</v>
      </c>
      <c r="C206" s="16">
        <v>0.0</v>
      </c>
      <c r="D206" s="16">
        <v>0.0</v>
      </c>
      <c r="E206" s="16">
        <v>0.0</v>
      </c>
      <c r="F206" s="16">
        <v>0.0</v>
      </c>
      <c r="G206" s="18">
        <v>0.0</v>
      </c>
      <c r="H206" s="16" t="s">
        <v>242</v>
      </c>
      <c r="I206" s="19">
        <f t="shared" si="1"/>
        <v>0</v>
      </c>
      <c r="J206" s="19">
        <f t="shared" si="2"/>
        <v>0</v>
      </c>
    </row>
    <row r="207" ht="22.5" customHeight="1">
      <c r="A207" s="16">
        <v>1.0</v>
      </c>
      <c r="B207" s="16">
        <v>4.0</v>
      </c>
      <c r="C207" s="16">
        <v>0.0</v>
      </c>
      <c r="D207" s="16">
        <v>0.0</v>
      </c>
      <c r="E207" s="16">
        <v>0.0</v>
      </c>
      <c r="F207" s="16">
        <v>0.0</v>
      </c>
      <c r="G207" s="18">
        <v>0.0</v>
      </c>
      <c r="H207" s="16" t="s">
        <v>243</v>
      </c>
      <c r="I207" s="19">
        <f t="shared" si="1"/>
        <v>0</v>
      </c>
      <c r="J207" s="19">
        <f t="shared" si="2"/>
        <v>0</v>
      </c>
    </row>
    <row r="208" ht="22.5" customHeight="1">
      <c r="A208" s="16">
        <v>3.0</v>
      </c>
      <c r="B208" s="16">
        <v>12.0</v>
      </c>
      <c r="C208" s="16">
        <v>0.0</v>
      </c>
      <c r="D208" s="16">
        <v>0.0</v>
      </c>
      <c r="E208" s="16">
        <v>0.0</v>
      </c>
      <c r="F208" s="16">
        <v>0.0</v>
      </c>
      <c r="G208" s="18">
        <v>0.0</v>
      </c>
      <c r="H208" s="16" t="s">
        <v>244</v>
      </c>
      <c r="I208" s="19">
        <f t="shared" si="1"/>
        <v>0</v>
      </c>
      <c r="J208" s="19">
        <f t="shared" si="2"/>
        <v>0</v>
      </c>
    </row>
    <row r="209" ht="22.5" customHeight="1">
      <c r="A209" s="16">
        <v>2.0</v>
      </c>
      <c r="B209" s="16">
        <v>8.0</v>
      </c>
      <c r="C209" s="16">
        <v>1.0</v>
      </c>
      <c r="D209" s="16">
        <v>0.0</v>
      </c>
      <c r="E209" s="16">
        <v>0.0</v>
      </c>
      <c r="F209" s="16">
        <v>0.0</v>
      </c>
      <c r="G209" s="18">
        <v>0.0</v>
      </c>
      <c r="H209" s="16" t="s">
        <v>244</v>
      </c>
      <c r="I209" s="19">
        <f t="shared" si="1"/>
        <v>0</v>
      </c>
      <c r="J209" s="19">
        <f t="shared" si="2"/>
        <v>0</v>
      </c>
    </row>
    <row r="210" ht="22.5" customHeight="1">
      <c r="A210" s="16">
        <v>3.0</v>
      </c>
      <c r="B210" s="16">
        <v>12.0</v>
      </c>
      <c r="C210" s="16">
        <v>4.0</v>
      </c>
      <c r="D210" s="16">
        <v>2.67</v>
      </c>
      <c r="E210" s="16">
        <v>0.33</v>
      </c>
      <c r="F210" s="16">
        <v>0.0</v>
      </c>
      <c r="G210" s="18">
        <v>0.75</v>
      </c>
      <c r="H210" s="16" t="s">
        <v>185</v>
      </c>
      <c r="I210" s="19">
        <f t="shared" si="1"/>
        <v>8</v>
      </c>
      <c r="J210" s="19">
        <f t="shared" si="2"/>
        <v>1</v>
      </c>
    </row>
    <row r="211" ht="22.5" customHeight="1">
      <c r="A211" s="16">
        <v>2.0</v>
      </c>
      <c r="B211" s="16">
        <v>8.0</v>
      </c>
      <c r="C211" s="16">
        <v>0.0</v>
      </c>
      <c r="D211" s="16">
        <v>0.0</v>
      </c>
      <c r="E211" s="16">
        <v>0.0</v>
      </c>
      <c r="F211" s="16">
        <v>0.0</v>
      </c>
      <c r="G211" s="18">
        <v>0.0</v>
      </c>
      <c r="H211" s="16" t="s">
        <v>185</v>
      </c>
      <c r="I211" s="19">
        <f t="shared" si="1"/>
        <v>0</v>
      </c>
      <c r="J211" s="19">
        <f t="shared" si="2"/>
        <v>0</v>
      </c>
    </row>
    <row r="212" ht="22.5" customHeight="1">
      <c r="A212" s="16">
        <v>3.0</v>
      </c>
      <c r="B212" s="16">
        <v>12.0</v>
      </c>
      <c r="C212" s="16">
        <v>2.0</v>
      </c>
      <c r="D212" s="16">
        <v>2.67</v>
      </c>
      <c r="E212" s="16">
        <v>0.0</v>
      </c>
      <c r="F212" s="16">
        <v>0.0</v>
      </c>
      <c r="G212" s="18">
        <v>1.0</v>
      </c>
      <c r="H212" s="16" t="s">
        <v>248</v>
      </c>
      <c r="I212" s="19">
        <f t="shared" si="1"/>
        <v>8</v>
      </c>
      <c r="J212" s="19">
        <f t="shared" si="2"/>
        <v>0</v>
      </c>
    </row>
    <row r="213" ht="22.5" customHeight="1">
      <c r="A213" s="16">
        <v>2.0</v>
      </c>
      <c r="B213" s="16">
        <v>8.0</v>
      </c>
      <c r="C213" s="16">
        <v>5.0</v>
      </c>
      <c r="D213" s="16">
        <v>2.0</v>
      </c>
      <c r="E213" s="16">
        <v>0.0</v>
      </c>
      <c r="F213" s="16">
        <v>0.0</v>
      </c>
      <c r="G213" s="18">
        <v>0.2</v>
      </c>
      <c r="H213" s="16" t="s">
        <v>248</v>
      </c>
      <c r="I213" s="19">
        <f t="shared" si="1"/>
        <v>4</v>
      </c>
      <c r="J213" s="19">
        <f t="shared" si="2"/>
        <v>0</v>
      </c>
    </row>
    <row r="214" ht="22.5" customHeight="1">
      <c r="A214" s="16">
        <v>2.0</v>
      </c>
      <c r="B214" s="16">
        <v>8.0</v>
      </c>
      <c r="C214" s="16">
        <v>0.0</v>
      </c>
      <c r="D214" s="16">
        <v>0.0</v>
      </c>
      <c r="E214" s="16">
        <v>0.0</v>
      </c>
      <c r="F214" s="16">
        <v>0.0</v>
      </c>
      <c r="G214" s="18">
        <v>0.0</v>
      </c>
      <c r="H214" s="16" t="s">
        <v>250</v>
      </c>
      <c r="I214" s="19">
        <f t="shared" si="1"/>
        <v>0</v>
      </c>
      <c r="J214" s="19">
        <f t="shared" si="2"/>
        <v>0</v>
      </c>
    </row>
    <row r="215" ht="22.5" customHeight="1">
      <c r="A215" s="16">
        <v>1.0</v>
      </c>
      <c r="B215" s="16">
        <v>4.0</v>
      </c>
      <c r="C215" s="16">
        <v>0.0</v>
      </c>
      <c r="D215" s="16">
        <v>0.0</v>
      </c>
      <c r="E215" s="16">
        <v>0.0</v>
      </c>
      <c r="F215" s="16">
        <v>0.0</v>
      </c>
      <c r="G215" s="18">
        <v>0.0</v>
      </c>
      <c r="H215" s="16" t="s">
        <v>250</v>
      </c>
      <c r="I215" s="19">
        <f t="shared" si="1"/>
        <v>0</v>
      </c>
      <c r="J215" s="19">
        <f t="shared" si="2"/>
        <v>0</v>
      </c>
    </row>
    <row r="216" ht="22.5" customHeight="1">
      <c r="A216" s="16">
        <v>1.0</v>
      </c>
      <c r="B216" s="16">
        <v>4.0</v>
      </c>
      <c r="C216" s="16">
        <v>0.0</v>
      </c>
      <c r="D216" s="16">
        <v>0.0</v>
      </c>
      <c r="E216" s="16">
        <v>0.0</v>
      </c>
      <c r="F216" s="16">
        <v>0.0</v>
      </c>
      <c r="G216" s="18">
        <v>0.0</v>
      </c>
      <c r="H216" s="16" t="s">
        <v>251</v>
      </c>
      <c r="I216" s="19">
        <f t="shared" si="1"/>
        <v>0</v>
      </c>
      <c r="J216" s="19">
        <f t="shared" si="2"/>
        <v>0</v>
      </c>
    </row>
    <row r="217" ht="22.5" customHeight="1">
      <c r="A217" s="16">
        <v>1.0</v>
      </c>
      <c r="B217" s="16">
        <v>4.0</v>
      </c>
      <c r="C217" s="16">
        <v>3.0</v>
      </c>
      <c r="D217" s="16">
        <v>8.0</v>
      </c>
      <c r="E217" s="16">
        <v>0.0</v>
      </c>
      <c r="F217" s="16">
        <v>0.0</v>
      </c>
      <c r="G217" s="20">
        <v>0.667</v>
      </c>
      <c r="H217" s="16" t="s">
        <v>239</v>
      </c>
      <c r="I217" s="19">
        <f t="shared" si="1"/>
        <v>8</v>
      </c>
      <c r="J217" s="19">
        <f t="shared" si="2"/>
        <v>0</v>
      </c>
    </row>
    <row r="218" ht="22.5" customHeight="1">
      <c r="A218" s="16">
        <v>4.0</v>
      </c>
      <c r="B218" s="16">
        <v>16.0</v>
      </c>
      <c r="C218" s="16">
        <v>4.0</v>
      </c>
      <c r="D218" s="16">
        <v>3.0</v>
      </c>
      <c r="E218" s="16">
        <v>0.0</v>
      </c>
      <c r="F218" s="16">
        <v>0.0</v>
      </c>
      <c r="G218" s="18">
        <v>0.75</v>
      </c>
      <c r="H218" s="16" t="s">
        <v>253</v>
      </c>
      <c r="I218" s="19">
        <f t="shared" si="1"/>
        <v>12</v>
      </c>
      <c r="J218" s="19">
        <f t="shared" si="2"/>
        <v>0</v>
      </c>
    </row>
    <row r="219" ht="22.5" customHeight="1">
      <c r="A219" s="16">
        <v>1.0</v>
      </c>
      <c r="B219" s="16">
        <v>4.0</v>
      </c>
      <c r="C219" s="16">
        <v>2.0</v>
      </c>
      <c r="D219" s="16">
        <v>0.0</v>
      </c>
      <c r="E219" s="16">
        <v>1.0</v>
      </c>
      <c r="F219" s="16">
        <v>0.0</v>
      </c>
      <c r="G219" s="18">
        <v>0.5</v>
      </c>
      <c r="H219" s="16" t="s">
        <v>253</v>
      </c>
      <c r="I219" s="19">
        <f t="shared" si="1"/>
        <v>0</v>
      </c>
      <c r="J219" s="19">
        <f t="shared" si="2"/>
        <v>1</v>
      </c>
    </row>
    <row r="220" ht="22.5" customHeight="1">
      <c r="A220" s="16">
        <v>4.0</v>
      </c>
      <c r="B220" s="16">
        <v>16.0</v>
      </c>
      <c r="C220" s="16">
        <v>2.0</v>
      </c>
      <c r="D220" s="16">
        <v>1.0</v>
      </c>
      <c r="E220" s="16">
        <v>0.0</v>
      </c>
      <c r="F220" s="16">
        <v>0.0</v>
      </c>
      <c r="G220" s="18">
        <v>0.5</v>
      </c>
      <c r="H220" s="16" t="s">
        <v>255</v>
      </c>
      <c r="I220" s="19">
        <f t="shared" si="1"/>
        <v>4</v>
      </c>
      <c r="J220" s="19">
        <f t="shared" si="2"/>
        <v>0</v>
      </c>
    </row>
    <row r="221" ht="22.5" customHeight="1">
      <c r="A221" s="16">
        <v>1.0</v>
      </c>
      <c r="B221" s="16">
        <v>4.0</v>
      </c>
      <c r="C221" s="16">
        <v>0.0</v>
      </c>
      <c r="D221" s="16">
        <v>0.0</v>
      </c>
      <c r="E221" s="16">
        <v>0.0</v>
      </c>
      <c r="F221" s="16">
        <v>0.0</v>
      </c>
      <c r="G221" s="18">
        <v>0.0</v>
      </c>
      <c r="H221" s="16" t="s">
        <v>255</v>
      </c>
      <c r="I221" s="19">
        <f t="shared" si="1"/>
        <v>0</v>
      </c>
      <c r="J221" s="19">
        <f t="shared" si="2"/>
        <v>0</v>
      </c>
    </row>
    <row r="222" ht="22.5" customHeight="1">
      <c r="A222" s="16">
        <v>4.0</v>
      </c>
      <c r="B222" s="16">
        <v>16.0</v>
      </c>
      <c r="C222" s="16">
        <v>1.0</v>
      </c>
      <c r="D222" s="16">
        <v>0.0</v>
      </c>
      <c r="E222" s="16">
        <v>0.0</v>
      </c>
      <c r="F222" s="16">
        <v>0.0</v>
      </c>
      <c r="G222" s="18">
        <v>0.0</v>
      </c>
      <c r="H222" s="16" t="s">
        <v>164</v>
      </c>
      <c r="I222" s="19">
        <f t="shared" si="1"/>
        <v>0</v>
      </c>
      <c r="J222" s="19">
        <f t="shared" si="2"/>
        <v>0</v>
      </c>
    </row>
    <row r="223" ht="22.5" customHeight="1">
      <c r="A223" s="16">
        <v>1.0</v>
      </c>
      <c r="B223" s="16">
        <v>4.0</v>
      </c>
      <c r="C223" s="16">
        <v>0.0</v>
      </c>
      <c r="D223" s="16">
        <v>0.0</v>
      </c>
      <c r="E223" s="16">
        <v>0.0</v>
      </c>
      <c r="F223" s="16">
        <v>0.0</v>
      </c>
      <c r="G223" s="18">
        <v>0.0</v>
      </c>
      <c r="H223" s="16" t="s">
        <v>164</v>
      </c>
      <c r="I223" s="19">
        <f t="shared" si="1"/>
        <v>0</v>
      </c>
      <c r="J223" s="19">
        <f t="shared" si="2"/>
        <v>0</v>
      </c>
    </row>
    <row r="224" ht="22.5" customHeight="1">
      <c r="A224" s="16">
        <v>1.0</v>
      </c>
      <c r="B224" s="16">
        <v>3.0</v>
      </c>
      <c r="C224" s="16">
        <v>0.0</v>
      </c>
      <c r="D224" s="16">
        <v>0.0</v>
      </c>
      <c r="E224" s="16">
        <v>0.0</v>
      </c>
      <c r="F224" s="16">
        <v>0.0</v>
      </c>
      <c r="G224" s="18">
        <v>0.0</v>
      </c>
      <c r="H224" s="16" t="s">
        <v>257</v>
      </c>
      <c r="I224" s="19">
        <f t="shared" si="1"/>
        <v>0</v>
      </c>
      <c r="J224" s="19">
        <f t="shared" si="2"/>
        <v>0</v>
      </c>
    </row>
    <row r="225" ht="22.5" customHeight="1">
      <c r="A225" s="16">
        <v>1.0</v>
      </c>
      <c r="B225" s="16">
        <v>4.0</v>
      </c>
      <c r="C225" s="16">
        <v>0.0</v>
      </c>
      <c r="D225" s="16">
        <v>0.0</v>
      </c>
      <c r="E225" s="16">
        <v>0.0</v>
      </c>
      <c r="F225" s="16">
        <v>0.0</v>
      </c>
      <c r="G225" s="18">
        <v>0.0</v>
      </c>
      <c r="H225" s="16" t="s">
        <v>257</v>
      </c>
      <c r="I225" s="19">
        <f t="shared" si="1"/>
        <v>0</v>
      </c>
      <c r="J225" s="19">
        <f t="shared" si="2"/>
        <v>0</v>
      </c>
    </row>
    <row r="226" ht="22.5" customHeight="1">
      <c r="A226" s="16">
        <v>2.0</v>
      </c>
      <c r="B226" s="16">
        <v>7.0</v>
      </c>
      <c r="C226" s="16">
        <v>0.0</v>
      </c>
      <c r="D226" s="16">
        <v>0.0</v>
      </c>
      <c r="E226" s="16">
        <v>0.0</v>
      </c>
      <c r="F226" s="16">
        <v>0.0</v>
      </c>
      <c r="G226" s="18">
        <v>0.0</v>
      </c>
      <c r="H226" s="16" t="s">
        <v>259</v>
      </c>
      <c r="I226" s="19">
        <f t="shared" si="1"/>
        <v>0</v>
      </c>
      <c r="J226" s="19">
        <f t="shared" si="2"/>
        <v>0</v>
      </c>
    </row>
    <row r="227" ht="22.5" customHeight="1">
      <c r="A227" s="16">
        <v>2.0</v>
      </c>
      <c r="B227" s="16">
        <v>8.0</v>
      </c>
      <c r="C227" s="16">
        <v>0.0</v>
      </c>
      <c r="D227" s="16">
        <v>0.0</v>
      </c>
      <c r="E227" s="16">
        <v>0.0</v>
      </c>
      <c r="F227" s="16">
        <v>0.0</v>
      </c>
      <c r="G227" s="18">
        <v>0.0</v>
      </c>
      <c r="H227" s="16" t="s">
        <v>259</v>
      </c>
      <c r="I227" s="19">
        <f t="shared" si="1"/>
        <v>0</v>
      </c>
      <c r="J227" s="19">
        <f t="shared" si="2"/>
        <v>0</v>
      </c>
    </row>
    <row r="228" ht="22.5" customHeight="1">
      <c r="A228" s="16">
        <v>3.0</v>
      </c>
      <c r="B228" s="16">
        <v>11.0</v>
      </c>
      <c r="C228" s="16">
        <v>9.0</v>
      </c>
      <c r="D228" s="16">
        <v>8.0</v>
      </c>
      <c r="E228" s="16">
        <v>0.0</v>
      </c>
      <c r="F228" s="16">
        <v>0.0</v>
      </c>
      <c r="G228" s="20">
        <v>0.667</v>
      </c>
      <c r="H228" s="16" t="s">
        <v>99</v>
      </c>
      <c r="I228" s="19">
        <f t="shared" si="1"/>
        <v>24</v>
      </c>
      <c r="J228" s="19">
        <f t="shared" si="2"/>
        <v>0</v>
      </c>
    </row>
    <row r="229" ht="22.5" customHeight="1">
      <c r="A229" s="16">
        <v>2.0</v>
      </c>
      <c r="B229" s="16">
        <v>8.0</v>
      </c>
      <c r="C229" s="16">
        <v>6.0</v>
      </c>
      <c r="D229" s="16">
        <v>2.0</v>
      </c>
      <c r="E229" s="16">
        <v>0.5</v>
      </c>
      <c r="F229" s="16">
        <v>0.0</v>
      </c>
      <c r="G229" s="20">
        <v>0.333</v>
      </c>
      <c r="H229" s="16" t="s">
        <v>99</v>
      </c>
      <c r="I229" s="19">
        <f t="shared" si="1"/>
        <v>4</v>
      </c>
      <c r="J229" s="19">
        <f t="shared" si="2"/>
        <v>1</v>
      </c>
    </row>
    <row r="230" ht="22.5" customHeight="1">
      <c r="A230" s="16">
        <v>3.0</v>
      </c>
      <c r="B230" s="16">
        <v>11.0</v>
      </c>
      <c r="C230" s="16">
        <v>0.0</v>
      </c>
      <c r="D230" s="16">
        <v>0.0</v>
      </c>
      <c r="E230" s="16">
        <v>0.0</v>
      </c>
      <c r="F230" s="16">
        <v>0.0</v>
      </c>
      <c r="G230" s="18">
        <v>0.0</v>
      </c>
      <c r="H230" s="16" t="s">
        <v>262</v>
      </c>
      <c r="I230" s="19">
        <f t="shared" si="1"/>
        <v>0</v>
      </c>
      <c r="J230" s="19">
        <f t="shared" si="2"/>
        <v>0</v>
      </c>
    </row>
    <row r="231" ht="22.5" customHeight="1">
      <c r="A231" s="16">
        <v>1.0</v>
      </c>
      <c r="B231" s="16">
        <v>4.0</v>
      </c>
      <c r="C231" s="16">
        <v>0.0</v>
      </c>
      <c r="D231" s="16">
        <v>0.0</v>
      </c>
      <c r="E231" s="16">
        <v>0.0</v>
      </c>
      <c r="F231" s="16">
        <v>0.0</v>
      </c>
      <c r="G231" s="18">
        <v>0.0</v>
      </c>
      <c r="H231" s="16" t="s">
        <v>262</v>
      </c>
      <c r="I231" s="19">
        <f t="shared" si="1"/>
        <v>0</v>
      </c>
      <c r="J231" s="19">
        <f t="shared" si="2"/>
        <v>0</v>
      </c>
    </row>
    <row r="232" ht="22.5" customHeight="1">
      <c r="A232" s="16">
        <v>1.0</v>
      </c>
      <c r="B232" s="16">
        <v>4.0</v>
      </c>
      <c r="C232" s="16">
        <v>0.0</v>
      </c>
      <c r="D232" s="16">
        <v>0.0</v>
      </c>
      <c r="E232" s="16">
        <v>0.0</v>
      </c>
      <c r="F232" s="16">
        <v>0.0</v>
      </c>
      <c r="G232" s="18">
        <v>0.0</v>
      </c>
      <c r="H232" s="16" t="s">
        <v>262</v>
      </c>
      <c r="I232" s="19">
        <f t="shared" si="1"/>
        <v>0</v>
      </c>
      <c r="J232" s="19">
        <f t="shared" si="2"/>
        <v>0</v>
      </c>
    </row>
    <row r="233" ht="22.5" customHeight="1">
      <c r="A233" s="16">
        <v>1.0</v>
      </c>
      <c r="B233" s="16">
        <v>4.0</v>
      </c>
      <c r="C233" s="16">
        <v>0.0</v>
      </c>
      <c r="D233" s="16">
        <v>0.0</v>
      </c>
      <c r="E233" s="16">
        <v>0.0</v>
      </c>
      <c r="F233" s="16">
        <v>0.0</v>
      </c>
      <c r="G233" s="18">
        <v>0.0</v>
      </c>
      <c r="H233" s="16" t="s">
        <v>241</v>
      </c>
      <c r="I233" s="19">
        <f t="shared" si="1"/>
        <v>0</v>
      </c>
      <c r="J233" s="19">
        <f t="shared" si="2"/>
        <v>0</v>
      </c>
    </row>
    <row r="234" ht="22.5" customHeight="1">
      <c r="A234" s="16">
        <v>1.0</v>
      </c>
      <c r="B234" s="16">
        <v>4.0</v>
      </c>
      <c r="C234" s="16">
        <v>2.0</v>
      </c>
      <c r="D234" s="16">
        <v>4.0</v>
      </c>
      <c r="E234" s="16">
        <v>0.0</v>
      </c>
      <c r="F234" s="16">
        <v>0.0</v>
      </c>
      <c r="G234" s="18">
        <v>0.5</v>
      </c>
      <c r="H234" s="16" t="s">
        <v>241</v>
      </c>
      <c r="I234" s="19">
        <f t="shared" si="1"/>
        <v>4</v>
      </c>
      <c r="J234" s="19">
        <f t="shared" si="2"/>
        <v>0</v>
      </c>
    </row>
    <row r="235" ht="22.5" customHeight="1">
      <c r="A235" s="16">
        <v>2.0</v>
      </c>
      <c r="B235" s="16">
        <v>8.0</v>
      </c>
      <c r="C235" s="16">
        <v>0.0</v>
      </c>
      <c r="D235" s="16">
        <v>0.0</v>
      </c>
      <c r="E235" s="16">
        <v>0.0</v>
      </c>
      <c r="F235" s="16">
        <v>0.0</v>
      </c>
      <c r="G235" s="18">
        <v>0.0</v>
      </c>
      <c r="H235" s="16" t="s">
        <v>263</v>
      </c>
      <c r="I235" s="19">
        <f t="shared" si="1"/>
        <v>0</v>
      </c>
      <c r="J235" s="19">
        <f t="shared" si="2"/>
        <v>0</v>
      </c>
    </row>
    <row r="236" ht="22.5" customHeight="1">
      <c r="A236" s="16">
        <v>1.0</v>
      </c>
      <c r="B236" s="16">
        <v>4.0</v>
      </c>
      <c r="C236" s="16">
        <v>0.0</v>
      </c>
      <c r="D236" s="16">
        <v>0.0</v>
      </c>
      <c r="E236" s="16">
        <v>0.0</v>
      </c>
      <c r="F236" s="16">
        <v>0.0</v>
      </c>
      <c r="G236" s="18">
        <v>0.0</v>
      </c>
      <c r="H236" s="16" t="s">
        <v>263</v>
      </c>
      <c r="I236" s="19">
        <f t="shared" si="1"/>
        <v>0</v>
      </c>
      <c r="J236" s="19">
        <f t="shared" si="2"/>
        <v>0</v>
      </c>
    </row>
    <row r="237" ht="22.5" customHeight="1">
      <c r="A237" s="16">
        <v>1.0</v>
      </c>
      <c r="B237" s="16">
        <v>3.0</v>
      </c>
      <c r="C237" s="16">
        <v>0.0</v>
      </c>
      <c r="D237" s="16">
        <v>0.0</v>
      </c>
      <c r="E237" s="16">
        <v>0.0</v>
      </c>
      <c r="F237" s="16">
        <v>0.0</v>
      </c>
      <c r="G237" s="18">
        <v>0.0</v>
      </c>
      <c r="H237" s="16" t="s">
        <v>264</v>
      </c>
      <c r="I237" s="19">
        <f t="shared" si="1"/>
        <v>0</v>
      </c>
      <c r="J237" s="19">
        <f t="shared" si="2"/>
        <v>0</v>
      </c>
    </row>
    <row r="238" ht="22.5" customHeight="1">
      <c r="A238" s="16">
        <v>3.0</v>
      </c>
      <c r="B238" s="16">
        <v>12.0</v>
      </c>
      <c r="C238" s="16">
        <v>0.0</v>
      </c>
      <c r="D238" s="16">
        <v>0.0</v>
      </c>
      <c r="E238" s="16">
        <v>0.0</v>
      </c>
      <c r="F238" s="16">
        <v>0.0</v>
      </c>
      <c r="G238" s="18">
        <v>0.0</v>
      </c>
      <c r="H238" s="16" t="s">
        <v>264</v>
      </c>
      <c r="I238" s="19">
        <f t="shared" si="1"/>
        <v>0</v>
      </c>
      <c r="J238" s="19">
        <f t="shared" si="2"/>
        <v>0</v>
      </c>
    </row>
    <row r="239" ht="22.5" customHeight="1">
      <c r="A239" s="16">
        <v>1.0</v>
      </c>
      <c r="B239" s="16">
        <v>3.0</v>
      </c>
      <c r="C239" s="16">
        <v>0.0</v>
      </c>
      <c r="D239" s="16">
        <v>0.0</v>
      </c>
      <c r="E239" s="16">
        <v>0.0</v>
      </c>
      <c r="F239" s="16">
        <v>0.0</v>
      </c>
      <c r="G239" s="18">
        <v>0.0</v>
      </c>
      <c r="H239" s="16" t="s">
        <v>265</v>
      </c>
      <c r="I239" s="19">
        <f t="shared" si="1"/>
        <v>0</v>
      </c>
      <c r="J239" s="19">
        <f t="shared" si="2"/>
        <v>0</v>
      </c>
    </row>
    <row r="240" ht="22.5" customHeight="1">
      <c r="A240" s="16">
        <v>4.0</v>
      </c>
      <c r="B240" s="16">
        <v>16.0</v>
      </c>
      <c r="C240" s="16">
        <v>0.0</v>
      </c>
      <c r="D240" s="16">
        <v>0.0</v>
      </c>
      <c r="E240" s="16">
        <v>0.0</v>
      </c>
      <c r="F240" s="16">
        <v>0.0</v>
      </c>
      <c r="G240" s="18">
        <v>0.0</v>
      </c>
      <c r="H240" s="16" t="s">
        <v>265</v>
      </c>
      <c r="I240" s="19">
        <f t="shared" si="1"/>
        <v>0</v>
      </c>
      <c r="J240" s="19">
        <f t="shared" si="2"/>
        <v>0</v>
      </c>
    </row>
    <row r="241" ht="22.5" customHeight="1">
      <c r="A241" s="16">
        <v>4.0</v>
      </c>
      <c r="B241" s="16">
        <v>16.0</v>
      </c>
      <c r="C241" s="16">
        <v>4.0</v>
      </c>
      <c r="D241" s="16">
        <v>0.0</v>
      </c>
      <c r="E241" s="16">
        <v>0.5</v>
      </c>
      <c r="F241" s="16">
        <v>0.0</v>
      </c>
      <c r="G241" s="18">
        <v>0.5</v>
      </c>
      <c r="H241" s="16" t="s">
        <v>266</v>
      </c>
      <c r="I241" s="19">
        <f t="shared" si="1"/>
        <v>0</v>
      </c>
      <c r="J241" s="19">
        <f t="shared" si="2"/>
        <v>2</v>
      </c>
    </row>
    <row r="242" ht="22.5" customHeight="1">
      <c r="A242" s="16">
        <v>1.0</v>
      </c>
      <c r="B242" s="16">
        <v>3.0</v>
      </c>
      <c r="C242" s="16">
        <v>2.0</v>
      </c>
      <c r="D242" s="16">
        <v>8.0</v>
      </c>
      <c r="E242" s="16">
        <v>0.0</v>
      </c>
      <c r="F242" s="16">
        <v>0.0</v>
      </c>
      <c r="G242" s="18">
        <v>1.0</v>
      </c>
      <c r="H242" s="16" t="s">
        <v>93</v>
      </c>
      <c r="I242" s="19">
        <f t="shared" si="1"/>
        <v>8</v>
      </c>
      <c r="J242" s="19">
        <f t="shared" si="2"/>
        <v>0</v>
      </c>
    </row>
    <row r="243" ht="22.5" customHeight="1">
      <c r="A243" s="16">
        <v>4.0</v>
      </c>
      <c r="B243" s="16">
        <v>16.0</v>
      </c>
      <c r="C243" s="16">
        <v>9.0</v>
      </c>
      <c r="D243" s="16">
        <v>7.0</v>
      </c>
      <c r="E243" s="16">
        <v>0.0</v>
      </c>
      <c r="F243" s="16">
        <v>0.0</v>
      </c>
      <c r="G243" s="20">
        <v>0.778</v>
      </c>
      <c r="H243" s="16" t="s">
        <v>93</v>
      </c>
      <c r="I243" s="19">
        <f t="shared" si="1"/>
        <v>28</v>
      </c>
      <c r="J243" s="19">
        <f t="shared" si="2"/>
        <v>0</v>
      </c>
    </row>
    <row r="244" ht="22.5" customHeight="1">
      <c r="A244" s="16">
        <v>1.0</v>
      </c>
      <c r="B244" s="16">
        <v>4.0</v>
      </c>
      <c r="C244" s="16">
        <v>0.0</v>
      </c>
      <c r="D244" s="16">
        <v>0.0</v>
      </c>
      <c r="E244" s="16">
        <v>0.0</v>
      </c>
      <c r="F244" s="16">
        <v>0.0</v>
      </c>
      <c r="G244" s="18">
        <v>0.0</v>
      </c>
      <c r="H244" s="16" t="s">
        <v>268</v>
      </c>
      <c r="I244" s="19">
        <f t="shared" si="1"/>
        <v>0</v>
      </c>
      <c r="J244" s="19">
        <f t="shared" si="2"/>
        <v>0</v>
      </c>
    </row>
    <row r="245" ht="22.5" customHeight="1">
      <c r="A245" s="16">
        <v>4.0</v>
      </c>
      <c r="B245" s="16">
        <v>15.0</v>
      </c>
      <c r="C245" s="16">
        <v>7.0</v>
      </c>
      <c r="D245" s="16">
        <v>3.0</v>
      </c>
      <c r="E245" s="16">
        <v>0.0</v>
      </c>
      <c r="F245" s="16">
        <v>0.0</v>
      </c>
      <c r="G245" s="20">
        <v>0.429</v>
      </c>
      <c r="H245" s="16" t="s">
        <v>80</v>
      </c>
      <c r="I245" s="19">
        <f t="shared" si="1"/>
        <v>12</v>
      </c>
      <c r="J245" s="19">
        <f t="shared" si="2"/>
        <v>0</v>
      </c>
    </row>
    <row r="246" ht="22.5" customHeight="1">
      <c r="A246" s="16">
        <v>1.0</v>
      </c>
      <c r="B246" s="16">
        <v>3.0</v>
      </c>
      <c r="C246" s="16">
        <v>0.0</v>
      </c>
      <c r="D246" s="16">
        <v>0.0</v>
      </c>
      <c r="E246" s="16">
        <v>0.0</v>
      </c>
      <c r="F246" s="16">
        <v>0.0</v>
      </c>
      <c r="G246" s="18">
        <v>0.0</v>
      </c>
      <c r="H246" s="16" t="s">
        <v>221</v>
      </c>
      <c r="I246" s="19">
        <f t="shared" si="1"/>
        <v>0</v>
      </c>
      <c r="J246" s="19">
        <f t="shared" si="2"/>
        <v>0</v>
      </c>
    </row>
    <row r="247" ht="22.5" customHeight="1">
      <c r="A247" s="16">
        <v>3.0</v>
      </c>
      <c r="B247" s="16">
        <v>12.0</v>
      </c>
      <c r="C247" s="16">
        <v>0.0</v>
      </c>
      <c r="D247" s="16">
        <v>0.0</v>
      </c>
      <c r="E247" s="16">
        <v>0.0</v>
      </c>
      <c r="F247" s="16">
        <v>0.0</v>
      </c>
      <c r="G247" s="18">
        <v>0.0</v>
      </c>
      <c r="H247" s="16" t="s">
        <v>221</v>
      </c>
      <c r="I247" s="19">
        <f t="shared" si="1"/>
        <v>0</v>
      </c>
      <c r="J247" s="19">
        <f t="shared" si="2"/>
        <v>0</v>
      </c>
    </row>
    <row r="248" ht="22.5" customHeight="1">
      <c r="A248" s="16">
        <v>1.0</v>
      </c>
      <c r="B248" s="16">
        <v>4.0</v>
      </c>
      <c r="C248" s="16">
        <v>0.0</v>
      </c>
      <c r="D248" s="16">
        <v>0.0</v>
      </c>
      <c r="E248" s="16">
        <v>0.0</v>
      </c>
      <c r="F248" s="16">
        <v>0.0</v>
      </c>
      <c r="G248" s="18">
        <v>0.0</v>
      </c>
      <c r="H248" s="16" t="s">
        <v>270</v>
      </c>
      <c r="I248" s="19">
        <f t="shared" si="1"/>
        <v>0</v>
      </c>
      <c r="J248" s="19">
        <f t="shared" si="2"/>
        <v>0</v>
      </c>
    </row>
    <row r="249" ht="22.5" customHeight="1">
      <c r="A249" s="16">
        <v>1.0</v>
      </c>
      <c r="B249" s="16">
        <v>4.0</v>
      </c>
      <c r="C249" s="16">
        <v>1.0</v>
      </c>
      <c r="D249" s="16">
        <v>-4.0</v>
      </c>
      <c r="E249" s="16">
        <v>1.0</v>
      </c>
      <c r="F249" s="16">
        <v>0.0</v>
      </c>
      <c r="G249" s="18">
        <v>0.0</v>
      </c>
      <c r="H249" s="16" t="s">
        <v>270</v>
      </c>
      <c r="I249" s="19">
        <f t="shared" si="1"/>
        <v>-4</v>
      </c>
      <c r="J249" s="19">
        <f t="shared" si="2"/>
        <v>1</v>
      </c>
    </row>
    <row r="250" ht="22.5" customHeight="1">
      <c r="A250" s="16">
        <v>1.0</v>
      </c>
      <c r="B250" s="16">
        <v>3.0</v>
      </c>
      <c r="C250" s="16">
        <v>0.0</v>
      </c>
      <c r="D250" s="16">
        <v>0.0</v>
      </c>
      <c r="E250" s="16">
        <v>0.0</v>
      </c>
      <c r="F250" s="16">
        <v>0.0</v>
      </c>
      <c r="G250" s="18">
        <v>0.0</v>
      </c>
      <c r="H250" s="16" t="s">
        <v>228</v>
      </c>
      <c r="I250" s="19">
        <f t="shared" si="1"/>
        <v>0</v>
      </c>
      <c r="J250" s="19">
        <f t="shared" si="2"/>
        <v>0</v>
      </c>
    </row>
    <row r="251" ht="22.5" customHeight="1">
      <c r="A251" s="16">
        <v>4.0</v>
      </c>
      <c r="B251" s="16">
        <v>14.0</v>
      </c>
      <c r="C251" s="16">
        <v>1.0</v>
      </c>
      <c r="D251" s="16">
        <v>1.0</v>
      </c>
      <c r="E251" s="16">
        <v>0.0</v>
      </c>
      <c r="F251" s="16">
        <v>0.0</v>
      </c>
      <c r="G251" s="18">
        <v>1.0</v>
      </c>
      <c r="H251" s="16" t="s">
        <v>228</v>
      </c>
      <c r="I251" s="19">
        <f t="shared" si="1"/>
        <v>4</v>
      </c>
      <c r="J251" s="19">
        <f t="shared" si="2"/>
        <v>0</v>
      </c>
    </row>
    <row r="252" ht="22.5" customHeight="1">
      <c r="A252" s="16">
        <v>1.0</v>
      </c>
      <c r="B252" s="16">
        <v>3.0</v>
      </c>
      <c r="C252" s="16">
        <v>0.0</v>
      </c>
      <c r="D252" s="16">
        <v>0.0</v>
      </c>
      <c r="E252" s="16">
        <v>0.0</v>
      </c>
      <c r="F252" s="16">
        <v>0.0</v>
      </c>
      <c r="G252" s="18">
        <v>0.0</v>
      </c>
      <c r="H252" s="16" t="s">
        <v>273</v>
      </c>
      <c r="I252" s="19">
        <f t="shared" si="1"/>
        <v>0</v>
      </c>
      <c r="J252" s="19">
        <f t="shared" si="2"/>
        <v>0</v>
      </c>
    </row>
    <row r="253" ht="22.5" customHeight="1">
      <c r="A253" s="16">
        <v>3.0</v>
      </c>
      <c r="B253" s="16">
        <v>11.0</v>
      </c>
      <c r="C253" s="16">
        <v>0.0</v>
      </c>
      <c r="D253" s="16">
        <v>0.0</v>
      </c>
      <c r="E253" s="16">
        <v>0.0</v>
      </c>
      <c r="F253" s="16">
        <v>0.0</v>
      </c>
      <c r="G253" s="18">
        <v>0.0</v>
      </c>
      <c r="H253" s="16" t="s">
        <v>273</v>
      </c>
      <c r="I253" s="19">
        <f t="shared" si="1"/>
        <v>0</v>
      </c>
      <c r="J253" s="19">
        <f t="shared" si="2"/>
        <v>0</v>
      </c>
    </row>
    <row r="254" ht="22.5" customHeight="1">
      <c r="A254" s="16">
        <v>1.0</v>
      </c>
      <c r="B254" s="16">
        <v>3.0</v>
      </c>
      <c r="C254" s="16">
        <v>0.0</v>
      </c>
      <c r="D254" s="16">
        <v>0.0</v>
      </c>
      <c r="E254" s="16">
        <v>0.0</v>
      </c>
      <c r="F254" s="16">
        <v>0.0</v>
      </c>
      <c r="G254" s="18">
        <v>0.0</v>
      </c>
      <c r="H254" s="16" t="s">
        <v>273</v>
      </c>
      <c r="I254" s="19">
        <f t="shared" si="1"/>
        <v>0</v>
      </c>
      <c r="J254" s="19">
        <f t="shared" si="2"/>
        <v>0</v>
      </c>
    </row>
    <row r="255" ht="22.5" customHeight="1">
      <c r="A255" s="16">
        <v>1.0</v>
      </c>
      <c r="B255" s="16">
        <v>3.0</v>
      </c>
      <c r="C255" s="16">
        <v>0.0</v>
      </c>
      <c r="D255" s="16">
        <v>0.0</v>
      </c>
      <c r="E255" s="16">
        <v>0.0</v>
      </c>
      <c r="F255" s="16">
        <v>0.0</v>
      </c>
      <c r="G255" s="18">
        <v>0.0</v>
      </c>
      <c r="H255" s="16" t="s">
        <v>275</v>
      </c>
      <c r="I255" s="19">
        <f t="shared" si="1"/>
        <v>0</v>
      </c>
      <c r="J255" s="19">
        <f t="shared" si="2"/>
        <v>0</v>
      </c>
    </row>
    <row r="256" ht="22.5" customHeight="1">
      <c r="A256" s="16">
        <v>3.0</v>
      </c>
      <c r="B256" s="16">
        <v>10.0</v>
      </c>
      <c r="C256" s="16">
        <v>0.0</v>
      </c>
      <c r="D256" s="16">
        <v>0.0</v>
      </c>
      <c r="E256" s="16">
        <v>0.0</v>
      </c>
      <c r="F256" s="16">
        <v>0.0</v>
      </c>
      <c r="G256" s="18">
        <v>0.0</v>
      </c>
      <c r="H256" s="16" t="s">
        <v>275</v>
      </c>
      <c r="I256" s="19">
        <f t="shared" si="1"/>
        <v>0</v>
      </c>
      <c r="J256" s="19">
        <f t="shared" si="2"/>
        <v>0</v>
      </c>
    </row>
    <row r="257" ht="22.5" customHeight="1">
      <c r="A257" s="16">
        <v>2.0</v>
      </c>
      <c r="B257" s="16">
        <v>6.0</v>
      </c>
      <c r="C257" s="16">
        <v>2.0</v>
      </c>
      <c r="D257" s="16">
        <v>4.0</v>
      </c>
      <c r="E257" s="16">
        <v>0.0</v>
      </c>
      <c r="F257" s="16">
        <v>0.0</v>
      </c>
      <c r="G257" s="18">
        <v>1.0</v>
      </c>
      <c r="H257" s="16" t="s">
        <v>276</v>
      </c>
      <c r="I257" s="19">
        <f t="shared" si="1"/>
        <v>8</v>
      </c>
      <c r="J257" s="19">
        <f t="shared" si="2"/>
        <v>0</v>
      </c>
    </row>
    <row r="258" ht="22.5" customHeight="1">
      <c r="A258" s="16">
        <v>2.0</v>
      </c>
      <c r="B258" s="16">
        <v>7.0</v>
      </c>
      <c r="C258" s="16">
        <v>6.0</v>
      </c>
      <c r="D258" s="16">
        <v>6.0</v>
      </c>
      <c r="E258" s="16">
        <v>0.0</v>
      </c>
      <c r="F258" s="16">
        <v>0.0</v>
      </c>
      <c r="G258" s="18">
        <v>0.5</v>
      </c>
      <c r="H258" s="16" t="s">
        <v>276</v>
      </c>
      <c r="I258" s="19">
        <f t="shared" si="1"/>
        <v>12</v>
      </c>
      <c r="J258" s="19">
        <f t="shared" si="2"/>
        <v>0</v>
      </c>
    </row>
    <row r="259" ht="22.5" customHeight="1">
      <c r="A259" s="16">
        <v>1.0</v>
      </c>
      <c r="B259" s="16">
        <v>4.0</v>
      </c>
      <c r="C259" s="16">
        <v>0.0</v>
      </c>
      <c r="D259" s="16">
        <v>0.0</v>
      </c>
      <c r="E259" s="16">
        <v>0.0</v>
      </c>
      <c r="F259" s="16">
        <v>0.0</v>
      </c>
      <c r="G259" s="18">
        <v>0.0</v>
      </c>
      <c r="H259" s="16" t="s">
        <v>277</v>
      </c>
      <c r="I259" s="19">
        <f t="shared" si="1"/>
        <v>0</v>
      </c>
      <c r="J259" s="19">
        <f t="shared" si="2"/>
        <v>0</v>
      </c>
    </row>
    <row r="260" ht="22.5" customHeight="1">
      <c r="A260" s="16">
        <v>4.0</v>
      </c>
      <c r="B260" s="16">
        <v>16.0</v>
      </c>
      <c r="C260" s="16">
        <v>0.0</v>
      </c>
      <c r="D260" s="16">
        <v>0.0</v>
      </c>
      <c r="E260" s="16">
        <v>0.0</v>
      </c>
      <c r="F260" s="16">
        <v>0.0</v>
      </c>
      <c r="G260" s="18">
        <v>0.0</v>
      </c>
      <c r="H260" s="16" t="s">
        <v>277</v>
      </c>
      <c r="I260" s="19">
        <f t="shared" si="1"/>
        <v>0</v>
      </c>
      <c r="J260" s="19">
        <f t="shared" si="2"/>
        <v>0</v>
      </c>
    </row>
    <row r="261" ht="22.5" customHeight="1">
      <c r="A261" s="16">
        <v>1.0</v>
      </c>
      <c r="B261" s="16">
        <v>4.0</v>
      </c>
      <c r="C261" s="16">
        <v>3.0</v>
      </c>
      <c r="D261" s="16">
        <v>12.0</v>
      </c>
      <c r="E261" s="16">
        <v>0.0</v>
      </c>
      <c r="F261" s="16">
        <v>0.0</v>
      </c>
      <c r="G261" s="18">
        <v>1.0</v>
      </c>
      <c r="H261" s="16" t="s">
        <v>172</v>
      </c>
      <c r="I261" s="19">
        <f t="shared" si="1"/>
        <v>12</v>
      </c>
      <c r="J261" s="19">
        <f t="shared" si="2"/>
        <v>0</v>
      </c>
    </row>
    <row r="262" ht="22.5" customHeight="1">
      <c r="A262" s="16">
        <v>3.0</v>
      </c>
      <c r="B262" s="16">
        <v>12.0</v>
      </c>
      <c r="C262" s="16">
        <v>8.0</v>
      </c>
      <c r="D262" s="16">
        <v>9.33</v>
      </c>
      <c r="E262" s="16">
        <v>0.0</v>
      </c>
      <c r="F262" s="16">
        <v>0.0</v>
      </c>
      <c r="G262" s="20">
        <v>0.875</v>
      </c>
      <c r="H262" s="16" t="s">
        <v>172</v>
      </c>
      <c r="I262" s="19">
        <f t="shared" si="1"/>
        <v>28</v>
      </c>
      <c r="J262" s="19">
        <f t="shared" si="2"/>
        <v>0</v>
      </c>
    </row>
    <row r="263" ht="22.5" customHeight="1">
      <c r="A263" s="16">
        <v>1.0</v>
      </c>
      <c r="B263" s="16">
        <v>4.0</v>
      </c>
      <c r="C263" s="16">
        <v>0.0</v>
      </c>
      <c r="D263" s="16">
        <v>0.0</v>
      </c>
      <c r="E263" s="16">
        <v>0.0</v>
      </c>
      <c r="F263" s="16">
        <v>0.0</v>
      </c>
      <c r="G263" s="18">
        <v>0.0</v>
      </c>
      <c r="H263" s="16" t="s">
        <v>279</v>
      </c>
      <c r="I263" s="19">
        <f t="shared" si="1"/>
        <v>0</v>
      </c>
      <c r="J263" s="19">
        <f t="shared" si="2"/>
        <v>0</v>
      </c>
    </row>
    <row r="264" ht="22.5" customHeight="1">
      <c r="A264" s="16">
        <v>4.0</v>
      </c>
      <c r="B264" s="16">
        <v>16.0</v>
      </c>
      <c r="C264" s="16">
        <v>0.0</v>
      </c>
      <c r="D264" s="16">
        <v>0.0</v>
      </c>
      <c r="E264" s="16">
        <v>0.0</v>
      </c>
      <c r="F264" s="16">
        <v>0.0</v>
      </c>
      <c r="G264" s="18">
        <v>0.0</v>
      </c>
      <c r="H264" s="16" t="s">
        <v>279</v>
      </c>
      <c r="I264" s="19">
        <f t="shared" si="1"/>
        <v>0</v>
      </c>
      <c r="J264" s="19">
        <f t="shared" si="2"/>
        <v>0</v>
      </c>
    </row>
    <row r="265" ht="22.5" customHeight="1">
      <c r="A265" s="16">
        <v>1.0</v>
      </c>
      <c r="B265" s="16">
        <v>4.0</v>
      </c>
      <c r="C265" s="16">
        <v>0.0</v>
      </c>
      <c r="D265" s="16">
        <v>0.0</v>
      </c>
      <c r="E265" s="16">
        <v>0.0</v>
      </c>
      <c r="F265" s="16">
        <v>0.0</v>
      </c>
      <c r="G265" s="18">
        <v>0.0</v>
      </c>
      <c r="H265" s="16" t="s">
        <v>280</v>
      </c>
      <c r="I265" s="19">
        <f t="shared" si="1"/>
        <v>0</v>
      </c>
      <c r="J265" s="19">
        <f t="shared" si="2"/>
        <v>0</v>
      </c>
    </row>
    <row r="266" ht="22.5" customHeight="1">
      <c r="A266" s="16">
        <v>1.0</v>
      </c>
      <c r="B266" s="16">
        <v>4.0</v>
      </c>
      <c r="C266" s="16">
        <v>0.0</v>
      </c>
      <c r="D266" s="16">
        <v>0.0</v>
      </c>
      <c r="E266" s="16">
        <v>0.0</v>
      </c>
      <c r="F266" s="16">
        <v>0.0</v>
      </c>
      <c r="G266" s="18">
        <v>0.0</v>
      </c>
      <c r="H266" s="16" t="s">
        <v>281</v>
      </c>
      <c r="I266" s="19">
        <f t="shared" si="1"/>
        <v>0</v>
      </c>
      <c r="J266" s="19">
        <f t="shared" si="2"/>
        <v>0</v>
      </c>
    </row>
    <row r="267" ht="22.5" customHeight="1">
      <c r="A267" s="16">
        <v>4.0</v>
      </c>
      <c r="B267" s="16">
        <v>16.0</v>
      </c>
      <c r="C267" s="16">
        <v>4.0</v>
      </c>
      <c r="D267" s="16">
        <v>2.0</v>
      </c>
      <c r="E267" s="16">
        <v>0.0</v>
      </c>
      <c r="F267" s="16">
        <v>0.0</v>
      </c>
      <c r="G267" s="18">
        <v>0.5</v>
      </c>
      <c r="H267" s="16" t="s">
        <v>281</v>
      </c>
      <c r="I267" s="19">
        <f t="shared" si="1"/>
        <v>8</v>
      </c>
      <c r="J267" s="19">
        <f t="shared" si="2"/>
        <v>0</v>
      </c>
    </row>
    <row r="268" ht="22.5" customHeight="1">
      <c r="A268" s="16">
        <v>2.0</v>
      </c>
      <c r="B268" s="16">
        <v>8.0</v>
      </c>
      <c r="C268" s="16">
        <v>0.0</v>
      </c>
      <c r="D268" s="16">
        <v>0.0</v>
      </c>
      <c r="E268" s="16">
        <v>0.0</v>
      </c>
      <c r="F268" s="16">
        <v>0.0</v>
      </c>
      <c r="G268" s="18">
        <v>0.0</v>
      </c>
      <c r="H268" s="16" t="s">
        <v>282</v>
      </c>
      <c r="I268" s="19">
        <f t="shared" si="1"/>
        <v>0</v>
      </c>
      <c r="J268" s="19">
        <f t="shared" si="2"/>
        <v>0</v>
      </c>
    </row>
    <row r="269" ht="22.5" customHeight="1">
      <c r="A269" s="16">
        <v>1.0</v>
      </c>
      <c r="B269" s="16">
        <v>4.0</v>
      </c>
      <c r="C269" s="16">
        <v>1.0</v>
      </c>
      <c r="D269" s="16">
        <v>0.0</v>
      </c>
      <c r="E269" s="16">
        <v>0.0</v>
      </c>
      <c r="F269" s="16">
        <v>0.0</v>
      </c>
      <c r="G269" s="18">
        <v>0.0</v>
      </c>
      <c r="H269" s="16" t="s">
        <v>282</v>
      </c>
      <c r="I269" s="19">
        <f t="shared" si="1"/>
        <v>0</v>
      </c>
      <c r="J269" s="19">
        <f t="shared" si="2"/>
        <v>0</v>
      </c>
    </row>
    <row r="270" ht="22.5" customHeight="1">
      <c r="A270" s="16">
        <v>3.0</v>
      </c>
      <c r="B270" s="16">
        <v>12.0</v>
      </c>
      <c r="C270" s="16">
        <v>0.0</v>
      </c>
      <c r="D270" s="16">
        <v>0.0</v>
      </c>
      <c r="E270" s="16">
        <v>0.0</v>
      </c>
      <c r="F270" s="16">
        <v>0.0</v>
      </c>
      <c r="G270" s="18">
        <v>0.0</v>
      </c>
      <c r="H270" s="16" t="s">
        <v>283</v>
      </c>
      <c r="I270" s="19">
        <f t="shared" si="1"/>
        <v>0</v>
      </c>
      <c r="J270" s="19">
        <f t="shared" si="2"/>
        <v>0</v>
      </c>
    </row>
    <row r="271" ht="22.5" customHeight="1">
      <c r="A271" s="16">
        <v>1.0</v>
      </c>
      <c r="B271" s="16">
        <v>4.0</v>
      </c>
      <c r="C271" s="16">
        <v>0.0</v>
      </c>
      <c r="D271" s="16">
        <v>0.0</v>
      </c>
      <c r="E271" s="16">
        <v>0.0</v>
      </c>
      <c r="F271" s="16">
        <v>0.0</v>
      </c>
      <c r="G271" s="18">
        <v>0.0</v>
      </c>
      <c r="H271" s="16" t="s">
        <v>283</v>
      </c>
      <c r="I271" s="19">
        <f t="shared" si="1"/>
        <v>0</v>
      </c>
      <c r="J271" s="19">
        <f t="shared" si="2"/>
        <v>0</v>
      </c>
    </row>
    <row r="272" ht="22.5" customHeight="1">
      <c r="A272" s="16">
        <v>1.0</v>
      </c>
      <c r="B272" s="16">
        <v>4.0</v>
      </c>
      <c r="C272" s="16">
        <v>1.0</v>
      </c>
      <c r="D272" s="16">
        <v>4.0</v>
      </c>
      <c r="E272" s="16">
        <v>0.0</v>
      </c>
      <c r="F272" s="16">
        <v>0.0</v>
      </c>
      <c r="G272" s="18">
        <v>1.0</v>
      </c>
      <c r="H272" s="16" t="s">
        <v>284</v>
      </c>
      <c r="I272" s="19">
        <f t="shared" si="1"/>
        <v>4</v>
      </c>
      <c r="J272" s="19">
        <f t="shared" si="2"/>
        <v>0</v>
      </c>
    </row>
    <row r="273" ht="22.5" customHeight="1">
      <c r="A273" s="16">
        <v>1.0</v>
      </c>
      <c r="B273" s="16">
        <v>4.0</v>
      </c>
      <c r="C273" s="16">
        <v>1.0</v>
      </c>
      <c r="D273" s="16">
        <v>4.0</v>
      </c>
      <c r="E273" s="16">
        <v>0.0</v>
      </c>
      <c r="F273" s="16">
        <v>0.0</v>
      </c>
      <c r="G273" s="18">
        <v>1.0</v>
      </c>
      <c r="H273" s="16" t="s">
        <v>284</v>
      </c>
      <c r="I273" s="19">
        <f t="shared" si="1"/>
        <v>4</v>
      </c>
      <c r="J273" s="19">
        <f t="shared" si="2"/>
        <v>0</v>
      </c>
    </row>
    <row r="274" ht="22.5" customHeight="1">
      <c r="A274" s="16">
        <v>1.0</v>
      </c>
      <c r="B274" s="16">
        <v>4.0</v>
      </c>
      <c r="C274" s="16">
        <v>2.0</v>
      </c>
      <c r="D274" s="16">
        <v>8.0</v>
      </c>
      <c r="E274" s="16">
        <v>0.0</v>
      </c>
      <c r="F274" s="16">
        <v>0.0</v>
      </c>
      <c r="G274" s="18">
        <v>1.0</v>
      </c>
      <c r="H274" s="16" t="s">
        <v>52</v>
      </c>
      <c r="I274" s="19">
        <f t="shared" si="1"/>
        <v>8</v>
      </c>
      <c r="J274" s="19">
        <f t="shared" si="2"/>
        <v>0</v>
      </c>
    </row>
    <row r="275" ht="22.5" customHeight="1">
      <c r="A275" s="16">
        <v>3.0</v>
      </c>
      <c r="B275" s="16">
        <v>12.0</v>
      </c>
      <c r="C275" s="16">
        <v>7.0</v>
      </c>
      <c r="D275" s="16">
        <v>6.67</v>
      </c>
      <c r="E275" s="16">
        <v>0.0</v>
      </c>
      <c r="F275" s="16">
        <v>0.0</v>
      </c>
      <c r="G275" s="20">
        <v>0.714</v>
      </c>
      <c r="H275" s="16" t="s">
        <v>52</v>
      </c>
      <c r="I275" s="19">
        <f t="shared" si="1"/>
        <v>20</v>
      </c>
      <c r="J275" s="19">
        <f t="shared" si="2"/>
        <v>0</v>
      </c>
    </row>
    <row r="276" ht="22.5" customHeight="1">
      <c r="A276" s="16">
        <v>1.0</v>
      </c>
      <c r="B276" s="16">
        <v>4.0</v>
      </c>
      <c r="C276" s="16">
        <v>1.0</v>
      </c>
      <c r="D276" s="16">
        <v>-4.0</v>
      </c>
      <c r="E276" s="16">
        <v>1.0</v>
      </c>
      <c r="F276" s="16">
        <v>0.0</v>
      </c>
      <c r="G276" s="18">
        <v>0.0</v>
      </c>
      <c r="H276" s="16" t="s">
        <v>52</v>
      </c>
      <c r="I276" s="19">
        <f t="shared" si="1"/>
        <v>-4</v>
      </c>
      <c r="J276" s="19">
        <f t="shared" si="2"/>
        <v>1</v>
      </c>
    </row>
    <row r="277" ht="22.5" customHeight="1">
      <c r="A277" s="16">
        <v>1.0</v>
      </c>
      <c r="B277" s="16">
        <v>4.0</v>
      </c>
      <c r="C277" s="16">
        <v>0.0</v>
      </c>
      <c r="D277" s="16">
        <v>0.0</v>
      </c>
      <c r="E277" s="16">
        <v>0.0</v>
      </c>
      <c r="F277" s="16">
        <v>0.0</v>
      </c>
      <c r="G277" s="18">
        <v>0.0</v>
      </c>
      <c r="H277" s="16" t="s">
        <v>223</v>
      </c>
      <c r="I277" s="19">
        <f t="shared" si="1"/>
        <v>0</v>
      </c>
      <c r="J277" s="19">
        <f t="shared" si="2"/>
        <v>0</v>
      </c>
    </row>
    <row r="278" ht="22.5" customHeight="1">
      <c r="A278" s="16">
        <v>1.0</v>
      </c>
      <c r="B278" s="16">
        <v>4.0</v>
      </c>
      <c r="C278" s="16">
        <v>1.0</v>
      </c>
      <c r="D278" s="16">
        <v>4.0</v>
      </c>
      <c r="E278" s="16">
        <v>0.0</v>
      </c>
      <c r="F278" s="16">
        <v>0.0</v>
      </c>
      <c r="G278" s="18">
        <v>1.0</v>
      </c>
      <c r="H278" s="16" t="s">
        <v>223</v>
      </c>
      <c r="I278" s="19">
        <f t="shared" si="1"/>
        <v>4</v>
      </c>
      <c r="J278" s="19">
        <f t="shared" si="2"/>
        <v>0</v>
      </c>
    </row>
    <row r="279" ht="22.5" customHeight="1">
      <c r="A279" s="16">
        <v>1.0</v>
      </c>
      <c r="B279" s="16">
        <v>4.0</v>
      </c>
      <c r="C279" s="16">
        <v>0.0</v>
      </c>
      <c r="D279" s="16">
        <v>0.0</v>
      </c>
      <c r="E279" s="16">
        <v>0.0</v>
      </c>
      <c r="F279" s="16">
        <v>0.0</v>
      </c>
      <c r="G279" s="18">
        <v>0.0</v>
      </c>
      <c r="H279" s="16" t="s">
        <v>223</v>
      </c>
      <c r="I279" s="19">
        <f t="shared" si="1"/>
        <v>0</v>
      </c>
      <c r="J279" s="19">
        <f t="shared" si="2"/>
        <v>0</v>
      </c>
    </row>
    <row r="280" ht="22.5" customHeight="1">
      <c r="A280" s="16">
        <v>1.0</v>
      </c>
      <c r="B280" s="16">
        <v>4.0</v>
      </c>
      <c r="C280" s="16">
        <v>1.0</v>
      </c>
      <c r="D280" s="16">
        <v>0.0</v>
      </c>
      <c r="E280" s="16">
        <v>0.0</v>
      </c>
      <c r="F280" s="16">
        <v>0.0</v>
      </c>
      <c r="G280" s="18">
        <v>0.0</v>
      </c>
      <c r="H280" s="16" t="s">
        <v>223</v>
      </c>
      <c r="I280" s="19">
        <f t="shared" si="1"/>
        <v>0</v>
      </c>
      <c r="J280" s="19">
        <f t="shared" si="2"/>
        <v>0</v>
      </c>
    </row>
    <row r="281" ht="22.5" customHeight="1">
      <c r="A281" s="16">
        <v>1.0</v>
      </c>
      <c r="B281" s="16">
        <v>4.0</v>
      </c>
      <c r="C281" s="16">
        <v>3.0</v>
      </c>
      <c r="D281" s="16">
        <v>0.0</v>
      </c>
      <c r="E281" s="16">
        <v>1.0</v>
      </c>
      <c r="F281" s="16">
        <v>0.0</v>
      </c>
      <c r="G281" s="20">
        <v>0.333</v>
      </c>
      <c r="H281" s="16" t="s">
        <v>207</v>
      </c>
      <c r="I281" s="19">
        <f t="shared" si="1"/>
        <v>0</v>
      </c>
      <c r="J281" s="19">
        <f t="shared" si="2"/>
        <v>1</v>
      </c>
    </row>
    <row r="282" ht="22.5" customHeight="1">
      <c r="A282" s="16">
        <v>1.0</v>
      </c>
      <c r="B282" s="16">
        <v>4.0</v>
      </c>
      <c r="C282" s="16">
        <v>2.0</v>
      </c>
      <c r="D282" s="16">
        <v>0.0</v>
      </c>
      <c r="E282" s="16">
        <v>0.0</v>
      </c>
      <c r="F282" s="16">
        <v>0.0</v>
      </c>
      <c r="G282" s="18">
        <v>0.0</v>
      </c>
      <c r="H282" s="16" t="s">
        <v>207</v>
      </c>
      <c r="I282" s="19">
        <f t="shared" si="1"/>
        <v>0</v>
      </c>
      <c r="J282" s="19">
        <f t="shared" si="2"/>
        <v>0</v>
      </c>
    </row>
    <row r="283" ht="22.5" customHeight="1">
      <c r="A283" s="16">
        <v>1.0</v>
      </c>
      <c r="B283" s="16">
        <v>4.0</v>
      </c>
      <c r="C283" s="16">
        <v>2.0</v>
      </c>
      <c r="D283" s="16">
        <v>4.0</v>
      </c>
      <c r="E283" s="16">
        <v>0.0</v>
      </c>
      <c r="F283" s="16">
        <v>0.0</v>
      </c>
      <c r="G283" s="18">
        <v>0.5</v>
      </c>
      <c r="H283" s="16" t="s">
        <v>207</v>
      </c>
      <c r="I283" s="19">
        <f t="shared" si="1"/>
        <v>4</v>
      </c>
      <c r="J283" s="19">
        <f t="shared" si="2"/>
        <v>0</v>
      </c>
    </row>
    <row r="284" ht="22.5" customHeight="1">
      <c r="A284" s="16">
        <v>2.0</v>
      </c>
      <c r="B284" s="16">
        <v>8.0</v>
      </c>
      <c r="C284" s="16">
        <v>3.0</v>
      </c>
      <c r="D284" s="16">
        <v>2.0</v>
      </c>
      <c r="E284" s="16">
        <v>0.0</v>
      </c>
      <c r="F284" s="16">
        <v>0.0</v>
      </c>
      <c r="G284" s="20">
        <v>0.333</v>
      </c>
      <c r="H284" s="16" t="s">
        <v>207</v>
      </c>
      <c r="I284" s="19">
        <f t="shared" si="1"/>
        <v>4</v>
      </c>
      <c r="J284" s="19">
        <f t="shared" si="2"/>
        <v>0</v>
      </c>
    </row>
    <row r="285" ht="22.5" customHeight="1">
      <c r="A285" s="16">
        <v>1.0</v>
      </c>
      <c r="B285" s="16">
        <v>4.0</v>
      </c>
      <c r="C285" s="16">
        <v>0.0</v>
      </c>
      <c r="D285" s="16">
        <v>0.0</v>
      </c>
      <c r="E285" s="16">
        <v>0.0</v>
      </c>
      <c r="F285" s="16">
        <v>0.0</v>
      </c>
      <c r="G285" s="18">
        <v>0.0</v>
      </c>
      <c r="H285" s="16" t="s">
        <v>288</v>
      </c>
      <c r="I285" s="19">
        <f t="shared" si="1"/>
        <v>0</v>
      </c>
      <c r="J285" s="19">
        <f t="shared" si="2"/>
        <v>0</v>
      </c>
    </row>
    <row r="286" ht="22.5" customHeight="1">
      <c r="A286" s="16">
        <v>1.0</v>
      </c>
      <c r="B286" s="16">
        <v>4.0</v>
      </c>
      <c r="C286" s="16">
        <v>1.0</v>
      </c>
      <c r="D286" s="16">
        <v>4.0</v>
      </c>
      <c r="E286" s="16">
        <v>0.0</v>
      </c>
      <c r="F286" s="16">
        <v>0.0</v>
      </c>
      <c r="G286" s="18">
        <v>1.0</v>
      </c>
      <c r="H286" s="16" t="s">
        <v>245</v>
      </c>
      <c r="I286" s="19">
        <f t="shared" si="1"/>
        <v>4</v>
      </c>
      <c r="J286" s="19">
        <f t="shared" si="2"/>
        <v>0</v>
      </c>
    </row>
    <row r="287" ht="22.5" customHeight="1">
      <c r="A287" s="16">
        <v>1.0</v>
      </c>
      <c r="B287" s="16">
        <v>4.0</v>
      </c>
      <c r="C287" s="16">
        <v>0.0</v>
      </c>
      <c r="D287" s="16">
        <v>0.0</v>
      </c>
      <c r="E287" s="16">
        <v>0.0</v>
      </c>
      <c r="F287" s="16">
        <v>0.0</v>
      </c>
      <c r="G287" s="18">
        <v>0.0</v>
      </c>
      <c r="H287" s="16" t="s">
        <v>245</v>
      </c>
      <c r="I287" s="19">
        <f t="shared" si="1"/>
        <v>0</v>
      </c>
      <c r="J287" s="19">
        <f t="shared" si="2"/>
        <v>0</v>
      </c>
    </row>
    <row r="288" ht="22.5" customHeight="1">
      <c r="A288" s="16">
        <v>1.0</v>
      </c>
      <c r="B288" s="16">
        <v>4.0</v>
      </c>
      <c r="C288" s="16">
        <v>1.0</v>
      </c>
      <c r="D288" s="16">
        <v>4.0</v>
      </c>
      <c r="E288" s="16">
        <v>0.0</v>
      </c>
      <c r="F288" s="16">
        <v>0.0</v>
      </c>
      <c r="G288" s="18">
        <v>1.0</v>
      </c>
      <c r="H288" s="16" t="s">
        <v>245</v>
      </c>
      <c r="I288" s="19">
        <f t="shared" si="1"/>
        <v>4</v>
      </c>
      <c r="J288" s="19">
        <f t="shared" si="2"/>
        <v>0</v>
      </c>
    </row>
    <row r="289" ht="22.5" customHeight="1">
      <c r="A289" s="16">
        <v>1.0</v>
      </c>
      <c r="B289" s="16">
        <v>4.0</v>
      </c>
      <c r="C289" s="16">
        <v>0.0</v>
      </c>
      <c r="D289" s="16">
        <v>0.0</v>
      </c>
      <c r="E289" s="16">
        <v>0.0</v>
      </c>
      <c r="F289" s="16">
        <v>0.0</v>
      </c>
      <c r="G289" s="18">
        <v>0.0</v>
      </c>
      <c r="H289" s="16" t="s">
        <v>290</v>
      </c>
      <c r="I289" s="19">
        <f t="shared" si="1"/>
        <v>0</v>
      </c>
      <c r="J289" s="19">
        <f t="shared" si="2"/>
        <v>0</v>
      </c>
    </row>
    <row r="290" ht="22.5" customHeight="1">
      <c r="A290" s="16">
        <v>4.0</v>
      </c>
      <c r="B290" s="16">
        <v>16.0</v>
      </c>
      <c r="C290" s="16">
        <v>1.0</v>
      </c>
      <c r="D290" s="16">
        <v>1.0</v>
      </c>
      <c r="E290" s="16">
        <v>0.0</v>
      </c>
      <c r="F290" s="16">
        <v>0.0</v>
      </c>
      <c r="G290" s="18">
        <v>1.0</v>
      </c>
      <c r="H290" s="16" t="s">
        <v>291</v>
      </c>
      <c r="I290" s="19">
        <f t="shared" si="1"/>
        <v>4</v>
      </c>
      <c r="J290" s="19">
        <f t="shared" si="2"/>
        <v>0</v>
      </c>
    </row>
    <row r="291" ht="22.5" customHeight="1">
      <c r="A291" s="16">
        <v>5.0</v>
      </c>
      <c r="B291" s="16">
        <v>20.0</v>
      </c>
      <c r="C291" s="16">
        <v>2.0</v>
      </c>
      <c r="D291" s="16">
        <v>0.8</v>
      </c>
      <c r="E291" s="16">
        <v>0.0</v>
      </c>
      <c r="F291" s="16">
        <v>0.0</v>
      </c>
      <c r="G291" s="18">
        <v>0.5</v>
      </c>
      <c r="H291" s="16" t="s">
        <v>267</v>
      </c>
      <c r="I291" s="19">
        <f t="shared" si="1"/>
        <v>4</v>
      </c>
      <c r="J291" s="19">
        <f t="shared" si="2"/>
        <v>0</v>
      </c>
    </row>
    <row r="292" ht="22.5" customHeight="1">
      <c r="A292" s="16">
        <v>5.0</v>
      </c>
      <c r="B292" s="16">
        <v>20.0</v>
      </c>
      <c r="C292" s="16">
        <v>9.0</v>
      </c>
      <c r="D292" s="16">
        <v>5.6</v>
      </c>
      <c r="E292" s="16">
        <v>0.0</v>
      </c>
      <c r="F292" s="16">
        <v>0.0</v>
      </c>
      <c r="G292" s="20">
        <v>0.778</v>
      </c>
      <c r="H292" s="16" t="s">
        <v>98</v>
      </c>
      <c r="I292" s="19">
        <f t="shared" si="1"/>
        <v>28</v>
      </c>
      <c r="J292" s="19">
        <f t="shared" si="2"/>
        <v>0</v>
      </c>
    </row>
    <row r="293" ht="22.5" customHeight="1">
      <c r="A293" s="16">
        <v>1.0</v>
      </c>
      <c r="B293" s="16">
        <v>4.0</v>
      </c>
      <c r="C293" s="16">
        <v>2.0</v>
      </c>
      <c r="D293" s="16">
        <v>0.0</v>
      </c>
      <c r="E293" s="16">
        <v>1.0</v>
      </c>
      <c r="F293" s="16">
        <v>0.0</v>
      </c>
      <c r="G293" s="18">
        <v>0.5</v>
      </c>
      <c r="H293" s="16" t="s">
        <v>106</v>
      </c>
      <c r="I293" s="19">
        <f t="shared" si="1"/>
        <v>0</v>
      </c>
      <c r="J293" s="19">
        <f t="shared" si="2"/>
        <v>1</v>
      </c>
    </row>
    <row r="294" ht="22.5" customHeight="1">
      <c r="A294" s="16">
        <v>3.0</v>
      </c>
      <c r="B294" s="16">
        <v>12.0</v>
      </c>
      <c r="C294" s="16">
        <v>5.0</v>
      </c>
      <c r="D294" s="16">
        <v>5.33</v>
      </c>
      <c r="E294" s="16">
        <v>0.0</v>
      </c>
      <c r="F294" s="16">
        <v>0.0</v>
      </c>
      <c r="G294" s="18">
        <v>0.8</v>
      </c>
      <c r="H294" s="16" t="s">
        <v>106</v>
      </c>
      <c r="I294" s="19">
        <f t="shared" si="1"/>
        <v>16</v>
      </c>
      <c r="J294" s="19">
        <f t="shared" si="2"/>
        <v>0</v>
      </c>
    </row>
    <row r="295" ht="22.5" customHeight="1">
      <c r="A295" s="16">
        <v>1.0</v>
      </c>
      <c r="B295" s="16">
        <v>4.0</v>
      </c>
      <c r="C295" s="16">
        <v>4.0</v>
      </c>
      <c r="D295" s="16">
        <v>16.0</v>
      </c>
      <c r="E295" s="16">
        <v>0.0</v>
      </c>
      <c r="F295" s="16">
        <v>0.0</v>
      </c>
      <c r="G295" s="18">
        <v>1.0</v>
      </c>
      <c r="H295" s="16" t="s">
        <v>106</v>
      </c>
      <c r="I295" s="19">
        <f t="shared" si="1"/>
        <v>16</v>
      </c>
      <c r="J295" s="19">
        <f t="shared" si="2"/>
        <v>0</v>
      </c>
    </row>
    <row r="296" ht="22.5" customHeight="1">
      <c r="A296" s="16">
        <v>2.0</v>
      </c>
      <c r="B296" s="16">
        <v>8.0</v>
      </c>
      <c r="C296" s="16">
        <v>1.0</v>
      </c>
      <c r="D296" s="16">
        <v>2.0</v>
      </c>
      <c r="E296" s="16">
        <v>0.0</v>
      </c>
      <c r="F296" s="16">
        <v>0.0</v>
      </c>
      <c r="G296" s="18">
        <v>1.0</v>
      </c>
      <c r="H296" s="16" t="s">
        <v>292</v>
      </c>
      <c r="I296" s="19">
        <f t="shared" si="1"/>
        <v>4</v>
      </c>
      <c r="J296" s="19">
        <f t="shared" si="2"/>
        <v>0</v>
      </c>
    </row>
    <row r="297" ht="22.5" customHeight="1">
      <c r="A297" s="16">
        <v>1.0</v>
      </c>
      <c r="B297" s="16">
        <v>4.0</v>
      </c>
      <c r="C297" s="16">
        <v>1.0</v>
      </c>
      <c r="D297" s="16">
        <v>4.0</v>
      </c>
      <c r="E297" s="16">
        <v>0.0</v>
      </c>
      <c r="F297" s="16">
        <v>0.0</v>
      </c>
      <c r="G297" s="18">
        <v>1.0</v>
      </c>
      <c r="H297" s="16" t="s">
        <v>269</v>
      </c>
      <c r="I297" s="19">
        <f t="shared" si="1"/>
        <v>4</v>
      </c>
      <c r="J297" s="19">
        <f t="shared" si="2"/>
        <v>0</v>
      </c>
    </row>
    <row r="298" ht="22.5" customHeight="1">
      <c r="A298" s="16">
        <v>3.0</v>
      </c>
      <c r="B298" s="16">
        <v>12.0</v>
      </c>
      <c r="C298" s="16">
        <v>0.0</v>
      </c>
      <c r="D298" s="16">
        <v>0.0</v>
      </c>
      <c r="E298" s="16">
        <v>0.0</v>
      </c>
      <c r="F298" s="16">
        <v>0.0</v>
      </c>
      <c r="G298" s="18">
        <v>0.0</v>
      </c>
      <c r="H298" s="16" t="s">
        <v>269</v>
      </c>
      <c r="I298" s="19">
        <f t="shared" si="1"/>
        <v>0</v>
      </c>
      <c r="J298" s="19">
        <f t="shared" si="2"/>
        <v>0</v>
      </c>
    </row>
    <row r="299" ht="22.5" customHeight="1">
      <c r="A299" s="16">
        <v>1.0</v>
      </c>
      <c r="B299" s="16">
        <v>4.0</v>
      </c>
      <c r="C299" s="16">
        <v>0.0</v>
      </c>
      <c r="D299" s="16">
        <v>0.0</v>
      </c>
      <c r="E299" s="16">
        <v>0.0</v>
      </c>
      <c r="F299" s="16">
        <v>0.0</v>
      </c>
      <c r="G299" s="18">
        <v>0.0</v>
      </c>
      <c r="H299" s="16" t="s">
        <v>269</v>
      </c>
      <c r="I299" s="19">
        <f t="shared" si="1"/>
        <v>0</v>
      </c>
      <c r="J299" s="19">
        <f t="shared" si="2"/>
        <v>0</v>
      </c>
    </row>
    <row r="300" ht="22.5" customHeight="1">
      <c r="A300" s="16">
        <v>1.0</v>
      </c>
      <c r="B300" s="16">
        <v>4.0</v>
      </c>
      <c r="C300" s="16">
        <v>0.0</v>
      </c>
      <c r="D300" s="16">
        <v>0.0</v>
      </c>
      <c r="E300" s="16">
        <v>0.0</v>
      </c>
      <c r="F300" s="16">
        <v>0.0</v>
      </c>
      <c r="G300" s="18">
        <v>0.0</v>
      </c>
      <c r="H300" s="16" t="s">
        <v>293</v>
      </c>
      <c r="I300" s="19">
        <f t="shared" si="1"/>
        <v>0</v>
      </c>
      <c r="J300" s="19">
        <f t="shared" si="2"/>
        <v>0</v>
      </c>
    </row>
    <row r="301" ht="22.5" customHeight="1">
      <c r="A301" s="16">
        <v>3.0</v>
      </c>
      <c r="B301" s="16">
        <v>12.0</v>
      </c>
      <c r="C301" s="16">
        <v>0.0</v>
      </c>
      <c r="D301" s="16">
        <v>0.0</v>
      </c>
      <c r="E301" s="16">
        <v>0.0</v>
      </c>
      <c r="F301" s="16">
        <v>0.0</v>
      </c>
      <c r="G301" s="18">
        <v>0.0</v>
      </c>
      <c r="H301" s="16" t="s">
        <v>293</v>
      </c>
      <c r="I301" s="19">
        <f t="shared" si="1"/>
        <v>0</v>
      </c>
      <c r="J301" s="19">
        <f t="shared" si="2"/>
        <v>0</v>
      </c>
    </row>
    <row r="302" ht="22.5" customHeight="1">
      <c r="A302" s="16">
        <v>1.0</v>
      </c>
      <c r="B302" s="16">
        <v>4.0</v>
      </c>
      <c r="C302" s="16">
        <v>0.0</v>
      </c>
      <c r="D302" s="16">
        <v>0.0</v>
      </c>
      <c r="E302" s="16">
        <v>0.0</v>
      </c>
      <c r="F302" s="16">
        <v>0.0</v>
      </c>
      <c r="G302" s="18">
        <v>0.0</v>
      </c>
      <c r="H302" s="16" t="s">
        <v>293</v>
      </c>
      <c r="I302" s="19">
        <f t="shared" si="1"/>
        <v>0</v>
      </c>
      <c r="J302" s="19">
        <f t="shared" si="2"/>
        <v>0</v>
      </c>
    </row>
    <row r="303" ht="22.5" customHeight="1">
      <c r="A303" s="16">
        <v>5.0</v>
      </c>
      <c r="B303" s="16">
        <v>20.0</v>
      </c>
      <c r="C303" s="16">
        <v>0.0</v>
      </c>
      <c r="D303" s="16">
        <v>0.0</v>
      </c>
      <c r="E303" s="16">
        <v>0.0</v>
      </c>
      <c r="F303" s="16">
        <v>0.0</v>
      </c>
      <c r="G303" s="18">
        <v>0.0</v>
      </c>
      <c r="H303" s="16" t="s">
        <v>285</v>
      </c>
      <c r="I303" s="19">
        <f t="shared" si="1"/>
        <v>0</v>
      </c>
      <c r="J303" s="19">
        <f t="shared" si="2"/>
        <v>0</v>
      </c>
    </row>
    <row r="304" ht="22.5" customHeight="1">
      <c r="A304" s="16">
        <v>1.0</v>
      </c>
      <c r="B304" s="16">
        <v>4.0</v>
      </c>
      <c r="C304" s="16">
        <v>2.0</v>
      </c>
      <c r="D304" s="16">
        <v>8.0</v>
      </c>
      <c r="E304" s="16">
        <v>0.0</v>
      </c>
      <c r="F304" s="16">
        <v>0.0</v>
      </c>
      <c r="G304" s="18">
        <v>1.0</v>
      </c>
      <c r="H304" s="16" t="s">
        <v>246</v>
      </c>
      <c r="I304" s="19">
        <f t="shared" si="1"/>
        <v>8</v>
      </c>
      <c r="J304" s="19">
        <f t="shared" si="2"/>
        <v>0</v>
      </c>
    </row>
    <row r="305" ht="22.5" customHeight="1">
      <c r="A305" s="16">
        <v>4.0</v>
      </c>
      <c r="B305" s="16">
        <v>16.0</v>
      </c>
      <c r="C305" s="16">
        <v>7.0</v>
      </c>
      <c r="D305" s="16">
        <v>0.0</v>
      </c>
      <c r="E305" s="16">
        <v>0.75</v>
      </c>
      <c r="F305" s="16">
        <v>0.0</v>
      </c>
      <c r="G305" s="20">
        <v>0.429</v>
      </c>
      <c r="H305" s="16" t="s">
        <v>295</v>
      </c>
      <c r="I305" s="19">
        <f t="shared" si="1"/>
        <v>0</v>
      </c>
      <c r="J305" s="19">
        <f t="shared" si="2"/>
        <v>3</v>
      </c>
    </row>
    <row r="306" ht="22.5" customHeight="1">
      <c r="A306" s="16">
        <v>5.0</v>
      </c>
      <c r="B306" s="16">
        <v>20.0</v>
      </c>
      <c r="C306" s="16">
        <v>3.0</v>
      </c>
      <c r="D306" s="16">
        <v>-0.8</v>
      </c>
      <c r="E306" s="16">
        <v>0.2</v>
      </c>
      <c r="F306" s="16">
        <v>0.0</v>
      </c>
      <c r="G306" s="18">
        <v>0.0</v>
      </c>
      <c r="H306" s="16" t="s">
        <v>286</v>
      </c>
      <c r="I306" s="19">
        <f t="shared" si="1"/>
        <v>-4</v>
      </c>
      <c r="J306" s="19">
        <f t="shared" si="2"/>
        <v>1</v>
      </c>
    </row>
    <row r="307" ht="22.5" customHeight="1">
      <c r="A307" s="16">
        <v>5.0</v>
      </c>
      <c r="B307" s="16">
        <v>20.0</v>
      </c>
      <c r="C307" s="16">
        <v>0.0</v>
      </c>
      <c r="D307" s="16">
        <v>0.0</v>
      </c>
      <c r="E307" s="16">
        <v>0.0</v>
      </c>
      <c r="F307" s="16">
        <v>0.0</v>
      </c>
      <c r="G307" s="18">
        <v>0.0</v>
      </c>
      <c r="H307" s="16" t="s">
        <v>297</v>
      </c>
      <c r="I307" s="19">
        <f t="shared" si="1"/>
        <v>0</v>
      </c>
      <c r="J307" s="19">
        <f t="shared" si="2"/>
        <v>0</v>
      </c>
    </row>
    <row r="308" ht="22.5" customHeight="1">
      <c r="A308" s="16">
        <v>3.0</v>
      </c>
      <c r="B308" s="16">
        <v>11.0</v>
      </c>
      <c r="C308" s="16">
        <v>0.0</v>
      </c>
      <c r="D308" s="16">
        <v>0.0</v>
      </c>
      <c r="E308" s="16">
        <v>0.0</v>
      </c>
      <c r="F308" s="16">
        <v>0.0</v>
      </c>
      <c r="G308" s="18">
        <v>0.0</v>
      </c>
      <c r="H308" s="16" t="s">
        <v>298</v>
      </c>
      <c r="I308" s="19">
        <f t="shared" si="1"/>
        <v>0</v>
      </c>
      <c r="J308" s="19">
        <f t="shared" si="2"/>
        <v>0</v>
      </c>
    </row>
    <row r="309" ht="22.5" customHeight="1">
      <c r="A309" s="16">
        <v>4.0</v>
      </c>
      <c r="B309" s="16">
        <v>15.0</v>
      </c>
      <c r="C309" s="16">
        <v>0.0</v>
      </c>
      <c r="D309" s="16">
        <v>0.0</v>
      </c>
      <c r="E309" s="16">
        <v>0.0</v>
      </c>
      <c r="F309" s="16">
        <v>0.0</v>
      </c>
      <c r="G309" s="18">
        <v>0.0</v>
      </c>
      <c r="H309" s="16" t="s">
        <v>296</v>
      </c>
      <c r="I309" s="19">
        <f t="shared" si="1"/>
        <v>0</v>
      </c>
      <c r="J309" s="19">
        <f t="shared" si="2"/>
        <v>0</v>
      </c>
    </row>
    <row r="310" ht="22.5" customHeight="1">
      <c r="A310" s="16">
        <v>4.0</v>
      </c>
      <c r="B310" s="16">
        <v>15.0</v>
      </c>
      <c r="C310" s="16">
        <v>12.0</v>
      </c>
      <c r="D310" s="16">
        <v>7.0</v>
      </c>
      <c r="E310" s="16">
        <v>0.0</v>
      </c>
      <c r="F310" s="16">
        <v>0.0</v>
      </c>
      <c r="G310" s="20">
        <v>0.583</v>
      </c>
      <c r="H310" s="16" t="s">
        <v>175</v>
      </c>
      <c r="I310" s="19">
        <f t="shared" si="1"/>
        <v>28</v>
      </c>
      <c r="J310" s="19">
        <f t="shared" si="2"/>
        <v>0</v>
      </c>
    </row>
    <row r="311" ht="22.5" customHeight="1">
      <c r="A311" s="16">
        <v>4.0</v>
      </c>
      <c r="B311" s="16">
        <v>15.0</v>
      </c>
      <c r="C311" s="16">
        <v>1.0</v>
      </c>
      <c r="D311" s="16">
        <v>0.0</v>
      </c>
      <c r="E311" s="16">
        <v>0.0</v>
      </c>
      <c r="F311" s="16">
        <v>0.0</v>
      </c>
      <c r="G311" s="18">
        <v>0.0</v>
      </c>
      <c r="H311" s="16" t="s">
        <v>300</v>
      </c>
      <c r="I311" s="19">
        <f t="shared" si="1"/>
        <v>0</v>
      </c>
      <c r="J311" s="19">
        <f t="shared" si="2"/>
        <v>0</v>
      </c>
    </row>
    <row r="312" ht="22.5" customHeight="1">
      <c r="A312" s="16">
        <v>4.0</v>
      </c>
      <c r="B312" s="16">
        <v>16.0</v>
      </c>
      <c r="C312" s="16">
        <v>8.0</v>
      </c>
      <c r="D312" s="16">
        <v>4.0</v>
      </c>
      <c r="E312" s="16">
        <v>0.0</v>
      </c>
      <c r="F312" s="16">
        <v>0.0</v>
      </c>
      <c r="G312" s="18">
        <v>0.5</v>
      </c>
      <c r="H312" s="16" t="s">
        <v>271</v>
      </c>
      <c r="I312" s="19">
        <f t="shared" si="1"/>
        <v>16</v>
      </c>
      <c r="J312" s="19">
        <f t="shared" si="2"/>
        <v>0</v>
      </c>
    </row>
    <row r="313" ht="22.5" customHeight="1">
      <c r="A313" s="16">
        <v>1.0</v>
      </c>
      <c r="B313" s="16">
        <v>4.0</v>
      </c>
      <c r="C313" s="16">
        <v>4.0</v>
      </c>
      <c r="D313" s="16">
        <v>12.0</v>
      </c>
      <c r="E313" s="16">
        <v>0.0</v>
      </c>
      <c r="F313" s="16">
        <v>0.0</v>
      </c>
      <c r="G313" s="18">
        <v>0.75</v>
      </c>
      <c r="H313" s="16" t="s">
        <v>271</v>
      </c>
      <c r="I313" s="19">
        <f t="shared" si="1"/>
        <v>12</v>
      </c>
      <c r="J313" s="19">
        <f t="shared" si="2"/>
        <v>0</v>
      </c>
    </row>
    <row r="314" ht="22.5" customHeight="1">
      <c r="A314" s="16">
        <v>4.0</v>
      </c>
      <c r="B314" s="16">
        <v>16.0</v>
      </c>
      <c r="C314" s="16">
        <v>0.0</v>
      </c>
      <c r="D314" s="16">
        <v>0.0</v>
      </c>
      <c r="E314" s="16">
        <v>0.0</v>
      </c>
      <c r="F314" s="16">
        <v>0.0</v>
      </c>
      <c r="G314" s="18">
        <v>0.0</v>
      </c>
      <c r="H314" s="16" t="s">
        <v>249</v>
      </c>
      <c r="I314" s="19">
        <f t="shared" si="1"/>
        <v>0</v>
      </c>
      <c r="J314" s="19">
        <f t="shared" si="2"/>
        <v>0</v>
      </c>
    </row>
    <row r="315" ht="22.5" customHeight="1">
      <c r="A315" s="16">
        <v>1.0</v>
      </c>
      <c r="B315" s="16">
        <v>4.0</v>
      </c>
      <c r="C315" s="16">
        <v>0.0</v>
      </c>
      <c r="D315" s="16">
        <v>0.0</v>
      </c>
      <c r="E315" s="16">
        <v>0.0</v>
      </c>
      <c r="F315" s="16">
        <v>0.0</v>
      </c>
      <c r="G315" s="18">
        <v>0.0</v>
      </c>
      <c r="H315" s="16" t="s">
        <v>249</v>
      </c>
      <c r="I315" s="19">
        <f t="shared" si="1"/>
        <v>0</v>
      </c>
      <c r="J315" s="19">
        <f t="shared" si="2"/>
        <v>0</v>
      </c>
    </row>
    <row r="316" ht="22.5" customHeight="1">
      <c r="A316" s="16">
        <v>4.0</v>
      </c>
      <c r="B316" s="16">
        <v>16.0</v>
      </c>
      <c r="C316" s="16">
        <v>1.0</v>
      </c>
      <c r="D316" s="16">
        <v>0.0</v>
      </c>
      <c r="E316" s="16">
        <v>0.0</v>
      </c>
      <c r="F316" s="16">
        <v>0.0</v>
      </c>
      <c r="G316" s="18">
        <v>0.0</v>
      </c>
      <c r="H316" s="16" t="s">
        <v>272</v>
      </c>
      <c r="I316" s="19">
        <f t="shared" si="1"/>
        <v>0</v>
      </c>
      <c r="J316" s="19">
        <f t="shared" si="2"/>
        <v>0</v>
      </c>
    </row>
    <row r="317" ht="22.5" customHeight="1">
      <c r="A317" s="16">
        <v>1.0</v>
      </c>
      <c r="B317" s="16">
        <v>4.0</v>
      </c>
      <c r="C317" s="16">
        <v>0.0</v>
      </c>
      <c r="D317" s="16">
        <v>0.0</v>
      </c>
      <c r="E317" s="16">
        <v>0.0</v>
      </c>
      <c r="F317" s="16">
        <v>0.0</v>
      </c>
      <c r="G317" s="18">
        <v>0.0</v>
      </c>
      <c r="H317" s="16" t="s">
        <v>272</v>
      </c>
      <c r="I317" s="19">
        <f t="shared" si="1"/>
        <v>0</v>
      </c>
      <c r="J317" s="19">
        <f t="shared" si="2"/>
        <v>0</v>
      </c>
    </row>
    <row r="318" ht="22.5" customHeight="1">
      <c r="A318" s="16">
        <v>4.0</v>
      </c>
      <c r="B318" s="16">
        <v>16.0</v>
      </c>
      <c r="C318" s="16">
        <v>4.0</v>
      </c>
      <c r="D318" s="16">
        <v>0.0</v>
      </c>
      <c r="E318" s="16">
        <v>0.0</v>
      </c>
      <c r="F318" s="16">
        <v>0.0</v>
      </c>
      <c r="G318" s="18">
        <v>0.0</v>
      </c>
      <c r="H318" s="16" t="s">
        <v>138</v>
      </c>
      <c r="I318" s="19">
        <f t="shared" si="1"/>
        <v>0</v>
      </c>
      <c r="J318" s="19">
        <f t="shared" si="2"/>
        <v>0</v>
      </c>
    </row>
    <row r="319" ht="22.5" customHeight="1">
      <c r="A319" s="16">
        <v>1.0</v>
      </c>
      <c r="B319" s="16">
        <v>4.0</v>
      </c>
      <c r="C319" s="16">
        <v>0.0</v>
      </c>
      <c r="D319" s="16">
        <v>0.0</v>
      </c>
      <c r="E319" s="16">
        <v>0.0</v>
      </c>
      <c r="F319" s="16">
        <v>0.0</v>
      </c>
      <c r="G319" s="18">
        <v>0.0</v>
      </c>
      <c r="H319" s="16" t="s">
        <v>138</v>
      </c>
      <c r="I319" s="19">
        <f t="shared" si="1"/>
        <v>0</v>
      </c>
      <c r="J319" s="19">
        <f t="shared" si="2"/>
        <v>0</v>
      </c>
    </row>
    <row r="320" ht="22.5" customHeight="1">
      <c r="A320" s="16">
        <v>2.0</v>
      </c>
      <c r="B320" s="16">
        <v>8.0</v>
      </c>
      <c r="C320" s="16">
        <v>0.0</v>
      </c>
      <c r="D320" s="16">
        <v>0.0</v>
      </c>
      <c r="E320" s="16">
        <v>0.0</v>
      </c>
      <c r="F320" s="16">
        <v>0.0</v>
      </c>
      <c r="G320" s="18">
        <v>0.0</v>
      </c>
      <c r="H320" s="16" t="s">
        <v>303</v>
      </c>
      <c r="I320" s="19">
        <f t="shared" si="1"/>
        <v>0</v>
      </c>
      <c r="J320" s="19">
        <f t="shared" si="2"/>
        <v>0</v>
      </c>
    </row>
    <row r="321" ht="22.5" customHeight="1">
      <c r="A321" s="16">
        <v>4.0</v>
      </c>
      <c r="B321" s="16">
        <v>16.0</v>
      </c>
      <c r="C321" s="16">
        <v>8.0</v>
      </c>
      <c r="D321" s="16">
        <v>4.0</v>
      </c>
      <c r="E321" s="16">
        <v>0.25</v>
      </c>
      <c r="F321" s="16">
        <v>0.0</v>
      </c>
      <c r="G321" s="20">
        <v>0.625</v>
      </c>
      <c r="H321" s="16" t="s">
        <v>304</v>
      </c>
      <c r="I321" s="19">
        <f t="shared" si="1"/>
        <v>16</v>
      </c>
      <c r="J321" s="19">
        <f t="shared" si="2"/>
        <v>1</v>
      </c>
    </row>
    <row r="322" ht="22.5" customHeight="1">
      <c r="A322" s="16">
        <v>1.0</v>
      </c>
      <c r="B322" s="16">
        <v>4.0</v>
      </c>
      <c r="C322" s="16">
        <v>0.0</v>
      </c>
      <c r="D322" s="16">
        <v>0.0</v>
      </c>
      <c r="E322" s="16">
        <v>0.0</v>
      </c>
      <c r="F322" s="16">
        <v>0.0</v>
      </c>
      <c r="G322" s="18">
        <v>0.0</v>
      </c>
      <c r="H322" s="16" t="s">
        <v>305</v>
      </c>
      <c r="I322" s="19">
        <f t="shared" si="1"/>
        <v>0</v>
      </c>
      <c r="J322" s="19">
        <f t="shared" si="2"/>
        <v>0</v>
      </c>
    </row>
    <row r="323" ht="22.5" customHeight="1">
      <c r="A323" s="16">
        <v>1.0</v>
      </c>
      <c r="B323" s="16">
        <v>4.0</v>
      </c>
      <c r="C323" s="16">
        <v>0.0</v>
      </c>
      <c r="D323" s="16">
        <v>0.0</v>
      </c>
      <c r="E323" s="16">
        <v>0.0</v>
      </c>
      <c r="F323" s="16">
        <v>0.0</v>
      </c>
      <c r="G323" s="18">
        <v>0.0</v>
      </c>
      <c r="H323" s="16" t="s">
        <v>306</v>
      </c>
      <c r="I323" s="19">
        <f t="shared" si="1"/>
        <v>0</v>
      </c>
      <c r="J323" s="19">
        <f t="shared" si="2"/>
        <v>0</v>
      </c>
    </row>
    <row r="324" ht="22.5" customHeight="1">
      <c r="A324" s="16">
        <v>1.0</v>
      </c>
      <c r="B324" s="16">
        <v>4.0</v>
      </c>
      <c r="C324" s="16">
        <v>1.0</v>
      </c>
      <c r="D324" s="16">
        <v>0.0</v>
      </c>
      <c r="E324" s="16">
        <v>0.0</v>
      </c>
      <c r="F324" s="16">
        <v>0.0</v>
      </c>
      <c r="G324" s="18">
        <v>0.0</v>
      </c>
      <c r="H324" s="16" t="s">
        <v>306</v>
      </c>
      <c r="I324" s="19">
        <f t="shared" si="1"/>
        <v>0</v>
      </c>
      <c r="J324" s="19">
        <f t="shared" si="2"/>
        <v>0</v>
      </c>
    </row>
    <row r="325" ht="22.5" customHeight="1">
      <c r="A325" s="16">
        <v>1.0</v>
      </c>
      <c r="B325" s="16">
        <v>3.0</v>
      </c>
      <c r="C325" s="16">
        <v>0.0</v>
      </c>
      <c r="D325" s="16">
        <v>0.0</v>
      </c>
      <c r="E325" s="16">
        <v>0.0</v>
      </c>
      <c r="F325" s="16">
        <v>0.0</v>
      </c>
      <c r="G325" s="18">
        <v>0.0</v>
      </c>
      <c r="H325" s="16" t="s">
        <v>306</v>
      </c>
      <c r="I325" s="19">
        <f t="shared" si="1"/>
        <v>0</v>
      </c>
      <c r="J325" s="19">
        <f t="shared" si="2"/>
        <v>0</v>
      </c>
    </row>
    <row r="326" ht="22.5" customHeight="1">
      <c r="A326" s="16">
        <v>1.0</v>
      </c>
      <c r="B326" s="16">
        <v>4.0</v>
      </c>
      <c r="C326" s="16">
        <v>0.0</v>
      </c>
      <c r="D326" s="16">
        <v>0.0</v>
      </c>
      <c r="E326" s="16">
        <v>0.0</v>
      </c>
      <c r="F326" s="16">
        <v>0.0</v>
      </c>
      <c r="G326" s="18">
        <v>0.0</v>
      </c>
      <c r="H326" s="16" t="s">
        <v>306</v>
      </c>
      <c r="I326" s="19">
        <f t="shared" si="1"/>
        <v>0</v>
      </c>
      <c r="J326" s="19">
        <f t="shared" si="2"/>
        <v>0</v>
      </c>
    </row>
    <row r="327" ht="22.5" customHeight="1">
      <c r="A327" s="16">
        <v>1.0</v>
      </c>
      <c r="B327" s="16">
        <v>4.0</v>
      </c>
      <c r="C327" s="16">
        <v>0.0</v>
      </c>
      <c r="D327" s="16">
        <v>0.0</v>
      </c>
      <c r="E327" s="16">
        <v>0.0</v>
      </c>
      <c r="F327" s="16">
        <v>0.0</v>
      </c>
      <c r="G327" s="18">
        <v>0.0</v>
      </c>
      <c r="H327" s="16" t="s">
        <v>141</v>
      </c>
      <c r="I327" s="19">
        <f t="shared" si="1"/>
        <v>0</v>
      </c>
      <c r="J327" s="19">
        <f t="shared" si="2"/>
        <v>0</v>
      </c>
    </row>
    <row r="328" ht="22.5" customHeight="1">
      <c r="A328" s="16">
        <v>1.0</v>
      </c>
      <c r="B328" s="16">
        <v>4.0</v>
      </c>
      <c r="C328" s="16">
        <v>0.0</v>
      </c>
      <c r="D328" s="16">
        <v>0.0</v>
      </c>
      <c r="E328" s="16">
        <v>0.0</v>
      </c>
      <c r="F328" s="16">
        <v>0.0</v>
      </c>
      <c r="G328" s="18">
        <v>0.0</v>
      </c>
      <c r="H328" s="16" t="s">
        <v>141</v>
      </c>
      <c r="I328" s="19">
        <f t="shared" si="1"/>
        <v>0</v>
      </c>
      <c r="J328" s="19">
        <f t="shared" si="2"/>
        <v>0</v>
      </c>
    </row>
    <row r="329" ht="22.5" customHeight="1">
      <c r="A329" s="16">
        <v>1.0</v>
      </c>
      <c r="B329" s="16">
        <v>3.0</v>
      </c>
      <c r="C329" s="16">
        <v>0.0</v>
      </c>
      <c r="D329" s="16">
        <v>0.0</v>
      </c>
      <c r="E329" s="16">
        <v>0.0</v>
      </c>
      <c r="F329" s="16">
        <v>0.0</v>
      </c>
      <c r="G329" s="18">
        <v>0.0</v>
      </c>
      <c r="H329" s="16" t="s">
        <v>141</v>
      </c>
      <c r="I329" s="19">
        <f t="shared" si="1"/>
        <v>0</v>
      </c>
      <c r="J329" s="19">
        <f t="shared" si="2"/>
        <v>0</v>
      </c>
    </row>
    <row r="330" ht="22.5" customHeight="1">
      <c r="A330" s="16">
        <v>1.0</v>
      </c>
      <c r="B330" s="16">
        <v>4.0</v>
      </c>
      <c r="C330" s="16">
        <v>4.0</v>
      </c>
      <c r="D330" s="16">
        <v>12.0</v>
      </c>
      <c r="E330" s="16">
        <v>0.0</v>
      </c>
      <c r="F330" s="16">
        <v>0.0</v>
      </c>
      <c r="G330" s="18">
        <v>0.75</v>
      </c>
      <c r="H330" s="16" t="s">
        <v>141</v>
      </c>
      <c r="I330" s="19">
        <f t="shared" si="1"/>
        <v>12</v>
      </c>
      <c r="J330" s="19">
        <f t="shared" si="2"/>
        <v>0</v>
      </c>
    </row>
    <row r="331" ht="22.5" customHeight="1">
      <c r="A331" s="16">
        <v>1.0</v>
      </c>
      <c r="B331" s="16">
        <v>4.0</v>
      </c>
      <c r="C331" s="16">
        <v>0.0</v>
      </c>
      <c r="D331" s="16">
        <v>0.0</v>
      </c>
      <c r="E331" s="16">
        <v>0.0</v>
      </c>
      <c r="F331" s="16">
        <v>0.0</v>
      </c>
      <c r="G331" s="18">
        <v>0.0</v>
      </c>
      <c r="H331" s="16" t="s">
        <v>308</v>
      </c>
      <c r="I331" s="19">
        <f t="shared" si="1"/>
        <v>0</v>
      </c>
      <c r="J331" s="19">
        <f t="shared" si="2"/>
        <v>0</v>
      </c>
    </row>
    <row r="332" ht="22.5" customHeight="1">
      <c r="A332" s="16">
        <v>1.0</v>
      </c>
      <c r="B332" s="16">
        <v>4.0</v>
      </c>
      <c r="C332" s="16">
        <v>0.0</v>
      </c>
      <c r="D332" s="16">
        <v>0.0</v>
      </c>
      <c r="E332" s="16">
        <v>0.0</v>
      </c>
      <c r="F332" s="16">
        <v>0.0</v>
      </c>
      <c r="G332" s="18">
        <v>0.0</v>
      </c>
      <c r="H332" s="16" t="s">
        <v>308</v>
      </c>
      <c r="I332" s="19">
        <f t="shared" si="1"/>
        <v>0</v>
      </c>
      <c r="J332" s="19">
        <f t="shared" si="2"/>
        <v>0</v>
      </c>
    </row>
    <row r="333" ht="22.5" customHeight="1">
      <c r="A333" s="16">
        <v>1.0</v>
      </c>
      <c r="B333" s="16">
        <v>3.0</v>
      </c>
      <c r="C333" s="16">
        <v>0.0</v>
      </c>
      <c r="D333" s="16">
        <v>0.0</v>
      </c>
      <c r="E333" s="16">
        <v>0.0</v>
      </c>
      <c r="F333" s="16">
        <v>0.0</v>
      </c>
      <c r="G333" s="18">
        <v>0.0</v>
      </c>
      <c r="H333" s="16" t="s">
        <v>308</v>
      </c>
      <c r="I333" s="19">
        <f t="shared" si="1"/>
        <v>0</v>
      </c>
      <c r="J333" s="19">
        <f t="shared" si="2"/>
        <v>0</v>
      </c>
    </row>
    <row r="334" ht="22.5" customHeight="1">
      <c r="A334" s="16">
        <v>1.0</v>
      </c>
      <c r="B334" s="16">
        <v>4.0</v>
      </c>
      <c r="C334" s="16">
        <v>0.0</v>
      </c>
      <c r="D334" s="16">
        <v>0.0</v>
      </c>
      <c r="E334" s="16">
        <v>0.0</v>
      </c>
      <c r="F334" s="16">
        <v>0.0</v>
      </c>
      <c r="G334" s="18">
        <v>0.0</v>
      </c>
      <c r="H334" s="16" t="s">
        <v>309</v>
      </c>
      <c r="I334" s="19">
        <f t="shared" si="1"/>
        <v>0</v>
      </c>
      <c r="J334" s="19">
        <f t="shared" si="2"/>
        <v>0</v>
      </c>
    </row>
    <row r="335" ht="22.5" customHeight="1">
      <c r="A335" s="16">
        <v>1.0</v>
      </c>
      <c r="B335" s="16">
        <v>3.0</v>
      </c>
      <c r="C335" s="16">
        <v>1.0</v>
      </c>
      <c r="D335" s="16">
        <v>0.0</v>
      </c>
      <c r="E335" s="16">
        <v>0.0</v>
      </c>
      <c r="F335" s="16">
        <v>0.0</v>
      </c>
      <c r="G335" s="18">
        <v>0.0</v>
      </c>
      <c r="H335" s="16" t="s">
        <v>309</v>
      </c>
      <c r="I335" s="19">
        <f t="shared" si="1"/>
        <v>0</v>
      </c>
      <c r="J335" s="19">
        <f t="shared" si="2"/>
        <v>0</v>
      </c>
    </row>
    <row r="336" ht="22.5" customHeight="1">
      <c r="A336" s="16">
        <v>1.0</v>
      </c>
      <c r="B336" s="16">
        <v>4.0</v>
      </c>
      <c r="C336" s="16">
        <v>1.0</v>
      </c>
      <c r="D336" s="16">
        <v>0.0</v>
      </c>
      <c r="E336" s="16">
        <v>0.0</v>
      </c>
      <c r="F336" s="16">
        <v>0.0</v>
      </c>
      <c r="G336" s="18">
        <v>0.0</v>
      </c>
      <c r="H336" s="16" t="s">
        <v>310</v>
      </c>
      <c r="I336" s="19">
        <f t="shared" si="1"/>
        <v>0</v>
      </c>
      <c r="J336" s="19">
        <f t="shared" si="2"/>
        <v>0</v>
      </c>
    </row>
    <row r="337" ht="22.5" customHeight="1">
      <c r="A337" s="16">
        <v>1.0</v>
      </c>
      <c r="B337" s="16">
        <v>3.0</v>
      </c>
      <c r="C337" s="16">
        <v>1.0</v>
      </c>
      <c r="D337" s="16">
        <v>4.0</v>
      </c>
      <c r="E337" s="16">
        <v>0.0</v>
      </c>
      <c r="F337" s="16">
        <v>0.0</v>
      </c>
      <c r="G337" s="18">
        <v>1.0</v>
      </c>
      <c r="H337" s="16" t="s">
        <v>310</v>
      </c>
      <c r="I337" s="19">
        <f t="shared" si="1"/>
        <v>4</v>
      </c>
      <c r="J337" s="19">
        <f t="shared" si="2"/>
        <v>0</v>
      </c>
    </row>
    <row r="338" ht="22.5" customHeight="1">
      <c r="A338" s="16">
        <v>1.0</v>
      </c>
      <c r="B338" s="16">
        <v>4.0</v>
      </c>
      <c r="C338" s="16">
        <v>2.0</v>
      </c>
      <c r="D338" s="16">
        <v>8.0</v>
      </c>
      <c r="E338" s="16">
        <v>0.0</v>
      </c>
      <c r="F338" s="16">
        <v>0.0</v>
      </c>
      <c r="G338" s="18">
        <v>1.0</v>
      </c>
      <c r="H338" s="16" t="s">
        <v>252</v>
      </c>
      <c r="I338" s="19">
        <f t="shared" si="1"/>
        <v>8</v>
      </c>
      <c r="J338" s="19">
        <f t="shared" si="2"/>
        <v>0</v>
      </c>
    </row>
    <row r="339" ht="22.5" customHeight="1">
      <c r="A339" s="16">
        <v>2.0</v>
      </c>
      <c r="B339" s="16">
        <v>7.0</v>
      </c>
      <c r="C339" s="16">
        <v>4.0</v>
      </c>
      <c r="D339" s="16">
        <v>4.0</v>
      </c>
      <c r="E339" s="16">
        <v>0.0</v>
      </c>
      <c r="F339" s="16">
        <v>0.0</v>
      </c>
      <c r="G339" s="18">
        <v>0.5</v>
      </c>
      <c r="H339" s="16" t="s">
        <v>252</v>
      </c>
      <c r="I339" s="19">
        <f t="shared" si="1"/>
        <v>8</v>
      </c>
      <c r="J339" s="19">
        <f t="shared" si="2"/>
        <v>0</v>
      </c>
    </row>
    <row r="340" ht="22.5" customHeight="1">
      <c r="A340" s="16">
        <v>3.0</v>
      </c>
      <c r="B340" s="16">
        <v>11.0</v>
      </c>
      <c r="C340" s="16">
        <v>0.0</v>
      </c>
      <c r="D340" s="16">
        <v>0.0</v>
      </c>
      <c r="E340" s="16">
        <v>0.0</v>
      </c>
      <c r="F340" s="16">
        <v>0.0</v>
      </c>
      <c r="G340" s="18">
        <v>0.0</v>
      </c>
      <c r="H340" s="16" t="s">
        <v>274</v>
      </c>
      <c r="I340" s="19">
        <f t="shared" si="1"/>
        <v>0</v>
      </c>
      <c r="J340" s="19">
        <f t="shared" si="2"/>
        <v>0</v>
      </c>
    </row>
    <row r="341" ht="22.5" customHeight="1">
      <c r="A341" s="16">
        <v>2.0</v>
      </c>
      <c r="B341" s="16">
        <v>8.0</v>
      </c>
      <c r="C341" s="16">
        <v>0.0</v>
      </c>
      <c r="D341" s="16">
        <v>0.0</v>
      </c>
      <c r="E341" s="16">
        <v>0.0</v>
      </c>
      <c r="F341" s="16">
        <v>0.0</v>
      </c>
      <c r="G341" s="18">
        <v>0.0</v>
      </c>
      <c r="H341" s="16" t="s">
        <v>274</v>
      </c>
      <c r="I341" s="19">
        <f t="shared" si="1"/>
        <v>0</v>
      </c>
      <c r="J341" s="19">
        <f t="shared" si="2"/>
        <v>0</v>
      </c>
    </row>
    <row r="342" ht="22.5" customHeight="1">
      <c r="A342" s="16">
        <v>3.0</v>
      </c>
      <c r="B342" s="16">
        <v>11.0</v>
      </c>
      <c r="C342" s="16">
        <v>0.0</v>
      </c>
      <c r="D342" s="16">
        <v>0.0</v>
      </c>
      <c r="E342" s="16">
        <v>0.0</v>
      </c>
      <c r="F342" s="16">
        <v>0.0</v>
      </c>
      <c r="G342" s="18">
        <v>0.0</v>
      </c>
      <c r="H342" s="16" t="s">
        <v>230</v>
      </c>
      <c r="I342" s="19">
        <f t="shared" si="1"/>
        <v>0</v>
      </c>
      <c r="J342" s="19">
        <f t="shared" si="2"/>
        <v>0</v>
      </c>
    </row>
    <row r="343" ht="22.5" customHeight="1">
      <c r="A343" s="16">
        <v>2.0</v>
      </c>
      <c r="B343" s="16">
        <v>8.0</v>
      </c>
      <c r="C343" s="16">
        <v>0.0</v>
      </c>
      <c r="D343" s="16">
        <v>0.0</v>
      </c>
      <c r="E343" s="16">
        <v>0.0</v>
      </c>
      <c r="F343" s="16">
        <v>0.0</v>
      </c>
      <c r="G343" s="18">
        <v>0.0</v>
      </c>
      <c r="H343" s="16" t="s">
        <v>230</v>
      </c>
      <c r="I343" s="19">
        <f t="shared" si="1"/>
        <v>0</v>
      </c>
      <c r="J343" s="19">
        <f t="shared" si="2"/>
        <v>0</v>
      </c>
    </row>
    <row r="344" ht="22.5" customHeight="1">
      <c r="A344" s="16">
        <v>1.0</v>
      </c>
      <c r="B344" s="16">
        <v>3.0</v>
      </c>
      <c r="C344" s="16">
        <v>0.0</v>
      </c>
      <c r="D344" s="16">
        <v>0.0</v>
      </c>
      <c r="E344" s="16">
        <v>0.0</v>
      </c>
      <c r="F344" s="16">
        <v>0.0</v>
      </c>
      <c r="G344" s="18">
        <v>0.0</v>
      </c>
      <c r="H344" s="16" t="s">
        <v>313</v>
      </c>
      <c r="I344" s="19">
        <f t="shared" si="1"/>
        <v>0</v>
      </c>
      <c r="J344" s="19">
        <f t="shared" si="2"/>
        <v>0</v>
      </c>
    </row>
    <row r="345" ht="22.5" customHeight="1">
      <c r="A345" s="16">
        <v>1.0</v>
      </c>
      <c r="B345" s="16">
        <v>4.0</v>
      </c>
      <c r="C345" s="16">
        <v>2.0</v>
      </c>
      <c r="D345" s="16">
        <v>0.0</v>
      </c>
      <c r="E345" s="16">
        <v>0.0</v>
      </c>
      <c r="F345" s="16">
        <v>0.0</v>
      </c>
      <c r="G345" s="18">
        <v>0.0</v>
      </c>
      <c r="H345" s="16" t="s">
        <v>313</v>
      </c>
      <c r="I345" s="19">
        <f t="shared" si="1"/>
        <v>0</v>
      </c>
      <c r="J345" s="19">
        <f t="shared" si="2"/>
        <v>0</v>
      </c>
    </row>
    <row r="346" ht="22.5" customHeight="1">
      <c r="A346" s="16">
        <v>2.0</v>
      </c>
      <c r="B346" s="16">
        <v>8.0</v>
      </c>
      <c r="C346" s="16">
        <v>1.0</v>
      </c>
      <c r="D346" s="16">
        <v>2.0</v>
      </c>
      <c r="E346" s="16">
        <v>0.0</v>
      </c>
      <c r="F346" s="16">
        <v>0.0</v>
      </c>
      <c r="G346" s="18">
        <v>1.0</v>
      </c>
      <c r="H346" s="16" t="s">
        <v>314</v>
      </c>
      <c r="I346" s="19">
        <f t="shared" si="1"/>
        <v>4</v>
      </c>
      <c r="J346" s="19">
        <f t="shared" si="2"/>
        <v>0</v>
      </c>
    </row>
    <row r="347" ht="22.5" customHeight="1">
      <c r="A347" s="16">
        <v>1.0</v>
      </c>
      <c r="B347" s="16">
        <v>4.0</v>
      </c>
      <c r="C347" s="16">
        <v>0.0</v>
      </c>
      <c r="D347" s="16">
        <v>0.0</v>
      </c>
      <c r="E347" s="16">
        <v>0.0</v>
      </c>
      <c r="F347" s="16">
        <v>0.0</v>
      </c>
      <c r="G347" s="18">
        <v>0.0</v>
      </c>
      <c r="H347" s="16" t="s">
        <v>314</v>
      </c>
      <c r="I347" s="19">
        <f t="shared" si="1"/>
        <v>0</v>
      </c>
      <c r="J347" s="19">
        <f t="shared" si="2"/>
        <v>0</v>
      </c>
    </row>
    <row r="348" ht="22.5" customHeight="1">
      <c r="A348" s="16">
        <v>3.0</v>
      </c>
      <c r="B348" s="16">
        <v>12.0</v>
      </c>
      <c r="C348" s="16">
        <v>3.0</v>
      </c>
      <c r="D348" s="16">
        <v>-1.33</v>
      </c>
      <c r="E348" s="16">
        <v>0.67</v>
      </c>
      <c r="F348" s="16">
        <v>0.0</v>
      </c>
      <c r="G348" s="20">
        <v>0.333</v>
      </c>
      <c r="H348" s="16" t="s">
        <v>315</v>
      </c>
      <c r="I348" s="19">
        <f t="shared" si="1"/>
        <v>-4</v>
      </c>
      <c r="J348" s="19">
        <f t="shared" si="2"/>
        <v>2</v>
      </c>
    </row>
    <row r="349" ht="22.5" customHeight="1">
      <c r="A349" s="16">
        <v>1.0</v>
      </c>
      <c r="B349" s="16">
        <v>4.0</v>
      </c>
      <c r="C349" s="16">
        <v>1.0</v>
      </c>
      <c r="D349" s="16">
        <v>4.0</v>
      </c>
      <c r="E349" s="16">
        <v>0.0</v>
      </c>
      <c r="F349" s="16">
        <v>0.0</v>
      </c>
      <c r="G349" s="18">
        <v>1.0</v>
      </c>
      <c r="H349" s="16" t="s">
        <v>315</v>
      </c>
      <c r="I349" s="19">
        <f t="shared" si="1"/>
        <v>4</v>
      </c>
      <c r="J349" s="19">
        <f t="shared" si="2"/>
        <v>0</v>
      </c>
    </row>
    <row r="350" ht="22.5" customHeight="1">
      <c r="A350" s="16">
        <v>3.0</v>
      </c>
      <c r="B350" s="16">
        <v>12.0</v>
      </c>
      <c r="C350" s="16">
        <v>0.0</v>
      </c>
      <c r="D350" s="16">
        <v>0.0</v>
      </c>
      <c r="E350" s="16">
        <v>0.0</v>
      </c>
      <c r="F350" s="16">
        <v>0.0</v>
      </c>
      <c r="G350" s="18">
        <v>0.0</v>
      </c>
      <c r="H350" s="16" t="s">
        <v>316</v>
      </c>
      <c r="I350" s="19">
        <f t="shared" si="1"/>
        <v>0</v>
      </c>
      <c r="J350" s="19">
        <f t="shared" si="2"/>
        <v>0</v>
      </c>
    </row>
    <row r="351" ht="22.5" customHeight="1">
      <c r="A351" s="16">
        <v>1.0</v>
      </c>
      <c r="B351" s="16">
        <v>4.0</v>
      </c>
      <c r="C351" s="16">
        <v>0.0</v>
      </c>
      <c r="D351" s="16">
        <v>0.0</v>
      </c>
      <c r="E351" s="16">
        <v>0.0</v>
      </c>
      <c r="F351" s="16">
        <v>0.0</v>
      </c>
      <c r="G351" s="18">
        <v>0.0</v>
      </c>
      <c r="H351" s="16" t="s">
        <v>316</v>
      </c>
      <c r="I351" s="19">
        <f t="shared" si="1"/>
        <v>0</v>
      </c>
      <c r="J351" s="19">
        <f t="shared" si="2"/>
        <v>0</v>
      </c>
    </row>
    <row r="352" ht="22.5" customHeight="1">
      <c r="A352" s="16">
        <v>1.0</v>
      </c>
      <c r="B352" s="16">
        <v>4.0</v>
      </c>
      <c r="C352" s="16">
        <v>0.0</v>
      </c>
      <c r="D352" s="16">
        <v>0.0</v>
      </c>
      <c r="E352" s="16">
        <v>0.0</v>
      </c>
      <c r="F352" s="16">
        <v>0.0</v>
      </c>
      <c r="G352" s="18">
        <v>0.0</v>
      </c>
      <c r="H352" s="16" t="s">
        <v>318</v>
      </c>
      <c r="I352" s="19">
        <f t="shared" si="1"/>
        <v>0</v>
      </c>
      <c r="J352" s="19">
        <f t="shared" si="2"/>
        <v>0</v>
      </c>
    </row>
    <row r="353" ht="22.5" customHeight="1">
      <c r="A353" s="16">
        <v>4.0</v>
      </c>
      <c r="B353" s="16">
        <v>16.0</v>
      </c>
      <c r="C353" s="16">
        <v>9.0</v>
      </c>
      <c r="D353" s="16">
        <v>2.0</v>
      </c>
      <c r="E353" s="16">
        <v>0.5</v>
      </c>
      <c r="F353" s="16">
        <v>0.0</v>
      </c>
      <c r="G353" s="20">
        <v>0.444</v>
      </c>
      <c r="H353" s="16" t="s">
        <v>254</v>
      </c>
      <c r="I353" s="19">
        <f t="shared" si="1"/>
        <v>8</v>
      </c>
      <c r="J353" s="19">
        <f t="shared" si="2"/>
        <v>2</v>
      </c>
    </row>
    <row r="354" ht="22.5" customHeight="1">
      <c r="A354" s="16">
        <v>1.0</v>
      </c>
      <c r="B354" s="16">
        <v>4.0</v>
      </c>
      <c r="C354" s="16">
        <v>3.0</v>
      </c>
      <c r="D354" s="16">
        <v>4.0</v>
      </c>
      <c r="E354" s="16">
        <v>1.0</v>
      </c>
      <c r="F354" s="16">
        <v>0.0</v>
      </c>
      <c r="G354" s="20">
        <v>0.667</v>
      </c>
      <c r="H354" s="16" t="s">
        <v>254</v>
      </c>
      <c r="I354" s="19">
        <f t="shared" si="1"/>
        <v>4</v>
      </c>
      <c r="J354" s="19">
        <f t="shared" si="2"/>
        <v>1</v>
      </c>
    </row>
    <row r="355" ht="22.5" customHeight="1">
      <c r="A355" s="16">
        <v>1.0</v>
      </c>
      <c r="B355" s="16">
        <v>4.0</v>
      </c>
      <c r="C355" s="16">
        <v>0.0</v>
      </c>
      <c r="D355" s="16">
        <v>0.0</v>
      </c>
      <c r="E355" s="16">
        <v>0.0</v>
      </c>
      <c r="F355" s="16">
        <v>0.0</v>
      </c>
      <c r="G355" s="18">
        <v>0.0</v>
      </c>
      <c r="H355" s="16" t="s">
        <v>317</v>
      </c>
      <c r="I355" s="19">
        <f t="shared" si="1"/>
        <v>0</v>
      </c>
      <c r="J355" s="19">
        <f t="shared" si="2"/>
        <v>0</v>
      </c>
    </row>
    <row r="356" ht="22.5" customHeight="1">
      <c r="A356" s="16">
        <v>2.0</v>
      </c>
      <c r="B356" s="16">
        <v>7.0</v>
      </c>
      <c r="C356" s="16">
        <v>6.0</v>
      </c>
      <c r="D356" s="16">
        <v>6.0</v>
      </c>
      <c r="E356" s="16">
        <v>0.0</v>
      </c>
      <c r="F356" s="16">
        <v>0.0</v>
      </c>
      <c r="G356" s="18">
        <v>0.5</v>
      </c>
      <c r="H356" s="16" t="s">
        <v>317</v>
      </c>
      <c r="I356" s="19">
        <f t="shared" si="1"/>
        <v>12</v>
      </c>
      <c r="J356" s="19">
        <f t="shared" si="2"/>
        <v>0</v>
      </c>
    </row>
    <row r="357" ht="22.5" customHeight="1">
      <c r="A357" s="16">
        <v>2.0</v>
      </c>
      <c r="B357" s="16">
        <v>9.0</v>
      </c>
      <c r="C357" s="16">
        <v>0.0</v>
      </c>
      <c r="D357" s="16">
        <v>0.0</v>
      </c>
      <c r="E357" s="16">
        <v>0.0</v>
      </c>
      <c r="F357" s="16">
        <v>0.0</v>
      </c>
      <c r="G357" s="18">
        <v>0.0</v>
      </c>
      <c r="H357" s="16" t="s">
        <v>133</v>
      </c>
      <c r="I357" s="19">
        <f t="shared" si="1"/>
        <v>0</v>
      </c>
      <c r="J357" s="19">
        <f t="shared" si="2"/>
        <v>0</v>
      </c>
    </row>
    <row r="358" ht="22.5" customHeight="1">
      <c r="A358" s="16">
        <v>1.0</v>
      </c>
      <c r="B358" s="16">
        <v>3.0</v>
      </c>
      <c r="C358" s="16">
        <v>0.0</v>
      </c>
      <c r="D358" s="16">
        <v>0.0</v>
      </c>
      <c r="E358" s="16">
        <v>0.0</v>
      </c>
      <c r="F358" s="16">
        <v>0.0</v>
      </c>
      <c r="G358" s="18">
        <v>0.0</v>
      </c>
      <c r="H358" s="16" t="s">
        <v>133</v>
      </c>
      <c r="I358" s="19">
        <f t="shared" si="1"/>
        <v>0</v>
      </c>
      <c r="J358" s="19">
        <f t="shared" si="2"/>
        <v>0</v>
      </c>
    </row>
    <row r="359" ht="22.5" customHeight="1">
      <c r="A359" s="16">
        <v>1.0</v>
      </c>
      <c r="B359" s="16">
        <v>4.0</v>
      </c>
      <c r="C359" s="16">
        <v>0.0</v>
      </c>
      <c r="D359" s="16">
        <v>0.0</v>
      </c>
      <c r="E359" s="16">
        <v>0.0</v>
      </c>
      <c r="F359" s="16">
        <v>0.0</v>
      </c>
      <c r="G359" s="18">
        <v>0.0</v>
      </c>
      <c r="H359" s="16" t="s">
        <v>319</v>
      </c>
      <c r="I359" s="19">
        <f t="shared" si="1"/>
        <v>0</v>
      </c>
      <c r="J359" s="19">
        <f t="shared" si="2"/>
        <v>0</v>
      </c>
    </row>
    <row r="360" ht="22.5" customHeight="1">
      <c r="A360" s="16">
        <v>5.0</v>
      </c>
      <c r="B360" s="16">
        <v>20.0</v>
      </c>
      <c r="C360" s="16">
        <v>4.0</v>
      </c>
      <c r="D360" s="16">
        <v>1.6</v>
      </c>
      <c r="E360" s="16">
        <v>0.0</v>
      </c>
      <c r="F360" s="16">
        <v>0.0</v>
      </c>
      <c r="G360" s="18">
        <v>0.5</v>
      </c>
      <c r="H360" s="16" t="s">
        <v>129</v>
      </c>
      <c r="I360" s="19">
        <f t="shared" si="1"/>
        <v>8</v>
      </c>
      <c r="J360" s="19">
        <f t="shared" si="2"/>
        <v>0</v>
      </c>
    </row>
    <row r="361" ht="22.5" customHeight="1">
      <c r="A361" s="16">
        <v>2.0</v>
      </c>
      <c r="B361" s="16">
        <v>8.0</v>
      </c>
      <c r="C361" s="16">
        <v>2.0</v>
      </c>
      <c r="D361" s="16">
        <v>0.0</v>
      </c>
      <c r="E361" s="16">
        <v>0.0</v>
      </c>
      <c r="F361" s="16">
        <v>0.0</v>
      </c>
      <c r="G361" s="18">
        <v>0.0</v>
      </c>
      <c r="H361" s="16" t="s">
        <v>320</v>
      </c>
      <c r="I361" s="19">
        <f t="shared" si="1"/>
        <v>0</v>
      </c>
      <c r="J361" s="19">
        <f t="shared" si="2"/>
        <v>0</v>
      </c>
    </row>
    <row r="362" ht="22.5" customHeight="1">
      <c r="A362" s="16">
        <v>1.0</v>
      </c>
      <c r="B362" s="16">
        <v>4.0</v>
      </c>
      <c r="C362" s="16">
        <v>0.0</v>
      </c>
      <c r="D362" s="16">
        <v>0.0</v>
      </c>
      <c r="E362" s="16">
        <v>0.0</v>
      </c>
      <c r="F362" s="16">
        <v>0.0</v>
      </c>
      <c r="G362" s="18">
        <v>0.0</v>
      </c>
      <c r="H362" s="16" t="s">
        <v>320</v>
      </c>
      <c r="I362" s="19">
        <f t="shared" si="1"/>
        <v>0</v>
      </c>
      <c r="J362" s="19">
        <f t="shared" si="2"/>
        <v>0</v>
      </c>
    </row>
    <row r="363" ht="22.5" customHeight="1">
      <c r="A363" s="16">
        <v>2.0</v>
      </c>
      <c r="B363" s="16">
        <v>8.0</v>
      </c>
      <c r="C363" s="16">
        <v>3.0</v>
      </c>
      <c r="D363" s="16">
        <v>0.0</v>
      </c>
      <c r="E363" s="16">
        <v>0.0</v>
      </c>
      <c r="F363" s="16">
        <v>0.0</v>
      </c>
      <c r="G363" s="18">
        <v>0.0</v>
      </c>
      <c r="H363" s="16" t="s">
        <v>320</v>
      </c>
      <c r="I363" s="19">
        <f t="shared" si="1"/>
        <v>0</v>
      </c>
      <c r="J363" s="19">
        <f t="shared" si="2"/>
        <v>0</v>
      </c>
    </row>
    <row r="364" ht="22.5" customHeight="1">
      <c r="A364" s="16">
        <v>2.0</v>
      </c>
      <c r="B364" s="16">
        <v>8.0</v>
      </c>
      <c r="C364" s="16">
        <v>0.0</v>
      </c>
      <c r="D364" s="16">
        <v>0.0</v>
      </c>
      <c r="E364" s="16">
        <v>0.0</v>
      </c>
      <c r="F364" s="16">
        <v>0.0</v>
      </c>
      <c r="G364" s="18">
        <v>0.0</v>
      </c>
      <c r="H364" s="16" t="s">
        <v>287</v>
      </c>
      <c r="I364" s="19">
        <f t="shared" si="1"/>
        <v>0</v>
      </c>
      <c r="J364" s="19">
        <f t="shared" si="2"/>
        <v>0</v>
      </c>
    </row>
    <row r="365" ht="22.5" customHeight="1">
      <c r="A365" s="16">
        <v>1.0</v>
      </c>
      <c r="B365" s="16">
        <v>4.0</v>
      </c>
      <c r="C365" s="16">
        <v>0.0</v>
      </c>
      <c r="D365" s="16">
        <v>0.0</v>
      </c>
      <c r="E365" s="16">
        <v>0.0</v>
      </c>
      <c r="F365" s="16">
        <v>0.0</v>
      </c>
      <c r="G365" s="18">
        <v>0.0</v>
      </c>
      <c r="H365" s="16" t="s">
        <v>287</v>
      </c>
      <c r="I365" s="19">
        <f t="shared" si="1"/>
        <v>0</v>
      </c>
      <c r="J365" s="19">
        <f t="shared" si="2"/>
        <v>0</v>
      </c>
    </row>
    <row r="366" ht="22.5" customHeight="1">
      <c r="A366" s="16">
        <v>2.0</v>
      </c>
      <c r="B366" s="16">
        <v>8.0</v>
      </c>
      <c r="C366" s="16">
        <v>0.0</v>
      </c>
      <c r="D366" s="16">
        <v>0.0</v>
      </c>
      <c r="E366" s="16">
        <v>0.0</v>
      </c>
      <c r="F366" s="16">
        <v>0.0</v>
      </c>
      <c r="G366" s="18">
        <v>0.0</v>
      </c>
      <c r="H366" s="16" t="s">
        <v>287</v>
      </c>
      <c r="I366" s="19">
        <f t="shared" si="1"/>
        <v>0</v>
      </c>
      <c r="J366" s="19">
        <f t="shared" si="2"/>
        <v>0</v>
      </c>
    </row>
    <row r="367" ht="22.5" customHeight="1">
      <c r="A367" s="16">
        <v>2.0</v>
      </c>
      <c r="B367" s="16">
        <v>8.0</v>
      </c>
      <c r="C367" s="16">
        <v>0.0</v>
      </c>
      <c r="D367" s="16">
        <v>0.0</v>
      </c>
      <c r="E367" s="16">
        <v>0.0</v>
      </c>
      <c r="F367" s="16">
        <v>0.0</v>
      </c>
      <c r="G367" s="18">
        <v>0.0</v>
      </c>
      <c r="H367" s="16" t="s">
        <v>289</v>
      </c>
      <c r="I367" s="19">
        <f t="shared" si="1"/>
        <v>0</v>
      </c>
      <c r="J367" s="19">
        <f t="shared" si="2"/>
        <v>0</v>
      </c>
    </row>
    <row r="368" ht="22.5" customHeight="1">
      <c r="A368" s="16">
        <v>1.0</v>
      </c>
      <c r="B368" s="16">
        <v>4.0</v>
      </c>
      <c r="C368" s="16">
        <v>0.0</v>
      </c>
      <c r="D368" s="16">
        <v>0.0</v>
      </c>
      <c r="E368" s="16">
        <v>0.0</v>
      </c>
      <c r="F368" s="16">
        <v>0.0</v>
      </c>
      <c r="G368" s="18">
        <v>0.0</v>
      </c>
      <c r="H368" s="16" t="s">
        <v>289</v>
      </c>
      <c r="I368" s="19">
        <f t="shared" si="1"/>
        <v>0</v>
      </c>
      <c r="J368" s="19">
        <f t="shared" si="2"/>
        <v>0</v>
      </c>
    </row>
    <row r="369" ht="22.5" customHeight="1">
      <c r="A369" s="16">
        <v>2.0</v>
      </c>
      <c r="B369" s="16">
        <v>8.0</v>
      </c>
      <c r="C369" s="16">
        <v>0.0</v>
      </c>
      <c r="D369" s="16">
        <v>0.0</v>
      </c>
      <c r="E369" s="16">
        <v>0.0</v>
      </c>
      <c r="F369" s="16">
        <v>0.0</v>
      </c>
      <c r="G369" s="18">
        <v>0.0</v>
      </c>
      <c r="H369" s="16" t="s">
        <v>289</v>
      </c>
      <c r="I369" s="19">
        <f t="shared" si="1"/>
        <v>0</v>
      </c>
      <c r="J369" s="19">
        <f t="shared" si="2"/>
        <v>0</v>
      </c>
    </row>
    <row r="370" ht="22.5" customHeight="1">
      <c r="A370" s="16">
        <v>2.0</v>
      </c>
      <c r="B370" s="16">
        <v>8.0</v>
      </c>
      <c r="C370" s="16">
        <v>0.0</v>
      </c>
      <c r="D370" s="16">
        <v>0.0</v>
      </c>
      <c r="E370" s="16">
        <v>0.0</v>
      </c>
      <c r="F370" s="16">
        <v>0.0</v>
      </c>
      <c r="G370" s="18">
        <v>0.0</v>
      </c>
      <c r="H370" s="16" t="s">
        <v>321</v>
      </c>
      <c r="I370" s="19">
        <f t="shared" si="1"/>
        <v>0</v>
      </c>
      <c r="J370" s="19">
        <f t="shared" si="2"/>
        <v>0</v>
      </c>
    </row>
    <row r="371" ht="22.5" customHeight="1">
      <c r="A371" s="16">
        <v>1.0</v>
      </c>
      <c r="B371" s="16">
        <v>4.0</v>
      </c>
      <c r="C371" s="16">
        <v>0.0</v>
      </c>
      <c r="D371" s="16">
        <v>0.0</v>
      </c>
      <c r="E371" s="16">
        <v>0.0</v>
      </c>
      <c r="F371" s="16">
        <v>0.0</v>
      </c>
      <c r="G371" s="18">
        <v>0.0</v>
      </c>
      <c r="H371" s="16" t="s">
        <v>321</v>
      </c>
      <c r="I371" s="19">
        <f t="shared" si="1"/>
        <v>0</v>
      </c>
      <c r="J371" s="19">
        <f t="shared" si="2"/>
        <v>0</v>
      </c>
    </row>
    <row r="372" ht="22.5" customHeight="1">
      <c r="A372" s="16">
        <v>1.0</v>
      </c>
      <c r="B372" s="16">
        <v>4.0</v>
      </c>
      <c r="C372" s="16">
        <v>0.0</v>
      </c>
      <c r="D372" s="16">
        <v>0.0</v>
      </c>
      <c r="E372" s="16">
        <v>0.0</v>
      </c>
      <c r="F372" s="16">
        <v>0.0</v>
      </c>
      <c r="G372" s="18">
        <v>0.0</v>
      </c>
      <c r="H372" s="16" t="s">
        <v>321</v>
      </c>
      <c r="I372" s="19">
        <f t="shared" si="1"/>
        <v>0</v>
      </c>
      <c r="J372" s="19">
        <f t="shared" si="2"/>
        <v>0</v>
      </c>
    </row>
    <row r="373" ht="22.5" customHeight="1">
      <c r="A373" s="16">
        <v>2.0</v>
      </c>
      <c r="B373" s="16">
        <v>8.0</v>
      </c>
      <c r="C373" s="16">
        <v>2.0</v>
      </c>
      <c r="D373" s="16">
        <v>0.0</v>
      </c>
      <c r="E373" s="16">
        <v>0.0</v>
      </c>
      <c r="F373" s="16">
        <v>0.0</v>
      </c>
      <c r="G373" s="18">
        <v>0.0</v>
      </c>
      <c r="H373" s="16" t="s">
        <v>323</v>
      </c>
      <c r="I373" s="19">
        <f t="shared" si="1"/>
        <v>0</v>
      </c>
      <c r="J373" s="19">
        <f t="shared" si="2"/>
        <v>0</v>
      </c>
    </row>
    <row r="374" ht="22.5" customHeight="1">
      <c r="A374" s="16">
        <v>1.0</v>
      </c>
      <c r="B374" s="16">
        <v>4.0</v>
      </c>
      <c r="C374" s="16">
        <v>1.0</v>
      </c>
      <c r="D374" s="16">
        <v>0.0</v>
      </c>
      <c r="E374" s="16">
        <v>0.0</v>
      </c>
      <c r="F374" s="16">
        <v>0.0</v>
      </c>
      <c r="G374" s="18">
        <v>0.0</v>
      </c>
      <c r="H374" s="16" t="s">
        <v>323</v>
      </c>
      <c r="I374" s="19">
        <f t="shared" si="1"/>
        <v>0</v>
      </c>
      <c r="J374" s="19">
        <f t="shared" si="2"/>
        <v>0</v>
      </c>
    </row>
    <row r="375" ht="22.5" customHeight="1">
      <c r="A375" s="16">
        <v>2.0</v>
      </c>
      <c r="B375" s="16">
        <v>8.0</v>
      </c>
      <c r="C375" s="16">
        <v>5.0</v>
      </c>
      <c r="D375" s="16">
        <v>2.0</v>
      </c>
      <c r="E375" s="16">
        <v>0.0</v>
      </c>
      <c r="F375" s="16">
        <v>0.0</v>
      </c>
      <c r="G375" s="18">
        <v>0.2</v>
      </c>
      <c r="H375" s="16" t="s">
        <v>323</v>
      </c>
      <c r="I375" s="19">
        <f t="shared" si="1"/>
        <v>4</v>
      </c>
      <c r="J375" s="19">
        <f t="shared" si="2"/>
        <v>0</v>
      </c>
    </row>
    <row r="376" ht="22.5" customHeight="1">
      <c r="A376" s="16">
        <v>1.0</v>
      </c>
      <c r="B376" s="16">
        <v>4.0</v>
      </c>
      <c r="C376" s="16">
        <v>1.0</v>
      </c>
      <c r="D376" s="16">
        <v>4.0</v>
      </c>
      <c r="E376" s="16">
        <v>0.0</v>
      </c>
      <c r="F376" s="16">
        <v>0.0</v>
      </c>
      <c r="G376" s="18">
        <v>1.0</v>
      </c>
      <c r="H376" s="16" t="s">
        <v>278</v>
      </c>
      <c r="I376" s="19">
        <f t="shared" si="1"/>
        <v>4</v>
      </c>
      <c r="J376" s="19">
        <f t="shared" si="2"/>
        <v>0</v>
      </c>
    </row>
    <row r="377" ht="22.5" customHeight="1">
      <c r="A377" s="16">
        <v>3.0</v>
      </c>
      <c r="B377" s="16">
        <v>12.0</v>
      </c>
      <c r="C377" s="16">
        <v>5.0</v>
      </c>
      <c r="D377" s="16">
        <v>2.67</v>
      </c>
      <c r="E377" s="16">
        <v>0.33</v>
      </c>
      <c r="F377" s="16">
        <v>0.0</v>
      </c>
      <c r="G377" s="18">
        <v>0.6</v>
      </c>
      <c r="H377" s="16" t="s">
        <v>278</v>
      </c>
      <c r="I377" s="19">
        <f t="shared" si="1"/>
        <v>8</v>
      </c>
      <c r="J377" s="19">
        <f t="shared" si="2"/>
        <v>1</v>
      </c>
    </row>
    <row r="378" ht="22.5" customHeight="1">
      <c r="A378" s="16">
        <v>1.0</v>
      </c>
      <c r="B378" s="16">
        <v>4.0</v>
      </c>
      <c r="C378" s="16">
        <v>0.0</v>
      </c>
      <c r="D378" s="16">
        <v>0.0</v>
      </c>
      <c r="E378" s="16">
        <v>0.0</v>
      </c>
      <c r="F378" s="16">
        <v>0.0</v>
      </c>
      <c r="G378" s="18">
        <v>0.0</v>
      </c>
      <c r="H378" s="16" t="s">
        <v>325</v>
      </c>
      <c r="I378" s="19">
        <f t="shared" si="1"/>
        <v>0</v>
      </c>
      <c r="J378" s="19">
        <f t="shared" si="2"/>
        <v>0</v>
      </c>
    </row>
    <row r="379" ht="22.5" customHeight="1">
      <c r="A379" s="16">
        <v>4.0</v>
      </c>
      <c r="B379" s="16">
        <v>16.0</v>
      </c>
      <c r="C379" s="16">
        <v>1.0</v>
      </c>
      <c r="D379" s="16">
        <v>0.0</v>
      </c>
      <c r="E379" s="16">
        <v>0.0</v>
      </c>
      <c r="F379" s="16">
        <v>0.0</v>
      </c>
      <c r="G379" s="18">
        <v>0.0</v>
      </c>
      <c r="H379" s="16" t="s">
        <v>325</v>
      </c>
      <c r="I379" s="19">
        <f t="shared" si="1"/>
        <v>0</v>
      </c>
      <c r="J379" s="19">
        <f t="shared" si="2"/>
        <v>0</v>
      </c>
    </row>
    <row r="380" ht="22.5" customHeight="1">
      <c r="A380" s="16">
        <v>1.0</v>
      </c>
      <c r="B380" s="16">
        <v>4.0</v>
      </c>
      <c r="C380" s="16">
        <v>1.0</v>
      </c>
      <c r="D380" s="16">
        <v>-4.0</v>
      </c>
      <c r="E380" s="16">
        <v>1.0</v>
      </c>
      <c r="F380" s="16">
        <v>0.0</v>
      </c>
      <c r="G380" s="18">
        <v>0.0</v>
      </c>
      <c r="H380" s="16" t="s">
        <v>326</v>
      </c>
      <c r="I380" s="19">
        <f t="shared" si="1"/>
        <v>-4</v>
      </c>
      <c r="J380" s="19">
        <f t="shared" si="2"/>
        <v>1</v>
      </c>
    </row>
    <row r="381" ht="22.5" customHeight="1">
      <c r="A381" s="16">
        <v>2.0</v>
      </c>
      <c r="B381" s="16">
        <v>8.0</v>
      </c>
      <c r="C381" s="16">
        <v>0.0</v>
      </c>
      <c r="D381" s="16">
        <v>0.0</v>
      </c>
      <c r="E381" s="16">
        <v>0.0</v>
      </c>
      <c r="F381" s="16">
        <v>0.0</v>
      </c>
      <c r="G381" s="18">
        <v>0.0</v>
      </c>
      <c r="H381" s="16" t="s">
        <v>326</v>
      </c>
      <c r="I381" s="19">
        <f t="shared" si="1"/>
        <v>0</v>
      </c>
      <c r="J381" s="19">
        <f t="shared" si="2"/>
        <v>0</v>
      </c>
    </row>
    <row r="382" ht="22.5" customHeight="1">
      <c r="A382" s="16">
        <v>1.0</v>
      </c>
      <c r="B382" s="16">
        <v>4.0</v>
      </c>
      <c r="C382" s="16">
        <v>0.0</v>
      </c>
      <c r="D382" s="16">
        <v>0.0</v>
      </c>
      <c r="E382" s="16">
        <v>0.0</v>
      </c>
      <c r="F382" s="16">
        <v>0.0</v>
      </c>
      <c r="G382" s="18">
        <v>0.0</v>
      </c>
      <c r="H382" s="16" t="s">
        <v>311</v>
      </c>
      <c r="I382" s="19">
        <f t="shared" si="1"/>
        <v>0</v>
      </c>
      <c r="J382" s="19">
        <f t="shared" si="2"/>
        <v>0</v>
      </c>
    </row>
    <row r="383" ht="22.5" customHeight="1">
      <c r="A383" s="16">
        <v>4.0</v>
      </c>
      <c r="B383" s="16">
        <v>16.0</v>
      </c>
      <c r="C383" s="16">
        <v>1.0</v>
      </c>
      <c r="D383" s="16">
        <v>0.0</v>
      </c>
      <c r="E383" s="16">
        <v>0.0</v>
      </c>
      <c r="F383" s="16">
        <v>0.0</v>
      </c>
      <c r="G383" s="18">
        <v>0.0</v>
      </c>
      <c r="H383" s="16" t="s">
        <v>311</v>
      </c>
      <c r="I383" s="19">
        <f t="shared" si="1"/>
        <v>0</v>
      </c>
      <c r="J383" s="19">
        <f t="shared" si="2"/>
        <v>0</v>
      </c>
    </row>
    <row r="384" ht="22.5" customHeight="1">
      <c r="A384" s="16">
        <v>1.0</v>
      </c>
      <c r="B384" s="16">
        <v>4.0</v>
      </c>
      <c r="C384" s="16">
        <v>0.0</v>
      </c>
      <c r="D384" s="16">
        <v>0.0</v>
      </c>
      <c r="E384" s="16">
        <v>0.0</v>
      </c>
      <c r="F384" s="16">
        <v>0.0</v>
      </c>
      <c r="G384" s="18">
        <v>0.0</v>
      </c>
      <c r="H384" s="16" t="s">
        <v>322</v>
      </c>
      <c r="I384" s="19">
        <f t="shared" si="1"/>
        <v>0</v>
      </c>
      <c r="J384" s="19">
        <f t="shared" si="2"/>
        <v>0</v>
      </c>
    </row>
    <row r="385" ht="22.5" customHeight="1">
      <c r="A385" s="16">
        <v>3.0</v>
      </c>
      <c r="B385" s="16">
        <v>12.0</v>
      </c>
      <c r="C385" s="16">
        <v>1.0</v>
      </c>
      <c r="D385" s="16">
        <v>1.33</v>
      </c>
      <c r="E385" s="16">
        <v>0.0</v>
      </c>
      <c r="F385" s="16">
        <v>0.0</v>
      </c>
      <c r="G385" s="18">
        <v>1.0</v>
      </c>
      <c r="H385" s="16" t="s">
        <v>322</v>
      </c>
      <c r="I385" s="19">
        <f t="shared" si="1"/>
        <v>4</v>
      </c>
      <c r="J385" s="19">
        <f t="shared" si="2"/>
        <v>0</v>
      </c>
    </row>
    <row r="386" ht="22.5" customHeight="1">
      <c r="A386" s="16">
        <v>3.0</v>
      </c>
      <c r="B386" s="16">
        <v>12.0</v>
      </c>
      <c r="C386" s="16">
        <v>0.0</v>
      </c>
      <c r="D386" s="16">
        <v>0.0</v>
      </c>
      <c r="E386" s="16">
        <v>0.0</v>
      </c>
      <c r="F386" s="16">
        <v>0.0</v>
      </c>
      <c r="G386" s="18">
        <v>0.0</v>
      </c>
      <c r="H386" s="16" t="s">
        <v>328</v>
      </c>
      <c r="I386" s="19">
        <f t="shared" si="1"/>
        <v>0</v>
      </c>
      <c r="J386" s="19">
        <f t="shared" si="2"/>
        <v>0</v>
      </c>
    </row>
    <row r="387" ht="22.5" customHeight="1">
      <c r="A387" s="16">
        <v>3.0</v>
      </c>
      <c r="B387" s="16">
        <v>12.0</v>
      </c>
      <c r="C387" s="16">
        <v>0.0</v>
      </c>
      <c r="D387" s="16">
        <v>0.0</v>
      </c>
      <c r="E387" s="16">
        <v>0.0</v>
      </c>
      <c r="F387" s="16">
        <v>0.0</v>
      </c>
      <c r="G387" s="18">
        <v>0.0</v>
      </c>
      <c r="H387" s="16" t="s">
        <v>329</v>
      </c>
      <c r="I387" s="19">
        <f t="shared" si="1"/>
        <v>0</v>
      </c>
      <c r="J387" s="19">
        <f t="shared" si="2"/>
        <v>0</v>
      </c>
    </row>
    <row r="388" ht="22.5" customHeight="1">
      <c r="A388" s="16">
        <v>1.0</v>
      </c>
      <c r="B388" s="16">
        <v>3.0</v>
      </c>
      <c r="C388" s="16">
        <v>0.0</v>
      </c>
      <c r="D388" s="16">
        <v>0.0</v>
      </c>
      <c r="E388" s="16">
        <v>0.0</v>
      </c>
      <c r="F388" s="16">
        <v>0.0</v>
      </c>
      <c r="G388" s="18">
        <v>0.0</v>
      </c>
      <c r="H388" s="16" t="s">
        <v>329</v>
      </c>
      <c r="I388" s="19">
        <f t="shared" si="1"/>
        <v>0</v>
      </c>
      <c r="J388" s="19">
        <f t="shared" si="2"/>
        <v>0</v>
      </c>
    </row>
    <row r="389" ht="22.5" customHeight="1">
      <c r="A389" s="16">
        <v>2.0</v>
      </c>
      <c r="B389" s="16">
        <v>7.0</v>
      </c>
      <c r="C389" s="16">
        <v>1.0</v>
      </c>
      <c r="D389" s="16">
        <v>0.0</v>
      </c>
      <c r="E389" s="16">
        <v>0.0</v>
      </c>
      <c r="F389" s="16">
        <v>0.0</v>
      </c>
      <c r="G389" s="18">
        <v>0.0</v>
      </c>
      <c r="H389" s="16" t="s">
        <v>330</v>
      </c>
      <c r="I389" s="19">
        <f t="shared" si="1"/>
        <v>0</v>
      </c>
      <c r="J389" s="19">
        <f t="shared" si="2"/>
        <v>0</v>
      </c>
    </row>
    <row r="390" ht="22.5" customHeight="1">
      <c r="A390" s="16">
        <v>3.0</v>
      </c>
      <c r="B390" s="16">
        <v>12.0</v>
      </c>
      <c r="C390" s="16">
        <v>0.0</v>
      </c>
      <c r="D390" s="16">
        <v>0.0</v>
      </c>
      <c r="E390" s="16">
        <v>0.0</v>
      </c>
      <c r="F390" s="16">
        <v>0.0</v>
      </c>
      <c r="G390" s="18">
        <v>0.0</v>
      </c>
      <c r="H390" s="16" t="s">
        <v>330</v>
      </c>
      <c r="I390" s="19">
        <f t="shared" si="1"/>
        <v>0</v>
      </c>
      <c r="J390" s="19">
        <f t="shared" si="2"/>
        <v>0</v>
      </c>
    </row>
    <row r="391" ht="22.5" customHeight="1">
      <c r="A391" s="16">
        <v>2.0</v>
      </c>
      <c r="B391" s="16">
        <v>7.0</v>
      </c>
      <c r="C391" s="16">
        <v>4.0</v>
      </c>
      <c r="D391" s="16">
        <v>0.0</v>
      </c>
      <c r="E391" s="16">
        <v>0.0</v>
      </c>
      <c r="F391" s="16">
        <v>0.0</v>
      </c>
      <c r="G391" s="18">
        <v>0.0</v>
      </c>
      <c r="H391" s="16" t="s">
        <v>331</v>
      </c>
      <c r="I391" s="19">
        <f t="shared" si="1"/>
        <v>0</v>
      </c>
      <c r="J391" s="19">
        <f t="shared" si="2"/>
        <v>0</v>
      </c>
    </row>
    <row r="392" ht="22.5" customHeight="1">
      <c r="A392" s="16">
        <v>2.0</v>
      </c>
      <c r="B392" s="16">
        <v>8.0</v>
      </c>
      <c r="C392" s="16">
        <v>4.0</v>
      </c>
      <c r="D392" s="16">
        <v>-2.0</v>
      </c>
      <c r="E392" s="16">
        <v>0.5</v>
      </c>
      <c r="F392" s="16">
        <v>0.0</v>
      </c>
      <c r="G392" s="18">
        <v>0.0</v>
      </c>
      <c r="H392" s="16" t="s">
        <v>331</v>
      </c>
      <c r="I392" s="19">
        <f t="shared" si="1"/>
        <v>-4</v>
      </c>
      <c r="J392" s="19">
        <f t="shared" si="2"/>
        <v>1</v>
      </c>
    </row>
    <row r="393" ht="22.5" customHeight="1">
      <c r="A393" s="16">
        <v>1.0</v>
      </c>
      <c r="B393" s="16">
        <v>4.0</v>
      </c>
      <c r="C393" s="16">
        <v>1.0</v>
      </c>
      <c r="D393" s="16">
        <v>4.0</v>
      </c>
      <c r="E393" s="16">
        <v>0.0</v>
      </c>
      <c r="F393" s="16">
        <v>0.0</v>
      </c>
      <c r="G393" s="18">
        <v>1.0</v>
      </c>
      <c r="H393" s="16" t="s">
        <v>332</v>
      </c>
      <c r="I393" s="19">
        <f t="shared" si="1"/>
        <v>4</v>
      </c>
      <c r="J393" s="19">
        <f t="shared" si="2"/>
        <v>0</v>
      </c>
    </row>
    <row r="394" ht="22.5" customHeight="1">
      <c r="A394" s="16">
        <v>1.0</v>
      </c>
      <c r="B394" s="16">
        <v>3.0</v>
      </c>
      <c r="C394" s="16">
        <v>0.0</v>
      </c>
      <c r="D394" s="16">
        <v>0.0</v>
      </c>
      <c r="E394" s="16">
        <v>0.0</v>
      </c>
      <c r="F394" s="16">
        <v>0.0</v>
      </c>
      <c r="G394" s="18">
        <v>0.0</v>
      </c>
      <c r="H394" s="16" t="s">
        <v>332</v>
      </c>
      <c r="I394" s="19">
        <f t="shared" si="1"/>
        <v>0</v>
      </c>
      <c r="J394" s="19">
        <f t="shared" si="2"/>
        <v>0</v>
      </c>
    </row>
    <row r="395" ht="22.5" customHeight="1">
      <c r="A395" s="16">
        <v>1.0</v>
      </c>
      <c r="B395" s="16">
        <v>3.0</v>
      </c>
      <c r="C395" s="16">
        <v>2.0</v>
      </c>
      <c r="D395" s="16">
        <v>8.0</v>
      </c>
      <c r="E395" s="16">
        <v>0.0</v>
      </c>
      <c r="F395" s="16">
        <v>0.0</v>
      </c>
      <c r="G395" s="18">
        <v>1.0</v>
      </c>
      <c r="H395" s="16" t="s">
        <v>333</v>
      </c>
      <c r="I395" s="19">
        <f t="shared" si="1"/>
        <v>8</v>
      </c>
      <c r="J395" s="19">
        <f t="shared" si="2"/>
        <v>0</v>
      </c>
    </row>
    <row r="396" ht="22.5" customHeight="1">
      <c r="A396" s="16">
        <v>3.0</v>
      </c>
      <c r="B396" s="16">
        <v>12.0</v>
      </c>
      <c r="C396" s="16">
        <v>7.0</v>
      </c>
      <c r="D396" s="16">
        <v>0.0</v>
      </c>
      <c r="E396" s="16">
        <v>0.33</v>
      </c>
      <c r="F396" s="16">
        <v>0.0</v>
      </c>
      <c r="G396" s="20">
        <v>0.143</v>
      </c>
      <c r="H396" s="16" t="s">
        <v>333</v>
      </c>
      <c r="I396" s="19">
        <f t="shared" si="1"/>
        <v>0</v>
      </c>
      <c r="J396" s="19">
        <f t="shared" si="2"/>
        <v>1</v>
      </c>
    </row>
    <row r="397" ht="22.5" customHeight="1">
      <c r="A397" s="16">
        <v>3.0</v>
      </c>
      <c r="B397" s="16">
        <v>12.0</v>
      </c>
      <c r="C397" s="16">
        <v>4.0</v>
      </c>
      <c r="D397" s="16">
        <v>2.67</v>
      </c>
      <c r="E397" s="16">
        <v>0.0</v>
      </c>
      <c r="F397" s="16">
        <v>0.0</v>
      </c>
      <c r="G397" s="18">
        <v>0.5</v>
      </c>
      <c r="H397" s="16" t="s">
        <v>324</v>
      </c>
      <c r="I397" s="19">
        <f t="shared" si="1"/>
        <v>8</v>
      </c>
      <c r="J397" s="19">
        <f t="shared" si="2"/>
        <v>0</v>
      </c>
    </row>
    <row r="398" ht="22.5" customHeight="1">
      <c r="A398" s="16">
        <v>1.0</v>
      </c>
      <c r="B398" s="16">
        <v>3.0</v>
      </c>
      <c r="C398" s="16">
        <v>0.0</v>
      </c>
      <c r="D398" s="16">
        <v>0.0</v>
      </c>
      <c r="E398" s="16">
        <v>0.0</v>
      </c>
      <c r="F398" s="16">
        <v>0.0</v>
      </c>
      <c r="G398" s="18">
        <v>0.0</v>
      </c>
      <c r="H398" s="16" t="s">
        <v>324</v>
      </c>
      <c r="I398" s="19">
        <f t="shared" si="1"/>
        <v>0</v>
      </c>
      <c r="J398" s="19">
        <f t="shared" si="2"/>
        <v>0</v>
      </c>
    </row>
    <row r="399" ht="22.5" customHeight="1">
      <c r="A399" s="16">
        <v>4.0</v>
      </c>
      <c r="B399" s="16">
        <v>16.0</v>
      </c>
      <c r="C399" s="16">
        <v>0.0</v>
      </c>
      <c r="D399" s="16">
        <v>0.0</v>
      </c>
      <c r="E399" s="16">
        <v>0.0</v>
      </c>
      <c r="F399" s="16">
        <v>0.0</v>
      </c>
      <c r="G399" s="18">
        <v>0.0</v>
      </c>
      <c r="H399" s="16" t="s">
        <v>186</v>
      </c>
      <c r="I399" s="19">
        <f t="shared" si="1"/>
        <v>0</v>
      </c>
      <c r="J399" s="19">
        <f t="shared" si="2"/>
        <v>0</v>
      </c>
    </row>
    <row r="400" ht="22.5" customHeight="1">
      <c r="A400" s="16">
        <v>1.0</v>
      </c>
      <c r="B400" s="16">
        <v>3.0</v>
      </c>
      <c r="C400" s="16">
        <v>0.0</v>
      </c>
      <c r="D400" s="16">
        <v>0.0</v>
      </c>
      <c r="E400" s="16">
        <v>0.0</v>
      </c>
      <c r="F400" s="16">
        <v>0.0</v>
      </c>
      <c r="G400" s="18">
        <v>0.0</v>
      </c>
      <c r="H400" s="16" t="s">
        <v>186</v>
      </c>
      <c r="I400" s="19">
        <f t="shared" si="1"/>
        <v>0</v>
      </c>
      <c r="J400" s="19">
        <f t="shared" si="2"/>
        <v>0</v>
      </c>
    </row>
    <row r="401" ht="22.5" customHeight="1">
      <c r="A401" s="16">
        <v>4.0</v>
      </c>
      <c r="B401" s="16">
        <v>16.0</v>
      </c>
      <c r="C401" s="16">
        <v>1.0</v>
      </c>
      <c r="D401" s="16">
        <v>0.0</v>
      </c>
      <c r="E401" s="16">
        <v>0.0</v>
      </c>
      <c r="F401" s="16">
        <v>0.0</v>
      </c>
      <c r="G401" s="18">
        <v>0.0</v>
      </c>
      <c r="H401" s="16" t="s">
        <v>157</v>
      </c>
      <c r="I401" s="19">
        <f t="shared" si="1"/>
        <v>0</v>
      </c>
      <c r="J401" s="19">
        <f t="shared" si="2"/>
        <v>0</v>
      </c>
    </row>
    <row r="402" ht="22.5" customHeight="1">
      <c r="A402" s="16">
        <v>1.0</v>
      </c>
      <c r="B402" s="16">
        <v>3.0</v>
      </c>
      <c r="C402" s="16">
        <v>0.0</v>
      </c>
      <c r="D402" s="16">
        <v>0.0</v>
      </c>
      <c r="E402" s="16">
        <v>0.0</v>
      </c>
      <c r="F402" s="16">
        <v>0.0</v>
      </c>
      <c r="G402" s="18">
        <v>0.0</v>
      </c>
      <c r="H402" s="16" t="s">
        <v>157</v>
      </c>
      <c r="I402" s="19">
        <f t="shared" si="1"/>
        <v>0</v>
      </c>
      <c r="J402" s="19">
        <f t="shared" si="2"/>
        <v>0</v>
      </c>
    </row>
    <row r="403" ht="22.5" customHeight="1">
      <c r="A403" s="16">
        <v>5.0</v>
      </c>
      <c r="B403" s="16">
        <v>20.0</v>
      </c>
      <c r="C403" s="16">
        <v>16.0</v>
      </c>
      <c r="D403" s="16">
        <v>9.6</v>
      </c>
      <c r="E403" s="16">
        <v>0.2</v>
      </c>
      <c r="F403" s="16">
        <v>0.0</v>
      </c>
      <c r="G403" s="20">
        <v>0.813</v>
      </c>
      <c r="H403" s="16" t="s">
        <v>155</v>
      </c>
      <c r="I403" s="19">
        <f t="shared" si="1"/>
        <v>48</v>
      </c>
      <c r="J403" s="19">
        <f t="shared" si="2"/>
        <v>1</v>
      </c>
    </row>
    <row r="404" ht="22.5" customHeight="1">
      <c r="A404" s="16">
        <v>5.0</v>
      </c>
      <c r="B404" s="16">
        <v>20.0</v>
      </c>
      <c r="C404" s="16">
        <v>0.0</v>
      </c>
      <c r="D404" s="16">
        <v>0.0</v>
      </c>
      <c r="E404" s="16">
        <v>0.0</v>
      </c>
      <c r="F404" s="16">
        <v>0.0</v>
      </c>
      <c r="G404" s="18">
        <v>0.0</v>
      </c>
      <c r="H404" s="16" t="s">
        <v>212</v>
      </c>
      <c r="I404" s="19">
        <f t="shared" si="1"/>
        <v>0</v>
      </c>
      <c r="J404" s="19">
        <f t="shared" si="2"/>
        <v>0</v>
      </c>
    </row>
    <row r="405" ht="22.5" customHeight="1">
      <c r="A405" s="16">
        <v>1.0</v>
      </c>
      <c r="B405" s="16">
        <v>4.0</v>
      </c>
      <c r="C405" s="16">
        <v>0.0</v>
      </c>
      <c r="D405" s="16">
        <v>0.0</v>
      </c>
      <c r="E405" s="16">
        <v>0.0</v>
      </c>
      <c r="F405" s="16">
        <v>0.0</v>
      </c>
      <c r="G405" s="18">
        <v>0.0</v>
      </c>
      <c r="H405" s="16" t="s">
        <v>334</v>
      </c>
      <c r="I405" s="19">
        <f t="shared" si="1"/>
        <v>0</v>
      </c>
      <c r="J405" s="19">
        <f t="shared" si="2"/>
        <v>0</v>
      </c>
    </row>
    <row r="406" ht="22.5" customHeight="1">
      <c r="A406" s="16">
        <v>5.0</v>
      </c>
      <c r="B406" s="16">
        <v>20.0</v>
      </c>
      <c r="C406" s="16">
        <v>0.0</v>
      </c>
      <c r="D406" s="16">
        <v>0.0</v>
      </c>
      <c r="E406" s="16">
        <v>0.0</v>
      </c>
      <c r="F406" s="16">
        <v>0.0</v>
      </c>
      <c r="G406" s="18">
        <v>0.0</v>
      </c>
      <c r="H406" s="16" t="s">
        <v>215</v>
      </c>
      <c r="I406" s="19">
        <f t="shared" si="1"/>
        <v>0</v>
      </c>
      <c r="J406" s="19">
        <f t="shared" si="2"/>
        <v>0</v>
      </c>
    </row>
    <row r="407" ht="22.5" customHeight="1">
      <c r="A407" s="16">
        <v>2.0</v>
      </c>
      <c r="B407" s="16">
        <v>8.0</v>
      </c>
      <c r="C407" s="16">
        <v>0.0</v>
      </c>
      <c r="D407" s="16">
        <v>0.0</v>
      </c>
      <c r="E407" s="16">
        <v>0.0</v>
      </c>
      <c r="F407" s="16">
        <v>0.0</v>
      </c>
      <c r="G407" s="18">
        <v>0.0</v>
      </c>
      <c r="H407" s="16" t="s">
        <v>168</v>
      </c>
      <c r="I407" s="19">
        <f t="shared" si="1"/>
        <v>0</v>
      </c>
      <c r="J407" s="19">
        <f t="shared" si="2"/>
        <v>0</v>
      </c>
    </row>
    <row r="408" ht="22.5" customHeight="1">
      <c r="A408" s="16">
        <v>3.0</v>
      </c>
      <c r="B408" s="16">
        <v>12.0</v>
      </c>
      <c r="C408" s="16">
        <v>0.0</v>
      </c>
      <c r="D408" s="16">
        <v>0.0</v>
      </c>
      <c r="E408" s="16">
        <v>0.0</v>
      </c>
      <c r="F408" s="16">
        <v>0.0</v>
      </c>
      <c r="G408" s="18">
        <v>0.0</v>
      </c>
      <c r="H408" s="16" t="s">
        <v>168</v>
      </c>
      <c r="I408" s="19">
        <f t="shared" si="1"/>
        <v>0</v>
      </c>
      <c r="J408" s="19">
        <f t="shared" si="2"/>
        <v>0</v>
      </c>
    </row>
    <row r="409" ht="22.5" customHeight="1">
      <c r="A409" s="16">
        <v>1.0</v>
      </c>
      <c r="B409" s="16">
        <v>4.0</v>
      </c>
      <c r="C409" s="16">
        <v>2.0</v>
      </c>
      <c r="D409" s="16">
        <v>8.0</v>
      </c>
      <c r="E409" s="16">
        <v>0.0</v>
      </c>
      <c r="F409" s="16">
        <v>0.0</v>
      </c>
      <c r="G409" s="18">
        <v>1.0</v>
      </c>
      <c r="H409" s="16" t="s">
        <v>113</v>
      </c>
      <c r="I409" s="19">
        <f t="shared" si="1"/>
        <v>8</v>
      </c>
      <c r="J409" s="19">
        <f t="shared" si="2"/>
        <v>0</v>
      </c>
    </row>
    <row r="410" ht="22.5" customHeight="1">
      <c r="A410" s="16">
        <v>1.0</v>
      </c>
      <c r="B410" s="16">
        <v>4.0</v>
      </c>
      <c r="C410" s="16">
        <v>2.0</v>
      </c>
      <c r="D410" s="16">
        <v>8.0</v>
      </c>
      <c r="E410" s="16">
        <v>0.0</v>
      </c>
      <c r="F410" s="16">
        <v>0.0</v>
      </c>
      <c r="G410" s="18">
        <v>1.0</v>
      </c>
      <c r="H410" s="16" t="s">
        <v>113</v>
      </c>
      <c r="I410" s="19">
        <f t="shared" si="1"/>
        <v>8</v>
      </c>
      <c r="J410" s="19">
        <f t="shared" si="2"/>
        <v>0</v>
      </c>
    </row>
    <row r="411" ht="22.5" customHeight="1">
      <c r="A411" s="16">
        <v>3.0</v>
      </c>
      <c r="B411" s="16">
        <v>12.0</v>
      </c>
      <c r="C411" s="16">
        <v>4.0</v>
      </c>
      <c r="D411" s="16">
        <v>4.0</v>
      </c>
      <c r="E411" s="16">
        <v>0.0</v>
      </c>
      <c r="F411" s="16">
        <v>0.0</v>
      </c>
      <c r="G411" s="18">
        <v>0.75</v>
      </c>
      <c r="H411" s="16" t="s">
        <v>113</v>
      </c>
      <c r="I411" s="19">
        <f t="shared" si="1"/>
        <v>12</v>
      </c>
      <c r="J411" s="19">
        <f t="shared" si="2"/>
        <v>0</v>
      </c>
    </row>
    <row r="412" ht="22.5" customHeight="1">
      <c r="A412" s="16">
        <v>1.0</v>
      </c>
      <c r="B412" s="16">
        <v>4.0</v>
      </c>
      <c r="C412" s="16">
        <v>0.0</v>
      </c>
      <c r="D412" s="16">
        <v>0.0</v>
      </c>
      <c r="E412" s="16">
        <v>0.0</v>
      </c>
      <c r="F412" s="16">
        <v>0.0</v>
      </c>
      <c r="G412" s="18">
        <v>0.0</v>
      </c>
      <c r="H412" s="16" t="s">
        <v>335</v>
      </c>
      <c r="I412" s="19">
        <f t="shared" si="1"/>
        <v>0</v>
      </c>
      <c r="J412" s="19">
        <f t="shared" si="2"/>
        <v>0</v>
      </c>
    </row>
    <row r="413" ht="22.5" customHeight="1">
      <c r="A413" s="16">
        <v>2.0</v>
      </c>
      <c r="B413" s="16">
        <v>8.0</v>
      </c>
      <c r="C413" s="16">
        <v>0.0</v>
      </c>
      <c r="D413" s="16">
        <v>0.0</v>
      </c>
      <c r="E413" s="16">
        <v>0.0</v>
      </c>
      <c r="F413" s="16">
        <v>0.0</v>
      </c>
      <c r="G413" s="18">
        <v>0.0</v>
      </c>
      <c r="H413" s="16" t="s">
        <v>335</v>
      </c>
      <c r="I413" s="19">
        <f t="shared" si="1"/>
        <v>0</v>
      </c>
      <c r="J413" s="19">
        <f t="shared" si="2"/>
        <v>0</v>
      </c>
    </row>
    <row r="414" ht="22.5" customHeight="1">
      <c r="A414" s="16">
        <v>1.0</v>
      </c>
      <c r="B414" s="16">
        <v>4.0</v>
      </c>
      <c r="C414" s="16">
        <v>0.0</v>
      </c>
      <c r="D414" s="16">
        <v>0.0</v>
      </c>
      <c r="E414" s="16">
        <v>0.0</v>
      </c>
      <c r="F414" s="16">
        <v>0.0</v>
      </c>
      <c r="G414" s="18">
        <v>0.0</v>
      </c>
      <c r="H414" s="16" t="s">
        <v>336</v>
      </c>
      <c r="I414" s="19">
        <f t="shared" si="1"/>
        <v>0</v>
      </c>
      <c r="J414" s="19">
        <f t="shared" si="2"/>
        <v>0</v>
      </c>
    </row>
    <row r="415" ht="22.5" customHeight="1">
      <c r="A415" s="16">
        <v>1.0</v>
      </c>
      <c r="B415" s="16">
        <v>4.0</v>
      </c>
      <c r="C415" s="16">
        <v>0.0</v>
      </c>
      <c r="D415" s="16">
        <v>0.0</v>
      </c>
      <c r="E415" s="16">
        <v>0.0</v>
      </c>
      <c r="F415" s="16">
        <v>0.0</v>
      </c>
      <c r="G415" s="18">
        <v>0.0</v>
      </c>
      <c r="H415" s="16" t="s">
        <v>336</v>
      </c>
      <c r="I415" s="19">
        <f t="shared" si="1"/>
        <v>0</v>
      </c>
      <c r="J415" s="19">
        <f t="shared" si="2"/>
        <v>0</v>
      </c>
    </row>
    <row r="416" ht="22.5" customHeight="1">
      <c r="A416" s="16">
        <v>2.0</v>
      </c>
      <c r="B416" s="16">
        <v>8.0</v>
      </c>
      <c r="C416" s="16">
        <v>3.0</v>
      </c>
      <c r="D416" s="16">
        <v>6.0</v>
      </c>
      <c r="E416" s="16">
        <v>0.0</v>
      </c>
      <c r="F416" s="16">
        <v>0.0</v>
      </c>
      <c r="G416" s="18">
        <v>1.0</v>
      </c>
      <c r="H416" s="16" t="s">
        <v>337</v>
      </c>
      <c r="I416" s="19">
        <f t="shared" si="1"/>
        <v>12</v>
      </c>
      <c r="J416" s="19">
        <f t="shared" si="2"/>
        <v>0</v>
      </c>
    </row>
    <row r="417" ht="22.5" customHeight="1">
      <c r="A417" s="16">
        <v>3.0</v>
      </c>
      <c r="B417" s="16">
        <v>12.0</v>
      </c>
      <c r="C417" s="16">
        <v>6.0</v>
      </c>
      <c r="D417" s="16">
        <v>-1.33</v>
      </c>
      <c r="E417" s="16">
        <v>1.0</v>
      </c>
      <c r="F417" s="16">
        <v>0.0</v>
      </c>
      <c r="G417" s="20">
        <v>0.333</v>
      </c>
      <c r="H417" s="16" t="s">
        <v>337</v>
      </c>
      <c r="I417" s="19">
        <f t="shared" si="1"/>
        <v>-4</v>
      </c>
      <c r="J417" s="19">
        <f t="shared" si="2"/>
        <v>3</v>
      </c>
    </row>
    <row r="418" ht="22.5" customHeight="1">
      <c r="A418" s="16">
        <v>4.0</v>
      </c>
      <c r="B418" s="16">
        <v>16.0</v>
      </c>
      <c r="C418" s="16">
        <v>10.0</v>
      </c>
      <c r="D418" s="16">
        <v>3.0</v>
      </c>
      <c r="E418" s="16">
        <v>0.25</v>
      </c>
      <c r="F418" s="16">
        <v>0.0</v>
      </c>
      <c r="G418" s="18">
        <v>0.4</v>
      </c>
      <c r="H418" s="16" t="s">
        <v>299</v>
      </c>
      <c r="I418" s="19">
        <f t="shared" si="1"/>
        <v>12</v>
      </c>
      <c r="J418" s="19">
        <f t="shared" si="2"/>
        <v>1</v>
      </c>
    </row>
    <row r="419" ht="22.5" customHeight="1">
      <c r="A419" s="16">
        <v>1.0</v>
      </c>
      <c r="B419" s="16">
        <v>4.0</v>
      </c>
      <c r="C419" s="16">
        <v>1.0</v>
      </c>
      <c r="D419" s="16">
        <v>4.0</v>
      </c>
      <c r="E419" s="16">
        <v>0.0</v>
      </c>
      <c r="F419" s="16">
        <v>0.0</v>
      </c>
      <c r="G419" s="18">
        <v>1.0</v>
      </c>
      <c r="H419" s="16" t="s">
        <v>256</v>
      </c>
      <c r="I419" s="19">
        <f t="shared" si="1"/>
        <v>4</v>
      </c>
      <c r="J419" s="19">
        <f t="shared" si="2"/>
        <v>0</v>
      </c>
    </row>
    <row r="420" ht="22.5" customHeight="1">
      <c r="A420" s="16">
        <v>1.0</v>
      </c>
      <c r="B420" s="16">
        <v>4.0</v>
      </c>
      <c r="C420" s="16">
        <v>0.0</v>
      </c>
      <c r="D420" s="16">
        <v>0.0</v>
      </c>
      <c r="E420" s="16">
        <v>0.0</v>
      </c>
      <c r="F420" s="16">
        <v>0.0</v>
      </c>
      <c r="G420" s="18">
        <v>0.0</v>
      </c>
      <c r="H420" s="16" t="s">
        <v>216</v>
      </c>
      <c r="I420" s="19">
        <f t="shared" si="1"/>
        <v>0</v>
      </c>
      <c r="J420" s="19">
        <f t="shared" si="2"/>
        <v>0</v>
      </c>
    </row>
    <row r="421" ht="22.5" customHeight="1">
      <c r="A421" s="16">
        <v>1.0</v>
      </c>
      <c r="B421" s="16">
        <v>4.0</v>
      </c>
      <c r="C421" s="16">
        <v>0.0</v>
      </c>
      <c r="D421" s="16">
        <v>0.0</v>
      </c>
      <c r="E421" s="16">
        <v>0.0</v>
      </c>
      <c r="F421" s="16">
        <v>0.0</v>
      </c>
      <c r="G421" s="18">
        <v>0.0</v>
      </c>
      <c r="H421" s="16" t="s">
        <v>216</v>
      </c>
      <c r="I421" s="19">
        <f t="shared" si="1"/>
        <v>0</v>
      </c>
      <c r="J421" s="19">
        <f t="shared" si="2"/>
        <v>0</v>
      </c>
    </row>
    <row r="422" ht="22.5" customHeight="1">
      <c r="A422" s="16">
        <v>3.0</v>
      </c>
      <c r="B422" s="16">
        <v>12.0</v>
      </c>
      <c r="C422" s="16">
        <v>0.0</v>
      </c>
      <c r="D422" s="16">
        <v>0.0</v>
      </c>
      <c r="E422" s="16">
        <v>0.0</v>
      </c>
      <c r="F422" s="16">
        <v>0.0</v>
      </c>
      <c r="G422" s="18">
        <v>0.0</v>
      </c>
      <c r="H422" s="16" t="s">
        <v>216</v>
      </c>
      <c r="I422" s="19">
        <f t="shared" si="1"/>
        <v>0</v>
      </c>
      <c r="J422" s="19">
        <f t="shared" si="2"/>
        <v>0</v>
      </c>
    </row>
    <row r="423" ht="22.5" customHeight="1">
      <c r="A423" s="16">
        <v>1.0</v>
      </c>
      <c r="B423" s="16">
        <v>4.0</v>
      </c>
      <c r="C423" s="16">
        <v>0.0</v>
      </c>
      <c r="D423" s="16">
        <v>0.0</v>
      </c>
      <c r="E423" s="16">
        <v>0.0</v>
      </c>
      <c r="F423" s="16">
        <v>0.0</v>
      </c>
      <c r="G423" s="18">
        <v>0.0</v>
      </c>
      <c r="H423" s="16" t="s">
        <v>338</v>
      </c>
      <c r="I423" s="19">
        <f t="shared" si="1"/>
        <v>0</v>
      </c>
      <c r="J423" s="19">
        <f t="shared" si="2"/>
        <v>0</v>
      </c>
    </row>
    <row r="424" ht="22.5" customHeight="1">
      <c r="A424" s="16">
        <v>1.0</v>
      </c>
      <c r="B424" s="16">
        <v>4.0</v>
      </c>
      <c r="C424" s="16">
        <v>1.0</v>
      </c>
      <c r="D424" s="16">
        <v>0.0</v>
      </c>
      <c r="E424" s="16">
        <v>0.0</v>
      </c>
      <c r="F424" s="16">
        <v>0.0</v>
      </c>
      <c r="G424" s="18">
        <v>0.0</v>
      </c>
      <c r="H424" s="16" t="s">
        <v>338</v>
      </c>
      <c r="I424" s="19">
        <f t="shared" si="1"/>
        <v>0</v>
      </c>
      <c r="J424" s="19">
        <f t="shared" si="2"/>
        <v>0</v>
      </c>
    </row>
    <row r="425" ht="22.5" customHeight="1">
      <c r="A425" s="16">
        <v>1.0</v>
      </c>
      <c r="B425" s="16">
        <v>4.0</v>
      </c>
      <c r="C425" s="16">
        <v>1.0</v>
      </c>
      <c r="D425" s="16">
        <v>0.0</v>
      </c>
      <c r="E425" s="16">
        <v>0.0</v>
      </c>
      <c r="F425" s="16">
        <v>0.0</v>
      </c>
      <c r="G425" s="18">
        <v>0.0</v>
      </c>
      <c r="H425" s="16" t="s">
        <v>339</v>
      </c>
      <c r="I425" s="19">
        <f t="shared" si="1"/>
        <v>0</v>
      </c>
      <c r="J425" s="19">
        <f t="shared" si="2"/>
        <v>0</v>
      </c>
    </row>
    <row r="426" ht="22.5" customHeight="1">
      <c r="A426" s="16">
        <v>1.0</v>
      </c>
      <c r="B426" s="16">
        <v>4.0</v>
      </c>
      <c r="C426" s="16">
        <v>1.0</v>
      </c>
      <c r="D426" s="16">
        <v>0.0</v>
      </c>
      <c r="E426" s="16">
        <v>0.0</v>
      </c>
      <c r="F426" s="16">
        <v>0.0</v>
      </c>
      <c r="G426" s="18">
        <v>0.0</v>
      </c>
      <c r="H426" s="16" t="s">
        <v>83</v>
      </c>
      <c r="I426" s="19">
        <f t="shared" si="1"/>
        <v>0</v>
      </c>
      <c r="J426" s="19">
        <f t="shared" si="2"/>
        <v>0</v>
      </c>
    </row>
    <row r="427" ht="22.5" customHeight="1">
      <c r="A427" s="16">
        <v>2.0</v>
      </c>
      <c r="B427" s="16">
        <v>8.0</v>
      </c>
      <c r="C427" s="16">
        <v>3.0</v>
      </c>
      <c r="D427" s="16">
        <v>0.0</v>
      </c>
      <c r="E427" s="16">
        <v>0.0</v>
      </c>
      <c r="F427" s="16">
        <v>0.0</v>
      </c>
      <c r="G427" s="18">
        <v>0.0</v>
      </c>
      <c r="H427" s="16" t="s">
        <v>83</v>
      </c>
      <c r="I427" s="19">
        <f t="shared" si="1"/>
        <v>0</v>
      </c>
      <c r="J427" s="19">
        <f t="shared" si="2"/>
        <v>0</v>
      </c>
    </row>
    <row r="428" ht="22.5" customHeight="1">
      <c r="A428" s="16">
        <v>1.0</v>
      </c>
      <c r="B428" s="16">
        <v>4.0</v>
      </c>
      <c r="C428" s="16">
        <v>0.0</v>
      </c>
      <c r="D428" s="16">
        <v>0.0</v>
      </c>
      <c r="E428" s="16">
        <v>0.0</v>
      </c>
      <c r="F428" s="16">
        <v>0.0</v>
      </c>
      <c r="G428" s="18">
        <v>0.0</v>
      </c>
      <c r="H428" s="16" t="s">
        <v>340</v>
      </c>
      <c r="I428" s="19">
        <f t="shared" si="1"/>
        <v>0</v>
      </c>
      <c r="J428" s="19">
        <f t="shared" si="2"/>
        <v>0</v>
      </c>
    </row>
    <row r="429" ht="22.5" customHeight="1">
      <c r="A429" s="16">
        <v>1.0</v>
      </c>
      <c r="B429" s="16">
        <v>4.0</v>
      </c>
      <c r="C429" s="16">
        <v>0.0</v>
      </c>
      <c r="D429" s="16">
        <v>0.0</v>
      </c>
      <c r="E429" s="16">
        <v>0.0</v>
      </c>
      <c r="F429" s="16">
        <v>0.0</v>
      </c>
      <c r="G429" s="18">
        <v>0.0</v>
      </c>
      <c r="H429" s="16" t="s">
        <v>340</v>
      </c>
      <c r="I429" s="19">
        <f t="shared" si="1"/>
        <v>0</v>
      </c>
      <c r="J429" s="19">
        <f t="shared" si="2"/>
        <v>0</v>
      </c>
    </row>
    <row r="430" ht="22.5" customHeight="1">
      <c r="A430" s="16">
        <v>3.0</v>
      </c>
      <c r="B430" s="16">
        <v>11.0</v>
      </c>
      <c r="C430" s="16">
        <v>0.0</v>
      </c>
      <c r="D430" s="16">
        <v>0.0</v>
      </c>
      <c r="E430" s="16">
        <v>0.0</v>
      </c>
      <c r="F430" s="16">
        <v>0.0</v>
      </c>
      <c r="G430" s="18">
        <v>0.0</v>
      </c>
      <c r="H430" s="16" t="s">
        <v>258</v>
      </c>
      <c r="I430" s="19">
        <f t="shared" si="1"/>
        <v>0</v>
      </c>
      <c r="J430" s="19">
        <f t="shared" si="2"/>
        <v>0</v>
      </c>
    </row>
    <row r="431" ht="22.5" customHeight="1">
      <c r="A431" s="16">
        <v>1.0</v>
      </c>
      <c r="B431" s="16">
        <v>4.0</v>
      </c>
      <c r="C431" s="16">
        <v>0.0</v>
      </c>
      <c r="D431" s="16">
        <v>0.0</v>
      </c>
      <c r="E431" s="16">
        <v>0.0</v>
      </c>
      <c r="F431" s="16">
        <v>0.0</v>
      </c>
      <c r="G431" s="18">
        <v>0.0</v>
      </c>
      <c r="H431" s="16" t="s">
        <v>301</v>
      </c>
      <c r="I431" s="19">
        <f t="shared" si="1"/>
        <v>0</v>
      </c>
      <c r="J431" s="19">
        <f t="shared" si="2"/>
        <v>0</v>
      </c>
    </row>
    <row r="432" ht="22.5" customHeight="1">
      <c r="A432" s="16">
        <v>1.0</v>
      </c>
      <c r="B432" s="16">
        <v>4.0</v>
      </c>
      <c r="C432" s="16">
        <v>0.0</v>
      </c>
      <c r="D432" s="16">
        <v>0.0</v>
      </c>
      <c r="E432" s="16">
        <v>0.0</v>
      </c>
      <c r="F432" s="16">
        <v>0.0</v>
      </c>
      <c r="G432" s="18">
        <v>0.0</v>
      </c>
      <c r="H432" s="16" t="s">
        <v>301</v>
      </c>
      <c r="I432" s="19">
        <f t="shared" si="1"/>
        <v>0</v>
      </c>
      <c r="J432" s="19">
        <f t="shared" si="2"/>
        <v>0</v>
      </c>
    </row>
    <row r="433" ht="22.5" customHeight="1">
      <c r="A433" s="16">
        <v>2.0</v>
      </c>
      <c r="B433" s="16">
        <v>7.0</v>
      </c>
      <c r="C433" s="16">
        <v>6.0</v>
      </c>
      <c r="D433" s="16">
        <v>8.0</v>
      </c>
      <c r="E433" s="16">
        <v>0.5</v>
      </c>
      <c r="F433" s="16">
        <v>0.0</v>
      </c>
      <c r="G433" s="20">
        <v>0.833</v>
      </c>
      <c r="H433" s="16" t="s">
        <v>87</v>
      </c>
      <c r="I433" s="19">
        <f t="shared" si="1"/>
        <v>16</v>
      </c>
      <c r="J433" s="19">
        <f t="shared" si="2"/>
        <v>1</v>
      </c>
    </row>
    <row r="434" ht="22.5" customHeight="1">
      <c r="A434" s="16">
        <v>1.0</v>
      </c>
      <c r="B434" s="16">
        <v>4.0</v>
      </c>
      <c r="C434" s="16">
        <v>3.0</v>
      </c>
      <c r="D434" s="16">
        <v>4.0</v>
      </c>
      <c r="E434" s="16">
        <v>1.0</v>
      </c>
      <c r="F434" s="16">
        <v>0.0</v>
      </c>
      <c r="G434" s="20">
        <v>0.667</v>
      </c>
      <c r="H434" s="16" t="s">
        <v>87</v>
      </c>
      <c r="I434" s="19">
        <f t="shared" si="1"/>
        <v>4</v>
      </c>
      <c r="J434" s="19">
        <f t="shared" si="2"/>
        <v>1</v>
      </c>
    </row>
    <row r="435" ht="22.5" customHeight="1">
      <c r="A435" s="16">
        <v>1.0</v>
      </c>
      <c r="B435" s="16">
        <v>4.0</v>
      </c>
      <c r="C435" s="16">
        <v>4.0</v>
      </c>
      <c r="D435" s="16">
        <v>4.0</v>
      </c>
      <c r="E435" s="16">
        <v>1.0</v>
      </c>
      <c r="F435" s="16">
        <v>0.0</v>
      </c>
      <c r="G435" s="18">
        <v>0.5</v>
      </c>
      <c r="H435" s="16" t="s">
        <v>87</v>
      </c>
      <c r="I435" s="19">
        <f t="shared" si="1"/>
        <v>4</v>
      </c>
      <c r="J435" s="19">
        <f t="shared" si="2"/>
        <v>1</v>
      </c>
    </row>
    <row r="436" ht="22.5" customHeight="1">
      <c r="A436" s="16">
        <v>1.0</v>
      </c>
      <c r="B436" s="16">
        <v>4.0</v>
      </c>
      <c r="C436" s="16">
        <v>1.0</v>
      </c>
      <c r="D436" s="16">
        <v>0.0</v>
      </c>
      <c r="E436" s="16">
        <v>0.0</v>
      </c>
      <c r="F436" s="16">
        <v>0.0</v>
      </c>
      <c r="G436" s="18">
        <v>0.0</v>
      </c>
      <c r="H436" s="16" t="s">
        <v>341</v>
      </c>
      <c r="I436" s="19">
        <f t="shared" si="1"/>
        <v>0</v>
      </c>
      <c r="J436" s="19">
        <f t="shared" si="2"/>
        <v>0</v>
      </c>
    </row>
    <row r="437" ht="22.5" customHeight="1">
      <c r="A437" s="16">
        <v>1.0</v>
      </c>
      <c r="B437" s="16">
        <v>4.0</v>
      </c>
      <c r="C437" s="16">
        <v>2.0</v>
      </c>
      <c r="D437" s="16">
        <v>4.0</v>
      </c>
      <c r="E437" s="16">
        <v>0.0</v>
      </c>
      <c r="F437" s="16">
        <v>0.0</v>
      </c>
      <c r="G437" s="18">
        <v>0.5</v>
      </c>
      <c r="H437" s="16" t="s">
        <v>341</v>
      </c>
      <c r="I437" s="19">
        <f t="shared" si="1"/>
        <v>4</v>
      </c>
      <c r="J437" s="19">
        <f t="shared" si="2"/>
        <v>0</v>
      </c>
    </row>
    <row r="438" ht="22.5" customHeight="1">
      <c r="A438" s="16">
        <v>5.0</v>
      </c>
      <c r="B438" s="16">
        <v>20.0</v>
      </c>
      <c r="C438" s="16">
        <v>2.0</v>
      </c>
      <c r="D438" s="16">
        <v>0.0</v>
      </c>
      <c r="E438" s="16">
        <v>0.0</v>
      </c>
      <c r="F438" s="16">
        <v>0.0</v>
      </c>
      <c r="G438" s="18">
        <v>0.0</v>
      </c>
      <c r="H438" s="16" t="s">
        <v>312</v>
      </c>
      <c r="I438" s="19">
        <f t="shared" si="1"/>
        <v>0</v>
      </c>
      <c r="J438" s="19">
        <f t="shared" si="2"/>
        <v>0</v>
      </c>
    </row>
    <row r="439" ht="22.5" customHeight="1">
      <c r="A439" s="16">
        <v>4.0</v>
      </c>
      <c r="B439" s="16">
        <v>16.0</v>
      </c>
      <c r="C439" s="16">
        <v>2.0</v>
      </c>
      <c r="D439" s="16">
        <v>0.0</v>
      </c>
      <c r="E439" s="16">
        <v>0.0</v>
      </c>
      <c r="F439" s="16">
        <v>0.0</v>
      </c>
      <c r="G439" s="18">
        <v>0.0</v>
      </c>
      <c r="H439" s="16" t="s">
        <v>260</v>
      </c>
      <c r="I439" s="19">
        <f t="shared" si="1"/>
        <v>0</v>
      </c>
      <c r="J439" s="19">
        <f t="shared" si="2"/>
        <v>0</v>
      </c>
    </row>
    <row r="440" ht="22.5" customHeight="1">
      <c r="A440" s="16">
        <v>1.0</v>
      </c>
      <c r="B440" s="16">
        <v>4.0</v>
      </c>
      <c r="C440" s="16">
        <v>0.0</v>
      </c>
      <c r="D440" s="16">
        <v>0.0</v>
      </c>
      <c r="E440" s="16">
        <v>0.0</v>
      </c>
      <c r="F440" s="16">
        <v>0.0</v>
      </c>
      <c r="G440" s="18">
        <v>0.0</v>
      </c>
      <c r="H440" s="16" t="s">
        <v>260</v>
      </c>
      <c r="I440" s="19">
        <f t="shared" si="1"/>
        <v>0</v>
      </c>
      <c r="J440" s="19">
        <f t="shared" si="2"/>
        <v>0</v>
      </c>
    </row>
    <row r="441" ht="22.5" customHeight="1">
      <c r="A441" s="16">
        <v>4.0</v>
      </c>
      <c r="B441" s="16">
        <v>16.0</v>
      </c>
      <c r="C441" s="16">
        <v>4.0</v>
      </c>
      <c r="D441" s="16">
        <v>3.0</v>
      </c>
      <c r="E441" s="16">
        <v>0.0</v>
      </c>
      <c r="F441" s="16">
        <v>0.0</v>
      </c>
      <c r="G441" s="18">
        <v>0.75</v>
      </c>
      <c r="H441" s="16" t="s">
        <v>327</v>
      </c>
      <c r="I441" s="19">
        <f t="shared" si="1"/>
        <v>12</v>
      </c>
      <c r="J441" s="19">
        <f t="shared" si="2"/>
        <v>0</v>
      </c>
    </row>
    <row r="442" ht="22.5" customHeight="1">
      <c r="A442" s="16">
        <v>5.0</v>
      </c>
      <c r="B442" s="16">
        <v>20.0</v>
      </c>
      <c r="C442" s="16">
        <v>6.0</v>
      </c>
      <c r="D442" s="16">
        <v>4.0</v>
      </c>
      <c r="E442" s="16">
        <v>0.0</v>
      </c>
      <c r="F442" s="16">
        <v>0.0</v>
      </c>
      <c r="G442" s="20">
        <v>0.833</v>
      </c>
      <c r="H442" s="16" t="s">
        <v>131</v>
      </c>
      <c r="I442" s="19">
        <f t="shared" si="1"/>
        <v>20</v>
      </c>
      <c r="J442" s="19">
        <f t="shared" si="2"/>
        <v>0</v>
      </c>
    </row>
    <row r="443" ht="22.5" customHeight="1">
      <c r="A443" s="16">
        <v>2.0</v>
      </c>
      <c r="B443" s="16">
        <v>8.0</v>
      </c>
      <c r="C443" s="16">
        <v>2.0</v>
      </c>
      <c r="D443" s="16">
        <v>0.0</v>
      </c>
      <c r="E443" s="16">
        <v>0.0</v>
      </c>
      <c r="F443" s="16">
        <v>0.0</v>
      </c>
      <c r="G443" s="18">
        <v>0.0</v>
      </c>
      <c r="H443" s="16" t="s">
        <v>342</v>
      </c>
      <c r="I443" s="19">
        <f t="shared" si="1"/>
        <v>0</v>
      </c>
      <c r="J443" s="19">
        <f t="shared" si="2"/>
        <v>0</v>
      </c>
    </row>
    <row r="444" ht="22.5" customHeight="1">
      <c r="A444" s="16">
        <v>4.0</v>
      </c>
      <c r="B444" s="16">
        <v>16.0</v>
      </c>
      <c r="C444" s="16">
        <v>0.0</v>
      </c>
      <c r="D444" s="16">
        <v>0.0</v>
      </c>
      <c r="E444" s="16">
        <v>0.0</v>
      </c>
      <c r="F444" s="16">
        <v>0.0</v>
      </c>
      <c r="G444" s="18">
        <v>0.0</v>
      </c>
      <c r="H444" s="16" t="s">
        <v>343</v>
      </c>
      <c r="I444" s="19">
        <f t="shared" si="1"/>
        <v>0</v>
      </c>
      <c r="J444" s="19">
        <f t="shared" si="2"/>
        <v>0</v>
      </c>
    </row>
    <row r="445" ht="22.5" customHeight="1">
      <c r="A445" s="16">
        <v>1.0</v>
      </c>
      <c r="B445" s="16">
        <v>4.0</v>
      </c>
      <c r="C445" s="16">
        <v>0.0</v>
      </c>
      <c r="D445" s="16">
        <v>0.0</v>
      </c>
      <c r="E445" s="16">
        <v>0.0</v>
      </c>
      <c r="F445" s="16">
        <v>0.0</v>
      </c>
      <c r="G445" s="18">
        <v>0.0</v>
      </c>
      <c r="H445" s="16" t="s">
        <v>343</v>
      </c>
      <c r="I445" s="19">
        <f t="shared" si="1"/>
        <v>0</v>
      </c>
      <c r="J445" s="19">
        <f t="shared" si="2"/>
        <v>0</v>
      </c>
    </row>
    <row r="446" ht="22.5" customHeight="1">
      <c r="A446" s="16">
        <v>2.0</v>
      </c>
      <c r="B446" s="16">
        <v>8.0</v>
      </c>
      <c r="C446" s="16">
        <v>5.0</v>
      </c>
      <c r="D446" s="16">
        <v>6.0</v>
      </c>
      <c r="E446" s="16">
        <v>0.0</v>
      </c>
      <c r="F446" s="16">
        <v>0.0</v>
      </c>
      <c r="G446" s="18">
        <v>0.6</v>
      </c>
      <c r="H446" s="16" t="s">
        <v>302</v>
      </c>
      <c r="I446" s="19">
        <f t="shared" si="1"/>
        <v>12</v>
      </c>
      <c r="J446" s="19">
        <f t="shared" si="2"/>
        <v>0</v>
      </c>
    </row>
    <row r="447" ht="22.5" customHeight="1">
      <c r="A447" s="16">
        <v>5.0</v>
      </c>
      <c r="B447" s="16">
        <v>20.0</v>
      </c>
      <c r="C447" s="16">
        <v>6.0</v>
      </c>
      <c r="D447" s="16">
        <v>4.0</v>
      </c>
      <c r="E447" s="16">
        <v>0.0</v>
      </c>
      <c r="F447" s="16">
        <v>0.0</v>
      </c>
      <c r="G447" s="20">
        <v>0.833</v>
      </c>
      <c r="H447" s="16" t="s">
        <v>231</v>
      </c>
      <c r="I447" s="19">
        <f t="shared" si="1"/>
        <v>20</v>
      </c>
      <c r="J447" s="19">
        <f t="shared" si="2"/>
        <v>0</v>
      </c>
    </row>
    <row r="448" ht="22.5" customHeight="1">
      <c r="A448" s="16">
        <v>5.0</v>
      </c>
      <c r="B448" s="16">
        <v>20.0</v>
      </c>
      <c r="C448" s="16">
        <v>3.0</v>
      </c>
      <c r="D448" s="16">
        <v>0.0</v>
      </c>
      <c r="E448" s="16">
        <v>0.2</v>
      </c>
      <c r="F448" s="16">
        <v>0.0</v>
      </c>
      <c r="G448" s="20">
        <v>0.333</v>
      </c>
      <c r="H448" s="16" t="s">
        <v>122</v>
      </c>
      <c r="I448" s="19">
        <f t="shared" si="1"/>
        <v>0</v>
      </c>
      <c r="J448" s="19">
        <f t="shared" si="2"/>
        <v>1</v>
      </c>
    </row>
    <row r="449" ht="22.5" customHeight="1">
      <c r="A449" s="16">
        <v>3.0</v>
      </c>
      <c r="B449" s="16">
        <v>12.0</v>
      </c>
      <c r="C449" s="16">
        <v>5.0</v>
      </c>
      <c r="D449" s="16">
        <v>5.33</v>
      </c>
      <c r="E449" s="16">
        <v>0.0</v>
      </c>
      <c r="F449" s="16">
        <v>0.0</v>
      </c>
      <c r="G449" s="18">
        <v>0.8</v>
      </c>
      <c r="H449" s="16" t="s">
        <v>261</v>
      </c>
      <c r="I449" s="19">
        <f t="shared" si="1"/>
        <v>16</v>
      </c>
      <c r="J449" s="19">
        <f t="shared" si="2"/>
        <v>0</v>
      </c>
    </row>
    <row r="450" ht="22.5" customHeight="1">
      <c r="A450" s="16">
        <v>5.0</v>
      </c>
      <c r="B450" s="16">
        <v>20.0</v>
      </c>
      <c r="C450" s="16">
        <v>0.0</v>
      </c>
      <c r="D450" s="16">
        <v>0.0</v>
      </c>
      <c r="E450" s="16">
        <v>0.0</v>
      </c>
      <c r="F450" s="16">
        <v>0.0</v>
      </c>
      <c r="G450" s="18">
        <v>0.0</v>
      </c>
      <c r="H450" s="16" t="s">
        <v>344</v>
      </c>
      <c r="I450" s="19">
        <f t="shared" si="1"/>
        <v>0</v>
      </c>
      <c r="J450" s="19">
        <f t="shared" si="2"/>
        <v>0</v>
      </c>
    </row>
    <row r="451" ht="22.5" customHeight="1">
      <c r="A451" s="16">
        <v>1.0</v>
      </c>
      <c r="B451" s="16">
        <v>4.0</v>
      </c>
      <c r="C451" s="16">
        <v>0.0</v>
      </c>
      <c r="D451" s="16">
        <v>0.0</v>
      </c>
      <c r="E451" s="16">
        <v>0.0</v>
      </c>
      <c r="F451" s="16">
        <v>0.0</v>
      </c>
      <c r="G451" s="18">
        <v>0.0</v>
      </c>
      <c r="H451" s="16" t="s">
        <v>345</v>
      </c>
      <c r="I451" s="19">
        <f t="shared" si="1"/>
        <v>0</v>
      </c>
      <c r="J451" s="19">
        <f t="shared" si="2"/>
        <v>0</v>
      </c>
    </row>
    <row r="452" ht="22.5" customHeight="1">
      <c r="A452" s="16">
        <v>4.0</v>
      </c>
      <c r="B452" s="16">
        <v>16.0</v>
      </c>
      <c r="C452" s="16">
        <v>0.0</v>
      </c>
      <c r="D452" s="16">
        <v>0.0</v>
      </c>
      <c r="E452" s="16">
        <v>0.0</v>
      </c>
      <c r="F452" s="16">
        <v>0.0</v>
      </c>
      <c r="G452" s="18">
        <v>0.0</v>
      </c>
      <c r="H452" s="16" t="s">
        <v>345</v>
      </c>
      <c r="I452" s="19">
        <f t="shared" si="1"/>
        <v>0</v>
      </c>
      <c r="J452" s="19">
        <f t="shared" si="2"/>
        <v>0</v>
      </c>
    </row>
    <row r="453" ht="22.5" customHeight="1">
      <c r="A453" s="16">
        <v>1.0</v>
      </c>
      <c r="B453" s="16">
        <v>4.0</v>
      </c>
      <c r="C453" s="16">
        <v>1.0</v>
      </c>
      <c r="D453" s="16">
        <v>4.0</v>
      </c>
      <c r="E453" s="16">
        <v>0.0</v>
      </c>
      <c r="F453" s="16">
        <v>0.0</v>
      </c>
      <c r="G453" s="18">
        <v>1.0</v>
      </c>
      <c r="H453" s="16" t="s">
        <v>346</v>
      </c>
      <c r="I453" s="19">
        <f t="shared" si="1"/>
        <v>4</v>
      </c>
      <c r="J453" s="19">
        <f t="shared" si="2"/>
        <v>0</v>
      </c>
    </row>
    <row r="454" ht="22.5" customHeight="1">
      <c r="A454" s="16">
        <v>4.0</v>
      </c>
      <c r="B454" s="16">
        <v>16.0</v>
      </c>
      <c r="C454" s="16">
        <v>0.0</v>
      </c>
      <c r="D454" s="16">
        <v>0.0</v>
      </c>
      <c r="E454" s="16">
        <v>0.0</v>
      </c>
      <c r="F454" s="16">
        <v>0.0</v>
      </c>
      <c r="G454" s="18">
        <v>0.0</v>
      </c>
      <c r="H454" s="16" t="s">
        <v>346</v>
      </c>
      <c r="I454" s="19">
        <f t="shared" si="1"/>
        <v>0</v>
      </c>
      <c r="J454" s="19">
        <f t="shared" si="2"/>
        <v>0</v>
      </c>
    </row>
    <row r="455" ht="22.5" customHeight="1">
      <c r="A455" s="16">
        <v>1.0</v>
      </c>
      <c r="B455" s="16">
        <v>4.0</v>
      </c>
      <c r="C455" s="16">
        <v>2.0</v>
      </c>
      <c r="D455" s="16">
        <v>-4.0</v>
      </c>
      <c r="E455" s="16">
        <v>1.0</v>
      </c>
      <c r="F455" s="16">
        <v>0.0</v>
      </c>
      <c r="G455" s="18">
        <v>0.0</v>
      </c>
      <c r="H455" s="16" t="s">
        <v>347</v>
      </c>
      <c r="I455" s="19">
        <f t="shared" si="1"/>
        <v>-4</v>
      </c>
      <c r="J455" s="19">
        <f t="shared" si="2"/>
        <v>1</v>
      </c>
    </row>
    <row r="456" ht="22.5" customHeight="1">
      <c r="A456" s="16">
        <v>4.0</v>
      </c>
      <c r="B456" s="16">
        <v>16.0</v>
      </c>
      <c r="C456" s="16">
        <v>15.0</v>
      </c>
      <c r="D456" s="16">
        <v>4.0</v>
      </c>
      <c r="E456" s="16">
        <v>0.75</v>
      </c>
      <c r="F456" s="16">
        <v>0.0</v>
      </c>
      <c r="G456" s="20">
        <v>0.467</v>
      </c>
      <c r="H456" s="16" t="s">
        <v>347</v>
      </c>
      <c r="I456" s="19">
        <f t="shared" si="1"/>
        <v>16</v>
      </c>
      <c r="J456" s="19">
        <f t="shared" si="2"/>
        <v>3</v>
      </c>
    </row>
    <row r="457" ht="22.5" customHeight="1">
      <c r="A457" s="16">
        <v>1.0</v>
      </c>
      <c r="B457" s="16">
        <v>4.0</v>
      </c>
      <c r="C457" s="16">
        <v>1.0</v>
      </c>
      <c r="D457" s="16">
        <v>4.0</v>
      </c>
      <c r="E457" s="16">
        <v>0.0</v>
      </c>
      <c r="F457" s="16">
        <v>0.0</v>
      </c>
      <c r="G457" s="18">
        <v>1.0</v>
      </c>
      <c r="H457" s="16" t="s">
        <v>188</v>
      </c>
      <c r="I457" s="19">
        <f t="shared" si="1"/>
        <v>4</v>
      </c>
      <c r="J457" s="19">
        <f t="shared" si="2"/>
        <v>0</v>
      </c>
    </row>
    <row r="458" ht="22.5" customHeight="1">
      <c r="A458" s="16">
        <v>4.0</v>
      </c>
      <c r="B458" s="16">
        <v>16.0</v>
      </c>
      <c r="C458" s="16">
        <v>0.0</v>
      </c>
      <c r="D458" s="16">
        <v>0.0</v>
      </c>
      <c r="E458" s="16">
        <v>0.0</v>
      </c>
      <c r="F458" s="16">
        <v>0.0</v>
      </c>
      <c r="G458" s="18">
        <v>0.0</v>
      </c>
      <c r="H458" s="16" t="s">
        <v>188</v>
      </c>
      <c r="I458" s="19">
        <f t="shared" si="1"/>
        <v>0</v>
      </c>
      <c r="J458" s="19">
        <f t="shared" si="2"/>
        <v>0</v>
      </c>
    </row>
    <row r="459" ht="22.5" customHeight="1">
      <c r="A459" s="16">
        <v>3.0</v>
      </c>
      <c r="B459" s="16">
        <v>11.0</v>
      </c>
      <c r="C459" s="16">
        <v>4.0</v>
      </c>
      <c r="D459" s="16">
        <v>4.0</v>
      </c>
      <c r="E459" s="16">
        <v>0.0</v>
      </c>
      <c r="F459" s="16">
        <v>0.0</v>
      </c>
      <c r="G459" s="18">
        <v>0.75</v>
      </c>
      <c r="H459" s="16" t="s">
        <v>119</v>
      </c>
      <c r="I459" s="19">
        <f t="shared" si="1"/>
        <v>12</v>
      </c>
      <c r="J459" s="19">
        <f t="shared" si="2"/>
        <v>0</v>
      </c>
    </row>
    <row r="460" ht="22.5" customHeight="1">
      <c r="A460" s="16">
        <v>3.0</v>
      </c>
      <c r="B460" s="16">
        <v>11.0</v>
      </c>
      <c r="C460" s="16">
        <v>0.0</v>
      </c>
      <c r="D460" s="16">
        <v>0.0</v>
      </c>
      <c r="E460" s="16">
        <v>0.0</v>
      </c>
      <c r="F460" s="16">
        <v>0.0</v>
      </c>
      <c r="G460" s="18">
        <v>0.0</v>
      </c>
      <c r="H460" s="16" t="s">
        <v>218</v>
      </c>
      <c r="I460" s="19">
        <f t="shared" si="1"/>
        <v>0</v>
      </c>
      <c r="J460" s="19">
        <f t="shared" si="2"/>
        <v>0</v>
      </c>
    </row>
    <row r="461" ht="22.5" customHeight="1">
      <c r="A461" s="16">
        <v>2.0</v>
      </c>
      <c r="B461" s="16">
        <v>8.0</v>
      </c>
      <c r="C461" s="16">
        <v>0.0</v>
      </c>
      <c r="D461" s="16">
        <v>0.0</v>
      </c>
      <c r="E461" s="16">
        <v>0.0</v>
      </c>
      <c r="F461" s="16">
        <v>0.0</v>
      </c>
      <c r="G461" s="18">
        <v>0.0</v>
      </c>
      <c r="H461" s="16" t="s">
        <v>348</v>
      </c>
      <c r="I461" s="19">
        <f t="shared" si="1"/>
        <v>0</v>
      </c>
      <c r="J461" s="19">
        <f t="shared" si="2"/>
        <v>0</v>
      </c>
    </row>
    <row r="462" ht="22.5" customHeight="1">
      <c r="A462" s="16">
        <v>3.0</v>
      </c>
      <c r="B462" s="16">
        <v>11.0</v>
      </c>
      <c r="C462" s="16">
        <v>0.0</v>
      </c>
      <c r="D462" s="16">
        <v>0.0</v>
      </c>
      <c r="E462" s="16">
        <v>0.0</v>
      </c>
      <c r="F462" s="16">
        <v>0.0</v>
      </c>
      <c r="G462" s="18">
        <v>0.0</v>
      </c>
      <c r="H462" s="16" t="s">
        <v>349</v>
      </c>
      <c r="I462" s="19">
        <f t="shared" si="1"/>
        <v>0</v>
      </c>
      <c r="J462" s="19">
        <f t="shared" si="2"/>
        <v>0</v>
      </c>
    </row>
    <row r="463" ht="22.5" customHeight="1">
      <c r="A463" s="16">
        <v>4.0</v>
      </c>
      <c r="B463" s="16">
        <v>15.0</v>
      </c>
      <c r="C463" s="16">
        <v>9.0</v>
      </c>
      <c r="D463" s="16">
        <v>8.0</v>
      </c>
      <c r="E463" s="16">
        <v>0.0</v>
      </c>
      <c r="F463" s="16">
        <v>0.0</v>
      </c>
      <c r="G463" s="20">
        <v>0.889</v>
      </c>
      <c r="H463" s="16" t="s">
        <v>193</v>
      </c>
      <c r="I463" s="19">
        <f t="shared" si="1"/>
        <v>32</v>
      </c>
      <c r="J463" s="19">
        <f t="shared" si="2"/>
        <v>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3" max="3" width="17.25"/>
  </cols>
  <sheetData>
    <row r="1" ht="22.5" customHeight="1">
      <c r="A1" s="12" t="s">
        <v>36</v>
      </c>
      <c r="B1" s="12" t="s">
        <v>42</v>
      </c>
      <c r="C1" s="12" t="s">
        <v>44</v>
      </c>
      <c r="D1" s="8" t="s">
        <v>45</v>
      </c>
      <c r="E1" s="8" t="s">
        <v>30</v>
      </c>
    </row>
    <row r="2" ht="22.5" customHeight="1">
      <c r="A2" s="13" t="s">
        <v>47</v>
      </c>
      <c r="B2" s="13">
        <v>5.0</v>
      </c>
      <c r="C2" s="13">
        <v>20.0</v>
      </c>
      <c r="D2" s="10">
        <v>11.2</v>
      </c>
      <c r="E2" s="10">
        <v>0.4</v>
      </c>
    </row>
    <row r="3" ht="22.5" customHeight="1">
      <c r="A3" s="13" t="s">
        <v>172</v>
      </c>
      <c r="B3" s="13">
        <v>4.0</v>
      </c>
      <c r="C3" s="13">
        <v>16.0</v>
      </c>
      <c r="D3" s="10">
        <v>10.0</v>
      </c>
      <c r="E3" s="10">
        <v>0.0</v>
      </c>
    </row>
    <row r="4" ht="22.5" customHeight="1">
      <c r="A4" s="13" t="s">
        <v>155</v>
      </c>
      <c r="B4" s="13">
        <v>5.0</v>
      </c>
      <c r="C4" s="13">
        <v>20.0</v>
      </c>
      <c r="D4" s="10">
        <v>9.6</v>
      </c>
      <c r="E4" s="10">
        <v>0.2</v>
      </c>
    </row>
    <row r="5" ht="22.5" customHeight="1">
      <c r="A5" s="13" t="s">
        <v>94</v>
      </c>
      <c r="B5" s="13">
        <v>3.0</v>
      </c>
      <c r="C5" s="13">
        <v>12.0</v>
      </c>
      <c r="D5" s="10">
        <v>8.0</v>
      </c>
      <c r="E5" s="10">
        <v>0.0</v>
      </c>
    </row>
    <row r="6" ht="22.5" customHeight="1">
      <c r="A6" s="13" t="s">
        <v>153</v>
      </c>
      <c r="B6" s="13">
        <v>1.0</v>
      </c>
      <c r="C6" s="13">
        <v>4.0</v>
      </c>
      <c r="D6" s="10">
        <v>8.0</v>
      </c>
      <c r="E6" s="10">
        <v>0.0</v>
      </c>
    </row>
    <row r="7" ht="22.5" customHeight="1">
      <c r="A7" s="13" t="s">
        <v>239</v>
      </c>
      <c r="B7" s="13">
        <v>1.0</v>
      </c>
      <c r="C7" s="13">
        <v>4.0</v>
      </c>
      <c r="D7" s="10">
        <v>8.0</v>
      </c>
      <c r="E7" s="10">
        <v>0.0</v>
      </c>
    </row>
    <row r="8" ht="22.5" customHeight="1">
      <c r="A8" s="13" t="s">
        <v>246</v>
      </c>
      <c r="B8" s="13">
        <v>1.0</v>
      </c>
      <c r="C8" s="13">
        <v>4.0</v>
      </c>
      <c r="D8" s="10">
        <v>8.0</v>
      </c>
      <c r="E8" s="10">
        <v>0.0</v>
      </c>
    </row>
    <row r="9" ht="22.5" customHeight="1">
      <c r="A9" s="13" t="s">
        <v>193</v>
      </c>
      <c r="B9" s="13">
        <v>4.0</v>
      </c>
      <c r="C9" s="13">
        <v>15.0</v>
      </c>
      <c r="D9" s="10">
        <v>8.0</v>
      </c>
      <c r="E9" s="10">
        <v>0.0</v>
      </c>
    </row>
    <row r="10" ht="22.5" customHeight="1">
      <c r="A10" s="13" t="s">
        <v>93</v>
      </c>
      <c r="B10" s="13">
        <v>5.0</v>
      </c>
      <c r="C10" s="13">
        <v>19.0</v>
      </c>
      <c r="D10" s="10">
        <v>7.2</v>
      </c>
      <c r="E10" s="10">
        <v>0.0</v>
      </c>
    </row>
    <row r="11" ht="22.5" customHeight="1">
      <c r="A11" s="13" t="s">
        <v>135</v>
      </c>
      <c r="B11" s="13">
        <v>4.0</v>
      </c>
      <c r="C11" s="13">
        <v>15.0</v>
      </c>
      <c r="D11" s="10">
        <v>7.0</v>
      </c>
      <c r="E11" s="10">
        <v>0.25</v>
      </c>
    </row>
    <row r="12" ht="22.5" customHeight="1">
      <c r="A12" s="13" t="s">
        <v>175</v>
      </c>
      <c r="B12" s="13">
        <v>4.0</v>
      </c>
      <c r="C12" s="13">
        <v>15.0</v>
      </c>
      <c r="D12" s="10">
        <v>7.0</v>
      </c>
      <c r="E12" s="10">
        <v>0.0</v>
      </c>
    </row>
    <row r="13" ht="22.5" customHeight="1">
      <c r="A13" s="13" t="s">
        <v>179</v>
      </c>
      <c r="B13" s="13">
        <v>3.0</v>
      </c>
      <c r="C13" s="13">
        <v>11.0</v>
      </c>
      <c r="D13" s="10">
        <v>6.666666666666667</v>
      </c>
      <c r="E13" s="10">
        <v>0.0</v>
      </c>
    </row>
    <row r="14" ht="22.5" customHeight="1">
      <c r="A14" s="13" t="s">
        <v>13</v>
      </c>
      <c r="B14" s="13">
        <v>5.0</v>
      </c>
      <c r="C14" s="13">
        <v>20.0</v>
      </c>
      <c r="D14" s="10">
        <v>6.4</v>
      </c>
      <c r="E14" s="10">
        <v>0.0</v>
      </c>
    </row>
    <row r="15" ht="22.5" customHeight="1">
      <c r="A15" s="13" t="s">
        <v>106</v>
      </c>
      <c r="B15" s="13">
        <v>5.0</v>
      </c>
      <c r="C15" s="13">
        <v>20.0</v>
      </c>
      <c r="D15" s="10">
        <v>6.4</v>
      </c>
      <c r="E15" s="10">
        <v>0.2</v>
      </c>
    </row>
    <row r="16" ht="22.5" customHeight="1">
      <c r="A16" s="13" t="s">
        <v>77</v>
      </c>
      <c r="B16" s="13">
        <v>4.0</v>
      </c>
      <c r="C16" s="13">
        <v>15.0</v>
      </c>
      <c r="D16" s="10">
        <v>6.0</v>
      </c>
      <c r="E16" s="10">
        <v>0.0</v>
      </c>
    </row>
    <row r="17" ht="22.5" customHeight="1">
      <c r="A17" s="13" t="s">
        <v>87</v>
      </c>
      <c r="B17" s="13">
        <v>4.0</v>
      </c>
      <c r="C17" s="13">
        <v>15.0</v>
      </c>
      <c r="D17" s="10">
        <v>6.0</v>
      </c>
      <c r="E17" s="10">
        <v>0.75</v>
      </c>
    </row>
    <row r="18" ht="22.5" customHeight="1">
      <c r="A18" s="13" t="s">
        <v>302</v>
      </c>
      <c r="B18" s="13">
        <v>2.0</v>
      </c>
      <c r="C18" s="13">
        <v>8.0</v>
      </c>
      <c r="D18" s="10">
        <v>6.0</v>
      </c>
      <c r="E18" s="10">
        <v>0.0</v>
      </c>
    </row>
    <row r="19" ht="22.5" customHeight="1">
      <c r="A19" s="13" t="s">
        <v>66</v>
      </c>
      <c r="B19" s="13">
        <v>5.0</v>
      </c>
      <c r="C19" s="13">
        <v>20.0</v>
      </c>
      <c r="D19" s="10">
        <v>5.6</v>
      </c>
      <c r="E19" s="10">
        <v>0.0</v>
      </c>
    </row>
    <row r="20" ht="22.5" customHeight="1">
      <c r="A20" s="13" t="s">
        <v>144</v>
      </c>
      <c r="B20" s="13">
        <v>5.0</v>
      </c>
      <c r="C20" s="13">
        <v>20.0</v>
      </c>
      <c r="D20" s="10">
        <v>5.6</v>
      </c>
      <c r="E20" s="10">
        <v>0.0</v>
      </c>
    </row>
    <row r="21" ht="22.5" customHeight="1">
      <c r="A21" s="13" t="s">
        <v>195</v>
      </c>
      <c r="B21" s="13">
        <v>5.0</v>
      </c>
      <c r="C21" s="13">
        <v>21.0</v>
      </c>
      <c r="D21" s="10">
        <v>5.6</v>
      </c>
      <c r="E21" s="10">
        <v>0.2</v>
      </c>
    </row>
    <row r="22" ht="22.5" customHeight="1">
      <c r="A22" s="13" t="s">
        <v>210</v>
      </c>
      <c r="B22" s="13">
        <v>5.0</v>
      </c>
      <c r="C22" s="13">
        <v>20.0</v>
      </c>
      <c r="D22" s="10">
        <v>5.6</v>
      </c>
      <c r="E22" s="10">
        <v>0.0</v>
      </c>
    </row>
    <row r="23" ht="22.5" customHeight="1">
      <c r="A23" s="13" t="s">
        <v>149</v>
      </c>
      <c r="B23" s="13">
        <v>5.0</v>
      </c>
      <c r="C23" s="13">
        <v>19.0</v>
      </c>
      <c r="D23" s="10">
        <v>5.6</v>
      </c>
      <c r="E23" s="10">
        <v>0.0</v>
      </c>
    </row>
    <row r="24" ht="22.5" customHeight="1">
      <c r="A24" s="13" t="s">
        <v>99</v>
      </c>
      <c r="B24" s="13">
        <v>5.0</v>
      </c>
      <c r="C24" s="13">
        <v>19.0</v>
      </c>
      <c r="D24" s="10">
        <v>5.6</v>
      </c>
      <c r="E24" s="10">
        <v>0.2</v>
      </c>
    </row>
    <row r="25" ht="22.5" customHeight="1">
      <c r="A25" s="13" t="s">
        <v>98</v>
      </c>
      <c r="B25" s="13">
        <v>5.0</v>
      </c>
      <c r="C25" s="13">
        <v>20.0</v>
      </c>
      <c r="D25" s="10">
        <v>5.6</v>
      </c>
      <c r="E25" s="10">
        <v>0.0</v>
      </c>
    </row>
    <row r="26" ht="22.5" customHeight="1">
      <c r="A26" s="13" t="s">
        <v>271</v>
      </c>
      <c r="B26" s="13">
        <v>5.0</v>
      </c>
      <c r="C26" s="13">
        <v>20.0</v>
      </c>
      <c r="D26" s="10">
        <v>5.6</v>
      </c>
      <c r="E26" s="10">
        <v>0.0</v>
      </c>
    </row>
    <row r="27" ht="22.5" customHeight="1">
      <c r="A27" s="13" t="s">
        <v>113</v>
      </c>
      <c r="B27" s="13">
        <v>5.0</v>
      </c>
      <c r="C27" s="13">
        <v>20.0</v>
      </c>
      <c r="D27" s="10">
        <v>5.6</v>
      </c>
      <c r="E27" s="10">
        <v>0.0</v>
      </c>
    </row>
    <row r="28" ht="22.5" customHeight="1">
      <c r="A28" s="13" t="s">
        <v>252</v>
      </c>
      <c r="B28" s="13">
        <v>3.0</v>
      </c>
      <c r="C28" s="13">
        <v>11.0</v>
      </c>
      <c r="D28" s="10">
        <v>5.333333333333333</v>
      </c>
      <c r="E28" s="10">
        <v>0.0</v>
      </c>
    </row>
    <row r="29" ht="22.5" customHeight="1">
      <c r="A29" s="13" t="s">
        <v>261</v>
      </c>
      <c r="B29" s="13">
        <v>3.0</v>
      </c>
      <c r="C29" s="13">
        <v>12.0</v>
      </c>
      <c r="D29" s="10">
        <v>5.333333333333333</v>
      </c>
      <c r="E29" s="10">
        <v>0.0</v>
      </c>
    </row>
    <row r="30" ht="22.5" customHeight="1">
      <c r="A30" s="13" t="s">
        <v>276</v>
      </c>
      <c r="B30" s="13">
        <v>4.0</v>
      </c>
      <c r="C30" s="13">
        <v>13.0</v>
      </c>
      <c r="D30" s="10">
        <v>5.0</v>
      </c>
      <c r="E30" s="10">
        <v>0.0</v>
      </c>
    </row>
    <row r="31" ht="22.5" customHeight="1">
      <c r="A31" s="13" t="s">
        <v>8</v>
      </c>
      <c r="B31" s="13">
        <v>5.0</v>
      </c>
      <c r="C31" s="13">
        <v>20.0</v>
      </c>
      <c r="D31" s="10">
        <v>4.8</v>
      </c>
      <c r="E31" s="10">
        <v>0.8</v>
      </c>
    </row>
    <row r="32" ht="22.5" customHeight="1">
      <c r="A32" s="13" t="s">
        <v>117</v>
      </c>
      <c r="B32" s="13">
        <v>5.0</v>
      </c>
      <c r="C32" s="13">
        <v>20.0</v>
      </c>
      <c r="D32" s="10">
        <v>4.8</v>
      </c>
      <c r="E32" s="10">
        <v>0.0</v>
      </c>
    </row>
    <row r="33" ht="22.5" customHeight="1">
      <c r="A33" s="13" t="s">
        <v>190</v>
      </c>
      <c r="B33" s="13">
        <v>5.0</v>
      </c>
      <c r="C33" s="13">
        <v>20.0</v>
      </c>
      <c r="D33" s="10">
        <v>4.8</v>
      </c>
      <c r="E33" s="10">
        <v>0.2</v>
      </c>
    </row>
    <row r="34" ht="22.5" customHeight="1">
      <c r="A34" s="13" t="s">
        <v>52</v>
      </c>
      <c r="B34" s="13">
        <v>5.0</v>
      </c>
      <c r="C34" s="13">
        <v>20.0</v>
      </c>
      <c r="D34" s="10">
        <v>4.8</v>
      </c>
      <c r="E34" s="10">
        <v>0.2</v>
      </c>
    </row>
    <row r="35" ht="22.5" customHeight="1">
      <c r="A35" s="13" t="s">
        <v>127</v>
      </c>
      <c r="B35" s="13">
        <v>5.0</v>
      </c>
      <c r="C35" s="13">
        <v>19.0</v>
      </c>
      <c r="D35" s="10">
        <v>4.0</v>
      </c>
      <c r="E35" s="10">
        <v>0.0</v>
      </c>
    </row>
    <row r="36" ht="22.5" customHeight="1">
      <c r="A36" s="13" t="s">
        <v>139</v>
      </c>
      <c r="B36" s="13">
        <v>5.0</v>
      </c>
      <c r="C36" s="13">
        <v>20.0</v>
      </c>
      <c r="D36" s="10">
        <v>4.0</v>
      </c>
      <c r="E36" s="10">
        <v>0.2</v>
      </c>
    </row>
    <row r="37" ht="22.5" customHeight="1">
      <c r="A37" s="13" t="s">
        <v>169</v>
      </c>
      <c r="B37" s="13">
        <v>5.0</v>
      </c>
      <c r="C37" s="13">
        <v>20.0</v>
      </c>
      <c r="D37" s="10">
        <v>4.0</v>
      </c>
      <c r="E37" s="10">
        <v>0.0</v>
      </c>
    </row>
    <row r="38" ht="22.5" customHeight="1">
      <c r="A38" s="13" t="s">
        <v>174</v>
      </c>
      <c r="B38" s="13">
        <v>1.0</v>
      </c>
      <c r="C38" s="13">
        <v>4.0</v>
      </c>
      <c r="D38" s="10">
        <v>4.0</v>
      </c>
      <c r="E38" s="10">
        <v>0.0</v>
      </c>
    </row>
    <row r="39" ht="22.5" customHeight="1">
      <c r="A39" s="13" t="s">
        <v>200</v>
      </c>
      <c r="B39" s="13">
        <v>3.0</v>
      </c>
      <c r="C39" s="13">
        <v>12.0</v>
      </c>
      <c r="D39" s="10">
        <v>4.0</v>
      </c>
      <c r="E39" s="10">
        <v>0.0</v>
      </c>
    </row>
    <row r="40" ht="22.5" customHeight="1">
      <c r="A40" s="13" t="s">
        <v>70</v>
      </c>
      <c r="B40" s="13">
        <v>5.0</v>
      </c>
      <c r="C40" s="13">
        <v>19.0</v>
      </c>
      <c r="D40" s="10">
        <v>4.0</v>
      </c>
      <c r="E40" s="10">
        <v>0.2</v>
      </c>
    </row>
    <row r="41" ht="22.5" customHeight="1">
      <c r="A41" s="13" t="s">
        <v>205</v>
      </c>
      <c r="B41" s="13">
        <v>2.0</v>
      </c>
      <c r="C41" s="13">
        <v>8.0</v>
      </c>
      <c r="D41" s="10">
        <v>4.0</v>
      </c>
      <c r="E41" s="10">
        <v>0.0</v>
      </c>
    </row>
    <row r="42" ht="22.5" customHeight="1">
      <c r="A42" s="13" t="s">
        <v>233</v>
      </c>
      <c r="B42" s="13">
        <v>4.0</v>
      </c>
      <c r="C42" s="13">
        <v>16.0</v>
      </c>
      <c r="D42" s="10">
        <v>4.0</v>
      </c>
      <c r="E42" s="10">
        <v>0.25</v>
      </c>
    </row>
    <row r="43" ht="22.5" customHeight="1">
      <c r="A43" s="13" t="s">
        <v>284</v>
      </c>
      <c r="B43" s="13">
        <v>2.0</v>
      </c>
      <c r="C43" s="13">
        <v>8.0</v>
      </c>
      <c r="D43" s="10">
        <v>4.0</v>
      </c>
      <c r="E43" s="10">
        <v>0.0</v>
      </c>
    </row>
    <row r="44" ht="22.5" customHeight="1">
      <c r="A44" s="13" t="s">
        <v>304</v>
      </c>
      <c r="B44" s="13">
        <v>4.0</v>
      </c>
      <c r="C44" s="13">
        <v>16.0</v>
      </c>
      <c r="D44" s="10">
        <v>4.0</v>
      </c>
      <c r="E44" s="10">
        <v>0.25</v>
      </c>
    </row>
    <row r="45" ht="22.5" customHeight="1">
      <c r="A45" s="13" t="s">
        <v>317</v>
      </c>
      <c r="B45" s="13">
        <v>3.0</v>
      </c>
      <c r="C45" s="13">
        <v>11.0</v>
      </c>
      <c r="D45" s="10">
        <v>4.0</v>
      </c>
      <c r="E45" s="10">
        <v>0.0</v>
      </c>
    </row>
    <row r="46" ht="22.5" customHeight="1">
      <c r="A46" s="13" t="s">
        <v>256</v>
      </c>
      <c r="B46" s="13">
        <v>1.0</v>
      </c>
      <c r="C46" s="13">
        <v>4.0</v>
      </c>
      <c r="D46" s="10">
        <v>4.0</v>
      </c>
      <c r="E46" s="10">
        <v>0.0</v>
      </c>
    </row>
    <row r="47" ht="22.5" customHeight="1">
      <c r="A47" s="13" t="s">
        <v>119</v>
      </c>
      <c r="B47" s="13">
        <v>3.0</v>
      </c>
      <c r="C47" s="13">
        <v>11.0</v>
      </c>
      <c r="D47" s="10">
        <v>4.0</v>
      </c>
      <c r="E47" s="10">
        <v>0.0</v>
      </c>
    </row>
    <row r="48" ht="22.5" customHeight="1">
      <c r="A48" s="13" t="s">
        <v>131</v>
      </c>
      <c r="B48" s="13">
        <v>5.0</v>
      </c>
      <c r="C48" s="13">
        <v>20.0</v>
      </c>
      <c r="D48" s="10">
        <v>4.0</v>
      </c>
      <c r="E48" s="10">
        <v>0.0</v>
      </c>
    </row>
    <row r="49" ht="22.5" customHeight="1">
      <c r="A49" s="13" t="s">
        <v>231</v>
      </c>
      <c r="B49" s="13">
        <v>5.0</v>
      </c>
      <c r="C49" s="13">
        <v>20.0</v>
      </c>
      <c r="D49" s="10">
        <v>4.0</v>
      </c>
      <c r="E49" s="10">
        <v>0.0</v>
      </c>
    </row>
    <row r="50" ht="22.5" customHeight="1">
      <c r="A50" s="13" t="s">
        <v>74</v>
      </c>
      <c r="B50" s="13">
        <v>5.0</v>
      </c>
      <c r="C50" s="13">
        <v>20.0</v>
      </c>
      <c r="D50" s="10">
        <v>3.2</v>
      </c>
      <c r="E50" s="10">
        <v>0.0</v>
      </c>
    </row>
    <row r="51" ht="22.5" customHeight="1">
      <c r="A51" s="13" t="s">
        <v>62</v>
      </c>
      <c r="B51" s="13">
        <v>5.0</v>
      </c>
      <c r="C51" s="13">
        <v>20.0</v>
      </c>
      <c r="D51" s="10">
        <v>3.2</v>
      </c>
      <c r="E51" s="10">
        <v>0.2</v>
      </c>
    </row>
    <row r="52" ht="22.5" customHeight="1">
      <c r="A52" s="13" t="s">
        <v>80</v>
      </c>
      <c r="B52" s="13">
        <v>4.0</v>
      </c>
      <c r="C52" s="13">
        <v>15.0</v>
      </c>
      <c r="D52" s="10">
        <v>3.0</v>
      </c>
      <c r="E52" s="10">
        <v>0.0</v>
      </c>
    </row>
    <row r="53" ht="22.5" customHeight="1">
      <c r="A53" s="13" t="s">
        <v>141</v>
      </c>
      <c r="B53" s="13">
        <v>4.0</v>
      </c>
      <c r="C53" s="13">
        <v>15.0</v>
      </c>
      <c r="D53" s="10">
        <v>3.0</v>
      </c>
      <c r="E53" s="10">
        <v>0.0</v>
      </c>
    </row>
    <row r="54" ht="22.5" customHeight="1">
      <c r="A54" s="13" t="s">
        <v>278</v>
      </c>
      <c r="B54" s="13">
        <v>4.0</v>
      </c>
      <c r="C54" s="13">
        <v>16.0</v>
      </c>
      <c r="D54" s="10">
        <v>3.0</v>
      </c>
      <c r="E54" s="10">
        <v>0.25</v>
      </c>
    </row>
    <row r="55" ht="22.5" customHeight="1">
      <c r="A55" s="13" t="s">
        <v>299</v>
      </c>
      <c r="B55" s="13">
        <v>4.0</v>
      </c>
      <c r="C55" s="13">
        <v>16.0</v>
      </c>
      <c r="D55" s="10">
        <v>3.0</v>
      </c>
      <c r="E55" s="10">
        <v>0.25</v>
      </c>
    </row>
    <row r="56" ht="22.5" customHeight="1">
      <c r="A56" s="13" t="s">
        <v>327</v>
      </c>
      <c r="B56" s="13">
        <v>4.0</v>
      </c>
      <c r="C56" s="13">
        <v>16.0</v>
      </c>
      <c r="D56" s="10">
        <v>3.0</v>
      </c>
      <c r="E56" s="10">
        <v>0.0</v>
      </c>
    </row>
    <row r="57" ht="22.5" customHeight="1">
      <c r="A57" s="13" t="s">
        <v>245</v>
      </c>
      <c r="B57" s="13">
        <v>3.0</v>
      </c>
      <c r="C57" s="13">
        <v>12.0</v>
      </c>
      <c r="D57" s="10">
        <v>2.6666666666666665</v>
      </c>
      <c r="E57" s="10">
        <v>0.0</v>
      </c>
    </row>
    <row r="58" ht="22.5" customHeight="1">
      <c r="A58" s="13" t="s">
        <v>79</v>
      </c>
      <c r="B58" s="13">
        <v>5.0</v>
      </c>
      <c r="C58" s="13">
        <v>19.0</v>
      </c>
      <c r="D58" s="10">
        <v>2.4</v>
      </c>
      <c r="E58" s="10">
        <v>0.2</v>
      </c>
    </row>
    <row r="59" ht="22.5" customHeight="1">
      <c r="A59" s="13" t="s">
        <v>199</v>
      </c>
      <c r="B59" s="13">
        <v>5.0</v>
      </c>
      <c r="C59" s="13">
        <v>19.0</v>
      </c>
      <c r="D59" s="10">
        <v>2.4</v>
      </c>
      <c r="E59" s="10">
        <v>0.2</v>
      </c>
    </row>
    <row r="60" ht="22.5" customHeight="1">
      <c r="A60" s="13" t="s">
        <v>180</v>
      </c>
      <c r="B60" s="13">
        <v>5.0</v>
      </c>
      <c r="C60" s="13">
        <v>20.0</v>
      </c>
      <c r="D60" s="10">
        <v>2.4</v>
      </c>
      <c r="E60" s="10">
        <v>0.0</v>
      </c>
    </row>
    <row r="61" ht="22.5" customHeight="1">
      <c r="A61" s="13" t="s">
        <v>214</v>
      </c>
      <c r="B61" s="13">
        <v>5.0</v>
      </c>
      <c r="C61" s="13">
        <v>20.0</v>
      </c>
      <c r="D61" s="10">
        <v>2.4</v>
      </c>
      <c r="E61" s="10">
        <v>0.8</v>
      </c>
    </row>
    <row r="62" ht="22.5" customHeight="1">
      <c r="A62" s="13" t="s">
        <v>248</v>
      </c>
      <c r="B62" s="13">
        <v>5.0</v>
      </c>
      <c r="C62" s="13">
        <v>20.0</v>
      </c>
      <c r="D62" s="10">
        <v>2.4</v>
      </c>
      <c r="E62" s="10">
        <v>0.0</v>
      </c>
    </row>
    <row r="63" ht="22.5" customHeight="1">
      <c r="A63" s="13" t="s">
        <v>253</v>
      </c>
      <c r="B63" s="13">
        <v>5.0</v>
      </c>
      <c r="C63" s="13">
        <v>20.0</v>
      </c>
      <c r="D63" s="10">
        <v>2.4</v>
      </c>
      <c r="E63" s="10">
        <v>0.2</v>
      </c>
    </row>
    <row r="64" ht="22.5" customHeight="1">
      <c r="A64" s="13" t="s">
        <v>254</v>
      </c>
      <c r="B64" s="13">
        <v>5.0</v>
      </c>
      <c r="C64" s="13">
        <v>20.0</v>
      </c>
      <c r="D64" s="10">
        <v>2.4</v>
      </c>
      <c r="E64" s="10">
        <v>0.6</v>
      </c>
    </row>
    <row r="65" ht="22.5" customHeight="1">
      <c r="A65" s="13" t="s">
        <v>347</v>
      </c>
      <c r="B65" s="13">
        <v>5.0</v>
      </c>
      <c r="C65" s="13">
        <v>20.0</v>
      </c>
      <c r="D65" s="10">
        <v>2.4</v>
      </c>
      <c r="E65" s="10">
        <v>0.8</v>
      </c>
    </row>
    <row r="66" ht="22.5" customHeight="1">
      <c r="A66" s="13" t="s">
        <v>65</v>
      </c>
      <c r="B66" s="13">
        <v>2.0</v>
      </c>
      <c r="C66" s="13">
        <v>7.0</v>
      </c>
      <c r="D66" s="10">
        <v>2.0</v>
      </c>
      <c r="E66" s="10">
        <v>0.0</v>
      </c>
    </row>
    <row r="67" ht="22.5" customHeight="1">
      <c r="A67" s="13" t="s">
        <v>92</v>
      </c>
      <c r="B67" s="13">
        <v>4.0</v>
      </c>
      <c r="C67" s="13">
        <v>15.0</v>
      </c>
      <c r="D67" s="10">
        <v>2.0</v>
      </c>
      <c r="E67" s="10">
        <v>0.0</v>
      </c>
    </row>
    <row r="68" ht="22.5" customHeight="1">
      <c r="A68" s="13" t="s">
        <v>150</v>
      </c>
      <c r="B68" s="13">
        <v>4.0</v>
      </c>
      <c r="C68" s="13">
        <v>15.0</v>
      </c>
      <c r="D68" s="10">
        <v>2.0</v>
      </c>
      <c r="E68" s="10">
        <v>0.0</v>
      </c>
    </row>
    <row r="69" ht="22.5" customHeight="1">
      <c r="A69" s="13" t="s">
        <v>189</v>
      </c>
      <c r="B69" s="13">
        <v>4.0</v>
      </c>
      <c r="C69" s="13">
        <v>16.0</v>
      </c>
      <c r="D69" s="10">
        <v>2.0</v>
      </c>
      <c r="E69" s="10">
        <v>0.25</v>
      </c>
    </row>
    <row r="70" ht="22.5" customHeight="1">
      <c r="A70" s="13" t="s">
        <v>236</v>
      </c>
      <c r="B70" s="13">
        <v>2.0</v>
      </c>
      <c r="C70" s="13">
        <v>8.0</v>
      </c>
      <c r="D70" s="10">
        <v>2.0</v>
      </c>
      <c r="E70" s="10">
        <v>0.0</v>
      </c>
    </row>
    <row r="71" ht="22.5" customHeight="1">
      <c r="A71" s="13" t="s">
        <v>241</v>
      </c>
      <c r="B71" s="13">
        <v>2.0</v>
      </c>
      <c r="C71" s="13">
        <v>8.0</v>
      </c>
      <c r="D71" s="10">
        <v>2.0</v>
      </c>
      <c r="E71" s="10">
        <v>0.0</v>
      </c>
    </row>
    <row r="72" ht="22.5" customHeight="1">
      <c r="A72" s="13" t="s">
        <v>292</v>
      </c>
      <c r="B72" s="13">
        <v>2.0</v>
      </c>
      <c r="C72" s="13">
        <v>8.0</v>
      </c>
      <c r="D72" s="10">
        <v>2.0</v>
      </c>
      <c r="E72" s="10">
        <v>0.0</v>
      </c>
    </row>
    <row r="73" ht="22.5" customHeight="1">
      <c r="A73" s="13" t="s">
        <v>310</v>
      </c>
      <c r="B73" s="13">
        <v>2.0</v>
      </c>
      <c r="C73" s="13">
        <v>7.0</v>
      </c>
      <c r="D73" s="10">
        <v>2.0</v>
      </c>
      <c r="E73" s="10">
        <v>0.0</v>
      </c>
    </row>
    <row r="74" ht="22.5" customHeight="1">
      <c r="A74" s="13" t="s">
        <v>332</v>
      </c>
      <c r="B74" s="13">
        <v>2.0</v>
      </c>
      <c r="C74" s="13">
        <v>7.0</v>
      </c>
      <c r="D74" s="10">
        <v>2.0</v>
      </c>
      <c r="E74" s="10">
        <v>0.0</v>
      </c>
    </row>
    <row r="75" ht="22.5" customHeight="1">
      <c r="A75" s="13" t="s">
        <v>333</v>
      </c>
      <c r="B75" s="13">
        <v>4.0</v>
      </c>
      <c r="C75" s="13">
        <v>15.0</v>
      </c>
      <c r="D75" s="10">
        <v>2.0</v>
      </c>
      <c r="E75" s="10">
        <v>0.25</v>
      </c>
    </row>
    <row r="76" ht="22.5" customHeight="1">
      <c r="A76" s="13" t="s">
        <v>324</v>
      </c>
      <c r="B76" s="13">
        <v>4.0</v>
      </c>
      <c r="C76" s="13">
        <v>15.0</v>
      </c>
      <c r="D76" s="10">
        <v>2.0</v>
      </c>
      <c r="E76" s="10">
        <v>0.0</v>
      </c>
    </row>
    <row r="77" ht="22.5" customHeight="1">
      <c r="A77" s="13" t="s">
        <v>341</v>
      </c>
      <c r="B77" s="13">
        <v>2.0</v>
      </c>
      <c r="C77" s="13">
        <v>8.0</v>
      </c>
      <c r="D77" s="10">
        <v>2.0</v>
      </c>
      <c r="E77" s="10">
        <v>0.0</v>
      </c>
    </row>
    <row r="78" ht="22.5" customHeight="1">
      <c r="A78" s="13" t="s">
        <v>29</v>
      </c>
      <c r="B78" s="13">
        <v>5.0</v>
      </c>
      <c r="C78" s="13">
        <v>20.0</v>
      </c>
      <c r="D78" s="10">
        <v>1.6</v>
      </c>
      <c r="E78" s="10">
        <v>0.2</v>
      </c>
    </row>
    <row r="79" ht="22.5" customHeight="1">
      <c r="A79" s="13" t="s">
        <v>54</v>
      </c>
      <c r="B79" s="13">
        <v>5.0</v>
      </c>
      <c r="C79" s="13">
        <v>18.0</v>
      </c>
      <c r="D79" s="10">
        <v>1.6</v>
      </c>
      <c r="E79" s="10">
        <v>0.0</v>
      </c>
    </row>
    <row r="80" ht="22.5" customHeight="1">
      <c r="A80" s="13" t="s">
        <v>90</v>
      </c>
      <c r="B80" s="13">
        <v>5.0</v>
      </c>
      <c r="C80" s="13">
        <v>19.0</v>
      </c>
      <c r="D80" s="10">
        <v>1.6</v>
      </c>
      <c r="E80" s="10">
        <v>0.0</v>
      </c>
    </row>
    <row r="81" ht="22.5" customHeight="1">
      <c r="A81" s="13" t="s">
        <v>145</v>
      </c>
      <c r="B81" s="13">
        <v>5.0</v>
      </c>
      <c r="C81" s="13">
        <v>19.0</v>
      </c>
      <c r="D81" s="10">
        <v>1.6</v>
      </c>
      <c r="E81" s="10">
        <v>0.2</v>
      </c>
    </row>
    <row r="82" ht="22.5" customHeight="1">
      <c r="A82" s="13" t="s">
        <v>105</v>
      </c>
      <c r="B82" s="13">
        <v>5.0</v>
      </c>
      <c r="C82" s="13">
        <v>20.0</v>
      </c>
      <c r="D82" s="10">
        <v>1.6</v>
      </c>
      <c r="E82" s="10">
        <v>0.0</v>
      </c>
    </row>
    <row r="83" ht="22.5" customHeight="1">
      <c r="A83" s="13" t="s">
        <v>182</v>
      </c>
      <c r="B83" s="13">
        <v>5.0</v>
      </c>
      <c r="C83" s="13">
        <v>21.0</v>
      </c>
      <c r="D83" s="10">
        <v>1.6</v>
      </c>
      <c r="E83" s="10">
        <v>0.0</v>
      </c>
    </row>
    <row r="84" ht="22.5" customHeight="1">
      <c r="A84" s="13" t="s">
        <v>185</v>
      </c>
      <c r="B84" s="13">
        <v>5.0</v>
      </c>
      <c r="C84" s="13">
        <v>20.0</v>
      </c>
      <c r="D84" s="10">
        <v>1.6</v>
      </c>
      <c r="E84" s="10">
        <v>0.2</v>
      </c>
    </row>
    <row r="85" ht="22.5" customHeight="1">
      <c r="A85" s="13" t="s">
        <v>281</v>
      </c>
      <c r="B85" s="13">
        <v>5.0</v>
      </c>
      <c r="C85" s="13">
        <v>20.0</v>
      </c>
      <c r="D85" s="10">
        <v>1.6</v>
      </c>
      <c r="E85" s="10">
        <v>0.0</v>
      </c>
    </row>
    <row r="86" ht="22.5" customHeight="1">
      <c r="A86" s="13" t="s">
        <v>207</v>
      </c>
      <c r="B86" s="13">
        <v>5.0</v>
      </c>
      <c r="C86" s="13">
        <v>20.0</v>
      </c>
      <c r="D86" s="10">
        <v>1.6</v>
      </c>
      <c r="E86" s="10">
        <v>0.2</v>
      </c>
    </row>
    <row r="87" ht="22.5" customHeight="1">
      <c r="A87" s="13" t="s">
        <v>129</v>
      </c>
      <c r="B87" s="13">
        <v>5.0</v>
      </c>
      <c r="C87" s="13">
        <v>20.0</v>
      </c>
      <c r="D87" s="10">
        <v>1.6</v>
      </c>
      <c r="E87" s="10">
        <v>0.0</v>
      </c>
    </row>
    <row r="88" ht="22.5" customHeight="1">
      <c r="A88" s="13" t="s">
        <v>337</v>
      </c>
      <c r="B88" s="13">
        <v>5.0</v>
      </c>
      <c r="C88" s="13">
        <v>20.0</v>
      </c>
      <c r="D88" s="10">
        <v>1.6</v>
      </c>
      <c r="E88" s="10">
        <v>0.6</v>
      </c>
    </row>
    <row r="89" ht="22.5" customHeight="1">
      <c r="A89" s="13" t="s">
        <v>314</v>
      </c>
      <c r="B89" s="13">
        <v>3.0</v>
      </c>
      <c r="C89" s="13">
        <v>12.0</v>
      </c>
      <c r="D89" s="10">
        <v>1.3333333333333333</v>
      </c>
      <c r="E89" s="10">
        <v>0.0</v>
      </c>
    </row>
    <row r="90" ht="22.5" customHeight="1">
      <c r="A90" s="13" t="s">
        <v>162</v>
      </c>
      <c r="B90" s="13">
        <v>4.0</v>
      </c>
      <c r="C90" s="13">
        <v>16.0</v>
      </c>
      <c r="D90" s="10">
        <v>1.0</v>
      </c>
      <c r="E90" s="10">
        <v>0.0</v>
      </c>
    </row>
    <row r="91" ht="22.5" customHeight="1">
      <c r="A91" s="13" t="s">
        <v>223</v>
      </c>
      <c r="B91" s="13">
        <v>4.0</v>
      </c>
      <c r="C91" s="13">
        <v>16.0</v>
      </c>
      <c r="D91" s="10">
        <v>1.0</v>
      </c>
      <c r="E91" s="10">
        <v>0.0</v>
      </c>
    </row>
    <row r="92" ht="22.5" customHeight="1">
      <c r="A92" s="13" t="s">
        <v>291</v>
      </c>
      <c r="B92" s="13">
        <v>4.0</v>
      </c>
      <c r="C92" s="13">
        <v>16.0</v>
      </c>
      <c r="D92" s="10">
        <v>1.0</v>
      </c>
      <c r="E92" s="10">
        <v>0.0</v>
      </c>
    </row>
    <row r="93" ht="22.5" customHeight="1">
      <c r="A93" s="13" t="s">
        <v>322</v>
      </c>
      <c r="B93" s="13">
        <v>4.0</v>
      </c>
      <c r="C93" s="13">
        <v>16.0</v>
      </c>
      <c r="D93" s="10">
        <v>1.0</v>
      </c>
      <c r="E93" s="10">
        <v>0.0</v>
      </c>
    </row>
    <row r="94" ht="22.5" customHeight="1">
      <c r="A94" s="13" t="s">
        <v>17</v>
      </c>
      <c r="B94" s="13">
        <v>5.0</v>
      </c>
      <c r="C94" s="13">
        <v>20.0</v>
      </c>
      <c r="D94" s="10">
        <v>0.8</v>
      </c>
      <c r="E94" s="10">
        <v>0.0</v>
      </c>
    </row>
    <row r="95" ht="22.5" customHeight="1">
      <c r="A95" s="13" t="s">
        <v>40</v>
      </c>
      <c r="B95" s="13">
        <v>5.0</v>
      </c>
      <c r="C95" s="13">
        <v>20.0</v>
      </c>
      <c r="D95" s="10">
        <v>0.8</v>
      </c>
      <c r="E95" s="10">
        <v>0.4</v>
      </c>
    </row>
    <row r="96" ht="22.5" customHeight="1">
      <c r="A96" s="13" t="s">
        <v>46</v>
      </c>
      <c r="B96" s="13">
        <v>5.0</v>
      </c>
      <c r="C96" s="13">
        <v>20.0</v>
      </c>
      <c r="D96" s="10">
        <v>0.8</v>
      </c>
      <c r="E96" s="10">
        <v>0.0</v>
      </c>
    </row>
    <row r="97" ht="22.5" customHeight="1">
      <c r="A97" s="13" t="s">
        <v>75</v>
      </c>
      <c r="B97" s="13">
        <v>5.0</v>
      </c>
      <c r="C97" s="13">
        <v>19.0</v>
      </c>
      <c r="D97" s="10">
        <v>0.8</v>
      </c>
      <c r="E97" s="10">
        <v>0.0</v>
      </c>
    </row>
    <row r="98" ht="22.5" customHeight="1">
      <c r="A98" s="13" t="s">
        <v>124</v>
      </c>
      <c r="B98" s="13">
        <v>5.0</v>
      </c>
      <c r="C98" s="13">
        <v>19.0</v>
      </c>
      <c r="D98" s="10">
        <v>0.8</v>
      </c>
      <c r="E98" s="10">
        <v>0.0</v>
      </c>
    </row>
    <row r="99" ht="22.5" customHeight="1">
      <c r="A99" s="13" t="s">
        <v>161</v>
      </c>
      <c r="B99" s="13">
        <v>5.0</v>
      </c>
      <c r="C99" s="13">
        <v>19.0</v>
      </c>
      <c r="D99" s="10">
        <v>0.8</v>
      </c>
      <c r="E99" s="10">
        <v>0.0</v>
      </c>
    </row>
    <row r="100" ht="22.5" customHeight="1">
      <c r="A100" s="13" t="s">
        <v>209</v>
      </c>
      <c r="B100" s="13">
        <v>5.0</v>
      </c>
      <c r="C100" s="13">
        <v>20.0</v>
      </c>
      <c r="D100" s="10">
        <v>0.8</v>
      </c>
      <c r="E100" s="10">
        <v>0.0</v>
      </c>
    </row>
    <row r="101" ht="22.5" customHeight="1">
      <c r="A101" s="13" t="s">
        <v>227</v>
      </c>
      <c r="B101" s="13">
        <v>5.0</v>
      </c>
      <c r="C101" s="13">
        <v>19.0</v>
      </c>
      <c r="D101" s="10">
        <v>0.8</v>
      </c>
      <c r="E101" s="10">
        <v>0.0</v>
      </c>
    </row>
    <row r="102" ht="22.5" customHeight="1">
      <c r="A102" s="13" t="s">
        <v>202</v>
      </c>
      <c r="B102" s="13">
        <v>5.0</v>
      </c>
      <c r="C102" s="13">
        <v>19.0</v>
      </c>
      <c r="D102" s="10">
        <v>0.8</v>
      </c>
      <c r="E102" s="10">
        <v>0.0</v>
      </c>
    </row>
    <row r="103" ht="22.5" customHeight="1">
      <c r="A103" s="13" t="s">
        <v>255</v>
      </c>
      <c r="B103" s="13">
        <v>5.0</v>
      </c>
      <c r="C103" s="13">
        <v>20.0</v>
      </c>
      <c r="D103" s="10">
        <v>0.8</v>
      </c>
      <c r="E103" s="10">
        <v>0.0</v>
      </c>
    </row>
    <row r="104" ht="22.5" customHeight="1">
      <c r="A104" s="13" t="s">
        <v>228</v>
      </c>
      <c r="B104" s="13">
        <v>5.0</v>
      </c>
      <c r="C104" s="13">
        <v>17.0</v>
      </c>
      <c r="D104" s="10">
        <v>0.8</v>
      </c>
      <c r="E104" s="10">
        <v>0.0</v>
      </c>
    </row>
    <row r="105" ht="22.5" customHeight="1">
      <c r="A105" s="13" t="s">
        <v>267</v>
      </c>
      <c r="B105" s="13">
        <v>5.0</v>
      </c>
      <c r="C105" s="13">
        <v>20.0</v>
      </c>
      <c r="D105" s="10">
        <v>0.8</v>
      </c>
      <c r="E105" s="10">
        <v>0.0</v>
      </c>
    </row>
    <row r="106" ht="22.5" customHeight="1">
      <c r="A106" s="13" t="s">
        <v>269</v>
      </c>
      <c r="B106" s="13">
        <v>5.0</v>
      </c>
      <c r="C106" s="13">
        <v>20.0</v>
      </c>
      <c r="D106" s="10">
        <v>0.8</v>
      </c>
      <c r="E106" s="10">
        <v>0.0</v>
      </c>
    </row>
    <row r="107" ht="22.5" customHeight="1">
      <c r="A107" s="13" t="s">
        <v>323</v>
      </c>
      <c r="B107" s="13">
        <v>5.0</v>
      </c>
      <c r="C107" s="13">
        <v>20.0</v>
      </c>
      <c r="D107" s="10">
        <v>0.8</v>
      </c>
      <c r="E107" s="10">
        <v>0.0</v>
      </c>
    </row>
    <row r="108" ht="22.5" customHeight="1">
      <c r="A108" s="13" t="s">
        <v>346</v>
      </c>
      <c r="B108" s="13">
        <v>5.0</v>
      </c>
      <c r="C108" s="13">
        <v>20.0</v>
      </c>
      <c r="D108" s="10">
        <v>0.8</v>
      </c>
      <c r="E108" s="10">
        <v>0.0</v>
      </c>
    </row>
    <row r="109" ht="22.5" customHeight="1">
      <c r="A109" s="13" t="s">
        <v>188</v>
      </c>
      <c r="B109" s="13">
        <v>5.0</v>
      </c>
      <c r="C109" s="13">
        <v>20.0</v>
      </c>
      <c r="D109" s="10">
        <v>0.8</v>
      </c>
      <c r="E109" s="10">
        <v>0.0</v>
      </c>
    </row>
    <row r="110" ht="22.5" customHeight="1">
      <c r="A110" s="13" t="s">
        <v>0</v>
      </c>
      <c r="B110" s="13">
        <v>1.0</v>
      </c>
      <c r="C110" s="13">
        <v>4.0</v>
      </c>
      <c r="D110" s="10">
        <v>0.0</v>
      </c>
      <c r="E110" s="10">
        <v>0.0</v>
      </c>
    </row>
    <row r="111" ht="22.5" customHeight="1">
      <c r="A111" s="13" t="s">
        <v>2</v>
      </c>
      <c r="B111" s="13">
        <v>5.0</v>
      </c>
      <c r="C111" s="13">
        <v>20.0</v>
      </c>
      <c r="D111" s="10">
        <v>0.0</v>
      </c>
      <c r="E111" s="10">
        <v>0.0</v>
      </c>
    </row>
    <row r="112" ht="22.5" customHeight="1">
      <c r="A112" s="13" t="s">
        <v>5</v>
      </c>
      <c r="B112" s="13">
        <v>5.0</v>
      </c>
      <c r="C112" s="13">
        <v>20.0</v>
      </c>
      <c r="D112" s="10">
        <v>0.0</v>
      </c>
      <c r="E112" s="10">
        <v>0.0</v>
      </c>
    </row>
    <row r="113" ht="22.5" customHeight="1">
      <c r="A113" s="13" t="s">
        <v>11</v>
      </c>
      <c r="B113" s="13">
        <v>4.0</v>
      </c>
      <c r="C113" s="13">
        <v>16.0</v>
      </c>
      <c r="D113" s="10">
        <v>0.0</v>
      </c>
      <c r="E113" s="10">
        <v>0.0</v>
      </c>
    </row>
    <row r="114" ht="22.5" customHeight="1">
      <c r="A114" s="13" t="s">
        <v>12</v>
      </c>
      <c r="B114" s="13">
        <v>3.0</v>
      </c>
      <c r="C114" s="13">
        <v>12.0</v>
      </c>
      <c r="D114" s="10">
        <v>0.0</v>
      </c>
      <c r="E114" s="10">
        <v>0.0</v>
      </c>
    </row>
    <row r="115" ht="22.5" customHeight="1">
      <c r="A115" s="13" t="s">
        <v>15</v>
      </c>
      <c r="B115" s="13">
        <v>5.0</v>
      </c>
      <c r="C115" s="13">
        <v>20.0</v>
      </c>
      <c r="D115" s="10">
        <v>0.0</v>
      </c>
      <c r="E115" s="10">
        <v>0.0</v>
      </c>
    </row>
    <row r="116" ht="22.5" customHeight="1">
      <c r="A116" s="13" t="s">
        <v>20</v>
      </c>
      <c r="B116" s="13">
        <v>2.0</v>
      </c>
      <c r="C116" s="13">
        <v>8.0</v>
      </c>
      <c r="D116" s="10">
        <v>0.0</v>
      </c>
      <c r="E116" s="10">
        <v>0.0</v>
      </c>
    </row>
    <row r="117" ht="22.5" customHeight="1">
      <c r="A117" s="13" t="s">
        <v>24</v>
      </c>
      <c r="B117" s="13">
        <v>2.0</v>
      </c>
      <c r="C117" s="13">
        <v>8.0</v>
      </c>
      <c r="D117" s="10">
        <v>0.0</v>
      </c>
      <c r="E117" s="10">
        <v>0.0</v>
      </c>
    </row>
    <row r="118" ht="22.5" customHeight="1">
      <c r="A118" s="13" t="s">
        <v>38</v>
      </c>
      <c r="B118" s="13">
        <v>3.0</v>
      </c>
      <c r="C118" s="13">
        <v>12.0</v>
      </c>
      <c r="D118" s="10">
        <v>0.0</v>
      </c>
      <c r="E118" s="10">
        <v>0.0</v>
      </c>
    </row>
    <row r="119" ht="22.5" customHeight="1">
      <c r="A119" s="13" t="s">
        <v>51</v>
      </c>
      <c r="B119" s="13">
        <v>4.0</v>
      </c>
      <c r="C119" s="13">
        <v>15.0</v>
      </c>
      <c r="D119" s="10">
        <v>0.0</v>
      </c>
      <c r="E119" s="10">
        <v>0.0</v>
      </c>
    </row>
    <row r="120" ht="22.5" customHeight="1">
      <c r="A120" s="13" t="s">
        <v>55</v>
      </c>
      <c r="B120" s="13">
        <v>2.0</v>
      </c>
      <c r="C120" s="13">
        <v>7.0</v>
      </c>
      <c r="D120" s="10">
        <v>0.0</v>
      </c>
      <c r="E120" s="10">
        <v>0.0</v>
      </c>
    </row>
    <row r="121" ht="22.5" customHeight="1">
      <c r="A121" s="13" t="s">
        <v>59</v>
      </c>
      <c r="B121" s="13">
        <v>5.0</v>
      </c>
      <c r="C121" s="13">
        <v>18.0</v>
      </c>
      <c r="D121" s="10">
        <v>0.0</v>
      </c>
      <c r="E121" s="10">
        <v>0.0</v>
      </c>
    </row>
    <row r="122" ht="22.5" customHeight="1">
      <c r="A122" s="13" t="s">
        <v>61</v>
      </c>
      <c r="B122" s="13">
        <v>5.0</v>
      </c>
      <c r="C122" s="13">
        <v>18.0</v>
      </c>
      <c r="D122" s="10">
        <v>0.0</v>
      </c>
      <c r="E122" s="10">
        <v>0.0</v>
      </c>
    </row>
    <row r="123" ht="22.5" customHeight="1">
      <c r="A123" s="13" t="s">
        <v>68</v>
      </c>
      <c r="B123" s="13">
        <v>5.0</v>
      </c>
      <c r="C123" s="13">
        <v>19.0</v>
      </c>
      <c r="D123" s="10">
        <v>0.0</v>
      </c>
      <c r="E123" s="10">
        <v>0.0</v>
      </c>
    </row>
    <row r="124" ht="22.5" customHeight="1">
      <c r="A124" s="13" t="s">
        <v>71</v>
      </c>
      <c r="B124" s="13">
        <v>5.0</v>
      </c>
      <c r="C124" s="13">
        <v>19.0</v>
      </c>
      <c r="D124" s="10">
        <v>0.0</v>
      </c>
      <c r="E124" s="10">
        <v>0.0</v>
      </c>
    </row>
    <row r="125" ht="22.5" customHeight="1">
      <c r="A125" s="13" t="s">
        <v>73</v>
      </c>
      <c r="B125" s="13">
        <v>3.0</v>
      </c>
      <c r="C125" s="13">
        <v>12.0</v>
      </c>
      <c r="D125" s="10">
        <v>0.0</v>
      </c>
      <c r="E125" s="10">
        <v>0.0</v>
      </c>
    </row>
    <row r="126" ht="22.5" customHeight="1">
      <c r="A126" s="13" t="s">
        <v>85</v>
      </c>
      <c r="B126" s="13">
        <v>1.0</v>
      </c>
      <c r="C126" s="13">
        <v>4.0</v>
      </c>
      <c r="D126" s="10">
        <v>0.0</v>
      </c>
      <c r="E126" s="10">
        <v>0.0</v>
      </c>
    </row>
    <row r="127" ht="22.5" customHeight="1">
      <c r="A127" s="13" t="s">
        <v>88</v>
      </c>
      <c r="B127" s="13">
        <v>3.0</v>
      </c>
      <c r="C127" s="13">
        <v>11.0</v>
      </c>
      <c r="D127" s="10">
        <v>0.0</v>
      </c>
      <c r="E127" s="10">
        <v>0.0</v>
      </c>
    </row>
    <row r="128" ht="22.5" customHeight="1">
      <c r="A128" s="13" t="s">
        <v>76</v>
      </c>
      <c r="B128" s="13">
        <v>1.0</v>
      </c>
      <c r="C128" s="13">
        <v>4.0</v>
      </c>
      <c r="D128" s="10">
        <v>0.0</v>
      </c>
      <c r="E128" s="10">
        <v>0.0</v>
      </c>
    </row>
    <row r="129" ht="22.5" customHeight="1">
      <c r="A129" s="13" t="s">
        <v>96</v>
      </c>
      <c r="B129" s="13">
        <v>5.0</v>
      </c>
      <c r="C129" s="13">
        <v>19.0</v>
      </c>
      <c r="D129" s="10">
        <v>0.0</v>
      </c>
      <c r="E129" s="10">
        <v>0.4</v>
      </c>
    </row>
    <row r="130" ht="22.5" customHeight="1">
      <c r="A130" s="13" t="s">
        <v>100</v>
      </c>
      <c r="B130" s="13">
        <v>4.0</v>
      </c>
      <c r="C130" s="13">
        <v>15.0</v>
      </c>
      <c r="D130" s="10">
        <v>0.0</v>
      </c>
      <c r="E130" s="10">
        <v>0.0</v>
      </c>
    </row>
    <row r="131" ht="22.5" customHeight="1">
      <c r="A131" s="13" t="s">
        <v>102</v>
      </c>
      <c r="B131" s="13">
        <v>2.0</v>
      </c>
      <c r="C131" s="13">
        <v>8.0</v>
      </c>
      <c r="D131" s="10">
        <v>0.0</v>
      </c>
      <c r="E131" s="10">
        <v>0.0</v>
      </c>
    </row>
    <row r="132" ht="22.5" customHeight="1">
      <c r="A132" s="13" t="s">
        <v>108</v>
      </c>
      <c r="B132" s="13">
        <v>2.0</v>
      </c>
      <c r="C132" s="13">
        <v>8.0</v>
      </c>
      <c r="D132" s="10">
        <v>0.0</v>
      </c>
      <c r="E132" s="10">
        <v>0.0</v>
      </c>
    </row>
    <row r="133" ht="22.5" customHeight="1">
      <c r="A133" s="13" t="s">
        <v>109</v>
      </c>
      <c r="B133" s="13">
        <v>2.0</v>
      </c>
      <c r="C133" s="13">
        <v>8.0</v>
      </c>
      <c r="D133" s="10">
        <v>0.0</v>
      </c>
      <c r="E133" s="10">
        <v>0.0</v>
      </c>
    </row>
    <row r="134" ht="22.5" customHeight="1">
      <c r="A134" s="13" t="s">
        <v>110</v>
      </c>
      <c r="B134" s="13">
        <v>1.0</v>
      </c>
      <c r="C134" s="13">
        <v>4.0</v>
      </c>
      <c r="D134" s="10">
        <v>0.0</v>
      </c>
      <c r="E134" s="10">
        <v>0.0</v>
      </c>
    </row>
    <row r="135" ht="22.5" customHeight="1">
      <c r="A135" s="13" t="s">
        <v>111</v>
      </c>
      <c r="B135" s="13">
        <v>5.0</v>
      </c>
      <c r="C135" s="13">
        <v>20.0</v>
      </c>
      <c r="D135" s="10">
        <v>0.0</v>
      </c>
      <c r="E135" s="10">
        <v>0.0</v>
      </c>
    </row>
    <row r="136" ht="22.5" customHeight="1">
      <c r="A136" s="13" t="s">
        <v>115</v>
      </c>
      <c r="B136" s="13">
        <v>5.0</v>
      </c>
      <c r="C136" s="13">
        <v>20.0</v>
      </c>
      <c r="D136" s="10">
        <v>0.0</v>
      </c>
      <c r="E136" s="10">
        <v>0.0</v>
      </c>
    </row>
    <row r="137" ht="22.5" customHeight="1">
      <c r="A137" s="13" t="s">
        <v>123</v>
      </c>
      <c r="B137" s="13">
        <v>3.0</v>
      </c>
      <c r="C137" s="13">
        <v>11.0</v>
      </c>
      <c r="D137" s="10">
        <v>0.0</v>
      </c>
      <c r="E137" s="10">
        <v>0.0</v>
      </c>
    </row>
    <row r="138" ht="22.5" customHeight="1">
      <c r="A138" s="13" t="s">
        <v>128</v>
      </c>
      <c r="B138" s="13">
        <v>5.0</v>
      </c>
      <c r="C138" s="13">
        <v>19.0</v>
      </c>
      <c r="D138" s="10">
        <v>0.0</v>
      </c>
      <c r="E138" s="10">
        <v>0.0</v>
      </c>
    </row>
    <row r="139" ht="22.5" customHeight="1">
      <c r="A139" s="13" t="s">
        <v>130</v>
      </c>
      <c r="B139" s="13">
        <v>4.0</v>
      </c>
      <c r="C139" s="13">
        <v>16.0</v>
      </c>
      <c r="D139" s="10">
        <v>0.0</v>
      </c>
      <c r="E139" s="10">
        <v>0.0</v>
      </c>
    </row>
    <row r="140" ht="22.5" customHeight="1">
      <c r="A140" s="13" t="s">
        <v>132</v>
      </c>
      <c r="B140" s="13">
        <v>4.0</v>
      </c>
      <c r="C140" s="13">
        <v>15.0</v>
      </c>
      <c r="D140" s="10">
        <v>0.0</v>
      </c>
      <c r="E140" s="10">
        <v>0.0</v>
      </c>
    </row>
    <row r="141" ht="22.5" customHeight="1">
      <c r="A141" s="13" t="s">
        <v>137</v>
      </c>
      <c r="B141" s="13">
        <v>2.0</v>
      </c>
      <c r="C141" s="13">
        <v>7.0</v>
      </c>
      <c r="D141" s="10">
        <v>0.0</v>
      </c>
      <c r="E141" s="10">
        <v>0.0</v>
      </c>
    </row>
    <row r="142" ht="22.5" customHeight="1">
      <c r="A142" s="13" t="s">
        <v>142</v>
      </c>
      <c r="B142" s="13">
        <v>1.0</v>
      </c>
      <c r="C142" s="13">
        <v>4.0</v>
      </c>
      <c r="D142" s="10">
        <v>0.0</v>
      </c>
      <c r="E142" s="10">
        <v>0.0</v>
      </c>
    </row>
    <row r="143" ht="22.5" customHeight="1">
      <c r="A143" s="13" t="s">
        <v>147</v>
      </c>
      <c r="B143" s="13">
        <v>5.0</v>
      </c>
      <c r="C143" s="13">
        <v>20.0</v>
      </c>
      <c r="D143" s="10">
        <v>0.0</v>
      </c>
      <c r="E143" s="10">
        <v>0.0</v>
      </c>
    </row>
    <row r="144" ht="22.5" customHeight="1">
      <c r="A144" s="13" t="s">
        <v>125</v>
      </c>
      <c r="B144" s="13">
        <v>4.0</v>
      </c>
      <c r="C144" s="13">
        <v>16.0</v>
      </c>
      <c r="D144" s="10">
        <v>0.0</v>
      </c>
      <c r="E144" s="10">
        <v>0.0</v>
      </c>
    </row>
    <row r="145" ht="22.5" customHeight="1">
      <c r="A145" s="13" t="s">
        <v>151</v>
      </c>
      <c r="B145" s="13">
        <v>1.0</v>
      </c>
      <c r="C145" s="13">
        <v>3.0</v>
      </c>
      <c r="D145" s="10">
        <v>0.0</v>
      </c>
      <c r="E145" s="10">
        <v>0.0</v>
      </c>
    </row>
    <row r="146" ht="22.5" customHeight="1">
      <c r="A146" s="13" t="s">
        <v>152</v>
      </c>
      <c r="B146" s="13">
        <v>4.0</v>
      </c>
      <c r="C146" s="13">
        <v>15.0</v>
      </c>
      <c r="D146" s="10">
        <v>0.0</v>
      </c>
      <c r="E146" s="10">
        <v>0.0</v>
      </c>
    </row>
    <row r="147" ht="22.5" customHeight="1">
      <c r="A147" s="13" t="s">
        <v>156</v>
      </c>
      <c r="B147" s="13">
        <v>3.0</v>
      </c>
      <c r="C147" s="13">
        <v>11.0</v>
      </c>
      <c r="D147" s="10">
        <v>0.0</v>
      </c>
      <c r="E147" s="10">
        <v>0.0</v>
      </c>
    </row>
    <row r="148" ht="22.5" customHeight="1">
      <c r="A148" s="13" t="s">
        <v>160</v>
      </c>
      <c r="B148" s="13">
        <v>1.0</v>
      </c>
      <c r="C148" s="13">
        <v>4.0</v>
      </c>
      <c r="D148" s="10">
        <v>0.0</v>
      </c>
      <c r="E148" s="10">
        <v>0.0</v>
      </c>
    </row>
    <row r="149" ht="22.5" customHeight="1">
      <c r="A149" s="13" t="s">
        <v>165</v>
      </c>
      <c r="B149" s="13">
        <v>5.0</v>
      </c>
      <c r="C149" s="13">
        <v>20.0</v>
      </c>
      <c r="D149" s="10">
        <v>0.0</v>
      </c>
      <c r="E149" s="10">
        <v>0.0</v>
      </c>
    </row>
    <row r="150" ht="22.5" customHeight="1">
      <c r="A150" s="13" t="s">
        <v>167</v>
      </c>
      <c r="B150" s="13">
        <v>1.0</v>
      </c>
      <c r="C150" s="13">
        <v>4.0</v>
      </c>
      <c r="D150" s="10">
        <v>0.0</v>
      </c>
      <c r="E150" s="10">
        <v>0.0</v>
      </c>
    </row>
    <row r="151" ht="22.5" customHeight="1">
      <c r="A151" s="13" t="s">
        <v>171</v>
      </c>
      <c r="B151" s="13">
        <v>3.0</v>
      </c>
      <c r="C151" s="13">
        <v>12.0</v>
      </c>
      <c r="D151" s="10">
        <v>0.0</v>
      </c>
      <c r="E151" s="10">
        <v>0.0</v>
      </c>
    </row>
    <row r="152" ht="22.5" customHeight="1">
      <c r="A152" s="13" t="s">
        <v>176</v>
      </c>
      <c r="B152" s="13">
        <v>1.0</v>
      </c>
      <c r="C152" s="13">
        <v>4.0</v>
      </c>
      <c r="D152" s="10">
        <v>0.0</v>
      </c>
      <c r="E152" s="10">
        <v>0.0</v>
      </c>
    </row>
    <row r="153" ht="22.5" customHeight="1">
      <c r="A153" s="13" t="s">
        <v>177</v>
      </c>
      <c r="B153" s="13">
        <v>1.0</v>
      </c>
      <c r="C153" s="13">
        <v>4.0</v>
      </c>
      <c r="D153" s="10">
        <v>0.0</v>
      </c>
      <c r="E153" s="10">
        <v>0.0</v>
      </c>
    </row>
    <row r="154" ht="22.5" customHeight="1">
      <c r="A154" s="13" t="s">
        <v>178</v>
      </c>
      <c r="B154" s="13">
        <v>5.0</v>
      </c>
      <c r="C154" s="13">
        <v>19.0</v>
      </c>
      <c r="D154" s="10">
        <v>0.0</v>
      </c>
      <c r="E154" s="10">
        <v>0.0</v>
      </c>
    </row>
    <row r="155" ht="22.5" customHeight="1">
      <c r="A155" s="13" t="s">
        <v>181</v>
      </c>
      <c r="B155" s="13">
        <v>2.0</v>
      </c>
      <c r="C155" s="13">
        <v>8.0</v>
      </c>
      <c r="D155" s="10">
        <v>0.0</v>
      </c>
      <c r="E155" s="10">
        <v>0.0</v>
      </c>
    </row>
    <row r="156" ht="22.5" customHeight="1">
      <c r="A156" s="13" t="s">
        <v>183</v>
      </c>
      <c r="B156" s="13">
        <v>5.0</v>
      </c>
      <c r="C156" s="13">
        <v>19.0</v>
      </c>
      <c r="D156" s="10">
        <v>0.0</v>
      </c>
      <c r="E156" s="10">
        <v>0.0</v>
      </c>
    </row>
    <row r="157" ht="22.5" customHeight="1">
      <c r="A157" s="13" t="s">
        <v>184</v>
      </c>
      <c r="B157" s="13">
        <v>5.0</v>
      </c>
      <c r="C157" s="13">
        <v>19.0</v>
      </c>
      <c r="D157" s="10">
        <v>0.0</v>
      </c>
      <c r="E157" s="10">
        <v>0.0</v>
      </c>
    </row>
    <row r="158" ht="22.5" customHeight="1">
      <c r="A158" s="13" t="s">
        <v>196</v>
      </c>
      <c r="B158" s="13">
        <v>1.0</v>
      </c>
      <c r="C158" s="13">
        <v>4.0</v>
      </c>
      <c r="D158" s="10">
        <v>0.0</v>
      </c>
      <c r="E158" s="10">
        <v>0.0</v>
      </c>
    </row>
    <row r="159" ht="22.5" customHeight="1">
      <c r="A159" s="13" t="s">
        <v>198</v>
      </c>
      <c r="B159" s="13">
        <v>2.0</v>
      </c>
      <c r="C159" s="13">
        <v>8.0</v>
      </c>
      <c r="D159" s="10">
        <v>0.0</v>
      </c>
      <c r="E159" s="10">
        <v>0.0</v>
      </c>
    </row>
    <row r="160" ht="22.5" customHeight="1">
      <c r="A160" s="13" t="s">
        <v>187</v>
      </c>
      <c r="B160" s="13">
        <v>3.0</v>
      </c>
      <c r="C160" s="13">
        <v>12.0</v>
      </c>
      <c r="D160" s="10">
        <v>0.0</v>
      </c>
      <c r="E160" s="10">
        <v>0.0</v>
      </c>
    </row>
    <row r="161" ht="22.5" customHeight="1">
      <c r="A161" s="13" t="s">
        <v>191</v>
      </c>
      <c r="B161" s="13">
        <v>4.0</v>
      </c>
      <c r="C161" s="13">
        <v>17.0</v>
      </c>
      <c r="D161" s="10">
        <v>0.0</v>
      </c>
      <c r="E161" s="10">
        <v>0.0</v>
      </c>
    </row>
    <row r="162" ht="22.5" customHeight="1">
      <c r="A162" s="13" t="s">
        <v>192</v>
      </c>
      <c r="B162" s="13">
        <v>3.0</v>
      </c>
      <c r="C162" s="13">
        <v>13.0</v>
      </c>
      <c r="D162" s="10">
        <v>0.0</v>
      </c>
      <c r="E162" s="10">
        <v>0.0</v>
      </c>
    </row>
    <row r="163" ht="22.5" customHeight="1">
      <c r="A163" s="13" t="s">
        <v>194</v>
      </c>
      <c r="B163" s="13">
        <v>2.0</v>
      </c>
      <c r="C163" s="13">
        <v>8.0</v>
      </c>
      <c r="D163" s="10">
        <v>0.0</v>
      </c>
      <c r="E163" s="10">
        <v>0.0</v>
      </c>
    </row>
    <row r="164" ht="22.5" customHeight="1">
      <c r="A164" s="13" t="s">
        <v>112</v>
      </c>
      <c r="B164" s="13">
        <v>5.0</v>
      </c>
      <c r="C164" s="13">
        <v>21.0</v>
      </c>
      <c r="D164" s="10">
        <v>0.0</v>
      </c>
      <c r="E164" s="10">
        <v>0.2</v>
      </c>
    </row>
    <row r="165" ht="22.5" customHeight="1">
      <c r="A165" s="13" t="s">
        <v>201</v>
      </c>
      <c r="B165" s="13">
        <v>3.0</v>
      </c>
      <c r="C165" s="13">
        <v>11.0</v>
      </c>
      <c r="D165" s="10">
        <v>0.0</v>
      </c>
      <c r="E165" s="10">
        <v>0.0</v>
      </c>
    </row>
    <row r="166" ht="22.5" customHeight="1">
      <c r="A166" s="13" t="s">
        <v>203</v>
      </c>
      <c r="B166" s="13">
        <v>1.0</v>
      </c>
      <c r="C166" s="13">
        <v>4.0</v>
      </c>
      <c r="D166" s="10">
        <v>0.0</v>
      </c>
      <c r="E166" s="10">
        <v>0.0</v>
      </c>
    </row>
    <row r="167" ht="22.5" customHeight="1">
      <c r="A167" s="13" t="s">
        <v>206</v>
      </c>
      <c r="B167" s="13">
        <v>1.0</v>
      </c>
      <c r="C167" s="13">
        <v>4.0</v>
      </c>
      <c r="D167" s="10">
        <v>0.0</v>
      </c>
      <c r="E167" s="10">
        <v>0.0</v>
      </c>
    </row>
    <row r="168" ht="22.5" customHeight="1">
      <c r="A168" s="13" t="s">
        <v>208</v>
      </c>
      <c r="B168" s="13">
        <v>1.0</v>
      </c>
      <c r="C168" s="13">
        <v>4.0</v>
      </c>
      <c r="D168" s="10">
        <v>0.0</v>
      </c>
      <c r="E168" s="10">
        <v>0.0</v>
      </c>
    </row>
    <row r="169" ht="22.5" customHeight="1">
      <c r="A169" s="13" t="s">
        <v>211</v>
      </c>
      <c r="B169" s="13">
        <v>5.0</v>
      </c>
      <c r="C169" s="13">
        <v>20.0</v>
      </c>
      <c r="D169" s="10">
        <v>0.0</v>
      </c>
      <c r="E169" s="10">
        <v>0.0</v>
      </c>
    </row>
    <row r="170" ht="22.5" customHeight="1">
      <c r="A170" s="13" t="s">
        <v>213</v>
      </c>
      <c r="B170" s="13">
        <v>5.0</v>
      </c>
      <c r="C170" s="13">
        <v>20.0</v>
      </c>
      <c r="D170" s="10">
        <v>0.0</v>
      </c>
      <c r="E170" s="10">
        <v>0.0</v>
      </c>
    </row>
    <row r="171" ht="22.5" customHeight="1">
      <c r="A171" s="13" t="s">
        <v>217</v>
      </c>
      <c r="B171" s="13">
        <v>3.0</v>
      </c>
      <c r="C171" s="13">
        <v>12.0</v>
      </c>
      <c r="D171" s="10">
        <v>0.0</v>
      </c>
      <c r="E171" s="10">
        <v>0.0</v>
      </c>
    </row>
    <row r="172" ht="22.5" customHeight="1">
      <c r="A172" s="13" t="s">
        <v>219</v>
      </c>
      <c r="B172" s="13">
        <v>1.0</v>
      </c>
      <c r="C172" s="13">
        <v>4.0</v>
      </c>
      <c r="D172" s="10">
        <v>0.0</v>
      </c>
      <c r="E172" s="10">
        <v>0.0</v>
      </c>
    </row>
    <row r="173" ht="22.5" customHeight="1">
      <c r="A173" s="13" t="s">
        <v>220</v>
      </c>
      <c r="B173" s="13">
        <v>5.0</v>
      </c>
      <c r="C173" s="13">
        <v>20.0</v>
      </c>
      <c r="D173" s="10">
        <v>0.0</v>
      </c>
      <c r="E173" s="10">
        <v>0.0</v>
      </c>
    </row>
    <row r="174" ht="22.5" customHeight="1">
      <c r="A174" s="13" t="s">
        <v>222</v>
      </c>
      <c r="B174" s="13">
        <v>5.0</v>
      </c>
      <c r="C174" s="13">
        <v>20.0</v>
      </c>
      <c r="D174" s="10">
        <v>0.0</v>
      </c>
      <c r="E174" s="10">
        <v>0.0</v>
      </c>
    </row>
    <row r="175" ht="22.5" customHeight="1">
      <c r="A175" s="13" t="s">
        <v>224</v>
      </c>
      <c r="B175" s="13">
        <v>2.0</v>
      </c>
      <c r="C175" s="13">
        <v>8.0</v>
      </c>
      <c r="D175" s="10">
        <v>0.0</v>
      </c>
      <c r="E175" s="10">
        <v>0.0</v>
      </c>
    </row>
    <row r="176" ht="22.5" customHeight="1">
      <c r="A176" s="13" t="s">
        <v>225</v>
      </c>
      <c r="B176" s="13">
        <v>1.0</v>
      </c>
      <c r="C176" s="13">
        <v>4.0</v>
      </c>
      <c r="D176" s="10">
        <v>0.0</v>
      </c>
      <c r="E176" s="10">
        <v>0.0</v>
      </c>
    </row>
    <row r="177" ht="22.5" customHeight="1">
      <c r="A177" s="13" t="s">
        <v>226</v>
      </c>
      <c r="B177" s="13">
        <v>4.0</v>
      </c>
      <c r="C177" s="13">
        <v>15.0</v>
      </c>
      <c r="D177" s="10">
        <v>0.0</v>
      </c>
      <c r="E177" s="10">
        <v>0.0</v>
      </c>
    </row>
    <row r="178" ht="22.5" customHeight="1">
      <c r="A178" s="13" t="s">
        <v>229</v>
      </c>
      <c r="B178" s="13">
        <v>4.0</v>
      </c>
      <c r="C178" s="13">
        <v>15.0</v>
      </c>
      <c r="D178" s="10">
        <v>0.0</v>
      </c>
      <c r="E178" s="10">
        <v>0.0</v>
      </c>
    </row>
    <row r="179" ht="22.5" customHeight="1">
      <c r="A179" s="13" t="s">
        <v>232</v>
      </c>
      <c r="B179" s="13">
        <v>5.0</v>
      </c>
      <c r="C179" s="13">
        <v>19.0</v>
      </c>
      <c r="D179" s="10">
        <v>0.0</v>
      </c>
      <c r="E179" s="10">
        <v>0.0</v>
      </c>
    </row>
    <row r="180" ht="22.5" customHeight="1">
      <c r="A180" s="13" t="s">
        <v>234</v>
      </c>
      <c r="B180" s="13">
        <v>2.0</v>
      </c>
      <c r="C180" s="13">
        <v>7.0</v>
      </c>
      <c r="D180" s="10">
        <v>0.0</v>
      </c>
      <c r="E180" s="10">
        <v>0.0</v>
      </c>
    </row>
    <row r="181" ht="22.5" customHeight="1">
      <c r="A181" s="13" t="s">
        <v>235</v>
      </c>
      <c r="B181" s="13">
        <v>4.0</v>
      </c>
      <c r="C181" s="13">
        <v>15.0</v>
      </c>
      <c r="D181" s="10">
        <v>0.0</v>
      </c>
      <c r="E181" s="10">
        <v>0.0</v>
      </c>
    </row>
    <row r="182" ht="22.5" customHeight="1">
      <c r="A182" s="13" t="s">
        <v>237</v>
      </c>
      <c r="B182" s="13">
        <v>1.0</v>
      </c>
      <c r="C182" s="13">
        <v>4.0</v>
      </c>
      <c r="D182" s="10">
        <v>0.0</v>
      </c>
      <c r="E182" s="10">
        <v>0.0</v>
      </c>
    </row>
    <row r="183" ht="22.5" customHeight="1">
      <c r="A183" s="13" t="s">
        <v>204</v>
      </c>
      <c r="B183" s="13">
        <v>5.0</v>
      </c>
      <c r="C183" s="13">
        <v>21.0</v>
      </c>
      <c r="D183" s="10">
        <v>0.0</v>
      </c>
      <c r="E183" s="10">
        <v>0.0</v>
      </c>
    </row>
    <row r="184" ht="22.5" customHeight="1">
      <c r="A184" s="13" t="s">
        <v>238</v>
      </c>
      <c r="B184" s="13">
        <v>3.0</v>
      </c>
      <c r="C184" s="13">
        <v>12.0</v>
      </c>
      <c r="D184" s="10">
        <v>0.0</v>
      </c>
      <c r="E184" s="10">
        <v>0.0</v>
      </c>
    </row>
    <row r="185" ht="22.5" customHeight="1">
      <c r="A185" s="13" t="s">
        <v>240</v>
      </c>
      <c r="B185" s="13">
        <v>3.0</v>
      </c>
      <c r="C185" s="13">
        <v>12.0</v>
      </c>
      <c r="D185" s="10">
        <v>0.0</v>
      </c>
      <c r="E185" s="10">
        <v>0.0</v>
      </c>
    </row>
    <row r="186" ht="22.5" customHeight="1">
      <c r="A186" s="13" t="s">
        <v>242</v>
      </c>
      <c r="B186" s="13">
        <v>1.0</v>
      </c>
      <c r="C186" s="13">
        <v>4.0</v>
      </c>
      <c r="D186" s="10">
        <v>0.0</v>
      </c>
      <c r="E186" s="10">
        <v>0.0</v>
      </c>
    </row>
    <row r="187" ht="22.5" customHeight="1">
      <c r="A187" s="13" t="s">
        <v>244</v>
      </c>
      <c r="B187" s="13">
        <v>5.0</v>
      </c>
      <c r="C187" s="13">
        <v>20.0</v>
      </c>
      <c r="D187" s="10">
        <v>0.0</v>
      </c>
      <c r="E187" s="10">
        <v>0.0</v>
      </c>
    </row>
    <row r="188" ht="22.5" customHeight="1">
      <c r="A188" s="13" t="s">
        <v>250</v>
      </c>
      <c r="B188" s="13">
        <v>3.0</v>
      </c>
      <c r="C188" s="13">
        <v>12.0</v>
      </c>
      <c r="D188" s="10">
        <v>0.0</v>
      </c>
      <c r="E188" s="10">
        <v>0.0</v>
      </c>
    </row>
    <row r="189" ht="22.5" customHeight="1">
      <c r="A189" s="13" t="s">
        <v>251</v>
      </c>
      <c r="B189" s="13">
        <v>1.0</v>
      </c>
      <c r="C189" s="13">
        <v>4.0</v>
      </c>
      <c r="D189" s="10">
        <v>0.0</v>
      </c>
      <c r="E189" s="10">
        <v>0.0</v>
      </c>
    </row>
    <row r="190" ht="22.5" customHeight="1">
      <c r="A190" s="13" t="s">
        <v>164</v>
      </c>
      <c r="B190" s="13">
        <v>5.0</v>
      </c>
      <c r="C190" s="13">
        <v>20.0</v>
      </c>
      <c r="D190" s="10">
        <v>0.0</v>
      </c>
      <c r="E190" s="10">
        <v>0.0</v>
      </c>
    </row>
    <row r="191" ht="22.5" customHeight="1">
      <c r="A191" s="13" t="s">
        <v>257</v>
      </c>
      <c r="B191" s="13">
        <v>2.0</v>
      </c>
      <c r="C191" s="13">
        <v>7.0</v>
      </c>
      <c r="D191" s="10">
        <v>0.0</v>
      </c>
      <c r="E191" s="10">
        <v>0.0</v>
      </c>
    </row>
    <row r="192" ht="22.5" customHeight="1">
      <c r="A192" s="13" t="s">
        <v>259</v>
      </c>
      <c r="B192" s="13">
        <v>4.0</v>
      </c>
      <c r="C192" s="13">
        <v>15.0</v>
      </c>
      <c r="D192" s="10">
        <v>0.0</v>
      </c>
      <c r="E192" s="10">
        <v>0.0</v>
      </c>
    </row>
    <row r="193" ht="22.5" customHeight="1">
      <c r="A193" s="13" t="s">
        <v>262</v>
      </c>
      <c r="B193" s="13">
        <v>5.0</v>
      </c>
      <c r="C193" s="13">
        <v>19.0</v>
      </c>
      <c r="D193" s="10">
        <v>0.0</v>
      </c>
      <c r="E193" s="10">
        <v>0.0</v>
      </c>
    </row>
    <row r="194" ht="22.5" customHeight="1">
      <c r="A194" s="13" t="s">
        <v>263</v>
      </c>
      <c r="B194" s="13">
        <v>3.0</v>
      </c>
      <c r="C194" s="13">
        <v>12.0</v>
      </c>
      <c r="D194" s="10">
        <v>0.0</v>
      </c>
      <c r="E194" s="10">
        <v>0.0</v>
      </c>
    </row>
    <row r="195" ht="22.5" customHeight="1">
      <c r="A195" s="13" t="s">
        <v>264</v>
      </c>
      <c r="B195" s="13">
        <v>4.0</v>
      </c>
      <c r="C195" s="13">
        <v>15.0</v>
      </c>
      <c r="D195" s="10">
        <v>0.0</v>
      </c>
      <c r="E195" s="10">
        <v>0.0</v>
      </c>
    </row>
    <row r="196" ht="22.5" customHeight="1">
      <c r="A196" s="13" t="s">
        <v>265</v>
      </c>
      <c r="B196" s="13">
        <v>5.0</v>
      </c>
      <c r="C196" s="13">
        <v>19.0</v>
      </c>
      <c r="D196" s="10">
        <v>0.0</v>
      </c>
      <c r="E196" s="10">
        <v>0.0</v>
      </c>
    </row>
    <row r="197" ht="22.5" customHeight="1">
      <c r="A197" s="13" t="s">
        <v>266</v>
      </c>
      <c r="B197" s="13">
        <v>4.0</v>
      </c>
      <c r="C197" s="13">
        <v>16.0</v>
      </c>
      <c r="D197" s="10">
        <v>0.0</v>
      </c>
      <c r="E197" s="10">
        <v>0.5</v>
      </c>
    </row>
    <row r="198" ht="22.5" customHeight="1">
      <c r="A198" s="13" t="s">
        <v>268</v>
      </c>
      <c r="B198" s="13">
        <v>1.0</v>
      </c>
      <c r="C198" s="13">
        <v>4.0</v>
      </c>
      <c r="D198" s="10">
        <v>0.0</v>
      </c>
      <c r="E198" s="10">
        <v>0.0</v>
      </c>
    </row>
    <row r="199" ht="22.5" customHeight="1">
      <c r="A199" s="13" t="s">
        <v>221</v>
      </c>
      <c r="B199" s="13">
        <v>4.0</v>
      </c>
      <c r="C199" s="13">
        <v>15.0</v>
      </c>
      <c r="D199" s="10">
        <v>0.0</v>
      </c>
      <c r="E199" s="10">
        <v>0.0</v>
      </c>
    </row>
    <row r="200" ht="22.5" customHeight="1">
      <c r="A200" s="13" t="s">
        <v>273</v>
      </c>
      <c r="B200" s="13">
        <v>5.0</v>
      </c>
      <c r="C200" s="13">
        <v>17.0</v>
      </c>
      <c r="D200" s="10">
        <v>0.0</v>
      </c>
      <c r="E200" s="10">
        <v>0.0</v>
      </c>
    </row>
    <row r="201" ht="22.5" customHeight="1">
      <c r="A201" s="13" t="s">
        <v>275</v>
      </c>
      <c r="B201" s="13">
        <v>4.0</v>
      </c>
      <c r="C201" s="13">
        <v>13.0</v>
      </c>
      <c r="D201" s="10">
        <v>0.0</v>
      </c>
      <c r="E201" s="10">
        <v>0.0</v>
      </c>
    </row>
    <row r="202" ht="22.5" customHeight="1">
      <c r="A202" s="13" t="s">
        <v>277</v>
      </c>
      <c r="B202" s="13">
        <v>5.0</v>
      </c>
      <c r="C202" s="13">
        <v>20.0</v>
      </c>
      <c r="D202" s="10">
        <v>0.0</v>
      </c>
      <c r="E202" s="10">
        <v>0.0</v>
      </c>
    </row>
    <row r="203" ht="22.5" customHeight="1">
      <c r="A203" s="13" t="s">
        <v>279</v>
      </c>
      <c r="B203" s="13">
        <v>5.0</v>
      </c>
      <c r="C203" s="13">
        <v>20.0</v>
      </c>
      <c r="D203" s="10">
        <v>0.0</v>
      </c>
      <c r="E203" s="10">
        <v>0.0</v>
      </c>
    </row>
    <row r="204" ht="22.5" customHeight="1">
      <c r="A204" s="13" t="s">
        <v>280</v>
      </c>
      <c r="B204" s="13">
        <v>1.0</v>
      </c>
      <c r="C204" s="13">
        <v>4.0</v>
      </c>
      <c r="D204" s="10">
        <v>0.0</v>
      </c>
      <c r="E204" s="10">
        <v>0.0</v>
      </c>
    </row>
    <row r="205" ht="22.5" customHeight="1">
      <c r="A205" s="13" t="s">
        <v>282</v>
      </c>
      <c r="B205" s="13">
        <v>3.0</v>
      </c>
      <c r="C205" s="13">
        <v>12.0</v>
      </c>
      <c r="D205" s="10">
        <v>0.0</v>
      </c>
      <c r="E205" s="10">
        <v>0.0</v>
      </c>
    </row>
    <row r="206" ht="22.5" customHeight="1">
      <c r="A206" s="13" t="s">
        <v>283</v>
      </c>
      <c r="B206" s="13">
        <v>4.0</v>
      </c>
      <c r="C206" s="13">
        <v>16.0</v>
      </c>
      <c r="D206" s="10">
        <v>0.0</v>
      </c>
      <c r="E206" s="10">
        <v>0.0</v>
      </c>
    </row>
    <row r="207" ht="22.5" customHeight="1">
      <c r="A207" s="13" t="s">
        <v>288</v>
      </c>
      <c r="B207" s="13">
        <v>1.0</v>
      </c>
      <c r="C207" s="13">
        <v>4.0</v>
      </c>
      <c r="D207" s="10">
        <v>0.0</v>
      </c>
      <c r="E207" s="10">
        <v>0.0</v>
      </c>
    </row>
    <row r="208" ht="22.5" customHeight="1">
      <c r="A208" s="13" t="s">
        <v>293</v>
      </c>
      <c r="B208" s="13">
        <v>5.0</v>
      </c>
      <c r="C208" s="13">
        <v>20.0</v>
      </c>
      <c r="D208" s="10">
        <v>0.0</v>
      </c>
      <c r="E208" s="10">
        <v>0.0</v>
      </c>
    </row>
    <row r="209" ht="22.5" customHeight="1">
      <c r="A209" s="13" t="s">
        <v>285</v>
      </c>
      <c r="B209" s="13">
        <v>5.0</v>
      </c>
      <c r="C209" s="13">
        <v>20.0</v>
      </c>
      <c r="D209" s="10">
        <v>0.0</v>
      </c>
      <c r="E209" s="10">
        <v>0.0</v>
      </c>
    </row>
    <row r="210" ht="22.5" customHeight="1">
      <c r="A210" s="13" t="s">
        <v>295</v>
      </c>
      <c r="B210" s="13">
        <v>4.0</v>
      </c>
      <c r="C210" s="13">
        <v>16.0</v>
      </c>
      <c r="D210" s="10">
        <v>0.0</v>
      </c>
      <c r="E210" s="10">
        <v>0.75</v>
      </c>
    </row>
    <row r="211" ht="22.5" customHeight="1">
      <c r="A211" s="13" t="s">
        <v>297</v>
      </c>
      <c r="B211" s="13">
        <v>5.0</v>
      </c>
      <c r="C211" s="13">
        <v>20.0</v>
      </c>
      <c r="D211" s="10">
        <v>0.0</v>
      </c>
      <c r="E211" s="10">
        <v>0.0</v>
      </c>
    </row>
    <row r="212" ht="22.5" customHeight="1">
      <c r="A212" s="13" t="s">
        <v>298</v>
      </c>
      <c r="B212" s="13">
        <v>3.0</v>
      </c>
      <c r="C212" s="13">
        <v>11.0</v>
      </c>
      <c r="D212" s="10">
        <v>0.0</v>
      </c>
      <c r="E212" s="10">
        <v>0.0</v>
      </c>
    </row>
    <row r="213" ht="22.5" customHeight="1">
      <c r="A213" s="13" t="s">
        <v>296</v>
      </c>
      <c r="B213" s="13">
        <v>4.0</v>
      </c>
      <c r="C213" s="13">
        <v>15.0</v>
      </c>
      <c r="D213" s="10">
        <v>0.0</v>
      </c>
      <c r="E213" s="10">
        <v>0.0</v>
      </c>
    </row>
    <row r="214" ht="22.5" customHeight="1">
      <c r="A214" s="13" t="s">
        <v>300</v>
      </c>
      <c r="B214" s="13">
        <v>4.0</v>
      </c>
      <c r="C214" s="13">
        <v>15.0</v>
      </c>
      <c r="D214" s="10">
        <v>0.0</v>
      </c>
      <c r="E214" s="10">
        <v>0.0</v>
      </c>
    </row>
    <row r="215" ht="22.5" customHeight="1">
      <c r="A215" s="13" t="s">
        <v>249</v>
      </c>
      <c r="B215" s="13">
        <v>5.0</v>
      </c>
      <c r="C215" s="13">
        <v>20.0</v>
      </c>
      <c r="D215" s="10">
        <v>0.0</v>
      </c>
      <c r="E215" s="10">
        <v>0.0</v>
      </c>
    </row>
    <row r="216" ht="22.5" customHeight="1">
      <c r="A216" s="13" t="s">
        <v>272</v>
      </c>
      <c r="B216" s="13">
        <v>5.0</v>
      </c>
      <c r="C216" s="13">
        <v>20.0</v>
      </c>
      <c r="D216" s="10">
        <v>0.0</v>
      </c>
      <c r="E216" s="10">
        <v>0.0</v>
      </c>
    </row>
    <row r="217" ht="22.5" customHeight="1">
      <c r="A217" s="13" t="s">
        <v>138</v>
      </c>
      <c r="B217" s="13">
        <v>4.0</v>
      </c>
      <c r="C217" s="13">
        <v>16.0</v>
      </c>
      <c r="D217" s="10">
        <v>0.0</v>
      </c>
      <c r="E217" s="10">
        <v>0.0</v>
      </c>
    </row>
    <row r="218" ht="22.5" customHeight="1">
      <c r="A218" s="16" t="s">
        <v>138</v>
      </c>
      <c r="B218" s="13">
        <v>1.0</v>
      </c>
      <c r="C218" s="13">
        <v>4.0</v>
      </c>
      <c r="D218" s="10">
        <v>0.0</v>
      </c>
      <c r="E218" s="10">
        <v>0.0</v>
      </c>
    </row>
    <row r="219" ht="22.5" customHeight="1">
      <c r="A219" s="13" t="s">
        <v>303</v>
      </c>
      <c r="B219" s="13">
        <v>2.0</v>
      </c>
      <c r="C219" s="13">
        <v>8.0</v>
      </c>
      <c r="D219" s="10">
        <v>0.0</v>
      </c>
      <c r="E219" s="10">
        <v>0.0</v>
      </c>
    </row>
    <row r="220" ht="22.5" customHeight="1">
      <c r="A220" s="13" t="s">
        <v>305</v>
      </c>
      <c r="B220" s="13">
        <v>1.0</v>
      </c>
      <c r="C220" s="13">
        <v>4.0</v>
      </c>
      <c r="D220" s="10">
        <v>0.0</v>
      </c>
      <c r="E220" s="10">
        <v>0.0</v>
      </c>
    </row>
    <row r="221" ht="22.5" customHeight="1">
      <c r="A221" s="13" t="s">
        <v>306</v>
      </c>
      <c r="B221" s="13">
        <v>4.0</v>
      </c>
      <c r="C221" s="13">
        <v>15.0</v>
      </c>
      <c r="D221" s="10">
        <v>0.0</v>
      </c>
      <c r="E221" s="10">
        <v>0.0</v>
      </c>
    </row>
    <row r="222" ht="22.5" customHeight="1">
      <c r="A222" s="13" t="s">
        <v>308</v>
      </c>
      <c r="B222" s="13">
        <v>3.0</v>
      </c>
      <c r="C222" s="13">
        <v>11.0</v>
      </c>
      <c r="D222" s="10">
        <v>0.0</v>
      </c>
      <c r="E222" s="10">
        <v>0.0</v>
      </c>
    </row>
    <row r="223" ht="22.5" customHeight="1">
      <c r="A223" s="13" t="s">
        <v>309</v>
      </c>
      <c r="B223" s="13">
        <v>2.0</v>
      </c>
      <c r="C223" s="13">
        <v>7.0</v>
      </c>
      <c r="D223" s="10">
        <v>0.0</v>
      </c>
      <c r="E223" s="10">
        <v>0.0</v>
      </c>
    </row>
    <row r="224" ht="22.5" customHeight="1">
      <c r="A224" s="13" t="s">
        <v>274</v>
      </c>
      <c r="B224" s="13">
        <v>5.0</v>
      </c>
      <c r="C224" s="13">
        <v>19.0</v>
      </c>
      <c r="D224" s="10">
        <v>0.0</v>
      </c>
      <c r="E224" s="10">
        <v>0.0</v>
      </c>
    </row>
    <row r="225" ht="22.5" customHeight="1">
      <c r="A225" s="13" t="s">
        <v>230</v>
      </c>
      <c r="B225" s="13">
        <v>5.0</v>
      </c>
      <c r="C225" s="13">
        <v>19.0</v>
      </c>
      <c r="D225" s="10">
        <v>0.0</v>
      </c>
      <c r="E225" s="10">
        <v>0.0</v>
      </c>
    </row>
    <row r="226" ht="22.5" customHeight="1">
      <c r="A226" s="13" t="s">
        <v>313</v>
      </c>
      <c r="B226" s="13">
        <v>2.0</v>
      </c>
      <c r="C226" s="13">
        <v>7.0</v>
      </c>
      <c r="D226" s="10">
        <v>0.0</v>
      </c>
      <c r="E226" s="10">
        <v>0.0</v>
      </c>
    </row>
    <row r="227" ht="22.5" customHeight="1">
      <c r="A227" s="13" t="s">
        <v>315</v>
      </c>
      <c r="B227" s="13">
        <v>4.0</v>
      </c>
      <c r="C227" s="13">
        <v>16.0</v>
      </c>
      <c r="D227" s="10">
        <v>0.0</v>
      </c>
      <c r="E227" s="10">
        <v>0.5</v>
      </c>
    </row>
    <row r="228" ht="22.5" customHeight="1">
      <c r="A228" s="13" t="s">
        <v>316</v>
      </c>
      <c r="B228" s="13">
        <v>4.0</v>
      </c>
      <c r="C228" s="13">
        <v>16.0</v>
      </c>
      <c r="D228" s="10">
        <v>0.0</v>
      </c>
      <c r="E228" s="10">
        <v>0.0</v>
      </c>
    </row>
    <row r="229" ht="22.5" customHeight="1">
      <c r="A229" s="13" t="s">
        <v>318</v>
      </c>
      <c r="B229" s="13">
        <v>1.0</v>
      </c>
      <c r="C229" s="13">
        <v>4.0</v>
      </c>
      <c r="D229" s="10">
        <v>0.0</v>
      </c>
      <c r="E229" s="10">
        <v>0.0</v>
      </c>
    </row>
    <row r="230" ht="22.5" customHeight="1">
      <c r="A230" s="13" t="s">
        <v>133</v>
      </c>
      <c r="B230" s="13">
        <v>3.0</v>
      </c>
      <c r="C230" s="13">
        <v>12.0</v>
      </c>
      <c r="D230" s="10">
        <v>0.0</v>
      </c>
      <c r="E230" s="10">
        <v>0.0</v>
      </c>
    </row>
    <row r="231" ht="22.5" customHeight="1">
      <c r="A231" s="13" t="s">
        <v>319</v>
      </c>
      <c r="B231" s="13">
        <v>1.0</v>
      </c>
      <c r="C231" s="13">
        <v>4.0</v>
      </c>
      <c r="D231" s="10">
        <v>0.0</v>
      </c>
      <c r="E231" s="10">
        <v>0.0</v>
      </c>
    </row>
    <row r="232" ht="22.5" customHeight="1">
      <c r="A232" s="13" t="s">
        <v>212</v>
      </c>
      <c r="B232" s="13">
        <v>5.0</v>
      </c>
      <c r="C232" s="13">
        <v>20.0</v>
      </c>
      <c r="D232" s="10">
        <v>0.0</v>
      </c>
      <c r="E232" s="10">
        <v>0.0</v>
      </c>
    </row>
    <row r="233" ht="22.5" customHeight="1">
      <c r="A233" s="13" t="s">
        <v>334</v>
      </c>
      <c r="B233" s="13">
        <v>1.0</v>
      </c>
      <c r="C233" s="13">
        <v>4.0</v>
      </c>
      <c r="D233" s="10">
        <v>0.0</v>
      </c>
      <c r="E233" s="10">
        <v>0.0</v>
      </c>
    </row>
    <row r="234" ht="22.5" customHeight="1">
      <c r="A234" s="13" t="s">
        <v>215</v>
      </c>
      <c r="B234" s="13">
        <v>5.0</v>
      </c>
      <c r="C234" s="13">
        <v>20.0</v>
      </c>
      <c r="D234" s="10">
        <v>0.0</v>
      </c>
      <c r="E234" s="10">
        <v>0.0</v>
      </c>
    </row>
    <row r="235" ht="22.5" customHeight="1">
      <c r="A235" s="13" t="s">
        <v>320</v>
      </c>
      <c r="B235" s="13">
        <v>5.0</v>
      </c>
      <c r="C235" s="13">
        <v>20.0</v>
      </c>
      <c r="D235" s="10">
        <v>0.0</v>
      </c>
      <c r="E235" s="10">
        <v>0.0</v>
      </c>
    </row>
    <row r="236" ht="22.5" customHeight="1">
      <c r="A236" s="13" t="s">
        <v>287</v>
      </c>
      <c r="B236" s="13">
        <v>5.0</v>
      </c>
      <c r="C236" s="13">
        <v>20.0</v>
      </c>
      <c r="D236" s="10">
        <v>0.0</v>
      </c>
      <c r="E236" s="10">
        <v>0.0</v>
      </c>
    </row>
    <row r="237" ht="22.5" customHeight="1">
      <c r="A237" s="13" t="s">
        <v>289</v>
      </c>
      <c r="B237" s="13">
        <v>5.0</v>
      </c>
      <c r="C237" s="13">
        <v>20.0</v>
      </c>
      <c r="D237" s="10">
        <v>0.0</v>
      </c>
      <c r="E237" s="10">
        <v>0.0</v>
      </c>
    </row>
    <row r="238" ht="22.5" customHeight="1">
      <c r="A238" s="13" t="s">
        <v>321</v>
      </c>
      <c r="B238" s="13">
        <v>4.0</v>
      </c>
      <c r="C238" s="13">
        <v>16.0</v>
      </c>
      <c r="D238" s="10">
        <v>0.0</v>
      </c>
      <c r="E238" s="10">
        <v>0.0</v>
      </c>
    </row>
    <row r="239" ht="22.5" customHeight="1">
      <c r="A239" s="13" t="s">
        <v>325</v>
      </c>
      <c r="B239" s="13">
        <v>5.0</v>
      </c>
      <c r="C239" s="13">
        <v>20.0</v>
      </c>
      <c r="D239" s="10">
        <v>0.0</v>
      </c>
      <c r="E239" s="10">
        <v>0.0</v>
      </c>
    </row>
    <row r="240" ht="22.5" customHeight="1">
      <c r="A240" s="13" t="s">
        <v>311</v>
      </c>
      <c r="B240" s="13">
        <v>5.0</v>
      </c>
      <c r="C240" s="13">
        <v>20.0</v>
      </c>
      <c r="D240" s="10">
        <v>0.0</v>
      </c>
      <c r="E240" s="10">
        <v>0.0</v>
      </c>
    </row>
    <row r="241" ht="22.5" customHeight="1">
      <c r="A241" s="13" t="s">
        <v>328</v>
      </c>
      <c r="B241" s="13">
        <v>3.0</v>
      </c>
      <c r="C241" s="13">
        <v>12.0</v>
      </c>
      <c r="D241" s="10">
        <v>0.0</v>
      </c>
      <c r="E241" s="10">
        <v>0.0</v>
      </c>
    </row>
    <row r="242" ht="22.5" customHeight="1">
      <c r="A242" s="13" t="s">
        <v>329</v>
      </c>
      <c r="B242" s="13">
        <v>4.0</v>
      </c>
      <c r="C242" s="13">
        <v>15.0</v>
      </c>
      <c r="D242" s="10">
        <v>0.0</v>
      </c>
      <c r="E242" s="10">
        <v>0.0</v>
      </c>
    </row>
    <row r="243" ht="22.5" customHeight="1">
      <c r="A243" s="13" t="s">
        <v>330</v>
      </c>
      <c r="B243" s="13">
        <v>5.0</v>
      </c>
      <c r="C243" s="13">
        <v>19.0</v>
      </c>
      <c r="D243" s="10">
        <v>0.0</v>
      </c>
      <c r="E243" s="10">
        <v>0.0</v>
      </c>
    </row>
    <row r="244" ht="22.5" customHeight="1">
      <c r="A244" s="13" t="s">
        <v>186</v>
      </c>
      <c r="B244" s="13">
        <v>5.0</v>
      </c>
      <c r="C244" s="13">
        <v>19.0</v>
      </c>
      <c r="D244" s="10">
        <v>0.0</v>
      </c>
      <c r="E244" s="10">
        <v>0.0</v>
      </c>
    </row>
    <row r="245" ht="22.5" customHeight="1">
      <c r="A245" s="13" t="s">
        <v>157</v>
      </c>
      <c r="B245" s="13">
        <v>5.0</v>
      </c>
      <c r="C245" s="13">
        <v>19.0</v>
      </c>
      <c r="D245" s="10">
        <v>0.0</v>
      </c>
      <c r="E245" s="10">
        <v>0.0</v>
      </c>
    </row>
    <row r="246" ht="22.5" customHeight="1">
      <c r="A246" s="13" t="s">
        <v>168</v>
      </c>
      <c r="B246" s="13">
        <v>5.0</v>
      </c>
      <c r="C246" s="13">
        <v>20.0</v>
      </c>
      <c r="D246" s="10">
        <v>0.0</v>
      </c>
      <c r="E246" s="10">
        <v>0.0</v>
      </c>
    </row>
    <row r="247" ht="22.5" customHeight="1">
      <c r="A247" s="13" t="s">
        <v>335</v>
      </c>
      <c r="B247" s="13">
        <v>3.0</v>
      </c>
      <c r="C247" s="13">
        <v>12.0</v>
      </c>
      <c r="D247" s="10">
        <v>0.0</v>
      </c>
      <c r="E247" s="10">
        <v>0.0</v>
      </c>
    </row>
    <row r="248" ht="22.5" customHeight="1">
      <c r="A248" s="13" t="s">
        <v>336</v>
      </c>
      <c r="B248" s="13">
        <v>2.0</v>
      </c>
      <c r="C248" s="13">
        <v>8.0</v>
      </c>
      <c r="D248" s="10">
        <v>0.0</v>
      </c>
      <c r="E248" s="10">
        <v>0.0</v>
      </c>
    </row>
    <row r="249" ht="22.5" customHeight="1">
      <c r="A249" s="13" t="s">
        <v>338</v>
      </c>
      <c r="B249" s="13">
        <v>2.0</v>
      </c>
      <c r="C249" s="13">
        <v>8.0</v>
      </c>
      <c r="D249" s="10">
        <v>0.0</v>
      </c>
      <c r="E249" s="10">
        <v>0.0</v>
      </c>
    </row>
    <row r="250" ht="22.5" customHeight="1">
      <c r="A250" s="13" t="s">
        <v>339</v>
      </c>
      <c r="B250" s="13">
        <v>1.0</v>
      </c>
      <c r="C250" s="13">
        <v>4.0</v>
      </c>
      <c r="D250" s="10">
        <v>0.0</v>
      </c>
      <c r="E250" s="10">
        <v>0.0</v>
      </c>
    </row>
    <row r="251" ht="22.5" customHeight="1">
      <c r="A251" s="13" t="s">
        <v>83</v>
      </c>
      <c r="B251" s="13">
        <v>3.0</v>
      </c>
      <c r="C251" s="13">
        <v>12.0</v>
      </c>
      <c r="D251" s="10">
        <v>0.0</v>
      </c>
      <c r="E251" s="10">
        <v>0.0</v>
      </c>
    </row>
    <row r="252" ht="22.5" customHeight="1">
      <c r="A252" s="13" t="s">
        <v>340</v>
      </c>
      <c r="B252" s="13">
        <v>2.0</v>
      </c>
      <c r="C252" s="13">
        <v>8.0</v>
      </c>
      <c r="D252" s="10">
        <v>0.0</v>
      </c>
      <c r="E252" s="10">
        <v>0.0</v>
      </c>
    </row>
    <row r="253" ht="22.5" customHeight="1">
      <c r="A253" s="13" t="s">
        <v>216</v>
      </c>
      <c r="B253" s="13">
        <v>5.0</v>
      </c>
      <c r="C253" s="13">
        <v>20.0</v>
      </c>
      <c r="D253" s="10">
        <v>0.0</v>
      </c>
      <c r="E253" s="10">
        <v>0.0</v>
      </c>
    </row>
    <row r="254" ht="22.5" customHeight="1">
      <c r="A254" s="13" t="s">
        <v>345</v>
      </c>
      <c r="B254" s="13">
        <v>5.0</v>
      </c>
      <c r="C254" s="13">
        <v>20.0</v>
      </c>
      <c r="D254" s="10">
        <v>0.0</v>
      </c>
      <c r="E254" s="10">
        <v>0.0</v>
      </c>
    </row>
    <row r="255" ht="22.5" customHeight="1">
      <c r="A255" s="13" t="s">
        <v>218</v>
      </c>
      <c r="B255" s="13">
        <v>3.0</v>
      </c>
      <c r="C255" s="13">
        <v>11.0</v>
      </c>
      <c r="D255" s="10">
        <v>0.0</v>
      </c>
      <c r="E255" s="10">
        <v>0.0</v>
      </c>
    </row>
    <row r="256" ht="22.5" customHeight="1">
      <c r="A256" s="13" t="s">
        <v>348</v>
      </c>
      <c r="B256" s="13">
        <v>2.0</v>
      </c>
      <c r="C256" s="13">
        <v>8.0</v>
      </c>
      <c r="D256" s="10">
        <v>0.0</v>
      </c>
      <c r="E256" s="10">
        <v>0.0</v>
      </c>
    </row>
    <row r="257" ht="22.5" customHeight="1">
      <c r="A257" s="13" t="s">
        <v>349</v>
      </c>
      <c r="B257" s="13">
        <v>3.0</v>
      </c>
      <c r="C257" s="13">
        <v>11.0</v>
      </c>
      <c r="D257" s="10">
        <v>0.0</v>
      </c>
      <c r="E257" s="10">
        <v>0.0</v>
      </c>
    </row>
    <row r="258" ht="22.5" customHeight="1">
      <c r="A258" s="13" t="s">
        <v>258</v>
      </c>
      <c r="B258" s="13">
        <v>3.0</v>
      </c>
      <c r="C258" s="13">
        <v>11.0</v>
      </c>
      <c r="D258" s="10">
        <v>0.0</v>
      </c>
      <c r="E258" s="10">
        <v>0.0</v>
      </c>
    </row>
    <row r="259" ht="22.5" customHeight="1">
      <c r="A259" s="13" t="s">
        <v>301</v>
      </c>
      <c r="B259" s="13">
        <v>2.0</v>
      </c>
      <c r="C259" s="13">
        <v>8.0</v>
      </c>
      <c r="D259" s="10">
        <v>0.0</v>
      </c>
      <c r="E259" s="10">
        <v>0.0</v>
      </c>
    </row>
    <row r="260" ht="22.5" customHeight="1">
      <c r="A260" s="13" t="s">
        <v>312</v>
      </c>
      <c r="B260" s="13">
        <v>5.0</v>
      </c>
      <c r="C260" s="13">
        <v>20.0</v>
      </c>
      <c r="D260" s="10">
        <v>0.0</v>
      </c>
      <c r="E260" s="10">
        <v>0.0</v>
      </c>
    </row>
    <row r="261" ht="22.5" customHeight="1">
      <c r="A261" s="13" t="s">
        <v>260</v>
      </c>
      <c r="B261" s="13">
        <v>5.0</v>
      </c>
      <c r="C261" s="13">
        <v>20.0</v>
      </c>
      <c r="D261" s="10">
        <v>0.0</v>
      </c>
      <c r="E261" s="10">
        <v>0.0</v>
      </c>
    </row>
    <row r="262" ht="22.5" customHeight="1">
      <c r="A262" s="13" t="s">
        <v>342</v>
      </c>
      <c r="B262" s="13">
        <v>2.0</v>
      </c>
      <c r="C262" s="13">
        <v>8.0</v>
      </c>
      <c r="D262" s="10">
        <v>0.0</v>
      </c>
      <c r="E262" s="10">
        <v>0.0</v>
      </c>
    </row>
    <row r="263" ht="22.5" customHeight="1">
      <c r="A263" s="13" t="s">
        <v>343</v>
      </c>
      <c r="B263" s="13">
        <v>5.0</v>
      </c>
      <c r="C263" s="13">
        <v>20.0</v>
      </c>
      <c r="D263" s="10">
        <v>0.0</v>
      </c>
      <c r="E263" s="10">
        <v>0.0</v>
      </c>
    </row>
    <row r="264" ht="22.5" customHeight="1">
      <c r="A264" s="13" t="s">
        <v>122</v>
      </c>
      <c r="B264" s="13">
        <v>5.0</v>
      </c>
      <c r="C264" s="13">
        <v>20.0</v>
      </c>
      <c r="D264" s="10">
        <v>0.0</v>
      </c>
      <c r="E264" s="10">
        <v>0.2</v>
      </c>
    </row>
    <row r="265" ht="22.5" customHeight="1">
      <c r="A265" s="13" t="s">
        <v>344</v>
      </c>
      <c r="B265" s="13">
        <v>5.0</v>
      </c>
      <c r="C265" s="13">
        <v>20.0</v>
      </c>
      <c r="D265" s="10">
        <v>0.0</v>
      </c>
      <c r="E265" s="10">
        <v>0.0</v>
      </c>
    </row>
    <row r="266" ht="22.5" customHeight="1">
      <c r="A266" s="13" t="s">
        <v>243</v>
      </c>
      <c r="B266" s="13">
        <v>1.0</v>
      </c>
      <c r="C266" s="13">
        <v>4.0</v>
      </c>
      <c r="D266" s="10">
        <v>0.0</v>
      </c>
      <c r="E266" s="10">
        <v>0.0</v>
      </c>
    </row>
    <row r="267" ht="22.5" customHeight="1">
      <c r="A267" s="13" t="s">
        <v>290</v>
      </c>
      <c r="B267" s="13">
        <v>1.0</v>
      </c>
      <c r="C267" s="13">
        <v>4.0</v>
      </c>
      <c r="D267" s="10">
        <v>0.0</v>
      </c>
      <c r="E267" s="10">
        <v>0.0</v>
      </c>
    </row>
    <row r="268" ht="22.5" customHeight="1">
      <c r="A268" s="13" t="s">
        <v>173</v>
      </c>
      <c r="B268" s="13">
        <v>5.0</v>
      </c>
      <c r="C268" s="13">
        <v>20.0</v>
      </c>
      <c r="D268" s="10">
        <v>-0.8</v>
      </c>
      <c r="E268" s="10">
        <v>0.2</v>
      </c>
    </row>
    <row r="269" ht="22.5" customHeight="1">
      <c r="A269" s="13" t="s">
        <v>197</v>
      </c>
      <c r="B269" s="13">
        <v>5.0</v>
      </c>
      <c r="C269" s="13">
        <v>19.0</v>
      </c>
      <c r="D269" s="10">
        <v>-0.8</v>
      </c>
      <c r="E269" s="10">
        <v>0.2</v>
      </c>
    </row>
    <row r="270" ht="22.5" customHeight="1">
      <c r="A270" s="13" t="s">
        <v>286</v>
      </c>
      <c r="B270" s="13">
        <v>5.0</v>
      </c>
      <c r="C270" s="13">
        <v>20.0</v>
      </c>
      <c r="D270" s="10">
        <v>-0.8</v>
      </c>
      <c r="E270" s="10">
        <v>0.2</v>
      </c>
    </row>
    <row r="271" ht="22.5" customHeight="1">
      <c r="A271" s="13" t="s">
        <v>331</v>
      </c>
      <c r="B271" s="13">
        <v>4.0</v>
      </c>
      <c r="C271" s="13">
        <v>15.0</v>
      </c>
      <c r="D271" s="10">
        <v>-1.0</v>
      </c>
      <c r="E271" s="10">
        <v>0.25</v>
      </c>
    </row>
    <row r="272" ht="22.5" customHeight="1">
      <c r="A272" s="13" t="s">
        <v>326</v>
      </c>
      <c r="B272" s="13">
        <v>3.0</v>
      </c>
      <c r="C272" s="13">
        <v>12.0</v>
      </c>
      <c r="D272" s="10">
        <v>-1.3333333333333333</v>
      </c>
      <c r="E272" s="10">
        <v>0.3333333333333333</v>
      </c>
    </row>
    <row r="273" ht="22.5" customHeight="1">
      <c r="A273" s="13" t="s">
        <v>270</v>
      </c>
      <c r="B273" s="13">
        <v>2.0</v>
      </c>
      <c r="C273" s="13">
        <v>8.0</v>
      </c>
      <c r="D273" s="10">
        <v>-2.0</v>
      </c>
      <c r="E273" s="10">
        <v>0.5</v>
      </c>
    </row>
    <row r="274">
      <c r="D274" s="4"/>
      <c r="E274" s="4"/>
    </row>
    <row r="275">
      <c r="D275" s="4"/>
      <c r="E275" s="4"/>
    </row>
    <row r="276">
      <c r="D276" s="4"/>
      <c r="E276" s="4"/>
    </row>
    <row r="277">
      <c r="D277" s="4"/>
      <c r="E277" s="4"/>
    </row>
    <row r="278">
      <c r="D278" s="4"/>
      <c r="E278" s="4"/>
    </row>
    <row r="279">
      <c r="D279" s="4"/>
      <c r="E279" s="4"/>
    </row>
    <row r="280">
      <c r="D280" s="4"/>
      <c r="E280" s="4"/>
    </row>
    <row r="281">
      <c r="D281" s="4"/>
      <c r="E281" s="4"/>
    </row>
    <row r="282">
      <c r="D282" s="4"/>
      <c r="E282" s="4"/>
    </row>
    <row r="283">
      <c r="D283" s="4"/>
      <c r="E283" s="4"/>
    </row>
    <row r="284">
      <c r="D284" s="4"/>
      <c r="E284" s="4"/>
    </row>
    <row r="285">
      <c r="D285" s="4"/>
      <c r="E285" s="4"/>
    </row>
    <row r="286">
      <c r="D286" s="4"/>
      <c r="E286" s="4"/>
    </row>
    <row r="287">
      <c r="D287" s="4"/>
      <c r="E287" s="4"/>
    </row>
    <row r="288">
      <c r="D288" s="4"/>
      <c r="E288" s="4"/>
    </row>
    <row r="289">
      <c r="D289" s="4"/>
      <c r="E289" s="4"/>
    </row>
    <row r="290">
      <c r="D290" s="4"/>
      <c r="E290" s="4"/>
    </row>
    <row r="291">
      <c r="D291" s="4"/>
      <c r="E291" s="4"/>
    </row>
    <row r="292">
      <c r="D292" s="4"/>
      <c r="E292" s="4"/>
    </row>
    <row r="293">
      <c r="D293" s="4"/>
      <c r="E293" s="4"/>
    </row>
    <row r="294">
      <c r="D294" s="4"/>
      <c r="E294" s="4"/>
    </row>
    <row r="295">
      <c r="D295" s="4"/>
      <c r="E295" s="4"/>
    </row>
    <row r="296">
      <c r="D296" s="4"/>
      <c r="E296" s="4"/>
    </row>
    <row r="297">
      <c r="D297" s="4"/>
      <c r="E297" s="4"/>
    </row>
    <row r="298">
      <c r="D298" s="4"/>
      <c r="E298" s="4"/>
    </row>
    <row r="299">
      <c r="D299" s="4"/>
      <c r="E299" s="4"/>
    </row>
    <row r="300">
      <c r="D300" s="4"/>
      <c r="E300" s="4"/>
    </row>
    <row r="301">
      <c r="D301" s="4"/>
      <c r="E301" s="4"/>
    </row>
    <row r="302">
      <c r="D302" s="4"/>
      <c r="E302" s="4"/>
    </row>
    <row r="303">
      <c r="D303" s="4"/>
      <c r="E303" s="4"/>
    </row>
    <row r="304">
      <c r="D304" s="4"/>
      <c r="E304" s="4"/>
    </row>
    <row r="305">
      <c r="D305" s="4"/>
      <c r="E305" s="4"/>
    </row>
    <row r="306">
      <c r="D306" s="4"/>
      <c r="E306" s="4"/>
    </row>
    <row r="307">
      <c r="D307" s="4"/>
      <c r="E307" s="4"/>
    </row>
    <row r="308">
      <c r="D308" s="4"/>
      <c r="E308" s="4"/>
    </row>
    <row r="309">
      <c r="D309" s="4"/>
      <c r="E309" s="4"/>
    </row>
    <row r="310">
      <c r="D310" s="4"/>
      <c r="E310" s="4"/>
    </row>
    <row r="311">
      <c r="D311" s="4"/>
      <c r="E311" s="4"/>
    </row>
    <row r="312">
      <c r="D312" s="4"/>
      <c r="E312" s="4"/>
    </row>
    <row r="313">
      <c r="D313" s="4"/>
      <c r="E313" s="4"/>
    </row>
    <row r="314">
      <c r="D314" s="4"/>
      <c r="E314" s="4"/>
    </row>
    <row r="315">
      <c r="D315" s="4"/>
      <c r="E315" s="4"/>
    </row>
    <row r="316">
      <c r="D316" s="4"/>
      <c r="E316" s="4"/>
    </row>
    <row r="317">
      <c r="D317" s="4"/>
      <c r="E317" s="4"/>
    </row>
    <row r="318">
      <c r="D318" s="4"/>
      <c r="E318" s="4"/>
    </row>
    <row r="319">
      <c r="D319" s="4"/>
      <c r="E319" s="4"/>
    </row>
    <row r="320">
      <c r="D320" s="4"/>
      <c r="E320" s="4"/>
    </row>
    <row r="321">
      <c r="D321" s="4"/>
      <c r="E321" s="4"/>
    </row>
    <row r="322">
      <c r="D322" s="4"/>
      <c r="E322" s="4"/>
    </row>
    <row r="323">
      <c r="D323" s="4"/>
      <c r="E323" s="4"/>
    </row>
    <row r="324">
      <c r="D324" s="4"/>
      <c r="E324" s="4"/>
    </row>
    <row r="325">
      <c r="D325" s="4"/>
      <c r="E325" s="4"/>
    </row>
    <row r="326">
      <c r="D326" s="4"/>
      <c r="E326" s="4"/>
    </row>
    <row r="327">
      <c r="D327" s="4"/>
      <c r="E327" s="4"/>
    </row>
    <row r="328">
      <c r="D328" s="4"/>
      <c r="E328" s="4"/>
    </row>
    <row r="329">
      <c r="D329" s="4"/>
      <c r="E329" s="4"/>
    </row>
    <row r="330">
      <c r="D330" s="4"/>
      <c r="E330" s="4"/>
    </row>
    <row r="331">
      <c r="D331" s="4"/>
      <c r="E331" s="4"/>
    </row>
    <row r="332">
      <c r="D332" s="4"/>
      <c r="E332" s="4"/>
    </row>
    <row r="333">
      <c r="D333" s="4"/>
      <c r="E333" s="4"/>
    </row>
    <row r="334">
      <c r="D334" s="4"/>
      <c r="E334" s="4"/>
    </row>
    <row r="335">
      <c r="D335" s="4"/>
      <c r="E335" s="4"/>
    </row>
    <row r="336">
      <c r="D336" s="4"/>
      <c r="E336" s="4"/>
    </row>
    <row r="337">
      <c r="D337" s="4"/>
      <c r="E337" s="4"/>
    </row>
    <row r="338">
      <c r="D338" s="4"/>
      <c r="E338" s="4"/>
    </row>
    <row r="339">
      <c r="D339" s="4"/>
      <c r="E339" s="4"/>
    </row>
    <row r="340">
      <c r="D340" s="4"/>
      <c r="E340" s="4"/>
    </row>
    <row r="341">
      <c r="D341" s="4"/>
      <c r="E341" s="4"/>
    </row>
    <row r="342">
      <c r="D342" s="4"/>
      <c r="E342" s="4"/>
    </row>
    <row r="343">
      <c r="D343" s="4"/>
      <c r="E343" s="4"/>
    </row>
    <row r="344">
      <c r="D344" s="4"/>
      <c r="E344" s="4"/>
    </row>
    <row r="345">
      <c r="D345" s="4"/>
      <c r="E345" s="4"/>
    </row>
    <row r="346">
      <c r="D346" s="4"/>
      <c r="E346" s="4"/>
    </row>
    <row r="347">
      <c r="D347" s="4"/>
      <c r="E347" s="4"/>
    </row>
    <row r="348">
      <c r="D348" s="4"/>
      <c r="E348" s="4"/>
    </row>
    <row r="349">
      <c r="D349" s="4"/>
      <c r="E349" s="4"/>
    </row>
    <row r="350">
      <c r="D350" s="4"/>
      <c r="E350" s="4"/>
    </row>
    <row r="351">
      <c r="D351" s="4"/>
      <c r="E351" s="4"/>
    </row>
    <row r="352">
      <c r="D352" s="4"/>
      <c r="E352" s="4"/>
    </row>
    <row r="353">
      <c r="D353" s="4"/>
      <c r="E353" s="4"/>
    </row>
    <row r="354">
      <c r="D354" s="4"/>
      <c r="E354" s="4"/>
    </row>
    <row r="355">
      <c r="D355" s="4"/>
      <c r="E355" s="4"/>
    </row>
    <row r="356">
      <c r="D356" s="4"/>
      <c r="E356" s="4"/>
    </row>
    <row r="357">
      <c r="D357" s="4"/>
      <c r="E357" s="4"/>
    </row>
    <row r="358">
      <c r="D358" s="4"/>
      <c r="E358" s="4"/>
    </row>
    <row r="359">
      <c r="D359" s="4"/>
      <c r="E359" s="4"/>
    </row>
    <row r="360">
      <c r="D360" s="4"/>
      <c r="E360" s="4"/>
    </row>
    <row r="361">
      <c r="D361" s="4"/>
      <c r="E361" s="4"/>
    </row>
    <row r="362">
      <c r="D362" s="4"/>
      <c r="E362" s="4"/>
    </row>
    <row r="363">
      <c r="D363" s="4"/>
      <c r="E363" s="4"/>
    </row>
    <row r="364">
      <c r="D364" s="4"/>
      <c r="E364" s="4"/>
    </row>
    <row r="365">
      <c r="D365" s="4"/>
      <c r="E365" s="4"/>
    </row>
    <row r="366">
      <c r="D366" s="4"/>
      <c r="E366" s="4"/>
    </row>
    <row r="367">
      <c r="D367" s="4"/>
      <c r="E367" s="4"/>
    </row>
    <row r="368">
      <c r="D368" s="4"/>
      <c r="E368" s="4"/>
    </row>
    <row r="369">
      <c r="D369" s="4"/>
      <c r="E369" s="4"/>
    </row>
    <row r="370">
      <c r="D370" s="4"/>
      <c r="E370" s="4"/>
    </row>
    <row r="371">
      <c r="D371" s="4"/>
      <c r="E371" s="4"/>
    </row>
    <row r="372">
      <c r="D372" s="4"/>
      <c r="E372" s="4"/>
    </row>
    <row r="373">
      <c r="D373" s="4"/>
      <c r="E373" s="4"/>
    </row>
    <row r="374">
      <c r="D374" s="4"/>
      <c r="E374" s="4"/>
    </row>
    <row r="375">
      <c r="D375" s="4"/>
      <c r="E375" s="4"/>
    </row>
    <row r="376">
      <c r="D376" s="4"/>
      <c r="E376" s="4"/>
    </row>
    <row r="377">
      <c r="D377" s="4"/>
      <c r="E377" s="4"/>
    </row>
    <row r="378">
      <c r="D378" s="4"/>
      <c r="E378" s="4"/>
    </row>
    <row r="379">
      <c r="D379" s="4"/>
      <c r="E379" s="4"/>
    </row>
    <row r="380">
      <c r="D380" s="4"/>
      <c r="E380" s="4"/>
    </row>
    <row r="381">
      <c r="D381" s="4"/>
      <c r="E381" s="4"/>
    </row>
    <row r="382">
      <c r="D382" s="4"/>
      <c r="E382" s="4"/>
    </row>
    <row r="383">
      <c r="D383" s="4"/>
      <c r="E383" s="4"/>
    </row>
    <row r="384">
      <c r="D384" s="4"/>
      <c r="E384" s="4"/>
    </row>
    <row r="385">
      <c r="D385" s="4"/>
      <c r="E385" s="4"/>
    </row>
    <row r="386">
      <c r="D386" s="4"/>
      <c r="E386" s="4"/>
    </row>
    <row r="387">
      <c r="D387" s="4"/>
      <c r="E387" s="4"/>
    </row>
    <row r="388">
      <c r="D388" s="4"/>
      <c r="E388" s="4"/>
    </row>
    <row r="389">
      <c r="D389" s="4"/>
      <c r="E389" s="4"/>
    </row>
    <row r="390">
      <c r="D390" s="4"/>
      <c r="E390" s="4"/>
    </row>
    <row r="391">
      <c r="D391" s="4"/>
      <c r="E391" s="4"/>
    </row>
    <row r="392">
      <c r="D392" s="4"/>
      <c r="E392" s="4"/>
    </row>
    <row r="393">
      <c r="D393" s="4"/>
      <c r="E393" s="4"/>
    </row>
    <row r="394">
      <c r="D394" s="4"/>
      <c r="E394" s="4"/>
    </row>
    <row r="395">
      <c r="D395" s="4"/>
      <c r="E395" s="4"/>
    </row>
    <row r="396">
      <c r="D396" s="4"/>
      <c r="E396" s="4"/>
    </row>
    <row r="397">
      <c r="D397" s="4"/>
      <c r="E397" s="4"/>
    </row>
    <row r="398">
      <c r="D398" s="4"/>
      <c r="E398" s="4"/>
    </row>
    <row r="399">
      <c r="D399" s="4"/>
      <c r="E399" s="4"/>
    </row>
    <row r="400">
      <c r="D400" s="4"/>
      <c r="E400" s="4"/>
    </row>
    <row r="401">
      <c r="D401" s="4"/>
      <c r="E401" s="4"/>
    </row>
    <row r="402">
      <c r="D402" s="4"/>
      <c r="E402" s="4"/>
    </row>
    <row r="403">
      <c r="D403" s="4"/>
      <c r="E403" s="4"/>
    </row>
    <row r="404">
      <c r="D404" s="4"/>
      <c r="E404" s="4"/>
    </row>
    <row r="405">
      <c r="D405" s="4"/>
      <c r="E405" s="4"/>
    </row>
    <row r="406">
      <c r="D406" s="4"/>
      <c r="E406" s="4"/>
    </row>
    <row r="407">
      <c r="D407" s="4"/>
      <c r="E407" s="4"/>
    </row>
    <row r="408">
      <c r="D408" s="4"/>
      <c r="E408" s="4"/>
    </row>
    <row r="409">
      <c r="D409" s="4"/>
      <c r="E409" s="4"/>
    </row>
    <row r="410">
      <c r="D410" s="4"/>
      <c r="E410" s="4"/>
    </row>
    <row r="411">
      <c r="D411" s="4"/>
      <c r="E411" s="4"/>
    </row>
    <row r="412">
      <c r="D412" s="4"/>
      <c r="E412" s="4"/>
    </row>
    <row r="413">
      <c r="D413" s="4"/>
      <c r="E413" s="4"/>
    </row>
    <row r="414">
      <c r="D414" s="4"/>
      <c r="E414" s="4"/>
    </row>
    <row r="415">
      <c r="D415" s="4"/>
      <c r="E415" s="4"/>
    </row>
    <row r="416">
      <c r="D416" s="4"/>
      <c r="E416" s="4"/>
    </row>
    <row r="417">
      <c r="D417" s="4"/>
      <c r="E417" s="4"/>
    </row>
    <row r="418">
      <c r="D418" s="4"/>
      <c r="E418" s="4"/>
    </row>
    <row r="419">
      <c r="D419" s="4"/>
      <c r="E419" s="4"/>
    </row>
    <row r="420">
      <c r="D420" s="4"/>
      <c r="E420" s="4"/>
    </row>
    <row r="421">
      <c r="D421" s="4"/>
      <c r="E421" s="4"/>
    </row>
    <row r="422">
      <c r="D422" s="4"/>
      <c r="E422" s="4"/>
    </row>
    <row r="423">
      <c r="D423" s="4"/>
      <c r="E423" s="4"/>
    </row>
    <row r="424">
      <c r="D424" s="4"/>
      <c r="E424" s="4"/>
    </row>
    <row r="425">
      <c r="D425" s="4"/>
      <c r="E425" s="4"/>
    </row>
    <row r="426">
      <c r="D426" s="4"/>
      <c r="E426" s="4"/>
    </row>
    <row r="427">
      <c r="D427" s="4"/>
      <c r="E427" s="4"/>
    </row>
    <row r="428">
      <c r="D428" s="4"/>
      <c r="E428" s="4"/>
    </row>
    <row r="429">
      <c r="D429" s="4"/>
      <c r="E429" s="4"/>
    </row>
    <row r="430">
      <c r="D430" s="4"/>
      <c r="E430" s="4"/>
    </row>
    <row r="431">
      <c r="D431" s="4"/>
      <c r="E431" s="4"/>
    </row>
    <row r="432">
      <c r="D432" s="4"/>
      <c r="E432" s="4"/>
    </row>
    <row r="433">
      <c r="D433" s="4"/>
      <c r="E433" s="4"/>
    </row>
    <row r="434">
      <c r="D434" s="4"/>
      <c r="E434" s="4"/>
    </row>
    <row r="435">
      <c r="D435" s="4"/>
      <c r="E435" s="4"/>
    </row>
    <row r="436">
      <c r="D436" s="4"/>
      <c r="E436" s="4"/>
    </row>
    <row r="437">
      <c r="D437" s="4"/>
      <c r="E437" s="4"/>
    </row>
    <row r="438">
      <c r="D438" s="4"/>
      <c r="E438" s="4"/>
    </row>
    <row r="439">
      <c r="D439" s="4"/>
      <c r="E439" s="4"/>
    </row>
    <row r="440">
      <c r="D440" s="4"/>
      <c r="E440" s="4"/>
    </row>
    <row r="441">
      <c r="D441" s="4"/>
      <c r="E441" s="4"/>
    </row>
    <row r="442">
      <c r="D442" s="4"/>
      <c r="E442" s="4"/>
    </row>
    <row r="443">
      <c r="D443" s="4"/>
      <c r="E443" s="4"/>
    </row>
    <row r="444">
      <c r="D444" s="4"/>
      <c r="E444" s="4"/>
    </row>
    <row r="445">
      <c r="D445" s="4"/>
      <c r="E445" s="4"/>
    </row>
    <row r="446">
      <c r="D446" s="4"/>
      <c r="E446" s="4"/>
    </row>
    <row r="447">
      <c r="D447" s="4"/>
      <c r="E447" s="4"/>
    </row>
    <row r="448">
      <c r="D448" s="4"/>
      <c r="E448" s="4"/>
    </row>
    <row r="449">
      <c r="D449" s="4"/>
      <c r="E449" s="4"/>
    </row>
    <row r="450">
      <c r="D450" s="4"/>
      <c r="E450" s="4"/>
    </row>
    <row r="451">
      <c r="D451" s="4"/>
      <c r="E451" s="4"/>
    </row>
    <row r="452">
      <c r="D452" s="4"/>
      <c r="E452" s="4"/>
    </row>
    <row r="453">
      <c r="D453" s="4"/>
      <c r="E453" s="4"/>
    </row>
    <row r="454">
      <c r="D454" s="4"/>
      <c r="E454" s="4"/>
    </row>
    <row r="455">
      <c r="D455" s="4"/>
      <c r="E455" s="4"/>
    </row>
    <row r="456">
      <c r="D456" s="4"/>
      <c r="E456" s="4"/>
    </row>
    <row r="457">
      <c r="D457" s="4"/>
      <c r="E457" s="4"/>
    </row>
    <row r="458">
      <c r="D458" s="4"/>
      <c r="E458" s="4"/>
    </row>
    <row r="459">
      <c r="D459" s="4"/>
      <c r="E459" s="4"/>
    </row>
    <row r="460">
      <c r="D460" s="4"/>
      <c r="E460" s="4"/>
    </row>
    <row r="461">
      <c r="D461" s="4"/>
      <c r="E461" s="4"/>
    </row>
    <row r="462">
      <c r="D462" s="4"/>
      <c r="E462" s="4"/>
    </row>
    <row r="463">
      <c r="D463" s="4"/>
      <c r="E463" s="4"/>
    </row>
    <row r="464">
      <c r="D464" s="4"/>
      <c r="E464" s="4"/>
    </row>
    <row r="465">
      <c r="D465" s="4"/>
      <c r="E465" s="4"/>
    </row>
    <row r="466">
      <c r="D466" s="4"/>
      <c r="E466" s="4"/>
    </row>
    <row r="467">
      <c r="D467" s="4"/>
      <c r="E467" s="4"/>
    </row>
    <row r="468">
      <c r="D468" s="4"/>
      <c r="E468" s="4"/>
    </row>
    <row r="469">
      <c r="D469" s="4"/>
      <c r="E469" s="4"/>
    </row>
    <row r="470">
      <c r="D470" s="4"/>
      <c r="E470" s="4"/>
    </row>
    <row r="471">
      <c r="D471" s="4"/>
      <c r="E471" s="4"/>
    </row>
    <row r="472">
      <c r="D472" s="4"/>
      <c r="E472" s="4"/>
    </row>
    <row r="473">
      <c r="D473" s="4"/>
      <c r="E473" s="4"/>
    </row>
    <row r="474">
      <c r="D474" s="4"/>
      <c r="E474" s="4"/>
    </row>
    <row r="475">
      <c r="D475" s="4"/>
      <c r="E475" s="4"/>
    </row>
    <row r="476">
      <c r="D476" s="4"/>
      <c r="E476" s="4"/>
    </row>
    <row r="477">
      <c r="D477" s="4"/>
      <c r="E477" s="4"/>
    </row>
    <row r="478">
      <c r="D478" s="4"/>
      <c r="E478" s="4"/>
    </row>
    <row r="479">
      <c r="D479" s="4"/>
      <c r="E479" s="4"/>
    </row>
    <row r="480">
      <c r="D480" s="4"/>
      <c r="E480" s="4"/>
    </row>
    <row r="481">
      <c r="D481" s="4"/>
      <c r="E481" s="4"/>
    </row>
    <row r="482">
      <c r="D482" s="4"/>
      <c r="E482" s="4"/>
    </row>
    <row r="483">
      <c r="D483" s="4"/>
      <c r="E483" s="4"/>
    </row>
    <row r="484">
      <c r="D484" s="4"/>
      <c r="E484" s="4"/>
    </row>
    <row r="485">
      <c r="D485" s="4"/>
      <c r="E485" s="4"/>
    </row>
    <row r="486">
      <c r="D486" s="4"/>
      <c r="E486" s="4"/>
    </row>
    <row r="487">
      <c r="D487" s="4"/>
      <c r="E487" s="4"/>
    </row>
    <row r="488">
      <c r="D488" s="4"/>
      <c r="E488" s="4"/>
    </row>
    <row r="489">
      <c r="D489" s="4"/>
      <c r="E489" s="4"/>
    </row>
    <row r="490">
      <c r="D490" s="4"/>
      <c r="E490" s="4"/>
    </row>
    <row r="491">
      <c r="D491" s="4"/>
      <c r="E491" s="4"/>
    </row>
    <row r="492">
      <c r="D492" s="4"/>
      <c r="E492" s="4"/>
    </row>
    <row r="493">
      <c r="D493" s="4"/>
      <c r="E493" s="4"/>
    </row>
    <row r="494">
      <c r="D494" s="4"/>
      <c r="E494" s="4"/>
    </row>
    <row r="495">
      <c r="D495" s="4"/>
      <c r="E495" s="4"/>
    </row>
    <row r="496">
      <c r="D496" s="4"/>
      <c r="E496" s="4"/>
    </row>
    <row r="497">
      <c r="D497" s="4"/>
      <c r="E497" s="4"/>
    </row>
    <row r="498">
      <c r="D498" s="4"/>
      <c r="E498" s="4"/>
    </row>
    <row r="499">
      <c r="D499" s="4"/>
      <c r="E499" s="4"/>
    </row>
    <row r="500">
      <c r="D500" s="4"/>
      <c r="E500" s="4"/>
    </row>
    <row r="501">
      <c r="D501" s="4"/>
      <c r="E501" s="4"/>
    </row>
    <row r="502">
      <c r="D502" s="4"/>
      <c r="E502" s="4"/>
    </row>
    <row r="503">
      <c r="D503" s="4"/>
      <c r="E503" s="4"/>
    </row>
    <row r="504">
      <c r="D504" s="4"/>
      <c r="E504" s="4"/>
    </row>
    <row r="505">
      <c r="D505" s="4"/>
      <c r="E505" s="4"/>
    </row>
    <row r="506">
      <c r="D506" s="4"/>
      <c r="E506" s="4"/>
    </row>
    <row r="507">
      <c r="D507" s="4"/>
      <c r="E507" s="4"/>
    </row>
    <row r="508">
      <c r="D508" s="4"/>
      <c r="E508" s="4"/>
    </row>
    <row r="509">
      <c r="D509" s="4"/>
      <c r="E509" s="4"/>
    </row>
    <row r="510">
      <c r="D510" s="4"/>
      <c r="E510" s="4"/>
    </row>
    <row r="511">
      <c r="D511" s="4"/>
      <c r="E511" s="4"/>
    </row>
    <row r="512">
      <c r="D512" s="4"/>
      <c r="E512" s="4"/>
    </row>
    <row r="513">
      <c r="D513" s="4"/>
      <c r="E513" s="4"/>
    </row>
    <row r="514">
      <c r="D514" s="4"/>
      <c r="E514" s="4"/>
    </row>
    <row r="515">
      <c r="D515" s="4"/>
      <c r="E515" s="4"/>
    </row>
    <row r="516">
      <c r="D516" s="4"/>
      <c r="E516" s="4"/>
    </row>
    <row r="517">
      <c r="D517" s="4"/>
      <c r="E517" s="4"/>
    </row>
    <row r="518">
      <c r="D518" s="4"/>
      <c r="E518" s="4"/>
    </row>
    <row r="519">
      <c r="D519" s="4"/>
      <c r="E519" s="4"/>
    </row>
    <row r="520">
      <c r="D520" s="4"/>
      <c r="E520" s="4"/>
    </row>
    <row r="521">
      <c r="D521" s="4"/>
      <c r="E521" s="4"/>
    </row>
    <row r="522">
      <c r="D522" s="4"/>
      <c r="E522" s="4"/>
    </row>
    <row r="523">
      <c r="D523" s="4"/>
      <c r="E523" s="4"/>
    </row>
    <row r="524">
      <c r="D524" s="4"/>
      <c r="E524" s="4"/>
    </row>
    <row r="525">
      <c r="D525" s="4"/>
      <c r="E525" s="4"/>
    </row>
    <row r="526">
      <c r="D526" s="4"/>
      <c r="E526" s="4"/>
    </row>
    <row r="527">
      <c r="D527" s="4"/>
      <c r="E527" s="4"/>
    </row>
    <row r="528">
      <c r="D528" s="4"/>
      <c r="E528" s="4"/>
    </row>
    <row r="529">
      <c r="D529" s="4"/>
      <c r="E529" s="4"/>
    </row>
    <row r="530">
      <c r="D530" s="4"/>
      <c r="E530" s="4"/>
    </row>
    <row r="531">
      <c r="D531" s="4"/>
      <c r="E531" s="4"/>
    </row>
    <row r="532">
      <c r="D532" s="4"/>
      <c r="E532" s="4"/>
    </row>
    <row r="533">
      <c r="D533" s="4"/>
      <c r="E533" s="4"/>
    </row>
    <row r="534">
      <c r="D534" s="4"/>
      <c r="E534" s="4"/>
    </row>
    <row r="535">
      <c r="D535" s="4"/>
      <c r="E535" s="4"/>
    </row>
    <row r="536">
      <c r="D536" s="4"/>
      <c r="E536" s="4"/>
    </row>
    <row r="537">
      <c r="D537" s="4"/>
      <c r="E537" s="4"/>
    </row>
    <row r="538">
      <c r="D538" s="4"/>
      <c r="E538" s="4"/>
    </row>
    <row r="539">
      <c r="D539" s="4"/>
      <c r="E539" s="4"/>
    </row>
    <row r="540">
      <c r="D540" s="4"/>
      <c r="E540" s="4"/>
    </row>
    <row r="541">
      <c r="D541" s="4"/>
      <c r="E541" s="4"/>
    </row>
    <row r="542">
      <c r="D542" s="4"/>
      <c r="E542" s="4"/>
    </row>
    <row r="543">
      <c r="D543" s="4"/>
      <c r="E543" s="4"/>
    </row>
    <row r="544">
      <c r="D544" s="4"/>
      <c r="E544" s="4"/>
    </row>
    <row r="545">
      <c r="D545" s="4"/>
      <c r="E545" s="4"/>
    </row>
    <row r="546">
      <c r="D546" s="4"/>
      <c r="E546" s="4"/>
    </row>
    <row r="547">
      <c r="D547" s="4"/>
      <c r="E547" s="4"/>
    </row>
    <row r="548">
      <c r="D548" s="4"/>
      <c r="E548" s="4"/>
    </row>
    <row r="549">
      <c r="D549" s="4"/>
      <c r="E549" s="4"/>
    </row>
    <row r="550">
      <c r="D550" s="4"/>
      <c r="E550" s="4"/>
    </row>
    <row r="551">
      <c r="D551" s="4"/>
      <c r="E551" s="4"/>
    </row>
    <row r="552">
      <c r="D552" s="4"/>
      <c r="E552" s="4"/>
    </row>
    <row r="553">
      <c r="D553" s="4"/>
      <c r="E553" s="4"/>
    </row>
    <row r="554">
      <c r="D554" s="4"/>
      <c r="E554" s="4"/>
    </row>
    <row r="555">
      <c r="D555" s="4"/>
      <c r="E555" s="4"/>
    </row>
    <row r="556">
      <c r="D556" s="4"/>
      <c r="E556" s="4"/>
    </row>
    <row r="557">
      <c r="D557" s="4"/>
      <c r="E557" s="4"/>
    </row>
    <row r="558">
      <c r="D558" s="4"/>
      <c r="E558" s="4"/>
    </row>
    <row r="559">
      <c r="D559" s="4"/>
      <c r="E559" s="4"/>
    </row>
    <row r="560">
      <c r="D560" s="4"/>
      <c r="E560" s="4"/>
    </row>
    <row r="561">
      <c r="D561" s="4"/>
      <c r="E561" s="4"/>
    </row>
    <row r="562">
      <c r="D562" s="4"/>
      <c r="E562" s="4"/>
    </row>
    <row r="563">
      <c r="D563" s="4"/>
      <c r="E563" s="4"/>
    </row>
    <row r="564">
      <c r="D564" s="4"/>
      <c r="E564" s="4"/>
    </row>
    <row r="565">
      <c r="D565" s="4"/>
      <c r="E565" s="4"/>
    </row>
    <row r="566">
      <c r="D566" s="4"/>
      <c r="E566" s="4"/>
    </row>
    <row r="567">
      <c r="D567" s="4"/>
      <c r="E567" s="4"/>
    </row>
    <row r="568">
      <c r="D568" s="4"/>
      <c r="E568" s="4"/>
    </row>
    <row r="569">
      <c r="D569" s="4"/>
      <c r="E569" s="4"/>
    </row>
    <row r="570">
      <c r="D570" s="4"/>
      <c r="E570" s="4"/>
    </row>
    <row r="571">
      <c r="D571" s="4"/>
      <c r="E571" s="4"/>
    </row>
    <row r="572">
      <c r="D572" s="4"/>
      <c r="E572" s="4"/>
    </row>
    <row r="573">
      <c r="D573" s="4"/>
      <c r="E573" s="4"/>
    </row>
    <row r="574">
      <c r="D574" s="4"/>
      <c r="E574" s="4"/>
    </row>
    <row r="575">
      <c r="D575" s="4"/>
      <c r="E575" s="4"/>
    </row>
    <row r="576">
      <c r="D576" s="4"/>
      <c r="E576" s="4"/>
    </row>
    <row r="577">
      <c r="D577" s="4"/>
      <c r="E577" s="4"/>
    </row>
    <row r="578">
      <c r="D578" s="4"/>
      <c r="E578" s="4"/>
    </row>
    <row r="579">
      <c r="D579" s="4"/>
      <c r="E579" s="4"/>
    </row>
    <row r="580">
      <c r="D580" s="4"/>
      <c r="E580" s="4"/>
    </row>
    <row r="581">
      <c r="D581" s="4"/>
      <c r="E581" s="4"/>
    </row>
    <row r="582">
      <c r="D582" s="4"/>
      <c r="E582" s="4"/>
    </row>
    <row r="583">
      <c r="D583" s="4"/>
      <c r="E583" s="4"/>
    </row>
    <row r="584">
      <c r="D584" s="4"/>
      <c r="E584" s="4"/>
    </row>
    <row r="585">
      <c r="D585" s="4"/>
      <c r="E585" s="4"/>
    </row>
    <row r="586">
      <c r="D586" s="4"/>
      <c r="E586" s="4"/>
    </row>
    <row r="587">
      <c r="D587" s="4"/>
      <c r="E587" s="4"/>
    </row>
    <row r="588">
      <c r="D588" s="4"/>
      <c r="E588" s="4"/>
    </row>
    <row r="589">
      <c r="D589" s="4"/>
      <c r="E589" s="4"/>
    </row>
    <row r="590">
      <c r="D590" s="4"/>
      <c r="E590" s="4"/>
    </row>
    <row r="591">
      <c r="D591" s="4"/>
      <c r="E591" s="4"/>
    </row>
    <row r="592">
      <c r="D592" s="4"/>
      <c r="E592" s="4"/>
    </row>
    <row r="593">
      <c r="D593" s="4"/>
      <c r="E593" s="4"/>
    </row>
    <row r="594">
      <c r="D594" s="4"/>
      <c r="E594" s="4"/>
    </row>
    <row r="595">
      <c r="D595" s="4"/>
      <c r="E595" s="4"/>
    </row>
    <row r="596">
      <c r="D596" s="4"/>
      <c r="E596" s="4"/>
    </row>
    <row r="597">
      <c r="D597" s="4"/>
      <c r="E597" s="4"/>
    </row>
    <row r="598">
      <c r="D598" s="4"/>
      <c r="E598" s="4"/>
    </row>
    <row r="599">
      <c r="D599" s="4"/>
      <c r="E599" s="4"/>
    </row>
    <row r="600">
      <c r="D600" s="4"/>
      <c r="E600" s="4"/>
    </row>
    <row r="601">
      <c r="D601" s="4"/>
      <c r="E601" s="4"/>
    </row>
    <row r="602">
      <c r="D602" s="4"/>
      <c r="E602" s="4"/>
    </row>
    <row r="603">
      <c r="D603" s="4"/>
      <c r="E603" s="4"/>
    </row>
    <row r="604">
      <c r="D604" s="4"/>
      <c r="E604" s="4"/>
    </row>
    <row r="605">
      <c r="D605" s="4"/>
      <c r="E605" s="4"/>
    </row>
    <row r="606">
      <c r="D606" s="4"/>
      <c r="E606" s="4"/>
    </row>
    <row r="607">
      <c r="D607" s="4"/>
      <c r="E607" s="4"/>
    </row>
    <row r="608">
      <c r="D608" s="4"/>
      <c r="E608" s="4"/>
    </row>
    <row r="609">
      <c r="D609" s="4"/>
      <c r="E609" s="4"/>
    </row>
    <row r="610">
      <c r="D610" s="4"/>
      <c r="E610" s="4"/>
    </row>
    <row r="611">
      <c r="D611" s="4"/>
      <c r="E611" s="4"/>
    </row>
    <row r="612">
      <c r="D612" s="4"/>
      <c r="E612" s="4"/>
    </row>
    <row r="613">
      <c r="D613" s="4"/>
      <c r="E613" s="4"/>
    </row>
    <row r="614">
      <c r="D614" s="4"/>
      <c r="E614" s="4"/>
    </row>
    <row r="615">
      <c r="D615" s="4"/>
      <c r="E615" s="4"/>
    </row>
    <row r="616">
      <c r="D616" s="4"/>
      <c r="E616" s="4"/>
    </row>
    <row r="617">
      <c r="D617" s="4"/>
      <c r="E617" s="4"/>
    </row>
    <row r="618">
      <c r="D618" s="4"/>
      <c r="E618" s="4"/>
    </row>
    <row r="619">
      <c r="D619" s="4"/>
      <c r="E619" s="4"/>
    </row>
    <row r="620">
      <c r="D620" s="4"/>
      <c r="E620" s="4"/>
    </row>
    <row r="621">
      <c r="D621" s="4"/>
      <c r="E621" s="4"/>
    </row>
    <row r="622">
      <c r="D622" s="4"/>
      <c r="E622" s="4"/>
    </row>
    <row r="623">
      <c r="D623" s="4"/>
      <c r="E623" s="4"/>
    </row>
    <row r="624">
      <c r="D624" s="4"/>
      <c r="E624" s="4"/>
    </row>
    <row r="625">
      <c r="D625" s="4"/>
      <c r="E625" s="4"/>
    </row>
    <row r="626">
      <c r="D626" s="4"/>
      <c r="E626" s="4"/>
    </row>
    <row r="627">
      <c r="D627" s="4"/>
      <c r="E627" s="4"/>
    </row>
    <row r="628">
      <c r="D628" s="4"/>
      <c r="E628" s="4"/>
    </row>
    <row r="629">
      <c r="D629" s="4"/>
      <c r="E629" s="4"/>
    </row>
    <row r="630">
      <c r="D630" s="4"/>
      <c r="E630" s="4"/>
    </row>
    <row r="631">
      <c r="D631" s="4"/>
      <c r="E631" s="4"/>
    </row>
    <row r="632">
      <c r="D632" s="4"/>
      <c r="E632" s="4"/>
    </row>
    <row r="633">
      <c r="D633" s="4"/>
      <c r="E633" s="4"/>
    </row>
    <row r="634">
      <c r="D634" s="4"/>
      <c r="E634" s="4"/>
    </row>
    <row r="635">
      <c r="D635" s="4"/>
      <c r="E635" s="4"/>
    </row>
    <row r="636">
      <c r="D636" s="4"/>
      <c r="E636" s="4"/>
    </row>
    <row r="637">
      <c r="D637" s="4"/>
      <c r="E637" s="4"/>
    </row>
    <row r="638">
      <c r="D638" s="4"/>
      <c r="E638" s="4"/>
    </row>
    <row r="639">
      <c r="D639" s="4"/>
      <c r="E639" s="4"/>
    </row>
    <row r="640">
      <c r="D640" s="4"/>
      <c r="E640" s="4"/>
    </row>
    <row r="641">
      <c r="D641" s="4"/>
      <c r="E641" s="4"/>
    </row>
    <row r="642">
      <c r="D642" s="4"/>
      <c r="E642" s="4"/>
    </row>
    <row r="643">
      <c r="D643" s="4"/>
      <c r="E643" s="4"/>
    </row>
    <row r="644">
      <c r="D644" s="4"/>
      <c r="E644" s="4"/>
    </row>
    <row r="645">
      <c r="D645" s="4"/>
      <c r="E645" s="4"/>
    </row>
    <row r="646">
      <c r="D646" s="4"/>
      <c r="E646" s="4"/>
    </row>
    <row r="647">
      <c r="D647" s="4"/>
      <c r="E647" s="4"/>
    </row>
    <row r="648">
      <c r="D648" s="4"/>
      <c r="E648" s="4"/>
    </row>
    <row r="649">
      <c r="D649" s="4"/>
      <c r="E649" s="4"/>
    </row>
    <row r="650">
      <c r="D650" s="4"/>
      <c r="E650" s="4"/>
    </row>
    <row r="651">
      <c r="D651" s="4"/>
      <c r="E651" s="4"/>
    </row>
    <row r="652">
      <c r="D652" s="4"/>
      <c r="E652" s="4"/>
    </row>
    <row r="653">
      <c r="D653" s="4"/>
      <c r="E653" s="4"/>
    </row>
    <row r="654">
      <c r="D654" s="4"/>
      <c r="E654" s="4"/>
    </row>
    <row r="655">
      <c r="D655" s="4"/>
      <c r="E655" s="4"/>
    </row>
    <row r="656">
      <c r="D656" s="4"/>
      <c r="E656" s="4"/>
    </row>
    <row r="657">
      <c r="D657" s="4"/>
      <c r="E657" s="4"/>
    </row>
    <row r="658">
      <c r="D658" s="4"/>
      <c r="E658" s="4"/>
    </row>
    <row r="659">
      <c r="D659" s="4"/>
      <c r="E659" s="4"/>
    </row>
    <row r="660">
      <c r="D660" s="4"/>
      <c r="E660" s="4"/>
    </row>
    <row r="661">
      <c r="D661" s="4"/>
      <c r="E661" s="4"/>
    </row>
    <row r="662">
      <c r="D662" s="4"/>
      <c r="E662" s="4"/>
    </row>
    <row r="663">
      <c r="D663" s="4"/>
      <c r="E663" s="4"/>
    </row>
    <row r="664">
      <c r="D664" s="4"/>
      <c r="E664" s="4"/>
    </row>
    <row r="665">
      <c r="D665" s="4"/>
      <c r="E665" s="4"/>
    </row>
    <row r="666">
      <c r="D666" s="4"/>
      <c r="E666" s="4"/>
    </row>
    <row r="667">
      <c r="D667" s="4"/>
      <c r="E667" s="4"/>
    </row>
    <row r="668">
      <c r="D668" s="4"/>
      <c r="E668" s="4"/>
    </row>
    <row r="669">
      <c r="D669" s="4"/>
      <c r="E669" s="4"/>
    </row>
    <row r="670">
      <c r="D670" s="4"/>
      <c r="E670" s="4"/>
    </row>
    <row r="671">
      <c r="D671" s="4"/>
      <c r="E671" s="4"/>
    </row>
    <row r="672">
      <c r="D672" s="4"/>
      <c r="E672" s="4"/>
    </row>
    <row r="673">
      <c r="D673" s="4"/>
      <c r="E673" s="4"/>
    </row>
    <row r="674">
      <c r="D674" s="4"/>
      <c r="E674" s="4"/>
    </row>
    <row r="675">
      <c r="D675" s="4"/>
      <c r="E675" s="4"/>
    </row>
    <row r="676">
      <c r="D676" s="4"/>
      <c r="E676" s="4"/>
    </row>
    <row r="677">
      <c r="D677" s="4"/>
      <c r="E677" s="4"/>
    </row>
    <row r="678">
      <c r="D678" s="4"/>
      <c r="E678" s="4"/>
    </row>
    <row r="679">
      <c r="D679" s="4"/>
      <c r="E679" s="4"/>
    </row>
    <row r="680">
      <c r="D680" s="4"/>
      <c r="E680" s="4"/>
    </row>
    <row r="681">
      <c r="D681" s="4"/>
      <c r="E681" s="4"/>
    </row>
    <row r="682">
      <c r="D682" s="4"/>
      <c r="E682" s="4"/>
    </row>
    <row r="683">
      <c r="D683" s="4"/>
      <c r="E683" s="4"/>
    </row>
    <row r="684">
      <c r="D684" s="4"/>
      <c r="E684" s="4"/>
    </row>
    <row r="685">
      <c r="D685" s="4"/>
      <c r="E685" s="4"/>
    </row>
    <row r="686">
      <c r="D686" s="4"/>
      <c r="E686" s="4"/>
    </row>
    <row r="687">
      <c r="D687" s="4"/>
      <c r="E687" s="4"/>
    </row>
    <row r="688">
      <c r="D688" s="4"/>
      <c r="E688" s="4"/>
    </row>
    <row r="689">
      <c r="D689" s="4"/>
      <c r="E689" s="4"/>
    </row>
    <row r="690">
      <c r="D690" s="4"/>
      <c r="E690" s="4"/>
    </row>
    <row r="691">
      <c r="D691" s="4"/>
      <c r="E691" s="4"/>
    </row>
    <row r="692">
      <c r="D692" s="4"/>
      <c r="E692" s="4"/>
    </row>
    <row r="693">
      <c r="D693" s="4"/>
      <c r="E693" s="4"/>
    </row>
    <row r="694">
      <c r="D694" s="4"/>
      <c r="E694" s="4"/>
    </row>
    <row r="695">
      <c r="D695" s="4"/>
      <c r="E695" s="4"/>
    </row>
    <row r="696">
      <c r="D696" s="4"/>
      <c r="E696" s="4"/>
    </row>
    <row r="697">
      <c r="D697" s="4"/>
      <c r="E697" s="4"/>
    </row>
    <row r="698">
      <c r="D698" s="4"/>
      <c r="E698" s="4"/>
    </row>
    <row r="699">
      <c r="D699" s="4"/>
      <c r="E699" s="4"/>
    </row>
    <row r="700">
      <c r="D700" s="4"/>
      <c r="E700" s="4"/>
    </row>
    <row r="701">
      <c r="D701" s="4"/>
      <c r="E701" s="4"/>
    </row>
    <row r="702">
      <c r="D702" s="4"/>
      <c r="E702" s="4"/>
    </row>
    <row r="703">
      <c r="D703" s="4"/>
      <c r="E703" s="4"/>
    </row>
    <row r="704">
      <c r="D704" s="4"/>
      <c r="E704" s="4"/>
    </row>
    <row r="705">
      <c r="D705" s="4"/>
      <c r="E705" s="4"/>
    </row>
    <row r="706">
      <c r="D706" s="4"/>
      <c r="E706" s="4"/>
    </row>
    <row r="707">
      <c r="D707" s="4"/>
      <c r="E707" s="4"/>
    </row>
    <row r="708">
      <c r="D708" s="4"/>
      <c r="E708" s="4"/>
    </row>
    <row r="709">
      <c r="D709" s="4"/>
      <c r="E709" s="4"/>
    </row>
    <row r="710">
      <c r="D710" s="4"/>
      <c r="E710" s="4"/>
    </row>
    <row r="711">
      <c r="D711" s="4"/>
      <c r="E711" s="4"/>
    </row>
    <row r="712">
      <c r="D712" s="4"/>
      <c r="E712" s="4"/>
    </row>
    <row r="713">
      <c r="D713" s="4"/>
      <c r="E713" s="4"/>
    </row>
    <row r="714">
      <c r="D714" s="4"/>
      <c r="E714" s="4"/>
    </row>
    <row r="715">
      <c r="D715" s="4"/>
      <c r="E715" s="4"/>
    </row>
    <row r="716">
      <c r="D716" s="4"/>
      <c r="E716" s="4"/>
    </row>
    <row r="717">
      <c r="D717" s="4"/>
      <c r="E717" s="4"/>
    </row>
    <row r="718">
      <c r="D718" s="4"/>
      <c r="E718" s="4"/>
    </row>
    <row r="719">
      <c r="D719" s="4"/>
      <c r="E719" s="4"/>
    </row>
    <row r="720">
      <c r="D720" s="4"/>
      <c r="E720" s="4"/>
    </row>
    <row r="721">
      <c r="D721" s="4"/>
      <c r="E721" s="4"/>
    </row>
    <row r="722">
      <c r="D722" s="4"/>
      <c r="E722" s="4"/>
    </row>
    <row r="723">
      <c r="D723" s="4"/>
      <c r="E723" s="4"/>
    </row>
    <row r="724">
      <c r="D724" s="4"/>
      <c r="E724" s="4"/>
    </row>
    <row r="725">
      <c r="D725" s="4"/>
      <c r="E725" s="4"/>
    </row>
    <row r="726">
      <c r="D726" s="4"/>
      <c r="E726" s="4"/>
    </row>
    <row r="727">
      <c r="D727" s="4"/>
      <c r="E727" s="4"/>
    </row>
    <row r="728">
      <c r="D728" s="4"/>
      <c r="E728" s="4"/>
    </row>
    <row r="729">
      <c r="D729" s="4"/>
      <c r="E729" s="4"/>
    </row>
    <row r="730">
      <c r="D730" s="4"/>
      <c r="E730" s="4"/>
    </row>
    <row r="731">
      <c r="D731" s="4"/>
      <c r="E731" s="4"/>
    </row>
    <row r="732">
      <c r="D732" s="4"/>
      <c r="E732" s="4"/>
    </row>
    <row r="733">
      <c r="D733" s="4"/>
      <c r="E733" s="4"/>
    </row>
    <row r="734">
      <c r="D734" s="4"/>
      <c r="E734" s="4"/>
    </row>
    <row r="735">
      <c r="D735" s="4"/>
      <c r="E735" s="4"/>
    </row>
    <row r="736">
      <c r="D736" s="4"/>
      <c r="E736" s="4"/>
    </row>
    <row r="737">
      <c r="D737" s="4"/>
      <c r="E737" s="4"/>
    </row>
    <row r="738">
      <c r="D738" s="4"/>
      <c r="E738" s="4"/>
    </row>
    <row r="739">
      <c r="D739" s="4"/>
      <c r="E739" s="4"/>
    </row>
    <row r="740">
      <c r="D740" s="4"/>
      <c r="E740" s="4"/>
    </row>
    <row r="741">
      <c r="D741" s="4"/>
      <c r="E741" s="4"/>
    </row>
    <row r="742">
      <c r="D742" s="4"/>
      <c r="E742" s="4"/>
    </row>
    <row r="743">
      <c r="D743" s="4"/>
      <c r="E743" s="4"/>
    </row>
    <row r="744">
      <c r="D744" s="4"/>
      <c r="E744" s="4"/>
    </row>
    <row r="745">
      <c r="D745" s="4"/>
      <c r="E745" s="4"/>
    </row>
    <row r="746">
      <c r="D746" s="4"/>
      <c r="E746" s="4"/>
    </row>
    <row r="747">
      <c r="D747" s="4"/>
      <c r="E747" s="4"/>
    </row>
    <row r="748">
      <c r="D748" s="4"/>
      <c r="E748" s="4"/>
    </row>
    <row r="749">
      <c r="D749" s="4"/>
      <c r="E749" s="4"/>
    </row>
    <row r="750">
      <c r="D750" s="4"/>
      <c r="E750" s="4"/>
    </row>
    <row r="751">
      <c r="D751" s="4"/>
      <c r="E751" s="4"/>
    </row>
    <row r="752">
      <c r="D752" s="4"/>
      <c r="E752" s="4"/>
    </row>
    <row r="753">
      <c r="D753" s="4"/>
      <c r="E753" s="4"/>
    </row>
    <row r="754">
      <c r="D754" s="4"/>
      <c r="E754" s="4"/>
    </row>
    <row r="755">
      <c r="D755" s="4"/>
      <c r="E755" s="4"/>
    </row>
    <row r="756">
      <c r="D756" s="4"/>
      <c r="E756" s="4"/>
    </row>
    <row r="757">
      <c r="D757" s="4"/>
      <c r="E757" s="4"/>
    </row>
    <row r="758">
      <c r="D758" s="4"/>
      <c r="E758" s="4"/>
    </row>
    <row r="759">
      <c r="D759" s="4"/>
      <c r="E759" s="4"/>
    </row>
    <row r="760">
      <c r="D760" s="4"/>
      <c r="E760" s="4"/>
    </row>
    <row r="761">
      <c r="D761" s="4"/>
      <c r="E761" s="4"/>
    </row>
    <row r="762">
      <c r="D762" s="4"/>
      <c r="E762" s="4"/>
    </row>
    <row r="763">
      <c r="D763" s="4"/>
      <c r="E763" s="4"/>
    </row>
    <row r="764">
      <c r="D764" s="4"/>
      <c r="E764" s="4"/>
    </row>
    <row r="765">
      <c r="D765" s="4"/>
      <c r="E765" s="4"/>
    </row>
    <row r="766">
      <c r="D766" s="4"/>
      <c r="E766" s="4"/>
    </row>
    <row r="767">
      <c r="D767" s="4"/>
      <c r="E767" s="4"/>
    </row>
    <row r="768">
      <c r="D768" s="4"/>
      <c r="E768" s="4"/>
    </row>
    <row r="769">
      <c r="D769" s="4"/>
      <c r="E769" s="4"/>
    </row>
    <row r="770">
      <c r="D770" s="4"/>
      <c r="E770" s="4"/>
    </row>
    <row r="771">
      <c r="D771" s="4"/>
      <c r="E771" s="4"/>
    </row>
    <row r="772">
      <c r="D772" s="4"/>
      <c r="E772" s="4"/>
    </row>
    <row r="773">
      <c r="D773" s="4"/>
      <c r="E773" s="4"/>
    </row>
    <row r="774">
      <c r="D774" s="4"/>
      <c r="E774" s="4"/>
    </row>
    <row r="775">
      <c r="D775" s="4"/>
      <c r="E775" s="4"/>
    </row>
    <row r="776">
      <c r="D776" s="4"/>
      <c r="E776" s="4"/>
    </row>
    <row r="777">
      <c r="D777" s="4"/>
      <c r="E777" s="4"/>
    </row>
    <row r="778">
      <c r="D778" s="4"/>
      <c r="E778" s="4"/>
    </row>
    <row r="779">
      <c r="D779" s="4"/>
      <c r="E779" s="4"/>
    </row>
    <row r="780">
      <c r="D780" s="4"/>
      <c r="E780" s="4"/>
    </row>
    <row r="781">
      <c r="D781" s="4"/>
      <c r="E781" s="4"/>
    </row>
    <row r="782">
      <c r="D782" s="4"/>
      <c r="E782" s="4"/>
    </row>
    <row r="783">
      <c r="D783" s="4"/>
      <c r="E783" s="4"/>
    </row>
    <row r="784">
      <c r="D784" s="4"/>
      <c r="E784" s="4"/>
    </row>
    <row r="785">
      <c r="D785" s="4"/>
      <c r="E785" s="4"/>
    </row>
    <row r="786">
      <c r="D786" s="4"/>
      <c r="E786" s="4"/>
    </row>
    <row r="787">
      <c r="D787" s="4"/>
      <c r="E787" s="4"/>
    </row>
    <row r="788">
      <c r="D788" s="4"/>
      <c r="E788" s="4"/>
    </row>
    <row r="789">
      <c r="D789" s="4"/>
      <c r="E789" s="4"/>
    </row>
    <row r="790">
      <c r="D790" s="4"/>
      <c r="E790" s="4"/>
    </row>
    <row r="791">
      <c r="D791" s="4"/>
      <c r="E791" s="4"/>
    </row>
    <row r="792">
      <c r="D792" s="4"/>
      <c r="E792" s="4"/>
    </row>
    <row r="793">
      <c r="D793" s="4"/>
      <c r="E793" s="4"/>
    </row>
    <row r="794">
      <c r="D794" s="4"/>
      <c r="E794" s="4"/>
    </row>
    <row r="795">
      <c r="D795" s="4"/>
      <c r="E795" s="4"/>
    </row>
    <row r="796">
      <c r="D796" s="4"/>
      <c r="E796" s="4"/>
    </row>
    <row r="797">
      <c r="D797" s="4"/>
      <c r="E797" s="4"/>
    </row>
    <row r="798">
      <c r="D798" s="4"/>
      <c r="E798" s="4"/>
    </row>
    <row r="799">
      <c r="D799" s="4"/>
      <c r="E799" s="4"/>
    </row>
    <row r="800">
      <c r="D800" s="4"/>
      <c r="E800" s="4"/>
    </row>
    <row r="801">
      <c r="D801" s="4"/>
      <c r="E801" s="4"/>
    </row>
    <row r="802">
      <c r="D802" s="4"/>
      <c r="E802" s="4"/>
    </row>
    <row r="803">
      <c r="D803" s="4"/>
      <c r="E803" s="4"/>
    </row>
    <row r="804">
      <c r="D804" s="4"/>
      <c r="E804" s="4"/>
    </row>
    <row r="805">
      <c r="D805" s="4"/>
      <c r="E805" s="4"/>
    </row>
    <row r="806">
      <c r="D806" s="4"/>
      <c r="E806" s="4"/>
    </row>
    <row r="807">
      <c r="D807" s="4"/>
      <c r="E807" s="4"/>
    </row>
    <row r="808">
      <c r="D808" s="4"/>
      <c r="E808" s="4"/>
    </row>
    <row r="809">
      <c r="D809" s="4"/>
      <c r="E809" s="4"/>
    </row>
    <row r="810">
      <c r="D810" s="4"/>
      <c r="E810" s="4"/>
    </row>
    <row r="811">
      <c r="D811" s="4"/>
      <c r="E811" s="4"/>
    </row>
    <row r="812">
      <c r="D812" s="4"/>
      <c r="E812" s="4"/>
    </row>
    <row r="813">
      <c r="D813" s="4"/>
      <c r="E813" s="4"/>
    </row>
    <row r="814">
      <c r="D814" s="4"/>
      <c r="E814" s="4"/>
    </row>
    <row r="815">
      <c r="D815" s="4"/>
      <c r="E815" s="4"/>
    </row>
    <row r="816">
      <c r="D816" s="4"/>
      <c r="E816" s="4"/>
    </row>
    <row r="817">
      <c r="D817" s="4"/>
      <c r="E817" s="4"/>
    </row>
    <row r="818">
      <c r="D818" s="4"/>
      <c r="E818" s="4"/>
    </row>
    <row r="819">
      <c r="D819" s="4"/>
      <c r="E819" s="4"/>
    </row>
    <row r="820">
      <c r="D820" s="4"/>
      <c r="E820" s="4"/>
    </row>
    <row r="821">
      <c r="D821" s="4"/>
      <c r="E821" s="4"/>
    </row>
    <row r="822">
      <c r="D822" s="4"/>
      <c r="E822" s="4"/>
    </row>
    <row r="823">
      <c r="D823" s="4"/>
      <c r="E823" s="4"/>
    </row>
    <row r="824">
      <c r="D824" s="4"/>
      <c r="E824" s="4"/>
    </row>
    <row r="825">
      <c r="D825" s="4"/>
      <c r="E825" s="4"/>
    </row>
    <row r="826">
      <c r="D826" s="4"/>
      <c r="E826" s="4"/>
    </row>
    <row r="827">
      <c r="D827" s="4"/>
      <c r="E827" s="4"/>
    </row>
    <row r="828">
      <c r="D828" s="4"/>
      <c r="E828" s="4"/>
    </row>
    <row r="829">
      <c r="D829" s="4"/>
      <c r="E829" s="4"/>
    </row>
    <row r="830">
      <c r="D830" s="4"/>
      <c r="E830" s="4"/>
    </row>
    <row r="831">
      <c r="D831" s="4"/>
      <c r="E831" s="4"/>
    </row>
    <row r="832">
      <c r="D832" s="4"/>
      <c r="E832" s="4"/>
    </row>
    <row r="833">
      <c r="D833" s="4"/>
      <c r="E833" s="4"/>
    </row>
    <row r="834">
      <c r="D834" s="4"/>
      <c r="E834" s="4"/>
    </row>
    <row r="835">
      <c r="D835" s="4"/>
      <c r="E835" s="4"/>
    </row>
    <row r="836">
      <c r="D836" s="4"/>
      <c r="E836" s="4"/>
    </row>
    <row r="837">
      <c r="D837" s="4"/>
      <c r="E837" s="4"/>
    </row>
    <row r="838">
      <c r="D838" s="4"/>
      <c r="E838" s="4"/>
    </row>
    <row r="839">
      <c r="D839" s="4"/>
      <c r="E839" s="4"/>
    </row>
    <row r="840">
      <c r="D840" s="4"/>
      <c r="E840" s="4"/>
    </row>
    <row r="841">
      <c r="D841" s="4"/>
      <c r="E841" s="4"/>
    </row>
    <row r="842">
      <c r="D842" s="4"/>
      <c r="E842" s="4"/>
    </row>
    <row r="843">
      <c r="D843" s="4"/>
      <c r="E843" s="4"/>
    </row>
    <row r="844">
      <c r="D844" s="4"/>
      <c r="E844" s="4"/>
    </row>
    <row r="845">
      <c r="D845" s="4"/>
      <c r="E845" s="4"/>
    </row>
    <row r="846">
      <c r="D846" s="4"/>
      <c r="E846" s="4"/>
    </row>
    <row r="847">
      <c r="D847" s="4"/>
      <c r="E847" s="4"/>
    </row>
    <row r="848">
      <c r="D848" s="4"/>
      <c r="E848" s="4"/>
    </row>
    <row r="849">
      <c r="D849" s="4"/>
      <c r="E849" s="4"/>
    </row>
    <row r="850">
      <c r="D850" s="4"/>
      <c r="E850" s="4"/>
    </row>
    <row r="851">
      <c r="D851" s="4"/>
      <c r="E851" s="4"/>
    </row>
    <row r="852">
      <c r="D852" s="4"/>
      <c r="E852" s="4"/>
    </row>
    <row r="853">
      <c r="D853" s="4"/>
      <c r="E853" s="4"/>
    </row>
    <row r="854">
      <c r="D854" s="4"/>
      <c r="E854" s="4"/>
    </row>
    <row r="855">
      <c r="D855" s="4"/>
      <c r="E855" s="4"/>
    </row>
    <row r="856">
      <c r="D856" s="4"/>
      <c r="E856" s="4"/>
    </row>
    <row r="857">
      <c r="D857" s="4"/>
      <c r="E857" s="4"/>
    </row>
    <row r="858">
      <c r="D858" s="4"/>
      <c r="E858" s="4"/>
    </row>
    <row r="859">
      <c r="D859" s="4"/>
      <c r="E859" s="4"/>
    </row>
    <row r="860">
      <c r="D860" s="4"/>
      <c r="E860" s="4"/>
    </row>
    <row r="861">
      <c r="D861" s="4"/>
      <c r="E861" s="4"/>
    </row>
    <row r="862">
      <c r="D862" s="4"/>
      <c r="E862" s="4"/>
    </row>
    <row r="863">
      <c r="D863" s="4"/>
      <c r="E863" s="4"/>
    </row>
    <row r="864">
      <c r="D864" s="4"/>
      <c r="E864" s="4"/>
    </row>
    <row r="865">
      <c r="D865" s="4"/>
      <c r="E865" s="4"/>
    </row>
    <row r="866">
      <c r="D866" s="4"/>
      <c r="E866" s="4"/>
    </row>
    <row r="867">
      <c r="D867" s="4"/>
      <c r="E867" s="4"/>
    </row>
    <row r="868">
      <c r="D868" s="4"/>
      <c r="E868" s="4"/>
    </row>
    <row r="869">
      <c r="D869" s="4"/>
      <c r="E869" s="4"/>
    </row>
    <row r="870">
      <c r="D870" s="4"/>
      <c r="E870" s="4"/>
    </row>
    <row r="871">
      <c r="D871" s="4"/>
      <c r="E871" s="4"/>
    </row>
    <row r="872">
      <c r="D872" s="4"/>
      <c r="E872" s="4"/>
    </row>
    <row r="873">
      <c r="D873" s="4"/>
      <c r="E873" s="4"/>
    </row>
    <row r="874">
      <c r="D874" s="4"/>
      <c r="E874" s="4"/>
    </row>
    <row r="875">
      <c r="D875" s="4"/>
      <c r="E875" s="4"/>
    </row>
    <row r="876">
      <c r="D876" s="4"/>
      <c r="E876" s="4"/>
    </row>
    <row r="877">
      <c r="D877" s="4"/>
      <c r="E877" s="4"/>
    </row>
    <row r="878">
      <c r="D878" s="4"/>
      <c r="E878" s="4"/>
    </row>
    <row r="879">
      <c r="D879" s="4"/>
      <c r="E879" s="4"/>
    </row>
    <row r="880">
      <c r="D880" s="4"/>
      <c r="E880" s="4"/>
    </row>
    <row r="881">
      <c r="D881" s="4"/>
      <c r="E881" s="4"/>
    </row>
    <row r="882">
      <c r="D882" s="4"/>
      <c r="E882" s="4"/>
    </row>
    <row r="883">
      <c r="D883" s="4"/>
      <c r="E883" s="4"/>
    </row>
    <row r="884">
      <c r="D884" s="4"/>
      <c r="E884" s="4"/>
    </row>
    <row r="885">
      <c r="D885" s="4"/>
      <c r="E885" s="4"/>
    </row>
    <row r="886">
      <c r="D886" s="4"/>
      <c r="E886" s="4"/>
    </row>
    <row r="887">
      <c r="D887" s="4"/>
      <c r="E887" s="4"/>
    </row>
    <row r="888">
      <c r="D888" s="4"/>
      <c r="E888" s="4"/>
    </row>
    <row r="889">
      <c r="D889" s="4"/>
      <c r="E889" s="4"/>
    </row>
    <row r="890">
      <c r="D890" s="4"/>
      <c r="E890" s="4"/>
    </row>
    <row r="891">
      <c r="D891" s="4"/>
      <c r="E891" s="4"/>
    </row>
    <row r="892">
      <c r="D892" s="4"/>
      <c r="E892" s="4"/>
    </row>
    <row r="893">
      <c r="D893" s="4"/>
      <c r="E893" s="4"/>
    </row>
    <row r="894">
      <c r="D894" s="4"/>
      <c r="E894" s="4"/>
    </row>
    <row r="895">
      <c r="D895" s="4"/>
      <c r="E895" s="4"/>
    </row>
    <row r="896">
      <c r="D896" s="4"/>
      <c r="E896" s="4"/>
    </row>
    <row r="897">
      <c r="D897" s="4"/>
      <c r="E897" s="4"/>
    </row>
    <row r="898">
      <c r="D898" s="4"/>
      <c r="E898" s="4"/>
    </row>
    <row r="899">
      <c r="D899" s="4"/>
      <c r="E899" s="4"/>
    </row>
    <row r="900">
      <c r="D900" s="4"/>
      <c r="E900" s="4"/>
    </row>
    <row r="901">
      <c r="D901" s="4"/>
      <c r="E901" s="4"/>
    </row>
    <row r="902">
      <c r="D902" s="4"/>
      <c r="E902" s="4"/>
    </row>
    <row r="903">
      <c r="D903" s="4"/>
      <c r="E903" s="4"/>
    </row>
    <row r="904">
      <c r="D904" s="4"/>
      <c r="E904" s="4"/>
    </row>
    <row r="905">
      <c r="D905" s="4"/>
      <c r="E905" s="4"/>
    </row>
    <row r="906">
      <c r="D906" s="4"/>
      <c r="E906" s="4"/>
    </row>
    <row r="907">
      <c r="D907" s="4"/>
      <c r="E907" s="4"/>
    </row>
    <row r="908">
      <c r="D908" s="4"/>
      <c r="E908" s="4"/>
    </row>
    <row r="909">
      <c r="D909" s="4"/>
      <c r="E909" s="4"/>
    </row>
    <row r="910">
      <c r="D910" s="4"/>
      <c r="E910" s="4"/>
    </row>
    <row r="911">
      <c r="D911" s="4"/>
      <c r="E911" s="4"/>
    </row>
    <row r="912">
      <c r="D912" s="4"/>
      <c r="E912" s="4"/>
    </row>
    <row r="913">
      <c r="D913" s="4"/>
      <c r="E913" s="4"/>
    </row>
    <row r="914">
      <c r="D914" s="4"/>
      <c r="E914" s="4"/>
    </row>
    <row r="915">
      <c r="D915" s="4"/>
      <c r="E915" s="4"/>
    </row>
    <row r="916">
      <c r="D916" s="4"/>
      <c r="E916" s="4"/>
    </row>
    <row r="917">
      <c r="D917" s="4"/>
      <c r="E917" s="4"/>
    </row>
    <row r="918">
      <c r="D918" s="4"/>
      <c r="E918" s="4"/>
    </row>
    <row r="919">
      <c r="D919" s="4"/>
      <c r="E919" s="4"/>
    </row>
    <row r="920">
      <c r="D920" s="4"/>
      <c r="E920" s="4"/>
    </row>
    <row r="921">
      <c r="D921" s="4"/>
      <c r="E921" s="4"/>
    </row>
    <row r="922">
      <c r="D922" s="4"/>
      <c r="E922" s="4"/>
    </row>
    <row r="923">
      <c r="D923" s="4"/>
      <c r="E923" s="4"/>
    </row>
    <row r="924">
      <c r="D924" s="4"/>
      <c r="E924" s="4"/>
    </row>
    <row r="925">
      <c r="D925" s="4"/>
      <c r="E925" s="4"/>
    </row>
    <row r="926">
      <c r="D926" s="4"/>
      <c r="E926" s="4"/>
    </row>
    <row r="927">
      <c r="D927" s="4"/>
      <c r="E927" s="4"/>
    </row>
    <row r="928">
      <c r="D928" s="4"/>
      <c r="E928" s="4"/>
    </row>
    <row r="929">
      <c r="D929" s="4"/>
      <c r="E929" s="4"/>
    </row>
    <row r="930">
      <c r="D930" s="4"/>
      <c r="E930" s="4"/>
    </row>
    <row r="931">
      <c r="D931" s="4"/>
      <c r="E931" s="4"/>
    </row>
    <row r="932">
      <c r="D932" s="4"/>
      <c r="E932" s="4"/>
    </row>
    <row r="933">
      <c r="D933" s="4"/>
      <c r="E933" s="4"/>
    </row>
    <row r="934">
      <c r="D934" s="4"/>
      <c r="E934" s="4"/>
    </row>
    <row r="935">
      <c r="D935" s="4"/>
      <c r="E935" s="4"/>
    </row>
    <row r="936">
      <c r="D936" s="4"/>
      <c r="E936" s="4"/>
    </row>
    <row r="937">
      <c r="D937" s="4"/>
      <c r="E937" s="4"/>
    </row>
    <row r="938">
      <c r="D938" s="4"/>
      <c r="E938" s="4"/>
    </row>
    <row r="939">
      <c r="D939" s="4"/>
      <c r="E939" s="4"/>
    </row>
    <row r="940">
      <c r="D940" s="4"/>
      <c r="E940" s="4"/>
    </row>
    <row r="941">
      <c r="D941" s="4"/>
      <c r="E941" s="4"/>
    </row>
    <row r="942">
      <c r="D942" s="4"/>
      <c r="E942" s="4"/>
    </row>
    <row r="943">
      <c r="D943" s="4"/>
      <c r="E943" s="4"/>
    </row>
    <row r="944">
      <c r="D944" s="4"/>
      <c r="E944" s="4"/>
    </row>
    <row r="945">
      <c r="D945" s="4"/>
      <c r="E945" s="4"/>
    </row>
    <row r="946">
      <c r="D946" s="4"/>
      <c r="E946" s="4"/>
    </row>
    <row r="947">
      <c r="D947" s="4"/>
      <c r="E947" s="4"/>
    </row>
    <row r="948">
      <c r="D948" s="4"/>
      <c r="E948" s="4"/>
    </row>
    <row r="949">
      <c r="D949" s="4"/>
      <c r="E949" s="4"/>
    </row>
    <row r="950">
      <c r="D950" s="4"/>
      <c r="E950" s="4"/>
    </row>
    <row r="951">
      <c r="D951" s="4"/>
      <c r="E951" s="4"/>
    </row>
    <row r="952">
      <c r="D952" s="4"/>
      <c r="E952" s="4"/>
    </row>
    <row r="953">
      <c r="D953" s="4"/>
      <c r="E953" s="4"/>
    </row>
    <row r="954">
      <c r="D954" s="4"/>
      <c r="E954" s="4"/>
    </row>
    <row r="955">
      <c r="D955" s="4"/>
      <c r="E955" s="4"/>
    </row>
    <row r="956">
      <c r="D956" s="4"/>
      <c r="E956" s="4"/>
    </row>
    <row r="957">
      <c r="D957" s="4"/>
      <c r="E957" s="4"/>
    </row>
    <row r="958">
      <c r="D958" s="4"/>
      <c r="E958" s="4"/>
    </row>
    <row r="959">
      <c r="D959" s="4"/>
      <c r="E959" s="4"/>
    </row>
    <row r="960">
      <c r="D960" s="4"/>
      <c r="E960" s="4"/>
    </row>
    <row r="961">
      <c r="D961" s="4"/>
      <c r="E961" s="4"/>
    </row>
    <row r="962">
      <c r="D962" s="4"/>
      <c r="E962" s="4"/>
    </row>
    <row r="963">
      <c r="D963" s="4"/>
      <c r="E963" s="4"/>
    </row>
    <row r="964">
      <c r="D964" s="4"/>
      <c r="E964" s="4"/>
    </row>
    <row r="965">
      <c r="D965" s="4"/>
      <c r="E965" s="4"/>
    </row>
    <row r="966">
      <c r="D966" s="4"/>
      <c r="E966" s="4"/>
    </row>
    <row r="967">
      <c r="D967" s="4"/>
      <c r="E967" s="4"/>
    </row>
    <row r="968">
      <c r="D968" s="4"/>
      <c r="E968" s="4"/>
    </row>
    <row r="969">
      <c r="D969" s="4"/>
      <c r="E969" s="4"/>
    </row>
    <row r="970">
      <c r="D970" s="4"/>
      <c r="E970" s="4"/>
    </row>
    <row r="971">
      <c r="D971" s="4"/>
      <c r="E971" s="4"/>
    </row>
    <row r="972">
      <c r="D972" s="4"/>
      <c r="E972" s="4"/>
    </row>
    <row r="973">
      <c r="D973" s="4"/>
      <c r="E973" s="4"/>
    </row>
    <row r="974">
      <c r="D974" s="4"/>
      <c r="E974" s="4"/>
    </row>
    <row r="975">
      <c r="D975" s="4"/>
      <c r="E975" s="4"/>
    </row>
    <row r="976">
      <c r="D976" s="4"/>
      <c r="E976" s="4"/>
    </row>
    <row r="977">
      <c r="D977" s="4"/>
      <c r="E977" s="4"/>
    </row>
    <row r="978">
      <c r="D978" s="4"/>
      <c r="E978" s="4"/>
    </row>
    <row r="979">
      <c r="D979" s="4"/>
      <c r="E979" s="4"/>
    </row>
    <row r="980">
      <c r="D980" s="4"/>
      <c r="E980" s="4"/>
    </row>
    <row r="981">
      <c r="D981" s="4"/>
      <c r="E981" s="4"/>
    </row>
    <row r="982">
      <c r="D982" s="4"/>
      <c r="E982" s="4"/>
    </row>
    <row r="983">
      <c r="D983" s="4"/>
      <c r="E983" s="4"/>
    </row>
    <row r="984">
      <c r="D984" s="4"/>
      <c r="E984" s="4"/>
    </row>
    <row r="985">
      <c r="D985" s="4"/>
      <c r="E985" s="4"/>
    </row>
    <row r="986">
      <c r="D986" s="4"/>
      <c r="E986" s="4"/>
    </row>
    <row r="987">
      <c r="D987" s="4"/>
      <c r="E987" s="4"/>
    </row>
    <row r="988">
      <c r="D988" s="4"/>
      <c r="E988" s="4"/>
    </row>
    <row r="989">
      <c r="D989" s="4"/>
      <c r="E989" s="4"/>
    </row>
    <row r="990">
      <c r="D990" s="4"/>
      <c r="E990" s="4"/>
    </row>
    <row r="991">
      <c r="D991" s="4"/>
      <c r="E991" s="4"/>
    </row>
    <row r="992">
      <c r="D992" s="4"/>
      <c r="E992" s="4"/>
    </row>
    <row r="993">
      <c r="D993" s="4"/>
      <c r="E993" s="4"/>
    </row>
    <row r="994">
      <c r="D994" s="4"/>
      <c r="E994" s="4"/>
    </row>
    <row r="995">
      <c r="D995" s="4"/>
      <c r="E995" s="4"/>
    </row>
    <row r="996">
      <c r="D996" s="4"/>
      <c r="E996" s="4"/>
    </row>
    <row r="997">
      <c r="D997" s="4"/>
      <c r="E997" s="4"/>
    </row>
    <row r="998">
      <c r="D998" s="4"/>
      <c r="E998" s="4"/>
    </row>
    <row r="999">
      <c r="D999" s="4"/>
      <c r="E999" s="4"/>
    </row>
    <row r="1000">
      <c r="D1000" s="4"/>
      <c r="E1000" s="4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8" max="8" width="37.63"/>
  </cols>
  <sheetData>
    <row r="1" ht="22.5" customHeight="1">
      <c r="A1" s="11" t="s">
        <v>350</v>
      </c>
      <c r="B1" s="11" t="s">
        <v>351</v>
      </c>
      <c r="C1" s="11" t="s">
        <v>352</v>
      </c>
      <c r="D1" s="11" t="s">
        <v>353</v>
      </c>
      <c r="E1" s="11" t="s">
        <v>354</v>
      </c>
      <c r="F1" s="11" t="s">
        <v>355</v>
      </c>
      <c r="G1" s="11" t="s">
        <v>356</v>
      </c>
      <c r="H1" s="11" t="s">
        <v>357</v>
      </c>
      <c r="I1" s="17" t="s">
        <v>358</v>
      </c>
      <c r="J1" s="17" t="s">
        <v>359</v>
      </c>
    </row>
    <row r="2" ht="22.5" customHeight="1">
      <c r="A2" s="16">
        <v>1.0</v>
      </c>
      <c r="B2" s="16">
        <v>4.0</v>
      </c>
      <c r="C2" s="16">
        <v>1.0</v>
      </c>
      <c r="D2" s="16">
        <v>0.0</v>
      </c>
      <c r="E2" s="16">
        <v>0.0</v>
      </c>
      <c r="F2" s="16">
        <v>0.0</v>
      </c>
      <c r="G2" s="18">
        <v>0.0</v>
      </c>
      <c r="H2" s="16" t="s">
        <v>0</v>
      </c>
      <c r="I2" s="19">
        <f t="shared" ref="I2:I463" si="1">round(A2*D2,0)</f>
        <v>0</v>
      </c>
      <c r="J2" s="19">
        <f t="shared" ref="J2:J463" si="2">round(E2*A2,0)</f>
        <v>0</v>
      </c>
    </row>
    <row r="3" ht="22.5" customHeight="1">
      <c r="A3" s="16">
        <v>4.0</v>
      </c>
      <c r="B3" s="16">
        <v>16.0</v>
      </c>
      <c r="C3" s="16">
        <v>3.0</v>
      </c>
      <c r="D3" s="16">
        <v>1.0</v>
      </c>
      <c r="E3" s="16">
        <v>0.25</v>
      </c>
      <c r="F3" s="16">
        <v>0.0</v>
      </c>
      <c r="G3" s="20">
        <v>0.667</v>
      </c>
      <c r="H3" s="16" t="s">
        <v>2</v>
      </c>
      <c r="I3" s="19">
        <f t="shared" si="1"/>
        <v>4</v>
      </c>
      <c r="J3" s="19">
        <f t="shared" si="2"/>
        <v>1</v>
      </c>
    </row>
    <row r="4" ht="22.5" customHeight="1">
      <c r="A4" s="16">
        <v>1.0</v>
      </c>
      <c r="B4" s="16">
        <v>4.0</v>
      </c>
      <c r="C4" s="16">
        <v>0.0</v>
      </c>
      <c r="D4" s="16">
        <v>0.0</v>
      </c>
      <c r="E4" s="16">
        <v>0.0</v>
      </c>
      <c r="F4" s="16">
        <v>0.0</v>
      </c>
      <c r="G4" s="18">
        <v>0.0</v>
      </c>
      <c r="H4" s="16" t="s">
        <v>2</v>
      </c>
      <c r="I4" s="19">
        <f t="shared" si="1"/>
        <v>0</v>
      </c>
      <c r="J4" s="19">
        <f t="shared" si="2"/>
        <v>0</v>
      </c>
    </row>
    <row r="5" ht="22.5" customHeight="1">
      <c r="A5" s="16">
        <v>4.0</v>
      </c>
      <c r="B5" s="16">
        <v>16.0</v>
      </c>
      <c r="C5" s="16">
        <v>0.0</v>
      </c>
      <c r="D5" s="16">
        <v>0.0</v>
      </c>
      <c r="E5" s="16">
        <v>0.0</v>
      </c>
      <c r="F5" s="16">
        <v>0.0</v>
      </c>
      <c r="G5" s="18">
        <v>0.0</v>
      </c>
      <c r="H5" s="16" t="s">
        <v>5</v>
      </c>
      <c r="I5" s="19">
        <f t="shared" si="1"/>
        <v>0</v>
      </c>
      <c r="J5" s="19">
        <f t="shared" si="2"/>
        <v>0</v>
      </c>
    </row>
    <row r="6" ht="22.5" customHeight="1">
      <c r="A6" s="16">
        <v>1.0</v>
      </c>
      <c r="B6" s="16">
        <v>4.0</v>
      </c>
      <c r="C6" s="16">
        <v>0.0</v>
      </c>
      <c r="D6" s="16">
        <v>0.0</v>
      </c>
      <c r="E6" s="16">
        <v>0.0</v>
      </c>
      <c r="F6" s="16">
        <v>0.0</v>
      </c>
      <c r="G6" s="18">
        <v>0.0</v>
      </c>
      <c r="H6" s="16" t="s">
        <v>5</v>
      </c>
      <c r="I6" s="19">
        <f t="shared" si="1"/>
        <v>0</v>
      </c>
      <c r="J6" s="19">
        <f t="shared" si="2"/>
        <v>0</v>
      </c>
    </row>
    <row r="7" ht="22.5" customHeight="1">
      <c r="A7" s="16">
        <v>4.0</v>
      </c>
      <c r="B7" s="16">
        <v>16.0</v>
      </c>
      <c r="C7" s="16">
        <v>9.0</v>
      </c>
      <c r="D7" s="16">
        <v>-1.0</v>
      </c>
      <c r="E7" s="16">
        <v>1.0</v>
      </c>
      <c r="F7" s="16">
        <v>0.0</v>
      </c>
      <c r="G7" s="20">
        <v>0.333</v>
      </c>
      <c r="H7" s="16" t="s">
        <v>8</v>
      </c>
      <c r="I7" s="19">
        <f t="shared" si="1"/>
        <v>-4</v>
      </c>
      <c r="J7" s="19">
        <f t="shared" si="2"/>
        <v>4</v>
      </c>
    </row>
    <row r="8" ht="22.5" customHeight="1">
      <c r="A8" s="16">
        <v>1.0</v>
      </c>
      <c r="B8" s="16">
        <v>4.0</v>
      </c>
      <c r="C8" s="16">
        <v>4.0</v>
      </c>
      <c r="D8" s="16">
        <v>8.0</v>
      </c>
      <c r="E8" s="16">
        <v>1.0</v>
      </c>
      <c r="F8" s="16">
        <v>0.0</v>
      </c>
      <c r="G8" s="18">
        <v>0.75</v>
      </c>
      <c r="H8" s="16" t="s">
        <v>8</v>
      </c>
      <c r="I8" s="19">
        <f t="shared" si="1"/>
        <v>8</v>
      </c>
      <c r="J8" s="19">
        <f t="shared" si="2"/>
        <v>1</v>
      </c>
    </row>
    <row r="9" ht="22.5" customHeight="1">
      <c r="A9" s="16">
        <v>4.0</v>
      </c>
      <c r="B9" s="16">
        <v>16.0</v>
      </c>
      <c r="C9" s="16">
        <v>0.0</v>
      </c>
      <c r="D9" s="16">
        <v>0.0</v>
      </c>
      <c r="E9" s="16">
        <v>0.0</v>
      </c>
      <c r="F9" s="16">
        <v>0.0</v>
      </c>
      <c r="G9" s="18">
        <v>0.0</v>
      </c>
      <c r="H9" s="16" t="s">
        <v>11</v>
      </c>
      <c r="I9" s="19">
        <f t="shared" si="1"/>
        <v>0</v>
      </c>
      <c r="J9" s="19">
        <f t="shared" si="2"/>
        <v>0</v>
      </c>
    </row>
    <row r="10" ht="22.5" customHeight="1">
      <c r="A10" s="16">
        <v>3.0</v>
      </c>
      <c r="B10" s="16">
        <v>12.0</v>
      </c>
      <c r="C10" s="16">
        <v>1.0</v>
      </c>
      <c r="D10" s="16">
        <v>0.0</v>
      </c>
      <c r="E10" s="16">
        <v>0.0</v>
      </c>
      <c r="F10" s="16">
        <v>0.0</v>
      </c>
      <c r="G10" s="18">
        <v>0.0</v>
      </c>
      <c r="H10" s="16" t="s">
        <v>12</v>
      </c>
      <c r="I10" s="19">
        <f t="shared" si="1"/>
        <v>0</v>
      </c>
      <c r="J10" s="19">
        <f t="shared" si="2"/>
        <v>0</v>
      </c>
    </row>
    <row r="11" ht="22.5" customHeight="1">
      <c r="A11" s="16">
        <v>1.0</v>
      </c>
      <c r="B11" s="16">
        <v>4.0</v>
      </c>
      <c r="C11" s="16">
        <v>1.0</v>
      </c>
      <c r="D11" s="16">
        <v>4.0</v>
      </c>
      <c r="E11" s="16">
        <v>0.0</v>
      </c>
      <c r="F11" s="16">
        <v>0.0</v>
      </c>
      <c r="G11" s="18">
        <v>1.0</v>
      </c>
      <c r="H11" s="16" t="s">
        <v>13</v>
      </c>
      <c r="I11" s="19">
        <f t="shared" si="1"/>
        <v>4</v>
      </c>
      <c r="J11" s="19">
        <f t="shared" si="2"/>
        <v>0</v>
      </c>
    </row>
    <row r="12" ht="22.5" customHeight="1">
      <c r="A12" s="16">
        <v>4.0</v>
      </c>
      <c r="B12" s="16">
        <v>16.0</v>
      </c>
      <c r="C12" s="16">
        <v>1.0</v>
      </c>
      <c r="D12" s="16">
        <v>0.0</v>
      </c>
      <c r="E12" s="16">
        <v>0.0</v>
      </c>
      <c r="F12" s="16">
        <v>0.0</v>
      </c>
      <c r="G12" s="18">
        <v>0.0</v>
      </c>
      <c r="H12" s="16" t="s">
        <v>13</v>
      </c>
      <c r="I12" s="19">
        <f t="shared" si="1"/>
        <v>0</v>
      </c>
      <c r="J12" s="19">
        <f t="shared" si="2"/>
        <v>0</v>
      </c>
    </row>
    <row r="13" ht="22.5" customHeight="1">
      <c r="A13" s="16">
        <v>1.0</v>
      </c>
      <c r="B13" s="16">
        <v>4.0</v>
      </c>
      <c r="C13" s="16">
        <v>2.0</v>
      </c>
      <c r="D13" s="16">
        <v>4.0</v>
      </c>
      <c r="E13" s="16">
        <v>0.0</v>
      </c>
      <c r="F13" s="16">
        <v>0.0</v>
      </c>
      <c r="G13" s="18">
        <v>0.5</v>
      </c>
      <c r="H13" s="16" t="s">
        <v>15</v>
      </c>
      <c r="I13" s="19">
        <f t="shared" si="1"/>
        <v>4</v>
      </c>
      <c r="J13" s="19">
        <f t="shared" si="2"/>
        <v>0</v>
      </c>
    </row>
    <row r="14" ht="22.5" customHeight="1">
      <c r="A14" s="16">
        <v>4.0</v>
      </c>
      <c r="B14" s="16">
        <v>16.0</v>
      </c>
      <c r="C14" s="16">
        <v>7.0</v>
      </c>
      <c r="D14" s="16">
        <v>4.0</v>
      </c>
      <c r="E14" s="16">
        <v>0.25</v>
      </c>
      <c r="F14" s="16">
        <v>0.0</v>
      </c>
      <c r="G14" s="20">
        <v>0.714</v>
      </c>
      <c r="H14" s="16" t="s">
        <v>15</v>
      </c>
      <c r="I14" s="19">
        <f t="shared" si="1"/>
        <v>16</v>
      </c>
      <c r="J14" s="19">
        <f t="shared" si="2"/>
        <v>1</v>
      </c>
    </row>
    <row r="15" ht="22.5" customHeight="1">
      <c r="A15" s="16">
        <v>1.0</v>
      </c>
      <c r="B15" s="16">
        <v>4.0</v>
      </c>
      <c r="C15" s="16">
        <v>0.0</v>
      </c>
      <c r="D15" s="16">
        <v>0.0</v>
      </c>
      <c r="E15" s="16">
        <v>0.0</v>
      </c>
      <c r="F15" s="16">
        <v>0.0</v>
      </c>
      <c r="G15" s="18">
        <v>0.0</v>
      </c>
      <c r="H15" s="16" t="s">
        <v>17</v>
      </c>
      <c r="I15" s="19">
        <f t="shared" si="1"/>
        <v>0</v>
      </c>
      <c r="J15" s="19">
        <f t="shared" si="2"/>
        <v>0</v>
      </c>
    </row>
    <row r="16" ht="22.5" customHeight="1">
      <c r="A16" s="16">
        <v>4.0</v>
      </c>
      <c r="B16" s="16">
        <v>16.0</v>
      </c>
      <c r="C16" s="16">
        <v>2.0</v>
      </c>
      <c r="D16" s="16">
        <v>1.0</v>
      </c>
      <c r="E16" s="16">
        <v>0.0</v>
      </c>
      <c r="F16" s="16">
        <v>0.0</v>
      </c>
      <c r="G16" s="18">
        <v>0.5</v>
      </c>
      <c r="H16" s="16" t="s">
        <v>17</v>
      </c>
      <c r="I16" s="19">
        <f t="shared" si="1"/>
        <v>4</v>
      </c>
      <c r="J16" s="19">
        <f t="shared" si="2"/>
        <v>0</v>
      </c>
    </row>
    <row r="17" ht="22.5" customHeight="1">
      <c r="A17" s="16">
        <v>1.0</v>
      </c>
      <c r="B17" s="16">
        <v>4.0</v>
      </c>
      <c r="C17" s="16">
        <v>0.0</v>
      </c>
      <c r="D17" s="16">
        <v>0.0</v>
      </c>
      <c r="E17" s="16">
        <v>0.0</v>
      </c>
      <c r="F17" s="16">
        <v>0.0</v>
      </c>
      <c r="G17" s="18">
        <v>0.0</v>
      </c>
      <c r="H17" s="16" t="s">
        <v>20</v>
      </c>
      <c r="I17" s="19">
        <f t="shared" si="1"/>
        <v>0</v>
      </c>
      <c r="J17" s="19">
        <f t="shared" si="2"/>
        <v>0</v>
      </c>
    </row>
    <row r="18" ht="22.5" customHeight="1">
      <c r="A18" s="16">
        <v>1.0</v>
      </c>
      <c r="B18" s="16">
        <v>4.0</v>
      </c>
      <c r="C18" s="16">
        <v>0.0</v>
      </c>
      <c r="D18" s="16">
        <v>0.0</v>
      </c>
      <c r="E18" s="16">
        <v>0.0</v>
      </c>
      <c r="F18" s="16">
        <v>0.0</v>
      </c>
      <c r="G18" s="18">
        <v>0.0</v>
      </c>
      <c r="H18" s="16" t="s">
        <v>20</v>
      </c>
      <c r="I18" s="19">
        <f t="shared" si="1"/>
        <v>0</v>
      </c>
      <c r="J18" s="19">
        <f t="shared" si="2"/>
        <v>0</v>
      </c>
    </row>
    <row r="19" ht="22.5" customHeight="1">
      <c r="A19" s="16">
        <v>1.0</v>
      </c>
      <c r="B19" s="16">
        <v>4.0</v>
      </c>
      <c r="C19" s="16">
        <v>1.0</v>
      </c>
      <c r="D19" s="16">
        <v>-4.0</v>
      </c>
      <c r="E19" s="16">
        <v>1.0</v>
      </c>
      <c r="F19" s="16">
        <v>0.0</v>
      </c>
      <c r="G19" s="18">
        <v>0.0</v>
      </c>
      <c r="H19" s="16" t="s">
        <v>24</v>
      </c>
      <c r="I19" s="19">
        <f t="shared" si="1"/>
        <v>-4</v>
      </c>
      <c r="J19" s="19">
        <f t="shared" si="2"/>
        <v>1</v>
      </c>
    </row>
    <row r="20" ht="22.5" customHeight="1">
      <c r="A20" s="16">
        <v>1.0</v>
      </c>
      <c r="B20" s="16">
        <v>4.0</v>
      </c>
      <c r="C20" s="16">
        <v>3.0</v>
      </c>
      <c r="D20" s="16">
        <v>12.0</v>
      </c>
      <c r="E20" s="16">
        <v>0.0</v>
      </c>
      <c r="F20" s="16">
        <v>0.0</v>
      </c>
      <c r="G20" s="18">
        <v>1.0</v>
      </c>
      <c r="H20" s="16" t="s">
        <v>24</v>
      </c>
      <c r="I20" s="19">
        <f t="shared" si="1"/>
        <v>12</v>
      </c>
      <c r="J20" s="19">
        <f t="shared" si="2"/>
        <v>0</v>
      </c>
    </row>
    <row r="21" ht="22.5" customHeight="1">
      <c r="A21" s="16">
        <v>3.0</v>
      </c>
      <c r="B21" s="16">
        <v>12.0</v>
      </c>
      <c r="C21" s="16">
        <v>2.0</v>
      </c>
      <c r="D21" s="16">
        <v>1.33</v>
      </c>
      <c r="E21" s="16">
        <v>0.0</v>
      </c>
      <c r="F21" s="16">
        <v>0.0</v>
      </c>
      <c r="G21" s="18">
        <v>0.5</v>
      </c>
      <c r="H21" s="16" t="s">
        <v>29</v>
      </c>
      <c r="I21" s="19">
        <f t="shared" si="1"/>
        <v>4</v>
      </c>
      <c r="J21" s="19">
        <f t="shared" si="2"/>
        <v>0</v>
      </c>
    </row>
    <row r="22" ht="22.5" customHeight="1">
      <c r="A22" s="16">
        <v>1.0</v>
      </c>
      <c r="B22" s="16">
        <v>4.0</v>
      </c>
      <c r="C22" s="16">
        <v>1.0</v>
      </c>
      <c r="D22" s="16">
        <v>-4.0</v>
      </c>
      <c r="E22" s="16">
        <v>1.0</v>
      </c>
      <c r="F22" s="16">
        <v>0.0</v>
      </c>
      <c r="G22" s="18">
        <v>0.0</v>
      </c>
      <c r="H22" s="16" t="s">
        <v>29</v>
      </c>
      <c r="I22" s="19">
        <f t="shared" si="1"/>
        <v>-4</v>
      </c>
      <c r="J22" s="19">
        <f t="shared" si="2"/>
        <v>1</v>
      </c>
    </row>
    <row r="23" ht="22.5" customHeight="1">
      <c r="A23" s="16">
        <v>1.0</v>
      </c>
      <c r="B23" s="16">
        <v>4.0</v>
      </c>
      <c r="C23" s="16">
        <v>4.0</v>
      </c>
      <c r="D23" s="16">
        <v>12.0</v>
      </c>
      <c r="E23" s="16">
        <v>0.0</v>
      </c>
      <c r="F23" s="16">
        <v>0.0</v>
      </c>
      <c r="G23" s="18">
        <v>0.75</v>
      </c>
      <c r="H23" s="16" t="s">
        <v>29</v>
      </c>
      <c r="I23" s="19">
        <f t="shared" si="1"/>
        <v>12</v>
      </c>
      <c r="J23" s="19">
        <f t="shared" si="2"/>
        <v>0</v>
      </c>
    </row>
    <row r="24" ht="22.5" customHeight="1">
      <c r="A24" s="16">
        <v>2.0</v>
      </c>
      <c r="B24" s="16">
        <v>8.0</v>
      </c>
      <c r="C24" s="16">
        <v>1.0</v>
      </c>
      <c r="D24" s="16">
        <v>2.0</v>
      </c>
      <c r="E24" s="16">
        <v>0.0</v>
      </c>
      <c r="F24" s="16">
        <v>0.0</v>
      </c>
      <c r="G24" s="18">
        <v>1.0</v>
      </c>
      <c r="H24" s="16" t="s">
        <v>38</v>
      </c>
      <c r="I24" s="19">
        <f t="shared" si="1"/>
        <v>4</v>
      </c>
      <c r="J24" s="19">
        <f t="shared" si="2"/>
        <v>0</v>
      </c>
    </row>
    <row r="25" ht="22.5" customHeight="1">
      <c r="A25" s="16">
        <v>1.0</v>
      </c>
      <c r="B25" s="16">
        <v>4.0</v>
      </c>
      <c r="C25" s="16">
        <v>0.0</v>
      </c>
      <c r="D25" s="16">
        <v>0.0</v>
      </c>
      <c r="E25" s="16">
        <v>0.0</v>
      </c>
      <c r="F25" s="16">
        <v>0.0</v>
      </c>
      <c r="G25" s="18">
        <v>0.0</v>
      </c>
      <c r="H25" s="16" t="s">
        <v>38</v>
      </c>
      <c r="I25" s="19">
        <f t="shared" si="1"/>
        <v>0</v>
      </c>
      <c r="J25" s="19">
        <f t="shared" si="2"/>
        <v>0</v>
      </c>
    </row>
    <row r="26" ht="22.5" customHeight="1">
      <c r="A26" s="16">
        <v>3.0</v>
      </c>
      <c r="B26" s="16">
        <v>12.0</v>
      </c>
      <c r="C26" s="16">
        <v>3.0</v>
      </c>
      <c r="D26" s="16">
        <v>0.0</v>
      </c>
      <c r="E26" s="16">
        <v>0.33</v>
      </c>
      <c r="F26" s="16">
        <v>0.0</v>
      </c>
      <c r="G26" s="20">
        <v>0.333</v>
      </c>
      <c r="H26" s="16" t="s">
        <v>40</v>
      </c>
      <c r="I26" s="19">
        <f t="shared" si="1"/>
        <v>0</v>
      </c>
      <c r="J26" s="19">
        <f t="shared" si="2"/>
        <v>1</v>
      </c>
    </row>
    <row r="27" ht="22.5" customHeight="1">
      <c r="A27" s="16">
        <v>1.0</v>
      </c>
      <c r="B27" s="16">
        <v>4.0</v>
      </c>
      <c r="C27" s="16">
        <v>1.0</v>
      </c>
      <c r="D27" s="16">
        <v>4.0</v>
      </c>
      <c r="E27" s="16">
        <v>0.0</v>
      </c>
      <c r="F27" s="16">
        <v>0.0</v>
      </c>
      <c r="G27" s="18">
        <v>1.0</v>
      </c>
      <c r="H27" s="16" t="s">
        <v>40</v>
      </c>
      <c r="I27" s="19">
        <f t="shared" si="1"/>
        <v>4</v>
      </c>
      <c r="J27" s="19">
        <f t="shared" si="2"/>
        <v>0</v>
      </c>
    </row>
    <row r="28" ht="22.5" customHeight="1">
      <c r="A28" s="16">
        <v>1.0</v>
      </c>
      <c r="B28" s="16">
        <v>4.0</v>
      </c>
      <c r="C28" s="16">
        <v>0.0</v>
      </c>
      <c r="D28" s="16">
        <v>0.0</v>
      </c>
      <c r="E28" s="16">
        <v>0.0</v>
      </c>
      <c r="F28" s="16">
        <v>0.0</v>
      </c>
      <c r="G28" s="18">
        <v>0.0</v>
      </c>
      <c r="H28" s="16" t="s">
        <v>40</v>
      </c>
      <c r="I28" s="19">
        <f t="shared" si="1"/>
        <v>0</v>
      </c>
      <c r="J28" s="19">
        <f t="shared" si="2"/>
        <v>0</v>
      </c>
    </row>
    <row r="29" ht="22.5" customHeight="1">
      <c r="A29" s="16">
        <v>3.0</v>
      </c>
      <c r="B29" s="16">
        <v>12.0</v>
      </c>
      <c r="C29" s="16">
        <v>0.0</v>
      </c>
      <c r="D29" s="16">
        <v>0.0</v>
      </c>
      <c r="E29" s="16">
        <v>0.0</v>
      </c>
      <c r="F29" s="16">
        <v>0.0</v>
      </c>
      <c r="G29" s="18">
        <v>0.0</v>
      </c>
      <c r="H29" s="16" t="s">
        <v>46</v>
      </c>
      <c r="I29" s="19">
        <f t="shared" si="1"/>
        <v>0</v>
      </c>
      <c r="J29" s="19">
        <f t="shared" si="2"/>
        <v>0</v>
      </c>
    </row>
    <row r="30" ht="22.5" customHeight="1">
      <c r="A30" s="16">
        <v>1.0</v>
      </c>
      <c r="B30" s="16">
        <v>4.0</v>
      </c>
      <c r="C30" s="16">
        <v>1.0</v>
      </c>
      <c r="D30" s="16">
        <v>0.0</v>
      </c>
      <c r="E30" s="16">
        <v>0.0</v>
      </c>
      <c r="F30" s="16">
        <v>0.0</v>
      </c>
      <c r="G30" s="18">
        <v>0.0</v>
      </c>
      <c r="H30" s="16" t="s">
        <v>46</v>
      </c>
      <c r="I30" s="19">
        <f t="shared" si="1"/>
        <v>0</v>
      </c>
      <c r="J30" s="19">
        <f t="shared" si="2"/>
        <v>0</v>
      </c>
    </row>
    <row r="31" ht="22.5" customHeight="1">
      <c r="A31" s="16">
        <v>1.0</v>
      </c>
      <c r="B31" s="16">
        <v>4.0</v>
      </c>
      <c r="C31" s="16">
        <v>0.0</v>
      </c>
      <c r="D31" s="16">
        <v>0.0</v>
      </c>
      <c r="E31" s="16">
        <v>0.0</v>
      </c>
      <c r="F31" s="16">
        <v>0.0</v>
      </c>
      <c r="G31" s="18">
        <v>0.0</v>
      </c>
      <c r="H31" s="16" t="s">
        <v>46</v>
      </c>
      <c r="I31" s="19">
        <f t="shared" si="1"/>
        <v>0</v>
      </c>
      <c r="J31" s="19">
        <f t="shared" si="2"/>
        <v>0</v>
      </c>
    </row>
    <row r="32" ht="22.5" customHeight="1">
      <c r="A32" s="16">
        <v>4.0</v>
      </c>
      <c r="B32" s="16">
        <v>16.0</v>
      </c>
      <c r="C32" s="16">
        <v>1.0</v>
      </c>
      <c r="D32" s="16">
        <v>1.0</v>
      </c>
      <c r="E32" s="16">
        <v>0.0</v>
      </c>
      <c r="F32" s="16">
        <v>0.0</v>
      </c>
      <c r="G32" s="18">
        <v>1.0</v>
      </c>
      <c r="H32" s="16" t="s">
        <v>51</v>
      </c>
      <c r="I32" s="19">
        <f t="shared" si="1"/>
        <v>4</v>
      </c>
      <c r="J32" s="19">
        <f t="shared" si="2"/>
        <v>0</v>
      </c>
    </row>
    <row r="33" ht="22.5" customHeight="1">
      <c r="A33" s="16">
        <v>5.0</v>
      </c>
      <c r="B33" s="16">
        <v>19.0</v>
      </c>
      <c r="C33" s="16">
        <v>5.0</v>
      </c>
      <c r="D33" s="16">
        <v>1.6</v>
      </c>
      <c r="E33" s="16">
        <v>0.2</v>
      </c>
      <c r="F33" s="16">
        <v>0.0</v>
      </c>
      <c r="G33" s="18">
        <v>0.6</v>
      </c>
      <c r="H33" s="16" t="s">
        <v>54</v>
      </c>
      <c r="I33" s="19">
        <f t="shared" si="1"/>
        <v>8</v>
      </c>
      <c r="J33" s="19">
        <f t="shared" si="2"/>
        <v>1</v>
      </c>
    </row>
    <row r="34" ht="22.5" customHeight="1">
      <c r="A34" s="16">
        <v>1.0</v>
      </c>
      <c r="B34" s="16">
        <v>3.0</v>
      </c>
      <c r="C34" s="16">
        <v>0.0</v>
      </c>
      <c r="D34" s="16">
        <v>0.0</v>
      </c>
      <c r="E34" s="16">
        <v>0.0</v>
      </c>
      <c r="F34" s="16">
        <v>0.0</v>
      </c>
      <c r="G34" s="18">
        <v>0.0</v>
      </c>
      <c r="H34" s="16" t="s">
        <v>55</v>
      </c>
      <c r="I34" s="19">
        <f t="shared" si="1"/>
        <v>0</v>
      </c>
      <c r="J34" s="19">
        <f t="shared" si="2"/>
        <v>0</v>
      </c>
    </row>
    <row r="35" ht="22.5" customHeight="1">
      <c r="A35" s="16">
        <v>1.0</v>
      </c>
      <c r="B35" s="16">
        <v>4.0</v>
      </c>
      <c r="C35" s="16">
        <v>0.0</v>
      </c>
      <c r="D35" s="16">
        <v>0.0</v>
      </c>
      <c r="E35" s="16">
        <v>0.0</v>
      </c>
      <c r="F35" s="16">
        <v>0.0</v>
      </c>
      <c r="G35" s="18">
        <v>0.0</v>
      </c>
      <c r="H35" s="16" t="s">
        <v>55</v>
      </c>
      <c r="I35" s="19">
        <f t="shared" si="1"/>
        <v>0</v>
      </c>
      <c r="J35" s="19">
        <f t="shared" si="2"/>
        <v>0</v>
      </c>
    </row>
    <row r="36" ht="22.5" customHeight="1">
      <c r="A36" s="16">
        <v>5.0</v>
      </c>
      <c r="B36" s="16">
        <v>19.0</v>
      </c>
      <c r="C36" s="16">
        <v>0.0</v>
      </c>
      <c r="D36" s="16">
        <v>0.0</v>
      </c>
      <c r="E36" s="16">
        <v>0.0</v>
      </c>
      <c r="F36" s="16">
        <v>0.0</v>
      </c>
      <c r="G36" s="18">
        <v>0.0</v>
      </c>
      <c r="H36" s="16" t="s">
        <v>59</v>
      </c>
      <c r="I36" s="19">
        <f t="shared" si="1"/>
        <v>0</v>
      </c>
      <c r="J36" s="19">
        <f t="shared" si="2"/>
        <v>0</v>
      </c>
    </row>
    <row r="37" ht="22.5" customHeight="1">
      <c r="A37" s="16">
        <v>1.0</v>
      </c>
      <c r="B37" s="16">
        <v>3.0</v>
      </c>
      <c r="C37" s="16">
        <v>0.0</v>
      </c>
      <c r="D37" s="16">
        <v>0.0</v>
      </c>
      <c r="E37" s="16">
        <v>0.0</v>
      </c>
      <c r="F37" s="16">
        <v>0.0</v>
      </c>
      <c r="G37" s="18">
        <v>0.0</v>
      </c>
      <c r="H37" s="16" t="s">
        <v>61</v>
      </c>
      <c r="I37" s="19">
        <f t="shared" si="1"/>
        <v>0</v>
      </c>
      <c r="J37" s="19">
        <f t="shared" si="2"/>
        <v>0</v>
      </c>
    </row>
    <row r="38" ht="22.5" customHeight="1">
      <c r="A38" s="16">
        <v>4.0</v>
      </c>
      <c r="B38" s="16">
        <v>16.0</v>
      </c>
      <c r="C38" s="16">
        <v>6.0</v>
      </c>
      <c r="D38" s="16">
        <v>3.0</v>
      </c>
      <c r="E38" s="16">
        <v>0.0</v>
      </c>
      <c r="F38" s="16">
        <v>0.0</v>
      </c>
      <c r="G38" s="18">
        <v>0.5</v>
      </c>
      <c r="H38" s="16" t="s">
        <v>61</v>
      </c>
      <c r="I38" s="19">
        <f t="shared" si="1"/>
        <v>12</v>
      </c>
      <c r="J38" s="19">
        <f t="shared" si="2"/>
        <v>0</v>
      </c>
    </row>
    <row r="39" ht="22.5" customHeight="1">
      <c r="A39" s="16">
        <v>2.0</v>
      </c>
      <c r="B39" s="16">
        <v>7.0</v>
      </c>
      <c r="C39" s="16">
        <v>0.0</v>
      </c>
      <c r="D39" s="16">
        <v>0.0</v>
      </c>
      <c r="E39" s="16">
        <v>0.0</v>
      </c>
      <c r="F39" s="16">
        <v>0.0</v>
      </c>
      <c r="G39" s="18">
        <v>0.0</v>
      </c>
      <c r="H39" s="16" t="s">
        <v>65</v>
      </c>
      <c r="I39" s="19">
        <f t="shared" si="1"/>
        <v>0</v>
      </c>
      <c r="J39" s="19">
        <f t="shared" si="2"/>
        <v>0</v>
      </c>
    </row>
    <row r="40" ht="22.5" customHeight="1">
      <c r="A40" s="16">
        <v>5.0</v>
      </c>
      <c r="B40" s="16">
        <v>19.0</v>
      </c>
      <c r="C40" s="16">
        <v>0.0</v>
      </c>
      <c r="D40" s="16">
        <v>0.0</v>
      </c>
      <c r="E40" s="16">
        <v>0.0</v>
      </c>
      <c r="F40" s="16">
        <v>0.0</v>
      </c>
      <c r="G40" s="18">
        <v>0.0</v>
      </c>
      <c r="H40" s="16" t="s">
        <v>68</v>
      </c>
      <c r="I40" s="19">
        <f t="shared" si="1"/>
        <v>0</v>
      </c>
      <c r="J40" s="19">
        <f t="shared" si="2"/>
        <v>0</v>
      </c>
    </row>
    <row r="41" ht="22.5" customHeight="1">
      <c r="A41" s="16">
        <v>5.0</v>
      </c>
      <c r="B41" s="16">
        <v>19.0</v>
      </c>
      <c r="C41" s="16">
        <v>11.0</v>
      </c>
      <c r="D41" s="16">
        <v>2.4</v>
      </c>
      <c r="E41" s="16">
        <v>0.4</v>
      </c>
      <c r="F41" s="16">
        <v>0.0</v>
      </c>
      <c r="G41" s="20">
        <v>0.455</v>
      </c>
      <c r="H41" s="16" t="s">
        <v>71</v>
      </c>
      <c r="I41" s="19">
        <f t="shared" si="1"/>
        <v>12</v>
      </c>
      <c r="J41" s="19">
        <f t="shared" si="2"/>
        <v>2</v>
      </c>
    </row>
    <row r="42" ht="22.5" customHeight="1">
      <c r="A42" s="16">
        <v>1.0</v>
      </c>
      <c r="B42" s="16">
        <v>4.0</v>
      </c>
      <c r="C42" s="16">
        <v>2.0</v>
      </c>
      <c r="D42" s="16">
        <v>0.0</v>
      </c>
      <c r="E42" s="16">
        <v>1.0</v>
      </c>
      <c r="F42" s="16">
        <v>0.0</v>
      </c>
      <c r="G42" s="18">
        <v>0.5</v>
      </c>
      <c r="H42" s="16" t="s">
        <v>73</v>
      </c>
      <c r="I42" s="19">
        <f t="shared" si="1"/>
        <v>0</v>
      </c>
      <c r="J42" s="19">
        <f t="shared" si="2"/>
        <v>1</v>
      </c>
    </row>
    <row r="43" ht="22.5" customHeight="1">
      <c r="A43" s="16">
        <v>2.0</v>
      </c>
      <c r="B43" s="16">
        <v>8.0</v>
      </c>
      <c r="C43" s="16">
        <v>1.0</v>
      </c>
      <c r="D43" s="16">
        <v>2.0</v>
      </c>
      <c r="E43" s="16">
        <v>0.0</v>
      </c>
      <c r="F43" s="16">
        <v>0.0</v>
      </c>
      <c r="G43" s="18">
        <v>1.0</v>
      </c>
      <c r="H43" s="16" t="s">
        <v>73</v>
      </c>
      <c r="I43" s="19">
        <f t="shared" si="1"/>
        <v>4</v>
      </c>
      <c r="J43" s="19">
        <f t="shared" si="2"/>
        <v>0</v>
      </c>
    </row>
    <row r="44" ht="22.5" customHeight="1">
      <c r="A44" s="16">
        <v>1.0</v>
      </c>
      <c r="B44" s="16">
        <v>4.0</v>
      </c>
      <c r="C44" s="16">
        <v>1.0</v>
      </c>
      <c r="D44" s="16">
        <v>4.0</v>
      </c>
      <c r="E44" s="16">
        <v>0.0</v>
      </c>
      <c r="F44" s="16">
        <v>0.0</v>
      </c>
      <c r="G44" s="18">
        <v>1.0</v>
      </c>
      <c r="H44" s="16" t="s">
        <v>75</v>
      </c>
      <c r="I44" s="19">
        <f t="shared" si="1"/>
        <v>4</v>
      </c>
      <c r="J44" s="19">
        <f t="shared" si="2"/>
        <v>0</v>
      </c>
    </row>
    <row r="45" ht="22.5" customHeight="1">
      <c r="A45" s="16">
        <v>4.0</v>
      </c>
      <c r="B45" s="16">
        <v>14.0</v>
      </c>
      <c r="C45" s="16">
        <v>5.0</v>
      </c>
      <c r="D45" s="16">
        <v>1.0</v>
      </c>
      <c r="E45" s="16">
        <v>0.0</v>
      </c>
      <c r="F45" s="16">
        <v>0.0</v>
      </c>
      <c r="G45" s="18">
        <v>0.2</v>
      </c>
      <c r="H45" s="16" t="s">
        <v>75</v>
      </c>
      <c r="I45" s="19">
        <f t="shared" si="1"/>
        <v>4</v>
      </c>
      <c r="J45" s="19">
        <f t="shared" si="2"/>
        <v>0</v>
      </c>
    </row>
    <row r="46" ht="22.5" customHeight="1">
      <c r="A46" s="16">
        <v>1.0</v>
      </c>
      <c r="B46" s="16">
        <v>4.0</v>
      </c>
      <c r="C46" s="16">
        <v>0.0</v>
      </c>
      <c r="D46" s="16">
        <v>0.0</v>
      </c>
      <c r="E46" s="16">
        <v>0.0</v>
      </c>
      <c r="F46" s="16">
        <v>0.0</v>
      </c>
      <c r="G46" s="18">
        <v>0.0</v>
      </c>
      <c r="H46" s="16" t="s">
        <v>79</v>
      </c>
      <c r="I46" s="19">
        <f t="shared" si="1"/>
        <v>0</v>
      </c>
      <c r="J46" s="19">
        <f t="shared" si="2"/>
        <v>0</v>
      </c>
    </row>
    <row r="47" ht="22.5" customHeight="1">
      <c r="A47" s="16">
        <v>2.0</v>
      </c>
      <c r="B47" s="16">
        <v>7.0</v>
      </c>
      <c r="C47" s="16">
        <v>1.0</v>
      </c>
      <c r="D47" s="16">
        <v>2.0</v>
      </c>
      <c r="E47" s="16">
        <v>0.0</v>
      </c>
      <c r="F47" s="16">
        <v>0.0</v>
      </c>
      <c r="G47" s="18">
        <v>1.0</v>
      </c>
      <c r="H47" s="16" t="s">
        <v>79</v>
      </c>
      <c r="I47" s="19">
        <f t="shared" si="1"/>
        <v>4</v>
      </c>
      <c r="J47" s="19">
        <f t="shared" si="2"/>
        <v>0</v>
      </c>
    </row>
    <row r="48" ht="22.5" customHeight="1">
      <c r="A48" s="16">
        <v>1.0</v>
      </c>
      <c r="B48" s="16">
        <v>3.0</v>
      </c>
      <c r="C48" s="16">
        <v>1.0</v>
      </c>
      <c r="D48" s="16">
        <v>4.0</v>
      </c>
      <c r="E48" s="16">
        <v>0.0</v>
      </c>
      <c r="F48" s="16">
        <v>0.0</v>
      </c>
      <c r="G48" s="18">
        <v>1.0</v>
      </c>
      <c r="H48" s="16" t="s">
        <v>79</v>
      </c>
      <c r="I48" s="19">
        <f t="shared" si="1"/>
        <v>4</v>
      </c>
      <c r="J48" s="19">
        <f t="shared" si="2"/>
        <v>0</v>
      </c>
    </row>
    <row r="49" ht="22.5" customHeight="1">
      <c r="A49" s="16">
        <v>1.0</v>
      </c>
      <c r="B49" s="16">
        <v>4.0</v>
      </c>
      <c r="C49" s="16">
        <v>1.0</v>
      </c>
      <c r="D49" s="16">
        <v>4.0</v>
      </c>
      <c r="E49" s="16">
        <v>0.0</v>
      </c>
      <c r="F49" s="16">
        <v>0.0</v>
      </c>
      <c r="G49" s="18">
        <v>1.0</v>
      </c>
      <c r="H49" s="16" t="s">
        <v>79</v>
      </c>
      <c r="I49" s="19">
        <f t="shared" si="1"/>
        <v>4</v>
      </c>
      <c r="J49" s="19">
        <f t="shared" si="2"/>
        <v>0</v>
      </c>
    </row>
    <row r="50" ht="22.5" customHeight="1">
      <c r="A50" s="16">
        <v>1.0</v>
      </c>
      <c r="B50" s="16">
        <v>4.0</v>
      </c>
      <c r="C50" s="16">
        <v>1.0</v>
      </c>
      <c r="D50" s="16">
        <v>4.0</v>
      </c>
      <c r="E50" s="16">
        <v>0.0</v>
      </c>
      <c r="F50" s="16">
        <v>0.0</v>
      </c>
      <c r="G50" s="18">
        <v>1.0</v>
      </c>
      <c r="H50" s="16" t="s">
        <v>85</v>
      </c>
      <c r="I50" s="19">
        <f t="shared" si="1"/>
        <v>4</v>
      </c>
      <c r="J50" s="19">
        <f t="shared" si="2"/>
        <v>0</v>
      </c>
    </row>
    <row r="51" ht="22.5" customHeight="1">
      <c r="A51" s="16">
        <v>1.0</v>
      </c>
      <c r="B51" s="16">
        <v>4.0</v>
      </c>
      <c r="C51" s="16">
        <v>0.0</v>
      </c>
      <c r="D51" s="16">
        <v>0.0</v>
      </c>
      <c r="E51" s="16">
        <v>0.0</v>
      </c>
      <c r="F51" s="16">
        <v>0.0</v>
      </c>
      <c r="G51" s="18">
        <v>0.0</v>
      </c>
      <c r="H51" s="16" t="s">
        <v>88</v>
      </c>
      <c r="I51" s="19">
        <f t="shared" si="1"/>
        <v>0</v>
      </c>
      <c r="J51" s="19">
        <f t="shared" si="2"/>
        <v>0</v>
      </c>
    </row>
    <row r="52" ht="22.5" customHeight="1">
      <c r="A52" s="16">
        <v>2.0</v>
      </c>
      <c r="B52" s="16">
        <v>6.0</v>
      </c>
      <c r="C52" s="16">
        <v>0.0</v>
      </c>
      <c r="D52" s="16">
        <v>0.0</v>
      </c>
      <c r="E52" s="16">
        <v>0.0</v>
      </c>
      <c r="F52" s="16">
        <v>0.0</v>
      </c>
      <c r="G52" s="18">
        <v>0.0</v>
      </c>
      <c r="H52" s="16" t="s">
        <v>88</v>
      </c>
      <c r="I52" s="19">
        <f t="shared" si="1"/>
        <v>0</v>
      </c>
      <c r="J52" s="19">
        <f t="shared" si="2"/>
        <v>0</v>
      </c>
    </row>
    <row r="53" ht="22.5" customHeight="1">
      <c r="A53" s="16">
        <v>1.0</v>
      </c>
      <c r="B53" s="16">
        <v>4.0</v>
      </c>
      <c r="C53" s="16">
        <v>2.0</v>
      </c>
      <c r="D53" s="16">
        <v>8.0</v>
      </c>
      <c r="E53" s="16">
        <v>0.0</v>
      </c>
      <c r="F53" s="16">
        <v>0.0</v>
      </c>
      <c r="G53" s="18">
        <v>1.0</v>
      </c>
      <c r="H53" s="16" t="s">
        <v>76</v>
      </c>
      <c r="I53" s="19">
        <f t="shared" si="1"/>
        <v>8</v>
      </c>
      <c r="J53" s="19">
        <f t="shared" si="2"/>
        <v>0</v>
      </c>
    </row>
    <row r="54" ht="22.5" customHeight="1">
      <c r="A54" s="16">
        <v>4.0</v>
      </c>
      <c r="B54" s="16">
        <v>15.0</v>
      </c>
      <c r="C54" s="16">
        <v>6.0</v>
      </c>
      <c r="D54" s="16">
        <v>0.0</v>
      </c>
      <c r="E54" s="16">
        <v>0.5</v>
      </c>
      <c r="F54" s="16">
        <v>0.0</v>
      </c>
      <c r="G54" s="20">
        <v>0.333</v>
      </c>
      <c r="H54" s="16" t="s">
        <v>92</v>
      </c>
      <c r="I54" s="19">
        <f t="shared" si="1"/>
        <v>0</v>
      </c>
      <c r="J54" s="19">
        <f t="shared" si="2"/>
        <v>2</v>
      </c>
    </row>
    <row r="55" ht="22.5" customHeight="1">
      <c r="A55" s="16">
        <v>3.0</v>
      </c>
      <c r="B55" s="16">
        <v>12.0</v>
      </c>
      <c r="C55" s="16">
        <v>6.0</v>
      </c>
      <c r="D55" s="16">
        <v>2.67</v>
      </c>
      <c r="E55" s="16">
        <v>0.33</v>
      </c>
      <c r="F55" s="16">
        <v>0.0</v>
      </c>
      <c r="G55" s="18">
        <v>0.5</v>
      </c>
      <c r="H55" s="16" t="s">
        <v>94</v>
      </c>
      <c r="I55" s="19">
        <f t="shared" si="1"/>
        <v>8</v>
      </c>
      <c r="J55" s="19">
        <f t="shared" si="2"/>
        <v>1</v>
      </c>
    </row>
    <row r="56" ht="22.5" customHeight="1">
      <c r="A56" s="16">
        <v>4.0</v>
      </c>
      <c r="B56" s="16">
        <v>15.0</v>
      </c>
      <c r="C56" s="16">
        <v>2.0</v>
      </c>
      <c r="D56" s="16">
        <v>2.0</v>
      </c>
      <c r="E56" s="16">
        <v>0.0</v>
      </c>
      <c r="F56" s="16">
        <v>0.0</v>
      </c>
      <c r="G56" s="18">
        <v>1.0</v>
      </c>
      <c r="H56" s="16" t="s">
        <v>96</v>
      </c>
      <c r="I56" s="19">
        <f t="shared" si="1"/>
        <v>8</v>
      </c>
      <c r="J56" s="19">
        <f t="shared" si="2"/>
        <v>0</v>
      </c>
    </row>
    <row r="57" ht="22.5" customHeight="1">
      <c r="A57" s="16">
        <v>1.0</v>
      </c>
      <c r="B57" s="16">
        <v>4.0</v>
      </c>
      <c r="C57" s="16">
        <v>0.0</v>
      </c>
      <c r="D57" s="16">
        <v>0.0</v>
      </c>
      <c r="E57" s="16">
        <v>0.0</v>
      </c>
      <c r="F57" s="16">
        <v>0.0</v>
      </c>
      <c r="G57" s="18">
        <v>0.0</v>
      </c>
      <c r="H57" s="16" t="s">
        <v>96</v>
      </c>
      <c r="I57" s="19">
        <f t="shared" si="1"/>
        <v>0</v>
      </c>
      <c r="J57" s="19">
        <f t="shared" si="2"/>
        <v>0</v>
      </c>
    </row>
    <row r="58" ht="22.5" customHeight="1">
      <c r="A58" s="16">
        <v>5.0</v>
      </c>
      <c r="B58" s="16">
        <v>19.0</v>
      </c>
      <c r="C58" s="16">
        <v>3.0</v>
      </c>
      <c r="D58" s="16">
        <v>2.4</v>
      </c>
      <c r="E58" s="16">
        <v>0.0</v>
      </c>
      <c r="F58" s="16">
        <v>0.0</v>
      </c>
      <c r="G58" s="18">
        <v>1.0</v>
      </c>
      <c r="H58" s="16" t="s">
        <v>90</v>
      </c>
      <c r="I58" s="19">
        <f t="shared" si="1"/>
        <v>12</v>
      </c>
      <c r="J58" s="19">
        <f t="shared" si="2"/>
        <v>0</v>
      </c>
    </row>
    <row r="59" ht="22.5" customHeight="1">
      <c r="A59" s="16">
        <v>4.0</v>
      </c>
      <c r="B59" s="16">
        <v>15.0</v>
      </c>
      <c r="C59" s="16">
        <v>1.0</v>
      </c>
      <c r="D59" s="16">
        <v>-1.0</v>
      </c>
      <c r="E59" s="16">
        <v>0.25</v>
      </c>
      <c r="F59" s="16">
        <v>0.0</v>
      </c>
      <c r="G59" s="18">
        <v>0.0</v>
      </c>
      <c r="H59" s="16" t="s">
        <v>100</v>
      </c>
      <c r="I59" s="19">
        <f t="shared" si="1"/>
        <v>-4</v>
      </c>
      <c r="J59" s="19">
        <f t="shared" si="2"/>
        <v>1</v>
      </c>
    </row>
    <row r="60" ht="22.5" customHeight="1">
      <c r="A60" s="16">
        <v>1.0</v>
      </c>
      <c r="B60" s="16">
        <v>4.0</v>
      </c>
      <c r="C60" s="16">
        <v>1.0</v>
      </c>
      <c r="D60" s="16">
        <v>4.0</v>
      </c>
      <c r="E60" s="16">
        <v>0.0</v>
      </c>
      <c r="F60" s="16">
        <v>0.0</v>
      </c>
      <c r="G60" s="18">
        <v>1.0</v>
      </c>
      <c r="H60" s="16" t="s">
        <v>102</v>
      </c>
      <c r="I60" s="19">
        <f t="shared" si="1"/>
        <v>4</v>
      </c>
      <c r="J60" s="19">
        <f t="shared" si="2"/>
        <v>0</v>
      </c>
    </row>
    <row r="61" ht="22.5" customHeight="1">
      <c r="A61" s="16">
        <v>1.0</v>
      </c>
      <c r="B61" s="16">
        <v>4.0</v>
      </c>
      <c r="C61" s="16">
        <v>0.0</v>
      </c>
      <c r="D61" s="16">
        <v>0.0</v>
      </c>
      <c r="E61" s="16">
        <v>0.0</v>
      </c>
      <c r="F61" s="16">
        <v>0.0</v>
      </c>
      <c r="G61" s="18">
        <v>0.0</v>
      </c>
      <c r="H61" s="16" t="s">
        <v>102</v>
      </c>
      <c r="I61" s="19">
        <f t="shared" si="1"/>
        <v>0</v>
      </c>
      <c r="J61" s="19">
        <f t="shared" si="2"/>
        <v>0</v>
      </c>
    </row>
    <row r="62" ht="22.5" customHeight="1">
      <c r="A62" s="16">
        <v>5.0</v>
      </c>
      <c r="B62" s="16">
        <v>20.0</v>
      </c>
      <c r="C62" s="16">
        <v>10.0</v>
      </c>
      <c r="D62" s="16">
        <v>6.4</v>
      </c>
      <c r="E62" s="16">
        <v>0.2</v>
      </c>
      <c r="F62" s="16">
        <v>0.0</v>
      </c>
      <c r="G62" s="18">
        <v>0.9</v>
      </c>
      <c r="H62" s="16" t="s">
        <v>66</v>
      </c>
      <c r="I62" s="19">
        <f t="shared" si="1"/>
        <v>32</v>
      </c>
      <c r="J62" s="19">
        <f t="shared" si="2"/>
        <v>1</v>
      </c>
    </row>
    <row r="63" ht="22.5" customHeight="1">
      <c r="A63" s="16">
        <v>2.0</v>
      </c>
      <c r="B63" s="16">
        <v>8.0</v>
      </c>
      <c r="C63" s="16">
        <v>1.0</v>
      </c>
      <c r="D63" s="16">
        <v>2.0</v>
      </c>
      <c r="E63" s="16">
        <v>0.0</v>
      </c>
      <c r="F63" s="16">
        <v>0.0</v>
      </c>
      <c r="G63" s="18">
        <v>1.0</v>
      </c>
      <c r="H63" s="16" t="s">
        <v>108</v>
      </c>
      <c r="I63" s="19">
        <f t="shared" si="1"/>
        <v>4</v>
      </c>
      <c r="J63" s="19">
        <f t="shared" si="2"/>
        <v>0</v>
      </c>
    </row>
    <row r="64" ht="22.5" customHeight="1">
      <c r="A64" s="16">
        <v>2.0</v>
      </c>
      <c r="B64" s="16">
        <v>8.0</v>
      </c>
      <c r="C64" s="16">
        <v>1.0</v>
      </c>
      <c r="D64" s="16">
        <v>2.0</v>
      </c>
      <c r="E64" s="16">
        <v>0.0</v>
      </c>
      <c r="F64" s="16">
        <v>0.0</v>
      </c>
      <c r="G64" s="18">
        <v>1.0</v>
      </c>
      <c r="H64" s="16" t="s">
        <v>109</v>
      </c>
      <c r="I64" s="19">
        <f t="shared" si="1"/>
        <v>4</v>
      </c>
      <c r="J64" s="19">
        <f t="shared" si="2"/>
        <v>0</v>
      </c>
    </row>
    <row r="65" ht="22.5" customHeight="1">
      <c r="A65" s="16">
        <v>1.0</v>
      </c>
      <c r="B65" s="16">
        <v>4.0</v>
      </c>
      <c r="C65" s="16">
        <v>0.0</v>
      </c>
      <c r="D65" s="16">
        <v>0.0</v>
      </c>
      <c r="E65" s="16">
        <v>0.0</v>
      </c>
      <c r="F65" s="16">
        <v>0.0</v>
      </c>
      <c r="G65" s="18">
        <v>0.0</v>
      </c>
      <c r="H65" s="16" t="s">
        <v>110</v>
      </c>
      <c r="I65" s="19">
        <f t="shared" si="1"/>
        <v>0</v>
      </c>
      <c r="J65" s="19">
        <f t="shared" si="2"/>
        <v>0</v>
      </c>
    </row>
    <row r="66" ht="22.5" customHeight="1">
      <c r="A66" s="16">
        <v>2.0</v>
      </c>
      <c r="B66" s="16">
        <v>8.0</v>
      </c>
      <c r="C66" s="16">
        <v>4.0</v>
      </c>
      <c r="D66" s="16">
        <v>2.0</v>
      </c>
      <c r="E66" s="16">
        <v>0.0</v>
      </c>
      <c r="F66" s="16">
        <v>0.0</v>
      </c>
      <c r="G66" s="18">
        <v>0.25</v>
      </c>
      <c r="H66" s="16" t="s">
        <v>111</v>
      </c>
      <c r="I66" s="19">
        <f t="shared" si="1"/>
        <v>4</v>
      </c>
      <c r="J66" s="19">
        <f t="shared" si="2"/>
        <v>0</v>
      </c>
    </row>
    <row r="67" ht="22.5" customHeight="1">
      <c r="A67" s="16">
        <v>1.0</v>
      </c>
      <c r="B67" s="16">
        <v>4.0</v>
      </c>
      <c r="C67" s="16">
        <v>4.0</v>
      </c>
      <c r="D67" s="16">
        <v>4.0</v>
      </c>
      <c r="E67" s="16">
        <v>1.0</v>
      </c>
      <c r="F67" s="16">
        <v>0.0</v>
      </c>
      <c r="G67" s="18">
        <v>0.5</v>
      </c>
      <c r="H67" s="16" t="s">
        <v>111</v>
      </c>
      <c r="I67" s="19">
        <f t="shared" si="1"/>
        <v>4</v>
      </c>
      <c r="J67" s="19">
        <f t="shared" si="2"/>
        <v>1</v>
      </c>
    </row>
    <row r="68" ht="22.5" customHeight="1">
      <c r="A68" s="16">
        <v>2.0</v>
      </c>
      <c r="B68" s="16">
        <v>8.0</v>
      </c>
      <c r="C68" s="16">
        <v>5.0</v>
      </c>
      <c r="D68" s="16">
        <v>6.0</v>
      </c>
      <c r="E68" s="16">
        <v>0.0</v>
      </c>
      <c r="F68" s="16">
        <v>0.0</v>
      </c>
      <c r="G68" s="18">
        <v>0.6</v>
      </c>
      <c r="H68" s="16" t="s">
        <v>111</v>
      </c>
      <c r="I68" s="19">
        <f t="shared" si="1"/>
        <v>12</v>
      </c>
      <c r="J68" s="19">
        <f t="shared" si="2"/>
        <v>0</v>
      </c>
    </row>
    <row r="69" ht="22.5" customHeight="1">
      <c r="A69" s="16">
        <v>3.0</v>
      </c>
      <c r="B69" s="16">
        <v>12.0</v>
      </c>
      <c r="C69" s="16">
        <v>0.0</v>
      </c>
      <c r="D69" s="16">
        <v>0.0</v>
      </c>
      <c r="E69" s="16">
        <v>0.0</v>
      </c>
      <c r="F69" s="16">
        <v>0.0</v>
      </c>
      <c r="G69" s="18">
        <v>0.0</v>
      </c>
      <c r="H69" s="16" t="s">
        <v>115</v>
      </c>
      <c r="I69" s="19">
        <f t="shared" si="1"/>
        <v>0</v>
      </c>
      <c r="J69" s="19">
        <f t="shared" si="2"/>
        <v>0</v>
      </c>
    </row>
    <row r="70" ht="22.5" customHeight="1">
      <c r="A70" s="16">
        <v>2.0</v>
      </c>
      <c r="B70" s="16">
        <v>8.0</v>
      </c>
      <c r="C70" s="16">
        <v>0.0</v>
      </c>
      <c r="D70" s="16">
        <v>0.0</v>
      </c>
      <c r="E70" s="16">
        <v>0.0</v>
      </c>
      <c r="F70" s="16">
        <v>0.0</v>
      </c>
      <c r="G70" s="18">
        <v>0.0</v>
      </c>
      <c r="H70" s="16" t="s">
        <v>115</v>
      </c>
      <c r="I70" s="19">
        <f t="shared" si="1"/>
        <v>0</v>
      </c>
      <c r="J70" s="19">
        <f t="shared" si="2"/>
        <v>0</v>
      </c>
    </row>
    <row r="71" ht="22.5" customHeight="1">
      <c r="A71" s="16">
        <v>2.0</v>
      </c>
      <c r="B71" s="16">
        <v>8.0</v>
      </c>
      <c r="C71" s="16">
        <v>0.0</v>
      </c>
      <c r="D71" s="16">
        <v>0.0</v>
      </c>
      <c r="E71" s="16">
        <v>0.0</v>
      </c>
      <c r="F71" s="16">
        <v>0.0</v>
      </c>
      <c r="G71" s="18">
        <v>0.0</v>
      </c>
      <c r="H71" s="16" t="s">
        <v>117</v>
      </c>
      <c r="I71" s="19">
        <f t="shared" si="1"/>
        <v>0</v>
      </c>
      <c r="J71" s="19">
        <f t="shared" si="2"/>
        <v>0</v>
      </c>
    </row>
    <row r="72" ht="22.5" customHeight="1">
      <c r="A72" s="16">
        <v>1.0</v>
      </c>
      <c r="B72" s="16">
        <v>4.0</v>
      </c>
      <c r="C72" s="16">
        <v>0.0</v>
      </c>
      <c r="D72" s="16">
        <v>0.0</v>
      </c>
      <c r="E72" s="16">
        <v>0.0</v>
      </c>
      <c r="F72" s="16">
        <v>0.0</v>
      </c>
      <c r="G72" s="18">
        <v>0.0</v>
      </c>
      <c r="H72" s="16" t="s">
        <v>117</v>
      </c>
      <c r="I72" s="19">
        <f t="shared" si="1"/>
        <v>0</v>
      </c>
      <c r="J72" s="19">
        <f t="shared" si="2"/>
        <v>0</v>
      </c>
    </row>
    <row r="73" ht="22.5" customHeight="1">
      <c r="A73" s="16">
        <v>1.0</v>
      </c>
      <c r="B73" s="16">
        <v>4.0</v>
      </c>
      <c r="C73" s="16">
        <v>0.0</v>
      </c>
      <c r="D73" s="16">
        <v>0.0</v>
      </c>
      <c r="E73" s="16">
        <v>0.0</v>
      </c>
      <c r="F73" s="16">
        <v>0.0</v>
      </c>
      <c r="G73" s="18">
        <v>0.0</v>
      </c>
      <c r="H73" s="16" t="s">
        <v>117</v>
      </c>
      <c r="I73" s="19">
        <f t="shared" si="1"/>
        <v>0</v>
      </c>
      <c r="J73" s="19">
        <f t="shared" si="2"/>
        <v>0</v>
      </c>
    </row>
    <row r="74" ht="22.5" customHeight="1">
      <c r="A74" s="16">
        <v>1.0</v>
      </c>
      <c r="B74" s="16">
        <v>4.0</v>
      </c>
      <c r="C74" s="16">
        <v>0.0</v>
      </c>
      <c r="D74" s="16">
        <v>0.0</v>
      </c>
      <c r="E74" s="16">
        <v>0.0</v>
      </c>
      <c r="F74" s="16">
        <v>0.0</v>
      </c>
      <c r="G74" s="18">
        <v>0.0</v>
      </c>
      <c r="H74" s="16" t="s">
        <v>117</v>
      </c>
      <c r="I74" s="19">
        <f t="shared" si="1"/>
        <v>0</v>
      </c>
      <c r="J74" s="19">
        <f t="shared" si="2"/>
        <v>0</v>
      </c>
    </row>
    <row r="75" ht="22.5" customHeight="1">
      <c r="A75" s="16">
        <v>3.0</v>
      </c>
      <c r="B75" s="16">
        <v>13.0</v>
      </c>
      <c r="C75" s="16">
        <v>2.0</v>
      </c>
      <c r="D75" s="16">
        <v>2.67</v>
      </c>
      <c r="E75" s="16">
        <v>0.0</v>
      </c>
      <c r="F75" s="16">
        <v>0.0</v>
      </c>
      <c r="G75" s="18">
        <v>1.0</v>
      </c>
      <c r="H75" s="16" t="s">
        <v>123</v>
      </c>
      <c r="I75" s="19">
        <f t="shared" si="1"/>
        <v>8</v>
      </c>
      <c r="J75" s="19">
        <f t="shared" si="2"/>
        <v>0</v>
      </c>
    </row>
    <row r="76" ht="22.5" customHeight="1">
      <c r="A76" s="16">
        <v>5.0</v>
      </c>
      <c r="B76" s="16">
        <v>21.0</v>
      </c>
      <c r="C76" s="16">
        <v>5.0</v>
      </c>
      <c r="D76" s="16">
        <v>3.2</v>
      </c>
      <c r="E76" s="16">
        <v>0.0</v>
      </c>
      <c r="F76" s="16">
        <v>0.0</v>
      </c>
      <c r="G76" s="18">
        <v>0.8</v>
      </c>
      <c r="H76" s="16" t="s">
        <v>124</v>
      </c>
      <c r="I76" s="19">
        <f t="shared" si="1"/>
        <v>16</v>
      </c>
      <c r="J76" s="19">
        <f t="shared" si="2"/>
        <v>0</v>
      </c>
    </row>
    <row r="77" ht="22.5" customHeight="1">
      <c r="A77" s="16">
        <v>5.0</v>
      </c>
      <c r="B77" s="16">
        <v>21.0</v>
      </c>
      <c r="C77" s="16">
        <v>4.0</v>
      </c>
      <c r="D77" s="16">
        <v>0.0</v>
      </c>
      <c r="E77" s="16">
        <v>0.4</v>
      </c>
      <c r="F77" s="16">
        <v>0.0</v>
      </c>
      <c r="G77" s="18">
        <v>0.5</v>
      </c>
      <c r="H77" s="16" t="s">
        <v>127</v>
      </c>
      <c r="I77" s="19">
        <f t="shared" si="1"/>
        <v>0</v>
      </c>
      <c r="J77" s="19">
        <f t="shared" si="2"/>
        <v>2</v>
      </c>
    </row>
    <row r="78" ht="22.5" customHeight="1">
      <c r="A78" s="16">
        <v>5.0</v>
      </c>
      <c r="B78" s="16">
        <v>21.0</v>
      </c>
      <c r="C78" s="16">
        <v>4.0</v>
      </c>
      <c r="D78" s="16">
        <v>0.0</v>
      </c>
      <c r="E78" s="16">
        <v>0.2</v>
      </c>
      <c r="F78" s="16">
        <v>0.0</v>
      </c>
      <c r="G78" s="18">
        <v>0.25</v>
      </c>
      <c r="H78" s="16" t="s">
        <v>128</v>
      </c>
      <c r="I78" s="19">
        <f t="shared" si="1"/>
        <v>0</v>
      </c>
      <c r="J78" s="19">
        <f t="shared" si="2"/>
        <v>1</v>
      </c>
    </row>
    <row r="79" ht="22.5" customHeight="1">
      <c r="A79" s="16">
        <v>4.0</v>
      </c>
      <c r="B79" s="16">
        <v>16.0</v>
      </c>
      <c r="C79" s="16">
        <v>2.0</v>
      </c>
      <c r="D79" s="16">
        <v>-1.0</v>
      </c>
      <c r="E79" s="16">
        <v>0.25</v>
      </c>
      <c r="F79" s="16">
        <v>0.0</v>
      </c>
      <c r="G79" s="18">
        <v>0.0</v>
      </c>
      <c r="H79" s="16" t="s">
        <v>130</v>
      </c>
      <c r="I79" s="19">
        <f t="shared" si="1"/>
        <v>-4</v>
      </c>
      <c r="J79" s="19">
        <f t="shared" si="2"/>
        <v>1</v>
      </c>
    </row>
    <row r="80" ht="22.5" customHeight="1">
      <c r="A80" s="16">
        <v>1.0</v>
      </c>
      <c r="B80" s="16">
        <v>4.0</v>
      </c>
      <c r="C80" s="16">
        <v>0.0</v>
      </c>
      <c r="D80" s="16">
        <v>0.0</v>
      </c>
      <c r="E80" s="16">
        <v>0.0</v>
      </c>
      <c r="F80" s="16">
        <v>0.0</v>
      </c>
      <c r="G80" s="18">
        <v>0.0</v>
      </c>
      <c r="H80" s="16" t="s">
        <v>132</v>
      </c>
      <c r="I80" s="19">
        <f t="shared" si="1"/>
        <v>0</v>
      </c>
      <c r="J80" s="19">
        <f t="shared" si="2"/>
        <v>0</v>
      </c>
    </row>
    <row r="81" ht="22.5" customHeight="1">
      <c r="A81" s="16">
        <v>3.0</v>
      </c>
      <c r="B81" s="16">
        <v>11.0</v>
      </c>
      <c r="C81" s="16">
        <v>0.0</v>
      </c>
      <c r="D81" s="16">
        <v>0.0</v>
      </c>
      <c r="E81" s="16">
        <v>0.0</v>
      </c>
      <c r="F81" s="16">
        <v>0.0</v>
      </c>
      <c r="G81" s="18">
        <v>0.0</v>
      </c>
      <c r="H81" s="16" t="s">
        <v>132</v>
      </c>
      <c r="I81" s="19">
        <f t="shared" si="1"/>
        <v>0</v>
      </c>
      <c r="J81" s="19">
        <f t="shared" si="2"/>
        <v>0</v>
      </c>
    </row>
    <row r="82" ht="22.5" customHeight="1">
      <c r="A82" s="16">
        <v>1.0</v>
      </c>
      <c r="B82" s="16">
        <v>4.0</v>
      </c>
      <c r="C82" s="16">
        <v>4.0</v>
      </c>
      <c r="D82" s="16">
        <v>8.0</v>
      </c>
      <c r="E82" s="16">
        <v>1.0</v>
      </c>
      <c r="F82" s="16">
        <v>0.0</v>
      </c>
      <c r="G82" s="18">
        <v>0.75</v>
      </c>
      <c r="H82" s="16" t="s">
        <v>77</v>
      </c>
      <c r="I82" s="19">
        <f t="shared" si="1"/>
        <v>8</v>
      </c>
      <c r="J82" s="19">
        <f t="shared" si="2"/>
        <v>1</v>
      </c>
    </row>
    <row r="83" ht="22.5" customHeight="1">
      <c r="A83" s="16">
        <v>3.0</v>
      </c>
      <c r="B83" s="16">
        <v>11.0</v>
      </c>
      <c r="C83" s="16">
        <v>11.0</v>
      </c>
      <c r="D83" s="16">
        <v>10.67</v>
      </c>
      <c r="E83" s="16">
        <v>0.33</v>
      </c>
      <c r="F83" s="16">
        <v>0.0</v>
      </c>
      <c r="G83" s="20">
        <v>0.818</v>
      </c>
      <c r="H83" s="16" t="s">
        <v>77</v>
      </c>
      <c r="I83" s="19">
        <f t="shared" si="1"/>
        <v>32</v>
      </c>
      <c r="J83" s="19">
        <f t="shared" si="2"/>
        <v>1</v>
      </c>
    </row>
    <row r="84" ht="22.5" customHeight="1">
      <c r="A84" s="16">
        <v>1.0</v>
      </c>
      <c r="B84" s="16">
        <v>4.0</v>
      </c>
      <c r="C84" s="16">
        <v>0.0</v>
      </c>
      <c r="D84" s="16">
        <v>0.0</v>
      </c>
      <c r="E84" s="16">
        <v>0.0</v>
      </c>
      <c r="F84" s="16">
        <v>0.0</v>
      </c>
      <c r="G84" s="18">
        <v>0.0</v>
      </c>
      <c r="H84" s="16" t="s">
        <v>137</v>
      </c>
      <c r="I84" s="19">
        <f t="shared" si="1"/>
        <v>0</v>
      </c>
      <c r="J84" s="19">
        <f t="shared" si="2"/>
        <v>0</v>
      </c>
    </row>
    <row r="85" ht="22.5" customHeight="1">
      <c r="A85" s="16">
        <v>1.0</v>
      </c>
      <c r="B85" s="16">
        <v>3.0</v>
      </c>
      <c r="C85" s="16">
        <v>0.0</v>
      </c>
      <c r="D85" s="16">
        <v>0.0</v>
      </c>
      <c r="E85" s="16">
        <v>0.0</v>
      </c>
      <c r="F85" s="16">
        <v>0.0</v>
      </c>
      <c r="G85" s="18">
        <v>0.0</v>
      </c>
      <c r="H85" s="16" t="s">
        <v>137</v>
      </c>
      <c r="I85" s="19">
        <f t="shared" si="1"/>
        <v>0</v>
      </c>
      <c r="J85" s="19">
        <f t="shared" si="2"/>
        <v>0</v>
      </c>
    </row>
    <row r="86" ht="22.5" customHeight="1">
      <c r="A86" s="16">
        <v>5.0</v>
      </c>
      <c r="B86" s="16">
        <v>20.0</v>
      </c>
      <c r="C86" s="16">
        <v>3.0</v>
      </c>
      <c r="D86" s="16">
        <v>2.4</v>
      </c>
      <c r="E86" s="16">
        <v>0.0</v>
      </c>
      <c r="F86" s="16">
        <v>0.0</v>
      </c>
      <c r="G86" s="18">
        <v>1.0</v>
      </c>
      <c r="H86" s="16" t="s">
        <v>139</v>
      </c>
      <c r="I86" s="19">
        <f t="shared" si="1"/>
        <v>12</v>
      </c>
      <c r="J86" s="19">
        <f t="shared" si="2"/>
        <v>0</v>
      </c>
    </row>
    <row r="87" ht="22.5" customHeight="1">
      <c r="A87" s="16">
        <v>1.0</v>
      </c>
      <c r="B87" s="16">
        <v>4.0</v>
      </c>
      <c r="C87" s="16">
        <v>1.0</v>
      </c>
      <c r="D87" s="16">
        <v>0.0</v>
      </c>
      <c r="E87" s="16">
        <v>0.0</v>
      </c>
      <c r="F87" s="16">
        <v>0.0</v>
      </c>
      <c r="G87" s="18">
        <v>0.0</v>
      </c>
      <c r="H87" s="16" t="s">
        <v>142</v>
      </c>
      <c r="I87" s="19">
        <f t="shared" si="1"/>
        <v>0</v>
      </c>
      <c r="J87" s="19">
        <f t="shared" si="2"/>
        <v>0</v>
      </c>
    </row>
    <row r="88" ht="22.5" customHeight="1">
      <c r="A88" s="16">
        <v>5.0</v>
      </c>
      <c r="B88" s="16">
        <v>20.0</v>
      </c>
      <c r="C88" s="16">
        <v>7.0</v>
      </c>
      <c r="D88" s="16">
        <v>4.0</v>
      </c>
      <c r="E88" s="16">
        <v>0.0</v>
      </c>
      <c r="F88" s="16">
        <v>0.0</v>
      </c>
      <c r="G88" s="20">
        <v>0.714</v>
      </c>
      <c r="H88" s="16" t="s">
        <v>144</v>
      </c>
      <c r="I88" s="19">
        <f t="shared" si="1"/>
        <v>20</v>
      </c>
      <c r="J88" s="19">
        <f t="shared" si="2"/>
        <v>0</v>
      </c>
    </row>
    <row r="89" ht="22.5" customHeight="1">
      <c r="A89" s="16">
        <v>4.0</v>
      </c>
      <c r="B89" s="16">
        <v>16.0</v>
      </c>
      <c r="C89" s="16">
        <v>0.0</v>
      </c>
      <c r="D89" s="16">
        <v>0.0</v>
      </c>
      <c r="E89" s="16">
        <v>0.0</v>
      </c>
      <c r="F89" s="16">
        <v>0.0</v>
      </c>
      <c r="G89" s="18">
        <v>0.0</v>
      </c>
      <c r="H89" s="16" t="s">
        <v>147</v>
      </c>
      <c r="I89" s="19">
        <f t="shared" si="1"/>
        <v>0</v>
      </c>
      <c r="J89" s="19">
        <f t="shared" si="2"/>
        <v>0</v>
      </c>
    </row>
    <row r="90" ht="22.5" customHeight="1">
      <c r="A90" s="16">
        <v>1.0</v>
      </c>
      <c r="B90" s="16">
        <v>4.0</v>
      </c>
      <c r="C90" s="16">
        <v>0.0</v>
      </c>
      <c r="D90" s="16">
        <v>0.0</v>
      </c>
      <c r="E90" s="16">
        <v>0.0</v>
      </c>
      <c r="F90" s="16">
        <v>0.0</v>
      </c>
      <c r="G90" s="18">
        <v>0.0</v>
      </c>
      <c r="H90" s="16" t="s">
        <v>147</v>
      </c>
      <c r="I90" s="19">
        <f t="shared" si="1"/>
        <v>0</v>
      </c>
      <c r="J90" s="19">
        <f t="shared" si="2"/>
        <v>0</v>
      </c>
    </row>
    <row r="91" ht="22.5" customHeight="1">
      <c r="A91" s="16">
        <v>4.0</v>
      </c>
      <c r="B91" s="16">
        <v>16.0</v>
      </c>
      <c r="C91" s="16">
        <v>3.0</v>
      </c>
      <c r="D91" s="16">
        <v>2.0</v>
      </c>
      <c r="E91" s="16">
        <v>0.0</v>
      </c>
      <c r="F91" s="16">
        <v>0.0</v>
      </c>
      <c r="G91" s="20">
        <v>0.667</v>
      </c>
      <c r="H91" s="16" t="s">
        <v>125</v>
      </c>
      <c r="I91" s="19">
        <f t="shared" si="1"/>
        <v>8</v>
      </c>
      <c r="J91" s="19">
        <f t="shared" si="2"/>
        <v>0</v>
      </c>
    </row>
    <row r="92" ht="22.5" customHeight="1">
      <c r="A92" s="16">
        <v>1.0</v>
      </c>
      <c r="B92" s="16">
        <v>3.0</v>
      </c>
      <c r="C92" s="16">
        <v>1.0</v>
      </c>
      <c r="D92" s="16">
        <v>0.0</v>
      </c>
      <c r="E92" s="16">
        <v>0.0</v>
      </c>
      <c r="F92" s="16">
        <v>0.0</v>
      </c>
      <c r="G92" s="18">
        <v>0.0</v>
      </c>
      <c r="H92" s="16" t="s">
        <v>151</v>
      </c>
      <c r="I92" s="19">
        <f t="shared" si="1"/>
        <v>0</v>
      </c>
      <c r="J92" s="19">
        <f t="shared" si="2"/>
        <v>0</v>
      </c>
    </row>
    <row r="93" ht="22.5" customHeight="1">
      <c r="A93" s="16">
        <v>1.0</v>
      </c>
      <c r="B93" s="16">
        <v>3.0</v>
      </c>
      <c r="C93" s="16">
        <v>0.0</v>
      </c>
      <c r="D93" s="16">
        <v>0.0</v>
      </c>
      <c r="E93" s="16">
        <v>0.0</v>
      </c>
      <c r="F93" s="16">
        <v>0.0</v>
      </c>
      <c r="G93" s="18">
        <v>0.0</v>
      </c>
      <c r="H93" s="16" t="s">
        <v>152</v>
      </c>
      <c r="I93" s="19">
        <f t="shared" si="1"/>
        <v>0</v>
      </c>
      <c r="J93" s="19">
        <f t="shared" si="2"/>
        <v>0</v>
      </c>
    </row>
    <row r="94" ht="22.5" customHeight="1">
      <c r="A94" s="16">
        <v>3.0</v>
      </c>
      <c r="B94" s="16">
        <v>12.0</v>
      </c>
      <c r="C94" s="16">
        <v>0.0</v>
      </c>
      <c r="D94" s="16">
        <v>0.0</v>
      </c>
      <c r="E94" s="16">
        <v>0.0</v>
      </c>
      <c r="F94" s="16">
        <v>0.0</v>
      </c>
      <c r="G94" s="18">
        <v>0.0</v>
      </c>
      <c r="H94" s="16" t="s">
        <v>152</v>
      </c>
      <c r="I94" s="19">
        <f t="shared" si="1"/>
        <v>0</v>
      </c>
      <c r="J94" s="19">
        <f t="shared" si="2"/>
        <v>0</v>
      </c>
    </row>
    <row r="95" ht="22.5" customHeight="1">
      <c r="A95" s="16">
        <v>1.0</v>
      </c>
      <c r="B95" s="16">
        <v>3.0</v>
      </c>
      <c r="C95" s="16">
        <v>0.0</v>
      </c>
      <c r="D95" s="16">
        <v>0.0</v>
      </c>
      <c r="E95" s="16">
        <v>0.0</v>
      </c>
      <c r="F95" s="16">
        <v>0.0</v>
      </c>
      <c r="G95" s="18">
        <v>0.0</v>
      </c>
      <c r="H95" s="16" t="s">
        <v>156</v>
      </c>
      <c r="I95" s="19">
        <f t="shared" si="1"/>
        <v>0</v>
      </c>
      <c r="J95" s="19">
        <f t="shared" si="2"/>
        <v>0</v>
      </c>
    </row>
    <row r="96" ht="22.5" customHeight="1">
      <c r="A96" s="16">
        <v>2.0</v>
      </c>
      <c r="B96" s="16">
        <v>8.0</v>
      </c>
      <c r="C96" s="16">
        <v>1.0</v>
      </c>
      <c r="D96" s="16">
        <v>0.0</v>
      </c>
      <c r="E96" s="16">
        <v>0.0</v>
      </c>
      <c r="F96" s="16">
        <v>0.0</v>
      </c>
      <c r="G96" s="18">
        <v>0.0</v>
      </c>
      <c r="H96" s="16" t="s">
        <v>156</v>
      </c>
      <c r="I96" s="19">
        <f t="shared" si="1"/>
        <v>0</v>
      </c>
      <c r="J96" s="19">
        <f t="shared" si="2"/>
        <v>0</v>
      </c>
    </row>
    <row r="97" ht="22.5" customHeight="1">
      <c r="A97" s="16">
        <v>1.0</v>
      </c>
      <c r="B97" s="16">
        <v>3.0</v>
      </c>
      <c r="C97" s="16">
        <v>2.0</v>
      </c>
      <c r="D97" s="16">
        <v>-4.0</v>
      </c>
      <c r="E97" s="16">
        <v>1.0</v>
      </c>
      <c r="F97" s="16">
        <v>0.0</v>
      </c>
      <c r="G97" s="18">
        <v>0.0</v>
      </c>
      <c r="H97" s="16" t="s">
        <v>145</v>
      </c>
      <c r="I97" s="19">
        <f t="shared" si="1"/>
        <v>-4</v>
      </c>
      <c r="J97" s="19">
        <f t="shared" si="2"/>
        <v>1</v>
      </c>
    </row>
    <row r="98" ht="22.5" customHeight="1">
      <c r="A98" s="16">
        <v>4.0</v>
      </c>
      <c r="B98" s="16">
        <v>16.0</v>
      </c>
      <c r="C98" s="16">
        <v>10.0</v>
      </c>
      <c r="D98" s="16">
        <v>2.0</v>
      </c>
      <c r="E98" s="16">
        <v>0.25</v>
      </c>
      <c r="F98" s="16">
        <v>0.0</v>
      </c>
      <c r="G98" s="18">
        <v>0.3</v>
      </c>
      <c r="H98" s="16" t="s">
        <v>145</v>
      </c>
      <c r="I98" s="19">
        <f t="shared" si="1"/>
        <v>8</v>
      </c>
      <c r="J98" s="19">
        <f t="shared" si="2"/>
        <v>1</v>
      </c>
    </row>
    <row r="99" ht="22.5" customHeight="1">
      <c r="A99" s="16">
        <v>1.0</v>
      </c>
      <c r="B99" s="16">
        <v>4.0</v>
      </c>
      <c r="C99" s="16">
        <v>1.0</v>
      </c>
      <c r="D99" s="16">
        <v>0.0</v>
      </c>
      <c r="E99" s="16">
        <v>0.0</v>
      </c>
      <c r="F99" s="16">
        <v>0.0</v>
      </c>
      <c r="G99" s="18">
        <v>0.0</v>
      </c>
      <c r="H99" s="16" t="s">
        <v>160</v>
      </c>
      <c r="I99" s="19">
        <f t="shared" si="1"/>
        <v>0</v>
      </c>
      <c r="J99" s="19">
        <f t="shared" si="2"/>
        <v>0</v>
      </c>
    </row>
    <row r="100" ht="22.5" customHeight="1">
      <c r="A100" s="16">
        <v>2.0</v>
      </c>
      <c r="B100" s="16">
        <v>8.0</v>
      </c>
      <c r="C100" s="16">
        <v>1.0</v>
      </c>
      <c r="D100" s="16">
        <v>2.0</v>
      </c>
      <c r="E100" s="16">
        <v>0.0</v>
      </c>
      <c r="F100" s="16">
        <v>0.0</v>
      </c>
      <c r="G100" s="18">
        <v>1.0</v>
      </c>
      <c r="H100" s="16" t="s">
        <v>162</v>
      </c>
      <c r="I100" s="19">
        <f t="shared" si="1"/>
        <v>4</v>
      </c>
      <c r="J100" s="19">
        <f t="shared" si="2"/>
        <v>0</v>
      </c>
    </row>
    <row r="101" ht="22.5" customHeight="1">
      <c r="A101" s="16">
        <v>2.0</v>
      </c>
      <c r="B101" s="16">
        <v>8.0</v>
      </c>
      <c r="C101" s="16">
        <v>2.0</v>
      </c>
      <c r="D101" s="16">
        <v>0.0</v>
      </c>
      <c r="E101" s="16">
        <v>0.5</v>
      </c>
      <c r="F101" s="16">
        <v>0.0</v>
      </c>
      <c r="G101" s="18">
        <v>0.5</v>
      </c>
      <c r="H101" s="16" t="s">
        <v>162</v>
      </c>
      <c r="I101" s="19">
        <f t="shared" si="1"/>
        <v>0</v>
      </c>
      <c r="J101" s="19">
        <f t="shared" si="2"/>
        <v>1</v>
      </c>
    </row>
    <row r="102" ht="22.5" customHeight="1">
      <c r="A102" s="16">
        <v>5.0</v>
      </c>
      <c r="B102" s="16">
        <v>19.0</v>
      </c>
      <c r="C102" s="16">
        <v>1.0</v>
      </c>
      <c r="D102" s="16">
        <v>-0.8</v>
      </c>
      <c r="E102" s="16">
        <v>0.2</v>
      </c>
      <c r="F102" s="16">
        <v>0.0</v>
      </c>
      <c r="G102" s="18">
        <v>0.0</v>
      </c>
      <c r="H102" s="16" t="s">
        <v>165</v>
      </c>
      <c r="I102" s="19">
        <f t="shared" si="1"/>
        <v>-4</v>
      </c>
      <c r="J102" s="19">
        <f t="shared" si="2"/>
        <v>1</v>
      </c>
    </row>
    <row r="103" ht="22.5" customHeight="1">
      <c r="A103" s="16">
        <v>1.0</v>
      </c>
      <c r="B103" s="16">
        <v>4.0</v>
      </c>
      <c r="C103" s="16">
        <v>1.0</v>
      </c>
      <c r="D103" s="16">
        <v>4.0</v>
      </c>
      <c r="E103" s="16">
        <v>0.0</v>
      </c>
      <c r="F103" s="16">
        <v>0.0</v>
      </c>
      <c r="G103" s="18">
        <v>1.0</v>
      </c>
      <c r="H103" s="16" t="s">
        <v>167</v>
      </c>
      <c r="I103" s="19">
        <f t="shared" si="1"/>
        <v>4</v>
      </c>
      <c r="J103" s="19">
        <f t="shared" si="2"/>
        <v>0</v>
      </c>
    </row>
    <row r="104" ht="22.5" customHeight="1">
      <c r="A104" s="16">
        <v>5.0</v>
      </c>
      <c r="B104" s="16">
        <v>19.0</v>
      </c>
      <c r="C104" s="16">
        <v>8.0</v>
      </c>
      <c r="D104" s="16">
        <v>4.0</v>
      </c>
      <c r="E104" s="16">
        <v>0.0</v>
      </c>
      <c r="F104" s="16">
        <v>0.0</v>
      </c>
      <c r="G104" s="20">
        <v>0.625</v>
      </c>
      <c r="H104" s="16" t="s">
        <v>169</v>
      </c>
      <c r="I104" s="19">
        <f t="shared" si="1"/>
        <v>20</v>
      </c>
      <c r="J104" s="19">
        <f t="shared" si="2"/>
        <v>0</v>
      </c>
    </row>
    <row r="105" ht="22.5" customHeight="1">
      <c r="A105" s="16">
        <v>3.0</v>
      </c>
      <c r="B105" s="16">
        <v>11.0</v>
      </c>
      <c r="C105" s="16">
        <v>1.0</v>
      </c>
      <c r="D105" s="16">
        <v>-1.33</v>
      </c>
      <c r="E105" s="16">
        <v>0.33</v>
      </c>
      <c r="F105" s="16">
        <v>0.0</v>
      </c>
      <c r="G105" s="18">
        <v>0.0</v>
      </c>
      <c r="H105" s="16" t="s">
        <v>171</v>
      </c>
      <c r="I105" s="19">
        <f t="shared" si="1"/>
        <v>-4</v>
      </c>
      <c r="J105" s="19">
        <f t="shared" si="2"/>
        <v>1</v>
      </c>
    </row>
    <row r="106" ht="22.5" customHeight="1">
      <c r="A106" s="16">
        <v>4.0</v>
      </c>
      <c r="B106" s="16">
        <v>15.0</v>
      </c>
      <c r="C106" s="16">
        <v>1.0</v>
      </c>
      <c r="D106" s="16">
        <v>-1.0</v>
      </c>
      <c r="E106" s="16">
        <v>0.25</v>
      </c>
      <c r="F106" s="16">
        <v>0.0</v>
      </c>
      <c r="G106" s="18">
        <v>0.0</v>
      </c>
      <c r="H106" s="16" t="s">
        <v>173</v>
      </c>
      <c r="I106" s="19">
        <f t="shared" si="1"/>
        <v>-4</v>
      </c>
      <c r="J106" s="19">
        <f t="shared" si="2"/>
        <v>1</v>
      </c>
    </row>
    <row r="107" ht="22.5" customHeight="1">
      <c r="A107" s="16">
        <v>1.0</v>
      </c>
      <c r="B107" s="16">
        <v>4.0</v>
      </c>
      <c r="C107" s="16">
        <v>0.0</v>
      </c>
      <c r="D107" s="16">
        <v>0.0</v>
      </c>
      <c r="E107" s="16">
        <v>0.0</v>
      </c>
      <c r="F107" s="16">
        <v>0.0</v>
      </c>
      <c r="G107" s="18">
        <v>0.0</v>
      </c>
      <c r="H107" s="16" t="s">
        <v>173</v>
      </c>
      <c r="I107" s="19">
        <f t="shared" si="1"/>
        <v>0</v>
      </c>
      <c r="J107" s="19">
        <f t="shared" si="2"/>
        <v>0</v>
      </c>
    </row>
    <row r="108" ht="22.5" customHeight="1">
      <c r="A108" s="16">
        <v>1.0</v>
      </c>
      <c r="B108" s="16">
        <v>4.0</v>
      </c>
      <c r="C108" s="16">
        <v>0.0</v>
      </c>
      <c r="D108" s="16">
        <v>0.0</v>
      </c>
      <c r="E108" s="16">
        <v>0.0</v>
      </c>
      <c r="F108" s="16">
        <v>0.0</v>
      </c>
      <c r="G108" s="18">
        <v>0.0</v>
      </c>
      <c r="H108" s="16" t="s">
        <v>174</v>
      </c>
      <c r="I108" s="19">
        <f t="shared" si="1"/>
        <v>0</v>
      </c>
      <c r="J108" s="19">
        <f t="shared" si="2"/>
        <v>0</v>
      </c>
    </row>
    <row r="109" ht="22.5" customHeight="1">
      <c r="A109" s="16">
        <v>1.0</v>
      </c>
      <c r="B109" s="16">
        <v>4.0</v>
      </c>
      <c r="C109" s="16">
        <v>0.0</v>
      </c>
      <c r="D109" s="16">
        <v>0.0</v>
      </c>
      <c r="E109" s="16">
        <v>0.0</v>
      </c>
      <c r="F109" s="16">
        <v>0.0</v>
      </c>
      <c r="G109" s="18">
        <v>0.0</v>
      </c>
      <c r="H109" s="16" t="s">
        <v>176</v>
      </c>
      <c r="I109" s="19">
        <f t="shared" si="1"/>
        <v>0</v>
      </c>
      <c r="J109" s="19">
        <f t="shared" si="2"/>
        <v>0</v>
      </c>
    </row>
    <row r="110" ht="22.5" customHeight="1">
      <c r="A110" s="16">
        <v>4.0</v>
      </c>
      <c r="B110" s="16">
        <v>15.0</v>
      </c>
      <c r="C110" s="16">
        <v>9.0</v>
      </c>
      <c r="D110" s="16">
        <v>5.0</v>
      </c>
      <c r="E110" s="16">
        <v>0.5</v>
      </c>
      <c r="F110" s="16">
        <v>0.0</v>
      </c>
      <c r="G110" s="20">
        <v>0.778</v>
      </c>
      <c r="H110" s="16" t="s">
        <v>74</v>
      </c>
      <c r="I110" s="19">
        <f t="shared" si="1"/>
        <v>20</v>
      </c>
      <c r="J110" s="19">
        <f t="shared" si="2"/>
        <v>2</v>
      </c>
    </row>
    <row r="111" ht="22.5" customHeight="1">
      <c r="A111" s="16">
        <v>1.0</v>
      </c>
      <c r="B111" s="16">
        <v>4.0</v>
      </c>
      <c r="C111" s="16">
        <v>4.0</v>
      </c>
      <c r="D111" s="16">
        <v>4.0</v>
      </c>
      <c r="E111" s="16">
        <v>0.0</v>
      </c>
      <c r="F111" s="16">
        <v>0.0</v>
      </c>
      <c r="G111" s="18">
        <v>0.25</v>
      </c>
      <c r="H111" s="16" t="s">
        <v>74</v>
      </c>
      <c r="I111" s="19">
        <f t="shared" si="1"/>
        <v>4</v>
      </c>
      <c r="J111" s="19">
        <f t="shared" si="2"/>
        <v>0</v>
      </c>
    </row>
    <row r="112" ht="22.5" customHeight="1">
      <c r="A112" s="16">
        <v>1.0</v>
      </c>
      <c r="B112" s="16">
        <v>4.0</v>
      </c>
      <c r="C112" s="16">
        <v>0.0</v>
      </c>
      <c r="D112" s="16">
        <v>0.0</v>
      </c>
      <c r="E112" s="16">
        <v>0.0</v>
      </c>
      <c r="F112" s="16">
        <v>0.0</v>
      </c>
      <c r="G112" s="18">
        <v>0.0</v>
      </c>
      <c r="H112" s="16" t="s">
        <v>177</v>
      </c>
      <c r="I112" s="19">
        <f t="shared" si="1"/>
        <v>0</v>
      </c>
      <c r="J112" s="19">
        <f t="shared" si="2"/>
        <v>0</v>
      </c>
    </row>
    <row r="113" ht="22.5" customHeight="1">
      <c r="A113" s="16">
        <v>4.0</v>
      </c>
      <c r="B113" s="16">
        <v>15.0</v>
      </c>
      <c r="C113" s="16">
        <v>0.0</v>
      </c>
      <c r="D113" s="16">
        <v>0.0</v>
      </c>
      <c r="E113" s="16">
        <v>0.0</v>
      </c>
      <c r="F113" s="16">
        <v>0.0</v>
      </c>
      <c r="G113" s="18">
        <v>0.0</v>
      </c>
      <c r="H113" s="16" t="s">
        <v>178</v>
      </c>
      <c r="I113" s="19">
        <f t="shared" si="1"/>
        <v>0</v>
      </c>
      <c r="J113" s="19">
        <f t="shared" si="2"/>
        <v>0</v>
      </c>
    </row>
    <row r="114" ht="22.5" customHeight="1">
      <c r="A114" s="16">
        <v>1.0</v>
      </c>
      <c r="B114" s="16">
        <v>4.0</v>
      </c>
      <c r="C114" s="16">
        <v>0.0</v>
      </c>
      <c r="D114" s="16">
        <v>0.0</v>
      </c>
      <c r="E114" s="16">
        <v>0.0</v>
      </c>
      <c r="F114" s="16">
        <v>0.0</v>
      </c>
      <c r="G114" s="18">
        <v>0.0</v>
      </c>
      <c r="H114" s="16" t="s">
        <v>178</v>
      </c>
      <c r="I114" s="19">
        <f t="shared" si="1"/>
        <v>0</v>
      </c>
      <c r="J114" s="19">
        <f t="shared" si="2"/>
        <v>0</v>
      </c>
    </row>
    <row r="115" ht="22.5" customHeight="1">
      <c r="A115" s="16">
        <v>3.0</v>
      </c>
      <c r="B115" s="16">
        <v>11.0</v>
      </c>
      <c r="C115" s="16">
        <v>1.0</v>
      </c>
      <c r="D115" s="16">
        <v>1.33</v>
      </c>
      <c r="E115" s="16">
        <v>0.0</v>
      </c>
      <c r="F115" s="16">
        <v>0.0</v>
      </c>
      <c r="G115" s="18">
        <v>1.0</v>
      </c>
      <c r="H115" s="16" t="s">
        <v>150</v>
      </c>
      <c r="I115" s="19">
        <f t="shared" si="1"/>
        <v>4</v>
      </c>
      <c r="J115" s="19">
        <f t="shared" si="2"/>
        <v>0</v>
      </c>
    </row>
    <row r="116" ht="22.5" customHeight="1">
      <c r="A116" s="16">
        <v>1.0</v>
      </c>
      <c r="B116" s="16">
        <v>4.0</v>
      </c>
      <c r="C116" s="16">
        <v>1.0</v>
      </c>
      <c r="D116" s="16">
        <v>4.0</v>
      </c>
      <c r="E116" s="16">
        <v>0.0</v>
      </c>
      <c r="F116" s="16">
        <v>0.0</v>
      </c>
      <c r="G116" s="18">
        <v>1.0</v>
      </c>
      <c r="H116" s="16" t="s">
        <v>150</v>
      </c>
      <c r="I116" s="19">
        <f t="shared" si="1"/>
        <v>4</v>
      </c>
      <c r="J116" s="19">
        <f t="shared" si="2"/>
        <v>0</v>
      </c>
    </row>
    <row r="117" ht="22.5" customHeight="1">
      <c r="A117" s="16">
        <v>2.0</v>
      </c>
      <c r="B117" s="16">
        <v>7.0</v>
      </c>
      <c r="C117" s="16">
        <v>5.0</v>
      </c>
      <c r="D117" s="16">
        <v>-6.0</v>
      </c>
      <c r="E117" s="16">
        <v>1.5</v>
      </c>
      <c r="F117" s="16">
        <v>0.0</v>
      </c>
      <c r="G117" s="18">
        <v>0.0</v>
      </c>
      <c r="H117" s="16" t="s">
        <v>179</v>
      </c>
      <c r="I117" s="19">
        <f t="shared" si="1"/>
        <v>-12</v>
      </c>
      <c r="J117" s="19">
        <f t="shared" si="2"/>
        <v>3</v>
      </c>
    </row>
    <row r="118" ht="22.5" customHeight="1">
      <c r="A118" s="16">
        <v>1.0</v>
      </c>
      <c r="B118" s="16">
        <v>4.0</v>
      </c>
      <c r="C118" s="16">
        <v>2.0</v>
      </c>
      <c r="D118" s="16">
        <v>0.0</v>
      </c>
      <c r="E118" s="16">
        <v>0.0</v>
      </c>
      <c r="F118" s="16">
        <v>0.0</v>
      </c>
      <c r="G118" s="18">
        <v>0.0</v>
      </c>
      <c r="H118" s="16" t="s">
        <v>179</v>
      </c>
      <c r="I118" s="19">
        <f t="shared" si="1"/>
        <v>0</v>
      </c>
      <c r="J118" s="19">
        <f t="shared" si="2"/>
        <v>0</v>
      </c>
    </row>
    <row r="119" ht="22.5" customHeight="1">
      <c r="A119" s="16">
        <v>2.0</v>
      </c>
      <c r="B119" s="16">
        <v>8.0</v>
      </c>
      <c r="C119" s="16">
        <v>5.0</v>
      </c>
      <c r="D119" s="16">
        <v>10.0</v>
      </c>
      <c r="E119" s="16">
        <v>0.0</v>
      </c>
      <c r="F119" s="16">
        <v>0.0</v>
      </c>
      <c r="G119" s="18">
        <v>1.0</v>
      </c>
      <c r="H119" s="16" t="s">
        <v>181</v>
      </c>
      <c r="I119" s="19">
        <f t="shared" si="1"/>
        <v>20</v>
      </c>
      <c r="J119" s="19">
        <f t="shared" si="2"/>
        <v>0</v>
      </c>
    </row>
    <row r="120" ht="22.5" customHeight="1">
      <c r="A120" s="16">
        <v>4.0</v>
      </c>
      <c r="B120" s="16">
        <v>15.0</v>
      </c>
      <c r="C120" s="16">
        <v>1.0</v>
      </c>
      <c r="D120" s="16">
        <v>-1.0</v>
      </c>
      <c r="E120" s="16">
        <v>0.25</v>
      </c>
      <c r="F120" s="16">
        <v>0.0</v>
      </c>
      <c r="G120" s="18">
        <v>0.0</v>
      </c>
      <c r="H120" s="16" t="s">
        <v>183</v>
      </c>
      <c r="I120" s="19">
        <f t="shared" si="1"/>
        <v>-4</v>
      </c>
      <c r="J120" s="19">
        <f t="shared" si="2"/>
        <v>1</v>
      </c>
    </row>
    <row r="121" ht="22.5" customHeight="1">
      <c r="A121" s="16">
        <v>1.0</v>
      </c>
      <c r="B121" s="16">
        <v>4.0</v>
      </c>
      <c r="C121" s="16">
        <v>0.0</v>
      </c>
      <c r="D121" s="16">
        <v>0.0</v>
      </c>
      <c r="E121" s="16">
        <v>0.0</v>
      </c>
      <c r="F121" s="16">
        <v>0.0</v>
      </c>
      <c r="G121" s="18">
        <v>0.0</v>
      </c>
      <c r="H121" s="16" t="s">
        <v>183</v>
      </c>
      <c r="I121" s="19">
        <f t="shared" si="1"/>
        <v>0</v>
      </c>
      <c r="J121" s="19">
        <f t="shared" si="2"/>
        <v>0</v>
      </c>
    </row>
    <row r="122" ht="22.5" customHeight="1">
      <c r="A122" s="16">
        <v>1.0</v>
      </c>
      <c r="B122" s="16">
        <v>4.0</v>
      </c>
      <c r="C122" s="16">
        <v>0.0</v>
      </c>
      <c r="D122" s="16">
        <v>0.0</v>
      </c>
      <c r="E122" s="16">
        <v>0.0</v>
      </c>
      <c r="F122" s="16">
        <v>0.0</v>
      </c>
      <c r="G122" s="18">
        <v>0.0</v>
      </c>
      <c r="H122" s="16" t="s">
        <v>184</v>
      </c>
      <c r="I122" s="19">
        <f t="shared" si="1"/>
        <v>0</v>
      </c>
      <c r="J122" s="19">
        <f t="shared" si="2"/>
        <v>0</v>
      </c>
    </row>
    <row r="123" ht="22.5" customHeight="1">
      <c r="A123" s="16">
        <v>1.0</v>
      </c>
      <c r="B123" s="16">
        <v>4.0</v>
      </c>
      <c r="C123" s="16">
        <v>0.0</v>
      </c>
      <c r="D123" s="16">
        <v>0.0</v>
      </c>
      <c r="E123" s="16">
        <v>0.0</v>
      </c>
      <c r="F123" s="16">
        <v>0.0</v>
      </c>
      <c r="G123" s="18">
        <v>0.0</v>
      </c>
      <c r="H123" s="16" t="s">
        <v>184</v>
      </c>
      <c r="I123" s="19">
        <f t="shared" si="1"/>
        <v>0</v>
      </c>
      <c r="J123" s="19">
        <f t="shared" si="2"/>
        <v>0</v>
      </c>
    </row>
    <row r="124" ht="22.5" customHeight="1">
      <c r="A124" s="16">
        <v>3.0</v>
      </c>
      <c r="B124" s="16">
        <v>12.0</v>
      </c>
      <c r="C124" s="16">
        <v>1.0</v>
      </c>
      <c r="D124" s="16">
        <v>0.0</v>
      </c>
      <c r="E124" s="16">
        <v>0.0</v>
      </c>
      <c r="F124" s="16">
        <v>0.0</v>
      </c>
      <c r="G124" s="18">
        <v>0.0</v>
      </c>
      <c r="H124" s="16" t="s">
        <v>184</v>
      </c>
      <c r="I124" s="19">
        <f t="shared" si="1"/>
        <v>0</v>
      </c>
      <c r="J124" s="19">
        <f t="shared" si="2"/>
        <v>0</v>
      </c>
    </row>
    <row r="125" ht="22.5" customHeight="1">
      <c r="A125" s="16">
        <v>4.0</v>
      </c>
      <c r="B125" s="16">
        <v>16.0</v>
      </c>
      <c r="C125" s="16">
        <v>8.0</v>
      </c>
      <c r="D125" s="16">
        <v>3.0</v>
      </c>
      <c r="E125" s="16">
        <v>0.0</v>
      </c>
      <c r="F125" s="16">
        <v>0.0</v>
      </c>
      <c r="G125" s="20">
        <v>0.375</v>
      </c>
      <c r="H125" s="16" t="s">
        <v>161</v>
      </c>
      <c r="I125" s="19">
        <f t="shared" si="1"/>
        <v>12</v>
      </c>
      <c r="J125" s="19">
        <f t="shared" si="2"/>
        <v>0</v>
      </c>
    </row>
    <row r="126" ht="22.5" customHeight="1">
      <c r="A126" s="16">
        <v>1.0</v>
      </c>
      <c r="B126" s="16">
        <v>4.0</v>
      </c>
      <c r="C126" s="16">
        <v>1.0</v>
      </c>
      <c r="D126" s="16">
        <v>4.0</v>
      </c>
      <c r="E126" s="16">
        <v>0.0</v>
      </c>
      <c r="F126" s="16">
        <v>0.0</v>
      </c>
      <c r="G126" s="18">
        <v>1.0</v>
      </c>
      <c r="H126" s="16" t="s">
        <v>161</v>
      </c>
      <c r="I126" s="19">
        <f t="shared" si="1"/>
        <v>4</v>
      </c>
      <c r="J126" s="19">
        <f t="shared" si="2"/>
        <v>0</v>
      </c>
    </row>
    <row r="127" ht="22.5" customHeight="1">
      <c r="A127" s="16">
        <v>3.0</v>
      </c>
      <c r="B127" s="16">
        <v>12.0</v>
      </c>
      <c r="C127" s="16">
        <v>0.0</v>
      </c>
      <c r="D127" s="16">
        <v>0.0</v>
      </c>
      <c r="E127" s="16">
        <v>0.0</v>
      </c>
      <c r="F127" s="16">
        <v>0.0</v>
      </c>
      <c r="G127" s="18">
        <v>0.0</v>
      </c>
      <c r="H127" s="16" t="s">
        <v>187</v>
      </c>
      <c r="I127" s="19">
        <f t="shared" si="1"/>
        <v>0</v>
      </c>
      <c r="J127" s="19">
        <f t="shared" si="2"/>
        <v>0</v>
      </c>
    </row>
    <row r="128" ht="22.5" customHeight="1">
      <c r="A128" s="16">
        <v>5.0</v>
      </c>
      <c r="B128" s="16">
        <v>21.0</v>
      </c>
      <c r="C128" s="16">
        <v>3.0</v>
      </c>
      <c r="D128" s="16">
        <v>-0.8</v>
      </c>
      <c r="E128" s="16">
        <v>0.2</v>
      </c>
      <c r="F128" s="16">
        <v>0.0</v>
      </c>
      <c r="G128" s="18">
        <v>0.0</v>
      </c>
      <c r="H128" s="16" t="s">
        <v>180</v>
      </c>
      <c r="I128" s="19">
        <f t="shared" si="1"/>
        <v>-4</v>
      </c>
      <c r="J128" s="19">
        <f t="shared" si="2"/>
        <v>1</v>
      </c>
    </row>
    <row r="129" ht="22.5" customHeight="1">
      <c r="A129" s="16">
        <v>4.0</v>
      </c>
      <c r="B129" s="16">
        <v>16.0</v>
      </c>
      <c r="C129" s="16">
        <v>2.0</v>
      </c>
      <c r="D129" s="16">
        <v>1.0</v>
      </c>
      <c r="E129" s="16">
        <v>0.0</v>
      </c>
      <c r="F129" s="16">
        <v>0.0</v>
      </c>
      <c r="G129" s="18">
        <v>0.5</v>
      </c>
      <c r="H129" s="16" t="s">
        <v>189</v>
      </c>
      <c r="I129" s="19">
        <f t="shared" si="1"/>
        <v>4</v>
      </c>
      <c r="J129" s="19">
        <f t="shared" si="2"/>
        <v>0</v>
      </c>
    </row>
    <row r="130" ht="22.5" customHeight="1">
      <c r="A130" s="16">
        <v>5.0</v>
      </c>
      <c r="B130" s="16">
        <v>21.0</v>
      </c>
      <c r="C130" s="16">
        <v>10.0</v>
      </c>
      <c r="D130" s="16">
        <v>4.8</v>
      </c>
      <c r="E130" s="16">
        <v>0.2</v>
      </c>
      <c r="F130" s="16">
        <v>0.0</v>
      </c>
      <c r="G130" s="18">
        <v>0.7</v>
      </c>
      <c r="H130" s="16" t="s">
        <v>190</v>
      </c>
      <c r="I130" s="19">
        <f t="shared" si="1"/>
        <v>24</v>
      </c>
      <c r="J130" s="19">
        <f t="shared" si="2"/>
        <v>1</v>
      </c>
    </row>
    <row r="131" ht="22.5" customHeight="1">
      <c r="A131" s="16">
        <v>1.0</v>
      </c>
      <c r="B131" s="16">
        <v>4.0</v>
      </c>
      <c r="C131" s="16">
        <v>0.0</v>
      </c>
      <c r="D131" s="16">
        <v>0.0</v>
      </c>
      <c r="E131" s="16">
        <v>0.0</v>
      </c>
      <c r="F131" s="16">
        <v>0.0</v>
      </c>
      <c r="G131" s="18">
        <v>0.0</v>
      </c>
      <c r="H131" s="16" t="s">
        <v>191</v>
      </c>
      <c r="I131" s="19">
        <f t="shared" si="1"/>
        <v>0</v>
      </c>
      <c r="J131" s="19">
        <f t="shared" si="2"/>
        <v>0</v>
      </c>
    </row>
    <row r="132" ht="22.5" customHeight="1">
      <c r="A132" s="16">
        <v>3.0</v>
      </c>
      <c r="B132" s="16">
        <v>12.0</v>
      </c>
      <c r="C132" s="16">
        <v>0.0</v>
      </c>
      <c r="D132" s="16">
        <v>0.0</v>
      </c>
      <c r="E132" s="16">
        <v>0.0</v>
      </c>
      <c r="F132" s="16">
        <v>0.0</v>
      </c>
      <c r="G132" s="18">
        <v>0.0</v>
      </c>
      <c r="H132" s="16" t="s">
        <v>191</v>
      </c>
      <c r="I132" s="19">
        <f t="shared" si="1"/>
        <v>0</v>
      </c>
      <c r="J132" s="19">
        <f t="shared" si="2"/>
        <v>0</v>
      </c>
    </row>
    <row r="133" ht="22.5" customHeight="1">
      <c r="A133" s="16">
        <v>2.0</v>
      </c>
      <c r="B133" s="16">
        <v>8.0</v>
      </c>
      <c r="C133" s="16">
        <v>0.0</v>
      </c>
      <c r="D133" s="16">
        <v>0.0</v>
      </c>
      <c r="E133" s="16">
        <v>0.0</v>
      </c>
      <c r="F133" s="16">
        <v>0.0</v>
      </c>
      <c r="G133" s="18">
        <v>0.0</v>
      </c>
      <c r="H133" s="16" t="s">
        <v>192</v>
      </c>
      <c r="I133" s="19">
        <f t="shared" si="1"/>
        <v>0</v>
      </c>
      <c r="J133" s="19">
        <f t="shared" si="2"/>
        <v>0</v>
      </c>
    </row>
    <row r="134" ht="22.5" customHeight="1">
      <c r="A134" s="16">
        <v>1.0</v>
      </c>
      <c r="B134" s="16">
        <v>4.0</v>
      </c>
      <c r="C134" s="16">
        <v>0.0</v>
      </c>
      <c r="D134" s="16">
        <v>0.0</v>
      </c>
      <c r="E134" s="16">
        <v>0.0</v>
      </c>
      <c r="F134" s="16">
        <v>0.0</v>
      </c>
      <c r="G134" s="18">
        <v>0.0</v>
      </c>
      <c r="H134" s="16" t="s">
        <v>192</v>
      </c>
      <c r="I134" s="19">
        <f t="shared" si="1"/>
        <v>0</v>
      </c>
      <c r="J134" s="19">
        <f t="shared" si="2"/>
        <v>0</v>
      </c>
    </row>
    <row r="135" ht="22.5" customHeight="1">
      <c r="A135" s="16">
        <v>1.0</v>
      </c>
      <c r="B135" s="16">
        <v>4.0</v>
      </c>
      <c r="C135" s="16">
        <v>0.0</v>
      </c>
      <c r="D135" s="16">
        <v>0.0</v>
      </c>
      <c r="E135" s="16">
        <v>0.0</v>
      </c>
      <c r="F135" s="16">
        <v>0.0</v>
      </c>
      <c r="G135" s="18">
        <v>0.0</v>
      </c>
      <c r="H135" s="16" t="s">
        <v>194</v>
      </c>
      <c r="I135" s="19">
        <f t="shared" si="1"/>
        <v>0</v>
      </c>
      <c r="J135" s="19">
        <f t="shared" si="2"/>
        <v>0</v>
      </c>
    </row>
    <row r="136" ht="22.5" customHeight="1">
      <c r="A136" s="16">
        <v>1.0</v>
      </c>
      <c r="B136" s="16">
        <v>4.0</v>
      </c>
      <c r="C136" s="16">
        <v>0.0</v>
      </c>
      <c r="D136" s="16">
        <v>0.0</v>
      </c>
      <c r="E136" s="16">
        <v>0.0</v>
      </c>
      <c r="F136" s="16">
        <v>0.0</v>
      </c>
      <c r="G136" s="18">
        <v>0.0</v>
      </c>
      <c r="H136" s="16" t="s">
        <v>194</v>
      </c>
      <c r="I136" s="19">
        <f t="shared" si="1"/>
        <v>0</v>
      </c>
      <c r="J136" s="19">
        <f t="shared" si="2"/>
        <v>0</v>
      </c>
    </row>
    <row r="137" ht="22.5" customHeight="1">
      <c r="A137" s="16">
        <v>1.0</v>
      </c>
      <c r="B137" s="16">
        <v>4.0</v>
      </c>
      <c r="C137" s="16">
        <v>3.0</v>
      </c>
      <c r="D137" s="16">
        <v>8.0</v>
      </c>
      <c r="E137" s="16">
        <v>0.0</v>
      </c>
      <c r="F137" s="16">
        <v>0.0</v>
      </c>
      <c r="G137" s="20">
        <v>0.667</v>
      </c>
      <c r="H137" s="16" t="s">
        <v>195</v>
      </c>
      <c r="I137" s="19">
        <f t="shared" si="1"/>
        <v>8</v>
      </c>
      <c r="J137" s="19">
        <f t="shared" si="2"/>
        <v>0</v>
      </c>
    </row>
    <row r="138" ht="22.5" customHeight="1">
      <c r="A138" s="16">
        <v>4.0</v>
      </c>
      <c r="B138" s="16">
        <v>17.0</v>
      </c>
      <c r="C138" s="16">
        <v>6.0</v>
      </c>
      <c r="D138" s="16">
        <v>3.0</v>
      </c>
      <c r="E138" s="16">
        <v>0.0</v>
      </c>
      <c r="F138" s="16">
        <v>0.0</v>
      </c>
      <c r="G138" s="18">
        <v>0.5</v>
      </c>
      <c r="H138" s="16" t="s">
        <v>195</v>
      </c>
      <c r="I138" s="19">
        <f t="shared" si="1"/>
        <v>12</v>
      </c>
      <c r="J138" s="19">
        <f t="shared" si="2"/>
        <v>0</v>
      </c>
    </row>
    <row r="139" ht="22.5" customHeight="1">
      <c r="A139" s="16">
        <v>1.0</v>
      </c>
      <c r="B139" s="16">
        <v>4.0</v>
      </c>
      <c r="C139" s="16">
        <v>1.0</v>
      </c>
      <c r="D139" s="16">
        <v>-4.0</v>
      </c>
      <c r="E139" s="16">
        <v>1.0</v>
      </c>
      <c r="F139" s="16">
        <v>0.0</v>
      </c>
      <c r="G139" s="18">
        <v>0.0</v>
      </c>
      <c r="H139" s="16" t="s">
        <v>112</v>
      </c>
      <c r="I139" s="19">
        <f t="shared" si="1"/>
        <v>-4</v>
      </c>
      <c r="J139" s="19">
        <f t="shared" si="2"/>
        <v>1</v>
      </c>
    </row>
    <row r="140" ht="22.5" customHeight="1">
      <c r="A140" s="16">
        <v>4.0</v>
      </c>
      <c r="B140" s="16">
        <v>17.0</v>
      </c>
      <c r="C140" s="16">
        <v>4.0</v>
      </c>
      <c r="D140" s="16">
        <v>3.0</v>
      </c>
      <c r="E140" s="16">
        <v>0.0</v>
      </c>
      <c r="F140" s="16">
        <v>0.0</v>
      </c>
      <c r="G140" s="18">
        <v>0.75</v>
      </c>
      <c r="H140" s="16" t="s">
        <v>112</v>
      </c>
      <c r="I140" s="19">
        <f t="shared" si="1"/>
        <v>12</v>
      </c>
      <c r="J140" s="19">
        <f t="shared" si="2"/>
        <v>0</v>
      </c>
    </row>
    <row r="141" ht="22.5" customHeight="1">
      <c r="A141" s="16">
        <v>1.0</v>
      </c>
      <c r="B141" s="16">
        <v>4.0</v>
      </c>
      <c r="C141" s="16">
        <v>0.0</v>
      </c>
      <c r="D141" s="16">
        <v>0.0</v>
      </c>
      <c r="E141" s="16">
        <v>0.0</v>
      </c>
      <c r="F141" s="16">
        <v>0.0</v>
      </c>
      <c r="G141" s="18">
        <v>0.0</v>
      </c>
      <c r="H141" s="16" t="s">
        <v>196</v>
      </c>
      <c r="I141" s="19">
        <f t="shared" si="1"/>
        <v>0</v>
      </c>
      <c r="J141" s="19">
        <f t="shared" si="2"/>
        <v>0</v>
      </c>
    </row>
    <row r="142" ht="22.5" customHeight="1">
      <c r="A142" s="16">
        <v>5.0</v>
      </c>
      <c r="B142" s="16">
        <v>19.0</v>
      </c>
      <c r="C142" s="16">
        <v>6.0</v>
      </c>
      <c r="D142" s="16">
        <v>0.8</v>
      </c>
      <c r="E142" s="16">
        <v>0.0</v>
      </c>
      <c r="F142" s="16">
        <v>0.0</v>
      </c>
      <c r="G142" s="20">
        <v>0.167</v>
      </c>
      <c r="H142" s="16" t="s">
        <v>197</v>
      </c>
      <c r="I142" s="19">
        <f t="shared" si="1"/>
        <v>4</v>
      </c>
      <c r="J142" s="19">
        <f t="shared" si="2"/>
        <v>0</v>
      </c>
    </row>
    <row r="143" ht="22.5" customHeight="1">
      <c r="A143" s="16">
        <v>2.0</v>
      </c>
      <c r="B143" s="16">
        <v>8.0</v>
      </c>
      <c r="C143" s="16">
        <v>0.0</v>
      </c>
      <c r="D143" s="16">
        <v>0.0</v>
      </c>
      <c r="E143" s="16">
        <v>0.0</v>
      </c>
      <c r="F143" s="16">
        <v>0.0</v>
      </c>
      <c r="G143" s="18">
        <v>0.0</v>
      </c>
      <c r="H143" s="16" t="s">
        <v>198</v>
      </c>
      <c r="I143" s="19">
        <f t="shared" si="1"/>
        <v>0</v>
      </c>
      <c r="J143" s="19">
        <f t="shared" si="2"/>
        <v>0</v>
      </c>
    </row>
    <row r="144" ht="22.5" customHeight="1">
      <c r="A144" s="16">
        <v>5.0</v>
      </c>
      <c r="B144" s="16">
        <v>19.0</v>
      </c>
      <c r="C144" s="16">
        <v>7.0</v>
      </c>
      <c r="D144" s="16">
        <v>2.4</v>
      </c>
      <c r="E144" s="16">
        <v>0.0</v>
      </c>
      <c r="F144" s="16">
        <v>0.0</v>
      </c>
      <c r="G144" s="20">
        <v>0.429</v>
      </c>
      <c r="H144" s="16" t="s">
        <v>199</v>
      </c>
      <c r="I144" s="19">
        <f t="shared" si="1"/>
        <v>12</v>
      </c>
      <c r="J144" s="19">
        <f t="shared" si="2"/>
        <v>0</v>
      </c>
    </row>
    <row r="145" ht="22.5" customHeight="1">
      <c r="A145" s="16">
        <v>3.0</v>
      </c>
      <c r="B145" s="16">
        <v>12.0</v>
      </c>
      <c r="C145" s="16">
        <v>0.0</v>
      </c>
      <c r="D145" s="16">
        <v>0.0</v>
      </c>
      <c r="E145" s="16">
        <v>0.0</v>
      </c>
      <c r="F145" s="16">
        <v>0.0</v>
      </c>
      <c r="G145" s="18">
        <v>0.0</v>
      </c>
      <c r="H145" s="16" t="s">
        <v>200</v>
      </c>
      <c r="I145" s="19">
        <f t="shared" si="1"/>
        <v>0</v>
      </c>
      <c r="J145" s="19">
        <f t="shared" si="2"/>
        <v>0</v>
      </c>
    </row>
    <row r="146" ht="22.5" customHeight="1">
      <c r="A146" s="16">
        <v>3.0</v>
      </c>
      <c r="B146" s="16">
        <v>11.0</v>
      </c>
      <c r="C146" s="16">
        <v>0.0</v>
      </c>
      <c r="D146" s="16">
        <v>0.0</v>
      </c>
      <c r="E146" s="16">
        <v>0.0</v>
      </c>
      <c r="F146" s="16">
        <v>0.0</v>
      </c>
      <c r="G146" s="18">
        <v>0.0</v>
      </c>
      <c r="H146" s="16" t="s">
        <v>201</v>
      </c>
      <c r="I146" s="19">
        <f t="shared" si="1"/>
        <v>0</v>
      </c>
      <c r="J146" s="19">
        <f t="shared" si="2"/>
        <v>0</v>
      </c>
    </row>
    <row r="147" ht="22.5" customHeight="1">
      <c r="A147" s="16">
        <v>5.0</v>
      </c>
      <c r="B147" s="16">
        <v>19.0</v>
      </c>
      <c r="C147" s="16">
        <v>19.0</v>
      </c>
      <c r="D147" s="16">
        <v>8.0</v>
      </c>
      <c r="E147" s="16">
        <v>0.6</v>
      </c>
      <c r="F147" s="16">
        <v>0.0</v>
      </c>
      <c r="G147" s="20">
        <v>0.684</v>
      </c>
      <c r="H147" s="16" t="s">
        <v>70</v>
      </c>
      <c r="I147" s="19">
        <f t="shared" si="1"/>
        <v>40</v>
      </c>
      <c r="J147" s="19">
        <f t="shared" si="2"/>
        <v>3</v>
      </c>
    </row>
    <row r="148" ht="22.5" customHeight="1">
      <c r="A148" s="16">
        <v>1.0</v>
      </c>
      <c r="B148" s="16">
        <v>4.0</v>
      </c>
      <c r="C148" s="16">
        <v>0.0</v>
      </c>
      <c r="D148" s="16">
        <v>0.0</v>
      </c>
      <c r="E148" s="16">
        <v>0.0</v>
      </c>
      <c r="F148" s="16">
        <v>0.0</v>
      </c>
      <c r="G148" s="18">
        <v>0.0</v>
      </c>
      <c r="H148" s="16" t="s">
        <v>203</v>
      </c>
      <c r="I148" s="19">
        <f t="shared" si="1"/>
        <v>0</v>
      </c>
      <c r="J148" s="19">
        <f t="shared" si="2"/>
        <v>0</v>
      </c>
    </row>
    <row r="149" ht="22.5" customHeight="1">
      <c r="A149" s="16">
        <v>2.0</v>
      </c>
      <c r="B149" s="16">
        <v>8.0</v>
      </c>
      <c r="C149" s="16">
        <v>0.0</v>
      </c>
      <c r="D149" s="16">
        <v>0.0</v>
      </c>
      <c r="E149" s="16">
        <v>0.0</v>
      </c>
      <c r="F149" s="16">
        <v>0.0</v>
      </c>
      <c r="G149" s="18">
        <v>0.0</v>
      </c>
      <c r="H149" s="16" t="s">
        <v>205</v>
      </c>
      <c r="I149" s="19">
        <f t="shared" si="1"/>
        <v>0</v>
      </c>
      <c r="J149" s="19">
        <f t="shared" si="2"/>
        <v>0</v>
      </c>
    </row>
    <row r="150" ht="22.5" customHeight="1">
      <c r="A150" s="16">
        <v>1.0</v>
      </c>
      <c r="B150" s="16">
        <v>4.0</v>
      </c>
      <c r="C150" s="16">
        <v>0.0</v>
      </c>
      <c r="D150" s="16">
        <v>0.0</v>
      </c>
      <c r="E150" s="16">
        <v>0.0</v>
      </c>
      <c r="F150" s="16">
        <v>0.0</v>
      </c>
      <c r="G150" s="18">
        <v>0.0</v>
      </c>
      <c r="H150" s="16" t="s">
        <v>206</v>
      </c>
      <c r="I150" s="19">
        <f t="shared" si="1"/>
        <v>0</v>
      </c>
      <c r="J150" s="19">
        <f t="shared" si="2"/>
        <v>0</v>
      </c>
    </row>
    <row r="151" ht="22.5" customHeight="1">
      <c r="A151" s="16">
        <v>5.0</v>
      </c>
      <c r="B151" s="16">
        <v>20.0</v>
      </c>
      <c r="C151" s="16">
        <v>15.0</v>
      </c>
      <c r="D151" s="16">
        <v>11.2</v>
      </c>
      <c r="E151" s="16">
        <v>0.0</v>
      </c>
      <c r="F151" s="16">
        <v>0.0</v>
      </c>
      <c r="G151" s="20">
        <v>0.933</v>
      </c>
      <c r="H151" s="16" t="s">
        <v>62</v>
      </c>
      <c r="I151" s="19">
        <f t="shared" si="1"/>
        <v>56</v>
      </c>
      <c r="J151" s="19">
        <f t="shared" si="2"/>
        <v>0</v>
      </c>
    </row>
    <row r="152" ht="22.5" customHeight="1">
      <c r="A152" s="16">
        <v>1.0</v>
      </c>
      <c r="B152" s="16">
        <v>4.0</v>
      </c>
      <c r="C152" s="16">
        <v>1.0</v>
      </c>
      <c r="D152" s="16">
        <v>-4.0</v>
      </c>
      <c r="E152" s="16">
        <v>1.0</v>
      </c>
      <c r="F152" s="16">
        <v>0.0</v>
      </c>
      <c r="G152" s="18">
        <v>0.0</v>
      </c>
      <c r="H152" s="16" t="s">
        <v>208</v>
      </c>
      <c r="I152" s="19">
        <f t="shared" si="1"/>
        <v>-4</v>
      </c>
      <c r="J152" s="19">
        <f t="shared" si="2"/>
        <v>1</v>
      </c>
    </row>
    <row r="153" ht="22.5" customHeight="1">
      <c r="A153" s="16">
        <v>5.0</v>
      </c>
      <c r="B153" s="16">
        <v>20.0</v>
      </c>
      <c r="C153" s="16">
        <v>4.0</v>
      </c>
      <c r="D153" s="16">
        <v>1.6</v>
      </c>
      <c r="E153" s="16">
        <v>0.0</v>
      </c>
      <c r="F153" s="16">
        <v>0.0</v>
      </c>
      <c r="G153" s="18">
        <v>0.5</v>
      </c>
      <c r="H153" s="16" t="s">
        <v>209</v>
      </c>
      <c r="I153" s="19">
        <f t="shared" si="1"/>
        <v>8</v>
      </c>
      <c r="J153" s="19">
        <f t="shared" si="2"/>
        <v>0</v>
      </c>
    </row>
    <row r="154" ht="22.5" customHeight="1">
      <c r="A154" s="16">
        <v>5.0</v>
      </c>
      <c r="B154" s="16">
        <v>20.0</v>
      </c>
      <c r="C154" s="16">
        <v>4.0</v>
      </c>
      <c r="D154" s="16">
        <v>0.8</v>
      </c>
      <c r="E154" s="16">
        <v>0.0</v>
      </c>
      <c r="F154" s="16">
        <v>0.0</v>
      </c>
      <c r="G154" s="18">
        <v>0.25</v>
      </c>
      <c r="H154" s="16" t="s">
        <v>210</v>
      </c>
      <c r="I154" s="19">
        <f t="shared" si="1"/>
        <v>4</v>
      </c>
      <c r="J154" s="19">
        <f t="shared" si="2"/>
        <v>0</v>
      </c>
    </row>
    <row r="155" ht="22.5" customHeight="1">
      <c r="A155" s="16">
        <v>5.0</v>
      </c>
      <c r="B155" s="16">
        <v>20.0</v>
      </c>
      <c r="C155" s="16">
        <v>1.0</v>
      </c>
      <c r="D155" s="16">
        <v>0.0</v>
      </c>
      <c r="E155" s="16">
        <v>0.0</v>
      </c>
      <c r="F155" s="16">
        <v>0.0</v>
      </c>
      <c r="G155" s="18">
        <v>0.0</v>
      </c>
      <c r="H155" s="16" t="s">
        <v>211</v>
      </c>
      <c r="I155" s="19">
        <f t="shared" si="1"/>
        <v>0</v>
      </c>
      <c r="J155" s="19">
        <f t="shared" si="2"/>
        <v>0</v>
      </c>
    </row>
    <row r="156" ht="22.5" customHeight="1">
      <c r="A156" s="16">
        <v>5.0</v>
      </c>
      <c r="B156" s="16">
        <v>20.0</v>
      </c>
      <c r="C156" s="16">
        <v>7.0</v>
      </c>
      <c r="D156" s="16">
        <v>3.2</v>
      </c>
      <c r="E156" s="16">
        <v>0.0</v>
      </c>
      <c r="F156" s="16">
        <v>0.0</v>
      </c>
      <c r="G156" s="20">
        <v>0.571</v>
      </c>
      <c r="H156" s="16" t="s">
        <v>213</v>
      </c>
      <c r="I156" s="19">
        <f t="shared" si="1"/>
        <v>16</v>
      </c>
      <c r="J156" s="19">
        <f t="shared" si="2"/>
        <v>0</v>
      </c>
    </row>
    <row r="157" ht="22.5" customHeight="1">
      <c r="A157" s="16">
        <v>1.0</v>
      </c>
      <c r="B157" s="16">
        <v>4.0</v>
      </c>
      <c r="C157" s="16">
        <v>2.0</v>
      </c>
      <c r="D157" s="16">
        <v>-8.0</v>
      </c>
      <c r="E157" s="16">
        <v>2.0</v>
      </c>
      <c r="F157" s="16">
        <v>0.0</v>
      </c>
      <c r="G157" s="18">
        <v>0.0</v>
      </c>
      <c r="H157" s="16" t="s">
        <v>214</v>
      </c>
      <c r="I157" s="19">
        <f t="shared" si="1"/>
        <v>-8</v>
      </c>
      <c r="J157" s="19">
        <f t="shared" si="2"/>
        <v>2</v>
      </c>
    </row>
    <row r="158" ht="22.5" customHeight="1">
      <c r="A158" s="16">
        <v>2.0</v>
      </c>
      <c r="B158" s="16">
        <v>8.0</v>
      </c>
      <c r="C158" s="16">
        <v>5.0</v>
      </c>
      <c r="D158" s="16">
        <v>6.0</v>
      </c>
      <c r="E158" s="16">
        <v>0.5</v>
      </c>
      <c r="F158" s="16">
        <v>0.0</v>
      </c>
      <c r="G158" s="18">
        <v>0.8</v>
      </c>
      <c r="H158" s="16" t="s">
        <v>214</v>
      </c>
      <c r="I158" s="19">
        <f t="shared" si="1"/>
        <v>12</v>
      </c>
      <c r="J158" s="19">
        <f t="shared" si="2"/>
        <v>1</v>
      </c>
    </row>
    <row r="159" ht="22.5" customHeight="1">
      <c r="A159" s="16">
        <v>1.0</v>
      </c>
      <c r="B159" s="16">
        <v>4.0</v>
      </c>
      <c r="C159" s="16">
        <v>1.0</v>
      </c>
      <c r="D159" s="16">
        <v>4.0</v>
      </c>
      <c r="E159" s="16">
        <v>0.0</v>
      </c>
      <c r="F159" s="16">
        <v>0.0</v>
      </c>
      <c r="G159" s="18">
        <v>1.0</v>
      </c>
      <c r="H159" s="16" t="s">
        <v>214</v>
      </c>
      <c r="I159" s="19">
        <f t="shared" si="1"/>
        <v>4</v>
      </c>
      <c r="J159" s="19">
        <f t="shared" si="2"/>
        <v>0</v>
      </c>
    </row>
    <row r="160" ht="22.5" customHeight="1">
      <c r="A160" s="16">
        <v>1.0</v>
      </c>
      <c r="B160" s="16">
        <v>4.0</v>
      </c>
      <c r="C160" s="16">
        <v>0.0</v>
      </c>
      <c r="D160" s="16">
        <v>0.0</v>
      </c>
      <c r="E160" s="16">
        <v>0.0</v>
      </c>
      <c r="F160" s="16">
        <v>0.0</v>
      </c>
      <c r="G160" s="18">
        <v>0.0</v>
      </c>
      <c r="H160" s="16" t="s">
        <v>214</v>
      </c>
      <c r="I160" s="19">
        <f t="shared" si="1"/>
        <v>0</v>
      </c>
      <c r="J160" s="19">
        <f t="shared" si="2"/>
        <v>0</v>
      </c>
    </row>
    <row r="161" ht="22.5" customHeight="1">
      <c r="A161" s="16">
        <v>2.0</v>
      </c>
      <c r="B161" s="16">
        <v>8.0</v>
      </c>
      <c r="C161" s="16">
        <v>0.0</v>
      </c>
      <c r="D161" s="16">
        <v>0.0</v>
      </c>
      <c r="E161" s="16">
        <v>0.0</v>
      </c>
      <c r="F161" s="16">
        <v>0.0</v>
      </c>
      <c r="G161" s="18">
        <v>0.0</v>
      </c>
      <c r="H161" s="16" t="s">
        <v>217</v>
      </c>
      <c r="I161" s="19">
        <f t="shared" si="1"/>
        <v>0</v>
      </c>
      <c r="J161" s="19">
        <f t="shared" si="2"/>
        <v>0</v>
      </c>
    </row>
    <row r="162" ht="22.5" customHeight="1">
      <c r="A162" s="16">
        <v>1.0</v>
      </c>
      <c r="B162" s="16">
        <v>4.0</v>
      </c>
      <c r="C162" s="16">
        <v>0.0</v>
      </c>
      <c r="D162" s="16">
        <v>0.0</v>
      </c>
      <c r="E162" s="16">
        <v>0.0</v>
      </c>
      <c r="F162" s="16">
        <v>0.0</v>
      </c>
      <c r="G162" s="18">
        <v>0.0</v>
      </c>
      <c r="H162" s="16" t="s">
        <v>217</v>
      </c>
      <c r="I162" s="19">
        <f t="shared" si="1"/>
        <v>0</v>
      </c>
      <c r="J162" s="19">
        <f t="shared" si="2"/>
        <v>0</v>
      </c>
    </row>
    <row r="163" ht="22.5" customHeight="1">
      <c r="A163" s="16">
        <v>3.0</v>
      </c>
      <c r="B163" s="16">
        <v>12.0</v>
      </c>
      <c r="C163" s="16">
        <v>3.0</v>
      </c>
      <c r="D163" s="16">
        <v>4.0</v>
      </c>
      <c r="E163" s="16">
        <v>0.0</v>
      </c>
      <c r="F163" s="16">
        <v>0.0</v>
      </c>
      <c r="G163" s="18">
        <v>1.0</v>
      </c>
      <c r="H163" s="16" t="s">
        <v>105</v>
      </c>
      <c r="I163" s="19">
        <f t="shared" si="1"/>
        <v>12</v>
      </c>
      <c r="J163" s="19">
        <f t="shared" si="2"/>
        <v>0</v>
      </c>
    </row>
    <row r="164" ht="22.5" customHeight="1">
      <c r="A164" s="16">
        <v>1.0</v>
      </c>
      <c r="B164" s="16">
        <v>4.0</v>
      </c>
      <c r="C164" s="16">
        <v>2.0</v>
      </c>
      <c r="D164" s="16">
        <v>0.0</v>
      </c>
      <c r="E164" s="16">
        <v>1.0</v>
      </c>
      <c r="F164" s="16">
        <v>0.0</v>
      </c>
      <c r="G164" s="18">
        <v>0.5</v>
      </c>
      <c r="H164" s="16" t="s">
        <v>105</v>
      </c>
      <c r="I164" s="19">
        <f t="shared" si="1"/>
        <v>0</v>
      </c>
      <c r="J164" s="19">
        <f t="shared" si="2"/>
        <v>1</v>
      </c>
    </row>
    <row r="165" ht="22.5" customHeight="1">
      <c r="A165" s="16">
        <v>1.0</v>
      </c>
      <c r="B165" s="16">
        <v>4.0</v>
      </c>
      <c r="C165" s="16">
        <v>2.0</v>
      </c>
      <c r="D165" s="16">
        <v>4.0</v>
      </c>
      <c r="E165" s="16">
        <v>0.0</v>
      </c>
      <c r="F165" s="16">
        <v>0.0</v>
      </c>
      <c r="G165" s="18">
        <v>0.5</v>
      </c>
      <c r="H165" s="16" t="s">
        <v>105</v>
      </c>
      <c r="I165" s="19">
        <f t="shared" si="1"/>
        <v>4</v>
      </c>
      <c r="J165" s="19">
        <f t="shared" si="2"/>
        <v>0</v>
      </c>
    </row>
    <row r="166" ht="22.5" customHeight="1">
      <c r="A166" s="16">
        <v>1.0</v>
      </c>
      <c r="B166" s="16">
        <v>4.0</v>
      </c>
      <c r="C166" s="16">
        <v>1.0</v>
      </c>
      <c r="D166" s="16">
        <v>4.0</v>
      </c>
      <c r="E166" s="16">
        <v>0.0</v>
      </c>
      <c r="F166" s="16">
        <v>0.0</v>
      </c>
      <c r="G166" s="18">
        <v>1.0</v>
      </c>
      <c r="H166" s="16" t="s">
        <v>219</v>
      </c>
      <c r="I166" s="19">
        <f t="shared" si="1"/>
        <v>4</v>
      </c>
      <c r="J166" s="19">
        <f t="shared" si="2"/>
        <v>0</v>
      </c>
    </row>
    <row r="167" ht="22.5" customHeight="1">
      <c r="A167" s="16">
        <v>1.0</v>
      </c>
      <c r="B167" s="16">
        <v>4.0</v>
      </c>
      <c r="C167" s="16">
        <v>0.0</v>
      </c>
      <c r="D167" s="16">
        <v>0.0</v>
      </c>
      <c r="E167" s="16">
        <v>0.0</v>
      </c>
      <c r="F167" s="16">
        <v>0.0</v>
      </c>
      <c r="G167" s="18">
        <v>0.0</v>
      </c>
      <c r="H167" s="16" t="s">
        <v>220</v>
      </c>
      <c r="I167" s="19">
        <f t="shared" si="1"/>
        <v>0</v>
      </c>
      <c r="J167" s="19">
        <f t="shared" si="2"/>
        <v>0</v>
      </c>
    </row>
    <row r="168" ht="22.5" customHeight="1">
      <c r="A168" s="16">
        <v>2.0</v>
      </c>
      <c r="B168" s="16">
        <v>8.0</v>
      </c>
      <c r="C168" s="16">
        <v>0.0</v>
      </c>
      <c r="D168" s="16">
        <v>0.0</v>
      </c>
      <c r="E168" s="16">
        <v>0.0</v>
      </c>
      <c r="F168" s="16">
        <v>0.0</v>
      </c>
      <c r="G168" s="18">
        <v>0.0</v>
      </c>
      <c r="H168" s="16" t="s">
        <v>220</v>
      </c>
      <c r="I168" s="19">
        <f t="shared" si="1"/>
        <v>0</v>
      </c>
      <c r="J168" s="19">
        <f t="shared" si="2"/>
        <v>0</v>
      </c>
    </row>
    <row r="169" ht="22.5" customHeight="1">
      <c r="A169" s="16">
        <v>1.0</v>
      </c>
      <c r="B169" s="16">
        <v>4.0</v>
      </c>
      <c r="C169" s="16">
        <v>0.0</v>
      </c>
      <c r="D169" s="16">
        <v>0.0</v>
      </c>
      <c r="E169" s="16">
        <v>0.0</v>
      </c>
      <c r="F169" s="16">
        <v>0.0</v>
      </c>
      <c r="G169" s="18">
        <v>0.0</v>
      </c>
      <c r="H169" s="16" t="s">
        <v>220</v>
      </c>
      <c r="I169" s="19">
        <f t="shared" si="1"/>
        <v>0</v>
      </c>
      <c r="J169" s="19">
        <f t="shared" si="2"/>
        <v>0</v>
      </c>
    </row>
    <row r="170" ht="22.5" customHeight="1">
      <c r="A170" s="16">
        <v>1.0</v>
      </c>
      <c r="B170" s="16">
        <v>4.0</v>
      </c>
      <c r="C170" s="16">
        <v>0.0</v>
      </c>
      <c r="D170" s="16">
        <v>0.0</v>
      </c>
      <c r="E170" s="16">
        <v>0.0</v>
      </c>
      <c r="F170" s="16">
        <v>0.0</v>
      </c>
      <c r="G170" s="18">
        <v>0.0</v>
      </c>
      <c r="H170" s="16" t="s">
        <v>220</v>
      </c>
      <c r="I170" s="19">
        <f t="shared" si="1"/>
        <v>0</v>
      </c>
      <c r="J170" s="19">
        <f t="shared" si="2"/>
        <v>0</v>
      </c>
    </row>
    <row r="171" ht="22.5" customHeight="1">
      <c r="A171" s="16">
        <v>4.0</v>
      </c>
      <c r="B171" s="16">
        <v>18.0</v>
      </c>
      <c r="C171" s="16">
        <v>0.0</v>
      </c>
      <c r="D171" s="16">
        <v>0.0</v>
      </c>
      <c r="E171" s="16">
        <v>0.0</v>
      </c>
      <c r="F171" s="16">
        <v>0.0</v>
      </c>
      <c r="G171" s="18">
        <v>0.0</v>
      </c>
      <c r="H171" s="16" t="s">
        <v>222</v>
      </c>
      <c r="I171" s="19">
        <f t="shared" si="1"/>
        <v>0</v>
      </c>
      <c r="J171" s="19">
        <f t="shared" si="2"/>
        <v>0</v>
      </c>
    </row>
    <row r="172" ht="22.5" customHeight="1">
      <c r="A172" s="16">
        <v>1.0</v>
      </c>
      <c r="B172" s="16">
        <v>4.0</v>
      </c>
      <c r="C172" s="16">
        <v>2.0</v>
      </c>
      <c r="D172" s="16">
        <v>0.0</v>
      </c>
      <c r="E172" s="16">
        <v>1.0</v>
      </c>
      <c r="F172" s="16">
        <v>0.0</v>
      </c>
      <c r="G172" s="18">
        <v>0.5</v>
      </c>
      <c r="H172" s="16" t="s">
        <v>222</v>
      </c>
      <c r="I172" s="19">
        <f t="shared" si="1"/>
        <v>0</v>
      </c>
      <c r="J172" s="19">
        <f t="shared" si="2"/>
        <v>1</v>
      </c>
    </row>
    <row r="173" ht="22.5" customHeight="1">
      <c r="A173" s="16">
        <v>2.0</v>
      </c>
      <c r="B173" s="16">
        <v>9.0</v>
      </c>
      <c r="C173" s="16">
        <v>1.0</v>
      </c>
      <c r="D173" s="16">
        <v>2.0</v>
      </c>
      <c r="E173" s="16">
        <v>0.0</v>
      </c>
      <c r="F173" s="16">
        <v>0.0</v>
      </c>
      <c r="G173" s="18">
        <v>1.0</v>
      </c>
      <c r="H173" s="16" t="s">
        <v>224</v>
      </c>
      <c r="I173" s="19">
        <f t="shared" si="1"/>
        <v>4</v>
      </c>
      <c r="J173" s="19">
        <f t="shared" si="2"/>
        <v>0</v>
      </c>
    </row>
    <row r="174" ht="22.5" customHeight="1">
      <c r="A174" s="16">
        <v>5.0</v>
      </c>
      <c r="B174" s="16">
        <v>22.0</v>
      </c>
      <c r="C174" s="16">
        <v>12.0</v>
      </c>
      <c r="D174" s="16">
        <v>7.2</v>
      </c>
      <c r="E174" s="16">
        <v>0.2</v>
      </c>
      <c r="F174" s="16">
        <v>0.0</v>
      </c>
      <c r="G174" s="20">
        <v>0.833</v>
      </c>
      <c r="H174" s="16" t="s">
        <v>47</v>
      </c>
      <c r="I174" s="19">
        <f t="shared" si="1"/>
        <v>36</v>
      </c>
      <c r="J174" s="19">
        <f t="shared" si="2"/>
        <v>1</v>
      </c>
    </row>
    <row r="175" ht="22.5" customHeight="1">
      <c r="A175" s="16">
        <v>1.0</v>
      </c>
      <c r="B175" s="16">
        <v>5.0</v>
      </c>
      <c r="C175" s="16">
        <v>0.0</v>
      </c>
      <c r="D175" s="16">
        <v>0.0</v>
      </c>
      <c r="E175" s="16">
        <v>0.0</v>
      </c>
      <c r="F175" s="16">
        <v>0.0</v>
      </c>
      <c r="G175" s="18">
        <v>0.0</v>
      </c>
      <c r="H175" s="16" t="s">
        <v>225</v>
      </c>
      <c r="I175" s="19">
        <f t="shared" si="1"/>
        <v>0</v>
      </c>
      <c r="J175" s="19">
        <f t="shared" si="2"/>
        <v>0</v>
      </c>
    </row>
    <row r="176" ht="22.5" customHeight="1">
      <c r="A176" s="16">
        <v>1.0</v>
      </c>
      <c r="B176" s="16">
        <v>4.0</v>
      </c>
      <c r="C176" s="16">
        <v>0.0</v>
      </c>
      <c r="D176" s="16">
        <v>0.0</v>
      </c>
      <c r="E176" s="16">
        <v>0.0</v>
      </c>
      <c r="F176" s="16">
        <v>0.0</v>
      </c>
      <c r="G176" s="18">
        <v>0.0</v>
      </c>
      <c r="H176" s="16" t="s">
        <v>226</v>
      </c>
      <c r="I176" s="19">
        <f t="shared" si="1"/>
        <v>0</v>
      </c>
      <c r="J176" s="19">
        <f t="shared" si="2"/>
        <v>0</v>
      </c>
    </row>
    <row r="177" ht="22.5" customHeight="1">
      <c r="A177" s="16">
        <v>3.0</v>
      </c>
      <c r="B177" s="16">
        <v>11.0</v>
      </c>
      <c r="C177" s="16">
        <v>2.0</v>
      </c>
      <c r="D177" s="16">
        <v>0.0</v>
      </c>
      <c r="E177" s="16">
        <v>0.33</v>
      </c>
      <c r="F177" s="16">
        <v>0.0</v>
      </c>
      <c r="G177" s="18">
        <v>0.5</v>
      </c>
      <c r="H177" s="16" t="s">
        <v>226</v>
      </c>
      <c r="I177" s="19">
        <f t="shared" si="1"/>
        <v>0</v>
      </c>
      <c r="J177" s="19">
        <f t="shared" si="2"/>
        <v>1</v>
      </c>
    </row>
    <row r="178" ht="22.5" customHeight="1">
      <c r="A178" s="16">
        <v>1.0</v>
      </c>
      <c r="B178" s="16">
        <v>4.0</v>
      </c>
      <c r="C178" s="16">
        <v>0.0</v>
      </c>
      <c r="D178" s="16">
        <v>0.0</v>
      </c>
      <c r="E178" s="16">
        <v>0.0</v>
      </c>
      <c r="F178" s="16">
        <v>0.0</v>
      </c>
      <c r="G178" s="18">
        <v>0.0</v>
      </c>
      <c r="H178" s="16" t="s">
        <v>227</v>
      </c>
      <c r="I178" s="19">
        <f t="shared" si="1"/>
        <v>0</v>
      </c>
      <c r="J178" s="19">
        <f t="shared" si="2"/>
        <v>0</v>
      </c>
    </row>
    <row r="179" ht="22.5" customHeight="1">
      <c r="A179" s="16">
        <v>1.0</v>
      </c>
      <c r="B179" s="16">
        <v>4.0</v>
      </c>
      <c r="C179" s="16">
        <v>0.0</v>
      </c>
      <c r="D179" s="16">
        <v>0.0</v>
      </c>
      <c r="E179" s="16">
        <v>0.0</v>
      </c>
      <c r="F179" s="16">
        <v>0.0</v>
      </c>
      <c r="G179" s="18">
        <v>0.0</v>
      </c>
      <c r="H179" s="16" t="s">
        <v>227</v>
      </c>
      <c r="I179" s="19">
        <f t="shared" si="1"/>
        <v>0</v>
      </c>
      <c r="J179" s="19">
        <f t="shared" si="2"/>
        <v>0</v>
      </c>
    </row>
    <row r="180" ht="22.5" customHeight="1">
      <c r="A180" s="16">
        <v>3.0</v>
      </c>
      <c r="B180" s="16">
        <v>11.0</v>
      </c>
      <c r="C180" s="16">
        <v>2.0</v>
      </c>
      <c r="D180" s="16">
        <v>0.0</v>
      </c>
      <c r="E180" s="16">
        <v>0.0</v>
      </c>
      <c r="F180" s="16">
        <v>0.0</v>
      </c>
      <c r="G180" s="18">
        <v>0.0</v>
      </c>
      <c r="H180" s="16" t="s">
        <v>227</v>
      </c>
      <c r="I180" s="19">
        <f t="shared" si="1"/>
        <v>0</v>
      </c>
      <c r="J180" s="19">
        <f t="shared" si="2"/>
        <v>0</v>
      </c>
    </row>
    <row r="181" ht="22.5" customHeight="1">
      <c r="A181" s="16">
        <v>1.0</v>
      </c>
      <c r="B181" s="16">
        <v>4.0</v>
      </c>
      <c r="C181" s="16">
        <v>0.0</v>
      </c>
      <c r="D181" s="16">
        <v>0.0</v>
      </c>
      <c r="E181" s="16">
        <v>0.0</v>
      </c>
      <c r="F181" s="16">
        <v>0.0</v>
      </c>
      <c r="G181" s="18">
        <v>0.0</v>
      </c>
      <c r="H181" s="16" t="s">
        <v>229</v>
      </c>
      <c r="I181" s="19">
        <f t="shared" si="1"/>
        <v>0</v>
      </c>
      <c r="J181" s="19">
        <f t="shared" si="2"/>
        <v>0</v>
      </c>
    </row>
    <row r="182" ht="22.5" customHeight="1">
      <c r="A182" s="16">
        <v>1.0</v>
      </c>
      <c r="B182" s="16">
        <v>4.0</v>
      </c>
      <c r="C182" s="16">
        <v>0.0</v>
      </c>
      <c r="D182" s="16">
        <v>0.0</v>
      </c>
      <c r="E182" s="16">
        <v>0.0</v>
      </c>
      <c r="F182" s="16">
        <v>0.0</v>
      </c>
      <c r="G182" s="18">
        <v>0.0</v>
      </c>
      <c r="H182" s="16" t="s">
        <v>229</v>
      </c>
      <c r="I182" s="19">
        <f t="shared" si="1"/>
        <v>0</v>
      </c>
      <c r="J182" s="19">
        <f t="shared" si="2"/>
        <v>0</v>
      </c>
    </row>
    <row r="183" ht="22.5" customHeight="1">
      <c r="A183" s="16">
        <v>2.0</v>
      </c>
      <c r="B183" s="16">
        <v>7.0</v>
      </c>
      <c r="C183" s="16">
        <v>0.0</v>
      </c>
      <c r="D183" s="16">
        <v>0.0</v>
      </c>
      <c r="E183" s="16">
        <v>0.0</v>
      </c>
      <c r="F183" s="16">
        <v>0.0</v>
      </c>
      <c r="G183" s="18">
        <v>0.0</v>
      </c>
      <c r="H183" s="16" t="s">
        <v>229</v>
      </c>
      <c r="I183" s="19">
        <f t="shared" si="1"/>
        <v>0</v>
      </c>
      <c r="J183" s="19">
        <f t="shared" si="2"/>
        <v>0</v>
      </c>
    </row>
    <row r="184" ht="22.5" customHeight="1">
      <c r="A184" s="16">
        <v>1.0</v>
      </c>
      <c r="B184" s="16">
        <v>4.0</v>
      </c>
      <c r="C184" s="16">
        <v>0.0</v>
      </c>
      <c r="D184" s="16">
        <v>0.0</v>
      </c>
      <c r="E184" s="16">
        <v>0.0</v>
      </c>
      <c r="F184" s="16">
        <v>0.0</v>
      </c>
      <c r="G184" s="18">
        <v>0.0</v>
      </c>
      <c r="H184" s="16" t="s">
        <v>232</v>
      </c>
      <c r="I184" s="19">
        <f t="shared" si="1"/>
        <v>0</v>
      </c>
      <c r="J184" s="19">
        <f t="shared" si="2"/>
        <v>0</v>
      </c>
    </row>
    <row r="185" ht="22.5" customHeight="1">
      <c r="A185" s="16">
        <v>1.0</v>
      </c>
      <c r="B185" s="16">
        <v>4.0</v>
      </c>
      <c r="C185" s="16">
        <v>1.0</v>
      </c>
      <c r="D185" s="16">
        <v>4.0</v>
      </c>
      <c r="E185" s="16">
        <v>0.0</v>
      </c>
      <c r="F185" s="16">
        <v>0.0</v>
      </c>
      <c r="G185" s="18">
        <v>1.0</v>
      </c>
      <c r="H185" s="16" t="s">
        <v>232</v>
      </c>
      <c r="I185" s="19">
        <f t="shared" si="1"/>
        <v>4</v>
      </c>
      <c r="J185" s="19">
        <f t="shared" si="2"/>
        <v>0</v>
      </c>
    </row>
    <row r="186" ht="22.5" customHeight="1">
      <c r="A186" s="16">
        <v>3.0</v>
      </c>
      <c r="B186" s="16">
        <v>11.0</v>
      </c>
      <c r="C186" s="16">
        <v>0.0</v>
      </c>
      <c r="D186" s="16">
        <v>0.0</v>
      </c>
      <c r="E186" s="16">
        <v>0.0</v>
      </c>
      <c r="F186" s="16">
        <v>0.0</v>
      </c>
      <c r="G186" s="18">
        <v>0.0</v>
      </c>
      <c r="H186" s="16" t="s">
        <v>232</v>
      </c>
      <c r="I186" s="19">
        <f t="shared" si="1"/>
        <v>0</v>
      </c>
      <c r="J186" s="19">
        <f t="shared" si="2"/>
        <v>0</v>
      </c>
    </row>
    <row r="187" ht="22.5" customHeight="1">
      <c r="A187" s="16">
        <v>1.0</v>
      </c>
      <c r="B187" s="16">
        <v>4.0</v>
      </c>
      <c r="C187" s="16">
        <v>1.0</v>
      </c>
      <c r="D187" s="16">
        <v>4.0</v>
      </c>
      <c r="E187" s="16">
        <v>0.0</v>
      </c>
      <c r="F187" s="16">
        <v>0.0</v>
      </c>
      <c r="G187" s="18">
        <v>1.0</v>
      </c>
      <c r="H187" s="16" t="s">
        <v>233</v>
      </c>
      <c r="I187" s="19">
        <f t="shared" si="1"/>
        <v>4</v>
      </c>
      <c r="J187" s="19">
        <f t="shared" si="2"/>
        <v>0</v>
      </c>
    </row>
    <row r="188" ht="22.5" customHeight="1">
      <c r="A188" s="16">
        <v>1.0</v>
      </c>
      <c r="B188" s="16">
        <v>4.0</v>
      </c>
      <c r="C188" s="16">
        <v>2.0</v>
      </c>
      <c r="D188" s="16">
        <v>4.0</v>
      </c>
      <c r="E188" s="16">
        <v>0.0</v>
      </c>
      <c r="F188" s="16">
        <v>0.0</v>
      </c>
      <c r="G188" s="18">
        <v>0.5</v>
      </c>
      <c r="H188" s="16" t="s">
        <v>233</v>
      </c>
      <c r="I188" s="19">
        <f t="shared" si="1"/>
        <v>4</v>
      </c>
      <c r="J188" s="19">
        <f t="shared" si="2"/>
        <v>0</v>
      </c>
    </row>
    <row r="189" ht="22.5" customHeight="1">
      <c r="A189" s="16">
        <v>1.0</v>
      </c>
      <c r="B189" s="16">
        <v>4.0</v>
      </c>
      <c r="C189" s="16">
        <v>1.0</v>
      </c>
      <c r="D189" s="16">
        <v>4.0</v>
      </c>
      <c r="E189" s="16">
        <v>0.0</v>
      </c>
      <c r="F189" s="16">
        <v>0.0</v>
      </c>
      <c r="G189" s="18">
        <v>1.0</v>
      </c>
      <c r="H189" s="16" t="s">
        <v>233</v>
      </c>
      <c r="I189" s="19">
        <f t="shared" si="1"/>
        <v>4</v>
      </c>
      <c r="J189" s="19">
        <f t="shared" si="2"/>
        <v>0</v>
      </c>
    </row>
    <row r="190" ht="22.5" customHeight="1">
      <c r="A190" s="16">
        <v>1.0</v>
      </c>
      <c r="B190" s="16">
        <v>4.0</v>
      </c>
      <c r="C190" s="16">
        <v>1.0</v>
      </c>
      <c r="D190" s="16">
        <v>0.0</v>
      </c>
      <c r="E190" s="16">
        <v>0.0</v>
      </c>
      <c r="F190" s="16">
        <v>0.0</v>
      </c>
      <c r="G190" s="18">
        <v>0.0</v>
      </c>
      <c r="H190" s="16" t="s">
        <v>233</v>
      </c>
      <c r="I190" s="19">
        <f t="shared" si="1"/>
        <v>0</v>
      </c>
      <c r="J190" s="19">
        <f t="shared" si="2"/>
        <v>0</v>
      </c>
    </row>
    <row r="191" ht="22.5" customHeight="1">
      <c r="A191" s="16">
        <v>2.0</v>
      </c>
      <c r="B191" s="16">
        <v>7.0</v>
      </c>
      <c r="C191" s="16">
        <v>0.0</v>
      </c>
      <c r="D191" s="16">
        <v>0.0</v>
      </c>
      <c r="E191" s="16">
        <v>0.0</v>
      </c>
      <c r="F191" s="16">
        <v>0.0</v>
      </c>
      <c r="G191" s="18">
        <v>0.0</v>
      </c>
      <c r="H191" s="16" t="s">
        <v>234</v>
      </c>
      <c r="I191" s="19">
        <f t="shared" si="1"/>
        <v>0</v>
      </c>
      <c r="J191" s="19">
        <f t="shared" si="2"/>
        <v>0</v>
      </c>
    </row>
    <row r="192" ht="22.5" customHeight="1">
      <c r="A192" s="16">
        <v>1.0</v>
      </c>
      <c r="B192" s="16">
        <v>4.0</v>
      </c>
      <c r="C192" s="16">
        <v>2.0</v>
      </c>
      <c r="D192" s="16">
        <v>8.0</v>
      </c>
      <c r="E192" s="16">
        <v>0.0</v>
      </c>
      <c r="F192" s="16">
        <v>0.0</v>
      </c>
      <c r="G192" s="18">
        <v>1.0</v>
      </c>
      <c r="H192" s="16" t="s">
        <v>153</v>
      </c>
      <c r="I192" s="19">
        <f t="shared" si="1"/>
        <v>8</v>
      </c>
      <c r="J192" s="19">
        <f t="shared" si="2"/>
        <v>0</v>
      </c>
    </row>
    <row r="193" ht="22.5" customHeight="1">
      <c r="A193" s="16">
        <v>4.0</v>
      </c>
      <c r="B193" s="16">
        <v>15.0</v>
      </c>
      <c r="C193" s="16">
        <v>0.0</v>
      </c>
      <c r="D193" s="16">
        <v>0.0</v>
      </c>
      <c r="E193" s="16">
        <v>0.0</v>
      </c>
      <c r="F193" s="16">
        <v>0.0</v>
      </c>
      <c r="G193" s="18">
        <v>0.0</v>
      </c>
      <c r="H193" s="16" t="s">
        <v>235</v>
      </c>
      <c r="I193" s="19">
        <f t="shared" si="1"/>
        <v>0</v>
      </c>
      <c r="J193" s="19">
        <f t="shared" si="2"/>
        <v>0</v>
      </c>
    </row>
    <row r="194" ht="22.5" customHeight="1">
      <c r="A194" s="16">
        <v>4.0</v>
      </c>
      <c r="B194" s="16">
        <v>15.0</v>
      </c>
      <c r="C194" s="16">
        <v>2.0</v>
      </c>
      <c r="D194" s="16">
        <v>0.0</v>
      </c>
      <c r="E194" s="16">
        <v>0.0</v>
      </c>
      <c r="F194" s="16">
        <v>0.0</v>
      </c>
      <c r="G194" s="18">
        <v>0.0</v>
      </c>
      <c r="H194" s="16" t="s">
        <v>202</v>
      </c>
      <c r="I194" s="19">
        <f t="shared" si="1"/>
        <v>0</v>
      </c>
      <c r="J194" s="19">
        <f t="shared" si="2"/>
        <v>0</v>
      </c>
    </row>
    <row r="195" ht="22.5" customHeight="1">
      <c r="A195" s="16">
        <v>1.0</v>
      </c>
      <c r="B195" s="16">
        <v>4.0</v>
      </c>
      <c r="C195" s="16">
        <v>0.0</v>
      </c>
      <c r="D195" s="16">
        <v>0.0</v>
      </c>
      <c r="E195" s="16">
        <v>0.0</v>
      </c>
      <c r="F195" s="16">
        <v>0.0</v>
      </c>
      <c r="G195" s="18">
        <v>0.0</v>
      </c>
      <c r="H195" s="16" t="s">
        <v>202</v>
      </c>
      <c r="I195" s="19">
        <f t="shared" si="1"/>
        <v>0</v>
      </c>
      <c r="J195" s="19">
        <f t="shared" si="2"/>
        <v>0</v>
      </c>
    </row>
    <row r="196" ht="22.5" customHeight="1">
      <c r="A196" s="16">
        <v>3.0</v>
      </c>
      <c r="B196" s="16">
        <v>11.0</v>
      </c>
      <c r="C196" s="16">
        <v>7.0</v>
      </c>
      <c r="D196" s="16">
        <v>4.0</v>
      </c>
      <c r="E196" s="16">
        <v>0.33</v>
      </c>
      <c r="F196" s="16">
        <v>0.0</v>
      </c>
      <c r="G196" s="20">
        <v>0.571</v>
      </c>
      <c r="H196" s="16" t="s">
        <v>135</v>
      </c>
      <c r="I196" s="19">
        <f t="shared" si="1"/>
        <v>12</v>
      </c>
      <c r="J196" s="19">
        <f t="shared" si="2"/>
        <v>1</v>
      </c>
    </row>
    <row r="197" ht="22.5" customHeight="1">
      <c r="A197" s="16">
        <v>1.0</v>
      </c>
      <c r="B197" s="16">
        <v>4.0</v>
      </c>
      <c r="C197" s="16">
        <v>3.0</v>
      </c>
      <c r="D197" s="16">
        <v>0.0</v>
      </c>
      <c r="E197" s="16">
        <v>1.0</v>
      </c>
      <c r="F197" s="16">
        <v>0.0</v>
      </c>
      <c r="G197" s="20">
        <v>0.333</v>
      </c>
      <c r="H197" s="16" t="s">
        <v>135</v>
      </c>
      <c r="I197" s="19">
        <f t="shared" si="1"/>
        <v>0</v>
      </c>
      <c r="J197" s="19">
        <f t="shared" si="2"/>
        <v>1</v>
      </c>
    </row>
    <row r="198" ht="22.5" customHeight="1">
      <c r="A198" s="16">
        <v>1.0</v>
      </c>
      <c r="B198" s="16">
        <v>4.0</v>
      </c>
      <c r="C198" s="16">
        <v>0.0</v>
      </c>
      <c r="D198" s="16">
        <v>0.0</v>
      </c>
      <c r="E198" s="16">
        <v>0.0</v>
      </c>
      <c r="F198" s="16">
        <v>0.0</v>
      </c>
      <c r="G198" s="18">
        <v>0.0</v>
      </c>
      <c r="H198" s="16" t="s">
        <v>236</v>
      </c>
      <c r="I198" s="19">
        <f t="shared" si="1"/>
        <v>0</v>
      </c>
      <c r="J198" s="19">
        <f t="shared" si="2"/>
        <v>0</v>
      </c>
    </row>
    <row r="199" ht="22.5" customHeight="1">
      <c r="A199" s="16">
        <v>1.0</v>
      </c>
      <c r="B199" s="16">
        <v>4.0</v>
      </c>
      <c r="C199" s="16">
        <v>0.0</v>
      </c>
      <c r="D199" s="16">
        <v>0.0</v>
      </c>
      <c r="E199" s="16">
        <v>0.0</v>
      </c>
      <c r="F199" s="16">
        <v>0.0</v>
      </c>
      <c r="G199" s="18">
        <v>0.0</v>
      </c>
      <c r="H199" s="16" t="s">
        <v>236</v>
      </c>
      <c r="I199" s="19">
        <f t="shared" si="1"/>
        <v>0</v>
      </c>
      <c r="J199" s="19">
        <f t="shared" si="2"/>
        <v>0</v>
      </c>
    </row>
    <row r="200" ht="22.5" customHeight="1">
      <c r="A200" s="16">
        <v>1.0</v>
      </c>
      <c r="B200" s="16">
        <v>4.0</v>
      </c>
      <c r="C200" s="16">
        <v>0.0</v>
      </c>
      <c r="D200" s="16">
        <v>0.0</v>
      </c>
      <c r="E200" s="16">
        <v>0.0</v>
      </c>
      <c r="F200" s="16">
        <v>0.0</v>
      </c>
      <c r="G200" s="18">
        <v>0.0</v>
      </c>
      <c r="H200" s="16" t="s">
        <v>237</v>
      </c>
      <c r="I200" s="19">
        <f t="shared" si="1"/>
        <v>0</v>
      </c>
      <c r="J200" s="19">
        <f t="shared" si="2"/>
        <v>0</v>
      </c>
    </row>
    <row r="201" ht="22.5" customHeight="1">
      <c r="A201" s="16">
        <v>5.0</v>
      </c>
      <c r="B201" s="16">
        <v>20.0</v>
      </c>
      <c r="C201" s="16">
        <v>6.0</v>
      </c>
      <c r="D201" s="16">
        <v>1.6</v>
      </c>
      <c r="E201" s="16">
        <v>0.2</v>
      </c>
      <c r="F201" s="16">
        <v>0.0</v>
      </c>
      <c r="G201" s="18">
        <v>0.5</v>
      </c>
      <c r="H201" s="16" t="s">
        <v>182</v>
      </c>
      <c r="I201" s="19">
        <f t="shared" si="1"/>
        <v>8</v>
      </c>
      <c r="J201" s="19">
        <f t="shared" si="2"/>
        <v>1</v>
      </c>
    </row>
    <row r="202" ht="22.5" customHeight="1">
      <c r="A202" s="16">
        <v>5.0</v>
      </c>
      <c r="B202" s="16">
        <v>20.0</v>
      </c>
      <c r="C202" s="16">
        <v>6.0</v>
      </c>
      <c r="D202" s="16">
        <v>3.2</v>
      </c>
      <c r="E202" s="16">
        <v>0.0</v>
      </c>
      <c r="F202" s="16">
        <v>0.0</v>
      </c>
      <c r="G202" s="20">
        <v>0.667</v>
      </c>
      <c r="H202" s="16" t="s">
        <v>204</v>
      </c>
      <c r="I202" s="19">
        <f t="shared" si="1"/>
        <v>16</v>
      </c>
      <c r="J202" s="19">
        <f t="shared" si="2"/>
        <v>0</v>
      </c>
    </row>
    <row r="203" ht="22.5" customHeight="1">
      <c r="A203" s="16">
        <v>3.0</v>
      </c>
      <c r="B203" s="16">
        <v>12.0</v>
      </c>
      <c r="C203" s="16">
        <v>0.0</v>
      </c>
      <c r="D203" s="16">
        <v>0.0</v>
      </c>
      <c r="E203" s="16">
        <v>0.0</v>
      </c>
      <c r="F203" s="16">
        <v>0.0</v>
      </c>
      <c r="G203" s="18">
        <v>0.0</v>
      </c>
      <c r="H203" s="16" t="s">
        <v>238</v>
      </c>
      <c r="I203" s="19">
        <f t="shared" si="1"/>
        <v>0</v>
      </c>
      <c r="J203" s="19">
        <f t="shared" si="2"/>
        <v>0</v>
      </c>
    </row>
    <row r="204" ht="22.5" customHeight="1">
      <c r="A204" s="16">
        <v>5.0</v>
      </c>
      <c r="B204" s="16">
        <v>21.0</v>
      </c>
      <c r="C204" s="16">
        <v>14.0</v>
      </c>
      <c r="D204" s="16">
        <v>4.0</v>
      </c>
      <c r="E204" s="16">
        <v>0.0</v>
      </c>
      <c r="F204" s="16">
        <v>0.0</v>
      </c>
      <c r="G204" s="20">
        <v>0.357</v>
      </c>
      <c r="H204" s="16" t="s">
        <v>149</v>
      </c>
      <c r="I204" s="19">
        <f t="shared" si="1"/>
        <v>20</v>
      </c>
      <c r="J204" s="19">
        <f t="shared" si="2"/>
        <v>0</v>
      </c>
    </row>
    <row r="205" ht="22.5" customHeight="1">
      <c r="A205" s="16">
        <v>3.0</v>
      </c>
      <c r="B205" s="16">
        <v>12.0</v>
      </c>
      <c r="C205" s="16">
        <v>0.0</v>
      </c>
      <c r="D205" s="16">
        <v>0.0</v>
      </c>
      <c r="E205" s="16">
        <v>0.0</v>
      </c>
      <c r="F205" s="16">
        <v>0.0</v>
      </c>
      <c r="G205" s="18">
        <v>0.0</v>
      </c>
      <c r="H205" s="16" t="s">
        <v>240</v>
      </c>
      <c r="I205" s="19">
        <f t="shared" si="1"/>
        <v>0</v>
      </c>
      <c r="J205" s="19">
        <f t="shared" si="2"/>
        <v>0</v>
      </c>
    </row>
    <row r="206" ht="22.5" customHeight="1">
      <c r="A206" s="16">
        <v>1.0</v>
      </c>
      <c r="B206" s="16">
        <v>4.0</v>
      </c>
      <c r="C206" s="16">
        <v>0.0</v>
      </c>
      <c r="D206" s="16">
        <v>0.0</v>
      </c>
      <c r="E206" s="16">
        <v>0.0</v>
      </c>
      <c r="F206" s="16">
        <v>0.0</v>
      </c>
      <c r="G206" s="18">
        <v>0.0</v>
      </c>
      <c r="H206" s="16" t="s">
        <v>242</v>
      </c>
      <c r="I206" s="19">
        <f t="shared" si="1"/>
        <v>0</v>
      </c>
      <c r="J206" s="19">
        <f t="shared" si="2"/>
        <v>0</v>
      </c>
    </row>
    <row r="207" ht="22.5" customHeight="1">
      <c r="A207" s="16">
        <v>1.0</v>
      </c>
      <c r="B207" s="16">
        <v>4.0</v>
      </c>
      <c r="C207" s="16">
        <v>0.0</v>
      </c>
      <c r="D207" s="16">
        <v>0.0</v>
      </c>
      <c r="E207" s="16">
        <v>0.0</v>
      </c>
      <c r="F207" s="16">
        <v>0.0</v>
      </c>
      <c r="G207" s="18">
        <v>0.0</v>
      </c>
      <c r="H207" s="16" t="s">
        <v>243</v>
      </c>
      <c r="I207" s="19">
        <f t="shared" si="1"/>
        <v>0</v>
      </c>
      <c r="J207" s="19">
        <f t="shared" si="2"/>
        <v>0</v>
      </c>
    </row>
    <row r="208" ht="22.5" customHeight="1">
      <c r="A208" s="16">
        <v>3.0</v>
      </c>
      <c r="B208" s="16">
        <v>12.0</v>
      </c>
      <c r="C208" s="16">
        <v>0.0</v>
      </c>
      <c r="D208" s="16">
        <v>0.0</v>
      </c>
      <c r="E208" s="16">
        <v>0.0</v>
      </c>
      <c r="F208" s="16">
        <v>0.0</v>
      </c>
      <c r="G208" s="18">
        <v>0.0</v>
      </c>
      <c r="H208" s="16" t="s">
        <v>244</v>
      </c>
      <c r="I208" s="19">
        <f t="shared" si="1"/>
        <v>0</v>
      </c>
      <c r="J208" s="19">
        <f t="shared" si="2"/>
        <v>0</v>
      </c>
    </row>
    <row r="209" ht="22.5" customHeight="1">
      <c r="A209" s="16">
        <v>2.0</v>
      </c>
      <c r="B209" s="16">
        <v>8.0</v>
      </c>
      <c r="C209" s="16">
        <v>0.0</v>
      </c>
      <c r="D209" s="16">
        <v>0.0</v>
      </c>
      <c r="E209" s="16">
        <v>0.0</v>
      </c>
      <c r="F209" s="16">
        <v>0.0</v>
      </c>
      <c r="G209" s="18">
        <v>0.0</v>
      </c>
      <c r="H209" s="16" t="s">
        <v>244</v>
      </c>
      <c r="I209" s="19">
        <f t="shared" si="1"/>
        <v>0</v>
      </c>
      <c r="J209" s="19">
        <f t="shared" si="2"/>
        <v>0</v>
      </c>
    </row>
    <row r="210" ht="22.5" customHeight="1">
      <c r="A210" s="16">
        <v>3.0</v>
      </c>
      <c r="B210" s="16">
        <v>12.0</v>
      </c>
      <c r="C210" s="16">
        <v>1.0</v>
      </c>
      <c r="D210" s="16">
        <v>-1.33</v>
      </c>
      <c r="E210" s="16">
        <v>0.33</v>
      </c>
      <c r="F210" s="16">
        <v>0.0</v>
      </c>
      <c r="G210" s="18">
        <v>0.0</v>
      </c>
      <c r="H210" s="16" t="s">
        <v>185</v>
      </c>
      <c r="I210" s="19">
        <f t="shared" si="1"/>
        <v>-4</v>
      </c>
      <c r="J210" s="19">
        <f t="shared" si="2"/>
        <v>1</v>
      </c>
    </row>
    <row r="211" ht="22.5" customHeight="1">
      <c r="A211" s="16">
        <v>2.0</v>
      </c>
      <c r="B211" s="16">
        <v>8.0</v>
      </c>
      <c r="C211" s="16">
        <v>1.0</v>
      </c>
      <c r="D211" s="16">
        <v>0.0</v>
      </c>
      <c r="E211" s="16">
        <v>0.0</v>
      </c>
      <c r="F211" s="16">
        <v>0.0</v>
      </c>
      <c r="G211" s="18">
        <v>0.0</v>
      </c>
      <c r="H211" s="16" t="s">
        <v>185</v>
      </c>
      <c r="I211" s="19">
        <f t="shared" si="1"/>
        <v>0</v>
      </c>
      <c r="J211" s="19">
        <f t="shared" si="2"/>
        <v>0</v>
      </c>
    </row>
    <row r="212" ht="22.5" customHeight="1">
      <c r="A212" s="16">
        <v>3.0</v>
      </c>
      <c r="B212" s="16">
        <v>12.0</v>
      </c>
      <c r="C212" s="16">
        <v>8.0</v>
      </c>
      <c r="D212" s="16">
        <v>6.67</v>
      </c>
      <c r="E212" s="16">
        <v>0.33</v>
      </c>
      <c r="F212" s="16">
        <v>0.0</v>
      </c>
      <c r="G212" s="18">
        <v>0.75</v>
      </c>
      <c r="H212" s="16" t="s">
        <v>248</v>
      </c>
      <c r="I212" s="19">
        <f t="shared" si="1"/>
        <v>20</v>
      </c>
      <c r="J212" s="19">
        <f t="shared" si="2"/>
        <v>1</v>
      </c>
    </row>
    <row r="213" ht="22.5" customHeight="1">
      <c r="A213" s="16">
        <v>2.0</v>
      </c>
      <c r="B213" s="16">
        <v>8.0</v>
      </c>
      <c r="C213" s="16">
        <v>5.0</v>
      </c>
      <c r="D213" s="16">
        <v>-6.0</v>
      </c>
      <c r="E213" s="16">
        <v>1.5</v>
      </c>
      <c r="F213" s="16">
        <v>0.0</v>
      </c>
      <c r="G213" s="18">
        <v>0.0</v>
      </c>
      <c r="H213" s="16" t="s">
        <v>248</v>
      </c>
      <c r="I213" s="19">
        <f t="shared" si="1"/>
        <v>-12</v>
      </c>
      <c r="J213" s="19">
        <f t="shared" si="2"/>
        <v>3</v>
      </c>
    </row>
    <row r="214" ht="22.5" customHeight="1">
      <c r="A214" s="16">
        <v>2.0</v>
      </c>
      <c r="B214" s="16">
        <v>8.0</v>
      </c>
      <c r="C214" s="16">
        <v>0.0</v>
      </c>
      <c r="D214" s="16">
        <v>0.0</v>
      </c>
      <c r="E214" s="16">
        <v>0.0</v>
      </c>
      <c r="F214" s="16">
        <v>0.0</v>
      </c>
      <c r="G214" s="18">
        <v>0.0</v>
      </c>
      <c r="H214" s="16" t="s">
        <v>250</v>
      </c>
      <c r="I214" s="19">
        <f t="shared" si="1"/>
        <v>0</v>
      </c>
      <c r="J214" s="19">
        <f t="shared" si="2"/>
        <v>0</v>
      </c>
    </row>
    <row r="215" ht="22.5" customHeight="1">
      <c r="A215" s="16">
        <v>1.0</v>
      </c>
      <c r="B215" s="16">
        <v>4.0</v>
      </c>
      <c r="C215" s="16">
        <v>0.0</v>
      </c>
      <c r="D215" s="16">
        <v>0.0</v>
      </c>
      <c r="E215" s="16">
        <v>0.0</v>
      </c>
      <c r="F215" s="16">
        <v>0.0</v>
      </c>
      <c r="G215" s="18">
        <v>0.0</v>
      </c>
      <c r="H215" s="16" t="s">
        <v>250</v>
      </c>
      <c r="I215" s="19">
        <f t="shared" si="1"/>
        <v>0</v>
      </c>
      <c r="J215" s="19">
        <f t="shared" si="2"/>
        <v>0</v>
      </c>
    </row>
    <row r="216" ht="22.5" customHeight="1">
      <c r="A216" s="16">
        <v>1.0</v>
      </c>
      <c r="B216" s="16">
        <v>4.0</v>
      </c>
      <c r="C216" s="16">
        <v>0.0</v>
      </c>
      <c r="D216" s="16">
        <v>0.0</v>
      </c>
      <c r="E216" s="16">
        <v>0.0</v>
      </c>
      <c r="F216" s="16">
        <v>0.0</v>
      </c>
      <c r="G216" s="18">
        <v>0.0</v>
      </c>
      <c r="H216" s="16" t="s">
        <v>251</v>
      </c>
      <c r="I216" s="19">
        <f t="shared" si="1"/>
        <v>0</v>
      </c>
      <c r="J216" s="19">
        <f t="shared" si="2"/>
        <v>0</v>
      </c>
    </row>
    <row r="217" ht="22.5" customHeight="1">
      <c r="A217" s="16">
        <v>1.0</v>
      </c>
      <c r="B217" s="16">
        <v>4.0</v>
      </c>
      <c r="C217" s="16">
        <v>0.0</v>
      </c>
      <c r="D217" s="16">
        <v>0.0</v>
      </c>
      <c r="E217" s="16">
        <v>0.0</v>
      </c>
      <c r="F217" s="16">
        <v>0.0</v>
      </c>
      <c r="G217" s="18">
        <v>0.0</v>
      </c>
      <c r="H217" s="16" t="s">
        <v>239</v>
      </c>
      <c r="I217" s="19">
        <f t="shared" si="1"/>
        <v>0</v>
      </c>
      <c r="J217" s="19">
        <f t="shared" si="2"/>
        <v>0</v>
      </c>
    </row>
    <row r="218" ht="22.5" customHeight="1">
      <c r="A218" s="16">
        <v>4.0</v>
      </c>
      <c r="B218" s="16">
        <v>16.0</v>
      </c>
      <c r="C218" s="16">
        <v>2.0</v>
      </c>
      <c r="D218" s="16">
        <v>1.0</v>
      </c>
      <c r="E218" s="16">
        <v>0.0</v>
      </c>
      <c r="F218" s="16">
        <v>0.0</v>
      </c>
      <c r="G218" s="18">
        <v>0.5</v>
      </c>
      <c r="H218" s="16" t="s">
        <v>253</v>
      </c>
      <c r="I218" s="19">
        <f t="shared" si="1"/>
        <v>4</v>
      </c>
      <c r="J218" s="19">
        <f t="shared" si="2"/>
        <v>0</v>
      </c>
    </row>
    <row r="219" ht="22.5" customHeight="1">
      <c r="A219" s="16">
        <v>1.0</v>
      </c>
      <c r="B219" s="16">
        <v>4.0</v>
      </c>
      <c r="C219" s="16">
        <v>0.0</v>
      </c>
      <c r="D219" s="16">
        <v>0.0</v>
      </c>
      <c r="E219" s="16">
        <v>0.0</v>
      </c>
      <c r="F219" s="16">
        <v>0.0</v>
      </c>
      <c r="G219" s="18">
        <v>0.0</v>
      </c>
      <c r="H219" s="16" t="s">
        <v>253</v>
      </c>
      <c r="I219" s="19">
        <f t="shared" si="1"/>
        <v>0</v>
      </c>
      <c r="J219" s="19">
        <f t="shared" si="2"/>
        <v>0</v>
      </c>
    </row>
    <row r="220" ht="22.5" customHeight="1">
      <c r="A220" s="16">
        <v>4.0</v>
      </c>
      <c r="B220" s="16">
        <v>16.0</v>
      </c>
      <c r="C220" s="16">
        <v>9.0</v>
      </c>
      <c r="D220" s="16">
        <v>1.0</v>
      </c>
      <c r="E220" s="16">
        <v>0.5</v>
      </c>
      <c r="F220" s="16">
        <v>0.0</v>
      </c>
      <c r="G220" s="20">
        <v>0.333</v>
      </c>
      <c r="H220" s="16" t="s">
        <v>255</v>
      </c>
      <c r="I220" s="19">
        <f t="shared" si="1"/>
        <v>4</v>
      </c>
      <c r="J220" s="19">
        <f t="shared" si="2"/>
        <v>2</v>
      </c>
    </row>
    <row r="221" ht="22.5" customHeight="1">
      <c r="A221" s="16">
        <v>1.0</v>
      </c>
      <c r="B221" s="16">
        <v>4.0</v>
      </c>
      <c r="C221" s="16">
        <v>3.0</v>
      </c>
      <c r="D221" s="16">
        <v>-4.0</v>
      </c>
      <c r="E221" s="16">
        <v>2.0</v>
      </c>
      <c r="F221" s="16">
        <v>0.0</v>
      </c>
      <c r="G221" s="20">
        <v>0.333</v>
      </c>
      <c r="H221" s="16" t="s">
        <v>255</v>
      </c>
      <c r="I221" s="19">
        <f t="shared" si="1"/>
        <v>-4</v>
      </c>
      <c r="J221" s="19">
        <f t="shared" si="2"/>
        <v>2</v>
      </c>
    </row>
    <row r="222" ht="22.5" customHeight="1">
      <c r="A222" s="16">
        <v>4.0</v>
      </c>
      <c r="B222" s="16">
        <v>16.0</v>
      </c>
      <c r="C222" s="16">
        <v>2.0</v>
      </c>
      <c r="D222" s="16">
        <v>0.0</v>
      </c>
      <c r="E222" s="16">
        <v>0.25</v>
      </c>
      <c r="F222" s="16">
        <v>0.0</v>
      </c>
      <c r="G222" s="18">
        <v>0.5</v>
      </c>
      <c r="H222" s="16" t="s">
        <v>164</v>
      </c>
      <c r="I222" s="19">
        <f t="shared" si="1"/>
        <v>0</v>
      </c>
      <c r="J222" s="19">
        <f t="shared" si="2"/>
        <v>1</v>
      </c>
    </row>
    <row r="223" ht="22.5" customHeight="1">
      <c r="A223" s="16">
        <v>1.0</v>
      </c>
      <c r="B223" s="16">
        <v>4.0</v>
      </c>
      <c r="C223" s="16">
        <v>1.0</v>
      </c>
      <c r="D223" s="16">
        <v>4.0</v>
      </c>
      <c r="E223" s="16">
        <v>0.0</v>
      </c>
      <c r="F223" s="16">
        <v>0.0</v>
      </c>
      <c r="G223" s="18">
        <v>1.0</v>
      </c>
      <c r="H223" s="16" t="s">
        <v>164</v>
      </c>
      <c r="I223" s="19">
        <f t="shared" si="1"/>
        <v>4</v>
      </c>
      <c r="J223" s="19">
        <f t="shared" si="2"/>
        <v>0</v>
      </c>
    </row>
    <row r="224" ht="22.5" customHeight="1">
      <c r="A224" s="16">
        <v>1.0</v>
      </c>
      <c r="B224" s="16">
        <v>3.0</v>
      </c>
      <c r="C224" s="16">
        <v>0.0</v>
      </c>
      <c r="D224" s="16">
        <v>0.0</v>
      </c>
      <c r="E224" s="16">
        <v>0.0</v>
      </c>
      <c r="F224" s="16">
        <v>0.0</v>
      </c>
      <c r="G224" s="18">
        <v>0.0</v>
      </c>
      <c r="H224" s="16" t="s">
        <v>257</v>
      </c>
      <c r="I224" s="19">
        <f t="shared" si="1"/>
        <v>0</v>
      </c>
      <c r="J224" s="19">
        <f t="shared" si="2"/>
        <v>0</v>
      </c>
    </row>
    <row r="225" ht="22.5" customHeight="1">
      <c r="A225" s="16">
        <v>1.0</v>
      </c>
      <c r="B225" s="16">
        <v>4.0</v>
      </c>
      <c r="C225" s="16">
        <v>0.0</v>
      </c>
      <c r="D225" s="16">
        <v>0.0</v>
      </c>
      <c r="E225" s="16">
        <v>0.0</v>
      </c>
      <c r="F225" s="16">
        <v>0.0</v>
      </c>
      <c r="G225" s="18">
        <v>0.0</v>
      </c>
      <c r="H225" s="16" t="s">
        <v>257</v>
      </c>
      <c r="I225" s="19">
        <f t="shared" si="1"/>
        <v>0</v>
      </c>
      <c r="J225" s="19">
        <f t="shared" si="2"/>
        <v>0</v>
      </c>
    </row>
    <row r="226" ht="22.5" customHeight="1">
      <c r="A226" s="16">
        <v>2.0</v>
      </c>
      <c r="B226" s="16">
        <v>7.0</v>
      </c>
      <c r="C226" s="16">
        <v>1.0</v>
      </c>
      <c r="D226" s="16">
        <v>2.0</v>
      </c>
      <c r="E226" s="16">
        <v>0.0</v>
      </c>
      <c r="F226" s="16">
        <v>0.0</v>
      </c>
      <c r="G226" s="18">
        <v>1.0</v>
      </c>
      <c r="H226" s="16" t="s">
        <v>259</v>
      </c>
      <c r="I226" s="19">
        <f t="shared" si="1"/>
        <v>4</v>
      </c>
      <c r="J226" s="19">
        <f t="shared" si="2"/>
        <v>0</v>
      </c>
    </row>
    <row r="227" ht="22.5" customHeight="1">
      <c r="A227" s="16">
        <v>2.0</v>
      </c>
      <c r="B227" s="16">
        <v>8.0</v>
      </c>
      <c r="C227" s="16">
        <v>2.0</v>
      </c>
      <c r="D227" s="16">
        <v>0.0</v>
      </c>
      <c r="E227" s="16">
        <v>0.5</v>
      </c>
      <c r="F227" s="16">
        <v>0.0</v>
      </c>
      <c r="G227" s="18">
        <v>0.5</v>
      </c>
      <c r="H227" s="16" t="s">
        <v>259</v>
      </c>
      <c r="I227" s="19">
        <f t="shared" si="1"/>
        <v>0</v>
      </c>
      <c r="J227" s="19">
        <f t="shared" si="2"/>
        <v>1</v>
      </c>
    </row>
    <row r="228" ht="22.5" customHeight="1">
      <c r="A228" s="16">
        <v>3.0</v>
      </c>
      <c r="B228" s="16">
        <v>10.0</v>
      </c>
      <c r="C228" s="16">
        <v>4.0</v>
      </c>
      <c r="D228" s="16">
        <v>2.67</v>
      </c>
      <c r="E228" s="16">
        <v>0.33</v>
      </c>
      <c r="F228" s="16">
        <v>0.0</v>
      </c>
      <c r="G228" s="18">
        <v>0.75</v>
      </c>
      <c r="H228" s="16" t="s">
        <v>99</v>
      </c>
      <c r="I228" s="19">
        <f t="shared" si="1"/>
        <v>8</v>
      </c>
      <c r="J228" s="19">
        <f t="shared" si="2"/>
        <v>1</v>
      </c>
    </row>
    <row r="229" ht="22.5" customHeight="1">
      <c r="A229" s="16">
        <v>2.0</v>
      </c>
      <c r="B229" s="16">
        <v>8.0</v>
      </c>
      <c r="C229" s="16">
        <v>2.0</v>
      </c>
      <c r="D229" s="16">
        <v>0.0</v>
      </c>
      <c r="E229" s="16">
        <v>0.0</v>
      </c>
      <c r="F229" s="16">
        <v>0.0</v>
      </c>
      <c r="G229" s="18">
        <v>0.0</v>
      </c>
      <c r="H229" s="16" t="s">
        <v>99</v>
      </c>
      <c r="I229" s="19">
        <f t="shared" si="1"/>
        <v>0</v>
      </c>
      <c r="J229" s="19">
        <f t="shared" si="2"/>
        <v>0</v>
      </c>
    </row>
    <row r="230" ht="22.5" customHeight="1">
      <c r="A230" s="16">
        <v>3.0</v>
      </c>
      <c r="B230" s="16">
        <v>10.0</v>
      </c>
      <c r="C230" s="16">
        <v>0.0</v>
      </c>
      <c r="D230" s="16">
        <v>0.0</v>
      </c>
      <c r="E230" s="16">
        <v>0.0</v>
      </c>
      <c r="F230" s="16">
        <v>0.0</v>
      </c>
      <c r="G230" s="18">
        <v>0.0</v>
      </c>
      <c r="H230" s="16" t="s">
        <v>262</v>
      </c>
      <c r="I230" s="19">
        <f t="shared" si="1"/>
        <v>0</v>
      </c>
      <c r="J230" s="19">
        <f t="shared" si="2"/>
        <v>0</v>
      </c>
    </row>
    <row r="231" ht="22.5" customHeight="1">
      <c r="A231" s="16">
        <v>1.0</v>
      </c>
      <c r="B231" s="16">
        <v>4.0</v>
      </c>
      <c r="C231" s="16">
        <v>0.0</v>
      </c>
      <c r="D231" s="16">
        <v>0.0</v>
      </c>
      <c r="E231" s="16">
        <v>0.0</v>
      </c>
      <c r="F231" s="16">
        <v>0.0</v>
      </c>
      <c r="G231" s="18">
        <v>0.0</v>
      </c>
      <c r="H231" s="16" t="s">
        <v>262</v>
      </c>
      <c r="I231" s="19">
        <f t="shared" si="1"/>
        <v>0</v>
      </c>
      <c r="J231" s="19">
        <f t="shared" si="2"/>
        <v>0</v>
      </c>
    </row>
    <row r="232" ht="22.5" customHeight="1">
      <c r="A232" s="16">
        <v>1.0</v>
      </c>
      <c r="B232" s="16">
        <v>4.0</v>
      </c>
      <c r="C232" s="16">
        <v>1.0</v>
      </c>
      <c r="D232" s="16">
        <v>0.0</v>
      </c>
      <c r="E232" s="16">
        <v>0.0</v>
      </c>
      <c r="F232" s="16">
        <v>0.0</v>
      </c>
      <c r="G232" s="18">
        <v>0.0</v>
      </c>
      <c r="H232" s="16" t="s">
        <v>262</v>
      </c>
      <c r="I232" s="19">
        <f t="shared" si="1"/>
        <v>0</v>
      </c>
      <c r="J232" s="19">
        <f t="shared" si="2"/>
        <v>0</v>
      </c>
    </row>
    <row r="233" ht="22.5" customHeight="1">
      <c r="A233" s="16">
        <v>1.0</v>
      </c>
      <c r="B233" s="16">
        <v>4.0</v>
      </c>
      <c r="C233" s="16">
        <v>2.0</v>
      </c>
      <c r="D233" s="16">
        <v>0.0</v>
      </c>
      <c r="E233" s="16">
        <v>1.0</v>
      </c>
      <c r="F233" s="16">
        <v>0.0</v>
      </c>
      <c r="G233" s="18">
        <v>0.5</v>
      </c>
      <c r="H233" s="16" t="s">
        <v>241</v>
      </c>
      <c r="I233" s="19">
        <f t="shared" si="1"/>
        <v>0</v>
      </c>
      <c r="J233" s="19">
        <f t="shared" si="2"/>
        <v>1</v>
      </c>
    </row>
    <row r="234" ht="22.5" customHeight="1">
      <c r="A234" s="16">
        <v>1.0</v>
      </c>
      <c r="B234" s="16">
        <v>4.0</v>
      </c>
      <c r="C234" s="16">
        <v>3.0</v>
      </c>
      <c r="D234" s="16">
        <v>12.0</v>
      </c>
      <c r="E234" s="16">
        <v>0.0</v>
      </c>
      <c r="F234" s="16">
        <v>0.0</v>
      </c>
      <c r="G234" s="18">
        <v>1.0</v>
      </c>
      <c r="H234" s="16" t="s">
        <v>241</v>
      </c>
      <c r="I234" s="19">
        <f t="shared" si="1"/>
        <v>12</v>
      </c>
      <c r="J234" s="19">
        <f t="shared" si="2"/>
        <v>0</v>
      </c>
    </row>
    <row r="235" ht="22.5" customHeight="1">
      <c r="A235" s="16">
        <v>2.0</v>
      </c>
      <c r="B235" s="16">
        <v>8.0</v>
      </c>
      <c r="C235" s="16">
        <v>0.0</v>
      </c>
      <c r="D235" s="16">
        <v>0.0</v>
      </c>
      <c r="E235" s="16">
        <v>0.0</v>
      </c>
      <c r="F235" s="16">
        <v>0.0</v>
      </c>
      <c r="G235" s="18">
        <v>0.0</v>
      </c>
      <c r="H235" s="16" t="s">
        <v>263</v>
      </c>
      <c r="I235" s="19">
        <f t="shared" si="1"/>
        <v>0</v>
      </c>
      <c r="J235" s="19">
        <f t="shared" si="2"/>
        <v>0</v>
      </c>
    </row>
    <row r="236" ht="22.5" customHeight="1">
      <c r="A236" s="16">
        <v>1.0</v>
      </c>
      <c r="B236" s="16">
        <v>4.0</v>
      </c>
      <c r="C236" s="16">
        <v>1.0</v>
      </c>
      <c r="D236" s="16">
        <v>4.0</v>
      </c>
      <c r="E236" s="16">
        <v>0.0</v>
      </c>
      <c r="F236" s="16">
        <v>0.0</v>
      </c>
      <c r="G236" s="18">
        <v>1.0</v>
      </c>
      <c r="H236" s="16" t="s">
        <v>263</v>
      </c>
      <c r="I236" s="19">
        <f t="shared" si="1"/>
        <v>4</v>
      </c>
      <c r="J236" s="19">
        <f t="shared" si="2"/>
        <v>0</v>
      </c>
    </row>
    <row r="237" ht="22.5" customHeight="1">
      <c r="A237" s="16">
        <v>1.0</v>
      </c>
      <c r="B237" s="16">
        <v>3.0</v>
      </c>
      <c r="C237" s="16">
        <v>0.0</v>
      </c>
      <c r="D237" s="16">
        <v>0.0</v>
      </c>
      <c r="E237" s="16">
        <v>0.0</v>
      </c>
      <c r="F237" s="16">
        <v>0.0</v>
      </c>
      <c r="G237" s="18">
        <v>0.0</v>
      </c>
      <c r="H237" s="16" t="s">
        <v>264</v>
      </c>
      <c r="I237" s="19">
        <f t="shared" si="1"/>
        <v>0</v>
      </c>
      <c r="J237" s="19">
        <f t="shared" si="2"/>
        <v>0</v>
      </c>
    </row>
    <row r="238" ht="22.5" customHeight="1">
      <c r="A238" s="16">
        <v>3.0</v>
      </c>
      <c r="B238" s="16">
        <v>12.0</v>
      </c>
      <c r="C238" s="16">
        <v>0.0</v>
      </c>
      <c r="D238" s="16">
        <v>0.0</v>
      </c>
      <c r="E238" s="16">
        <v>0.0</v>
      </c>
      <c r="F238" s="16">
        <v>0.0</v>
      </c>
      <c r="G238" s="18">
        <v>0.0</v>
      </c>
      <c r="H238" s="16" t="s">
        <v>264</v>
      </c>
      <c r="I238" s="19">
        <f t="shared" si="1"/>
        <v>0</v>
      </c>
      <c r="J238" s="19">
        <f t="shared" si="2"/>
        <v>0</v>
      </c>
    </row>
    <row r="239" ht="22.5" customHeight="1">
      <c r="A239" s="16">
        <v>1.0</v>
      </c>
      <c r="B239" s="16">
        <v>3.0</v>
      </c>
      <c r="C239" s="16">
        <v>0.0</v>
      </c>
      <c r="D239" s="16">
        <v>0.0</v>
      </c>
      <c r="E239" s="16">
        <v>0.0</v>
      </c>
      <c r="F239" s="16">
        <v>0.0</v>
      </c>
      <c r="G239" s="18">
        <v>0.0</v>
      </c>
      <c r="H239" s="16" t="s">
        <v>265</v>
      </c>
      <c r="I239" s="19">
        <f t="shared" si="1"/>
        <v>0</v>
      </c>
      <c r="J239" s="19">
        <f t="shared" si="2"/>
        <v>0</v>
      </c>
    </row>
    <row r="240" ht="22.5" customHeight="1">
      <c r="A240" s="16">
        <v>4.0</v>
      </c>
      <c r="B240" s="16">
        <v>16.0</v>
      </c>
      <c r="C240" s="16">
        <v>2.0</v>
      </c>
      <c r="D240" s="16">
        <v>1.0</v>
      </c>
      <c r="E240" s="16">
        <v>0.0</v>
      </c>
      <c r="F240" s="16">
        <v>0.0</v>
      </c>
      <c r="G240" s="18">
        <v>0.5</v>
      </c>
      <c r="H240" s="16" t="s">
        <v>265</v>
      </c>
      <c r="I240" s="19">
        <f t="shared" si="1"/>
        <v>4</v>
      </c>
      <c r="J240" s="19">
        <f t="shared" si="2"/>
        <v>0</v>
      </c>
    </row>
    <row r="241" ht="22.5" customHeight="1">
      <c r="A241" s="16">
        <v>4.0</v>
      </c>
      <c r="B241" s="16">
        <v>16.0</v>
      </c>
      <c r="C241" s="16">
        <v>3.0</v>
      </c>
      <c r="D241" s="16">
        <v>1.0</v>
      </c>
      <c r="E241" s="16">
        <v>0.25</v>
      </c>
      <c r="F241" s="16">
        <v>0.0</v>
      </c>
      <c r="G241" s="20">
        <v>0.667</v>
      </c>
      <c r="H241" s="16" t="s">
        <v>266</v>
      </c>
      <c r="I241" s="19">
        <f t="shared" si="1"/>
        <v>4</v>
      </c>
      <c r="J241" s="19">
        <f t="shared" si="2"/>
        <v>1</v>
      </c>
    </row>
    <row r="242" ht="22.5" customHeight="1">
      <c r="A242" s="16">
        <v>1.0</v>
      </c>
      <c r="B242" s="16">
        <v>3.0</v>
      </c>
      <c r="C242" s="16">
        <v>3.0</v>
      </c>
      <c r="D242" s="16">
        <v>12.0</v>
      </c>
      <c r="E242" s="16">
        <v>0.0</v>
      </c>
      <c r="F242" s="16">
        <v>0.0</v>
      </c>
      <c r="G242" s="18">
        <v>1.0</v>
      </c>
      <c r="H242" s="16" t="s">
        <v>93</v>
      </c>
      <c r="I242" s="19">
        <f t="shared" si="1"/>
        <v>12</v>
      </c>
      <c r="J242" s="19">
        <f t="shared" si="2"/>
        <v>0</v>
      </c>
    </row>
    <row r="243" ht="22.5" customHeight="1">
      <c r="A243" s="16">
        <v>4.0</v>
      </c>
      <c r="B243" s="16">
        <v>16.0</v>
      </c>
      <c r="C243" s="16">
        <v>8.0</v>
      </c>
      <c r="D243" s="16">
        <v>6.0</v>
      </c>
      <c r="E243" s="16">
        <v>0.0</v>
      </c>
      <c r="F243" s="16">
        <v>0.0</v>
      </c>
      <c r="G243" s="18">
        <v>0.75</v>
      </c>
      <c r="H243" s="16" t="s">
        <v>93</v>
      </c>
      <c r="I243" s="19">
        <f t="shared" si="1"/>
        <v>24</v>
      </c>
      <c r="J243" s="19">
        <f t="shared" si="2"/>
        <v>0</v>
      </c>
    </row>
    <row r="244" ht="22.5" customHeight="1">
      <c r="A244" s="16">
        <v>1.0</v>
      </c>
      <c r="B244" s="16">
        <v>4.0</v>
      </c>
      <c r="C244" s="16">
        <v>1.0</v>
      </c>
      <c r="D244" s="16">
        <v>4.0</v>
      </c>
      <c r="E244" s="16">
        <v>0.0</v>
      </c>
      <c r="F244" s="16">
        <v>0.0</v>
      </c>
      <c r="G244" s="18">
        <v>1.0</v>
      </c>
      <c r="H244" s="16" t="s">
        <v>268</v>
      </c>
      <c r="I244" s="19">
        <f t="shared" si="1"/>
        <v>4</v>
      </c>
      <c r="J244" s="19">
        <f t="shared" si="2"/>
        <v>0</v>
      </c>
    </row>
    <row r="245" ht="22.5" customHeight="1">
      <c r="A245" s="16">
        <v>4.0</v>
      </c>
      <c r="B245" s="16">
        <v>15.0</v>
      </c>
      <c r="C245" s="16">
        <v>6.0</v>
      </c>
      <c r="D245" s="16">
        <v>1.0</v>
      </c>
      <c r="E245" s="16">
        <v>0.25</v>
      </c>
      <c r="F245" s="16">
        <v>0.0</v>
      </c>
      <c r="G245" s="20">
        <v>0.333</v>
      </c>
      <c r="H245" s="16" t="s">
        <v>80</v>
      </c>
      <c r="I245" s="19">
        <f t="shared" si="1"/>
        <v>4</v>
      </c>
      <c r="J245" s="19">
        <f t="shared" si="2"/>
        <v>1</v>
      </c>
    </row>
    <row r="246" ht="22.5" customHeight="1">
      <c r="A246" s="16">
        <v>1.0</v>
      </c>
      <c r="B246" s="16">
        <v>3.0</v>
      </c>
      <c r="C246" s="16">
        <v>0.0</v>
      </c>
      <c r="D246" s="16">
        <v>0.0</v>
      </c>
      <c r="E246" s="16">
        <v>0.0</v>
      </c>
      <c r="F246" s="16">
        <v>0.0</v>
      </c>
      <c r="G246" s="18">
        <v>0.0</v>
      </c>
      <c r="H246" s="16" t="s">
        <v>221</v>
      </c>
      <c r="I246" s="19">
        <f t="shared" si="1"/>
        <v>0</v>
      </c>
      <c r="J246" s="19">
        <f t="shared" si="2"/>
        <v>0</v>
      </c>
    </row>
    <row r="247" ht="22.5" customHeight="1">
      <c r="A247" s="16">
        <v>3.0</v>
      </c>
      <c r="B247" s="16">
        <v>12.0</v>
      </c>
      <c r="C247" s="16">
        <v>0.0</v>
      </c>
      <c r="D247" s="16">
        <v>0.0</v>
      </c>
      <c r="E247" s="16">
        <v>0.0</v>
      </c>
      <c r="F247" s="16">
        <v>0.0</v>
      </c>
      <c r="G247" s="18">
        <v>0.0</v>
      </c>
      <c r="H247" s="16" t="s">
        <v>221</v>
      </c>
      <c r="I247" s="19">
        <f t="shared" si="1"/>
        <v>0</v>
      </c>
      <c r="J247" s="19">
        <f t="shared" si="2"/>
        <v>0</v>
      </c>
    </row>
    <row r="248" ht="22.5" customHeight="1">
      <c r="A248" s="16">
        <v>1.0</v>
      </c>
      <c r="B248" s="16">
        <v>4.0</v>
      </c>
      <c r="C248" s="16">
        <v>0.0</v>
      </c>
      <c r="D248" s="16">
        <v>0.0</v>
      </c>
      <c r="E248" s="16">
        <v>0.0</v>
      </c>
      <c r="F248" s="16">
        <v>0.0</v>
      </c>
      <c r="G248" s="18">
        <v>0.0</v>
      </c>
      <c r="H248" s="16" t="s">
        <v>270</v>
      </c>
      <c r="I248" s="19">
        <f t="shared" si="1"/>
        <v>0</v>
      </c>
      <c r="J248" s="19">
        <f t="shared" si="2"/>
        <v>0</v>
      </c>
    </row>
    <row r="249" ht="22.5" customHeight="1">
      <c r="A249" s="16">
        <v>1.0</v>
      </c>
      <c r="B249" s="16">
        <v>4.0</v>
      </c>
      <c r="C249" s="16">
        <v>1.0</v>
      </c>
      <c r="D249" s="16">
        <v>0.0</v>
      </c>
      <c r="E249" s="16">
        <v>0.0</v>
      </c>
      <c r="F249" s="16">
        <v>0.0</v>
      </c>
      <c r="G249" s="18">
        <v>0.0</v>
      </c>
      <c r="H249" s="16" t="s">
        <v>270</v>
      </c>
      <c r="I249" s="19">
        <f t="shared" si="1"/>
        <v>0</v>
      </c>
      <c r="J249" s="19">
        <f t="shared" si="2"/>
        <v>0</v>
      </c>
    </row>
    <row r="250" ht="22.5" customHeight="1">
      <c r="A250" s="16">
        <v>1.0</v>
      </c>
      <c r="B250" s="16">
        <v>3.0</v>
      </c>
      <c r="C250" s="16">
        <v>1.0</v>
      </c>
      <c r="D250" s="16">
        <v>4.0</v>
      </c>
      <c r="E250" s="16">
        <v>0.0</v>
      </c>
      <c r="F250" s="16">
        <v>0.0</v>
      </c>
      <c r="G250" s="18">
        <v>1.0</v>
      </c>
      <c r="H250" s="16" t="s">
        <v>228</v>
      </c>
      <c r="I250" s="19">
        <f t="shared" si="1"/>
        <v>4</v>
      </c>
      <c r="J250" s="19">
        <f t="shared" si="2"/>
        <v>0</v>
      </c>
    </row>
    <row r="251" ht="22.5" customHeight="1">
      <c r="A251" s="16">
        <v>4.0</v>
      </c>
      <c r="B251" s="16">
        <v>16.0</v>
      </c>
      <c r="C251" s="16">
        <v>3.0</v>
      </c>
      <c r="D251" s="16">
        <v>1.0</v>
      </c>
      <c r="E251" s="16">
        <v>0.0</v>
      </c>
      <c r="F251" s="16">
        <v>0.0</v>
      </c>
      <c r="G251" s="20">
        <v>0.333</v>
      </c>
      <c r="H251" s="16" t="s">
        <v>228</v>
      </c>
      <c r="I251" s="19">
        <f t="shared" si="1"/>
        <v>4</v>
      </c>
      <c r="J251" s="19">
        <f t="shared" si="2"/>
        <v>0</v>
      </c>
    </row>
    <row r="252" ht="22.5" customHeight="1">
      <c r="A252" s="16">
        <v>1.0</v>
      </c>
      <c r="B252" s="16">
        <v>3.0</v>
      </c>
      <c r="C252" s="16">
        <v>1.0</v>
      </c>
      <c r="D252" s="16">
        <v>0.0</v>
      </c>
      <c r="E252" s="16">
        <v>0.0</v>
      </c>
      <c r="F252" s="16">
        <v>0.0</v>
      </c>
      <c r="G252" s="18">
        <v>0.0</v>
      </c>
      <c r="H252" s="16" t="s">
        <v>273</v>
      </c>
      <c r="I252" s="19">
        <f t="shared" si="1"/>
        <v>0</v>
      </c>
      <c r="J252" s="19">
        <f t="shared" si="2"/>
        <v>0</v>
      </c>
    </row>
    <row r="253" ht="22.5" customHeight="1">
      <c r="A253" s="16">
        <v>3.0</v>
      </c>
      <c r="B253" s="16">
        <v>12.0</v>
      </c>
      <c r="C253" s="16">
        <v>2.0</v>
      </c>
      <c r="D253" s="16">
        <v>1.33</v>
      </c>
      <c r="E253" s="16">
        <v>0.0</v>
      </c>
      <c r="F253" s="16">
        <v>0.0</v>
      </c>
      <c r="G253" s="18">
        <v>0.5</v>
      </c>
      <c r="H253" s="16" t="s">
        <v>273</v>
      </c>
      <c r="I253" s="19">
        <f t="shared" si="1"/>
        <v>4</v>
      </c>
      <c r="J253" s="19">
        <f t="shared" si="2"/>
        <v>0</v>
      </c>
    </row>
    <row r="254" ht="22.5" customHeight="1">
      <c r="A254" s="16">
        <v>1.0</v>
      </c>
      <c r="B254" s="16">
        <v>4.0</v>
      </c>
      <c r="C254" s="16">
        <v>0.0</v>
      </c>
      <c r="D254" s="16">
        <v>0.0</v>
      </c>
      <c r="E254" s="16">
        <v>0.0</v>
      </c>
      <c r="F254" s="16">
        <v>0.0</v>
      </c>
      <c r="G254" s="18">
        <v>0.0</v>
      </c>
      <c r="H254" s="16" t="s">
        <v>273</v>
      </c>
      <c r="I254" s="19">
        <f t="shared" si="1"/>
        <v>0</v>
      </c>
      <c r="J254" s="19">
        <f t="shared" si="2"/>
        <v>0</v>
      </c>
    </row>
    <row r="255" ht="22.5" customHeight="1">
      <c r="A255" s="16">
        <v>1.0</v>
      </c>
      <c r="B255" s="16">
        <v>3.0</v>
      </c>
      <c r="C255" s="16">
        <v>0.0</v>
      </c>
      <c r="D255" s="16">
        <v>0.0</v>
      </c>
      <c r="E255" s="16">
        <v>0.0</v>
      </c>
      <c r="F255" s="16">
        <v>0.0</v>
      </c>
      <c r="G255" s="18">
        <v>0.0</v>
      </c>
      <c r="H255" s="16" t="s">
        <v>275</v>
      </c>
      <c r="I255" s="19">
        <f t="shared" si="1"/>
        <v>0</v>
      </c>
      <c r="J255" s="19">
        <f t="shared" si="2"/>
        <v>0</v>
      </c>
    </row>
    <row r="256" ht="22.5" customHeight="1">
      <c r="A256" s="16">
        <v>3.0</v>
      </c>
      <c r="B256" s="16">
        <v>12.0</v>
      </c>
      <c r="C256" s="16">
        <v>4.0</v>
      </c>
      <c r="D256" s="16">
        <v>1.33</v>
      </c>
      <c r="E256" s="16">
        <v>0.0</v>
      </c>
      <c r="F256" s="16">
        <v>0.0</v>
      </c>
      <c r="G256" s="18">
        <v>0.25</v>
      </c>
      <c r="H256" s="16" t="s">
        <v>275</v>
      </c>
      <c r="I256" s="19">
        <f t="shared" si="1"/>
        <v>4</v>
      </c>
      <c r="J256" s="19">
        <f t="shared" si="2"/>
        <v>0</v>
      </c>
    </row>
    <row r="257" ht="22.5" customHeight="1">
      <c r="A257" s="16">
        <v>2.0</v>
      </c>
      <c r="B257" s="16">
        <v>7.0</v>
      </c>
      <c r="C257" s="16">
        <v>1.0</v>
      </c>
      <c r="D257" s="16">
        <v>2.0</v>
      </c>
      <c r="E257" s="16">
        <v>0.0</v>
      </c>
      <c r="F257" s="16">
        <v>0.0</v>
      </c>
      <c r="G257" s="18">
        <v>1.0</v>
      </c>
      <c r="H257" s="16" t="s">
        <v>276</v>
      </c>
      <c r="I257" s="19">
        <f t="shared" si="1"/>
        <v>4</v>
      </c>
      <c r="J257" s="19">
        <f t="shared" si="2"/>
        <v>0</v>
      </c>
    </row>
    <row r="258" ht="22.5" customHeight="1">
      <c r="A258" s="16">
        <v>2.0</v>
      </c>
      <c r="B258" s="16">
        <v>8.0</v>
      </c>
      <c r="C258" s="16">
        <v>0.0</v>
      </c>
      <c r="D258" s="16">
        <v>0.0</v>
      </c>
      <c r="E258" s="16">
        <v>0.0</v>
      </c>
      <c r="F258" s="16">
        <v>0.0</v>
      </c>
      <c r="G258" s="18">
        <v>0.0</v>
      </c>
      <c r="H258" s="16" t="s">
        <v>276</v>
      </c>
      <c r="I258" s="19">
        <f t="shared" si="1"/>
        <v>0</v>
      </c>
      <c r="J258" s="19">
        <f t="shared" si="2"/>
        <v>0</v>
      </c>
    </row>
    <row r="259" ht="22.5" customHeight="1">
      <c r="A259" s="16">
        <v>1.0</v>
      </c>
      <c r="B259" s="16">
        <v>4.0</v>
      </c>
      <c r="C259" s="16">
        <v>1.0</v>
      </c>
      <c r="D259" s="16">
        <v>0.0</v>
      </c>
      <c r="E259" s="16">
        <v>0.0</v>
      </c>
      <c r="F259" s="16">
        <v>0.0</v>
      </c>
      <c r="G259" s="18">
        <v>0.0</v>
      </c>
      <c r="H259" s="16" t="s">
        <v>277</v>
      </c>
      <c r="I259" s="19">
        <f t="shared" si="1"/>
        <v>0</v>
      </c>
      <c r="J259" s="19">
        <f t="shared" si="2"/>
        <v>0</v>
      </c>
    </row>
    <row r="260" ht="22.5" customHeight="1">
      <c r="A260" s="16">
        <v>4.0</v>
      </c>
      <c r="B260" s="16">
        <v>16.0</v>
      </c>
      <c r="C260" s="16">
        <v>4.0</v>
      </c>
      <c r="D260" s="16">
        <v>-1.0</v>
      </c>
      <c r="E260" s="16">
        <v>0.25</v>
      </c>
      <c r="F260" s="16">
        <v>0.0</v>
      </c>
      <c r="G260" s="18">
        <v>0.0</v>
      </c>
      <c r="H260" s="16" t="s">
        <v>277</v>
      </c>
      <c r="I260" s="19">
        <f t="shared" si="1"/>
        <v>-4</v>
      </c>
      <c r="J260" s="19">
        <f t="shared" si="2"/>
        <v>1</v>
      </c>
    </row>
    <row r="261" ht="22.5" customHeight="1">
      <c r="A261" s="16">
        <v>1.0</v>
      </c>
      <c r="B261" s="16">
        <v>4.0</v>
      </c>
      <c r="C261" s="16">
        <v>0.0</v>
      </c>
      <c r="D261" s="16">
        <v>0.0</v>
      </c>
      <c r="E261" s="16">
        <v>0.0</v>
      </c>
      <c r="F261" s="16">
        <v>0.0</v>
      </c>
      <c r="G261" s="18">
        <v>0.0</v>
      </c>
      <c r="H261" s="16" t="s">
        <v>172</v>
      </c>
      <c r="I261" s="19">
        <f t="shared" si="1"/>
        <v>0</v>
      </c>
      <c r="J261" s="19">
        <f t="shared" si="2"/>
        <v>0</v>
      </c>
    </row>
    <row r="262" ht="22.5" customHeight="1">
      <c r="A262" s="16">
        <v>3.0</v>
      </c>
      <c r="B262" s="16">
        <v>12.0</v>
      </c>
      <c r="C262" s="16">
        <v>1.0</v>
      </c>
      <c r="D262" s="16">
        <v>1.33</v>
      </c>
      <c r="E262" s="16">
        <v>0.0</v>
      </c>
      <c r="F262" s="16">
        <v>0.0</v>
      </c>
      <c r="G262" s="18">
        <v>1.0</v>
      </c>
      <c r="H262" s="16" t="s">
        <v>172</v>
      </c>
      <c r="I262" s="19">
        <f t="shared" si="1"/>
        <v>4</v>
      </c>
      <c r="J262" s="19">
        <f t="shared" si="2"/>
        <v>0</v>
      </c>
    </row>
    <row r="263" ht="22.5" customHeight="1">
      <c r="A263" s="16">
        <v>1.0</v>
      </c>
      <c r="B263" s="16">
        <v>4.0</v>
      </c>
      <c r="C263" s="16">
        <v>1.0</v>
      </c>
      <c r="D263" s="16">
        <v>-4.0</v>
      </c>
      <c r="E263" s="16">
        <v>1.0</v>
      </c>
      <c r="F263" s="16">
        <v>0.0</v>
      </c>
      <c r="G263" s="18">
        <v>0.0</v>
      </c>
      <c r="H263" s="16" t="s">
        <v>279</v>
      </c>
      <c r="I263" s="19">
        <f t="shared" si="1"/>
        <v>-4</v>
      </c>
      <c r="J263" s="19">
        <f t="shared" si="2"/>
        <v>1</v>
      </c>
    </row>
    <row r="264" ht="22.5" customHeight="1">
      <c r="A264" s="16">
        <v>4.0</v>
      </c>
      <c r="B264" s="16">
        <v>16.0</v>
      </c>
      <c r="C264" s="16">
        <v>2.0</v>
      </c>
      <c r="D264" s="16">
        <v>2.0</v>
      </c>
      <c r="E264" s="16">
        <v>0.0</v>
      </c>
      <c r="F264" s="16">
        <v>0.0</v>
      </c>
      <c r="G264" s="18">
        <v>1.0</v>
      </c>
      <c r="H264" s="16" t="s">
        <v>279</v>
      </c>
      <c r="I264" s="19">
        <f t="shared" si="1"/>
        <v>8</v>
      </c>
      <c r="J264" s="19">
        <f t="shared" si="2"/>
        <v>0</v>
      </c>
    </row>
    <row r="265" ht="22.5" customHeight="1">
      <c r="A265" s="16">
        <v>1.0</v>
      </c>
      <c r="B265" s="16">
        <v>4.0</v>
      </c>
      <c r="C265" s="16">
        <v>1.0</v>
      </c>
      <c r="D265" s="16">
        <v>-4.0</v>
      </c>
      <c r="E265" s="16">
        <v>1.0</v>
      </c>
      <c r="F265" s="16">
        <v>0.0</v>
      </c>
      <c r="G265" s="18">
        <v>0.0</v>
      </c>
      <c r="H265" s="16" t="s">
        <v>280</v>
      </c>
      <c r="I265" s="19">
        <f t="shared" si="1"/>
        <v>-4</v>
      </c>
      <c r="J265" s="19">
        <f t="shared" si="2"/>
        <v>1</v>
      </c>
    </row>
    <row r="266" ht="22.5" customHeight="1">
      <c r="A266" s="16">
        <v>1.0</v>
      </c>
      <c r="B266" s="16">
        <v>4.0</v>
      </c>
      <c r="C266" s="16">
        <v>2.0</v>
      </c>
      <c r="D266" s="16">
        <v>8.0</v>
      </c>
      <c r="E266" s="16">
        <v>0.0</v>
      </c>
      <c r="F266" s="16">
        <v>0.0</v>
      </c>
      <c r="G266" s="18">
        <v>1.0</v>
      </c>
      <c r="H266" s="16" t="s">
        <v>281</v>
      </c>
      <c r="I266" s="19">
        <f t="shared" si="1"/>
        <v>8</v>
      </c>
      <c r="J266" s="19">
        <f t="shared" si="2"/>
        <v>0</v>
      </c>
    </row>
    <row r="267" ht="22.5" customHeight="1">
      <c r="A267" s="16">
        <v>4.0</v>
      </c>
      <c r="B267" s="16">
        <v>16.0</v>
      </c>
      <c r="C267" s="16">
        <v>4.0</v>
      </c>
      <c r="D267" s="16">
        <v>1.0</v>
      </c>
      <c r="E267" s="16">
        <v>0.25</v>
      </c>
      <c r="F267" s="16">
        <v>0.0</v>
      </c>
      <c r="G267" s="18">
        <v>0.5</v>
      </c>
      <c r="H267" s="16" t="s">
        <v>281</v>
      </c>
      <c r="I267" s="19">
        <f t="shared" si="1"/>
        <v>4</v>
      </c>
      <c r="J267" s="19">
        <f t="shared" si="2"/>
        <v>1</v>
      </c>
    </row>
    <row r="268" ht="22.5" customHeight="1">
      <c r="A268" s="16">
        <v>2.0</v>
      </c>
      <c r="B268" s="16">
        <v>8.0</v>
      </c>
      <c r="C268" s="16">
        <v>3.0</v>
      </c>
      <c r="D268" s="16">
        <v>6.0</v>
      </c>
      <c r="E268" s="16">
        <v>0.0</v>
      </c>
      <c r="F268" s="16">
        <v>0.0</v>
      </c>
      <c r="G268" s="18">
        <v>1.0</v>
      </c>
      <c r="H268" s="16" t="s">
        <v>282</v>
      </c>
      <c r="I268" s="19">
        <f t="shared" si="1"/>
        <v>12</v>
      </c>
      <c r="J268" s="19">
        <f t="shared" si="2"/>
        <v>0</v>
      </c>
    </row>
    <row r="269" ht="22.5" customHeight="1">
      <c r="A269" s="16">
        <v>1.0</v>
      </c>
      <c r="B269" s="16">
        <v>4.0</v>
      </c>
      <c r="C269" s="16">
        <v>1.0</v>
      </c>
      <c r="D269" s="16">
        <v>0.0</v>
      </c>
      <c r="E269" s="16">
        <v>0.0</v>
      </c>
      <c r="F269" s="16">
        <v>0.0</v>
      </c>
      <c r="G269" s="18">
        <v>0.0</v>
      </c>
      <c r="H269" s="16" t="s">
        <v>282</v>
      </c>
      <c r="I269" s="19">
        <f t="shared" si="1"/>
        <v>0</v>
      </c>
      <c r="J269" s="19">
        <f t="shared" si="2"/>
        <v>0</v>
      </c>
    </row>
    <row r="270" ht="22.5" customHeight="1">
      <c r="A270" s="16">
        <v>3.0</v>
      </c>
      <c r="B270" s="16">
        <v>12.0</v>
      </c>
      <c r="C270" s="16">
        <v>0.0</v>
      </c>
      <c r="D270" s="16">
        <v>0.0</v>
      </c>
      <c r="E270" s="16">
        <v>0.0</v>
      </c>
      <c r="F270" s="16">
        <v>0.0</v>
      </c>
      <c r="G270" s="18">
        <v>0.0</v>
      </c>
      <c r="H270" s="16" t="s">
        <v>283</v>
      </c>
      <c r="I270" s="19">
        <f t="shared" si="1"/>
        <v>0</v>
      </c>
      <c r="J270" s="19">
        <f t="shared" si="2"/>
        <v>0</v>
      </c>
    </row>
    <row r="271" ht="22.5" customHeight="1">
      <c r="A271" s="16">
        <v>1.0</v>
      </c>
      <c r="B271" s="16">
        <v>4.0</v>
      </c>
      <c r="C271" s="16">
        <v>0.0</v>
      </c>
      <c r="D271" s="16">
        <v>0.0</v>
      </c>
      <c r="E271" s="16">
        <v>0.0</v>
      </c>
      <c r="F271" s="16">
        <v>0.0</v>
      </c>
      <c r="G271" s="18">
        <v>0.0</v>
      </c>
      <c r="H271" s="16" t="s">
        <v>283</v>
      </c>
      <c r="I271" s="19">
        <f t="shared" si="1"/>
        <v>0</v>
      </c>
      <c r="J271" s="19">
        <f t="shared" si="2"/>
        <v>0</v>
      </c>
    </row>
    <row r="272" ht="22.5" customHeight="1">
      <c r="A272" s="16">
        <v>1.0</v>
      </c>
      <c r="B272" s="16">
        <v>4.0</v>
      </c>
      <c r="C272" s="16">
        <v>0.0</v>
      </c>
      <c r="D272" s="16">
        <v>0.0</v>
      </c>
      <c r="E272" s="16">
        <v>0.0</v>
      </c>
      <c r="F272" s="16">
        <v>0.0</v>
      </c>
      <c r="G272" s="18">
        <v>0.0</v>
      </c>
      <c r="H272" s="16" t="s">
        <v>284</v>
      </c>
      <c r="I272" s="19">
        <f t="shared" si="1"/>
        <v>0</v>
      </c>
      <c r="J272" s="19">
        <f t="shared" si="2"/>
        <v>0</v>
      </c>
    </row>
    <row r="273" ht="22.5" customHeight="1">
      <c r="A273" s="16">
        <v>1.0</v>
      </c>
      <c r="B273" s="16">
        <v>4.0</v>
      </c>
      <c r="C273" s="16">
        <v>0.0</v>
      </c>
      <c r="D273" s="16">
        <v>0.0</v>
      </c>
      <c r="E273" s="16">
        <v>0.0</v>
      </c>
      <c r="F273" s="16">
        <v>0.0</v>
      </c>
      <c r="G273" s="18">
        <v>0.0</v>
      </c>
      <c r="H273" s="16" t="s">
        <v>284</v>
      </c>
      <c r="I273" s="19">
        <f t="shared" si="1"/>
        <v>0</v>
      </c>
      <c r="J273" s="19">
        <f t="shared" si="2"/>
        <v>0</v>
      </c>
    </row>
    <row r="274" ht="22.5" customHeight="1">
      <c r="A274" s="16">
        <v>1.0</v>
      </c>
      <c r="B274" s="16">
        <v>3.0</v>
      </c>
      <c r="C274" s="16">
        <v>3.0</v>
      </c>
      <c r="D274" s="16">
        <v>4.0</v>
      </c>
      <c r="E274" s="16">
        <v>1.0</v>
      </c>
      <c r="F274" s="16">
        <v>0.0</v>
      </c>
      <c r="G274" s="20">
        <v>0.667</v>
      </c>
      <c r="H274" s="16" t="s">
        <v>52</v>
      </c>
      <c r="I274" s="19">
        <f t="shared" si="1"/>
        <v>4</v>
      </c>
      <c r="J274" s="19">
        <f t="shared" si="2"/>
        <v>1</v>
      </c>
    </row>
    <row r="275" ht="22.5" customHeight="1">
      <c r="A275" s="16">
        <v>3.0</v>
      </c>
      <c r="B275" s="16">
        <v>12.0</v>
      </c>
      <c r="C275" s="16">
        <v>6.0</v>
      </c>
      <c r="D275" s="16">
        <v>1.33</v>
      </c>
      <c r="E275" s="16">
        <v>0.67</v>
      </c>
      <c r="F275" s="16">
        <v>0.0</v>
      </c>
      <c r="G275" s="18">
        <v>0.5</v>
      </c>
      <c r="H275" s="16" t="s">
        <v>52</v>
      </c>
      <c r="I275" s="19">
        <f t="shared" si="1"/>
        <v>4</v>
      </c>
      <c r="J275" s="19">
        <f t="shared" si="2"/>
        <v>2</v>
      </c>
    </row>
    <row r="276" ht="22.5" customHeight="1">
      <c r="A276" s="16">
        <v>1.0</v>
      </c>
      <c r="B276" s="16">
        <v>4.0</v>
      </c>
      <c r="C276" s="16">
        <v>2.0</v>
      </c>
      <c r="D276" s="16">
        <v>8.0</v>
      </c>
      <c r="E276" s="16">
        <v>0.0</v>
      </c>
      <c r="F276" s="16">
        <v>0.0</v>
      </c>
      <c r="G276" s="18">
        <v>1.0</v>
      </c>
      <c r="H276" s="16" t="s">
        <v>52</v>
      </c>
      <c r="I276" s="19">
        <f t="shared" si="1"/>
        <v>8</v>
      </c>
      <c r="J276" s="19">
        <f t="shared" si="2"/>
        <v>0</v>
      </c>
    </row>
    <row r="277" ht="22.5" customHeight="1">
      <c r="A277" s="16">
        <v>1.0</v>
      </c>
      <c r="B277" s="16">
        <v>4.0</v>
      </c>
      <c r="C277" s="16">
        <v>1.0</v>
      </c>
      <c r="D277" s="16">
        <v>4.0</v>
      </c>
      <c r="E277" s="16">
        <v>0.0</v>
      </c>
      <c r="F277" s="16">
        <v>0.0</v>
      </c>
      <c r="G277" s="18">
        <v>1.0</v>
      </c>
      <c r="H277" s="16" t="s">
        <v>223</v>
      </c>
      <c r="I277" s="19">
        <f t="shared" si="1"/>
        <v>4</v>
      </c>
      <c r="J277" s="19">
        <f t="shared" si="2"/>
        <v>0</v>
      </c>
    </row>
    <row r="278" ht="22.5" customHeight="1">
      <c r="A278" s="16">
        <v>1.0</v>
      </c>
      <c r="B278" s="16">
        <v>4.0</v>
      </c>
      <c r="C278" s="16">
        <v>2.0</v>
      </c>
      <c r="D278" s="16">
        <v>0.0</v>
      </c>
      <c r="E278" s="16">
        <v>1.0</v>
      </c>
      <c r="F278" s="16">
        <v>0.0</v>
      </c>
      <c r="G278" s="18">
        <v>0.5</v>
      </c>
      <c r="H278" s="16" t="s">
        <v>223</v>
      </c>
      <c r="I278" s="19">
        <f t="shared" si="1"/>
        <v>0</v>
      </c>
      <c r="J278" s="19">
        <f t="shared" si="2"/>
        <v>1</v>
      </c>
    </row>
    <row r="279" ht="22.5" customHeight="1">
      <c r="A279" s="16">
        <v>1.0</v>
      </c>
      <c r="B279" s="16">
        <v>4.0</v>
      </c>
      <c r="C279" s="16">
        <v>0.0</v>
      </c>
      <c r="D279" s="16">
        <v>0.0</v>
      </c>
      <c r="E279" s="16">
        <v>0.0</v>
      </c>
      <c r="F279" s="16">
        <v>0.0</v>
      </c>
      <c r="G279" s="18">
        <v>0.0</v>
      </c>
      <c r="H279" s="16" t="s">
        <v>223</v>
      </c>
      <c r="I279" s="19">
        <f t="shared" si="1"/>
        <v>0</v>
      </c>
      <c r="J279" s="19">
        <f t="shared" si="2"/>
        <v>0</v>
      </c>
    </row>
    <row r="280" ht="22.5" customHeight="1">
      <c r="A280" s="16">
        <v>1.0</v>
      </c>
      <c r="B280" s="16">
        <v>3.0</v>
      </c>
      <c r="C280" s="16">
        <v>2.0</v>
      </c>
      <c r="D280" s="16">
        <v>4.0</v>
      </c>
      <c r="E280" s="16">
        <v>0.0</v>
      </c>
      <c r="F280" s="16">
        <v>0.0</v>
      </c>
      <c r="G280" s="18">
        <v>0.5</v>
      </c>
      <c r="H280" s="16" t="s">
        <v>223</v>
      </c>
      <c r="I280" s="19">
        <f t="shared" si="1"/>
        <v>4</v>
      </c>
      <c r="J280" s="19">
        <f t="shared" si="2"/>
        <v>0</v>
      </c>
    </row>
    <row r="281" ht="22.5" customHeight="1">
      <c r="A281" s="16">
        <v>1.0</v>
      </c>
      <c r="B281" s="16">
        <v>4.0</v>
      </c>
      <c r="C281" s="16">
        <v>2.0</v>
      </c>
      <c r="D281" s="16">
        <v>-8.0</v>
      </c>
      <c r="E281" s="16">
        <v>2.0</v>
      </c>
      <c r="F281" s="16">
        <v>0.0</v>
      </c>
      <c r="G281" s="18">
        <v>0.0</v>
      </c>
      <c r="H281" s="16" t="s">
        <v>207</v>
      </c>
      <c r="I281" s="19">
        <f t="shared" si="1"/>
        <v>-8</v>
      </c>
      <c r="J281" s="19">
        <f t="shared" si="2"/>
        <v>2</v>
      </c>
    </row>
    <row r="282" ht="22.5" customHeight="1">
      <c r="A282" s="16">
        <v>1.0</v>
      </c>
      <c r="B282" s="16">
        <v>4.0</v>
      </c>
      <c r="C282" s="16">
        <v>3.0</v>
      </c>
      <c r="D282" s="16">
        <v>4.0</v>
      </c>
      <c r="E282" s="16">
        <v>0.0</v>
      </c>
      <c r="F282" s="16">
        <v>0.0</v>
      </c>
      <c r="G282" s="20">
        <v>0.333</v>
      </c>
      <c r="H282" s="16" t="s">
        <v>207</v>
      </c>
      <c r="I282" s="19">
        <f t="shared" si="1"/>
        <v>4</v>
      </c>
      <c r="J282" s="19">
        <f t="shared" si="2"/>
        <v>0</v>
      </c>
    </row>
    <row r="283" ht="22.5" customHeight="1">
      <c r="A283" s="16">
        <v>1.0</v>
      </c>
      <c r="B283" s="16">
        <v>4.0</v>
      </c>
      <c r="C283" s="16">
        <v>0.0</v>
      </c>
      <c r="D283" s="16">
        <v>0.0</v>
      </c>
      <c r="E283" s="16">
        <v>0.0</v>
      </c>
      <c r="F283" s="16">
        <v>0.0</v>
      </c>
      <c r="G283" s="18">
        <v>0.0</v>
      </c>
      <c r="H283" s="16" t="s">
        <v>207</v>
      </c>
      <c r="I283" s="19">
        <f t="shared" si="1"/>
        <v>0</v>
      </c>
      <c r="J283" s="19">
        <f t="shared" si="2"/>
        <v>0</v>
      </c>
    </row>
    <row r="284" ht="22.5" customHeight="1">
      <c r="A284" s="16">
        <v>2.0</v>
      </c>
      <c r="B284" s="16">
        <v>7.0</v>
      </c>
      <c r="C284" s="16">
        <v>3.0</v>
      </c>
      <c r="D284" s="16">
        <v>-4.0</v>
      </c>
      <c r="E284" s="16">
        <v>1.0</v>
      </c>
      <c r="F284" s="16">
        <v>0.0</v>
      </c>
      <c r="G284" s="18">
        <v>0.0</v>
      </c>
      <c r="H284" s="16" t="s">
        <v>207</v>
      </c>
      <c r="I284" s="19">
        <f t="shared" si="1"/>
        <v>-8</v>
      </c>
      <c r="J284" s="19">
        <f t="shared" si="2"/>
        <v>2</v>
      </c>
    </row>
    <row r="285" ht="22.5" customHeight="1">
      <c r="A285" s="16">
        <v>1.0</v>
      </c>
      <c r="B285" s="16">
        <v>4.0</v>
      </c>
      <c r="C285" s="16">
        <v>1.0</v>
      </c>
      <c r="D285" s="16">
        <v>-4.0</v>
      </c>
      <c r="E285" s="16">
        <v>1.0</v>
      </c>
      <c r="F285" s="16">
        <v>0.0</v>
      </c>
      <c r="G285" s="18">
        <v>0.0</v>
      </c>
      <c r="H285" s="16" t="s">
        <v>288</v>
      </c>
      <c r="I285" s="19">
        <f t="shared" si="1"/>
        <v>-4</v>
      </c>
      <c r="J285" s="19">
        <f t="shared" si="2"/>
        <v>1</v>
      </c>
    </row>
    <row r="286" ht="22.5" customHeight="1">
      <c r="A286" s="16">
        <v>1.0</v>
      </c>
      <c r="B286" s="16">
        <v>4.0</v>
      </c>
      <c r="C286" s="16">
        <v>0.0</v>
      </c>
      <c r="D286" s="16">
        <v>0.0</v>
      </c>
      <c r="E286" s="16">
        <v>0.0</v>
      </c>
      <c r="F286" s="16">
        <v>0.0</v>
      </c>
      <c r="G286" s="18">
        <v>0.0</v>
      </c>
      <c r="H286" s="16" t="s">
        <v>245</v>
      </c>
      <c r="I286" s="19">
        <f t="shared" si="1"/>
        <v>0</v>
      </c>
      <c r="J286" s="19">
        <f t="shared" si="2"/>
        <v>0</v>
      </c>
    </row>
    <row r="287" ht="22.5" customHeight="1">
      <c r="A287" s="16">
        <v>1.0</v>
      </c>
      <c r="B287" s="16">
        <v>4.0</v>
      </c>
      <c r="C287" s="16">
        <v>1.0</v>
      </c>
      <c r="D287" s="16">
        <v>4.0</v>
      </c>
      <c r="E287" s="16">
        <v>0.0</v>
      </c>
      <c r="F287" s="16">
        <v>0.0</v>
      </c>
      <c r="G287" s="18">
        <v>1.0</v>
      </c>
      <c r="H287" s="16" t="s">
        <v>245</v>
      </c>
      <c r="I287" s="19">
        <f t="shared" si="1"/>
        <v>4</v>
      </c>
      <c r="J287" s="19">
        <f t="shared" si="2"/>
        <v>0</v>
      </c>
    </row>
    <row r="288" ht="22.5" customHeight="1">
      <c r="A288" s="16">
        <v>1.0</v>
      </c>
      <c r="B288" s="16">
        <v>4.0</v>
      </c>
      <c r="C288" s="16">
        <v>2.0</v>
      </c>
      <c r="D288" s="16">
        <v>-4.0</v>
      </c>
      <c r="E288" s="16">
        <v>1.0</v>
      </c>
      <c r="F288" s="16">
        <v>0.0</v>
      </c>
      <c r="G288" s="18">
        <v>0.0</v>
      </c>
      <c r="H288" s="16" t="s">
        <v>245</v>
      </c>
      <c r="I288" s="19">
        <f t="shared" si="1"/>
        <v>-4</v>
      </c>
      <c r="J288" s="19">
        <f t="shared" si="2"/>
        <v>1</v>
      </c>
    </row>
    <row r="289" ht="22.5" customHeight="1">
      <c r="A289" s="16">
        <v>1.0</v>
      </c>
      <c r="B289" s="16">
        <v>4.0</v>
      </c>
      <c r="C289" s="16">
        <v>0.0</v>
      </c>
      <c r="D289" s="16">
        <v>0.0</v>
      </c>
      <c r="E289" s="16">
        <v>0.0</v>
      </c>
      <c r="F289" s="16">
        <v>0.0</v>
      </c>
      <c r="G289" s="18">
        <v>0.0</v>
      </c>
      <c r="H289" s="16" t="s">
        <v>290</v>
      </c>
      <c r="I289" s="19">
        <f t="shared" si="1"/>
        <v>0</v>
      </c>
      <c r="J289" s="19">
        <f t="shared" si="2"/>
        <v>0</v>
      </c>
    </row>
    <row r="290" ht="22.5" customHeight="1">
      <c r="A290" s="16">
        <v>4.0</v>
      </c>
      <c r="B290" s="16">
        <v>15.0</v>
      </c>
      <c r="C290" s="16">
        <v>5.0</v>
      </c>
      <c r="D290" s="16">
        <v>1.0</v>
      </c>
      <c r="E290" s="16">
        <v>0.0</v>
      </c>
      <c r="F290" s="16">
        <v>0.0</v>
      </c>
      <c r="G290" s="18">
        <v>0.2</v>
      </c>
      <c r="H290" s="16" t="s">
        <v>291</v>
      </c>
      <c r="I290" s="19">
        <f t="shared" si="1"/>
        <v>4</v>
      </c>
      <c r="J290" s="19">
        <f t="shared" si="2"/>
        <v>0</v>
      </c>
    </row>
    <row r="291" ht="22.5" customHeight="1">
      <c r="A291" s="16">
        <v>5.0</v>
      </c>
      <c r="B291" s="16">
        <v>19.0</v>
      </c>
      <c r="C291" s="16">
        <v>0.0</v>
      </c>
      <c r="D291" s="16">
        <v>0.0</v>
      </c>
      <c r="E291" s="16">
        <v>0.0</v>
      </c>
      <c r="F291" s="16">
        <v>0.0</v>
      </c>
      <c r="G291" s="18">
        <v>0.0</v>
      </c>
      <c r="H291" s="16" t="s">
        <v>267</v>
      </c>
      <c r="I291" s="19">
        <f t="shared" si="1"/>
        <v>0</v>
      </c>
      <c r="J291" s="19">
        <f t="shared" si="2"/>
        <v>0</v>
      </c>
    </row>
    <row r="292" ht="22.5" customHeight="1">
      <c r="A292" s="16">
        <v>5.0</v>
      </c>
      <c r="B292" s="16">
        <v>19.0</v>
      </c>
      <c r="C292" s="16">
        <v>11.0</v>
      </c>
      <c r="D292" s="16">
        <v>-0.8</v>
      </c>
      <c r="E292" s="16">
        <v>0.6</v>
      </c>
      <c r="F292" s="16">
        <v>0.0</v>
      </c>
      <c r="G292" s="20">
        <v>0.182</v>
      </c>
      <c r="H292" s="16" t="s">
        <v>98</v>
      </c>
      <c r="I292" s="19">
        <f t="shared" si="1"/>
        <v>-4</v>
      </c>
      <c r="J292" s="19">
        <f t="shared" si="2"/>
        <v>3</v>
      </c>
    </row>
    <row r="293" ht="22.5" customHeight="1">
      <c r="A293" s="16">
        <v>1.0</v>
      </c>
      <c r="B293" s="16">
        <v>4.0</v>
      </c>
      <c r="C293" s="16">
        <v>3.0</v>
      </c>
      <c r="D293" s="16">
        <v>-4.0</v>
      </c>
      <c r="E293" s="16">
        <v>2.0</v>
      </c>
      <c r="F293" s="16">
        <v>0.0</v>
      </c>
      <c r="G293" s="20">
        <v>0.333</v>
      </c>
      <c r="H293" s="16" t="s">
        <v>106</v>
      </c>
      <c r="I293" s="19">
        <f t="shared" si="1"/>
        <v>-4</v>
      </c>
      <c r="J293" s="19">
        <f t="shared" si="2"/>
        <v>2</v>
      </c>
    </row>
    <row r="294" ht="22.5" customHeight="1">
      <c r="A294" s="16">
        <v>3.0</v>
      </c>
      <c r="B294" s="16">
        <v>12.0</v>
      </c>
      <c r="C294" s="16">
        <v>12.0</v>
      </c>
      <c r="D294" s="16">
        <v>6.67</v>
      </c>
      <c r="E294" s="16">
        <v>0.33</v>
      </c>
      <c r="F294" s="16">
        <v>0.0</v>
      </c>
      <c r="G294" s="18">
        <v>0.5</v>
      </c>
      <c r="H294" s="16" t="s">
        <v>106</v>
      </c>
      <c r="I294" s="19">
        <f t="shared" si="1"/>
        <v>20</v>
      </c>
      <c r="J294" s="19">
        <f t="shared" si="2"/>
        <v>1</v>
      </c>
    </row>
    <row r="295" ht="22.5" customHeight="1">
      <c r="A295" s="16">
        <v>1.0</v>
      </c>
      <c r="B295" s="16">
        <v>4.0</v>
      </c>
      <c r="C295" s="16">
        <v>3.0</v>
      </c>
      <c r="D295" s="16">
        <v>12.0</v>
      </c>
      <c r="E295" s="16">
        <v>0.0</v>
      </c>
      <c r="F295" s="16">
        <v>0.0</v>
      </c>
      <c r="G295" s="18">
        <v>1.0</v>
      </c>
      <c r="H295" s="16" t="s">
        <v>106</v>
      </c>
      <c r="I295" s="19">
        <f t="shared" si="1"/>
        <v>12</v>
      </c>
      <c r="J295" s="19">
        <f t="shared" si="2"/>
        <v>0</v>
      </c>
    </row>
    <row r="296" ht="22.5" customHeight="1">
      <c r="A296" s="16">
        <v>2.0</v>
      </c>
      <c r="B296" s="16">
        <v>8.0</v>
      </c>
      <c r="C296" s="16">
        <v>0.0</v>
      </c>
      <c r="D296" s="16">
        <v>0.0</v>
      </c>
      <c r="E296" s="16">
        <v>0.0</v>
      </c>
      <c r="F296" s="16">
        <v>0.0</v>
      </c>
      <c r="G296" s="18">
        <v>0.0</v>
      </c>
      <c r="H296" s="16" t="s">
        <v>292</v>
      </c>
      <c r="I296" s="19">
        <f t="shared" si="1"/>
        <v>0</v>
      </c>
      <c r="J296" s="19">
        <f t="shared" si="2"/>
        <v>0</v>
      </c>
    </row>
    <row r="297" ht="22.5" customHeight="1">
      <c r="A297" s="16">
        <v>1.0</v>
      </c>
      <c r="B297" s="16">
        <v>4.0</v>
      </c>
      <c r="C297" s="16">
        <v>0.0</v>
      </c>
      <c r="D297" s="16">
        <v>0.0</v>
      </c>
      <c r="E297" s="16">
        <v>0.0</v>
      </c>
      <c r="F297" s="16">
        <v>0.0</v>
      </c>
      <c r="G297" s="18">
        <v>0.0</v>
      </c>
      <c r="H297" s="16" t="s">
        <v>269</v>
      </c>
      <c r="I297" s="19">
        <f t="shared" si="1"/>
        <v>0</v>
      </c>
      <c r="J297" s="19">
        <f t="shared" si="2"/>
        <v>0</v>
      </c>
    </row>
    <row r="298" ht="22.5" customHeight="1">
      <c r="A298" s="16">
        <v>3.0</v>
      </c>
      <c r="B298" s="16">
        <v>12.0</v>
      </c>
      <c r="C298" s="16">
        <v>0.0</v>
      </c>
      <c r="D298" s="16">
        <v>0.0</v>
      </c>
      <c r="E298" s="16">
        <v>0.0</v>
      </c>
      <c r="F298" s="16">
        <v>0.0</v>
      </c>
      <c r="G298" s="18">
        <v>0.0</v>
      </c>
      <c r="H298" s="16" t="s">
        <v>269</v>
      </c>
      <c r="I298" s="19">
        <f t="shared" si="1"/>
        <v>0</v>
      </c>
      <c r="J298" s="19">
        <f t="shared" si="2"/>
        <v>0</v>
      </c>
    </row>
    <row r="299" ht="22.5" customHeight="1">
      <c r="A299" s="16">
        <v>1.0</v>
      </c>
      <c r="B299" s="16">
        <v>4.0</v>
      </c>
      <c r="C299" s="16">
        <v>1.0</v>
      </c>
      <c r="D299" s="16">
        <v>4.0</v>
      </c>
      <c r="E299" s="16">
        <v>0.0</v>
      </c>
      <c r="F299" s="16">
        <v>0.0</v>
      </c>
      <c r="G299" s="18">
        <v>1.0</v>
      </c>
      <c r="H299" s="16" t="s">
        <v>269</v>
      </c>
      <c r="I299" s="19">
        <f t="shared" si="1"/>
        <v>4</v>
      </c>
      <c r="J299" s="19">
        <f t="shared" si="2"/>
        <v>0</v>
      </c>
    </row>
    <row r="300" ht="22.5" customHeight="1">
      <c r="A300" s="16">
        <v>1.0</v>
      </c>
      <c r="B300" s="16">
        <v>4.0</v>
      </c>
      <c r="C300" s="16">
        <v>0.0</v>
      </c>
      <c r="D300" s="16">
        <v>0.0</v>
      </c>
      <c r="E300" s="16">
        <v>0.0</v>
      </c>
      <c r="F300" s="16">
        <v>0.0</v>
      </c>
      <c r="G300" s="18">
        <v>0.0</v>
      </c>
      <c r="H300" s="16" t="s">
        <v>293</v>
      </c>
      <c r="I300" s="19">
        <f t="shared" si="1"/>
        <v>0</v>
      </c>
      <c r="J300" s="19">
        <f t="shared" si="2"/>
        <v>0</v>
      </c>
    </row>
    <row r="301" ht="22.5" customHeight="1">
      <c r="A301" s="16">
        <v>3.0</v>
      </c>
      <c r="B301" s="16">
        <v>12.0</v>
      </c>
      <c r="C301" s="16">
        <v>0.0</v>
      </c>
      <c r="D301" s="16">
        <v>0.0</v>
      </c>
      <c r="E301" s="16">
        <v>0.0</v>
      </c>
      <c r="F301" s="16">
        <v>0.0</v>
      </c>
      <c r="G301" s="18">
        <v>0.0</v>
      </c>
      <c r="H301" s="16" t="s">
        <v>293</v>
      </c>
      <c r="I301" s="19">
        <f t="shared" si="1"/>
        <v>0</v>
      </c>
      <c r="J301" s="19">
        <f t="shared" si="2"/>
        <v>0</v>
      </c>
    </row>
    <row r="302" ht="22.5" customHeight="1">
      <c r="A302" s="16">
        <v>1.0</v>
      </c>
      <c r="B302" s="16">
        <v>4.0</v>
      </c>
      <c r="C302" s="16">
        <v>0.0</v>
      </c>
      <c r="D302" s="16">
        <v>0.0</v>
      </c>
      <c r="E302" s="16">
        <v>0.0</v>
      </c>
      <c r="F302" s="16">
        <v>0.0</v>
      </c>
      <c r="G302" s="18">
        <v>0.0</v>
      </c>
      <c r="H302" s="16" t="s">
        <v>293</v>
      </c>
      <c r="I302" s="19">
        <f t="shared" si="1"/>
        <v>0</v>
      </c>
      <c r="J302" s="19">
        <f t="shared" si="2"/>
        <v>0</v>
      </c>
    </row>
    <row r="303" ht="22.5" customHeight="1">
      <c r="A303" s="16">
        <v>5.0</v>
      </c>
      <c r="B303" s="16">
        <v>20.0</v>
      </c>
      <c r="C303" s="16">
        <v>0.0</v>
      </c>
      <c r="D303" s="16">
        <v>0.0</v>
      </c>
      <c r="E303" s="16">
        <v>0.0</v>
      </c>
      <c r="F303" s="16">
        <v>0.0</v>
      </c>
      <c r="G303" s="18">
        <v>0.0</v>
      </c>
      <c r="H303" s="16" t="s">
        <v>285</v>
      </c>
      <c r="I303" s="19">
        <f t="shared" si="1"/>
        <v>0</v>
      </c>
      <c r="J303" s="19">
        <f t="shared" si="2"/>
        <v>0</v>
      </c>
    </row>
    <row r="304" ht="22.5" customHeight="1">
      <c r="A304" s="16">
        <v>1.0</v>
      </c>
      <c r="B304" s="16">
        <v>4.0</v>
      </c>
      <c r="C304" s="16">
        <v>0.0</v>
      </c>
      <c r="D304" s="16">
        <v>0.0</v>
      </c>
      <c r="E304" s="16">
        <v>0.0</v>
      </c>
      <c r="F304" s="16">
        <v>0.0</v>
      </c>
      <c r="G304" s="18">
        <v>0.0</v>
      </c>
      <c r="H304" s="16" t="s">
        <v>246</v>
      </c>
      <c r="I304" s="19">
        <f t="shared" si="1"/>
        <v>0</v>
      </c>
      <c r="J304" s="19">
        <f t="shared" si="2"/>
        <v>0</v>
      </c>
    </row>
    <row r="305" ht="22.5" customHeight="1">
      <c r="A305" s="16">
        <v>4.0</v>
      </c>
      <c r="B305" s="16">
        <v>16.0</v>
      </c>
      <c r="C305" s="16">
        <v>2.0</v>
      </c>
      <c r="D305" s="16">
        <v>-1.0</v>
      </c>
      <c r="E305" s="16">
        <v>0.25</v>
      </c>
      <c r="F305" s="16">
        <v>0.0</v>
      </c>
      <c r="G305" s="18">
        <v>0.0</v>
      </c>
      <c r="H305" s="16" t="s">
        <v>295</v>
      </c>
      <c r="I305" s="19">
        <f t="shared" si="1"/>
        <v>-4</v>
      </c>
      <c r="J305" s="19">
        <f t="shared" si="2"/>
        <v>1</v>
      </c>
    </row>
    <row r="306" ht="22.5" customHeight="1">
      <c r="A306" s="16">
        <v>5.0</v>
      </c>
      <c r="B306" s="16">
        <v>20.0</v>
      </c>
      <c r="C306" s="16">
        <v>15.0</v>
      </c>
      <c r="D306" s="16">
        <v>2.4</v>
      </c>
      <c r="E306" s="16">
        <v>0.2</v>
      </c>
      <c r="F306" s="16">
        <v>0.0</v>
      </c>
      <c r="G306" s="20">
        <v>0.267</v>
      </c>
      <c r="H306" s="16" t="s">
        <v>286</v>
      </c>
      <c r="I306" s="19">
        <f t="shared" si="1"/>
        <v>12</v>
      </c>
      <c r="J306" s="19">
        <f t="shared" si="2"/>
        <v>1</v>
      </c>
    </row>
    <row r="307" ht="22.5" customHeight="1">
      <c r="A307" s="16">
        <v>5.0</v>
      </c>
      <c r="B307" s="16">
        <v>20.0</v>
      </c>
      <c r="C307" s="16">
        <v>1.0</v>
      </c>
      <c r="D307" s="16">
        <v>0.0</v>
      </c>
      <c r="E307" s="16">
        <v>0.0</v>
      </c>
      <c r="F307" s="16">
        <v>0.0</v>
      </c>
      <c r="G307" s="18">
        <v>0.0</v>
      </c>
      <c r="H307" s="16" t="s">
        <v>297</v>
      </c>
      <c r="I307" s="19">
        <f t="shared" si="1"/>
        <v>0</v>
      </c>
      <c r="J307" s="19">
        <f t="shared" si="2"/>
        <v>0</v>
      </c>
    </row>
    <row r="308" ht="22.5" customHeight="1">
      <c r="A308" s="16">
        <v>3.0</v>
      </c>
      <c r="B308" s="16">
        <v>11.0</v>
      </c>
      <c r="C308" s="16">
        <v>2.0</v>
      </c>
      <c r="D308" s="16">
        <v>1.33</v>
      </c>
      <c r="E308" s="16">
        <v>0.0</v>
      </c>
      <c r="F308" s="16">
        <v>0.0</v>
      </c>
      <c r="G308" s="18">
        <v>0.5</v>
      </c>
      <c r="H308" s="16" t="s">
        <v>298</v>
      </c>
      <c r="I308" s="19">
        <f t="shared" si="1"/>
        <v>4</v>
      </c>
      <c r="J308" s="19">
        <f t="shared" si="2"/>
        <v>0</v>
      </c>
    </row>
    <row r="309" ht="22.5" customHeight="1">
      <c r="A309" s="16">
        <v>4.0</v>
      </c>
      <c r="B309" s="16">
        <v>15.0</v>
      </c>
      <c r="C309" s="16">
        <v>1.0</v>
      </c>
      <c r="D309" s="16">
        <v>0.0</v>
      </c>
      <c r="E309" s="16">
        <v>0.0</v>
      </c>
      <c r="F309" s="16">
        <v>0.0</v>
      </c>
      <c r="G309" s="18">
        <v>0.0</v>
      </c>
      <c r="H309" s="16" t="s">
        <v>296</v>
      </c>
      <c r="I309" s="19">
        <f t="shared" si="1"/>
        <v>0</v>
      </c>
      <c r="J309" s="19">
        <f t="shared" si="2"/>
        <v>0</v>
      </c>
    </row>
    <row r="310" ht="22.5" customHeight="1">
      <c r="A310" s="16">
        <v>4.0</v>
      </c>
      <c r="B310" s="16">
        <v>15.0</v>
      </c>
      <c r="C310" s="16">
        <v>2.0</v>
      </c>
      <c r="D310" s="16">
        <v>1.0</v>
      </c>
      <c r="E310" s="16">
        <v>0.0</v>
      </c>
      <c r="F310" s="16">
        <v>0.0</v>
      </c>
      <c r="G310" s="18">
        <v>0.5</v>
      </c>
      <c r="H310" s="16" t="s">
        <v>175</v>
      </c>
      <c r="I310" s="19">
        <f t="shared" si="1"/>
        <v>4</v>
      </c>
      <c r="J310" s="19">
        <f t="shared" si="2"/>
        <v>0</v>
      </c>
    </row>
    <row r="311" ht="22.5" customHeight="1">
      <c r="A311" s="16">
        <v>4.0</v>
      </c>
      <c r="B311" s="16">
        <v>15.0</v>
      </c>
      <c r="C311" s="16">
        <v>1.0</v>
      </c>
      <c r="D311" s="16">
        <v>-1.0</v>
      </c>
      <c r="E311" s="16">
        <v>0.25</v>
      </c>
      <c r="F311" s="16">
        <v>0.0</v>
      </c>
      <c r="G311" s="18">
        <v>0.0</v>
      </c>
      <c r="H311" s="16" t="s">
        <v>300</v>
      </c>
      <c r="I311" s="19">
        <f t="shared" si="1"/>
        <v>-4</v>
      </c>
      <c r="J311" s="19">
        <f t="shared" si="2"/>
        <v>1</v>
      </c>
    </row>
    <row r="312" ht="22.5" customHeight="1">
      <c r="A312" s="16">
        <v>4.0</v>
      </c>
      <c r="B312" s="16">
        <v>16.0</v>
      </c>
      <c r="C312" s="16">
        <v>1.0</v>
      </c>
      <c r="D312" s="16">
        <v>0.0</v>
      </c>
      <c r="E312" s="16">
        <v>0.0</v>
      </c>
      <c r="F312" s="16">
        <v>0.0</v>
      </c>
      <c r="G312" s="18">
        <v>0.0</v>
      </c>
      <c r="H312" s="16" t="s">
        <v>271</v>
      </c>
      <c r="I312" s="19">
        <f t="shared" si="1"/>
        <v>0</v>
      </c>
      <c r="J312" s="19">
        <f t="shared" si="2"/>
        <v>0</v>
      </c>
    </row>
    <row r="313" ht="22.5" customHeight="1">
      <c r="A313" s="16">
        <v>1.0</v>
      </c>
      <c r="B313" s="16">
        <v>4.0</v>
      </c>
      <c r="C313" s="16">
        <v>0.0</v>
      </c>
      <c r="D313" s="16">
        <v>0.0</v>
      </c>
      <c r="E313" s="16">
        <v>0.0</v>
      </c>
      <c r="F313" s="16">
        <v>0.0</v>
      </c>
      <c r="G313" s="18">
        <v>0.0</v>
      </c>
      <c r="H313" s="16" t="s">
        <v>271</v>
      </c>
      <c r="I313" s="19">
        <f t="shared" si="1"/>
        <v>0</v>
      </c>
      <c r="J313" s="19">
        <f t="shared" si="2"/>
        <v>0</v>
      </c>
    </row>
    <row r="314" ht="22.5" customHeight="1">
      <c r="A314" s="16">
        <v>4.0</v>
      </c>
      <c r="B314" s="16">
        <v>16.0</v>
      </c>
      <c r="C314" s="16">
        <v>4.0</v>
      </c>
      <c r="D314" s="16">
        <v>4.0</v>
      </c>
      <c r="E314" s="16">
        <v>0.0</v>
      </c>
      <c r="F314" s="16">
        <v>0.0</v>
      </c>
      <c r="G314" s="18">
        <v>1.0</v>
      </c>
      <c r="H314" s="16" t="s">
        <v>249</v>
      </c>
      <c r="I314" s="19">
        <f t="shared" si="1"/>
        <v>16</v>
      </c>
      <c r="J314" s="19">
        <f t="shared" si="2"/>
        <v>0</v>
      </c>
    </row>
    <row r="315" ht="22.5" customHeight="1">
      <c r="A315" s="16">
        <v>1.0</v>
      </c>
      <c r="B315" s="16">
        <v>4.0</v>
      </c>
      <c r="C315" s="16">
        <v>0.0</v>
      </c>
      <c r="D315" s="16">
        <v>0.0</v>
      </c>
      <c r="E315" s="16">
        <v>0.0</v>
      </c>
      <c r="F315" s="16">
        <v>0.0</v>
      </c>
      <c r="G315" s="18">
        <v>0.0</v>
      </c>
      <c r="H315" s="16" t="s">
        <v>249</v>
      </c>
      <c r="I315" s="19">
        <f t="shared" si="1"/>
        <v>0</v>
      </c>
      <c r="J315" s="19">
        <f t="shared" si="2"/>
        <v>0</v>
      </c>
    </row>
    <row r="316" ht="22.5" customHeight="1">
      <c r="A316" s="16">
        <v>4.0</v>
      </c>
      <c r="B316" s="16">
        <v>16.0</v>
      </c>
      <c r="C316" s="16">
        <v>4.0</v>
      </c>
      <c r="D316" s="16">
        <v>1.0</v>
      </c>
      <c r="E316" s="16">
        <v>0.25</v>
      </c>
      <c r="F316" s="16">
        <v>0.0</v>
      </c>
      <c r="G316" s="18">
        <v>0.5</v>
      </c>
      <c r="H316" s="16" t="s">
        <v>272</v>
      </c>
      <c r="I316" s="19">
        <f t="shared" si="1"/>
        <v>4</v>
      </c>
      <c r="J316" s="19">
        <f t="shared" si="2"/>
        <v>1</v>
      </c>
    </row>
    <row r="317" ht="22.5" customHeight="1">
      <c r="A317" s="16">
        <v>1.0</v>
      </c>
      <c r="B317" s="16">
        <v>4.0</v>
      </c>
      <c r="C317" s="16">
        <v>3.0</v>
      </c>
      <c r="D317" s="16">
        <v>0.0</v>
      </c>
      <c r="E317" s="16">
        <v>0.0</v>
      </c>
      <c r="F317" s="16">
        <v>0.0</v>
      </c>
      <c r="G317" s="18">
        <v>0.0</v>
      </c>
      <c r="H317" s="16" t="s">
        <v>272</v>
      </c>
      <c r="I317" s="19">
        <f t="shared" si="1"/>
        <v>0</v>
      </c>
      <c r="J317" s="19">
        <f t="shared" si="2"/>
        <v>0</v>
      </c>
    </row>
    <row r="318" ht="22.5" customHeight="1">
      <c r="A318" s="16">
        <v>4.0</v>
      </c>
      <c r="B318" s="16">
        <v>15.0</v>
      </c>
      <c r="C318" s="16">
        <v>11.0</v>
      </c>
      <c r="D318" s="16">
        <v>6.0</v>
      </c>
      <c r="E318" s="16">
        <v>0.0</v>
      </c>
      <c r="F318" s="16">
        <v>0.0</v>
      </c>
      <c r="G318" s="20">
        <v>0.545</v>
      </c>
      <c r="H318" s="16" t="s">
        <v>138</v>
      </c>
      <c r="I318" s="19">
        <f t="shared" si="1"/>
        <v>24</v>
      </c>
      <c r="J318" s="19">
        <f t="shared" si="2"/>
        <v>0</v>
      </c>
    </row>
    <row r="319" ht="22.5" customHeight="1">
      <c r="A319" s="16">
        <v>1.0</v>
      </c>
      <c r="B319" s="16">
        <v>4.0</v>
      </c>
      <c r="C319" s="16">
        <v>1.0</v>
      </c>
      <c r="D319" s="16">
        <v>-4.0</v>
      </c>
      <c r="E319" s="16">
        <v>1.0</v>
      </c>
      <c r="F319" s="16">
        <v>0.0</v>
      </c>
      <c r="G319" s="18">
        <v>0.0</v>
      </c>
      <c r="H319" s="16" t="s">
        <v>138</v>
      </c>
      <c r="I319" s="19">
        <f t="shared" si="1"/>
        <v>-4</v>
      </c>
      <c r="J319" s="19">
        <f t="shared" si="2"/>
        <v>1</v>
      </c>
    </row>
    <row r="320" ht="22.5" customHeight="1">
      <c r="A320" s="16">
        <v>2.0</v>
      </c>
      <c r="B320" s="16">
        <v>8.0</v>
      </c>
      <c r="C320" s="16">
        <v>2.0</v>
      </c>
      <c r="D320" s="16">
        <v>4.0</v>
      </c>
      <c r="E320" s="16">
        <v>0.0</v>
      </c>
      <c r="F320" s="16">
        <v>0.0</v>
      </c>
      <c r="G320" s="18">
        <v>1.0</v>
      </c>
      <c r="H320" s="16" t="s">
        <v>303</v>
      </c>
      <c r="I320" s="19">
        <f t="shared" si="1"/>
        <v>8</v>
      </c>
      <c r="J320" s="19">
        <f t="shared" si="2"/>
        <v>0</v>
      </c>
    </row>
    <row r="321" ht="22.5" customHeight="1">
      <c r="A321" s="16">
        <v>4.0</v>
      </c>
      <c r="B321" s="16">
        <v>15.0</v>
      </c>
      <c r="C321" s="16">
        <v>0.0</v>
      </c>
      <c r="D321" s="16">
        <v>0.0</v>
      </c>
      <c r="E321" s="16">
        <v>0.0</v>
      </c>
      <c r="F321" s="16">
        <v>0.0</v>
      </c>
      <c r="G321" s="18">
        <v>0.0</v>
      </c>
      <c r="H321" s="16" t="s">
        <v>304</v>
      </c>
      <c r="I321" s="19">
        <f t="shared" si="1"/>
        <v>0</v>
      </c>
      <c r="J321" s="19">
        <f t="shared" si="2"/>
        <v>0</v>
      </c>
    </row>
    <row r="322" ht="22.5" customHeight="1">
      <c r="A322" s="16">
        <v>1.0</v>
      </c>
      <c r="B322" s="16">
        <v>4.0</v>
      </c>
      <c r="C322" s="16">
        <v>0.0</v>
      </c>
      <c r="D322" s="16">
        <v>0.0</v>
      </c>
      <c r="E322" s="16">
        <v>0.0</v>
      </c>
      <c r="F322" s="16">
        <v>0.0</v>
      </c>
      <c r="G322" s="18">
        <v>0.0</v>
      </c>
      <c r="H322" s="16" t="s">
        <v>305</v>
      </c>
      <c r="I322" s="19">
        <f t="shared" si="1"/>
        <v>0</v>
      </c>
      <c r="J322" s="19">
        <f t="shared" si="2"/>
        <v>0</v>
      </c>
    </row>
    <row r="323" ht="22.5" customHeight="1">
      <c r="A323" s="16">
        <v>1.0</v>
      </c>
      <c r="B323" s="16">
        <v>4.0</v>
      </c>
      <c r="C323" s="16">
        <v>0.0</v>
      </c>
      <c r="D323" s="16">
        <v>0.0</v>
      </c>
      <c r="E323" s="16">
        <v>0.0</v>
      </c>
      <c r="F323" s="16">
        <v>0.0</v>
      </c>
      <c r="G323" s="18">
        <v>0.0</v>
      </c>
      <c r="H323" s="16" t="s">
        <v>306</v>
      </c>
      <c r="I323" s="19">
        <f t="shared" si="1"/>
        <v>0</v>
      </c>
      <c r="J323" s="19">
        <f t="shared" si="2"/>
        <v>0</v>
      </c>
    </row>
    <row r="324" ht="22.5" customHeight="1">
      <c r="A324" s="16">
        <v>1.0</v>
      </c>
      <c r="B324" s="16">
        <v>4.0</v>
      </c>
      <c r="C324" s="16">
        <v>1.0</v>
      </c>
      <c r="D324" s="16">
        <v>-4.0</v>
      </c>
      <c r="E324" s="16">
        <v>1.0</v>
      </c>
      <c r="F324" s="16">
        <v>0.0</v>
      </c>
      <c r="G324" s="18">
        <v>0.0</v>
      </c>
      <c r="H324" s="16" t="s">
        <v>306</v>
      </c>
      <c r="I324" s="19">
        <f t="shared" si="1"/>
        <v>-4</v>
      </c>
      <c r="J324" s="19">
        <f t="shared" si="2"/>
        <v>1</v>
      </c>
    </row>
    <row r="325" ht="22.5" customHeight="1">
      <c r="A325" s="16">
        <v>1.0</v>
      </c>
      <c r="B325" s="16">
        <v>3.0</v>
      </c>
      <c r="C325" s="16">
        <v>1.0</v>
      </c>
      <c r="D325" s="16">
        <v>0.0</v>
      </c>
      <c r="E325" s="16">
        <v>0.0</v>
      </c>
      <c r="F325" s="16">
        <v>0.0</v>
      </c>
      <c r="G325" s="18">
        <v>0.0</v>
      </c>
      <c r="H325" s="16" t="s">
        <v>306</v>
      </c>
      <c r="I325" s="19">
        <f t="shared" si="1"/>
        <v>0</v>
      </c>
      <c r="J325" s="19">
        <f t="shared" si="2"/>
        <v>0</v>
      </c>
    </row>
    <row r="326" ht="22.5" customHeight="1">
      <c r="A326" s="16">
        <v>1.0</v>
      </c>
      <c r="B326" s="16">
        <v>4.0</v>
      </c>
      <c r="C326" s="16">
        <v>0.0</v>
      </c>
      <c r="D326" s="16">
        <v>0.0</v>
      </c>
      <c r="E326" s="16">
        <v>0.0</v>
      </c>
      <c r="F326" s="16">
        <v>0.0</v>
      </c>
      <c r="G326" s="18">
        <v>0.0</v>
      </c>
      <c r="H326" s="16" t="s">
        <v>306</v>
      </c>
      <c r="I326" s="19">
        <f t="shared" si="1"/>
        <v>0</v>
      </c>
      <c r="J326" s="19">
        <f t="shared" si="2"/>
        <v>0</v>
      </c>
    </row>
    <row r="327" ht="22.5" customHeight="1">
      <c r="A327" s="16">
        <v>1.0</v>
      </c>
      <c r="B327" s="16">
        <v>4.0</v>
      </c>
      <c r="C327" s="16">
        <v>1.0</v>
      </c>
      <c r="D327" s="16">
        <v>4.0</v>
      </c>
      <c r="E327" s="16">
        <v>0.0</v>
      </c>
      <c r="F327" s="16">
        <v>0.0</v>
      </c>
      <c r="G327" s="18">
        <v>1.0</v>
      </c>
      <c r="H327" s="16" t="s">
        <v>141</v>
      </c>
      <c r="I327" s="19">
        <f t="shared" si="1"/>
        <v>4</v>
      </c>
      <c r="J327" s="19">
        <f t="shared" si="2"/>
        <v>0</v>
      </c>
    </row>
    <row r="328" ht="22.5" customHeight="1">
      <c r="A328" s="16">
        <v>1.0</v>
      </c>
      <c r="B328" s="16">
        <v>4.0</v>
      </c>
      <c r="C328" s="16">
        <v>0.0</v>
      </c>
      <c r="D328" s="16">
        <v>0.0</v>
      </c>
      <c r="E328" s="16">
        <v>0.0</v>
      </c>
      <c r="F328" s="16">
        <v>0.0</v>
      </c>
      <c r="G328" s="18">
        <v>0.0</v>
      </c>
      <c r="H328" s="16" t="s">
        <v>141</v>
      </c>
      <c r="I328" s="19">
        <f t="shared" si="1"/>
        <v>0</v>
      </c>
      <c r="J328" s="19">
        <f t="shared" si="2"/>
        <v>0</v>
      </c>
    </row>
    <row r="329" ht="22.5" customHeight="1">
      <c r="A329" s="16">
        <v>1.0</v>
      </c>
      <c r="B329" s="16">
        <v>3.0</v>
      </c>
      <c r="C329" s="16">
        <v>1.0</v>
      </c>
      <c r="D329" s="16">
        <v>4.0</v>
      </c>
      <c r="E329" s="16">
        <v>0.0</v>
      </c>
      <c r="F329" s="16">
        <v>0.0</v>
      </c>
      <c r="G329" s="18">
        <v>1.0</v>
      </c>
      <c r="H329" s="16" t="s">
        <v>141</v>
      </c>
      <c r="I329" s="19">
        <f t="shared" si="1"/>
        <v>4</v>
      </c>
      <c r="J329" s="19">
        <f t="shared" si="2"/>
        <v>0</v>
      </c>
    </row>
    <row r="330" ht="22.5" customHeight="1">
      <c r="A330" s="16">
        <v>1.0</v>
      </c>
      <c r="B330" s="16">
        <v>4.0</v>
      </c>
      <c r="C330" s="16">
        <v>0.0</v>
      </c>
      <c r="D330" s="16">
        <v>0.0</v>
      </c>
      <c r="E330" s="16">
        <v>0.0</v>
      </c>
      <c r="F330" s="16">
        <v>0.0</v>
      </c>
      <c r="G330" s="18">
        <v>0.0</v>
      </c>
      <c r="H330" s="16" t="s">
        <v>141</v>
      </c>
      <c r="I330" s="19">
        <f t="shared" si="1"/>
        <v>0</v>
      </c>
      <c r="J330" s="19">
        <f t="shared" si="2"/>
        <v>0</v>
      </c>
    </row>
    <row r="331" ht="22.5" customHeight="1">
      <c r="A331" s="16">
        <v>1.0</v>
      </c>
      <c r="B331" s="16">
        <v>4.0</v>
      </c>
      <c r="C331" s="16">
        <v>1.0</v>
      </c>
      <c r="D331" s="16">
        <v>-4.0</v>
      </c>
      <c r="E331" s="16">
        <v>1.0</v>
      </c>
      <c r="F331" s="16">
        <v>0.0</v>
      </c>
      <c r="G331" s="18">
        <v>0.0</v>
      </c>
      <c r="H331" s="16" t="s">
        <v>308</v>
      </c>
      <c r="I331" s="19">
        <f t="shared" si="1"/>
        <v>-4</v>
      </c>
      <c r="J331" s="19">
        <f t="shared" si="2"/>
        <v>1</v>
      </c>
    </row>
    <row r="332" ht="22.5" customHeight="1">
      <c r="A332" s="16">
        <v>1.0</v>
      </c>
      <c r="B332" s="16">
        <v>4.0</v>
      </c>
      <c r="C332" s="16">
        <v>0.0</v>
      </c>
      <c r="D332" s="16">
        <v>0.0</v>
      </c>
      <c r="E332" s="16">
        <v>0.0</v>
      </c>
      <c r="F332" s="16">
        <v>0.0</v>
      </c>
      <c r="G332" s="18">
        <v>0.0</v>
      </c>
      <c r="H332" s="16" t="s">
        <v>308</v>
      </c>
      <c r="I332" s="19">
        <f t="shared" si="1"/>
        <v>0</v>
      </c>
      <c r="J332" s="19">
        <f t="shared" si="2"/>
        <v>0</v>
      </c>
    </row>
    <row r="333" ht="22.5" customHeight="1">
      <c r="A333" s="16">
        <v>1.0</v>
      </c>
      <c r="B333" s="16">
        <v>3.0</v>
      </c>
      <c r="C333" s="16">
        <v>1.0</v>
      </c>
      <c r="D333" s="16">
        <v>0.0</v>
      </c>
      <c r="E333" s="16">
        <v>0.0</v>
      </c>
      <c r="F333" s="16">
        <v>0.0</v>
      </c>
      <c r="G333" s="18">
        <v>0.0</v>
      </c>
      <c r="H333" s="16" t="s">
        <v>308</v>
      </c>
      <c r="I333" s="19">
        <f t="shared" si="1"/>
        <v>0</v>
      </c>
      <c r="J333" s="19">
        <f t="shared" si="2"/>
        <v>0</v>
      </c>
    </row>
    <row r="334" ht="22.5" customHeight="1">
      <c r="A334" s="16">
        <v>1.0</v>
      </c>
      <c r="B334" s="16">
        <v>4.0</v>
      </c>
      <c r="C334" s="16">
        <v>2.0</v>
      </c>
      <c r="D334" s="16">
        <v>8.0</v>
      </c>
      <c r="E334" s="16">
        <v>0.0</v>
      </c>
      <c r="F334" s="16">
        <v>0.0</v>
      </c>
      <c r="G334" s="18">
        <v>1.0</v>
      </c>
      <c r="H334" s="16" t="s">
        <v>309</v>
      </c>
      <c r="I334" s="19">
        <f t="shared" si="1"/>
        <v>8</v>
      </c>
      <c r="J334" s="19">
        <f t="shared" si="2"/>
        <v>0</v>
      </c>
    </row>
    <row r="335" ht="22.5" customHeight="1">
      <c r="A335" s="16">
        <v>1.0</v>
      </c>
      <c r="B335" s="16">
        <v>3.0</v>
      </c>
      <c r="C335" s="16">
        <v>0.0</v>
      </c>
      <c r="D335" s="16">
        <v>0.0</v>
      </c>
      <c r="E335" s="16">
        <v>0.0</v>
      </c>
      <c r="F335" s="16">
        <v>0.0</v>
      </c>
      <c r="G335" s="18">
        <v>0.0</v>
      </c>
      <c r="H335" s="16" t="s">
        <v>309</v>
      </c>
      <c r="I335" s="19">
        <f t="shared" si="1"/>
        <v>0</v>
      </c>
      <c r="J335" s="19">
        <f t="shared" si="2"/>
        <v>0</v>
      </c>
    </row>
    <row r="336" ht="22.5" customHeight="1">
      <c r="A336" s="16">
        <v>1.0</v>
      </c>
      <c r="B336" s="16">
        <v>4.0</v>
      </c>
      <c r="C336" s="16">
        <v>0.0</v>
      </c>
      <c r="D336" s="16">
        <v>0.0</v>
      </c>
      <c r="E336" s="16">
        <v>0.0</v>
      </c>
      <c r="F336" s="16">
        <v>0.0</v>
      </c>
      <c r="G336" s="18">
        <v>0.0</v>
      </c>
      <c r="H336" s="16" t="s">
        <v>310</v>
      </c>
      <c r="I336" s="19">
        <f t="shared" si="1"/>
        <v>0</v>
      </c>
      <c r="J336" s="19">
        <f t="shared" si="2"/>
        <v>0</v>
      </c>
    </row>
    <row r="337" ht="22.5" customHeight="1">
      <c r="A337" s="16">
        <v>1.0</v>
      </c>
      <c r="B337" s="16">
        <v>3.0</v>
      </c>
      <c r="C337" s="16">
        <v>0.0</v>
      </c>
      <c r="D337" s="16">
        <v>0.0</v>
      </c>
      <c r="E337" s="16">
        <v>0.0</v>
      </c>
      <c r="F337" s="16">
        <v>0.0</v>
      </c>
      <c r="G337" s="18">
        <v>0.0</v>
      </c>
      <c r="H337" s="16" t="s">
        <v>310</v>
      </c>
      <c r="I337" s="19">
        <f t="shared" si="1"/>
        <v>0</v>
      </c>
      <c r="J337" s="19">
        <f t="shared" si="2"/>
        <v>0</v>
      </c>
    </row>
    <row r="338" ht="22.5" customHeight="1">
      <c r="A338" s="16">
        <v>1.0</v>
      </c>
      <c r="B338" s="16">
        <v>4.0</v>
      </c>
      <c r="C338" s="16">
        <v>0.0</v>
      </c>
      <c r="D338" s="16">
        <v>0.0</v>
      </c>
      <c r="E338" s="16">
        <v>0.0</v>
      </c>
      <c r="F338" s="16">
        <v>0.0</v>
      </c>
      <c r="G338" s="18">
        <v>0.0</v>
      </c>
      <c r="H338" s="16" t="s">
        <v>252</v>
      </c>
      <c r="I338" s="19">
        <f t="shared" si="1"/>
        <v>0</v>
      </c>
      <c r="J338" s="19">
        <f t="shared" si="2"/>
        <v>0</v>
      </c>
    </row>
    <row r="339" ht="22.5" customHeight="1">
      <c r="A339" s="16">
        <v>2.0</v>
      </c>
      <c r="B339" s="16">
        <v>7.0</v>
      </c>
      <c r="C339" s="16">
        <v>1.0</v>
      </c>
      <c r="D339" s="16">
        <v>2.0</v>
      </c>
      <c r="E339" s="16">
        <v>0.0</v>
      </c>
      <c r="F339" s="16">
        <v>0.0</v>
      </c>
      <c r="G339" s="18">
        <v>1.0</v>
      </c>
      <c r="H339" s="16" t="s">
        <v>252</v>
      </c>
      <c r="I339" s="19">
        <f t="shared" si="1"/>
        <v>4</v>
      </c>
      <c r="J339" s="19">
        <f t="shared" si="2"/>
        <v>0</v>
      </c>
    </row>
    <row r="340" ht="22.5" customHeight="1">
      <c r="A340" s="16">
        <v>3.0</v>
      </c>
      <c r="B340" s="16">
        <v>11.0</v>
      </c>
      <c r="C340" s="16">
        <v>1.0</v>
      </c>
      <c r="D340" s="16">
        <v>1.33</v>
      </c>
      <c r="E340" s="16">
        <v>0.0</v>
      </c>
      <c r="F340" s="16">
        <v>0.0</v>
      </c>
      <c r="G340" s="18">
        <v>1.0</v>
      </c>
      <c r="H340" s="16" t="s">
        <v>274</v>
      </c>
      <c r="I340" s="19">
        <f t="shared" si="1"/>
        <v>4</v>
      </c>
      <c r="J340" s="19">
        <f t="shared" si="2"/>
        <v>0</v>
      </c>
    </row>
    <row r="341" ht="22.5" customHeight="1">
      <c r="A341" s="16">
        <v>2.0</v>
      </c>
      <c r="B341" s="16">
        <v>8.0</v>
      </c>
      <c r="C341" s="16">
        <v>2.0</v>
      </c>
      <c r="D341" s="16">
        <v>2.0</v>
      </c>
      <c r="E341" s="16">
        <v>0.0</v>
      </c>
      <c r="F341" s="16">
        <v>0.0</v>
      </c>
      <c r="G341" s="18">
        <v>0.5</v>
      </c>
      <c r="H341" s="16" t="s">
        <v>274</v>
      </c>
      <c r="I341" s="19">
        <f t="shared" si="1"/>
        <v>4</v>
      </c>
      <c r="J341" s="19">
        <f t="shared" si="2"/>
        <v>0</v>
      </c>
    </row>
    <row r="342" ht="22.5" customHeight="1">
      <c r="A342" s="16">
        <v>3.0</v>
      </c>
      <c r="B342" s="16">
        <v>11.0</v>
      </c>
      <c r="C342" s="16">
        <v>2.0</v>
      </c>
      <c r="D342" s="16">
        <v>0.0</v>
      </c>
      <c r="E342" s="16">
        <v>0.0</v>
      </c>
      <c r="F342" s="16">
        <v>0.0</v>
      </c>
      <c r="G342" s="18">
        <v>0.0</v>
      </c>
      <c r="H342" s="16" t="s">
        <v>230</v>
      </c>
      <c r="I342" s="19">
        <f t="shared" si="1"/>
        <v>0</v>
      </c>
      <c r="J342" s="19">
        <f t="shared" si="2"/>
        <v>0</v>
      </c>
    </row>
    <row r="343" ht="22.5" customHeight="1">
      <c r="A343" s="16">
        <v>2.0</v>
      </c>
      <c r="B343" s="16">
        <v>8.0</v>
      </c>
      <c r="C343" s="16">
        <v>0.0</v>
      </c>
      <c r="D343" s="16">
        <v>0.0</v>
      </c>
      <c r="E343" s="16">
        <v>0.0</v>
      </c>
      <c r="F343" s="16">
        <v>0.0</v>
      </c>
      <c r="G343" s="18">
        <v>0.0</v>
      </c>
      <c r="H343" s="16" t="s">
        <v>230</v>
      </c>
      <c r="I343" s="19">
        <f t="shared" si="1"/>
        <v>0</v>
      </c>
      <c r="J343" s="19">
        <f t="shared" si="2"/>
        <v>0</v>
      </c>
    </row>
    <row r="344" ht="22.5" customHeight="1">
      <c r="A344" s="16">
        <v>1.0</v>
      </c>
      <c r="B344" s="16">
        <v>3.0</v>
      </c>
      <c r="C344" s="16">
        <v>1.0</v>
      </c>
      <c r="D344" s="16">
        <v>0.0</v>
      </c>
      <c r="E344" s="16">
        <v>0.0</v>
      </c>
      <c r="F344" s="16">
        <v>0.0</v>
      </c>
      <c r="G344" s="18">
        <v>0.0</v>
      </c>
      <c r="H344" s="16" t="s">
        <v>313</v>
      </c>
      <c r="I344" s="19">
        <f t="shared" si="1"/>
        <v>0</v>
      </c>
      <c r="J344" s="19">
        <f t="shared" si="2"/>
        <v>0</v>
      </c>
    </row>
    <row r="345" ht="22.5" customHeight="1">
      <c r="A345" s="16">
        <v>1.0</v>
      </c>
      <c r="B345" s="16">
        <v>4.0</v>
      </c>
      <c r="C345" s="16">
        <v>2.0</v>
      </c>
      <c r="D345" s="16">
        <v>0.0</v>
      </c>
      <c r="E345" s="16">
        <v>0.0</v>
      </c>
      <c r="F345" s="16">
        <v>0.0</v>
      </c>
      <c r="G345" s="18">
        <v>0.0</v>
      </c>
      <c r="H345" s="16" t="s">
        <v>313</v>
      </c>
      <c r="I345" s="19">
        <f t="shared" si="1"/>
        <v>0</v>
      </c>
      <c r="J345" s="19">
        <f t="shared" si="2"/>
        <v>0</v>
      </c>
    </row>
    <row r="346" ht="22.5" customHeight="1">
      <c r="A346" s="16">
        <v>2.0</v>
      </c>
      <c r="B346" s="16">
        <v>8.0</v>
      </c>
      <c r="C346" s="16">
        <v>1.0</v>
      </c>
      <c r="D346" s="16">
        <v>-2.0</v>
      </c>
      <c r="E346" s="16">
        <v>0.5</v>
      </c>
      <c r="F346" s="16">
        <v>0.0</v>
      </c>
      <c r="G346" s="18">
        <v>0.0</v>
      </c>
      <c r="H346" s="16" t="s">
        <v>314</v>
      </c>
      <c r="I346" s="19">
        <f t="shared" si="1"/>
        <v>-4</v>
      </c>
      <c r="J346" s="19">
        <f t="shared" si="2"/>
        <v>1</v>
      </c>
    </row>
    <row r="347" ht="22.5" customHeight="1">
      <c r="A347" s="16">
        <v>1.0</v>
      </c>
      <c r="B347" s="16">
        <v>4.0</v>
      </c>
      <c r="C347" s="16">
        <v>0.0</v>
      </c>
      <c r="D347" s="16">
        <v>0.0</v>
      </c>
      <c r="E347" s="16">
        <v>0.0</v>
      </c>
      <c r="F347" s="16">
        <v>0.0</v>
      </c>
      <c r="G347" s="18">
        <v>0.0</v>
      </c>
      <c r="H347" s="16" t="s">
        <v>314</v>
      </c>
      <c r="I347" s="19">
        <f t="shared" si="1"/>
        <v>0</v>
      </c>
      <c r="J347" s="19">
        <f t="shared" si="2"/>
        <v>0</v>
      </c>
    </row>
    <row r="348" ht="22.5" customHeight="1">
      <c r="A348" s="16">
        <v>3.0</v>
      </c>
      <c r="B348" s="16">
        <v>12.0</v>
      </c>
      <c r="C348" s="16">
        <v>3.0</v>
      </c>
      <c r="D348" s="16">
        <v>1.33</v>
      </c>
      <c r="E348" s="16">
        <v>0.33</v>
      </c>
      <c r="F348" s="16">
        <v>0.0</v>
      </c>
      <c r="G348" s="20">
        <v>0.667</v>
      </c>
      <c r="H348" s="16" t="s">
        <v>315</v>
      </c>
      <c r="I348" s="19">
        <f t="shared" si="1"/>
        <v>4</v>
      </c>
      <c r="J348" s="19">
        <f t="shared" si="2"/>
        <v>1</v>
      </c>
    </row>
    <row r="349" ht="22.5" customHeight="1">
      <c r="A349" s="16">
        <v>1.0</v>
      </c>
      <c r="B349" s="16">
        <v>4.0</v>
      </c>
      <c r="C349" s="16">
        <v>0.0</v>
      </c>
      <c r="D349" s="16">
        <v>0.0</v>
      </c>
      <c r="E349" s="16">
        <v>0.0</v>
      </c>
      <c r="F349" s="16">
        <v>0.0</v>
      </c>
      <c r="G349" s="18">
        <v>0.0</v>
      </c>
      <c r="H349" s="16" t="s">
        <v>315</v>
      </c>
      <c r="I349" s="19">
        <f t="shared" si="1"/>
        <v>0</v>
      </c>
      <c r="J349" s="19">
        <f t="shared" si="2"/>
        <v>0</v>
      </c>
    </row>
    <row r="350" ht="22.5" customHeight="1">
      <c r="A350" s="16">
        <v>3.0</v>
      </c>
      <c r="B350" s="16">
        <v>12.0</v>
      </c>
      <c r="C350" s="16">
        <v>1.0</v>
      </c>
      <c r="D350" s="16">
        <v>1.33</v>
      </c>
      <c r="E350" s="16">
        <v>0.0</v>
      </c>
      <c r="F350" s="16">
        <v>0.0</v>
      </c>
      <c r="G350" s="18">
        <v>1.0</v>
      </c>
      <c r="H350" s="16" t="s">
        <v>316</v>
      </c>
      <c r="I350" s="19">
        <f t="shared" si="1"/>
        <v>4</v>
      </c>
      <c r="J350" s="19">
        <f t="shared" si="2"/>
        <v>0</v>
      </c>
    </row>
    <row r="351" ht="22.5" customHeight="1">
      <c r="A351" s="16">
        <v>1.0</v>
      </c>
      <c r="B351" s="16">
        <v>4.0</v>
      </c>
      <c r="C351" s="16">
        <v>1.0</v>
      </c>
      <c r="D351" s="16">
        <v>4.0</v>
      </c>
      <c r="E351" s="16">
        <v>0.0</v>
      </c>
      <c r="F351" s="16">
        <v>0.0</v>
      </c>
      <c r="G351" s="18">
        <v>1.0</v>
      </c>
      <c r="H351" s="16" t="s">
        <v>316</v>
      </c>
      <c r="I351" s="19">
        <f t="shared" si="1"/>
        <v>4</v>
      </c>
      <c r="J351" s="19">
        <f t="shared" si="2"/>
        <v>0</v>
      </c>
    </row>
    <row r="352" ht="22.5" customHeight="1">
      <c r="A352" s="16">
        <v>1.0</v>
      </c>
      <c r="B352" s="16">
        <v>4.0</v>
      </c>
      <c r="C352" s="16">
        <v>0.0</v>
      </c>
      <c r="D352" s="16">
        <v>0.0</v>
      </c>
      <c r="E352" s="16">
        <v>0.0</v>
      </c>
      <c r="F352" s="16">
        <v>0.0</v>
      </c>
      <c r="G352" s="18">
        <v>0.0</v>
      </c>
      <c r="H352" s="16" t="s">
        <v>318</v>
      </c>
      <c r="I352" s="19">
        <f t="shared" si="1"/>
        <v>0</v>
      </c>
      <c r="J352" s="19">
        <f t="shared" si="2"/>
        <v>0</v>
      </c>
    </row>
    <row r="353" ht="22.5" customHeight="1">
      <c r="A353" s="16">
        <v>4.0</v>
      </c>
      <c r="B353" s="16">
        <v>16.0</v>
      </c>
      <c r="C353" s="16">
        <v>7.0</v>
      </c>
      <c r="D353" s="16">
        <v>1.0</v>
      </c>
      <c r="E353" s="16">
        <v>0.0</v>
      </c>
      <c r="F353" s="16">
        <v>0.0</v>
      </c>
      <c r="G353" s="20">
        <v>0.143</v>
      </c>
      <c r="H353" s="16" t="s">
        <v>254</v>
      </c>
      <c r="I353" s="19">
        <f t="shared" si="1"/>
        <v>4</v>
      </c>
      <c r="J353" s="19">
        <f t="shared" si="2"/>
        <v>0</v>
      </c>
    </row>
    <row r="354" ht="22.5" customHeight="1">
      <c r="A354" s="16">
        <v>1.0</v>
      </c>
      <c r="B354" s="16">
        <v>4.0</v>
      </c>
      <c r="C354" s="16">
        <v>1.0</v>
      </c>
      <c r="D354" s="16">
        <v>4.0</v>
      </c>
      <c r="E354" s="16">
        <v>0.0</v>
      </c>
      <c r="F354" s="16">
        <v>0.0</v>
      </c>
      <c r="G354" s="18">
        <v>1.0</v>
      </c>
      <c r="H354" s="16" t="s">
        <v>254</v>
      </c>
      <c r="I354" s="19">
        <f t="shared" si="1"/>
        <v>4</v>
      </c>
      <c r="J354" s="19">
        <f t="shared" si="2"/>
        <v>0</v>
      </c>
    </row>
    <row r="355" ht="22.5" customHeight="1">
      <c r="A355" s="16">
        <v>1.0</v>
      </c>
      <c r="B355" s="16">
        <v>4.0</v>
      </c>
      <c r="C355" s="16">
        <v>1.0</v>
      </c>
      <c r="D355" s="16">
        <v>0.0</v>
      </c>
      <c r="E355" s="16">
        <v>0.0</v>
      </c>
      <c r="F355" s="16">
        <v>0.0</v>
      </c>
      <c r="G355" s="18">
        <v>0.0</v>
      </c>
      <c r="H355" s="16" t="s">
        <v>317</v>
      </c>
      <c r="I355" s="19">
        <f t="shared" si="1"/>
        <v>0</v>
      </c>
      <c r="J355" s="19">
        <f t="shared" si="2"/>
        <v>0</v>
      </c>
    </row>
    <row r="356" ht="22.5" customHeight="1">
      <c r="A356" s="16">
        <v>2.0</v>
      </c>
      <c r="B356" s="16">
        <v>8.0</v>
      </c>
      <c r="C356" s="16">
        <v>1.0</v>
      </c>
      <c r="D356" s="16">
        <v>2.0</v>
      </c>
      <c r="E356" s="16">
        <v>0.0</v>
      </c>
      <c r="F356" s="16">
        <v>0.0</v>
      </c>
      <c r="G356" s="18">
        <v>1.0</v>
      </c>
      <c r="H356" s="16" t="s">
        <v>317</v>
      </c>
      <c r="I356" s="19">
        <f t="shared" si="1"/>
        <v>4</v>
      </c>
      <c r="J356" s="19">
        <f t="shared" si="2"/>
        <v>0</v>
      </c>
    </row>
    <row r="357" ht="22.5" customHeight="1">
      <c r="A357" s="16">
        <v>2.0</v>
      </c>
      <c r="B357" s="16">
        <v>8.0</v>
      </c>
      <c r="C357" s="16">
        <v>6.0</v>
      </c>
      <c r="D357" s="16">
        <v>8.0</v>
      </c>
      <c r="E357" s="16">
        <v>0.0</v>
      </c>
      <c r="F357" s="16">
        <v>0.0</v>
      </c>
      <c r="G357" s="20">
        <v>0.667</v>
      </c>
      <c r="H357" s="16" t="s">
        <v>133</v>
      </c>
      <c r="I357" s="19">
        <f t="shared" si="1"/>
        <v>16</v>
      </c>
      <c r="J357" s="19">
        <f t="shared" si="2"/>
        <v>0</v>
      </c>
    </row>
    <row r="358" ht="22.5" customHeight="1">
      <c r="A358" s="16">
        <v>1.0</v>
      </c>
      <c r="B358" s="16">
        <v>4.0</v>
      </c>
      <c r="C358" s="16">
        <v>4.0</v>
      </c>
      <c r="D358" s="16">
        <v>8.0</v>
      </c>
      <c r="E358" s="16">
        <v>0.0</v>
      </c>
      <c r="F358" s="16">
        <v>0.0</v>
      </c>
      <c r="G358" s="18">
        <v>0.5</v>
      </c>
      <c r="H358" s="16" t="s">
        <v>133</v>
      </c>
      <c r="I358" s="19">
        <f t="shared" si="1"/>
        <v>8</v>
      </c>
      <c r="J358" s="19">
        <f t="shared" si="2"/>
        <v>0</v>
      </c>
    </row>
    <row r="359" ht="22.5" customHeight="1">
      <c r="A359" s="16">
        <v>1.0</v>
      </c>
      <c r="B359" s="16">
        <v>4.0</v>
      </c>
      <c r="C359" s="16">
        <v>1.0</v>
      </c>
      <c r="D359" s="16">
        <v>0.0</v>
      </c>
      <c r="E359" s="16">
        <v>0.0</v>
      </c>
      <c r="F359" s="16">
        <v>0.0</v>
      </c>
      <c r="G359" s="18">
        <v>0.0</v>
      </c>
      <c r="H359" s="16" t="s">
        <v>319</v>
      </c>
      <c r="I359" s="19">
        <f t="shared" si="1"/>
        <v>0</v>
      </c>
      <c r="J359" s="19">
        <f t="shared" si="2"/>
        <v>0</v>
      </c>
    </row>
    <row r="360" ht="22.5" customHeight="1">
      <c r="A360" s="16">
        <v>5.0</v>
      </c>
      <c r="B360" s="16">
        <v>20.0</v>
      </c>
      <c r="C360" s="16">
        <v>1.0</v>
      </c>
      <c r="D360" s="16">
        <v>0.0</v>
      </c>
      <c r="E360" s="16">
        <v>0.0</v>
      </c>
      <c r="F360" s="16">
        <v>0.0</v>
      </c>
      <c r="G360" s="18">
        <v>0.0</v>
      </c>
      <c r="H360" s="16" t="s">
        <v>129</v>
      </c>
      <c r="I360" s="19">
        <f t="shared" si="1"/>
        <v>0</v>
      </c>
      <c r="J360" s="19">
        <f t="shared" si="2"/>
        <v>0</v>
      </c>
    </row>
    <row r="361" ht="22.5" customHeight="1">
      <c r="A361" s="16">
        <v>2.0</v>
      </c>
      <c r="B361" s="16">
        <v>8.0</v>
      </c>
      <c r="C361" s="16">
        <v>2.0</v>
      </c>
      <c r="D361" s="16">
        <v>2.0</v>
      </c>
      <c r="E361" s="16">
        <v>0.0</v>
      </c>
      <c r="F361" s="16">
        <v>0.0</v>
      </c>
      <c r="G361" s="18">
        <v>0.5</v>
      </c>
      <c r="H361" s="16" t="s">
        <v>320</v>
      </c>
      <c r="I361" s="19">
        <f t="shared" si="1"/>
        <v>4</v>
      </c>
      <c r="J361" s="19">
        <f t="shared" si="2"/>
        <v>0</v>
      </c>
    </row>
    <row r="362" ht="22.5" customHeight="1">
      <c r="A362" s="16">
        <v>1.0</v>
      </c>
      <c r="B362" s="16">
        <v>4.0</v>
      </c>
      <c r="C362" s="16">
        <v>2.0</v>
      </c>
      <c r="D362" s="16">
        <v>0.0</v>
      </c>
      <c r="E362" s="16">
        <v>0.0</v>
      </c>
      <c r="F362" s="16">
        <v>0.0</v>
      </c>
      <c r="G362" s="18">
        <v>0.0</v>
      </c>
      <c r="H362" s="16" t="s">
        <v>320</v>
      </c>
      <c r="I362" s="19">
        <f t="shared" si="1"/>
        <v>0</v>
      </c>
      <c r="J362" s="19">
        <f t="shared" si="2"/>
        <v>0</v>
      </c>
    </row>
    <row r="363" ht="22.5" customHeight="1">
      <c r="A363" s="16">
        <v>2.0</v>
      </c>
      <c r="B363" s="16">
        <v>8.0</v>
      </c>
      <c r="C363" s="16">
        <v>8.0</v>
      </c>
      <c r="D363" s="16">
        <v>4.0</v>
      </c>
      <c r="E363" s="16">
        <v>0.0</v>
      </c>
      <c r="F363" s="16">
        <v>0.0</v>
      </c>
      <c r="G363" s="18">
        <v>0.25</v>
      </c>
      <c r="H363" s="16" t="s">
        <v>320</v>
      </c>
      <c r="I363" s="19">
        <f t="shared" si="1"/>
        <v>8</v>
      </c>
      <c r="J363" s="19">
        <f t="shared" si="2"/>
        <v>0</v>
      </c>
    </row>
    <row r="364" ht="22.5" customHeight="1">
      <c r="A364" s="16">
        <v>2.0</v>
      </c>
      <c r="B364" s="16">
        <v>8.0</v>
      </c>
      <c r="C364" s="16">
        <v>0.0</v>
      </c>
      <c r="D364" s="16">
        <v>0.0</v>
      </c>
      <c r="E364" s="16">
        <v>0.0</v>
      </c>
      <c r="F364" s="16">
        <v>0.0</v>
      </c>
      <c r="G364" s="18">
        <v>0.0</v>
      </c>
      <c r="H364" s="16" t="s">
        <v>287</v>
      </c>
      <c r="I364" s="19">
        <f t="shared" si="1"/>
        <v>0</v>
      </c>
      <c r="J364" s="19">
        <f t="shared" si="2"/>
        <v>0</v>
      </c>
    </row>
    <row r="365" ht="22.5" customHeight="1">
      <c r="A365" s="16">
        <v>1.0</v>
      </c>
      <c r="B365" s="16">
        <v>4.0</v>
      </c>
      <c r="C365" s="16">
        <v>0.0</v>
      </c>
      <c r="D365" s="16">
        <v>0.0</v>
      </c>
      <c r="E365" s="16">
        <v>0.0</v>
      </c>
      <c r="F365" s="16">
        <v>0.0</v>
      </c>
      <c r="G365" s="18">
        <v>0.0</v>
      </c>
      <c r="H365" s="16" t="s">
        <v>287</v>
      </c>
      <c r="I365" s="19">
        <f t="shared" si="1"/>
        <v>0</v>
      </c>
      <c r="J365" s="19">
        <f t="shared" si="2"/>
        <v>0</v>
      </c>
    </row>
    <row r="366" ht="22.5" customHeight="1">
      <c r="A366" s="16">
        <v>2.0</v>
      </c>
      <c r="B366" s="16">
        <v>8.0</v>
      </c>
      <c r="C366" s="16">
        <v>0.0</v>
      </c>
      <c r="D366" s="16">
        <v>0.0</v>
      </c>
      <c r="E366" s="16">
        <v>0.0</v>
      </c>
      <c r="F366" s="16">
        <v>0.0</v>
      </c>
      <c r="G366" s="18">
        <v>0.0</v>
      </c>
      <c r="H366" s="16" t="s">
        <v>287</v>
      </c>
      <c r="I366" s="19">
        <f t="shared" si="1"/>
        <v>0</v>
      </c>
      <c r="J366" s="19">
        <f t="shared" si="2"/>
        <v>0</v>
      </c>
    </row>
    <row r="367" ht="22.5" customHeight="1">
      <c r="A367" s="16">
        <v>2.0</v>
      </c>
      <c r="B367" s="16">
        <v>8.0</v>
      </c>
      <c r="C367" s="16">
        <v>0.0</v>
      </c>
      <c r="D367" s="16">
        <v>0.0</v>
      </c>
      <c r="E367" s="16">
        <v>0.0</v>
      </c>
      <c r="F367" s="16">
        <v>0.0</v>
      </c>
      <c r="G367" s="18">
        <v>0.0</v>
      </c>
      <c r="H367" s="16" t="s">
        <v>289</v>
      </c>
      <c r="I367" s="19">
        <f t="shared" si="1"/>
        <v>0</v>
      </c>
      <c r="J367" s="19">
        <f t="shared" si="2"/>
        <v>0</v>
      </c>
    </row>
    <row r="368" ht="22.5" customHeight="1">
      <c r="A368" s="16">
        <v>1.0</v>
      </c>
      <c r="B368" s="16">
        <v>4.0</v>
      </c>
      <c r="C368" s="16">
        <v>0.0</v>
      </c>
      <c r="D368" s="16">
        <v>0.0</v>
      </c>
      <c r="E368" s="16">
        <v>0.0</v>
      </c>
      <c r="F368" s="16">
        <v>0.0</v>
      </c>
      <c r="G368" s="18">
        <v>0.0</v>
      </c>
      <c r="H368" s="16" t="s">
        <v>289</v>
      </c>
      <c r="I368" s="19">
        <f t="shared" si="1"/>
        <v>0</v>
      </c>
      <c r="J368" s="19">
        <f t="shared" si="2"/>
        <v>0</v>
      </c>
    </row>
    <row r="369" ht="22.5" customHeight="1">
      <c r="A369" s="16">
        <v>2.0</v>
      </c>
      <c r="B369" s="16">
        <v>8.0</v>
      </c>
      <c r="C369" s="16">
        <v>0.0</v>
      </c>
      <c r="D369" s="16">
        <v>0.0</v>
      </c>
      <c r="E369" s="16">
        <v>0.0</v>
      </c>
      <c r="F369" s="16">
        <v>0.0</v>
      </c>
      <c r="G369" s="18">
        <v>0.0</v>
      </c>
      <c r="H369" s="16" t="s">
        <v>289</v>
      </c>
      <c r="I369" s="19">
        <f t="shared" si="1"/>
        <v>0</v>
      </c>
      <c r="J369" s="19">
        <f t="shared" si="2"/>
        <v>0</v>
      </c>
    </row>
    <row r="370" ht="22.5" customHeight="1">
      <c r="A370" s="16">
        <v>2.0</v>
      </c>
      <c r="B370" s="16">
        <v>8.0</v>
      </c>
      <c r="C370" s="16">
        <v>1.0</v>
      </c>
      <c r="D370" s="16">
        <v>0.0</v>
      </c>
      <c r="E370" s="16">
        <v>0.0</v>
      </c>
      <c r="F370" s="16">
        <v>0.0</v>
      </c>
      <c r="G370" s="18">
        <v>0.0</v>
      </c>
      <c r="H370" s="16" t="s">
        <v>321</v>
      </c>
      <c r="I370" s="19">
        <f t="shared" si="1"/>
        <v>0</v>
      </c>
      <c r="J370" s="19">
        <f t="shared" si="2"/>
        <v>0</v>
      </c>
    </row>
    <row r="371" ht="22.5" customHeight="1">
      <c r="A371" s="16">
        <v>1.0</v>
      </c>
      <c r="B371" s="16">
        <v>4.0</v>
      </c>
      <c r="C371" s="16">
        <v>0.0</v>
      </c>
      <c r="D371" s="16">
        <v>0.0</v>
      </c>
      <c r="E371" s="16">
        <v>0.0</v>
      </c>
      <c r="F371" s="16">
        <v>0.0</v>
      </c>
      <c r="G371" s="18">
        <v>0.0</v>
      </c>
      <c r="H371" s="16" t="s">
        <v>321</v>
      </c>
      <c r="I371" s="19">
        <f t="shared" si="1"/>
        <v>0</v>
      </c>
      <c r="J371" s="19">
        <f t="shared" si="2"/>
        <v>0</v>
      </c>
    </row>
    <row r="372" ht="22.5" customHeight="1">
      <c r="A372" s="16">
        <v>1.0</v>
      </c>
      <c r="B372" s="16">
        <v>4.0</v>
      </c>
      <c r="C372" s="16">
        <v>0.0</v>
      </c>
      <c r="D372" s="16">
        <v>0.0</v>
      </c>
      <c r="E372" s="16">
        <v>0.0</v>
      </c>
      <c r="F372" s="16">
        <v>0.0</v>
      </c>
      <c r="G372" s="18">
        <v>0.0</v>
      </c>
      <c r="H372" s="16" t="s">
        <v>321</v>
      </c>
      <c r="I372" s="19">
        <f t="shared" si="1"/>
        <v>0</v>
      </c>
      <c r="J372" s="19">
        <f t="shared" si="2"/>
        <v>0</v>
      </c>
    </row>
    <row r="373" ht="22.5" customHeight="1">
      <c r="A373" s="16">
        <v>2.0</v>
      </c>
      <c r="B373" s="16">
        <v>8.0</v>
      </c>
      <c r="C373" s="16">
        <v>1.0</v>
      </c>
      <c r="D373" s="16">
        <v>-2.0</v>
      </c>
      <c r="E373" s="16">
        <v>0.5</v>
      </c>
      <c r="F373" s="16">
        <v>0.0</v>
      </c>
      <c r="G373" s="18">
        <v>0.0</v>
      </c>
      <c r="H373" s="16" t="s">
        <v>323</v>
      </c>
      <c r="I373" s="19">
        <f t="shared" si="1"/>
        <v>-4</v>
      </c>
      <c r="J373" s="19">
        <f t="shared" si="2"/>
        <v>1</v>
      </c>
    </row>
    <row r="374" ht="22.5" customHeight="1">
      <c r="A374" s="16">
        <v>1.0</v>
      </c>
      <c r="B374" s="16">
        <v>4.0</v>
      </c>
      <c r="C374" s="16">
        <v>0.0</v>
      </c>
      <c r="D374" s="16">
        <v>0.0</v>
      </c>
      <c r="E374" s="16">
        <v>0.0</v>
      </c>
      <c r="F374" s="16">
        <v>0.0</v>
      </c>
      <c r="G374" s="18">
        <v>0.0</v>
      </c>
      <c r="H374" s="16" t="s">
        <v>323</v>
      </c>
      <c r="I374" s="19">
        <f t="shared" si="1"/>
        <v>0</v>
      </c>
      <c r="J374" s="19">
        <f t="shared" si="2"/>
        <v>0</v>
      </c>
    </row>
    <row r="375" ht="22.5" customHeight="1">
      <c r="A375" s="16">
        <v>2.0</v>
      </c>
      <c r="B375" s="16">
        <v>8.0</v>
      </c>
      <c r="C375" s="16">
        <v>0.0</v>
      </c>
      <c r="D375" s="16">
        <v>0.0</v>
      </c>
      <c r="E375" s="16">
        <v>0.0</v>
      </c>
      <c r="F375" s="16">
        <v>0.0</v>
      </c>
      <c r="G375" s="18">
        <v>0.0</v>
      </c>
      <c r="H375" s="16" t="s">
        <v>323</v>
      </c>
      <c r="I375" s="19">
        <f t="shared" si="1"/>
        <v>0</v>
      </c>
      <c r="J375" s="19">
        <f t="shared" si="2"/>
        <v>0</v>
      </c>
    </row>
    <row r="376" ht="22.5" customHeight="1">
      <c r="A376" s="16">
        <v>1.0</v>
      </c>
      <c r="B376" s="16">
        <v>4.0</v>
      </c>
      <c r="C376" s="16">
        <v>1.0</v>
      </c>
      <c r="D376" s="16">
        <v>4.0</v>
      </c>
      <c r="E376" s="16">
        <v>0.0</v>
      </c>
      <c r="F376" s="16">
        <v>0.0</v>
      </c>
      <c r="G376" s="18">
        <v>1.0</v>
      </c>
      <c r="H376" s="16" t="s">
        <v>278</v>
      </c>
      <c r="I376" s="19">
        <f t="shared" si="1"/>
        <v>4</v>
      </c>
      <c r="J376" s="19">
        <f t="shared" si="2"/>
        <v>0</v>
      </c>
    </row>
    <row r="377" ht="22.5" customHeight="1">
      <c r="A377" s="16">
        <v>3.0</v>
      </c>
      <c r="B377" s="16">
        <v>11.0</v>
      </c>
      <c r="C377" s="16">
        <v>4.0</v>
      </c>
      <c r="D377" s="16">
        <v>5.33</v>
      </c>
      <c r="E377" s="16">
        <v>0.0</v>
      </c>
      <c r="F377" s="16">
        <v>0.0</v>
      </c>
      <c r="G377" s="18">
        <v>1.0</v>
      </c>
      <c r="H377" s="16" t="s">
        <v>278</v>
      </c>
      <c r="I377" s="19">
        <f t="shared" si="1"/>
        <v>16</v>
      </c>
      <c r="J377" s="19">
        <f t="shared" si="2"/>
        <v>0</v>
      </c>
    </row>
    <row r="378" ht="22.5" customHeight="1">
      <c r="A378" s="16">
        <v>1.0</v>
      </c>
      <c r="B378" s="16">
        <v>4.0</v>
      </c>
      <c r="C378" s="16">
        <v>0.0</v>
      </c>
      <c r="D378" s="16">
        <v>0.0</v>
      </c>
      <c r="E378" s="16">
        <v>0.0</v>
      </c>
      <c r="F378" s="16">
        <v>0.0</v>
      </c>
      <c r="G378" s="18">
        <v>0.0</v>
      </c>
      <c r="H378" s="16" t="s">
        <v>325</v>
      </c>
      <c r="I378" s="19">
        <f t="shared" si="1"/>
        <v>0</v>
      </c>
      <c r="J378" s="19">
        <f t="shared" si="2"/>
        <v>0</v>
      </c>
    </row>
    <row r="379" ht="22.5" customHeight="1">
      <c r="A379" s="16">
        <v>4.0</v>
      </c>
      <c r="B379" s="16">
        <v>15.0</v>
      </c>
      <c r="C379" s="16">
        <v>0.0</v>
      </c>
      <c r="D379" s="16">
        <v>0.0</v>
      </c>
      <c r="E379" s="16">
        <v>0.0</v>
      </c>
      <c r="F379" s="16">
        <v>0.0</v>
      </c>
      <c r="G379" s="18">
        <v>0.0</v>
      </c>
      <c r="H379" s="16" t="s">
        <v>325</v>
      </c>
      <c r="I379" s="19">
        <f t="shared" si="1"/>
        <v>0</v>
      </c>
      <c r="J379" s="19">
        <f t="shared" si="2"/>
        <v>0</v>
      </c>
    </row>
    <row r="380" ht="22.5" customHeight="1">
      <c r="A380" s="16">
        <v>1.0</v>
      </c>
      <c r="B380" s="16">
        <v>4.0</v>
      </c>
      <c r="C380" s="16">
        <v>0.0</v>
      </c>
      <c r="D380" s="16">
        <v>0.0</v>
      </c>
      <c r="E380" s="16">
        <v>0.0</v>
      </c>
      <c r="F380" s="16">
        <v>0.0</v>
      </c>
      <c r="G380" s="18">
        <v>0.0</v>
      </c>
      <c r="H380" s="16" t="s">
        <v>326</v>
      </c>
      <c r="I380" s="19">
        <f t="shared" si="1"/>
        <v>0</v>
      </c>
      <c r="J380" s="19">
        <f t="shared" si="2"/>
        <v>0</v>
      </c>
    </row>
    <row r="381" ht="22.5" customHeight="1">
      <c r="A381" s="16">
        <v>2.0</v>
      </c>
      <c r="B381" s="16">
        <v>8.0</v>
      </c>
      <c r="C381" s="16">
        <v>0.0</v>
      </c>
      <c r="D381" s="16">
        <v>0.0</v>
      </c>
      <c r="E381" s="16">
        <v>0.0</v>
      </c>
      <c r="F381" s="16">
        <v>0.0</v>
      </c>
      <c r="G381" s="18">
        <v>0.0</v>
      </c>
      <c r="H381" s="16" t="s">
        <v>326</v>
      </c>
      <c r="I381" s="19">
        <f t="shared" si="1"/>
        <v>0</v>
      </c>
      <c r="J381" s="19">
        <f t="shared" si="2"/>
        <v>0</v>
      </c>
    </row>
    <row r="382" ht="22.5" customHeight="1">
      <c r="A382" s="16">
        <v>1.0</v>
      </c>
      <c r="B382" s="16">
        <v>4.0</v>
      </c>
      <c r="C382" s="16">
        <v>1.0</v>
      </c>
      <c r="D382" s="16">
        <v>0.0</v>
      </c>
      <c r="E382" s="16">
        <v>0.0</v>
      </c>
      <c r="F382" s="16">
        <v>0.0</v>
      </c>
      <c r="G382" s="18">
        <v>0.0</v>
      </c>
      <c r="H382" s="16" t="s">
        <v>311</v>
      </c>
      <c r="I382" s="19">
        <f t="shared" si="1"/>
        <v>0</v>
      </c>
      <c r="J382" s="19">
        <f t="shared" si="2"/>
        <v>0</v>
      </c>
    </row>
    <row r="383" ht="22.5" customHeight="1">
      <c r="A383" s="16">
        <v>4.0</v>
      </c>
      <c r="B383" s="16">
        <v>15.0</v>
      </c>
      <c r="C383" s="16">
        <v>3.0</v>
      </c>
      <c r="D383" s="16">
        <v>1.0</v>
      </c>
      <c r="E383" s="16">
        <v>0.0</v>
      </c>
      <c r="F383" s="16">
        <v>0.0</v>
      </c>
      <c r="G383" s="20">
        <v>0.333</v>
      </c>
      <c r="H383" s="16" t="s">
        <v>311</v>
      </c>
      <c r="I383" s="19">
        <f t="shared" si="1"/>
        <v>4</v>
      </c>
      <c r="J383" s="19">
        <f t="shared" si="2"/>
        <v>0</v>
      </c>
    </row>
    <row r="384" ht="22.5" customHeight="1">
      <c r="A384" s="16">
        <v>1.0</v>
      </c>
      <c r="B384" s="16">
        <v>3.0</v>
      </c>
      <c r="C384" s="16">
        <v>0.0</v>
      </c>
      <c r="D384" s="16">
        <v>0.0</v>
      </c>
      <c r="E384" s="16">
        <v>0.0</v>
      </c>
      <c r="F384" s="16">
        <v>0.0</v>
      </c>
      <c r="G384" s="18">
        <v>0.0</v>
      </c>
      <c r="H384" s="16" t="s">
        <v>322</v>
      </c>
      <c r="I384" s="19">
        <f t="shared" si="1"/>
        <v>0</v>
      </c>
      <c r="J384" s="19">
        <f t="shared" si="2"/>
        <v>0</v>
      </c>
    </row>
    <row r="385" ht="22.5" customHeight="1">
      <c r="A385" s="16">
        <v>3.0</v>
      </c>
      <c r="B385" s="16">
        <v>12.0</v>
      </c>
      <c r="C385" s="16">
        <v>2.0</v>
      </c>
      <c r="D385" s="16">
        <v>0.0</v>
      </c>
      <c r="E385" s="16">
        <v>0.0</v>
      </c>
      <c r="F385" s="16">
        <v>0.0</v>
      </c>
      <c r="G385" s="18">
        <v>0.0</v>
      </c>
      <c r="H385" s="16" t="s">
        <v>322</v>
      </c>
      <c r="I385" s="19">
        <f t="shared" si="1"/>
        <v>0</v>
      </c>
      <c r="J385" s="19">
        <f t="shared" si="2"/>
        <v>0</v>
      </c>
    </row>
    <row r="386" ht="22.5" customHeight="1">
      <c r="A386" s="16">
        <v>3.0</v>
      </c>
      <c r="B386" s="16">
        <v>12.0</v>
      </c>
      <c r="C386" s="16">
        <v>2.0</v>
      </c>
      <c r="D386" s="16">
        <v>1.33</v>
      </c>
      <c r="E386" s="16">
        <v>0.0</v>
      </c>
      <c r="F386" s="16">
        <v>0.0</v>
      </c>
      <c r="G386" s="18">
        <v>0.5</v>
      </c>
      <c r="H386" s="16" t="s">
        <v>328</v>
      </c>
      <c r="I386" s="19">
        <f t="shared" si="1"/>
        <v>4</v>
      </c>
      <c r="J386" s="19">
        <f t="shared" si="2"/>
        <v>0</v>
      </c>
    </row>
    <row r="387" ht="22.5" customHeight="1">
      <c r="A387" s="16">
        <v>3.0</v>
      </c>
      <c r="B387" s="16">
        <v>12.0</v>
      </c>
      <c r="C387" s="16">
        <v>2.0</v>
      </c>
      <c r="D387" s="16">
        <v>0.0</v>
      </c>
      <c r="E387" s="16">
        <v>0.0</v>
      </c>
      <c r="F387" s="16">
        <v>0.0</v>
      </c>
      <c r="G387" s="18">
        <v>0.0</v>
      </c>
      <c r="H387" s="16" t="s">
        <v>329</v>
      </c>
      <c r="I387" s="19">
        <f t="shared" si="1"/>
        <v>0</v>
      </c>
      <c r="J387" s="19">
        <f t="shared" si="2"/>
        <v>0</v>
      </c>
    </row>
    <row r="388" ht="22.5" customHeight="1">
      <c r="A388" s="16">
        <v>1.0</v>
      </c>
      <c r="B388" s="16">
        <v>4.0</v>
      </c>
      <c r="C388" s="16">
        <v>1.0</v>
      </c>
      <c r="D388" s="16">
        <v>0.0</v>
      </c>
      <c r="E388" s="16">
        <v>0.0</v>
      </c>
      <c r="F388" s="16">
        <v>0.0</v>
      </c>
      <c r="G388" s="18">
        <v>0.0</v>
      </c>
      <c r="H388" s="16" t="s">
        <v>329</v>
      </c>
      <c r="I388" s="19">
        <f t="shared" si="1"/>
        <v>0</v>
      </c>
      <c r="J388" s="19">
        <f t="shared" si="2"/>
        <v>0</v>
      </c>
    </row>
    <row r="389" ht="22.5" customHeight="1">
      <c r="A389" s="16">
        <v>2.0</v>
      </c>
      <c r="B389" s="16">
        <v>8.0</v>
      </c>
      <c r="C389" s="16">
        <v>0.0</v>
      </c>
      <c r="D389" s="16">
        <v>0.0</v>
      </c>
      <c r="E389" s="16">
        <v>0.0</v>
      </c>
      <c r="F389" s="16">
        <v>0.0</v>
      </c>
      <c r="G389" s="18">
        <v>0.0</v>
      </c>
      <c r="H389" s="16" t="s">
        <v>330</v>
      </c>
      <c r="I389" s="19">
        <f t="shared" si="1"/>
        <v>0</v>
      </c>
      <c r="J389" s="19">
        <f t="shared" si="2"/>
        <v>0</v>
      </c>
    </row>
    <row r="390" ht="22.5" customHeight="1">
      <c r="A390" s="16">
        <v>3.0</v>
      </c>
      <c r="B390" s="16">
        <v>12.0</v>
      </c>
      <c r="C390" s="16">
        <v>1.0</v>
      </c>
      <c r="D390" s="16">
        <v>1.33</v>
      </c>
      <c r="E390" s="16">
        <v>0.0</v>
      </c>
      <c r="F390" s="16">
        <v>0.0</v>
      </c>
      <c r="G390" s="18">
        <v>1.0</v>
      </c>
      <c r="H390" s="16" t="s">
        <v>330</v>
      </c>
      <c r="I390" s="19">
        <f t="shared" si="1"/>
        <v>4</v>
      </c>
      <c r="J390" s="19">
        <f t="shared" si="2"/>
        <v>0</v>
      </c>
    </row>
    <row r="391" ht="22.5" customHeight="1">
      <c r="A391" s="16">
        <v>2.0</v>
      </c>
      <c r="B391" s="16">
        <v>8.0</v>
      </c>
      <c r="C391" s="16">
        <v>5.0</v>
      </c>
      <c r="D391" s="16">
        <v>6.0</v>
      </c>
      <c r="E391" s="16">
        <v>0.0</v>
      </c>
      <c r="F391" s="16">
        <v>0.0</v>
      </c>
      <c r="G391" s="18">
        <v>0.6</v>
      </c>
      <c r="H391" s="16" t="s">
        <v>331</v>
      </c>
      <c r="I391" s="19">
        <f t="shared" si="1"/>
        <v>12</v>
      </c>
      <c r="J391" s="19">
        <f t="shared" si="2"/>
        <v>0</v>
      </c>
    </row>
    <row r="392" ht="22.5" customHeight="1">
      <c r="A392" s="16">
        <v>2.0</v>
      </c>
      <c r="B392" s="16">
        <v>8.0</v>
      </c>
      <c r="C392" s="16">
        <v>2.0</v>
      </c>
      <c r="D392" s="16">
        <v>0.0</v>
      </c>
      <c r="E392" s="16">
        <v>0.0</v>
      </c>
      <c r="F392" s="16">
        <v>0.0</v>
      </c>
      <c r="G392" s="18">
        <v>0.0</v>
      </c>
      <c r="H392" s="16" t="s">
        <v>331</v>
      </c>
      <c r="I392" s="19">
        <f t="shared" si="1"/>
        <v>0</v>
      </c>
      <c r="J392" s="19">
        <f t="shared" si="2"/>
        <v>0</v>
      </c>
    </row>
    <row r="393" ht="22.5" customHeight="1">
      <c r="A393" s="16">
        <v>1.0</v>
      </c>
      <c r="B393" s="16">
        <v>4.0</v>
      </c>
      <c r="C393" s="16">
        <v>0.0</v>
      </c>
      <c r="D393" s="16">
        <v>0.0</v>
      </c>
      <c r="E393" s="16">
        <v>0.0</v>
      </c>
      <c r="F393" s="16">
        <v>0.0</v>
      </c>
      <c r="G393" s="18">
        <v>0.0</v>
      </c>
      <c r="H393" s="16" t="s">
        <v>332</v>
      </c>
      <c r="I393" s="19">
        <f t="shared" si="1"/>
        <v>0</v>
      </c>
      <c r="J393" s="19">
        <f t="shared" si="2"/>
        <v>0</v>
      </c>
    </row>
    <row r="394" ht="22.5" customHeight="1">
      <c r="A394" s="16">
        <v>1.0</v>
      </c>
      <c r="B394" s="16">
        <v>4.0</v>
      </c>
      <c r="C394" s="16">
        <v>0.0</v>
      </c>
      <c r="D394" s="16">
        <v>0.0</v>
      </c>
      <c r="E394" s="16">
        <v>0.0</v>
      </c>
      <c r="F394" s="16">
        <v>0.0</v>
      </c>
      <c r="G394" s="18">
        <v>0.0</v>
      </c>
      <c r="H394" s="16" t="s">
        <v>332</v>
      </c>
      <c r="I394" s="19">
        <f t="shared" si="1"/>
        <v>0</v>
      </c>
      <c r="J394" s="19">
        <f t="shared" si="2"/>
        <v>0</v>
      </c>
    </row>
    <row r="395" ht="22.5" customHeight="1">
      <c r="A395" s="16">
        <v>1.0</v>
      </c>
      <c r="B395" s="16">
        <v>4.0</v>
      </c>
      <c r="C395" s="16">
        <v>0.0</v>
      </c>
      <c r="D395" s="16">
        <v>0.0</v>
      </c>
      <c r="E395" s="16">
        <v>0.0</v>
      </c>
      <c r="F395" s="16">
        <v>0.0</v>
      </c>
      <c r="G395" s="18">
        <v>0.0</v>
      </c>
      <c r="H395" s="16" t="s">
        <v>333</v>
      </c>
      <c r="I395" s="19">
        <f t="shared" si="1"/>
        <v>0</v>
      </c>
      <c r="J395" s="19">
        <f t="shared" si="2"/>
        <v>0</v>
      </c>
    </row>
    <row r="396" ht="22.5" customHeight="1">
      <c r="A396" s="16">
        <v>3.0</v>
      </c>
      <c r="B396" s="16">
        <v>11.0</v>
      </c>
      <c r="C396" s="16">
        <v>0.0</v>
      </c>
      <c r="D396" s="16">
        <v>0.0</v>
      </c>
      <c r="E396" s="16">
        <v>0.0</v>
      </c>
      <c r="F396" s="16">
        <v>0.0</v>
      </c>
      <c r="G396" s="18">
        <v>0.0</v>
      </c>
      <c r="H396" s="16" t="s">
        <v>333</v>
      </c>
      <c r="I396" s="19">
        <f t="shared" si="1"/>
        <v>0</v>
      </c>
      <c r="J396" s="19">
        <f t="shared" si="2"/>
        <v>0</v>
      </c>
    </row>
    <row r="397" ht="22.5" customHeight="1">
      <c r="A397" s="16">
        <v>3.0</v>
      </c>
      <c r="B397" s="16">
        <v>11.0</v>
      </c>
      <c r="C397" s="16">
        <v>0.0</v>
      </c>
      <c r="D397" s="16">
        <v>0.0</v>
      </c>
      <c r="E397" s="16">
        <v>0.0</v>
      </c>
      <c r="F397" s="16">
        <v>0.0</v>
      </c>
      <c r="G397" s="18">
        <v>0.0</v>
      </c>
      <c r="H397" s="16" t="s">
        <v>324</v>
      </c>
      <c r="I397" s="19">
        <f t="shared" si="1"/>
        <v>0</v>
      </c>
      <c r="J397" s="19">
        <f t="shared" si="2"/>
        <v>0</v>
      </c>
    </row>
    <row r="398" ht="22.5" customHeight="1">
      <c r="A398" s="16">
        <v>1.0</v>
      </c>
      <c r="B398" s="16">
        <v>4.0</v>
      </c>
      <c r="C398" s="16">
        <v>2.0</v>
      </c>
      <c r="D398" s="16">
        <v>4.0</v>
      </c>
      <c r="E398" s="16">
        <v>0.0</v>
      </c>
      <c r="F398" s="16">
        <v>0.0</v>
      </c>
      <c r="G398" s="18">
        <v>0.5</v>
      </c>
      <c r="H398" s="16" t="s">
        <v>324</v>
      </c>
      <c r="I398" s="19">
        <f t="shared" si="1"/>
        <v>4</v>
      </c>
      <c r="J398" s="19">
        <f t="shared" si="2"/>
        <v>0</v>
      </c>
    </row>
    <row r="399" ht="22.5" customHeight="1">
      <c r="A399" s="16">
        <v>4.0</v>
      </c>
      <c r="B399" s="16">
        <v>15.0</v>
      </c>
      <c r="C399" s="16">
        <v>0.0</v>
      </c>
      <c r="D399" s="16">
        <v>0.0</v>
      </c>
      <c r="E399" s="16">
        <v>0.0</v>
      </c>
      <c r="F399" s="16">
        <v>0.0</v>
      </c>
      <c r="G399" s="18">
        <v>0.0</v>
      </c>
      <c r="H399" s="16" t="s">
        <v>186</v>
      </c>
      <c r="I399" s="19">
        <f t="shared" si="1"/>
        <v>0</v>
      </c>
      <c r="J399" s="19">
        <f t="shared" si="2"/>
        <v>0</v>
      </c>
    </row>
    <row r="400" ht="22.5" customHeight="1">
      <c r="A400" s="16">
        <v>1.0</v>
      </c>
      <c r="B400" s="16">
        <v>4.0</v>
      </c>
      <c r="C400" s="16">
        <v>1.0</v>
      </c>
      <c r="D400" s="16">
        <v>4.0</v>
      </c>
      <c r="E400" s="16">
        <v>0.0</v>
      </c>
      <c r="F400" s="16">
        <v>0.0</v>
      </c>
      <c r="G400" s="18">
        <v>1.0</v>
      </c>
      <c r="H400" s="16" t="s">
        <v>186</v>
      </c>
      <c r="I400" s="19">
        <f t="shared" si="1"/>
        <v>4</v>
      </c>
      <c r="J400" s="19">
        <f t="shared" si="2"/>
        <v>0</v>
      </c>
    </row>
    <row r="401" ht="22.5" customHeight="1">
      <c r="A401" s="16">
        <v>4.0</v>
      </c>
      <c r="B401" s="16">
        <v>15.0</v>
      </c>
      <c r="C401" s="16">
        <v>11.0</v>
      </c>
      <c r="D401" s="16">
        <v>4.0</v>
      </c>
      <c r="E401" s="16">
        <v>0.5</v>
      </c>
      <c r="F401" s="16">
        <v>0.0</v>
      </c>
      <c r="G401" s="20">
        <v>0.545</v>
      </c>
      <c r="H401" s="16" t="s">
        <v>157</v>
      </c>
      <c r="I401" s="19">
        <f t="shared" si="1"/>
        <v>16</v>
      </c>
      <c r="J401" s="19">
        <f t="shared" si="2"/>
        <v>2</v>
      </c>
    </row>
    <row r="402" ht="22.5" customHeight="1">
      <c r="A402" s="16">
        <v>1.0</v>
      </c>
      <c r="B402" s="16">
        <v>4.0</v>
      </c>
      <c r="C402" s="16">
        <v>1.0</v>
      </c>
      <c r="D402" s="16">
        <v>0.0</v>
      </c>
      <c r="E402" s="16">
        <v>0.0</v>
      </c>
      <c r="F402" s="16">
        <v>0.0</v>
      </c>
      <c r="G402" s="18">
        <v>0.0</v>
      </c>
      <c r="H402" s="16" t="s">
        <v>157</v>
      </c>
      <c r="I402" s="19">
        <f t="shared" si="1"/>
        <v>0</v>
      </c>
      <c r="J402" s="19">
        <f t="shared" si="2"/>
        <v>0</v>
      </c>
    </row>
    <row r="403" ht="22.5" customHeight="1">
      <c r="A403" s="16">
        <v>5.0</v>
      </c>
      <c r="B403" s="16">
        <v>20.0</v>
      </c>
      <c r="C403" s="16">
        <v>9.0</v>
      </c>
      <c r="D403" s="16">
        <v>1.6</v>
      </c>
      <c r="E403" s="16">
        <v>0.4</v>
      </c>
      <c r="F403" s="16">
        <v>0.0</v>
      </c>
      <c r="G403" s="20">
        <v>0.444</v>
      </c>
      <c r="H403" s="16" t="s">
        <v>155</v>
      </c>
      <c r="I403" s="19">
        <f t="shared" si="1"/>
        <v>8</v>
      </c>
      <c r="J403" s="19">
        <f t="shared" si="2"/>
        <v>2</v>
      </c>
    </row>
    <row r="404" ht="22.5" customHeight="1">
      <c r="A404" s="16">
        <v>5.0</v>
      </c>
      <c r="B404" s="16">
        <v>20.0</v>
      </c>
      <c r="C404" s="16">
        <v>7.0</v>
      </c>
      <c r="D404" s="16">
        <v>3.2</v>
      </c>
      <c r="E404" s="16">
        <v>0.2</v>
      </c>
      <c r="F404" s="16">
        <v>0.0</v>
      </c>
      <c r="G404" s="20">
        <v>0.714</v>
      </c>
      <c r="H404" s="16" t="s">
        <v>212</v>
      </c>
      <c r="I404" s="19">
        <f t="shared" si="1"/>
        <v>16</v>
      </c>
      <c r="J404" s="19">
        <f t="shared" si="2"/>
        <v>1</v>
      </c>
    </row>
    <row r="405" ht="22.5" customHeight="1">
      <c r="A405" s="16">
        <v>1.0</v>
      </c>
      <c r="B405" s="16">
        <v>4.0</v>
      </c>
      <c r="C405" s="16">
        <v>0.0</v>
      </c>
      <c r="D405" s="16">
        <v>0.0</v>
      </c>
      <c r="E405" s="16">
        <v>0.0</v>
      </c>
      <c r="F405" s="16">
        <v>0.0</v>
      </c>
      <c r="G405" s="18">
        <v>0.0</v>
      </c>
      <c r="H405" s="16" t="s">
        <v>334</v>
      </c>
      <c r="I405" s="19">
        <f t="shared" si="1"/>
        <v>0</v>
      </c>
      <c r="J405" s="19">
        <f t="shared" si="2"/>
        <v>0</v>
      </c>
    </row>
    <row r="406" ht="22.5" customHeight="1">
      <c r="A406" s="16">
        <v>5.0</v>
      </c>
      <c r="B406" s="16">
        <v>20.0</v>
      </c>
      <c r="C406" s="16">
        <v>0.0</v>
      </c>
      <c r="D406" s="16">
        <v>0.0</v>
      </c>
      <c r="E406" s="16">
        <v>0.0</v>
      </c>
      <c r="F406" s="16">
        <v>0.0</v>
      </c>
      <c r="G406" s="18">
        <v>0.0</v>
      </c>
      <c r="H406" s="16" t="s">
        <v>215</v>
      </c>
      <c r="I406" s="19">
        <f t="shared" si="1"/>
        <v>0</v>
      </c>
      <c r="J406" s="19">
        <f t="shared" si="2"/>
        <v>0</v>
      </c>
    </row>
    <row r="407" ht="22.5" customHeight="1">
      <c r="A407" s="16">
        <v>2.0</v>
      </c>
      <c r="B407" s="16">
        <v>8.0</v>
      </c>
      <c r="C407" s="16">
        <v>0.0</v>
      </c>
      <c r="D407" s="16">
        <v>0.0</v>
      </c>
      <c r="E407" s="16">
        <v>0.0</v>
      </c>
      <c r="F407" s="16">
        <v>0.0</v>
      </c>
      <c r="G407" s="18">
        <v>0.0</v>
      </c>
      <c r="H407" s="16" t="s">
        <v>168</v>
      </c>
      <c r="I407" s="19">
        <f t="shared" si="1"/>
        <v>0</v>
      </c>
      <c r="J407" s="19">
        <f t="shared" si="2"/>
        <v>0</v>
      </c>
    </row>
    <row r="408" ht="22.5" customHeight="1">
      <c r="A408" s="16">
        <v>3.0</v>
      </c>
      <c r="B408" s="16">
        <v>11.0</v>
      </c>
      <c r="C408" s="16">
        <v>0.0</v>
      </c>
      <c r="D408" s="16">
        <v>0.0</v>
      </c>
      <c r="E408" s="16">
        <v>0.0</v>
      </c>
      <c r="F408" s="16">
        <v>0.0</v>
      </c>
      <c r="G408" s="18">
        <v>0.0</v>
      </c>
      <c r="H408" s="16" t="s">
        <v>168</v>
      </c>
      <c r="I408" s="19">
        <f t="shared" si="1"/>
        <v>0</v>
      </c>
      <c r="J408" s="19">
        <f t="shared" si="2"/>
        <v>0</v>
      </c>
    </row>
    <row r="409" ht="22.5" customHeight="1">
      <c r="A409" s="16">
        <v>1.0</v>
      </c>
      <c r="B409" s="16">
        <v>4.0</v>
      </c>
      <c r="C409" s="16">
        <v>3.0</v>
      </c>
      <c r="D409" s="16">
        <v>12.0</v>
      </c>
      <c r="E409" s="16">
        <v>0.0</v>
      </c>
      <c r="F409" s="16">
        <v>0.0</v>
      </c>
      <c r="G409" s="18">
        <v>1.0</v>
      </c>
      <c r="H409" s="16" t="s">
        <v>113</v>
      </c>
      <c r="I409" s="19">
        <f t="shared" si="1"/>
        <v>12</v>
      </c>
      <c r="J409" s="19">
        <f t="shared" si="2"/>
        <v>0</v>
      </c>
    </row>
    <row r="410" ht="22.5" customHeight="1">
      <c r="A410" s="16">
        <v>1.0</v>
      </c>
      <c r="B410" s="16">
        <v>4.0</v>
      </c>
      <c r="C410" s="16">
        <v>3.0</v>
      </c>
      <c r="D410" s="16">
        <v>12.0</v>
      </c>
      <c r="E410" s="16">
        <v>0.0</v>
      </c>
      <c r="F410" s="16">
        <v>0.0</v>
      </c>
      <c r="G410" s="18">
        <v>1.0</v>
      </c>
      <c r="H410" s="16" t="s">
        <v>113</v>
      </c>
      <c r="I410" s="19">
        <f t="shared" si="1"/>
        <v>12</v>
      </c>
      <c r="J410" s="19">
        <f t="shared" si="2"/>
        <v>0</v>
      </c>
    </row>
    <row r="411" ht="22.5" customHeight="1">
      <c r="A411" s="16">
        <v>3.0</v>
      </c>
      <c r="B411" s="16">
        <v>11.0</v>
      </c>
      <c r="C411" s="16">
        <v>8.0</v>
      </c>
      <c r="D411" s="16">
        <v>1.33</v>
      </c>
      <c r="E411" s="16">
        <v>0.67</v>
      </c>
      <c r="F411" s="16">
        <v>0.0</v>
      </c>
      <c r="G411" s="20">
        <v>0.375</v>
      </c>
      <c r="H411" s="16" t="s">
        <v>113</v>
      </c>
      <c r="I411" s="19">
        <f t="shared" si="1"/>
        <v>4</v>
      </c>
      <c r="J411" s="19">
        <f t="shared" si="2"/>
        <v>2</v>
      </c>
    </row>
    <row r="412" ht="22.5" customHeight="1">
      <c r="A412" s="16">
        <v>1.0</v>
      </c>
      <c r="B412" s="16">
        <v>4.0</v>
      </c>
      <c r="C412" s="16">
        <v>0.0</v>
      </c>
      <c r="D412" s="16">
        <v>0.0</v>
      </c>
      <c r="E412" s="16">
        <v>0.0</v>
      </c>
      <c r="F412" s="16">
        <v>0.0</v>
      </c>
      <c r="G412" s="18">
        <v>0.0</v>
      </c>
      <c r="H412" s="16" t="s">
        <v>335</v>
      </c>
      <c r="I412" s="19">
        <f t="shared" si="1"/>
        <v>0</v>
      </c>
      <c r="J412" s="19">
        <f t="shared" si="2"/>
        <v>0</v>
      </c>
    </row>
    <row r="413" ht="22.5" customHeight="1">
      <c r="A413" s="16">
        <v>2.0</v>
      </c>
      <c r="B413" s="16">
        <v>8.0</v>
      </c>
      <c r="C413" s="16">
        <v>0.0</v>
      </c>
      <c r="D413" s="16">
        <v>0.0</v>
      </c>
      <c r="E413" s="16">
        <v>0.0</v>
      </c>
      <c r="F413" s="16">
        <v>0.0</v>
      </c>
      <c r="G413" s="18">
        <v>0.0</v>
      </c>
      <c r="H413" s="16" t="s">
        <v>335</v>
      </c>
      <c r="I413" s="19">
        <f t="shared" si="1"/>
        <v>0</v>
      </c>
      <c r="J413" s="19">
        <f t="shared" si="2"/>
        <v>0</v>
      </c>
    </row>
    <row r="414" ht="22.5" customHeight="1">
      <c r="A414" s="16">
        <v>1.0</v>
      </c>
      <c r="B414" s="16">
        <v>4.0</v>
      </c>
      <c r="C414" s="16">
        <v>0.0</v>
      </c>
      <c r="D414" s="16">
        <v>0.0</v>
      </c>
      <c r="E414" s="16">
        <v>0.0</v>
      </c>
      <c r="F414" s="16">
        <v>0.0</v>
      </c>
      <c r="G414" s="18">
        <v>0.0</v>
      </c>
      <c r="H414" s="16" t="s">
        <v>336</v>
      </c>
      <c r="I414" s="19">
        <f t="shared" si="1"/>
        <v>0</v>
      </c>
      <c r="J414" s="19">
        <f t="shared" si="2"/>
        <v>0</v>
      </c>
    </row>
    <row r="415" ht="22.5" customHeight="1">
      <c r="A415" s="16">
        <v>1.0</v>
      </c>
      <c r="B415" s="16">
        <v>4.0</v>
      </c>
      <c r="C415" s="16">
        <v>0.0</v>
      </c>
      <c r="D415" s="16">
        <v>0.0</v>
      </c>
      <c r="E415" s="16">
        <v>0.0</v>
      </c>
      <c r="F415" s="16">
        <v>0.0</v>
      </c>
      <c r="G415" s="18">
        <v>0.0</v>
      </c>
      <c r="H415" s="16" t="s">
        <v>336</v>
      </c>
      <c r="I415" s="19">
        <f t="shared" si="1"/>
        <v>0</v>
      </c>
      <c r="J415" s="19">
        <f t="shared" si="2"/>
        <v>0</v>
      </c>
    </row>
    <row r="416" ht="22.5" customHeight="1">
      <c r="A416" s="16">
        <v>2.0</v>
      </c>
      <c r="B416" s="16">
        <v>8.0</v>
      </c>
      <c r="C416" s="16">
        <v>1.0</v>
      </c>
      <c r="D416" s="16">
        <v>2.0</v>
      </c>
      <c r="E416" s="16">
        <v>0.0</v>
      </c>
      <c r="F416" s="16">
        <v>0.0</v>
      </c>
      <c r="G416" s="18">
        <v>1.0</v>
      </c>
      <c r="H416" s="16" t="s">
        <v>337</v>
      </c>
      <c r="I416" s="19">
        <f t="shared" si="1"/>
        <v>4</v>
      </c>
      <c r="J416" s="19">
        <f t="shared" si="2"/>
        <v>0</v>
      </c>
    </row>
    <row r="417" ht="22.5" customHeight="1">
      <c r="A417" s="16">
        <v>3.0</v>
      </c>
      <c r="B417" s="16">
        <v>11.0</v>
      </c>
      <c r="C417" s="16">
        <v>0.0</v>
      </c>
      <c r="D417" s="16">
        <v>0.0</v>
      </c>
      <c r="E417" s="16">
        <v>0.0</v>
      </c>
      <c r="F417" s="16">
        <v>0.0</v>
      </c>
      <c r="G417" s="18">
        <v>0.0</v>
      </c>
      <c r="H417" s="16" t="s">
        <v>337</v>
      </c>
      <c r="I417" s="19">
        <f t="shared" si="1"/>
        <v>0</v>
      </c>
      <c r="J417" s="19">
        <f t="shared" si="2"/>
        <v>0</v>
      </c>
    </row>
    <row r="418" ht="22.5" customHeight="1">
      <c r="A418" s="16">
        <v>4.0</v>
      </c>
      <c r="B418" s="16">
        <v>14.0</v>
      </c>
      <c r="C418" s="16">
        <v>4.0</v>
      </c>
      <c r="D418" s="16">
        <v>1.0</v>
      </c>
      <c r="E418" s="16">
        <v>0.0</v>
      </c>
      <c r="F418" s="16">
        <v>0.0</v>
      </c>
      <c r="G418" s="18">
        <v>0.25</v>
      </c>
      <c r="H418" s="16" t="s">
        <v>299</v>
      </c>
      <c r="I418" s="19">
        <f t="shared" si="1"/>
        <v>4</v>
      </c>
      <c r="J418" s="19">
        <f t="shared" si="2"/>
        <v>0</v>
      </c>
    </row>
    <row r="419" ht="22.5" customHeight="1">
      <c r="A419" s="16">
        <v>1.0</v>
      </c>
      <c r="B419" s="16">
        <v>3.0</v>
      </c>
      <c r="C419" s="16">
        <v>1.0</v>
      </c>
      <c r="D419" s="16">
        <v>4.0</v>
      </c>
      <c r="E419" s="16">
        <v>0.0</v>
      </c>
      <c r="F419" s="16">
        <v>0.0</v>
      </c>
      <c r="G419" s="18">
        <v>1.0</v>
      </c>
      <c r="H419" s="16" t="s">
        <v>256</v>
      </c>
      <c r="I419" s="19">
        <f t="shared" si="1"/>
        <v>4</v>
      </c>
      <c r="J419" s="19">
        <f t="shared" si="2"/>
        <v>0</v>
      </c>
    </row>
    <row r="420" ht="22.5" customHeight="1">
      <c r="A420" s="16">
        <v>1.0</v>
      </c>
      <c r="B420" s="16">
        <v>3.0</v>
      </c>
      <c r="C420" s="16">
        <v>0.0</v>
      </c>
      <c r="D420" s="16">
        <v>0.0</v>
      </c>
      <c r="E420" s="16">
        <v>0.0</v>
      </c>
      <c r="F420" s="16">
        <v>0.0</v>
      </c>
      <c r="G420" s="18">
        <v>0.0</v>
      </c>
      <c r="H420" s="16" t="s">
        <v>216</v>
      </c>
      <c r="I420" s="19">
        <f t="shared" si="1"/>
        <v>0</v>
      </c>
      <c r="J420" s="19">
        <f t="shared" si="2"/>
        <v>0</v>
      </c>
    </row>
    <row r="421" ht="22.5" customHeight="1">
      <c r="A421" s="16">
        <v>1.0</v>
      </c>
      <c r="B421" s="16">
        <v>4.0</v>
      </c>
      <c r="C421" s="16">
        <v>0.0</v>
      </c>
      <c r="D421" s="16">
        <v>0.0</v>
      </c>
      <c r="E421" s="16">
        <v>0.0</v>
      </c>
      <c r="F421" s="16">
        <v>0.0</v>
      </c>
      <c r="G421" s="18">
        <v>0.0</v>
      </c>
      <c r="H421" s="16" t="s">
        <v>216</v>
      </c>
      <c r="I421" s="19">
        <f t="shared" si="1"/>
        <v>0</v>
      </c>
      <c r="J421" s="19">
        <f t="shared" si="2"/>
        <v>0</v>
      </c>
    </row>
    <row r="422" ht="22.5" customHeight="1">
      <c r="A422" s="16">
        <v>3.0</v>
      </c>
      <c r="B422" s="16">
        <v>10.0</v>
      </c>
      <c r="C422" s="16">
        <v>6.0</v>
      </c>
      <c r="D422" s="16">
        <v>1.33</v>
      </c>
      <c r="E422" s="16">
        <v>0.33</v>
      </c>
      <c r="F422" s="16">
        <v>0.0</v>
      </c>
      <c r="G422" s="20">
        <v>0.333</v>
      </c>
      <c r="H422" s="16" t="s">
        <v>216</v>
      </c>
      <c r="I422" s="19">
        <f t="shared" si="1"/>
        <v>4</v>
      </c>
      <c r="J422" s="19">
        <f t="shared" si="2"/>
        <v>1</v>
      </c>
    </row>
    <row r="423" ht="22.5" customHeight="1">
      <c r="A423" s="16">
        <v>1.0</v>
      </c>
      <c r="B423" s="16">
        <v>4.0</v>
      </c>
      <c r="C423" s="16">
        <v>0.0</v>
      </c>
      <c r="D423" s="16">
        <v>0.0</v>
      </c>
      <c r="E423" s="16">
        <v>0.0</v>
      </c>
      <c r="F423" s="16">
        <v>0.0</v>
      </c>
      <c r="G423" s="18">
        <v>0.0</v>
      </c>
      <c r="H423" s="16" t="s">
        <v>338</v>
      </c>
      <c r="I423" s="19">
        <f t="shared" si="1"/>
        <v>0</v>
      </c>
      <c r="J423" s="19">
        <f t="shared" si="2"/>
        <v>0</v>
      </c>
    </row>
    <row r="424" ht="22.5" customHeight="1">
      <c r="A424" s="16">
        <v>1.0</v>
      </c>
      <c r="B424" s="16">
        <v>4.0</v>
      </c>
      <c r="C424" s="16">
        <v>0.0</v>
      </c>
      <c r="D424" s="16">
        <v>0.0</v>
      </c>
      <c r="E424" s="16">
        <v>0.0</v>
      </c>
      <c r="F424" s="16">
        <v>0.0</v>
      </c>
      <c r="G424" s="18">
        <v>0.0</v>
      </c>
      <c r="H424" s="16" t="s">
        <v>338</v>
      </c>
      <c r="I424" s="19">
        <f t="shared" si="1"/>
        <v>0</v>
      </c>
      <c r="J424" s="19">
        <f t="shared" si="2"/>
        <v>0</v>
      </c>
    </row>
    <row r="425" ht="22.5" customHeight="1">
      <c r="A425" s="16">
        <v>1.0</v>
      </c>
      <c r="B425" s="16">
        <v>4.0</v>
      </c>
      <c r="C425" s="16">
        <v>1.0</v>
      </c>
      <c r="D425" s="16">
        <v>4.0</v>
      </c>
      <c r="E425" s="16">
        <v>0.0</v>
      </c>
      <c r="F425" s="16">
        <v>0.0</v>
      </c>
      <c r="G425" s="18">
        <v>1.0</v>
      </c>
      <c r="H425" s="16" t="s">
        <v>339</v>
      </c>
      <c r="I425" s="19">
        <f t="shared" si="1"/>
        <v>4</v>
      </c>
      <c r="J425" s="19">
        <f t="shared" si="2"/>
        <v>0</v>
      </c>
    </row>
    <row r="426" ht="22.5" customHeight="1">
      <c r="A426" s="16">
        <v>1.0</v>
      </c>
      <c r="B426" s="16">
        <v>4.0</v>
      </c>
      <c r="C426" s="16">
        <v>1.0</v>
      </c>
      <c r="D426" s="16">
        <v>4.0</v>
      </c>
      <c r="E426" s="16">
        <v>0.0</v>
      </c>
      <c r="F426" s="16">
        <v>0.0</v>
      </c>
      <c r="G426" s="18">
        <v>1.0</v>
      </c>
      <c r="H426" s="16" t="s">
        <v>83</v>
      </c>
      <c r="I426" s="19">
        <f t="shared" si="1"/>
        <v>4</v>
      </c>
      <c r="J426" s="19">
        <f t="shared" si="2"/>
        <v>0</v>
      </c>
    </row>
    <row r="427" ht="22.5" customHeight="1">
      <c r="A427" s="16">
        <v>2.0</v>
      </c>
      <c r="B427" s="16">
        <v>8.0</v>
      </c>
      <c r="C427" s="16">
        <v>5.0</v>
      </c>
      <c r="D427" s="16">
        <v>4.0</v>
      </c>
      <c r="E427" s="16">
        <v>0.0</v>
      </c>
      <c r="F427" s="16">
        <v>0.0</v>
      </c>
      <c r="G427" s="18">
        <v>0.4</v>
      </c>
      <c r="H427" s="16" t="s">
        <v>83</v>
      </c>
      <c r="I427" s="19">
        <f t="shared" si="1"/>
        <v>8</v>
      </c>
      <c r="J427" s="19">
        <f t="shared" si="2"/>
        <v>0</v>
      </c>
    </row>
    <row r="428" ht="22.5" customHeight="1">
      <c r="A428" s="16">
        <v>1.0</v>
      </c>
      <c r="B428" s="16">
        <v>4.0</v>
      </c>
      <c r="C428" s="16">
        <v>1.0</v>
      </c>
      <c r="D428" s="16">
        <v>0.0</v>
      </c>
      <c r="E428" s="16">
        <v>0.0</v>
      </c>
      <c r="F428" s="16">
        <v>0.0</v>
      </c>
      <c r="G428" s="18">
        <v>0.0</v>
      </c>
      <c r="H428" s="16" t="s">
        <v>340</v>
      </c>
      <c r="I428" s="19">
        <f t="shared" si="1"/>
        <v>0</v>
      </c>
      <c r="J428" s="19">
        <f t="shared" si="2"/>
        <v>0</v>
      </c>
    </row>
    <row r="429" ht="22.5" customHeight="1">
      <c r="A429" s="16">
        <v>1.0</v>
      </c>
      <c r="B429" s="16">
        <v>4.0</v>
      </c>
      <c r="C429" s="16">
        <v>0.0</v>
      </c>
      <c r="D429" s="16">
        <v>0.0</v>
      </c>
      <c r="E429" s="16">
        <v>0.0</v>
      </c>
      <c r="F429" s="16">
        <v>0.0</v>
      </c>
      <c r="G429" s="18">
        <v>0.0</v>
      </c>
      <c r="H429" s="16" t="s">
        <v>340</v>
      </c>
      <c r="I429" s="19">
        <f t="shared" si="1"/>
        <v>0</v>
      </c>
      <c r="J429" s="19">
        <f t="shared" si="2"/>
        <v>0</v>
      </c>
    </row>
    <row r="430" ht="22.5" customHeight="1">
      <c r="A430" s="16">
        <v>3.0</v>
      </c>
      <c r="B430" s="16">
        <v>11.0</v>
      </c>
      <c r="C430" s="16">
        <v>0.0</v>
      </c>
      <c r="D430" s="16">
        <v>0.0</v>
      </c>
      <c r="E430" s="16">
        <v>0.0</v>
      </c>
      <c r="F430" s="16">
        <v>0.0</v>
      </c>
      <c r="G430" s="18">
        <v>0.0</v>
      </c>
      <c r="H430" s="16" t="s">
        <v>258</v>
      </c>
      <c r="I430" s="19">
        <f t="shared" si="1"/>
        <v>0</v>
      </c>
      <c r="J430" s="19">
        <f t="shared" si="2"/>
        <v>0</v>
      </c>
    </row>
    <row r="431" ht="22.5" customHeight="1">
      <c r="A431" s="16">
        <v>1.0</v>
      </c>
      <c r="B431" s="16">
        <v>4.0</v>
      </c>
      <c r="C431" s="16">
        <v>0.0</v>
      </c>
      <c r="D431" s="16">
        <v>0.0</v>
      </c>
      <c r="E431" s="16">
        <v>0.0</v>
      </c>
      <c r="F431" s="16">
        <v>0.0</v>
      </c>
      <c r="G431" s="18">
        <v>0.0</v>
      </c>
      <c r="H431" s="16" t="s">
        <v>301</v>
      </c>
      <c r="I431" s="19">
        <f t="shared" si="1"/>
        <v>0</v>
      </c>
      <c r="J431" s="19">
        <f t="shared" si="2"/>
        <v>0</v>
      </c>
    </row>
    <row r="432" ht="22.5" customHeight="1">
      <c r="A432" s="16">
        <v>1.0</v>
      </c>
      <c r="B432" s="16">
        <v>4.0</v>
      </c>
      <c r="C432" s="16">
        <v>0.0</v>
      </c>
      <c r="D432" s="16">
        <v>0.0</v>
      </c>
      <c r="E432" s="16">
        <v>0.0</v>
      </c>
      <c r="F432" s="16">
        <v>0.0</v>
      </c>
      <c r="G432" s="18">
        <v>0.0</v>
      </c>
      <c r="H432" s="16" t="s">
        <v>301</v>
      </c>
      <c r="I432" s="19">
        <f t="shared" si="1"/>
        <v>0</v>
      </c>
      <c r="J432" s="19">
        <f t="shared" si="2"/>
        <v>0</v>
      </c>
    </row>
    <row r="433" ht="22.5" customHeight="1">
      <c r="A433" s="16">
        <v>2.0</v>
      </c>
      <c r="B433" s="16">
        <v>7.0</v>
      </c>
      <c r="C433" s="16">
        <v>6.0</v>
      </c>
      <c r="D433" s="16">
        <v>10.0</v>
      </c>
      <c r="E433" s="16">
        <v>0.0</v>
      </c>
      <c r="F433" s="16">
        <v>0.0</v>
      </c>
      <c r="G433" s="20">
        <v>0.833</v>
      </c>
      <c r="H433" s="16" t="s">
        <v>87</v>
      </c>
      <c r="I433" s="19">
        <f t="shared" si="1"/>
        <v>20</v>
      </c>
      <c r="J433" s="19">
        <f t="shared" si="2"/>
        <v>0</v>
      </c>
    </row>
    <row r="434" ht="22.5" customHeight="1">
      <c r="A434" s="16">
        <v>1.0</v>
      </c>
      <c r="B434" s="16">
        <v>4.0</v>
      </c>
      <c r="C434" s="16">
        <v>2.0</v>
      </c>
      <c r="D434" s="16">
        <v>8.0</v>
      </c>
      <c r="E434" s="16">
        <v>0.0</v>
      </c>
      <c r="F434" s="16">
        <v>0.0</v>
      </c>
      <c r="G434" s="18">
        <v>1.0</v>
      </c>
      <c r="H434" s="16" t="s">
        <v>87</v>
      </c>
      <c r="I434" s="19">
        <f t="shared" si="1"/>
        <v>8</v>
      </c>
      <c r="J434" s="19">
        <f t="shared" si="2"/>
        <v>0</v>
      </c>
    </row>
    <row r="435" ht="22.5" customHeight="1">
      <c r="A435" s="16">
        <v>1.0</v>
      </c>
      <c r="B435" s="16">
        <v>4.0</v>
      </c>
      <c r="C435" s="16">
        <v>4.0</v>
      </c>
      <c r="D435" s="16">
        <v>4.0</v>
      </c>
      <c r="E435" s="16">
        <v>1.0</v>
      </c>
      <c r="F435" s="16">
        <v>0.0</v>
      </c>
      <c r="G435" s="18">
        <v>0.5</v>
      </c>
      <c r="H435" s="16" t="s">
        <v>87</v>
      </c>
      <c r="I435" s="19">
        <f t="shared" si="1"/>
        <v>4</v>
      </c>
      <c r="J435" s="19">
        <f t="shared" si="2"/>
        <v>1</v>
      </c>
    </row>
    <row r="436" ht="22.5" customHeight="1">
      <c r="A436" s="16">
        <v>1.0</v>
      </c>
      <c r="B436" s="16">
        <v>4.0</v>
      </c>
      <c r="C436" s="16">
        <v>0.0</v>
      </c>
      <c r="D436" s="16">
        <v>0.0</v>
      </c>
      <c r="E436" s="16">
        <v>0.0</v>
      </c>
      <c r="F436" s="16">
        <v>0.0</v>
      </c>
      <c r="G436" s="18">
        <v>0.0</v>
      </c>
      <c r="H436" s="16" t="s">
        <v>341</v>
      </c>
      <c r="I436" s="19">
        <f t="shared" si="1"/>
        <v>0</v>
      </c>
      <c r="J436" s="19">
        <f t="shared" si="2"/>
        <v>0</v>
      </c>
    </row>
    <row r="437" ht="22.5" customHeight="1">
      <c r="A437" s="16">
        <v>1.0</v>
      </c>
      <c r="B437" s="16">
        <v>4.0</v>
      </c>
      <c r="C437" s="16">
        <v>0.0</v>
      </c>
      <c r="D437" s="16">
        <v>0.0</v>
      </c>
      <c r="E437" s="16">
        <v>0.0</v>
      </c>
      <c r="F437" s="16">
        <v>0.0</v>
      </c>
      <c r="G437" s="18">
        <v>0.0</v>
      </c>
      <c r="H437" s="16" t="s">
        <v>341</v>
      </c>
      <c r="I437" s="19">
        <f t="shared" si="1"/>
        <v>0</v>
      </c>
      <c r="J437" s="19">
        <f t="shared" si="2"/>
        <v>0</v>
      </c>
    </row>
    <row r="438" ht="22.5" customHeight="1">
      <c r="A438" s="16">
        <v>5.0</v>
      </c>
      <c r="B438" s="16">
        <v>20.0</v>
      </c>
      <c r="C438" s="16">
        <v>11.0</v>
      </c>
      <c r="D438" s="16">
        <v>0.0</v>
      </c>
      <c r="E438" s="16">
        <v>0.4</v>
      </c>
      <c r="F438" s="16">
        <v>0.0</v>
      </c>
      <c r="G438" s="20">
        <v>0.182</v>
      </c>
      <c r="H438" s="16" t="s">
        <v>312</v>
      </c>
      <c r="I438" s="19">
        <f t="shared" si="1"/>
        <v>0</v>
      </c>
      <c r="J438" s="19">
        <f t="shared" si="2"/>
        <v>2</v>
      </c>
    </row>
    <row r="439" ht="22.5" customHeight="1">
      <c r="A439" s="16">
        <v>4.0</v>
      </c>
      <c r="B439" s="16">
        <v>16.0</v>
      </c>
      <c r="C439" s="16">
        <v>2.0</v>
      </c>
      <c r="D439" s="16">
        <v>1.0</v>
      </c>
      <c r="E439" s="16">
        <v>0.0</v>
      </c>
      <c r="F439" s="16">
        <v>0.0</v>
      </c>
      <c r="G439" s="18">
        <v>0.5</v>
      </c>
      <c r="H439" s="16" t="s">
        <v>260</v>
      </c>
      <c r="I439" s="19">
        <f t="shared" si="1"/>
        <v>4</v>
      </c>
      <c r="J439" s="19">
        <f t="shared" si="2"/>
        <v>0</v>
      </c>
    </row>
    <row r="440" ht="22.5" customHeight="1">
      <c r="A440" s="16">
        <v>1.0</v>
      </c>
      <c r="B440" s="16">
        <v>4.0</v>
      </c>
      <c r="C440" s="16">
        <v>0.0</v>
      </c>
      <c r="D440" s="16">
        <v>0.0</v>
      </c>
      <c r="E440" s="16">
        <v>0.0</v>
      </c>
      <c r="F440" s="16">
        <v>0.0</v>
      </c>
      <c r="G440" s="18">
        <v>0.0</v>
      </c>
      <c r="H440" s="16" t="s">
        <v>260</v>
      </c>
      <c r="I440" s="19">
        <f t="shared" si="1"/>
        <v>0</v>
      </c>
      <c r="J440" s="19">
        <f t="shared" si="2"/>
        <v>0</v>
      </c>
    </row>
    <row r="441" ht="22.5" customHeight="1">
      <c r="A441" s="16">
        <v>4.0</v>
      </c>
      <c r="B441" s="16">
        <v>16.0</v>
      </c>
      <c r="C441" s="16">
        <v>2.0</v>
      </c>
      <c r="D441" s="16">
        <v>1.0</v>
      </c>
      <c r="E441" s="16">
        <v>0.0</v>
      </c>
      <c r="F441" s="16">
        <v>0.0</v>
      </c>
      <c r="G441" s="18">
        <v>0.5</v>
      </c>
      <c r="H441" s="16" t="s">
        <v>327</v>
      </c>
      <c r="I441" s="19">
        <f t="shared" si="1"/>
        <v>4</v>
      </c>
      <c r="J441" s="19">
        <f t="shared" si="2"/>
        <v>0</v>
      </c>
    </row>
    <row r="442" ht="22.5" customHeight="1">
      <c r="A442" s="16">
        <v>5.0</v>
      </c>
      <c r="B442" s="16">
        <v>20.0</v>
      </c>
      <c r="C442" s="16">
        <v>13.0</v>
      </c>
      <c r="D442" s="16">
        <v>3.2</v>
      </c>
      <c r="E442" s="16">
        <v>0.6</v>
      </c>
      <c r="F442" s="16">
        <v>0.0</v>
      </c>
      <c r="G442" s="20">
        <v>0.538</v>
      </c>
      <c r="H442" s="16" t="s">
        <v>131</v>
      </c>
      <c r="I442" s="19">
        <f t="shared" si="1"/>
        <v>16</v>
      </c>
      <c r="J442" s="19">
        <f t="shared" si="2"/>
        <v>3</v>
      </c>
    </row>
    <row r="443" ht="22.5" customHeight="1">
      <c r="A443" s="16">
        <v>2.0</v>
      </c>
      <c r="B443" s="16">
        <v>8.0</v>
      </c>
      <c r="C443" s="16">
        <v>1.0</v>
      </c>
      <c r="D443" s="16">
        <v>2.0</v>
      </c>
      <c r="E443" s="16">
        <v>0.0</v>
      </c>
      <c r="F443" s="16">
        <v>0.0</v>
      </c>
      <c r="G443" s="18">
        <v>1.0</v>
      </c>
      <c r="H443" s="16" t="s">
        <v>342</v>
      </c>
      <c r="I443" s="19">
        <f t="shared" si="1"/>
        <v>4</v>
      </c>
      <c r="J443" s="19">
        <f t="shared" si="2"/>
        <v>0</v>
      </c>
    </row>
    <row r="444" ht="22.5" customHeight="1">
      <c r="A444" s="16">
        <v>4.0</v>
      </c>
      <c r="B444" s="16">
        <v>16.0</v>
      </c>
      <c r="C444" s="16">
        <v>0.0</v>
      </c>
      <c r="D444" s="16">
        <v>0.0</v>
      </c>
      <c r="E444" s="16">
        <v>0.0</v>
      </c>
      <c r="F444" s="16">
        <v>0.0</v>
      </c>
      <c r="G444" s="18">
        <v>0.0</v>
      </c>
      <c r="H444" s="16" t="s">
        <v>343</v>
      </c>
      <c r="I444" s="19">
        <f t="shared" si="1"/>
        <v>0</v>
      </c>
      <c r="J444" s="19">
        <f t="shared" si="2"/>
        <v>0</v>
      </c>
    </row>
    <row r="445" ht="22.5" customHeight="1">
      <c r="A445" s="16">
        <v>1.0</v>
      </c>
      <c r="B445" s="16">
        <v>4.0</v>
      </c>
      <c r="C445" s="16">
        <v>0.0</v>
      </c>
      <c r="D445" s="16">
        <v>0.0</v>
      </c>
      <c r="E445" s="16">
        <v>0.0</v>
      </c>
      <c r="F445" s="16">
        <v>0.0</v>
      </c>
      <c r="G445" s="18">
        <v>0.0</v>
      </c>
      <c r="H445" s="16" t="s">
        <v>343</v>
      </c>
      <c r="I445" s="19">
        <f t="shared" si="1"/>
        <v>0</v>
      </c>
      <c r="J445" s="19">
        <f t="shared" si="2"/>
        <v>0</v>
      </c>
    </row>
    <row r="446" ht="22.5" customHeight="1">
      <c r="A446" s="16">
        <v>2.0</v>
      </c>
      <c r="B446" s="16">
        <v>8.0</v>
      </c>
      <c r="C446" s="16">
        <v>1.0</v>
      </c>
      <c r="D446" s="16">
        <v>0.0</v>
      </c>
      <c r="E446" s="16">
        <v>0.0</v>
      </c>
      <c r="F446" s="16">
        <v>0.0</v>
      </c>
      <c r="G446" s="18">
        <v>0.0</v>
      </c>
      <c r="H446" s="16" t="s">
        <v>302</v>
      </c>
      <c r="I446" s="19">
        <f t="shared" si="1"/>
        <v>0</v>
      </c>
      <c r="J446" s="19">
        <f t="shared" si="2"/>
        <v>0</v>
      </c>
    </row>
    <row r="447" ht="22.5" customHeight="1">
      <c r="A447" s="16">
        <v>5.0</v>
      </c>
      <c r="B447" s="16">
        <v>19.0</v>
      </c>
      <c r="C447" s="16">
        <v>0.0</v>
      </c>
      <c r="D447" s="16">
        <v>0.0</v>
      </c>
      <c r="E447" s="16">
        <v>0.0</v>
      </c>
      <c r="F447" s="16">
        <v>0.0</v>
      </c>
      <c r="G447" s="18">
        <v>0.0</v>
      </c>
      <c r="H447" s="16" t="s">
        <v>231</v>
      </c>
      <c r="I447" s="19">
        <f t="shared" si="1"/>
        <v>0</v>
      </c>
      <c r="J447" s="19">
        <f t="shared" si="2"/>
        <v>0</v>
      </c>
    </row>
    <row r="448" ht="22.5" customHeight="1">
      <c r="A448" s="16">
        <v>5.0</v>
      </c>
      <c r="B448" s="16">
        <v>19.0</v>
      </c>
      <c r="C448" s="16">
        <v>10.0</v>
      </c>
      <c r="D448" s="16">
        <v>0.0</v>
      </c>
      <c r="E448" s="16">
        <v>0.8</v>
      </c>
      <c r="F448" s="16">
        <v>0.0</v>
      </c>
      <c r="G448" s="18">
        <v>0.4</v>
      </c>
      <c r="H448" s="16" t="s">
        <v>122</v>
      </c>
      <c r="I448" s="19">
        <f t="shared" si="1"/>
        <v>0</v>
      </c>
      <c r="J448" s="19">
        <f t="shared" si="2"/>
        <v>4</v>
      </c>
    </row>
    <row r="449" ht="22.5" customHeight="1">
      <c r="A449" s="16">
        <v>3.0</v>
      </c>
      <c r="B449" s="16">
        <v>12.0</v>
      </c>
      <c r="C449" s="16">
        <v>3.0</v>
      </c>
      <c r="D449" s="16">
        <v>2.67</v>
      </c>
      <c r="E449" s="16">
        <v>0.0</v>
      </c>
      <c r="F449" s="16">
        <v>0.0</v>
      </c>
      <c r="G449" s="20">
        <v>0.667</v>
      </c>
      <c r="H449" s="16" t="s">
        <v>261</v>
      </c>
      <c r="I449" s="19">
        <f t="shared" si="1"/>
        <v>8</v>
      </c>
      <c r="J449" s="19">
        <f t="shared" si="2"/>
        <v>0</v>
      </c>
    </row>
    <row r="450" ht="22.5" customHeight="1">
      <c r="A450" s="16">
        <v>5.0</v>
      </c>
      <c r="B450" s="16">
        <v>19.0</v>
      </c>
      <c r="C450" s="16">
        <v>4.0</v>
      </c>
      <c r="D450" s="16">
        <v>0.0</v>
      </c>
      <c r="E450" s="16">
        <v>0.4</v>
      </c>
      <c r="F450" s="16">
        <v>0.0</v>
      </c>
      <c r="G450" s="18">
        <v>0.5</v>
      </c>
      <c r="H450" s="16" t="s">
        <v>344</v>
      </c>
      <c r="I450" s="19">
        <f t="shared" si="1"/>
        <v>0</v>
      </c>
      <c r="J450" s="19">
        <f t="shared" si="2"/>
        <v>2</v>
      </c>
    </row>
    <row r="451" ht="22.5" customHeight="1">
      <c r="A451" s="16">
        <v>1.0</v>
      </c>
      <c r="B451" s="16">
        <v>4.0</v>
      </c>
      <c r="C451" s="16">
        <v>0.0</v>
      </c>
      <c r="D451" s="16">
        <v>0.0</v>
      </c>
      <c r="E451" s="16">
        <v>0.0</v>
      </c>
      <c r="F451" s="16">
        <v>0.0</v>
      </c>
      <c r="G451" s="18">
        <v>0.0</v>
      </c>
      <c r="H451" s="16" t="s">
        <v>345</v>
      </c>
      <c r="I451" s="19">
        <f t="shared" si="1"/>
        <v>0</v>
      </c>
      <c r="J451" s="19">
        <f t="shared" si="2"/>
        <v>0</v>
      </c>
    </row>
    <row r="452" ht="22.5" customHeight="1">
      <c r="A452" s="16">
        <v>4.0</v>
      </c>
      <c r="B452" s="16">
        <v>15.0</v>
      </c>
      <c r="C452" s="16">
        <v>0.0</v>
      </c>
      <c r="D452" s="16">
        <v>0.0</v>
      </c>
      <c r="E452" s="16">
        <v>0.0</v>
      </c>
      <c r="F452" s="16">
        <v>0.0</v>
      </c>
      <c r="G452" s="18">
        <v>0.0</v>
      </c>
      <c r="H452" s="16" t="s">
        <v>345</v>
      </c>
      <c r="I452" s="19">
        <f t="shared" si="1"/>
        <v>0</v>
      </c>
      <c r="J452" s="19">
        <f t="shared" si="2"/>
        <v>0</v>
      </c>
    </row>
    <row r="453" ht="22.5" customHeight="1">
      <c r="A453" s="16">
        <v>1.0</v>
      </c>
      <c r="B453" s="16">
        <v>4.0</v>
      </c>
      <c r="C453" s="16">
        <v>1.0</v>
      </c>
      <c r="D453" s="16">
        <v>-4.0</v>
      </c>
      <c r="E453" s="16">
        <v>1.0</v>
      </c>
      <c r="F453" s="16">
        <v>0.0</v>
      </c>
      <c r="G453" s="18">
        <v>0.0</v>
      </c>
      <c r="H453" s="16" t="s">
        <v>346</v>
      </c>
      <c r="I453" s="19">
        <f t="shared" si="1"/>
        <v>-4</v>
      </c>
      <c r="J453" s="19">
        <f t="shared" si="2"/>
        <v>1</v>
      </c>
    </row>
    <row r="454" ht="22.5" customHeight="1">
      <c r="A454" s="16">
        <v>4.0</v>
      </c>
      <c r="B454" s="16">
        <v>15.0</v>
      </c>
      <c r="C454" s="16">
        <v>9.0</v>
      </c>
      <c r="D454" s="16">
        <v>3.0</v>
      </c>
      <c r="E454" s="16">
        <v>0.5</v>
      </c>
      <c r="F454" s="16">
        <v>0.0</v>
      </c>
      <c r="G454" s="20">
        <v>0.556</v>
      </c>
      <c r="H454" s="16" t="s">
        <v>346</v>
      </c>
      <c r="I454" s="19">
        <f t="shared" si="1"/>
        <v>12</v>
      </c>
      <c r="J454" s="19">
        <f t="shared" si="2"/>
        <v>2</v>
      </c>
    </row>
    <row r="455" ht="22.5" customHeight="1">
      <c r="A455" s="16">
        <v>1.0</v>
      </c>
      <c r="B455" s="16">
        <v>4.0</v>
      </c>
      <c r="C455" s="16">
        <v>2.0</v>
      </c>
      <c r="D455" s="16">
        <v>0.0</v>
      </c>
      <c r="E455" s="16">
        <v>1.0</v>
      </c>
      <c r="F455" s="16">
        <v>0.0</v>
      </c>
      <c r="G455" s="18">
        <v>0.5</v>
      </c>
      <c r="H455" s="16" t="s">
        <v>347</v>
      </c>
      <c r="I455" s="19">
        <f t="shared" si="1"/>
        <v>0</v>
      </c>
      <c r="J455" s="19">
        <f t="shared" si="2"/>
        <v>1</v>
      </c>
    </row>
    <row r="456" ht="22.5" customHeight="1">
      <c r="A456" s="16">
        <v>4.0</v>
      </c>
      <c r="B456" s="16">
        <v>15.0</v>
      </c>
      <c r="C456" s="16">
        <v>2.0</v>
      </c>
      <c r="D456" s="16">
        <v>-2.0</v>
      </c>
      <c r="E456" s="16">
        <v>0.5</v>
      </c>
      <c r="F456" s="16">
        <v>0.0</v>
      </c>
      <c r="G456" s="18">
        <v>0.0</v>
      </c>
      <c r="H456" s="16" t="s">
        <v>347</v>
      </c>
      <c r="I456" s="19">
        <f t="shared" si="1"/>
        <v>-8</v>
      </c>
      <c r="J456" s="19">
        <f t="shared" si="2"/>
        <v>2</v>
      </c>
    </row>
    <row r="457" ht="22.5" customHeight="1">
      <c r="A457" s="16">
        <v>1.0</v>
      </c>
      <c r="B457" s="16">
        <v>4.0</v>
      </c>
      <c r="C457" s="16">
        <v>1.0</v>
      </c>
      <c r="D457" s="16">
        <v>-4.0</v>
      </c>
      <c r="E457" s="16">
        <v>1.0</v>
      </c>
      <c r="F457" s="16">
        <v>0.0</v>
      </c>
      <c r="G457" s="18">
        <v>0.0</v>
      </c>
      <c r="H457" s="16" t="s">
        <v>188</v>
      </c>
      <c r="I457" s="19">
        <f t="shared" si="1"/>
        <v>-4</v>
      </c>
      <c r="J457" s="19">
        <f t="shared" si="2"/>
        <v>1</v>
      </c>
    </row>
    <row r="458" ht="22.5" customHeight="1">
      <c r="A458" s="16">
        <v>4.0</v>
      </c>
      <c r="B458" s="16">
        <v>15.0</v>
      </c>
      <c r="C458" s="16">
        <v>3.0</v>
      </c>
      <c r="D458" s="16">
        <v>-1.0</v>
      </c>
      <c r="E458" s="16">
        <v>0.25</v>
      </c>
      <c r="F458" s="16">
        <v>0.0</v>
      </c>
      <c r="G458" s="18">
        <v>0.0</v>
      </c>
      <c r="H458" s="16" t="s">
        <v>188</v>
      </c>
      <c r="I458" s="19">
        <f t="shared" si="1"/>
        <v>-4</v>
      </c>
      <c r="J458" s="19">
        <f t="shared" si="2"/>
        <v>1</v>
      </c>
    </row>
    <row r="459" ht="22.5" customHeight="1">
      <c r="A459" s="16">
        <v>3.0</v>
      </c>
      <c r="B459" s="16">
        <v>11.0</v>
      </c>
      <c r="C459" s="16">
        <v>4.0</v>
      </c>
      <c r="D459" s="16">
        <v>1.33</v>
      </c>
      <c r="E459" s="16">
        <v>0.33</v>
      </c>
      <c r="F459" s="16">
        <v>0.0</v>
      </c>
      <c r="G459" s="18">
        <v>0.5</v>
      </c>
      <c r="H459" s="16" t="s">
        <v>119</v>
      </c>
      <c r="I459" s="19">
        <f t="shared" si="1"/>
        <v>4</v>
      </c>
      <c r="J459" s="19">
        <f t="shared" si="2"/>
        <v>1</v>
      </c>
    </row>
    <row r="460" ht="22.5" customHeight="1">
      <c r="A460" s="16">
        <v>3.0</v>
      </c>
      <c r="B460" s="16">
        <v>11.0</v>
      </c>
      <c r="C460" s="16">
        <v>4.0</v>
      </c>
      <c r="D460" s="16">
        <v>4.0</v>
      </c>
      <c r="E460" s="16">
        <v>0.0</v>
      </c>
      <c r="F460" s="16">
        <v>0.0</v>
      </c>
      <c r="G460" s="18">
        <v>0.75</v>
      </c>
      <c r="H460" s="16" t="s">
        <v>218</v>
      </c>
      <c r="I460" s="19">
        <f t="shared" si="1"/>
        <v>12</v>
      </c>
      <c r="J460" s="19">
        <f t="shared" si="2"/>
        <v>0</v>
      </c>
    </row>
    <row r="461" ht="22.5" customHeight="1">
      <c r="A461" s="16">
        <v>2.0</v>
      </c>
      <c r="B461" s="16">
        <v>8.0</v>
      </c>
      <c r="C461" s="16">
        <v>1.0</v>
      </c>
      <c r="D461" s="16">
        <v>2.0</v>
      </c>
      <c r="E461" s="16">
        <v>0.0</v>
      </c>
      <c r="F461" s="16">
        <v>0.0</v>
      </c>
      <c r="G461" s="18">
        <v>1.0</v>
      </c>
      <c r="H461" s="16" t="s">
        <v>348</v>
      </c>
      <c r="I461" s="19">
        <f t="shared" si="1"/>
        <v>4</v>
      </c>
      <c r="J461" s="19">
        <f t="shared" si="2"/>
        <v>0</v>
      </c>
    </row>
    <row r="462" ht="22.5" customHeight="1">
      <c r="A462" s="16">
        <v>3.0</v>
      </c>
      <c r="B462" s="16">
        <v>11.0</v>
      </c>
      <c r="C462" s="16">
        <v>0.0</v>
      </c>
      <c r="D462" s="16">
        <v>0.0</v>
      </c>
      <c r="E462" s="16">
        <v>0.0</v>
      </c>
      <c r="F462" s="16">
        <v>0.0</v>
      </c>
      <c r="G462" s="18">
        <v>0.0</v>
      </c>
      <c r="H462" s="16" t="s">
        <v>349</v>
      </c>
      <c r="I462" s="19">
        <f t="shared" si="1"/>
        <v>0</v>
      </c>
      <c r="J462" s="19">
        <f t="shared" si="2"/>
        <v>0</v>
      </c>
    </row>
    <row r="463" ht="22.5" customHeight="1">
      <c r="A463" s="16">
        <v>4.0</v>
      </c>
      <c r="B463" s="16">
        <v>15.0</v>
      </c>
      <c r="C463" s="16">
        <v>2.0</v>
      </c>
      <c r="D463" s="16">
        <v>1.0</v>
      </c>
      <c r="E463" s="16">
        <v>0.0</v>
      </c>
      <c r="F463" s="16">
        <v>0.0</v>
      </c>
      <c r="G463" s="18">
        <v>0.5</v>
      </c>
      <c r="H463" s="16" t="s">
        <v>193</v>
      </c>
      <c r="I463" s="19">
        <f t="shared" si="1"/>
        <v>4</v>
      </c>
      <c r="J463" s="19">
        <f t="shared" si="2"/>
        <v>0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3" max="3" width="17.25"/>
  </cols>
  <sheetData>
    <row r="1" ht="22.5" customHeight="1">
      <c r="A1" s="12" t="s">
        <v>36</v>
      </c>
      <c r="B1" s="12" t="s">
        <v>42</v>
      </c>
      <c r="C1" s="12" t="s">
        <v>44</v>
      </c>
      <c r="D1" s="8" t="s">
        <v>45</v>
      </c>
      <c r="E1" s="8" t="s">
        <v>30</v>
      </c>
    </row>
    <row r="2" ht="22.5" customHeight="1">
      <c r="A2" s="13" t="s">
        <v>62</v>
      </c>
      <c r="B2" s="13">
        <v>5.0</v>
      </c>
      <c r="C2" s="13">
        <v>20.0</v>
      </c>
      <c r="D2" s="10">
        <v>11.2</v>
      </c>
      <c r="E2" s="10">
        <v>0.0</v>
      </c>
    </row>
    <row r="3" ht="22.5" customHeight="1">
      <c r="A3" s="13" t="s">
        <v>77</v>
      </c>
      <c r="B3" s="13">
        <v>4.0</v>
      </c>
      <c r="C3" s="13">
        <v>15.0</v>
      </c>
      <c r="D3" s="10">
        <v>10.0</v>
      </c>
      <c r="E3" s="10">
        <v>0.5</v>
      </c>
    </row>
    <row r="4" ht="22.5" customHeight="1">
      <c r="A4" s="13" t="s">
        <v>181</v>
      </c>
      <c r="B4" s="13">
        <v>2.0</v>
      </c>
      <c r="C4" s="13">
        <v>8.0</v>
      </c>
      <c r="D4" s="10">
        <v>10.0</v>
      </c>
      <c r="E4" s="10">
        <v>0.0</v>
      </c>
    </row>
    <row r="5" ht="22.5" customHeight="1">
      <c r="A5" s="13" t="s">
        <v>76</v>
      </c>
      <c r="B5" s="13">
        <v>1.0</v>
      </c>
      <c r="C5" s="13">
        <v>4.0</v>
      </c>
      <c r="D5" s="10">
        <v>8.0</v>
      </c>
      <c r="E5" s="10">
        <v>0.0</v>
      </c>
    </row>
    <row r="6" ht="22.5" customHeight="1">
      <c r="A6" s="13" t="s">
        <v>70</v>
      </c>
      <c r="B6" s="13">
        <v>5.0</v>
      </c>
      <c r="C6" s="13">
        <v>19.0</v>
      </c>
      <c r="D6" s="10">
        <v>8.0</v>
      </c>
      <c r="E6" s="10">
        <v>0.6</v>
      </c>
    </row>
    <row r="7" ht="22.5" customHeight="1">
      <c r="A7" s="13" t="s">
        <v>153</v>
      </c>
      <c r="B7" s="13">
        <v>1.0</v>
      </c>
      <c r="C7" s="13">
        <v>4.0</v>
      </c>
      <c r="D7" s="10">
        <v>8.0</v>
      </c>
      <c r="E7" s="10">
        <v>0.0</v>
      </c>
    </row>
    <row r="8" ht="22.5" customHeight="1">
      <c r="A8" s="13" t="s">
        <v>133</v>
      </c>
      <c r="B8" s="13">
        <v>3.0</v>
      </c>
      <c r="C8" s="13">
        <v>12.0</v>
      </c>
      <c r="D8" s="10">
        <v>8.0</v>
      </c>
      <c r="E8" s="10">
        <v>0.0</v>
      </c>
    </row>
    <row r="9" ht="22.5" customHeight="1">
      <c r="A9" s="13" t="s">
        <v>87</v>
      </c>
      <c r="B9" s="13">
        <v>4.0</v>
      </c>
      <c r="C9" s="13">
        <v>15.0</v>
      </c>
      <c r="D9" s="10">
        <v>8.0</v>
      </c>
      <c r="E9" s="10">
        <v>0.25</v>
      </c>
    </row>
    <row r="10" ht="22.5" customHeight="1">
      <c r="A10" s="13" t="s">
        <v>47</v>
      </c>
      <c r="B10" s="13">
        <v>5.0</v>
      </c>
      <c r="C10" s="13">
        <v>22.0</v>
      </c>
      <c r="D10" s="10">
        <v>7.2</v>
      </c>
      <c r="E10" s="10">
        <v>0.2</v>
      </c>
    </row>
    <row r="11" ht="22.5" customHeight="1">
      <c r="A11" s="13" t="s">
        <v>93</v>
      </c>
      <c r="B11" s="13">
        <v>5.0</v>
      </c>
      <c r="C11" s="13">
        <v>19.0</v>
      </c>
      <c r="D11" s="10">
        <v>7.2</v>
      </c>
      <c r="E11" s="10">
        <v>0.0</v>
      </c>
    </row>
    <row r="12" ht="22.5" customHeight="1">
      <c r="A12" s="13" t="s">
        <v>66</v>
      </c>
      <c r="B12" s="13">
        <v>5.0</v>
      </c>
      <c r="C12" s="13">
        <v>20.0</v>
      </c>
      <c r="D12" s="10">
        <v>6.4</v>
      </c>
      <c r="E12" s="10">
        <v>0.2</v>
      </c>
    </row>
    <row r="13" ht="22.5" customHeight="1">
      <c r="A13" s="13" t="s">
        <v>241</v>
      </c>
      <c r="B13" s="13">
        <v>2.0</v>
      </c>
      <c r="C13" s="13">
        <v>8.0</v>
      </c>
      <c r="D13" s="10">
        <v>6.0</v>
      </c>
      <c r="E13" s="10">
        <v>0.5</v>
      </c>
    </row>
    <row r="14" ht="22.5" customHeight="1">
      <c r="A14" s="13" t="s">
        <v>138</v>
      </c>
      <c r="B14" s="13">
        <v>4.0</v>
      </c>
      <c r="C14" s="13">
        <v>15.0</v>
      </c>
      <c r="D14" s="10">
        <v>6.0</v>
      </c>
      <c r="E14" s="10">
        <v>0.0</v>
      </c>
    </row>
    <row r="15" ht="22.5" customHeight="1">
      <c r="A15" s="13" t="s">
        <v>106</v>
      </c>
      <c r="B15" s="13">
        <v>5.0</v>
      </c>
      <c r="C15" s="13">
        <v>20.0</v>
      </c>
      <c r="D15" s="10">
        <v>5.6</v>
      </c>
      <c r="E15" s="10">
        <v>0.6</v>
      </c>
    </row>
    <row r="16" ht="22.5" customHeight="1">
      <c r="A16" s="13" t="s">
        <v>113</v>
      </c>
      <c r="B16" s="13">
        <v>5.0</v>
      </c>
      <c r="C16" s="13">
        <v>19.0</v>
      </c>
      <c r="D16" s="10">
        <v>5.6</v>
      </c>
      <c r="E16" s="10">
        <v>0.4</v>
      </c>
      <c r="P16" s="3" t="s">
        <v>360</v>
      </c>
    </row>
    <row r="17" ht="22.5" customHeight="1">
      <c r="A17" s="13" t="s">
        <v>278</v>
      </c>
      <c r="B17" s="13">
        <v>4.0</v>
      </c>
      <c r="C17" s="13">
        <v>15.0</v>
      </c>
      <c r="D17" s="10">
        <v>5.0</v>
      </c>
      <c r="E17" s="10">
        <v>0.0</v>
      </c>
    </row>
    <row r="18" ht="22.5" customHeight="1">
      <c r="A18" s="13" t="s">
        <v>74</v>
      </c>
      <c r="B18" s="13">
        <v>5.0</v>
      </c>
      <c r="C18" s="13">
        <v>19.0</v>
      </c>
      <c r="D18" s="10">
        <v>4.8</v>
      </c>
      <c r="E18" s="10">
        <v>0.4</v>
      </c>
    </row>
    <row r="19" ht="22.5" customHeight="1">
      <c r="A19" s="13" t="s">
        <v>190</v>
      </c>
      <c r="B19" s="13">
        <v>5.0</v>
      </c>
      <c r="C19" s="13">
        <v>21.0</v>
      </c>
      <c r="D19" s="10">
        <v>4.8</v>
      </c>
      <c r="E19" s="10">
        <v>0.2</v>
      </c>
    </row>
    <row r="20" ht="22.5" customHeight="1">
      <c r="A20" s="13" t="s">
        <v>15</v>
      </c>
      <c r="B20" s="13">
        <v>5.0</v>
      </c>
      <c r="C20" s="13">
        <v>20.0</v>
      </c>
      <c r="D20" s="10">
        <v>4.0</v>
      </c>
      <c r="E20" s="10">
        <v>0.2</v>
      </c>
    </row>
    <row r="21" ht="22.5" customHeight="1">
      <c r="A21" s="13" t="s">
        <v>24</v>
      </c>
      <c r="B21" s="13">
        <v>2.0</v>
      </c>
      <c r="C21" s="13">
        <v>8.0</v>
      </c>
      <c r="D21" s="10">
        <v>4.0</v>
      </c>
      <c r="E21" s="10">
        <v>0.5</v>
      </c>
    </row>
    <row r="22" ht="22.5" customHeight="1">
      <c r="A22" s="13" t="s">
        <v>85</v>
      </c>
      <c r="B22" s="13">
        <v>1.0</v>
      </c>
      <c r="C22" s="13">
        <v>4.0</v>
      </c>
      <c r="D22" s="10">
        <v>4.0</v>
      </c>
      <c r="E22" s="10">
        <v>0.0</v>
      </c>
    </row>
    <row r="23" ht="22.5" customHeight="1">
      <c r="A23" s="13" t="s">
        <v>111</v>
      </c>
      <c r="B23" s="13">
        <v>5.0</v>
      </c>
      <c r="C23" s="13">
        <v>20.0</v>
      </c>
      <c r="D23" s="10">
        <v>4.0</v>
      </c>
      <c r="E23" s="10">
        <v>0.2</v>
      </c>
    </row>
    <row r="24" ht="22.5" customHeight="1">
      <c r="A24" s="13" t="s">
        <v>144</v>
      </c>
      <c r="B24" s="13">
        <v>5.0</v>
      </c>
      <c r="C24" s="13">
        <v>20.0</v>
      </c>
      <c r="D24" s="10">
        <v>4.0</v>
      </c>
      <c r="E24" s="10">
        <v>0.0</v>
      </c>
    </row>
    <row r="25" ht="22.5" customHeight="1">
      <c r="A25" s="13" t="s">
        <v>167</v>
      </c>
      <c r="B25" s="13">
        <v>1.0</v>
      </c>
      <c r="C25" s="13">
        <v>4.0</v>
      </c>
      <c r="D25" s="10">
        <v>4.0</v>
      </c>
      <c r="E25" s="10">
        <v>0.0</v>
      </c>
    </row>
    <row r="26" ht="22.5" customHeight="1">
      <c r="A26" s="13" t="s">
        <v>169</v>
      </c>
      <c r="B26" s="13">
        <v>5.0</v>
      </c>
      <c r="C26" s="13">
        <v>19.0</v>
      </c>
      <c r="D26" s="10">
        <v>4.0</v>
      </c>
      <c r="E26" s="10">
        <v>0.0</v>
      </c>
    </row>
    <row r="27" ht="22.5" customHeight="1">
      <c r="A27" s="13" t="s">
        <v>195</v>
      </c>
      <c r="B27" s="13">
        <v>5.0</v>
      </c>
      <c r="C27" s="13">
        <v>21.0</v>
      </c>
      <c r="D27" s="10">
        <v>4.0</v>
      </c>
      <c r="E27" s="10">
        <v>0.0</v>
      </c>
    </row>
    <row r="28" ht="22.5" customHeight="1">
      <c r="A28" s="13" t="s">
        <v>219</v>
      </c>
      <c r="B28" s="13">
        <v>1.0</v>
      </c>
      <c r="C28" s="13">
        <v>4.0</v>
      </c>
      <c r="D28" s="10">
        <v>4.0</v>
      </c>
      <c r="E28" s="10">
        <v>0.0</v>
      </c>
    </row>
    <row r="29" ht="22.5" customHeight="1">
      <c r="A29" s="13" t="s">
        <v>149</v>
      </c>
      <c r="B29" s="13">
        <v>5.0</v>
      </c>
      <c r="C29" s="13">
        <v>21.0</v>
      </c>
      <c r="D29" s="10">
        <v>4.0</v>
      </c>
      <c r="E29" s="10">
        <v>0.0</v>
      </c>
    </row>
    <row r="30" ht="22.5" customHeight="1">
      <c r="A30" s="13" t="s">
        <v>268</v>
      </c>
      <c r="B30" s="13">
        <v>1.0</v>
      </c>
      <c r="C30" s="13">
        <v>4.0</v>
      </c>
      <c r="D30" s="10">
        <v>4.0</v>
      </c>
      <c r="E30" s="10">
        <v>0.0</v>
      </c>
    </row>
    <row r="31" ht="22.5" customHeight="1">
      <c r="A31" s="13" t="s">
        <v>282</v>
      </c>
      <c r="B31" s="13">
        <v>3.0</v>
      </c>
      <c r="C31" s="13">
        <v>12.0</v>
      </c>
      <c r="D31" s="10">
        <v>4.0</v>
      </c>
      <c r="E31" s="10">
        <v>0.0</v>
      </c>
    </row>
    <row r="32" ht="22.5" customHeight="1">
      <c r="A32" s="13" t="s">
        <v>303</v>
      </c>
      <c r="B32" s="13">
        <v>2.0</v>
      </c>
      <c r="C32" s="13">
        <v>8.0</v>
      </c>
      <c r="D32" s="10">
        <v>4.0</v>
      </c>
      <c r="E32" s="10">
        <v>0.0</v>
      </c>
    </row>
    <row r="33" ht="22.5" customHeight="1">
      <c r="A33" s="13" t="s">
        <v>309</v>
      </c>
      <c r="B33" s="13">
        <v>2.0</v>
      </c>
      <c r="C33" s="13">
        <v>7.0</v>
      </c>
      <c r="D33" s="10">
        <v>4.0</v>
      </c>
      <c r="E33" s="10">
        <v>0.0</v>
      </c>
    </row>
    <row r="34" ht="22.5" customHeight="1">
      <c r="A34" s="13" t="s">
        <v>339</v>
      </c>
      <c r="B34" s="13">
        <v>1.0</v>
      </c>
      <c r="C34" s="13">
        <v>4.0</v>
      </c>
      <c r="D34" s="10">
        <v>4.0</v>
      </c>
      <c r="E34" s="10">
        <v>0.0</v>
      </c>
    </row>
    <row r="35" ht="22.5" customHeight="1">
      <c r="A35" s="13" t="s">
        <v>83</v>
      </c>
      <c r="B35" s="13">
        <v>3.0</v>
      </c>
      <c r="C35" s="13">
        <v>12.0</v>
      </c>
      <c r="D35" s="10">
        <v>4.0</v>
      </c>
      <c r="E35" s="10">
        <v>0.0</v>
      </c>
    </row>
    <row r="36" ht="22.5" customHeight="1">
      <c r="A36" s="13" t="s">
        <v>256</v>
      </c>
      <c r="B36" s="13">
        <v>1.0</v>
      </c>
      <c r="C36" s="13">
        <v>3.0</v>
      </c>
      <c r="D36" s="10">
        <v>4.0</v>
      </c>
      <c r="E36" s="10">
        <v>0.0</v>
      </c>
    </row>
    <row r="37" ht="22.5" customHeight="1">
      <c r="A37" s="13" t="s">
        <v>218</v>
      </c>
      <c r="B37" s="13">
        <v>3.0</v>
      </c>
      <c r="C37" s="13">
        <v>11.0</v>
      </c>
      <c r="D37" s="10">
        <v>4.0</v>
      </c>
      <c r="E37" s="10">
        <v>0.0</v>
      </c>
    </row>
    <row r="38" ht="22.5" customHeight="1">
      <c r="A38" s="13" t="s">
        <v>124</v>
      </c>
      <c r="B38" s="13">
        <v>5.0</v>
      </c>
      <c r="C38" s="13">
        <v>21.0</v>
      </c>
      <c r="D38" s="10">
        <v>3.2</v>
      </c>
      <c r="E38" s="10">
        <v>0.0</v>
      </c>
    </row>
    <row r="39" ht="22.5" customHeight="1">
      <c r="A39" s="13" t="s">
        <v>161</v>
      </c>
      <c r="B39" s="13">
        <v>5.0</v>
      </c>
      <c r="C39" s="13">
        <v>20.0</v>
      </c>
      <c r="D39" s="10">
        <v>3.2</v>
      </c>
      <c r="E39" s="10">
        <v>0.0</v>
      </c>
    </row>
    <row r="40" ht="22.5" customHeight="1">
      <c r="A40" s="13" t="s">
        <v>213</v>
      </c>
      <c r="B40" s="13">
        <v>5.0</v>
      </c>
      <c r="C40" s="13">
        <v>20.0</v>
      </c>
      <c r="D40" s="10">
        <v>3.2</v>
      </c>
      <c r="E40" s="10">
        <v>0.0</v>
      </c>
    </row>
    <row r="41" ht="22.5" customHeight="1">
      <c r="A41" s="13" t="s">
        <v>105</v>
      </c>
      <c r="B41" s="13">
        <v>5.0</v>
      </c>
      <c r="C41" s="13">
        <v>20.0</v>
      </c>
      <c r="D41" s="10">
        <v>3.2</v>
      </c>
      <c r="E41" s="10">
        <v>0.2</v>
      </c>
    </row>
    <row r="42" ht="22.5" customHeight="1">
      <c r="A42" s="13" t="s">
        <v>204</v>
      </c>
      <c r="B42" s="13">
        <v>5.0</v>
      </c>
      <c r="C42" s="13">
        <v>20.0</v>
      </c>
      <c r="D42" s="10">
        <v>3.2</v>
      </c>
      <c r="E42" s="10">
        <v>0.0</v>
      </c>
    </row>
    <row r="43" ht="22.5" customHeight="1">
      <c r="A43" s="13" t="s">
        <v>52</v>
      </c>
      <c r="B43" s="13">
        <v>5.0</v>
      </c>
      <c r="C43" s="13">
        <v>19.0</v>
      </c>
      <c r="D43" s="10">
        <v>3.2</v>
      </c>
      <c r="E43" s="10">
        <v>0.6</v>
      </c>
    </row>
    <row r="44" ht="22.5" customHeight="1">
      <c r="A44" s="13" t="s">
        <v>249</v>
      </c>
      <c r="B44" s="13">
        <v>5.0</v>
      </c>
      <c r="C44" s="13">
        <v>20.0</v>
      </c>
      <c r="D44" s="10">
        <v>3.2</v>
      </c>
      <c r="E44" s="10">
        <v>0.0</v>
      </c>
    </row>
    <row r="45" ht="22.5" customHeight="1">
      <c r="A45" s="13" t="s">
        <v>212</v>
      </c>
      <c r="B45" s="13">
        <v>5.0</v>
      </c>
      <c r="C45" s="13">
        <v>20.0</v>
      </c>
      <c r="D45" s="10">
        <v>3.2</v>
      </c>
      <c r="E45" s="10">
        <v>0.2</v>
      </c>
    </row>
    <row r="46" ht="22.5" customHeight="1">
      <c r="A46" s="13" t="s">
        <v>157</v>
      </c>
      <c r="B46" s="13">
        <v>5.0</v>
      </c>
      <c r="C46" s="13">
        <v>19.0</v>
      </c>
      <c r="D46" s="10">
        <v>3.2</v>
      </c>
      <c r="E46" s="10">
        <v>0.4</v>
      </c>
    </row>
    <row r="47" ht="22.5" customHeight="1">
      <c r="A47" s="13" t="s">
        <v>131</v>
      </c>
      <c r="B47" s="13">
        <v>5.0</v>
      </c>
      <c r="C47" s="13">
        <v>20.0</v>
      </c>
      <c r="D47" s="10">
        <v>3.2</v>
      </c>
      <c r="E47" s="10">
        <v>0.6</v>
      </c>
    </row>
    <row r="48" ht="22.5" customHeight="1">
      <c r="A48" s="13" t="s">
        <v>233</v>
      </c>
      <c r="B48" s="13">
        <v>4.0</v>
      </c>
      <c r="C48" s="13">
        <v>16.0</v>
      </c>
      <c r="D48" s="10">
        <v>3.0</v>
      </c>
      <c r="E48" s="10">
        <v>0.0</v>
      </c>
    </row>
    <row r="49" ht="22.5" customHeight="1">
      <c r="A49" s="13" t="s">
        <v>135</v>
      </c>
      <c r="B49" s="13">
        <v>4.0</v>
      </c>
      <c r="C49" s="13">
        <v>15.0</v>
      </c>
      <c r="D49" s="10">
        <v>3.0</v>
      </c>
      <c r="E49" s="10">
        <v>0.5</v>
      </c>
    </row>
    <row r="50" ht="22.5" customHeight="1">
      <c r="A50" s="13" t="s">
        <v>331</v>
      </c>
      <c r="B50" s="13">
        <v>4.0</v>
      </c>
      <c r="C50" s="13">
        <v>16.0</v>
      </c>
      <c r="D50" s="10">
        <v>3.0</v>
      </c>
      <c r="E50" s="10">
        <v>0.0</v>
      </c>
    </row>
    <row r="51" ht="22.5" customHeight="1">
      <c r="A51" s="13" t="s">
        <v>94</v>
      </c>
      <c r="B51" s="13">
        <v>3.0</v>
      </c>
      <c r="C51" s="13">
        <v>12.0</v>
      </c>
      <c r="D51" s="10">
        <v>2.6666666666666665</v>
      </c>
      <c r="E51" s="10">
        <v>0.3333333333333333</v>
      </c>
    </row>
    <row r="52" ht="22.5" customHeight="1">
      <c r="A52" s="13" t="s">
        <v>123</v>
      </c>
      <c r="B52" s="13">
        <v>3.0</v>
      </c>
      <c r="C52" s="13">
        <v>13.0</v>
      </c>
      <c r="D52" s="10">
        <v>2.6666666666666665</v>
      </c>
      <c r="E52" s="10">
        <v>0.0</v>
      </c>
    </row>
    <row r="53" ht="22.5" customHeight="1">
      <c r="A53" s="13" t="s">
        <v>261</v>
      </c>
      <c r="B53" s="13">
        <v>3.0</v>
      </c>
      <c r="C53" s="13">
        <v>12.0</v>
      </c>
      <c r="D53" s="10">
        <v>2.6666666666666665</v>
      </c>
      <c r="E53" s="10">
        <v>0.0</v>
      </c>
    </row>
    <row r="54" ht="22.5" customHeight="1">
      <c r="A54" s="13" t="s">
        <v>29</v>
      </c>
      <c r="B54" s="13">
        <v>5.0</v>
      </c>
      <c r="C54" s="13">
        <v>20.0</v>
      </c>
      <c r="D54" s="10">
        <v>2.4</v>
      </c>
      <c r="E54" s="10">
        <v>0.2</v>
      </c>
    </row>
    <row r="55" ht="22.5" customHeight="1">
      <c r="A55" s="13" t="s">
        <v>61</v>
      </c>
      <c r="B55" s="13">
        <v>5.0</v>
      </c>
      <c r="C55" s="13">
        <v>19.0</v>
      </c>
      <c r="D55" s="10">
        <v>2.4</v>
      </c>
      <c r="E55" s="10">
        <v>0.0</v>
      </c>
    </row>
    <row r="56" ht="22.5" customHeight="1">
      <c r="A56" s="13" t="s">
        <v>71</v>
      </c>
      <c r="B56" s="13">
        <v>5.0</v>
      </c>
      <c r="C56" s="13">
        <v>19.0</v>
      </c>
      <c r="D56" s="10">
        <v>2.4</v>
      </c>
      <c r="E56" s="10">
        <v>0.4</v>
      </c>
    </row>
    <row r="57" ht="22.5" customHeight="1">
      <c r="A57" s="13" t="s">
        <v>79</v>
      </c>
      <c r="B57" s="13">
        <v>5.0</v>
      </c>
      <c r="C57" s="13">
        <v>18.0</v>
      </c>
      <c r="D57" s="10">
        <v>2.4</v>
      </c>
      <c r="E57" s="10">
        <v>0.0</v>
      </c>
    </row>
    <row r="58" ht="22.5" customHeight="1">
      <c r="A58" s="13" t="s">
        <v>90</v>
      </c>
      <c r="B58" s="13">
        <v>5.0</v>
      </c>
      <c r="C58" s="13">
        <v>19.0</v>
      </c>
      <c r="D58" s="10">
        <v>2.4</v>
      </c>
      <c r="E58" s="10">
        <v>0.0</v>
      </c>
    </row>
    <row r="59" ht="22.5" customHeight="1">
      <c r="A59" s="13" t="s">
        <v>139</v>
      </c>
      <c r="B59" s="13">
        <v>5.0</v>
      </c>
      <c r="C59" s="13">
        <v>20.0</v>
      </c>
      <c r="D59" s="10">
        <v>2.4</v>
      </c>
      <c r="E59" s="10">
        <v>0.0</v>
      </c>
    </row>
    <row r="60" ht="22.5" customHeight="1">
      <c r="A60" s="13" t="s">
        <v>199</v>
      </c>
      <c r="B60" s="13">
        <v>5.0</v>
      </c>
      <c r="C60" s="13">
        <v>19.0</v>
      </c>
      <c r="D60" s="10">
        <v>2.4</v>
      </c>
      <c r="E60" s="10">
        <v>0.0</v>
      </c>
    </row>
    <row r="61" ht="22.5" customHeight="1">
      <c r="A61" s="13" t="s">
        <v>281</v>
      </c>
      <c r="B61" s="13">
        <v>5.0</v>
      </c>
      <c r="C61" s="13">
        <v>20.0</v>
      </c>
      <c r="D61" s="10">
        <v>2.4</v>
      </c>
      <c r="E61" s="10">
        <v>0.2</v>
      </c>
    </row>
    <row r="62" ht="22.5" customHeight="1">
      <c r="A62" s="13" t="s">
        <v>286</v>
      </c>
      <c r="B62" s="13">
        <v>5.0</v>
      </c>
      <c r="C62" s="13">
        <v>20.0</v>
      </c>
      <c r="D62" s="10">
        <v>2.4</v>
      </c>
      <c r="E62" s="10">
        <v>0.2</v>
      </c>
    </row>
    <row r="63" ht="22.5" customHeight="1">
      <c r="A63" s="13" t="s">
        <v>320</v>
      </c>
      <c r="B63" s="13">
        <v>5.0</v>
      </c>
      <c r="C63" s="13">
        <v>20.0</v>
      </c>
      <c r="D63" s="10">
        <v>2.4</v>
      </c>
      <c r="E63" s="10">
        <v>0.0</v>
      </c>
    </row>
    <row r="64" ht="22.5" customHeight="1">
      <c r="A64" s="13" t="s">
        <v>102</v>
      </c>
      <c r="B64" s="13">
        <v>2.0</v>
      </c>
      <c r="C64" s="13">
        <v>8.0</v>
      </c>
      <c r="D64" s="10">
        <v>2.0</v>
      </c>
      <c r="E64" s="10">
        <v>0.0</v>
      </c>
    </row>
    <row r="65" ht="22.5" customHeight="1">
      <c r="A65" s="13" t="s">
        <v>108</v>
      </c>
      <c r="B65" s="13">
        <v>2.0</v>
      </c>
      <c r="C65" s="13">
        <v>8.0</v>
      </c>
      <c r="D65" s="10">
        <v>2.0</v>
      </c>
      <c r="E65" s="10">
        <v>0.0</v>
      </c>
    </row>
    <row r="66" ht="22.5" customHeight="1">
      <c r="A66" s="13" t="s">
        <v>109</v>
      </c>
      <c r="B66" s="13">
        <v>2.0</v>
      </c>
      <c r="C66" s="13">
        <v>8.0</v>
      </c>
      <c r="D66" s="10">
        <v>2.0</v>
      </c>
      <c r="E66" s="10">
        <v>0.0</v>
      </c>
    </row>
    <row r="67" ht="22.5" customHeight="1">
      <c r="A67" s="13" t="s">
        <v>125</v>
      </c>
      <c r="B67" s="13">
        <v>4.0</v>
      </c>
      <c r="C67" s="13">
        <v>16.0</v>
      </c>
      <c r="D67" s="10">
        <v>2.0</v>
      </c>
      <c r="E67" s="10">
        <v>0.0</v>
      </c>
    </row>
    <row r="68" ht="22.5" customHeight="1">
      <c r="A68" s="13" t="s">
        <v>150</v>
      </c>
      <c r="B68" s="13">
        <v>4.0</v>
      </c>
      <c r="C68" s="13">
        <v>15.0</v>
      </c>
      <c r="D68" s="10">
        <v>2.0</v>
      </c>
      <c r="E68" s="10">
        <v>0.0</v>
      </c>
    </row>
    <row r="69" ht="22.5" customHeight="1">
      <c r="A69" s="13" t="s">
        <v>224</v>
      </c>
      <c r="B69" s="13">
        <v>2.0</v>
      </c>
      <c r="C69" s="13">
        <v>9.0</v>
      </c>
      <c r="D69" s="10">
        <v>2.0</v>
      </c>
      <c r="E69" s="10">
        <v>0.0</v>
      </c>
    </row>
    <row r="70" ht="22.5" customHeight="1">
      <c r="A70" s="13" t="s">
        <v>223</v>
      </c>
      <c r="B70" s="13">
        <v>4.0</v>
      </c>
      <c r="C70" s="13">
        <v>15.0</v>
      </c>
      <c r="D70" s="10">
        <v>2.0</v>
      </c>
      <c r="E70" s="10">
        <v>0.25</v>
      </c>
    </row>
    <row r="71" ht="22.5" customHeight="1">
      <c r="A71" s="13" t="s">
        <v>141</v>
      </c>
      <c r="B71" s="13">
        <v>4.0</v>
      </c>
      <c r="C71" s="13">
        <v>15.0</v>
      </c>
      <c r="D71" s="10">
        <v>2.0</v>
      </c>
      <c r="E71" s="10">
        <v>0.0</v>
      </c>
    </row>
    <row r="72" ht="22.5" customHeight="1">
      <c r="A72" s="13" t="s">
        <v>316</v>
      </c>
      <c r="B72" s="13">
        <v>4.0</v>
      </c>
      <c r="C72" s="13">
        <v>16.0</v>
      </c>
      <c r="D72" s="10">
        <v>2.0</v>
      </c>
      <c r="E72" s="10">
        <v>0.0</v>
      </c>
    </row>
    <row r="73" ht="22.5" customHeight="1">
      <c r="A73" s="13" t="s">
        <v>348</v>
      </c>
      <c r="B73" s="13">
        <v>2.0</v>
      </c>
      <c r="C73" s="13">
        <v>8.0</v>
      </c>
      <c r="D73" s="10">
        <v>2.0</v>
      </c>
      <c r="E73" s="10">
        <v>0.0</v>
      </c>
    </row>
    <row r="74" ht="22.5" customHeight="1">
      <c r="A74" s="13" t="s">
        <v>342</v>
      </c>
      <c r="B74" s="13">
        <v>2.0</v>
      </c>
      <c r="C74" s="13">
        <v>8.0</v>
      </c>
      <c r="D74" s="10">
        <v>2.0</v>
      </c>
      <c r="E74" s="10">
        <v>0.0</v>
      </c>
    </row>
    <row r="75" ht="22.5" customHeight="1">
      <c r="A75" s="13" t="s">
        <v>54</v>
      </c>
      <c r="B75" s="13">
        <v>5.0</v>
      </c>
      <c r="C75" s="13">
        <v>19.0</v>
      </c>
      <c r="D75" s="10">
        <v>1.6</v>
      </c>
      <c r="E75" s="10">
        <v>0.2</v>
      </c>
    </row>
    <row r="76" ht="22.5" customHeight="1">
      <c r="A76" s="13" t="s">
        <v>75</v>
      </c>
      <c r="B76" s="13">
        <v>5.0</v>
      </c>
      <c r="C76" s="13">
        <v>18.0</v>
      </c>
      <c r="D76" s="10">
        <v>1.6</v>
      </c>
      <c r="E76" s="10">
        <v>0.0</v>
      </c>
    </row>
    <row r="77" ht="22.5" customHeight="1">
      <c r="A77" s="13" t="s">
        <v>96</v>
      </c>
      <c r="B77" s="13">
        <v>5.0</v>
      </c>
      <c r="C77" s="13">
        <v>19.0</v>
      </c>
      <c r="D77" s="10">
        <v>1.6</v>
      </c>
      <c r="E77" s="10">
        <v>0.0</v>
      </c>
    </row>
    <row r="78" ht="22.5" customHeight="1">
      <c r="A78" s="13" t="s">
        <v>112</v>
      </c>
      <c r="B78" s="13">
        <v>5.0</v>
      </c>
      <c r="C78" s="13">
        <v>21.0</v>
      </c>
      <c r="D78" s="10">
        <v>1.6</v>
      </c>
      <c r="E78" s="10">
        <v>0.2</v>
      </c>
    </row>
    <row r="79" ht="22.5" customHeight="1">
      <c r="A79" s="13" t="s">
        <v>209</v>
      </c>
      <c r="B79" s="13">
        <v>5.0</v>
      </c>
      <c r="C79" s="13">
        <v>20.0</v>
      </c>
      <c r="D79" s="10">
        <v>1.6</v>
      </c>
      <c r="E79" s="10">
        <v>0.0</v>
      </c>
    </row>
    <row r="80" ht="22.5" customHeight="1">
      <c r="A80" s="13" t="s">
        <v>214</v>
      </c>
      <c r="B80" s="13">
        <v>5.0</v>
      </c>
      <c r="C80" s="13">
        <v>20.0</v>
      </c>
      <c r="D80" s="10">
        <v>1.6</v>
      </c>
      <c r="E80" s="10">
        <v>0.6</v>
      </c>
    </row>
    <row r="81" ht="22.5" customHeight="1">
      <c r="A81" s="13" t="s">
        <v>182</v>
      </c>
      <c r="B81" s="13">
        <v>5.0</v>
      </c>
      <c r="C81" s="13">
        <v>20.0</v>
      </c>
      <c r="D81" s="10">
        <v>1.6</v>
      </c>
      <c r="E81" s="10">
        <v>0.2</v>
      </c>
    </row>
    <row r="82" ht="22.5" customHeight="1">
      <c r="A82" s="13" t="s">
        <v>248</v>
      </c>
      <c r="B82" s="13">
        <v>5.0</v>
      </c>
      <c r="C82" s="13">
        <v>20.0</v>
      </c>
      <c r="D82" s="10">
        <v>1.6</v>
      </c>
      <c r="E82" s="10">
        <v>0.8</v>
      </c>
    </row>
    <row r="83" ht="22.5" customHeight="1">
      <c r="A83" s="13" t="s">
        <v>99</v>
      </c>
      <c r="B83" s="13">
        <v>5.0</v>
      </c>
      <c r="C83" s="13">
        <v>18.0</v>
      </c>
      <c r="D83" s="10">
        <v>1.6</v>
      </c>
      <c r="E83" s="10">
        <v>0.2</v>
      </c>
    </row>
    <row r="84" ht="22.5" customHeight="1">
      <c r="A84" s="13" t="s">
        <v>228</v>
      </c>
      <c r="B84" s="13">
        <v>5.0</v>
      </c>
      <c r="C84" s="13">
        <v>19.0</v>
      </c>
      <c r="D84" s="10">
        <v>1.6</v>
      </c>
      <c r="E84" s="10">
        <v>0.0</v>
      </c>
    </row>
    <row r="85" ht="22.5" customHeight="1">
      <c r="A85" s="13" t="s">
        <v>274</v>
      </c>
      <c r="B85" s="13">
        <v>5.0</v>
      </c>
      <c r="C85" s="13">
        <v>19.0</v>
      </c>
      <c r="D85" s="10">
        <v>1.6</v>
      </c>
      <c r="E85" s="10">
        <v>0.0</v>
      </c>
    </row>
    <row r="86" ht="22.5" customHeight="1">
      <c r="A86" s="13" t="s">
        <v>254</v>
      </c>
      <c r="B86" s="13">
        <v>5.0</v>
      </c>
      <c r="C86" s="13">
        <v>20.0</v>
      </c>
      <c r="D86" s="10">
        <v>1.6</v>
      </c>
      <c r="E86" s="10">
        <v>0.0</v>
      </c>
    </row>
    <row r="87" ht="22.5" customHeight="1">
      <c r="A87" s="13" t="s">
        <v>155</v>
      </c>
      <c r="B87" s="13">
        <v>5.0</v>
      </c>
      <c r="C87" s="13">
        <v>20.0</v>
      </c>
      <c r="D87" s="10">
        <v>1.6</v>
      </c>
      <c r="E87" s="10">
        <v>0.4</v>
      </c>
    </row>
    <row r="88" ht="22.5" customHeight="1">
      <c r="A88" s="13" t="s">
        <v>346</v>
      </c>
      <c r="B88" s="13">
        <v>5.0</v>
      </c>
      <c r="C88" s="13">
        <v>19.0</v>
      </c>
      <c r="D88" s="10">
        <v>1.6</v>
      </c>
      <c r="E88" s="10">
        <v>0.6</v>
      </c>
    </row>
    <row r="89" ht="22.5" customHeight="1">
      <c r="A89" s="13" t="s">
        <v>38</v>
      </c>
      <c r="B89" s="13">
        <v>3.0</v>
      </c>
      <c r="C89" s="13">
        <v>12.0</v>
      </c>
      <c r="D89" s="10">
        <v>1.3333333333333333</v>
      </c>
      <c r="E89" s="10">
        <v>0.0</v>
      </c>
    </row>
    <row r="90" ht="22.5" customHeight="1">
      <c r="A90" s="13" t="s">
        <v>73</v>
      </c>
      <c r="B90" s="13">
        <v>3.0</v>
      </c>
      <c r="C90" s="13">
        <v>12.0</v>
      </c>
      <c r="D90" s="10">
        <v>1.3333333333333333</v>
      </c>
      <c r="E90" s="10">
        <v>0.3333333333333333</v>
      </c>
    </row>
    <row r="91" ht="22.5" customHeight="1">
      <c r="A91" s="13" t="s">
        <v>263</v>
      </c>
      <c r="B91" s="13">
        <v>3.0</v>
      </c>
      <c r="C91" s="13">
        <v>12.0</v>
      </c>
      <c r="D91" s="10">
        <v>1.3333333333333333</v>
      </c>
      <c r="E91" s="10">
        <v>0.0</v>
      </c>
    </row>
    <row r="92" ht="22.5" customHeight="1">
      <c r="A92" s="13" t="s">
        <v>298</v>
      </c>
      <c r="B92" s="13">
        <v>3.0</v>
      </c>
      <c r="C92" s="13">
        <v>11.0</v>
      </c>
      <c r="D92" s="10">
        <v>1.3333333333333333</v>
      </c>
      <c r="E92" s="10">
        <v>0.0</v>
      </c>
    </row>
    <row r="93" ht="22.5" customHeight="1">
      <c r="A93" s="13" t="s">
        <v>252</v>
      </c>
      <c r="B93" s="13">
        <v>3.0</v>
      </c>
      <c r="C93" s="13">
        <v>11.0</v>
      </c>
      <c r="D93" s="10">
        <v>1.3333333333333333</v>
      </c>
      <c r="E93" s="10">
        <v>0.0</v>
      </c>
    </row>
    <row r="94" ht="22.5" customHeight="1">
      <c r="A94" s="13" t="s">
        <v>317</v>
      </c>
      <c r="B94" s="13">
        <v>3.0</v>
      </c>
      <c r="C94" s="13">
        <v>12.0</v>
      </c>
      <c r="D94" s="10">
        <v>1.3333333333333333</v>
      </c>
      <c r="E94" s="10">
        <v>0.0</v>
      </c>
    </row>
    <row r="95" ht="22.5" customHeight="1">
      <c r="A95" s="13" t="s">
        <v>328</v>
      </c>
      <c r="B95" s="13">
        <v>3.0</v>
      </c>
      <c r="C95" s="13">
        <v>12.0</v>
      </c>
      <c r="D95" s="10">
        <v>1.3333333333333333</v>
      </c>
      <c r="E95" s="10">
        <v>0.0</v>
      </c>
    </row>
    <row r="96" ht="22.5" customHeight="1">
      <c r="A96" s="13" t="s">
        <v>119</v>
      </c>
      <c r="B96" s="13">
        <v>3.0</v>
      </c>
      <c r="C96" s="13">
        <v>11.0</v>
      </c>
      <c r="D96" s="10">
        <v>1.3333333333333333</v>
      </c>
      <c r="E96" s="10">
        <v>0.3333333333333333</v>
      </c>
    </row>
    <row r="97" ht="22.5" customHeight="1">
      <c r="A97" s="13" t="s">
        <v>51</v>
      </c>
      <c r="B97" s="13">
        <v>4.0</v>
      </c>
      <c r="C97" s="13">
        <v>16.0</v>
      </c>
      <c r="D97" s="10">
        <v>1.0</v>
      </c>
      <c r="E97" s="10">
        <v>0.0</v>
      </c>
    </row>
    <row r="98" ht="22.5" customHeight="1">
      <c r="A98" s="13" t="s">
        <v>162</v>
      </c>
      <c r="B98" s="13">
        <v>4.0</v>
      </c>
      <c r="C98" s="13">
        <v>16.0</v>
      </c>
      <c r="D98" s="10">
        <v>1.0</v>
      </c>
      <c r="E98" s="10">
        <v>0.25</v>
      </c>
    </row>
    <row r="99" ht="22.5" customHeight="1">
      <c r="A99" s="13" t="s">
        <v>189</v>
      </c>
      <c r="B99" s="13">
        <v>4.0</v>
      </c>
      <c r="C99" s="13">
        <v>16.0</v>
      </c>
      <c r="D99" s="10">
        <v>1.0</v>
      </c>
      <c r="E99" s="10">
        <v>0.0</v>
      </c>
    </row>
    <row r="100" ht="22.5" customHeight="1">
      <c r="A100" s="13" t="s">
        <v>259</v>
      </c>
      <c r="B100" s="13">
        <v>4.0</v>
      </c>
      <c r="C100" s="13">
        <v>15.0</v>
      </c>
      <c r="D100" s="10">
        <v>1.0</v>
      </c>
      <c r="E100" s="10">
        <v>0.25</v>
      </c>
    </row>
    <row r="101" ht="22.5" customHeight="1">
      <c r="A101" s="13" t="s">
        <v>266</v>
      </c>
      <c r="B101" s="13">
        <v>4.0</v>
      </c>
      <c r="C101" s="13">
        <v>16.0</v>
      </c>
      <c r="D101" s="10">
        <v>1.0</v>
      </c>
      <c r="E101" s="10">
        <v>0.25</v>
      </c>
    </row>
    <row r="102" ht="22.5" customHeight="1">
      <c r="A102" s="13" t="s">
        <v>80</v>
      </c>
      <c r="B102" s="13">
        <v>4.0</v>
      </c>
      <c r="C102" s="13">
        <v>15.0</v>
      </c>
      <c r="D102" s="10">
        <v>1.0</v>
      </c>
      <c r="E102" s="10">
        <v>0.25</v>
      </c>
    </row>
    <row r="103" ht="22.5" customHeight="1">
      <c r="A103" s="13" t="s">
        <v>275</v>
      </c>
      <c r="B103" s="13">
        <v>4.0</v>
      </c>
      <c r="C103" s="13">
        <v>15.0</v>
      </c>
      <c r="D103" s="10">
        <v>1.0</v>
      </c>
      <c r="E103" s="10">
        <v>0.0</v>
      </c>
    </row>
    <row r="104" ht="22.5" customHeight="1">
      <c r="A104" s="13" t="s">
        <v>276</v>
      </c>
      <c r="B104" s="13">
        <v>4.0</v>
      </c>
      <c r="C104" s="13">
        <v>15.0</v>
      </c>
      <c r="D104" s="10">
        <v>1.0</v>
      </c>
      <c r="E104" s="10">
        <v>0.0</v>
      </c>
    </row>
    <row r="105" ht="22.5" customHeight="1">
      <c r="A105" s="13" t="s">
        <v>172</v>
      </c>
      <c r="B105" s="13">
        <v>4.0</v>
      </c>
      <c r="C105" s="13">
        <v>16.0</v>
      </c>
      <c r="D105" s="10">
        <v>1.0</v>
      </c>
      <c r="E105" s="10">
        <v>0.0</v>
      </c>
    </row>
    <row r="106" ht="22.5" customHeight="1">
      <c r="A106" s="13" t="s">
        <v>291</v>
      </c>
      <c r="B106" s="13">
        <v>4.0</v>
      </c>
      <c r="C106" s="13">
        <v>15.0</v>
      </c>
      <c r="D106" s="10">
        <v>1.0</v>
      </c>
      <c r="E106" s="10">
        <v>0.0</v>
      </c>
    </row>
    <row r="107" ht="22.5" customHeight="1">
      <c r="A107" s="13" t="s">
        <v>175</v>
      </c>
      <c r="B107" s="13">
        <v>4.0</v>
      </c>
      <c r="C107" s="13">
        <v>15.0</v>
      </c>
      <c r="D107" s="10">
        <v>1.0</v>
      </c>
      <c r="E107" s="10">
        <v>0.0</v>
      </c>
    </row>
    <row r="108" ht="22.5" customHeight="1">
      <c r="A108" s="13" t="s">
        <v>315</v>
      </c>
      <c r="B108" s="13">
        <v>4.0</v>
      </c>
      <c r="C108" s="13">
        <v>16.0</v>
      </c>
      <c r="D108" s="10">
        <v>1.0</v>
      </c>
      <c r="E108" s="10">
        <v>0.25</v>
      </c>
    </row>
    <row r="109" ht="22.5" customHeight="1">
      <c r="A109" s="13" t="s">
        <v>324</v>
      </c>
      <c r="B109" s="13">
        <v>4.0</v>
      </c>
      <c r="C109" s="13">
        <v>15.0</v>
      </c>
      <c r="D109" s="10">
        <v>1.0</v>
      </c>
      <c r="E109" s="10">
        <v>0.0</v>
      </c>
    </row>
    <row r="110" ht="22.5" customHeight="1">
      <c r="A110" s="13" t="s">
        <v>299</v>
      </c>
      <c r="B110" s="13">
        <v>4.0</v>
      </c>
      <c r="C110" s="13">
        <v>14.0</v>
      </c>
      <c r="D110" s="10">
        <v>1.0</v>
      </c>
      <c r="E110" s="10">
        <v>0.0</v>
      </c>
    </row>
    <row r="111" ht="22.5" customHeight="1">
      <c r="A111" s="13" t="s">
        <v>193</v>
      </c>
      <c r="B111" s="13">
        <v>4.0</v>
      </c>
      <c r="C111" s="13">
        <v>15.0</v>
      </c>
      <c r="D111" s="10">
        <v>1.0</v>
      </c>
      <c r="E111" s="10">
        <v>0.0</v>
      </c>
    </row>
    <row r="112" ht="22.5" customHeight="1">
      <c r="A112" s="13" t="s">
        <v>327</v>
      </c>
      <c r="B112" s="13">
        <v>4.0</v>
      </c>
      <c r="C112" s="13">
        <v>16.0</v>
      </c>
      <c r="D112" s="10">
        <v>1.0</v>
      </c>
      <c r="E112" s="10">
        <v>0.0</v>
      </c>
    </row>
    <row r="113" ht="22.5" customHeight="1">
      <c r="A113" s="13" t="s">
        <v>2</v>
      </c>
      <c r="B113" s="13">
        <v>5.0</v>
      </c>
      <c r="C113" s="13">
        <v>20.0</v>
      </c>
      <c r="D113" s="10">
        <v>0.8</v>
      </c>
      <c r="E113" s="10">
        <v>0.2</v>
      </c>
    </row>
    <row r="114" ht="22.5" customHeight="1">
      <c r="A114" s="13" t="s">
        <v>8</v>
      </c>
      <c r="B114" s="13">
        <v>5.0</v>
      </c>
      <c r="C114" s="13">
        <v>20.0</v>
      </c>
      <c r="D114" s="10">
        <v>0.8</v>
      </c>
      <c r="E114" s="10">
        <v>1.0</v>
      </c>
    </row>
    <row r="115" ht="22.5" customHeight="1">
      <c r="A115" s="13" t="s">
        <v>13</v>
      </c>
      <c r="B115" s="13">
        <v>5.0</v>
      </c>
      <c r="C115" s="13">
        <v>20.0</v>
      </c>
      <c r="D115" s="10">
        <v>0.8</v>
      </c>
      <c r="E115" s="10">
        <v>0.0</v>
      </c>
    </row>
    <row r="116" ht="22.5" customHeight="1">
      <c r="A116" s="13" t="s">
        <v>17</v>
      </c>
      <c r="B116" s="13">
        <v>5.0</v>
      </c>
      <c r="C116" s="13">
        <v>20.0</v>
      </c>
      <c r="D116" s="10">
        <v>0.8</v>
      </c>
      <c r="E116" s="10">
        <v>0.0</v>
      </c>
    </row>
    <row r="117" ht="22.5" customHeight="1">
      <c r="A117" s="13" t="s">
        <v>40</v>
      </c>
      <c r="B117" s="13">
        <v>5.0</v>
      </c>
      <c r="C117" s="13">
        <v>20.0</v>
      </c>
      <c r="D117" s="10">
        <v>0.8</v>
      </c>
      <c r="E117" s="10">
        <v>0.2</v>
      </c>
    </row>
    <row r="118" ht="22.5" customHeight="1">
      <c r="A118" s="13" t="s">
        <v>145</v>
      </c>
      <c r="B118" s="13">
        <v>5.0</v>
      </c>
      <c r="C118" s="13">
        <v>19.0</v>
      </c>
      <c r="D118" s="10">
        <v>0.8</v>
      </c>
      <c r="E118" s="10">
        <v>0.4</v>
      </c>
    </row>
    <row r="119" ht="22.5" customHeight="1">
      <c r="A119" s="13" t="s">
        <v>197</v>
      </c>
      <c r="B119" s="13">
        <v>5.0</v>
      </c>
      <c r="C119" s="13">
        <v>19.0</v>
      </c>
      <c r="D119" s="10">
        <v>0.8</v>
      </c>
      <c r="E119" s="10">
        <v>0.0</v>
      </c>
    </row>
    <row r="120" ht="22.5" customHeight="1">
      <c r="A120" s="13" t="s">
        <v>210</v>
      </c>
      <c r="B120" s="13">
        <v>5.0</v>
      </c>
      <c r="C120" s="13">
        <v>20.0</v>
      </c>
      <c r="D120" s="10">
        <v>0.8</v>
      </c>
      <c r="E120" s="10">
        <v>0.0</v>
      </c>
    </row>
    <row r="121" ht="22.5" customHeight="1">
      <c r="A121" s="13" t="s">
        <v>232</v>
      </c>
      <c r="B121" s="13">
        <v>5.0</v>
      </c>
      <c r="C121" s="13">
        <v>19.0</v>
      </c>
      <c r="D121" s="10">
        <v>0.8</v>
      </c>
      <c r="E121" s="10">
        <v>0.0</v>
      </c>
    </row>
    <row r="122" ht="22.5" customHeight="1">
      <c r="A122" s="13" t="s">
        <v>253</v>
      </c>
      <c r="B122" s="13">
        <v>5.0</v>
      </c>
      <c r="C122" s="13">
        <v>20.0</v>
      </c>
      <c r="D122" s="10">
        <v>0.8</v>
      </c>
      <c r="E122" s="10">
        <v>0.0</v>
      </c>
    </row>
    <row r="123" ht="22.5" customHeight="1">
      <c r="A123" s="13" t="s">
        <v>164</v>
      </c>
      <c r="B123" s="13">
        <v>5.0</v>
      </c>
      <c r="C123" s="13">
        <v>20.0</v>
      </c>
      <c r="D123" s="10">
        <v>0.8</v>
      </c>
      <c r="E123" s="10">
        <v>0.2</v>
      </c>
    </row>
    <row r="124" ht="22.5" customHeight="1">
      <c r="A124" s="13" t="s">
        <v>265</v>
      </c>
      <c r="B124" s="13">
        <v>5.0</v>
      </c>
      <c r="C124" s="13">
        <v>19.0</v>
      </c>
      <c r="D124" s="10">
        <v>0.8</v>
      </c>
      <c r="E124" s="10">
        <v>0.0</v>
      </c>
    </row>
    <row r="125" ht="22.5" customHeight="1">
      <c r="A125" s="13" t="s">
        <v>273</v>
      </c>
      <c r="B125" s="13">
        <v>5.0</v>
      </c>
      <c r="C125" s="13">
        <v>19.0</v>
      </c>
      <c r="D125" s="10">
        <v>0.8</v>
      </c>
      <c r="E125" s="10">
        <v>0.0</v>
      </c>
    </row>
    <row r="126" ht="22.5" customHeight="1">
      <c r="A126" s="13" t="s">
        <v>279</v>
      </c>
      <c r="B126" s="13">
        <v>5.0</v>
      </c>
      <c r="C126" s="13">
        <v>20.0</v>
      </c>
      <c r="D126" s="10">
        <v>0.8</v>
      </c>
      <c r="E126" s="10">
        <v>0.2</v>
      </c>
    </row>
    <row r="127" ht="22.5" customHeight="1">
      <c r="A127" s="13" t="s">
        <v>269</v>
      </c>
      <c r="B127" s="13">
        <v>5.0</v>
      </c>
      <c r="C127" s="13">
        <v>20.0</v>
      </c>
      <c r="D127" s="10">
        <v>0.8</v>
      </c>
      <c r="E127" s="10">
        <v>0.0</v>
      </c>
    </row>
    <row r="128" ht="22.5" customHeight="1">
      <c r="A128" s="13" t="s">
        <v>272</v>
      </c>
      <c r="B128" s="13">
        <v>5.0</v>
      </c>
      <c r="C128" s="13">
        <v>20.0</v>
      </c>
      <c r="D128" s="10">
        <v>0.8</v>
      </c>
      <c r="E128" s="10">
        <v>0.2</v>
      </c>
    </row>
    <row r="129" ht="22.5" customHeight="1">
      <c r="A129" s="13" t="s">
        <v>311</v>
      </c>
      <c r="B129" s="13">
        <v>5.0</v>
      </c>
      <c r="C129" s="13">
        <v>19.0</v>
      </c>
      <c r="D129" s="10">
        <v>0.8</v>
      </c>
      <c r="E129" s="10">
        <v>0.0</v>
      </c>
    </row>
    <row r="130" ht="22.5" customHeight="1">
      <c r="A130" s="13" t="s">
        <v>330</v>
      </c>
      <c r="B130" s="13">
        <v>5.0</v>
      </c>
      <c r="C130" s="13">
        <v>20.0</v>
      </c>
      <c r="D130" s="10">
        <v>0.8</v>
      </c>
      <c r="E130" s="10">
        <v>0.0</v>
      </c>
    </row>
    <row r="131" ht="22.5" customHeight="1">
      <c r="A131" s="13" t="s">
        <v>186</v>
      </c>
      <c r="B131" s="13">
        <v>5.0</v>
      </c>
      <c r="C131" s="13">
        <v>19.0</v>
      </c>
      <c r="D131" s="10">
        <v>0.8</v>
      </c>
      <c r="E131" s="10">
        <v>0.0</v>
      </c>
    </row>
    <row r="132" ht="22.5" customHeight="1">
      <c r="A132" s="13" t="s">
        <v>337</v>
      </c>
      <c r="B132" s="13">
        <v>5.0</v>
      </c>
      <c r="C132" s="13">
        <v>19.0</v>
      </c>
      <c r="D132" s="10">
        <v>0.8</v>
      </c>
      <c r="E132" s="10">
        <v>0.0</v>
      </c>
    </row>
    <row r="133" ht="22.5" customHeight="1">
      <c r="A133" s="13" t="s">
        <v>216</v>
      </c>
      <c r="B133" s="13">
        <v>5.0</v>
      </c>
      <c r="C133" s="13">
        <v>17.0</v>
      </c>
      <c r="D133" s="10">
        <v>0.8</v>
      </c>
      <c r="E133" s="10">
        <v>0.2</v>
      </c>
    </row>
    <row r="134" ht="22.5" customHeight="1">
      <c r="A134" s="13" t="s">
        <v>260</v>
      </c>
      <c r="B134" s="13">
        <v>5.0</v>
      </c>
      <c r="C134" s="13">
        <v>20.0</v>
      </c>
      <c r="D134" s="10">
        <v>0.8</v>
      </c>
      <c r="E134" s="10">
        <v>0.0</v>
      </c>
    </row>
    <row r="135" ht="22.5" customHeight="1">
      <c r="A135" s="13" t="s">
        <v>0</v>
      </c>
      <c r="B135" s="13">
        <v>1.0</v>
      </c>
      <c r="C135" s="13">
        <v>4.0</v>
      </c>
      <c r="D135" s="10">
        <v>0.0</v>
      </c>
      <c r="E135" s="10">
        <v>0.0</v>
      </c>
    </row>
    <row r="136" ht="22.5" customHeight="1">
      <c r="A136" s="13" t="s">
        <v>5</v>
      </c>
      <c r="B136" s="13">
        <v>5.0</v>
      </c>
      <c r="C136" s="13">
        <v>20.0</v>
      </c>
      <c r="D136" s="10">
        <v>0.0</v>
      </c>
      <c r="E136" s="10">
        <v>0.0</v>
      </c>
    </row>
    <row r="137" ht="22.5" customHeight="1">
      <c r="A137" s="13" t="s">
        <v>11</v>
      </c>
      <c r="B137" s="13">
        <v>4.0</v>
      </c>
      <c r="C137" s="13">
        <v>16.0</v>
      </c>
      <c r="D137" s="10">
        <v>0.0</v>
      </c>
      <c r="E137" s="10">
        <v>0.0</v>
      </c>
    </row>
    <row r="138" ht="22.5" customHeight="1">
      <c r="A138" s="13" t="s">
        <v>12</v>
      </c>
      <c r="B138" s="13">
        <v>3.0</v>
      </c>
      <c r="C138" s="13">
        <v>12.0</v>
      </c>
      <c r="D138" s="10">
        <v>0.0</v>
      </c>
      <c r="E138" s="10">
        <v>0.0</v>
      </c>
    </row>
    <row r="139" ht="22.5" customHeight="1">
      <c r="A139" s="13" t="s">
        <v>20</v>
      </c>
      <c r="B139" s="13">
        <v>2.0</v>
      </c>
      <c r="C139" s="13">
        <v>8.0</v>
      </c>
      <c r="D139" s="10">
        <v>0.0</v>
      </c>
      <c r="E139" s="10">
        <v>0.0</v>
      </c>
    </row>
    <row r="140" ht="22.5" customHeight="1">
      <c r="A140" s="13" t="s">
        <v>46</v>
      </c>
      <c r="B140" s="13">
        <v>5.0</v>
      </c>
      <c r="C140" s="13">
        <v>20.0</v>
      </c>
      <c r="D140" s="10">
        <v>0.0</v>
      </c>
      <c r="E140" s="10">
        <v>0.0</v>
      </c>
    </row>
    <row r="141" ht="22.5" customHeight="1">
      <c r="A141" s="13" t="s">
        <v>55</v>
      </c>
      <c r="B141" s="13">
        <v>2.0</v>
      </c>
      <c r="C141" s="13">
        <v>7.0</v>
      </c>
      <c r="D141" s="10">
        <v>0.0</v>
      </c>
      <c r="E141" s="10">
        <v>0.0</v>
      </c>
    </row>
    <row r="142" ht="22.5" customHeight="1">
      <c r="A142" s="13" t="s">
        <v>59</v>
      </c>
      <c r="B142" s="13">
        <v>5.0</v>
      </c>
      <c r="C142" s="13">
        <v>19.0</v>
      </c>
      <c r="D142" s="10">
        <v>0.0</v>
      </c>
      <c r="E142" s="10">
        <v>0.0</v>
      </c>
    </row>
    <row r="143" ht="22.5" customHeight="1">
      <c r="A143" s="13" t="s">
        <v>65</v>
      </c>
      <c r="B143" s="13">
        <v>2.0</v>
      </c>
      <c r="C143" s="13">
        <v>7.0</v>
      </c>
      <c r="D143" s="10">
        <v>0.0</v>
      </c>
      <c r="E143" s="10">
        <v>0.0</v>
      </c>
    </row>
    <row r="144" ht="22.5" customHeight="1">
      <c r="A144" s="13" t="s">
        <v>68</v>
      </c>
      <c r="B144" s="13">
        <v>5.0</v>
      </c>
      <c r="C144" s="13">
        <v>19.0</v>
      </c>
      <c r="D144" s="10">
        <v>0.0</v>
      </c>
      <c r="E144" s="10">
        <v>0.0</v>
      </c>
    </row>
    <row r="145" ht="22.5" customHeight="1">
      <c r="A145" s="13" t="s">
        <v>88</v>
      </c>
      <c r="B145" s="13">
        <v>3.0</v>
      </c>
      <c r="C145" s="13">
        <v>10.0</v>
      </c>
      <c r="D145" s="10">
        <v>0.0</v>
      </c>
      <c r="E145" s="10">
        <v>0.0</v>
      </c>
    </row>
    <row r="146" ht="22.5" customHeight="1">
      <c r="A146" s="13" t="s">
        <v>92</v>
      </c>
      <c r="B146" s="13">
        <v>4.0</v>
      </c>
      <c r="C146" s="13">
        <v>15.0</v>
      </c>
      <c r="D146" s="10">
        <v>0.0</v>
      </c>
      <c r="E146" s="10">
        <v>0.5</v>
      </c>
    </row>
    <row r="147" ht="22.5" customHeight="1">
      <c r="A147" s="13" t="s">
        <v>110</v>
      </c>
      <c r="B147" s="13">
        <v>1.0</v>
      </c>
      <c r="C147" s="13">
        <v>4.0</v>
      </c>
      <c r="D147" s="10">
        <v>0.0</v>
      </c>
      <c r="E147" s="10">
        <v>0.0</v>
      </c>
    </row>
    <row r="148" ht="22.5" customHeight="1">
      <c r="A148" s="13" t="s">
        <v>115</v>
      </c>
      <c r="B148" s="13">
        <v>5.0</v>
      </c>
      <c r="C148" s="13">
        <v>20.0</v>
      </c>
      <c r="D148" s="10">
        <v>0.0</v>
      </c>
      <c r="E148" s="10">
        <v>0.0</v>
      </c>
    </row>
    <row r="149" ht="22.5" customHeight="1">
      <c r="A149" s="13" t="s">
        <v>117</v>
      </c>
      <c r="B149" s="13">
        <v>5.0</v>
      </c>
      <c r="C149" s="13">
        <v>20.0</v>
      </c>
      <c r="D149" s="10">
        <v>0.0</v>
      </c>
      <c r="E149" s="10">
        <v>0.0</v>
      </c>
    </row>
    <row r="150" ht="22.5" customHeight="1">
      <c r="A150" s="13" t="s">
        <v>127</v>
      </c>
      <c r="B150" s="13">
        <v>5.0</v>
      </c>
      <c r="C150" s="13">
        <v>21.0</v>
      </c>
      <c r="D150" s="10">
        <v>0.0</v>
      </c>
      <c r="E150" s="10">
        <v>0.4</v>
      </c>
    </row>
    <row r="151" ht="22.5" customHeight="1">
      <c r="A151" s="13" t="s">
        <v>128</v>
      </c>
      <c r="B151" s="13">
        <v>5.0</v>
      </c>
      <c r="C151" s="13">
        <v>21.0</v>
      </c>
      <c r="D151" s="10">
        <v>0.0</v>
      </c>
      <c r="E151" s="10">
        <v>0.2</v>
      </c>
    </row>
    <row r="152" ht="22.5" customHeight="1">
      <c r="A152" s="13" t="s">
        <v>132</v>
      </c>
      <c r="B152" s="13">
        <v>4.0</v>
      </c>
      <c r="C152" s="13">
        <v>15.0</v>
      </c>
      <c r="D152" s="10">
        <v>0.0</v>
      </c>
      <c r="E152" s="10">
        <v>0.0</v>
      </c>
    </row>
    <row r="153" ht="22.5" customHeight="1">
      <c r="A153" s="13" t="s">
        <v>137</v>
      </c>
      <c r="B153" s="13">
        <v>2.0</v>
      </c>
      <c r="C153" s="13">
        <v>7.0</v>
      </c>
      <c r="D153" s="10">
        <v>0.0</v>
      </c>
      <c r="E153" s="10">
        <v>0.0</v>
      </c>
    </row>
    <row r="154" ht="22.5" customHeight="1">
      <c r="A154" s="13" t="s">
        <v>142</v>
      </c>
      <c r="B154" s="13">
        <v>1.0</v>
      </c>
      <c r="C154" s="13">
        <v>4.0</v>
      </c>
      <c r="D154" s="10">
        <v>0.0</v>
      </c>
      <c r="E154" s="10">
        <v>0.0</v>
      </c>
    </row>
    <row r="155" ht="22.5" customHeight="1">
      <c r="A155" s="13" t="s">
        <v>147</v>
      </c>
      <c r="B155" s="13">
        <v>5.0</v>
      </c>
      <c r="C155" s="13">
        <v>20.0</v>
      </c>
      <c r="D155" s="10">
        <v>0.0</v>
      </c>
      <c r="E155" s="10">
        <v>0.0</v>
      </c>
    </row>
    <row r="156" ht="22.5" customHeight="1">
      <c r="A156" s="13" t="s">
        <v>151</v>
      </c>
      <c r="B156" s="13">
        <v>1.0</v>
      </c>
      <c r="C156" s="13">
        <v>3.0</v>
      </c>
      <c r="D156" s="10">
        <v>0.0</v>
      </c>
      <c r="E156" s="10">
        <v>0.0</v>
      </c>
    </row>
    <row r="157" ht="22.5" customHeight="1">
      <c r="A157" s="13" t="s">
        <v>152</v>
      </c>
      <c r="B157" s="13">
        <v>4.0</v>
      </c>
      <c r="C157" s="13">
        <v>15.0</v>
      </c>
      <c r="D157" s="10">
        <v>0.0</v>
      </c>
      <c r="E157" s="10">
        <v>0.0</v>
      </c>
    </row>
    <row r="158" ht="22.5" customHeight="1">
      <c r="A158" s="13" t="s">
        <v>156</v>
      </c>
      <c r="B158" s="13">
        <v>3.0</v>
      </c>
      <c r="C158" s="13">
        <v>11.0</v>
      </c>
      <c r="D158" s="10">
        <v>0.0</v>
      </c>
      <c r="E158" s="10">
        <v>0.0</v>
      </c>
    </row>
    <row r="159" ht="22.5" customHeight="1">
      <c r="A159" s="13" t="s">
        <v>160</v>
      </c>
      <c r="B159" s="13">
        <v>1.0</v>
      </c>
      <c r="C159" s="13">
        <v>4.0</v>
      </c>
      <c r="D159" s="10">
        <v>0.0</v>
      </c>
      <c r="E159" s="10">
        <v>0.0</v>
      </c>
    </row>
    <row r="160" ht="22.5" customHeight="1">
      <c r="A160" s="13" t="s">
        <v>174</v>
      </c>
      <c r="B160" s="13">
        <v>1.0</v>
      </c>
      <c r="C160" s="13">
        <v>4.0</v>
      </c>
      <c r="D160" s="10">
        <v>0.0</v>
      </c>
      <c r="E160" s="10">
        <v>0.0</v>
      </c>
    </row>
    <row r="161" ht="22.5" customHeight="1">
      <c r="A161" s="13" t="s">
        <v>176</v>
      </c>
      <c r="B161" s="13">
        <v>1.0</v>
      </c>
      <c r="C161" s="13">
        <v>4.0</v>
      </c>
      <c r="D161" s="10">
        <v>0.0</v>
      </c>
      <c r="E161" s="10">
        <v>0.0</v>
      </c>
    </row>
    <row r="162" ht="22.5" customHeight="1">
      <c r="A162" s="13" t="s">
        <v>177</v>
      </c>
      <c r="B162" s="13">
        <v>1.0</v>
      </c>
      <c r="C162" s="13">
        <v>4.0</v>
      </c>
      <c r="D162" s="10">
        <v>0.0</v>
      </c>
      <c r="E162" s="10">
        <v>0.0</v>
      </c>
    </row>
    <row r="163" ht="22.5" customHeight="1">
      <c r="A163" s="13" t="s">
        <v>178</v>
      </c>
      <c r="B163" s="13">
        <v>5.0</v>
      </c>
      <c r="C163" s="13">
        <v>19.0</v>
      </c>
      <c r="D163" s="10">
        <v>0.0</v>
      </c>
      <c r="E163" s="10">
        <v>0.0</v>
      </c>
    </row>
    <row r="164" ht="22.5" customHeight="1">
      <c r="A164" s="13" t="s">
        <v>184</v>
      </c>
      <c r="B164" s="13">
        <v>5.0</v>
      </c>
      <c r="C164" s="13">
        <v>20.0</v>
      </c>
      <c r="D164" s="10">
        <v>0.0</v>
      </c>
      <c r="E164" s="10">
        <v>0.0</v>
      </c>
    </row>
    <row r="165" ht="22.5" customHeight="1">
      <c r="A165" s="13" t="s">
        <v>196</v>
      </c>
      <c r="B165" s="13">
        <v>1.0</v>
      </c>
      <c r="C165" s="13">
        <v>4.0</v>
      </c>
      <c r="D165" s="10">
        <v>0.0</v>
      </c>
      <c r="E165" s="10">
        <v>0.0</v>
      </c>
    </row>
    <row r="166" ht="22.5" customHeight="1">
      <c r="A166" s="13" t="s">
        <v>198</v>
      </c>
      <c r="B166" s="13">
        <v>2.0</v>
      </c>
      <c r="C166" s="13">
        <v>8.0</v>
      </c>
      <c r="D166" s="10">
        <v>0.0</v>
      </c>
      <c r="E166" s="10">
        <v>0.0</v>
      </c>
    </row>
    <row r="167" ht="22.5" customHeight="1">
      <c r="A167" s="13" t="s">
        <v>187</v>
      </c>
      <c r="B167" s="13">
        <v>3.0</v>
      </c>
      <c r="C167" s="13">
        <v>12.0</v>
      </c>
      <c r="D167" s="10">
        <v>0.0</v>
      </c>
      <c r="E167" s="10">
        <v>0.0</v>
      </c>
    </row>
    <row r="168" ht="22.5" customHeight="1">
      <c r="A168" s="13" t="s">
        <v>191</v>
      </c>
      <c r="B168" s="13">
        <v>4.0</v>
      </c>
      <c r="C168" s="13">
        <v>16.0</v>
      </c>
      <c r="D168" s="10">
        <v>0.0</v>
      </c>
      <c r="E168" s="10">
        <v>0.0</v>
      </c>
    </row>
    <row r="169" ht="22.5" customHeight="1">
      <c r="A169" s="13" t="s">
        <v>192</v>
      </c>
      <c r="B169" s="13">
        <v>3.0</v>
      </c>
      <c r="C169" s="13">
        <v>12.0</v>
      </c>
      <c r="D169" s="10">
        <v>0.0</v>
      </c>
      <c r="E169" s="10">
        <v>0.0</v>
      </c>
    </row>
    <row r="170" ht="22.5" customHeight="1">
      <c r="A170" s="13" t="s">
        <v>194</v>
      </c>
      <c r="B170" s="13">
        <v>2.0</v>
      </c>
      <c r="C170" s="13">
        <v>8.0</v>
      </c>
      <c r="D170" s="10">
        <v>0.0</v>
      </c>
      <c r="E170" s="10">
        <v>0.0</v>
      </c>
    </row>
    <row r="171" ht="22.5" customHeight="1">
      <c r="A171" s="13" t="s">
        <v>200</v>
      </c>
      <c r="B171" s="13">
        <v>3.0</v>
      </c>
      <c r="C171" s="13">
        <v>12.0</v>
      </c>
      <c r="D171" s="10">
        <v>0.0</v>
      </c>
      <c r="E171" s="10">
        <v>0.0</v>
      </c>
    </row>
    <row r="172" ht="22.5" customHeight="1">
      <c r="A172" s="13" t="s">
        <v>201</v>
      </c>
      <c r="B172" s="13">
        <v>3.0</v>
      </c>
      <c r="C172" s="13">
        <v>11.0</v>
      </c>
      <c r="D172" s="10">
        <v>0.0</v>
      </c>
      <c r="E172" s="10">
        <v>0.0</v>
      </c>
    </row>
    <row r="173" ht="22.5" customHeight="1">
      <c r="A173" s="13" t="s">
        <v>203</v>
      </c>
      <c r="B173" s="13">
        <v>1.0</v>
      </c>
      <c r="C173" s="13">
        <v>4.0</v>
      </c>
      <c r="D173" s="10">
        <v>0.0</v>
      </c>
      <c r="E173" s="10">
        <v>0.0</v>
      </c>
    </row>
    <row r="174" ht="22.5" customHeight="1">
      <c r="A174" s="13" t="s">
        <v>205</v>
      </c>
      <c r="B174" s="13">
        <v>2.0</v>
      </c>
      <c r="C174" s="13">
        <v>8.0</v>
      </c>
      <c r="D174" s="10">
        <v>0.0</v>
      </c>
      <c r="E174" s="10">
        <v>0.0</v>
      </c>
    </row>
    <row r="175" ht="22.5" customHeight="1">
      <c r="A175" s="13" t="s">
        <v>206</v>
      </c>
      <c r="B175" s="13">
        <v>1.0</v>
      </c>
      <c r="C175" s="13">
        <v>4.0</v>
      </c>
      <c r="D175" s="10">
        <v>0.0</v>
      </c>
      <c r="E175" s="10">
        <v>0.0</v>
      </c>
    </row>
    <row r="176" ht="22.5" customHeight="1">
      <c r="A176" s="13" t="s">
        <v>211</v>
      </c>
      <c r="B176" s="13">
        <v>5.0</v>
      </c>
      <c r="C176" s="13">
        <v>20.0</v>
      </c>
      <c r="D176" s="10">
        <v>0.0</v>
      </c>
      <c r="E176" s="10">
        <v>0.0</v>
      </c>
    </row>
    <row r="177" ht="22.5" customHeight="1">
      <c r="A177" s="13" t="s">
        <v>217</v>
      </c>
      <c r="B177" s="13">
        <v>3.0</v>
      </c>
      <c r="C177" s="13">
        <v>12.0</v>
      </c>
      <c r="D177" s="10">
        <v>0.0</v>
      </c>
      <c r="E177" s="10">
        <v>0.0</v>
      </c>
    </row>
    <row r="178" ht="22.5" customHeight="1">
      <c r="A178" s="13" t="s">
        <v>220</v>
      </c>
      <c r="B178" s="13">
        <v>5.0</v>
      </c>
      <c r="C178" s="13">
        <v>20.0</v>
      </c>
      <c r="D178" s="10">
        <v>0.0</v>
      </c>
      <c r="E178" s="10">
        <v>0.0</v>
      </c>
    </row>
    <row r="179" ht="22.5" customHeight="1">
      <c r="A179" s="13" t="s">
        <v>222</v>
      </c>
      <c r="B179" s="13">
        <v>5.0</v>
      </c>
      <c r="C179" s="13">
        <v>22.0</v>
      </c>
      <c r="D179" s="10">
        <v>0.0</v>
      </c>
      <c r="E179" s="10">
        <v>0.2</v>
      </c>
    </row>
    <row r="180" ht="22.5" customHeight="1">
      <c r="A180" s="13" t="s">
        <v>225</v>
      </c>
      <c r="B180" s="13">
        <v>1.0</v>
      </c>
      <c r="C180" s="13">
        <v>5.0</v>
      </c>
      <c r="D180" s="10">
        <v>0.0</v>
      </c>
      <c r="E180" s="10">
        <v>0.0</v>
      </c>
    </row>
    <row r="181" ht="22.5" customHeight="1">
      <c r="A181" s="13" t="s">
        <v>226</v>
      </c>
      <c r="B181" s="13">
        <v>4.0</v>
      </c>
      <c r="C181" s="13">
        <v>15.0</v>
      </c>
      <c r="D181" s="10">
        <v>0.0</v>
      </c>
      <c r="E181" s="10">
        <v>0.25</v>
      </c>
    </row>
    <row r="182" ht="22.5" customHeight="1">
      <c r="A182" s="13" t="s">
        <v>227</v>
      </c>
      <c r="B182" s="13">
        <v>5.0</v>
      </c>
      <c r="C182" s="13">
        <v>19.0</v>
      </c>
      <c r="D182" s="10">
        <v>0.0</v>
      </c>
      <c r="E182" s="10">
        <v>0.0</v>
      </c>
    </row>
    <row r="183" ht="22.5" customHeight="1">
      <c r="A183" s="13" t="s">
        <v>229</v>
      </c>
      <c r="B183" s="13">
        <v>4.0</v>
      </c>
      <c r="C183" s="13">
        <v>15.0</v>
      </c>
      <c r="D183" s="10">
        <v>0.0</v>
      </c>
      <c r="E183" s="10">
        <v>0.0</v>
      </c>
    </row>
    <row r="184" ht="22.5" customHeight="1">
      <c r="A184" s="13" t="s">
        <v>234</v>
      </c>
      <c r="B184" s="13">
        <v>2.0</v>
      </c>
      <c r="C184" s="13">
        <v>7.0</v>
      </c>
      <c r="D184" s="10">
        <v>0.0</v>
      </c>
      <c r="E184" s="10">
        <v>0.0</v>
      </c>
    </row>
    <row r="185" ht="22.5" customHeight="1">
      <c r="A185" s="13" t="s">
        <v>235</v>
      </c>
      <c r="B185" s="13">
        <v>4.0</v>
      </c>
      <c r="C185" s="13">
        <v>15.0</v>
      </c>
      <c r="D185" s="10">
        <v>0.0</v>
      </c>
      <c r="E185" s="10">
        <v>0.0</v>
      </c>
    </row>
    <row r="186" ht="22.5" customHeight="1">
      <c r="A186" s="13" t="s">
        <v>202</v>
      </c>
      <c r="B186" s="13">
        <v>5.0</v>
      </c>
      <c r="C186" s="13">
        <v>19.0</v>
      </c>
      <c r="D186" s="10">
        <v>0.0</v>
      </c>
      <c r="E186" s="10">
        <v>0.0</v>
      </c>
    </row>
    <row r="187" ht="22.5" customHeight="1">
      <c r="A187" s="13" t="s">
        <v>236</v>
      </c>
      <c r="B187" s="13">
        <v>2.0</v>
      </c>
      <c r="C187" s="13">
        <v>8.0</v>
      </c>
      <c r="D187" s="10">
        <v>0.0</v>
      </c>
      <c r="E187" s="10">
        <v>0.0</v>
      </c>
    </row>
    <row r="188" ht="22.5" customHeight="1">
      <c r="A188" s="13" t="s">
        <v>237</v>
      </c>
      <c r="B188" s="13">
        <v>1.0</v>
      </c>
      <c r="C188" s="13">
        <v>4.0</v>
      </c>
      <c r="D188" s="10">
        <v>0.0</v>
      </c>
      <c r="E188" s="10">
        <v>0.0</v>
      </c>
    </row>
    <row r="189" ht="22.5" customHeight="1">
      <c r="A189" s="13" t="s">
        <v>238</v>
      </c>
      <c r="B189" s="13">
        <v>3.0</v>
      </c>
      <c r="C189" s="13">
        <v>12.0</v>
      </c>
      <c r="D189" s="10">
        <v>0.0</v>
      </c>
      <c r="E189" s="10">
        <v>0.0</v>
      </c>
    </row>
    <row r="190" ht="22.5" customHeight="1">
      <c r="A190" s="13" t="s">
        <v>240</v>
      </c>
      <c r="B190" s="13">
        <v>3.0</v>
      </c>
      <c r="C190" s="13">
        <v>12.0</v>
      </c>
      <c r="D190" s="10">
        <v>0.0</v>
      </c>
      <c r="E190" s="10">
        <v>0.0</v>
      </c>
    </row>
    <row r="191" ht="22.5" customHeight="1">
      <c r="A191" s="13" t="s">
        <v>242</v>
      </c>
      <c r="B191" s="13">
        <v>1.0</v>
      </c>
      <c r="C191" s="13">
        <v>4.0</v>
      </c>
      <c r="D191" s="10">
        <v>0.0</v>
      </c>
      <c r="E191" s="10">
        <v>0.0</v>
      </c>
    </row>
    <row r="192" ht="22.5" customHeight="1">
      <c r="A192" s="13" t="s">
        <v>244</v>
      </c>
      <c r="B192" s="13">
        <v>5.0</v>
      </c>
      <c r="C192" s="13">
        <v>20.0</v>
      </c>
      <c r="D192" s="10">
        <v>0.0</v>
      </c>
      <c r="E192" s="10">
        <v>0.0</v>
      </c>
    </row>
    <row r="193" ht="22.5" customHeight="1">
      <c r="A193" s="13" t="s">
        <v>250</v>
      </c>
      <c r="B193" s="13">
        <v>3.0</v>
      </c>
      <c r="C193" s="13">
        <v>12.0</v>
      </c>
      <c r="D193" s="10">
        <v>0.0</v>
      </c>
      <c r="E193" s="10">
        <v>0.0</v>
      </c>
    </row>
    <row r="194" ht="22.5" customHeight="1">
      <c r="A194" s="13" t="s">
        <v>251</v>
      </c>
      <c r="B194" s="13">
        <v>1.0</v>
      </c>
      <c r="C194" s="13">
        <v>4.0</v>
      </c>
      <c r="D194" s="10">
        <v>0.0</v>
      </c>
      <c r="E194" s="10">
        <v>0.0</v>
      </c>
    </row>
    <row r="195" ht="22.5" customHeight="1">
      <c r="A195" s="13" t="s">
        <v>239</v>
      </c>
      <c r="B195" s="13">
        <v>1.0</v>
      </c>
      <c r="C195" s="13">
        <v>4.0</v>
      </c>
      <c r="D195" s="10">
        <v>0.0</v>
      </c>
      <c r="E195" s="10">
        <v>0.0</v>
      </c>
    </row>
    <row r="196" ht="22.5" customHeight="1">
      <c r="A196" s="13" t="s">
        <v>255</v>
      </c>
      <c r="B196" s="13">
        <v>5.0</v>
      </c>
      <c r="C196" s="13">
        <v>20.0</v>
      </c>
      <c r="D196" s="10">
        <v>0.0</v>
      </c>
      <c r="E196" s="10">
        <v>0.8</v>
      </c>
    </row>
    <row r="197" ht="22.5" customHeight="1">
      <c r="A197" s="13" t="s">
        <v>257</v>
      </c>
      <c r="B197" s="13">
        <v>2.0</v>
      </c>
      <c r="C197" s="13">
        <v>7.0</v>
      </c>
      <c r="D197" s="10">
        <v>0.0</v>
      </c>
      <c r="E197" s="10">
        <v>0.0</v>
      </c>
    </row>
    <row r="198" ht="22.5" customHeight="1">
      <c r="A198" s="13" t="s">
        <v>262</v>
      </c>
      <c r="B198" s="13">
        <v>5.0</v>
      </c>
      <c r="C198" s="13">
        <v>18.0</v>
      </c>
      <c r="D198" s="10">
        <v>0.0</v>
      </c>
      <c r="E198" s="10">
        <v>0.0</v>
      </c>
    </row>
    <row r="199" ht="22.5" customHeight="1">
      <c r="A199" s="13" t="s">
        <v>264</v>
      </c>
      <c r="B199" s="13">
        <v>4.0</v>
      </c>
      <c r="C199" s="13">
        <v>15.0</v>
      </c>
      <c r="D199" s="10">
        <v>0.0</v>
      </c>
      <c r="E199" s="10">
        <v>0.0</v>
      </c>
    </row>
    <row r="200" ht="22.5" customHeight="1">
      <c r="A200" s="13" t="s">
        <v>221</v>
      </c>
      <c r="B200" s="13">
        <v>4.0</v>
      </c>
      <c r="C200" s="13">
        <v>15.0</v>
      </c>
      <c r="D200" s="10">
        <v>0.0</v>
      </c>
      <c r="E200" s="10">
        <v>0.0</v>
      </c>
    </row>
    <row r="201" ht="22.5" customHeight="1">
      <c r="A201" s="13" t="s">
        <v>270</v>
      </c>
      <c r="B201" s="13">
        <v>2.0</v>
      </c>
      <c r="C201" s="13">
        <v>8.0</v>
      </c>
      <c r="D201" s="10">
        <v>0.0</v>
      </c>
      <c r="E201" s="10">
        <v>0.0</v>
      </c>
    </row>
    <row r="202" ht="22.5" customHeight="1">
      <c r="A202" s="13" t="s">
        <v>283</v>
      </c>
      <c r="B202" s="13">
        <v>4.0</v>
      </c>
      <c r="C202" s="13">
        <v>16.0</v>
      </c>
      <c r="D202" s="10">
        <v>0.0</v>
      </c>
      <c r="E202" s="10">
        <v>0.0</v>
      </c>
    </row>
    <row r="203" ht="22.5" customHeight="1">
      <c r="A203" s="13" t="s">
        <v>284</v>
      </c>
      <c r="B203" s="13">
        <v>2.0</v>
      </c>
      <c r="C203" s="13">
        <v>8.0</v>
      </c>
      <c r="D203" s="10">
        <v>0.0</v>
      </c>
      <c r="E203" s="10">
        <v>0.0</v>
      </c>
    </row>
    <row r="204" ht="22.5" customHeight="1">
      <c r="A204" s="13" t="s">
        <v>245</v>
      </c>
      <c r="B204" s="13">
        <v>3.0</v>
      </c>
      <c r="C204" s="13">
        <v>12.0</v>
      </c>
      <c r="D204" s="10">
        <v>0.0</v>
      </c>
      <c r="E204" s="10">
        <v>0.3333333333333333</v>
      </c>
    </row>
    <row r="205" ht="22.5" customHeight="1">
      <c r="A205" s="13" t="s">
        <v>267</v>
      </c>
      <c r="B205" s="13">
        <v>5.0</v>
      </c>
      <c r="C205" s="13">
        <v>19.0</v>
      </c>
      <c r="D205" s="10">
        <v>0.0</v>
      </c>
      <c r="E205" s="10">
        <v>0.0</v>
      </c>
    </row>
    <row r="206" ht="22.5" customHeight="1">
      <c r="A206" s="13" t="s">
        <v>292</v>
      </c>
      <c r="B206" s="13">
        <v>2.0</v>
      </c>
      <c r="C206" s="13">
        <v>8.0</v>
      </c>
      <c r="D206" s="10">
        <v>0.0</v>
      </c>
      <c r="E206" s="10">
        <v>0.0</v>
      </c>
    </row>
    <row r="207" ht="22.5" customHeight="1">
      <c r="A207" s="13" t="s">
        <v>293</v>
      </c>
      <c r="B207" s="13">
        <v>5.0</v>
      </c>
      <c r="C207" s="13">
        <v>20.0</v>
      </c>
      <c r="D207" s="10">
        <v>0.0</v>
      </c>
      <c r="E207" s="10">
        <v>0.0</v>
      </c>
    </row>
    <row r="208" ht="22.5" customHeight="1">
      <c r="A208" s="13" t="s">
        <v>285</v>
      </c>
      <c r="B208" s="13">
        <v>5.0</v>
      </c>
      <c r="C208" s="13">
        <v>20.0</v>
      </c>
      <c r="D208" s="10">
        <v>0.0</v>
      </c>
      <c r="E208" s="10">
        <v>0.0</v>
      </c>
    </row>
    <row r="209" ht="22.5" customHeight="1">
      <c r="A209" s="13" t="s">
        <v>246</v>
      </c>
      <c r="B209" s="13">
        <v>1.0</v>
      </c>
      <c r="C209" s="13">
        <v>4.0</v>
      </c>
      <c r="D209" s="10">
        <v>0.0</v>
      </c>
      <c r="E209" s="10">
        <v>0.0</v>
      </c>
    </row>
    <row r="210" ht="22.5" customHeight="1">
      <c r="A210" s="13" t="s">
        <v>297</v>
      </c>
      <c r="B210" s="13">
        <v>5.0</v>
      </c>
      <c r="C210" s="13">
        <v>20.0</v>
      </c>
      <c r="D210" s="10">
        <v>0.0</v>
      </c>
      <c r="E210" s="10">
        <v>0.0</v>
      </c>
    </row>
    <row r="211" ht="22.5" customHeight="1">
      <c r="A211" s="13" t="s">
        <v>296</v>
      </c>
      <c r="B211" s="13">
        <v>4.0</v>
      </c>
      <c r="C211" s="13">
        <v>15.0</v>
      </c>
      <c r="D211" s="10">
        <v>0.0</v>
      </c>
      <c r="E211" s="10">
        <v>0.0</v>
      </c>
    </row>
    <row r="212" ht="22.5" customHeight="1">
      <c r="A212" s="13" t="s">
        <v>271</v>
      </c>
      <c r="B212" s="13">
        <v>5.0</v>
      </c>
      <c r="C212" s="13">
        <v>20.0</v>
      </c>
      <c r="D212" s="10">
        <v>0.0</v>
      </c>
      <c r="E212" s="10">
        <v>0.0</v>
      </c>
    </row>
    <row r="213" ht="22.5" customHeight="1">
      <c r="A213" s="13" t="s">
        <v>304</v>
      </c>
      <c r="B213" s="13">
        <v>4.0</v>
      </c>
      <c r="C213" s="13">
        <v>15.0</v>
      </c>
      <c r="D213" s="10">
        <v>0.0</v>
      </c>
      <c r="E213" s="10">
        <v>0.0</v>
      </c>
    </row>
    <row r="214" ht="22.5" customHeight="1">
      <c r="A214" s="13" t="s">
        <v>305</v>
      </c>
      <c r="B214" s="13">
        <v>1.0</v>
      </c>
      <c r="C214" s="13">
        <v>4.0</v>
      </c>
      <c r="D214" s="10">
        <v>0.0</v>
      </c>
      <c r="E214" s="10">
        <v>0.0</v>
      </c>
    </row>
    <row r="215" ht="22.5" customHeight="1">
      <c r="A215" s="13" t="s">
        <v>310</v>
      </c>
      <c r="B215" s="13">
        <v>2.0</v>
      </c>
      <c r="C215" s="13">
        <v>7.0</v>
      </c>
      <c r="D215" s="10">
        <v>0.0</v>
      </c>
      <c r="E215" s="10">
        <v>0.0</v>
      </c>
    </row>
    <row r="216" ht="22.5" customHeight="1">
      <c r="A216" s="13" t="s">
        <v>230</v>
      </c>
      <c r="B216" s="13">
        <v>5.0</v>
      </c>
      <c r="C216" s="13">
        <v>19.0</v>
      </c>
      <c r="D216" s="10">
        <v>0.0</v>
      </c>
      <c r="E216" s="10">
        <v>0.0</v>
      </c>
    </row>
    <row r="217" ht="22.5" customHeight="1">
      <c r="A217" s="13" t="s">
        <v>313</v>
      </c>
      <c r="B217" s="13">
        <v>2.0</v>
      </c>
      <c r="C217" s="13">
        <v>7.0</v>
      </c>
      <c r="D217" s="10">
        <v>0.0</v>
      </c>
      <c r="E217" s="10">
        <v>0.0</v>
      </c>
    </row>
    <row r="218" ht="22.5" customHeight="1">
      <c r="A218" s="13" t="s">
        <v>318</v>
      </c>
      <c r="B218" s="13">
        <v>1.0</v>
      </c>
      <c r="C218" s="13">
        <v>4.0</v>
      </c>
      <c r="D218" s="10">
        <v>0.0</v>
      </c>
      <c r="E218" s="10">
        <v>0.0</v>
      </c>
    </row>
    <row r="219" ht="22.5" customHeight="1">
      <c r="A219" s="13" t="s">
        <v>319</v>
      </c>
      <c r="B219" s="13">
        <v>1.0</v>
      </c>
      <c r="C219" s="13">
        <v>4.0</v>
      </c>
      <c r="D219" s="10">
        <v>0.0</v>
      </c>
      <c r="E219" s="10">
        <v>0.0</v>
      </c>
    </row>
    <row r="220" ht="22.5" customHeight="1">
      <c r="A220" s="13" t="s">
        <v>129</v>
      </c>
      <c r="B220" s="13">
        <v>5.0</v>
      </c>
      <c r="C220" s="13">
        <v>20.0</v>
      </c>
      <c r="D220" s="10">
        <v>0.0</v>
      </c>
      <c r="E220" s="10">
        <v>0.0</v>
      </c>
    </row>
    <row r="221" ht="22.5" customHeight="1">
      <c r="A221" s="13" t="s">
        <v>334</v>
      </c>
      <c r="B221" s="13">
        <v>1.0</v>
      </c>
      <c r="C221" s="13">
        <v>4.0</v>
      </c>
      <c r="D221" s="10">
        <v>0.0</v>
      </c>
      <c r="E221" s="10">
        <v>0.0</v>
      </c>
    </row>
    <row r="222" ht="22.5" customHeight="1">
      <c r="A222" s="13" t="s">
        <v>215</v>
      </c>
      <c r="B222" s="13">
        <v>5.0</v>
      </c>
      <c r="C222" s="13">
        <v>20.0</v>
      </c>
      <c r="D222" s="10">
        <v>0.0</v>
      </c>
      <c r="E222" s="10">
        <v>0.0</v>
      </c>
    </row>
    <row r="223" ht="22.5" customHeight="1">
      <c r="A223" s="13" t="s">
        <v>287</v>
      </c>
      <c r="B223" s="13">
        <v>5.0</v>
      </c>
      <c r="C223" s="13">
        <v>20.0</v>
      </c>
      <c r="D223" s="10">
        <v>0.0</v>
      </c>
      <c r="E223" s="10">
        <v>0.0</v>
      </c>
    </row>
    <row r="224" ht="22.5" customHeight="1">
      <c r="A224" s="13" t="s">
        <v>289</v>
      </c>
      <c r="B224" s="13">
        <v>5.0</v>
      </c>
      <c r="C224" s="13">
        <v>20.0</v>
      </c>
      <c r="D224" s="10">
        <v>0.0</v>
      </c>
      <c r="E224" s="10">
        <v>0.0</v>
      </c>
    </row>
    <row r="225" ht="22.5" customHeight="1">
      <c r="A225" s="13" t="s">
        <v>321</v>
      </c>
      <c r="B225" s="13">
        <v>4.0</v>
      </c>
      <c r="C225" s="13">
        <v>16.0</v>
      </c>
      <c r="D225" s="10">
        <v>0.0</v>
      </c>
      <c r="E225" s="10">
        <v>0.0</v>
      </c>
    </row>
    <row r="226" ht="22.5" customHeight="1">
      <c r="A226" s="13" t="s">
        <v>325</v>
      </c>
      <c r="B226" s="13">
        <v>5.0</v>
      </c>
      <c r="C226" s="13">
        <v>19.0</v>
      </c>
      <c r="D226" s="10">
        <v>0.0</v>
      </c>
      <c r="E226" s="10">
        <v>0.0</v>
      </c>
    </row>
    <row r="227" ht="22.5" customHeight="1">
      <c r="A227" s="13" t="s">
        <v>326</v>
      </c>
      <c r="B227" s="13">
        <v>3.0</v>
      </c>
      <c r="C227" s="13">
        <v>12.0</v>
      </c>
      <c r="D227" s="10">
        <v>0.0</v>
      </c>
      <c r="E227" s="10">
        <v>0.0</v>
      </c>
    </row>
    <row r="228" ht="22.5" customHeight="1">
      <c r="A228" s="13" t="s">
        <v>322</v>
      </c>
      <c r="B228" s="13">
        <v>4.0</v>
      </c>
      <c r="C228" s="13">
        <v>15.0</v>
      </c>
      <c r="D228" s="10">
        <v>0.0</v>
      </c>
      <c r="E228" s="10">
        <v>0.0</v>
      </c>
    </row>
    <row r="229" ht="22.5" customHeight="1">
      <c r="A229" s="13" t="s">
        <v>329</v>
      </c>
      <c r="B229" s="13">
        <v>4.0</v>
      </c>
      <c r="C229" s="13">
        <v>16.0</v>
      </c>
      <c r="D229" s="10">
        <v>0.0</v>
      </c>
      <c r="E229" s="10">
        <v>0.0</v>
      </c>
    </row>
    <row r="230" ht="22.5" customHeight="1">
      <c r="A230" s="13" t="s">
        <v>332</v>
      </c>
      <c r="B230" s="13">
        <v>2.0</v>
      </c>
      <c r="C230" s="13">
        <v>8.0</v>
      </c>
      <c r="D230" s="10">
        <v>0.0</v>
      </c>
      <c r="E230" s="10">
        <v>0.0</v>
      </c>
    </row>
    <row r="231" ht="22.5" customHeight="1">
      <c r="A231" s="13" t="s">
        <v>333</v>
      </c>
      <c r="B231" s="13">
        <v>4.0</v>
      </c>
      <c r="C231" s="13">
        <v>15.0</v>
      </c>
      <c r="D231" s="10">
        <v>0.0</v>
      </c>
      <c r="E231" s="10">
        <v>0.0</v>
      </c>
    </row>
    <row r="232" ht="22.5" customHeight="1">
      <c r="A232" s="13" t="s">
        <v>168</v>
      </c>
      <c r="B232" s="13">
        <v>5.0</v>
      </c>
      <c r="C232" s="13">
        <v>19.0</v>
      </c>
      <c r="D232" s="10">
        <v>0.0</v>
      </c>
      <c r="E232" s="10">
        <v>0.0</v>
      </c>
    </row>
    <row r="233" ht="22.5" customHeight="1">
      <c r="A233" s="13" t="s">
        <v>335</v>
      </c>
      <c r="B233" s="13">
        <v>3.0</v>
      </c>
      <c r="C233" s="13">
        <v>12.0</v>
      </c>
      <c r="D233" s="10">
        <v>0.0</v>
      </c>
      <c r="E233" s="10">
        <v>0.0</v>
      </c>
    </row>
    <row r="234" ht="22.5" customHeight="1">
      <c r="A234" s="13" t="s">
        <v>336</v>
      </c>
      <c r="B234" s="13">
        <v>2.0</v>
      </c>
      <c r="C234" s="13">
        <v>8.0</v>
      </c>
      <c r="D234" s="10">
        <v>0.0</v>
      </c>
      <c r="E234" s="10">
        <v>0.0</v>
      </c>
    </row>
    <row r="235" ht="22.5" customHeight="1">
      <c r="A235" s="13" t="s">
        <v>338</v>
      </c>
      <c r="B235" s="13">
        <v>2.0</v>
      </c>
      <c r="C235" s="13">
        <v>8.0</v>
      </c>
      <c r="D235" s="10">
        <v>0.0</v>
      </c>
      <c r="E235" s="10">
        <v>0.0</v>
      </c>
    </row>
    <row r="236" ht="22.5" customHeight="1">
      <c r="A236" s="13" t="s">
        <v>340</v>
      </c>
      <c r="B236" s="13">
        <v>2.0</v>
      </c>
      <c r="C236" s="13">
        <v>8.0</v>
      </c>
      <c r="D236" s="10">
        <v>0.0</v>
      </c>
      <c r="E236" s="10">
        <v>0.0</v>
      </c>
    </row>
    <row r="237" ht="22.5" customHeight="1">
      <c r="A237" s="13" t="s">
        <v>345</v>
      </c>
      <c r="B237" s="13">
        <v>5.0</v>
      </c>
      <c r="C237" s="13">
        <v>19.0</v>
      </c>
      <c r="D237" s="10">
        <v>0.0</v>
      </c>
      <c r="E237" s="10">
        <v>0.0</v>
      </c>
    </row>
    <row r="238" ht="22.5" customHeight="1">
      <c r="A238" s="13" t="s">
        <v>349</v>
      </c>
      <c r="B238" s="13">
        <v>3.0</v>
      </c>
      <c r="C238" s="13">
        <v>11.0</v>
      </c>
      <c r="D238" s="10">
        <v>0.0</v>
      </c>
      <c r="E238" s="10">
        <v>0.0</v>
      </c>
    </row>
    <row r="239" ht="22.5" customHeight="1">
      <c r="A239" s="13" t="s">
        <v>258</v>
      </c>
      <c r="B239" s="13">
        <v>3.0</v>
      </c>
      <c r="C239" s="13">
        <v>11.0</v>
      </c>
      <c r="D239" s="10">
        <v>0.0</v>
      </c>
      <c r="E239" s="10">
        <v>0.0</v>
      </c>
    </row>
    <row r="240" ht="22.5" customHeight="1">
      <c r="A240" s="13" t="s">
        <v>301</v>
      </c>
      <c r="B240" s="13">
        <v>2.0</v>
      </c>
      <c r="C240" s="13">
        <v>8.0</v>
      </c>
      <c r="D240" s="10">
        <v>0.0</v>
      </c>
      <c r="E240" s="10">
        <v>0.0</v>
      </c>
    </row>
    <row r="241" ht="22.5" customHeight="1">
      <c r="A241" s="13" t="s">
        <v>341</v>
      </c>
      <c r="B241" s="13">
        <v>2.0</v>
      </c>
      <c r="C241" s="13">
        <v>8.0</v>
      </c>
      <c r="D241" s="10">
        <v>0.0</v>
      </c>
      <c r="E241" s="10">
        <v>0.0</v>
      </c>
    </row>
    <row r="242" ht="22.5" customHeight="1">
      <c r="A242" s="13" t="s">
        <v>312</v>
      </c>
      <c r="B242" s="13">
        <v>5.0</v>
      </c>
      <c r="C242" s="13">
        <v>20.0</v>
      </c>
      <c r="D242" s="10">
        <v>0.0</v>
      </c>
      <c r="E242" s="10">
        <v>0.4</v>
      </c>
    </row>
    <row r="243" ht="22.5" customHeight="1">
      <c r="A243" s="13" t="s">
        <v>343</v>
      </c>
      <c r="B243" s="13">
        <v>5.0</v>
      </c>
      <c r="C243" s="13">
        <v>20.0</v>
      </c>
      <c r="D243" s="10">
        <v>0.0</v>
      </c>
      <c r="E243" s="10">
        <v>0.0</v>
      </c>
    </row>
    <row r="244" ht="22.5" customHeight="1">
      <c r="A244" s="13" t="s">
        <v>302</v>
      </c>
      <c r="B244" s="13">
        <v>2.0</v>
      </c>
      <c r="C244" s="13">
        <v>8.0</v>
      </c>
      <c r="D244" s="10">
        <v>0.0</v>
      </c>
      <c r="E244" s="10">
        <v>0.0</v>
      </c>
    </row>
    <row r="245" ht="22.5" customHeight="1">
      <c r="A245" s="13" t="s">
        <v>231</v>
      </c>
      <c r="B245" s="13">
        <v>5.0</v>
      </c>
      <c r="C245" s="13">
        <v>19.0</v>
      </c>
      <c r="D245" s="10">
        <v>0.0</v>
      </c>
      <c r="E245" s="10">
        <v>0.0</v>
      </c>
    </row>
    <row r="246" ht="22.5" customHeight="1">
      <c r="A246" s="13" t="s">
        <v>122</v>
      </c>
      <c r="B246" s="13">
        <v>5.0</v>
      </c>
      <c r="C246" s="13">
        <v>19.0</v>
      </c>
      <c r="D246" s="10">
        <v>0.0</v>
      </c>
      <c r="E246" s="10">
        <v>0.8</v>
      </c>
    </row>
    <row r="247" ht="22.5" customHeight="1">
      <c r="A247" s="13" t="s">
        <v>344</v>
      </c>
      <c r="B247" s="13">
        <v>5.0</v>
      </c>
      <c r="C247" s="13">
        <v>19.0</v>
      </c>
      <c r="D247" s="10">
        <v>0.0</v>
      </c>
      <c r="E247" s="10">
        <v>0.4</v>
      </c>
    </row>
    <row r="248" ht="22.5" customHeight="1">
      <c r="A248" s="13" t="s">
        <v>243</v>
      </c>
      <c r="B248" s="13">
        <v>1.0</v>
      </c>
      <c r="C248" s="13">
        <v>4.0</v>
      </c>
      <c r="D248" s="10">
        <v>0.0</v>
      </c>
      <c r="E248" s="10">
        <v>0.0</v>
      </c>
    </row>
    <row r="249" ht="22.5" customHeight="1">
      <c r="A249" s="13" t="s">
        <v>290</v>
      </c>
      <c r="B249" s="13">
        <v>1.0</v>
      </c>
      <c r="C249" s="13">
        <v>4.0</v>
      </c>
      <c r="D249" s="10">
        <v>0.0</v>
      </c>
      <c r="E249" s="10">
        <v>0.0</v>
      </c>
    </row>
    <row r="250" ht="22.5" customHeight="1">
      <c r="A250" s="13" t="s">
        <v>165</v>
      </c>
      <c r="B250" s="13">
        <v>5.0</v>
      </c>
      <c r="C250" s="13">
        <v>19.0</v>
      </c>
      <c r="D250" s="10">
        <v>-0.8</v>
      </c>
      <c r="E250" s="10">
        <v>0.2</v>
      </c>
    </row>
    <row r="251" ht="22.5" customHeight="1">
      <c r="A251" s="13" t="s">
        <v>173</v>
      </c>
      <c r="B251" s="13">
        <v>5.0</v>
      </c>
      <c r="C251" s="13">
        <v>19.0</v>
      </c>
      <c r="D251" s="10">
        <v>-0.8</v>
      </c>
      <c r="E251" s="10">
        <v>0.2</v>
      </c>
    </row>
    <row r="252" ht="22.5" customHeight="1">
      <c r="A252" s="13" t="s">
        <v>183</v>
      </c>
      <c r="B252" s="13">
        <v>5.0</v>
      </c>
      <c r="C252" s="13">
        <v>19.0</v>
      </c>
      <c r="D252" s="10">
        <v>-0.8</v>
      </c>
      <c r="E252" s="10">
        <v>0.2</v>
      </c>
    </row>
    <row r="253" ht="22.5" customHeight="1">
      <c r="A253" s="13" t="s">
        <v>180</v>
      </c>
      <c r="B253" s="13">
        <v>5.0</v>
      </c>
      <c r="C253" s="13">
        <v>21.0</v>
      </c>
      <c r="D253" s="10">
        <v>-0.8</v>
      </c>
      <c r="E253" s="10">
        <v>0.2</v>
      </c>
    </row>
    <row r="254" ht="22.5" customHeight="1">
      <c r="A254" s="13" t="s">
        <v>185</v>
      </c>
      <c r="B254" s="13">
        <v>5.0</v>
      </c>
      <c r="C254" s="13">
        <v>20.0</v>
      </c>
      <c r="D254" s="10">
        <v>-0.8</v>
      </c>
      <c r="E254" s="10">
        <v>0.2</v>
      </c>
    </row>
    <row r="255" ht="22.5" customHeight="1">
      <c r="A255" s="13" t="s">
        <v>277</v>
      </c>
      <c r="B255" s="13">
        <v>5.0</v>
      </c>
      <c r="C255" s="13">
        <v>20.0</v>
      </c>
      <c r="D255" s="10">
        <v>-0.8</v>
      </c>
      <c r="E255" s="10">
        <v>0.2</v>
      </c>
    </row>
    <row r="256" ht="22.5" customHeight="1">
      <c r="A256" s="13" t="s">
        <v>98</v>
      </c>
      <c r="B256" s="13">
        <v>5.0</v>
      </c>
      <c r="C256" s="13">
        <v>19.0</v>
      </c>
      <c r="D256" s="10">
        <v>-0.8</v>
      </c>
      <c r="E256" s="10">
        <v>0.6</v>
      </c>
    </row>
    <row r="257" ht="22.5" customHeight="1">
      <c r="A257" s="13" t="s">
        <v>323</v>
      </c>
      <c r="B257" s="13">
        <v>5.0</v>
      </c>
      <c r="C257" s="13">
        <v>20.0</v>
      </c>
      <c r="D257" s="10">
        <v>-0.8</v>
      </c>
      <c r="E257" s="10">
        <v>0.2</v>
      </c>
    </row>
    <row r="258" ht="22.5" customHeight="1">
      <c r="A258" s="13" t="s">
        <v>100</v>
      </c>
      <c r="B258" s="13">
        <v>4.0</v>
      </c>
      <c r="C258" s="13">
        <v>15.0</v>
      </c>
      <c r="D258" s="10">
        <v>-1.0</v>
      </c>
      <c r="E258" s="10">
        <v>0.25</v>
      </c>
    </row>
    <row r="259" ht="22.5" customHeight="1">
      <c r="A259" s="13" t="s">
        <v>130</v>
      </c>
      <c r="B259" s="13">
        <v>4.0</v>
      </c>
      <c r="C259" s="13">
        <v>16.0</v>
      </c>
      <c r="D259" s="10">
        <v>-1.0</v>
      </c>
      <c r="E259" s="10">
        <v>0.25</v>
      </c>
    </row>
    <row r="260" ht="22.5" customHeight="1">
      <c r="A260" s="13" t="s">
        <v>295</v>
      </c>
      <c r="B260" s="13">
        <v>4.0</v>
      </c>
      <c r="C260" s="13">
        <v>16.0</v>
      </c>
      <c r="D260" s="10">
        <v>-1.0</v>
      </c>
      <c r="E260" s="10">
        <v>0.25</v>
      </c>
    </row>
    <row r="261" ht="22.5" customHeight="1">
      <c r="A261" s="13" t="s">
        <v>300</v>
      </c>
      <c r="B261" s="13">
        <v>4.0</v>
      </c>
      <c r="C261" s="13">
        <v>15.0</v>
      </c>
      <c r="D261" s="10">
        <v>-1.0</v>
      </c>
      <c r="E261" s="10">
        <v>0.25</v>
      </c>
    </row>
    <row r="262" ht="22.5" customHeight="1">
      <c r="A262" s="13" t="s">
        <v>306</v>
      </c>
      <c r="B262" s="13">
        <v>4.0</v>
      </c>
      <c r="C262" s="13">
        <v>15.0</v>
      </c>
      <c r="D262" s="10">
        <v>-1.0</v>
      </c>
      <c r="E262" s="10">
        <v>0.25</v>
      </c>
    </row>
    <row r="263" ht="22.5" customHeight="1">
      <c r="A263" s="13" t="s">
        <v>171</v>
      </c>
      <c r="B263" s="13">
        <v>3.0</v>
      </c>
      <c r="C263" s="13">
        <v>11.0</v>
      </c>
      <c r="D263" s="10">
        <v>-1.3333333333333333</v>
      </c>
      <c r="E263" s="10">
        <v>0.3333333333333333</v>
      </c>
    </row>
    <row r="264" ht="22.5" customHeight="1">
      <c r="A264" s="13" t="s">
        <v>308</v>
      </c>
      <c r="B264" s="13">
        <v>3.0</v>
      </c>
      <c r="C264" s="13">
        <v>11.0</v>
      </c>
      <c r="D264" s="10">
        <v>-1.3333333333333333</v>
      </c>
      <c r="E264" s="10">
        <v>0.3333333333333333</v>
      </c>
    </row>
    <row r="265" ht="22.5" customHeight="1">
      <c r="A265" s="13" t="s">
        <v>314</v>
      </c>
      <c r="B265" s="13">
        <v>3.0</v>
      </c>
      <c r="C265" s="13">
        <v>12.0</v>
      </c>
      <c r="D265" s="10">
        <v>-1.3333333333333333</v>
      </c>
      <c r="E265" s="10">
        <v>0.3333333333333333</v>
      </c>
    </row>
    <row r="266" ht="22.5" customHeight="1">
      <c r="A266" s="13" t="s">
        <v>347</v>
      </c>
      <c r="B266" s="13">
        <v>5.0</v>
      </c>
      <c r="C266" s="13">
        <v>19.0</v>
      </c>
      <c r="D266" s="10">
        <v>-1.6</v>
      </c>
      <c r="E266" s="10">
        <v>0.6</v>
      </c>
    </row>
    <row r="267" ht="22.5" customHeight="1">
      <c r="A267" s="13" t="s">
        <v>188</v>
      </c>
      <c r="B267" s="13">
        <v>5.0</v>
      </c>
      <c r="C267" s="13">
        <v>19.0</v>
      </c>
      <c r="D267" s="10">
        <v>-1.6</v>
      </c>
      <c r="E267" s="10">
        <v>0.4</v>
      </c>
    </row>
    <row r="268" ht="22.5" customHeight="1">
      <c r="A268" s="13" t="s">
        <v>207</v>
      </c>
      <c r="B268" s="13">
        <v>5.0</v>
      </c>
      <c r="C268" s="13">
        <v>19.0</v>
      </c>
      <c r="D268" s="10">
        <v>-2.4</v>
      </c>
      <c r="E268" s="10">
        <v>0.8</v>
      </c>
    </row>
    <row r="269" ht="22.5" customHeight="1">
      <c r="A269" s="13" t="s">
        <v>179</v>
      </c>
      <c r="B269" s="13">
        <v>3.0</v>
      </c>
      <c r="C269" s="13">
        <v>11.0</v>
      </c>
      <c r="D269" s="10">
        <v>-4.0</v>
      </c>
      <c r="E269" s="10">
        <v>1.0</v>
      </c>
    </row>
    <row r="270" ht="22.5" customHeight="1">
      <c r="A270" s="13" t="s">
        <v>208</v>
      </c>
      <c r="B270" s="13">
        <v>1.0</v>
      </c>
      <c r="C270" s="13">
        <v>4.0</v>
      </c>
      <c r="D270" s="10">
        <v>-4.0</v>
      </c>
      <c r="E270" s="10">
        <v>1.0</v>
      </c>
    </row>
    <row r="271" ht="22.5" customHeight="1">
      <c r="A271" s="13" t="s">
        <v>280</v>
      </c>
      <c r="B271" s="13">
        <v>1.0</v>
      </c>
      <c r="C271" s="13">
        <v>4.0</v>
      </c>
      <c r="D271" s="10">
        <v>-4.0</v>
      </c>
      <c r="E271" s="10">
        <v>1.0</v>
      </c>
    </row>
    <row r="272" ht="22.5" customHeight="1">
      <c r="A272" s="13" t="s">
        <v>288</v>
      </c>
      <c r="B272" s="13">
        <v>1.0</v>
      </c>
      <c r="C272" s="13">
        <v>4.0</v>
      </c>
      <c r="D272" s="10">
        <v>-4.0</v>
      </c>
      <c r="E272" s="10">
        <v>1.0</v>
      </c>
    </row>
    <row r="273" ht="22.5" customHeight="1">
      <c r="A273" s="16" t="s">
        <v>138</v>
      </c>
      <c r="B273" s="13">
        <v>1.0</v>
      </c>
      <c r="C273" s="13">
        <v>4.0</v>
      </c>
      <c r="D273" s="10">
        <v>-4.0</v>
      </c>
      <c r="E273" s="10">
        <v>1.0</v>
      </c>
    </row>
    <row r="274">
      <c r="D274" s="4"/>
      <c r="E274" s="4"/>
    </row>
    <row r="275">
      <c r="D275" s="4"/>
      <c r="E275" s="4"/>
    </row>
    <row r="276">
      <c r="D276" s="4"/>
      <c r="E276" s="4"/>
    </row>
    <row r="277">
      <c r="D277" s="4"/>
      <c r="E277" s="4"/>
    </row>
    <row r="278">
      <c r="D278" s="4"/>
      <c r="E278" s="4"/>
    </row>
    <row r="279">
      <c r="D279" s="4"/>
      <c r="E279" s="4"/>
    </row>
    <row r="280">
      <c r="D280" s="4"/>
      <c r="E280" s="4"/>
    </row>
    <row r="281">
      <c r="D281" s="4"/>
      <c r="E281" s="4"/>
    </row>
    <row r="282">
      <c r="D282" s="4"/>
      <c r="E282" s="4"/>
    </row>
    <row r="283">
      <c r="D283" s="4"/>
      <c r="E283" s="4"/>
    </row>
    <row r="284">
      <c r="D284" s="4"/>
      <c r="E284" s="4"/>
    </row>
    <row r="285">
      <c r="D285" s="4"/>
      <c r="E285" s="4"/>
    </row>
    <row r="286">
      <c r="D286" s="4"/>
      <c r="E286" s="4"/>
    </row>
    <row r="287">
      <c r="D287" s="4"/>
      <c r="E287" s="4"/>
    </row>
    <row r="288">
      <c r="D288" s="4"/>
      <c r="E288" s="4"/>
    </row>
    <row r="289">
      <c r="D289" s="4"/>
      <c r="E289" s="4"/>
    </row>
    <row r="290">
      <c r="D290" s="4"/>
      <c r="E290" s="4"/>
    </row>
    <row r="291">
      <c r="D291" s="4"/>
      <c r="E291" s="4"/>
    </row>
    <row r="292">
      <c r="D292" s="4"/>
      <c r="E292" s="4"/>
    </row>
    <row r="293">
      <c r="D293" s="4"/>
      <c r="E293" s="4"/>
    </row>
    <row r="294">
      <c r="D294" s="4"/>
      <c r="E294" s="4"/>
    </row>
    <row r="295">
      <c r="D295" s="4"/>
      <c r="E295" s="4"/>
    </row>
    <row r="296">
      <c r="D296" s="4"/>
      <c r="E296" s="4"/>
    </row>
    <row r="297">
      <c r="D297" s="4"/>
      <c r="E297" s="4"/>
    </row>
    <row r="298">
      <c r="D298" s="4"/>
      <c r="E298" s="4"/>
    </row>
    <row r="299">
      <c r="D299" s="4"/>
      <c r="E299" s="4"/>
    </row>
    <row r="300">
      <c r="D300" s="4"/>
      <c r="E300" s="4"/>
    </row>
    <row r="301">
      <c r="D301" s="4"/>
      <c r="E301" s="4"/>
    </row>
    <row r="302">
      <c r="D302" s="4"/>
      <c r="E302" s="4"/>
    </row>
    <row r="303">
      <c r="D303" s="4"/>
      <c r="E303" s="4"/>
    </row>
    <row r="304">
      <c r="D304" s="4"/>
      <c r="E304" s="4"/>
    </row>
    <row r="305">
      <c r="D305" s="4"/>
      <c r="E305" s="4"/>
    </row>
    <row r="306">
      <c r="D306" s="4"/>
      <c r="E306" s="4"/>
    </row>
    <row r="307">
      <c r="D307" s="4"/>
      <c r="E307" s="4"/>
    </row>
    <row r="308">
      <c r="D308" s="4"/>
      <c r="E308" s="4"/>
    </row>
    <row r="309">
      <c r="D309" s="4"/>
      <c r="E309" s="4"/>
    </row>
    <row r="310">
      <c r="D310" s="4"/>
      <c r="E310" s="4"/>
    </row>
    <row r="311">
      <c r="D311" s="4"/>
      <c r="E311" s="4"/>
    </row>
    <row r="312">
      <c r="D312" s="4"/>
      <c r="E312" s="4"/>
    </row>
    <row r="313">
      <c r="D313" s="4"/>
      <c r="E313" s="4"/>
    </row>
    <row r="314">
      <c r="D314" s="4"/>
      <c r="E314" s="4"/>
    </row>
    <row r="315">
      <c r="D315" s="4"/>
      <c r="E315" s="4"/>
    </row>
    <row r="316">
      <c r="D316" s="4"/>
      <c r="E316" s="4"/>
    </row>
    <row r="317">
      <c r="D317" s="4"/>
      <c r="E317" s="4"/>
    </row>
    <row r="318">
      <c r="D318" s="4"/>
      <c r="E318" s="4"/>
    </row>
    <row r="319">
      <c r="D319" s="4"/>
      <c r="E319" s="4"/>
    </row>
    <row r="320">
      <c r="D320" s="4"/>
      <c r="E320" s="4"/>
    </row>
    <row r="321">
      <c r="D321" s="4"/>
      <c r="E321" s="4"/>
    </row>
    <row r="322">
      <c r="D322" s="4"/>
      <c r="E322" s="4"/>
    </row>
    <row r="323">
      <c r="D323" s="4"/>
      <c r="E323" s="4"/>
    </row>
    <row r="324">
      <c r="D324" s="4"/>
      <c r="E324" s="4"/>
    </row>
    <row r="325">
      <c r="D325" s="4"/>
      <c r="E325" s="4"/>
    </row>
    <row r="326">
      <c r="D326" s="4"/>
      <c r="E326" s="4"/>
    </row>
    <row r="327">
      <c r="D327" s="4"/>
      <c r="E327" s="4"/>
    </row>
    <row r="328">
      <c r="D328" s="4"/>
      <c r="E328" s="4"/>
    </row>
    <row r="329">
      <c r="D329" s="4"/>
      <c r="E329" s="4"/>
    </row>
    <row r="330">
      <c r="D330" s="4"/>
      <c r="E330" s="4"/>
    </row>
    <row r="331">
      <c r="D331" s="4"/>
      <c r="E331" s="4"/>
    </row>
    <row r="332">
      <c r="D332" s="4"/>
      <c r="E332" s="4"/>
    </row>
    <row r="333">
      <c r="D333" s="4"/>
      <c r="E333" s="4"/>
    </row>
    <row r="334">
      <c r="D334" s="4"/>
      <c r="E334" s="4"/>
    </row>
    <row r="335">
      <c r="D335" s="4"/>
      <c r="E335" s="4"/>
    </row>
    <row r="336">
      <c r="D336" s="4"/>
      <c r="E336" s="4"/>
    </row>
    <row r="337">
      <c r="D337" s="4"/>
      <c r="E337" s="4"/>
    </row>
    <row r="338">
      <c r="D338" s="4"/>
      <c r="E338" s="4"/>
    </row>
    <row r="339">
      <c r="D339" s="4"/>
      <c r="E339" s="4"/>
    </row>
    <row r="340">
      <c r="D340" s="4"/>
      <c r="E340" s="4"/>
    </row>
    <row r="341">
      <c r="D341" s="4"/>
      <c r="E341" s="4"/>
    </row>
    <row r="342">
      <c r="D342" s="4"/>
      <c r="E342" s="4"/>
    </row>
    <row r="343">
      <c r="D343" s="4"/>
      <c r="E343" s="4"/>
    </row>
    <row r="344">
      <c r="D344" s="4"/>
      <c r="E344" s="4"/>
    </row>
    <row r="345">
      <c r="D345" s="4"/>
      <c r="E345" s="4"/>
    </row>
    <row r="346">
      <c r="D346" s="4"/>
      <c r="E346" s="4"/>
    </row>
    <row r="347">
      <c r="D347" s="4"/>
      <c r="E347" s="4"/>
    </row>
    <row r="348">
      <c r="D348" s="4"/>
      <c r="E348" s="4"/>
    </row>
    <row r="349">
      <c r="D349" s="4"/>
      <c r="E349" s="4"/>
    </row>
    <row r="350">
      <c r="D350" s="4"/>
      <c r="E350" s="4"/>
    </row>
    <row r="351">
      <c r="D351" s="4"/>
      <c r="E351" s="4"/>
    </row>
    <row r="352">
      <c r="D352" s="4"/>
      <c r="E352" s="4"/>
    </row>
    <row r="353">
      <c r="D353" s="4"/>
      <c r="E353" s="4"/>
    </row>
    <row r="354">
      <c r="D354" s="4"/>
      <c r="E354" s="4"/>
    </row>
    <row r="355">
      <c r="D355" s="4"/>
      <c r="E355" s="4"/>
    </row>
    <row r="356">
      <c r="D356" s="4"/>
      <c r="E356" s="4"/>
    </row>
    <row r="357">
      <c r="D357" s="4"/>
      <c r="E357" s="4"/>
    </row>
    <row r="358">
      <c r="D358" s="4"/>
      <c r="E358" s="4"/>
    </row>
    <row r="359">
      <c r="D359" s="4"/>
      <c r="E359" s="4"/>
    </row>
    <row r="360">
      <c r="D360" s="4"/>
      <c r="E360" s="4"/>
    </row>
    <row r="361">
      <c r="D361" s="4"/>
      <c r="E361" s="4"/>
    </row>
    <row r="362">
      <c r="D362" s="4"/>
      <c r="E362" s="4"/>
    </row>
    <row r="363">
      <c r="D363" s="4"/>
      <c r="E363" s="4"/>
    </row>
    <row r="364">
      <c r="D364" s="4"/>
      <c r="E364" s="4"/>
    </row>
    <row r="365">
      <c r="D365" s="4"/>
      <c r="E365" s="4"/>
    </row>
    <row r="366">
      <c r="D366" s="4"/>
      <c r="E366" s="4"/>
    </row>
    <row r="367">
      <c r="D367" s="4"/>
      <c r="E367" s="4"/>
    </row>
    <row r="368">
      <c r="D368" s="4"/>
      <c r="E368" s="4"/>
    </row>
    <row r="369">
      <c r="D369" s="4"/>
      <c r="E369" s="4"/>
    </row>
    <row r="370">
      <c r="D370" s="4"/>
      <c r="E370" s="4"/>
    </row>
    <row r="371">
      <c r="D371" s="4"/>
      <c r="E371" s="4"/>
    </row>
    <row r="372">
      <c r="D372" s="4"/>
      <c r="E372" s="4"/>
    </row>
    <row r="373">
      <c r="D373" s="4"/>
      <c r="E373" s="4"/>
    </row>
    <row r="374">
      <c r="D374" s="4"/>
      <c r="E374" s="4"/>
    </row>
    <row r="375">
      <c r="D375" s="4"/>
      <c r="E375" s="4"/>
    </row>
    <row r="376">
      <c r="D376" s="4"/>
      <c r="E376" s="4"/>
    </row>
    <row r="377">
      <c r="D377" s="4"/>
      <c r="E377" s="4"/>
    </row>
    <row r="378">
      <c r="D378" s="4"/>
      <c r="E378" s="4"/>
    </row>
    <row r="379">
      <c r="D379" s="4"/>
      <c r="E379" s="4"/>
    </row>
    <row r="380">
      <c r="D380" s="4"/>
      <c r="E380" s="4"/>
    </row>
    <row r="381">
      <c r="D381" s="4"/>
      <c r="E381" s="4"/>
    </row>
    <row r="382">
      <c r="D382" s="4"/>
      <c r="E382" s="4"/>
    </row>
    <row r="383">
      <c r="D383" s="4"/>
      <c r="E383" s="4"/>
    </row>
    <row r="384">
      <c r="D384" s="4"/>
      <c r="E384" s="4"/>
    </row>
    <row r="385">
      <c r="D385" s="4"/>
      <c r="E385" s="4"/>
    </row>
    <row r="386">
      <c r="D386" s="4"/>
      <c r="E386" s="4"/>
    </row>
    <row r="387">
      <c r="D387" s="4"/>
      <c r="E387" s="4"/>
    </row>
    <row r="388">
      <c r="D388" s="4"/>
      <c r="E388" s="4"/>
    </row>
    <row r="389">
      <c r="D389" s="4"/>
      <c r="E389" s="4"/>
    </row>
    <row r="390">
      <c r="D390" s="4"/>
      <c r="E390" s="4"/>
    </row>
    <row r="391">
      <c r="D391" s="4"/>
      <c r="E391" s="4"/>
    </row>
    <row r="392">
      <c r="D392" s="4"/>
      <c r="E392" s="4"/>
    </row>
    <row r="393">
      <c r="D393" s="4"/>
      <c r="E393" s="4"/>
    </row>
    <row r="394">
      <c r="D394" s="4"/>
      <c r="E394" s="4"/>
    </row>
    <row r="395">
      <c r="D395" s="4"/>
      <c r="E395" s="4"/>
    </row>
    <row r="396">
      <c r="D396" s="4"/>
      <c r="E396" s="4"/>
    </row>
    <row r="397">
      <c r="D397" s="4"/>
      <c r="E397" s="4"/>
    </row>
    <row r="398">
      <c r="D398" s="4"/>
      <c r="E398" s="4"/>
    </row>
    <row r="399">
      <c r="D399" s="4"/>
      <c r="E399" s="4"/>
    </row>
    <row r="400">
      <c r="D400" s="4"/>
      <c r="E400" s="4"/>
    </row>
    <row r="401">
      <c r="D401" s="4"/>
      <c r="E401" s="4"/>
    </row>
    <row r="402">
      <c r="D402" s="4"/>
      <c r="E402" s="4"/>
    </row>
    <row r="403">
      <c r="D403" s="4"/>
      <c r="E403" s="4"/>
    </row>
    <row r="404">
      <c r="D404" s="4"/>
      <c r="E404" s="4"/>
    </row>
    <row r="405">
      <c r="D405" s="4"/>
      <c r="E405" s="4"/>
    </row>
    <row r="406">
      <c r="D406" s="4"/>
      <c r="E406" s="4"/>
    </row>
    <row r="407">
      <c r="D407" s="4"/>
      <c r="E407" s="4"/>
    </row>
    <row r="408">
      <c r="D408" s="4"/>
      <c r="E408" s="4"/>
    </row>
    <row r="409">
      <c r="D409" s="4"/>
      <c r="E409" s="4"/>
    </row>
    <row r="410">
      <c r="D410" s="4"/>
      <c r="E410" s="4"/>
    </row>
    <row r="411">
      <c r="D411" s="4"/>
      <c r="E411" s="4"/>
    </row>
    <row r="412">
      <c r="D412" s="4"/>
      <c r="E412" s="4"/>
    </row>
    <row r="413">
      <c r="D413" s="4"/>
      <c r="E413" s="4"/>
    </row>
    <row r="414">
      <c r="D414" s="4"/>
      <c r="E414" s="4"/>
    </row>
    <row r="415">
      <c r="D415" s="4"/>
      <c r="E415" s="4"/>
    </row>
    <row r="416">
      <c r="D416" s="4"/>
      <c r="E416" s="4"/>
    </row>
    <row r="417">
      <c r="D417" s="4"/>
      <c r="E417" s="4"/>
    </row>
    <row r="418">
      <c r="D418" s="4"/>
      <c r="E418" s="4"/>
    </row>
    <row r="419">
      <c r="D419" s="4"/>
      <c r="E419" s="4"/>
    </row>
    <row r="420">
      <c r="D420" s="4"/>
      <c r="E420" s="4"/>
    </row>
    <row r="421">
      <c r="D421" s="4"/>
      <c r="E421" s="4"/>
    </row>
    <row r="422">
      <c r="D422" s="4"/>
      <c r="E422" s="4"/>
    </row>
    <row r="423">
      <c r="D423" s="4"/>
      <c r="E423" s="4"/>
    </row>
    <row r="424">
      <c r="D424" s="4"/>
      <c r="E424" s="4"/>
    </row>
    <row r="425">
      <c r="D425" s="4"/>
      <c r="E425" s="4"/>
    </row>
    <row r="426">
      <c r="D426" s="4"/>
      <c r="E426" s="4"/>
    </row>
    <row r="427">
      <c r="D427" s="4"/>
      <c r="E427" s="4"/>
    </row>
    <row r="428">
      <c r="D428" s="4"/>
      <c r="E428" s="4"/>
    </row>
    <row r="429">
      <c r="D429" s="4"/>
      <c r="E429" s="4"/>
    </row>
    <row r="430">
      <c r="D430" s="4"/>
      <c r="E430" s="4"/>
    </row>
    <row r="431">
      <c r="D431" s="4"/>
      <c r="E431" s="4"/>
    </row>
    <row r="432">
      <c r="D432" s="4"/>
      <c r="E432" s="4"/>
    </row>
    <row r="433">
      <c r="D433" s="4"/>
      <c r="E433" s="4"/>
    </row>
    <row r="434">
      <c r="D434" s="4"/>
      <c r="E434" s="4"/>
    </row>
    <row r="435">
      <c r="D435" s="4"/>
      <c r="E435" s="4"/>
    </row>
    <row r="436">
      <c r="D436" s="4"/>
      <c r="E436" s="4"/>
    </row>
    <row r="437">
      <c r="D437" s="4"/>
      <c r="E437" s="4"/>
    </row>
    <row r="438">
      <c r="D438" s="4"/>
      <c r="E438" s="4"/>
    </row>
    <row r="439">
      <c r="D439" s="4"/>
      <c r="E439" s="4"/>
    </row>
    <row r="440">
      <c r="D440" s="4"/>
      <c r="E440" s="4"/>
    </row>
    <row r="441">
      <c r="D441" s="4"/>
      <c r="E441" s="4"/>
    </row>
    <row r="442">
      <c r="D442" s="4"/>
      <c r="E442" s="4"/>
    </row>
    <row r="443">
      <c r="D443" s="4"/>
      <c r="E443" s="4"/>
    </row>
    <row r="444">
      <c r="D444" s="4"/>
      <c r="E444" s="4"/>
    </row>
    <row r="445">
      <c r="D445" s="4"/>
      <c r="E445" s="4"/>
    </row>
    <row r="446">
      <c r="D446" s="4"/>
      <c r="E446" s="4"/>
    </row>
    <row r="447">
      <c r="D447" s="4"/>
      <c r="E447" s="4"/>
    </row>
    <row r="448">
      <c r="D448" s="4"/>
      <c r="E448" s="4"/>
    </row>
    <row r="449">
      <c r="D449" s="4"/>
      <c r="E449" s="4"/>
    </row>
    <row r="450">
      <c r="D450" s="4"/>
      <c r="E450" s="4"/>
    </row>
    <row r="451">
      <c r="D451" s="4"/>
      <c r="E451" s="4"/>
    </row>
    <row r="452">
      <c r="D452" s="4"/>
      <c r="E452" s="4"/>
    </row>
    <row r="453">
      <c r="D453" s="4"/>
      <c r="E453" s="4"/>
    </row>
    <row r="454">
      <c r="D454" s="4"/>
      <c r="E454" s="4"/>
    </row>
    <row r="455">
      <c r="D455" s="4"/>
      <c r="E455" s="4"/>
    </row>
    <row r="456">
      <c r="D456" s="4"/>
      <c r="E456" s="4"/>
    </row>
    <row r="457">
      <c r="D457" s="4"/>
      <c r="E457" s="4"/>
    </row>
    <row r="458">
      <c r="D458" s="4"/>
      <c r="E458" s="4"/>
    </row>
    <row r="459">
      <c r="D459" s="4"/>
      <c r="E459" s="4"/>
    </row>
    <row r="460">
      <c r="D460" s="4"/>
      <c r="E460" s="4"/>
    </row>
    <row r="461">
      <c r="D461" s="4"/>
      <c r="E461" s="4"/>
    </row>
    <row r="462">
      <c r="D462" s="4"/>
      <c r="E462" s="4"/>
    </row>
    <row r="463">
      <c r="D463" s="4"/>
      <c r="E463" s="4"/>
    </row>
    <row r="464">
      <c r="D464" s="4"/>
      <c r="E464" s="4"/>
    </row>
    <row r="465">
      <c r="D465" s="4"/>
      <c r="E465" s="4"/>
    </row>
    <row r="466">
      <c r="D466" s="4"/>
      <c r="E466" s="4"/>
    </row>
    <row r="467">
      <c r="D467" s="4"/>
      <c r="E467" s="4"/>
    </row>
    <row r="468">
      <c r="D468" s="4"/>
      <c r="E468" s="4"/>
    </row>
    <row r="469">
      <c r="D469" s="4"/>
      <c r="E469" s="4"/>
    </row>
    <row r="470">
      <c r="D470" s="4"/>
      <c r="E470" s="4"/>
    </row>
    <row r="471">
      <c r="D471" s="4"/>
      <c r="E471" s="4"/>
    </row>
    <row r="472">
      <c r="D472" s="4"/>
      <c r="E472" s="4"/>
    </row>
    <row r="473">
      <c r="D473" s="4"/>
      <c r="E473" s="4"/>
    </row>
    <row r="474">
      <c r="D474" s="4"/>
      <c r="E474" s="4"/>
    </row>
    <row r="475">
      <c r="D475" s="4"/>
      <c r="E475" s="4"/>
    </row>
    <row r="476">
      <c r="D476" s="4"/>
      <c r="E476" s="4"/>
    </row>
    <row r="477">
      <c r="D477" s="4"/>
      <c r="E477" s="4"/>
    </row>
    <row r="478">
      <c r="D478" s="4"/>
      <c r="E478" s="4"/>
    </row>
    <row r="479">
      <c r="D479" s="4"/>
      <c r="E479" s="4"/>
    </row>
    <row r="480">
      <c r="D480" s="4"/>
      <c r="E480" s="4"/>
    </row>
    <row r="481">
      <c r="D481" s="4"/>
      <c r="E481" s="4"/>
    </row>
    <row r="482">
      <c r="D482" s="4"/>
      <c r="E482" s="4"/>
    </row>
    <row r="483">
      <c r="D483" s="4"/>
      <c r="E483" s="4"/>
    </row>
    <row r="484">
      <c r="D484" s="4"/>
      <c r="E484" s="4"/>
    </row>
    <row r="485">
      <c r="D485" s="4"/>
      <c r="E485" s="4"/>
    </row>
    <row r="486">
      <c r="D486" s="4"/>
      <c r="E486" s="4"/>
    </row>
    <row r="487">
      <c r="D487" s="4"/>
      <c r="E487" s="4"/>
    </row>
    <row r="488">
      <c r="D488" s="4"/>
      <c r="E488" s="4"/>
    </row>
    <row r="489">
      <c r="D489" s="4"/>
      <c r="E489" s="4"/>
    </row>
    <row r="490">
      <c r="D490" s="4"/>
      <c r="E490" s="4"/>
    </row>
    <row r="491">
      <c r="D491" s="4"/>
      <c r="E491" s="4"/>
    </row>
    <row r="492">
      <c r="D492" s="4"/>
      <c r="E492" s="4"/>
    </row>
    <row r="493">
      <c r="D493" s="4"/>
      <c r="E493" s="4"/>
    </row>
    <row r="494">
      <c r="D494" s="4"/>
      <c r="E494" s="4"/>
    </row>
    <row r="495">
      <c r="D495" s="4"/>
      <c r="E495" s="4"/>
    </row>
    <row r="496">
      <c r="D496" s="4"/>
      <c r="E496" s="4"/>
    </row>
    <row r="497">
      <c r="D497" s="4"/>
      <c r="E497" s="4"/>
    </row>
    <row r="498">
      <c r="D498" s="4"/>
      <c r="E498" s="4"/>
    </row>
    <row r="499">
      <c r="D499" s="4"/>
      <c r="E499" s="4"/>
    </row>
    <row r="500">
      <c r="D500" s="4"/>
      <c r="E500" s="4"/>
    </row>
    <row r="501">
      <c r="D501" s="4"/>
      <c r="E501" s="4"/>
    </row>
    <row r="502">
      <c r="D502" s="4"/>
      <c r="E502" s="4"/>
    </row>
    <row r="503">
      <c r="D503" s="4"/>
      <c r="E503" s="4"/>
    </row>
    <row r="504">
      <c r="D504" s="4"/>
      <c r="E504" s="4"/>
    </row>
    <row r="505">
      <c r="D505" s="4"/>
      <c r="E505" s="4"/>
    </row>
    <row r="506">
      <c r="D506" s="4"/>
      <c r="E506" s="4"/>
    </row>
    <row r="507">
      <c r="D507" s="4"/>
      <c r="E507" s="4"/>
    </row>
    <row r="508">
      <c r="D508" s="4"/>
      <c r="E508" s="4"/>
    </row>
    <row r="509">
      <c r="D509" s="4"/>
      <c r="E509" s="4"/>
    </row>
    <row r="510">
      <c r="D510" s="4"/>
      <c r="E510" s="4"/>
    </row>
    <row r="511">
      <c r="D511" s="4"/>
      <c r="E511" s="4"/>
    </row>
    <row r="512">
      <c r="D512" s="4"/>
      <c r="E512" s="4"/>
    </row>
    <row r="513">
      <c r="D513" s="4"/>
      <c r="E513" s="4"/>
    </row>
    <row r="514">
      <c r="D514" s="4"/>
      <c r="E514" s="4"/>
    </row>
    <row r="515">
      <c r="D515" s="4"/>
      <c r="E515" s="4"/>
    </row>
    <row r="516">
      <c r="D516" s="4"/>
      <c r="E516" s="4"/>
    </row>
    <row r="517">
      <c r="D517" s="4"/>
      <c r="E517" s="4"/>
    </row>
    <row r="518">
      <c r="D518" s="4"/>
      <c r="E518" s="4"/>
    </row>
    <row r="519">
      <c r="D519" s="4"/>
      <c r="E519" s="4"/>
    </row>
    <row r="520">
      <c r="D520" s="4"/>
      <c r="E520" s="4"/>
    </row>
    <row r="521">
      <c r="D521" s="4"/>
      <c r="E521" s="4"/>
    </row>
    <row r="522">
      <c r="D522" s="4"/>
      <c r="E522" s="4"/>
    </row>
    <row r="523">
      <c r="D523" s="4"/>
      <c r="E523" s="4"/>
    </row>
    <row r="524">
      <c r="D524" s="4"/>
      <c r="E524" s="4"/>
    </row>
    <row r="525">
      <c r="D525" s="4"/>
      <c r="E525" s="4"/>
    </row>
    <row r="526">
      <c r="D526" s="4"/>
      <c r="E526" s="4"/>
    </row>
    <row r="527">
      <c r="D527" s="4"/>
      <c r="E527" s="4"/>
    </row>
    <row r="528">
      <c r="D528" s="4"/>
      <c r="E528" s="4"/>
    </row>
    <row r="529">
      <c r="D529" s="4"/>
      <c r="E529" s="4"/>
    </row>
    <row r="530">
      <c r="D530" s="4"/>
      <c r="E530" s="4"/>
    </row>
    <row r="531">
      <c r="D531" s="4"/>
      <c r="E531" s="4"/>
    </row>
    <row r="532">
      <c r="D532" s="4"/>
      <c r="E532" s="4"/>
    </row>
    <row r="533">
      <c r="D533" s="4"/>
      <c r="E533" s="4"/>
    </row>
    <row r="534">
      <c r="D534" s="4"/>
      <c r="E534" s="4"/>
    </row>
    <row r="535">
      <c r="D535" s="4"/>
      <c r="E535" s="4"/>
    </row>
    <row r="536">
      <c r="D536" s="4"/>
      <c r="E536" s="4"/>
    </row>
    <row r="537">
      <c r="D537" s="4"/>
      <c r="E537" s="4"/>
    </row>
    <row r="538">
      <c r="D538" s="4"/>
      <c r="E538" s="4"/>
    </row>
    <row r="539">
      <c r="D539" s="4"/>
      <c r="E539" s="4"/>
    </row>
    <row r="540">
      <c r="D540" s="4"/>
      <c r="E540" s="4"/>
    </row>
    <row r="541">
      <c r="D541" s="4"/>
      <c r="E541" s="4"/>
    </row>
    <row r="542">
      <c r="D542" s="4"/>
      <c r="E542" s="4"/>
    </row>
    <row r="543">
      <c r="D543" s="4"/>
      <c r="E543" s="4"/>
    </row>
    <row r="544">
      <c r="D544" s="4"/>
      <c r="E544" s="4"/>
    </row>
    <row r="545">
      <c r="D545" s="4"/>
      <c r="E545" s="4"/>
    </row>
    <row r="546">
      <c r="D546" s="4"/>
      <c r="E546" s="4"/>
    </row>
    <row r="547">
      <c r="D547" s="4"/>
      <c r="E547" s="4"/>
    </row>
    <row r="548">
      <c r="D548" s="4"/>
      <c r="E548" s="4"/>
    </row>
    <row r="549">
      <c r="D549" s="4"/>
      <c r="E549" s="4"/>
    </row>
    <row r="550">
      <c r="D550" s="4"/>
      <c r="E550" s="4"/>
    </row>
    <row r="551">
      <c r="D551" s="4"/>
      <c r="E551" s="4"/>
    </row>
    <row r="552">
      <c r="D552" s="4"/>
      <c r="E552" s="4"/>
    </row>
    <row r="553">
      <c r="D553" s="4"/>
      <c r="E553" s="4"/>
    </row>
    <row r="554">
      <c r="D554" s="4"/>
      <c r="E554" s="4"/>
    </row>
    <row r="555">
      <c r="D555" s="4"/>
      <c r="E555" s="4"/>
    </row>
    <row r="556">
      <c r="D556" s="4"/>
      <c r="E556" s="4"/>
    </row>
    <row r="557">
      <c r="D557" s="4"/>
      <c r="E557" s="4"/>
    </row>
    <row r="558">
      <c r="D558" s="4"/>
      <c r="E558" s="4"/>
    </row>
    <row r="559">
      <c r="D559" s="4"/>
      <c r="E559" s="4"/>
    </row>
    <row r="560">
      <c r="D560" s="4"/>
      <c r="E560" s="4"/>
    </row>
    <row r="561">
      <c r="D561" s="4"/>
      <c r="E561" s="4"/>
    </row>
    <row r="562">
      <c r="D562" s="4"/>
      <c r="E562" s="4"/>
    </row>
    <row r="563">
      <c r="D563" s="4"/>
      <c r="E563" s="4"/>
    </row>
    <row r="564">
      <c r="D564" s="4"/>
      <c r="E564" s="4"/>
    </row>
    <row r="565">
      <c r="D565" s="4"/>
      <c r="E565" s="4"/>
    </row>
    <row r="566">
      <c r="D566" s="4"/>
      <c r="E566" s="4"/>
    </row>
    <row r="567">
      <c r="D567" s="4"/>
      <c r="E567" s="4"/>
    </row>
    <row r="568">
      <c r="D568" s="4"/>
      <c r="E568" s="4"/>
    </row>
    <row r="569">
      <c r="D569" s="4"/>
      <c r="E569" s="4"/>
    </row>
    <row r="570">
      <c r="D570" s="4"/>
      <c r="E570" s="4"/>
    </row>
    <row r="571">
      <c r="D571" s="4"/>
      <c r="E571" s="4"/>
    </row>
    <row r="572">
      <c r="D572" s="4"/>
      <c r="E572" s="4"/>
    </row>
    <row r="573">
      <c r="D573" s="4"/>
      <c r="E573" s="4"/>
    </row>
    <row r="574">
      <c r="D574" s="4"/>
      <c r="E574" s="4"/>
    </row>
    <row r="575">
      <c r="D575" s="4"/>
      <c r="E575" s="4"/>
    </row>
    <row r="576">
      <c r="D576" s="4"/>
      <c r="E576" s="4"/>
    </row>
    <row r="577">
      <c r="D577" s="4"/>
      <c r="E577" s="4"/>
    </row>
    <row r="578">
      <c r="D578" s="4"/>
      <c r="E578" s="4"/>
    </row>
    <row r="579">
      <c r="D579" s="4"/>
      <c r="E579" s="4"/>
    </row>
    <row r="580">
      <c r="D580" s="4"/>
      <c r="E580" s="4"/>
    </row>
    <row r="581">
      <c r="D581" s="4"/>
      <c r="E581" s="4"/>
    </row>
    <row r="582">
      <c r="D582" s="4"/>
      <c r="E582" s="4"/>
    </row>
    <row r="583">
      <c r="D583" s="4"/>
      <c r="E583" s="4"/>
    </row>
    <row r="584">
      <c r="D584" s="4"/>
      <c r="E584" s="4"/>
    </row>
    <row r="585">
      <c r="D585" s="4"/>
      <c r="E585" s="4"/>
    </row>
    <row r="586">
      <c r="D586" s="4"/>
      <c r="E586" s="4"/>
    </row>
    <row r="587">
      <c r="D587" s="4"/>
      <c r="E587" s="4"/>
    </row>
    <row r="588">
      <c r="D588" s="4"/>
      <c r="E588" s="4"/>
    </row>
    <row r="589">
      <c r="D589" s="4"/>
      <c r="E589" s="4"/>
    </row>
    <row r="590">
      <c r="D590" s="4"/>
      <c r="E590" s="4"/>
    </row>
    <row r="591">
      <c r="D591" s="4"/>
      <c r="E591" s="4"/>
    </row>
    <row r="592">
      <c r="D592" s="4"/>
      <c r="E592" s="4"/>
    </row>
    <row r="593">
      <c r="D593" s="4"/>
      <c r="E593" s="4"/>
    </row>
    <row r="594">
      <c r="D594" s="4"/>
      <c r="E594" s="4"/>
    </row>
    <row r="595">
      <c r="D595" s="4"/>
      <c r="E595" s="4"/>
    </row>
    <row r="596">
      <c r="D596" s="4"/>
      <c r="E596" s="4"/>
    </row>
    <row r="597">
      <c r="D597" s="4"/>
      <c r="E597" s="4"/>
    </row>
    <row r="598">
      <c r="D598" s="4"/>
      <c r="E598" s="4"/>
    </row>
    <row r="599">
      <c r="D599" s="4"/>
      <c r="E599" s="4"/>
    </row>
    <row r="600">
      <c r="D600" s="4"/>
      <c r="E600" s="4"/>
    </row>
    <row r="601">
      <c r="D601" s="4"/>
      <c r="E601" s="4"/>
    </row>
    <row r="602">
      <c r="D602" s="4"/>
      <c r="E602" s="4"/>
    </row>
    <row r="603">
      <c r="D603" s="4"/>
      <c r="E603" s="4"/>
    </row>
    <row r="604">
      <c r="D604" s="4"/>
      <c r="E604" s="4"/>
    </row>
    <row r="605">
      <c r="D605" s="4"/>
      <c r="E605" s="4"/>
    </row>
    <row r="606">
      <c r="D606" s="4"/>
      <c r="E606" s="4"/>
    </row>
    <row r="607">
      <c r="D607" s="4"/>
      <c r="E607" s="4"/>
    </row>
    <row r="608">
      <c r="D608" s="4"/>
      <c r="E608" s="4"/>
    </row>
    <row r="609">
      <c r="D609" s="4"/>
      <c r="E609" s="4"/>
    </row>
    <row r="610">
      <c r="D610" s="4"/>
      <c r="E610" s="4"/>
    </row>
    <row r="611">
      <c r="D611" s="4"/>
      <c r="E611" s="4"/>
    </row>
    <row r="612">
      <c r="D612" s="4"/>
      <c r="E612" s="4"/>
    </row>
    <row r="613">
      <c r="D613" s="4"/>
      <c r="E613" s="4"/>
    </row>
    <row r="614">
      <c r="D614" s="4"/>
      <c r="E614" s="4"/>
    </row>
    <row r="615">
      <c r="D615" s="4"/>
      <c r="E615" s="4"/>
    </row>
    <row r="616">
      <c r="D616" s="4"/>
      <c r="E616" s="4"/>
    </row>
    <row r="617">
      <c r="D617" s="4"/>
      <c r="E617" s="4"/>
    </row>
    <row r="618">
      <c r="D618" s="4"/>
      <c r="E618" s="4"/>
    </row>
    <row r="619">
      <c r="D619" s="4"/>
      <c r="E619" s="4"/>
    </row>
    <row r="620">
      <c r="D620" s="4"/>
      <c r="E620" s="4"/>
    </row>
    <row r="621">
      <c r="D621" s="4"/>
      <c r="E621" s="4"/>
    </row>
    <row r="622">
      <c r="D622" s="4"/>
      <c r="E622" s="4"/>
    </row>
    <row r="623">
      <c r="D623" s="4"/>
      <c r="E623" s="4"/>
    </row>
    <row r="624">
      <c r="D624" s="4"/>
      <c r="E624" s="4"/>
    </row>
    <row r="625">
      <c r="D625" s="4"/>
      <c r="E625" s="4"/>
    </row>
    <row r="626">
      <c r="D626" s="4"/>
      <c r="E626" s="4"/>
    </row>
    <row r="627">
      <c r="D627" s="4"/>
      <c r="E627" s="4"/>
    </row>
    <row r="628">
      <c r="D628" s="4"/>
      <c r="E628" s="4"/>
    </row>
    <row r="629">
      <c r="D629" s="4"/>
      <c r="E629" s="4"/>
    </row>
    <row r="630">
      <c r="D630" s="4"/>
      <c r="E630" s="4"/>
    </row>
    <row r="631">
      <c r="D631" s="4"/>
      <c r="E631" s="4"/>
    </row>
    <row r="632">
      <c r="D632" s="4"/>
      <c r="E632" s="4"/>
    </row>
    <row r="633">
      <c r="D633" s="4"/>
      <c r="E633" s="4"/>
    </row>
    <row r="634">
      <c r="D634" s="4"/>
      <c r="E634" s="4"/>
    </row>
    <row r="635">
      <c r="D635" s="4"/>
      <c r="E635" s="4"/>
    </row>
    <row r="636">
      <c r="D636" s="4"/>
      <c r="E636" s="4"/>
    </row>
    <row r="637">
      <c r="D637" s="4"/>
      <c r="E637" s="4"/>
    </row>
    <row r="638">
      <c r="D638" s="4"/>
      <c r="E638" s="4"/>
    </row>
    <row r="639">
      <c r="D639" s="4"/>
      <c r="E639" s="4"/>
    </row>
    <row r="640">
      <c r="D640" s="4"/>
      <c r="E640" s="4"/>
    </row>
    <row r="641">
      <c r="D641" s="4"/>
      <c r="E641" s="4"/>
    </row>
    <row r="642">
      <c r="D642" s="4"/>
      <c r="E642" s="4"/>
    </row>
    <row r="643">
      <c r="D643" s="4"/>
      <c r="E643" s="4"/>
    </row>
    <row r="644">
      <c r="D644" s="4"/>
      <c r="E644" s="4"/>
    </row>
    <row r="645">
      <c r="D645" s="4"/>
      <c r="E645" s="4"/>
    </row>
    <row r="646">
      <c r="D646" s="4"/>
      <c r="E646" s="4"/>
    </row>
    <row r="647">
      <c r="D647" s="4"/>
      <c r="E647" s="4"/>
    </row>
    <row r="648">
      <c r="D648" s="4"/>
      <c r="E648" s="4"/>
    </row>
    <row r="649">
      <c r="D649" s="4"/>
      <c r="E649" s="4"/>
    </row>
    <row r="650">
      <c r="D650" s="4"/>
      <c r="E650" s="4"/>
    </row>
    <row r="651">
      <c r="D651" s="4"/>
      <c r="E651" s="4"/>
    </row>
    <row r="652">
      <c r="D652" s="4"/>
      <c r="E652" s="4"/>
    </row>
    <row r="653">
      <c r="D653" s="4"/>
      <c r="E653" s="4"/>
    </row>
    <row r="654">
      <c r="D654" s="4"/>
      <c r="E654" s="4"/>
    </row>
    <row r="655">
      <c r="D655" s="4"/>
      <c r="E655" s="4"/>
    </row>
    <row r="656">
      <c r="D656" s="4"/>
      <c r="E656" s="4"/>
    </row>
    <row r="657">
      <c r="D657" s="4"/>
      <c r="E657" s="4"/>
    </row>
    <row r="658">
      <c r="D658" s="4"/>
      <c r="E658" s="4"/>
    </row>
    <row r="659">
      <c r="D659" s="4"/>
      <c r="E659" s="4"/>
    </row>
    <row r="660">
      <c r="D660" s="4"/>
      <c r="E660" s="4"/>
    </row>
    <row r="661">
      <c r="D661" s="4"/>
      <c r="E661" s="4"/>
    </row>
    <row r="662">
      <c r="D662" s="4"/>
      <c r="E662" s="4"/>
    </row>
    <row r="663">
      <c r="D663" s="4"/>
      <c r="E663" s="4"/>
    </row>
    <row r="664">
      <c r="D664" s="4"/>
      <c r="E664" s="4"/>
    </row>
    <row r="665">
      <c r="D665" s="4"/>
      <c r="E665" s="4"/>
    </row>
    <row r="666">
      <c r="D666" s="4"/>
      <c r="E666" s="4"/>
    </row>
    <row r="667">
      <c r="D667" s="4"/>
      <c r="E667" s="4"/>
    </row>
    <row r="668">
      <c r="D668" s="4"/>
      <c r="E668" s="4"/>
    </row>
    <row r="669">
      <c r="D669" s="4"/>
      <c r="E669" s="4"/>
    </row>
    <row r="670">
      <c r="D670" s="4"/>
      <c r="E670" s="4"/>
    </row>
    <row r="671">
      <c r="D671" s="4"/>
      <c r="E671" s="4"/>
    </row>
    <row r="672">
      <c r="D672" s="4"/>
      <c r="E672" s="4"/>
    </row>
    <row r="673">
      <c r="D673" s="4"/>
      <c r="E673" s="4"/>
    </row>
    <row r="674">
      <c r="D674" s="4"/>
      <c r="E674" s="4"/>
    </row>
    <row r="675">
      <c r="D675" s="4"/>
      <c r="E675" s="4"/>
    </row>
    <row r="676">
      <c r="D676" s="4"/>
      <c r="E676" s="4"/>
    </row>
    <row r="677">
      <c r="D677" s="4"/>
      <c r="E677" s="4"/>
    </row>
    <row r="678">
      <c r="D678" s="4"/>
      <c r="E678" s="4"/>
    </row>
    <row r="679">
      <c r="D679" s="4"/>
      <c r="E679" s="4"/>
    </row>
    <row r="680">
      <c r="D680" s="4"/>
      <c r="E680" s="4"/>
    </row>
    <row r="681">
      <c r="D681" s="4"/>
      <c r="E681" s="4"/>
    </row>
    <row r="682">
      <c r="D682" s="4"/>
      <c r="E682" s="4"/>
    </row>
    <row r="683">
      <c r="D683" s="4"/>
      <c r="E683" s="4"/>
    </row>
    <row r="684">
      <c r="D684" s="4"/>
      <c r="E684" s="4"/>
    </row>
    <row r="685">
      <c r="D685" s="4"/>
      <c r="E685" s="4"/>
    </row>
    <row r="686">
      <c r="D686" s="4"/>
      <c r="E686" s="4"/>
    </row>
    <row r="687">
      <c r="D687" s="4"/>
      <c r="E687" s="4"/>
    </row>
    <row r="688">
      <c r="D688" s="4"/>
      <c r="E688" s="4"/>
    </row>
    <row r="689">
      <c r="D689" s="4"/>
      <c r="E689" s="4"/>
    </row>
    <row r="690">
      <c r="D690" s="4"/>
      <c r="E690" s="4"/>
    </row>
    <row r="691">
      <c r="D691" s="4"/>
      <c r="E691" s="4"/>
    </row>
    <row r="692">
      <c r="D692" s="4"/>
      <c r="E692" s="4"/>
    </row>
    <row r="693">
      <c r="D693" s="4"/>
      <c r="E693" s="4"/>
    </row>
    <row r="694">
      <c r="D694" s="4"/>
      <c r="E694" s="4"/>
    </row>
    <row r="695">
      <c r="D695" s="4"/>
      <c r="E695" s="4"/>
    </row>
    <row r="696">
      <c r="D696" s="4"/>
      <c r="E696" s="4"/>
    </row>
    <row r="697">
      <c r="D697" s="4"/>
      <c r="E697" s="4"/>
    </row>
    <row r="698">
      <c r="D698" s="4"/>
      <c r="E698" s="4"/>
    </row>
    <row r="699">
      <c r="D699" s="4"/>
      <c r="E699" s="4"/>
    </row>
    <row r="700">
      <c r="D700" s="4"/>
      <c r="E700" s="4"/>
    </row>
    <row r="701">
      <c r="D701" s="4"/>
      <c r="E701" s="4"/>
    </row>
    <row r="702">
      <c r="D702" s="4"/>
      <c r="E702" s="4"/>
    </row>
    <row r="703">
      <c r="D703" s="4"/>
      <c r="E703" s="4"/>
    </row>
    <row r="704">
      <c r="D704" s="4"/>
      <c r="E704" s="4"/>
    </row>
    <row r="705">
      <c r="D705" s="4"/>
      <c r="E705" s="4"/>
    </row>
    <row r="706">
      <c r="D706" s="4"/>
      <c r="E706" s="4"/>
    </row>
    <row r="707">
      <c r="D707" s="4"/>
      <c r="E707" s="4"/>
    </row>
    <row r="708">
      <c r="D708" s="4"/>
      <c r="E708" s="4"/>
    </row>
    <row r="709">
      <c r="D709" s="4"/>
      <c r="E709" s="4"/>
    </row>
    <row r="710">
      <c r="D710" s="4"/>
      <c r="E710" s="4"/>
    </row>
    <row r="711">
      <c r="D711" s="4"/>
      <c r="E711" s="4"/>
    </row>
    <row r="712">
      <c r="D712" s="4"/>
      <c r="E712" s="4"/>
    </row>
    <row r="713">
      <c r="D713" s="4"/>
      <c r="E713" s="4"/>
    </row>
    <row r="714">
      <c r="D714" s="4"/>
      <c r="E714" s="4"/>
    </row>
    <row r="715">
      <c r="D715" s="4"/>
      <c r="E715" s="4"/>
    </row>
    <row r="716">
      <c r="D716" s="4"/>
      <c r="E716" s="4"/>
    </row>
    <row r="717">
      <c r="D717" s="4"/>
      <c r="E717" s="4"/>
    </row>
    <row r="718">
      <c r="D718" s="4"/>
      <c r="E718" s="4"/>
    </row>
    <row r="719">
      <c r="D719" s="4"/>
      <c r="E719" s="4"/>
    </row>
    <row r="720">
      <c r="D720" s="4"/>
      <c r="E720" s="4"/>
    </row>
    <row r="721">
      <c r="D721" s="4"/>
      <c r="E721" s="4"/>
    </row>
    <row r="722">
      <c r="D722" s="4"/>
      <c r="E722" s="4"/>
    </row>
    <row r="723">
      <c r="D723" s="4"/>
      <c r="E723" s="4"/>
    </row>
    <row r="724">
      <c r="D724" s="4"/>
      <c r="E724" s="4"/>
    </row>
    <row r="725">
      <c r="D725" s="4"/>
      <c r="E725" s="4"/>
    </row>
    <row r="726">
      <c r="D726" s="4"/>
      <c r="E726" s="4"/>
    </row>
    <row r="727">
      <c r="D727" s="4"/>
      <c r="E727" s="4"/>
    </row>
    <row r="728">
      <c r="D728" s="4"/>
      <c r="E728" s="4"/>
    </row>
    <row r="729">
      <c r="D729" s="4"/>
      <c r="E729" s="4"/>
    </row>
    <row r="730">
      <c r="D730" s="4"/>
      <c r="E730" s="4"/>
    </row>
    <row r="731">
      <c r="D731" s="4"/>
      <c r="E731" s="4"/>
    </row>
    <row r="732">
      <c r="D732" s="4"/>
      <c r="E732" s="4"/>
    </row>
    <row r="733">
      <c r="D733" s="4"/>
      <c r="E733" s="4"/>
    </row>
    <row r="734">
      <c r="D734" s="4"/>
      <c r="E734" s="4"/>
    </row>
    <row r="735">
      <c r="D735" s="4"/>
      <c r="E735" s="4"/>
    </row>
    <row r="736">
      <c r="D736" s="4"/>
      <c r="E736" s="4"/>
    </row>
    <row r="737">
      <c r="D737" s="4"/>
      <c r="E737" s="4"/>
    </row>
    <row r="738">
      <c r="D738" s="4"/>
      <c r="E738" s="4"/>
    </row>
    <row r="739">
      <c r="D739" s="4"/>
      <c r="E739" s="4"/>
    </row>
    <row r="740">
      <c r="D740" s="4"/>
      <c r="E740" s="4"/>
    </row>
    <row r="741">
      <c r="D741" s="4"/>
      <c r="E741" s="4"/>
    </row>
    <row r="742">
      <c r="D742" s="4"/>
      <c r="E742" s="4"/>
    </row>
    <row r="743">
      <c r="D743" s="4"/>
      <c r="E743" s="4"/>
    </row>
    <row r="744">
      <c r="D744" s="4"/>
      <c r="E744" s="4"/>
    </row>
    <row r="745">
      <c r="D745" s="4"/>
      <c r="E745" s="4"/>
    </row>
    <row r="746">
      <c r="D746" s="4"/>
      <c r="E746" s="4"/>
    </row>
    <row r="747">
      <c r="D747" s="4"/>
      <c r="E747" s="4"/>
    </row>
    <row r="748">
      <c r="D748" s="4"/>
      <c r="E748" s="4"/>
    </row>
    <row r="749">
      <c r="D749" s="4"/>
      <c r="E749" s="4"/>
    </row>
    <row r="750">
      <c r="D750" s="4"/>
      <c r="E750" s="4"/>
    </row>
    <row r="751">
      <c r="D751" s="4"/>
      <c r="E751" s="4"/>
    </row>
    <row r="752">
      <c r="D752" s="4"/>
      <c r="E752" s="4"/>
    </row>
    <row r="753">
      <c r="D753" s="4"/>
      <c r="E753" s="4"/>
    </row>
    <row r="754">
      <c r="D754" s="4"/>
      <c r="E754" s="4"/>
    </row>
    <row r="755">
      <c r="D755" s="4"/>
      <c r="E755" s="4"/>
    </row>
    <row r="756">
      <c r="D756" s="4"/>
      <c r="E756" s="4"/>
    </row>
    <row r="757">
      <c r="D757" s="4"/>
      <c r="E757" s="4"/>
    </row>
    <row r="758">
      <c r="D758" s="4"/>
      <c r="E758" s="4"/>
    </row>
    <row r="759">
      <c r="D759" s="4"/>
      <c r="E759" s="4"/>
    </row>
    <row r="760">
      <c r="D760" s="4"/>
      <c r="E760" s="4"/>
    </row>
    <row r="761">
      <c r="D761" s="4"/>
      <c r="E761" s="4"/>
    </row>
    <row r="762">
      <c r="D762" s="4"/>
      <c r="E762" s="4"/>
    </row>
    <row r="763">
      <c r="D763" s="4"/>
      <c r="E763" s="4"/>
    </row>
    <row r="764">
      <c r="D764" s="4"/>
      <c r="E764" s="4"/>
    </row>
    <row r="765">
      <c r="D765" s="4"/>
      <c r="E765" s="4"/>
    </row>
    <row r="766">
      <c r="D766" s="4"/>
      <c r="E766" s="4"/>
    </row>
    <row r="767">
      <c r="D767" s="4"/>
      <c r="E767" s="4"/>
    </row>
    <row r="768">
      <c r="D768" s="4"/>
      <c r="E768" s="4"/>
    </row>
    <row r="769">
      <c r="D769" s="4"/>
      <c r="E769" s="4"/>
    </row>
    <row r="770">
      <c r="D770" s="4"/>
      <c r="E770" s="4"/>
    </row>
    <row r="771">
      <c r="D771" s="4"/>
      <c r="E771" s="4"/>
    </row>
    <row r="772">
      <c r="D772" s="4"/>
      <c r="E772" s="4"/>
    </row>
    <row r="773">
      <c r="D773" s="4"/>
      <c r="E773" s="4"/>
    </row>
    <row r="774">
      <c r="D774" s="4"/>
      <c r="E774" s="4"/>
    </row>
    <row r="775">
      <c r="D775" s="4"/>
      <c r="E775" s="4"/>
    </row>
    <row r="776">
      <c r="D776" s="4"/>
      <c r="E776" s="4"/>
    </row>
    <row r="777">
      <c r="D777" s="4"/>
      <c r="E777" s="4"/>
    </row>
    <row r="778">
      <c r="D778" s="4"/>
      <c r="E778" s="4"/>
    </row>
    <row r="779">
      <c r="D779" s="4"/>
      <c r="E779" s="4"/>
    </row>
    <row r="780">
      <c r="D780" s="4"/>
      <c r="E780" s="4"/>
    </row>
    <row r="781">
      <c r="D781" s="4"/>
      <c r="E781" s="4"/>
    </row>
    <row r="782">
      <c r="D782" s="4"/>
      <c r="E782" s="4"/>
    </row>
    <row r="783">
      <c r="D783" s="4"/>
      <c r="E783" s="4"/>
    </row>
    <row r="784">
      <c r="D784" s="4"/>
      <c r="E784" s="4"/>
    </row>
    <row r="785">
      <c r="D785" s="4"/>
      <c r="E785" s="4"/>
    </row>
    <row r="786">
      <c r="D786" s="4"/>
      <c r="E786" s="4"/>
    </row>
    <row r="787">
      <c r="D787" s="4"/>
      <c r="E787" s="4"/>
    </row>
    <row r="788">
      <c r="D788" s="4"/>
      <c r="E788" s="4"/>
    </row>
    <row r="789">
      <c r="D789" s="4"/>
      <c r="E789" s="4"/>
    </row>
    <row r="790">
      <c r="D790" s="4"/>
      <c r="E790" s="4"/>
    </row>
    <row r="791">
      <c r="D791" s="4"/>
      <c r="E791" s="4"/>
    </row>
    <row r="792">
      <c r="D792" s="4"/>
      <c r="E792" s="4"/>
    </row>
    <row r="793">
      <c r="D793" s="4"/>
      <c r="E793" s="4"/>
    </row>
    <row r="794">
      <c r="D794" s="4"/>
      <c r="E794" s="4"/>
    </row>
    <row r="795">
      <c r="D795" s="4"/>
      <c r="E795" s="4"/>
    </row>
    <row r="796">
      <c r="D796" s="4"/>
      <c r="E796" s="4"/>
    </row>
    <row r="797">
      <c r="D797" s="4"/>
      <c r="E797" s="4"/>
    </row>
    <row r="798">
      <c r="D798" s="4"/>
      <c r="E798" s="4"/>
    </row>
    <row r="799">
      <c r="D799" s="4"/>
      <c r="E799" s="4"/>
    </row>
    <row r="800">
      <c r="D800" s="4"/>
      <c r="E800" s="4"/>
    </row>
    <row r="801">
      <c r="D801" s="4"/>
      <c r="E801" s="4"/>
    </row>
    <row r="802">
      <c r="D802" s="4"/>
      <c r="E802" s="4"/>
    </row>
    <row r="803">
      <c r="D803" s="4"/>
      <c r="E803" s="4"/>
    </row>
    <row r="804">
      <c r="D804" s="4"/>
      <c r="E804" s="4"/>
    </row>
    <row r="805">
      <c r="D805" s="4"/>
      <c r="E805" s="4"/>
    </row>
    <row r="806">
      <c r="D806" s="4"/>
      <c r="E806" s="4"/>
    </row>
    <row r="807">
      <c r="D807" s="4"/>
      <c r="E807" s="4"/>
    </row>
    <row r="808">
      <c r="D808" s="4"/>
      <c r="E808" s="4"/>
    </row>
    <row r="809">
      <c r="D809" s="4"/>
      <c r="E809" s="4"/>
    </row>
    <row r="810">
      <c r="D810" s="4"/>
      <c r="E810" s="4"/>
    </row>
    <row r="811">
      <c r="D811" s="4"/>
      <c r="E811" s="4"/>
    </row>
    <row r="812">
      <c r="D812" s="4"/>
      <c r="E812" s="4"/>
    </row>
    <row r="813">
      <c r="D813" s="4"/>
      <c r="E813" s="4"/>
    </row>
    <row r="814">
      <c r="D814" s="4"/>
      <c r="E814" s="4"/>
    </row>
    <row r="815">
      <c r="D815" s="4"/>
      <c r="E815" s="4"/>
    </row>
    <row r="816">
      <c r="D816" s="4"/>
      <c r="E816" s="4"/>
    </row>
    <row r="817">
      <c r="D817" s="4"/>
      <c r="E817" s="4"/>
    </row>
    <row r="818">
      <c r="D818" s="4"/>
      <c r="E818" s="4"/>
    </row>
    <row r="819">
      <c r="D819" s="4"/>
      <c r="E819" s="4"/>
    </row>
    <row r="820">
      <c r="D820" s="4"/>
      <c r="E820" s="4"/>
    </row>
    <row r="821">
      <c r="D821" s="4"/>
      <c r="E821" s="4"/>
    </row>
    <row r="822">
      <c r="D822" s="4"/>
      <c r="E822" s="4"/>
    </row>
    <row r="823">
      <c r="D823" s="4"/>
      <c r="E823" s="4"/>
    </row>
    <row r="824">
      <c r="D824" s="4"/>
      <c r="E824" s="4"/>
    </row>
    <row r="825">
      <c r="D825" s="4"/>
      <c r="E825" s="4"/>
    </row>
    <row r="826">
      <c r="D826" s="4"/>
      <c r="E826" s="4"/>
    </row>
    <row r="827">
      <c r="D827" s="4"/>
      <c r="E827" s="4"/>
    </row>
    <row r="828">
      <c r="D828" s="4"/>
      <c r="E828" s="4"/>
    </row>
    <row r="829">
      <c r="D829" s="4"/>
      <c r="E829" s="4"/>
    </row>
    <row r="830">
      <c r="D830" s="4"/>
      <c r="E830" s="4"/>
    </row>
    <row r="831">
      <c r="D831" s="4"/>
      <c r="E831" s="4"/>
    </row>
    <row r="832">
      <c r="D832" s="4"/>
      <c r="E832" s="4"/>
    </row>
    <row r="833">
      <c r="D833" s="4"/>
      <c r="E833" s="4"/>
    </row>
    <row r="834">
      <c r="D834" s="4"/>
      <c r="E834" s="4"/>
    </row>
    <row r="835">
      <c r="D835" s="4"/>
      <c r="E835" s="4"/>
    </row>
    <row r="836">
      <c r="D836" s="4"/>
      <c r="E836" s="4"/>
    </row>
    <row r="837">
      <c r="D837" s="4"/>
      <c r="E837" s="4"/>
    </row>
    <row r="838">
      <c r="D838" s="4"/>
      <c r="E838" s="4"/>
    </row>
    <row r="839">
      <c r="D839" s="4"/>
      <c r="E839" s="4"/>
    </row>
    <row r="840">
      <c r="D840" s="4"/>
      <c r="E840" s="4"/>
    </row>
    <row r="841">
      <c r="D841" s="4"/>
      <c r="E841" s="4"/>
    </row>
    <row r="842">
      <c r="D842" s="4"/>
      <c r="E842" s="4"/>
    </row>
    <row r="843">
      <c r="D843" s="4"/>
      <c r="E843" s="4"/>
    </row>
    <row r="844">
      <c r="D844" s="4"/>
      <c r="E844" s="4"/>
    </row>
    <row r="845">
      <c r="D845" s="4"/>
      <c r="E845" s="4"/>
    </row>
    <row r="846">
      <c r="D846" s="4"/>
      <c r="E846" s="4"/>
    </row>
    <row r="847">
      <c r="D847" s="4"/>
      <c r="E847" s="4"/>
    </row>
    <row r="848">
      <c r="D848" s="4"/>
      <c r="E848" s="4"/>
    </row>
    <row r="849">
      <c r="D849" s="4"/>
      <c r="E849" s="4"/>
    </row>
    <row r="850">
      <c r="D850" s="4"/>
      <c r="E850" s="4"/>
    </row>
    <row r="851">
      <c r="D851" s="4"/>
      <c r="E851" s="4"/>
    </row>
    <row r="852">
      <c r="D852" s="4"/>
      <c r="E852" s="4"/>
    </row>
    <row r="853">
      <c r="D853" s="4"/>
      <c r="E853" s="4"/>
    </row>
    <row r="854">
      <c r="D854" s="4"/>
      <c r="E854" s="4"/>
    </row>
    <row r="855">
      <c r="D855" s="4"/>
      <c r="E855" s="4"/>
    </row>
    <row r="856">
      <c r="D856" s="4"/>
      <c r="E856" s="4"/>
    </row>
    <row r="857">
      <c r="D857" s="4"/>
      <c r="E857" s="4"/>
    </row>
    <row r="858">
      <c r="D858" s="4"/>
      <c r="E858" s="4"/>
    </row>
    <row r="859">
      <c r="D859" s="4"/>
      <c r="E859" s="4"/>
    </row>
    <row r="860">
      <c r="D860" s="4"/>
      <c r="E860" s="4"/>
    </row>
    <row r="861">
      <c r="D861" s="4"/>
      <c r="E861" s="4"/>
    </row>
    <row r="862">
      <c r="D862" s="4"/>
      <c r="E862" s="4"/>
    </row>
    <row r="863">
      <c r="D863" s="4"/>
      <c r="E863" s="4"/>
    </row>
    <row r="864">
      <c r="D864" s="4"/>
      <c r="E864" s="4"/>
    </row>
    <row r="865">
      <c r="D865" s="4"/>
      <c r="E865" s="4"/>
    </row>
    <row r="866">
      <c r="D866" s="4"/>
      <c r="E866" s="4"/>
    </row>
    <row r="867">
      <c r="D867" s="4"/>
      <c r="E867" s="4"/>
    </row>
    <row r="868">
      <c r="D868" s="4"/>
      <c r="E868" s="4"/>
    </row>
    <row r="869">
      <c r="D869" s="4"/>
      <c r="E869" s="4"/>
    </row>
    <row r="870">
      <c r="D870" s="4"/>
      <c r="E870" s="4"/>
    </row>
    <row r="871">
      <c r="D871" s="4"/>
      <c r="E871" s="4"/>
    </row>
    <row r="872">
      <c r="D872" s="4"/>
      <c r="E872" s="4"/>
    </row>
    <row r="873">
      <c r="D873" s="4"/>
      <c r="E873" s="4"/>
    </row>
    <row r="874">
      <c r="D874" s="4"/>
      <c r="E874" s="4"/>
    </row>
    <row r="875">
      <c r="D875" s="4"/>
      <c r="E875" s="4"/>
    </row>
    <row r="876">
      <c r="D876" s="4"/>
      <c r="E876" s="4"/>
    </row>
    <row r="877">
      <c r="D877" s="4"/>
      <c r="E877" s="4"/>
    </row>
    <row r="878">
      <c r="D878" s="4"/>
      <c r="E878" s="4"/>
    </row>
    <row r="879">
      <c r="D879" s="4"/>
      <c r="E879" s="4"/>
    </row>
    <row r="880">
      <c r="D880" s="4"/>
      <c r="E880" s="4"/>
    </row>
    <row r="881">
      <c r="D881" s="4"/>
      <c r="E881" s="4"/>
    </row>
    <row r="882">
      <c r="D882" s="4"/>
      <c r="E882" s="4"/>
    </row>
    <row r="883">
      <c r="D883" s="4"/>
      <c r="E883" s="4"/>
    </row>
    <row r="884">
      <c r="D884" s="4"/>
      <c r="E884" s="4"/>
    </row>
    <row r="885">
      <c r="D885" s="4"/>
      <c r="E885" s="4"/>
    </row>
    <row r="886">
      <c r="D886" s="4"/>
      <c r="E886" s="4"/>
    </row>
    <row r="887">
      <c r="D887" s="4"/>
      <c r="E887" s="4"/>
    </row>
    <row r="888">
      <c r="D888" s="4"/>
      <c r="E888" s="4"/>
    </row>
    <row r="889">
      <c r="D889" s="4"/>
      <c r="E889" s="4"/>
    </row>
    <row r="890">
      <c r="D890" s="4"/>
      <c r="E890" s="4"/>
    </row>
    <row r="891">
      <c r="D891" s="4"/>
      <c r="E891" s="4"/>
    </row>
    <row r="892">
      <c r="D892" s="4"/>
      <c r="E892" s="4"/>
    </row>
    <row r="893">
      <c r="D893" s="4"/>
      <c r="E893" s="4"/>
    </row>
    <row r="894">
      <c r="D894" s="4"/>
      <c r="E894" s="4"/>
    </row>
    <row r="895">
      <c r="D895" s="4"/>
      <c r="E895" s="4"/>
    </row>
    <row r="896">
      <c r="D896" s="4"/>
      <c r="E896" s="4"/>
    </row>
    <row r="897">
      <c r="D897" s="4"/>
      <c r="E897" s="4"/>
    </row>
    <row r="898">
      <c r="D898" s="4"/>
      <c r="E898" s="4"/>
    </row>
    <row r="899">
      <c r="D899" s="4"/>
      <c r="E899" s="4"/>
    </row>
    <row r="900">
      <c r="D900" s="4"/>
      <c r="E900" s="4"/>
    </row>
    <row r="901">
      <c r="D901" s="4"/>
      <c r="E901" s="4"/>
    </row>
    <row r="902">
      <c r="D902" s="4"/>
      <c r="E902" s="4"/>
    </row>
    <row r="903">
      <c r="D903" s="4"/>
      <c r="E903" s="4"/>
    </row>
    <row r="904">
      <c r="D904" s="4"/>
      <c r="E904" s="4"/>
    </row>
    <row r="905">
      <c r="D905" s="4"/>
      <c r="E905" s="4"/>
    </row>
    <row r="906">
      <c r="D906" s="4"/>
      <c r="E906" s="4"/>
    </row>
    <row r="907">
      <c r="D907" s="4"/>
      <c r="E907" s="4"/>
    </row>
    <row r="908">
      <c r="D908" s="4"/>
      <c r="E908" s="4"/>
    </row>
    <row r="909">
      <c r="D909" s="4"/>
      <c r="E909" s="4"/>
    </row>
    <row r="910">
      <c r="D910" s="4"/>
      <c r="E910" s="4"/>
    </row>
    <row r="911">
      <c r="D911" s="4"/>
      <c r="E911" s="4"/>
    </row>
    <row r="912">
      <c r="D912" s="4"/>
      <c r="E912" s="4"/>
    </row>
    <row r="913">
      <c r="D913" s="4"/>
      <c r="E913" s="4"/>
    </row>
    <row r="914">
      <c r="D914" s="4"/>
      <c r="E914" s="4"/>
    </row>
    <row r="915">
      <c r="D915" s="4"/>
      <c r="E915" s="4"/>
    </row>
    <row r="916">
      <c r="D916" s="4"/>
      <c r="E916" s="4"/>
    </row>
    <row r="917">
      <c r="D917" s="4"/>
      <c r="E917" s="4"/>
    </row>
    <row r="918">
      <c r="D918" s="4"/>
      <c r="E918" s="4"/>
    </row>
    <row r="919">
      <c r="D919" s="4"/>
      <c r="E919" s="4"/>
    </row>
    <row r="920">
      <c r="D920" s="4"/>
      <c r="E920" s="4"/>
    </row>
    <row r="921">
      <c r="D921" s="4"/>
      <c r="E921" s="4"/>
    </row>
    <row r="922">
      <c r="D922" s="4"/>
      <c r="E922" s="4"/>
    </row>
    <row r="923">
      <c r="D923" s="4"/>
      <c r="E923" s="4"/>
    </row>
    <row r="924">
      <c r="D924" s="4"/>
      <c r="E924" s="4"/>
    </row>
    <row r="925">
      <c r="D925" s="4"/>
      <c r="E925" s="4"/>
    </row>
    <row r="926">
      <c r="D926" s="4"/>
      <c r="E926" s="4"/>
    </row>
    <row r="927">
      <c r="D927" s="4"/>
      <c r="E927" s="4"/>
    </row>
    <row r="928">
      <c r="D928" s="4"/>
      <c r="E928" s="4"/>
    </row>
    <row r="929">
      <c r="D929" s="4"/>
      <c r="E929" s="4"/>
    </row>
    <row r="930">
      <c r="D930" s="4"/>
      <c r="E930" s="4"/>
    </row>
    <row r="931">
      <c r="D931" s="4"/>
      <c r="E931" s="4"/>
    </row>
    <row r="932">
      <c r="D932" s="4"/>
      <c r="E932" s="4"/>
    </row>
    <row r="933">
      <c r="D933" s="4"/>
      <c r="E933" s="4"/>
    </row>
    <row r="934">
      <c r="D934" s="4"/>
      <c r="E934" s="4"/>
    </row>
    <row r="935">
      <c r="D935" s="4"/>
      <c r="E935" s="4"/>
    </row>
    <row r="936">
      <c r="D936" s="4"/>
      <c r="E936" s="4"/>
    </row>
    <row r="937">
      <c r="D937" s="4"/>
      <c r="E937" s="4"/>
    </row>
    <row r="938">
      <c r="D938" s="4"/>
      <c r="E938" s="4"/>
    </row>
    <row r="939">
      <c r="D939" s="4"/>
      <c r="E939" s="4"/>
    </row>
    <row r="940">
      <c r="D940" s="4"/>
      <c r="E940" s="4"/>
    </row>
    <row r="941">
      <c r="D941" s="4"/>
      <c r="E941" s="4"/>
    </row>
    <row r="942">
      <c r="D942" s="4"/>
      <c r="E942" s="4"/>
    </row>
    <row r="943">
      <c r="D943" s="4"/>
      <c r="E943" s="4"/>
    </row>
    <row r="944">
      <c r="D944" s="4"/>
      <c r="E944" s="4"/>
    </row>
    <row r="945">
      <c r="D945" s="4"/>
      <c r="E945" s="4"/>
    </row>
    <row r="946">
      <c r="D946" s="4"/>
      <c r="E946" s="4"/>
    </row>
    <row r="947">
      <c r="D947" s="4"/>
      <c r="E947" s="4"/>
    </row>
    <row r="948">
      <c r="D948" s="4"/>
      <c r="E948" s="4"/>
    </row>
    <row r="949">
      <c r="D949" s="4"/>
      <c r="E949" s="4"/>
    </row>
    <row r="950">
      <c r="D950" s="4"/>
      <c r="E950" s="4"/>
    </row>
    <row r="951">
      <c r="D951" s="4"/>
      <c r="E951" s="4"/>
    </row>
    <row r="952">
      <c r="D952" s="4"/>
      <c r="E952" s="4"/>
    </row>
    <row r="953">
      <c r="D953" s="4"/>
      <c r="E953" s="4"/>
    </row>
    <row r="954">
      <c r="D954" s="4"/>
      <c r="E954" s="4"/>
    </row>
    <row r="955">
      <c r="D955" s="4"/>
      <c r="E955" s="4"/>
    </row>
    <row r="956">
      <c r="D956" s="4"/>
      <c r="E956" s="4"/>
    </row>
    <row r="957">
      <c r="D957" s="4"/>
      <c r="E957" s="4"/>
    </row>
    <row r="958">
      <c r="D958" s="4"/>
      <c r="E958" s="4"/>
    </row>
    <row r="959">
      <c r="D959" s="4"/>
      <c r="E959" s="4"/>
    </row>
    <row r="960">
      <c r="D960" s="4"/>
      <c r="E960" s="4"/>
    </row>
    <row r="961">
      <c r="D961" s="4"/>
      <c r="E961" s="4"/>
    </row>
    <row r="962">
      <c r="D962" s="4"/>
      <c r="E962" s="4"/>
    </row>
    <row r="963">
      <c r="D963" s="4"/>
      <c r="E963" s="4"/>
    </row>
    <row r="964">
      <c r="D964" s="4"/>
      <c r="E964" s="4"/>
    </row>
    <row r="965">
      <c r="D965" s="4"/>
      <c r="E965" s="4"/>
    </row>
    <row r="966">
      <c r="D966" s="4"/>
      <c r="E966" s="4"/>
    </row>
    <row r="967">
      <c r="D967" s="4"/>
      <c r="E967" s="4"/>
    </row>
    <row r="968">
      <c r="D968" s="4"/>
      <c r="E968" s="4"/>
    </row>
    <row r="969">
      <c r="D969" s="4"/>
      <c r="E969" s="4"/>
    </row>
    <row r="970">
      <c r="D970" s="4"/>
      <c r="E970" s="4"/>
    </row>
    <row r="971">
      <c r="D971" s="4"/>
      <c r="E971" s="4"/>
    </row>
    <row r="972">
      <c r="D972" s="4"/>
      <c r="E972" s="4"/>
    </row>
    <row r="973">
      <c r="D973" s="4"/>
      <c r="E973" s="4"/>
    </row>
    <row r="974">
      <c r="D974" s="4"/>
      <c r="E974" s="4"/>
    </row>
    <row r="975">
      <c r="D975" s="4"/>
      <c r="E975" s="4"/>
    </row>
    <row r="976">
      <c r="D976" s="4"/>
      <c r="E976" s="4"/>
    </row>
    <row r="977">
      <c r="D977" s="4"/>
      <c r="E977" s="4"/>
    </row>
    <row r="978">
      <c r="D978" s="4"/>
      <c r="E978" s="4"/>
    </row>
    <row r="979">
      <c r="D979" s="4"/>
      <c r="E979" s="4"/>
    </row>
    <row r="980">
      <c r="D980" s="4"/>
      <c r="E980" s="4"/>
    </row>
    <row r="981">
      <c r="D981" s="4"/>
      <c r="E981" s="4"/>
    </row>
    <row r="982">
      <c r="D982" s="4"/>
      <c r="E982" s="4"/>
    </row>
    <row r="983">
      <c r="D983" s="4"/>
      <c r="E983" s="4"/>
    </row>
    <row r="984">
      <c r="D984" s="4"/>
      <c r="E984" s="4"/>
    </row>
    <row r="985">
      <c r="D985" s="4"/>
      <c r="E985" s="4"/>
    </row>
    <row r="986">
      <c r="D986" s="4"/>
      <c r="E986" s="4"/>
    </row>
    <row r="987">
      <c r="D987" s="4"/>
      <c r="E987" s="4"/>
    </row>
    <row r="988">
      <c r="D988" s="4"/>
      <c r="E988" s="4"/>
    </row>
    <row r="989">
      <c r="D989" s="4"/>
      <c r="E989" s="4"/>
    </row>
    <row r="990">
      <c r="D990" s="4"/>
      <c r="E990" s="4"/>
    </row>
    <row r="991">
      <c r="D991" s="4"/>
      <c r="E991" s="4"/>
    </row>
    <row r="992">
      <c r="D992" s="4"/>
      <c r="E992" s="4"/>
    </row>
    <row r="993">
      <c r="D993" s="4"/>
      <c r="E993" s="4"/>
    </row>
    <row r="994">
      <c r="D994" s="4"/>
      <c r="E994" s="4"/>
    </row>
    <row r="995">
      <c r="D995" s="4"/>
      <c r="E995" s="4"/>
    </row>
    <row r="996">
      <c r="D996" s="4"/>
      <c r="E996" s="4"/>
    </row>
    <row r="997">
      <c r="D997" s="4"/>
      <c r="E997" s="4"/>
    </row>
    <row r="998">
      <c r="D998" s="4"/>
      <c r="E998" s="4"/>
    </row>
    <row r="999">
      <c r="D999" s="4"/>
      <c r="E999" s="4"/>
    </row>
    <row r="1000">
      <c r="D1000" s="4"/>
      <c r="E1000" s="4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8" max="8" width="37.63"/>
  </cols>
  <sheetData>
    <row r="1" ht="22.5" customHeight="1">
      <c r="A1" s="11" t="s">
        <v>350</v>
      </c>
      <c r="B1" s="11" t="s">
        <v>351</v>
      </c>
      <c r="C1" s="11" t="s">
        <v>352</v>
      </c>
      <c r="D1" s="11" t="s">
        <v>353</v>
      </c>
      <c r="E1" s="11" t="s">
        <v>354</v>
      </c>
      <c r="F1" s="11" t="s">
        <v>355</v>
      </c>
      <c r="G1" s="11" t="s">
        <v>356</v>
      </c>
      <c r="H1" s="11" t="s">
        <v>357</v>
      </c>
      <c r="I1" s="17" t="s">
        <v>358</v>
      </c>
      <c r="J1" s="17" t="s">
        <v>359</v>
      </c>
    </row>
    <row r="2" ht="22.5" customHeight="1">
      <c r="A2" s="16">
        <v>1.0</v>
      </c>
      <c r="B2" s="16">
        <v>4.0</v>
      </c>
      <c r="C2" s="16">
        <v>0.0</v>
      </c>
      <c r="D2" s="16">
        <v>0.0</v>
      </c>
      <c r="E2" s="16">
        <v>0.0</v>
      </c>
      <c r="F2" s="16">
        <v>0.0</v>
      </c>
      <c r="G2" s="18">
        <v>0.0</v>
      </c>
      <c r="H2" s="16" t="s">
        <v>0</v>
      </c>
      <c r="I2" s="19">
        <f t="shared" ref="I2:I463" si="1">round(A2*D2,0)</f>
        <v>0</v>
      </c>
      <c r="J2" s="19">
        <f t="shared" ref="J2:J463" si="2">round(E2*A2,0)</f>
        <v>0</v>
      </c>
    </row>
    <row r="3" ht="22.5" customHeight="1">
      <c r="A3" s="16">
        <v>4.0</v>
      </c>
      <c r="B3" s="16">
        <v>16.0</v>
      </c>
      <c r="C3" s="16">
        <v>13.0</v>
      </c>
      <c r="D3" s="16">
        <v>2.0</v>
      </c>
      <c r="E3" s="16">
        <v>1.25</v>
      </c>
      <c r="F3" s="16">
        <v>0.0</v>
      </c>
      <c r="G3" s="20">
        <v>0.538</v>
      </c>
      <c r="H3" s="16" t="s">
        <v>2</v>
      </c>
      <c r="I3" s="19">
        <f t="shared" si="1"/>
        <v>8</v>
      </c>
      <c r="J3" s="19">
        <f t="shared" si="2"/>
        <v>5</v>
      </c>
    </row>
    <row r="4" ht="22.5" customHeight="1">
      <c r="A4" s="16">
        <v>1.0</v>
      </c>
      <c r="B4" s="16">
        <v>4.0</v>
      </c>
      <c r="C4" s="16">
        <v>1.0</v>
      </c>
      <c r="D4" s="16">
        <v>4.0</v>
      </c>
      <c r="E4" s="16">
        <v>0.0</v>
      </c>
      <c r="F4" s="16">
        <v>0.0</v>
      </c>
      <c r="G4" s="18">
        <v>1.0</v>
      </c>
      <c r="H4" s="16" t="s">
        <v>2</v>
      </c>
      <c r="I4" s="19">
        <f t="shared" si="1"/>
        <v>4</v>
      </c>
      <c r="J4" s="19">
        <f t="shared" si="2"/>
        <v>0</v>
      </c>
    </row>
    <row r="5" ht="22.5" customHeight="1">
      <c r="A5" s="16">
        <v>4.0</v>
      </c>
      <c r="B5" s="16">
        <v>16.0</v>
      </c>
      <c r="C5" s="16">
        <v>0.0</v>
      </c>
      <c r="D5" s="16">
        <v>0.0</v>
      </c>
      <c r="E5" s="16">
        <v>0.0</v>
      </c>
      <c r="F5" s="16">
        <v>0.0</v>
      </c>
      <c r="G5" s="18">
        <v>0.0</v>
      </c>
      <c r="H5" s="16" t="s">
        <v>5</v>
      </c>
      <c r="I5" s="19">
        <f t="shared" si="1"/>
        <v>0</v>
      </c>
      <c r="J5" s="19">
        <f t="shared" si="2"/>
        <v>0</v>
      </c>
    </row>
    <row r="6" ht="22.5" customHeight="1">
      <c r="A6" s="16">
        <v>1.0</v>
      </c>
      <c r="B6" s="16">
        <v>4.0</v>
      </c>
      <c r="C6" s="16">
        <v>0.0</v>
      </c>
      <c r="D6" s="16">
        <v>0.0</v>
      </c>
      <c r="E6" s="16">
        <v>0.0</v>
      </c>
      <c r="F6" s="16">
        <v>0.0</v>
      </c>
      <c r="G6" s="18">
        <v>0.0</v>
      </c>
      <c r="H6" s="16" t="s">
        <v>5</v>
      </c>
      <c r="I6" s="19">
        <f t="shared" si="1"/>
        <v>0</v>
      </c>
      <c r="J6" s="19">
        <f t="shared" si="2"/>
        <v>0</v>
      </c>
    </row>
    <row r="7" ht="22.5" customHeight="1">
      <c r="A7" s="16">
        <v>4.0</v>
      </c>
      <c r="B7" s="16">
        <v>16.0</v>
      </c>
      <c r="C7" s="16">
        <v>2.0</v>
      </c>
      <c r="D7" s="16">
        <v>2.0</v>
      </c>
      <c r="E7" s="16">
        <v>0.0</v>
      </c>
      <c r="F7" s="16">
        <v>0.0</v>
      </c>
      <c r="G7" s="18">
        <v>1.0</v>
      </c>
      <c r="H7" s="16" t="s">
        <v>8</v>
      </c>
      <c r="I7" s="19">
        <f t="shared" si="1"/>
        <v>8</v>
      </c>
      <c r="J7" s="19">
        <f t="shared" si="2"/>
        <v>0</v>
      </c>
    </row>
    <row r="8" ht="22.5" customHeight="1">
      <c r="A8" s="16">
        <v>1.0</v>
      </c>
      <c r="B8" s="16">
        <v>4.0</v>
      </c>
      <c r="C8" s="16">
        <v>3.0</v>
      </c>
      <c r="D8" s="16">
        <v>12.0</v>
      </c>
      <c r="E8" s="16">
        <v>0.0</v>
      </c>
      <c r="F8" s="16">
        <v>0.0</v>
      </c>
      <c r="G8" s="18">
        <v>1.0</v>
      </c>
      <c r="H8" s="16" t="s">
        <v>8</v>
      </c>
      <c r="I8" s="19">
        <f t="shared" si="1"/>
        <v>12</v>
      </c>
      <c r="J8" s="19">
        <f t="shared" si="2"/>
        <v>0</v>
      </c>
    </row>
    <row r="9" ht="22.5" customHeight="1">
      <c r="A9" s="16">
        <v>4.0</v>
      </c>
      <c r="B9" s="16">
        <v>16.0</v>
      </c>
      <c r="C9" s="16">
        <v>0.0</v>
      </c>
      <c r="D9" s="16">
        <v>0.0</v>
      </c>
      <c r="E9" s="16">
        <v>0.0</v>
      </c>
      <c r="F9" s="16">
        <v>0.0</v>
      </c>
      <c r="G9" s="18">
        <v>0.0</v>
      </c>
      <c r="H9" s="16" t="s">
        <v>11</v>
      </c>
      <c r="I9" s="19">
        <f t="shared" si="1"/>
        <v>0</v>
      </c>
      <c r="J9" s="19">
        <f t="shared" si="2"/>
        <v>0</v>
      </c>
    </row>
    <row r="10" ht="22.5" customHeight="1">
      <c r="A10" s="16">
        <v>3.0</v>
      </c>
      <c r="B10" s="16">
        <v>12.0</v>
      </c>
      <c r="C10" s="16">
        <v>4.0</v>
      </c>
      <c r="D10" s="16">
        <v>-1.33</v>
      </c>
      <c r="E10" s="16">
        <v>0.33</v>
      </c>
      <c r="F10" s="16">
        <v>0.0</v>
      </c>
      <c r="G10" s="18">
        <v>0.0</v>
      </c>
      <c r="H10" s="16" t="s">
        <v>12</v>
      </c>
      <c r="I10" s="19">
        <f t="shared" si="1"/>
        <v>-4</v>
      </c>
      <c r="J10" s="19">
        <f t="shared" si="2"/>
        <v>1</v>
      </c>
    </row>
    <row r="11" ht="22.5" customHeight="1">
      <c r="A11" s="16">
        <v>1.0</v>
      </c>
      <c r="B11" s="16">
        <v>4.0</v>
      </c>
      <c r="C11" s="16">
        <v>1.0</v>
      </c>
      <c r="D11" s="16">
        <v>-4.0</v>
      </c>
      <c r="E11" s="16">
        <v>1.0</v>
      </c>
      <c r="F11" s="16">
        <v>0.0</v>
      </c>
      <c r="G11" s="18">
        <v>0.0</v>
      </c>
      <c r="H11" s="16" t="s">
        <v>13</v>
      </c>
      <c r="I11" s="19">
        <f t="shared" si="1"/>
        <v>-4</v>
      </c>
      <c r="J11" s="19">
        <f t="shared" si="2"/>
        <v>1</v>
      </c>
    </row>
    <row r="12" ht="22.5" customHeight="1">
      <c r="A12" s="16">
        <v>4.0</v>
      </c>
      <c r="B12" s="16">
        <v>15.0</v>
      </c>
      <c r="C12" s="16">
        <v>0.0</v>
      </c>
      <c r="D12" s="16">
        <v>0.0</v>
      </c>
      <c r="E12" s="16">
        <v>0.0</v>
      </c>
      <c r="F12" s="16">
        <v>0.0</v>
      </c>
      <c r="G12" s="18">
        <v>0.0</v>
      </c>
      <c r="H12" s="16" t="s">
        <v>13</v>
      </c>
      <c r="I12" s="19">
        <f t="shared" si="1"/>
        <v>0</v>
      </c>
      <c r="J12" s="19">
        <f t="shared" si="2"/>
        <v>0</v>
      </c>
    </row>
    <row r="13" ht="22.5" customHeight="1">
      <c r="A13" s="16">
        <v>1.0</v>
      </c>
      <c r="B13" s="16">
        <v>4.0</v>
      </c>
      <c r="C13" s="16">
        <v>0.0</v>
      </c>
      <c r="D13" s="16">
        <v>0.0</v>
      </c>
      <c r="E13" s="16">
        <v>0.0</v>
      </c>
      <c r="F13" s="16">
        <v>0.0</v>
      </c>
      <c r="G13" s="18">
        <v>0.0</v>
      </c>
      <c r="H13" s="16" t="s">
        <v>15</v>
      </c>
      <c r="I13" s="19">
        <f t="shared" si="1"/>
        <v>0</v>
      </c>
      <c r="J13" s="19">
        <f t="shared" si="2"/>
        <v>0</v>
      </c>
    </row>
    <row r="14" ht="22.5" customHeight="1">
      <c r="A14" s="16">
        <v>4.0</v>
      </c>
      <c r="B14" s="16">
        <v>15.0</v>
      </c>
      <c r="C14" s="16">
        <v>4.0</v>
      </c>
      <c r="D14" s="16">
        <v>2.0</v>
      </c>
      <c r="E14" s="16">
        <v>0.25</v>
      </c>
      <c r="F14" s="16">
        <v>0.0</v>
      </c>
      <c r="G14" s="18">
        <v>0.75</v>
      </c>
      <c r="H14" s="16" t="s">
        <v>15</v>
      </c>
      <c r="I14" s="19">
        <f t="shared" si="1"/>
        <v>8</v>
      </c>
      <c r="J14" s="19">
        <f t="shared" si="2"/>
        <v>1</v>
      </c>
    </row>
    <row r="15" ht="22.5" customHeight="1">
      <c r="A15" s="16">
        <v>1.0</v>
      </c>
      <c r="B15" s="16">
        <v>4.0</v>
      </c>
      <c r="C15" s="16">
        <v>1.0</v>
      </c>
      <c r="D15" s="16">
        <v>0.0</v>
      </c>
      <c r="E15" s="16">
        <v>0.0</v>
      </c>
      <c r="F15" s="16">
        <v>0.0</v>
      </c>
      <c r="G15" s="18">
        <v>0.0</v>
      </c>
      <c r="H15" s="16" t="s">
        <v>17</v>
      </c>
      <c r="I15" s="19">
        <f t="shared" si="1"/>
        <v>0</v>
      </c>
      <c r="J15" s="19">
        <f t="shared" si="2"/>
        <v>0</v>
      </c>
    </row>
    <row r="16" ht="22.5" customHeight="1">
      <c r="A16" s="16">
        <v>4.0</v>
      </c>
      <c r="B16" s="16">
        <v>15.0</v>
      </c>
      <c r="C16" s="16">
        <v>1.0</v>
      </c>
      <c r="D16" s="16">
        <v>1.0</v>
      </c>
      <c r="E16" s="16">
        <v>0.0</v>
      </c>
      <c r="F16" s="16">
        <v>0.0</v>
      </c>
      <c r="G16" s="18">
        <v>1.0</v>
      </c>
      <c r="H16" s="16" t="s">
        <v>17</v>
      </c>
      <c r="I16" s="19">
        <f t="shared" si="1"/>
        <v>4</v>
      </c>
      <c r="J16" s="19">
        <f t="shared" si="2"/>
        <v>0</v>
      </c>
    </row>
    <row r="17" ht="22.5" customHeight="1">
      <c r="A17" s="16">
        <v>1.0</v>
      </c>
      <c r="B17" s="16">
        <v>4.0</v>
      </c>
      <c r="C17" s="16">
        <v>1.0</v>
      </c>
      <c r="D17" s="16">
        <v>0.0</v>
      </c>
      <c r="E17" s="16">
        <v>0.0</v>
      </c>
      <c r="F17" s="16">
        <v>0.0</v>
      </c>
      <c r="G17" s="18">
        <v>0.0</v>
      </c>
      <c r="H17" s="16" t="s">
        <v>20</v>
      </c>
      <c r="I17" s="19">
        <f t="shared" si="1"/>
        <v>0</v>
      </c>
      <c r="J17" s="19">
        <f t="shared" si="2"/>
        <v>0</v>
      </c>
    </row>
    <row r="18" ht="22.5" customHeight="1">
      <c r="A18" s="16">
        <v>1.0</v>
      </c>
      <c r="B18" s="16">
        <v>3.0</v>
      </c>
      <c r="C18" s="16">
        <v>0.0</v>
      </c>
      <c r="D18" s="16">
        <v>0.0</v>
      </c>
      <c r="E18" s="16">
        <v>0.0</v>
      </c>
      <c r="F18" s="16">
        <v>0.0</v>
      </c>
      <c r="G18" s="18">
        <v>0.0</v>
      </c>
      <c r="H18" s="16" t="s">
        <v>20</v>
      </c>
      <c r="I18" s="19">
        <f t="shared" si="1"/>
        <v>0</v>
      </c>
      <c r="J18" s="19">
        <f t="shared" si="2"/>
        <v>0</v>
      </c>
    </row>
    <row r="19" ht="22.5" customHeight="1">
      <c r="A19" s="16">
        <v>1.0</v>
      </c>
      <c r="B19" s="16">
        <v>4.0</v>
      </c>
      <c r="C19" s="16">
        <v>0.0</v>
      </c>
      <c r="D19" s="16">
        <v>0.0</v>
      </c>
      <c r="E19" s="16">
        <v>0.0</v>
      </c>
      <c r="F19" s="16">
        <v>0.0</v>
      </c>
      <c r="G19" s="18">
        <v>0.0</v>
      </c>
      <c r="H19" s="16" t="s">
        <v>24</v>
      </c>
      <c r="I19" s="19">
        <f t="shared" si="1"/>
        <v>0</v>
      </c>
      <c r="J19" s="19">
        <f t="shared" si="2"/>
        <v>0</v>
      </c>
    </row>
    <row r="20" ht="22.5" customHeight="1">
      <c r="A20" s="16">
        <v>1.0</v>
      </c>
      <c r="B20" s="16">
        <v>4.0</v>
      </c>
      <c r="C20" s="16">
        <v>0.0</v>
      </c>
      <c r="D20" s="16">
        <v>0.0</v>
      </c>
      <c r="E20" s="16">
        <v>0.0</v>
      </c>
      <c r="F20" s="16">
        <v>0.0</v>
      </c>
      <c r="G20" s="18">
        <v>0.0</v>
      </c>
      <c r="H20" s="16" t="s">
        <v>24</v>
      </c>
      <c r="I20" s="19">
        <f t="shared" si="1"/>
        <v>0</v>
      </c>
      <c r="J20" s="19">
        <f t="shared" si="2"/>
        <v>0</v>
      </c>
    </row>
    <row r="21" ht="22.5" customHeight="1">
      <c r="A21" s="16">
        <v>3.0</v>
      </c>
      <c r="B21" s="16">
        <v>12.0</v>
      </c>
      <c r="C21" s="16">
        <v>6.0</v>
      </c>
      <c r="D21" s="16">
        <v>8.0</v>
      </c>
      <c r="E21" s="16">
        <v>0.0</v>
      </c>
      <c r="F21" s="16">
        <v>0.0</v>
      </c>
      <c r="G21" s="18">
        <v>1.0</v>
      </c>
      <c r="H21" s="16" t="s">
        <v>29</v>
      </c>
      <c r="I21" s="19">
        <f t="shared" si="1"/>
        <v>24</v>
      </c>
      <c r="J21" s="19">
        <f t="shared" si="2"/>
        <v>0</v>
      </c>
    </row>
    <row r="22" ht="22.5" customHeight="1">
      <c r="A22" s="16">
        <v>1.0</v>
      </c>
      <c r="B22" s="16">
        <v>4.0</v>
      </c>
      <c r="C22" s="16">
        <v>3.0</v>
      </c>
      <c r="D22" s="16">
        <v>12.0</v>
      </c>
      <c r="E22" s="16">
        <v>0.0</v>
      </c>
      <c r="F22" s="16">
        <v>0.0</v>
      </c>
      <c r="G22" s="18">
        <v>1.0</v>
      </c>
      <c r="H22" s="16" t="s">
        <v>29</v>
      </c>
      <c r="I22" s="19">
        <f t="shared" si="1"/>
        <v>12</v>
      </c>
      <c r="J22" s="19">
        <f t="shared" si="2"/>
        <v>0</v>
      </c>
    </row>
    <row r="23" ht="22.5" customHeight="1">
      <c r="A23" s="16">
        <v>1.0</v>
      </c>
      <c r="B23" s="16">
        <v>4.0</v>
      </c>
      <c r="C23" s="16">
        <v>0.0</v>
      </c>
      <c r="D23" s="16">
        <v>0.0</v>
      </c>
      <c r="E23" s="16">
        <v>0.0</v>
      </c>
      <c r="F23" s="16">
        <v>0.0</v>
      </c>
      <c r="G23" s="18">
        <v>0.0</v>
      </c>
      <c r="H23" s="16" t="s">
        <v>29</v>
      </c>
      <c r="I23" s="19">
        <f t="shared" si="1"/>
        <v>0</v>
      </c>
      <c r="J23" s="19">
        <f t="shared" si="2"/>
        <v>0</v>
      </c>
    </row>
    <row r="24" ht="22.5" customHeight="1">
      <c r="A24" s="16">
        <v>2.0</v>
      </c>
      <c r="B24" s="16">
        <v>8.0</v>
      </c>
      <c r="C24" s="16">
        <v>0.0</v>
      </c>
      <c r="D24" s="16">
        <v>0.0</v>
      </c>
      <c r="E24" s="16">
        <v>0.0</v>
      </c>
      <c r="F24" s="16">
        <v>0.0</v>
      </c>
      <c r="G24" s="18">
        <v>0.0</v>
      </c>
      <c r="H24" s="16" t="s">
        <v>38</v>
      </c>
      <c r="I24" s="19">
        <f t="shared" si="1"/>
        <v>0</v>
      </c>
      <c r="J24" s="19">
        <f t="shared" si="2"/>
        <v>0</v>
      </c>
    </row>
    <row r="25" ht="22.5" customHeight="1">
      <c r="A25" s="16">
        <v>1.0</v>
      </c>
      <c r="B25" s="16">
        <v>4.0</v>
      </c>
      <c r="C25" s="16">
        <v>0.0</v>
      </c>
      <c r="D25" s="16">
        <v>0.0</v>
      </c>
      <c r="E25" s="16">
        <v>0.0</v>
      </c>
      <c r="F25" s="16">
        <v>0.0</v>
      </c>
      <c r="G25" s="18">
        <v>0.0</v>
      </c>
      <c r="H25" s="16" t="s">
        <v>38</v>
      </c>
      <c r="I25" s="19">
        <f t="shared" si="1"/>
        <v>0</v>
      </c>
      <c r="J25" s="19">
        <f t="shared" si="2"/>
        <v>0</v>
      </c>
    </row>
    <row r="26" ht="22.5" customHeight="1">
      <c r="A26" s="16">
        <v>3.0</v>
      </c>
      <c r="B26" s="16">
        <v>12.0</v>
      </c>
      <c r="C26" s="16">
        <v>0.0</v>
      </c>
      <c r="D26" s="16">
        <v>0.0</v>
      </c>
      <c r="E26" s="16">
        <v>0.0</v>
      </c>
      <c r="F26" s="16">
        <v>0.0</v>
      </c>
      <c r="G26" s="18">
        <v>0.0</v>
      </c>
      <c r="H26" s="16" t="s">
        <v>40</v>
      </c>
      <c r="I26" s="19">
        <f t="shared" si="1"/>
        <v>0</v>
      </c>
      <c r="J26" s="19">
        <f t="shared" si="2"/>
        <v>0</v>
      </c>
    </row>
    <row r="27" ht="22.5" customHeight="1">
      <c r="A27" s="16">
        <v>1.0</v>
      </c>
      <c r="B27" s="16">
        <v>4.0</v>
      </c>
      <c r="C27" s="16">
        <v>0.0</v>
      </c>
      <c r="D27" s="16">
        <v>0.0</v>
      </c>
      <c r="E27" s="16">
        <v>0.0</v>
      </c>
      <c r="F27" s="16">
        <v>0.0</v>
      </c>
      <c r="G27" s="18">
        <v>0.0</v>
      </c>
      <c r="H27" s="16" t="s">
        <v>40</v>
      </c>
      <c r="I27" s="19">
        <f t="shared" si="1"/>
        <v>0</v>
      </c>
      <c r="J27" s="19">
        <f t="shared" si="2"/>
        <v>0</v>
      </c>
    </row>
    <row r="28" ht="22.5" customHeight="1">
      <c r="A28" s="16">
        <v>1.0</v>
      </c>
      <c r="B28" s="16">
        <v>4.0</v>
      </c>
      <c r="C28" s="16">
        <v>2.0</v>
      </c>
      <c r="D28" s="16">
        <v>8.0</v>
      </c>
      <c r="E28" s="16">
        <v>0.0</v>
      </c>
      <c r="F28" s="16">
        <v>0.0</v>
      </c>
      <c r="G28" s="18">
        <v>1.0</v>
      </c>
      <c r="H28" s="16" t="s">
        <v>40</v>
      </c>
      <c r="I28" s="19">
        <f t="shared" si="1"/>
        <v>8</v>
      </c>
      <c r="J28" s="19">
        <f t="shared" si="2"/>
        <v>0</v>
      </c>
    </row>
    <row r="29" ht="22.5" customHeight="1">
      <c r="A29" s="16">
        <v>3.0</v>
      </c>
      <c r="B29" s="16">
        <v>12.0</v>
      </c>
      <c r="C29" s="16">
        <v>5.0</v>
      </c>
      <c r="D29" s="16">
        <v>2.67</v>
      </c>
      <c r="E29" s="16">
        <v>0.33</v>
      </c>
      <c r="F29" s="16">
        <v>0.0</v>
      </c>
      <c r="G29" s="18">
        <v>0.6</v>
      </c>
      <c r="H29" s="16" t="s">
        <v>46</v>
      </c>
      <c r="I29" s="19">
        <f t="shared" si="1"/>
        <v>8</v>
      </c>
      <c r="J29" s="19">
        <f t="shared" si="2"/>
        <v>1</v>
      </c>
    </row>
    <row r="30" ht="22.5" customHeight="1">
      <c r="A30" s="16">
        <v>1.0</v>
      </c>
      <c r="B30" s="16">
        <v>4.0</v>
      </c>
      <c r="C30" s="16">
        <v>1.0</v>
      </c>
      <c r="D30" s="16">
        <v>4.0</v>
      </c>
      <c r="E30" s="16">
        <v>0.0</v>
      </c>
      <c r="F30" s="16">
        <v>0.0</v>
      </c>
      <c r="G30" s="18">
        <v>1.0</v>
      </c>
      <c r="H30" s="16" t="s">
        <v>46</v>
      </c>
      <c r="I30" s="19">
        <f t="shared" si="1"/>
        <v>4</v>
      </c>
      <c r="J30" s="19">
        <f t="shared" si="2"/>
        <v>0</v>
      </c>
    </row>
    <row r="31" ht="22.5" customHeight="1">
      <c r="A31" s="16">
        <v>1.0</v>
      </c>
      <c r="B31" s="16">
        <v>4.0</v>
      </c>
      <c r="C31" s="16">
        <v>1.0</v>
      </c>
      <c r="D31" s="16">
        <v>4.0</v>
      </c>
      <c r="E31" s="16">
        <v>0.0</v>
      </c>
      <c r="F31" s="16">
        <v>0.0</v>
      </c>
      <c r="G31" s="18">
        <v>1.0</v>
      </c>
      <c r="H31" s="16" t="s">
        <v>46</v>
      </c>
      <c r="I31" s="19">
        <f t="shared" si="1"/>
        <v>4</v>
      </c>
      <c r="J31" s="19">
        <f t="shared" si="2"/>
        <v>0</v>
      </c>
    </row>
    <row r="32" ht="22.5" customHeight="1">
      <c r="A32" s="16">
        <v>4.0</v>
      </c>
      <c r="B32" s="16">
        <v>17.0</v>
      </c>
      <c r="C32" s="16">
        <v>0.0</v>
      </c>
      <c r="D32" s="16">
        <v>0.0</v>
      </c>
      <c r="E32" s="16">
        <v>0.0</v>
      </c>
      <c r="F32" s="16">
        <v>0.0</v>
      </c>
      <c r="G32" s="18">
        <v>0.0</v>
      </c>
      <c r="H32" s="16" t="s">
        <v>51</v>
      </c>
      <c r="I32" s="19">
        <f t="shared" si="1"/>
        <v>0</v>
      </c>
      <c r="J32" s="19">
        <f t="shared" si="2"/>
        <v>0</v>
      </c>
    </row>
    <row r="33" ht="22.5" customHeight="1">
      <c r="A33" s="16">
        <v>5.0</v>
      </c>
      <c r="B33" s="16">
        <v>21.0</v>
      </c>
      <c r="C33" s="16">
        <v>12.0</v>
      </c>
      <c r="D33" s="16">
        <v>5.6</v>
      </c>
      <c r="E33" s="16">
        <v>0.2</v>
      </c>
      <c r="F33" s="16">
        <v>0.0</v>
      </c>
      <c r="G33" s="20">
        <v>0.667</v>
      </c>
      <c r="H33" s="16" t="s">
        <v>54</v>
      </c>
      <c r="I33" s="19">
        <f t="shared" si="1"/>
        <v>28</v>
      </c>
      <c r="J33" s="19">
        <f t="shared" si="2"/>
        <v>1</v>
      </c>
    </row>
    <row r="34" ht="22.5" customHeight="1">
      <c r="A34" s="16">
        <v>1.0</v>
      </c>
      <c r="B34" s="16">
        <v>4.0</v>
      </c>
      <c r="C34" s="16">
        <v>0.0</v>
      </c>
      <c r="D34" s="16">
        <v>0.0</v>
      </c>
      <c r="E34" s="16">
        <v>0.0</v>
      </c>
      <c r="F34" s="16">
        <v>0.0</v>
      </c>
      <c r="G34" s="18">
        <v>0.0</v>
      </c>
      <c r="H34" s="16" t="s">
        <v>55</v>
      </c>
      <c r="I34" s="19">
        <f t="shared" si="1"/>
        <v>0</v>
      </c>
      <c r="J34" s="19">
        <f t="shared" si="2"/>
        <v>0</v>
      </c>
    </row>
    <row r="35" ht="22.5" customHeight="1">
      <c r="A35" s="16">
        <v>1.0</v>
      </c>
      <c r="B35" s="16">
        <v>4.0</v>
      </c>
      <c r="C35" s="16">
        <v>0.0</v>
      </c>
      <c r="D35" s="16">
        <v>0.0</v>
      </c>
      <c r="E35" s="16">
        <v>0.0</v>
      </c>
      <c r="F35" s="16">
        <v>0.0</v>
      </c>
      <c r="G35" s="18">
        <v>0.0</v>
      </c>
      <c r="H35" s="16" t="s">
        <v>55</v>
      </c>
      <c r="I35" s="19">
        <f t="shared" si="1"/>
        <v>0</v>
      </c>
      <c r="J35" s="19">
        <f t="shared" si="2"/>
        <v>0</v>
      </c>
    </row>
    <row r="36" ht="22.5" customHeight="1">
      <c r="A36" s="16">
        <v>5.0</v>
      </c>
      <c r="B36" s="16">
        <v>21.0</v>
      </c>
      <c r="C36" s="16">
        <v>0.0</v>
      </c>
      <c r="D36" s="16">
        <v>0.0</v>
      </c>
      <c r="E36" s="16">
        <v>0.0</v>
      </c>
      <c r="F36" s="16">
        <v>0.0</v>
      </c>
      <c r="G36" s="18">
        <v>0.0</v>
      </c>
      <c r="H36" s="16" t="s">
        <v>59</v>
      </c>
      <c r="I36" s="19">
        <f t="shared" si="1"/>
        <v>0</v>
      </c>
      <c r="J36" s="19">
        <f t="shared" si="2"/>
        <v>0</v>
      </c>
    </row>
    <row r="37" ht="22.5" customHeight="1">
      <c r="A37" s="16">
        <v>1.0</v>
      </c>
      <c r="B37" s="16">
        <v>4.0</v>
      </c>
      <c r="C37" s="16">
        <v>3.0</v>
      </c>
      <c r="D37" s="16">
        <v>8.0</v>
      </c>
      <c r="E37" s="16">
        <v>0.0</v>
      </c>
      <c r="F37" s="16">
        <v>0.0</v>
      </c>
      <c r="G37" s="20">
        <v>0.667</v>
      </c>
      <c r="H37" s="16" t="s">
        <v>61</v>
      </c>
      <c r="I37" s="19">
        <f t="shared" si="1"/>
        <v>8</v>
      </c>
      <c r="J37" s="19">
        <f t="shared" si="2"/>
        <v>0</v>
      </c>
    </row>
    <row r="38" ht="22.5" customHeight="1">
      <c r="A38" s="16">
        <v>4.0</v>
      </c>
      <c r="B38" s="16">
        <v>17.0</v>
      </c>
      <c r="C38" s="16">
        <v>4.0</v>
      </c>
      <c r="D38" s="16">
        <v>1.0</v>
      </c>
      <c r="E38" s="16">
        <v>0.0</v>
      </c>
      <c r="F38" s="16">
        <v>0.0</v>
      </c>
      <c r="G38" s="18">
        <v>0.25</v>
      </c>
      <c r="H38" s="16" t="s">
        <v>61</v>
      </c>
      <c r="I38" s="19">
        <f t="shared" si="1"/>
        <v>4</v>
      </c>
      <c r="J38" s="19">
        <f t="shared" si="2"/>
        <v>0</v>
      </c>
    </row>
    <row r="39" ht="22.5" customHeight="1">
      <c r="A39" s="16">
        <v>2.0</v>
      </c>
      <c r="B39" s="16">
        <v>8.0</v>
      </c>
      <c r="C39" s="16">
        <v>0.0</v>
      </c>
      <c r="D39" s="16">
        <v>0.0</v>
      </c>
      <c r="E39" s="16">
        <v>0.0</v>
      </c>
      <c r="F39" s="16">
        <v>0.0</v>
      </c>
      <c r="G39" s="18">
        <v>0.0</v>
      </c>
      <c r="H39" s="16" t="s">
        <v>65</v>
      </c>
      <c r="I39" s="19">
        <f t="shared" si="1"/>
        <v>0</v>
      </c>
      <c r="J39" s="19">
        <f t="shared" si="2"/>
        <v>0</v>
      </c>
    </row>
    <row r="40" ht="22.5" customHeight="1">
      <c r="A40" s="16">
        <v>5.0</v>
      </c>
      <c r="B40" s="16">
        <v>20.0</v>
      </c>
      <c r="C40" s="16">
        <v>4.0</v>
      </c>
      <c r="D40" s="16">
        <v>0.8</v>
      </c>
      <c r="E40" s="16">
        <v>0.2</v>
      </c>
      <c r="F40" s="16">
        <v>0.0</v>
      </c>
      <c r="G40" s="18">
        <v>0.5</v>
      </c>
      <c r="H40" s="16" t="s">
        <v>68</v>
      </c>
      <c r="I40" s="19">
        <f t="shared" si="1"/>
        <v>4</v>
      </c>
      <c r="J40" s="19">
        <f t="shared" si="2"/>
        <v>1</v>
      </c>
    </row>
    <row r="41" ht="22.5" customHeight="1">
      <c r="A41" s="16">
        <v>5.0</v>
      </c>
      <c r="B41" s="16">
        <v>20.0</v>
      </c>
      <c r="C41" s="16">
        <v>5.0</v>
      </c>
      <c r="D41" s="16">
        <v>-0.8</v>
      </c>
      <c r="E41" s="16">
        <v>0.4</v>
      </c>
      <c r="F41" s="16">
        <v>0.0</v>
      </c>
      <c r="G41" s="18">
        <v>0.2</v>
      </c>
      <c r="H41" s="16" t="s">
        <v>71</v>
      </c>
      <c r="I41" s="19">
        <f t="shared" si="1"/>
        <v>-4</v>
      </c>
      <c r="J41" s="19">
        <f t="shared" si="2"/>
        <v>2</v>
      </c>
    </row>
    <row r="42" ht="22.5" customHeight="1">
      <c r="A42" s="16">
        <v>1.0</v>
      </c>
      <c r="B42" s="16">
        <v>4.0</v>
      </c>
      <c r="C42" s="16">
        <v>0.0</v>
      </c>
      <c r="D42" s="16">
        <v>0.0</v>
      </c>
      <c r="E42" s="16">
        <v>0.0</v>
      </c>
      <c r="F42" s="16">
        <v>0.0</v>
      </c>
      <c r="G42" s="18">
        <v>0.0</v>
      </c>
      <c r="H42" s="16" t="s">
        <v>73</v>
      </c>
      <c r="I42" s="19">
        <f t="shared" si="1"/>
        <v>0</v>
      </c>
      <c r="J42" s="19">
        <f t="shared" si="2"/>
        <v>0</v>
      </c>
    </row>
    <row r="43" ht="22.5" customHeight="1">
      <c r="A43" s="16">
        <v>2.0</v>
      </c>
      <c r="B43" s="16">
        <v>8.0</v>
      </c>
      <c r="C43" s="16">
        <v>2.0</v>
      </c>
      <c r="D43" s="16">
        <v>4.0</v>
      </c>
      <c r="E43" s="16">
        <v>0.0</v>
      </c>
      <c r="F43" s="16">
        <v>0.0</v>
      </c>
      <c r="G43" s="18">
        <v>1.0</v>
      </c>
      <c r="H43" s="16" t="s">
        <v>73</v>
      </c>
      <c r="I43" s="19">
        <f t="shared" si="1"/>
        <v>8</v>
      </c>
      <c r="J43" s="19">
        <f t="shared" si="2"/>
        <v>0</v>
      </c>
    </row>
    <row r="44" ht="22.5" customHeight="1">
      <c r="A44" s="16">
        <v>1.0</v>
      </c>
      <c r="B44" s="16">
        <v>4.0</v>
      </c>
      <c r="C44" s="16">
        <v>0.0</v>
      </c>
      <c r="D44" s="16">
        <v>0.0</v>
      </c>
      <c r="E44" s="16">
        <v>0.0</v>
      </c>
      <c r="F44" s="16">
        <v>0.0</v>
      </c>
      <c r="G44" s="18">
        <v>0.0</v>
      </c>
      <c r="H44" s="16" t="s">
        <v>75</v>
      </c>
      <c r="I44" s="19">
        <f t="shared" si="1"/>
        <v>0</v>
      </c>
      <c r="J44" s="19">
        <f t="shared" si="2"/>
        <v>0</v>
      </c>
    </row>
    <row r="45" ht="22.5" customHeight="1">
      <c r="A45" s="16">
        <v>4.0</v>
      </c>
      <c r="B45" s="16">
        <v>16.0</v>
      </c>
      <c r="C45" s="16">
        <v>4.0</v>
      </c>
      <c r="D45" s="16">
        <v>2.0</v>
      </c>
      <c r="E45" s="16">
        <v>0.0</v>
      </c>
      <c r="F45" s="16">
        <v>0.0</v>
      </c>
      <c r="G45" s="18">
        <v>0.5</v>
      </c>
      <c r="H45" s="16" t="s">
        <v>75</v>
      </c>
      <c r="I45" s="19">
        <f t="shared" si="1"/>
        <v>8</v>
      </c>
      <c r="J45" s="19">
        <f t="shared" si="2"/>
        <v>0</v>
      </c>
    </row>
    <row r="46" ht="22.5" customHeight="1">
      <c r="A46" s="16">
        <v>1.0</v>
      </c>
      <c r="B46" s="16">
        <v>4.0</v>
      </c>
      <c r="C46" s="16">
        <v>0.0</v>
      </c>
      <c r="D46" s="16">
        <v>0.0</v>
      </c>
      <c r="E46" s="16">
        <v>0.0</v>
      </c>
      <c r="F46" s="16">
        <v>0.0</v>
      </c>
      <c r="G46" s="18">
        <v>0.0</v>
      </c>
      <c r="H46" s="16" t="s">
        <v>79</v>
      </c>
      <c r="I46" s="19">
        <f t="shared" si="1"/>
        <v>0</v>
      </c>
      <c r="J46" s="19">
        <f t="shared" si="2"/>
        <v>0</v>
      </c>
    </row>
    <row r="47" ht="22.5" customHeight="1">
      <c r="A47" s="16">
        <v>2.0</v>
      </c>
      <c r="B47" s="16">
        <v>8.0</v>
      </c>
      <c r="C47" s="16">
        <v>0.0</v>
      </c>
      <c r="D47" s="16">
        <v>0.0</v>
      </c>
      <c r="E47" s="16">
        <v>0.0</v>
      </c>
      <c r="F47" s="16">
        <v>0.0</v>
      </c>
      <c r="G47" s="18">
        <v>0.0</v>
      </c>
      <c r="H47" s="16" t="s">
        <v>79</v>
      </c>
      <c r="I47" s="19">
        <f t="shared" si="1"/>
        <v>0</v>
      </c>
      <c r="J47" s="19">
        <f t="shared" si="2"/>
        <v>0</v>
      </c>
    </row>
    <row r="48" ht="22.5" customHeight="1">
      <c r="A48" s="16">
        <v>1.0</v>
      </c>
      <c r="B48" s="16">
        <v>4.0</v>
      </c>
      <c r="C48" s="16">
        <v>1.0</v>
      </c>
      <c r="D48" s="16">
        <v>-4.0</v>
      </c>
      <c r="E48" s="16">
        <v>1.0</v>
      </c>
      <c r="F48" s="16">
        <v>0.0</v>
      </c>
      <c r="G48" s="18">
        <v>0.0</v>
      </c>
      <c r="H48" s="16" t="s">
        <v>79</v>
      </c>
      <c r="I48" s="19">
        <f t="shared" si="1"/>
        <v>-4</v>
      </c>
      <c r="J48" s="19">
        <f t="shared" si="2"/>
        <v>1</v>
      </c>
    </row>
    <row r="49" ht="22.5" customHeight="1">
      <c r="A49" s="16">
        <v>1.0</v>
      </c>
      <c r="B49" s="16">
        <v>4.0</v>
      </c>
      <c r="C49" s="16">
        <v>0.0</v>
      </c>
      <c r="D49" s="16">
        <v>0.0</v>
      </c>
      <c r="E49" s="16">
        <v>0.0</v>
      </c>
      <c r="F49" s="16">
        <v>0.0</v>
      </c>
      <c r="G49" s="18">
        <v>0.0</v>
      </c>
      <c r="H49" s="16" t="s">
        <v>79</v>
      </c>
      <c r="I49" s="19">
        <f t="shared" si="1"/>
        <v>0</v>
      </c>
      <c r="J49" s="19">
        <f t="shared" si="2"/>
        <v>0</v>
      </c>
    </row>
    <row r="50" ht="22.5" customHeight="1">
      <c r="A50" s="16">
        <v>1.0</v>
      </c>
      <c r="B50" s="16">
        <v>4.0</v>
      </c>
      <c r="C50" s="16">
        <v>0.0</v>
      </c>
      <c r="D50" s="16">
        <v>0.0</v>
      </c>
      <c r="E50" s="16">
        <v>0.0</v>
      </c>
      <c r="F50" s="16">
        <v>0.0</v>
      </c>
      <c r="G50" s="18">
        <v>0.0</v>
      </c>
      <c r="H50" s="16" t="s">
        <v>85</v>
      </c>
      <c r="I50" s="19">
        <f t="shared" si="1"/>
        <v>0</v>
      </c>
      <c r="J50" s="19">
        <f t="shared" si="2"/>
        <v>0</v>
      </c>
    </row>
    <row r="51" ht="22.5" customHeight="1">
      <c r="A51" s="16">
        <v>1.0</v>
      </c>
      <c r="B51" s="16">
        <v>4.0</v>
      </c>
      <c r="C51" s="16">
        <v>2.0</v>
      </c>
      <c r="D51" s="16">
        <v>4.0</v>
      </c>
      <c r="E51" s="16">
        <v>0.0</v>
      </c>
      <c r="F51" s="16">
        <v>0.0</v>
      </c>
      <c r="G51" s="18">
        <v>0.5</v>
      </c>
      <c r="H51" s="16" t="s">
        <v>88</v>
      </c>
      <c r="I51" s="19">
        <f t="shared" si="1"/>
        <v>4</v>
      </c>
      <c r="J51" s="19">
        <f t="shared" si="2"/>
        <v>0</v>
      </c>
    </row>
    <row r="52" ht="22.5" customHeight="1">
      <c r="A52" s="16">
        <v>2.0</v>
      </c>
      <c r="B52" s="16">
        <v>8.0</v>
      </c>
      <c r="C52" s="16">
        <v>0.0</v>
      </c>
      <c r="D52" s="16">
        <v>0.0</v>
      </c>
      <c r="E52" s="16">
        <v>0.0</v>
      </c>
      <c r="F52" s="16">
        <v>0.0</v>
      </c>
      <c r="G52" s="18">
        <v>0.0</v>
      </c>
      <c r="H52" s="16" t="s">
        <v>88</v>
      </c>
      <c r="I52" s="19">
        <f t="shared" si="1"/>
        <v>0</v>
      </c>
      <c r="J52" s="19">
        <f t="shared" si="2"/>
        <v>0</v>
      </c>
    </row>
    <row r="53" ht="22.5" customHeight="1">
      <c r="A53" s="16">
        <v>1.0</v>
      </c>
      <c r="B53" s="16">
        <v>4.0</v>
      </c>
      <c r="C53" s="16">
        <v>2.0</v>
      </c>
      <c r="D53" s="16">
        <v>8.0</v>
      </c>
      <c r="E53" s="16">
        <v>0.0</v>
      </c>
      <c r="F53" s="16">
        <v>0.0</v>
      </c>
      <c r="G53" s="18">
        <v>1.0</v>
      </c>
      <c r="H53" s="16" t="s">
        <v>76</v>
      </c>
      <c r="I53" s="19">
        <f t="shared" si="1"/>
        <v>8</v>
      </c>
      <c r="J53" s="19">
        <f t="shared" si="2"/>
        <v>0</v>
      </c>
    </row>
    <row r="54" ht="22.5" customHeight="1">
      <c r="A54" s="16">
        <v>4.0</v>
      </c>
      <c r="B54" s="16">
        <v>14.0</v>
      </c>
      <c r="C54" s="16">
        <v>0.0</v>
      </c>
      <c r="D54" s="16">
        <v>0.0</v>
      </c>
      <c r="E54" s="16">
        <v>0.0</v>
      </c>
      <c r="F54" s="16">
        <v>0.0</v>
      </c>
      <c r="G54" s="18">
        <v>0.0</v>
      </c>
      <c r="H54" s="16" t="s">
        <v>92</v>
      </c>
      <c r="I54" s="19">
        <f t="shared" si="1"/>
        <v>0</v>
      </c>
      <c r="J54" s="19">
        <f t="shared" si="2"/>
        <v>0</v>
      </c>
    </row>
    <row r="55" ht="22.5" customHeight="1">
      <c r="A55" s="16">
        <v>3.0</v>
      </c>
      <c r="B55" s="16">
        <v>11.0</v>
      </c>
      <c r="C55" s="16">
        <v>0.0</v>
      </c>
      <c r="D55" s="16">
        <v>0.0</v>
      </c>
      <c r="E55" s="16">
        <v>0.0</v>
      </c>
      <c r="F55" s="16">
        <v>0.0</v>
      </c>
      <c r="G55" s="18">
        <v>0.0</v>
      </c>
      <c r="H55" s="16" t="s">
        <v>94</v>
      </c>
      <c r="I55" s="19">
        <f t="shared" si="1"/>
        <v>0</v>
      </c>
      <c r="J55" s="19">
        <f t="shared" si="2"/>
        <v>0</v>
      </c>
    </row>
    <row r="56" ht="22.5" customHeight="1">
      <c r="A56" s="16">
        <v>4.0</v>
      </c>
      <c r="B56" s="16">
        <v>14.0</v>
      </c>
      <c r="C56" s="16">
        <v>0.0</v>
      </c>
      <c r="D56" s="16">
        <v>0.0</v>
      </c>
      <c r="E56" s="16">
        <v>0.0</v>
      </c>
      <c r="F56" s="16">
        <v>0.0</v>
      </c>
      <c r="G56" s="18">
        <v>0.0</v>
      </c>
      <c r="H56" s="16" t="s">
        <v>96</v>
      </c>
      <c r="I56" s="19">
        <f t="shared" si="1"/>
        <v>0</v>
      </c>
      <c r="J56" s="19">
        <f t="shared" si="2"/>
        <v>0</v>
      </c>
    </row>
    <row r="57" ht="22.5" customHeight="1">
      <c r="A57" s="16">
        <v>1.0</v>
      </c>
      <c r="B57" s="16">
        <v>4.0</v>
      </c>
      <c r="C57" s="16">
        <v>0.0</v>
      </c>
      <c r="D57" s="16">
        <v>0.0</v>
      </c>
      <c r="E57" s="16">
        <v>0.0</v>
      </c>
      <c r="F57" s="16">
        <v>0.0</v>
      </c>
      <c r="G57" s="18">
        <v>0.0</v>
      </c>
      <c r="H57" s="16" t="s">
        <v>96</v>
      </c>
      <c r="I57" s="19">
        <f t="shared" si="1"/>
        <v>0</v>
      </c>
      <c r="J57" s="19">
        <f t="shared" si="2"/>
        <v>0</v>
      </c>
    </row>
    <row r="58" ht="22.5" customHeight="1">
      <c r="A58" s="16">
        <v>5.0</v>
      </c>
      <c r="B58" s="16">
        <v>18.0</v>
      </c>
      <c r="C58" s="16">
        <v>9.0</v>
      </c>
      <c r="D58" s="16">
        <v>5.6</v>
      </c>
      <c r="E58" s="16">
        <v>0.0</v>
      </c>
      <c r="F58" s="16">
        <v>0.0</v>
      </c>
      <c r="G58" s="20">
        <v>0.778</v>
      </c>
      <c r="H58" s="16" t="s">
        <v>90</v>
      </c>
      <c r="I58" s="19">
        <f t="shared" si="1"/>
        <v>28</v>
      </c>
      <c r="J58" s="19">
        <f t="shared" si="2"/>
        <v>0</v>
      </c>
    </row>
    <row r="59" ht="22.5" customHeight="1">
      <c r="A59" s="16">
        <v>4.0</v>
      </c>
      <c r="B59" s="16">
        <v>14.0</v>
      </c>
      <c r="C59" s="16">
        <v>5.0</v>
      </c>
      <c r="D59" s="16">
        <v>5.0</v>
      </c>
      <c r="E59" s="16">
        <v>0.0</v>
      </c>
      <c r="F59" s="16">
        <v>0.0</v>
      </c>
      <c r="G59" s="18">
        <v>1.0</v>
      </c>
      <c r="H59" s="16" t="s">
        <v>100</v>
      </c>
      <c r="I59" s="19">
        <f t="shared" si="1"/>
        <v>20</v>
      </c>
      <c r="J59" s="19">
        <f t="shared" si="2"/>
        <v>0</v>
      </c>
    </row>
    <row r="60" ht="22.5" customHeight="1">
      <c r="A60" s="16">
        <v>1.0</v>
      </c>
      <c r="B60" s="16">
        <v>4.0</v>
      </c>
      <c r="C60" s="16">
        <v>0.0</v>
      </c>
      <c r="D60" s="16">
        <v>0.0</v>
      </c>
      <c r="E60" s="16">
        <v>0.0</v>
      </c>
      <c r="F60" s="16">
        <v>0.0</v>
      </c>
      <c r="G60" s="18">
        <v>0.0</v>
      </c>
      <c r="H60" s="16" t="s">
        <v>102</v>
      </c>
      <c r="I60" s="19">
        <f t="shared" si="1"/>
        <v>0</v>
      </c>
      <c r="J60" s="19">
        <f t="shared" si="2"/>
        <v>0</v>
      </c>
    </row>
    <row r="61" ht="22.5" customHeight="1">
      <c r="A61" s="16">
        <v>1.0</v>
      </c>
      <c r="B61" s="16">
        <v>4.0</v>
      </c>
      <c r="C61" s="16">
        <v>0.0</v>
      </c>
      <c r="D61" s="16">
        <v>0.0</v>
      </c>
      <c r="E61" s="16">
        <v>0.0</v>
      </c>
      <c r="F61" s="16">
        <v>0.0</v>
      </c>
      <c r="G61" s="18">
        <v>0.0</v>
      </c>
      <c r="H61" s="16" t="s">
        <v>102</v>
      </c>
      <c r="I61" s="19">
        <f t="shared" si="1"/>
        <v>0</v>
      </c>
      <c r="J61" s="19">
        <f t="shared" si="2"/>
        <v>0</v>
      </c>
    </row>
    <row r="62" ht="22.5" customHeight="1">
      <c r="A62" s="16">
        <v>5.0</v>
      </c>
      <c r="B62" s="16">
        <v>20.0</v>
      </c>
      <c r="C62" s="16">
        <v>9.0</v>
      </c>
      <c r="D62" s="16">
        <v>6.4</v>
      </c>
      <c r="E62" s="16">
        <v>0.0</v>
      </c>
      <c r="F62" s="16">
        <v>0.0</v>
      </c>
      <c r="G62" s="20">
        <v>0.889</v>
      </c>
      <c r="H62" s="16" t="s">
        <v>66</v>
      </c>
      <c r="I62" s="19">
        <f t="shared" si="1"/>
        <v>32</v>
      </c>
      <c r="J62" s="19">
        <f t="shared" si="2"/>
        <v>0</v>
      </c>
    </row>
    <row r="63" ht="22.5" customHeight="1">
      <c r="A63" s="16">
        <v>2.0</v>
      </c>
      <c r="B63" s="16">
        <v>8.0</v>
      </c>
      <c r="C63" s="16">
        <v>0.0</v>
      </c>
      <c r="D63" s="16">
        <v>0.0</v>
      </c>
      <c r="E63" s="16">
        <v>0.0</v>
      </c>
      <c r="F63" s="16">
        <v>0.0</v>
      </c>
      <c r="G63" s="18">
        <v>0.0</v>
      </c>
      <c r="H63" s="16" t="s">
        <v>108</v>
      </c>
      <c r="I63" s="19">
        <f t="shared" si="1"/>
        <v>0</v>
      </c>
      <c r="J63" s="19">
        <f t="shared" si="2"/>
        <v>0</v>
      </c>
    </row>
    <row r="64" ht="22.5" customHeight="1">
      <c r="A64" s="16">
        <v>2.0</v>
      </c>
      <c r="B64" s="16">
        <v>8.0</v>
      </c>
      <c r="C64" s="16">
        <v>0.0</v>
      </c>
      <c r="D64" s="16">
        <v>0.0</v>
      </c>
      <c r="E64" s="16">
        <v>0.0</v>
      </c>
      <c r="F64" s="16">
        <v>0.0</v>
      </c>
      <c r="G64" s="18">
        <v>0.0</v>
      </c>
      <c r="H64" s="16" t="s">
        <v>109</v>
      </c>
      <c r="I64" s="19">
        <f t="shared" si="1"/>
        <v>0</v>
      </c>
      <c r="J64" s="19">
        <f t="shared" si="2"/>
        <v>0</v>
      </c>
    </row>
    <row r="65" ht="22.5" customHeight="1">
      <c r="A65" s="16">
        <v>1.0</v>
      </c>
      <c r="B65" s="16">
        <v>4.0</v>
      </c>
      <c r="C65" s="16">
        <v>1.0</v>
      </c>
      <c r="D65" s="16">
        <v>4.0</v>
      </c>
      <c r="E65" s="16">
        <v>0.0</v>
      </c>
      <c r="F65" s="16">
        <v>0.0</v>
      </c>
      <c r="G65" s="18">
        <v>1.0</v>
      </c>
      <c r="H65" s="16" t="s">
        <v>110</v>
      </c>
      <c r="I65" s="19">
        <f t="shared" si="1"/>
        <v>4</v>
      </c>
      <c r="J65" s="19">
        <f t="shared" si="2"/>
        <v>0</v>
      </c>
    </row>
    <row r="66" ht="22.5" customHeight="1">
      <c r="A66" s="16">
        <v>2.0</v>
      </c>
      <c r="B66" s="16">
        <v>8.0</v>
      </c>
      <c r="C66" s="16">
        <v>1.0</v>
      </c>
      <c r="D66" s="16">
        <v>0.0</v>
      </c>
      <c r="E66" s="16">
        <v>0.0</v>
      </c>
      <c r="F66" s="16">
        <v>0.0</v>
      </c>
      <c r="G66" s="18">
        <v>0.0</v>
      </c>
      <c r="H66" s="16" t="s">
        <v>111</v>
      </c>
      <c r="I66" s="19">
        <f t="shared" si="1"/>
        <v>0</v>
      </c>
      <c r="J66" s="19">
        <f t="shared" si="2"/>
        <v>0</v>
      </c>
    </row>
    <row r="67" ht="22.5" customHeight="1">
      <c r="A67" s="16">
        <v>1.0</v>
      </c>
      <c r="B67" s="16">
        <v>4.0</v>
      </c>
      <c r="C67" s="16">
        <v>0.0</v>
      </c>
      <c r="D67" s="16">
        <v>0.0</v>
      </c>
      <c r="E67" s="16">
        <v>0.0</v>
      </c>
      <c r="F67" s="16">
        <v>0.0</v>
      </c>
      <c r="G67" s="18">
        <v>0.0</v>
      </c>
      <c r="H67" s="16" t="s">
        <v>111</v>
      </c>
      <c r="I67" s="19">
        <f t="shared" si="1"/>
        <v>0</v>
      </c>
      <c r="J67" s="19">
        <f t="shared" si="2"/>
        <v>0</v>
      </c>
    </row>
    <row r="68" ht="22.5" customHeight="1">
      <c r="A68" s="16">
        <v>2.0</v>
      </c>
      <c r="B68" s="16">
        <v>8.0</v>
      </c>
      <c r="C68" s="16">
        <v>0.0</v>
      </c>
      <c r="D68" s="16">
        <v>0.0</v>
      </c>
      <c r="E68" s="16">
        <v>0.0</v>
      </c>
      <c r="F68" s="16">
        <v>0.0</v>
      </c>
      <c r="G68" s="18">
        <v>0.0</v>
      </c>
      <c r="H68" s="16" t="s">
        <v>111</v>
      </c>
      <c r="I68" s="19">
        <f t="shared" si="1"/>
        <v>0</v>
      </c>
      <c r="J68" s="19">
        <f t="shared" si="2"/>
        <v>0</v>
      </c>
    </row>
    <row r="69" ht="22.5" customHeight="1">
      <c r="A69" s="16">
        <v>3.0</v>
      </c>
      <c r="B69" s="16">
        <v>12.0</v>
      </c>
      <c r="C69" s="16">
        <v>5.0</v>
      </c>
      <c r="D69" s="16">
        <v>4.0</v>
      </c>
      <c r="E69" s="16">
        <v>0.0</v>
      </c>
      <c r="F69" s="16">
        <v>0.0</v>
      </c>
      <c r="G69" s="18">
        <v>0.6</v>
      </c>
      <c r="H69" s="16" t="s">
        <v>115</v>
      </c>
      <c r="I69" s="19">
        <f t="shared" si="1"/>
        <v>12</v>
      </c>
      <c r="J69" s="19">
        <f t="shared" si="2"/>
        <v>0</v>
      </c>
    </row>
    <row r="70" ht="22.5" customHeight="1">
      <c r="A70" s="16">
        <v>2.0</v>
      </c>
      <c r="B70" s="16">
        <v>8.0</v>
      </c>
      <c r="C70" s="16">
        <v>4.0</v>
      </c>
      <c r="D70" s="16">
        <v>0.0</v>
      </c>
      <c r="E70" s="16">
        <v>0.0</v>
      </c>
      <c r="F70" s="16">
        <v>0.0</v>
      </c>
      <c r="G70" s="18">
        <v>0.0</v>
      </c>
      <c r="H70" s="16" t="s">
        <v>115</v>
      </c>
      <c r="I70" s="19">
        <f t="shared" si="1"/>
        <v>0</v>
      </c>
      <c r="J70" s="19">
        <f t="shared" si="2"/>
        <v>0</v>
      </c>
    </row>
    <row r="71" ht="22.5" customHeight="1">
      <c r="A71" s="16">
        <v>2.0</v>
      </c>
      <c r="B71" s="16">
        <v>8.0</v>
      </c>
      <c r="C71" s="16">
        <v>0.0</v>
      </c>
      <c r="D71" s="16">
        <v>0.0</v>
      </c>
      <c r="E71" s="16">
        <v>0.0</v>
      </c>
      <c r="F71" s="16">
        <v>0.0</v>
      </c>
      <c r="G71" s="18">
        <v>0.0</v>
      </c>
      <c r="H71" s="16" t="s">
        <v>117</v>
      </c>
      <c r="I71" s="19">
        <f t="shared" si="1"/>
        <v>0</v>
      </c>
      <c r="J71" s="19">
        <f t="shared" si="2"/>
        <v>0</v>
      </c>
    </row>
    <row r="72" ht="22.5" customHeight="1">
      <c r="A72" s="16">
        <v>1.0</v>
      </c>
      <c r="B72" s="16">
        <v>4.0</v>
      </c>
      <c r="C72" s="16">
        <v>0.0</v>
      </c>
      <c r="D72" s="16">
        <v>0.0</v>
      </c>
      <c r="E72" s="16">
        <v>0.0</v>
      </c>
      <c r="F72" s="16">
        <v>0.0</v>
      </c>
      <c r="G72" s="18">
        <v>0.0</v>
      </c>
      <c r="H72" s="16" t="s">
        <v>117</v>
      </c>
      <c r="I72" s="19">
        <f t="shared" si="1"/>
        <v>0</v>
      </c>
      <c r="J72" s="19">
        <f t="shared" si="2"/>
        <v>0</v>
      </c>
    </row>
    <row r="73" ht="22.5" customHeight="1">
      <c r="A73" s="16">
        <v>1.0</v>
      </c>
      <c r="B73" s="16">
        <v>4.0</v>
      </c>
      <c r="C73" s="16">
        <v>1.0</v>
      </c>
      <c r="D73" s="16">
        <v>-4.0</v>
      </c>
      <c r="E73" s="16">
        <v>1.0</v>
      </c>
      <c r="F73" s="16">
        <v>0.0</v>
      </c>
      <c r="G73" s="18">
        <v>0.0</v>
      </c>
      <c r="H73" s="16" t="s">
        <v>117</v>
      </c>
      <c r="I73" s="19">
        <f t="shared" si="1"/>
        <v>-4</v>
      </c>
      <c r="J73" s="19">
        <f t="shared" si="2"/>
        <v>1</v>
      </c>
    </row>
    <row r="74" ht="22.5" customHeight="1">
      <c r="A74" s="16">
        <v>1.0</v>
      </c>
      <c r="B74" s="16">
        <v>4.0</v>
      </c>
      <c r="C74" s="16">
        <v>0.0</v>
      </c>
      <c r="D74" s="16">
        <v>0.0</v>
      </c>
      <c r="E74" s="16">
        <v>0.0</v>
      </c>
      <c r="F74" s="16">
        <v>0.0</v>
      </c>
      <c r="G74" s="18">
        <v>0.0</v>
      </c>
      <c r="H74" s="16" t="s">
        <v>117</v>
      </c>
      <c r="I74" s="19">
        <f t="shared" si="1"/>
        <v>0</v>
      </c>
      <c r="J74" s="19">
        <f t="shared" si="2"/>
        <v>0</v>
      </c>
    </row>
    <row r="75" ht="22.5" customHeight="1">
      <c r="A75" s="16">
        <v>3.0</v>
      </c>
      <c r="B75" s="16">
        <v>12.0</v>
      </c>
      <c r="C75" s="16">
        <v>4.0</v>
      </c>
      <c r="D75" s="16">
        <v>5.33</v>
      </c>
      <c r="E75" s="16">
        <v>0.0</v>
      </c>
      <c r="F75" s="16">
        <v>0.0</v>
      </c>
      <c r="G75" s="18">
        <v>1.0</v>
      </c>
      <c r="H75" s="16" t="s">
        <v>123</v>
      </c>
      <c r="I75" s="19">
        <f t="shared" si="1"/>
        <v>16</v>
      </c>
      <c r="J75" s="19">
        <f t="shared" si="2"/>
        <v>0</v>
      </c>
    </row>
    <row r="76" ht="22.5" customHeight="1">
      <c r="A76" s="16">
        <v>5.0</v>
      </c>
      <c r="B76" s="16">
        <v>20.0</v>
      </c>
      <c r="C76" s="16">
        <v>0.0</v>
      </c>
      <c r="D76" s="16">
        <v>0.0</v>
      </c>
      <c r="E76" s="16">
        <v>0.0</v>
      </c>
      <c r="F76" s="16">
        <v>0.0</v>
      </c>
      <c r="G76" s="18">
        <v>0.0</v>
      </c>
      <c r="H76" s="16" t="s">
        <v>124</v>
      </c>
      <c r="I76" s="19">
        <f t="shared" si="1"/>
        <v>0</v>
      </c>
      <c r="J76" s="19">
        <f t="shared" si="2"/>
        <v>0</v>
      </c>
    </row>
    <row r="77" ht="22.5" customHeight="1">
      <c r="A77" s="16">
        <v>5.0</v>
      </c>
      <c r="B77" s="16">
        <v>20.0</v>
      </c>
      <c r="C77" s="16">
        <v>5.0</v>
      </c>
      <c r="D77" s="16">
        <v>4.0</v>
      </c>
      <c r="E77" s="16">
        <v>0.0</v>
      </c>
      <c r="F77" s="16">
        <v>0.0</v>
      </c>
      <c r="G77" s="18">
        <v>1.0</v>
      </c>
      <c r="H77" s="16" t="s">
        <v>127</v>
      </c>
      <c r="I77" s="19">
        <f t="shared" si="1"/>
        <v>20</v>
      </c>
      <c r="J77" s="19">
        <f t="shared" si="2"/>
        <v>0</v>
      </c>
    </row>
    <row r="78" ht="22.5" customHeight="1">
      <c r="A78" s="16">
        <v>5.0</v>
      </c>
      <c r="B78" s="16">
        <v>20.0</v>
      </c>
      <c r="C78" s="16">
        <v>1.0</v>
      </c>
      <c r="D78" s="16">
        <v>0.8</v>
      </c>
      <c r="E78" s="16">
        <v>0.0</v>
      </c>
      <c r="F78" s="16">
        <v>0.0</v>
      </c>
      <c r="G78" s="18">
        <v>1.0</v>
      </c>
      <c r="H78" s="16" t="s">
        <v>128</v>
      </c>
      <c r="I78" s="19">
        <f t="shared" si="1"/>
        <v>4</v>
      </c>
      <c r="J78" s="19">
        <f t="shared" si="2"/>
        <v>0</v>
      </c>
    </row>
    <row r="79" ht="22.5" customHeight="1">
      <c r="A79" s="16">
        <v>4.0</v>
      </c>
      <c r="B79" s="16">
        <v>16.0</v>
      </c>
      <c r="C79" s="16">
        <v>6.0</v>
      </c>
      <c r="D79" s="16">
        <v>3.0</v>
      </c>
      <c r="E79" s="16">
        <v>0.25</v>
      </c>
      <c r="F79" s="16">
        <v>0.0</v>
      </c>
      <c r="G79" s="20">
        <v>0.667</v>
      </c>
      <c r="H79" s="16" t="s">
        <v>130</v>
      </c>
      <c r="I79" s="19">
        <f t="shared" si="1"/>
        <v>12</v>
      </c>
      <c r="J79" s="19">
        <f t="shared" si="2"/>
        <v>1</v>
      </c>
    </row>
    <row r="80" ht="22.5" customHeight="1">
      <c r="A80" s="16">
        <v>1.0</v>
      </c>
      <c r="B80" s="16">
        <v>4.0</v>
      </c>
      <c r="C80" s="16">
        <v>0.0</v>
      </c>
      <c r="D80" s="16">
        <v>0.0</v>
      </c>
      <c r="E80" s="16">
        <v>0.0</v>
      </c>
      <c r="F80" s="16">
        <v>0.0</v>
      </c>
      <c r="G80" s="18">
        <v>0.0</v>
      </c>
      <c r="H80" s="16" t="s">
        <v>132</v>
      </c>
      <c r="I80" s="19">
        <f t="shared" si="1"/>
        <v>0</v>
      </c>
      <c r="J80" s="19">
        <f t="shared" si="2"/>
        <v>0</v>
      </c>
    </row>
    <row r="81" ht="22.5" customHeight="1">
      <c r="A81" s="16">
        <v>3.0</v>
      </c>
      <c r="B81" s="16">
        <v>11.0</v>
      </c>
      <c r="C81" s="16">
        <v>0.0</v>
      </c>
      <c r="D81" s="16">
        <v>0.0</v>
      </c>
      <c r="E81" s="16">
        <v>0.0</v>
      </c>
      <c r="F81" s="16">
        <v>0.0</v>
      </c>
      <c r="G81" s="18">
        <v>0.0</v>
      </c>
      <c r="H81" s="16" t="s">
        <v>132</v>
      </c>
      <c r="I81" s="19">
        <f t="shared" si="1"/>
        <v>0</v>
      </c>
      <c r="J81" s="19">
        <f t="shared" si="2"/>
        <v>0</v>
      </c>
    </row>
    <row r="82" ht="22.5" customHeight="1">
      <c r="A82" s="16">
        <v>1.0</v>
      </c>
      <c r="B82" s="16">
        <v>4.0</v>
      </c>
      <c r="C82" s="16">
        <v>3.0</v>
      </c>
      <c r="D82" s="16">
        <v>12.0</v>
      </c>
      <c r="E82" s="16">
        <v>0.0</v>
      </c>
      <c r="F82" s="16">
        <v>0.0</v>
      </c>
      <c r="G82" s="18">
        <v>1.0</v>
      </c>
      <c r="H82" s="16" t="s">
        <v>77</v>
      </c>
      <c r="I82" s="19">
        <f t="shared" si="1"/>
        <v>12</v>
      </c>
      <c r="J82" s="19">
        <f t="shared" si="2"/>
        <v>0</v>
      </c>
    </row>
    <row r="83" ht="22.5" customHeight="1">
      <c r="A83" s="16">
        <v>3.0</v>
      </c>
      <c r="B83" s="16">
        <v>11.0</v>
      </c>
      <c r="C83" s="16">
        <v>9.0</v>
      </c>
      <c r="D83" s="16">
        <v>0.0</v>
      </c>
      <c r="E83" s="16">
        <v>1.33</v>
      </c>
      <c r="F83" s="16">
        <v>0.0</v>
      </c>
      <c r="G83" s="20">
        <v>0.444</v>
      </c>
      <c r="H83" s="16" t="s">
        <v>77</v>
      </c>
      <c r="I83" s="19">
        <f t="shared" si="1"/>
        <v>0</v>
      </c>
      <c r="J83" s="19">
        <f t="shared" si="2"/>
        <v>4</v>
      </c>
    </row>
    <row r="84" ht="22.5" customHeight="1">
      <c r="A84" s="16">
        <v>1.0</v>
      </c>
      <c r="B84" s="16">
        <v>4.0</v>
      </c>
      <c r="C84" s="16">
        <v>1.0</v>
      </c>
      <c r="D84" s="16">
        <v>0.0</v>
      </c>
      <c r="E84" s="16">
        <v>0.0</v>
      </c>
      <c r="F84" s="16">
        <v>0.0</v>
      </c>
      <c r="G84" s="18">
        <v>0.0</v>
      </c>
      <c r="H84" s="16" t="s">
        <v>137</v>
      </c>
      <c r="I84" s="19">
        <f t="shared" si="1"/>
        <v>0</v>
      </c>
      <c r="J84" s="19">
        <f t="shared" si="2"/>
        <v>0</v>
      </c>
    </row>
    <row r="85" ht="22.5" customHeight="1">
      <c r="A85" s="16">
        <v>1.0</v>
      </c>
      <c r="B85" s="16">
        <v>3.0</v>
      </c>
      <c r="C85" s="16">
        <v>1.0</v>
      </c>
      <c r="D85" s="16">
        <v>0.0</v>
      </c>
      <c r="E85" s="16">
        <v>0.0</v>
      </c>
      <c r="F85" s="16">
        <v>0.0</v>
      </c>
      <c r="G85" s="18">
        <v>0.0</v>
      </c>
      <c r="H85" s="16" t="s">
        <v>137</v>
      </c>
      <c r="I85" s="19">
        <f t="shared" si="1"/>
        <v>0</v>
      </c>
      <c r="J85" s="19">
        <f t="shared" si="2"/>
        <v>0</v>
      </c>
    </row>
    <row r="86" ht="22.5" customHeight="1">
      <c r="A86" s="16">
        <v>5.0</v>
      </c>
      <c r="B86" s="16">
        <v>20.0</v>
      </c>
      <c r="C86" s="16">
        <v>3.0</v>
      </c>
      <c r="D86" s="16">
        <v>-0.8</v>
      </c>
      <c r="E86" s="16">
        <v>0.4</v>
      </c>
      <c r="F86" s="16">
        <v>0.0</v>
      </c>
      <c r="G86" s="20">
        <v>0.333</v>
      </c>
      <c r="H86" s="16" t="s">
        <v>139</v>
      </c>
      <c r="I86" s="19">
        <f t="shared" si="1"/>
        <v>-4</v>
      </c>
      <c r="J86" s="19">
        <f t="shared" si="2"/>
        <v>2</v>
      </c>
    </row>
    <row r="87" ht="22.5" customHeight="1">
      <c r="A87" s="16">
        <v>1.0</v>
      </c>
      <c r="B87" s="16">
        <v>4.0</v>
      </c>
      <c r="C87" s="16">
        <v>0.0</v>
      </c>
      <c r="D87" s="16">
        <v>0.0</v>
      </c>
      <c r="E87" s="16">
        <v>0.0</v>
      </c>
      <c r="F87" s="16">
        <v>0.0</v>
      </c>
      <c r="G87" s="18">
        <v>0.0</v>
      </c>
      <c r="H87" s="16" t="s">
        <v>142</v>
      </c>
      <c r="I87" s="19">
        <f t="shared" si="1"/>
        <v>0</v>
      </c>
      <c r="J87" s="19">
        <f t="shared" si="2"/>
        <v>0</v>
      </c>
    </row>
    <row r="88" ht="22.5" customHeight="1">
      <c r="A88" s="16">
        <v>5.0</v>
      </c>
      <c r="B88" s="16">
        <v>20.0</v>
      </c>
      <c r="C88" s="16">
        <v>2.0</v>
      </c>
      <c r="D88" s="16">
        <v>0.0</v>
      </c>
      <c r="E88" s="16">
        <v>0.2</v>
      </c>
      <c r="F88" s="16">
        <v>0.0</v>
      </c>
      <c r="G88" s="18">
        <v>0.5</v>
      </c>
      <c r="H88" s="16" t="s">
        <v>144</v>
      </c>
      <c r="I88" s="19">
        <f t="shared" si="1"/>
        <v>0</v>
      </c>
      <c r="J88" s="19">
        <f t="shared" si="2"/>
        <v>1</v>
      </c>
    </row>
    <row r="89" ht="22.5" customHeight="1">
      <c r="A89" s="16">
        <v>4.0</v>
      </c>
      <c r="B89" s="16">
        <v>16.0</v>
      </c>
      <c r="C89" s="16">
        <v>0.0</v>
      </c>
      <c r="D89" s="16">
        <v>0.0</v>
      </c>
      <c r="E89" s="16">
        <v>0.0</v>
      </c>
      <c r="F89" s="16">
        <v>0.0</v>
      </c>
      <c r="G89" s="18">
        <v>0.0</v>
      </c>
      <c r="H89" s="16" t="s">
        <v>147</v>
      </c>
      <c r="I89" s="19">
        <f t="shared" si="1"/>
        <v>0</v>
      </c>
      <c r="J89" s="19">
        <f t="shared" si="2"/>
        <v>0</v>
      </c>
    </row>
    <row r="90" ht="22.5" customHeight="1">
      <c r="A90" s="16">
        <v>1.0</v>
      </c>
      <c r="B90" s="16">
        <v>4.0</v>
      </c>
      <c r="C90" s="16">
        <v>0.0</v>
      </c>
      <c r="D90" s="16">
        <v>0.0</v>
      </c>
      <c r="E90" s="16">
        <v>0.0</v>
      </c>
      <c r="F90" s="16">
        <v>0.0</v>
      </c>
      <c r="G90" s="18">
        <v>0.0</v>
      </c>
      <c r="H90" s="16" t="s">
        <v>147</v>
      </c>
      <c r="I90" s="19">
        <f t="shared" si="1"/>
        <v>0</v>
      </c>
      <c r="J90" s="19">
        <f t="shared" si="2"/>
        <v>0</v>
      </c>
    </row>
    <row r="91" ht="22.5" customHeight="1">
      <c r="A91" s="16">
        <v>4.0</v>
      </c>
      <c r="B91" s="16">
        <v>16.0</v>
      </c>
      <c r="C91" s="16">
        <v>9.0</v>
      </c>
      <c r="D91" s="16">
        <v>8.0</v>
      </c>
      <c r="E91" s="16">
        <v>0.0</v>
      </c>
      <c r="F91" s="16">
        <v>0.0</v>
      </c>
      <c r="G91" s="20">
        <v>0.889</v>
      </c>
      <c r="H91" s="16" t="s">
        <v>125</v>
      </c>
      <c r="I91" s="19">
        <f t="shared" si="1"/>
        <v>32</v>
      </c>
      <c r="J91" s="19">
        <f t="shared" si="2"/>
        <v>0</v>
      </c>
    </row>
    <row r="92" ht="22.5" customHeight="1">
      <c r="A92" s="16">
        <v>1.0</v>
      </c>
      <c r="B92" s="16">
        <v>4.0</v>
      </c>
      <c r="C92" s="16">
        <v>2.0</v>
      </c>
      <c r="D92" s="16">
        <v>4.0</v>
      </c>
      <c r="E92" s="16">
        <v>0.0</v>
      </c>
      <c r="F92" s="16">
        <v>0.0</v>
      </c>
      <c r="G92" s="18">
        <v>0.5</v>
      </c>
      <c r="H92" s="16" t="s">
        <v>151</v>
      </c>
      <c r="I92" s="19">
        <f t="shared" si="1"/>
        <v>4</v>
      </c>
      <c r="J92" s="19">
        <f t="shared" si="2"/>
        <v>0</v>
      </c>
    </row>
    <row r="93" ht="22.5" customHeight="1">
      <c r="A93" s="16">
        <v>1.0</v>
      </c>
      <c r="B93" s="16">
        <v>4.0</v>
      </c>
      <c r="C93" s="16">
        <v>1.0</v>
      </c>
      <c r="D93" s="16">
        <v>4.0</v>
      </c>
      <c r="E93" s="16">
        <v>0.0</v>
      </c>
      <c r="F93" s="16">
        <v>0.0</v>
      </c>
      <c r="G93" s="18">
        <v>1.0</v>
      </c>
      <c r="H93" s="16" t="s">
        <v>152</v>
      </c>
      <c r="I93" s="19">
        <f t="shared" si="1"/>
        <v>4</v>
      </c>
      <c r="J93" s="19">
        <f t="shared" si="2"/>
        <v>0</v>
      </c>
    </row>
    <row r="94" ht="22.5" customHeight="1">
      <c r="A94" s="16">
        <v>3.0</v>
      </c>
      <c r="B94" s="16">
        <v>12.0</v>
      </c>
      <c r="C94" s="16">
        <v>0.0</v>
      </c>
      <c r="D94" s="16">
        <v>0.0</v>
      </c>
      <c r="E94" s="16">
        <v>0.0</v>
      </c>
      <c r="F94" s="16">
        <v>0.0</v>
      </c>
      <c r="G94" s="18">
        <v>0.0</v>
      </c>
      <c r="H94" s="16" t="s">
        <v>152</v>
      </c>
      <c r="I94" s="19">
        <f t="shared" si="1"/>
        <v>0</v>
      </c>
      <c r="J94" s="19">
        <f t="shared" si="2"/>
        <v>0</v>
      </c>
    </row>
    <row r="95" ht="22.5" customHeight="1">
      <c r="A95" s="16">
        <v>1.0</v>
      </c>
      <c r="B95" s="16">
        <v>4.0</v>
      </c>
      <c r="C95" s="16">
        <v>1.0</v>
      </c>
      <c r="D95" s="16">
        <v>0.0</v>
      </c>
      <c r="E95" s="16">
        <v>0.0</v>
      </c>
      <c r="F95" s="16">
        <v>0.0</v>
      </c>
      <c r="G95" s="18">
        <v>0.0</v>
      </c>
      <c r="H95" s="16" t="s">
        <v>156</v>
      </c>
      <c r="I95" s="19">
        <f t="shared" si="1"/>
        <v>0</v>
      </c>
      <c r="J95" s="19">
        <f t="shared" si="2"/>
        <v>0</v>
      </c>
    </row>
    <row r="96" ht="22.5" customHeight="1">
      <c r="A96" s="16">
        <v>2.0</v>
      </c>
      <c r="B96" s="16">
        <v>8.0</v>
      </c>
      <c r="C96" s="16">
        <v>0.0</v>
      </c>
      <c r="D96" s="16">
        <v>0.0</v>
      </c>
      <c r="E96" s="16">
        <v>0.0</v>
      </c>
      <c r="F96" s="16">
        <v>0.0</v>
      </c>
      <c r="G96" s="18">
        <v>0.0</v>
      </c>
      <c r="H96" s="16" t="s">
        <v>156</v>
      </c>
      <c r="I96" s="19">
        <f t="shared" si="1"/>
        <v>0</v>
      </c>
      <c r="J96" s="19">
        <f t="shared" si="2"/>
        <v>0</v>
      </c>
    </row>
    <row r="97" ht="22.5" customHeight="1">
      <c r="A97" s="16">
        <v>1.0</v>
      </c>
      <c r="B97" s="16">
        <v>4.0</v>
      </c>
      <c r="C97" s="16">
        <v>0.0</v>
      </c>
      <c r="D97" s="16">
        <v>0.0</v>
      </c>
      <c r="E97" s="16">
        <v>0.0</v>
      </c>
      <c r="F97" s="16">
        <v>0.0</v>
      </c>
      <c r="G97" s="18">
        <v>0.0</v>
      </c>
      <c r="H97" s="16" t="s">
        <v>145</v>
      </c>
      <c r="I97" s="19">
        <f t="shared" si="1"/>
        <v>0</v>
      </c>
      <c r="J97" s="19">
        <f t="shared" si="2"/>
        <v>0</v>
      </c>
    </row>
    <row r="98" ht="22.5" customHeight="1">
      <c r="A98" s="16">
        <v>4.0</v>
      </c>
      <c r="B98" s="16">
        <v>16.0</v>
      </c>
      <c r="C98" s="16">
        <v>10.0</v>
      </c>
      <c r="D98" s="16">
        <v>6.0</v>
      </c>
      <c r="E98" s="16">
        <v>0.5</v>
      </c>
      <c r="F98" s="16">
        <v>0.0</v>
      </c>
      <c r="G98" s="18">
        <v>0.8</v>
      </c>
      <c r="H98" s="16" t="s">
        <v>145</v>
      </c>
      <c r="I98" s="19">
        <f t="shared" si="1"/>
        <v>24</v>
      </c>
      <c r="J98" s="19">
        <f t="shared" si="2"/>
        <v>2</v>
      </c>
    </row>
    <row r="99" ht="22.5" customHeight="1">
      <c r="A99" s="16">
        <v>1.0</v>
      </c>
      <c r="B99" s="16">
        <v>4.0</v>
      </c>
      <c r="C99" s="16">
        <v>0.0</v>
      </c>
      <c r="D99" s="16">
        <v>0.0</v>
      </c>
      <c r="E99" s="16">
        <v>0.0</v>
      </c>
      <c r="F99" s="16">
        <v>0.0</v>
      </c>
      <c r="G99" s="18">
        <v>0.0</v>
      </c>
      <c r="H99" s="16" t="s">
        <v>160</v>
      </c>
      <c r="I99" s="19">
        <f t="shared" si="1"/>
        <v>0</v>
      </c>
      <c r="J99" s="19">
        <f t="shared" si="2"/>
        <v>0</v>
      </c>
    </row>
    <row r="100" ht="22.5" customHeight="1">
      <c r="A100" s="16">
        <v>2.0</v>
      </c>
      <c r="B100" s="16">
        <v>8.0</v>
      </c>
      <c r="C100" s="16">
        <v>0.0</v>
      </c>
      <c r="D100" s="16">
        <v>0.0</v>
      </c>
      <c r="E100" s="16">
        <v>0.0</v>
      </c>
      <c r="F100" s="16">
        <v>0.0</v>
      </c>
      <c r="G100" s="18">
        <v>0.0</v>
      </c>
      <c r="H100" s="16" t="s">
        <v>162</v>
      </c>
      <c r="I100" s="19">
        <f t="shared" si="1"/>
        <v>0</v>
      </c>
      <c r="J100" s="19">
        <f t="shared" si="2"/>
        <v>0</v>
      </c>
    </row>
    <row r="101" ht="22.5" customHeight="1">
      <c r="A101" s="16">
        <v>2.0</v>
      </c>
      <c r="B101" s="16">
        <v>8.0</v>
      </c>
      <c r="C101" s="16">
        <v>0.0</v>
      </c>
      <c r="D101" s="16">
        <v>0.0</v>
      </c>
      <c r="E101" s="16">
        <v>0.0</v>
      </c>
      <c r="F101" s="16">
        <v>0.0</v>
      </c>
      <c r="G101" s="18">
        <v>0.0</v>
      </c>
      <c r="H101" s="16" t="s">
        <v>162</v>
      </c>
      <c r="I101" s="19">
        <f t="shared" si="1"/>
        <v>0</v>
      </c>
      <c r="J101" s="19">
        <f t="shared" si="2"/>
        <v>0</v>
      </c>
    </row>
    <row r="102" ht="22.5" customHeight="1">
      <c r="A102" s="16">
        <v>5.0</v>
      </c>
      <c r="B102" s="16">
        <v>20.0</v>
      </c>
      <c r="C102" s="16">
        <v>10.0</v>
      </c>
      <c r="D102" s="16">
        <v>4.8</v>
      </c>
      <c r="E102" s="16">
        <v>0.2</v>
      </c>
      <c r="F102" s="16">
        <v>0.0</v>
      </c>
      <c r="G102" s="18">
        <v>0.7</v>
      </c>
      <c r="H102" s="16" t="s">
        <v>165</v>
      </c>
      <c r="I102" s="19">
        <f t="shared" si="1"/>
        <v>24</v>
      </c>
      <c r="J102" s="19">
        <f t="shared" si="2"/>
        <v>1</v>
      </c>
    </row>
    <row r="103" ht="22.5" customHeight="1">
      <c r="A103" s="16">
        <v>1.0</v>
      </c>
      <c r="B103" s="16">
        <v>4.0</v>
      </c>
      <c r="C103" s="16">
        <v>0.0</v>
      </c>
      <c r="D103" s="16">
        <v>0.0</v>
      </c>
      <c r="E103" s="16">
        <v>0.0</v>
      </c>
      <c r="F103" s="16">
        <v>0.0</v>
      </c>
      <c r="G103" s="18">
        <v>0.0</v>
      </c>
      <c r="H103" s="16" t="s">
        <v>167</v>
      </c>
      <c r="I103" s="19">
        <f t="shared" si="1"/>
        <v>0</v>
      </c>
      <c r="J103" s="19">
        <f t="shared" si="2"/>
        <v>0</v>
      </c>
    </row>
    <row r="104" ht="22.5" customHeight="1">
      <c r="A104" s="16">
        <v>5.0</v>
      </c>
      <c r="B104" s="16">
        <v>20.0</v>
      </c>
      <c r="C104" s="16">
        <v>0.0</v>
      </c>
      <c r="D104" s="16">
        <v>0.0</v>
      </c>
      <c r="E104" s="16">
        <v>0.0</v>
      </c>
      <c r="F104" s="16">
        <v>0.0</v>
      </c>
      <c r="G104" s="18">
        <v>0.0</v>
      </c>
      <c r="H104" s="16" t="s">
        <v>169</v>
      </c>
      <c r="I104" s="19">
        <f t="shared" si="1"/>
        <v>0</v>
      </c>
      <c r="J104" s="19">
        <f t="shared" si="2"/>
        <v>0</v>
      </c>
    </row>
    <row r="105" ht="22.5" customHeight="1">
      <c r="A105" s="16">
        <v>3.0</v>
      </c>
      <c r="B105" s="16">
        <v>12.0</v>
      </c>
      <c r="C105" s="16">
        <v>4.0</v>
      </c>
      <c r="D105" s="16">
        <v>5.33</v>
      </c>
      <c r="E105" s="16">
        <v>0.0</v>
      </c>
      <c r="F105" s="16">
        <v>0.0</v>
      </c>
      <c r="G105" s="18">
        <v>1.0</v>
      </c>
      <c r="H105" s="16" t="s">
        <v>171</v>
      </c>
      <c r="I105" s="19">
        <f t="shared" si="1"/>
        <v>16</v>
      </c>
      <c r="J105" s="19">
        <f t="shared" si="2"/>
        <v>0</v>
      </c>
    </row>
    <row r="106" ht="22.5" customHeight="1">
      <c r="A106" s="16">
        <v>4.0</v>
      </c>
      <c r="B106" s="16">
        <v>16.0</v>
      </c>
      <c r="C106" s="16">
        <v>0.0</v>
      </c>
      <c r="D106" s="16">
        <v>0.0</v>
      </c>
      <c r="E106" s="16">
        <v>0.0</v>
      </c>
      <c r="F106" s="16">
        <v>0.0</v>
      </c>
      <c r="G106" s="18">
        <v>0.0</v>
      </c>
      <c r="H106" s="16" t="s">
        <v>173</v>
      </c>
      <c r="I106" s="19">
        <f t="shared" si="1"/>
        <v>0</v>
      </c>
      <c r="J106" s="19">
        <f t="shared" si="2"/>
        <v>0</v>
      </c>
    </row>
    <row r="107" ht="22.5" customHeight="1">
      <c r="A107" s="16">
        <v>1.0</v>
      </c>
      <c r="B107" s="16">
        <v>4.0</v>
      </c>
      <c r="C107" s="16">
        <v>0.0</v>
      </c>
      <c r="D107" s="16">
        <v>0.0</v>
      </c>
      <c r="E107" s="16">
        <v>0.0</v>
      </c>
      <c r="F107" s="16">
        <v>0.0</v>
      </c>
      <c r="G107" s="18">
        <v>0.0</v>
      </c>
      <c r="H107" s="16" t="s">
        <v>173</v>
      </c>
      <c r="I107" s="19">
        <f t="shared" si="1"/>
        <v>0</v>
      </c>
      <c r="J107" s="19">
        <f t="shared" si="2"/>
        <v>0</v>
      </c>
    </row>
    <row r="108" ht="22.5" customHeight="1">
      <c r="A108" s="16">
        <v>1.0</v>
      </c>
      <c r="B108" s="16">
        <v>4.0</v>
      </c>
      <c r="C108" s="16">
        <v>0.0</v>
      </c>
      <c r="D108" s="16">
        <v>0.0</v>
      </c>
      <c r="E108" s="16">
        <v>0.0</v>
      </c>
      <c r="F108" s="16">
        <v>0.0</v>
      </c>
      <c r="G108" s="18">
        <v>0.0</v>
      </c>
      <c r="H108" s="16" t="s">
        <v>174</v>
      </c>
      <c r="I108" s="19">
        <f t="shared" si="1"/>
        <v>0</v>
      </c>
      <c r="J108" s="19">
        <f t="shared" si="2"/>
        <v>0</v>
      </c>
    </row>
    <row r="109" ht="22.5" customHeight="1">
      <c r="A109" s="16">
        <v>1.0</v>
      </c>
      <c r="B109" s="16">
        <v>4.0</v>
      </c>
      <c r="C109" s="16">
        <v>1.0</v>
      </c>
      <c r="D109" s="16">
        <v>0.0</v>
      </c>
      <c r="E109" s="16">
        <v>0.0</v>
      </c>
      <c r="F109" s="16">
        <v>0.0</v>
      </c>
      <c r="G109" s="18">
        <v>0.0</v>
      </c>
      <c r="H109" s="16" t="s">
        <v>176</v>
      </c>
      <c r="I109" s="19">
        <f t="shared" si="1"/>
        <v>0</v>
      </c>
      <c r="J109" s="19">
        <f t="shared" si="2"/>
        <v>0</v>
      </c>
    </row>
    <row r="110" ht="22.5" customHeight="1">
      <c r="A110" s="16">
        <v>4.0</v>
      </c>
      <c r="B110" s="16">
        <v>16.0</v>
      </c>
      <c r="C110" s="16">
        <v>14.0</v>
      </c>
      <c r="D110" s="16">
        <v>10.0</v>
      </c>
      <c r="E110" s="16">
        <v>0.5</v>
      </c>
      <c r="F110" s="16">
        <v>0.0</v>
      </c>
      <c r="G110" s="20">
        <v>0.857</v>
      </c>
      <c r="H110" s="16" t="s">
        <v>74</v>
      </c>
      <c r="I110" s="19">
        <f t="shared" si="1"/>
        <v>40</v>
      </c>
      <c r="J110" s="19">
        <f t="shared" si="2"/>
        <v>2</v>
      </c>
    </row>
    <row r="111" ht="22.5" customHeight="1">
      <c r="A111" s="16">
        <v>1.0</v>
      </c>
      <c r="B111" s="16">
        <v>4.0</v>
      </c>
      <c r="C111" s="16">
        <v>3.0</v>
      </c>
      <c r="D111" s="16">
        <v>8.0</v>
      </c>
      <c r="E111" s="16">
        <v>0.0</v>
      </c>
      <c r="F111" s="16">
        <v>0.0</v>
      </c>
      <c r="G111" s="20">
        <v>0.667</v>
      </c>
      <c r="H111" s="16" t="s">
        <v>74</v>
      </c>
      <c r="I111" s="19">
        <f t="shared" si="1"/>
        <v>8</v>
      </c>
      <c r="J111" s="19">
        <f t="shared" si="2"/>
        <v>0</v>
      </c>
    </row>
    <row r="112" ht="22.5" customHeight="1">
      <c r="A112" s="16">
        <v>1.0</v>
      </c>
      <c r="B112" s="16">
        <v>4.0</v>
      </c>
      <c r="C112" s="16">
        <v>0.0</v>
      </c>
      <c r="D112" s="16">
        <v>0.0</v>
      </c>
      <c r="E112" s="16">
        <v>0.0</v>
      </c>
      <c r="F112" s="16">
        <v>0.0</v>
      </c>
      <c r="G112" s="18">
        <v>0.0</v>
      </c>
      <c r="H112" s="16" t="s">
        <v>177</v>
      </c>
      <c r="I112" s="19">
        <f t="shared" si="1"/>
        <v>0</v>
      </c>
      <c r="J112" s="19">
        <f t="shared" si="2"/>
        <v>0</v>
      </c>
    </row>
    <row r="113" ht="22.5" customHeight="1">
      <c r="A113" s="16">
        <v>4.0</v>
      </c>
      <c r="B113" s="16">
        <v>16.0</v>
      </c>
      <c r="C113" s="16">
        <v>0.0</v>
      </c>
      <c r="D113" s="16">
        <v>0.0</v>
      </c>
      <c r="E113" s="16">
        <v>0.0</v>
      </c>
      <c r="F113" s="16">
        <v>0.0</v>
      </c>
      <c r="G113" s="18">
        <v>0.0</v>
      </c>
      <c r="H113" s="16" t="s">
        <v>178</v>
      </c>
      <c r="I113" s="19">
        <f t="shared" si="1"/>
        <v>0</v>
      </c>
      <c r="J113" s="19">
        <f t="shared" si="2"/>
        <v>0</v>
      </c>
    </row>
    <row r="114" ht="22.5" customHeight="1">
      <c r="A114" s="16">
        <v>1.0</v>
      </c>
      <c r="B114" s="16">
        <v>4.0</v>
      </c>
      <c r="C114" s="16">
        <v>0.0</v>
      </c>
      <c r="D114" s="16">
        <v>0.0</v>
      </c>
      <c r="E114" s="16">
        <v>0.0</v>
      </c>
      <c r="F114" s="16">
        <v>0.0</v>
      </c>
      <c r="G114" s="18">
        <v>0.0</v>
      </c>
      <c r="H114" s="16" t="s">
        <v>178</v>
      </c>
      <c r="I114" s="19">
        <f t="shared" si="1"/>
        <v>0</v>
      </c>
      <c r="J114" s="19">
        <f t="shared" si="2"/>
        <v>0</v>
      </c>
    </row>
    <row r="115" ht="22.5" customHeight="1">
      <c r="A115" s="16">
        <v>3.0</v>
      </c>
      <c r="B115" s="16">
        <v>12.0</v>
      </c>
      <c r="C115" s="16">
        <v>9.0</v>
      </c>
      <c r="D115" s="16">
        <v>9.33</v>
      </c>
      <c r="E115" s="16">
        <v>0.0</v>
      </c>
      <c r="F115" s="16">
        <v>0.0</v>
      </c>
      <c r="G115" s="20">
        <v>0.778</v>
      </c>
      <c r="H115" s="16" t="s">
        <v>150</v>
      </c>
      <c r="I115" s="19">
        <f t="shared" si="1"/>
        <v>28</v>
      </c>
      <c r="J115" s="19">
        <f t="shared" si="2"/>
        <v>0</v>
      </c>
    </row>
    <row r="116" ht="22.5" customHeight="1">
      <c r="A116" s="16">
        <v>1.0</v>
      </c>
      <c r="B116" s="16">
        <v>4.0</v>
      </c>
      <c r="C116" s="16">
        <v>1.0</v>
      </c>
      <c r="D116" s="16">
        <v>4.0</v>
      </c>
      <c r="E116" s="16">
        <v>0.0</v>
      </c>
      <c r="F116" s="16">
        <v>0.0</v>
      </c>
      <c r="G116" s="18">
        <v>1.0</v>
      </c>
      <c r="H116" s="16" t="s">
        <v>150</v>
      </c>
      <c r="I116" s="19">
        <f t="shared" si="1"/>
        <v>4</v>
      </c>
      <c r="J116" s="19">
        <f t="shared" si="2"/>
        <v>0</v>
      </c>
    </row>
    <row r="117" ht="22.5" customHeight="1">
      <c r="A117" s="16">
        <v>2.0</v>
      </c>
      <c r="B117" s="16">
        <v>8.0</v>
      </c>
      <c r="C117" s="16">
        <v>0.0</v>
      </c>
      <c r="D117" s="16">
        <v>0.0</v>
      </c>
      <c r="E117" s="16">
        <v>0.0</v>
      </c>
      <c r="F117" s="16">
        <v>0.0</v>
      </c>
      <c r="G117" s="18">
        <v>0.0</v>
      </c>
      <c r="H117" s="16" t="s">
        <v>179</v>
      </c>
      <c r="I117" s="19">
        <f t="shared" si="1"/>
        <v>0</v>
      </c>
      <c r="J117" s="19">
        <f t="shared" si="2"/>
        <v>0</v>
      </c>
    </row>
    <row r="118" ht="22.5" customHeight="1">
      <c r="A118" s="16">
        <v>1.0</v>
      </c>
      <c r="B118" s="16">
        <v>4.0</v>
      </c>
      <c r="C118" s="16">
        <v>0.0</v>
      </c>
      <c r="D118" s="16">
        <v>0.0</v>
      </c>
      <c r="E118" s="16">
        <v>0.0</v>
      </c>
      <c r="F118" s="16">
        <v>0.0</v>
      </c>
      <c r="G118" s="18">
        <v>0.0</v>
      </c>
      <c r="H118" s="16" t="s">
        <v>179</v>
      </c>
      <c r="I118" s="19">
        <f t="shared" si="1"/>
        <v>0</v>
      </c>
      <c r="J118" s="19">
        <f t="shared" si="2"/>
        <v>0</v>
      </c>
    </row>
    <row r="119" ht="22.5" customHeight="1">
      <c r="A119" s="16">
        <v>2.0</v>
      </c>
      <c r="B119" s="16">
        <v>8.0</v>
      </c>
      <c r="C119" s="16">
        <v>0.0</v>
      </c>
      <c r="D119" s="16">
        <v>0.0</v>
      </c>
      <c r="E119" s="16">
        <v>0.0</v>
      </c>
      <c r="F119" s="16">
        <v>0.0</v>
      </c>
      <c r="G119" s="18">
        <v>0.0</v>
      </c>
      <c r="H119" s="16" t="s">
        <v>181</v>
      </c>
      <c r="I119" s="19">
        <f t="shared" si="1"/>
        <v>0</v>
      </c>
      <c r="J119" s="19">
        <f t="shared" si="2"/>
        <v>0</v>
      </c>
    </row>
    <row r="120" ht="22.5" customHeight="1">
      <c r="A120" s="16">
        <v>4.0</v>
      </c>
      <c r="B120" s="16">
        <v>16.0</v>
      </c>
      <c r="C120" s="16">
        <v>1.0</v>
      </c>
      <c r="D120" s="16">
        <v>1.0</v>
      </c>
      <c r="E120" s="16">
        <v>0.0</v>
      </c>
      <c r="F120" s="16">
        <v>0.0</v>
      </c>
      <c r="G120" s="18">
        <v>1.0</v>
      </c>
      <c r="H120" s="16" t="s">
        <v>183</v>
      </c>
      <c r="I120" s="19">
        <f t="shared" si="1"/>
        <v>4</v>
      </c>
      <c r="J120" s="19">
        <f t="shared" si="2"/>
        <v>0</v>
      </c>
    </row>
    <row r="121" ht="22.5" customHeight="1">
      <c r="A121" s="16">
        <v>1.0</v>
      </c>
      <c r="B121" s="16">
        <v>4.0</v>
      </c>
      <c r="C121" s="16">
        <v>0.0</v>
      </c>
      <c r="D121" s="16">
        <v>0.0</v>
      </c>
      <c r="E121" s="16">
        <v>0.0</v>
      </c>
      <c r="F121" s="16">
        <v>0.0</v>
      </c>
      <c r="G121" s="18">
        <v>0.0</v>
      </c>
      <c r="H121" s="16" t="s">
        <v>183</v>
      </c>
      <c r="I121" s="19">
        <f t="shared" si="1"/>
        <v>0</v>
      </c>
      <c r="J121" s="19">
        <f t="shared" si="2"/>
        <v>0</v>
      </c>
    </row>
    <row r="122" ht="22.5" customHeight="1">
      <c r="A122" s="16">
        <v>1.0</v>
      </c>
      <c r="B122" s="16">
        <v>4.0</v>
      </c>
      <c r="C122" s="16">
        <v>2.0</v>
      </c>
      <c r="D122" s="16">
        <v>8.0</v>
      </c>
      <c r="E122" s="16">
        <v>0.0</v>
      </c>
      <c r="F122" s="16">
        <v>0.0</v>
      </c>
      <c r="G122" s="18">
        <v>1.0</v>
      </c>
      <c r="H122" s="16" t="s">
        <v>184</v>
      </c>
      <c r="I122" s="19">
        <f t="shared" si="1"/>
        <v>8</v>
      </c>
      <c r="J122" s="19">
        <f t="shared" si="2"/>
        <v>0</v>
      </c>
    </row>
    <row r="123" ht="22.5" customHeight="1">
      <c r="A123" s="16">
        <v>1.0</v>
      </c>
      <c r="B123" s="16">
        <v>0.0</v>
      </c>
      <c r="C123" s="16">
        <v>0.0</v>
      </c>
      <c r="D123" s="16">
        <v>0.0</v>
      </c>
      <c r="E123" s="16">
        <v>0.0</v>
      </c>
      <c r="F123" s="16">
        <v>0.0</v>
      </c>
      <c r="G123" s="18">
        <v>0.0</v>
      </c>
      <c r="H123" s="16" t="s">
        <v>184</v>
      </c>
      <c r="I123" s="19">
        <f t="shared" si="1"/>
        <v>0</v>
      </c>
      <c r="J123" s="19">
        <f t="shared" si="2"/>
        <v>0</v>
      </c>
    </row>
    <row r="124" ht="22.5" customHeight="1">
      <c r="A124" s="16">
        <v>3.0</v>
      </c>
      <c r="B124" s="16">
        <v>12.0</v>
      </c>
      <c r="C124" s="16">
        <v>3.0</v>
      </c>
      <c r="D124" s="16">
        <v>0.0</v>
      </c>
      <c r="E124" s="16">
        <v>0.0</v>
      </c>
      <c r="F124" s="16">
        <v>0.0</v>
      </c>
      <c r="G124" s="18">
        <v>0.0</v>
      </c>
      <c r="H124" s="16" t="s">
        <v>184</v>
      </c>
      <c r="I124" s="19">
        <f t="shared" si="1"/>
        <v>0</v>
      </c>
      <c r="J124" s="19">
        <f t="shared" si="2"/>
        <v>0</v>
      </c>
    </row>
    <row r="125" ht="22.5" customHeight="1">
      <c r="A125" s="16">
        <v>4.0</v>
      </c>
      <c r="B125" s="16">
        <v>16.0</v>
      </c>
      <c r="C125" s="16">
        <v>7.0</v>
      </c>
      <c r="D125" s="16">
        <v>2.0</v>
      </c>
      <c r="E125" s="16">
        <v>0.25</v>
      </c>
      <c r="F125" s="16">
        <v>0.0</v>
      </c>
      <c r="G125" s="20">
        <v>0.429</v>
      </c>
      <c r="H125" s="16" t="s">
        <v>161</v>
      </c>
      <c r="I125" s="19">
        <f t="shared" si="1"/>
        <v>8</v>
      </c>
      <c r="J125" s="19">
        <f t="shared" si="2"/>
        <v>1</v>
      </c>
    </row>
    <row r="126" ht="22.5" customHeight="1">
      <c r="A126" s="16">
        <v>1.0</v>
      </c>
      <c r="B126" s="16">
        <v>0.0</v>
      </c>
      <c r="C126" s="16">
        <v>0.0</v>
      </c>
      <c r="D126" s="16">
        <v>0.0</v>
      </c>
      <c r="E126" s="16">
        <v>0.0</v>
      </c>
      <c r="F126" s="16">
        <v>0.0</v>
      </c>
      <c r="G126" s="18">
        <v>0.0</v>
      </c>
      <c r="H126" s="16" t="s">
        <v>161</v>
      </c>
      <c r="I126" s="19">
        <f t="shared" si="1"/>
        <v>0</v>
      </c>
      <c r="J126" s="19">
        <f t="shared" si="2"/>
        <v>0</v>
      </c>
    </row>
    <row r="127" ht="22.5" customHeight="1">
      <c r="A127" s="16">
        <v>3.0</v>
      </c>
      <c r="B127" s="16">
        <v>12.0</v>
      </c>
      <c r="C127" s="16">
        <v>0.0</v>
      </c>
      <c r="D127" s="16">
        <v>0.0</v>
      </c>
      <c r="E127" s="16">
        <v>0.0</v>
      </c>
      <c r="F127" s="16">
        <v>0.0</v>
      </c>
      <c r="G127" s="18">
        <v>0.0</v>
      </c>
      <c r="H127" s="16" t="s">
        <v>187</v>
      </c>
      <c r="I127" s="19">
        <f t="shared" si="1"/>
        <v>0</v>
      </c>
      <c r="J127" s="19">
        <f t="shared" si="2"/>
        <v>0</v>
      </c>
    </row>
    <row r="128" ht="22.5" customHeight="1">
      <c r="A128" s="16">
        <v>5.0</v>
      </c>
      <c r="B128" s="16">
        <v>20.0</v>
      </c>
      <c r="C128" s="16">
        <v>6.0</v>
      </c>
      <c r="D128" s="16">
        <v>0.0</v>
      </c>
      <c r="E128" s="16">
        <v>0.4</v>
      </c>
      <c r="F128" s="16">
        <v>0.0</v>
      </c>
      <c r="G128" s="20">
        <v>0.333</v>
      </c>
      <c r="H128" s="16" t="s">
        <v>180</v>
      </c>
      <c r="I128" s="19">
        <f t="shared" si="1"/>
        <v>0</v>
      </c>
      <c r="J128" s="19">
        <f t="shared" si="2"/>
        <v>2</v>
      </c>
    </row>
    <row r="129" ht="22.5" customHeight="1">
      <c r="A129" s="16">
        <v>4.0</v>
      </c>
      <c r="B129" s="16">
        <v>16.0</v>
      </c>
      <c r="C129" s="16">
        <v>0.0</v>
      </c>
      <c r="D129" s="16">
        <v>0.0</v>
      </c>
      <c r="E129" s="16">
        <v>0.0</v>
      </c>
      <c r="F129" s="16">
        <v>0.0</v>
      </c>
      <c r="G129" s="18">
        <v>0.0</v>
      </c>
      <c r="H129" s="16" t="s">
        <v>189</v>
      </c>
      <c r="I129" s="19">
        <f t="shared" si="1"/>
        <v>0</v>
      </c>
      <c r="J129" s="19">
        <f t="shared" si="2"/>
        <v>0</v>
      </c>
    </row>
    <row r="130" ht="22.5" customHeight="1">
      <c r="A130" s="16">
        <v>5.0</v>
      </c>
      <c r="B130" s="16">
        <v>20.0</v>
      </c>
      <c r="C130" s="16">
        <v>3.0</v>
      </c>
      <c r="D130" s="16">
        <v>-0.8</v>
      </c>
      <c r="E130" s="16">
        <v>0.2</v>
      </c>
      <c r="F130" s="16">
        <v>0.0</v>
      </c>
      <c r="G130" s="18">
        <v>0.0</v>
      </c>
      <c r="H130" s="16" t="s">
        <v>190</v>
      </c>
      <c r="I130" s="19">
        <f t="shared" si="1"/>
        <v>-4</v>
      </c>
      <c r="J130" s="19">
        <f t="shared" si="2"/>
        <v>1</v>
      </c>
    </row>
    <row r="131" ht="22.5" customHeight="1">
      <c r="A131" s="16">
        <v>1.0</v>
      </c>
      <c r="B131" s="16">
        <v>4.0</v>
      </c>
      <c r="C131" s="16">
        <v>0.0</v>
      </c>
      <c r="D131" s="16">
        <v>0.0</v>
      </c>
      <c r="E131" s="16">
        <v>0.0</v>
      </c>
      <c r="F131" s="16">
        <v>0.0</v>
      </c>
      <c r="G131" s="18">
        <v>0.0</v>
      </c>
      <c r="H131" s="16" t="s">
        <v>191</v>
      </c>
      <c r="I131" s="19">
        <f t="shared" si="1"/>
        <v>0</v>
      </c>
      <c r="J131" s="19">
        <f t="shared" si="2"/>
        <v>0</v>
      </c>
    </row>
    <row r="132" ht="22.5" customHeight="1">
      <c r="A132" s="16">
        <v>3.0</v>
      </c>
      <c r="B132" s="16">
        <v>12.0</v>
      </c>
      <c r="C132" s="16">
        <v>0.0</v>
      </c>
      <c r="D132" s="16">
        <v>0.0</v>
      </c>
      <c r="E132" s="16">
        <v>0.0</v>
      </c>
      <c r="F132" s="16">
        <v>0.0</v>
      </c>
      <c r="G132" s="18">
        <v>0.0</v>
      </c>
      <c r="H132" s="16" t="s">
        <v>191</v>
      </c>
      <c r="I132" s="19">
        <f t="shared" si="1"/>
        <v>0</v>
      </c>
      <c r="J132" s="19">
        <f t="shared" si="2"/>
        <v>0</v>
      </c>
    </row>
    <row r="133" ht="22.5" customHeight="1">
      <c r="A133" s="16">
        <v>2.0</v>
      </c>
      <c r="B133" s="16">
        <v>8.0</v>
      </c>
      <c r="C133" s="16">
        <v>1.0</v>
      </c>
      <c r="D133" s="16">
        <v>2.0</v>
      </c>
      <c r="E133" s="16">
        <v>0.0</v>
      </c>
      <c r="F133" s="16">
        <v>0.0</v>
      </c>
      <c r="G133" s="18">
        <v>1.0</v>
      </c>
      <c r="H133" s="16" t="s">
        <v>192</v>
      </c>
      <c r="I133" s="19">
        <f t="shared" si="1"/>
        <v>4</v>
      </c>
      <c r="J133" s="19">
        <f t="shared" si="2"/>
        <v>0</v>
      </c>
    </row>
    <row r="134" ht="22.5" customHeight="1">
      <c r="A134" s="16">
        <v>1.0</v>
      </c>
      <c r="B134" s="16">
        <v>4.0</v>
      </c>
      <c r="C134" s="16">
        <v>1.0</v>
      </c>
      <c r="D134" s="16">
        <v>4.0</v>
      </c>
      <c r="E134" s="16">
        <v>0.0</v>
      </c>
      <c r="F134" s="16">
        <v>0.0</v>
      </c>
      <c r="G134" s="18">
        <v>1.0</v>
      </c>
      <c r="H134" s="16" t="s">
        <v>192</v>
      </c>
      <c r="I134" s="19">
        <f t="shared" si="1"/>
        <v>4</v>
      </c>
      <c r="J134" s="19">
        <f t="shared" si="2"/>
        <v>0</v>
      </c>
    </row>
    <row r="135" ht="22.5" customHeight="1">
      <c r="A135" s="16">
        <v>1.0</v>
      </c>
      <c r="B135" s="16">
        <v>4.0</v>
      </c>
      <c r="C135" s="16">
        <v>0.0</v>
      </c>
      <c r="D135" s="16">
        <v>0.0</v>
      </c>
      <c r="E135" s="16">
        <v>0.0</v>
      </c>
      <c r="F135" s="16">
        <v>0.0</v>
      </c>
      <c r="G135" s="18">
        <v>0.0</v>
      </c>
      <c r="H135" s="16" t="s">
        <v>194</v>
      </c>
      <c r="I135" s="19">
        <f t="shared" si="1"/>
        <v>0</v>
      </c>
      <c r="J135" s="19">
        <f t="shared" si="2"/>
        <v>0</v>
      </c>
    </row>
    <row r="136" ht="22.5" customHeight="1">
      <c r="A136" s="16">
        <v>1.0</v>
      </c>
      <c r="B136" s="16">
        <v>4.0</v>
      </c>
      <c r="C136" s="16">
        <v>0.0</v>
      </c>
      <c r="D136" s="16">
        <v>0.0</v>
      </c>
      <c r="E136" s="16">
        <v>0.0</v>
      </c>
      <c r="F136" s="16">
        <v>0.0</v>
      </c>
      <c r="G136" s="18">
        <v>0.0</v>
      </c>
      <c r="H136" s="16" t="s">
        <v>194</v>
      </c>
      <c r="I136" s="19">
        <f t="shared" si="1"/>
        <v>0</v>
      </c>
      <c r="J136" s="19">
        <f t="shared" si="2"/>
        <v>0</v>
      </c>
    </row>
    <row r="137" ht="22.5" customHeight="1">
      <c r="A137" s="16">
        <v>1.0</v>
      </c>
      <c r="B137" s="16">
        <v>4.0</v>
      </c>
      <c r="C137" s="16">
        <v>0.0</v>
      </c>
      <c r="D137" s="16">
        <v>0.0</v>
      </c>
      <c r="E137" s="16">
        <v>0.0</v>
      </c>
      <c r="F137" s="16">
        <v>0.0</v>
      </c>
      <c r="G137" s="18">
        <v>0.0</v>
      </c>
      <c r="H137" s="16" t="s">
        <v>195</v>
      </c>
      <c r="I137" s="19">
        <f t="shared" si="1"/>
        <v>0</v>
      </c>
      <c r="J137" s="19">
        <f t="shared" si="2"/>
        <v>0</v>
      </c>
    </row>
    <row r="138" ht="22.5" customHeight="1">
      <c r="A138" s="16">
        <v>4.0</v>
      </c>
      <c r="B138" s="16">
        <v>15.0</v>
      </c>
      <c r="C138" s="16">
        <v>0.0</v>
      </c>
      <c r="D138" s="16">
        <v>0.0</v>
      </c>
      <c r="E138" s="16">
        <v>0.0</v>
      </c>
      <c r="F138" s="16">
        <v>0.0</v>
      </c>
      <c r="G138" s="18">
        <v>0.0</v>
      </c>
      <c r="H138" s="16" t="s">
        <v>195</v>
      </c>
      <c r="I138" s="19">
        <f t="shared" si="1"/>
        <v>0</v>
      </c>
      <c r="J138" s="19">
        <f t="shared" si="2"/>
        <v>0</v>
      </c>
    </row>
    <row r="139" ht="22.5" customHeight="1">
      <c r="A139" s="16">
        <v>4.0</v>
      </c>
      <c r="B139" s="16">
        <v>15.0</v>
      </c>
      <c r="C139" s="16">
        <v>8.0</v>
      </c>
      <c r="D139" s="16">
        <v>2.0</v>
      </c>
      <c r="E139" s="16">
        <v>0.5</v>
      </c>
      <c r="F139" s="16">
        <v>0.0</v>
      </c>
      <c r="G139" s="18">
        <v>0.5</v>
      </c>
      <c r="H139" s="16" t="s">
        <v>112</v>
      </c>
      <c r="I139" s="19">
        <f t="shared" si="1"/>
        <v>8</v>
      </c>
      <c r="J139" s="19">
        <f t="shared" si="2"/>
        <v>2</v>
      </c>
    </row>
    <row r="140" ht="22.5" customHeight="1">
      <c r="A140" s="16">
        <v>1.0</v>
      </c>
      <c r="B140" s="16">
        <v>4.0</v>
      </c>
      <c r="C140" s="16">
        <v>4.0</v>
      </c>
      <c r="D140" s="16">
        <v>12.0</v>
      </c>
      <c r="E140" s="16">
        <v>0.0</v>
      </c>
      <c r="F140" s="16">
        <v>0.0</v>
      </c>
      <c r="G140" s="18">
        <v>0.75</v>
      </c>
      <c r="H140" s="16" t="s">
        <v>112</v>
      </c>
      <c r="I140" s="19">
        <f t="shared" si="1"/>
        <v>12</v>
      </c>
      <c r="J140" s="19">
        <f t="shared" si="2"/>
        <v>0</v>
      </c>
    </row>
    <row r="141" ht="22.5" customHeight="1">
      <c r="A141" s="16">
        <v>1.0</v>
      </c>
      <c r="B141" s="16">
        <v>4.0</v>
      </c>
      <c r="C141" s="16">
        <v>0.0</v>
      </c>
      <c r="D141" s="16">
        <v>0.0</v>
      </c>
      <c r="E141" s="16">
        <v>0.0</v>
      </c>
      <c r="F141" s="16">
        <v>0.0</v>
      </c>
      <c r="G141" s="18">
        <v>0.0</v>
      </c>
      <c r="H141" s="16" t="s">
        <v>196</v>
      </c>
      <c r="I141" s="19">
        <f t="shared" si="1"/>
        <v>0</v>
      </c>
      <c r="J141" s="19">
        <f t="shared" si="2"/>
        <v>0</v>
      </c>
    </row>
    <row r="142" ht="22.5" customHeight="1">
      <c r="A142" s="16">
        <v>5.0</v>
      </c>
      <c r="B142" s="16">
        <v>20.0</v>
      </c>
      <c r="C142" s="16">
        <v>3.0</v>
      </c>
      <c r="D142" s="16">
        <v>0.0</v>
      </c>
      <c r="E142" s="16">
        <v>0.2</v>
      </c>
      <c r="F142" s="16">
        <v>0.0</v>
      </c>
      <c r="G142" s="20">
        <v>0.333</v>
      </c>
      <c r="H142" s="16" t="s">
        <v>197</v>
      </c>
      <c r="I142" s="19">
        <f t="shared" si="1"/>
        <v>0</v>
      </c>
      <c r="J142" s="19">
        <f t="shared" si="2"/>
        <v>1</v>
      </c>
    </row>
    <row r="143" ht="22.5" customHeight="1">
      <c r="A143" s="16">
        <v>2.0</v>
      </c>
      <c r="B143" s="16">
        <v>8.0</v>
      </c>
      <c r="C143" s="16">
        <v>0.0</v>
      </c>
      <c r="D143" s="16">
        <v>0.0</v>
      </c>
      <c r="E143" s="16">
        <v>0.0</v>
      </c>
      <c r="F143" s="16">
        <v>0.0</v>
      </c>
      <c r="G143" s="18">
        <v>0.0</v>
      </c>
      <c r="H143" s="16" t="s">
        <v>198</v>
      </c>
      <c r="I143" s="19">
        <f t="shared" si="1"/>
        <v>0</v>
      </c>
      <c r="J143" s="19">
        <f t="shared" si="2"/>
        <v>0</v>
      </c>
    </row>
    <row r="144" ht="22.5" customHeight="1">
      <c r="A144" s="16">
        <v>5.0</v>
      </c>
      <c r="B144" s="16">
        <v>20.0</v>
      </c>
      <c r="C144" s="16">
        <v>9.0</v>
      </c>
      <c r="D144" s="16">
        <v>2.4</v>
      </c>
      <c r="E144" s="16">
        <v>0.2</v>
      </c>
      <c r="F144" s="16">
        <v>0.0</v>
      </c>
      <c r="G144" s="20">
        <v>0.444</v>
      </c>
      <c r="H144" s="16" t="s">
        <v>199</v>
      </c>
      <c r="I144" s="19">
        <f t="shared" si="1"/>
        <v>12</v>
      </c>
      <c r="J144" s="19">
        <f t="shared" si="2"/>
        <v>1</v>
      </c>
    </row>
    <row r="145" ht="22.5" customHeight="1">
      <c r="A145" s="16">
        <v>3.0</v>
      </c>
      <c r="B145" s="16">
        <v>11.0</v>
      </c>
      <c r="C145" s="16">
        <v>0.0</v>
      </c>
      <c r="D145" s="16">
        <v>0.0</v>
      </c>
      <c r="E145" s="16">
        <v>0.0</v>
      </c>
      <c r="F145" s="16">
        <v>0.0</v>
      </c>
      <c r="G145" s="18">
        <v>0.0</v>
      </c>
      <c r="H145" s="16" t="s">
        <v>200</v>
      </c>
      <c r="I145" s="19">
        <f t="shared" si="1"/>
        <v>0</v>
      </c>
      <c r="J145" s="19">
        <f t="shared" si="2"/>
        <v>0</v>
      </c>
    </row>
    <row r="146" ht="22.5" customHeight="1">
      <c r="A146" s="16">
        <v>3.0</v>
      </c>
      <c r="B146" s="16">
        <v>11.0</v>
      </c>
      <c r="C146" s="16">
        <v>0.0</v>
      </c>
      <c r="D146" s="16">
        <v>0.0</v>
      </c>
      <c r="E146" s="16">
        <v>0.0</v>
      </c>
      <c r="F146" s="16">
        <v>0.0</v>
      </c>
      <c r="G146" s="18">
        <v>0.0</v>
      </c>
      <c r="H146" s="16" t="s">
        <v>201</v>
      </c>
      <c r="I146" s="19">
        <f t="shared" si="1"/>
        <v>0</v>
      </c>
      <c r="J146" s="19">
        <f t="shared" si="2"/>
        <v>0</v>
      </c>
    </row>
    <row r="147" ht="22.5" customHeight="1">
      <c r="A147" s="16">
        <v>5.0</v>
      </c>
      <c r="B147" s="16">
        <v>19.0</v>
      </c>
      <c r="C147" s="16">
        <v>10.0</v>
      </c>
      <c r="D147" s="16">
        <v>7.2</v>
      </c>
      <c r="E147" s="16">
        <v>0.0</v>
      </c>
      <c r="F147" s="16">
        <v>0.0</v>
      </c>
      <c r="G147" s="18">
        <v>0.9</v>
      </c>
      <c r="H147" s="16" t="s">
        <v>70</v>
      </c>
      <c r="I147" s="19">
        <f t="shared" si="1"/>
        <v>36</v>
      </c>
      <c r="J147" s="19">
        <f t="shared" si="2"/>
        <v>0</v>
      </c>
    </row>
    <row r="148" ht="22.5" customHeight="1">
      <c r="A148" s="16">
        <v>1.0</v>
      </c>
      <c r="B148" s="16">
        <v>4.0</v>
      </c>
      <c r="C148" s="16">
        <v>0.0</v>
      </c>
      <c r="D148" s="16">
        <v>0.0</v>
      </c>
      <c r="E148" s="16">
        <v>0.0</v>
      </c>
      <c r="F148" s="16">
        <v>0.0</v>
      </c>
      <c r="G148" s="18">
        <v>0.0</v>
      </c>
      <c r="H148" s="16" t="s">
        <v>203</v>
      </c>
      <c r="I148" s="19">
        <f t="shared" si="1"/>
        <v>0</v>
      </c>
      <c r="J148" s="19">
        <f t="shared" si="2"/>
        <v>0</v>
      </c>
    </row>
    <row r="149" ht="22.5" customHeight="1">
      <c r="A149" s="16">
        <v>2.0</v>
      </c>
      <c r="B149" s="16">
        <v>8.0</v>
      </c>
      <c r="C149" s="16">
        <v>0.0</v>
      </c>
      <c r="D149" s="16">
        <v>0.0</v>
      </c>
      <c r="E149" s="16">
        <v>0.0</v>
      </c>
      <c r="F149" s="16">
        <v>0.0</v>
      </c>
      <c r="G149" s="18">
        <v>0.0</v>
      </c>
      <c r="H149" s="16" t="s">
        <v>205</v>
      </c>
      <c r="I149" s="19">
        <f t="shared" si="1"/>
        <v>0</v>
      </c>
      <c r="J149" s="19">
        <f t="shared" si="2"/>
        <v>0</v>
      </c>
    </row>
    <row r="150" ht="22.5" customHeight="1">
      <c r="A150" s="16">
        <v>1.0</v>
      </c>
      <c r="B150" s="16">
        <v>4.0</v>
      </c>
      <c r="C150" s="16">
        <v>0.0</v>
      </c>
      <c r="D150" s="16">
        <v>0.0</v>
      </c>
      <c r="E150" s="16">
        <v>0.0</v>
      </c>
      <c r="F150" s="16">
        <v>0.0</v>
      </c>
      <c r="G150" s="18">
        <v>0.0</v>
      </c>
      <c r="H150" s="16" t="s">
        <v>206</v>
      </c>
      <c r="I150" s="19">
        <f t="shared" si="1"/>
        <v>0</v>
      </c>
      <c r="J150" s="19">
        <f t="shared" si="2"/>
        <v>0</v>
      </c>
    </row>
    <row r="151" ht="22.5" customHeight="1">
      <c r="A151" s="16">
        <v>5.0</v>
      </c>
      <c r="B151" s="16">
        <v>20.0</v>
      </c>
      <c r="C151" s="16">
        <v>10.0</v>
      </c>
      <c r="D151" s="16">
        <v>3.2</v>
      </c>
      <c r="E151" s="16">
        <v>0.2</v>
      </c>
      <c r="F151" s="16">
        <v>0.0</v>
      </c>
      <c r="G151" s="18">
        <v>0.5</v>
      </c>
      <c r="H151" s="16" t="s">
        <v>62</v>
      </c>
      <c r="I151" s="19">
        <f t="shared" si="1"/>
        <v>16</v>
      </c>
      <c r="J151" s="19">
        <f t="shared" si="2"/>
        <v>1</v>
      </c>
    </row>
    <row r="152" ht="22.5" customHeight="1">
      <c r="A152" s="16">
        <v>1.0</v>
      </c>
      <c r="B152" s="16">
        <v>4.0</v>
      </c>
      <c r="C152" s="16">
        <v>0.0</v>
      </c>
      <c r="D152" s="16">
        <v>0.0</v>
      </c>
      <c r="E152" s="16">
        <v>0.0</v>
      </c>
      <c r="F152" s="16">
        <v>0.0</v>
      </c>
      <c r="G152" s="18">
        <v>0.0</v>
      </c>
      <c r="H152" s="16" t="s">
        <v>208</v>
      </c>
      <c r="I152" s="19">
        <f t="shared" si="1"/>
        <v>0</v>
      </c>
      <c r="J152" s="19">
        <f t="shared" si="2"/>
        <v>0</v>
      </c>
    </row>
    <row r="153" ht="22.5" customHeight="1">
      <c r="A153" s="16">
        <v>5.0</v>
      </c>
      <c r="B153" s="16">
        <v>16.0</v>
      </c>
      <c r="C153" s="16">
        <v>2.0</v>
      </c>
      <c r="D153" s="16">
        <v>0.0</v>
      </c>
      <c r="E153" s="16">
        <v>0.0</v>
      </c>
      <c r="F153" s="16">
        <v>0.0</v>
      </c>
      <c r="G153" s="18">
        <v>0.0</v>
      </c>
      <c r="H153" s="16" t="s">
        <v>209</v>
      </c>
      <c r="I153" s="19">
        <f t="shared" si="1"/>
        <v>0</v>
      </c>
      <c r="J153" s="19">
        <f t="shared" si="2"/>
        <v>0</v>
      </c>
    </row>
    <row r="154" ht="22.5" customHeight="1">
      <c r="A154" s="16">
        <v>5.0</v>
      </c>
      <c r="B154" s="16">
        <v>16.0</v>
      </c>
      <c r="C154" s="16">
        <v>4.0</v>
      </c>
      <c r="D154" s="16">
        <v>0.8</v>
      </c>
      <c r="E154" s="16">
        <v>0.0</v>
      </c>
      <c r="F154" s="16">
        <v>0.0</v>
      </c>
      <c r="G154" s="18">
        <v>0.25</v>
      </c>
      <c r="H154" s="16" t="s">
        <v>210</v>
      </c>
      <c r="I154" s="19">
        <f t="shared" si="1"/>
        <v>4</v>
      </c>
      <c r="J154" s="19">
        <f t="shared" si="2"/>
        <v>0</v>
      </c>
    </row>
    <row r="155" ht="22.5" customHeight="1">
      <c r="A155" s="16">
        <v>5.0</v>
      </c>
      <c r="B155" s="16">
        <v>16.0</v>
      </c>
      <c r="C155" s="16">
        <v>0.0</v>
      </c>
      <c r="D155" s="16">
        <v>0.0</v>
      </c>
      <c r="E155" s="16">
        <v>0.0</v>
      </c>
      <c r="F155" s="16">
        <v>0.0</v>
      </c>
      <c r="G155" s="18">
        <v>0.0</v>
      </c>
      <c r="H155" s="16" t="s">
        <v>211</v>
      </c>
      <c r="I155" s="19">
        <f t="shared" si="1"/>
        <v>0</v>
      </c>
      <c r="J155" s="19">
        <f t="shared" si="2"/>
        <v>0</v>
      </c>
    </row>
    <row r="156" ht="22.5" customHeight="1">
      <c r="A156" s="16">
        <v>5.0</v>
      </c>
      <c r="B156" s="16">
        <v>16.0</v>
      </c>
      <c r="C156" s="16">
        <v>2.0</v>
      </c>
      <c r="D156" s="16">
        <v>-0.8</v>
      </c>
      <c r="E156" s="16">
        <v>0.2</v>
      </c>
      <c r="F156" s="16">
        <v>0.0</v>
      </c>
      <c r="G156" s="18">
        <v>0.0</v>
      </c>
      <c r="H156" s="16" t="s">
        <v>213</v>
      </c>
      <c r="I156" s="19">
        <f t="shared" si="1"/>
        <v>-4</v>
      </c>
      <c r="J156" s="19">
        <f t="shared" si="2"/>
        <v>1</v>
      </c>
    </row>
    <row r="157" ht="22.5" customHeight="1">
      <c r="A157" s="16">
        <v>1.0</v>
      </c>
      <c r="B157" s="16">
        <v>4.0</v>
      </c>
      <c r="C157" s="16">
        <v>1.0</v>
      </c>
      <c r="D157" s="16">
        <v>4.0</v>
      </c>
      <c r="E157" s="16">
        <v>0.0</v>
      </c>
      <c r="F157" s="16">
        <v>0.0</v>
      </c>
      <c r="G157" s="18">
        <v>1.0</v>
      </c>
      <c r="H157" s="16" t="s">
        <v>214</v>
      </c>
      <c r="I157" s="19">
        <f t="shared" si="1"/>
        <v>4</v>
      </c>
      <c r="J157" s="19">
        <f t="shared" si="2"/>
        <v>0</v>
      </c>
    </row>
    <row r="158" ht="22.5" customHeight="1">
      <c r="A158" s="16">
        <v>2.0</v>
      </c>
      <c r="B158" s="16">
        <v>8.0</v>
      </c>
      <c r="C158" s="16">
        <v>0.0</v>
      </c>
      <c r="D158" s="16">
        <v>0.0</v>
      </c>
      <c r="E158" s="16">
        <v>0.0</v>
      </c>
      <c r="F158" s="16">
        <v>0.0</v>
      </c>
      <c r="G158" s="18">
        <v>0.0</v>
      </c>
      <c r="H158" s="16" t="s">
        <v>214</v>
      </c>
      <c r="I158" s="19">
        <f t="shared" si="1"/>
        <v>0</v>
      </c>
      <c r="J158" s="19">
        <f t="shared" si="2"/>
        <v>0</v>
      </c>
    </row>
    <row r="159" ht="22.5" customHeight="1">
      <c r="A159" s="16">
        <v>1.0</v>
      </c>
      <c r="B159" s="16">
        <v>4.0</v>
      </c>
      <c r="C159" s="16">
        <v>0.0</v>
      </c>
      <c r="D159" s="16">
        <v>0.0</v>
      </c>
      <c r="E159" s="16">
        <v>0.0</v>
      </c>
      <c r="F159" s="16">
        <v>0.0</v>
      </c>
      <c r="G159" s="18">
        <v>0.0</v>
      </c>
      <c r="H159" s="16" t="s">
        <v>214</v>
      </c>
      <c r="I159" s="19">
        <f t="shared" si="1"/>
        <v>0</v>
      </c>
      <c r="J159" s="19">
        <f t="shared" si="2"/>
        <v>0</v>
      </c>
    </row>
    <row r="160" ht="22.5" customHeight="1">
      <c r="A160" s="16">
        <v>1.0</v>
      </c>
      <c r="B160" s="16">
        <v>4.0</v>
      </c>
      <c r="C160" s="16">
        <v>0.0</v>
      </c>
      <c r="D160" s="16">
        <v>0.0</v>
      </c>
      <c r="E160" s="16">
        <v>0.0</v>
      </c>
      <c r="F160" s="16">
        <v>0.0</v>
      </c>
      <c r="G160" s="18">
        <v>0.0</v>
      </c>
      <c r="H160" s="16" t="s">
        <v>214</v>
      </c>
      <c r="I160" s="19">
        <f t="shared" si="1"/>
        <v>0</v>
      </c>
      <c r="J160" s="19">
        <f t="shared" si="2"/>
        <v>0</v>
      </c>
    </row>
    <row r="161" ht="22.5" customHeight="1">
      <c r="A161" s="16">
        <v>2.0</v>
      </c>
      <c r="B161" s="16">
        <v>8.0</v>
      </c>
      <c r="C161" s="16">
        <v>0.0</v>
      </c>
      <c r="D161" s="16">
        <v>0.0</v>
      </c>
      <c r="E161" s="16">
        <v>0.0</v>
      </c>
      <c r="F161" s="16">
        <v>0.0</v>
      </c>
      <c r="G161" s="18">
        <v>0.0</v>
      </c>
      <c r="H161" s="16" t="s">
        <v>217</v>
      </c>
      <c r="I161" s="19">
        <f t="shared" si="1"/>
        <v>0</v>
      </c>
      <c r="J161" s="19">
        <f t="shared" si="2"/>
        <v>0</v>
      </c>
    </row>
    <row r="162" ht="22.5" customHeight="1">
      <c r="A162" s="16">
        <v>1.0</v>
      </c>
      <c r="B162" s="16">
        <v>4.0</v>
      </c>
      <c r="C162" s="16">
        <v>1.0</v>
      </c>
      <c r="D162" s="16">
        <v>-4.0</v>
      </c>
      <c r="E162" s="16">
        <v>1.0</v>
      </c>
      <c r="F162" s="16">
        <v>0.0</v>
      </c>
      <c r="G162" s="18">
        <v>0.0</v>
      </c>
      <c r="H162" s="16" t="s">
        <v>217</v>
      </c>
      <c r="I162" s="19">
        <f t="shared" si="1"/>
        <v>-4</v>
      </c>
      <c r="J162" s="19">
        <f t="shared" si="2"/>
        <v>1</v>
      </c>
    </row>
    <row r="163" ht="22.5" customHeight="1">
      <c r="A163" s="16">
        <v>3.0</v>
      </c>
      <c r="B163" s="16">
        <v>12.0</v>
      </c>
      <c r="C163" s="16">
        <v>6.0</v>
      </c>
      <c r="D163" s="16">
        <v>5.33</v>
      </c>
      <c r="E163" s="16">
        <v>0.33</v>
      </c>
      <c r="F163" s="16">
        <v>0.0</v>
      </c>
      <c r="G163" s="20">
        <v>0.833</v>
      </c>
      <c r="H163" s="16" t="s">
        <v>105</v>
      </c>
      <c r="I163" s="19">
        <f t="shared" si="1"/>
        <v>16</v>
      </c>
      <c r="J163" s="19">
        <f t="shared" si="2"/>
        <v>1</v>
      </c>
    </row>
    <row r="164" ht="22.5" customHeight="1">
      <c r="A164" s="16">
        <v>1.0</v>
      </c>
      <c r="B164" s="16">
        <v>4.0</v>
      </c>
      <c r="C164" s="16">
        <v>0.0</v>
      </c>
      <c r="D164" s="16">
        <v>0.0</v>
      </c>
      <c r="E164" s="16">
        <v>0.0</v>
      </c>
      <c r="F164" s="16">
        <v>0.0</v>
      </c>
      <c r="G164" s="18">
        <v>0.0</v>
      </c>
      <c r="H164" s="16" t="s">
        <v>105</v>
      </c>
      <c r="I164" s="19">
        <f t="shared" si="1"/>
        <v>0</v>
      </c>
      <c r="J164" s="19">
        <f t="shared" si="2"/>
        <v>0</v>
      </c>
    </row>
    <row r="165" ht="22.5" customHeight="1">
      <c r="A165" s="16">
        <v>1.0</v>
      </c>
      <c r="B165" s="16">
        <v>4.0</v>
      </c>
      <c r="C165" s="16">
        <v>1.0</v>
      </c>
      <c r="D165" s="16">
        <v>4.0</v>
      </c>
      <c r="E165" s="16">
        <v>0.0</v>
      </c>
      <c r="F165" s="16">
        <v>0.0</v>
      </c>
      <c r="G165" s="18">
        <v>1.0</v>
      </c>
      <c r="H165" s="16" t="s">
        <v>105</v>
      </c>
      <c r="I165" s="19">
        <f t="shared" si="1"/>
        <v>4</v>
      </c>
      <c r="J165" s="19">
        <f t="shared" si="2"/>
        <v>0</v>
      </c>
    </row>
    <row r="166" ht="22.5" customHeight="1">
      <c r="A166" s="16">
        <v>1.0</v>
      </c>
      <c r="B166" s="16">
        <v>4.0</v>
      </c>
      <c r="C166" s="16">
        <v>0.0</v>
      </c>
      <c r="D166" s="16">
        <v>0.0</v>
      </c>
      <c r="E166" s="16">
        <v>0.0</v>
      </c>
      <c r="F166" s="16">
        <v>0.0</v>
      </c>
      <c r="G166" s="18">
        <v>0.0</v>
      </c>
      <c r="H166" s="16" t="s">
        <v>219</v>
      </c>
      <c r="I166" s="19">
        <f t="shared" si="1"/>
        <v>0</v>
      </c>
      <c r="J166" s="19">
        <f t="shared" si="2"/>
        <v>0</v>
      </c>
    </row>
    <row r="167" ht="22.5" customHeight="1">
      <c r="A167" s="16">
        <v>1.0</v>
      </c>
      <c r="B167" s="16">
        <v>4.0</v>
      </c>
      <c r="C167" s="16">
        <v>1.0</v>
      </c>
      <c r="D167" s="16">
        <v>4.0</v>
      </c>
      <c r="E167" s="16">
        <v>0.0</v>
      </c>
      <c r="F167" s="16">
        <v>0.0</v>
      </c>
      <c r="G167" s="18">
        <v>1.0</v>
      </c>
      <c r="H167" s="16" t="s">
        <v>220</v>
      </c>
      <c r="I167" s="19">
        <f t="shared" si="1"/>
        <v>4</v>
      </c>
      <c r="J167" s="19">
        <f t="shared" si="2"/>
        <v>0</v>
      </c>
    </row>
    <row r="168" ht="22.5" customHeight="1">
      <c r="A168" s="16">
        <v>2.0</v>
      </c>
      <c r="B168" s="16">
        <v>8.0</v>
      </c>
      <c r="C168" s="16">
        <v>4.0</v>
      </c>
      <c r="D168" s="16">
        <v>4.0</v>
      </c>
      <c r="E168" s="16">
        <v>0.5</v>
      </c>
      <c r="F168" s="16">
        <v>0.0</v>
      </c>
      <c r="G168" s="18">
        <v>0.75</v>
      </c>
      <c r="H168" s="16" t="s">
        <v>220</v>
      </c>
      <c r="I168" s="19">
        <f t="shared" si="1"/>
        <v>8</v>
      </c>
      <c r="J168" s="19">
        <f t="shared" si="2"/>
        <v>1</v>
      </c>
    </row>
    <row r="169" ht="22.5" customHeight="1">
      <c r="A169" s="16">
        <v>1.0</v>
      </c>
      <c r="B169" s="16">
        <v>4.0</v>
      </c>
      <c r="C169" s="16">
        <v>2.0</v>
      </c>
      <c r="D169" s="16">
        <v>8.0</v>
      </c>
      <c r="E169" s="16">
        <v>0.0</v>
      </c>
      <c r="F169" s="16">
        <v>0.0</v>
      </c>
      <c r="G169" s="18">
        <v>1.0</v>
      </c>
      <c r="H169" s="16" t="s">
        <v>220</v>
      </c>
      <c r="I169" s="19">
        <f t="shared" si="1"/>
        <v>8</v>
      </c>
      <c r="J169" s="19">
        <f t="shared" si="2"/>
        <v>0</v>
      </c>
    </row>
    <row r="170" ht="22.5" customHeight="1">
      <c r="A170" s="16">
        <v>1.0</v>
      </c>
      <c r="B170" s="16">
        <v>4.0</v>
      </c>
      <c r="C170" s="16">
        <v>3.0</v>
      </c>
      <c r="D170" s="16">
        <v>-4.0</v>
      </c>
      <c r="E170" s="16">
        <v>1.0</v>
      </c>
      <c r="F170" s="16">
        <v>0.0</v>
      </c>
      <c r="G170" s="18">
        <v>0.0</v>
      </c>
      <c r="H170" s="16" t="s">
        <v>220</v>
      </c>
      <c r="I170" s="19">
        <f t="shared" si="1"/>
        <v>-4</v>
      </c>
      <c r="J170" s="19">
        <f t="shared" si="2"/>
        <v>1</v>
      </c>
    </row>
    <row r="171" ht="22.5" customHeight="1">
      <c r="A171" s="16">
        <v>4.0</v>
      </c>
      <c r="B171" s="16">
        <v>15.0</v>
      </c>
      <c r="C171" s="16">
        <v>2.0</v>
      </c>
      <c r="D171" s="16">
        <v>0.0</v>
      </c>
      <c r="E171" s="16">
        <v>0.25</v>
      </c>
      <c r="F171" s="16">
        <v>0.0</v>
      </c>
      <c r="G171" s="18">
        <v>0.5</v>
      </c>
      <c r="H171" s="16" t="s">
        <v>222</v>
      </c>
      <c r="I171" s="19">
        <f t="shared" si="1"/>
        <v>0</v>
      </c>
      <c r="J171" s="19">
        <f t="shared" si="2"/>
        <v>1</v>
      </c>
    </row>
    <row r="172" ht="22.5" customHeight="1">
      <c r="A172" s="16">
        <v>1.0</v>
      </c>
      <c r="B172" s="16">
        <v>4.0</v>
      </c>
      <c r="C172" s="16">
        <v>2.0</v>
      </c>
      <c r="D172" s="16">
        <v>4.0</v>
      </c>
      <c r="E172" s="16">
        <v>0.0</v>
      </c>
      <c r="F172" s="16">
        <v>0.0</v>
      </c>
      <c r="G172" s="18">
        <v>0.5</v>
      </c>
      <c r="H172" s="16" t="s">
        <v>222</v>
      </c>
      <c r="I172" s="19">
        <f t="shared" si="1"/>
        <v>4</v>
      </c>
      <c r="J172" s="19">
        <f t="shared" si="2"/>
        <v>0</v>
      </c>
    </row>
    <row r="173" ht="22.5" customHeight="1">
      <c r="A173" s="16">
        <v>2.0</v>
      </c>
      <c r="B173" s="16">
        <v>8.0</v>
      </c>
      <c r="C173" s="16">
        <v>2.0</v>
      </c>
      <c r="D173" s="16">
        <v>4.0</v>
      </c>
      <c r="E173" s="16">
        <v>0.0</v>
      </c>
      <c r="F173" s="16">
        <v>0.0</v>
      </c>
      <c r="G173" s="18">
        <v>1.0</v>
      </c>
      <c r="H173" s="16" t="s">
        <v>224</v>
      </c>
      <c r="I173" s="19">
        <f t="shared" si="1"/>
        <v>8</v>
      </c>
      <c r="J173" s="19">
        <f t="shared" si="2"/>
        <v>0</v>
      </c>
    </row>
    <row r="174" ht="22.5" customHeight="1">
      <c r="A174" s="16">
        <v>5.0</v>
      </c>
      <c r="B174" s="16">
        <v>19.0</v>
      </c>
      <c r="C174" s="16">
        <v>9.0</v>
      </c>
      <c r="D174" s="16">
        <v>5.6</v>
      </c>
      <c r="E174" s="16">
        <v>0.2</v>
      </c>
      <c r="F174" s="16">
        <v>0.0</v>
      </c>
      <c r="G174" s="20">
        <v>0.889</v>
      </c>
      <c r="H174" s="16" t="s">
        <v>47</v>
      </c>
      <c r="I174" s="19">
        <f t="shared" si="1"/>
        <v>28</v>
      </c>
      <c r="J174" s="19">
        <f t="shared" si="2"/>
        <v>1</v>
      </c>
    </row>
    <row r="175" ht="22.5" customHeight="1">
      <c r="A175" s="16">
        <v>1.0</v>
      </c>
      <c r="B175" s="16">
        <v>3.0</v>
      </c>
      <c r="C175" s="16">
        <v>1.0</v>
      </c>
      <c r="D175" s="16">
        <v>4.0</v>
      </c>
      <c r="E175" s="16">
        <v>0.0</v>
      </c>
      <c r="F175" s="16">
        <v>0.0</v>
      </c>
      <c r="G175" s="18">
        <v>1.0</v>
      </c>
      <c r="H175" s="16" t="s">
        <v>225</v>
      </c>
      <c r="I175" s="19">
        <f t="shared" si="1"/>
        <v>4</v>
      </c>
      <c r="J175" s="19">
        <f t="shared" si="2"/>
        <v>0</v>
      </c>
    </row>
    <row r="176" ht="22.5" customHeight="1">
      <c r="A176" s="16">
        <v>1.0</v>
      </c>
      <c r="B176" s="16">
        <v>4.0</v>
      </c>
      <c r="C176" s="16">
        <v>0.0</v>
      </c>
      <c r="D176" s="16">
        <v>0.0</v>
      </c>
      <c r="E176" s="16">
        <v>0.0</v>
      </c>
      <c r="F176" s="16">
        <v>0.0</v>
      </c>
      <c r="G176" s="18">
        <v>0.0</v>
      </c>
      <c r="H176" s="16" t="s">
        <v>226</v>
      </c>
      <c r="I176" s="19">
        <f t="shared" si="1"/>
        <v>0</v>
      </c>
      <c r="J176" s="19">
        <f t="shared" si="2"/>
        <v>0</v>
      </c>
    </row>
    <row r="177" ht="22.5" customHeight="1">
      <c r="A177" s="16">
        <v>3.0</v>
      </c>
      <c r="B177" s="16">
        <v>11.0</v>
      </c>
      <c r="C177" s="16">
        <v>0.0</v>
      </c>
      <c r="D177" s="16">
        <v>0.0</v>
      </c>
      <c r="E177" s="16">
        <v>0.0</v>
      </c>
      <c r="F177" s="16">
        <v>0.0</v>
      </c>
      <c r="G177" s="18">
        <v>0.0</v>
      </c>
      <c r="H177" s="16" t="s">
        <v>226</v>
      </c>
      <c r="I177" s="19">
        <f t="shared" si="1"/>
        <v>0</v>
      </c>
      <c r="J177" s="19">
        <f t="shared" si="2"/>
        <v>0</v>
      </c>
    </row>
    <row r="178" ht="22.5" customHeight="1">
      <c r="A178" s="16">
        <v>1.0</v>
      </c>
      <c r="B178" s="16">
        <v>4.0</v>
      </c>
      <c r="C178" s="16">
        <v>2.0</v>
      </c>
      <c r="D178" s="16">
        <v>4.0</v>
      </c>
      <c r="E178" s="16">
        <v>0.0</v>
      </c>
      <c r="F178" s="16">
        <v>0.0</v>
      </c>
      <c r="G178" s="18">
        <v>0.5</v>
      </c>
      <c r="H178" s="16" t="s">
        <v>227</v>
      </c>
      <c r="I178" s="19">
        <f t="shared" si="1"/>
        <v>4</v>
      </c>
      <c r="J178" s="19">
        <f t="shared" si="2"/>
        <v>0</v>
      </c>
    </row>
    <row r="179" ht="22.5" customHeight="1">
      <c r="A179" s="16">
        <v>1.0</v>
      </c>
      <c r="B179" s="16">
        <v>4.0</v>
      </c>
      <c r="C179" s="16">
        <v>0.0</v>
      </c>
      <c r="D179" s="16">
        <v>0.0</v>
      </c>
      <c r="E179" s="16">
        <v>0.0</v>
      </c>
      <c r="F179" s="16">
        <v>0.0</v>
      </c>
      <c r="G179" s="18">
        <v>0.0</v>
      </c>
      <c r="H179" s="16" t="s">
        <v>227</v>
      </c>
      <c r="I179" s="19">
        <f t="shared" si="1"/>
        <v>0</v>
      </c>
      <c r="J179" s="19">
        <f t="shared" si="2"/>
        <v>0</v>
      </c>
    </row>
    <row r="180" ht="22.5" customHeight="1">
      <c r="A180" s="16">
        <v>3.0</v>
      </c>
      <c r="B180" s="16">
        <v>11.0</v>
      </c>
      <c r="C180" s="16">
        <v>6.0</v>
      </c>
      <c r="D180" s="16">
        <v>2.67</v>
      </c>
      <c r="E180" s="16">
        <v>0.0</v>
      </c>
      <c r="F180" s="16">
        <v>0.0</v>
      </c>
      <c r="G180" s="20">
        <v>0.333</v>
      </c>
      <c r="H180" s="16" t="s">
        <v>227</v>
      </c>
      <c r="I180" s="19">
        <f t="shared" si="1"/>
        <v>8</v>
      </c>
      <c r="J180" s="19">
        <f t="shared" si="2"/>
        <v>0</v>
      </c>
    </row>
    <row r="181" ht="22.5" customHeight="1">
      <c r="A181" s="16">
        <v>1.0</v>
      </c>
      <c r="B181" s="16">
        <v>4.0</v>
      </c>
      <c r="C181" s="16">
        <v>0.0</v>
      </c>
      <c r="D181" s="16">
        <v>0.0</v>
      </c>
      <c r="E181" s="16">
        <v>0.0</v>
      </c>
      <c r="F181" s="16">
        <v>0.0</v>
      </c>
      <c r="G181" s="18">
        <v>0.0</v>
      </c>
      <c r="H181" s="16" t="s">
        <v>229</v>
      </c>
      <c r="I181" s="19">
        <f t="shared" si="1"/>
        <v>0</v>
      </c>
      <c r="J181" s="19">
        <f t="shared" si="2"/>
        <v>0</v>
      </c>
    </row>
    <row r="182" ht="22.5" customHeight="1">
      <c r="A182" s="16">
        <v>1.0</v>
      </c>
      <c r="B182" s="16">
        <v>4.0</v>
      </c>
      <c r="C182" s="16">
        <v>0.0</v>
      </c>
      <c r="D182" s="16">
        <v>0.0</v>
      </c>
      <c r="E182" s="16">
        <v>0.0</v>
      </c>
      <c r="F182" s="16">
        <v>0.0</v>
      </c>
      <c r="G182" s="18">
        <v>0.0</v>
      </c>
      <c r="H182" s="16" t="s">
        <v>229</v>
      </c>
      <c r="I182" s="19">
        <f t="shared" si="1"/>
        <v>0</v>
      </c>
      <c r="J182" s="19">
        <f t="shared" si="2"/>
        <v>0</v>
      </c>
    </row>
    <row r="183" ht="22.5" customHeight="1">
      <c r="A183" s="16">
        <v>2.0</v>
      </c>
      <c r="B183" s="16">
        <v>7.0</v>
      </c>
      <c r="C183" s="16">
        <v>0.0</v>
      </c>
      <c r="D183" s="16">
        <v>0.0</v>
      </c>
      <c r="E183" s="16">
        <v>0.0</v>
      </c>
      <c r="F183" s="16">
        <v>0.0</v>
      </c>
      <c r="G183" s="18">
        <v>0.0</v>
      </c>
      <c r="H183" s="16" t="s">
        <v>229</v>
      </c>
      <c r="I183" s="19">
        <f t="shared" si="1"/>
        <v>0</v>
      </c>
      <c r="J183" s="19">
        <f t="shared" si="2"/>
        <v>0</v>
      </c>
    </row>
    <row r="184" ht="22.5" customHeight="1">
      <c r="A184" s="16">
        <v>1.0</v>
      </c>
      <c r="B184" s="16">
        <v>4.0</v>
      </c>
      <c r="C184" s="16">
        <v>0.0</v>
      </c>
      <c r="D184" s="16">
        <v>0.0</v>
      </c>
      <c r="E184" s="16">
        <v>0.0</v>
      </c>
      <c r="F184" s="16">
        <v>0.0</v>
      </c>
      <c r="G184" s="18">
        <v>0.0</v>
      </c>
      <c r="H184" s="16" t="s">
        <v>232</v>
      </c>
      <c r="I184" s="19">
        <f t="shared" si="1"/>
        <v>0</v>
      </c>
      <c r="J184" s="19">
        <f t="shared" si="2"/>
        <v>0</v>
      </c>
    </row>
    <row r="185" ht="22.5" customHeight="1">
      <c r="A185" s="16">
        <v>1.0</v>
      </c>
      <c r="B185" s="16">
        <v>4.0</v>
      </c>
      <c r="C185" s="16">
        <v>0.0</v>
      </c>
      <c r="D185" s="16">
        <v>0.0</v>
      </c>
      <c r="E185" s="16">
        <v>0.0</v>
      </c>
      <c r="F185" s="16">
        <v>0.0</v>
      </c>
      <c r="G185" s="18">
        <v>0.0</v>
      </c>
      <c r="H185" s="16" t="s">
        <v>232</v>
      </c>
      <c r="I185" s="19">
        <f t="shared" si="1"/>
        <v>0</v>
      </c>
      <c r="J185" s="19">
        <f t="shared" si="2"/>
        <v>0</v>
      </c>
    </row>
    <row r="186" ht="22.5" customHeight="1">
      <c r="A186" s="16">
        <v>3.0</v>
      </c>
      <c r="B186" s="16">
        <v>11.0</v>
      </c>
      <c r="C186" s="16">
        <v>2.0</v>
      </c>
      <c r="D186" s="16">
        <v>0.0</v>
      </c>
      <c r="E186" s="16">
        <v>0.33</v>
      </c>
      <c r="F186" s="16">
        <v>0.0</v>
      </c>
      <c r="G186" s="18">
        <v>0.5</v>
      </c>
      <c r="H186" s="16" t="s">
        <v>232</v>
      </c>
      <c r="I186" s="19">
        <f t="shared" si="1"/>
        <v>0</v>
      </c>
      <c r="J186" s="19">
        <f t="shared" si="2"/>
        <v>1</v>
      </c>
    </row>
    <row r="187" ht="22.5" customHeight="1">
      <c r="A187" s="16">
        <v>1.0</v>
      </c>
      <c r="B187" s="16">
        <v>4.0</v>
      </c>
      <c r="C187" s="16">
        <v>1.0</v>
      </c>
      <c r="D187" s="16">
        <v>4.0</v>
      </c>
      <c r="E187" s="16">
        <v>0.0</v>
      </c>
      <c r="F187" s="16">
        <v>0.0</v>
      </c>
      <c r="G187" s="18">
        <v>1.0</v>
      </c>
      <c r="H187" s="16" t="s">
        <v>233</v>
      </c>
      <c r="I187" s="19">
        <f t="shared" si="1"/>
        <v>4</v>
      </c>
      <c r="J187" s="19">
        <f t="shared" si="2"/>
        <v>0</v>
      </c>
    </row>
    <row r="188" ht="22.5" customHeight="1">
      <c r="A188" s="16">
        <v>1.0</v>
      </c>
      <c r="B188" s="16">
        <v>4.0</v>
      </c>
      <c r="C188" s="16">
        <v>0.0</v>
      </c>
      <c r="D188" s="16">
        <v>0.0</v>
      </c>
      <c r="E188" s="16">
        <v>0.0</v>
      </c>
      <c r="F188" s="16">
        <v>0.0</v>
      </c>
      <c r="G188" s="18">
        <v>0.0</v>
      </c>
      <c r="H188" s="16" t="s">
        <v>233</v>
      </c>
      <c r="I188" s="19">
        <f t="shared" si="1"/>
        <v>0</v>
      </c>
      <c r="J188" s="19">
        <f t="shared" si="2"/>
        <v>0</v>
      </c>
    </row>
    <row r="189" ht="22.5" customHeight="1">
      <c r="A189" s="16">
        <v>1.0</v>
      </c>
      <c r="B189" s="16">
        <v>4.0</v>
      </c>
      <c r="C189" s="16">
        <v>0.0</v>
      </c>
      <c r="D189" s="16">
        <v>0.0</v>
      </c>
      <c r="E189" s="16">
        <v>0.0</v>
      </c>
      <c r="F189" s="16">
        <v>0.0</v>
      </c>
      <c r="G189" s="18">
        <v>0.0</v>
      </c>
      <c r="H189" s="16" t="s">
        <v>233</v>
      </c>
      <c r="I189" s="19">
        <f t="shared" si="1"/>
        <v>0</v>
      </c>
      <c r="J189" s="19">
        <f t="shared" si="2"/>
        <v>0</v>
      </c>
    </row>
    <row r="190" ht="22.5" customHeight="1">
      <c r="A190" s="16">
        <v>1.0</v>
      </c>
      <c r="B190" s="16">
        <v>4.0</v>
      </c>
      <c r="C190" s="16">
        <v>0.0</v>
      </c>
      <c r="D190" s="16">
        <v>0.0</v>
      </c>
      <c r="E190" s="16">
        <v>0.0</v>
      </c>
      <c r="F190" s="16">
        <v>0.0</v>
      </c>
      <c r="G190" s="18">
        <v>0.0</v>
      </c>
      <c r="H190" s="16" t="s">
        <v>233</v>
      </c>
      <c r="I190" s="19">
        <f t="shared" si="1"/>
        <v>0</v>
      </c>
      <c r="J190" s="19">
        <f t="shared" si="2"/>
        <v>0</v>
      </c>
    </row>
    <row r="191" ht="22.5" customHeight="1">
      <c r="A191" s="16">
        <v>2.0</v>
      </c>
      <c r="B191" s="16">
        <v>8.0</v>
      </c>
      <c r="C191" s="16">
        <v>1.0</v>
      </c>
      <c r="D191" s="16">
        <v>2.0</v>
      </c>
      <c r="E191" s="16">
        <v>0.0</v>
      </c>
      <c r="F191" s="16">
        <v>0.0</v>
      </c>
      <c r="G191" s="18">
        <v>1.0</v>
      </c>
      <c r="H191" s="16" t="s">
        <v>234</v>
      </c>
      <c r="I191" s="19">
        <f t="shared" si="1"/>
        <v>4</v>
      </c>
      <c r="J191" s="19">
        <f t="shared" si="2"/>
        <v>0</v>
      </c>
    </row>
    <row r="192" ht="22.5" customHeight="1">
      <c r="A192" s="16">
        <v>1.0</v>
      </c>
      <c r="B192" s="16">
        <v>4.0</v>
      </c>
      <c r="C192" s="16">
        <v>2.0</v>
      </c>
      <c r="D192" s="16">
        <v>-4.0</v>
      </c>
      <c r="E192" s="16">
        <v>1.0</v>
      </c>
      <c r="F192" s="16">
        <v>0.0</v>
      </c>
      <c r="G192" s="18">
        <v>0.0</v>
      </c>
      <c r="H192" s="16" t="s">
        <v>153</v>
      </c>
      <c r="I192" s="19">
        <f t="shared" si="1"/>
        <v>-4</v>
      </c>
      <c r="J192" s="19">
        <f t="shared" si="2"/>
        <v>1</v>
      </c>
    </row>
    <row r="193" ht="22.5" customHeight="1">
      <c r="A193" s="16">
        <v>4.0</v>
      </c>
      <c r="B193" s="16">
        <v>16.0</v>
      </c>
      <c r="C193" s="16">
        <v>0.0</v>
      </c>
      <c r="D193" s="16">
        <v>0.0</v>
      </c>
      <c r="E193" s="16">
        <v>0.0</v>
      </c>
      <c r="F193" s="16">
        <v>0.0</v>
      </c>
      <c r="G193" s="18">
        <v>0.0</v>
      </c>
      <c r="H193" s="16" t="s">
        <v>235</v>
      </c>
      <c r="I193" s="19">
        <f t="shared" si="1"/>
        <v>0</v>
      </c>
      <c r="J193" s="19">
        <f t="shared" si="2"/>
        <v>0</v>
      </c>
    </row>
    <row r="194" ht="22.5" customHeight="1">
      <c r="A194" s="16">
        <v>4.0</v>
      </c>
      <c r="B194" s="16">
        <v>16.0</v>
      </c>
      <c r="C194" s="16">
        <v>4.0</v>
      </c>
      <c r="D194" s="16">
        <v>2.0</v>
      </c>
      <c r="E194" s="16">
        <v>0.0</v>
      </c>
      <c r="F194" s="16">
        <v>0.0</v>
      </c>
      <c r="G194" s="18">
        <v>0.5</v>
      </c>
      <c r="H194" s="16" t="s">
        <v>202</v>
      </c>
      <c r="I194" s="19">
        <f t="shared" si="1"/>
        <v>8</v>
      </c>
      <c r="J194" s="19">
        <f t="shared" si="2"/>
        <v>0</v>
      </c>
    </row>
    <row r="195" ht="22.5" customHeight="1">
      <c r="A195" s="16">
        <v>1.0</v>
      </c>
      <c r="B195" s="16">
        <v>4.0</v>
      </c>
      <c r="C195" s="16">
        <v>2.0</v>
      </c>
      <c r="D195" s="16">
        <v>8.0</v>
      </c>
      <c r="E195" s="16">
        <v>0.0</v>
      </c>
      <c r="F195" s="16">
        <v>0.0</v>
      </c>
      <c r="G195" s="18">
        <v>1.0</v>
      </c>
      <c r="H195" s="16" t="s">
        <v>202</v>
      </c>
      <c r="I195" s="19">
        <f t="shared" si="1"/>
        <v>8</v>
      </c>
      <c r="J195" s="19">
        <f t="shared" si="2"/>
        <v>0</v>
      </c>
    </row>
    <row r="196" ht="22.5" customHeight="1">
      <c r="A196" s="16">
        <v>3.0</v>
      </c>
      <c r="B196" s="16">
        <v>12.0</v>
      </c>
      <c r="C196" s="16">
        <v>5.0</v>
      </c>
      <c r="D196" s="16">
        <v>2.67</v>
      </c>
      <c r="E196" s="16">
        <v>0.33</v>
      </c>
      <c r="F196" s="16">
        <v>0.0</v>
      </c>
      <c r="G196" s="18">
        <v>0.6</v>
      </c>
      <c r="H196" s="16" t="s">
        <v>135</v>
      </c>
      <c r="I196" s="19">
        <f t="shared" si="1"/>
        <v>8</v>
      </c>
      <c r="J196" s="19">
        <f t="shared" si="2"/>
        <v>1</v>
      </c>
    </row>
    <row r="197" ht="22.5" customHeight="1">
      <c r="A197" s="16">
        <v>1.0</v>
      </c>
      <c r="B197" s="16">
        <v>4.0</v>
      </c>
      <c r="C197" s="16">
        <v>1.0</v>
      </c>
      <c r="D197" s="16">
        <v>4.0</v>
      </c>
      <c r="E197" s="16">
        <v>0.0</v>
      </c>
      <c r="F197" s="16">
        <v>0.0</v>
      </c>
      <c r="G197" s="18">
        <v>1.0</v>
      </c>
      <c r="H197" s="16" t="s">
        <v>135</v>
      </c>
      <c r="I197" s="19">
        <f t="shared" si="1"/>
        <v>4</v>
      </c>
      <c r="J197" s="19">
        <f t="shared" si="2"/>
        <v>0</v>
      </c>
    </row>
    <row r="198" ht="22.5" customHeight="1">
      <c r="A198" s="16">
        <v>1.0</v>
      </c>
      <c r="B198" s="16">
        <v>4.0</v>
      </c>
      <c r="C198" s="16">
        <v>0.0</v>
      </c>
      <c r="D198" s="16">
        <v>0.0</v>
      </c>
      <c r="E198" s="16">
        <v>0.0</v>
      </c>
      <c r="F198" s="16">
        <v>0.0</v>
      </c>
      <c r="G198" s="18">
        <v>0.0</v>
      </c>
      <c r="H198" s="16" t="s">
        <v>236</v>
      </c>
      <c r="I198" s="19">
        <f t="shared" si="1"/>
        <v>0</v>
      </c>
      <c r="J198" s="19">
        <f t="shared" si="2"/>
        <v>0</v>
      </c>
    </row>
    <row r="199" ht="22.5" customHeight="1">
      <c r="A199" s="16">
        <v>1.0</v>
      </c>
      <c r="B199" s="16">
        <v>4.0</v>
      </c>
      <c r="C199" s="16">
        <v>0.0</v>
      </c>
      <c r="D199" s="16">
        <v>0.0</v>
      </c>
      <c r="E199" s="16">
        <v>0.0</v>
      </c>
      <c r="F199" s="16">
        <v>0.0</v>
      </c>
      <c r="G199" s="18">
        <v>0.0</v>
      </c>
      <c r="H199" s="16" t="s">
        <v>236</v>
      </c>
      <c r="I199" s="19">
        <f t="shared" si="1"/>
        <v>0</v>
      </c>
      <c r="J199" s="19">
        <f t="shared" si="2"/>
        <v>0</v>
      </c>
    </row>
    <row r="200" ht="22.5" customHeight="1">
      <c r="A200" s="16">
        <v>1.0</v>
      </c>
      <c r="B200" s="16">
        <v>4.0</v>
      </c>
      <c r="C200" s="16">
        <v>0.0</v>
      </c>
      <c r="D200" s="16">
        <v>0.0</v>
      </c>
      <c r="E200" s="16">
        <v>0.0</v>
      </c>
      <c r="F200" s="16">
        <v>0.0</v>
      </c>
      <c r="G200" s="18">
        <v>0.0</v>
      </c>
      <c r="H200" s="16" t="s">
        <v>237</v>
      </c>
      <c r="I200" s="19">
        <f t="shared" si="1"/>
        <v>0</v>
      </c>
      <c r="J200" s="19">
        <f t="shared" si="2"/>
        <v>0</v>
      </c>
    </row>
    <row r="201" ht="22.5" customHeight="1">
      <c r="A201" s="16">
        <v>5.0</v>
      </c>
      <c r="B201" s="16">
        <v>20.0</v>
      </c>
      <c r="C201" s="16">
        <v>5.0</v>
      </c>
      <c r="D201" s="16">
        <v>2.4</v>
      </c>
      <c r="E201" s="16">
        <v>0.0</v>
      </c>
      <c r="F201" s="16">
        <v>0.0</v>
      </c>
      <c r="G201" s="18">
        <v>0.6</v>
      </c>
      <c r="H201" s="16" t="s">
        <v>182</v>
      </c>
      <c r="I201" s="19">
        <f t="shared" si="1"/>
        <v>12</v>
      </c>
      <c r="J201" s="19">
        <f t="shared" si="2"/>
        <v>0</v>
      </c>
    </row>
    <row r="202" ht="22.5" customHeight="1">
      <c r="A202" s="16">
        <v>5.0</v>
      </c>
      <c r="B202" s="16">
        <v>20.0</v>
      </c>
      <c r="C202" s="16">
        <v>7.0</v>
      </c>
      <c r="D202" s="16">
        <v>3.2</v>
      </c>
      <c r="E202" s="16">
        <v>0.0</v>
      </c>
      <c r="F202" s="16">
        <v>0.0</v>
      </c>
      <c r="G202" s="20">
        <v>0.571</v>
      </c>
      <c r="H202" s="16" t="s">
        <v>204</v>
      </c>
      <c r="I202" s="19">
        <f t="shared" si="1"/>
        <v>16</v>
      </c>
      <c r="J202" s="19">
        <f t="shared" si="2"/>
        <v>0</v>
      </c>
    </row>
    <row r="203" ht="22.5" customHeight="1">
      <c r="A203" s="16">
        <v>3.0</v>
      </c>
      <c r="B203" s="16">
        <v>12.0</v>
      </c>
      <c r="C203" s="16">
        <v>2.0</v>
      </c>
      <c r="D203" s="16">
        <v>1.33</v>
      </c>
      <c r="E203" s="16">
        <v>0.0</v>
      </c>
      <c r="F203" s="16">
        <v>0.0</v>
      </c>
      <c r="G203" s="18">
        <v>0.5</v>
      </c>
      <c r="H203" s="16" t="s">
        <v>238</v>
      </c>
      <c r="I203" s="19">
        <f t="shared" si="1"/>
        <v>4</v>
      </c>
      <c r="J203" s="19">
        <f t="shared" si="2"/>
        <v>0</v>
      </c>
    </row>
    <row r="204" ht="22.5" customHeight="1">
      <c r="A204" s="16">
        <v>5.0</v>
      </c>
      <c r="B204" s="16">
        <v>20.0</v>
      </c>
      <c r="C204" s="16">
        <v>4.0</v>
      </c>
      <c r="D204" s="16">
        <v>1.6</v>
      </c>
      <c r="E204" s="16">
        <v>0.0</v>
      </c>
      <c r="F204" s="16">
        <v>0.0</v>
      </c>
      <c r="G204" s="18">
        <v>0.5</v>
      </c>
      <c r="H204" s="16" t="s">
        <v>149</v>
      </c>
      <c r="I204" s="19">
        <f t="shared" si="1"/>
        <v>8</v>
      </c>
      <c r="J204" s="19">
        <f t="shared" si="2"/>
        <v>0</v>
      </c>
    </row>
    <row r="205" ht="22.5" customHeight="1">
      <c r="A205" s="16">
        <v>3.0</v>
      </c>
      <c r="B205" s="16">
        <v>12.0</v>
      </c>
      <c r="C205" s="16">
        <v>1.0</v>
      </c>
      <c r="D205" s="16">
        <v>1.33</v>
      </c>
      <c r="E205" s="16">
        <v>0.0</v>
      </c>
      <c r="F205" s="16">
        <v>0.0</v>
      </c>
      <c r="G205" s="18">
        <v>1.0</v>
      </c>
      <c r="H205" s="16" t="s">
        <v>240</v>
      </c>
      <c r="I205" s="19">
        <f t="shared" si="1"/>
        <v>4</v>
      </c>
      <c r="J205" s="19">
        <f t="shared" si="2"/>
        <v>0</v>
      </c>
    </row>
    <row r="206" ht="22.5" customHeight="1">
      <c r="A206" s="16">
        <v>1.0</v>
      </c>
      <c r="B206" s="16">
        <v>4.0</v>
      </c>
      <c r="C206" s="16">
        <v>1.0</v>
      </c>
      <c r="D206" s="16">
        <v>0.0</v>
      </c>
      <c r="E206" s="16">
        <v>0.0</v>
      </c>
      <c r="F206" s="16">
        <v>0.0</v>
      </c>
      <c r="G206" s="18">
        <v>0.0</v>
      </c>
      <c r="H206" s="16" t="s">
        <v>242</v>
      </c>
      <c r="I206" s="19">
        <f t="shared" si="1"/>
        <v>0</v>
      </c>
      <c r="J206" s="19">
        <f t="shared" si="2"/>
        <v>0</v>
      </c>
    </row>
    <row r="207" ht="22.5" customHeight="1">
      <c r="A207" s="16">
        <v>1.0</v>
      </c>
      <c r="B207" s="16">
        <v>4.0</v>
      </c>
      <c r="C207" s="16">
        <v>1.0</v>
      </c>
      <c r="D207" s="16">
        <v>-4.0</v>
      </c>
      <c r="E207" s="16">
        <v>1.0</v>
      </c>
      <c r="F207" s="16">
        <v>0.0</v>
      </c>
      <c r="G207" s="18">
        <v>0.0</v>
      </c>
      <c r="H207" s="16" t="s">
        <v>243</v>
      </c>
      <c r="I207" s="19">
        <f t="shared" si="1"/>
        <v>-4</v>
      </c>
      <c r="J207" s="19">
        <f t="shared" si="2"/>
        <v>1</v>
      </c>
    </row>
    <row r="208" ht="22.5" customHeight="1">
      <c r="A208" s="16">
        <v>3.0</v>
      </c>
      <c r="B208" s="16">
        <v>12.0</v>
      </c>
      <c r="C208" s="16">
        <v>0.0</v>
      </c>
      <c r="D208" s="16">
        <v>0.0</v>
      </c>
      <c r="E208" s="16">
        <v>0.0</v>
      </c>
      <c r="F208" s="16">
        <v>0.0</v>
      </c>
      <c r="G208" s="18">
        <v>0.0</v>
      </c>
      <c r="H208" s="16" t="s">
        <v>244</v>
      </c>
      <c r="I208" s="19">
        <f t="shared" si="1"/>
        <v>0</v>
      </c>
      <c r="J208" s="19">
        <f t="shared" si="2"/>
        <v>0</v>
      </c>
    </row>
    <row r="209" ht="22.5" customHeight="1">
      <c r="A209" s="16">
        <v>2.0</v>
      </c>
      <c r="B209" s="16">
        <v>8.0</v>
      </c>
      <c r="C209" s="16">
        <v>0.0</v>
      </c>
      <c r="D209" s="16">
        <v>0.0</v>
      </c>
      <c r="E209" s="16">
        <v>0.0</v>
      </c>
      <c r="F209" s="16">
        <v>0.0</v>
      </c>
      <c r="G209" s="18">
        <v>0.0</v>
      </c>
      <c r="H209" s="16" t="s">
        <v>244</v>
      </c>
      <c r="I209" s="19">
        <f t="shared" si="1"/>
        <v>0</v>
      </c>
      <c r="J209" s="19">
        <f t="shared" si="2"/>
        <v>0</v>
      </c>
    </row>
    <row r="210" ht="22.5" customHeight="1">
      <c r="A210" s="16">
        <v>3.0</v>
      </c>
      <c r="B210" s="16">
        <v>12.0</v>
      </c>
      <c r="C210" s="16">
        <v>10.0</v>
      </c>
      <c r="D210" s="16">
        <v>9.33</v>
      </c>
      <c r="E210" s="16">
        <v>0.33</v>
      </c>
      <c r="F210" s="16">
        <v>0.0</v>
      </c>
      <c r="G210" s="18">
        <v>0.8</v>
      </c>
      <c r="H210" s="16" t="s">
        <v>185</v>
      </c>
      <c r="I210" s="19">
        <f t="shared" si="1"/>
        <v>28</v>
      </c>
      <c r="J210" s="19">
        <f t="shared" si="2"/>
        <v>1</v>
      </c>
    </row>
    <row r="211" ht="22.5" customHeight="1">
      <c r="A211" s="16">
        <v>2.0</v>
      </c>
      <c r="B211" s="16">
        <v>8.0</v>
      </c>
      <c r="C211" s="16">
        <v>5.0</v>
      </c>
      <c r="D211" s="16">
        <v>8.0</v>
      </c>
      <c r="E211" s="16">
        <v>0.0</v>
      </c>
      <c r="F211" s="16">
        <v>0.0</v>
      </c>
      <c r="G211" s="18">
        <v>0.8</v>
      </c>
      <c r="H211" s="16" t="s">
        <v>185</v>
      </c>
      <c r="I211" s="19">
        <f t="shared" si="1"/>
        <v>16</v>
      </c>
      <c r="J211" s="19">
        <f t="shared" si="2"/>
        <v>0</v>
      </c>
    </row>
    <row r="212" ht="22.5" customHeight="1">
      <c r="A212" s="16">
        <v>3.0</v>
      </c>
      <c r="B212" s="16">
        <v>12.0</v>
      </c>
      <c r="C212" s="16">
        <v>0.0</v>
      </c>
      <c r="D212" s="16">
        <v>0.0</v>
      </c>
      <c r="E212" s="16">
        <v>0.0</v>
      </c>
      <c r="F212" s="16">
        <v>0.0</v>
      </c>
      <c r="G212" s="18">
        <v>0.0</v>
      </c>
      <c r="H212" s="16" t="s">
        <v>248</v>
      </c>
      <c r="I212" s="19">
        <f t="shared" si="1"/>
        <v>0</v>
      </c>
      <c r="J212" s="19">
        <f t="shared" si="2"/>
        <v>0</v>
      </c>
    </row>
    <row r="213" ht="22.5" customHeight="1">
      <c r="A213" s="16">
        <v>2.0</v>
      </c>
      <c r="B213" s="16">
        <v>8.0</v>
      </c>
      <c r="C213" s="16">
        <v>0.0</v>
      </c>
      <c r="D213" s="16">
        <v>0.0</v>
      </c>
      <c r="E213" s="16">
        <v>0.0</v>
      </c>
      <c r="F213" s="16">
        <v>0.0</v>
      </c>
      <c r="G213" s="18">
        <v>0.0</v>
      </c>
      <c r="H213" s="16" t="s">
        <v>248</v>
      </c>
      <c r="I213" s="19">
        <f t="shared" si="1"/>
        <v>0</v>
      </c>
      <c r="J213" s="19">
        <f t="shared" si="2"/>
        <v>0</v>
      </c>
    </row>
    <row r="214" ht="22.5" customHeight="1">
      <c r="A214" s="16">
        <v>2.0</v>
      </c>
      <c r="B214" s="16">
        <v>8.0</v>
      </c>
      <c r="C214" s="16">
        <v>0.0</v>
      </c>
      <c r="D214" s="16">
        <v>0.0</v>
      </c>
      <c r="E214" s="16">
        <v>0.0</v>
      </c>
      <c r="F214" s="16">
        <v>0.0</v>
      </c>
      <c r="G214" s="18">
        <v>0.0</v>
      </c>
      <c r="H214" s="16" t="s">
        <v>250</v>
      </c>
      <c r="I214" s="19">
        <f t="shared" si="1"/>
        <v>0</v>
      </c>
      <c r="J214" s="19">
        <f t="shared" si="2"/>
        <v>0</v>
      </c>
    </row>
    <row r="215" ht="22.5" customHeight="1">
      <c r="A215" s="16">
        <v>1.0</v>
      </c>
      <c r="B215" s="16">
        <v>4.0</v>
      </c>
      <c r="C215" s="16">
        <v>0.0</v>
      </c>
      <c r="D215" s="16">
        <v>0.0</v>
      </c>
      <c r="E215" s="16">
        <v>0.0</v>
      </c>
      <c r="F215" s="16">
        <v>0.0</v>
      </c>
      <c r="G215" s="18">
        <v>0.0</v>
      </c>
      <c r="H215" s="16" t="s">
        <v>250</v>
      </c>
      <c r="I215" s="19">
        <f t="shared" si="1"/>
        <v>0</v>
      </c>
      <c r="J215" s="19">
        <f t="shared" si="2"/>
        <v>0</v>
      </c>
    </row>
    <row r="216" ht="22.5" customHeight="1">
      <c r="A216" s="16">
        <v>1.0</v>
      </c>
      <c r="B216" s="16">
        <v>4.0</v>
      </c>
      <c r="C216" s="16">
        <v>0.0</v>
      </c>
      <c r="D216" s="16">
        <v>0.0</v>
      </c>
      <c r="E216" s="16">
        <v>0.0</v>
      </c>
      <c r="F216" s="16">
        <v>0.0</v>
      </c>
      <c r="G216" s="18">
        <v>0.0</v>
      </c>
      <c r="H216" s="16" t="s">
        <v>251</v>
      </c>
      <c r="I216" s="19">
        <f t="shared" si="1"/>
        <v>0</v>
      </c>
      <c r="J216" s="19">
        <f t="shared" si="2"/>
        <v>0</v>
      </c>
    </row>
    <row r="217" ht="22.5" customHeight="1">
      <c r="A217" s="16">
        <v>1.0</v>
      </c>
      <c r="B217" s="16">
        <v>4.0</v>
      </c>
      <c r="C217" s="16">
        <v>0.0</v>
      </c>
      <c r="D217" s="16">
        <v>0.0</v>
      </c>
      <c r="E217" s="16">
        <v>0.0</v>
      </c>
      <c r="F217" s="16">
        <v>0.0</v>
      </c>
      <c r="G217" s="18">
        <v>0.0</v>
      </c>
      <c r="H217" s="16" t="s">
        <v>239</v>
      </c>
      <c r="I217" s="19">
        <f t="shared" si="1"/>
        <v>0</v>
      </c>
      <c r="J217" s="19">
        <f t="shared" si="2"/>
        <v>0</v>
      </c>
    </row>
    <row r="218" ht="22.5" customHeight="1">
      <c r="A218" s="16">
        <v>4.0</v>
      </c>
      <c r="B218" s="16">
        <v>16.0</v>
      </c>
      <c r="C218" s="16">
        <v>1.0</v>
      </c>
      <c r="D218" s="16">
        <v>-1.0</v>
      </c>
      <c r="E218" s="16">
        <v>0.25</v>
      </c>
      <c r="F218" s="16">
        <v>0.0</v>
      </c>
      <c r="G218" s="18">
        <v>0.0</v>
      </c>
      <c r="H218" s="16" t="s">
        <v>253</v>
      </c>
      <c r="I218" s="19">
        <f t="shared" si="1"/>
        <v>-4</v>
      </c>
      <c r="J218" s="19">
        <f t="shared" si="2"/>
        <v>1</v>
      </c>
    </row>
    <row r="219" ht="22.5" customHeight="1">
      <c r="A219" s="16">
        <v>1.0</v>
      </c>
      <c r="B219" s="16">
        <v>4.0</v>
      </c>
      <c r="C219" s="16">
        <v>0.0</v>
      </c>
      <c r="D219" s="16">
        <v>0.0</v>
      </c>
      <c r="E219" s="16">
        <v>0.0</v>
      </c>
      <c r="F219" s="16">
        <v>0.0</v>
      </c>
      <c r="G219" s="18">
        <v>0.0</v>
      </c>
      <c r="H219" s="16" t="s">
        <v>253</v>
      </c>
      <c r="I219" s="19">
        <f t="shared" si="1"/>
        <v>0</v>
      </c>
      <c r="J219" s="19">
        <f t="shared" si="2"/>
        <v>0</v>
      </c>
    </row>
    <row r="220" ht="22.5" customHeight="1">
      <c r="A220" s="16">
        <v>4.0</v>
      </c>
      <c r="B220" s="16">
        <v>16.0</v>
      </c>
      <c r="C220" s="16">
        <v>2.0</v>
      </c>
      <c r="D220" s="16">
        <v>0.0</v>
      </c>
      <c r="E220" s="16">
        <v>0.0</v>
      </c>
      <c r="F220" s="16">
        <v>0.0</v>
      </c>
      <c r="G220" s="18">
        <v>0.0</v>
      </c>
      <c r="H220" s="16" t="s">
        <v>255</v>
      </c>
      <c r="I220" s="19">
        <f t="shared" si="1"/>
        <v>0</v>
      </c>
      <c r="J220" s="19">
        <f t="shared" si="2"/>
        <v>0</v>
      </c>
    </row>
    <row r="221" ht="22.5" customHeight="1">
      <c r="A221" s="16">
        <v>1.0</v>
      </c>
      <c r="B221" s="16">
        <v>4.0</v>
      </c>
      <c r="C221" s="16">
        <v>0.0</v>
      </c>
      <c r="D221" s="16">
        <v>0.0</v>
      </c>
      <c r="E221" s="16">
        <v>0.0</v>
      </c>
      <c r="F221" s="16">
        <v>0.0</v>
      </c>
      <c r="G221" s="18">
        <v>0.0</v>
      </c>
      <c r="H221" s="16" t="s">
        <v>255</v>
      </c>
      <c r="I221" s="19">
        <f t="shared" si="1"/>
        <v>0</v>
      </c>
      <c r="J221" s="19">
        <f t="shared" si="2"/>
        <v>0</v>
      </c>
    </row>
    <row r="222" ht="22.5" customHeight="1">
      <c r="A222" s="16">
        <v>4.0</v>
      </c>
      <c r="B222" s="16">
        <v>16.0</v>
      </c>
      <c r="C222" s="16">
        <v>5.0</v>
      </c>
      <c r="D222" s="16">
        <v>2.0</v>
      </c>
      <c r="E222" s="16">
        <v>0.25</v>
      </c>
      <c r="F222" s="16">
        <v>0.0</v>
      </c>
      <c r="G222" s="18">
        <v>0.6</v>
      </c>
      <c r="H222" s="16" t="s">
        <v>164</v>
      </c>
      <c r="I222" s="19">
        <f t="shared" si="1"/>
        <v>8</v>
      </c>
      <c r="J222" s="19">
        <f t="shared" si="2"/>
        <v>1</v>
      </c>
    </row>
    <row r="223" ht="22.5" customHeight="1">
      <c r="A223" s="16">
        <v>1.0</v>
      </c>
      <c r="B223" s="16">
        <v>4.0</v>
      </c>
      <c r="C223" s="16">
        <v>2.0</v>
      </c>
      <c r="D223" s="16">
        <v>8.0</v>
      </c>
      <c r="E223" s="16">
        <v>0.0</v>
      </c>
      <c r="F223" s="16">
        <v>0.0</v>
      </c>
      <c r="G223" s="18">
        <v>1.0</v>
      </c>
      <c r="H223" s="16" t="s">
        <v>164</v>
      </c>
      <c r="I223" s="19">
        <f t="shared" si="1"/>
        <v>8</v>
      </c>
      <c r="J223" s="19">
        <f t="shared" si="2"/>
        <v>0</v>
      </c>
    </row>
    <row r="224" ht="22.5" customHeight="1">
      <c r="A224" s="16">
        <v>1.0</v>
      </c>
      <c r="B224" s="16">
        <v>4.0</v>
      </c>
      <c r="C224" s="16">
        <v>1.0</v>
      </c>
      <c r="D224" s="16">
        <v>0.0</v>
      </c>
      <c r="E224" s="16">
        <v>0.0</v>
      </c>
      <c r="F224" s="16">
        <v>0.0</v>
      </c>
      <c r="G224" s="18">
        <v>0.0</v>
      </c>
      <c r="H224" s="16" t="s">
        <v>257</v>
      </c>
      <c r="I224" s="19">
        <f t="shared" si="1"/>
        <v>0</v>
      </c>
      <c r="J224" s="19">
        <f t="shared" si="2"/>
        <v>0</v>
      </c>
    </row>
    <row r="225" ht="22.5" customHeight="1">
      <c r="A225" s="16">
        <v>1.0</v>
      </c>
      <c r="B225" s="16">
        <v>4.0</v>
      </c>
      <c r="C225" s="16">
        <v>0.0</v>
      </c>
      <c r="D225" s="16">
        <v>0.0</v>
      </c>
      <c r="E225" s="16">
        <v>0.0</v>
      </c>
      <c r="F225" s="16">
        <v>0.0</v>
      </c>
      <c r="G225" s="18">
        <v>0.0</v>
      </c>
      <c r="H225" s="16" t="s">
        <v>257</v>
      </c>
      <c r="I225" s="19">
        <f t="shared" si="1"/>
        <v>0</v>
      </c>
      <c r="J225" s="19">
        <f t="shared" si="2"/>
        <v>0</v>
      </c>
    </row>
    <row r="226" ht="22.5" customHeight="1">
      <c r="A226" s="16">
        <v>2.0</v>
      </c>
      <c r="B226" s="16">
        <v>8.0</v>
      </c>
      <c r="C226" s="16">
        <v>0.0</v>
      </c>
      <c r="D226" s="16">
        <v>0.0</v>
      </c>
      <c r="E226" s="16">
        <v>0.0</v>
      </c>
      <c r="F226" s="16">
        <v>0.0</v>
      </c>
      <c r="G226" s="18">
        <v>0.0</v>
      </c>
      <c r="H226" s="16" t="s">
        <v>259</v>
      </c>
      <c r="I226" s="19">
        <f t="shared" si="1"/>
        <v>0</v>
      </c>
      <c r="J226" s="19">
        <f t="shared" si="2"/>
        <v>0</v>
      </c>
    </row>
    <row r="227" ht="22.5" customHeight="1">
      <c r="A227" s="16">
        <v>2.0</v>
      </c>
      <c r="B227" s="16">
        <v>8.0</v>
      </c>
      <c r="C227" s="16">
        <v>0.0</v>
      </c>
      <c r="D227" s="16">
        <v>0.0</v>
      </c>
      <c r="E227" s="16">
        <v>0.0</v>
      </c>
      <c r="F227" s="16">
        <v>0.0</v>
      </c>
      <c r="G227" s="18">
        <v>0.0</v>
      </c>
      <c r="H227" s="16" t="s">
        <v>259</v>
      </c>
      <c r="I227" s="19">
        <f t="shared" si="1"/>
        <v>0</v>
      </c>
      <c r="J227" s="19">
        <f t="shared" si="2"/>
        <v>0</v>
      </c>
    </row>
    <row r="228" ht="22.5" customHeight="1">
      <c r="A228" s="16">
        <v>3.0</v>
      </c>
      <c r="B228" s="16">
        <v>12.0</v>
      </c>
      <c r="C228" s="16">
        <v>7.0</v>
      </c>
      <c r="D228" s="16">
        <v>8.0</v>
      </c>
      <c r="E228" s="16">
        <v>0.0</v>
      </c>
      <c r="F228" s="16">
        <v>0.0</v>
      </c>
      <c r="G228" s="20">
        <v>0.857</v>
      </c>
      <c r="H228" s="16" t="s">
        <v>99</v>
      </c>
      <c r="I228" s="19">
        <f t="shared" si="1"/>
        <v>24</v>
      </c>
      <c r="J228" s="19">
        <f t="shared" si="2"/>
        <v>0</v>
      </c>
    </row>
    <row r="229" ht="22.5" customHeight="1">
      <c r="A229" s="16">
        <v>2.0</v>
      </c>
      <c r="B229" s="16">
        <v>8.0</v>
      </c>
      <c r="C229" s="16">
        <v>8.0</v>
      </c>
      <c r="D229" s="16">
        <v>14.0</v>
      </c>
      <c r="E229" s="16">
        <v>0.0</v>
      </c>
      <c r="F229" s="16">
        <v>0.0</v>
      </c>
      <c r="G229" s="20">
        <v>0.857</v>
      </c>
      <c r="H229" s="16" t="s">
        <v>99</v>
      </c>
      <c r="I229" s="19">
        <f t="shared" si="1"/>
        <v>28</v>
      </c>
      <c r="J229" s="19">
        <f t="shared" si="2"/>
        <v>0</v>
      </c>
    </row>
    <row r="230" ht="22.5" customHeight="1">
      <c r="A230" s="16">
        <v>3.0</v>
      </c>
      <c r="B230" s="16">
        <v>12.0</v>
      </c>
      <c r="C230" s="16">
        <v>0.0</v>
      </c>
      <c r="D230" s="16">
        <v>0.0</v>
      </c>
      <c r="E230" s="16">
        <v>0.0</v>
      </c>
      <c r="F230" s="16">
        <v>0.0</v>
      </c>
      <c r="G230" s="18">
        <v>0.0</v>
      </c>
      <c r="H230" s="16" t="s">
        <v>262</v>
      </c>
      <c r="I230" s="19">
        <f t="shared" si="1"/>
        <v>0</v>
      </c>
      <c r="J230" s="19">
        <f t="shared" si="2"/>
        <v>0</v>
      </c>
    </row>
    <row r="231" ht="22.5" customHeight="1">
      <c r="A231" s="16">
        <v>1.0</v>
      </c>
      <c r="B231" s="16">
        <v>4.0</v>
      </c>
      <c r="C231" s="16">
        <v>0.0</v>
      </c>
      <c r="D231" s="16">
        <v>0.0</v>
      </c>
      <c r="E231" s="16">
        <v>0.0</v>
      </c>
      <c r="F231" s="16">
        <v>0.0</v>
      </c>
      <c r="G231" s="18">
        <v>0.0</v>
      </c>
      <c r="H231" s="16" t="s">
        <v>262</v>
      </c>
      <c r="I231" s="19">
        <f t="shared" si="1"/>
        <v>0</v>
      </c>
      <c r="J231" s="19">
        <f t="shared" si="2"/>
        <v>0</v>
      </c>
    </row>
    <row r="232" ht="22.5" customHeight="1">
      <c r="A232" s="16">
        <v>1.0</v>
      </c>
      <c r="B232" s="16">
        <v>4.0</v>
      </c>
      <c r="C232" s="16">
        <v>0.0</v>
      </c>
      <c r="D232" s="16">
        <v>0.0</v>
      </c>
      <c r="E232" s="16">
        <v>0.0</v>
      </c>
      <c r="F232" s="16">
        <v>0.0</v>
      </c>
      <c r="G232" s="18">
        <v>0.0</v>
      </c>
      <c r="H232" s="16" t="s">
        <v>262</v>
      </c>
      <c r="I232" s="19">
        <f t="shared" si="1"/>
        <v>0</v>
      </c>
      <c r="J232" s="19">
        <f t="shared" si="2"/>
        <v>0</v>
      </c>
    </row>
    <row r="233" ht="22.5" customHeight="1">
      <c r="A233" s="16">
        <v>1.0</v>
      </c>
      <c r="B233" s="16">
        <v>4.0</v>
      </c>
      <c r="C233" s="16">
        <v>0.0</v>
      </c>
      <c r="D233" s="16">
        <v>0.0</v>
      </c>
      <c r="E233" s="16">
        <v>0.0</v>
      </c>
      <c r="F233" s="16">
        <v>0.0</v>
      </c>
      <c r="G233" s="18">
        <v>0.0</v>
      </c>
      <c r="H233" s="16" t="s">
        <v>241</v>
      </c>
      <c r="I233" s="19">
        <f t="shared" si="1"/>
        <v>0</v>
      </c>
      <c r="J233" s="19">
        <f t="shared" si="2"/>
        <v>0</v>
      </c>
    </row>
    <row r="234" ht="22.5" customHeight="1">
      <c r="A234" s="16">
        <v>1.0</v>
      </c>
      <c r="B234" s="16">
        <v>4.0</v>
      </c>
      <c r="C234" s="16">
        <v>0.0</v>
      </c>
      <c r="D234" s="16">
        <v>0.0</v>
      </c>
      <c r="E234" s="16">
        <v>0.0</v>
      </c>
      <c r="F234" s="16">
        <v>0.0</v>
      </c>
      <c r="G234" s="18">
        <v>0.0</v>
      </c>
      <c r="H234" s="16" t="s">
        <v>241</v>
      </c>
      <c r="I234" s="19">
        <f t="shared" si="1"/>
        <v>0</v>
      </c>
      <c r="J234" s="19">
        <f t="shared" si="2"/>
        <v>0</v>
      </c>
    </row>
    <row r="235" ht="22.5" customHeight="1">
      <c r="A235" s="16">
        <v>2.0</v>
      </c>
      <c r="B235" s="16">
        <v>8.0</v>
      </c>
      <c r="C235" s="16">
        <v>1.0</v>
      </c>
      <c r="D235" s="16">
        <v>2.0</v>
      </c>
      <c r="E235" s="16">
        <v>0.0</v>
      </c>
      <c r="F235" s="16">
        <v>0.0</v>
      </c>
      <c r="G235" s="18">
        <v>1.0</v>
      </c>
      <c r="H235" s="16" t="s">
        <v>263</v>
      </c>
      <c r="I235" s="19">
        <f t="shared" si="1"/>
        <v>4</v>
      </c>
      <c r="J235" s="19">
        <f t="shared" si="2"/>
        <v>0</v>
      </c>
    </row>
    <row r="236" ht="22.5" customHeight="1">
      <c r="A236" s="16">
        <v>1.0</v>
      </c>
      <c r="B236" s="16">
        <v>4.0</v>
      </c>
      <c r="C236" s="16">
        <v>0.0</v>
      </c>
      <c r="D236" s="16">
        <v>0.0</v>
      </c>
      <c r="E236" s="16">
        <v>0.0</v>
      </c>
      <c r="F236" s="16">
        <v>0.0</v>
      </c>
      <c r="G236" s="18">
        <v>0.0</v>
      </c>
      <c r="H236" s="16" t="s">
        <v>263</v>
      </c>
      <c r="I236" s="19">
        <f t="shared" si="1"/>
        <v>0</v>
      </c>
      <c r="J236" s="19">
        <f t="shared" si="2"/>
        <v>0</v>
      </c>
    </row>
    <row r="237" ht="22.5" customHeight="1">
      <c r="A237" s="16">
        <v>1.0</v>
      </c>
      <c r="B237" s="16">
        <v>3.0</v>
      </c>
      <c r="C237" s="16">
        <v>1.0</v>
      </c>
      <c r="D237" s="16">
        <v>4.0</v>
      </c>
      <c r="E237" s="16">
        <v>0.0</v>
      </c>
      <c r="F237" s="16">
        <v>0.0</v>
      </c>
      <c r="G237" s="18">
        <v>1.0</v>
      </c>
      <c r="H237" s="16" t="s">
        <v>264</v>
      </c>
      <c r="I237" s="19">
        <f t="shared" si="1"/>
        <v>4</v>
      </c>
      <c r="J237" s="19">
        <f t="shared" si="2"/>
        <v>0</v>
      </c>
    </row>
    <row r="238" ht="22.5" customHeight="1">
      <c r="A238" s="16">
        <v>3.0</v>
      </c>
      <c r="B238" s="16">
        <v>12.0</v>
      </c>
      <c r="C238" s="16">
        <v>7.0</v>
      </c>
      <c r="D238" s="16">
        <v>5.33</v>
      </c>
      <c r="E238" s="16">
        <v>0.33</v>
      </c>
      <c r="F238" s="16">
        <v>0.0</v>
      </c>
      <c r="G238" s="20">
        <v>0.714</v>
      </c>
      <c r="H238" s="16" t="s">
        <v>264</v>
      </c>
      <c r="I238" s="19">
        <f t="shared" si="1"/>
        <v>16</v>
      </c>
      <c r="J238" s="19">
        <f t="shared" si="2"/>
        <v>1</v>
      </c>
    </row>
    <row r="239" ht="22.5" customHeight="1">
      <c r="A239" s="16">
        <v>1.0</v>
      </c>
      <c r="B239" s="16">
        <v>3.0</v>
      </c>
      <c r="C239" s="16">
        <v>0.0</v>
      </c>
      <c r="D239" s="16">
        <v>0.0</v>
      </c>
      <c r="E239" s="16">
        <v>0.0</v>
      </c>
      <c r="F239" s="16">
        <v>0.0</v>
      </c>
      <c r="G239" s="18">
        <v>0.0</v>
      </c>
      <c r="H239" s="16" t="s">
        <v>265</v>
      </c>
      <c r="I239" s="19">
        <f t="shared" si="1"/>
        <v>0</v>
      </c>
      <c r="J239" s="19">
        <f t="shared" si="2"/>
        <v>0</v>
      </c>
    </row>
    <row r="240" ht="22.5" customHeight="1">
      <c r="A240" s="16">
        <v>4.0</v>
      </c>
      <c r="B240" s="16">
        <v>16.0</v>
      </c>
      <c r="C240" s="16">
        <v>0.0</v>
      </c>
      <c r="D240" s="16">
        <v>0.0</v>
      </c>
      <c r="E240" s="16">
        <v>0.0</v>
      </c>
      <c r="F240" s="16">
        <v>0.0</v>
      </c>
      <c r="G240" s="18">
        <v>0.0</v>
      </c>
      <c r="H240" s="16" t="s">
        <v>265</v>
      </c>
      <c r="I240" s="19">
        <f t="shared" si="1"/>
        <v>0</v>
      </c>
      <c r="J240" s="19">
        <f t="shared" si="2"/>
        <v>0</v>
      </c>
    </row>
    <row r="241" ht="22.5" customHeight="1">
      <c r="A241" s="16">
        <v>4.0</v>
      </c>
      <c r="B241" s="16">
        <v>16.0</v>
      </c>
      <c r="C241" s="16">
        <v>1.0</v>
      </c>
      <c r="D241" s="16">
        <v>1.0</v>
      </c>
      <c r="E241" s="16">
        <v>0.0</v>
      </c>
      <c r="F241" s="16">
        <v>0.0</v>
      </c>
      <c r="G241" s="18">
        <v>1.0</v>
      </c>
      <c r="H241" s="16" t="s">
        <v>266</v>
      </c>
      <c r="I241" s="19">
        <f t="shared" si="1"/>
        <v>4</v>
      </c>
      <c r="J241" s="19">
        <f t="shared" si="2"/>
        <v>0</v>
      </c>
    </row>
    <row r="242" ht="22.5" customHeight="1">
      <c r="A242" s="16">
        <v>1.0</v>
      </c>
      <c r="B242" s="16">
        <v>3.0</v>
      </c>
      <c r="C242" s="16">
        <v>1.0</v>
      </c>
      <c r="D242" s="16">
        <v>4.0</v>
      </c>
      <c r="E242" s="16">
        <v>0.0</v>
      </c>
      <c r="F242" s="16">
        <v>0.0</v>
      </c>
      <c r="G242" s="18">
        <v>1.0</v>
      </c>
      <c r="H242" s="16" t="s">
        <v>93</v>
      </c>
      <c r="I242" s="19">
        <f t="shared" si="1"/>
        <v>4</v>
      </c>
      <c r="J242" s="19">
        <f t="shared" si="2"/>
        <v>0</v>
      </c>
    </row>
    <row r="243" ht="22.5" customHeight="1">
      <c r="A243" s="16">
        <v>4.0</v>
      </c>
      <c r="B243" s="16">
        <v>16.0</v>
      </c>
      <c r="C243" s="16">
        <v>3.0</v>
      </c>
      <c r="D243" s="16">
        <v>3.0</v>
      </c>
      <c r="E243" s="16">
        <v>0.0</v>
      </c>
      <c r="F243" s="16">
        <v>0.0</v>
      </c>
      <c r="G243" s="18">
        <v>1.0</v>
      </c>
      <c r="H243" s="16" t="s">
        <v>93</v>
      </c>
      <c r="I243" s="19">
        <f t="shared" si="1"/>
        <v>12</v>
      </c>
      <c r="J243" s="19">
        <f t="shared" si="2"/>
        <v>0</v>
      </c>
    </row>
    <row r="244" ht="22.5" customHeight="1">
      <c r="A244" s="16">
        <v>1.0</v>
      </c>
      <c r="B244" s="16">
        <v>4.0</v>
      </c>
      <c r="C244" s="16">
        <v>0.0</v>
      </c>
      <c r="D244" s="16">
        <v>0.0</v>
      </c>
      <c r="E244" s="16">
        <v>0.0</v>
      </c>
      <c r="F244" s="16">
        <v>0.0</v>
      </c>
      <c r="G244" s="18">
        <v>0.0</v>
      </c>
      <c r="H244" s="16" t="s">
        <v>268</v>
      </c>
      <c r="I244" s="19">
        <f t="shared" si="1"/>
        <v>0</v>
      </c>
      <c r="J244" s="19">
        <f t="shared" si="2"/>
        <v>0</v>
      </c>
    </row>
    <row r="245" ht="22.5" customHeight="1">
      <c r="A245" s="16">
        <v>4.0</v>
      </c>
      <c r="B245" s="16">
        <v>16.0</v>
      </c>
      <c r="C245" s="16">
        <v>13.0</v>
      </c>
      <c r="D245" s="16">
        <v>10.0</v>
      </c>
      <c r="E245" s="16">
        <v>0.25</v>
      </c>
      <c r="F245" s="16">
        <v>0.0</v>
      </c>
      <c r="G245" s="20">
        <v>0.846</v>
      </c>
      <c r="H245" s="16" t="s">
        <v>80</v>
      </c>
      <c r="I245" s="19">
        <f t="shared" si="1"/>
        <v>40</v>
      </c>
      <c r="J245" s="19">
        <f t="shared" si="2"/>
        <v>1</v>
      </c>
    </row>
    <row r="246" ht="22.5" customHeight="1">
      <c r="A246" s="16">
        <v>1.0</v>
      </c>
      <c r="B246" s="16">
        <v>4.0</v>
      </c>
      <c r="C246" s="16">
        <v>1.0</v>
      </c>
      <c r="D246" s="16">
        <v>4.0</v>
      </c>
      <c r="E246" s="16">
        <v>0.0</v>
      </c>
      <c r="F246" s="16">
        <v>0.0</v>
      </c>
      <c r="G246" s="18">
        <v>1.0</v>
      </c>
      <c r="H246" s="16" t="s">
        <v>221</v>
      </c>
      <c r="I246" s="19">
        <f t="shared" si="1"/>
        <v>4</v>
      </c>
      <c r="J246" s="19">
        <f t="shared" si="2"/>
        <v>0</v>
      </c>
    </row>
    <row r="247" ht="22.5" customHeight="1">
      <c r="A247" s="16">
        <v>3.0</v>
      </c>
      <c r="B247" s="16">
        <v>12.0</v>
      </c>
      <c r="C247" s="16">
        <v>0.0</v>
      </c>
      <c r="D247" s="16">
        <v>0.0</v>
      </c>
      <c r="E247" s="16">
        <v>0.0</v>
      </c>
      <c r="F247" s="16">
        <v>0.0</v>
      </c>
      <c r="G247" s="18">
        <v>0.0</v>
      </c>
      <c r="H247" s="16" t="s">
        <v>221</v>
      </c>
      <c r="I247" s="19">
        <f t="shared" si="1"/>
        <v>0</v>
      </c>
      <c r="J247" s="19">
        <f t="shared" si="2"/>
        <v>0</v>
      </c>
    </row>
    <row r="248" ht="22.5" customHeight="1">
      <c r="A248" s="16">
        <v>1.0</v>
      </c>
      <c r="B248" s="16">
        <v>4.0</v>
      </c>
      <c r="C248" s="16">
        <v>0.0</v>
      </c>
      <c r="D248" s="16">
        <v>0.0</v>
      </c>
      <c r="E248" s="16">
        <v>0.0</v>
      </c>
      <c r="F248" s="16">
        <v>0.0</v>
      </c>
      <c r="G248" s="18">
        <v>0.0</v>
      </c>
      <c r="H248" s="16" t="s">
        <v>270</v>
      </c>
      <c r="I248" s="19">
        <f t="shared" si="1"/>
        <v>0</v>
      </c>
      <c r="J248" s="19">
        <f t="shared" si="2"/>
        <v>0</v>
      </c>
    </row>
    <row r="249" ht="22.5" customHeight="1">
      <c r="A249" s="16">
        <v>1.0</v>
      </c>
      <c r="B249" s="16">
        <v>4.0</v>
      </c>
      <c r="C249" s="16">
        <v>0.0</v>
      </c>
      <c r="D249" s="16">
        <v>0.0</v>
      </c>
      <c r="E249" s="16">
        <v>0.0</v>
      </c>
      <c r="F249" s="16">
        <v>0.0</v>
      </c>
      <c r="G249" s="18">
        <v>0.0</v>
      </c>
      <c r="H249" s="16" t="s">
        <v>270</v>
      </c>
      <c r="I249" s="19">
        <f t="shared" si="1"/>
        <v>0</v>
      </c>
      <c r="J249" s="19">
        <f t="shared" si="2"/>
        <v>0</v>
      </c>
    </row>
    <row r="250" ht="22.5" customHeight="1">
      <c r="A250" s="16">
        <v>1.0</v>
      </c>
      <c r="B250" s="16">
        <v>4.0</v>
      </c>
      <c r="C250" s="16">
        <v>0.0</v>
      </c>
      <c r="D250" s="16">
        <v>0.0</v>
      </c>
      <c r="E250" s="16">
        <v>0.0</v>
      </c>
      <c r="F250" s="16">
        <v>0.0</v>
      </c>
      <c r="G250" s="18">
        <v>0.0</v>
      </c>
      <c r="H250" s="16" t="s">
        <v>228</v>
      </c>
      <c r="I250" s="19">
        <f t="shared" si="1"/>
        <v>0</v>
      </c>
      <c r="J250" s="19">
        <f t="shared" si="2"/>
        <v>0</v>
      </c>
    </row>
    <row r="251" ht="22.5" customHeight="1">
      <c r="A251" s="16">
        <v>4.0</v>
      </c>
      <c r="B251" s="16">
        <v>16.0</v>
      </c>
      <c r="C251" s="16">
        <v>5.0</v>
      </c>
      <c r="D251" s="16">
        <v>3.0</v>
      </c>
      <c r="E251" s="16">
        <v>0.0</v>
      </c>
      <c r="F251" s="16">
        <v>0.0</v>
      </c>
      <c r="G251" s="18">
        <v>0.6</v>
      </c>
      <c r="H251" s="16" t="s">
        <v>228</v>
      </c>
      <c r="I251" s="19">
        <f t="shared" si="1"/>
        <v>12</v>
      </c>
      <c r="J251" s="19">
        <f t="shared" si="2"/>
        <v>0</v>
      </c>
    </row>
    <row r="252" ht="22.5" customHeight="1">
      <c r="A252" s="16">
        <v>1.0</v>
      </c>
      <c r="B252" s="16">
        <v>4.0</v>
      </c>
      <c r="C252" s="16">
        <v>1.0</v>
      </c>
      <c r="D252" s="16">
        <v>0.0</v>
      </c>
      <c r="E252" s="16">
        <v>0.0</v>
      </c>
      <c r="F252" s="16">
        <v>0.0</v>
      </c>
      <c r="G252" s="18">
        <v>0.0</v>
      </c>
      <c r="H252" s="16" t="s">
        <v>273</v>
      </c>
      <c r="I252" s="19">
        <f t="shared" si="1"/>
        <v>0</v>
      </c>
      <c r="J252" s="19">
        <f t="shared" si="2"/>
        <v>0</v>
      </c>
    </row>
    <row r="253" ht="22.5" customHeight="1">
      <c r="A253" s="16">
        <v>3.0</v>
      </c>
      <c r="B253" s="16">
        <v>12.0</v>
      </c>
      <c r="C253" s="16">
        <v>2.0</v>
      </c>
      <c r="D253" s="16">
        <v>1.33</v>
      </c>
      <c r="E253" s="16">
        <v>0.0</v>
      </c>
      <c r="F253" s="16">
        <v>0.0</v>
      </c>
      <c r="G253" s="18">
        <v>0.5</v>
      </c>
      <c r="H253" s="16" t="s">
        <v>273</v>
      </c>
      <c r="I253" s="19">
        <f t="shared" si="1"/>
        <v>4</v>
      </c>
      <c r="J253" s="19">
        <f t="shared" si="2"/>
        <v>0</v>
      </c>
    </row>
    <row r="254" ht="22.5" customHeight="1">
      <c r="A254" s="16">
        <v>1.0</v>
      </c>
      <c r="B254" s="16">
        <v>4.0</v>
      </c>
      <c r="C254" s="16">
        <v>1.0</v>
      </c>
      <c r="D254" s="16">
        <v>4.0</v>
      </c>
      <c r="E254" s="16">
        <v>0.0</v>
      </c>
      <c r="F254" s="16">
        <v>0.0</v>
      </c>
      <c r="G254" s="18">
        <v>1.0</v>
      </c>
      <c r="H254" s="16" t="s">
        <v>273</v>
      </c>
      <c r="I254" s="19">
        <f t="shared" si="1"/>
        <v>4</v>
      </c>
      <c r="J254" s="19">
        <f t="shared" si="2"/>
        <v>0</v>
      </c>
    </row>
    <row r="255" ht="22.5" customHeight="1">
      <c r="A255" s="16">
        <v>1.0</v>
      </c>
      <c r="B255" s="16">
        <v>4.0</v>
      </c>
      <c r="C255" s="16">
        <v>1.0</v>
      </c>
      <c r="D255" s="16">
        <v>0.0</v>
      </c>
      <c r="E255" s="16">
        <v>0.0</v>
      </c>
      <c r="F255" s="16">
        <v>0.0</v>
      </c>
      <c r="G255" s="18">
        <v>0.0</v>
      </c>
      <c r="H255" s="16" t="s">
        <v>275</v>
      </c>
      <c r="I255" s="19">
        <f t="shared" si="1"/>
        <v>0</v>
      </c>
      <c r="J255" s="19">
        <f t="shared" si="2"/>
        <v>0</v>
      </c>
    </row>
    <row r="256" ht="22.5" customHeight="1">
      <c r="A256" s="16">
        <v>3.0</v>
      </c>
      <c r="B256" s="16">
        <v>13.0</v>
      </c>
      <c r="C256" s="16">
        <v>2.0</v>
      </c>
      <c r="D256" s="16">
        <v>-1.33</v>
      </c>
      <c r="E256" s="16">
        <v>0.33</v>
      </c>
      <c r="F256" s="16">
        <v>0.0</v>
      </c>
      <c r="G256" s="18">
        <v>0.0</v>
      </c>
      <c r="H256" s="16" t="s">
        <v>275</v>
      </c>
      <c r="I256" s="19">
        <f t="shared" si="1"/>
        <v>-4</v>
      </c>
      <c r="J256" s="19">
        <f t="shared" si="2"/>
        <v>1</v>
      </c>
    </row>
    <row r="257" ht="22.5" customHeight="1">
      <c r="A257" s="16">
        <v>2.0</v>
      </c>
      <c r="B257" s="16">
        <v>8.0</v>
      </c>
      <c r="C257" s="16">
        <v>0.0</v>
      </c>
      <c r="D257" s="16">
        <v>0.0</v>
      </c>
      <c r="E257" s="16">
        <v>0.0</v>
      </c>
      <c r="F257" s="16">
        <v>0.0</v>
      </c>
      <c r="G257" s="18">
        <v>0.0</v>
      </c>
      <c r="H257" s="16" t="s">
        <v>276</v>
      </c>
      <c r="I257" s="19">
        <f t="shared" si="1"/>
        <v>0</v>
      </c>
      <c r="J257" s="19">
        <f t="shared" si="2"/>
        <v>0</v>
      </c>
    </row>
    <row r="258" ht="22.5" customHeight="1">
      <c r="A258" s="16">
        <v>2.0</v>
      </c>
      <c r="B258" s="16">
        <v>9.0</v>
      </c>
      <c r="C258" s="16">
        <v>1.0</v>
      </c>
      <c r="D258" s="16">
        <v>2.0</v>
      </c>
      <c r="E258" s="16">
        <v>0.0</v>
      </c>
      <c r="F258" s="16">
        <v>0.0</v>
      </c>
      <c r="G258" s="18">
        <v>1.0</v>
      </c>
      <c r="H258" s="16" t="s">
        <v>276</v>
      </c>
      <c r="I258" s="19">
        <f t="shared" si="1"/>
        <v>4</v>
      </c>
      <c r="J258" s="19">
        <f t="shared" si="2"/>
        <v>0</v>
      </c>
    </row>
    <row r="259" ht="22.5" customHeight="1">
      <c r="A259" s="16">
        <v>1.0</v>
      </c>
      <c r="B259" s="16">
        <v>4.0</v>
      </c>
      <c r="C259" s="16">
        <v>0.0</v>
      </c>
      <c r="D259" s="16">
        <v>0.0</v>
      </c>
      <c r="E259" s="16">
        <v>0.0</v>
      </c>
      <c r="F259" s="16">
        <v>0.0</v>
      </c>
      <c r="G259" s="18">
        <v>0.0</v>
      </c>
      <c r="H259" s="16" t="s">
        <v>277</v>
      </c>
      <c r="I259" s="19">
        <f t="shared" si="1"/>
        <v>0</v>
      </c>
      <c r="J259" s="19">
        <f t="shared" si="2"/>
        <v>0</v>
      </c>
    </row>
    <row r="260" ht="22.5" customHeight="1">
      <c r="A260" s="16">
        <v>4.0</v>
      </c>
      <c r="B260" s="16">
        <v>16.0</v>
      </c>
      <c r="C260" s="16">
        <v>3.0</v>
      </c>
      <c r="D260" s="16">
        <v>0.0</v>
      </c>
      <c r="E260" s="16">
        <v>0.25</v>
      </c>
      <c r="F260" s="16">
        <v>0.0</v>
      </c>
      <c r="G260" s="20">
        <v>0.333</v>
      </c>
      <c r="H260" s="16" t="s">
        <v>277</v>
      </c>
      <c r="I260" s="19">
        <f t="shared" si="1"/>
        <v>0</v>
      </c>
      <c r="J260" s="19">
        <f t="shared" si="2"/>
        <v>1</v>
      </c>
    </row>
    <row r="261" ht="22.5" customHeight="1">
      <c r="A261" s="16">
        <v>1.0</v>
      </c>
      <c r="B261" s="16">
        <v>4.0</v>
      </c>
      <c r="C261" s="16">
        <v>0.0</v>
      </c>
      <c r="D261" s="16">
        <v>0.0</v>
      </c>
      <c r="E261" s="16">
        <v>0.0</v>
      </c>
      <c r="F261" s="16">
        <v>0.0</v>
      </c>
      <c r="G261" s="18">
        <v>0.0</v>
      </c>
      <c r="H261" s="16" t="s">
        <v>172</v>
      </c>
      <c r="I261" s="19">
        <f t="shared" si="1"/>
        <v>0</v>
      </c>
      <c r="J261" s="19">
        <f t="shared" si="2"/>
        <v>0</v>
      </c>
    </row>
    <row r="262" ht="22.5" customHeight="1">
      <c r="A262" s="16">
        <v>3.0</v>
      </c>
      <c r="B262" s="16">
        <v>12.0</v>
      </c>
      <c r="C262" s="16">
        <v>0.0</v>
      </c>
      <c r="D262" s="16">
        <v>0.0</v>
      </c>
      <c r="E262" s="16">
        <v>0.0</v>
      </c>
      <c r="F262" s="16">
        <v>0.0</v>
      </c>
      <c r="G262" s="18">
        <v>0.0</v>
      </c>
      <c r="H262" s="16" t="s">
        <v>172</v>
      </c>
      <c r="I262" s="19">
        <f t="shared" si="1"/>
        <v>0</v>
      </c>
      <c r="J262" s="19">
        <f t="shared" si="2"/>
        <v>0</v>
      </c>
    </row>
    <row r="263" ht="22.5" customHeight="1">
      <c r="A263" s="16">
        <v>1.0</v>
      </c>
      <c r="B263" s="16">
        <v>4.0</v>
      </c>
      <c r="C263" s="16">
        <v>0.0</v>
      </c>
      <c r="D263" s="16">
        <v>0.0</v>
      </c>
      <c r="E263" s="16">
        <v>0.0</v>
      </c>
      <c r="F263" s="16">
        <v>0.0</v>
      </c>
      <c r="G263" s="18">
        <v>0.0</v>
      </c>
      <c r="H263" s="16" t="s">
        <v>279</v>
      </c>
      <c r="I263" s="19">
        <f t="shared" si="1"/>
        <v>0</v>
      </c>
      <c r="J263" s="19">
        <f t="shared" si="2"/>
        <v>0</v>
      </c>
    </row>
    <row r="264" ht="22.5" customHeight="1">
      <c r="A264" s="16">
        <v>4.0</v>
      </c>
      <c r="B264" s="16">
        <v>16.0</v>
      </c>
      <c r="C264" s="16">
        <v>4.0</v>
      </c>
      <c r="D264" s="16">
        <v>1.0</v>
      </c>
      <c r="E264" s="16">
        <v>0.25</v>
      </c>
      <c r="F264" s="16">
        <v>0.0</v>
      </c>
      <c r="G264" s="18">
        <v>0.5</v>
      </c>
      <c r="H264" s="16" t="s">
        <v>279</v>
      </c>
      <c r="I264" s="19">
        <f t="shared" si="1"/>
        <v>4</v>
      </c>
      <c r="J264" s="19">
        <f t="shared" si="2"/>
        <v>1</v>
      </c>
    </row>
    <row r="265" ht="22.5" customHeight="1">
      <c r="A265" s="16">
        <v>1.0</v>
      </c>
      <c r="B265" s="16">
        <v>4.0</v>
      </c>
      <c r="C265" s="16">
        <v>0.0</v>
      </c>
      <c r="D265" s="16">
        <v>0.0</v>
      </c>
      <c r="E265" s="16">
        <v>0.0</v>
      </c>
      <c r="F265" s="16">
        <v>0.0</v>
      </c>
      <c r="G265" s="18">
        <v>0.0</v>
      </c>
      <c r="H265" s="16" t="s">
        <v>280</v>
      </c>
      <c r="I265" s="19">
        <f t="shared" si="1"/>
        <v>0</v>
      </c>
      <c r="J265" s="19">
        <f t="shared" si="2"/>
        <v>0</v>
      </c>
    </row>
    <row r="266" ht="22.5" customHeight="1">
      <c r="A266" s="16">
        <v>1.0</v>
      </c>
      <c r="B266" s="16">
        <v>4.0</v>
      </c>
      <c r="C266" s="16">
        <v>1.0</v>
      </c>
      <c r="D266" s="16">
        <v>4.0</v>
      </c>
      <c r="E266" s="16">
        <v>0.0</v>
      </c>
      <c r="F266" s="16">
        <v>0.0</v>
      </c>
      <c r="G266" s="18">
        <v>1.0</v>
      </c>
      <c r="H266" s="16" t="s">
        <v>281</v>
      </c>
      <c r="I266" s="19">
        <f t="shared" si="1"/>
        <v>4</v>
      </c>
      <c r="J266" s="19">
        <f t="shared" si="2"/>
        <v>0</v>
      </c>
    </row>
    <row r="267" ht="22.5" customHeight="1">
      <c r="A267" s="16">
        <v>4.0</v>
      </c>
      <c r="B267" s="16">
        <v>16.0</v>
      </c>
      <c r="C267" s="16">
        <v>0.0</v>
      </c>
      <c r="D267" s="16">
        <v>0.0</v>
      </c>
      <c r="E267" s="16">
        <v>0.0</v>
      </c>
      <c r="F267" s="16">
        <v>0.0</v>
      </c>
      <c r="G267" s="18">
        <v>0.0</v>
      </c>
      <c r="H267" s="16" t="s">
        <v>281</v>
      </c>
      <c r="I267" s="19">
        <f t="shared" si="1"/>
        <v>0</v>
      </c>
      <c r="J267" s="19">
        <f t="shared" si="2"/>
        <v>0</v>
      </c>
    </row>
    <row r="268" ht="22.5" customHeight="1">
      <c r="A268" s="16">
        <v>2.0</v>
      </c>
      <c r="B268" s="16">
        <v>8.0</v>
      </c>
      <c r="C268" s="16">
        <v>0.0</v>
      </c>
      <c r="D268" s="16">
        <v>0.0</v>
      </c>
      <c r="E268" s="16">
        <v>0.0</v>
      </c>
      <c r="F268" s="16">
        <v>0.0</v>
      </c>
      <c r="G268" s="18">
        <v>0.0</v>
      </c>
      <c r="H268" s="16" t="s">
        <v>282</v>
      </c>
      <c r="I268" s="19">
        <f t="shared" si="1"/>
        <v>0</v>
      </c>
      <c r="J268" s="19">
        <f t="shared" si="2"/>
        <v>0</v>
      </c>
    </row>
    <row r="269" ht="22.5" customHeight="1">
      <c r="A269" s="16">
        <v>1.0</v>
      </c>
      <c r="B269" s="16">
        <v>4.0</v>
      </c>
      <c r="C269" s="16">
        <v>0.0</v>
      </c>
      <c r="D269" s="16">
        <v>0.0</v>
      </c>
      <c r="E269" s="16">
        <v>0.0</v>
      </c>
      <c r="F269" s="16">
        <v>0.0</v>
      </c>
      <c r="G269" s="18">
        <v>0.0</v>
      </c>
      <c r="H269" s="16" t="s">
        <v>282</v>
      </c>
      <c r="I269" s="19">
        <f t="shared" si="1"/>
        <v>0</v>
      </c>
      <c r="J269" s="19">
        <f t="shared" si="2"/>
        <v>0</v>
      </c>
    </row>
    <row r="270" ht="22.5" customHeight="1">
      <c r="A270" s="16">
        <v>3.0</v>
      </c>
      <c r="B270" s="16">
        <v>12.0</v>
      </c>
      <c r="C270" s="16">
        <v>0.0</v>
      </c>
      <c r="D270" s="16">
        <v>0.0</v>
      </c>
      <c r="E270" s="16">
        <v>0.0</v>
      </c>
      <c r="F270" s="16">
        <v>0.0</v>
      </c>
      <c r="G270" s="18">
        <v>0.0</v>
      </c>
      <c r="H270" s="16" t="s">
        <v>283</v>
      </c>
      <c r="I270" s="19">
        <f t="shared" si="1"/>
        <v>0</v>
      </c>
      <c r="J270" s="19">
        <f t="shared" si="2"/>
        <v>0</v>
      </c>
    </row>
    <row r="271" ht="22.5" customHeight="1">
      <c r="A271" s="16">
        <v>1.0</v>
      </c>
      <c r="B271" s="16">
        <v>4.0</v>
      </c>
      <c r="C271" s="16">
        <v>0.0</v>
      </c>
      <c r="D271" s="16">
        <v>0.0</v>
      </c>
      <c r="E271" s="16">
        <v>0.0</v>
      </c>
      <c r="F271" s="16">
        <v>0.0</v>
      </c>
      <c r="G271" s="18">
        <v>0.0</v>
      </c>
      <c r="H271" s="16" t="s">
        <v>283</v>
      </c>
      <c r="I271" s="19">
        <f t="shared" si="1"/>
        <v>0</v>
      </c>
      <c r="J271" s="19">
        <f t="shared" si="2"/>
        <v>0</v>
      </c>
    </row>
    <row r="272" ht="22.5" customHeight="1">
      <c r="A272" s="16">
        <v>1.0</v>
      </c>
      <c r="B272" s="16">
        <v>4.0</v>
      </c>
      <c r="C272" s="16">
        <v>0.0</v>
      </c>
      <c r="D272" s="16">
        <v>0.0</v>
      </c>
      <c r="E272" s="16">
        <v>0.0</v>
      </c>
      <c r="F272" s="16">
        <v>0.0</v>
      </c>
      <c r="G272" s="18">
        <v>0.0</v>
      </c>
      <c r="H272" s="16" t="s">
        <v>284</v>
      </c>
      <c r="I272" s="19">
        <f t="shared" si="1"/>
        <v>0</v>
      </c>
      <c r="J272" s="19">
        <f t="shared" si="2"/>
        <v>0</v>
      </c>
    </row>
    <row r="273" ht="22.5" customHeight="1">
      <c r="A273" s="16">
        <v>1.0</v>
      </c>
      <c r="B273" s="16">
        <v>4.0</v>
      </c>
      <c r="C273" s="16">
        <v>0.0</v>
      </c>
      <c r="D273" s="16">
        <v>0.0</v>
      </c>
      <c r="E273" s="16">
        <v>0.0</v>
      </c>
      <c r="F273" s="16">
        <v>0.0</v>
      </c>
      <c r="G273" s="18">
        <v>0.0</v>
      </c>
      <c r="H273" s="16" t="s">
        <v>284</v>
      </c>
      <c r="I273" s="19">
        <f t="shared" si="1"/>
        <v>0</v>
      </c>
      <c r="J273" s="19">
        <f t="shared" si="2"/>
        <v>0</v>
      </c>
    </row>
    <row r="274" ht="22.5" customHeight="1">
      <c r="A274" s="16">
        <v>1.0</v>
      </c>
      <c r="B274" s="16">
        <v>4.0</v>
      </c>
      <c r="C274" s="16">
        <v>4.0</v>
      </c>
      <c r="D274" s="16">
        <v>4.0</v>
      </c>
      <c r="E274" s="16">
        <v>1.0</v>
      </c>
      <c r="F274" s="16">
        <v>0.0</v>
      </c>
      <c r="G274" s="18">
        <v>0.5</v>
      </c>
      <c r="H274" s="16" t="s">
        <v>52</v>
      </c>
      <c r="I274" s="19">
        <f t="shared" si="1"/>
        <v>4</v>
      </c>
      <c r="J274" s="19">
        <f t="shared" si="2"/>
        <v>1</v>
      </c>
    </row>
    <row r="275" ht="22.5" customHeight="1">
      <c r="A275" s="16">
        <v>3.0</v>
      </c>
      <c r="B275" s="16">
        <v>12.0</v>
      </c>
      <c r="C275" s="16">
        <v>5.0</v>
      </c>
      <c r="D275" s="16">
        <v>6.67</v>
      </c>
      <c r="E275" s="16">
        <v>0.0</v>
      </c>
      <c r="F275" s="16">
        <v>0.0</v>
      </c>
      <c r="G275" s="18">
        <v>1.0</v>
      </c>
      <c r="H275" s="16" t="s">
        <v>52</v>
      </c>
      <c r="I275" s="19">
        <f t="shared" si="1"/>
        <v>20</v>
      </c>
      <c r="J275" s="19">
        <f t="shared" si="2"/>
        <v>0</v>
      </c>
    </row>
    <row r="276" ht="22.5" customHeight="1">
      <c r="A276" s="16">
        <v>1.0</v>
      </c>
      <c r="B276" s="16">
        <v>4.0</v>
      </c>
      <c r="C276" s="16">
        <v>3.0</v>
      </c>
      <c r="D276" s="16">
        <v>0.0</v>
      </c>
      <c r="E276" s="16">
        <v>1.0</v>
      </c>
      <c r="F276" s="16">
        <v>0.0</v>
      </c>
      <c r="G276" s="20">
        <v>0.333</v>
      </c>
      <c r="H276" s="16" t="s">
        <v>52</v>
      </c>
      <c r="I276" s="19">
        <f t="shared" si="1"/>
        <v>0</v>
      </c>
      <c r="J276" s="19">
        <f t="shared" si="2"/>
        <v>1</v>
      </c>
    </row>
    <row r="277" ht="22.5" customHeight="1">
      <c r="A277" s="16">
        <v>1.0</v>
      </c>
      <c r="B277" s="16">
        <v>4.0</v>
      </c>
      <c r="C277" s="16">
        <v>0.0</v>
      </c>
      <c r="D277" s="16">
        <v>0.0</v>
      </c>
      <c r="E277" s="16">
        <v>0.0</v>
      </c>
      <c r="F277" s="16">
        <v>0.0</v>
      </c>
      <c r="G277" s="18">
        <v>0.0</v>
      </c>
      <c r="H277" s="16" t="s">
        <v>223</v>
      </c>
      <c r="I277" s="19">
        <f t="shared" si="1"/>
        <v>0</v>
      </c>
      <c r="J277" s="19">
        <f t="shared" si="2"/>
        <v>0</v>
      </c>
    </row>
    <row r="278" ht="22.5" customHeight="1">
      <c r="A278" s="16">
        <v>1.0</v>
      </c>
      <c r="B278" s="16">
        <v>4.0</v>
      </c>
      <c r="C278" s="16">
        <v>0.0</v>
      </c>
      <c r="D278" s="16">
        <v>0.0</v>
      </c>
      <c r="E278" s="16">
        <v>0.0</v>
      </c>
      <c r="F278" s="16">
        <v>0.0</v>
      </c>
      <c r="G278" s="18">
        <v>0.0</v>
      </c>
      <c r="H278" s="16" t="s">
        <v>223</v>
      </c>
      <c r="I278" s="19">
        <f t="shared" si="1"/>
        <v>0</v>
      </c>
      <c r="J278" s="19">
        <f t="shared" si="2"/>
        <v>0</v>
      </c>
    </row>
    <row r="279" ht="22.5" customHeight="1">
      <c r="A279" s="16">
        <v>1.0</v>
      </c>
      <c r="B279" s="16">
        <v>4.0</v>
      </c>
      <c r="C279" s="16">
        <v>0.0</v>
      </c>
      <c r="D279" s="16">
        <v>0.0</v>
      </c>
      <c r="E279" s="16">
        <v>0.0</v>
      </c>
      <c r="F279" s="16">
        <v>0.0</v>
      </c>
      <c r="G279" s="18">
        <v>0.0</v>
      </c>
      <c r="H279" s="16" t="s">
        <v>223</v>
      </c>
      <c r="I279" s="19">
        <f t="shared" si="1"/>
        <v>0</v>
      </c>
      <c r="J279" s="19">
        <f t="shared" si="2"/>
        <v>0</v>
      </c>
    </row>
    <row r="280" ht="22.5" customHeight="1">
      <c r="A280" s="16">
        <v>1.0</v>
      </c>
      <c r="B280" s="16">
        <v>4.0</v>
      </c>
      <c r="C280" s="16">
        <v>1.0</v>
      </c>
      <c r="D280" s="16">
        <v>-4.0</v>
      </c>
      <c r="E280" s="16">
        <v>1.0</v>
      </c>
      <c r="F280" s="16">
        <v>0.0</v>
      </c>
      <c r="G280" s="18">
        <v>0.0</v>
      </c>
      <c r="H280" s="16" t="s">
        <v>223</v>
      </c>
      <c r="I280" s="19">
        <f t="shared" si="1"/>
        <v>-4</v>
      </c>
      <c r="J280" s="19">
        <f t="shared" si="2"/>
        <v>1</v>
      </c>
    </row>
    <row r="281" ht="22.5" customHeight="1">
      <c r="A281" s="16">
        <v>1.0</v>
      </c>
      <c r="B281" s="16">
        <v>4.0</v>
      </c>
      <c r="C281" s="16">
        <v>0.0</v>
      </c>
      <c r="D281" s="16">
        <v>0.0</v>
      </c>
      <c r="E281" s="16">
        <v>0.0</v>
      </c>
      <c r="F281" s="16">
        <v>0.0</v>
      </c>
      <c r="G281" s="18">
        <v>0.0</v>
      </c>
      <c r="H281" s="16" t="s">
        <v>207</v>
      </c>
      <c r="I281" s="19">
        <f t="shared" si="1"/>
        <v>0</v>
      </c>
      <c r="J281" s="19">
        <f t="shared" si="2"/>
        <v>0</v>
      </c>
    </row>
    <row r="282" ht="22.5" customHeight="1">
      <c r="A282" s="16">
        <v>1.0</v>
      </c>
      <c r="B282" s="16">
        <v>4.0</v>
      </c>
      <c r="C282" s="16">
        <v>0.0</v>
      </c>
      <c r="D282" s="16">
        <v>0.0</v>
      </c>
      <c r="E282" s="16">
        <v>0.0</v>
      </c>
      <c r="F282" s="16">
        <v>0.0</v>
      </c>
      <c r="G282" s="18">
        <v>0.0</v>
      </c>
      <c r="H282" s="16" t="s">
        <v>207</v>
      </c>
      <c r="I282" s="19">
        <f t="shared" si="1"/>
        <v>0</v>
      </c>
      <c r="J282" s="19">
        <f t="shared" si="2"/>
        <v>0</v>
      </c>
    </row>
    <row r="283" ht="22.5" customHeight="1">
      <c r="A283" s="16">
        <v>1.0</v>
      </c>
      <c r="B283" s="16">
        <v>4.0</v>
      </c>
      <c r="C283" s="16">
        <v>1.0</v>
      </c>
      <c r="D283" s="16">
        <v>4.0</v>
      </c>
      <c r="E283" s="16">
        <v>0.0</v>
      </c>
      <c r="F283" s="16">
        <v>0.0</v>
      </c>
      <c r="G283" s="18">
        <v>1.0</v>
      </c>
      <c r="H283" s="16" t="s">
        <v>207</v>
      </c>
      <c r="I283" s="19">
        <f t="shared" si="1"/>
        <v>4</v>
      </c>
      <c r="J283" s="19">
        <f t="shared" si="2"/>
        <v>0</v>
      </c>
    </row>
    <row r="284" ht="22.5" customHeight="1">
      <c r="A284" s="16">
        <v>2.0</v>
      </c>
      <c r="B284" s="16">
        <v>8.0</v>
      </c>
      <c r="C284" s="16">
        <v>1.0</v>
      </c>
      <c r="D284" s="16">
        <v>-2.0</v>
      </c>
      <c r="E284" s="16">
        <v>0.5</v>
      </c>
      <c r="F284" s="16">
        <v>0.0</v>
      </c>
      <c r="G284" s="18">
        <v>0.0</v>
      </c>
      <c r="H284" s="16" t="s">
        <v>207</v>
      </c>
      <c r="I284" s="19">
        <f t="shared" si="1"/>
        <v>-4</v>
      </c>
      <c r="J284" s="19">
        <f t="shared" si="2"/>
        <v>1</v>
      </c>
    </row>
    <row r="285" ht="22.5" customHeight="1">
      <c r="A285" s="16">
        <v>1.0</v>
      </c>
      <c r="B285" s="16">
        <v>4.0</v>
      </c>
      <c r="C285" s="16">
        <v>0.0</v>
      </c>
      <c r="D285" s="16">
        <v>0.0</v>
      </c>
      <c r="E285" s="16">
        <v>0.0</v>
      </c>
      <c r="F285" s="16">
        <v>0.0</v>
      </c>
      <c r="G285" s="18">
        <v>0.0</v>
      </c>
      <c r="H285" s="16" t="s">
        <v>288</v>
      </c>
      <c r="I285" s="19">
        <f t="shared" si="1"/>
        <v>0</v>
      </c>
      <c r="J285" s="19">
        <f t="shared" si="2"/>
        <v>0</v>
      </c>
    </row>
    <row r="286" ht="22.5" customHeight="1">
      <c r="A286" s="16">
        <v>1.0</v>
      </c>
      <c r="B286" s="16">
        <v>4.0</v>
      </c>
      <c r="C286" s="16">
        <v>4.0</v>
      </c>
      <c r="D286" s="16">
        <v>16.0</v>
      </c>
      <c r="E286" s="16">
        <v>0.0</v>
      </c>
      <c r="F286" s="16">
        <v>0.0</v>
      </c>
      <c r="G286" s="18">
        <v>1.0</v>
      </c>
      <c r="H286" s="16" t="s">
        <v>245</v>
      </c>
      <c r="I286" s="19">
        <f t="shared" si="1"/>
        <v>16</v>
      </c>
      <c r="J286" s="19">
        <f t="shared" si="2"/>
        <v>0</v>
      </c>
    </row>
    <row r="287" ht="22.5" customHeight="1">
      <c r="A287" s="16">
        <v>1.0</v>
      </c>
      <c r="B287" s="16">
        <v>4.0</v>
      </c>
      <c r="C287" s="16">
        <v>3.0</v>
      </c>
      <c r="D287" s="16">
        <v>4.0</v>
      </c>
      <c r="E287" s="16">
        <v>1.0</v>
      </c>
      <c r="F287" s="16">
        <v>0.0</v>
      </c>
      <c r="G287" s="20">
        <v>0.667</v>
      </c>
      <c r="H287" s="16" t="s">
        <v>245</v>
      </c>
      <c r="I287" s="19">
        <f t="shared" si="1"/>
        <v>4</v>
      </c>
      <c r="J287" s="19">
        <f t="shared" si="2"/>
        <v>1</v>
      </c>
    </row>
    <row r="288" ht="22.5" customHeight="1">
      <c r="A288" s="16">
        <v>1.0</v>
      </c>
      <c r="B288" s="16">
        <v>4.0</v>
      </c>
      <c r="C288" s="16">
        <v>0.0</v>
      </c>
      <c r="D288" s="16">
        <v>0.0</v>
      </c>
      <c r="E288" s="16">
        <v>0.0</v>
      </c>
      <c r="F288" s="16">
        <v>0.0</v>
      </c>
      <c r="G288" s="18">
        <v>0.0</v>
      </c>
      <c r="H288" s="16" t="s">
        <v>245</v>
      </c>
      <c r="I288" s="19">
        <f t="shared" si="1"/>
        <v>0</v>
      </c>
      <c r="J288" s="19">
        <f t="shared" si="2"/>
        <v>0</v>
      </c>
    </row>
    <row r="289" ht="22.5" customHeight="1">
      <c r="A289" s="16">
        <v>1.0</v>
      </c>
      <c r="B289" s="16">
        <v>4.0</v>
      </c>
      <c r="C289" s="16">
        <v>0.0</v>
      </c>
      <c r="D289" s="16">
        <v>0.0</v>
      </c>
      <c r="E289" s="16">
        <v>0.0</v>
      </c>
      <c r="F289" s="16">
        <v>0.0</v>
      </c>
      <c r="G289" s="18">
        <v>0.0</v>
      </c>
      <c r="H289" s="16" t="s">
        <v>290</v>
      </c>
      <c r="I289" s="19">
        <f t="shared" si="1"/>
        <v>0</v>
      </c>
      <c r="J289" s="19">
        <f t="shared" si="2"/>
        <v>0</v>
      </c>
    </row>
    <row r="290" ht="22.5" customHeight="1">
      <c r="A290" s="16">
        <v>4.0</v>
      </c>
      <c r="B290" s="16">
        <v>16.0</v>
      </c>
      <c r="C290" s="16">
        <v>0.0</v>
      </c>
      <c r="D290" s="16">
        <v>0.0</v>
      </c>
      <c r="E290" s="16">
        <v>0.0</v>
      </c>
      <c r="F290" s="16">
        <v>0.0</v>
      </c>
      <c r="G290" s="18">
        <v>0.0</v>
      </c>
      <c r="H290" s="16" t="s">
        <v>291</v>
      </c>
      <c r="I290" s="19">
        <f t="shared" si="1"/>
        <v>0</v>
      </c>
      <c r="J290" s="19">
        <f t="shared" si="2"/>
        <v>0</v>
      </c>
    </row>
    <row r="291" ht="22.5" customHeight="1">
      <c r="A291" s="16">
        <v>5.0</v>
      </c>
      <c r="B291" s="16">
        <v>20.0</v>
      </c>
      <c r="C291" s="16">
        <v>0.0</v>
      </c>
      <c r="D291" s="16">
        <v>0.0</v>
      </c>
      <c r="E291" s="16">
        <v>0.0</v>
      </c>
      <c r="F291" s="16">
        <v>0.0</v>
      </c>
      <c r="G291" s="18">
        <v>0.0</v>
      </c>
      <c r="H291" s="16" t="s">
        <v>267</v>
      </c>
      <c r="I291" s="19">
        <f t="shared" si="1"/>
        <v>0</v>
      </c>
      <c r="J291" s="19">
        <f t="shared" si="2"/>
        <v>0</v>
      </c>
    </row>
    <row r="292" ht="22.5" customHeight="1">
      <c r="A292" s="16">
        <v>5.0</v>
      </c>
      <c r="B292" s="16">
        <v>20.0</v>
      </c>
      <c r="C292" s="16">
        <v>17.0</v>
      </c>
      <c r="D292" s="16">
        <v>12.0</v>
      </c>
      <c r="E292" s="16">
        <v>0.0</v>
      </c>
      <c r="F292" s="16">
        <v>0.0</v>
      </c>
      <c r="G292" s="20">
        <v>0.882</v>
      </c>
      <c r="H292" s="16" t="s">
        <v>98</v>
      </c>
      <c r="I292" s="19">
        <f t="shared" si="1"/>
        <v>60</v>
      </c>
      <c r="J292" s="19">
        <f t="shared" si="2"/>
        <v>0</v>
      </c>
    </row>
    <row r="293" ht="22.5" customHeight="1">
      <c r="A293" s="16">
        <v>1.0</v>
      </c>
      <c r="B293" s="16">
        <v>4.0</v>
      </c>
      <c r="C293" s="16">
        <v>1.0</v>
      </c>
      <c r="D293" s="16">
        <v>0.0</v>
      </c>
      <c r="E293" s="16">
        <v>0.0</v>
      </c>
      <c r="F293" s="16">
        <v>0.0</v>
      </c>
      <c r="G293" s="18">
        <v>0.0</v>
      </c>
      <c r="H293" s="16" t="s">
        <v>106</v>
      </c>
      <c r="I293" s="19">
        <f t="shared" si="1"/>
        <v>0</v>
      </c>
      <c r="J293" s="19">
        <f t="shared" si="2"/>
        <v>0</v>
      </c>
    </row>
    <row r="294" ht="22.5" customHeight="1">
      <c r="A294" s="16">
        <v>3.0</v>
      </c>
      <c r="B294" s="16">
        <v>12.0</v>
      </c>
      <c r="C294" s="16">
        <v>1.0</v>
      </c>
      <c r="D294" s="16">
        <v>1.33</v>
      </c>
      <c r="E294" s="16">
        <v>0.0</v>
      </c>
      <c r="F294" s="16">
        <v>0.0</v>
      </c>
      <c r="G294" s="18">
        <v>1.0</v>
      </c>
      <c r="H294" s="16" t="s">
        <v>106</v>
      </c>
      <c r="I294" s="19">
        <f t="shared" si="1"/>
        <v>4</v>
      </c>
      <c r="J294" s="19">
        <f t="shared" si="2"/>
        <v>0</v>
      </c>
    </row>
    <row r="295" ht="22.5" customHeight="1">
      <c r="A295" s="16">
        <v>1.0</v>
      </c>
      <c r="B295" s="16">
        <v>4.0</v>
      </c>
      <c r="C295" s="16">
        <v>1.0</v>
      </c>
      <c r="D295" s="16">
        <v>4.0</v>
      </c>
      <c r="E295" s="16">
        <v>0.0</v>
      </c>
      <c r="F295" s="16">
        <v>0.0</v>
      </c>
      <c r="G295" s="18">
        <v>1.0</v>
      </c>
      <c r="H295" s="16" t="s">
        <v>106</v>
      </c>
      <c r="I295" s="19">
        <f t="shared" si="1"/>
        <v>4</v>
      </c>
      <c r="J295" s="19">
        <f t="shared" si="2"/>
        <v>0</v>
      </c>
    </row>
    <row r="296" ht="22.5" customHeight="1">
      <c r="A296" s="16">
        <v>2.0</v>
      </c>
      <c r="B296" s="16">
        <v>8.0</v>
      </c>
      <c r="C296" s="16">
        <v>2.0</v>
      </c>
      <c r="D296" s="16">
        <v>4.0</v>
      </c>
      <c r="E296" s="16">
        <v>0.0</v>
      </c>
      <c r="F296" s="16">
        <v>0.0</v>
      </c>
      <c r="G296" s="18">
        <v>1.0</v>
      </c>
      <c r="H296" s="16" t="s">
        <v>292</v>
      </c>
      <c r="I296" s="19">
        <f t="shared" si="1"/>
        <v>8</v>
      </c>
      <c r="J296" s="19">
        <f t="shared" si="2"/>
        <v>0</v>
      </c>
    </row>
    <row r="297" ht="22.5" customHeight="1">
      <c r="A297" s="16">
        <v>1.0</v>
      </c>
      <c r="B297" s="16">
        <v>4.0</v>
      </c>
      <c r="C297" s="16">
        <v>0.0</v>
      </c>
      <c r="D297" s="16">
        <v>0.0</v>
      </c>
      <c r="E297" s="16">
        <v>0.0</v>
      </c>
      <c r="F297" s="16">
        <v>0.0</v>
      </c>
      <c r="G297" s="18">
        <v>0.0</v>
      </c>
      <c r="H297" s="16" t="s">
        <v>269</v>
      </c>
      <c r="I297" s="19">
        <f t="shared" si="1"/>
        <v>0</v>
      </c>
      <c r="J297" s="19">
        <f t="shared" si="2"/>
        <v>0</v>
      </c>
    </row>
    <row r="298" ht="22.5" customHeight="1">
      <c r="A298" s="16">
        <v>3.0</v>
      </c>
      <c r="B298" s="16">
        <v>12.0</v>
      </c>
      <c r="C298" s="16">
        <v>3.0</v>
      </c>
      <c r="D298" s="16">
        <v>1.33</v>
      </c>
      <c r="E298" s="16">
        <v>0.33</v>
      </c>
      <c r="F298" s="16">
        <v>0.0</v>
      </c>
      <c r="G298" s="20">
        <v>0.667</v>
      </c>
      <c r="H298" s="16" t="s">
        <v>269</v>
      </c>
      <c r="I298" s="19">
        <f t="shared" si="1"/>
        <v>4</v>
      </c>
      <c r="J298" s="19">
        <f t="shared" si="2"/>
        <v>1</v>
      </c>
    </row>
    <row r="299" ht="22.5" customHeight="1">
      <c r="A299" s="16">
        <v>1.0</v>
      </c>
      <c r="B299" s="16">
        <v>4.0</v>
      </c>
      <c r="C299" s="16">
        <v>2.0</v>
      </c>
      <c r="D299" s="16">
        <v>8.0</v>
      </c>
      <c r="E299" s="16">
        <v>0.0</v>
      </c>
      <c r="F299" s="16">
        <v>0.0</v>
      </c>
      <c r="G299" s="18">
        <v>1.0</v>
      </c>
      <c r="H299" s="16" t="s">
        <v>269</v>
      </c>
      <c r="I299" s="19">
        <f t="shared" si="1"/>
        <v>8</v>
      </c>
      <c r="J299" s="19">
        <f t="shared" si="2"/>
        <v>0</v>
      </c>
    </row>
    <row r="300" ht="22.5" customHeight="1">
      <c r="A300" s="16">
        <v>1.0</v>
      </c>
      <c r="B300" s="16">
        <v>4.0</v>
      </c>
      <c r="C300" s="16">
        <v>0.0</v>
      </c>
      <c r="D300" s="16">
        <v>0.0</v>
      </c>
      <c r="E300" s="16">
        <v>0.0</v>
      </c>
      <c r="F300" s="16">
        <v>0.0</v>
      </c>
      <c r="G300" s="18">
        <v>0.0</v>
      </c>
      <c r="H300" s="16" t="s">
        <v>293</v>
      </c>
      <c r="I300" s="19">
        <f t="shared" si="1"/>
        <v>0</v>
      </c>
      <c r="J300" s="19">
        <f t="shared" si="2"/>
        <v>0</v>
      </c>
    </row>
    <row r="301" ht="22.5" customHeight="1">
      <c r="A301" s="16">
        <v>3.0</v>
      </c>
      <c r="B301" s="16">
        <v>12.0</v>
      </c>
      <c r="C301" s="16">
        <v>0.0</v>
      </c>
      <c r="D301" s="16">
        <v>0.0</v>
      </c>
      <c r="E301" s="16">
        <v>0.0</v>
      </c>
      <c r="F301" s="16">
        <v>0.0</v>
      </c>
      <c r="G301" s="18">
        <v>0.0</v>
      </c>
      <c r="H301" s="16" t="s">
        <v>293</v>
      </c>
      <c r="I301" s="19">
        <f t="shared" si="1"/>
        <v>0</v>
      </c>
      <c r="J301" s="19">
        <f t="shared" si="2"/>
        <v>0</v>
      </c>
    </row>
    <row r="302" ht="22.5" customHeight="1">
      <c r="A302" s="16">
        <v>1.0</v>
      </c>
      <c r="B302" s="16">
        <v>4.0</v>
      </c>
      <c r="C302" s="16">
        <v>0.0</v>
      </c>
      <c r="D302" s="16">
        <v>0.0</v>
      </c>
      <c r="E302" s="16">
        <v>0.0</v>
      </c>
      <c r="F302" s="16">
        <v>0.0</v>
      </c>
      <c r="G302" s="18">
        <v>0.0</v>
      </c>
      <c r="H302" s="16" t="s">
        <v>293</v>
      </c>
      <c r="I302" s="19">
        <f t="shared" si="1"/>
        <v>0</v>
      </c>
      <c r="J302" s="19">
        <f t="shared" si="2"/>
        <v>0</v>
      </c>
    </row>
    <row r="303" ht="22.5" customHeight="1">
      <c r="A303" s="16">
        <v>5.0</v>
      </c>
      <c r="B303" s="16">
        <v>20.0</v>
      </c>
      <c r="C303" s="16">
        <v>0.0</v>
      </c>
      <c r="D303" s="16">
        <v>0.0</v>
      </c>
      <c r="E303" s="16">
        <v>0.0</v>
      </c>
      <c r="F303" s="16">
        <v>0.0</v>
      </c>
      <c r="G303" s="18">
        <v>0.0</v>
      </c>
      <c r="H303" s="16" t="s">
        <v>285</v>
      </c>
      <c r="I303" s="19">
        <f t="shared" si="1"/>
        <v>0</v>
      </c>
      <c r="J303" s="19">
        <f t="shared" si="2"/>
        <v>0</v>
      </c>
    </row>
    <row r="304" ht="22.5" customHeight="1">
      <c r="A304" s="16">
        <v>1.0</v>
      </c>
      <c r="B304" s="16">
        <v>4.0</v>
      </c>
      <c r="C304" s="16">
        <v>0.0</v>
      </c>
      <c r="D304" s="16">
        <v>0.0</v>
      </c>
      <c r="E304" s="16">
        <v>0.0</v>
      </c>
      <c r="F304" s="16">
        <v>0.0</v>
      </c>
      <c r="G304" s="18">
        <v>0.0</v>
      </c>
      <c r="H304" s="16" t="s">
        <v>246</v>
      </c>
      <c r="I304" s="19">
        <f t="shared" si="1"/>
        <v>0</v>
      </c>
      <c r="J304" s="19">
        <f t="shared" si="2"/>
        <v>0</v>
      </c>
    </row>
    <row r="305" ht="22.5" customHeight="1">
      <c r="A305" s="16">
        <v>4.0</v>
      </c>
      <c r="B305" s="16">
        <v>16.0</v>
      </c>
      <c r="C305" s="16">
        <v>2.0</v>
      </c>
      <c r="D305" s="16">
        <v>-1.0</v>
      </c>
      <c r="E305" s="16">
        <v>0.25</v>
      </c>
      <c r="F305" s="16">
        <v>0.0</v>
      </c>
      <c r="G305" s="18">
        <v>0.0</v>
      </c>
      <c r="H305" s="16" t="s">
        <v>295</v>
      </c>
      <c r="I305" s="19">
        <f t="shared" si="1"/>
        <v>-4</v>
      </c>
      <c r="J305" s="19">
        <f t="shared" si="2"/>
        <v>1</v>
      </c>
    </row>
    <row r="306" ht="22.5" customHeight="1">
      <c r="A306" s="16">
        <v>5.0</v>
      </c>
      <c r="B306" s="16">
        <v>20.0</v>
      </c>
      <c r="C306" s="16">
        <v>9.0</v>
      </c>
      <c r="D306" s="16">
        <v>4.0</v>
      </c>
      <c r="E306" s="16">
        <v>0.2</v>
      </c>
      <c r="F306" s="16">
        <v>0.0</v>
      </c>
      <c r="G306" s="20">
        <v>0.667</v>
      </c>
      <c r="H306" s="16" t="s">
        <v>286</v>
      </c>
      <c r="I306" s="19">
        <f t="shared" si="1"/>
        <v>20</v>
      </c>
      <c r="J306" s="19">
        <f t="shared" si="2"/>
        <v>1</v>
      </c>
    </row>
    <row r="307" ht="22.5" customHeight="1">
      <c r="A307" s="16">
        <v>5.0</v>
      </c>
      <c r="B307" s="16">
        <v>20.0</v>
      </c>
      <c r="C307" s="16">
        <v>0.0</v>
      </c>
      <c r="D307" s="16">
        <v>0.0</v>
      </c>
      <c r="E307" s="16">
        <v>0.0</v>
      </c>
      <c r="F307" s="16">
        <v>0.0</v>
      </c>
      <c r="G307" s="18">
        <v>0.0</v>
      </c>
      <c r="H307" s="16" t="s">
        <v>297</v>
      </c>
      <c r="I307" s="19">
        <f t="shared" si="1"/>
        <v>0</v>
      </c>
      <c r="J307" s="19">
        <f t="shared" si="2"/>
        <v>0</v>
      </c>
    </row>
    <row r="308" ht="22.5" customHeight="1">
      <c r="A308" s="16">
        <v>3.0</v>
      </c>
      <c r="B308" s="16">
        <v>12.0</v>
      </c>
      <c r="C308" s="16">
        <v>1.0</v>
      </c>
      <c r="D308" s="16">
        <v>1.33</v>
      </c>
      <c r="E308" s="16">
        <v>0.0</v>
      </c>
      <c r="F308" s="16">
        <v>0.0</v>
      </c>
      <c r="G308" s="18">
        <v>1.0</v>
      </c>
      <c r="H308" s="16" t="s">
        <v>298</v>
      </c>
      <c r="I308" s="19">
        <f t="shared" si="1"/>
        <v>4</v>
      </c>
      <c r="J308" s="19">
        <f t="shared" si="2"/>
        <v>0</v>
      </c>
    </row>
    <row r="309" ht="22.5" customHeight="1">
      <c r="A309" s="16">
        <v>4.0</v>
      </c>
      <c r="B309" s="16">
        <v>16.0</v>
      </c>
      <c r="C309" s="16">
        <v>3.0</v>
      </c>
      <c r="D309" s="16">
        <v>0.0</v>
      </c>
      <c r="E309" s="16">
        <v>0.0</v>
      </c>
      <c r="F309" s="16">
        <v>0.0</v>
      </c>
      <c r="G309" s="18">
        <v>0.0</v>
      </c>
      <c r="H309" s="16" t="s">
        <v>296</v>
      </c>
      <c r="I309" s="19">
        <f t="shared" si="1"/>
        <v>0</v>
      </c>
      <c r="J309" s="19">
        <f t="shared" si="2"/>
        <v>0</v>
      </c>
    </row>
    <row r="310" ht="22.5" customHeight="1">
      <c r="A310" s="16">
        <v>4.0</v>
      </c>
      <c r="B310" s="16">
        <v>16.0</v>
      </c>
      <c r="C310" s="16">
        <v>4.0</v>
      </c>
      <c r="D310" s="16">
        <v>2.0</v>
      </c>
      <c r="E310" s="16">
        <v>0.25</v>
      </c>
      <c r="F310" s="16">
        <v>0.0</v>
      </c>
      <c r="G310" s="18">
        <v>0.75</v>
      </c>
      <c r="H310" s="16" t="s">
        <v>175</v>
      </c>
      <c r="I310" s="19">
        <f t="shared" si="1"/>
        <v>8</v>
      </c>
      <c r="J310" s="19">
        <f t="shared" si="2"/>
        <v>1</v>
      </c>
    </row>
    <row r="311" ht="22.5" customHeight="1">
      <c r="A311" s="16">
        <v>4.0</v>
      </c>
      <c r="B311" s="16">
        <v>16.0</v>
      </c>
      <c r="C311" s="16">
        <v>0.0</v>
      </c>
      <c r="D311" s="16">
        <v>0.0</v>
      </c>
      <c r="E311" s="16">
        <v>0.0</v>
      </c>
      <c r="F311" s="16">
        <v>0.0</v>
      </c>
      <c r="G311" s="18">
        <v>0.0</v>
      </c>
      <c r="H311" s="16" t="s">
        <v>300</v>
      </c>
      <c r="I311" s="19">
        <f t="shared" si="1"/>
        <v>0</v>
      </c>
      <c r="J311" s="19">
        <f t="shared" si="2"/>
        <v>0</v>
      </c>
    </row>
    <row r="312" ht="22.5" customHeight="1">
      <c r="A312" s="16">
        <v>4.0</v>
      </c>
      <c r="B312" s="16">
        <v>16.0</v>
      </c>
      <c r="C312" s="16">
        <v>0.0</v>
      </c>
      <c r="D312" s="16">
        <v>0.0</v>
      </c>
      <c r="E312" s="16">
        <v>0.0</v>
      </c>
      <c r="F312" s="16">
        <v>0.0</v>
      </c>
      <c r="G312" s="18">
        <v>0.0</v>
      </c>
      <c r="H312" s="16" t="s">
        <v>271</v>
      </c>
      <c r="I312" s="19">
        <f t="shared" si="1"/>
        <v>0</v>
      </c>
      <c r="J312" s="19">
        <f t="shared" si="2"/>
        <v>0</v>
      </c>
    </row>
    <row r="313" ht="22.5" customHeight="1">
      <c r="A313" s="16">
        <v>1.0</v>
      </c>
      <c r="B313" s="16">
        <v>4.0</v>
      </c>
      <c r="C313" s="16">
        <v>0.0</v>
      </c>
      <c r="D313" s="16">
        <v>0.0</v>
      </c>
      <c r="E313" s="16">
        <v>0.0</v>
      </c>
      <c r="F313" s="16">
        <v>0.0</v>
      </c>
      <c r="G313" s="18">
        <v>0.0</v>
      </c>
      <c r="H313" s="16" t="s">
        <v>271</v>
      </c>
      <c r="I313" s="19">
        <f t="shared" si="1"/>
        <v>0</v>
      </c>
      <c r="J313" s="19">
        <f t="shared" si="2"/>
        <v>0</v>
      </c>
    </row>
    <row r="314" ht="22.5" customHeight="1">
      <c r="A314" s="16">
        <v>4.0</v>
      </c>
      <c r="B314" s="16">
        <v>16.0</v>
      </c>
      <c r="C314" s="16">
        <v>6.0</v>
      </c>
      <c r="D314" s="16">
        <v>4.0</v>
      </c>
      <c r="E314" s="16">
        <v>0.0</v>
      </c>
      <c r="F314" s="16">
        <v>0.0</v>
      </c>
      <c r="G314" s="20">
        <v>0.667</v>
      </c>
      <c r="H314" s="16" t="s">
        <v>249</v>
      </c>
      <c r="I314" s="19">
        <f t="shared" si="1"/>
        <v>16</v>
      </c>
      <c r="J314" s="19">
        <f t="shared" si="2"/>
        <v>0</v>
      </c>
    </row>
    <row r="315" ht="22.5" customHeight="1">
      <c r="A315" s="16">
        <v>1.0</v>
      </c>
      <c r="B315" s="16">
        <v>4.0</v>
      </c>
      <c r="C315" s="16">
        <v>1.0</v>
      </c>
      <c r="D315" s="16">
        <v>4.0</v>
      </c>
      <c r="E315" s="16">
        <v>0.0</v>
      </c>
      <c r="F315" s="16">
        <v>0.0</v>
      </c>
      <c r="G315" s="18">
        <v>1.0</v>
      </c>
      <c r="H315" s="16" t="s">
        <v>249</v>
      </c>
      <c r="I315" s="19">
        <f t="shared" si="1"/>
        <v>4</v>
      </c>
      <c r="J315" s="19">
        <f t="shared" si="2"/>
        <v>0</v>
      </c>
    </row>
    <row r="316" ht="22.5" customHeight="1">
      <c r="A316" s="16">
        <v>4.0</v>
      </c>
      <c r="B316" s="16">
        <v>16.0</v>
      </c>
      <c r="C316" s="16">
        <v>2.0</v>
      </c>
      <c r="D316" s="16">
        <v>2.0</v>
      </c>
      <c r="E316" s="16">
        <v>0.0</v>
      </c>
      <c r="F316" s="16">
        <v>0.0</v>
      </c>
      <c r="G316" s="18">
        <v>1.0</v>
      </c>
      <c r="H316" s="16" t="s">
        <v>272</v>
      </c>
      <c r="I316" s="19">
        <f t="shared" si="1"/>
        <v>8</v>
      </c>
      <c r="J316" s="19">
        <f t="shared" si="2"/>
        <v>0</v>
      </c>
    </row>
    <row r="317" ht="22.5" customHeight="1">
      <c r="A317" s="16">
        <v>1.0</v>
      </c>
      <c r="B317" s="16">
        <v>4.0</v>
      </c>
      <c r="C317" s="16">
        <v>2.0</v>
      </c>
      <c r="D317" s="16">
        <v>0.0</v>
      </c>
      <c r="E317" s="16">
        <v>0.0</v>
      </c>
      <c r="F317" s="16">
        <v>0.0</v>
      </c>
      <c r="G317" s="18">
        <v>0.0</v>
      </c>
      <c r="H317" s="16" t="s">
        <v>272</v>
      </c>
      <c r="I317" s="19">
        <f t="shared" si="1"/>
        <v>0</v>
      </c>
      <c r="J317" s="19">
        <f t="shared" si="2"/>
        <v>0</v>
      </c>
    </row>
    <row r="318" ht="22.5" customHeight="1">
      <c r="A318" s="16">
        <v>4.0</v>
      </c>
      <c r="B318" s="16">
        <v>16.0</v>
      </c>
      <c r="C318" s="16">
        <v>10.0</v>
      </c>
      <c r="D318" s="16">
        <v>3.0</v>
      </c>
      <c r="E318" s="16">
        <v>0.25</v>
      </c>
      <c r="F318" s="16">
        <v>0.0</v>
      </c>
      <c r="G318" s="18">
        <v>0.4</v>
      </c>
      <c r="H318" s="16" t="s">
        <v>138</v>
      </c>
      <c r="I318" s="19">
        <f t="shared" si="1"/>
        <v>12</v>
      </c>
      <c r="J318" s="19">
        <f t="shared" si="2"/>
        <v>1</v>
      </c>
    </row>
    <row r="319" ht="22.5" customHeight="1">
      <c r="A319" s="16">
        <v>1.0</v>
      </c>
      <c r="B319" s="16">
        <v>4.0</v>
      </c>
      <c r="C319" s="16">
        <v>0.0</v>
      </c>
      <c r="D319" s="16">
        <v>0.0</v>
      </c>
      <c r="E319" s="16">
        <v>0.0</v>
      </c>
      <c r="F319" s="16">
        <v>0.0</v>
      </c>
      <c r="G319" s="18">
        <v>0.0</v>
      </c>
      <c r="H319" s="16" t="s">
        <v>138</v>
      </c>
      <c r="I319" s="19">
        <f t="shared" si="1"/>
        <v>0</v>
      </c>
      <c r="J319" s="19">
        <f t="shared" si="2"/>
        <v>0</v>
      </c>
    </row>
    <row r="320" ht="22.5" customHeight="1">
      <c r="A320" s="16">
        <v>2.0</v>
      </c>
      <c r="B320" s="16">
        <v>8.0</v>
      </c>
      <c r="C320" s="16">
        <v>0.0</v>
      </c>
      <c r="D320" s="16">
        <v>0.0</v>
      </c>
      <c r="E320" s="16">
        <v>0.0</v>
      </c>
      <c r="F320" s="16">
        <v>0.0</v>
      </c>
      <c r="G320" s="18">
        <v>0.0</v>
      </c>
      <c r="H320" s="16" t="s">
        <v>303</v>
      </c>
      <c r="I320" s="19">
        <f t="shared" si="1"/>
        <v>0</v>
      </c>
      <c r="J320" s="19">
        <f t="shared" si="2"/>
        <v>0</v>
      </c>
    </row>
    <row r="321" ht="22.5" customHeight="1">
      <c r="A321" s="16">
        <v>4.0</v>
      </c>
      <c r="B321" s="16">
        <v>16.0</v>
      </c>
      <c r="C321" s="16">
        <v>0.0</v>
      </c>
      <c r="D321" s="16">
        <v>0.0</v>
      </c>
      <c r="E321" s="16">
        <v>0.0</v>
      </c>
      <c r="F321" s="16">
        <v>0.0</v>
      </c>
      <c r="G321" s="18">
        <v>0.0</v>
      </c>
      <c r="H321" s="16" t="s">
        <v>304</v>
      </c>
      <c r="I321" s="19">
        <f t="shared" si="1"/>
        <v>0</v>
      </c>
      <c r="J321" s="19">
        <f t="shared" si="2"/>
        <v>0</v>
      </c>
    </row>
    <row r="322" ht="22.5" customHeight="1">
      <c r="A322" s="16">
        <v>1.0</v>
      </c>
      <c r="B322" s="16">
        <v>4.0</v>
      </c>
      <c r="C322" s="16">
        <v>0.0</v>
      </c>
      <c r="D322" s="16">
        <v>0.0</v>
      </c>
      <c r="E322" s="16">
        <v>0.0</v>
      </c>
      <c r="F322" s="16">
        <v>0.0</v>
      </c>
      <c r="G322" s="18">
        <v>0.0</v>
      </c>
      <c r="H322" s="16" t="s">
        <v>305</v>
      </c>
      <c r="I322" s="19">
        <f t="shared" si="1"/>
        <v>0</v>
      </c>
      <c r="J322" s="19">
        <f t="shared" si="2"/>
        <v>0</v>
      </c>
    </row>
    <row r="323" ht="22.5" customHeight="1">
      <c r="A323" s="16">
        <v>1.0</v>
      </c>
      <c r="B323" s="16">
        <v>4.0</v>
      </c>
      <c r="C323" s="16">
        <v>2.0</v>
      </c>
      <c r="D323" s="16">
        <v>8.0</v>
      </c>
      <c r="E323" s="16">
        <v>0.0</v>
      </c>
      <c r="F323" s="16">
        <v>0.0</v>
      </c>
      <c r="G323" s="18">
        <v>1.0</v>
      </c>
      <c r="H323" s="16" t="s">
        <v>306</v>
      </c>
      <c r="I323" s="19">
        <f t="shared" si="1"/>
        <v>8</v>
      </c>
      <c r="J323" s="19">
        <f t="shared" si="2"/>
        <v>0</v>
      </c>
    </row>
    <row r="324" ht="22.5" customHeight="1">
      <c r="A324" s="16">
        <v>1.0</v>
      </c>
      <c r="B324" s="16">
        <v>4.0</v>
      </c>
      <c r="C324" s="16">
        <v>0.0</v>
      </c>
      <c r="D324" s="16">
        <v>0.0</v>
      </c>
      <c r="E324" s="16">
        <v>0.0</v>
      </c>
      <c r="F324" s="16">
        <v>0.0</v>
      </c>
      <c r="G324" s="18">
        <v>0.0</v>
      </c>
      <c r="H324" s="16" t="s">
        <v>306</v>
      </c>
      <c r="I324" s="19">
        <f t="shared" si="1"/>
        <v>0</v>
      </c>
      <c r="J324" s="19">
        <f t="shared" si="2"/>
        <v>0</v>
      </c>
    </row>
    <row r="325" ht="22.5" customHeight="1">
      <c r="A325" s="16">
        <v>1.0</v>
      </c>
      <c r="B325" s="16">
        <v>4.0</v>
      </c>
      <c r="C325" s="16">
        <v>0.0</v>
      </c>
      <c r="D325" s="16">
        <v>0.0</v>
      </c>
      <c r="E325" s="16">
        <v>0.0</v>
      </c>
      <c r="F325" s="16">
        <v>0.0</v>
      </c>
      <c r="G325" s="18">
        <v>0.0</v>
      </c>
      <c r="H325" s="16" t="s">
        <v>306</v>
      </c>
      <c r="I325" s="19">
        <f t="shared" si="1"/>
        <v>0</v>
      </c>
      <c r="J325" s="19">
        <f t="shared" si="2"/>
        <v>0</v>
      </c>
    </row>
    <row r="326" ht="22.5" customHeight="1">
      <c r="A326" s="16">
        <v>1.0</v>
      </c>
      <c r="B326" s="16">
        <v>4.0</v>
      </c>
      <c r="C326" s="16">
        <v>1.0</v>
      </c>
      <c r="D326" s="16">
        <v>0.0</v>
      </c>
      <c r="E326" s="16">
        <v>0.0</v>
      </c>
      <c r="F326" s="16">
        <v>0.0</v>
      </c>
      <c r="G326" s="18">
        <v>0.0</v>
      </c>
      <c r="H326" s="16" t="s">
        <v>306</v>
      </c>
      <c r="I326" s="19">
        <f t="shared" si="1"/>
        <v>0</v>
      </c>
      <c r="J326" s="19">
        <f t="shared" si="2"/>
        <v>0</v>
      </c>
    </row>
    <row r="327" ht="22.5" customHeight="1">
      <c r="A327" s="16">
        <v>1.0</v>
      </c>
      <c r="B327" s="16">
        <v>4.0</v>
      </c>
      <c r="C327" s="16">
        <v>0.0</v>
      </c>
      <c r="D327" s="16">
        <v>0.0</v>
      </c>
      <c r="E327" s="16">
        <v>0.0</v>
      </c>
      <c r="F327" s="16">
        <v>0.0</v>
      </c>
      <c r="G327" s="18">
        <v>0.0</v>
      </c>
      <c r="H327" s="16" t="s">
        <v>141</v>
      </c>
      <c r="I327" s="19">
        <f t="shared" si="1"/>
        <v>0</v>
      </c>
      <c r="J327" s="19">
        <f t="shared" si="2"/>
        <v>0</v>
      </c>
    </row>
    <row r="328" ht="22.5" customHeight="1">
      <c r="A328" s="16">
        <v>1.0</v>
      </c>
      <c r="B328" s="16">
        <v>4.0</v>
      </c>
      <c r="C328" s="16">
        <v>0.0</v>
      </c>
      <c r="D328" s="16">
        <v>0.0</v>
      </c>
      <c r="E328" s="16">
        <v>0.0</v>
      </c>
      <c r="F328" s="16">
        <v>0.0</v>
      </c>
      <c r="G328" s="18">
        <v>0.0</v>
      </c>
      <c r="H328" s="16" t="s">
        <v>141</v>
      </c>
      <c r="I328" s="19">
        <f t="shared" si="1"/>
        <v>0</v>
      </c>
      <c r="J328" s="19">
        <f t="shared" si="2"/>
        <v>0</v>
      </c>
    </row>
    <row r="329" ht="22.5" customHeight="1">
      <c r="A329" s="16">
        <v>1.0</v>
      </c>
      <c r="B329" s="16">
        <v>4.0</v>
      </c>
      <c r="C329" s="16">
        <v>4.0</v>
      </c>
      <c r="D329" s="16">
        <v>12.0</v>
      </c>
      <c r="E329" s="16">
        <v>0.0</v>
      </c>
      <c r="F329" s="16">
        <v>0.0</v>
      </c>
      <c r="G329" s="18">
        <v>0.75</v>
      </c>
      <c r="H329" s="16" t="s">
        <v>141</v>
      </c>
      <c r="I329" s="19">
        <f t="shared" si="1"/>
        <v>12</v>
      </c>
      <c r="J329" s="19">
        <f t="shared" si="2"/>
        <v>0</v>
      </c>
    </row>
    <row r="330" ht="22.5" customHeight="1">
      <c r="A330" s="16">
        <v>1.0</v>
      </c>
      <c r="B330" s="16">
        <v>4.0</v>
      </c>
      <c r="C330" s="16">
        <v>0.0</v>
      </c>
      <c r="D330" s="16">
        <v>0.0</v>
      </c>
      <c r="E330" s="16">
        <v>0.0</v>
      </c>
      <c r="F330" s="16">
        <v>0.0</v>
      </c>
      <c r="G330" s="18">
        <v>0.0</v>
      </c>
      <c r="H330" s="16" t="s">
        <v>141</v>
      </c>
      <c r="I330" s="19">
        <f t="shared" si="1"/>
        <v>0</v>
      </c>
      <c r="J330" s="19">
        <f t="shared" si="2"/>
        <v>0</v>
      </c>
    </row>
    <row r="331" ht="22.5" customHeight="1">
      <c r="A331" s="16">
        <v>1.0</v>
      </c>
      <c r="B331" s="16">
        <v>4.0</v>
      </c>
      <c r="C331" s="16">
        <v>1.0</v>
      </c>
      <c r="D331" s="16">
        <v>4.0</v>
      </c>
      <c r="E331" s="16">
        <v>0.0</v>
      </c>
      <c r="F331" s="16">
        <v>0.0</v>
      </c>
      <c r="G331" s="18">
        <v>1.0</v>
      </c>
      <c r="H331" s="16" t="s">
        <v>308</v>
      </c>
      <c r="I331" s="19">
        <f t="shared" si="1"/>
        <v>4</v>
      </c>
      <c r="J331" s="19">
        <f t="shared" si="2"/>
        <v>0</v>
      </c>
    </row>
    <row r="332" ht="22.5" customHeight="1">
      <c r="A332" s="16">
        <v>1.0</v>
      </c>
      <c r="B332" s="16">
        <v>4.0</v>
      </c>
      <c r="C332" s="16">
        <v>2.0</v>
      </c>
      <c r="D332" s="16">
        <v>8.0</v>
      </c>
      <c r="E332" s="16">
        <v>0.0</v>
      </c>
      <c r="F332" s="16">
        <v>0.0</v>
      </c>
      <c r="G332" s="18">
        <v>1.0</v>
      </c>
      <c r="H332" s="16" t="s">
        <v>308</v>
      </c>
      <c r="I332" s="19">
        <f t="shared" si="1"/>
        <v>8</v>
      </c>
      <c r="J332" s="19">
        <f t="shared" si="2"/>
        <v>0</v>
      </c>
    </row>
    <row r="333" ht="22.5" customHeight="1">
      <c r="A333" s="16">
        <v>1.0</v>
      </c>
      <c r="B333" s="16">
        <v>4.0</v>
      </c>
      <c r="C333" s="16">
        <v>0.0</v>
      </c>
      <c r="D333" s="16">
        <v>0.0</v>
      </c>
      <c r="E333" s="16">
        <v>0.0</v>
      </c>
      <c r="F333" s="16">
        <v>0.0</v>
      </c>
      <c r="G333" s="18">
        <v>0.0</v>
      </c>
      <c r="H333" s="16" t="s">
        <v>308</v>
      </c>
      <c r="I333" s="19">
        <f t="shared" si="1"/>
        <v>0</v>
      </c>
      <c r="J333" s="19">
        <f t="shared" si="2"/>
        <v>0</v>
      </c>
    </row>
    <row r="334" ht="22.5" customHeight="1">
      <c r="A334" s="16">
        <v>1.0</v>
      </c>
      <c r="B334" s="16">
        <v>4.0</v>
      </c>
      <c r="C334" s="16">
        <v>0.0</v>
      </c>
      <c r="D334" s="16">
        <v>0.0</v>
      </c>
      <c r="E334" s="16">
        <v>0.0</v>
      </c>
      <c r="F334" s="16">
        <v>0.0</v>
      </c>
      <c r="G334" s="18">
        <v>0.0</v>
      </c>
      <c r="H334" s="16" t="s">
        <v>309</v>
      </c>
      <c r="I334" s="19">
        <f t="shared" si="1"/>
        <v>0</v>
      </c>
      <c r="J334" s="19">
        <f t="shared" si="2"/>
        <v>0</v>
      </c>
    </row>
    <row r="335" ht="22.5" customHeight="1">
      <c r="A335" s="16">
        <v>1.0</v>
      </c>
      <c r="B335" s="16">
        <v>4.0</v>
      </c>
      <c r="C335" s="16">
        <v>0.0</v>
      </c>
      <c r="D335" s="16">
        <v>0.0</v>
      </c>
      <c r="E335" s="16">
        <v>0.0</v>
      </c>
      <c r="F335" s="16">
        <v>0.0</v>
      </c>
      <c r="G335" s="18">
        <v>0.0</v>
      </c>
      <c r="H335" s="16" t="s">
        <v>309</v>
      </c>
      <c r="I335" s="19">
        <f t="shared" si="1"/>
        <v>0</v>
      </c>
      <c r="J335" s="19">
        <f t="shared" si="2"/>
        <v>0</v>
      </c>
    </row>
    <row r="336" ht="22.5" customHeight="1">
      <c r="A336" s="16">
        <v>1.0</v>
      </c>
      <c r="B336" s="16">
        <v>4.0</v>
      </c>
      <c r="C336" s="16">
        <v>0.0</v>
      </c>
      <c r="D336" s="16">
        <v>0.0</v>
      </c>
      <c r="E336" s="16">
        <v>0.0</v>
      </c>
      <c r="F336" s="16">
        <v>0.0</v>
      </c>
      <c r="G336" s="18">
        <v>0.0</v>
      </c>
      <c r="H336" s="16" t="s">
        <v>310</v>
      </c>
      <c r="I336" s="19">
        <f t="shared" si="1"/>
        <v>0</v>
      </c>
      <c r="J336" s="19">
        <f t="shared" si="2"/>
        <v>0</v>
      </c>
    </row>
    <row r="337" ht="22.5" customHeight="1">
      <c r="A337" s="16">
        <v>1.0</v>
      </c>
      <c r="B337" s="16">
        <v>4.0</v>
      </c>
      <c r="C337" s="16">
        <v>0.0</v>
      </c>
      <c r="D337" s="16">
        <v>0.0</v>
      </c>
      <c r="E337" s="16">
        <v>0.0</v>
      </c>
      <c r="F337" s="16">
        <v>0.0</v>
      </c>
      <c r="G337" s="18">
        <v>0.0</v>
      </c>
      <c r="H337" s="16" t="s">
        <v>310</v>
      </c>
      <c r="I337" s="19">
        <f t="shared" si="1"/>
        <v>0</v>
      </c>
      <c r="J337" s="19">
        <f t="shared" si="2"/>
        <v>0</v>
      </c>
    </row>
    <row r="338" ht="22.5" customHeight="1">
      <c r="A338" s="16">
        <v>1.0</v>
      </c>
      <c r="B338" s="16">
        <v>4.0</v>
      </c>
      <c r="C338" s="16">
        <v>1.0</v>
      </c>
      <c r="D338" s="16">
        <v>4.0</v>
      </c>
      <c r="E338" s="16">
        <v>0.0</v>
      </c>
      <c r="F338" s="16">
        <v>0.0</v>
      </c>
      <c r="G338" s="18">
        <v>1.0</v>
      </c>
      <c r="H338" s="16" t="s">
        <v>252</v>
      </c>
      <c r="I338" s="19">
        <f t="shared" si="1"/>
        <v>4</v>
      </c>
      <c r="J338" s="19">
        <f t="shared" si="2"/>
        <v>0</v>
      </c>
    </row>
    <row r="339" ht="22.5" customHeight="1">
      <c r="A339" s="16">
        <v>2.0</v>
      </c>
      <c r="B339" s="16">
        <v>8.0</v>
      </c>
      <c r="C339" s="16">
        <v>0.0</v>
      </c>
      <c r="D339" s="16">
        <v>0.0</v>
      </c>
      <c r="E339" s="16">
        <v>0.0</v>
      </c>
      <c r="F339" s="16">
        <v>0.0</v>
      </c>
      <c r="G339" s="18">
        <v>0.0</v>
      </c>
      <c r="H339" s="16" t="s">
        <v>252</v>
      </c>
      <c r="I339" s="19">
        <f t="shared" si="1"/>
        <v>0</v>
      </c>
      <c r="J339" s="19">
        <f t="shared" si="2"/>
        <v>0</v>
      </c>
    </row>
    <row r="340" ht="22.5" customHeight="1">
      <c r="A340" s="16">
        <v>3.0</v>
      </c>
      <c r="B340" s="16">
        <v>12.0</v>
      </c>
      <c r="C340" s="16">
        <v>4.0</v>
      </c>
      <c r="D340" s="16">
        <v>4.0</v>
      </c>
      <c r="E340" s="16">
        <v>0.0</v>
      </c>
      <c r="F340" s="16">
        <v>0.0</v>
      </c>
      <c r="G340" s="18">
        <v>0.75</v>
      </c>
      <c r="H340" s="16" t="s">
        <v>274</v>
      </c>
      <c r="I340" s="19">
        <f t="shared" si="1"/>
        <v>12</v>
      </c>
      <c r="J340" s="19">
        <f t="shared" si="2"/>
        <v>0</v>
      </c>
    </row>
    <row r="341" ht="22.5" customHeight="1">
      <c r="A341" s="16">
        <v>2.0</v>
      </c>
      <c r="B341" s="16">
        <v>8.0</v>
      </c>
      <c r="C341" s="16">
        <v>4.0</v>
      </c>
      <c r="D341" s="16">
        <v>6.0</v>
      </c>
      <c r="E341" s="16">
        <v>0.0</v>
      </c>
      <c r="F341" s="16">
        <v>0.0</v>
      </c>
      <c r="G341" s="18">
        <v>0.75</v>
      </c>
      <c r="H341" s="16" t="s">
        <v>274</v>
      </c>
      <c r="I341" s="19">
        <f t="shared" si="1"/>
        <v>12</v>
      </c>
      <c r="J341" s="19">
        <f t="shared" si="2"/>
        <v>0</v>
      </c>
    </row>
    <row r="342" ht="22.5" customHeight="1">
      <c r="A342" s="16">
        <v>3.0</v>
      </c>
      <c r="B342" s="16">
        <v>12.0</v>
      </c>
      <c r="C342" s="16">
        <v>3.0</v>
      </c>
      <c r="D342" s="16">
        <v>1.33</v>
      </c>
      <c r="E342" s="16">
        <v>0.33</v>
      </c>
      <c r="F342" s="16">
        <v>0.0</v>
      </c>
      <c r="G342" s="20">
        <v>0.667</v>
      </c>
      <c r="H342" s="16" t="s">
        <v>230</v>
      </c>
      <c r="I342" s="19">
        <f t="shared" si="1"/>
        <v>4</v>
      </c>
      <c r="J342" s="19">
        <f t="shared" si="2"/>
        <v>1</v>
      </c>
    </row>
    <row r="343" ht="22.5" customHeight="1">
      <c r="A343" s="16">
        <v>2.0</v>
      </c>
      <c r="B343" s="16">
        <v>8.0</v>
      </c>
      <c r="C343" s="16">
        <v>1.0</v>
      </c>
      <c r="D343" s="16">
        <v>-2.0</v>
      </c>
      <c r="E343" s="16">
        <v>0.5</v>
      </c>
      <c r="F343" s="16">
        <v>0.0</v>
      </c>
      <c r="G343" s="18">
        <v>0.0</v>
      </c>
      <c r="H343" s="16" t="s">
        <v>230</v>
      </c>
      <c r="I343" s="19">
        <f t="shared" si="1"/>
        <v>-4</v>
      </c>
      <c r="J343" s="19">
        <f t="shared" si="2"/>
        <v>1</v>
      </c>
    </row>
    <row r="344" ht="22.5" customHeight="1">
      <c r="A344" s="16">
        <v>1.0</v>
      </c>
      <c r="B344" s="16">
        <v>4.0</v>
      </c>
      <c r="C344" s="16">
        <v>0.0</v>
      </c>
      <c r="D344" s="16">
        <v>0.0</v>
      </c>
      <c r="E344" s="16">
        <v>0.0</v>
      </c>
      <c r="F344" s="16">
        <v>0.0</v>
      </c>
      <c r="G344" s="18">
        <v>0.0</v>
      </c>
      <c r="H344" s="16" t="s">
        <v>313</v>
      </c>
      <c r="I344" s="19">
        <f t="shared" si="1"/>
        <v>0</v>
      </c>
      <c r="J344" s="19">
        <f t="shared" si="2"/>
        <v>0</v>
      </c>
    </row>
    <row r="345" ht="22.5" customHeight="1">
      <c r="A345" s="16">
        <v>1.0</v>
      </c>
      <c r="B345" s="16">
        <v>4.0</v>
      </c>
      <c r="C345" s="16">
        <v>0.0</v>
      </c>
      <c r="D345" s="16">
        <v>0.0</v>
      </c>
      <c r="E345" s="16">
        <v>0.0</v>
      </c>
      <c r="F345" s="16">
        <v>0.0</v>
      </c>
      <c r="G345" s="18">
        <v>0.0</v>
      </c>
      <c r="H345" s="16" t="s">
        <v>313</v>
      </c>
      <c r="I345" s="19">
        <f t="shared" si="1"/>
        <v>0</v>
      </c>
      <c r="J345" s="19">
        <f t="shared" si="2"/>
        <v>0</v>
      </c>
    </row>
    <row r="346" ht="22.5" customHeight="1">
      <c r="A346" s="16">
        <v>2.0</v>
      </c>
      <c r="B346" s="16">
        <v>8.0</v>
      </c>
      <c r="C346" s="16">
        <v>0.0</v>
      </c>
      <c r="D346" s="16">
        <v>0.0</v>
      </c>
      <c r="E346" s="16">
        <v>0.0</v>
      </c>
      <c r="F346" s="16">
        <v>0.0</v>
      </c>
      <c r="G346" s="18">
        <v>0.0</v>
      </c>
      <c r="H346" s="16" t="s">
        <v>314</v>
      </c>
      <c r="I346" s="19">
        <f t="shared" si="1"/>
        <v>0</v>
      </c>
      <c r="J346" s="19">
        <f t="shared" si="2"/>
        <v>0</v>
      </c>
    </row>
    <row r="347" ht="22.5" customHeight="1">
      <c r="A347" s="16">
        <v>1.0</v>
      </c>
      <c r="B347" s="16">
        <v>4.0</v>
      </c>
      <c r="C347" s="16">
        <v>2.0</v>
      </c>
      <c r="D347" s="16">
        <v>8.0</v>
      </c>
      <c r="E347" s="16">
        <v>0.0</v>
      </c>
      <c r="F347" s="16">
        <v>0.0</v>
      </c>
      <c r="G347" s="18">
        <v>1.0</v>
      </c>
      <c r="H347" s="16" t="s">
        <v>314</v>
      </c>
      <c r="I347" s="19">
        <f t="shared" si="1"/>
        <v>8</v>
      </c>
      <c r="J347" s="19">
        <f t="shared" si="2"/>
        <v>0</v>
      </c>
    </row>
    <row r="348" ht="22.5" customHeight="1">
      <c r="A348" s="16">
        <v>3.0</v>
      </c>
      <c r="B348" s="16">
        <v>12.0</v>
      </c>
      <c r="C348" s="16">
        <v>3.0</v>
      </c>
      <c r="D348" s="16">
        <v>-1.33</v>
      </c>
      <c r="E348" s="16">
        <v>0.67</v>
      </c>
      <c r="F348" s="16">
        <v>0.0</v>
      </c>
      <c r="G348" s="20">
        <v>0.333</v>
      </c>
      <c r="H348" s="16" t="s">
        <v>315</v>
      </c>
      <c r="I348" s="19">
        <f t="shared" si="1"/>
        <v>-4</v>
      </c>
      <c r="J348" s="19">
        <f t="shared" si="2"/>
        <v>2</v>
      </c>
    </row>
    <row r="349" ht="22.5" customHeight="1">
      <c r="A349" s="16">
        <v>1.0</v>
      </c>
      <c r="B349" s="16">
        <v>4.0</v>
      </c>
      <c r="C349" s="16">
        <v>0.0</v>
      </c>
      <c r="D349" s="16">
        <v>0.0</v>
      </c>
      <c r="E349" s="16">
        <v>0.0</v>
      </c>
      <c r="F349" s="16">
        <v>0.0</v>
      </c>
      <c r="G349" s="18">
        <v>0.0</v>
      </c>
      <c r="H349" s="16" t="s">
        <v>315</v>
      </c>
      <c r="I349" s="19">
        <f t="shared" si="1"/>
        <v>0</v>
      </c>
      <c r="J349" s="19">
        <f t="shared" si="2"/>
        <v>0</v>
      </c>
    </row>
    <row r="350" ht="22.5" customHeight="1">
      <c r="A350" s="16">
        <v>3.0</v>
      </c>
      <c r="B350" s="16">
        <v>12.0</v>
      </c>
      <c r="C350" s="16">
        <v>2.0</v>
      </c>
      <c r="D350" s="16">
        <v>2.67</v>
      </c>
      <c r="E350" s="16">
        <v>0.0</v>
      </c>
      <c r="F350" s="16">
        <v>0.0</v>
      </c>
      <c r="G350" s="18">
        <v>1.0</v>
      </c>
      <c r="H350" s="16" t="s">
        <v>316</v>
      </c>
      <c r="I350" s="19">
        <f t="shared" si="1"/>
        <v>8</v>
      </c>
      <c r="J350" s="19">
        <f t="shared" si="2"/>
        <v>0</v>
      </c>
    </row>
    <row r="351" ht="22.5" customHeight="1">
      <c r="A351" s="16">
        <v>1.0</v>
      </c>
      <c r="B351" s="16">
        <v>4.0</v>
      </c>
      <c r="C351" s="16">
        <v>1.0</v>
      </c>
      <c r="D351" s="16">
        <v>4.0</v>
      </c>
      <c r="E351" s="16">
        <v>0.0</v>
      </c>
      <c r="F351" s="16">
        <v>0.0</v>
      </c>
      <c r="G351" s="18">
        <v>1.0</v>
      </c>
      <c r="H351" s="16" t="s">
        <v>316</v>
      </c>
      <c r="I351" s="19">
        <f t="shared" si="1"/>
        <v>4</v>
      </c>
      <c r="J351" s="19">
        <f t="shared" si="2"/>
        <v>0</v>
      </c>
    </row>
    <row r="352" ht="22.5" customHeight="1">
      <c r="A352" s="16">
        <v>1.0</v>
      </c>
      <c r="B352" s="16">
        <v>4.0</v>
      </c>
      <c r="C352" s="16">
        <v>0.0</v>
      </c>
      <c r="D352" s="16">
        <v>0.0</v>
      </c>
      <c r="E352" s="16">
        <v>0.0</v>
      </c>
      <c r="F352" s="16">
        <v>0.0</v>
      </c>
      <c r="G352" s="18">
        <v>0.0</v>
      </c>
      <c r="H352" s="16" t="s">
        <v>318</v>
      </c>
      <c r="I352" s="19">
        <f t="shared" si="1"/>
        <v>0</v>
      </c>
      <c r="J352" s="19">
        <f t="shared" si="2"/>
        <v>0</v>
      </c>
    </row>
    <row r="353" ht="22.5" customHeight="1">
      <c r="A353" s="16">
        <v>4.0</v>
      </c>
      <c r="B353" s="16">
        <v>16.0</v>
      </c>
      <c r="C353" s="16">
        <v>4.0</v>
      </c>
      <c r="D353" s="16">
        <v>0.0</v>
      </c>
      <c r="E353" s="16">
        <v>0.5</v>
      </c>
      <c r="F353" s="16">
        <v>0.0</v>
      </c>
      <c r="G353" s="18">
        <v>0.5</v>
      </c>
      <c r="H353" s="16" t="s">
        <v>254</v>
      </c>
      <c r="I353" s="19">
        <f t="shared" si="1"/>
        <v>0</v>
      </c>
      <c r="J353" s="19">
        <f t="shared" si="2"/>
        <v>2</v>
      </c>
    </row>
    <row r="354" ht="22.5" customHeight="1">
      <c r="A354" s="16">
        <v>1.0</v>
      </c>
      <c r="B354" s="16">
        <v>4.0</v>
      </c>
      <c r="C354" s="16">
        <v>0.0</v>
      </c>
      <c r="D354" s="16">
        <v>0.0</v>
      </c>
      <c r="E354" s="16">
        <v>0.0</v>
      </c>
      <c r="F354" s="16">
        <v>0.0</v>
      </c>
      <c r="G354" s="18">
        <v>0.0</v>
      </c>
      <c r="H354" s="16" t="s">
        <v>254</v>
      </c>
      <c r="I354" s="19">
        <f t="shared" si="1"/>
        <v>0</v>
      </c>
      <c r="J354" s="19">
        <f t="shared" si="2"/>
        <v>0</v>
      </c>
    </row>
    <row r="355" ht="22.5" customHeight="1">
      <c r="A355" s="16">
        <v>1.0</v>
      </c>
      <c r="B355" s="16">
        <v>4.0</v>
      </c>
      <c r="C355" s="16">
        <v>0.0</v>
      </c>
      <c r="D355" s="16">
        <v>0.0</v>
      </c>
      <c r="E355" s="16">
        <v>0.0</v>
      </c>
      <c r="F355" s="16">
        <v>0.0</v>
      </c>
      <c r="G355" s="18">
        <v>0.0</v>
      </c>
      <c r="H355" s="16" t="s">
        <v>317</v>
      </c>
      <c r="I355" s="19">
        <f t="shared" si="1"/>
        <v>0</v>
      </c>
      <c r="J355" s="19">
        <f t="shared" si="2"/>
        <v>0</v>
      </c>
    </row>
    <row r="356" ht="22.5" customHeight="1">
      <c r="A356" s="16">
        <v>2.0</v>
      </c>
      <c r="B356" s="16">
        <v>7.0</v>
      </c>
      <c r="C356" s="16">
        <v>1.0</v>
      </c>
      <c r="D356" s="16">
        <v>0.0</v>
      </c>
      <c r="E356" s="16">
        <v>0.0</v>
      </c>
      <c r="F356" s="16">
        <v>0.0</v>
      </c>
      <c r="G356" s="18">
        <v>0.0</v>
      </c>
      <c r="H356" s="16" t="s">
        <v>317</v>
      </c>
      <c r="I356" s="19">
        <f t="shared" si="1"/>
        <v>0</v>
      </c>
      <c r="J356" s="19">
        <f t="shared" si="2"/>
        <v>0</v>
      </c>
    </row>
    <row r="357" ht="22.5" customHeight="1">
      <c r="A357" s="16">
        <v>2.0</v>
      </c>
      <c r="B357" s="16">
        <v>4.0</v>
      </c>
      <c r="C357" s="16">
        <v>2.0</v>
      </c>
      <c r="D357" s="16">
        <v>0.0</v>
      </c>
      <c r="E357" s="16">
        <v>0.0</v>
      </c>
      <c r="F357" s="16">
        <v>0.0</v>
      </c>
      <c r="G357" s="18">
        <v>0.0</v>
      </c>
      <c r="H357" s="16" t="s">
        <v>133</v>
      </c>
      <c r="I357" s="19">
        <f t="shared" si="1"/>
        <v>0</v>
      </c>
      <c r="J357" s="19">
        <f t="shared" si="2"/>
        <v>0</v>
      </c>
    </row>
    <row r="358" ht="22.5" customHeight="1">
      <c r="A358" s="16">
        <v>1.0</v>
      </c>
      <c r="B358" s="16">
        <v>3.0</v>
      </c>
      <c r="C358" s="16">
        <v>0.0</v>
      </c>
      <c r="D358" s="16">
        <v>0.0</v>
      </c>
      <c r="E358" s="16">
        <v>0.0</v>
      </c>
      <c r="F358" s="16">
        <v>0.0</v>
      </c>
      <c r="G358" s="18">
        <v>0.0</v>
      </c>
      <c r="H358" s="16" t="s">
        <v>133</v>
      </c>
      <c r="I358" s="19">
        <f t="shared" si="1"/>
        <v>0</v>
      </c>
      <c r="J358" s="19">
        <f t="shared" si="2"/>
        <v>0</v>
      </c>
    </row>
    <row r="359" ht="22.5" customHeight="1">
      <c r="A359" s="16">
        <v>1.0</v>
      </c>
      <c r="B359" s="16">
        <v>4.0</v>
      </c>
      <c r="C359" s="16">
        <v>1.0</v>
      </c>
      <c r="D359" s="16">
        <v>0.0</v>
      </c>
      <c r="E359" s="16">
        <v>0.0</v>
      </c>
      <c r="F359" s="16">
        <v>0.0</v>
      </c>
      <c r="G359" s="18">
        <v>0.0</v>
      </c>
      <c r="H359" s="16" t="s">
        <v>319</v>
      </c>
      <c r="I359" s="19">
        <f t="shared" si="1"/>
        <v>0</v>
      </c>
      <c r="J359" s="19">
        <f t="shared" si="2"/>
        <v>0</v>
      </c>
    </row>
    <row r="360" ht="22.5" customHeight="1">
      <c r="A360" s="16">
        <v>5.0</v>
      </c>
      <c r="B360" s="16">
        <v>15.0</v>
      </c>
      <c r="C360" s="16">
        <v>4.0</v>
      </c>
      <c r="D360" s="16">
        <v>2.4</v>
      </c>
      <c r="E360" s="16">
        <v>0.0</v>
      </c>
      <c r="F360" s="16">
        <v>0.0</v>
      </c>
      <c r="G360" s="18">
        <v>0.75</v>
      </c>
      <c r="H360" s="16" t="s">
        <v>129</v>
      </c>
      <c r="I360" s="19">
        <f t="shared" si="1"/>
        <v>12</v>
      </c>
      <c r="J360" s="19">
        <f t="shared" si="2"/>
        <v>0</v>
      </c>
    </row>
    <row r="361" ht="22.5" customHeight="1">
      <c r="A361" s="16">
        <v>2.0</v>
      </c>
      <c r="B361" s="16">
        <v>8.0</v>
      </c>
      <c r="C361" s="16">
        <v>0.0</v>
      </c>
      <c r="D361" s="16">
        <v>0.0</v>
      </c>
      <c r="E361" s="16">
        <v>0.0</v>
      </c>
      <c r="F361" s="16">
        <v>0.0</v>
      </c>
      <c r="G361" s="18">
        <v>0.0</v>
      </c>
      <c r="H361" s="16" t="s">
        <v>320</v>
      </c>
      <c r="I361" s="19">
        <f t="shared" si="1"/>
        <v>0</v>
      </c>
      <c r="J361" s="19">
        <f t="shared" si="2"/>
        <v>0</v>
      </c>
    </row>
    <row r="362" ht="22.5" customHeight="1">
      <c r="A362" s="16">
        <v>1.0</v>
      </c>
      <c r="B362" s="16">
        <v>4.0</v>
      </c>
      <c r="C362" s="16">
        <v>0.0</v>
      </c>
      <c r="D362" s="16">
        <v>0.0</v>
      </c>
      <c r="E362" s="16">
        <v>0.0</v>
      </c>
      <c r="F362" s="16">
        <v>0.0</v>
      </c>
      <c r="G362" s="18">
        <v>0.0</v>
      </c>
      <c r="H362" s="16" t="s">
        <v>320</v>
      </c>
      <c r="I362" s="19">
        <f t="shared" si="1"/>
        <v>0</v>
      </c>
      <c r="J362" s="19">
        <f t="shared" si="2"/>
        <v>0</v>
      </c>
    </row>
    <row r="363" ht="22.5" customHeight="1">
      <c r="A363" s="16">
        <v>2.0</v>
      </c>
      <c r="B363" s="16">
        <v>8.0</v>
      </c>
      <c r="C363" s="16">
        <v>2.0</v>
      </c>
      <c r="D363" s="16">
        <v>2.0</v>
      </c>
      <c r="E363" s="16">
        <v>0.0</v>
      </c>
      <c r="F363" s="16">
        <v>0.0</v>
      </c>
      <c r="G363" s="18">
        <v>0.5</v>
      </c>
      <c r="H363" s="16" t="s">
        <v>320</v>
      </c>
      <c r="I363" s="19">
        <f t="shared" si="1"/>
        <v>4</v>
      </c>
      <c r="J363" s="19">
        <f t="shared" si="2"/>
        <v>0</v>
      </c>
    </row>
    <row r="364" ht="22.5" customHeight="1">
      <c r="A364" s="16">
        <v>2.0</v>
      </c>
      <c r="B364" s="16">
        <v>8.0</v>
      </c>
      <c r="C364" s="16">
        <v>0.0</v>
      </c>
      <c r="D364" s="16">
        <v>0.0</v>
      </c>
      <c r="E364" s="16">
        <v>0.0</v>
      </c>
      <c r="F364" s="16">
        <v>0.0</v>
      </c>
      <c r="G364" s="18">
        <v>0.0</v>
      </c>
      <c r="H364" s="16" t="s">
        <v>287</v>
      </c>
      <c r="I364" s="19">
        <f t="shared" si="1"/>
        <v>0</v>
      </c>
      <c r="J364" s="19">
        <f t="shared" si="2"/>
        <v>0</v>
      </c>
    </row>
    <row r="365" ht="22.5" customHeight="1">
      <c r="A365" s="16">
        <v>1.0</v>
      </c>
      <c r="B365" s="16">
        <v>4.0</v>
      </c>
      <c r="C365" s="16">
        <v>0.0</v>
      </c>
      <c r="D365" s="16">
        <v>0.0</v>
      </c>
      <c r="E365" s="16">
        <v>0.0</v>
      </c>
      <c r="F365" s="16">
        <v>0.0</v>
      </c>
      <c r="G365" s="18">
        <v>0.0</v>
      </c>
      <c r="H365" s="16" t="s">
        <v>287</v>
      </c>
      <c r="I365" s="19">
        <f t="shared" si="1"/>
        <v>0</v>
      </c>
      <c r="J365" s="19">
        <f t="shared" si="2"/>
        <v>0</v>
      </c>
    </row>
    <row r="366" ht="22.5" customHeight="1">
      <c r="A366" s="16">
        <v>2.0</v>
      </c>
      <c r="B366" s="16">
        <v>8.0</v>
      </c>
      <c r="C366" s="16">
        <v>0.0</v>
      </c>
      <c r="D366" s="16">
        <v>0.0</v>
      </c>
      <c r="E366" s="16">
        <v>0.0</v>
      </c>
      <c r="F366" s="16">
        <v>0.0</v>
      </c>
      <c r="G366" s="18">
        <v>0.0</v>
      </c>
      <c r="H366" s="16" t="s">
        <v>287</v>
      </c>
      <c r="I366" s="19">
        <f t="shared" si="1"/>
        <v>0</v>
      </c>
      <c r="J366" s="19">
        <f t="shared" si="2"/>
        <v>0</v>
      </c>
    </row>
    <row r="367" ht="22.5" customHeight="1">
      <c r="A367" s="16">
        <v>2.0</v>
      </c>
      <c r="B367" s="16">
        <v>8.0</v>
      </c>
      <c r="C367" s="16">
        <v>0.0</v>
      </c>
      <c r="D367" s="16">
        <v>0.0</v>
      </c>
      <c r="E367" s="16">
        <v>0.0</v>
      </c>
      <c r="F367" s="16">
        <v>0.0</v>
      </c>
      <c r="G367" s="18">
        <v>0.0</v>
      </c>
      <c r="H367" s="16" t="s">
        <v>289</v>
      </c>
      <c r="I367" s="19">
        <f t="shared" si="1"/>
        <v>0</v>
      </c>
      <c r="J367" s="19">
        <f t="shared" si="2"/>
        <v>0</v>
      </c>
    </row>
    <row r="368" ht="22.5" customHeight="1">
      <c r="A368" s="16">
        <v>1.0</v>
      </c>
      <c r="B368" s="16">
        <v>4.0</v>
      </c>
      <c r="C368" s="16">
        <v>0.0</v>
      </c>
      <c r="D368" s="16">
        <v>0.0</v>
      </c>
      <c r="E368" s="16">
        <v>0.0</v>
      </c>
      <c r="F368" s="16">
        <v>0.0</v>
      </c>
      <c r="G368" s="18">
        <v>0.0</v>
      </c>
      <c r="H368" s="16" t="s">
        <v>289</v>
      </c>
      <c r="I368" s="19">
        <f t="shared" si="1"/>
        <v>0</v>
      </c>
      <c r="J368" s="19">
        <f t="shared" si="2"/>
        <v>0</v>
      </c>
    </row>
    <row r="369" ht="22.5" customHeight="1">
      <c r="A369" s="16">
        <v>2.0</v>
      </c>
      <c r="B369" s="16">
        <v>8.0</v>
      </c>
      <c r="C369" s="16">
        <v>0.0</v>
      </c>
      <c r="D369" s="16">
        <v>0.0</v>
      </c>
      <c r="E369" s="16">
        <v>0.0</v>
      </c>
      <c r="F369" s="16">
        <v>0.0</v>
      </c>
      <c r="G369" s="18">
        <v>0.0</v>
      </c>
      <c r="H369" s="16" t="s">
        <v>289</v>
      </c>
      <c r="I369" s="19">
        <f t="shared" si="1"/>
        <v>0</v>
      </c>
      <c r="J369" s="19">
        <f t="shared" si="2"/>
        <v>0</v>
      </c>
    </row>
    <row r="370" ht="22.5" customHeight="1">
      <c r="A370" s="16">
        <v>2.0</v>
      </c>
      <c r="B370" s="16">
        <v>8.0</v>
      </c>
      <c r="C370" s="16">
        <v>0.0</v>
      </c>
      <c r="D370" s="16">
        <v>0.0</v>
      </c>
      <c r="E370" s="16">
        <v>0.0</v>
      </c>
      <c r="F370" s="16">
        <v>0.0</v>
      </c>
      <c r="G370" s="18">
        <v>0.0</v>
      </c>
      <c r="H370" s="16" t="s">
        <v>321</v>
      </c>
      <c r="I370" s="19">
        <f t="shared" si="1"/>
        <v>0</v>
      </c>
      <c r="J370" s="19">
        <f t="shared" si="2"/>
        <v>0</v>
      </c>
    </row>
    <row r="371" ht="22.5" customHeight="1">
      <c r="A371" s="16">
        <v>1.0</v>
      </c>
      <c r="B371" s="16">
        <v>4.0</v>
      </c>
      <c r="C371" s="16">
        <v>0.0</v>
      </c>
      <c r="D371" s="16">
        <v>0.0</v>
      </c>
      <c r="E371" s="16">
        <v>0.0</v>
      </c>
      <c r="F371" s="16">
        <v>0.0</v>
      </c>
      <c r="G371" s="18">
        <v>0.0</v>
      </c>
      <c r="H371" s="16" t="s">
        <v>321</v>
      </c>
      <c r="I371" s="19">
        <f t="shared" si="1"/>
        <v>0</v>
      </c>
      <c r="J371" s="19">
        <f t="shared" si="2"/>
        <v>0</v>
      </c>
    </row>
    <row r="372" ht="22.5" customHeight="1">
      <c r="A372" s="16">
        <v>1.0</v>
      </c>
      <c r="B372" s="16">
        <v>4.0</v>
      </c>
      <c r="C372" s="16">
        <v>0.0</v>
      </c>
      <c r="D372" s="16">
        <v>0.0</v>
      </c>
      <c r="E372" s="16">
        <v>0.0</v>
      </c>
      <c r="F372" s="16">
        <v>0.0</v>
      </c>
      <c r="G372" s="18">
        <v>0.0</v>
      </c>
      <c r="H372" s="16" t="s">
        <v>321</v>
      </c>
      <c r="I372" s="19">
        <f t="shared" si="1"/>
        <v>0</v>
      </c>
      <c r="J372" s="19">
        <f t="shared" si="2"/>
        <v>0</v>
      </c>
    </row>
    <row r="373" ht="22.5" customHeight="1">
      <c r="A373" s="16">
        <v>2.0</v>
      </c>
      <c r="B373" s="16">
        <v>8.0</v>
      </c>
      <c r="C373" s="16">
        <v>5.0</v>
      </c>
      <c r="D373" s="16">
        <v>4.0</v>
      </c>
      <c r="E373" s="16">
        <v>0.0</v>
      </c>
      <c r="F373" s="16">
        <v>0.0</v>
      </c>
      <c r="G373" s="18">
        <v>0.4</v>
      </c>
      <c r="H373" s="16" t="s">
        <v>323</v>
      </c>
      <c r="I373" s="19">
        <f t="shared" si="1"/>
        <v>8</v>
      </c>
      <c r="J373" s="19">
        <f t="shared" si="2"/>
        <v>0</v>
      </c>
    </row>
    <row r="374" ht="22.5" customHeight="1">
      <c r="A374" s="16">
        <v>1.0</v>
      </c>
      <c r="B374" s="16">
        <v>4.0</v>
      </c>
      <c r="C374" s="16">
        <v>2.0</v>
      </c>
      <c r="D374" s="16">
        <v>0.0</v>
      </c>
      <c r="E374" s="16">
        <v>1.0</v>
      </c>
      <c r="F374" s="16">
        <v>0.0</v>
      </c>
      <c r="G374" s="18">
        <v>0.5</v>
      </c>
      <c r="H374" s="16" t="s">
        <v>323</v>
      </c>
      <c r="I374" s="19">
        <f t="shared" si="1"/>
        <v>0</v>
      </c>
      <c r="J374" s="19">
        <f t="shared" si="2"/>
        <v>1</v>
      </c>
    </row>
    <row r="375" ht="22.5" customHeight="1">
      <c r="A375" s="16">
        <v>2.0</v>
      </c>
      <c r="B375" s="16">
        <v>8.0</v>
      </c>
      <c r="C375" s="16">
        <v>3.0</v>
      </c>
      <c r="D375" s="16">
        <v>-2.0</v>
      </c>
      <c r="E375" s="16">
        <v>0.5</v>
      </c>
      <c r="F375" s="16">
        <v>0.0</v>
      </c>
      <c r="G375" s="18">
        <v>0.0</v>
      </c>
      <c r="H375" s="16" t="s">
        <v>323</v>
      </c>
      <c r="I375" s="19">
        <f t="shared" si="1"/>
        <v>-4</v>
      </c>
      <c r="J375" s="19">
        <f t="shared" si="2"/>
        <v>1</v>
      </c>
    </row>
    <row r="376" ht="22.5" customHeight="1">
      <c r="A376" s="16">
        <v>1.0</v>
      </c>
      <c r="B376" s="16">
        <v>4.0</v>
      </c>
      <c r="C376" s="16">
        <v>0.0</v>
      </c>
      <c r="D376" s="16">
        <v>0.0</v>
      </c>
      <c r="E376" s="16">
        <v>0.0</v>
      </c>
      <c r="F376" s="16">
        <v>0.0</v>
      </c>
      <c r="G376" s="18">
        <v>0.0</v>
      </c>
      <c r="H376" s="16" t="s">
        <v>278</v>
      </c>
      <c r="I376" s="19">
        <f t="shared" si="1"/>
        <v>0</v>
      </c>
      <c r="J376" s="19">
        <f t="shared" si="2"/>
        <v>0</v>
      </c>
    </row>
    <row r="377" ht="22.5" customHeight="1">
      <c r="A377" s="16">
        <v>3.0</v>
      </c>
      <c r="B377" s="16">
        <v>12.0</v>
      </c>
      <c r="C377" s="16">
        <v>2.0</v>
      </c>
      <c r="D377" s="16">
        <v>0.0</v>
      </c>
      <c r="E377" s="16">
        <v>0.33</v>
      </c>
      <c r="F377" s="16">
        <v>0.0</v>
      </c>
      <c r="G377" s="18">
        <v>0.5</v>
      </c>
      <c r="H377" s="16" t="s">
        <v>278</v>
      </c>
      <c r="I377" s="19">
        <f t="shared" si="1"/>
        <v>0</v>
      </c>
      <c r="J377" s="19">
        <f t="shared" si="2"/>
        <v>1</v>
      </c>
    </row>
    <row r="378" ht="22.5" customHeight="1">
      <c r="A378" s="16">
        <v>1.0</v>
      </c>
      <c r="B378" s="16">
        <v>4.0</v>
      </c>
      <c r="C378" s="16">
        <v>1.0</v>
      </c>
      <c r="D378" s="16">
        <v>4.0</v>
      </c>
      <c r="E378" s="16">
        <v>0.0</v>
      </c>
      <c r="F378" s="16">
        <v>0.0</v>
      </c>
      <c r="G378" s="18">
        <v>1.0</v>
      </c>
      <c r="H378" s="16" t="s">
        <v>325</v>
      </c>
      <c r="I378" s="19">
        <f t="shared" si="1"/>
        <v>4</v>
      </c>
      <c r="J378" s="19">
        <f t="shared" si="2"/>
        <v>0</v>
      </c>
    </row>
    <row r="379" ht="22.5" customHeight="1">
      <c r="A379" s="16">
        <v>4.0</v>
      </c>
      <c r="B379" s="16">
        <v>16.0</v>
      </c>
      <c r="C379" s="16">
        <v>1.0</v>
      </c>
      <c r="D379" s="16">
        <v>1.0</v>
      </c>
      <c r="E379" s="16">
        <v>0.0</v>
      </c>
      <c r="F379" s="16">
        <v>0.0</v>
      </c>
      <c r="G379" s="18">
        <v>1.0</v>
      </c>
      <c r="H379" s="16" t="s">
        <v>325</v>
      </c>
      <c r="I379" s="19">
        <f t="shared" si="1"/>
        <v>4</v>
      </c>
      <c r="J379" s="19">
        <f t="shared" si="2"/>
        <v>0</v>
      </c>
    </row>
    <row r="380" ht="22.5" customHeight="1">
      <c r="A380" s="16">
        <v>1.0</v>
      </c>
      <c r="B380" s="16">
        <v>4.0</v>
      </c>
      <c r="C380" s="16">
        <v>3.0</v>
      </c>
      <c r="D380" s="16">
        <v>4.0</v>
      </c>
      <c r="E380" s="16">
        <v>0.0</v>
      </c>
      <c r="F380" s="16">
        <v>0.0</v>
      </c>
      <c r="G380" s="20">
        <v>0.333</v>
      </c>
      <c r="H380" s="16" t="s">
        <v>326</v>
      </c>
      <c r="I380" s="19">
        <f t="shared" si="1"/>
        <v>4</v>
      </c>
      <c r="J380" s="19">
        <f t="shared" si="2"/>
        <v>0</v>
      </c>
    </row>
    <row r="381" ht="22.5" customHeight="1">
      <c r="A381" s="16">
        <v>2.0</v>
      </c>
      <c r="B381" s="16">
        <v>8.0</v>
      </c>
      <c r="C381" s="16">
        <v>4.0</v>
      </c>
      <c r="D381" s="16">
        <v>-2.0</v>
      </c>
      <c r="E381" s="16">
        <v>0.5</v>
      </c>
      <c r="F381" s="16">
        <v>0.0</v>
      </c>
      <c r="G381" s="18">
        <v>0.0</v>
      </c>
      <c r="H381" s="16" t="s">
        <v>326</v>
      </c>
      <c r="I381" s="19">
        <f t="shared" si="1"/>
        <v>-4</v>
      </c>
      <c r="J381" s="19">
        <f t="shared" si="2"/>
        <v>1</v>
      </c>
    </row>
    <row r="382" ht="22.5" customHeight="1">
      <c r="A382" s="16">
        <v>1.0</v>
      </c>
      <c r="B382" s="16">
        <v>4.0</v>
      </c>
      <c r="C382" s="16">
        <v>0.0</v>
      </c>
      <c r="D382" s="16">
        <v>0.0</v>
      </c>
      <c r="E382" s="16">
        <v>0.0</v>
      </c>
      <c r="F382" s="16">
        <v>0.0</v>
      </c>
      <c r="G382" s="18">
        <v>0.0</v>
      </c>
      <c r="H382" s="16" t="s">
        <v>311</v>
      </c>
      <c r="I382" s="19">
        <f t="shared" si="1"/>
        <v>0</v>
      </c>
      <c r="J382" s="19">
        <f t="shared" si="2"/>
        <v>0</v>
      </c>
    </row>
    <row r="383" ht="22.5" customHeight="1">
      <c r="A383" s="16">
        <v>4.0</v>
      </c>
      <c r="B383" s="16">
        <v>16.0</v>
      </c>
      <c r="C383" s="16">
        <v>1.0</v>
      </c>
      <c r="D383" s="16">
        <v>0.0</v>
      </c>
      <c r="E383" s="16">
        <v>0.0</v>
      </c>
      <c r="F383" s="16">
        <v>0.0</v>
      </c>
      <c r="G383" s="18">
        <v>0.0</v>
      </c>
      <c r="H383" s="16" t="s">
        <v>311</v>
      </c>
      <c r="I383" s="19">
        <f t="shared" si="1"/>
        <v>0</v>
      </c>
      <c r="J383" s="19">
        <f t="shared" si="2"/>
        <v>0</v>
      </c>
    </row>
    <row r="384" ht="22.5" customHeight="1">
      <c r="A384" s="16">
        <v>1.0</v>
      </c>
      <c r="B384" s="16">
        <v>4.0</v>
      </c>
      <c r="C384" s="16">
        <v>0.0</v>
      </c>
      <c r="D384" s="16">
        <v>0.0</v>
      </c>
      <c r="E384" s="16">
        <v>0.0</v>
      </c>
      <c r="F384" s="16">
        <v>0.0</v>
      </c>
      <c r="G384" s="18">
        <v>0.0</v>
      </c>
      <c r="H384" s="16" t="s">
        <v>322</v>
      </c>
      <c r="I384" s="19">
        <f t="shared" si="1"/>
        <v>0</v>
      </c>
      <c r="J384" s="19">
        <f t="shared" si="2"/>
        <v>0</v>
      </c>
    </row>
    <row r="385" ht="22.5" customHeight="1">
      <c r="A385" s="16">
        <v>3.0</v>
      </c>
      <c r="B385" s="16">
        <v>12.0</v>
      </c>
      <c r="C385" s="16">
        <v>1.0</v>
      </c>
      <c r="D385" s="16">
        <v>1.33</v>
      </c>
      <c r="E385" s="16">
        <v>0.0</v>
      </c>
      <c r="F385" s="16">
        <v>0.0</v>
      </c>
      <c r="G385" s="18">
        <v>1.0</v>
      </c>
      <c r="H385" s="16" t="s">
        <v>322</v>
      </c>
      <c r="I385" s="19">
        <f t="shared" si="1"/>
        <v>4</v>
      </c>
      <c r="J385" s="19">
        <f t="shared" si="2"/>
        <v>0</v>
      </c>
    </row>
    <row r="386" ht="22.5" customHeight="1">
      <c r="A386" s="16">
        <v>3.0</v>
      </c>
      <c r="B386" s="16">
        <v>12.0</v>
      </c>
      <c r="C386" s="16">
        <v>1.0</v>
      </c>
      <c r="D386" s="16">
        <v>0.0</v>
      </c>
      <c r="E386" s="16">
        <v>0.0</v>
      </c>
      <c r="F386" s="16">
        <v>0.0</v>
      </c>
      <c r="G386" s="18">
        <v>0.0</v>
      </c>
      <c r="H386" s="16" t="s">
        <v>328</v>
      </c>
      <c r="I386" s="19">
        <f t="shared" si="1"/>
        <v>0</v>
      </c>
      <c r="J386" s="19">
        <f t="shared" si="2"/>
        <v>0</v>
      </c>
    </row>
    <row r="387" ht="22.5" customHeight="1">
      <c r="A387" s="16">
        <v>3.0</v>
      </c>
      <c r="B387" s="16">
        <v>12.0</v>
      </c>
      <c r="C387" s="16">
        <v>3.0</v>
      </c>
      <c r="D387" s="16">
        <v>1.33</v>
      </c>
      <c r="E387" s="16">
        <v>0.0</v>
      </c>
      <c r="F387" s="16">
        <v>0.0</v>
      </c>
      <c r="G387" s="20">
        <v>0.333</v>
      </c>
      <c r="H387" s="16" t="s">
        <v>329</v>
      </c>
      <c r="I387" s="19">
        <f t="shared" si="1"/>
        <v>4</v>
      </c>
      <c r="J387" s="19">
        <f t="shared" si="2"/>
        <v>0</v>
      </c>
    </row>
    <row r="388" ht="22.5" customHeight="1">
      <c r="A388" s="16">
        <v>1.0</v>
      </c>
      <c r="B388" s="16">
        <v>3.0</v>
      </c>
      <c r="C388" s="16">
        <v>0.0</v>
      </c>
      <c r="D388" s="16">
        <v>0.0</v>
      </c>
      <c r="E388" s="16">
        <v>0.0</v>
      </c>
      <c r="F388" s="16">
        <v>0.0</v>
      </c>
      <c r="G388" s="18">
        <v>0.0</v>
      </c>
      <c r="H388" s="16" t="s">
        <v>329</v>
      </c>
      <c r="I388" s="19">
        <f t="shared" si="1"/>
        <v>0</v>
      </c>
      <c r="J388" s="19">
        <f t="shared" si="2"/>
        <v>0</v>
      </c>
    </row>
    <row r="389" ht="22.5" customHeight="1">
      <c r="A389" s="16">
        <v>2.0</v>
      </c>
      <c r="B389" s="16">
        <v>7.0</v>
      </c>
      <c r="C389" s="16">
        <v>2.0</v>
      </c>
      <c r="D389" s="16">
        <v>0.0</v>
      </c>
      <c r="E389" s="16">
        <v>0.0</v>
      </c>
      <c r="F389" s="16">
        <v>0.0</v>
      </c>
      <c r="G389" s="18">
        <v>0.0</v>
      </c>
      <c r="H389" s="16" t="s">
        <v>330</v>
      </c>
      <c r="I389" s="19">
        <f t="shared" si="1"/>
        <v>0</v>
      </c>
      <c r="J389" s="19">
        <f t="shared" si="2"/>
        <v>0</v>
      </c>
    </row>
    <row r="390" ht="22.5" customHeight="1">
      <c r="A390" s="16">
        <v>3.0</v>
      </c>
      <c r="B390" s="16">
        <v>12.0</v>
      </c>
      <c r="C390" s="16">
        <v>4.0</v>
      </c>
      <c r="D390" s="16">
        <v>1.33</v>
      </c>
      <c r="E390" s="16">
        <v>0.0</v>
      </c>
      <c r="F390" s="16">
        <v>0.0</v>
      </c>
      <c r="G390" s="18">
        <v>0.25</v>
      </c>
      <c r="H390" s="16" t="s">
        <v>330</v>
      </c>
      <c r="I390" s="19">
        <f t="shared" si="1"/>
        <v>4</v>
      </c>
      <c r="J390" s="19">
        <f t="shared" si="2"/>
        <v>0</v>
      </c>
    </row>
    <row r="391" ht="22.5" customHeight="1">
      <c r="A391" s="16">
        <v>2.0</v>
      </c>
      <c r="B391" s="16">
        <v>7.0</v>
      </c>
      <c r="C391" s="16">
        <v>0.0</v>
      </c>
      <c r="D391" s="16">
        <v>0.0</v>
      </c>
      <c r="E391" s="16">
        <v>0.0</v>
      </c>
      <c r="F391" s="16">
        <v>0.0</v>
      </c>
      <c r="G391" s="18">
        <v>0.0</v>
      </c>
      <c r="H391" s="16" t="s">
        <v>331</v>
      </c>
      <c r="I391" s="19">
        <f t="shared" si="1"/>
        <v>0</v>
      </c>
      <c r="J391" s="19">
        <f t="shared" si="2"/>
        <v>0</v>
      </c>
    </row>
    <row r="392" ht="22.5" customHeight="1">
      <c r="A392" s="16">
        <v>2.0</v>
      </c>
      <c r="B392" s="16">
        <v>8.0</v>
      </c>
      <c r="C392" s="16">
        <v>0.0</v>
      </c>
      <c r="D392" s="16">
        <v>0.0</v>
      </c>
      <c r="E392" s="16">
        <v>0.0</v>
      </c>
      <c r="F392" s="16">
        <v>0.0</v>
      </c>
      <c r="G392" s="18">
        <v>0.0</v>
      </c>
      <c r="H392" s="16" t="s">
        <v>331</v>
      </c>
      <c r="I392" s="19">
        <f t="shared" si="1"/>
        <v>0</v>
      </c>
      <c r="J392" s="19">
        <f t="shared" si="2"/>
        <v>0</v>
      </c>
    </row>
    <row r="393" ht="22.5" customHeight="1">
      <c r="A393" s="16">
        <v>1.0</v>
      </c>
      <c r="B393" s="16">
        <v>4.0</v>
      </c>
      <c r="C393" s="16">
        <v>0.0</v>
      </c>
      <c r="D393" s="16">
        <v>0.0</v>
      </c>
      <c r="E393" s="16">
        <v>0.0</v>
      </c>
      <c r="F393" s="16">
        <v>0.0</v>
      </c>
      <c r="G393" s="18">
        <v>0.0</v>
      </c>
      <c r="H393" s="16" t="s">
        <v>332</v>
      </c>
      <c r="I393" s="19">
        <f t="shared" si="1"/>
        <v>0</v>
      </c>
      <c r="J393" s="19">
        <f t="shared" si="2"/>
        <v>0</v>
      </c>
    </row>
    <row r="394" ht="22.5" customHeight="1">
      <c r="A394" s="16">
        <v>1.0</v>
      </c>
      <c r="B394" s="16">
        <v>3.0</v>
      </c>
      <c r="C394" s="16">
        <v>1.0</v>
      </c>
      <c r="D394" s="16">
        <v>0.0</v>
      </c>
      <c r="E394" s="16">
        <v>0.0</v>
      </c>
      <c r="F394" s="16">
        <v>0.0</v>
      </c>
      <c r="G394" s="18">
        <v>0.0</v>
      </c>
      <c r="H394" s="16" t="s">
        <v>332</v>
      </c>
      <c r="I394" s="19">
        <f t="shared" si="1"/>
        <v>0</v>
      </c>
      <c r="J394" s="19">
        <f t="shared" si="2"/>
        <v>0</v>
      </c>
    </row>
    <row r="395" ht="22.5" customHeight="1">
      <c r="A395" s="16">
        <v>1.0</v>
      </c>
      <c r="B395" s="16">
        <v>0.0</v>
      </c>
      <c r="C395" s="16">
        <v>0.0</v>
      </c>
      <c r="D395" s="16">
        <v>0.0</v>
      </c>
      <c r="E395" s="16">
        <v>0.0</v>
      </c>
      <c r="F395" s="16">
        <v>0.0</v>
      </c>
      <c r="G395" s="18">
        <v>0.0</v>
      </c>
      <c r="H395" s="16" t="s">
        <v>333</v>
      </c>
      <c r="I395" s="19">
        <f t="shared" si="1"/>
        <v>0</v>
      </c>
      <c r="J395" s="19">
        <f t="shared" si="2"/>
        <v>0</v>
      </c>
    </row>
    <row r="396" ht="22.5" customHeight="1">
      <c r="A396" s="16">
        <v>3.0</v>
      </c>
      <c r="B396" s="16">
        <v>12.0</v>
      </c>
      <c r="C396" s="16">
        <v>0.0</v>
      </c>
      <c r="D396" s="16">
        <v>0.0</v>
      </c>
      <c r="E396" s="16">
        <v>0.0</v>
      </c>
      <c r="F396" s="16">
        <v>0.0</v>
      </c>
      <c r="G396" s="18">
        <v>0.0</v>
      </c>
      <c r="H396" s="16" t="s">
        <v>333</v>
      </c>
      <c r="I396" s="19">
        <f t="shared" si="1"/>
        <v>0</v>
      </c>
      <c r="J396" s="19">
        <f t="shared" si="2"/>
        <v>0</v>
      </c>
    </row>
    <row r="397" ht="22.5" customHeight="1">
      <c r="A397" s="16">
        <v>3.0</v>
      </c>
      <c r="B397" s="16">
        <v>12.0</v>
      </c>
      <c r="C397" s="16">
        <v>0.0</v>
      </c>
      <c r="D397" s="16">
        <v>0.0</v>
      </c>
      <c r="E397" s="16">
        <v>0.0</v>
      </c>
      <c r="F397" s="16">
        <v>0.0</v>
      </c>
      <c r="G397" s="18">
        <v>0.0</v>
      </c>
      <c r="H397" s="16" t="s">
        <v>324</v>
      </c>
      <c r="I397" s="19">
        <f t="shared" si="1"/>
        <v>0</v>
      </c>
      <c r="J397" s="19">
        <f t="shared" si="2"/>
        <v>0</v>
      </c>
    </row>
    <row r="398" ht="22.5" customHeight="1">
      <c r="A398" s="16">
        <v>1.0</v>
      </c>
      <c r="B398" s="16">
        <v>0.0</v>
      </c>
      <c r="C398" s="16">
        <v>0.0</v>
      </c>
      <c r="D398" s="16">
        <v>0.0</v>
      </c>
      <c r="E398" s="16">
        <v>0.0</v>
      </c>
      <c r="F398" s="16">
        <v>0.0</v>
      </c>
      <c r="G398" s="18">
        <v>0.0</v>
      </c>
      <c r="H398" s="16" t="s">
        <v>324</v>
      </c>
      <c r="I398" s="19">
        <f t="shared" si="1"/>
        <v>0</v>
      </c>
      <c r="J398" s="19">
        <f t="shared" si="2"/>
        <v>0</v>
      </c>
    </row>
    <row r="399" ht="22.5" customHeight="1">
      <c r="A399" s="16">
        <v>4.0</v>
      </c>
      <c r="B399" s="16">
        <v>16.0</v>
      </c>
      <c r="C399" s="16">
        <v>7.0</v>
      </c>
      <c r="D399" s="16">
        <v>6.0</v>
      </c>
      <c r="E399" s="16">
        <v>0.0</v>
      </c>
      <c r="F399" s="16">
        <v>0.0</v>
      </c>
      <c r="G399" s="20">
        <v>0.857</v>
      </c>
      <c r="H399" s="16" t="s">
        <v>186</v>
      </c>
      <c r="I399" s="19">
        <f t="shared" si="1"/>
        <v>24</v>
      </c>
      <c r="J399" s="19">
        <f t="shared" si="2"/>
        <v>0</v>
      </c>
    </row>
    <row r="400" ht="22.5" customHeight="1">
      <c r="A400" s="16">
        <v>1.0</v>
      </c>
      <c r="B400" s="16">
        <v>0.0</v>
      </c>
      <c r="C400" s="16">
        <v>0.0</v>
      </c>
      <c r="D400" s="16">
        <v>0.0</v>
      </c>
      <c r="E400" s="16">
        <v>0.0</v>
      </c>
      <c r="F400" s="16">
        <v>0.0</v>
      </c>
      <c r="G400" s="18">
        <v>0.0</v>
      </c>
      <c r="H400" s="16" t="s">
        <v>186</v>
      </c>
      <c r="I400" s="19">
        <f t="shared" si="1"/>
        <v>0</v>
      </c>
      <c r="J400" s="19">
        <f t="shared" si="2"/>
        <v>0</v>
      </c>
    </row>
    <row r="401" ht="22.5" customHeight="1">
      <c r="A401" s="16">
        <v>4.0</v>
      </c>
      <c r="B401" s="16">
        <v>16.0</v>
      </c>
      <c r="C401" s="16">
        <v>5.0</v>
      </c>
      <c r="D401" s="16">
        <v>4.0</v>
      </c>
      <c r="E401" s="16">
        <v>0.0</v>
      </c>
      <c r="F401" s="16">
        <v>0.0</v>
      </c>
      <c r="G401" s="18">
        <v>0.8</v>
      </c>
      <c r="H401" s="16" t="s">
        <v>157</v>
      </c>
      <c r="I401" s="19">
        <f t="shared" si="1"/>
        <v>16</v>
      </c>
      <c r="J401" s="19">
        <f t="shared" si="2"/>
        <v>0</v>
      </c>
    </row>
    <row r="402" ht="22.5" customHeight="1">
      <c r="A402" s="16">
        <v>1.0</v>
      </c>
      <c r="B402" s="16">
        <v>0.0</v>
      </c>
      <c r="C402" s="16">
        <v>0.0</v>
      </c>
      <c r="D402" s="16">
        <v>0.0</v>
      </c>
      <c r="E402" s="16">
        <v>0.0</v>
      </c>
      <c r="F402" s="16">
        <v>0.0</v>
      </c>
      <c r="G402" s="18">
        <v>0.0</v>
      </c>
      <c r="H402" s="16" t="s">
        <v>157</v>
      </c>
      <c r="I402" s="19">
        <f t="shared" si="1"/>
        <v>0</v>
      </c>
      <c r="J402" s="19">
        <f t="shared" si="2"/>
        <v>0</v>
      </c>
    </row>
    <row r="403" ht="22.5" customHeight="1">
      <c r="A403" s="16">
        <v>5.0</v>
      </c>
      <c r="B403" s="16">
        <v>20.0</v>
      </c>
      <c r="C403" s="16">
        <v>1.0</v>
      </c>
      <c r="D403" s="16">
        <v>0.8</v>
      </c>
      <c r="E403" s="16">
        <v>0.0</v>
      </c>
      <c r="F403" s="16">
        <v>0.0</v>
      </c>
      <c r="G403" s="18">
        <v>1.0</v>
      </c>
      <c r="H403" s="16" t="s">
        <v>155</v>
      </c>
      <c r="I403" s="19">
        <f t="shared" si="1"/>
        <v>4</v>
      </c>
      <c r="J403" s="19">
        <f t="shared" si="2"/>
        <v>0</v>
      </c>
    </row>
    <row r="404" ht="22.5" customHeight="1">
      <c r="A404" s="16">
        <v>5.0</v>
      </c>
      <c r="B404" s="16">
        <v>20.0</v>
      </c>
      <c r="C404" s="16">
        <v>12.0</v>
      </c>
      <c r="D404" s="16">
        <v>6.4</v>
      </c>
      <c r="E404" s="16">
        <v>0.2</v>
      </c>
      <c r="F404" s="16">
        <v>0.0</v>
      </c>
      <c r="G404" s="18">
        <v>0.75</v>
      </c>
      <c r="H404" s="16" t="s">
        <v>212</v>
      </c>
      <c r="I404" s="19">
        <f t="shared" si="1"/>
        <v>32</v>
      </c>
      <c r="J404" s="19">
        <f t="shared" si="2"/>
        <v>1</v>
      </c>
    </row>
    <row r="405" ht="22.5" customHeight="1">
      <c r="A405" s="16">
        <v>1.0</v>
      </c>
      <c r="B405" s="16">
        <v>4.0</v>
      </c>
      <c r="C405" s="16">
        <v>0.0</v>
      </c>
      <c r="D405" s="16">
        <v>0.0</v>
      </c>
      <c r="E405" s="16">
        <v>0.0</v>
      </c>
      <c r="F405" s="16">
        <v>0.0</v>
      </c>
      <c r="G405" s="18">
        <v>0.0</v>
      </c>
      <c r="H405" s="16" t="s">
        <v>334</v>
      </c>
      <c r="I405" s="19">
        <f t="shared" si="1"/>
        <v>0</v>
      </c>
      <c r="J405" s="19">
        <f t="shared" si="2"/>
        <v>0</v>
      </c>
    </row>
    <row r="406" ht="22.5" customHeight="1">
      <c r="A406" s="16">
        <v>5.0</v>
      </c>
      <c r="B406" s="16">
        <v>20.0</v>
      </c>
      <c r="C406" s="16">
        <v>0.0</v>
      </c>
      <c r="D406" s="16">
        <v>0.0</v>
      </c>
      <c r="E406" s="16">
        <v>0.0</v>
      </c>
      <c r="F406" s="16">
        <v>0.0</v>
      </c>
      <c r="G406" s="18">
        <v>0.0</v>
      </c>
      <c r="H406" s="16" t="s">
        <v>215</v>
      </c>
      <c r="I406" s="19">
        <f t="shared" si="1"/>
        <v>0</v>
      </c>
      <c r="J406" s="19">
        <f t="shared" si="2"/>
        <v>0</v>
      </c>
    </row>
    <row r="407" ht="22.5" customHeight="1">
      <c r="A407" s="16">
        <v>2.0</v>
      </c>
      <c r="B407" s="16">
        <v>7.0</v>
      </c>
      <c r="C407" s="16">
        <v>1.0</v>
      </c>
      <c r="D407" s="16">
        <v>2.0</v>
      </c>
      <c r="E407" s="16">
        <v>0.0</v>
      </c>
      <c r="F407" s="16">
        <v>0.0</v>
      </c>
      <c r="G407" s="18">
        <v>1.0</v>
      </c>
      <c r="H407" s="16" t="s">
        <v>168</v>
      </c>
      <c r="I407" s="19">
        <f t="shared" si="1"/>
        <v>4</v>
      </c>
      <c r="J407" s="19">
        <f t="shared" si="2"/>
        <v>0</v>
      </c>
    </row>
    <row r="408" ht="22.5" customHeight="1">
      <c r="A408" s="16">
        <v>3.0</v>
      </c>
      <c r="B408" s="16">
        <v>12.0</v>
      </c>
      <c r="C408" s="16">
        <v>1.0</v>
      </c>
      <c r="D408" s="16">
        <v>1.33</v>
      </c>
      <c r="E408" s="16">
        <v>0.0</v>
      </c>
      <c r="F408" s="16">
        <v>0.0</v>
      </c>
      <c r="G408" s="18">
        <v>1.0</v>
      </c>
      <c r="H408" s="16" t="s">
        <v>168</v>
      </c>
      <c r="I408" s="19">
        <f t="shared" si="1"/>
        <v>4</v>
      </c>
      <c r="J408" s="19">
        <f t="shared" si="2"/>
        <v>0</v>
      </c>
    </row>
    <row r="409" ht="22.5" customHeight="1">
      <c r="A409" s="16">
        <v>1.0</v>
      </c>
      <c r="B409" s="16">
        <v>4.0</v>
      </c>
      <c r="C409" s="16">
        <v>1.0</v>
      </c>
      <c r="D409" s="16">
        <v>4.0</v>
      </c>
      <c r="E409" s="16">
        <v>0.0</v>
      </c>
      <c r="F409" s="16">
        <v>0.0</v>
      </c>
      <c r="G409" s="18">
        <v>1.0</v>
      </c>
      <c r="H409" s="16" t="s">
        <v>113</v>
      </c>
      <c r="I409" s="19">
        <f t="shared" si="1"/>
        <v>4</v>
      </c>
      <c r="J409" s="19">
        <f t="shared" si="2"/>
        <v>0</v>
      </c>
    </row>
    <row r="410" ht="22.5" customHeight="1">
      <c r="A410" s="16">
        <v>1.0</v>
      </c>
      <c r="B410" s="16">
        <v>4.0</v>
      </c>
      <c r="C410" s="16">
        <v>0.0</v>
      </c>
      <c r="D410" s="16">
        <v>0.0</v>
      </c>
      <c r="E410" s="16">
        <v>0.0</v>
      </c>
      <c r="F410" s="16">
        <v>0.0</v>
      </c>
      <c r="G410" s="18">
        <v>0.0</v>
      </c>
      <c r="H410" s="16" t="s">
        <v>113</v>
      </c>
      <c r="I410" s="19">
        <f t="shared" si="1"/>
        <v>0</v>
      </c>
      <c r="J410" s="19">
        <f t="shared" si="2"/>
        <v>0</v>
      </c>
    </row>
    <row r="411" ht="22.5" customHeight="1">
      <c r="A411" s="16">
        <v>3.0</v>
      </c>
      <c r="B411" s="16">
        <v>12.0</v>
      </c>
      <c r="C411" s="16">
        <v>5.0</v>
      </c>
      <c r="D411" s="16">
        <v>2.67</v>
      </c>
      <c r="E411" s="16">
        <v>0.33</v>
      </c>
      <c r="F411" s="16">
        <v>0.0</v>
      </c>
      <c r="G411" s="18">
        <v>0.6</v>
      </c>
      <c r="H411" s="16" t="s">
        <v>113</v>
      </c>
      <c r="I411" s="19">
        <f t="shared" si="1"/>
        <v>8</v>
      </c>
      <c r="J411" s="19">
        <f t="shared" si="2"/>
        <v>1</v>
      </c>
    </row>
    <row r="412" ht="22.5" customHeight="1">
      <c r="A412" s="16">
        <v>1.0</v>
      </c>
      <c r="B412" s="16">
        <v>4.0</v>
      </c>
      <c r="C412" s="16">
        <v>0.0</v>
      </c>
      <c r="D412" s="16">
        <v>0.0</v>
      </c>
      <c r="E412" s="16">
        <v>0.0</v>
      </c>
      <c r="F412" s="16">
        <v>0.0</v>
      </c>
      <c r="G412" s="18">
        <v>0.0</v>
      </c>
      <c r="H412" s="16" t="s">
        <v>335</v>
      </c>
      <c r="I412" s="19">
        <f t="shared" si="1"/>
        <v>0</v>
      </c>
      <c r="J412" s="19">
        <f t="shared" si="2"/>
        <v>0</v>
      </c>
    </row>
    <row r="413" ht="22.5" customHeight="1">
      <c r="A413" s="16">
        <v>2.0</v>
      </c>
      <c r="B413" s="16">
        <v>8.0</v>
      </c>
      <c r="C413" s="16">
        <v>0.0</v>
      </c>
      <c r="D413" s="16">
        <v>0.0</v>
      </c>
      <c r="E413" s="16">
        <v>0.0</v>
      </c>
      <c r="F413" s="16">
        <v>0.0</v>
      </c>
      <c r="G413" s="18">
        <v>0.0</v>
      </c>
      <c r="H413" s="16" t="s">
        <v>335</v>
      </c>
      <c r="I413" s="19">
        <f t="shared" si="1"/>
        <v>0</v>
      </c>
      <c r="J413" s="19">
        <f t="shared" si="2"/>
        <v>0</v>
      </c>
    </row>
    <row r="414" ht="22.5" customHeight="1">
      <c r="A414" s="16">
        <v>1.0</v>
      </c>
      <c r="B414" s="16">
        <v>4.0</v>
      </c>
      <c r="C414" s="16">
        <v>0.0</v>
      </c>
      <c r="D414" s="16">
        <v>0.0</v>
      </c>
      <c r="E414" s="16">
        <v>0.0</v>
      </c>
      <c r="F414" s="16">
        <v>0.0</v>
      </c>
      <c r="G414" s="18">
        <v>0.0</v>
      </c>
      <c r="H414" s="16" t="s">
        <v>336</v>
      </c>
      <c r="I414" s="19">
        <f t="shared" si="1"/>
        <v>0</v>
      </c>
      <c r="J414" s="19">
        <f t="shared" si="2"/>
        <v>0</v>
      </c>
    </row>
    <row r="415" ht="22.5" customHeight="1">
      <c r="A415" s="16">
        <v>1.0</v>
      </c>
      <c r="B415" s="16">
        <v>4.0</v>
      </c>
      <c r="C415" s="16">
        <v>0.0</v>
      </c>
      <c r="D415" s="16">
        <v>0.0</v>
      </c>
      <c r="E415" s="16">
        <v>0.0</v>
      </c>
      <c r="F415" s="16">
        <v>0.0</v>
      </c>
      <c r="G415" s="18">
        <v>0.0</v>
      </c>
      <c r="H415" s="16" t="s">
        <v>336</v>
      </c>
      <c r="I415" s="19">
        <f t="shared" si="1"/>
        <v>0</v>
      </c>
      <c r="J415" s="19">
        <f t="shared" si="2"/>
        <v>0</v>
      </c>
    </row>
    <row r="416" ht="22.5" customHeight="1">
      <c r="A416" s="16">
        <v>2.0</v>
      </c>
      <c r="B416" s="16">
        <v>8.0</v>
      </c>
      <c r="C416" s="16">
        <v>0.0</v>
      </c>
      <c r="D416" s="16">
        <v>0.0</v>
      </c>
      <c r="E416" s="16">
        <v>0.0</v>
      </c>
      <c r="F416" s="16">
        <v>0.0</v>
      </c>
      <c r="G416" s="18">
        <v>0.0</v>
      </c>
      <c r="H416" s="16" t="s">
        <v>337</v>
      </c>
      <c r="I416" s="19">
        <f t="shared" si="1"/>
        <v>0</v>
      </c>
      <c r="J416" s="19">
        <f t="shared" si="2"/>
        <v>0</v>
      </c>
    </row>
    <row r="417" ht="22.5" customHeight="1">
      <c r="A417" s="16">
        <v>3.0</v>
      </c>
      <c r="B417" s="16">
        <v>12.0</v>
      </c>
      <c r="C417" s="16">
        <v>0.0</v>
      </c>
      <c r="D417" s="16">
        <v>0.0</v>
      </c>
      <c r="E417" s="16">
        <v>0.0</v>
      </c>
      <c r="F417" s="16">
        <v>0.0</v>
      </c>
      <c r="G417" s="18">
        <v>0.0</v>
      </c>
      <c r="H417" s="16" t="s">
        <v>337</v>
      </c>
      <c r="I417" s="19">
        <f t="shared" si="1"/>
        <v>0</v>
      </c>
      <c r="J417" s="19">
        <f t="shared" si="2"/>
        <v>0</v>
      </c>
    </row>
    <row r="418" ht="22.5" customHeight="1">
      <c r="A418" s="16">
        <v>4.0</v>
      </c>
      <c r="B418" s="16">
        <v>16.0</v>
      </c>
      <c r="C418" s="16">
        <v>4.0</v>
      </c>
      <c r="D418" s="16">
        <v>2.0</v>
      </c>
      <c r="E418" s="16">
        <v>0.0</v>
      </c>
      <c r="F418" s="16">
        <v>0.0</v>
      </c>
      <c r="G418" s="18">
        <v>0.5</v>
      </c>
      <c r="H418" s="16" t="s">
        <v>299</v>
      </c>
      <c r="I418" s="19">
        <f t="shared" si="1"/>
        <v>8</v>
      </c>
      <c r="J418" s="19">
        <f t="shared" si="2"/>
        <v>0</v>
      </c>
    </row>
    <row r="419" ht="22.5" customHeight="1">
      <c r="A419" s="16">
        <v>1.0</v>
      </c>
      <c r="B419" s="16">
        <v>4.0</v>
      </c>
      <c r="C419" s="16">
        <v>1.0</v>
      </c>
      <c r="D419" s="16">
        <v>0.0</v>
      </c>
      <c r="E419" s="16">
        <v>0.0</v>
      </c>
      <c r="F419" s="16">
        <v>0.0</v>
      </c>
      <c r="G419" s="18">
        <v>0.0</v>
      </c>
      <c r="H419" s="16" t="s">
        <v>256</v>
      </c>
      <c r="I419" s="19">
        <f t="shared" si="1"/>
        <v>0</v>
      </c>
      <c r="J419" s="19">
        <f t="shared" si="2"/>
        <v>0</v>
      </c>
    </row>
    <row r="420" ht="22.5" customHeight="1">
      <c r="A420" s="16">
        <v>1.0</v>
      </c>
      <c r="B420" s="16">
        <v>4.0</v>
      </c>
      <c r="C420" s="16">
        <v>2.0</v>
      </c>
      <c r="D420" s="16">
        <v>0.0</v>
      </c>
      <c r="E420" s="16">
        <v>1.0</v>
      </c>
      <c r="F420" s="16">
        <v>0.0</v>
      </c>
      <c r="G420" s="18">
        <v>0.5</v>
      </c>
      <c r="H420" s="16" t="s">
        <v>216</v>
      </c>
      <c r="I420" s="19">
        <f t="shared" si="1"/>
        <v>0</v>
      </c>
      <c r="J420" s="19">
        <f t="shared" si="2"/>
        <v>1</v>
      </c>
    </row>
    <row r="421" ht="22.5" customHeight="1">
      <c r="A421" s="16">
        <v>1.0</v>
      </c>
      <c r="B421" s="16">
        <v>4.0</v>
      </c>
      <c r="C421" s="16">
        <v>2.0</v>
      </c>
      <c r="D421" s="16">
        <v>8.0</v>
      </c>
      <c r="E421" s="16">
        <v>0.0</v>
      </c>
      <c r="F421" s="16">
        <v>0.0</v>
      </c>
      <c r="G421" s="18">
        <v>1.0</v>
      </c>
      <c r="H421" s="16" t="s">
        <v>216</v>
      </c>
      <c r="I421" s="19">
        <f t="shared" si="1"/>
        <v>8</v>
      </c>
      <c r="J421" s="19">
        <f t="shared" si="2"/>
        <v>0</v>
      </c>
    </row>
    <row r="422" ht="22.5" customHeight="1">
      <c r="A422" s="16">
        <v>3.0</v>
      </c>
      <c r="B422" s="16">
        <v>12.0</v>
      </c>
      <c r="C422" s="16">
        <v>5.0</v>
      </c>
      <c r="D422" s="16">
        <v>-1.33</v>
      </c>
      <c r="E422" s="16">
        <v>0.67</v>
      </c>
      <c r="F422" s="16">
        <v>0.0</v>
      </c>
      <c r="G422" s="18">
        <v>0.2</v>
      </c>
      <c r="H422" s="16" t="s">
        <v>216</v>
      </c>
      <c r="I422" s="19">
        <f t="shared" si="1"/>
        <v>-4</v>
      </c>
      <c r="J422" s="19">
        <f t="shared" si="2"/>
        <v>2</v>
      </c>
    </row>
    <row r="423" ht="22.5" customHeight="1">
      <c r="A423" s="16">
        <v>1.0</v>
      </c>
      <c r="B423" s="16">
        <v>4.0</v>
      </c>
      <c r="C423" s="16">
        <v>0.0</v>
      </c>
      <c r="D423" s="16">
        <v>0.0</v>
      </c>
      <c r="E423" s="16">
        <v>0.0</v>
      </c>
      <c r="F423" s="16">
        <v>0.0</v>
      </c>
      <c r="G423" s="18">
        <v>0.0</v>
      </c>
      <c r="H423" s="16" t="s">
        <v>338</v>
      </c>
      <c r="I423" s="19">
        <f t="shared" si="1"/>
        <v>0</v>
      </c>
      <c r="J423" s="19">
        <f t="shared" si="2"/>
        <v>0</v>
      </c>
    </row>
    <row r="424" ht="22.5" customHeight="1">
      <c r="A424" s="16">
        <v>1.0</v>
      </c>
      <c r="B424" s="16">
        <v>4.0</v>
      </c>
      <c r="C424" s="16">
        <v>0.0</v>
      </c>
      <c r="D424" s="16">
        <v>0.0</v>
      </c>
      <c r="E424" s="16">
        <v>0.0</v>
      </c>
      <c r="F424" s="16">
        <v>0.0</v>
      </c>
      <c r="G424" s="18">
        <v>0.0</v>
      </c>
      <c r="H424" s="16" t="s">
        <v>338</v>
      </c>
      <c r="I424" s="19">
        <f t="shared" si="1"/>
        <v>0</v>
      </c>
      <c r="J424" s="19">
        <f t="shared" si="2"/>
        <v>0</v>
      </c>
    </row>
    <row r="425" ht="22.5" customHeight="1">
      <c r="A425" s="16">
        <v>1.0</v>
      </c>
      <c r="B425" s="16">
        <v>4.0</v>
      </c>
      <c r="C425" s="16">
        <v>0.0</v>
      </c>
      <c r="D425" s="16">
        <v>0.0</v>
      </c>
      <c r="E425" s="16">
        <v>0.0</v>
      </c>
      <c r="F425" s="16">
        <v>0.0</v>
      </c>
      <c r="G425" s="18">
        <v>0.0</v>
      </c>
      <c r="H425" s="16" t="s">
        <v>339</v>
      </c>
      <c r="I425" s="19">
        <f t="shared" si="1"/>
        <v>0</v>
      </c>
      <c r="J425" s="19">
        <f t="shared" si="2"/>
        <v>0</v>
      </c>
    </row>
    <row r="426" ht="22.5" customHeight="1">
      <c r="A426" s="16">
        <v>1.0</v>
      </c>
      <c r="B426" s="16">
        <v>4.0</v>
      </c>
      <c r="C426" s="16">
        <v>2.0</v>
      </c>
      <c r="D426" s="16">
        <v>8.0</v>
      </c>
      <c r="E426" s="16">
        <v>0.0</v>
      </c>
      <c r="F426" s="16">
        <v>0.0</v>
      </c>
      <c r="G426" s="18">
        <v>1.0</v>
      </c>
      <c r="H426" s="16" t="s">
        <v>83</v>
      </c>
      <c r="I426" s="19">
        <f t="shared" si="1"/>
        <v>8</v>
      </c>
      <c r="J426" s="19">
        <f t="shared" si="2"/>
        <v>0</v>
      </c>
    </row>
    <row r="427" ht="22.5" customHeight="1">
      <c r="A427" s="16">
        <v>2.0</v>
      </c>
      <c r="B427" s="16">
        <v>8.0</v>
      </c>
      <c r="C427" s="16">
        <v>7.0</v>
      </c>
      <c r="D427" s="16">
        <v>8.0</v>
      </c>
      <c r="E427" s="16">
        <v>0.5</v>
      </c>
      <c r="F427" s="16">
        <v>0.0</v>
      </c>
      <c r="G427" s="20">
        <v>0.714</v>
      </c>
      <c r="H427" s="16" t="s">
        <v>83</v>
      </c>
      <c r="I427" s="19">
        <f t="shared" si="1"/>
        <v>16</v>
      </c>
      <c r="J427" s="19">
        <f t="shared" si="2"/>
        <v>1</v>
      </c>
    </row>
    <row r="428" ht="22.5" customHeight="1">
      <c r="A428" s="16">
        <v>1.0</v>
      </c>
      <c r="B428" s="16">
        <v>4.0</v>
      </c>
      <c r="C428" s="16">
        <v>0.0</v>
      </c>
      <c r="D428" s="16">
        <v>0.0</v>
      </c>
      <c r="E428" s="16">
        <v>0.0</v>
      </c>
      <c r="F428" s="16">
        <v>0.0</v>
      </c>
      <c r="G428" s="18">
        <v>0.0</v>
      </c>
      <c r="H428" s="16" t="s">
        <v>340</v>
      </c>
      <c r="I428" s="19">
        <f t="shared" si="1"/>
        <v>0</v>
      </c>
      <c r="J428" s="19">
        <f t="shared" si="2"/>
        <v>0</v>
      </c>
    </row>
    <row r="429" ht="22.5" customHeight="1">
      <c r="A429" s="16">
        <v>1.0</v>
      </c>
      <c r="B429" s="16">
        <v>4.0</v>
      </c>
      <c r="C429" s="16">
        <v>0.0</v>
      </c>
      <c r="D429" s="16">
        <v>0.0</v>
      </c>
      <c r="E429" s="16">
        <v>0.0</v>
      </c>
      <c r="F429" s="16">
        <v>0.0</v>
      </c>
      <c r="G429" s="18">
        <v>0.0</v>
      </c>
      <c r="H429" s="16" t="s">
        <v>340</v>
      </c>
      <c r="I429" s="19">
        <f t="shared" si="1"/>
        <v>0</v>
      </c>
      <c r="J429" s="19">
        <f t="shared" si="2"/>
        <v>0</v>
      </c>
    </row>
    <row r="430" ht="22.5" customHeight="1">
      <c r="A430" s="16">
        <v>3.0</v>
      </c>
      <c r="B430" s="16">
        <v>12.0</v>
      </c>
      <c r="C430" s="16">
        <v>5.0</v>
      </c>
      <c r="D430" s="16">
        <v>6.67</v>
      </c>
      <c r="E430" s="16">
        <v>0.0</v>
      </c>
      <c r="F430" s="16">
        <v>0.0</v>
      </c>
      <c r="G430" s="18">
        <v>1.0</v>
      </c>
      <c r="H430" s="16" t="s">
        <v>258</v>
      </c>
      <c r="I430" s="19">
        <f t="shared" si="1"/>
        <v>20</v>
      </c>
      <c r="J430" s="19">
        <f t="shared" si="2"/>
        <v>0</v>
      </c>
    </row>
    <row r="431" ht="22.5" customHeight="1">
      <c r="A431" s="16">
        <v>1.0</v>
      </c>
      <c r="B431" s="16">
        <v>4.0</v>
      </c>
      <c r="C431" s="16">
        <v>2.0</v>
      </c>
      <c r="D431" s="16">
        <v>8.0</v>
      </c>
      <c r="E431" s="16">
        <v>0.0</v>
      </c>
      <c r="F431" s="16">
        <v>0.0</v>
      </c>
      <c r="G431" s="18">
        <v>1.0</v>
      </c>
      <c r="H431" s="16" t="s">
        <v>301</v>
      </c>
      <c r="I431" s="19">
        <f t="shared" si="1"/>
        <v>8</v>
      </c>
      <c r="J431" s="19">
        <f t="shared" si="2"/>
        <v>0</v>
      </c>
    </row>
    <row r="432" ht="22.5" customHeight="1">
      <c r="A432" s="16">
        <v>1.0</v>
      </c>
      <c r="B432" s="16">
        <v>4.0</v>
      </c>
      <c r="C432" s="16">
        <v>1.0</v>
      </c>
      <c r="D432" s="16">
        <v>0.0</v>
      </c>
      <c r="E432" s="16">
        <v>0.0</v>
      </c>
      <c r="F432" s="16">
        <v>0.0</v>
      </c>
      <c r="G432" s="18">
        <v>0.0</v>
      </c>
      <c r="H432" s="16" t="s">
        <v>301</v>
      </c>
      <c r="I432" s="19">
        <f t="shared" si="1"/>
        <v>0</v>
      </c>
      <c r="J432" s="19">
        <f t="shared" si="2"/>
        <v>0</v>
      </c>
    </row>
    <row r="433" ht="22.5" customHeight="1">
      <c r="A433" s="16">
        <v>2.0</v>
      </c>
      <c r="B433" s="16">
        <v>8.0</v>
      </c>
      <c r="C433" s="16">
        <v>2.0</v>
      </c>
      <c r="D433" s="16">
        <v>4.0</v>
      </c>
      <c r="E433" s="16">
        <v>0.0</v>
      </c>
      <c r="F433" s="16">
        <v>0.0</v>
      </c>
      <c r="G433" s="18">
        <v>1.0</v>
      </c>
      <c r="H433" s="16" t="s">
        <v>87</v>
      </c>
      <c r="I433" s="19">
        <f t="shared" si="1"/>
        <v>8</v>
      </c>
      <c r="J433" s="19">
        <f t="shared" si="2"/>
        <v>0</v>
      </c>
    </row>
    <row r="434" ht="22.5" customHeight="1">
      <c r="A434" s="16">
        <v>1.0</v>
      </c>
      <c r="B434" s="16">
        <v>4.0</v>
      </c>
      <c r="C434" s="16">
        <v>0.0</v>
      </c>
      <c r="D434" s="16">
        <v>0.0</v>
      </c>
      <c r="E434" s="16">
        <v>0.0</v>
      </c>
      <c r="F434" s="16">
        <v>0.0</v>
      </c>
      <c r="G434" s="18">
        <v>0.0</v>
      </c>
      <c r="H434" s="16" t="s">
        <v>87</v>
      </c>
      <c r="I434" s="19">
        <f t="shared" si="1"/>
        <v>0</v>
      </c>
      <c r="J434" s="19">
        <f t="shared" si="2"/>
        <v>0</v>
      </c>
    </row>
    <row r="435" ht="22.5" customHeight="1">
      <c r="A435" s="16">
        <v>1.0</v>
      </c>
      <c r="B435" s="16">
        <v>4.0</v>
      </c>
      <c r="C435" s="16">
        <v>0.0</v>
      </c>
      <c r="D435" s="16">
        <v>0.0</v>
      </c>
      <c r="E435" s="16">
        <v>0.0</v>
      </c>
      <c r="F435" s="16">
        <v>0.0</v>
      </c>
      <c r="G435" s="18">
        <v>0.0</v>
      </c>
      <c r="H435" s="16" t="s">
        <v>87</v>
      </c>
      <c r="I435" s="19">
        <f t="shared" si="1"/>
        <v>0</v>
      </c>
      <c r="J435" s="19">
        <f t="shared" si="2"/>
        <v>0</v>
      </c>
    </row>
    <row r="436" ht="22.5" customHeight="1">
      <c r="A436" s="16">
        <v>1.0</v>
      </c>
      <c r="B436" s="16">
        <v>4.0</v>
      </c>
      <c r="C436" s="16">
        <v>0.0</v>
      </c>
      <c r="D436" s="16">
        <v>0.0</v>
      </c>
      <c r="E436" s="16">
        <v>0.0</v>
      </c>
      <c r="F436" s="16">
        <v>0.0</v>
      </c>
      <c r="G436" s="18">
        <v>0.0</v>
      </c>
      <c r="H436" s="16" t="s">
        <v>341</v>
      </c>
      <c r="I436" s="19">
        <f t="shared" si="1"/>
        <v>0</v>
      </c>
      <c r="J436" s="19">
        <f t="shared" si="2"/>
        <v>0</v>
      </c>
    </row>
    <row r="437" ht="22.5" customHeight="1">
      <c r="A437" s="16">
        <v>1.0</v>
      </c>
      <c r="B437" s="16">
        <v>4.0</v>
      </c>
      <c r="C437" s="16">
        <v>1.0</v>
      </c>
      <c r="D437" s="16">
        <v>0.0</v>
      </c>
      <c r="E437" s="16">
        <v>0.0</v>
      </c>
      <c r="F437" s="16">
        <v>0.0</v>
      </c>
      <c r="G437" s="18">
        <v>0.0</v>
      </c>
      <c r="H437" s="16" t="s">
        <v>341</v>
      </c>
      <c r="I437" s="19">
        <f t="shared" si="1"/>
        <v>0</v>
      </c>
      <c r="J437" s="19">
        <f t="shared" si="2"/>
        <v>0</v>
      </c>
    </row>
    <row r="438" ht="22.5" customHeight="1">
      <c r="A438" s="16">
        <v>5.0</v>
      </c>
      <c r="B438" s="16">
        <v>20.0</v>
      </c>
      <c r="C438" s="16">
        <v>1.0</v>
      </c>
      <c r="D438" s="16">
        <v>0.0</v>
      </c>
      <c r="E438" s="16">
        <v>0.0</v>
      </c>
      <c r="F438" s="16">
        <v>0.0</v>
      </c>
      <c r="G438" s="18">
        <v>0.0</v>
      </c>
      <c r="H438" s="16" t="s">
        <v>312</v>
      </c>
      <c r="I438" s="19">
        <f t="shared" si="1"/>
        <v>0</v>
      </c>
      <c r="J438" s="19">
        <f t="shared" si="2"/>
        <v>0</v>
      </c>
    </row>
    <row r="439" ht="22.5" customHeight="1">
      <c r="A439" s="16">
        <v>4.0</v>
      </c>
      <c r="B439" s="16">
        <v>16.0</v>
      </c>
      <c r="C439" s="16">
        <v>7.0</v>
      </c>
      <c r="D439" s="16">
        <v>6.0</v>
      </c>
      <c r="E439" s="16">
        <v>0.0</v>
      </c>
      <c r="F439" s="16">
        <v>0.0</v>
      </c>
      <c r="G439" s="20">
        <v>0.857</v>
      </c>
      <c r="H439" s="16" t="s">
        <v>260</v>
      </c>
      <c r="I439" s="19">
        <f t="shared" si="1"/>
        <v>24</v>
      </c>
      <c r="J439" s="19">
        <f t="shared" si="2"/>
        <v>0</v>
      </c>
    </row>
    <row r="440" ht="22.5" customHeight="1">
      <c r="A440" s="16">
        <v>1.0</v>
      </c>
      <c r="B440" s="16">
        <v>4.0</v>
      </c>
      <c r="C440" s="16">
        <v>0.0</v>
      </c>
      <c r="D440" s="16">
        <v>0.0</v>
      </c>
      <c r="E440" s="16">
        <v>0.0</v>
      </c>
      <c r="F440" s="16">
        <v>0.0</v>
      </c>
      <c r="G440" s="18">
        <v>0.0</v>
      </c>
      <c r="H440" s="16" t="s">
        <v>260</v>
      </c>
      <c r="I440" s="19">
        <f t="shared" si="1"/>
        <v>0</v>
      </c>
      <c r="J440" s="19">
        <f t="shared" si="2"/>
        <v>0</v>
      </c>
    </row>
    <row r="441" ht="22.5" customHeight="1">
      <c r="A441" s="16">
        <v>4.0</v>
      </c>
      <c r="B441" s="16">
        <v>16.0</v>
      </c>
      <c r="C441" s="16">
        <v>1.0</v>
      </c>
      <c r="D441" s="16">
        <v>1.0</v>
      </c>
      <c r="E441" s="16">
        <v>0.0</v>
      </c>
      <c r="F441" s="16">
        <v>0.0</v>
      </c>
      <c r="G441" s="18">
        <v>1.0</v>
      </c>
      <c r="H441" s="16" t="s">
        <v>327</v>
      </c>
      <c r="I441" s="19">
        <f t="shared" si="1"/>
        <v>4</v>
      </c>
      <c r="J441" s="19">
        <f t="shared" si="2"/>
        <v>0</v>
      </c>
    </row>
    <row r="442" ht="22.5" customHeight="1">
      <c r="A442" s="16">
        <v>5.0</v>
      </c>
      <c r="B442" s="16">
        <v>20.0</v>
      </c>
      <c r="C442" s="16">
        <v>7.0</v>
      </c>
      <c r="D442" s="16">
        <v>1.6</v>
      </c>
      <c r="E442" s="16">
        <v>0.2</v>
      </c>
      <c r="F442" s="16">
        <v>0.0</v>
      </c>
      <c r="G442" s="20">
        <v>0.429</v>
      </c>
      <c r="H442" s="16" t="s">
        <v>131</v>
      </c>
      <c r="I442" s="19">
        <f t="shared" si="1"/>
        <v>8</v>
      </c>
      <c r="J442" s="19">
        <f t="shared" si="2"/>
        <v>1</v>
      </c>
    </row>
    <row r="443" ht="22.5" customHeight="1">
      <c r="A443" s="16">
        <v>2.0</v>
      </c>
      <c r="B443" s="16">
        <v>8.0</v>
      </c>
      <c r="C443" s="16">
        <v>0.0</v>
      </c>
      <c r="D443" s="16">
        <v>0.0</v>
      </c>
      <c r="E443" s="16">
        <v>0.0</v>
      </c>
      <c r="F443" s="16">
        <v>0.0</v>
      </c>
      <c r="G443" s="18">
        <v>0.0</v>
      </c>
      <c r="H443" s="16" t="s">
        <v>342</v>
      </c>
      <c r="I443" s="19">
        <f t="shared" si="1"/>
        <v>0</v>
      </c>
      <c r="J443" s="19">
        <f t="shared" si="2"/>
        <v>0</v>
      </c>
    </row>
    <row r="444" ht="22.5" customHeight="1">
      <c r="A444" s="16">
        <v>4.0</v>
      </c>
      <c r="B444" s="16">
        <v>16.0</v>
      </c>
      <c r="C444" s="16">
        <v>2.0</v>
      </c>
      <c r="D444" s="16">
        <v>1.0</v>
      </c>
      <c r="E444" s="16">
        <v>0.0</v>
      </c>
      <c r="F444" s="16">
        <v>0.0</v>
      </c>
      <c r="G444" s="18">
        <v>0.5</v>
      </c>
      <c r="H444" s="16" t="s">
        <v>343</v>
      </c>
      <c r="I444" s="19">
        <f t="shared" si="1"/>
        <v>4</v>
      </c>
      <c r="J444" s="19">
        <f t="shared" si="2"/>
        <v>0</v>
      </c>
    </row>
    <row r="445" ht="22.5" customHeight="1">
      <c r="A445" s="16">
        <v>1.0</v>
      </c>
      <c r="B445" s="16">
        <v>4.0</v>
      </c>
      <c r="C445" s="16">
        <v>0.0</v>
      </c>
      <c r="D445" s="16">
        <v>0.0</v>
      </c>
      <c r="E445" s="16">
        <v>0.0</v>
      </c>
      <c r="F445" s="16">
        <v>0.0</v>
      </c>
      <c r="G445" s="18">
        <v>0.0</v>
      </c>
      <c r="H445" s="16" t="s">
        <v>343</v>
      </c>
      <c r="I445" s="19">
        <f t="shared" si="1"/>
        <v>0</v>
      </c>
      <c r="J445" s="19">
        <f t="shared" si="2"/>
        <v>0</v>
      </c>
    </row>
    <row r="446" ht="22.5" customHeight="1">
      <c r="A446" s="16">
        <v>2.0</v>
      </c>
      <c r="B446" s="16">
        <v>8.0</v>
      </c>
      <c r="C446" s="16">
        <v>0.0</v>
      </c>
      <c r="D446" s="16">
        <v>0.0</v>
      </c>
      <c r="E446" s="16">
        <v>0.0</v>
      </c>
      <c r="F446" s="16">
        <v>0.0</v>
      </c>
      <c r="G446" s="18">
        <v>0.0</v>
      </c>
      <c r="H446" s="16" t="s">
        <v>302</v>
      </c>
      <c r="I446" s="19">
        <f t="shared" si="1"/>
        <v>0</v>
      </c>
      <c r="J446" s="19">
        <f t="shared" si="2"/>
        <v>0</v>
      </c>
    </row>
    <row r="447" ht="22.5" customHeight="1">
      <c r="A447" s="16">
        <v>5.0</v>
      </c>
      <c r="B447" s="16">
        <v>20.0</v>
      </c>
      <c r="C447" s="16">
        <v>0.0</v>
      </c>
      <c r="D447" s="16">
        <v>0.0</v>
      </c>
      <c r="E447" s="16">
        <v>0.0</v>
      </c>
      <c r="F447" s="16">
        <v>0.0</v>
      </c>
      <c r="G447" s="18">
        <v>0.0</v>
      </c>
      <c r="H447" s="16" t="s">
        <v>231</v>
      </c>
      <c r="I447" s="19">
        <f t="shared" si="1"/>
        <v>0</v>
      </c>
      <c r="J447" s="19">
        <f t="shared" si="2"/>
        <v>0</v>
      </c>
    </row>
    <row r="448" ht="22.5" customHeight="1">
      <c r="A448" s="16">
        <v>5.0</v>
      </c>
      <c r="B448" s="16">
        <v>20.0</v>
      </c>
      <c r="C448" s="16">
        <v>13.0</v>
      </c>
      <c r="D448" s="16">
        <v>5.6</v>
      </c>
      <c r="E448" s="16">
        <v>0.6</v>
      </c>
      <c r="F448" s="16">
        <v>0.0</v>
      </c>
      <c r="G448" s="20">
        <v>0.769</v>
      </c>
      <c r="H448" s="16" t="s">
        <v>122</v>
      </c>
      <c r="I448" s="19">
        <f t="shared" si="1"/>
        <v>28</v>
      </c>
      <c r="J448" s="19">
        <f t="shared" si="2"/>
        <v>3</v>
      </c>
    </row>
    <row r="449" ht="22.5" customHeight="1">
      <c r="A449" s="16">
        <v>3.0</v>
      </c>
      <c r="B449" s="16">
        <v>12.0</v>
      </c>
      <c r="C449" s="16">
        <v>0.0</v>
      </c>
      <c r="D449" s="16">
        <v>0.0</v>
      </c>
      <c r="E449" s="16">
        <v>0.0</v>
      </c>
      <c r="F449" s="16">
        <v>0.0</v>
      </c>
      <c r="G449" s="18">
        <v>0.0</v>
      </c>
      <c r="H449" s="16" t="s">
        <v>261</v>
      </c>
      <c r="I449" s="19">
        <f t="shared" si="1"/>
        <v>0</v>
      </c>
      <c r="J449" s="19">
        <f t="shared" si="2"/>
        <v>0</v>
      </c>
    </row>
    <row r="450" ht="22.5" customHeight="1">
      <c r="A450" s="16">
        <v>5.0</v>
      </c>
      <c r="B450" s="16">
        <v>20.0</v>
      </c>
      <c r="C450" s="16">
        <v>5.0</v>
      </c>
      <c r="D450" s="16">
        <v>-0.8</v>
      </c>
      <c r="E450" s="16">
        <v>0.4</v>
      </c>
      <c r="F450" s="16">
        <v>0.0</v>
      </c>
      <c r="G450" s="18">
        <v>0.2</v>
      </c>
      <c r="H450" s="16" t="s">
        <v>344</v>
      </c>
      <c r="I450" s="19">
        <f t="shared" si="1"/>
        <v>-4</v>
      </c>
      <c r="J450" s="19">
        <f t="shared" si="2"/>
        <v>2</v>
      </c>
    </row>
    <row r="451" ht="22.5" customHeight="1">
      <c r="A451" s="16">
        <v>4.0</v>
      </c>
      <c r="B451" s="16">
        <v>16.0</v>
      </c>
      <c r="C451" s="16">
        <v>0.0</v>
      </c>
      <c r="D451" s="16">
        <v>0.0</v>
      </c>
      <c r="E451" s="16">
        <v>0.0</v>
      </c>
      <c r="F451" s="16">
        <v>0.0</v>
      </c>
      <c r="G451" s="18">
        <v>0.0</v>
      </c>
      <c r="H451" s="16" t="s">
        <v>345</v>
      </c>
      <c r="I451" s="19">
        <f t="shared" si="1"/>
        <v>0</v>
      </c>
      <c r="J451" s="19">
        <f t="shared" si="2"/>
        <v>0</v>
      </c>
    </row>
    <row r="452" ht="22.5" customHeight="1">
      <c r="A452" s="16">
        <v>1.0</v>
      </c>
      <c r="B452" s="16">
        <v>4.0</v>
      </c>
      <c r="C452" s="16">
        <v>0.0</v>
      </c>
      <c r="D452" s="16">
        <v>0.0</v>
      </c>
      <c r="E452" s="16">
        <v>0.0</v>
      </c>
      <c r="F452" s="16">
        <v>0.0</v>
      </c>
      <c r="G452" s="18">
        <v>0.0</v>
      </c>
      <c r="H452" s="16" t="s">
        <v>345</v>
      </c>
      <c r="I452" s="19">
        <f t="shared" si="1"/>
        <v>0</v>
      </c>
      <c r="J452" s="19">
        <f t="shared" si="2"/>
        <v>0</v>
      </c>
    </row>
    <row r="453" ht="22.5" customHeight="1">
      <c r="A453" s="16">
        <v>4.0</v>
      </c>
      <c r="B453" s="16">
        <v>16.0</v>
      </c>
      <c r="C453" s="16">
        <v>0.0</v>
      </c>
      <c r="D453" s="16">
        <v>0.0</v>
      </c>
      <c r="E453" s="16">
        <v>0.0</v>
      </c>
      <c r="F453" s="16">
        <v>0.0</v>
      </c>
      <c r="G453" s="18">
        <v>0.0</v>
      </c>
      <c r="H453" s="16" t="s">
        <v>346</v>
      </c>
      <c r="I453" s="19">
        <f t="shared" si="1"/>
        <v>0</v>
      </c>
      <c r="J453" s="19">
        <f t="shared" si="2"/>
        <v>0</v>
      </c>
    </row>
    <row r="454" ht="22.5" customHeight="1">
      <c r="A454" s="16">
        <v>1.0</v>
      </c>
      <c r="B454" s="16">
        <v>4.0</v>
      </c>
      <c r="C454" s="16">
        <v>0.0</v>
      </c>
      <c r="D454" s="16">
        <v>0.0</v>
      </c>
      <c r="E454" s="16">
        <v>0.0</v>
      </c>
      <c r="F454" s="16">
        <v>0.0</v>
      </c>
      <c r="G454" s="18">
        <v>0.0</v>
      </c>
      <c r="H454" s="16" t="s">
        <v>346</v>
      </c>
      <c r="I454" s="19">
        <f t="shared" si="1"/>
        <v>0</v>
      </c>
      <c r="J454" s="19">
        <f t="shared" si="2"/>
        <v>0</v>
      </c>
    </row>
    <row r="455" ht="22.5" customHeight="1">
      <c r="A455" s="16">
        <v>1.0</v>
      </c>
      <c r="B455" s="16">
        <v>4.0</v>
      </c>
      <c r="C455" s="16">
        <v>0.0</v>
      </c>
      <c r="D455" s="16">
        <v>0.0</v>
      </c>
      <c r="E455" s="16">
        <v>0.0</v>
      </c>
      <c r="F455" s="16">
        <v>0.0</v>
      </c>
      <c r="G455" s="18">
        <v>0.0</v>
      </c>
      <c r="H455" s="16" t="s">
        <v>347</v>
      </c>
      <c r="I455" s="19">
        <f t="shared" si="1"/>
        <v>0</v>
      </c>
      <c r="J455" s="19">
        <f t="shared" si="2"/>
        <v>0</v>
      </c>
    </row>
    <row r="456" ht="22.5" customHeight="1">
      <c r="A456" s="16">
        <v>4.0</v>
      </c>
      <c r="B456" s="16">
        <v>16.0</v>
      </c>
      <c r="C456" s="16">
        <v>0.0</v>
      </c>
      <c r="D456" s="16">
        <v>0.0</v>
      </c>
      <c r="E456" s="16">
        <v>0.0</v>
      </c>
      <c r="F456" s="16">
        <v>0.0</v>
      </c>
      <c r="G456" s="18">
        <v>0.0</v>
      </c>
      <c r="H456" s="16" t="s">
        <v>347</v>
      </c>
      <c r="I456" s="19">
        <f t="shared" si="1"/>
        <v>0</v>
      </c>
      <c r="J456" s="19">
        <f t="shared" si="2"/>
        <v>0</v>
      </c>
    </row>
    <row r="457" ht="22.5" customHeight="1">
      <c r="A457" s="16">
        <v>4.0</v>
      </c>
      <c r="B457" s="16">
        <v>16.0</v>
      </c>
      <c r="C457" s="16">
        <v>15.0</v>
      </c>
      <c r="D457" s="16">
        <v>10.0</v>
      </c>
      <c r="E457" s="16">
        <v>0.5</v>
      </c>
      <c r="F457" s="16">
        <v>0.0</v>
      </c>
      <c r="G457" s="18">
        <v>0.8</v>
      </c>
      <c r="H457" s="16" t="s">
        <v>188</v>
      </c>
      <c r="I457" s="19">
        <f t="shared" si="1"/>
        <v>40</v>
      </c>
      <c r="J457" s="19">
        <f t="shared" si="2"/>
        <v>2</v>
      </c>
    </row>
    <row r="458" ht="22.5" customHeight="1">
      <c r="A458" s="16">
        <v>1.0</v>
      </c>
      <c r="B458" s="16">
        <v>4.0</v>
      </c>
      <c r="C458" s="16">
        <v>4.0</v>
      </c>
      <c r="D458" s="16">
        <v>12.0</v>
      </c>
      <c r="E458" s="16">
        <v>0.0</v>
      </c>
      <c r="F458" s="16">
        <v>0.0</v>
      </c>
      <c r="G458" s="18">
        <v>0.75</v>
      </c>
      <c r="H458" s="16" t="s">
        <v>188</v>
      </c>
      <c r="I458" s="19">
        <f t="shared" si="1"/>
        <v>12</v>
      </c>
      <c r="J458" s="19">
        <f t="shared" si="2"/>
        <v>0</v>
      </c>
    </row>
    <row r="459" ht="22.5" customHeight="1">
      <c r="A459" s="16">
        <v>3.0</v>
      </c>
      <c r="B459" s="16">
        <v>12.0</v>
      </c>
      <c r="C459" s="16">
        <v>6.0</v>
      </c>
      <c r="D459" s="16">
        <v>8.0</v>
      </c>
      <c r="E459" s="16">
        <v>0.0</v>
      </c>
      <c r="F459" s="16">
        <v>0.0</v>
      </c>
      <c r="G459" s="18">
        <v>1.0</v>
      </c>
      <c r="H459" s="16" t="s">
        <v>119</v>
      </c>
      <c r="I459" s="19">
        <f t="shared" si="1"/>
        <v>24</v>
      </c>
      <c r="J459" s="19">
        <f t="shared" si="2"/>
        <v>0</v>
      </c>
    </row>
    <row r="460" ht="22.5" customHeight="1">
      <c r="A460" s="16">
        <v>3.0</v>
      </c>
      <c r="B460" s="16">
        <v>12.0</v>
      </c>
      <c r="C460" s="16">
        <v>6.0</v>
      </c>
      <c r="D460" s="16">
        <v>2.67</v>
      </c>
      <c r="E460" s="16">
        <v>0.33</v>
      </c>
      <c r="F460" s="16">
        <v>0.0</v>
      </c>
      <c r="G460" s="18">
        <v>0.5</v>
      </c>
      <c r="H460" s="16" t="s">
        <v>218</v>
      </c>
      <c r="I460" s="19">
        <f t="shared" si="1"/>
        <v>8</v>
      </c>
      <c r="J460" s="19">
        <f t="shared" si="2"/>
        <v>1</v>
      </c>
    </row>
    <row r="461" ht="22.5" customHeight="1">
      <c r="A461" s="16">
        <v>2.0</v>
      </c>
      <c r="B461" s="16">
        <v>8.0</v>
      </c>
      <c r="C461" s="16">
        <v>1.0</v>
      </c>
      <c r="D461" s="16">
        <v>0.0</v>
      </c>
      <c r="E461" s="16">
        <v>0.0</v>
      </c>
      <c r="F461" s="16">
        <v>0.0</v>
      </c>
      <c r="G461" s="18">
        <v>0.0</v>
      </c>
      <c r="H461" s="16" t="s">
        <v>348</v>
      </c>
      <c r="I461" s="19">
        <f t="shared" si="1"/>
        <v>0</v>
      </c>
      <c r="J461" s="19">
        <f t="shared" si="2"/>
        <v>0</v>
      </c>
    </row>
    <row r="462" ht="22.5" customHeight="1">
      <c r="A462" s="16">
        <v>3.0</v>
      </c>
      <c r="B462" s="16">
        <v>12.0</v>
      </c>
      <c r="C462" s="16">
        <v>0.0</v>
      </c>
      <c r="D462" s="16">
        <v>0.0</v>
      </c>
      <c r="E462" s="16">
        <v>0.0</v>
      </c>
      <c r="F462" s="16">
        <v>0.0</v>
      </c>
      <c r="G462" s="18">
        <v>0.0</v>
      </c>
      <c r="H462" s="16" t="s">
        <v>349</v>
      </c>
      <c r="I462" s="19">
        <f t="shared" si="1"/>
        <v>0</v>
      </c>
      <c r="J462" s="19">
        <f t="shared" si="2"/>
        <v>0</v>
      </c>
    </row>
    <row r="463" ht="22.5" customHeight="1">
      <c r="A463" s="16">
        <v>4.0</v>
      </c>
      <c r="B463" s="16">
        <v>16.0</v>
      </c>
      <c r="C463" s="16">
        <v>1.0</v>
      </c>
      <c r="D463" s="16">
        <v>1.0</v>
      </c>
      <c r="E463" s="16">
        <v>0.0</v>
      </c>
      <c r="F463" s="16">
        <v>0.0</v>
      </c>
      <c r="G463" s="18">
        <v>1.0</v>
      </c>
      <c r="H463" s="16" t="s">
        <v>193</v>
      </c>
      <c r="I463" s="19">
        <f t="shared" si="1"/>
        <v>4</v>
      </c>
      <c r="J463" s="19">
        <f t="shared" si="2"/>
        <v>0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3" max="3" width="17.25"/>
    <col customWidth="1" min="5" max="5" width="13.0"/>
  </cols>
  <sheetData>
    <row r="1" ht="22.5" customHeight="1">
      <c r="A1" s="12" t="s">
        <v>36</v>
      </c>
      <c r="B1" s="12" t="s">
        <v>42</v>
      </c>
      <c r="C1" s="12" t="s">
        <v>44</v>
      </c>
      <c r="D1" s="8" t="s">
        <v>45</v>
      </c>
      <c r="E1" s="12" t="s">
        <v>30</v>
      </c>
    </row>
    <row r="2" ht="22.5" customHeight="1">
      <c r="A2" s="13" t="s">
        <v>98</v>
      </c>
      <c r="B2" s="13">
        <v>5.0</v>
      </c>
      <c r="C2" s="13">
        <v>20.0</v>
      </c>
      <c r="D2" s="10">
        <v>12.0</v>
      </c>
      <c r="E2" s="10">
        <v>0.0</v>
      </c>
    </row>
    <row r="3" ht="22.5" customHeight="1">
      <c r="A3" s="13" t="s">
        <v>99</v>
      </c>
      <c r="B3" s="13">
        <v>5.0</v>
      </c>
      <c r="C3" s="13">
        <v>20.0</v>
      </c>
      <c r="D3" s="10">
        <v>10.4</v>
      </c>
      <c r="E3" s="10">
        <v>0.0</v>
      </c>
    </row>
    <row r="4" ht="22.5" customHeight="1">
      <c r="A4" s="13" t="s">
        <v>188</v>
      </c>
      <c r="B4" s="13">
        <v>5.0</v>
      </c>
      <c r="C4" s="13">
        <v>20.0</v>
      </c>
      <c r="D4" s="10">
        <v>10.4</v>
      </c>
      <c r="E4" s="10">
        <v>0.4</v>
      </c>
    </row>
    <row r="5" ht="22.5" customHeight="1">
      <c r="A5" s="13" t="s">
        <v>80</v>
      </c>
      <c r="B5" s="13">
        <v>4.0</v>
      </c>
      <c r="C5" s="13">
        <v>16.0</v>
      </c>
      <c r="D5" s="10">
        <v>10.0</v>
      </c>
      <c r="E5" s="10">
        <v>0.25</v>
      </c>
      <c r="H5" s="3" t="s">
        <v>361</v>
      </c>
    </row>
    <row r="6" ht="22.5" customHeight="1">
      <c r="A6" s="13" t="s">
        <v>74</v>
      </c>
      <c r="B6" s="13">
        <v>5.0</v>
      </c>
      <c r="C6" s="13">
        <v>20.0</v>
      </c>
      <c r="D6" s="10">
        <v>9.6</v>
      </c>
      <c r="E6" s="10">
        <v>0.4</v>
      </c>
    </row>
    <row r="7" ht="22.5" customHeight="1">
      <c r="A7" s="13" t="s">
        <v>185</v>
      </c>
      <c r="B7" s="13">
        <v>5.0</v>
      </c>
      <c r="C7" s="13">
        <v>20.0</v>
      </c>
      <c r="D7" s="10">
        <v>8.8</v>
      </c>
      <c r="E7" s="10">
        <v>0.2</v>
      </c>
    </row>
    <row r="8" ht="22.5" customHeight="1">
      <c r="A8" s="13" t="s">
        <v>76</v>
      </c>
      <c r="B8" s="13">
        <v>1.0</v>
      </c>
      <c r="C8" s="13">
        <v>4.0</v>
      </c>
      <c r="D8" s="10">
        <v>8.0</v>
      </c>
      <c r="E8" s="10">
        <v>0.0</v>
      </c>
    </row>
    <row r="9" ht="22.5" customHeight="1">
      <c r="A9" s="13" t="s">
        <v>125</v>
      </c>
      <c r="B9" s="13">
        <v>4.0</v>
      </c>
      <c r="C9" s="13">
        <v>16.0</v>
      </c>
      <c r="D9" s="10">
        <v>8.0</v>
      </c>
      <c r="E9" s="10">
        <v>0.0</v>
      </c>
    </row>
    <row r="10" ht="22.5" customHeight="1">
      <c r="A10" s="13" t="s">
        <v>150</v>
      </c>
      <c r="B10" s="13">
        <v>4.0</v>
      </c>
      <c r="C10" s="13">
        <v>16.0</v>
      </c>
      <c r="D10" s="10">
        <v>8.0</v>
      </c>
      <c r="E10" s="10">
        <v>0.0</v>
      </c>
    </row>
    <row r="11" ht="22.5" customHeight="1">
      <c r="A11" s="13" t="s">
        <v>83</v>
      </c>
      <c r="B11" s="13">
        <v>3.0</v>
      </c>
      <c r="D11" s="10">
        <v>8.0</v>
      </c>
      <c r="E11" s="10">
        <v>0.3333333333333333</v>
      </c>
    </row>
    <row r="12" ht="22.5" customHeight="1">
      <c r="A12" s="13" t="s">
        <v>119</v>
      </c>
      <c r="B12" s="13">
        <v>3.0</v>
      </c>
      <c r="C12" s="13">
        <v>12.0</v>
      </c>
      <c r="D12" s="10">
        <v>8.0</v>
      </c>
      <c r="E12" s="10">
        <v>0.0</v>
      </c>
    </row>
    <row r="13" ht="22.5" customHeight="1">
      <c r="A13" s="13" t="s">
        <v>29</v>
      </c>
      <c r="B13" s="13">
        <v>5.0</v>
      </c>
      <c r="C13" s="13">
        <v>20.0</v>
      </c>
      <c r="D13" s="10">
        <v>7.2</v>
      </c>
      <c r="E13" s="10">
        <v>0.0</v>
      </c>
    </row>
    <row r="14" ht="22.5" customHeight="1">
      <c r="A14" s="13" t="s">
        <v>70</v>
      </c>
      <c r="B14" s="13">
        <v>5.0</v>
      </c>
      <c r="C14" s="13">
        <v>19.0</v>
      </c>
      <c r="D14" s="10">
        <v>7.2</v>
      </c>
      <c r="E14" s="10">
        <v>0.0</v>
      </c>
    </row>
    <row r="15" ht="22.5" customHeight="1">
      <c r="A15" s="13" t="s">
        <v>245</v>
      </c>
      <c r="B15" s="13">
        <v>3.0</v>
      </c>
      <c r="C15" s="13">
        <v>12.0</v>
      </c>
      <c r="D15" s="10">
        <v>6.666666666666667</v>
      </c>
      <c r="E15" s="10">
        <v>0.3333333333333333</v>
      </c>
    </row>
    <row r="16" ht="22.5" customHeight="1">
      <c r="A16" s="13" t="s">
        <v>258</v>
      </c>
      <c r="B16" s="13">
        <v>3.0</v>
      </c>
      <c r="C16" s="13">
        <v>12.0</v>
      </c>
      <c r="D16" s="10">
        <v>6.666666666666667</v>
      </c>
      <c r="E16" s="10">
        <v>0.0</v>
      </c>
    </row>
    <row r="17" ht="22.5" customHeight="1">
      <c r="A17" s="13" t="s">
        <v>66</v>
      </c>
      <c r="B17" s="13">
        <v>5.0</v>
      </c>
      <c r="C17" s="13">
        <v>20.0</v>
      </c>
      <c r="D17" s="10">
        <v>6.4</v>
      </c>
      <c r="E17" s="10">
        <v>0.0</v>
      </c>
    </row>
    <row r="18" ht="22.5" customHeight="1">
      <c r="A18" s="13" t="s">
        <v>212</v>
      </c>
      <c r="B18" s="13">
        <v>5.0</v>
      </c>
      <c r="C18" s="13">
        <v>20.0</v>
      </c>
      <c r="D18" s="10">
        <v>6.4</v>
      </c>
      <c r="E18" s="10">
        <v>0.2</v>
      </c>
    </row>
    <row r="19" ht="22.5" customHeight="1">
      <c r="A19" s="13" t="s">
        <v>54</v>
      </c>
      <c r="B19" s="13">
        <v>5.0</v>
      </c>
      <c r="C19" s="13">
        <v>21.0</v>
      </c>
      <c r="D19" s="10">
        <v>5.6</v>
      </c>
      <c r="E19" s="10">
        <v>0.2</v>
      </c>
    </row>
    <row r="20" ht="22.5" customHeight="1">
      <c r="A20" s="13" t="s">
        <v>90</v>
      </c>
      <c r="B20" s="13">
        <v>5.0</v>
      </c>
      <c r="C20" s="13">
        <v>18.0</v>
      </c>
      <c r="D20" s="10">
        <v>5.6</v>
      </c>
      <c r="E20" s="10">
        <v>0.0</v>
      </c>
    </row>
    <row r="21" ht="22.5" customHeight="1">
      <c r="A21" s="13" t="s">
        <v>47</v>
      </c>
      <c r="B21" s="13">
        <v>5.0</v>
      </c>
      <c r="C21" s="13">
        <v>19.0</v>
      </c>
      <c r="D21" s="10">
        <v>5.6</v>
      </c>
      <c r="E21" s="10">
        <v>0.2</v>
      </c>
    </row>
    <row r="22" ht="22.5" customHeight="1">
      <c r="A22" s="13" t="s">
        <v>122</v>
      </c>
      <c r="B22" s="13">
        <v>5.0</v>
      </c>
      <c r="C22" s="13">
        <v>20.0</v>
      </c>
      <c r="D22" s="10">
        <v>5.6</v>
      </c>
      <c r="E22" s="10">
        <v>0.6</v>
      </c>
    </row>
    <row r="23" ht="22.5" customHeight="1">
      <c r="A23" s="13" t="s">
        <v>123</v>
      </c>
      <c r="B23" s="13">
        <v>3.0</v>
      </c>
      <c r="C23" s="13">
        <v>12.0</v>
      </c>
      <c r="D23" s="10">
        <v>5.333333333333333</v>
      </c>
      <c r="E23" s="10">
        <v>0.0</v>
      </c>
    </row>
    <row r="24" ht="22.5" customHeight="1">
      <c r="A24" s="13" t="s">
        <v>171</v>
      </c>
      <c r="B24" s="13">
        <v>3.0</v>
      </c>
      <c r="C24" s="13">
        <v>12.0</v>
      </c>
      <c r="D24" s="10">
        <v>5.333333333333333</v>
      </c>
      <c r="E24" s="10">
        <v>0.0</v>
      </c>
    </row>
    <row r="25" ht="22.5" customHeight="1">
      <c r="A25" s="13" t="s">
        <v>100</v>
      </c>
      <c r="B25" s="13">
        <v>4.0</v>
      </c>
      <c r="C25" s="13">
        <v>14.0</v>
      </c>
      <c r="D25" s="10">
        <v>5.0</v>
      </c>
      <c r="E25" s="10">
        <v>0.0</v>
      </c>
    </row>
    <row r="26" ht="22.5" customHeight="1">
      <c r="A26" s="13" t="s">
        <v>264</v>
      </c>
      <c r="B26" s="13">
        <v>4.0</v>
      </c>
      <c r="C26" s="13">
        <v>15.0</v>
      </c>
      <c r="D26" s="10">
        <v>5.0</v>
      </c>
      <c r="E26" s="10">
        <v>0.25</v>
      </c>
    </row>
    <row r="27" ht="22.5" customHeight="1">
      <c r="A27" s="13" t="s">
        <v>145</v>
      </c>
      <c r="B27" s="13">
        <v>5.0</v>
      </c>
      <c r="C27" s="13">
        <v>20.0</v>
      </c>
      <c r="D27" s="10">
        <v>4.8</v>
      </c>
      <c r="E27" s="10">
        <v>0.4</v>
      </c>
    </row>
    <row r="28" ht="22.5" customHeight="1">
      <c r="A28" s="13" t="s">
        <v>165</v>
      </c>
      <c r="B28" s="13">
        <v>5.0</v>
      </c>
      <c r="C28" s="13">
        <v>20.0</v>
      </c>
      <c r="D28" s="10">
        <v>4.8</v>
      </c>
      <c r="E28" s="10">
        <v>0.2</v>
      </c>
    </row>
    <row r="29" ht="22.5" customHeight="1">
      <c r="A29" s="13" t="s">
        <v>52</v>
      </c>
      <c r="B29" s="13">
        <v>5.0</v>
      </c>
      <c r="C29" s="13">
        <v>20.0</v>
      </c>
      <c r="D29" s="10">
        <v>4.8</v>
      </c>
      <c r="E29" s="10">
        <v>0.4</v>
      </c>
    </row>
    <row r="30" ht="22.5" customHeight="1">
      <c r="A30" s="13" t="s">
        <v>274</v>
      </c>
      <c r="B30" s="13">
        <v>5.0</v>
      </c>
      <c r="C30" s="13">
        <v>20.0</v>
      </c>
      <c r="D30" s="10">
        <v>4.8</v>
      </c>
      <c r="E30" s="10">
        <v>0.0</v>
      </c>
    </row>
    <row r="31" ht="22.5" customHeight="1">
      <c r="A31" s="13" t="s">
        <v>186</v>
      </c>
      <c r="B31" s="13">
        <v>5.0</v>
      </c>
      <c r="C31" s="13">
        <v>16.0</v>
      </c>
      <c r="D31" s="10">
        <v>4.8</v>
      </c>
      <c r="E31" s="10">
        <v>0.0</v>
      </c>
    </row>
    <row r="32" ht="22.5" customHeight="1">
      <c r="A32" s="13" t="s">
        <v>260</v>
      </c>
      <c r="B32" s="13">
        <v>5.0</v>
      </c>
      <c r="C32" s="13">
        <v>20.0</v>
      </c>
      <c r="D32" s="10">
        <v>4.8</v>
      </c>
      <c r="E32" s="10">
        <v>0.0</v>
      </c>
    </row>
    <row r="33" ht="22.5" customHeight="1">
      <c r="A33" s="13" t="s">
        <v>8</v>
      </c>
      <c r="B33" s="13">
        <v>5.0</v>
      </c>
      <c r="C33" s="13">
        <v>20.0</v>
      </c>
      <c r="D33" s="10">
        <v>4.0</v>
      </c>
      <c r="E33" s="10">
        <v>0.0</v>
      </c>
    </row>
    <row r="34" ht="22.5" customHeight="1">
      <c r="A34" s="13" t="s">
        <v>110</v>
      </c>
      <c r="B34" s="13">
        <v>1.0</v>
      </c>
      <c r="C34" s="13">
        <v>4.0</v>
      </c>
      <c r="D34" s="10">
        <v>4.0</v>
      </c>
      <c r="E34" s="10">
        <v>0.0</v>
      </c>
    </row>
    <row r="35" ht="22.5" customHeight="1">
      <c r="A35" s="13" t="s">
        <v>127</v>
      </c>
      <c r="B35" s="13">
        <v>5.0</v>
      </c>
      <c r="C35" s="13">
        <v>20.0</v>
      </c>
      <c r="D35" s="10">
        <v>4.0</v>
      </c>
      <c r="E35" s="10">
        <v>0.0</v>
      </c>
    </row>
    <row r="36" ht="22.5" customHeight="1">
      <c r="A36" s="13" t="s">
        <v>151</v>
      </c>
      <c r="B36" s="13">
        <v>1.0</v>
      </c>
      <c r="C36" s="13">
        <v>4.0</v>
      </c>
      <c r="D36" s="10">
        <v>4.0</v>
      </c>
      <c r="E36" s="10">
        <v>0.0</v>
      </c>
    </row>
    <row r="37" ht="22.5" customHeight="1">
      <c r="A37" s="13" t="s">
        <v>112</v>
      </c>
      <c r="B37" s="13">
        <v>5.0</v>
      </c>
      <c r="C37" s="13">
        <v>19.0</v>
      </c>
      <c r="D37" s="10">
        <v>4.0</v>
      </c>
      <c r="E37" s="10">
        <v>0.4</v>
      </c>
    </row>
    <row r="38" ht="22.5" customHeight="1">
      <c r="A38" s="13" t="s">
        <v>105</v>
      </c>
      <c r="B38" s="13">
        <v>5.0</v>
      </c>
      <c r="C38" s="13">
        <v>20.0</v>
      </c>
      <c r="D38" s="10">
        <v>4.0</v>
      </c>
      <c r="E38" s="10">
        <v>0.2</v>
      </c>
    </row>
    <row r="39" ht="22.5" customHeight="1">
      <c r="A39" s="13" t="s">
        <v>224</v>
      </c>
      <c r="B39" s="13">
        <v>2.0</v>
      </c>
      <c r="C39" s="13">
        <v>8.0</v>
      </c>
      <c r="D39" s="10">
        <v>4.0</v>
      </c>
      <c r="E39" s="10">
        <v>0.0</v>
      </c>
    </row>
    <row r="40" ht="22.5" customHeight="1">
      <c r="A40" s="13" t="s">
        <v>225</v>
      </c>
      <c r="B40" s="13">
        <v>1.0</v>
      </c>
      <c r="C40" s="13">
        <v>3.0</v>
      </c>
      <c r="D40" s="10">
        <v>4.0</v>
      </c>
      <c r="E40" s="10">
        <v>0.0</v>
      </c>
    </row>
    <row r="41" ht="22.5" customHeight="1">
      <c r="A41" s="13" t="s">
        <v>292</v>
      </c>
      <c r="B41" s="13">
        <v>2.0</v>
      </c>
      <c r="C41" s="13">
        <v>8.0</v>
      </c>
      <c r="D41" s="10">
        <v>4.0</v>
      </c>
      <c r="E41" s="10">
        <v>0.0</v>
      </c>
    </row>
    <row r="42" ht="22.5" customHeight="1">
      <c r="A42" s="13" t="s">
        <v>286</v>
      </c>
      <c r="B42" s="13">
        <v>5.0</v>
      </c>
      <c r="C42" s="13">
        <v>20.0</v>
      </c>
      <c r="D42" s="10">
        <v>4.0</v>
      </c>
      <c r="E42" s="10">
        <v>0.2</v>
      </c>
    </row>
    <row r="43" ht="22.5" customHeight="1">
      <c r="A43" s="13" t="s">
        <v>249</v>
      </c>
      <c r="B43" s="13">
        <v>5.0</v>
      </c>
      <c r="C43" s="13">
        <v>20.0</v>
      </c>
      <c r="D43" s="10">
        <v>4.0</v>
      </c>
      <c r="E43" s="10">
        <v>0.0</v>
      </c>
    </row>
    <row r="44" ht="22.5" customHeight="1">
      <c r="A44" s="13" t="s">
        <v>308</v>
      </c>
      <c r="B44" s="13">
        <v>3.0</v>
      </c>
      <c r="C44" s="13">
        <v>12.0</v>
      </c>
      <c r="D44" s="10">
        <v>4.0</v>
      </c>
      <c r="E44" s="10">
        <v>0.0</v>
      </c>
    </row>
    <row r="45" ht="22.5" customHeight="1">
      <c r="A45" s="13" t="s">
        <v>301</v>
      </c>
      <c r="B45" s="13">
        <v>2.0</v>
      </c>
      <c r="C45" s="13">
        <v>8.0</v>
      </c>
      <c r="D45" s="10">
        <v>4.0</v>
      </c>
      <c r="E45" s="10">
        <v>0.0</v>
      </c>
    </row>
    <row r="46" ht="22.5" customHeight="1">
      <c r="A46" s="13" t="s">
        <v>46</v>
      </c>
      <c r="B46" s="13">
        <v>5.0</v>
      </c>
      <c r="C46" s="13">
        <v>20.0</v>
      </c>
      <c r="D46" s="10">
        <v>3.2</v>
      </c>
      <c r="E46" s="10">
        <v>0.2</v>
      </c>
    </row>
    <row r="47" ht="22.5" customHeight="1">
      <c r="A47" s="13" t="s">
        <v>62</v>
      </c>
      <c r="B47" s="13">
        <v>5.0</v>
      </c>
      <c r="C47" s="13">
        <v>20.0</v>
      </c>
      <c r="D47" s="10">
        <v>3.2</v>
      </c>
      <c r="E47" s="10">
        <v>0.2</v>
      </c>
    </row>
    <row r="48" ht="22.5" customHeight="1">
      <c r="A48" s="13" t="s">
        <v>220</v>
      </c>
      <c r="B48" s="13">
        <v>5.0</v>
      </c>
      <c r="C48" s="13">
        <v>20.0</v>
      </c>
      <c r="D48" s="10">
        <v>3.2</v>
      </c>
      <c r="E48" s="10">
        <v>0.4</v>
      </c>
    </row>
    <row r="49" ht="22.5" customHeight="1">
      <c r="A49" s="13" t="s">
        <v>202</v>
      </c>
      <c r="B49" s="13">
        <v>5.0</v>
      </c>
      <c r="C49" s="13">
        <v>20.0</v>
      </c>
      <c r="D49" s="10">
        <v>3.2</v>
      </c>
      <c r="E49" s="10">
        <v>0.0</v>
      </c>
    </row>
    <row r="50" ht="22.5" customHeight="1">
      <c r="A50" s="13" t="s">
        <v>204</v>
      </c>
      <c r="B50" s="13">
        <v>5.0</v>
      </c>
      <c r="C50" s="13">
        <v>20.0</v>
      </c>
      <c r="D50" s="10">
        <v>3.2</v>
      </c>
      <c r="E50" s="10">
        <v>0.0</v>
      </c>
    </row>
    <row r="51" ht="22.5" customHeight="1">
      <c r="A51" s="13" t="s">
        <v>164</v>
      </c>
      <c r="B51" s="13">
        <v>5.0</v>
      </c>
      <c r="C51" s="13">
        <v>20.0</v>
      </c>
      <c r="D51" s="10">
        <v>3.2</v>
      </c>
      <c r="E51" s="10">
        <v>0.2</v>
      </c>
    </row>
    <row r="52" ht="22.5" customHeight="1">
      <c r="A52" s="13" t="s">
        <v>93</v>
      </c>
      <c r="B52" s="13">
        <v>5.0</v>
      </c>
      <c r="C52" s="13">
        <v>19.0</v>
      </c>
      <c r="D52" s="10">
        <v>3.2</v>
      </c>
      <c r="E52" s="10">
        <v>0.0</v>
      </c>
    </row>
    <row r="53" ht="22.5" customHeight="1">
      <c r="A53" s="13" t="s">
        <v>157</v>
      </c>
      <c r="B53" s="13">
        <v>5.0</v>
      </c>
      <c r="C53" s="13">
        <v>16.0</v>
      </c>
      <c r="D53" s="10">
        <v>3.2</v>
      </c>
      <c r="E53" s="10">
        <v>0.0</v>
      </c>
    </row>
    <row r="54" ht="22.5" customHeight="1">
      <c r="A54" s="13" t="s">
        <v>130</v>
      </c>
      <c r="B54" s="13">
        <v>4.0</v>
      </c>
      <c r="C54" s="13">
        <v>16.0</v>
      </c>
      <c r="D54" s="10">
        <v>3.0</v>
      </c>
      <c r="E54" s="10">
        <v>0.25</v>
      </c>
    </row>
    <row r="55" ht="22.5" customHeight="1">
      <c r="A55" s="13" t="s">
        <v>77</v>
      </c>
      <c r="B55" s="13">
        <v>4.0</v>
      </c>
      <c r="C55" s="13">
        <v>15.0</v>
      </c>
      <c r="D55" s="10">
        <v>3.0</v>
      </c>
      <c r="E55" s="10">
        <v>1.0</v>
      </c>
    </row>
    <row r="56" ht="22.5" customHeight="1">
      <c r="A56" s="13" t="s">
        <v>135</v>
      </c>
      <c r="B56" s="13">
        <v>4.0</v>
      </c>
      <c r="C56" s="13">
        <v>16.0</v>
      </c>
      <c r="D56" s="10">
        <v>3.0</v>
      </c>
      <c r="E56" s="10">
        <v>0.25</v>
      </c>
    </row>
    <row r="57" ht="22.5" customHeight="1">
      <c r="A57" s="13" t="s">
        <v>138</v>
      </c>
      <c r="B57" s="13">
        <v>4.0</v>
      </c>
      <c r="C57" s="13">
        <v>16.0</v>
      </c>
      <c r="D57" s="10">
        <v>3.0</v>
      </c>
      <c r="E57" s="10">
        <v>0.25</v>
      </c>
    </row>
    <row r="58" ht="22.5" customHeight="1">
      <c r="A58" s="13" t="s">
        <v>141</v>
      </c>
      <c r="B58" s="13">
        <v>4.0</v>
      </c>
      <c r="C58" s="13">
        <v>16.0</v>
      </c>
      <c r="D58" s="10">
        <v>3.0</v>
      </c>
      <c r="E58" s="10">
        <v>0.0</v>
      </c>
    </row>
    <row r="59" ht="22.5" customHeight="1">
      <c r="A59" s="13" t="s">
        <v>316</v>
      </c>
      <c r="B59" s="13">
        <v>4.0</v>
      </c>
      <c r="C59" s="13">
        <v>16.0</v>
      </c>
      <c r="D59" s="10">
        <v>3.0</v>
      </c>
      <c r="E59" s="10">
        <v>0.0</v>
      </c>
    </row>
    <row r="60" ht="22.5" customHeight="1">
      <c r="A60" s="13" t="s">
        <v>73</v>
      </c>
      <c r="B60" s="13">
        <v>3.0</v>
      </c>
      <c r="C60" s="13">
        <v>12.0</v>
      </c>
      <c r="D60" s="10">
        <v>2.6666666666666665</v>
      </c>
      <c r="E60" s="10">
        <v>0.0</v>
      </c>
    </row>
    <row r="61" ht="22.5" customHeight="1">
      <c r="A61" s="13" t="s">
        <v>192</v>
      </c>
      <c r="B61" s="13">
        <v>3.0</v>
      </c>
      <c r="C61" s="13">
        <v>12.0</v>
      </c>
      <c r="D61" s="10">
        <v>2.6666666666666665</v>
      </c>
      <c r="E61" s="10">
        <v>0.0</v>
      </c>
    </row>
    <row r="62" ht="22.5" customHeight="1">
      <c r="A62" s="13" t="s">
        <v>314</v>
      </c>
      <c r="B62" s="13">
        <v>3.0</v>
      </c>
      <c r="C62" s="13">
        <v>12.0</v>
      </c>
      <c r="D62" s="10">
        <v>2.6666666666666665</v>
      </c>
      <c r="E62" s="10">
        <v>0.0</v>
      </c>
    </row>
    <row r="63" ht="22.5" customHeight="1">
      <c r="A63" s="13" t="s">
        <v>218</v>
      </c>
      <c r="B63" s="13">
        <v>3.0</v>
      </c>
      <c r="C63" s="13">
        <v>12.0</v>
      </c>
      <c r="D63" s="10">
        <v>2.6666666666666665</v>
      </c>
      <c r="E63" s="10">
        <v>0.3333333333333333</v>
      </c>
    </row>
    <row r="64" ht="22.5" customHeight="1">
      <c r="A64" s="13" t="s">
        <v>2</v>
      </c>
      <c r="B64" s="13">
        <v>5.0</v>
      </c>
      <c r="C64" s="13">
        <v>20.0</v>
      </c>
      <c r="D64" s="10">
        <v>2.4</v>
      </c>
      <c r="E64" s="10">
        <v>1.0</v>
      </c>
    </row>
    <row r="65" ht="22.5" customHeight="1">
      <c r="A65" s="13" t="s">
        <v>61</v>
      </c>
      <c r="B65" s="13">
        <v>5.0</v>
      </c>
      <c r="C65" s="13">
        <v>21.0</v>
      </c>
      <c r="D65" s="10">
        <v>2.4</v>
      </c>
      <c r="E65" s="10">
        <v>0.0</v>
      </c>
    </row>
    <row r="66" ht="22.5" customHeight="1">
      <c r="A66" s="13" t="s">
        <v>115</v>
      </c>
      <c r="B66" s="13">
        <v>5.0</v>
      </c>
      <c r="C66" s="13">
        <v>20.0</v>
      </c>
      <c r="D66" s="10">
        <v>2.4</v>
      </c>
      <c r="E66" s="10">
        <v>0.0</v>
      </c>
    </row>
    <row r="67" ht="22.5" customHeight="1">
      <c r="A67" s="13" t="s">
        <v>199</v>
      </c>
      <c r="B67" s="13">
        <v>5.0</v>
      </c>
      <c r="C67" s="13">
        <v>20.0</v>
      </c>
      <c r="D67" s="10">
        <v>2.4</v>
      </c>
      <c r="E67" s="10">
        <v>0.2</v>
      </c>
    </row>
    <row r="68" ht="22.5" customHeight="1">
      <c r="A68" s="13" t="s">
        <v>227</v>
      </c>
      <c r="B68" s="13">
        <v>5.0</v>
      </c>
      <c r="C68" s="13">
        <v>19.0</v>
      </c>
      <c r="D68" s="10">
        <v>2.4</v>
      </c>
      <c r="E68" s="10">
        <v>0.0</v>
      </c>
    </row>
    <row r="69" ht="22.5" customHeight="1">
      <c r="A69" s="13" t="s">
        <v>182</v>
      </c>
      <c r="B69" s="13">
        <v>5.0</v>
      </c>
      <c r="C69" s="13">
        <v>20.0</v>
      </c>
      <c r="D69" s="10">
        <v>2.4</v>
      </c>
      <c r="E69" s="10">
        <v>0.0</v>
      </c>
    </row>
    <row r="70" ht="22.5" customHeight="1">
      <c r="A70" s="13" t="s">
        <v>228</v>
      </c>
      <c r="B70" s="13">
        <v>5.0</v>
      </c>
      <c r="C70" s="13">
        <v>20.0</v>
      </c>
      <c r="D70" s="10">
        <v>2.4</v>
      </c>
      <c r="E70" s="10">
        <v>0.0</v>
      </c>
    </row>
    <row r="71" ht="22.5" customHeight="1">
      <c r="A71" s="13" t="s">
        <v>269</v>
      </c>
      <c r="B71" s="13">
        <v>5.0</v>
      </c>
      <c r="C71" s="13">
        <v>20.0</v>
      </c>
      <c r="D71" s="10">
        <v>2.4</v>
      </c>
      <c r="E71" s="10">
        <v>0.2</v>
      </c>
    </row>
    <row r="72" ht="22.5" customHeight="1">
      <c r="A72" s="13" t="s">
        <v>129</v>
      </c>
      <c r="B72" s="13">
        <v>5.0</v>
      </c>
      <c r="C72" s="13">
        <v>15.0</v>
      </c>
      <c r="D72" s="10">
        <v>2.4</v>
      </c>
      <c r="E72" s="10">
        <v>0.0</v>
      </c>
    </row>
    <row r="73" ht="22.5" customHeight="1">
      <c r="A73" s="13" t="s">
        <v>113</v>
      </c>
      <c r="B73" s="13">
        <v>5.0</v>
      </c>
      <c r="C73" s="13">
        <v>20.0</v>
      </c>
      <c r="D73" s="10">
        <v>2.4</v>
      </c>
      <c r="E73" s="10">
        <v>0.2</v>
      </c>
    </row>
    <row r="74" ht="22.5" customHeight="1">
      <c r="A74" s="13" t="s">
        <v>234</v>
      </c>
      <c r="B74" s="13">
        <v>2.0</v>
      </c>
      <c r="C74" s="13">
        <v>8.0</v>
      </c>
      <c r="D74" s="10">
        <v>2.0</v>
      </c>
      <c r="E74" s="10">
        <v>0.0</v>
      </c>
    </row>
    <row r="75" ht="22.5" customHeight="1">
      <c r="A75" s="13" t="s">
        <v>175</v>
      </c>
      <c r="B75" s="13">
        <v>4.0</v>
      </c>
      <c r="C75" s="13">
        <v>16.0</v>
      </c>
      <c r="D75" s="10">
        <v>2.0</v>
      </c>
      <c r="E75" s="10">
        <v>0.25</v>
      </c>
    </row>
    <row r="76" ht="22.5" customHeight="1">
      <c r="A76" s="13" t="s">
        <v>306</v>
      </c>
      <c r="B76" s="13">
        <v>4.0</v>
      </c>
      <c r="C76" s="13">
        <v>16.0</v>
      </c>
      <c r="D76" s="10">
        <v>2.0</v>
      </c>
      <c r="E76" s="10">
        <v>0.0</v>
      </c>
    </row>
    <row r="77" ht="22.5" customHeight="1">
      <c r="A77" s="13" t="s">
        <v>299</v>
      </c>
      <c r="B77" s="13">
        <v>4.0</v>
      </c>
      <c r="C77" s="13">
        <v>16.0</v>
      </c>
      <c r="D77" s="10">
        <v>2.0</v>
      </c>
      <c r="E77" s="10">
        <v>0.0</v>
      </c>
    </row>
    <row r="78" ht="22.5" customHeight="1">
      <c r="A78" s="13" t="s">
        <v>87</v>
      </c>
      <c r="B78" s="13">
        <v>4.0</v>
      </c>
      <c r="C78" s="13">
        <v>16.0</v>
      </c>
      <c r="D78" s="10">
        <v>2.0</v>
      </c>
      <c r="E78" s="10">
        <v>0.0</v>
      </c>
    </row>
    <row r="79" ht="22.5" customHeight="1">
      <c r="A79" s="13" t="s">
        <v>15</v>
      </c>
      <c r="B79" s="13">
        <v>5.0</v>
      </c>
      <c r="C79" s="13">
        <v>19.0</v>
      </c>
      <c r="D79" s="10">
        <v>1.6</v>
      </c>
      <c r="E79" s="10">
        <v>0.2</v>
      </c>
    </row>
    <row r="80" ht="22.5" customHeight="1">
      <c r="A80" s="13" t="s">
        <v>40</v>
      </c>
      <c r="B80" s="13">
        <v>5.0</v>
      </c>
      <c r="C80" s="13">
        <v>20.0</v>
      </c>
      <c r="D80" s="10">
        <v>1.6</v>
      </c>
      <c r="E80" s="10">
        <v>0.0</v>
      </c>
    </row>
    <row r="81" ht="22.5" customHeight="1">
      <c r="A81" s="13" t="s">
        <v>75</v>
      </c>
      <c r="B81" s="13">
        <v>5.0</v>
      </c>
      <c r="C81" s="13">
        <v>20.0</v>
      </c>
      <c r="D81" s="10">
        <v>1.6</v>
      </c>
      <c r="E81" s="10">
        <v>0.0</v>
      </c>
    </row>
    <row r="82" ht="22.5" customHeight="1">
      <c r="A82" s="13" t="s">
        <v>184</v>
      </c>
      <c r="B82" s="13">
        <v>5.0</v>
      </c>
      <c r="C82" s="13">
        <v>16.0</v>
      </c>
      <c r="D82" s="10">
        <v>1.6</v>
      </c>
      <c r="E82" s="10">
        <v>0.0</v>
      </c>
    </row>
    <row r="83" ht="22.5" customHeight="1">
      <c r="A83" s="13" t="s">
        <v>161</v>
      </c>
      <c r="B83" s="13">
        <v>5.0</v>
      </c>
      <c r="C83" s="13">
        <v>16.0</v>
      </c>
      <c r="D83" s="10">
        <v>1.6</v>
      </c>
      <c r="E83" s="10">
        <v>0.2</v>
      </c>
    </row>
    <row r="84" ht="22.5" customHeight="1">
      <c r="A84" s="13" t="s">
        <v>149</v>
      </c>
      <c r="B84" s="13">
        <v>5.0</v>
      </c>
      <c r="C84" s="13">
        <v>20.0</v>
      </c>
      <c r="D84" s="10">
        <v>1.6</v>
      </c>
      <c r="E84" s="10">
        <v>0.0</v>
      </c>
    </row>
    <row r="85" ht="22.5" customHeight="1">
      <c r="A85" s="13" t="s">
        <v>273</v>
      </c>
      <c r="B85" s="13">
        <v>5.0</v>
      </c>
      <c r="C85" s="13">
        <v>20.0</v>
      </c>
      <c r="D85" s="10">
        <v>1.6</v>
      </c>
      <c r="E85" s="10">
        <v>0.0</v>
      </c>
    </row>
    <row r="86" ht="22.5" customHeight="1">
      <c r="A86" s="13" t="s">
        <v>106</v>
      </c>
      <c r="B86" s="13">
        <v>5.0</v>
      </c>
      <c r="C86" s="13">
        <v>20.0</v>
      </c>
      <c r="D86" s="10">
        <v>1.6</v>
      </c>
      <c r="E86" s="10">
        <v>0.0</v>
      </c>
    </row>
    <row r="87" ht="22.5" customHeight="1">
      <c r="A87" s="13" t="s">
        <v>272</v>
      </c>
      <c r="B87" s="13">
        <v>5.0</v>
      </c>
      <c r="C87" s="13">
        <v>20.0</v>
      </c>
      <c r="D87" s="10">
        <v>1.6</v>
      </c>
      <c r="E87" s="10">
        <v>0.0</v>
      </c>
    </row>
    <row r="88" ht="22.5" customHeight="1">
      <c r="A88" s="13" t="s">
        <v>325</v>
      </c>
      <c r="B88" s="13">
        <v>5.0</v>
      </c>
      <c r="C88" s="13">
        <v>20.0</v>
      </c>
      <c r="D88" s="10">
        <v>1.6</v>
      </c>
      <c r="E88" s="10">
        <v>0.0</v>
      </c>
    </row>
    <row r="89" ht="22.5" customHeight="1">
      <c r="A89" s="13" t="s">
        <v>168</v>
      </c>
      <c r="B89" s="13">
        <v>5.0</v>
      </c>
      <c r="C89" s="13">
        <v>19.0</v>
      </c>
      <c r="D89" s="10">
        <v>1.6</v>
      </c>
      <c r="E89" s="10">
        <v>0.0</v>
      </c>
    </row>
    <row r="90" ht="22.5" customHeight="1">
      <c r="A90" s="13" t="s">
        <v>131</v>
      </c>
      <c r="B90" s="13">
        <v>5.0</v>
      </c>
      <c r="C90" s="13">
        <v>20.0</v>
      </c>
      <c r="D90" s="10">
        <v>1.6</v>
      </c>
      <c r="E90" s="10">
        <v>0.2</v>
      </c>
    </row>
    <row r="91" ht="22.5" customHeight="1">
      <c r="A91" s="13" t="s">
        <v>88</v>
      </c>
      <c r="B91" s="13">
        <v>3.0</v>
      </c>
      <c r="C91" s="13">
        <v>12.0</v>
      </c>
      <c r="D91" s="10">
        <v>1.3333333333333333</v>
      </c>
      <c r="E91" s="10">
        <v>0.0</v>
      </c>
    </row>
    <row r="92" ht="22.5" customHeight="1">
      <c r="A92" s="13" t="s">
        <v>238</v>
      </c>
      <c r="B92" s="13">
        <v>3.0</v>
      </c>
      <c r="C92" s="13">
        <v>12.0</v>
      </c>
      <c r="D92" s="10">
        <v>1.3333333333333333</v>
      </c>
      <c r="E92" s="10">
        <v>0.0</v>
      </c>
    </row>
    <row r="93" ht="22.5" customHeight="1">
      <c r="A93" s="13" t="s">
        <v>240</v>
      </c>
      <c r="B93" s="13">
        <v>3.0</v>
      </c>
      <c r="C93" s="13">
        <v>12.0</v>
      </c>
      <c r="D93" s="10">
        <v>1.3333333333333333</v>
      </c>
      <c r="E93" s="10">
        <v>0.0</v>
      </c>
    </row>
    <row r="94" ht="22.5" customHeight="1">
      <c r="A94" s="13" t="s">
        <v>263</v>
      </c>
      <c r="B94" s="13">
        <v>3.0</v>
      </c>
      <c r="C94" s="13">
        <v>12.0</v>
      </c>
      <c r="D94" s="10">
        <v>1.3333333333333333</v>
      </c>
      <c r="E94" s="10">
        <v>0.0</v>
      </c>
    </row>
    <row r="95" ht="22.5" customHeight="1">
      <c r="A95" s="13" t="s">
        <v>298</v>
      </c>
      <c r="B95" s="13">
        <v>3.0</v>
      </c>
      <c r="C95" s="13">
        <v>12.0</v>
      </c>
      <c r="D95" s="10">
        <v>1.3333333333333333</v>
      </c>
      <c r="E95" s="10">
        <v>0.0</v>
      </c>
    </row>
    <row r="96" ht="22.5" customHeight="1">
      <c r="A96" s="13" t="s">
        <v>252</v>
      </c>
      <c r="B96" s="13">
        <v>3.0</v>
      </c>
      <c r="C96" s="13">
        <v>12.0</v>
      </c>
      <c r="D96" s="10">
        <v>1.3333333333333333</v>
      </c>
      <c r="E96" s="10">
        <v>0.0</v>
      </c>
    </row>
    <row r="97" ht="22.5" customHeight="1">
      <c r="A97" s="13" t="s">
        <v>152</v>
      </c>
      <c r="B97" s="13">
        <v>4.0</v>
      </c>
      <c r="C97" s="13">
        <v>16.0</v>
      </c>
      <c r="D97" s="10">
        <v>1.0</v>
      </c>
      <c r="E97" s="10">
        <v>0.0</v>
      </c>
    </row>
    <row r="98" ht="22.5" customHeight="1">
      <c r="A98" s="13" t="s">
        <v>233</v>
      </c>
      <c r="B98" s="13">
        <v>4.0</v>
      </c>
      <c r="C98" s="13">
        <v>16.0</v>
      </c>
      <c r="D98" s="10">
        <v>1.0</v>
      </c>
      <c r="E98" s="10">
        <v>0.0</v>
      </c>
    </row>
    <row r="99" ht="22.5" customHeight="1">
      <c r="A99" s="13" t="s">
        <v>266</v>
      </c>
      <c r="B99" s="13">
        <v>4.0</v>
      </c>
      <c r="C99" s="13">
        <v>16.0</v>
      </c>
      <c r="D99" s="10">
        <v>1.0</v>
      </c>
      <c r="E99" s="10">
        <v>0.0</v>
      </c>
    </row>
    <row r="100" ht="22.5" customHeight="1">
      <c r="A100" s="13" t="s">
        <v>221</v>
      </c>
      <c r="B100" s="13">
        <v>4.0</v>
      </c>
      <c r="C100" s="13">
        <v>16.0</v>
      </c>
      <c r="D100" s="10">
        <v>1.0</v>
      </c>
      <c r="E100" s="10">
        <v>0.0</v>
      </c>
    </row>
    <row r="101" ht="22.5" customHeight="1">
      <c r="A101" s="13" t="s">
        <v>276</v>
      </c>
      <c r="B101" s="13">
        <v>4.0</v>
      </c>
      <c r="C101" s="13">
        <v>17.0</v>
      </c>
      <c r="D101" s="10">
        <v>1.0</v>
      </c>
      <c r="E101" s="10">
        <v>0.0</v>
      </c>
    </row>
    <row r="102" ht="22.5" customHeight="1">
      <c r="A102" s="13" t="s">
        <v>322</v>
      </c>
      <c r="B102" s="13">
        <v>4.0</v>
      </c>
      <c r="C102" s="13">
        <v>16.0</v>
      </c>
      <c r="D102" s="10">
        <v>1.0</v>
      </c>
      <c r="E102" s="10">
        <v>0.0</v>
      </c>
    </row>
    <row r="103" ht="22.5" customHeight="1">
      <c r="A103" s="13" t="s">
        <v>329</v>
      </c>
      <c r="B103" s="13">
        <v>4.0</v>
      </c>
      <c r="C103" s="13">
        <v>15.0</v>
      </c>
      <c r="D103" s="10">
        <v>1.0</v>
      </c>
      <c r="E103" s="10">
        <v>0.0</v>
      </c>
    </row>
    <row r="104" ht="22.5" customHeight="1">
      <c r="A104" s="13" t="s">
        <v>193</v>
      </c>
      <c r="B104" s="13">
        <v>4.0</v>
      </c>
      <c r="C104" s="13">
        <v>16.0</v>
      </c>
      <c r="D104" s="10">
        <v>1.0</v>
      </c>
      <c r="E104" s="10">
        <v>0.0</v>
      </c>
    </row>
    <row r="105" ht="22.5" customHeight="1">
      <c r="A105" s="13" t="s">
        <v>327</v>
      </c>
      <c r="B105" s="13">
        <v>4.0</v>
      </c>
      <c r="C105" s="13">
        <v>16.0</v>
      </c>
      <c r="D105" s="10">
        <v>1.0</v>
      </c>
      <c r="E105" s="10">
        <v>0.0</v>
      </c>
    </row>
    <row r="106" ht="22.5" customHeight="1">
      <c r="A106" s="13" t="s">
        <v>17</v>
      </c>
      <c r="B106" s="13">
        <v>5.0</v>
      </c>
      <c r="C106" s="13">
        <v>19.0</v>
      </c>
      <c r="D106" s="10">
        <v>0.8</v>
      </c>
      <c r="E106" s="10">
        <v>0.0</v>
      </c>
    </row>
    <row r="107" ht="22.5" customHeight="1">
      <c r="A107" s="13" t="s">
        <v>68</v>
      </c>
      <c r="B107" s="13">
        <v>5.0</v>
      </c>
      <c r="C107" s="13">
        <v>20.0</v>
      </c>
      <c r="D107" s="10">
        <v>0.8</v>
      </c>
      <c r="E107" s="10">
        <v>0.2</v>
      </c>
    </row>
    <row r="108" ht="22.5" customHeight="1">
      <c r="A108" s="13" t="s">
        <v>128</v>
      </c>
      <c r="B108" s="13">
        <v>5.0</v>
      </c>
      <c r="C108" s="13">
        <v>20.0</v>
      </c>
      <c r="D108" s="10">
        <v>0.8</v>
      </c>
      <c r="E108" s="10">
        <v>0.0</v>
      </c>
    </row>
    <row r="109" ht="22.5" customHeight="1">
      <c r="A109" s="13" t="s">
        <v>183</v>
      </c>
      <c r="B109" s="13">
        <v>5.0</v>
      </c>
      <c r="C109" s="13">
        <v>20.0</v>
      </c>
      <c r="D109" s="10">
        <v>0.8</v>
      </c>
      <c r="E109" s="10">
        <v>0.0</v>
      </c>
    </row>
    <row r="110" ht="22.5" customHeight="1">
      <c r="A110" s="13" t="s">
        <v>210</v>
      </c>
      <c r="B110" s="13">
        <v>5.0</v>
      </c>
      <c r="C110" s="13">
        <v>16.0</v>
      </c>
      <c r="D110" s="10">
        <v>0.8</v>
      </c>
      <c r="E110" s="10">
        <v>0.0</v>
      </c>
    </row>
    <row r="111" ht="22.5" customHeight="1">
      <c r="A111" s="13" t="s">
        <v>214</v>
      </c>
      <c r="B111" s="13">
        <v>5.0</v>
      </c>
      <c r="C111" s="13">
        <v>20.0</v>
      </c>
      <c r="D111" s="10">
        <v>0.8</v>
      </c>
      <c r="E111" s="10">
        <v>0.0</v>
      </c>
    </row>
    <row r="112" ht="22.5" customHeight="1">
      <c r="A112" s="13" t="s">
        <v>222</v>
      </c>
      <c r="B112" s="13">
        <v>5.0</v>
      </c>
      <c r="C112" s="13">
        <v>19.0</v>
      </c>
      <c r="D112" s="10">
        <v>0.8</v>
      </c>
      <c r="E112" s="10">
        <v>0.2</v>
      </c>
    </row>
    <row r="113" ht="22.5" customHeight="1">
      <c r="A113" s="13" t="s">
        <v>279</v>
      </c>
      <c r="B113" s="13">
        <v>5.0</v>
      </c>
      <c r="C113" s="13">
        <v>20.0</v>
      </c>
      <c r="D113" s="10">
        <v>0.8</v>
      </c>
      <c r="E113" s="10">
        <v>0.2</v>
      </c>
    </row>
    <row r="114" ht="22.5" customHeight="1">
      <c r="A114" s="13" t="s">
        <v>281</v>
      </c>
      <c r="B114" s="13">
        <v>5.0</v>
      </c>
      <c r="C114" s="13">
        <v>20.0</v>
      </c>
      <c r="D114" s="10">
        <v>0.8</v>
      </c>
      <c r="E114" s="10">
        <v>0.0</v>
      </c>
    </row>
    <row r="115" ht="22.5" customHeight="1">
      <c r="A115" s="13" t="s">
        <v>155</v>
      </c>
      <c r="B115" s="13">
        <v>5.0</v>
      </c>
      <c r="C115" s="13">
        <v>20.0</v>
      </c>
      <c r="D115" s="10">
        <v>0.8</v>
      </c>
      <c r="E115" s="10">
        <v>0.0</v>
      </c>
    </row>
    <row r="116" ht="22.5" customHeight="1">
      <c r="A116" s="13" t="s">
        <v>320</v>
      </c>
      <c r="B116" s="13">
        <v>5.0</v>
      </c>
      <c r="C116" s="13">
        <v>20.0</v>
      </c>
      <c r="D116" s="10">
        <v>0.8</v>
      </c>
      <c r="E116" s="10">
        <v>0.0</v>
      </c>
    </row>
    <row r="117" ht="22.5" customHeight="1">
      <c r="A117" s="13" t="s">
        <v>323</v>
      </c>
      <c r="B117" s="13">
        <v>5.0</v>
      </c>
      <c r="C117" s="13">
        <v>20.0</v>
      </c>
      <c r="D117" s="10">
        <v>0.8</v>
      </c>
      <c r="E117" s="10">
        <v>0.4</v>
      </c>
    </row>
    <row r="118" ht="22.5" customHeight="1">
      <c r="A118" s="13" t="s">
        <v>330</v>
      </c>
      <c r="B118" s="13">
        <v>5.0</v>
      </c>
      <c r="C118" s="13">
        <v>19.0</v>
      </c>
      <c r="D118" s="10">
        <v>0.8</v>
      </c>
      <c r="E118" s="10">
        <v>0.0</v>
      </c>
    </row>
    <row r="119" ht="22.5" customHeight="1">
      <c r="A119" s="13" t="s">
        <v>216</v>
      </c>
      <c r="B119" s="13">
        <v>5.0</v>
      </c>
      <c r="C119" s="13">
        <v>20.0</v>
      </c>
      <c r="D119" s="10">
        <v>0.8</v>
      </c>
      <c r="E119" s="10">
        <v>0.6</v>
      </c>
    </row>
    <row r="120" ht="22.5" customHeight="1">
      <c r="A120" s="13" t="s">
        <v>343</v>
      </c>
      <c r="B120" s="13">
        <v>5.0</v>
      </c>
      <c r="C120" s="13">
        <v>20.0</v>
      </c>
      <c r="D120" s="10">
        <v>0.8</v>
      </c>
      <c r="E120" s="10">
        <v>0.0</v>
      </c>
    </row>
    <row r="121" ht="22.5" customHeight="1">
      <c r="A121" s="13" t="s">
        <v>0</v>
      </c>
      <c r="B121" s="13">
        <v>1.0</v>
      </c>
      <c r="C121" s="13">
        <v>4.0</v>
      </c>
      <c r="D121" s="10">
        <v>0.0</v>
      </c>
      <c r="E121" s="10">
        <v>0.0</v>
      </c>
    </row>
    <row r="122" ht="22.5" customHeight="1">
      <c r="A122" s="13" t="s">
        <v>5</v>
      </c>
      <c r="B122" s="13">
        <v>5.0</v>
      </c>
      <c r="C122" s="13">
        <v>20.0</v>
      </c>
      <c r="D122" s="10">
        <v>0.0</v>
      </c>
      <c r="E122" s="10">
        <v>0.0</v>
      </c>
    </row>
    <row r="123" ht="22.5" customHeight="1">
      <c r="A123" s="13" t="s">
        <v>11</v>
      </c>
      <c r="B123" s="13">
        <v>4.0</v>
      </c>
      <c r="C123" s="13">
        <v>16.0</v>
      </c>
      <c r="D123" s="10">
        <v>0.0</v>
      </c>
      <c r="E123" s="10">
        <v>0.0</v>
      </c>
    </row>
    <row r="124" ht="22.5" customHeight="1">
      <c r="A124" s="13" t="s">
        <v>20</v>
      </c>
      <c r="B124" s="13">
        <v>2.0</v>
      </c>
      <c r="C124" s="13">
        <v>7.0</v>
      </c>
      <c r="D124" s="10">
        <v>0.0</v>
      </c>
      <c r="E124" s="10">
        <v>0.0</v>
      </c>
    </row>
    <row r="125" ht="22.5" customHeight="1">
      <c r="A125" s="13" t="s">
        <v>24</v>
      </c>
      <c r="B125" s="13">
        <v>2.0</v>
      </c>
      <c r="C125" s="13">
        <v>8.0</v>
      </c>
      <c r="D125" s="10">
        <v>0.0</v>
      </c>
      <c r="E125" s="10">
        <v>0.0</v>
      </c>
    </row>
    <row r="126" ht="22.5" customHeight="1">
      <c r="A126" s="13" t="s">
        <v>38</v>
      </c>
      <c r="B126" s="13">
        <v>3.0</v>
      </c>
      <c r="C126" s="13">
        <v>12.0</v>
      </c>
      <c r="D126" s="10">
        <v>0.0</v>
      </c>
      <c r="E126" s="10">
        <v>0.0</v>
      </c>
    </row>
    <row r="127" ht="22.5" customHeight="1">
      <c r="A127" s="13" t="s">
        <v>51</v>
      </c>
      <c r="B127" s="13">
        <v>4.0</v>
      </c>
      <c r="C127" s="13">
        <v>17.0</v>
      </c>
      <c r="D127" s="10">
        <v>0.0</v>
      </c>
      <c r="E127" s="10">
        <v>0.0</v>
      </c>
    </row>
    <row r="128" ht="22.5" customHeight="1">
      <c r="A128" s="13" t="s">
        <v>55</v>
      </c>
      <c r="B128" s="13">
        <v>2.0</v>
      </c>
      <c r="C128" s="13">
        <v>8.0</v>
      </c>
      <c r="D128" s="10">
        <v>0.0</v>
      </c>
      <c r="E128" s="10">
        <v>0.0</v>
      </c>
    </row>
    <row r="129" ht="22.5" customHeight="1">
      <c r="A129" s="13" t="s">
        <v>59</v>
      </c>
      <c r="B129" s="13">
        <v>5.0</v>
      </c>
      <c r="C129" s="13">
        <v>21.0</v>
      </c>
      <c r="D129" s="10">
        <v>0.0</v>
      </c>
      <c r="E129" s="10">
        <v>0.0</v>
      </c>
    </row>
    <row r="130" ht="22.5" customHeight="1">
      <c r="A130" s="13" t="s">
        <v>65</v>
      </c>
      <c r="B130" s="13">
        <v>2.0</v>
      </c>
      <c r="C130" s="13">
        <v>8.0</v>
      </c>
      <c r="D130" s="10">
        <v>0.0</v>
      </c>
      <c r="E130" s="10">
        <v>0.0</v>
      </c>
    </row>
    <row r="131" ht="22.5" customHeight="1">
      <c r="A131" s="13" t="s">
        <v>85</v>
      </c>
      <c r="B131" s="13">
        <v>1.0</v>
      </c>
      <c r="C131" s="13">
        <v>4.0</v>
      </c>
      <c r="D131" s="10">
        <v>0.0</v>
      </c>
      <c r="E131" s="10">
        <v>0.0</v>
      </c>
    </row>
    <row r="132" ht="22.5" customHeight="1">
      <c r="A132" s="13" t="s">
        <v>92</v>
      </c>
      <c r="B132" s="13">
        <v>4.0</v>
      </c>
      <c r="C132" s="13">
        <v>14.0</v>
      </c>
      <c r="D132" s="10">
        <v>0.0</v>
      </c>
      <c r="E132" s="10">
        <v>0.0</v>
      </c>
    </row>
    <row r="133" ht="22.5" customHeight="1">
      <c r="A133" s="13" t="s">
        <v>94</v>
      </c>
      <c r="B133" s="13">
        <v>3.0</v>
      </c>
      <c r="C133" s="13">
        <v>11.0</v>
      </c>
      <c r="D133" s="10">
        <v>0.0</v>
      </c>
      <c r="E133" s="10">
        <v>0.0</v>
      </c>
    </row>
    <row r="134" ht="22.5" customHeight="1">
      <c r="A134" s="13" t="s">
        <v>96</v>
      </c>
      <c r="B134" s="13">
        <v>5.0</v>
      </c>
      <c r="C134" s="13">
        <v>18.0</v>
      </c>
      <c r="D134" s="10">
        <v>0.0</v>
      </c>
      <c r="E134" s="10">
        <v>0.0</v>
      </c>
    </row>
    <row r="135" ht="22.5" customHeight="1">
      <c r="A135" s="13" t="s">
        <v>102</v>
      </c>
      <c r="B135" s="13">
        <v>2.0</v>
      </c>
      <c r="C135" s="13">
        <v>8.0</v>
      </c>
      <c r="D135" s="10">
        <v>0.0</v>
      </c>
      <c r="E135" s="10">
        <v>0.0</v>
      </c>
    </row>
    <row r="136" ht="22.5" customHeight="1">
      <c r="A136" s="13" t="s">
        <v>108</v>
      </c>
      <c r="B136" s="13">
        <v>2.0</v>
      </c>
      <c r="C136" s="13">
        <v>8.0</v>
      </c>
      <c r="D136" s="10">
        <v>0.0</v>
      </c>
      <c r="E136" s="10">
        <v>0.0</v>
      </c>
    </row>
    <row r="137" ht="22.5" customHeight="1">
      <c r="A137" s="13" t="s">
        <v>109</v>
      </c>
      <c r="B137" s="13">
        <v>2.0</v>
      </c>
      <c r="C137" s="13">
        <v>8.0</v>
      </c>
      <c r="D137" s="10">
        <v>0.0</v>
      </c>
      <c r="E137" s="10">
        <v>0.0</v>
      </c>
    </row>
    <row r="138" ht="22.5" customHeight="1">
      <c r="A138" s="13" t="s">
        <v>111</v>
      </c>
      <c r="B138" s="13">
        <v>5.0</v>
      </c>
      <c r="C138" s="13">
        <v>20.0</v>
      </c>
      <c r="D138" s="10">
        <v>0.0</v>
      </c>
      <c r="E138" s="10">
        <v>0.0</v>
      </c>
    </row>
    <row r="139" ht="22.5" customHeight="1">
      <c r="A139" s="13" t="s">
        <v>124</v>
      </c>
      <c r="B139" s="13">
        <v>5.0</v>
      </c>
      <c r="C139" s="13">
        <v>20.0</v>
      </c>
      <c r="D139" s="10">
        <v>0.0</v>
      </c>
      <c r="E139" s="10">
        <v>0.0</v>
      </c>
    </row>
    <row r="140" ht="22.5" customHeight="1">
      <c r="A140" s="13" t="s">
        <v>132</v>
      </c>
      <c r="B140" s="13">
        <v>4.0</v>
      </c>
      <c r="C140" s="13">
        <v>15.0</v>
      </c>
      <c r="D140" s="10">
        <v>0.0</v>
      </c>
      <c r="E140" s="10">
        <v>0.0</v>
      </c>
    </row>
    <row r="141" ht="22.5" customHeight="1">
      <c r="A141" s="13" t="s">
        <v>137</v>
      </c>
      <c r="B141" s="13">
        <v>2.0</v>
      </c>
      <c r="C141" s="13">
        <v>7.0</v>
      </c>
      <c r="D141" s="10">
        <v>0.0</v>
      </c>
      <c r="E141" s="10">
        <v>0.0</v>
      </c>
    </row>
    <row r="142" ht="22.5" customHeight="1">
      <c r="A142" s="13" t="s">
        <v>142</v>
      </c>
      <c r="B142" s="13">
        <v>1.0</v>
      </c>
      <c r="C142" s="13">
        <v>4.0</v>
      </c>
      <c r="D142" s="10">
        <v>0.0</v>
      </c>
      <c r="E142" s="10">
        <v>0.0</v>
      </c>
    </row>
    <row r="143" ht="22.5" customHeight="1">
      <c r="A143" s="13" t="s">
        <v>144</v>
      </c>
      <c r="B143" s="13">
        <v>5.0</v>
      </c>
      <c r="C143" s="13">
        <v>20.0</v>
      </c>
      <c r="D143" s="10">
        <v>0.0</v>
      </c>
      <c r="E143" s="10">
        <v>0.2</v>
      </c>
    </row>
    <row r="144" ht="22.5" customHeight="1">
      <c r="A144" s="13" t="s">
        <v>147</v>
      </c>
      <c r="B144" s="13">
        <v>5.0</v>
      </c>
      <c r="C144" s="13">
        <v>20.0</v>
      </c>
      <c r="D144" s="10">
        <v>0.0</v>
      </c>
      <c r="E144" s="10">
        <v>0.0</v>
      </c>
    </row>
    <row r="145" ht="22.5" customHeight="1">
      <c r="A145" s="13" t="s">
        <v>156</v>
      </c>
      <c r="B145" s="13">
        <v>3.0</v>
      </c>
      <c r="C145" s="13">
        <v>12.0</v>
      </c>
      <c r="D145" s="10">
        <v>0.0</v>
      </c>
      <c r="E145" s="10">
        <v>0.0</v>
      </c>
    </row>
    <row r="146" ht="22.5" customHeight="1">
      <c r="A146" s="13" t="s">
        <v>160</v>
      </c>
      <c r="B146" s="13">
        <v>1.0</v>
      </c>
      <c r="C146" s="13">
        <v>4.0</v>
      </c>
      <c r="D146" s="10">
        <v>0.0</v>
      </c>
      <c r="E146" s="10">
        <v>0.0</v>
      </c>
    </row>
    <row r="147" ht="22.5" customHeight="1">
      <c r="A147" s="13" t="s">
        <v>162</v>
      </c>
      <c r="B147" s="13">
        <v>4.0</v>
      </c>
      <c r="C147" s="13">
        <v>16.0</v>
      </c>
      <c r="D147" s="10">
        <v>0.0</v>
      </c>
      <c r="E147" s="10">
        <v>0.0</v>
      </c>
    </row>
    <row r="148" ht="22.5" customHeight="1">
      <c r="A148" s="13" t="s">
        <v>167</v>
      </c>
      <c r="B148" s="13">
        <v>1.0</v>
      </c>
      <c r="C148" s="13">
        <v>4.0</v>
      </c>
      <c r="D148" s="10">
        <v>0.0</v>
      </c>
      <c r="E148" s="10">
        <v>0.0</v>
      </c>
    </row>
    <row r="149" ht="22.5" customHeight="1">
      <c r="A149" s="13" t="s">
        <v>169</v>
      </c>
      <c r="B149" s="13">
        <v>5.0</v>
      </c>
      <c r="C149" s="13">
        <v>20.0</v>
      </c>
      <c r="D149" s="10">
        <v>0.0</v>
      </c>
      <c r="E149" s="10">
        <v>0.0</v>
      </c>
    </row>
    <row r="150" ht="22.5" customHeight="1">
      <c r="A150" s="13" t="s">
        <v>173</v>
      </c>
      <c r="B150" s="13">
        <v>5.0</v>
      </c>
      <c r="C150" s="13">
        <v>20.0</v>
      </c>
      <c r="D150" s="10">
        <v>0.0</v>
      </c>
      <c r="E150" s="10">
        <v>0.0</v>
      </c>
    </row>
    <row r="151" ht="22.5" customHeight="1">
      <c r="A151" s="13" t="s">
        <v>174</v>
      </c>
      <c r="B151" s="13">
        <v>1.0</v>
      </c>
      <c r="C151" s="13">
        <v>4.0</v>
      </c>
      <c r="D151" s="10">
        <v>0.0</v>
      </c>
      <c r="E151" s="10">
        <v>0.0</v>
      </c>
    </row>
    <row r="152" ht="22.5" customHeight="1">
      <c r="A152" s="13" t="s">
        <v>176</v>
      </c>
      <c r="B152" s="13">
        <v>1.0</v>
      </c>
      <c r="C152" s="13">
        <v>4.0</v>
      </c>
      <c r="D152" s="10">
        <v>0.0</v>
      </c>
      <c r="E152" s="10">
        <v>0.0</v>
      </c>
    </row>
    <row r="153" ht="22.5" customHeight="1">
      <c r="A153" s="13" t="s">
        <v>177</v>
      </c>
      <c r="B153" s="13">
        <v>1.0</v>
      </c>
      <c r="C153" s="13">
        <v>4.0</v>
      </c>
      <c r="D153" s="10">
        <v>0.0</v>
      </c>
      <c r="E153" s="10">
        <v>0.0</v>
      </c>
    </row>
    <row r="154" ht="22.5" customHeight="1">
      <c r="A154" s="13" t="s">
        <v>178</v>
      </c>
      <c r="B154" s="13">
        <v>5.0</v>
      </c>
      <c r="C154" s="13">
        <v>20.0</v>
      </c>
      <c r="D154" s="10">
        <v>0.0</v>
      </c>
      <c r="E154" s="10">
        <v>0.0</v>
      </c>
    </row>
    <row r="155" ht="22.5" customHeight="1">
      <c r="A155" s="13" t="s">
        <v>179</v>
      </c>
      <c r="B155" s="13">
        <v>3.0</v>
      </c>
      <c r="C155" s="13">
        <v>12.0</v>
      </c>
      <c r="D155" s="10">
        <v>0.0</v>
      </c>
      <c r="E155" s="10">
        <v>0.0</v>
      </c>
    </row>
    <row r="156" ht="22.5" customHeight="1">
      <c r="A156" s="13" t="s">
        <v>181</v>
      </c>
      <c r="B156" s="13">
        <v>2.0</v>
      </c>
      <c r="C156" s="13">
        <v>8.0</v>
      </c>
      <c r="D156" s="10">
        <v>0.0</v>
      </c>
      <c r="E156" s="10">
        <v>0.0</v>
      </c>
    </row>
    <row r="157" ht="22.5" customHeight="1">
      <c r="A157" s="13" t="s">
        <v>196</v>
      </c>
      <c r="B157" s="13">
        <v>1.0</v>
      </c>
      <c r="C157" s="13">
        <v>4.0</v>
      </c>
      <c r="D157" s="10">
        <v>0.0</v>
      </c>
      <c r="E157" s="10">
        <v>0.0</v>
      </c>
    </row>
    <row r="158" ht="22.5" customHeight="1">
      <c r="A158" s="13" t="s">
        <v>197</v>
      </c>
      <c r="B158" s="13">
        <v>5.0</v>
      </c>
      <c r="C158" s="13">
        <v>20.0</v>
      </c>
      <c r="D158" s="10">
        <v>0.0</v>
      </c>
      <c r="E158" s="10">
        <v>0.2</v>
      </c>
    </row>
    <row r="159" ht="22.5" customHeight="1">
      <c r="A159" s="13" t="s">
        <v>198</v>
      </c>
      <c r="B159" s="13">
        <v>2.0</v>
      </c>
      <c r="C159" s="13">
        <v>8.0</v>
      </c>
      <c r="D159" s="10">
        <v>0.0</v>
      </c>
      <c r="E159" s="10">
        <v>0.0</v>
      </c>
    </row>
    <row r="160" ht="22.5" customHeight="1">
      <c r="A160" s="13" t="s">
        <v>187</v>
      </c>
      <c r="B160" s="13">
        <v>3.0</v>
      </c>
      <c r="C160" s="13">
        <v>12.0</v>
      </c>
      <c r="D160" s="10">
        <v>0.0</v>
      </c>
      <c r="E160" s="10">
        <v>0.0</v>
      </c>
    </row>
    <row r="161" ht="22.5" customHeight="1">
      <c r="A161" s="13" t="s">
        <v>180</v>
      </c>
      <c r="B161" s="13">
        <v>5.0</v>
      </c>
      <c r="C161" s="13">
        <v>20.0</v>
      </c>
      <c r="D161" s="10">
        <v>0.0</v>
      </c>
      <c r="E161" s="10">
        <v>0.4</v>
      </c>
    </row>
    <row r="162" ht="22.5" customHeight="1">
      <c r="A162" s="13" t="s">
        <v>189</v>
      </c>
      <c r="B162" s="13">
        <v>4.0</v>
      </c>
      <c r="C162" s="13">
        <v>16.0</v>
      </c>
      <c r="D162" s="10">
        <v>0.0</v>
      </c>
      <c r="E162" s="10">
        <v>0.0</v>
      </c>
    </row>
    <row r="163" ht="22.5" customHeight="1">
      <c r="A163" s="13" t="s">
        <v>191</v>
      </c>
      <c r="B163" s="13">
        <v>4.0</v>
      </c>
      <c r="C163" s="13">
        <v>16.0</v>
      </c>
      <c r="D163" s="10">
        <v>0.0</v>
      </c>
      <c r="E163" s="10">
        <v>0.0</v>
      </c>
    </row>
    <row r="164" ht="22.5" customHeight="1">
      <c r="A164" s="13" t="s">
        <v>194</v>
      </c>
      <c r="B164" s="13">
        <v>2.0</v>
      </c>
      <c r="C164" s="13">
        <v>8.0</v>
      </c>
      <c r="D164" s="10">
        <v>0.0</v>
      </c>
      <c r="E164" s="10">
        <v>0.0</v>
      </c>
    </row>
    <row r="165" ht="22.5" customHeight="1">
      <c r="A165" s="13" t="s">
        <v>195</v>
      </c>
      <c r="B165" s="13">
        <v>5.0</v>
      </c>
      <c r="C165" s="13">
        <v>19.0</v>
      </c>
      <c r="D165" s="10">
        <v>0.0</v>
      </c>
      <c r="E165" s="10">
        <v>0.0</v>
      </c>
    </row>
    <row r="166" ht="22.5" customHeight="1">
      <c r="A166" s="13" t="s">
        <v>200</v>
      </c>
      <c r="B166" s="13">
        <v>3.0</v>
      </c>
      <c r="C166" s="13">
        <v>11.0</v>
      </c>
      <c r="D166" s="10">
        <v>0.0</v>
      </c>
      <c r="E166" s="10">
        <v>0.0</v>
      </c>
    </row>
    <row r="167" ht="22.5" customHeight="1">
      <c r="A167" s="13" t="s">
        <v>201</v>
      </c>
      <c r="B167" s="13">
        <v>3.0</v>
      </c>
      <c r="C167" s="13">
        <v>11.0</v>
      </c>
      <c r="D167" s="10">
        <v>0.0</v>
      </c>
      <c r="E167" s="10">
        <v>0.0</v>
      </c>
    </row>
    <row r="168" ht="22.5" customHeight="1">
      <c r="A168" s="13" t="s">
        <v>203</v>
      </c>
      <c r="B168" s="13">
        <v>1.0</v>
      </c>
      <c r="C168" s="13">
        <v>4.0</v>
      </c>
      <c r="D168" s="10">
        <v>0.0</v>
      </c>
      <c r="E168" s="10">
        <v>0.0</v>
      </c>
    </row>
    <row r="169" ht="22.5" customHeight="1">
      <c r="A169" s="13" t="s">
        <v>205</v>
      </c>
      <c r="B169" s="13">
        <v>2.0</v>
      </c>
      <c r="C169" s="13">
        <v>8.0</v>
      </c>
      <c r="D169" s="10">
        <v>0.0</v>
      </c>
      <c r="E169" s="10">
        <v>0.0</v>
      </c>
    </row>
    <row r="170" ht="22.5" customHeight="1">
      <c r="A170" s="13" t="s">
        <v>206</v>
      </c>
      <c r="B170" s="13">
        <v>1.0</v>
      </c>
      <c r="C170" s="13">
        <v>4.0</v>
      </c>
      <c r="D170" s="10">
        <v>0.0</v>
      </c>
      <c r="E170" s="10">
        <v>0.0</v>
      </c>
    </row>
    <row r="171" ht="22.5" customHeight="1">
      <c r="A171" s="13" t="s">
        <v>208</v>
      </c>
      <c r="B171" s="13">
        <v>1.0</v>
      </c>
      <c r="C171" s="13">
        <v>4.0</v>
      </c>
      <c r="D171" s="10">
        <v>0.0</v>
      </c>
      <c r="E171" s="10">
        <v>0.0</v>
      </c>
    </row>
    <row r="172" ht="22.5" customHeight="1">
      <c r="A172" s="13" t="s">
        <v>209</v>
      </c>
      <c r="B172" s="13">
        <v>5.0</v>
      </c>
      <c r="C172" s="13">
        <v>16.0</v>
      </c>
      <c r="D172" s="10">
        <v>0.0</v>
      </c>
      <c r="E172" s="10">
        <v>0.0</v>
      </c>
    </row>
    <row r="173" ht="22.5" customHeight="1">
      <c r="A173" s="13" t="s">
        <v>211</v>
      </c>
      <c r="B173" s="13">
        <v>5.0</v>
      </c>
      <c r="C173" s="13">
        <v>16.0</v>
      </c>
      <c r="D173" s="10">
        <v>0.0</v>
      </c>
      <c r="E173" s="10">
        <v>0.0</v>
      </c>
    </row>
    <row r="174" ht="22.5" customHeight="1">
      <c r="A174" s="13" t="s">
        <v>219</v>
      </c>
      <c r="B174" s="13">
        <v>1.0</v>
      </c>
      <c r="C174" s="13">
        <v>4.0</v>
      </c>
      <c r="D174" s="10">
        <v>0.0</v>
      </c>
      <c r="E174" s="10">
        <v>0.0</v>
      </c>
    </row>
    <row r="175" ht="22.5" customHeight="1">
      <c r="A175" s="13" t="s">
        <v>226</v>
      </c>
      <c r="B175" s="13">
        <v>4.0</v>
      </c>
      <c r="C175" s="13">
        <v>15.0</v>
      </c>
      <c r="D175" s="10">
        <v>0.0</v>
      </c>
      <c r="E175" s="10">
        <v>0.0</v>
      </c>
    </row>
    <row r="176" ht="22.5" customHeight="1">
      <c r="A176" s="13" t="s">
        <v>229</v>
      </c>
      <c r="B176" s="13">
        <v>4.0</v>
      </c>
      <c r="C176" s="13">
        <v>15.0</v>
      </c>
      <c r="D176" s="10">
        <v>0.0</v>
      </c>
      <c r="E176" s="10">
        <v>0.0</v>
      </c>
    </row>
    <row r="177" ht="22.5" customHeight="1">
      <c r="A177" s="13" t="s">
        <v>232</v>
      </c>
      <c r="B177" s="13">
        <v>5.0</v>
      </c>
      <c r="C177" s="13">
        <v>19.0</v>
      </c>
      <c r="D177" s="10">
        <v>0.0</v>
      </c>
      <c r="E177" s="10">
        <v>0.2</v>
      </c>
    </row>
    <row r="178" ht="22.5" customHeight="1">
      <c r="A178" s="13" t="s">
        <v>235</v>
      </c>
      <c r="B178" s="13">
        <v>4.0</v>
      </c>
      <c r="C178" s="13">
        <v>16.0</v>
      </c>
      <c r="D178" s="10">
        <v>0.0</v>
      </c>
      <c r="E178" s="10">
        <v>0.0</v>
      </c>
    </row>
    <row r="179" ht="22.5" customHeight="1">
      <c r="A179" s="13" t="s">
        <v>236</v>
      </c>
      <c r="B179" s="13">
        <v>2.0</v>
      </c>
      <c r="C179" s="13">
        <v>8.0</v>
      </c>
      <c r="D179" s="10">
        <v>0.0</v>
      </c>
      <c r="E179" s="10">
        <v>0.0</v>
      </c>
    </row>
    <row r="180" ht="22.5" customHeight="1">
      <c r="A180" s="13" t="s">
        <v>237</v>
      </c>
      <c r="B180" s="13">
        <v>1.0</v>
      </c>
      <c r="C180" s="13">
        <v>4.0</v>
      </c>
      <c r="D180" s="10">
        <v>0.0</v>
      </c>
      <c r="E180" s="10">
        <v>0.0</v>
      </c>
    </row>
    <row r="181" ht="22.5" customHeight="1">
      <c r="A181" s="13" t="s">
        <v>242</v>
      </c>
      <c r="B181" s="13">
        <v>1.0</v>
      </c>
      <c r="C181" s="13">
        <v>4.0</v>
      </c>
      <c r="D181" s="10">
        <v>0.0</v>
      </c>
      <c r="E181" s="10">
        <v>0.0</v>
      </c>
    </row>
    <row r="182" ht="22.5" customHeight="1">
      <c r="A182" s="13" t="s">
        <v>244</v>
      </c>
      <c r="B182" s="13">
        <v>5.0</v>
      </c>
      <c r="C182" s="13">
        <v>20.0</v>
      </c>
      <c r="D182" s="10">
        <v>0.0</v>
      </c>
      <c r="E182" s="10">
        <v>0.0</v>
      </c>
    </row>
    <row r="183" ht="22.5" customHeight="1">
      <c r="A183" s="13" t="s">
        <v>248</v>
      </c>
      <c r="B183" s="13">
        <v>5.0</v>
      </c>
      <c r="C183" s="13">
        <v>20.0</v>
      </c>
      <c r="D183" s="10">
        <v>0.0</v>
      </c>
      <c r="E183" s="10">
        <v>0.0</v>
      </c>
    </row>
    <row r="184" ht="22.5" customHeight="1">
      <c r="A184" s="13" t="s">
        <v>250</v>
      </c>
      <c r="B184" s="13">
        <v>3.0</v>
      </c>
      <c r="C184" s="13">
        <v>12.0</v>
      </c>
      <c r="D184" s="10">
        <v>0.0</v>
      </c>
      <c r="E184" s="10">
        <v>0.0</v>
      </c>
    </row>
    <row r="185" ht="22.5" customHeight="1">
      <c r="A185" s="13" t="s">
        <v>251</v>
      </c>
      <c r="B185" s="13">
        <v>1.0</v>
      </c>
      <c r="C185" s="13">
        <v>4.0</v>
      </c>
      <c r="D185" s="10">
        <v>0.0</v>
      </c>
      <c r="E185" s="10">
        <v>0.0</v>
      </c>
    </row>
    <row r="186" ht="22.5" customHeight="1">
      <c r="A186" s="13" t="s">
        <v>239</v>
      </c>
      <c r="B186" s="13">
        <v>1.0</v>
      </c>
      <c r="C186" s="13">
        <v>4.0</v>
      </c>
      <c r="D186" s="10">
        <v>0.0</v>
      </c>
      <c r="E186" s="10">
        <v>0.0</v>
      </c>
    </row>
    <row r="187" ht="22.5" customHeight="1">
      <c r="A187" s="13" t="s">
        <v>255</v>
      </c>
      <c r="B187" s="13">
        <v>5.0</v>
      </c>
      <c r="C187" s="13">
        <v>20.0</v>
      </c>
      <c r="D187" s="10">
        <v>0.0</v>
      </c>
      <c r="E187" s="10">
        <v>0.0</v>
      </c>
    </row>
    <row r="188" ht="22.5" customHeight="1">
      <c r="A188" s="13" t="s">
        <v>257</v>
      </c>
      <c r="B188" s="13">
        <v>2.0</v>
      </c>
      <c r="C188" s="13">
        <v>8.0</v>
      </c>
      <c r="D188" s="10">
        <v>0.0</v>
      </c>
      <c r="E188" s="10">
        <v>0.0</v>
      </c>
    </row>
    <row r="189" ht="22.5" customHeight="1">
      <c r="A189" s="13" t="s">
        <v>259</v>
      </c>
      <c r="B189" s="13">
        <v>4.0</v>
      </c>
      <c r="C189" s="13">
        <v>16.0</v>
      </c>
      <c r="D189" s="10">
        <v>0.0</v>
      </c>
      <c r="E189" s="10">
        <v>0.0</v>
      </c>
    </row>
    <row r="190" ht="22.5" customHeight="1">
      <c r="A190" s="13" t="s">
        <v>262</v>
      </c>
      <c r="B190" s="13">
        <v>5.0</v>
      </c>
      <c r="C190" s="13">
        <v>20.0</v>
      </c>
      <c r="D190" s="10">
        <v>0.0</v>
      </c>
      <c r="E190" s="10">
        <v>0.0</v>
      </c>
    </row>
    <row r="191" ht="22.5" customHeight="1">
      <c r="A191" s="13" t="s">
        <v>241</v>
      </c>
      <c r="B191" s="13">
        <v>2.0</v>
      </c>
      <c r="C191" s="13">
        <v>8.0</v>
      </c>
      <c r="D191" s="10">
        <v>0.0</v>
      </c>
      <c r="E191" s="10">
        <v>0.0</v>
      </c>
    </row>
    <row r="192" ht="22.5" customHeight="1">
      <c r="A192" s="13" t="s">
        <v>265</v>
      </c>
      <c r="B192" s="13">
        <v>5.0</v>
      </c>
      <c r="C192" s="13">
        <v>19.0</v>
      </c>
      <c r="D192" s="10">
        <v>0.0</v>
      </c>
      <c r="E192" s="10">
        <v>0.0</v>
      </c>
    </row>
    <row r="193" ht="22.5" customHeight="1">
      <c r="A193" s="13" t="s">
        <v>268</v>
      </c>
      <c r="B193" s="13">
        <v>1.0</v>
      </c>
      <c r="C193" s="13">
        <v>4.0</v>
      </c>
      <c r="D193" s="10">
        <v>0.0</v>
      </c>
      <c r="E193" s="10">
        <v>0.0</v>
      </c>
    </row>
    <row r="194" ht="22.5" customHeight="1">
      <c r="A194" s="13" t="s">
        <v>270</v>
      </c>
      <c r="B194" s="13">
        <v>2.0</v>
      </c>
      <c r="C194" s="13">
        <v>8.0</v>
      </c>
      <c r="D194" s="10">
        <v>0.0</v>
      </c>
      <c r="E194" s="10">
        <v>0.0</v>
      </c>
    </row>
    <row r="195" ht="22.5" customHeight="1">
      <c r="A195" s="13" t="s">
        <v>277</v>
      </c>
      <c r="B195" s="13">
        <v>5.0</v>
      </c>
      <c r="C195" s="13">
        <v>20.0</v>
      </c>
      <c r="D195" s="10">
        <v>0.0</v>
      </c>
      <c r="E195" s="10">
        <v>0.2</v>
      </c>
    </row>
    <row r="196" ht="22.5" customHeight="1">
      <c r="A196" s="13" t="s">
        <v>172</v>
      </c>
      <c r="B196" s="13">
        <v>4.0</v>
      </c>
      <c r="C196" s="13">
        <v>16.0</v>
      </c>
      <c r="D196" s="10">
        <v>0.0</v>
      </c>
      <c r="E196" s="10">
        <v>0.0</v>
      </c>
    </row>
    <row r="197" ht="22.5" customHeight="1">
      <c r="A197" s="13" t="s">
        <v>280</v>
      </c>
      <c r="B197" s="13">
        <v>1.0</v>
      </c>
      <c r="C197" s="13">
        <v>4.0</v>
      </c>
      <c r="D197" s="10">
        <v>0.0</v>
      </c>
      <c r="E197" s="10">
        <v>0.0</v>
      </c>
    </row>
    <row r="198" ht="22.5" customHeight="1">
      <c r="A198" s="13" t="s">
        <v>282</v>
      </c>
      <c r="B198" s="13">
        <v>3.0</v>
      </c>
      <c r="C198" s="13">
        <v>12.0</v>
      </c>
      <c r="D198" s="10">
        <v>0.0</v>
      </c>
      <c r="E198" s="10">
        <v>0.0</v>
      </c>
    </row>
    <row r="199" ht="22.5" customHeight="1">
      <c r="A199" s="13" t="s">
        <v>283</v>
      </c>
      <c r="B199" s="13">
        <v>4.0</v>
      </c>
      <c r="C199" s="13">
        <v>16.0</v>
      </c>
      <c r="D199" s="10">
        <v>0.0</v>
      </c>
      <c r="E199" s="10">
        <v>0.0</v>
      </c>
    </row>
    <row r="200" ht="22.5" customHeight="1">
      <c r="A200" s="13" t="s">
        <v>284</v>
      </c>
      <c r="B200" s="13">
        <v>2.0</v>
      </c>
      <c r="C200" s="13">
        <v>8.0</v>
      </c>
      <c r="D200" s="10">
        <v>0.0</v>
      </c>
      <c r="E200" s="10">
        <v>0.0</v>
      </c>
    </row>
    <row r="201" ht="22.5" customHeight="1">
      <c r="A201" s="13" t="s">
        <v>207</v>
      </c>
      <c r="B201" s="13">
        <v>5.0</v>
      </c>
      <c r="C201" s="13">
        <v>20.0</v>
      </c>
      <c r="D201" s="10">
        <v>0.0</v>
      </c>
      <c r="E201" s="10">
        <v>0.2</v>
      </c>
    </row>
    <row r="202" ht="22.5" customHeight="1">
      <c r="A202" s="13" t="s">
        <v>288</v>
      </c>
      <c r="B202" s="13">
        <v>1.0</v>
      </c>
      <c r="C202" s="13">
        <v>4.0</v>
      </c>
      <c r="D202" s="10">
        <v>0.0</v>
      </c>
      <c r="E202" s="10">
        <v>0.0</v>
      </c>
    </row>
    <row r="203" ht="22.5" customHeight="1">
      <c r="A203" s="13" t="s">
        <v>291</v>
      </c>
      <c r="B203" s="13">
        <v>4.0</v>
      </c>
      <c r="C203" s="13">
        <v>16.0</v>
      </c>
      <c r="D203" s="10">
        <v>0.0</v>
      </c>
      <c r="E203" s="10">
        <v>0.0</v>
      </c>
    </row>
    <row r="204" ht="22.5" customHeight="1">
      <c r="A204" s="13" t="s">
        <v>267</v>
      </c>
      <c r="B204" s="13">
        <v>5.0</v>
      </c>
      <c r="C204" s="13">
        <v>20.0</v>
      </c>
      <c r="D204" s="10">
        <v>0.0</v>
      </c>
      <c r="E204" s="10">
        <v>0.0</v>
      </c>
    </row>
    <row r="205" ht="22.5" customHeight="1">
      <c r="A205" s="13" t="s">
        <v>293</v>
      </c>
      <c r="B205" s="13">
        <v>5.0</v>
      </c>
      <c r="C205" s="13">
        <v>20.0</v>
      </c>
      <c r="D205" s="10">
        <v>0.0</v>
      </c>
      <c r="E205" s="10">
        <v>0.0</v>
      </c>
    </row>
    <row r="206" ht="22.5" customHeight="1">
      <c r="A206" s="13" t="s">
        <v>285</v>
      </c>
      <c r="B206" s="13">
        <v>5.0</v>
      </c>
      <c r="C206" s="13">
        <v>20.0</v>
      </c>
      <c r="D206" s="10">
        <v>0.0</v>
      </c>
      <c r="E206" s="10">
        <v>0.0</v>
      </c>
    </row>
    <row r="207" ht="22.5" customHeight="1">
      <c r="A207" s="13" t="s">
        <v>246</v>
      </c>
      <c r="B207" s="13">
        <v>1.0</v>
      </c>
      <c r="C207" s="13">
        <v>4.0</v>
      </c>
      <c r="D207" s="10">
        <v>0.0</v>
      </c>
      <c r="E207" s="10">
        <v>0.0</v>
      </c>
    </row>
    <row r="208" ht="22.5" customHeight="1">
      <c r="A208" s="13" t="s">
        <v>297</v>
      </c>
      <c r="B208" s="13">
        <v>5.0</v>
      </c>
      <c r="C208" s="13">
        <v>20.0</v>
      </c>
      <c r="D208" s="10">
        <v>0.0</v>
      </c>
      <c r="E208" s="10">
        <v>0.0</v>
      </c>
    </row>
    <row r="209" ht="22.5" customHeight="1">
      <c r="A209" s="13" t="s">
        <v>296</v>
      </c>
      <c r="B209" s="13">
        <v>4.0</v>
      </c>
      <c r="C209" s="13">
        <v>16.0</v>
      </c>
      <c r="D209" s="10">
        <v>0.0</v>
      </c>
      <c r="E209" s="10">
        <v>0.0</v>
      </c>
    </row>
    <row r="210" ht="22.5" customHeight="1">
      <c r="A210" s="13" t="s">
        <v>300</v>
      </c>
      <c r="B210" s="13">
        <v>4.0</v>
      </c>
      <c r="C210" s="13">
        <v>16.0</v>
      </c>
      <c r="D210" s="10">
        <v>0.0</v>
      </c>
      <c r="E210" s="10">
        <v>0.0</v>
      </c>
    </row>
    <row r="211" ht="22.5" customHeight="1">
      <c r="A211" s="13" t="s">
        <v>271</v>
      </c>
      <c r="B211" s="13">
        <v>5.0</v>
      </c>
      <c r="C211" s="13">
        <v>20.0</v>
      </c>
      <c r="D211" s="10">
        <v>0.0</v>
      </c>
      <c r="E211" s="10">
        <v>0.0</v>
      </c>
    </row>
    <row r="212" ht="22.5" customHeight="1">
      <c r="A212" s="16" t="s">
        <v>138</v>
      </c>
      <c r="B212" s="13">
        <v>1.0</v>
      </c>
      <c r="C212" s="13">
        <v>4.0</v>
      </c>
      <c r="D212" s="10">
        <v>0.0</v>
      </c>
      <c r="E212" s="10">
        <v>0.0</v>
      </c>
    </row>
    <row r="213" ht="22.5" customHeight="1">
      <c r="A213" s="13" t="s">
        <v>303</v>
      </c>
      <c r="B213" s="13">
        <v>2.0</v>
      </c>
      <c r="C213" s="13">
        <v>8.0</v>
      </c>
      <c r="D213" s="10">
        <v>0.0</v>
      </c>
      <c r="E213" s="10">
        <v>0.0</v>
      </c>
    </row>
    <row r="214" ht="22.5" customHeight="1">
      <c r="A214" s="13" t="s">
        <v>304</v>
      </c>
      <c r="B214" s="13">
        <v>4.0</v>
      </c>
      <c r="C214" s="13">
        <v>16.0</v>
      </c>
      <c r="D214" s="10">
        <v>0.0</v>
      </c>
      <c r="E214" s="10">
        <v>0.0</v>
      </c>
    </row>
    <row r="215" ht="22.5" customHeight="1">
      <c r="A215" s="13" t="s">
        <v>305</v>
      </c>
      <c r="B215" s="13">
        <v>1.0</v>
      </c>
      <c r="C215" s="13">
        <v>4.0</v>
      </c>
      <c r="D215" s="10">
        <v>0.0</v>
      </c>
      <c r="E215" s="10">
        <v>0.0</v>
      </c>
    </row>
    <row r="216" ht="22.5" customHeight="1">
      <c r="A216" s="13" t="s">
        <v>309</v>
      </c>
      <c r="B216" s="13">
        <v>2.0</v>
      </c>
      <c r="C216" s="13">
        <v>8.0</v>
      </c>
      <c r="D216" s="10">
        <v>0.0</v>
      </c>
      <c r="E216" s="10">
        <v>0.0</v>
      </c>
    </row>
    <row r="217" ht="22.5" customHeight="1">
      <c r="A217" s="13" t="s">
        <v>310</v>
      </c>
      <c r="B217" s="13">
        <v>2.0</v>
      </c>
      <c r="C217" s="13">
        <v>8.0</v>
      </c>
      <c r="D217" s="10">
        <v>0.0</v>
      </c>
      <c r="E217" s="10">
        <v>0.0</v>
      </c>
    </row>
    <row r="218" ht="22.5" customHeight="1">
      <c r="A218" s="13" t="s">
        <v>230</v>
      </c>
      <c r="B218" s="13">
        <v>5.0</v>
      </c>
      <c r="C218" s="13">
        <v>20.0</v>
      </c>
      <c r="D218" s="10">
        <v>0.0</v>
      </c>
      <c r="E218" s="10">
        <v>0.4</v>
      </c>
    </row>
    <row r="219" ht="22.5" customHeight="1">
      <c r="A219" s="13" t="s">
        <v>313</v>
      </c>
      <c r="B219" s="13">
        <v>2.0</v>
      </c>
      <c r="C219" s="13">
        <v>8.0</v>
      </c>
      <c r="D219" s="10">
        <v>0.0</v>
      </c>
      <c r="E219" s="10">
        <v>0.0</v>
      </c>
    </row>
    <row r="220" ht="22.5" customHeight="1">
      <c r="A220" s="13" t="s">
        <v>318</v>
      </c>
      <c r="B220" s="13">
        <v>1.0</v>
      </c>
      <c r="C220" s="13">
        <v>4.0</v>
      </c>
      <c r="D220" s="10">
        <v>0.0</v>
      </c>
      <c r="E220" s="10">
        <v>0.0</v>
      </c>
    </row>
    <row r="221" ht="22.5" customHeight="1">
      <c r="A221" s="13" t="s">
        <v>254</v>
      </c>
      <c r="B221" s="13">
        <v>5.0</v>
      </c>
      <c r="C221" s="13">
        <v>20.0</v>
      </c>
      <c r="D221" s="10">
        <v>0.0</v>
      </c>
      <c r="E221" s="10">
        <v>0.4</v>
      </c>
    </row>
    <row r="222" ht="22.5" customHeight="1">
      <c r="A222" s="13" t="s">
        <v>317</v>
      </c>
      <c r="B222" s="13">
        <v>3.0</v>
      </c>
      <c r="C222" s="13">
        <v>11.0</v>
      </c>
      <c r="D222" s="10">
        <v>0.0</v>
      </c>
      <c r="E222" s="10">
        <v>0.0</v>
      </c>
    </row>
    <row r="223" ht="22.5" customHeight="1">
      <c r="A223" s="13" t="s">
        <v>133</v>
      </c>
      <c r="B223" s="13">
        <v>3.0</v>
      </c>
      <c r="C223" s="13">
        <v>7.0</v>
      </c>
      <c r="D223" s="10">
        <v>0.0</v>
      </c>
      <c r="E223" s="10">
        <v>0.0</v>
      </c>
    </row>
    <row r="224" ht="22.5" customHeight="1">
      <c r="A224" s="13" t="s">
        <v>319</v>
      </c>
      <c r="B224" s="13">
        <v>1.0</v>
      </c>
      <c r="C224" s="13">
        <v>4.0</v>
      </c>
      <c r="D224" s="10">
        <v>0.0</v>
      </c>
      <c r="E224" s="10">
        <v>0.0</v>
      </c>
    </row>
    <row r="225" ht="22.5" customHeight="1">
      <c r="A225" s="13" t="s">
        <v>334</v>
      </c>
      <c r="B225" s="13">
        <v>1.0</v>
      </c>
      <c r="C225" s="13">
        <v>4.0</v>
      </c>
      <c r="D225" s="10">
        <v>0.0</v>
      </c>
      <c r="E225" s="10">
        <v>0.0</v>
      </c>
    </row>
    <row r="226" ht="22.5" customHeight="1">
      <c r="A226" s="13" t="s">
        <v>215</v>
      </c>
      <c r="B226" s="13">
        <v>5.0</v>
      </c>
      <c r="C226" s="13">
        <v>20.0</v>
      </c>
      <c r="D226" s="10">
        <v>0.0</v>
      </c>
      <c r="E226" s="10">
        <v>0.0</v>
      </c>
    </row>
    <row r="227" ht="22.5" customHeight="1">
      <c r="A227" s="13" t="s">
        <v>287</v>
      </c>
      <c r="B227" s="13">
        <v>5.0</v>
      </c>
      <c r="C227" s="13">
        <v>20.0</v>
      </c>
      <c r="D227" s="10">
        <v>0.0</v>
      </c>
      <c r="E227" s="10">
        <v>0.0</v>
      </c>
    </row>
    <row r="228" ht="22.5" customHeight="1">
      <c r="A228" s="13" t="s">
        <v>289</v>
      </c>
      <c r="B228" s="13">
        <v>5.0</v>
      </c>
      <c r="C228" s="13">
        <v>20.0</v>
      </c>
      <c r="D228" s="10">
        <v>0.0</v>
      </c>
      <c r="E228" s="10">
        <v>0.0</v>
      </c>
    </row>
    <row r="229" ht="22.5" customHeight="1">
      <c r="A229" s="13" t="s">
        <v>321</v>
      </c>
      <c r="B229" s="13">
        <v>4.0</v>
      </c>
      <c r="C229" s="13">
        <v>16.0</v>
      </c>
      <c r="D229" s="10">
        <v>0.0</v>
      </c>
      <c r="E229" s="10">
        <v>0.0</v>
      </c>
    </row>
    <row r="230" ht="22.5" customHeight="1">
      <c r="A230" s="13" t="s">
        <v>278</v>
      </c>
      <c r="B230" s="13">
        <v>4.0</v>
      </c>
      <c r="C230" s="13">
        <v>16.0</v>
      </c>
      <c r="D230" s="10">
        <v>0.0</v>
      </c>
      <c r="E230" s="10">
        <v>0.25</v>
      </c>
    </row>
    <row r="231" ht="22.5" customHeight="1">
      <c r="A231" s="13" t="s">
        <v>326</v>
      </c>
      <c r="B231" s="13">
        <v>3.0</v>
      </c>
      <c r="C231" s="13">
        <v>12.0</v>
      </c>
      <c r="D231" s="10">
        <v>0.0</v>
      </c>
      <c r="E231" s="10">
        <v>0.3333333333333333</v>
      </c>
    </row>
    <row r="232" ht="22.5" customHeight="1">
      <c r="A232" s="13" t="s">
        <v>311</v>
      </c>
      <c r="B232" s="13">
        <v>5.0</v>
      </c>
      <c r="C232" s="13">
        <v>20.0</v>
      </c>
      <c r="D232" s="10">
        <v>0.0</v>
      </c>
      <c r="E232" s="10">
        <v>0.0</v>
      </c>
    </row>
    <row r="233" ht="22.5" customHeight="1">
      <c r="A233" s="13" t="s">
        <v>328</v>
      </c>
      <c r="B233" s="13">
        <v>3.0</v>
      </c>
      <c r="C233" s="13">
        <v>12.0</v>
      </c>
      <c r="D233" s="10">
        <v>0.0</v>
      </c>
      <c r="E233" s="10">
        <v>0.0</v>
      </c>
    </row>
    <row r="234" ht="22.5" customHeight="1">
      <c r="A234" s="13" t="s">
        <v>331</v>
      </c>
      <c r="B234" s="13">
        <v>4.0</v>
      </c>
      <c r="C234" s="13">
        <v>15.0</v>
      </c>
      <c r="D234" s="10">
        <v>0.0</v>
      </c>
      <c r="E234" s="10">
        <v>0.0</v>
      </c>
    </row>
    <row r="235" ht="22.5" customHeight="1">
      <c r="A235" s="13" t="s">
        <v>332</v>
      </c>
      <c r="B235" s="13">
        <v>2.0</v>
      </c>
      <c r="C235" s="13">
        <v>7.0</v>
      </c>
      <c r="D235" s="10">
        <v>0.0</v>
      </c>
      <c r="E235" s="10">
        <v>0.0</v>
      </c>
    </row>
    <row r="236" ht="22.5" customHeight="1">
      <c r="A236" s="13" t="s">
        <v>333</v>
      </c>
      <c r="B236" s="13">
        <v>4.0</v>
      </c>
      <c r="C236" s="13">
        <v>12.0</v>
      </c>
      <c r="D236" s="10">
        <v>0.0</v>
      </c>
      <c r="E236" s="10">
        <v>0.0</v>
      </c>
    </row>
    <row r="237" ht="22.5" customHeight="1">
      <c r="A237" s="13" t="s">
        <v>324</v>
      </c>
      <c r="B237" s="13">
        <v>4.0</v>
      </c>
      <c r="C237" s="13">
        <v>12.0</v>
      </c>
      <c r="D237" s="10">
        <v>0.0</v>
      </c>
      <c r="E237" s="10">
        <v>0.0</v>
      </c>
    </row>
    <row r="238" ht="22.5" customHeight="1">
      <c r="A238" s="13" t="s">
        <v>335</v>
      </c>
      <c r="B238" s="13">
        <v>3.0</v>
      </c>
      <c r="C238" s="13">
        <v>12.0</v>
      </c>
      <c r="D238" s="10">
        <v>0.0</v>
      </c>
      <c r="E238" s="10">
        <v>0.0</v>
      </c>
    </row>
    <row r="239" ht="22.5" customHeight="1">
      <c r="A239" s="13" t="s">
        <v>336</v>
      </c>
      <c r="B239" s="13">
        <v>2.0</v>
      </c>
      <c r="C239" s="13">
        <v>8.0</v>
      </c>
      <c r="D239" s="10">
        <v>0.0</v>
      </c>
      <c r="E239" s="10">
        <v>0.0</v>
      </c>
    </row>
    <row r="240" ht="22.5" customHeight="1">
      <c r="A240" s="13" t="s">
        <v>337</v>
      </c>
      <c r="B240" s="13">
        <v>5.0</v>
      </c>
      <c r="C240" s="13">
        <v>20.0</v>
      </c>
      <c r="D240" s="10">
        <v>0.0</v>
      </c>
      <c r="E240" s="10">
        <v>0.0</v>
      </c>
    </row>
    <row r="241" ht="22.5" customHeight="1">
      <c r="A241" s="13" t="s">
        <v>338</v>
      </c>
      <c r="B241" s="13">
        <v>2.0</v>
      </c>
      <c r="C241" s="13">
        <v>8.0</v>
      </c>
      <c r="D241" s="10">
        <v>0.0</v>
      </c>
      <c r="E241" s="10">
        <v>0.0</v>
      </c>
    </row>
    <row r="242" ht="22.5" customHeight="1">
      <c r="A242" s="13" t="s">
        <v>339</v>
      </c>
      <c r="B242" s="13">
        <v>1.0</v>
      </c>
      <c r="C242" s="13">
        <v>4.0</v>
      </c>
      <c r="D242" s="10">
        <v>0.0</v>
      </c>
      <c r="E242" s="10">
        <v>0.0</v>
      </c>
    </row>
    <row r="243" ht="22.5" customHeight="1">
      <c r="A243" s="13" t="s">
        <v>340</v>
      </c>
      <c r="B243" s="13">
        <v>2.0</v>
      </c>
      <c r="C243" s="13">
        <v>8.0</v>
      </c>
      <c r="D243" s="10">
        <v>0.0</v>
      </c>
      <c r="E243" s="10">
        <v>0.0</v>
      </c>
    </row>
    <row r="244" ht="22.5" customHeight="1">
      <c r="A244" s="13" t="s">
        <v>256</v>
      </c>
      <c r="B244" s="13">
        <v>1.0</v>
      </c>
      <c r="C244" s="13">
        <v>4.0</v>
      </c>
      <c r="D244" s="10">
        <v>0.0</v>
      </c>
      <c r="E244" s="10">
        <v>0.0</v>
      </c>
    </row>
    <row r="245" ht="22.5" customHeight="1">
      <c r="A245" s="13" t="s">
        <v>345</v>
      </c>
      <c r="B245" s="13">
        <v>5.0</v>
      </c>
      <c r="C245" s="13">
        <v>20.0</v>
      </c>
      <c r="D245" s="10">
        <v>0.0</v>
      </c>
      <c r="E245" s="10">
        <v>0.0</v>
      </c>
    </row>
    <row r="246" ht="22.5" customHeight="1">
      <c r="A246" s="13" t="s">
        <v>346</v>
      </c>
      <c r="B246" s="13">
        <v>5.0</v>
      </c>
      <c r="C246" s="13">
        <v>20.0</v>
      </c>
      <c r="D246" s="10">
        <v>0.0</v>
      </c>
      <c r="E246" s="10">
        <v>0.0</v>
      </c>
    </row>
    <row r="247" ht="22.5" customHeight="1">
      <c r="A247" s="13" t="s">
        <v>347</v>
      </c>
      <c r="B247" s="13">
        <v>5.0</v>
      </c>
      <c r="C247" s="13">
        <v>20.0</v>
      </c>
      <c r="D247" s="10">
        <v>0.0</v>
      </c>
      <c r="E247" s="10">
        <v>0.0</v>
      </c>
    </row>
    <row r="248" ht="22.5" customHeight="1">
      <c r="A248" s="13" t="s">
        <v>348</v>
      </c>
      <c r="B248" s="13">
        <v>2.0</v>
      </c>
      <c r="C248" s="13">
        <v>8.0</v>
      </c>
      <c r="D248" s="10">
        <v>0.0</v>
      </c>
      <c r="E248" s="10">
        <v>0.0</v>
      </c>
    </row>
    <row r="249" ht="22.5" customHeight="1">
      <c r="A249" s="13" t="s">
        <v>349</v>
      </c>
      <c r="B249" s="13">
        <v>3.0</v>
      </c>
      <c r="C249" s="13">
        <v>12.0</v>
      </c>
      <c r="D249" s="10">
        <v>0.0</v>
      </c>
      <c r="E249" s="10">
        <v>0.0</v>
      </c>
    </row>
    <row r="250" ht="22.5" customHeight="1">
      <c r="A250" s="13" t="s">
        <v>341</v>
      </c>
      <c r="B250" s="13">
        <v>2.0</v>
      </c>
      <c r="C250" s="13">
        <v>8.0</v>
      </c>
      <c r="D250" s="10">
        <v>0.0</v>
      </c>
      <c r="E250" s="10">
        <v>0.0</v>
      </c>
    </row>
    <row r="251" ht="22.5" customHeight="1">
      <c r="A251" s="13" t="s">
        <v>312</v>
      </c>
      <c r="B251" s="13">
        <v>5.0</v>
      </c>
      <c r="C251" s="13">
        <v>20.0</v>
      </c>
      <c r="D251" s="10">
        <v>0.0</v>
      </c>
      <c r="E251" s="10">
        <v>0.0</v>
      </c>
    </row>
    <row r="252" ht="22.5" customHeight="1">
      <c r="A252" s="13" t="s">
        <v>342</v>
      </c>
      <c r="B252" s="13">
        <v>2.0</v>
      </c>
      <c r="C252" s="13">
        <v>8.0</v>
      </c>
      <c r="D252" s="10">
        <v>0.0</v>
      </c>
      <c r="E252" s="10">
        <v>0.0</v>
      </c>
    </row>
    <row r="253" ht="22.5" customHeight="1">
      <c r="A253" s="13" t="s">
        <v>302</v>
      </c>
      <c r="B253" s="13">
        <v>2.0</v>
      </c>
      <c r="C253" s="13">
        <v>8.0</v>
      </c>
      <c r="D253" s="10">
        <v>0.0</v>
      </c>
      <c r="E253" s="10">
        <v>0.0</v>
      </c>
    </row>
    <row r="254" ht="22.5" customHeight="1">
      <c r="A254" s="13" t="s">
        <v>231</v>
      </c>
      <c r="B254" s="13">
        <v>5.0</v>
      </c>
      <c r="C254" s="13">
        <v>20.0</v>
      </c>
      <c r="D254" s="10">
        <v>0.0</v>
      </c>
      <c r="E254" s="10">
        <v>0.0</v>
      </c>
    </row>
    <row r="255" ht="22.5" customHeight="1">
      <c r="A255" s="13" t="s">
        <v>261</v>
      </c>
      <c r="B255" s="13">
        <v>3.0</v>
      </c>
      <c r="C255" s="13">
        <v>12.0</v>
      </c>
      <c r="D255" s="10">
        <v>0.0</v>
      </c>
      <c r="E255" s="10">
        <v>0.0</v>
      </c>
    </row>
    <row r="256" ht="22.5" customHeight="1">
      <c r="A256" s="13" t="s">
        <v>290</v>
      </c>
      <c r="B256" s="13">
        <v>1.0</v>
      </c>
      <c r="C256" s="13">
        <v>4.0</v>
      </c>
      <c r="D256" s="10">
        <v>0.0</v>
      </c>
      <c r="E256" s="10">
        <v>0.0</v>
      </c>
    </row>
    <row r="257" ht="22.5" customHeight="1">
      <c r="A257" s="13" t="s">
        <v>13</v>
      </c>
      <c r="B257" s="13">
        <v>5.0</v>
      </c>
      <c r="C257" s="13">
        <v>19.0</v>
      </c>
      <c r="D257" s="10">
        <v>-0.8</v>
      </c>
      <c r="E257" s="10">
        <v>0.2</v>
      </c>
    </row>
    <row r="258" ht="22.5" customHeight="1">
      <c r="A258" s="13" t="s">
        <v>71</v>
      </c>
      <c r="B258" s="13">
        <v>5.0</v>
      </c>
      <c r="C258" s="13">
        <v>20.0</v>
      </c>
      <c r="D258" s="10">
        <v>-0.8</v>
      </c>
      <c r="E258" s="10">
        <v>0.4</v>
      </c>
    </row>
    <row r="259" ht="22.5" customHeight="1">
      <c r="A259" s="13" t="s">
        <v>79</v>
      </c>
      <c r="B259" s="13">
        <v>5.0</v>
      </c>
      <c r="C259" s="13">
        <v>20.0</v>
      </c>
      <c r="D259" s="10">
        <v>-0.8</v>
      </c>
      <c r="E259" s="10">
        <v>0.2</v>
      </c>
    </row>
    <row r="260" ht="22.5" customHeight="1">
      <c r="A260" s="13" t="s">
        <v>117</v>
      </c>
      <c r="B260" s="13">
        <v>5.0</v>
      </c>
      <c r="C260" s="13">
        <v>20.0</v>
      </c>
      <c r="D260" s="10">
        <v>-0.8</v>
      </c>
      <c r="E260" s="10">
        <v>0.2</v>
      </c>
    </row>
    <row r="261" ht="22.5" customHeight="1">
      <c r="A261" s="13" t="s">
        <v>139</v>
      </c>
      <c r="B261" s="13">
        <v>5.0</v>
      </c>
      <c r="C261" s="13">
        <v>20.0</v>
      </c>
      <c r="D261" s="10">
        <v>-0.8</v>
      </c>
      <c r="E261" s="10">
        <v>0.4</v>
      </c>
    </row>
    <row r="262" ht="22.5" customHeight="1">
      <c r="A262" s="13" t="s">
        <v>190</v>
      </c>
      <c r="B262" s="13">
        <v>5.0</v>
      </c>
      <c r="C262" s="13">
        <v>20.0</v>
      </c>
      <c r="D262" s="10">
        <v>-0.8</v>
      </c>
      <c r="E262" s="10">
        <v>0.2</v>
      </c>
    </row>
    <row r="263" ht="22.5" customHeight="1">
      <c r="A263" s="13" t="s">
        <v>213</v>
      </c>
      <c r="B263" s="13">
        <v>5.0</v>
      </c>
      <c r="C263" s="13">
        <v>16.0</v>
      </c>
      <c r="D263" s="10">
        <v>-0.8</v>
      </c>
      <c r="E263" s="10">
        <v>0.2</v>
      </c>
    </row>
    <row r="264" ht="22.5" customHeight="1">
      <c r="A264" s="13" t="s">
        <v>253</v>
      </c>
      <c r="B264" s="13">
        <v>5.0</v>
      </c>
      <c r="C264" s="13">
        <v>20.0</v>
      </c>
      <c r="D264" s="10">
        <v>-0.8</v>
      </c>
      <c r="E264" s="10">
        <v>0.2</v>
      </c>
    </row>
    <row r="265" ht="22.5" customHeight="1">
      <c r="A265" s="13" t="s">
        <v>344</v>
      </c>
      <c r="B265" s="13">
        <v>5.0</v>
      </c>
      <c r="C265" s="13">
        <v>20.0</v>
      </c>
      <c r="D265" s="10">
        <v>-0.8</v>
      </c>
      <c r="E265" s="10">
        <v>0.4</v>
      </c>
    </row>
    <row r="266" ht="22.5" customHeight="1">
      <c r="A266" s="13" t="s">
        <v>275</v>
      </c>
      <c r="B266" s="13">
        <v>4.0</v>
      </c>
      <c r="C266" s="13">
        <v>17.0</v>
      </c>
      <c r="D266" s="10">
        <v>-1.0</v>
      </c>
      <c r="E266" s="10">
        <v>0.25</v>
      </c>
    </row>
    <row r="267" ht="22.5" customHeight="1">
      <c r="A267" s="13" t="s">
        <v>223</v>
      </c>
      <c r="B267" s="13">
        <v>4.0</v>
      </c>
      <c r="C267" s="13">
        <v>16.0</v>
      </c>
      <c r="D267" s="10">
        <v>-1.0</v>
      </c>
      <c r="E267" s="10">
        <v>0.25</v>
      </c>
    </row>
    <row r="268" ht="22.5" customHeight="1">
      <c r="A268" s="13" t="s">
        <v>295</v>
      </c>
      <c r="B268" s="13">
        <v>4.0</v>
      </c>
      <c r="C268" s="13">
        <v>16.0</v>
      </c>
      <c r="D268" s="10">
        <v>-1.0</v>
      </c>
      <c r="E268" s="10">
        <v>0.25</v>
      </c>
    </row>
    <row r="269" ht="22.5" customHeight="1">
      <c r="A269" s="13" t="s">
        <v>315</v>
      </c>
      <c r="B269" s="13">
        <v>4.0</v>
      </c>
      <c r="C269" s="13">
        <v>16.0</v>
      </c>
      <c r="D269" s="10">
        <v>-1.0</v>
      </c>
      <c r="E269" s="10">
        <v>0.5</v>
      </c>
    </row>
    <row r="270" ht="22.5" customHeight="1">
      <c r="A270" s="13" t="s">
        <v>12</v>
      </c>
      <c r="B270" s="13">
        <v>3.0</v>
      </c>
      <c r="C270" s="13">
        <v>12.0</v>
      </c>
      <c r="D270" s="10">
        <v>-1.3333333333333333</v>
      </c>
      <c r="E270" s="10">
        <v>0.3333333333333333</v>
      </c>
    </row>
    <row r="271" ht="22.5" customHeight="1">
      <c r="A271" s="13" t="s">
        <v>217</v>
      </c>
      <c r="B271" s="13">
        <v>3.0</v>
      </c>
      <c r="C271" s="13">
        <v>12.0</v>
      </c>
      <c r="D271" s="10">
        <v>-1.3333333333333333</v>
      </c>
      <c r="E271" s="10">
        <v>0.3333333333333333</v>
      </c>
    </row>
    <row r="272" ht="22.5" customHeight="1">
      <c r="A272" s="13" t="s">
        <v>153</v>
      </c>
      <c r="B272" s="13">
        <v>1.0</v>
      </c>
      <c r="C272" s="13">
        <v>4.0</v>
      </c>
      <c r="D272" s="10">
        <v>-4.0</v>
      </c>
      <c r="E272" s="10">
        <v>1.0</v>
      </c>
    </row>
    <row r="273" ht="22.5" customHeight="1">
      <c r="A273" s="13" t="s">
        <v>243</v>
      </c>
      <c r="B273" s="13">
        <v>1.0</v>
      </c>
      <c r="C273" s="13">
        <v>4.0</v>
      </c>
      <c r="D273" s="10">
        <v>-4.0</v>
      </c>
      <c r="E273" s="10">
        <v>1.0</v>
      </c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8" max="8" width="37.63"/>
    <col customWidth="1" min="11" max="11" width="34.38"/>
  </cols>
  <sheetData>
    <row r="1" ht="22.5" customHeight="1">
      <c r="A1" s="11" t="s">
        <v>350</v>
      </c>
      <c r="B1" s="11" t="s">
        <v>351</v>
      </c>
      <c r="C1" s="11" t="s">
        <v>352</v>
      </c>
      <c r="D1" s="11" t="s">
        <v>353</v>
      </c>
      <c r="E1" s="11" t="s">
        <v>354</v>
      </c>
      <c r="F1" s="11" t="s">
        <v>355</v>
      </c>
      <c r="G1" s="11" t="s">
        <v>356</v>
      </c>
      <c r="H1" s="11" t="s">
        <v>357</v>
      </c>
      <c r="I1" s="17" t="s">
        <v>358</v>
      </c>
      <c r="J1" s="17" t="s">
        <v>359</v>
      </c>
    </row>
    <row r="2" ht="22.5" customHeight="1">
      <c r="A2" s="16">
        <v>1.0</v>
      </c>
      <c r="B2" s="16">
        <v>4.0</v>
      </c>
      <c r="C2" s="16">
        <v>0.0</v>
      </c>
      <c r="D2" s="16">
        <v>0.0</v>
      </c>
      <c r="E2" s="16">
        <v>0.0</v>
      </c>
      <c r="F2" s="16">
        <v>0.0</v>
      </c>
      <c r="G2" s="18">
        <v>0.0</v>
      </c>
      <c r="H2" s="16" t="s">
        <v>0</v>
      </c>
      <c r="I2" s="19">
        <f t="shared" ref="I2:I463" si="1">round(D2*A2,0)</f>
        <v>0</v>
      </c>
      <c r="J2" s="19">
        <f t="shared" ref="J2:J463" si="2">round(E2*A2,0)</f>
        <v>0</v>
      </c>
    </row>
    <row r="3" ht="22.5" customHeight="1">
      <c r="A3" s="16">
        <v>4.0</v>
      </c>
      <c r="B3" s="16">
        <v>16.0</v>
      </c>
      <c r="C3" s="16">
        <v>0.0</v>
      </c>
      <c r="D3" s="16">
        <v>0.0</v>
      </c>
      <c r="E3" s="16">
        <v>0.0</v>
      </c>
      <c r="F3" s="16">
        <v>0.0</v>
      </c>
      <c r="G3" s="18">
        <v>0.0</v>
      </c>
      <c r="H3" s="16" t="s">
        <v>2</v>
      </c>
      <c r="I3" s="19">
        <f t="shared" si="1"/>
        <v>0</v>
      </c>
      <c r="J3" s="19">
        <f t="shared" si="2"/>
        <v>0</v>
      </c>
    </row>
    <row r="4" ht="22.5" customHeight="1">
      <c r="A4" s="16">
        <v>1.0</v>
      </c>
      <c r="B4" s="16">
        <v>4.0</v>
      </c>
      <c r="C4" s="16">
        <v>0.0</v>
      </c>
      <c r="D4" s="16">
        <v>0.0</v>
      </c>
      <c r="E4" s="16">
        <v>0.0</v>
      </c>
      <c r="F4" s="16">
        <v>0.0</v>
      </c>
      <c r="G4" s="18">
        <v>0.0</v>
      </c>
      <c r="H4" s="16" t="s">
        <v>2</v>
      </c>
      <c r="I4" s="19">
        <f t="shared" si="1"/>
        <v>0</v>
      </c>
      <c r="J4" s="19">
        <f t="shared" si="2"/>
        <v>0</v>
      </c>
    </row>
    <row r="5" ht="22.5" customHeight="1">
      <c r="A5" s="16">
        <v>4.0</v>
      </c>
      <c r="B5" s="16">
        <v>16.0</v>
      </c>
      <c r="C5" s="16">
        <v>4.0</v>
      </c>
      <c r="D5" s="16">
        <v>1.0</v>
      </c>
      <c r="E5" s="16">
        <v>0.25</v>
      </c>
      <c r="F5" s="16">
        <v>0.0</v>
      </c>
      <c r="G5" s="18">
        <v>0.5</v>
      </c>
      <c r="H5" s="16" t="s">
        <v>5</v>
      </c>
      <c r="I5" s="19">
        <f t="shared" si="1"/>
        <v>4</v>
      </c>
      <c r="J5" s="19">
        <f t="shared" si="2"/>
        <v>1</v>
      </c>
    </row>
    <row r="6" ht="22.5" customHeight="1">
      <c r="A6" s="16">
        <v>1.0</v>
      </c>
      <c r="B6" s="16">
        <v>4.0</v>
      </c>
      <c r="C6" s="16">
        <v>1.0</v>
      </c>
      <c r="D6" s="16">
        <v>4.0</v>
      </c>
      <c r="E6" s="16">
        <v>0.0</v>
      </c>
      <c r="F6" s="16">
        <v>0.0</v>
      </c>
      <c r="G6" s="18">
        <v>1.0</v>
      </c>
      <c r="H6" s="16" t="s">
        <v>5</v>
      </c>
      <c r="I6" s="19">
        <f t="shared" si="1"/>
        <v>4</v>
      </c>
      <c r="J6" s="19">
        <f t="shared" si="2"/>
        <v>0</v>
      </c>
    </row>
    <row r="7" ht="22.5" customHeight="1">
      <c r="A7" s="16">
        <v>4.0</v>
      </c>
      <c r="B7" s="16">
        <v>16.0</v>
      </c>
      <c r="C7" s="16">
        <v>4.0</v>
      </c>
      <c r="D7" s="16">
        <v>1.0</v>
      </c>
      <c r="E7" s="16">
        <v>0.25</v>
      </c>
      <c r="F7" s="16">
        <v>0.0</v>
      </c>
      <c r="G7" s="18">
        <v>0.5</v>
      </c>
      <c r="H7" s="16" t="s">
        <v>8</v>
      </c>
      <c r="I7" s="19">
        <f t="shared" si="1"/>
        <v>4</v>
      </c>
      <c r="J7" s="19">
        <f t="shared" si="2"/>
        <v>1</v>
      </c>
    </row>
    <row r="8" ht="22.5" customHeight="1">
      <c r="A8" s="16">
        <v>1.0</v>
      </c>
      <c r="B8" s="16">
        <v>4.0</v>
      </c>
      <c r="C8" s="16">
        <v>3.0</v>
      </c>
      <c r="D8" s="16">
        <v>12.0</v>
      </c>
      <c r="E8" s="16">
        <v>0.0</v>
      </c>
      <c r="F8" s="16">
        <v>0.0</v>
      </c>
      <c r="G8" s="18">
        <v>1.0</v>
      </c>
      <c r="H8" s="16" t="s">
        <v>8</v>
      </c>
      <c r="I8" s="19">
        <f t="shared" si="1"/>
        <v>12</v>
      </c>
      <c r="J8" s="19">
        <f t="shared" si="2"/>
        <v>0</v>
      </c>
    </row>
    <row r="9" ht="22.5" customHeight="1">
      <c r="A9" s="16">
        <v>4.0</v>
      </c>
      <c r="B9" s="16">
        <v>16.0</v>
      </c>
      <c r="C9" s="16">
        <v>5.0</v>
      </c>
      <c r="D9" s="16">
        <v>1.0</v>
      </c>
      <c r="E9" s="16">
        <v>0.5</v>
      </c>
      <c r="F9" s="16">
        <v>0.0</v>
      </c>
      <c r="G9" s="18">
        <v>0.6</v>
      </c>
      <c r="H9" s="16" t="s">
        <v>11</v>
      </c>
      <c r="I9" s="19">
        <f t="shared" si="1"/>
        <v>4</v>
      </c>
      <c r="J9" s="19">
        <f t="shared" si="2"/>
        <v>2</v>
      </c>
    </row>
    <row r="10" ht="22.5" customHeight="1">
      <c r="A10" s="16">
        <v>3.0</v>
      </c>
      <c r="B10" s="16">
        <v>12.0</v>
      </c>
      <c r="C10" s="16">
        <v>3.0</v>
      </c>
      <c r="D10" s="16">
        <v>1.33</v>
      </c>
      <c r="E10" s="16">
        <v>0.0</v>
      </c>
      <c r="F10" s="16">
        <v>0.0</v>
      </c>
      <c r="G10" s="20">
        <v>0.333</v>
      </c>
      <c r="H10" s="16" t="s">
        <v>12</v>
      </c>
      <c r="I10" s="19">
        <f t="shared" si="1"/>
        <v>4</v>
      </c>
      <c r="J10" s="19">
        <f t="shared" si="2"/>
        <v>0</v>
      </c>
    </row>
    <row r="11" ht="22.5" customHeight="1">
      <c r="A11" s="16">
        <v>1.0</v>
      </c>
      <c r="B11" s="16">
        <v>4.0</v>
      </c>
      <c r="C11" s="16">
        <v>0.0</v>
      </c>
      <c r="D11" s="16">
        <v>0.0</v>
      </c>
      <c r="E11" s="16">
        <v>0.0</v>
      </c>
      <c r="F11" s="16">
        <v>0.0</v>
      </c>
      <c r="G11" s="18">
        <v>0.0</v>
      </c>
      <c r="H11" s="16" t="s">
        <v>13</v>
      </c>
      <c r="I11" s="19">
        <f t="shared" si="1"/>
        <v>0</v>
      </c>
      <c r="J11" s="19">
        <f t="shared" si="2"/>
        <v>0</v>
      </c>
    </row>
    <row r="12" ht="22.5" customHeight="1">
      <c r="A12" s="16">
        <v>4.0</v>
      </c>
      <c r="B12" s="16">
        <v>16.0</v>
      </c>
      <c r="C12" s="16">
        <v>3.0</v>
      </c>
      <c r="D12" s="16">
        <v>1.0</v>
      </c>
      <c r="E12" s="16">
        <v>0.0</v>
      </c>
      <c r="F12" s="16">
        <v>0.0</v>
      </c>
      <c r="G12" s="20">
        <v>0.333</v>
      </c>
      <c r="H12" s="16" t="s">
        <v>13</v>
      </c>
      <c r="I12" s="19">
        <f t="shared" si="1"/>
        <v>4</v>
      </c>
      <c r="J12" s="19">
        <f t="shared" si="2"/>
        <v>0</v>
      </c>
    </row>
    <row r="13" ht="22.5" customHeight="1">
      <c r="A13" s="16">
        <v>1.0</v>
      </c>
      <c r="B13" s="16">
        <v>4.0</v>
      </c>
      <c r="C13" s="16">
        <v>0.0</v>
      </c>
      <c r="D13" s="16">
        <v>0.0</v>
      </c>
      <c r="E13" s="16">
        <v>0.0</v>
      </c>
      <c r="F13" s="16">
        <v>0.0</v>
      </c>
      <c r="G13" s="18">
        <v>0.0</v>
      </c>
      <c r="H13" s="16" t="s">
        <v>15</v>
      </c>
      <c r="I13" s="19">
        <f t="shared" si="1"/>
        <v>0</v>
      </c>
      <c r="J13" s="19">
        <f t="shared" si="2"/>
        <v>0</v>
      </c>
    </row>
    <row r="14" ht="22.5" customHeight="1">
      <c r="A14" s="16">
        <v>4.0</v>
      </c>
      <c r="B14" s="16">
        <v>16.0</v>
      </c>
      <c r="C14" s="16">
        <v>0.0</v>
      </c>
      <c r="D14" s="16">
        <v>0.0</v>
      </c>
      <c r="E14" s="16">
        <v>0.0</v>
      </c>
      <c r="F14" s="16">
        <v>0.0</v>
      </c>
      <c r="G14" s="18">
        <v>0.0</v>
      </c>
      <c r="H14" s="16" t="s">
        <v>15</v>
      </c>
      <c r="I14" s="19">
        <f t="shared" si="1"/>
        <v>0</v>
      </c>
      <c r="J14" s="19">
        <f t="shared" si="2"/>
        <v>0</v>
      </c>
    </row>
    <row r="15" ht="22.5" customHeight="1">
      <c r="A15" s="16">
        <v>1.0</v>
      </c>
      <c r="B15" s="16">
        <v>4.0</v>
      </c>
      <c r="C15" s="16">
        <v>0.0</v>
      </c>
      <c r="D15" s="16">
        <v>0.0</v>
      </c>
      <c r="E15" s="16">
        <v>0.0</v>
      </c>
      <c r="F15" s="16">
        <v>0.0</v>
      </c>
      <c r="G15" s="18">
        <v>0.0</v>
      </c>
      <c r="H15" s="16" t="s">
        <v>17</v>
      </c>
      <c r="I15" s="19">
        <f t="shared" si="1"/>
        <v>0</v>
      </c>
      <c r="J15" s="19">
        <f t="shared" si="2"/>
        <v>0</v>
      </c>
    </row>
    <row r="16" ht="22.5" customHeight="1">
      <c r="A16" s="16">
        <v>4.0</v>
      </c>
      <c r="B16" s="16">
        <v>16.0</v>
      </c>
      <c r="C16" s="16">
        <v>5.0</v>
      </c>
      <c r="D16" s="16">
        <v>-1.0</v>
      </c>
      <c r="E16" s="16">
        <v>0.5</v>
      </c>
      <c r="F16" s="16">
        <v>0.0</v>
      </c>
      <c r="G16" s="18">
        <v>0.2</v>
      </c>
      <c r="H16" s="16" t="s">
        <v>17</v>
      </c>
      <c r="I16" s="19">
        <f t="shared" si="1"/>
        <v>-4</v>
      </c>
      <c r="J16" s="19">
        <f t="shared" si="2"/>
        <v>2</v>
      </c>
    </row>
    <row r="17" ht="22.5" customHeight="1">
      <c r="A17" s="16">
        <v>1.0</v>
      </c>
      <c r="B17" s="16">
        <v>4.0</v>
      </c>
      <c r="C17" s="16">
        <v>1.0</v>
      </c>
      <c r="D17" s="16">
        <v>0.0</v>
      </c>
      <c r="E17" s="16">
        <v>0.0</v>
      </c>
      <c r="F17" s="16">
        <v>0.0</v>
      </c>
      <c r="G17" s="18">
        <v>0.0</v>
      </c>
      <c r="H17" s="16" t="s">
        <v>20</v>
      </c>
      <c r="I17" s="19">
        <f t="shared" si="1"/>
        <v>0</v>
      </c>
      <c r="J17" s="19">
        <f t="shared" si="2"/>
        <v>0</v>
      </c>
    </row>
    <row r="18" ht="22.5" customHeight="1">
      <c r="A18" s="16">
        <v>1.0</v>
      </c>
      <c r="B18" s="16">
        <v>4.0</v>
      </c>
      <c r="C18" s="16">
        <v>2.0</v>
      </c>
      <c r="D18" s="16">
        <v>-4.0</v>
      </c>
      <c r="E18" s="16">
        <v>1.0</v>
      </c>
      <c r="F18" s="16">
        <v>0.0</v>
      </c>
      <c r="G18" s="18">
        <v>0.0</v>
      </c>
      <c r="H18" s="16" t="s">
        <v>20</v>
      </c>
      <c r="I18" s="19">
        <f t="shared" si="1"/>
        <v>-4</v>
      </c>
      <c r="J18" s="19">
        <f t="shared" si="2"/>
        <v>1</v>
      </c>
    </row>
    <row r="19" ht="22.5" customHeight="1">
      <c r="A19" s="16">
        <v>1.0</v>
      </c>
      <c r="B19" s="16">
        <v>4.0</v>
      </c>
      <c r="C19" s="16">
        <v>0.0</v>
      </c>
      <c r="D19" s="16">
        <v>0.0</v>
      </c>
      <c r="E19" s="16">
        <v>0.0</v>
      </c>
      <c r="F19" s="16">
        <v>0.0</v>
      </c>
      <c r="G19" s="18">
        <v>0.0</v>
      </c>
      <c r="H19" s="16" t="s">
        <v>24</v>
      </c>
      <c r="I19" s="19">
        <f t="shared" si="1"/>
        <v>0</v>
      </c>
      <c r="J19" s="19">
        <f t="shared" si="2"/>
        <v>0</v>
      </c>
    </row>
    <row r="20" ht="22.5" customHeight="1">
      <c r="A20" s="16">
        <v>1.0</v>
      </c>
      <c r="B20" s="16">
        <v>4.0</v>
      </c>
      <c r="C20" s="16">
        <v>0.0</v>
      </c>
      <c r="D20" s="16">
        <v>0.0</v>
      </c>
      <c r="E20" s="16">
        <v>0.0</v>
      </c>
      <c r="F20" s="16">
        <v>0.0</v>
      </c>
      <c r="G20" s="18">
        <v>0.0</v>
      </c>
      <c r="H20" s="16" t="s">
        <v>24</v>
      </c>
      <c r="I20" s="19">
        <f t="shared" si="1"/>
        <v>0</v>
      </c>
      <c r="J20" s="19">
        <f t="shared" si="2"/>
        <v>0</v>
      </c>
    </row>
    <row r="21" ht="22.5" customHeight="1">
      <c r="A21" s="16">
        <v>3.0</v>
      </c>
      <c r="B21" s="16">
        <v>12.0</v>
      </c>
      <c r="C21" s="16">
        <v>4.0</v>
      </c>
      <c r="D21" s="16">
        <v>2.67</v>
      </c>
      <c r="E21" s="16">
        <v>0.0</v>
      </c>
      <c r="F21" s="16">
        <v>0.0</v>
      </c>
      <c r="G21" s="18">
        <v>0.5</v>
      </c>
      <c r="H21" s="16" t="s">
        <v>29</v>
      </c>
      <c r="I21" s="19">
        <f t="shared" si="1"/>
        <v>8</v>
      </c>
      <c r="J21" s="19">
        <f t="shared" si="2"/>
        <v>0</v>
      </c>
    </row>
    <row r="22" ht="22.5" customHeight="1">
      <c r="A22" s="16">
        <v>1.0</v>
      </c>
      <c r="B22" s="16">
        <v>4.0</v>
      </c>
      <c r="C22" s="16">
        <v>3.0</v>
      </c>
      <c r="D22" s="16">
        <v>-4.0</v>
      </c>
      <c r="E22" s="16">
        <v>2.0</v>
      </c>
      <c r="F22" s="16">
        <v>0.0</v>
      </c>
      <c r="G22" s="20">
        <v>0.333</v>
      </c>
      <c r="H22" s="16" t="s">
        <v>29</v>
      </c>
      <c r="I22" s="19">
        <f t="shared" si="1"/>
        <v>-4</v>
      </c>
      <c r="J22" s="19">
        <f t="shared" si="2"/>
        <v>2</v>
      </c>
    </row>
    <row r="23" ht="22.5" customHeight="1">
      <c r="A23" s="16">
        <v>1.0</v>
      </c>
      <c r="B23" s="16">
        <v>4.0</v>
      </c>
      <c r="C23" s="16">
        <v>4.0</v>
      </c>
      <c r="D23" s="16">
        <v>4.0</v>
      </c>
      <c r="E23" s="16">
        <v>0.0</v>
      </c>
      <c r="F23" s="16">
        <v>0.0</v>
      </c>
      <c r="G23" s="18">
        <v>0.25</v>
      </c>
      <c r="H23" s="16" t="s">
        <v>29</v>
      </c>
      <c r="I23" s="19">
        <f t="shared" si="1"/>
        <v>4</v>
      </c>
      <c r="J23" s="19">
        <f t="shared" si="2"/>
        <v>0</v>
      </c>
    </row>
    <row r="24" ht="22.5" customHeight="1">
      <c r="A24" s="16">
        <v>2.0</v>
      </c>
      <c r="B24" s="16">
        <v>8.0</v>
      </c>
      <c r="C24" s="16">
        <v>0.0</v>
      </c>
      <c r="D24" s="16">
        <v>0.0</v>
      </c>
      <c r="E24" s="16">
        <v>0.0</v>
      </c>
      <c r="F24" s="16">
        <v>0.0</v>
      </c>
      <c r="G24" s="18">
        <v>0.0</v>
      </c>
      <c r="H24" s="16" t="s">
        <v>38</v>
      </c>
      <c r="I24" s="19">
        <f t="shared" si="1"/>
        <v>0</v>
      </c>
      <c r="J24" s="19">
        <f t="shared" si="2"/>
        <v>0</v>
      </c>
    </row>
    <row r="25" ht="22.5" customHeight="1">
      <c r="A25" s="16">
        <v>1.0</v>
      </c>
      <c r="B25" s="16">
        <v>4.0</v>
      </c>
      <c r="C25" s="16">
        <v>0.0</v>
      </c>
      <c r="D25" s="16">
        <v>0.0</v>
      </c>
      <c r="E25" s="16">
        <v>0.0</v>
      </c>
      <c r="F25" s="16">
        <v>0.0</v>
      </c>
      <c r="G25" s="18">
        <v>0.0</v>
      </c>
      <c r="H25" s="16" t="s">
        <v>38</v>
      </c>
      <c r="I25" s="19">
        <f t="shared" si="1"/>
        <v>0</v>
      </c>
      <c r="J25" s="19">
        <f t="shared" si="2"/>
        <v>0</v>
      </c>
    </row>
    <row r="26" ht="22.5" customHeight="1">
      <c r="A26" s="16">
        <v>3.0</v>
      </c>
      <c r="B26" s="16">
        <v>12.0</v>
      </c>
      <c r="C26" s="16">
        <v>1.0</v>
      </c>
      <c r="D26" s="16">
        <v>1.33</v>
      </c>
      <c r="E26" s="16">
        <v>0.0</v>
      </c>
      <c r="F26" s="16">
        <v>0.0</v>
      </c>
      <c r="G26" s="18">
        <v>1.0</v>
      </c>
      <c r="H26" s="16" t="s">
        <v>40</v>
      </c>
      <c r="I26" s="19">
        <f t="shared" si="1"/>
        <v>4</v>
      </c>
      <c r="J26" s="19">
        <f t="shared" si="2"/>
        <v>0</v>
      </c>
    </row>
    <row r="27" ht="22.5" customHeight="1">
      <c r="A27" s="16">
        <v>1.0</v>
      </c>
      <c r="B27" s="16">
        <v>4.0</v>
      </c>
      <c r="C27" s="16">
        <v>1.0</v>
      </c>
      <c r="D27" s="16">
        <v>0.0</v>
      </c>
      <c r="E27" s="16">
        <v>0.0</v>
      </c>
      <c r="F27" s="16">
        <v>0.0</v>
      </c>
      <c r="G27" s="18">
        <v>0.0</v>
      </c>
      <c r="H27" s="16" t="s">
        <v>40</v>
      </c>
      <c r="I27" s="19">
        <f t="shared" si="1"/>
        <v>0</v>
      </c>
      <c r="J27" s="19">
        <f t="shared" si="2"/>
        <v>0</v>
      </c>
    </row>
    <row r="28" ht="22.5" customHeight="1">
      <c r="A28" s="16">
        <v>1.0</v>
      </c>
      <c r="B28" s="16">
        <v>4.0</v>
      </c>
      <c r="C28" s="16">
        <v>0.0</v>
      </c>
      <c r="D28" s="16">
        <v>0.0</v>
      </c>
      <c r="E28" s="16">
        <v>0.0</v>
      </c>
      <c r="F28" s="16">
        <v>0.0</v>
      </c>
      <c r="G28" s="18">
        <v>0.0</v>
      </c>
      <c r="H28" s="16" t="s">
        <v>40</v>
      </c>
      <c r="I28" s="19">
        <f t="shared" si="1"/>
        <v>0</v>
      </c>
      <c r="J28" s="19">
        <f t="shared" si="2"/>
        <v>0</v>
      </c>
    </row>
    <row r="29" ht="22.5" customHeight="1">
      <c r="A29" s="16">
        <v>3.0</v>
      </c>
      <c r="B29" s="16">
        <v>12.0</v>
      </c>
      <c r="C29" s="16">
        <v>2.0</v>
      </c>
      <c r="D29" s="16">
        <v>2.67</v>
      </c>
      <c r="E29" s="16">
        <v>0.0</v>
      </c>
      <c r="F29" s="16">
        <v>0.0</v>
      </c>
      <c r="G29" s="18">
        <v>1.0</v>
      </c>
      <c r="H29" s="16" t="s">
        <v>46</v>
      </c>
      <c r="I29" s="19">
        <f t="shared" si="1"/>
        <v>8</v>
      </c>
      <c r="J29" s="19">
        <f t="shared" si="2"/>
        <v>0</v>
      </c>
    </row>
    <row r="30" ht="22.5" customHeight="1">
      <c r="A30" s="16">
        <v>1.0</v>
      </c>
      <c r="B30" s="16">
        <v>4.0</v>
      </c>
      <c r="C30" s="16">
        <v>0.0</v>
      </c>
      <c r="D30" s="16">
        <v>0.0</v>
      </c>
      <c r="E30" s="16">
        <v>0.0</v>
      </c>
      <c r="F30" s="16">
        <v>0.0</v>
      </c>
      <c r="G30" s="18">
        <v>0.0</v>
      </c>
      <c r="H30" s="16" t="s">
        <v>46</v>
      </c>
      <c r="I30" s="19">
        <f t="shared" si="1"/>
        <v>0</v>
      </c>
      <c r="J30" s="19">
        <f t="shared" si="2"/>
        <v>0</v>
      </c>
    </row>
    <row r="31" ht="22.5" customHeight="1">
      <c r="A31" s="16">
        <v>1.0</v>
      </c>
      <c r="B31" s="16">
        <v>4.0</v>
      </c>
      <c r="C31" s="16">
        <v>0.0</v>
      </c>
      <c r="D31" s="16">
        <v>0.0</v>
      </c>
      <c r="E31" s="16">
        <v>0.0</v>
      </c>
      <c r="F31" s="16">
        <v>0.0</v>
      </c>
      <c r="G31" s="18">
        <v>0.0</v>
      </c>
      <c r="H31" s="16" t="s">
        <v>46</v>
      </c>
      <c r="I31" s="19">
        <f t="shared" si="1"/>
        <v>0</v>
      </c>
      <c r="J31" s="19">
        <f t="shared" si="2"/>
        <v>0</v>
      </c>
    </row>
    <row r="32" ht="22.5" customHeight="1">
      <c r="A32" s="16">
        <v>4.0</v>
      </c>
      <c r="B32" s="16">
        <v>16.0</v>
      </c>
      <c r="C32" s="16">
        <v>7.0</v>
      </c>
      <c r="D32" s="16">
        <v>4.0</v>
      </c>
      <c r="E32" s="16">
        <v>0.25</v>
      </c>
      <c r="F32" s="16">
        <v>0.0</v>
      </c>
      <c r="G32" s="20">
        <v>0.714</v>
      </c>
      <c r="H32" s="16" t="s">
        <v>51</v>
      </c>
      <c r="I32" s="19">
        <f t="shared" si="1"/>
        <v>16</v>
      </c>
      <c r="J32" s="19">
        <f t="shared" si="2"/>
        <v>1</v>
      </c>
    </row>
    <row r="33" ht="22.5" customHeight="1">
      <c r="A33" s="16">
        <v>5.0</v>
      </c>
      <c r="B33" s="16">
        <v>19.0</v>
      </c>
      <c r="C33" s="16">
        <v>1.0</v>
      </c>
      <c r="D33" s="16">
        <v>0.0</v>
      </c>
      <c r="E33" s="16">
        <v>0.0</v>
      </c>
      <c r="F33" s="16">
        <v>0.0</v>
      </c>
      <c r="G33" s="18">
        <v>0.0</v>
      </c>
      <c r="H33" s="16" t="s">
        <v>54</v>
      </c>
      <c r="I33" s="19">
        <f t="shared" si="1"/>
        <v>0</v>
      </c>
      <c r="J33" s="19">
        <f t="shared" si="2"/>
        <v>0</v>
      </c>
    </row>
    <row r="34" ht="22.5" customHeight="1">
      <c r="A34" s="16">
        <v>1.0</v>
      </c>
      <c r="B34" s="16">
        <v>3.0</v>
      </c>
      <c r="C34" s="16">
        <v>1.0</v>
      </c>
      <c r="D34" s="16">
        <v>4.0</v>
      </c>
      <c r="E34" s="16">
        <v>0.0</v>
      </c>
      <c r="F34" s="16">
        <v>0.0</v>
      </c>
      <c r="G34" s="18">
        <v>1.0</v>
      </c>
      <c r="H34" s="16" t="s">
        <v>55</v>
      </c>
      <c r="I34" s="19">
        <f t="shared" si="1"/>
        <v>4</v>
      </c>
      <c r="J34" s="19">
        <f t="shared" si="2"/>
        <v>0</v>
      </c>
    </row>
    <row r="35" ht="22.5" customHeight="1">
      <c r="A35" s="16">
        <v>1.0</v>
      </c>
      <c r="B35" s="16">
        <v>4.0</v>
      </c>
      <c r="C35" s="16">
        <v>0.0</v>
      </c>
      <c r="D35" s="16">
        <v>0.0</v>
      </c>
      <c r="E35" s="16">
        <v>0.0</v>
      </c>
      <c r="F35" s="16">
        <v>0.0</v>
      </c>
      <c r="G35" s="18">
        <v>0.0</v>
      </c>
      <c r="H35" s="16" t="s">
        <v>55</v>
      </c>
      <c r="I35" s="19">
        <f t="shared" si="1"/>
        <v>0</v>
      </c>
      <c r="J35" s="19">
        <f t="shared" si="2"/>
        <v>0</v>
      </c>
    </row>
    <row r="36" ht="22.5" customHeight="1">
      <c r="A36" s="16">
        <v>5.0</v>
      </c>
      <c r="B36" s="16">
        <v>19.0</v>
      </c>
      <c r="C36" s="16">
        <v>0.0</v>
      </c>
      <c r="D36" s="16">
        <v>0.0</v>
      </c>
      <c r="E36" s="16">
        <v>0.0</v>
      </c>
      <c r="F36" s="16">
        <v>0.0</v>
      </c>
      <c r="G36" s="18">
        <v>0.0</v>
      </c>
      <c r="H36" s="16" t="s">
        <v>59</v>
      </c>
      <c r="I36" s="19">
        <f t="shared" si="1"/>
        <v>0</v>
      </c>
      <c r="J36" s="19">
        <f t="shared" si="2"/>
        <v>0</v>
      </c>
    </row>
    <row r="37" ht="22.5" customHeight="1">
      <c r="A37" s="16">
        <v>1.0</v>
      </c>
      <c r="B37" s="16">
        <v>3.0</v>
      </c>
      <c r="C37" s="16">
        <v>2.0</v>
      </c>
      <c r="D37" s="16">
        <v>0.0</v>
      </c>
      <c r="E37" s="16">
        <v>0.0</v>
      </c>
      <c r="F37" s="16">
        <v>0.0</v>
      </c>
      <c r="G37" s="18">
        <v>0.0</v>
      </c>
      <c r="H37" s="16" t="s">
        <v>61</v>
      </c>
      <c r="I37" s="19">
        <f t="shared" si="1"/>
        <v>0</v>
      </c>
      <c r="J37" s="19">
        <f t="shared" si="2"/>
        <v>0</v>
      </c>
    </row>
    <row r="38" ht="22.5" customHeight="1">
      <c r="A38" s="16">
        <v>4.0</v>
      </c>
      <c r="B38" s="16">
        <v>16.0</v>
      </c>
      <c r="C38" s="16">
        <v>5.0</v>
      </c>
      <c r="D38" s="16">
        <v>2.0</v>
      </c>
      <c r="E38" s="16">
        <v>0.0</v>
      </c>
      <c r="F38" s="16">
        <v>0.0</v>
      </c>
      <c r="G38" s="18">
        <v>0.4</v>
      </c>
      <c r="H38" s="16" t="s">
        <v>61</v>
      </c>
      <c r="I38" s="19">
        <f t="shared" si="1"/>
        <v>8</v>
      </c>
      <c r="J38" s="19">
        <f t="shared" si="2"/>
        <v>0</v>
      </c>
    </row>
    <row r="39" ht="22.5" customHeight="1">
      <c r="A39" s="16">
        <v>2.0</v>
      </c>
      <c r="B39" s="16">
        <v>6.0</v>
      </c>
      <c r="C39" s="16">
        <v>0.0</v>
      </c>
      <c r="D39" s="16">
        <v>0.0</v>
      </c>
      <c r="E39" s="16">
        <v>0.0</v>
      </c>
      <c r="F39" s="16">
        <v>0.0</v>
      </c>
      <c r="G39" s="18">
        <v>0.0</v>
      </c>
      <c r="H39" s="16" t="s">
        <v>65</v>
      </c>
      <c r="I39" s="19">
        <f t="shared" si="1"/>
        <v>0</v>
      </c>
      <c r="J39" s="19">
        <f t="shared" si="2"/>
        <v>0</v>
      </c>
    </row>
    <row r="40" ht="22.5" customHeight="1">
      <c r="A40" s="16">
        <v>5.0</v>
      </c>
      <c r="B40" s="16">
        <v>18.0</v>
      </c>
      <c r="C40" s="16">
        <v>1.0</v>
      </c>
      <c r="D40" s="16">
        <v>0.0</v>
      </c>
      <c r="E40" s="16">
        <v>0.0</v>
      </c>
      <c r="F40" s="16">
        <v>0.0</v>
      </c>
      <c r="G40" s="18">
        <v>0.0</v>
      </c>
      <c r="H40" s="16" t="s">
        <v>68</v>
      </c>
      <c r="I40" s="19">
        <f t="shared" si="1"/>
        <v>0</v>
      </c>
      <c r="J40" s="19">
        <f t="shared" si="2"/>
        <v>0</v>
      </c>
    </row>
    <row r="41" ht="22.5" customHeight="1">
      <c r="A41" s="16">
        <v>5.0</v>
      </c>
      <c r="B41" s="16">
        <v>18.0</v>
      </c>
      <c r="C41" s="16">
        <v>4.0</v>
      </c>
      <c r="D41" s="16">
        <v>0.0</v>
      </c>
      <c r="E41" s="16">
        <v>0.0</v>
      </c>
      <c r="F41" s="16">
        <v>0.0</v>
      </c>
      <c r="G41" s="18">
        <v>0.0</v>
      </c>
      <c r="H41" s="16" t="s">
        <v>71</v>
      </c>
      <c r="I41" s="19">
        <f t="shared" si="1"/>
        <v>0</v>
      </c>
      <c r="J41" s="19">
        <f t="shared" si="2"/>
        <v>0</v>
      </c>
    </row>
    <row r="42" ht="22.5" customHeight="1">
      <c r="A42" s="16">
        <v>1.0</v>
      </c>
      <c r="B42" s="16">
        <v>4.0</v>
      </c>
      <c r="C42" s="16">
        <v>3.0</v>
      </c>
      <c r="D42" s="16">
        <v>0.0</v>
      </c>
      <c r="E42" s="16">
        <v>1.0</v>
      </c>
      <c r="F42" s="16">
        <v>0.0</v>
      </c>
      <c r="G42" s="20">
        <v>0.333</v>
      </c>
      <c r="H42" s="16" t="s">
        <v>73</v>
      </c>
      <c r="I42" s="19">
        <f t="shared" si="1"/>
        <v>0</v>
      </c>
      <c r="J42" s="19">
        <f t="shared" si="2"/>
        <v>1</v>
      </c>
    </row>
    <row r="43" ht="22.5" customHeight="1">
      <c r="A43" s="16">
        <v>2.0</v>
      </c>
      <c r="B43" s="16">
        <v>8.0</v>
      </c>
      <c r="C43" s="16">
        <v>2.0</v>
      </c>
      <c r="D43" s="16">
        <v>0.0</v>
      </c>
      <c r="E43" s="16">
        <v>0.0</v>
      </c>
      <c r="F43" s="16">
        <v>0.0</v>
      </c>
      <c r="G43" s="18">
        <v>0.0</v>
      </c>
      <c r="H43" s="16" t="s">
        <v>73</v>
      </c>
      <c r="I43" s="19">
        <f t="shared" si="1"/>
        <v>0</v>
      </c>
      <c r="J43" s="19">
        <f t="shared" si="2"/>
        <v>0</v>
      </c>
    </row>
    <row r="44" ht="22.5" customHeight="1">
      <c r="A44" s="16">
        <v>1.0</v>
      </c>
      <c r="B44" s="16">
        <v>4.0</v>
      </c>
      <c r="C44" s="16">
        <v>0.0</v>
      </c>
      <c r="D44" s="16">
        <v>0.0</v>
      </c>
      <c r="E44" s="16">
        <v>0.0</v>
      </c>
      <c r="F44" s="16">
        <v>0.0</v>
      </c>
      <c r="G44" s="18">
        <v>0.0</v>
      </c>
      <c r="H44" s="16" t="s">
        <v>75</v>
      </c>
      <c r="I44" s="19">
        <f t="shared" si="1"/>
        <v>0</v>
      </c>
      <c r="J44" s="19">
        <f t="shared" si="2"/>
        <v>0</v>
      </c>
    </row>
    <row r="45" ht="22.5" customHeight="1">
      <c r="A45" s="16">
        <v>4.0</v>
      </c>
      <c r="B45" s="16">
        <v>14.0</v>
      </c>
      <c r="C45" s="16">
        <v>12.0</v>
      </c>
      <c r="D45" s="16">
        <v>7.0</v>
      </c>
      <c r="E45" s="16">
        <v>0.25</v>
      </c>
      <c r="F45" s="16">
        <v>0.0</v>
      </c>
      <c r="G45" s="20">
        <v>0.667</v>
      </c>
      <c r="H45" s="16" t="s">
        <v>75</v>
      </c>
      <c r="I45" s="19">
        <f t="shared" si="1"/>
        <v>28</v>
      </c>
      <c r="J45" s="19">
        <f t="shared" si="2"/>
        <v>1</v>
      </c>
    </row>
    <row r="46" ht="22.5" customHeight="1">
      <c r="A46" s="16">
        <v>1.0</v>
      </c>
      <c r="B46" s="16">
        <v>4.0</v>
      </c>
      <c r="C46" s="16">
        <v>0.0</v>
      </c>
      <c r="D46" s="16">
        <v>0.0</v>
      </c>
      <c r="E46" s="16">
        <v>0.0</v>
      </c>
      <c r="F46" s="16">
        <v>0.0</v>
      </c>
      <c r="G46" s="18">
        <v>0.0</v>
      </c>
      <c r="H46" s="16" t="s">
        <v>79</v>
      </c>
      <c r="I46" s="19">
        <f t="shared" si="1"/>
        <v>0</v>
      </c>
      <c r="J46" s="19">
        <f t="shared" si="2"/>
        <v>0</v>
      </c>
    </row>
    <row r="47" ht="22.5" customHeight="1">
      <c r="A47" s="16">
        <v>2.0</v>
      </c>
      <c r="B47" s="16">
        <v>7.0</v>
      </c>
      <c r="C47" s="16">
        <v>0.0</v>
      </c>
      <c r="D47" s="16">
        <v>0.0</v>
      </c>
      <c r="E47" s="16">
        <v>0.0</v>
      </c>
      <c r="F47" s="16">
        <v>0.0</v>
      </c>
      <c r="G47" s="18">
        <v>0.0</v>
      </c>
      <c r="H47" s="16" t="s">
        <v>79</v>
      </c>
      <c r="I47" s="19">
        <f t="shared" si="1"/>
        <v>0</v>
      </c>
      <c r="J47" s="19">
        <f t="shared" si="2"/>
        <v>0</v>
      </c>
    </row>
    <row r="48" ht="22.5" customHeight="1">
      <c r="A48" s="16">
        <v>1.0</v>
      </c>
      <c r="B48" s="16">
        <v>3.0</v>
      </c>
      <c r="C48" s="16">
        <v>0.0</v>
      </c>
      <c r="D48" s="16">
        <v>0.0</v>
      </c>
      <c r="E48" s="16">
        <v>0.0</v>
      </c>
      <c r="F48" s="16">
        <v>0.0</v>
      </c>
      <c r="G48" s="18">
        <v>0.0</v>
      </c>
      <c r="H48" s="16" t="s">
        <v>79</v>
      </c>
      <c r="I48" s="19">
        <f t="shared" si="1"/>
        <v>0</v>
      </c>
      <c r="J48" s="19">
        <f t="shared" si="2"/>
        <v>0</v>
      </c>
    </row>
    <row r="49" ht="22.5" customHeight="1">
      <c r="A49" s="16">
        <v>1.0</v>
      </c>
      <c r="B49" s="16">
        <v>4.0</v>
      </c>
      <c r="C49" s="16">
        <v>0.0</v>
      </c>
      <c r="D49" s="16">
        <v>0.0</v>
      </c>
      <c r="E49" s="16">
        <v>0.0</v>
      </c>
      <c r="F49" s="16">
        <v>0.0</v>
      </c>
      <c r="G49" s="18">
        <v>0.0</v>
      </c>
      <c r="H49" s="16" t="s">
        <v>79</v>
      </c>
      <c r="I49" s="19">
        <f t="shared" si="1"/>
        <v>0</v>
      </c>
      <c r="J49" s="19">
        <f t="shared" si="2"/>
        <v>0</v>
      </c>
    </row>
    <row r="50" ht="22.5" customHeight="1">
      <c r="A50" s="16">
        <v>1.0</v>
      </c>
      <c r="B50" s="16">
        <v>4.0</v>
      </c>
      <c r="C50" s="16">
        <v>0.0</v>
      </c>
      <c r="D50" s="16">
        <v>0.0</v>
      </c>
      <c r="E50" s="16">
        <v>0.0</v>
      </c>
      <c r="F50" s="16">
        <v>0.0</v>
      </c>
      <c r="G50" s="18">
        <v>0.0</v>
      </c>
      <c r="H50" s="16" t="s">
        <v>85</v>
      </c>
      <c r="I50" s="19">
        <f t="shared" si="1"/>
        <v>0</v>
      </c>
      <c r="J50" s="19">
        <f t="shared" si="2"/>
        <v>0</v>
      </c>
    </row>
    <row r="51" ht="22.5" customHeight="1">
      <c r="A51" s="16">
        <v>1.0</v>
      </c>
      <c r="B51" s="16">
        <v>4.0</v>
      </c>
      <c r="C51" s="16">
        <v>0.0</v>
      </c>
      <c r="D51" s="16">
        <v>0.0</v>
      </c>
      <c r="E51" s="16">
        <v>0.0</v>
      </c>
      <c r="F51" s="16">
        <v>0.0</v>
      </c>
      <c r="G51" s="18">
        <v>0.0</v>
      </c>
      <c r="H51" s="16" t="s">
        <v>88</v>
      </c>
      <c r="I51" s="19">
        <f t="shared" si="1"/>
        <v>0</v>
      </c>
      <c r="J51" s="19">
        <f t="shared" si="2"/>
        <v>0</v>
      </c>
    </row>
    <row r="52" ht="22.5" customHeight="1">
      <c r="A52" s="16">
        <v>2.0</v>
      </c>
      <c r="B52" s="16">
        <v>6.0</v>
      </c>
      <c r="C52" s="16">
        <v>0.0</v>
      </c>
      <c r="D52" s="16">
        <v>0.0</v>
      </c>
      <c r="E52" s="16">
        <v>0.0</v>
      </c>
      <c r="F52" s="16">
        <v>0.0</v>
      </c>
      <c r="G52" s="18">
        <v>0.0</v>
      </c>
      <c r="H52" s="16" t="s">
        <v>88</v>
      </c>
      <c r="I52" s="19">
        <f t="shared" si="1"/>
        <v>0</v>
      </c>
      <c r="J52" s="19">
        <f t="shared" si="2"/>
        <v>0</v>
      </c>
    </row>
    <row r="53" ht="22.5" customHeight="1">
      <c r="A53" s="16">
        <v>1.0</v>
      </c>
      <c r="B53" s="16">
        <v>4.0</v>
      </c>
      <c r="C53" s="16">
        <v>1.0</v>
      </c>
      <c r="D53" s="16">
        <v>4.0</v>
      </c>
      <c r="E53" s="16">
        <v>0.0</v>
      </c>
      <c r="F53" s="16">
        <v>0.0</v>
      </c>
      <c r="G53" s="18">
        <v>1.0</v>
      </c>
      <c r="H53" s="16" t="s">
        <v>76</v>
      </c>
      <c r="I53" s="19">
        <f t="shared" si="1"/>
        <v>4</v>
      </c>
      <c r="J53" s="19">
        <f t="shared" si="2"/>
        <v>0</v>
      </c>
    </row>
    <row r="54" ht="22.5" customHeight="1">
      <c r="A54" s="16">
        <v>4.0</v>
      </c>
      <c r="B54" s="16">
        <v>15.0</v>
      </c>
      <c r="C54" s="16">
        <v>0.0</v>
      </c>
      <c r="D54" s="16">
        <v>0.0</v>
      </c>
      <c r="E54" s="16">
        <v>0.0</v>
      </c>
      <c r="F54" s="16">
        <v>0.0</v>
      </c>
      <c r="G54" s="18">
        <v>0.0</v>
      </c>
      <c r="H54" s="16" t="s">
        <v>92</v>
      </c>
      <c r="I54" s="19">
        <f t="shared" si="1"/>
        <v>0</v>
      </c>
      <c r="J54" s="19">
        <f t="shared" si="2"/>
        <v>0</v>
      </c>
    </row>
    <row r="55" ht="22.5" customHeight="1">
      <c r="A55" s="16">
        <v>3.0</v>
      </c>
      <c r="B55" s="16">
        <v>12.0</v>
      </c>
      <c r="C55" s="16">
        <v>5.0</v>
      </c>
      <c r="D55" s="16">
        <v>4.0</v>
      </c>
      <c r="E55" s="16">
        <v>0.33</v>
      </c>
      <c r="F55" s="16">
        <v>0.0</v>
      </c>
      <c r="G55" s="18">
        <v>0.8</v>
      </c>
      <c r="H55" s="16" t="s">
        <v>94</v>
      </c>
      <c r="I55" s="19">
        <f t="shared" si="1"/>
        <v>12</v>
      </c>
      <c r="J55" s="19">
        <f t="shared" si="2"/>
        <v>1</v>
      </c>
    </row>
    <row r="56" ht="22.5" customHeight="1">
      <c r="A56" s="16">
        <v>4.0</v>
      </c>
      <c r="B56" s="16">
        <v>15.0</v>
      </c>
      <c r="C56" s="16">
        <v>6.0</v>
      </c>
      <c r="D56" s="16">
        <v>2.0</v>
      </c>
      <c r="E56" s="16">
        <v>0.5</v>
      </c>
      <c r="F56" s="16">
        <v>0.0</v>
      </c>
      <c r="G56" s="20">
        <v>0.667</v>
      </c>
      <c r="H56" s="16" t="s">
        <v>96</v>
      </c>
      <c r="I56" s="19">
        <f t="shared" si="1"/>
        <v>8</v>
      </c>
      <c r="J56" s="19">
        <f t="shared" si="2"/>
        <v>2</v>
      </c>
    </row>
    <row r="57" ht="22.5" customHeight="1">
      <c r="A57" s="16">
        <v>1.0</v>
      </c>
      <c r="B57" s="16">
        <v>4.0</v>
      </c>
      <c r="C57" s="16">
        <v>2.0</v>
      </c>
      <c r="D57" s="16">
        <v>4.0</v>
      </c>
      <c r="E57" s="16">
        <v>0.0</v>
      </c>
      <c r="F57" s="16">
        <v>0.0</v>
      </c>
      <c r="G57" s="18">
        <v>0.5</v>
      </c>
      <c r="H57" s="16" t="s">
        <v>96</v>
      </c>
      <c r="I57" s="19">
        <f t="shared" si="1"/>
        <v>4</v>
      </c>
      <c r="J57" s="19">
        <f t="shared" si="2"/>
        <v>0</v>
      </c>
    </row>
    <row r="58" ht="22.5" customHeight="1">
      <c r="A58" s="16">
        <v>5.0</v>
      </c>
      <c r="B58" s="16">
        <v>19.0</v>
      </c>
      <c r="C58" s="16">
        <v>5.0</v>
      </c>
      <c r="D58" s="16">
        <v>2.4</v>
      </c>
      <c r="E58" s="16">
        <v>0.0</v>
      </c>
      <c r="F58" s="16">
        <v>0.0</v>
      </c>
      <c r="G58" s="18">
        <v>0.6</v>
      </c>
      <c r="H58" s="16" t="s">
        <v>90</v>
      </c>
      <c r="I58" s="19">
        <f t="shared" si="1"/>
        <v>12</v>
      </c>
      <c r="J58" s="19">
        <f t="shared" si="2"/>
        <v>0</v>
      </c>
    </row>
    <row r="59" ht="22.5" customHeight="1">
      <c r="A59" s="16">
        <v>4.0</v>
      </c>
      <c r="B59" s="16">
        <v>15.0</v>
      </c>
      <c r="C59" s="16">
        <v>1.0</v>
      </c>
      <c r="D59" s="16">
        <v>0.0</v>
      </c>
      <c r="E59" s="16">
        <v>0.0</v>
      </c>
      <c r="F59" s="16">
        <v>0.0</v>
      </c>
      <c r="G59" s="18">
        <v>0.0</v>
      </c>
      <c r="H59" s="16" t="s">
        <v>100</v>
      </c>
      <c r="I59" s="19">
        <f t="shared" si="1"/>
        <v>0</v>
      </c>
      <c r="J59" s="19">
        <f t="shared" si="2"/>
        <v>0</v>
      </c>
    </row>
    <row r="60" ht="22.5" customHeight="1">
      <c r="A60" s="16">
        <v>1.0</v>
      </c>
      <c r="B60" s="16">
        <v>4.0</v>
      </c>
      <c r="C60" s="16">
        <v>1.0</v>
      </c>
      <c r="D60" s="16">
        <v>4.0</v>
      </c>
      <c r="E60" s="16">
        <v>0.0</v>
      </c>
      <c r="F60" s="16">
        <v>0.0</v>
      </c>
      <c r="G60" s="18">
        <v>1.0</v>
      </c>
      <c r="H60" s="16" t="s">
        <v>102</v>
      </c>
      <c r="I60" s="19">
        <f t="shared" si="1"/>
        <v>4</v>
      </c>
      <c r="J60" s="19">
        <f t="shared" si="2"/>
        <v>0</v>
      </c>
    </row>
    <row r="61" ht="22.5" customHeight="1">
      <c r="A61" s="16">
        <v>1.0</v>
      </c>
      <c r="B61" s="16">
        <v>4.0</v>
      </c>
      <c r="C61" s="16">
        <v>1.0</v>
      </c>
      <c r="D61" s="16">
        <v>-4.0</v>
      </c>
      <c r="E61" s="16">
        <v>1.0</v>
      </c>
      <c r="F61" s="16">
        <v>0.0</v>
      </c>
      <c r="G61" s="18">
        <v>0.0</v>
      </c>
      <c r="H61" s="16" t="s">
        <v>102</v>
      </c>
      <c r="I61" s="19">
        <f t="shared" si="1"/>
        <v>-4</v>
      </c>
      <c r="J61" s="19">
        <f t="shared" si="2"/>
        <v>1</v>
      </c>
    </row>
    <row r="62" ht="22.5" customHeight="1">
      <c r="A62" s="16">
        <v>5.0</v>
      </c>
      <c r="B62" s="16">
        <v>20.0</v>
      </c>
      <c r="C62" s="16">
        <v>10.0</v>
      </c>
      <c r="D62" s="16">
        <v>6.4</v>
      </c>
      <c r="E62" s="16">
        <v>0.2</v>
      </c>
      <c r="F62" s="16">
        <v>0.0</v>
      </c>
      <c r="G62" s="18">
        <v>0.9</v>
      </c>
      <c r="H62" s="16" t="s">
        <v>66</v>
      </c>
      <c r="I62" s="19">
        <f t="shared" si="1"/>
        <v>32</v>
      </c>
      <c r="J62" s="19">
        <f t="shared" si="2"/>
        <v>1</v>
      </c>
    </row>
    <row r="63" ht="22.5" customHeight="1">
      <c r="A63" s="16">
        <v>2.0</v>
      </c>
      <c r="B63" s="16">
        <v>8.0</v>
      </c>
      <c r="C63" s="16">
        <v>2.0</v>
      </c>
      <c r="D63" s="16">
        <v>0.0</v>
      </c>
      <c r="E63" s="16">
        <v>0.0</v>
      </c>
      <c r="F63" s="16">
        <v>0.0</v>
      </c>
      <c r="G63" s="18">
        <v>0.0</v>
      </c>
      <c r="H63" s="16" t="s">
        <v>108</v>
      </c>
      <c r="I63" s="19">
        <f t="shared" si="1"/>
        <v>0</v>
      </c>
      <c r="J63" s="19">
        <f t="shared" si="2"/>
        <v>0</v>
      </c>
    </row>
    <row r="64" ht="22.5" customHeight="1">
      <c r="A64" s="16">
        <v>2.0</v>
      </c>
      <c r="B64" s="16">
        <v>8.0</v>
      </c>
      <c r="C64" s="16">
        <v>0.0</v>
      </c>
      <c r="D64" s="16">
        <v>0.0</v>
      </c>
      <c r="E64" s="16">
        <v>0.0</v>
      </c>
      <c r="F64" s="16">
        <v>0.0</v>
      </c>
      <c r="G64" s="18">
        <v>0.0</v>
      </c>
      <c r="H64" s="16" t="s">
        <v>109</v>
      </c>
      <c r="I64" s="19">
        <f t="shared" si="1"/>
        <v>0</v>
      </c>
      <c r="J64" s="19">
        <f t="shared" si="2"/>
        <v>0</v>
      </c>
    </row>
    <row r="65" ht="22.5" customHeight="1">
      <c r="A65" s="16">
        <v>1.0</v>
      </c>
      <c r="B65" s="16">
        <v>4.0</v>
      </c>
      <c r="C65" s="16">
        <v>0.0</v>
      </c>
      <c r="D65" s="16">
        <v>0.0</v>
      </c>
      <c r="E65" s="16">
        <v>0.0</v>
      </c>
      <c r="F65" s="16">
        <v>0.0</v>
      </c>
      <c r="G65" s="18">
        <v>0.0</v>
      </c>
      <c r="H65" s="16" t="s">
        <v>110</v>
      </c>
      <c r="I65" s="19">
        <f t="shared" si="1"/>
        <v>0</v>
      </c>
      <c r="J65" s="19">
        <f t="shared" si="2"/>
        <v>0</v>
      </c>
    </row>
    <row r="66" ht="22.5" customHeight="1">
      <c r="A66" s="16">
        <v>2.0</v>
      </c>
      <c r="B66" s="16">
        <v>7.0</v>
      </c>
      <c r="C66" s="16">
        <v>2.0</v>
      </c>
      <c r="D66" s="16">
        <v>0.0</v>
      </c>
      <c r="E66" s="16">
        <v>0.0</v>
      </c>
      <c r="F66" s="16">
        <v>0.0</v>
      </c>
      <c r="G66" s="18">
        <v>0.0</v>
      </c>
      <c r="H66" s="16" t="s">
        <v>111</v>
      </c>
      <c r="I66" s="19">
        <f t="shared" si="1"/>
        <v>0</v>
      </c>
      <c r="J66" s="19">
        <f t="shared" si="2"/>
        <v>0</v>
      </c>
    </row>
    <row r="67" ht="22.5" customHeight="1">
      <c r="A67" s="16">
        <v>1.0</v>
      </c>
      <c r="B67" s="16">
        <v>4.0</v>
      </c>
      <c r="C67" s="16">
        <v>2.0</v>
      </c>
      <c r="D67" s="16">
        <v>0.0</v>
      </c>
      <c r="E67" s="16">
        <v>0.0</v>
      </c>
      <c r="F67" s="16">
        <v>0.0</v>
      </c>
      <c r="G67" s="18">
        <v>0.0</v>
      </c>
      <c r="H67" s="16" t="s">
        <v>111</v>
      </c>
      <c r="I67" s="19">
        <f t="shared" si="1"/>
        <v>0</v>
      </c>
      <c r="J67" s="19">
        <f t="shared" si="2"/>
        <v>0</v>
      </c>
    </row>
    <row r="68" ht="22.5" customHeight="1">
      <c r="A68" s="16">
        <v>2.0</v>
      </c>
      <c r="B68" s="16">
        <v>8.0</v>
      </c>
      <c r="C68" s="16">
        <v>3.0</v>
      </c>
      <c r="D68" s="16">
        <v>2.0</v>
      </c>
      <c r="E68" s="16">
        <v>0.0</v>
      </c>
      <c r="F68" s="16">
        <v>0.0</v>
      </c>
      <c r="G68" s="20">
        <v>0.333</v>
      </c>
      <c r="H68" s="16" t="s">
        <v>111</v>
      </c>
      <c r="I68" s="19">
        <f t="shared" si="1"/>
        <v>4</v>
      </c>
      <c r="J68" s="19">
        <f t="shared" si="2"/>
        <v>0</v>
      </c>
    </row>
    <row r="69" ht="22.5" customHeight="1">
      <c r="A69" s="16">
        <v>3.0</v>
      </c>
      <c r="B69" s="16">
        <v>11.0</v>
      </c>
      <c r="C69" s="16">
        <v>2.0</v>
      </c>
      <c r="D69" s="16">
        <v>0.0</v>
      </c>
      <c r="E69" s="16">
        <v>0.0</v>
      </c>
      <c r="F69" s="16">
        <v>0.0</v>
      </c>
      <c r="G69" s="18">
        <v>0.0</v>
      </c>
      <c r="H69" s="16" t="s">
        <v>115</v>
      </c>
      <c r="I69" s="19">
        <f t="shared" si="1"/>
        <v>0</v>
      </c>
      <c r="J69" s="19">
        <f t="shared" si="2"/>
        <v>0</v>
      </c>
    </row>
    <row r="70" ht="22.5" customHeight="1">
      <c r="A70" s="16">
        <v>2.0</v>
      </c>
      <c r="B70" s="16">
        <v>8.0</v>
      </c>
      <c r="C70" s="16">
        <v>1.0</v>
      </c>
      <c r="D70" s="16">
        <v>2.0</v>
      </c>
      <c r="E70" s="16">
        <v>0.0</v>
      </c>
      <c r="F70" s="16">
        <v>0.0</v>
      </c>
      <c r="G70" s="18">
        <v>1.0</v>
      </c>
      <c r="H70" s="16" t="s">
        <v>115</v>
      </c>
      <c r="I70" s="19">
        <f t="shared" si="1"/>
        <v>4</v>
      </c>
      <c r="J70" s="19">
        <f t="shared" si="2"/>
        <v>0</v>
      </c>
    </row>
    <row r="71" ht="22.5" customHeight="1">
      <c r="A71" s="16">
        <v>2.0</v>
      </c>
      <c r="B71" s="16">
        <v>7.0</v>
      </c>
      <c r="C71" s="16">
        <v>0.0</v>
      </c>
      <c r="D71" s="16">
        <v>0.0</v>
      </c>
      <c r="E71" s="16">
        <v>0.0</v>
      </c>
      <c r="F71" s="16">
        <v>0.0</v>
      </c>
      <c r="G71" s="18">
        <v>0.0</v>
      </c>
      <c r="H71" s="16" t="s">
        <v>117</v>
      </c>
      <c r="I71" s="19">
        <f t="shared" si="1"/>
        <v>0</v>
      </c>
      <c r="J71" s="19">
        <f t="shared" si="2"/>
        <v>0</v>
      </c>
    </row>
    <row r="72" ht="22.5" customHeight="1">
      <c r="A72" s="16">
        <v>1.0</v>
      </c>
      <c r="B72" s="16">
        <v>4.0</v>
      </c>
      <c r="C72" s="16">
        <v>0.0</v>
      </c>
      <c r="D72" s="16">
        <v>0.0</v>
      </c>
      <c r="E72" s="16">
        <v>0.0</v>
      </c>
      <c r="F72" s="16">
        <v>0.0</v>
      </c>
      <c r="G72" s="18">
        <v>0.0</v>
      </c>
      <c r="H72" s="16" t="s">
        <v>117</v>
      </c>
      <c r="I72" s="19">
        <f t="shared" si="1"/>
        <v>0</v>
      </c>
      <c r="J72" s="19">
        <f t="shared" si="2"/>
        <v>0</v>
      </c>
    </row>
    <row r="73" ht="22.5" customHeight="1">
      <c r="A73" s="16">
        <v>1.0</v>
      </c>
      <c r="B73" s="16">
        <v>4.0</v>
      </c>
      <c r="C73" s="16">
        <v>0.0</v>
      </c>
      <c r="D73" s="16">
        <v>0.0</v>
      </c>
      <c r="E73" s="16">
        <v>0.0</v>
      </c>
      <c r="F73" s="16">
        <v>0.0</v>
      </c>
      <c r="G73" s="18">
        <v>0.0</v>
      </c>
      <c r="H73" s="16" t="s">
        <v>117</v>
      </c>
      <c r="I73" s="19">
        <f t="shared" si="1"/>
        <v>0</v>
      </c>
      <c r="J73" s="19">
        <f t="shared" si="2"/>
        <v>0</v>
      </c>
    </row>
    <row r="74" ht="22.5" customHeight="1">
      <c r="A74" s="16">
        <v>1.0</v>
      </c>
      <c r="B74" s="16">
        <v>4.0</v>
      </c>
      <c r="C74" s="16">
        <v>0.0</v>
      </c>
      <c r="D74" s="16">
        <v>0.0</v>
      </c>
      <c r="E74" s="16">
        <v>0.0</v>
      </c>
      <c r="F74" s="16">
        <v>0.0</v>
      </c>
      <c r="G74" s="18">
        <v>0.0</v>
      </c>
      <c r="H74" s="16" t="s">
        <v>117</v>
      </c>
      <c r="I74" s="19">
        <f t="shared" si="1"/>
        <v>0</v>
      </c>
      <c r="J74" s="19">
        <f t="shared" si="2"/>
        <v>0</v>
      </c>
    </row>
    <row r="75" ht="22.5" customHeight="1">
      <c r="A75" s="16">
        <v>3.0</v>
      </c>
      <c r="B75" s="16">
        <v>12.0</v>
      </c>
      <c r="C75" s="16">
        <v>1.0</v>
      </c>
      <c r="D75" s="16">
        <v>-1.33</v>
      </c>
      <c r="E75" s="16">
        <v>0.33</v>
      </c>
      <c r="F75" s="16">
        <v>0.0</v>
      </c>
      <c r="G75" s="18">
        <v>0.0</v>
      </c>
      <c r="H75" s="16" t="s">
        <v>123</v>
      </c>
      <c r="I75" s="19">
        <f t="shared" si="1"/>
        <v>-4</v>
      </c>
      <c r="J75" s="19">
        <f t="shared" si="2"/>
        <v>1</v>
      </c>
    </row>
    <row r="76" ht="22.5" customHeight="1">
      <c r="A76" s="16">
        <v>5.0</v>
      </c>
      <c r="B76" s="16">
        <v>20.0</v>
      </c>
      <c r="C76" s="16">
        <v>0.0</v>
      </c>
      <c r="D76" s="16">
        <v>0.0</v>
      </c>
      <c r="E76" s="16">
        <v>0.0</v>
      </c>
      <c r="F76" s="16">
        <v>0.0</v>
      </c>
      <c r="G76" s="18">
        <v>0.0</v>
      </c>
      <c r="H76" s="16" t="s">
        <v>124</v>
      </c>
      <c r="I76" s="19">
        <f t="shared" si="1"/>
        <v>0</v>
      </c>
      <c r="J76" s="19">
        <f t="shared" si="2"/>
        <v>0</v>
      </c>
    </row>
    <row r="77" ht="22.5" customHeight="1">
      <c r="A77" s="16">
        <v>5.0</v>
      </c>
      <c r="B77" s="16">
        <v>20.0</v>
      </c>
      <c r="C77" s="16">
        <v>2.0</v>
      </c>
      <c r="D77" s="16">
        <v>0.8</v>
      </c>
      <c r="E77" s="16">
        <v>0.0</v>
      </c>
      <c r="F77" s="16">
        <v>0.0</v>
      </c>
      <c r="G77" s="18">
        <v>0.5</v>
      </c>
      <c r="H77" s="16" t="s">
        <v>127</v>
      </c>
      <c r="I77" s="19">
        <f t="shared" si="1"/>
        <v>4</v>
      </c>
      <c r="J77" s="19">
        <f t="shared" si="2"/>
        <v>0</v>
      </c>
    </row>
    <row r="78" ht="22.5" customHeight="1">
      <c r="A78" s="16">
        <v>5.0</v>
      </c>
      <c r="B78" s="16">
        <v>20.0</v>
      </c>
      <c r="C78" s="16">
        <v>9.0</v>
      </c>
      <c r="D78" s="16">
        <v>4.0</v>
      </c>
      <c r="E78" s="16">
        <v>0.2</v>
      </c>
      <c r="F78" s="16">
        <v>0.0</v>
      </c>
      <c r="G78" s="20">
        <v>0.667</v>
      </c>
      <c r="H78" s="16" t="s">
        <v>128</v>
      </c>
      <c r="I78" s="19">
        <f t="shared" si="1"/>
        <v>20</v>
      </c>
      <c r="J78" s="19">
        <f t="shared" si="2"/>
        <v>1</v>
      </c>
    </row>
    <row r="79" ht="22.5" customHeight="1">
      <c r="A79" s="16">
        <v>4.0</v>
      </c>
      <c r="B79" s="16">
        <v>17.0</v>
      </c>
      <c r="C79" s="16">
        <v>1.0</v>
      </c>
      <c r="D79" s="16">
        <v>0.0</v>
      </c>
      <c r="E79" s="16">
        <v>0.0</v>
      </c>
      <c r="F79" s="16">
        <v>0.0</v>
      </c>
      <c r="G79" s="18">
        <v>0.0</v>
      </c>
      <c r="H79" s="16" t="s">
        <v>130</v>
      </c>
      <c r="I79" s="19">
        <f t="shared" si="1"/>
        <v>0</v>
      </c>
      <c r="J79" s="19">
        <f t="shared" si="2"/>
        <v>0</v>
      </c>
    </row>
    <row r="80" ht="22.5" customHeight="1">
      <c r="A80" s="16">
        <v>1.0</v>
      </c>
      <c r="B80" s="16">
        <v>4.0</v>
      </c>
      <c r="C80" s="16">
        <v>0.0</v>
      </c>
      <c r="D80" s="16">
        <v>0.0</v>
      </c>
      <c r="E80" s="16">
        <v>0.0</v>
      </c>
      <c r="F80" s="16">
        <v>0.0</v>
      </c>
      <c r="G80" s="18">
        <v>0.0</v>
      </c>
      <c r="H80" s="16" t="s">
        <v>132</v>
      </c>
      <c r="I80" s="19">
        <f t="shared" si="1"/>
        <v>0</v>
      </c>
      <c r="J80" s="19">
        <f t="shared" si="2"/>
        <v>0</v>
      </c>
    </row>
    <row r="81" ht="22.5" customHeight="1">
      <c r="A81" s="16">
        <v>3.0</v>
      </c>
      <c r="B81" s="16">
        <v>9.0</v>
      </c>
      <c r="C81" s="16">
        <v>0.0</v>
      </c>
      <c r="D81" s="16">
        <v>0.0</v>
      </c>
      <c r="E81" s="16">
        <v>0.0</v>
      </c>
      <c r="F81" s="16">
        <v>0.0</v>
      </c>
      <c r="G81" s="18">
        <v>0.0</v>
      </c>
      <c r="H81" s="16" t="s">
        <v>132</v>
      </c>
      <c r="I81" s="19">
        <f t="shared" si="1"/>
        <v>0</v>
      </c>
      <c r="J81" s="19">
        <f t="shared" si="2"/>
        <v>0</v>
      </c>
    </row>
    <row r="82" ht="22.5" customHeight="1">
      <c r="A82" s="16">
        <v>1.0</v>
      </c>
      <c r="B82" s="16">
        <v>4.0</v>
      </c>
      <c r="C82" s="16">
        <v>4.0</v>
      </c>
      <c r="D82" s="16">
        <v>4.0</v>
      </c>
      <c r="E82" s="16">
        <v>1.0</v>
      </c>
      <c r="F82" s="16">
        <v>0.0</v>
      </c>
      <c r="G82" s="18">
        <v>0.5</v>
      </c>
      <c r="H82" s="16" t="s">
        <v>77</v>
      </c>
      <c r="I82" s="19">
        <f t="shared" si="1"/>
        <v>4</v>
      </c>
      <c r="J82" s="19">
        <f t="shared" si="2"/>
        <v>1</v>
      </c>
    </row>
    <row r="83" ht="22.5" customHeight="1">
      <c r="A83" s="16">
        <v>3.0</v>
      </c>
      <c r="B83" s="16">
        <v>9.0</v>
      </c>
      <c r="C83" s="16">
        <v>9.0</v>
      </c>
      <c r="D83" s="16">
        <v>0.0</v>
      </c>
      <c r="E83" s="16">
        <v>1.0</v>
      </c>
      <c r="F83" s="16">
        <v>0.0</v>
      </c>
      <c r="G83" s="20">
        <v>0.333</v>
      </c>
      <c r="H83" s="16" t="s">
        <v>77</v>
      </c>
      <c r="I83" s="19">
        <f t="shared" si="1"/>
        <v>0</v>
      </c>
      <c r="J83" s="19">
        <f t="shared" si="2"/>
        <v>3</v>
      </c>
    </row>
    <row r="84" ht="22.5" customHeight="1">
      <c r="A84" s="16">
        <v>1.0</v>
      </c>
      <c r="B84" s="16">
        <v>4.0</v>
      </c>
      <c r="C84" s="16">
        <v>0.0</v>
      </c>
      <c r="D84" s="16">
        <v>0.0</v>
      </c>
      <c r="E84" s="16">
        <v>0.0</v>
      </c>
      <c r="F84" s="16">
        <v>0.0</v>
      </c>
      <c r="G84" s="18">
        <v>0.0</v>
      </c>
      <c r="H84" s="16" t="s">
        <v>137</v>
      </c>
      <c r="I84" s="19">
        <f t="shared" si="1"/>
        <v>0</v>
      </c>
      <c r="J84" s="19">
        <f t="shared" si="2"/>
        <v>0</v>
      </c>
    </row>
    <row r="85" ht="22.5" customHeight="1">
      <c r="A85" s="16">
        <v>1.0</v>
      </c>
      <c r="B85" s="16">
        <v>3.0</v>
      </c>
      <c r="C85" s="16">
        <v>0.0</v>
      </c>
      <c r="D85" s="16">
        <v>0.0</v>
      </c>
      <c r="E85" s="16">
        <v>0.0</v>
      </c>
      <c r="F85" s="16">
        <v>0.0</v>
      </c>
      <c r="G85" s="18">
        <v>0.0</v>
      </c>
      <c r="H85" s="16" t="s">
        <v>137</v>
      </c>
      <c r="I85" s="19">
        <f t="shared" si="1"/>
        <v>0</v>
      </c>
      <c r="J85" s="19">
        <f t="shared" si="2"/>
        <v>0</v>
      </c>
    </row>
    <row r="86" ht="22.5" customHeight="1">
      <c r="A86" s="16">
        <v>5.0</v>
      </c>
      <c r="B86" s="16">
        <v>20.0</v>
      </c>
      <c r="C86" s="16">
        <v>0.0</v>
      </c>
      <c r="D86" s="16">
        <v>0.0</v>
      </c>
      <c r="E86" s="16">
        <v>0.0</v>
      </c>
      <c r="F86" s="16">
        <v>0.0</v>
      </c>
      <c r="G86" s="18">
        <v>0.0</v>
      </c>
      <c r="H86" s="16" t="s">
        <v>139</v>
      </c>
      <c r="I86" s="19">
        <f t="shared" si="1"/>
        <v>0</v>
      </c>
      <c r="J86" s="19">
        <f t="shared" si="2"/>
        <v>0</v>
      </c>
    </row>
    <row r="87" ht="22.5" customHeight="1">
      <c r="A87" s="16">
        <v>1.0</v>
      </c>
      <c r="B87" s="16">
        <v>4.0</v>
      </c>
      <c r="C87" s="16">
        <v>0.0</v>
      </c>
      <c r="D87" s="16">
        <v>0.0</v>
      </c>
      <c r="E87" s="16">
        <v>0.0</v>
      </c>
      <c r="F87" s="16">
        <v>0.0</v>
      </c>
      <c r="G87" s="18">
        <v>0.0</v>
      </c>
      <c r="H87" s="16" t="s">
        <v>142</v>
      </c>
      <c r="I87" s="19">
        <f t="shared" si="1"/>
        <v>0</v>
      </c>
      <c r="J87" s="19">
        <f t="shared" si="2"/>
        <v>0</v>
      </c>
    </row>
    <row r="88" ht="22.5" customHeight="1">
      <c r="A88" s="16">
        <v>5.0</v>
      </c>
      <c r="B88" s="16">
        <v>20.0</v>
      </c>
      <c r="C88" s="16">
        <v>0.0</v>
      </c>
      <c r="D88" s="16">
        <v>0.0</v>
      </c>
      <c r="E88" s="16">
        <v>0.0</v>
      </c>
      <c r="F88" s="16">
        <v>0.0</v>
      </c>
      <c r="G88" s="18">
        <v>0.0</v>
      </c>
      <c r="H88" s="16" t="s">
        <v>144</v>
      </c>
      <c r="I88" s="19">
        <f t="shared" si="1"/>
        <v>0</v>
      </c>
      <c r="J88" s="19">
        <f t="shared" si="2"/>
        <v>0</v>
      </c>
    </row>
    <row r="89" ht="22.5" customHeight="1">
      <c r="A89" s="16">
        <v>4.0</v>
      </c>
      <c r="B89" s="16">
        <v>16.0</v>
      </c>
      <c r="C89" s="16">
        <v>0.0</v>
      </c>
      <c r="D89" s="16">
        <v>0.0</v>
      </c>
      <c r="E89" s="16">
        <v>0.0</v>
      </c>
      <c r="F89" s="16">
        <v>0.0</v>
      </c>
      <c r="G89" s="18">
        <v>0.0</v>
      </c>
      <c r="H89" s="16" t="s">
        <v>147</v>
      </c>
      <c r="I89" s="19">
        <f t="shared" si="1"/>
        <v>0</v>
      </c>
      <c r="J89" s="19">
        <f t="shared" si="2"/>
        <v>0</v>
      </c>
    </row>
    <row r="90" ht="22.5" customHeight="1">
      <c r="A90" s="16">
        <v>1.0</v>
      </c>
      <c r="B90" s="16">
        <v>4.0</v>
      </c>
      <c r="C90" s="16">
        <v>0.0</v>
      </c>
      <c r="D90" s="16">
        <v>0.0</v>
      </c>
      <c r="E90" s="16">
        <v>0.0</v>
      </c>
      <c r="F90" s="16">
        <v>0.0</v>
      </c>
      <c r="G90" s="18">
        <v>0.0</v>
      </c>
      <c r="H90" s="16" t="s">
        <v>147</v>
      </c>
      <c r="I90" s="19">
        <f t="shared" si="1"/>
        <v>0</v>
      </c>
      <c r="J90" s="19">
        <f t="shared" si="2"/>
        <v>0</v>
      </c>
    </row>
    <row r="91" ht="22.5" customHeight="1">
      <c r="A91" s="16">
        <v>4.0</v>
      </c>
      <c r="B91" s="16">
        <v>16.0</v>
      </c>
      <c r="C91" s="16">
        <v>13.0</v>
      </c>
      <c r="D91" s="16">
        <v>3.0</v>
      </c>
      <c r="E91" s="16">
        <v>1.0</v>
      </c>
      <c r="F91" s="16">
        <v>0.0</v>
      </c>
      <c r="G91" s="20">
        <v>0.538</v>
      </c>
      <c r="H91" s="16" t="s">
        <v>125</v>
      </c>
      <c r="I91" s="19">
        <f t="shared" si="1"/>
        <v>12</v>
      </c>
      <c r="J91" s="19">
        <f t="shared" si="2"/>
        <v>4</v>
      </c>
    </row>
    <row r="92" ht="22.5" customHeight="1">
      <c r="A92" s="16">
        <v>1.0</v>
      </c>
      <c r="B92" s="16">
        <v>3.0</v>
      </c>
      <c r="C92" s="16">
        <v>0.0</v>
      </c>
      <c r="D92" s="16">
        <v>0.0</v>
      </c>
      <c r="E92" s="16">
        <v>0.0</v>
      </c>
      <c r="F92" s="16">
        <v>0.0</v>
      </c>
      <c r="G92" s="18">
        <v>0.0</v>
      </c>
      <c r="H92" s="16" t="s">
        <v>151</v>
      </c>
      <c r="I92" s="19">
        <f t="shared" si="1"/>
        <v>0</v>
      </c>
      <c r="J92" s="19">
        <f t="shared" si="2"/>
        <v>0</v>
      </c>
    </row>
    <row r="93" ht="22.5" customHeight="1">
      <c r="A93" s="16">
        <v>1.0</v>
      </c>
      <c r="B93" s="16">
        <v>3.0</v>
      </c>
      <c r="C93" s="16">
        <v>0.0</v>
      </c>
      <c r="D93" s="16">
        <v>0.0</v>
      </c>
      <c r="E93" s="16">
        <v>0.0</v>
      </c>
      <c r="F93" s="16">
        <v>0.0</v>
      </c>
      <c r="G93" s="18">
        <v>0.0</v>
      </c>
      <c r="H93" s="16" t="s">
        <v>152</v>
      </c>
      <c r="I93" s="19">
        <f t="shared" si="1"/>
        <v>0</v>
      </c>
      <c r="J93" s="19">
        <f t="shared" si="2"/>
        <v>0</v>
      </c>
    </row>
    <row r="94" ht="22.5" customHeight="1">
      <c r="A94" s="16">
        <v>3.0</v>
      </c>
      <c r="B94" s="16">
        <v>12.0</v>
      </c>
      <c r="C94" s="16">
        <v>0.0</v>
      </c>
      <c r="D94" s="16">
        <v>0.0</v>
      </c>
      <c r="E94" s="16">
        <v>0.0</v>
      </c>
      <c r="F94" s="16">
        <v>0.0</v>
      </c>
      <c r="G94" s="18">
        <v>0.0</v>
      </c>
      <c r="H94" s="16" t="s">
        <v>152</v>
      </c>
      <c r="I94" s="19">
        <f t="shared" si="1"/>
        <v>0</v>
      </c>
      <c r="J94" s="19">
        <f t="shared" si="2"/>
        <v>0</v>
      </c>
    </row>
    <row r="95" ht="22.5" customHeight="1">
      <c r="A95" s="16">
        <v>1.0</v>
      </c>
      <c r="B95" s="16">
        <v>3.0</v>
      </c>
      <c r="C95" s="16">
        <v>0.0</v>
      </c>
      <c r="D95" s="16">
        <v>0.0</v>
      </c>
      <c r="E95" s="16">
        <v>0.0</v>
      </c>
      <c r="F95" s="16">
        <v>0.0</v>
      </c>
      <c r="G95" s="18">
        <v>0.0</v>
      </c>
      <c r="H95" s="16" t="s">
        <v>156</v>
      </c>
      <c r="I95" s="19">
        <f t="shared" si="1"/>
        <v>0</v>
      </c>
      <c r="J95" s="19">
        <f t="shared" si="2"/>
        <v>0</v>
      </c>
    </row>
    <row r="96" ht="22.5" customHeight="1">
      <c r="A96" s="16">
        <v>2.0</v>
      </c>
      <c r="B96" s="16">
        <v>8.0</v>
      </c>
      <c r="C96" s="16">
        <v>1.0</v>
      </c>
      <c r="D96" s="16">
        <v>0.0</v>
      </c>
      <c r="E96" s="16">
        <v>0.0</v>
      </c>
      <c r="F96" s="16">
        <v>0.0</v>
      </c>
      <c r="G96" s="18">
        <v>0.0</v>
      </c>
      <c r="H96" s="16" t="s">
        <v>156</v>
      </c>
      <c r="I96" s="19">
        <f t="shared" si="1"/>
        <v>0</v>
      </c>
      <c r="J96" s="19">
        <f t="shared" si="2"/>
        <v>0</v>
      </c>
    </row>
    <row r="97" ht="22.5" customHeight="1">
      <c r="A97" s="16">
        <v>1.0</v>
      </c>
      <c r="B97" s="16">
        <v>3.0</v>
      </c>
      <c r="C97" s="16">
        <v>3.0</v>
      </c>
      <c r="D97" s="16">
        <v>0.0</v>
      </c>
      <c r="E97" s="16">
        <v>1.0</v>
      </c>
      <c r="F97" s="16">
        <v>0.0</v>
      </c>
      <c r="G97" s="20">
        <v>0.333</v>
      </c>
      <c r="H97" s="16" t="s">
        <v>145</v>
      </c>
      <c r="I97" s="19">
        <f t="shared" si="1"/>
        <v>0</v>
      </c>
      <c r="J97" s="19">
        <f t="shared" si="2"/>
        <v>1</v>
      </c>
    </row>
    <row r="98" ht="22.5" customHeight="1">
      <c r="A98" s="16">
        <v>4.0</v>
      </c>
      <c r="B98" s="16">
        <v>16.0</v>
      </c>
      <c r="C98" s="16">
        <v>12.0</v>
      </c>
      <c r="D98" s="16">
        <v>3.0</v>
      </c>
      <c r="E98" s="16">
        <v>0.25</v>
      </c>
      <c r="F98" s="16">
        <v>0.0</v>
      </c>
      <c r="G98" s="20">
        <v>0.333</v>
      </c>
      <c r="H98" s="16" t="s">
        <v>145</v>
      </c>
      <c r="I98" s="19">
        <f t="shared" si="1"/>
        <v>12</v>
      </c>
      <c r="J98" s="19">
        <f t="shared" si="2"/>
        <v>1</v>
      </c>
    </row>
    <row r="99" ht="22.5" customHeight="1">
      <c r="A99" s="16">
        <v>1.0</v>
      </c>
      <c r="B99" s="16">
        <v>4.0</v>
      </c>
      <c r="C99" s="16">
        <v>0.0</v>
      </c>
      <c r="D99" s="16">
        <v>0.0</v>
      </c>
      <c r="E99" s="16">
        <v>0.0</v>
      </c>
      <c r="F99" s="16">
        <v>0.0</v>
      </c>
      <c r="G99" s="18">
        <v>0.0</v>
      </c>
      <c r="H99" s="16" t="s">
        <v>160</v>
      </c>
      <c r="I99" s="19">
        <f t="shared" si="1"/>
        <v>0</v>
      </c>
      <c r="J99" s="19">
        <f t="shared" si="2"/>
        <v>0</v>
      </c>
    </row>
    <row r="100" ht="22.5" customHeight="1">
      <c r="A100" s="16">
        <v>2.0</v>
      </c>
      <c r="B100" s="16">
        <v>8.0</v>
      </c>
      <c r="C100" s="16">
        <v>1.0</v>
      </c>
      <c r="D100" s="16">
        <v>-2.0</v>
      </c>
      <c r="E100" s="16">
        <v>0.5</v>
      </c>
      <c r="F100" s="16">
        <v>0.0</v>
      </c>
      <c r="G100" s="18">
        <v>0.0</v>
      </c>
      <c r="H100" s="16" t="s">
        <v>162</v>
      </c>
      <c r="I100" s="19">
        <f t="shared" si="1"/>
        <v>-4</v>
      </c>
      <c r="J100" s="19">
        <f t="shared" si="2"/>
        <v>1</v>
      </c>
    </row>
    <row r="101" ht="22.5" customHeight="1">
      <c r="A101" s="16">
        <v>2.0</v>
      </c>
      <c r="B101" s="16">
        <v>8.0</v>
      </c>
      <c r="C101" s="16">
        <v>0.0</v>
      </c>
      <c r="D101" s="16">
        <v>0.0</v>
      </c>
      <c r="E101" s="16">
        <v>0.0</v>
      </c>
      <c r="F101" s="16">
        <v>0.0</v>
      </c>
      <c r="G101" s="18">
        <v>0.0</v>
      </c>
      <c r="H101" s="16" t="s">
        <v>162</v>
      </c>
      <c r="I101" s="19">
        <f t="shared" si="1"/>
        <v>0</v>
      </c>
      <c r="J101" s="19">
        <f t="shared" si="2"/>
        <v>0</v>
      </c>
    </row>
    <row r="102" ht="22.5" customHeight="1">
      <c r="A102" s="16">
        <v>5.0</v>
      </c>
      <c r="B102" s="16">
        <v>19.0</v>
      </c>
      <c r="C102" s="16">
        <v>3.0</v>
      </c>
      <c r="D102" s="16">
        <v>0.0</v>
      </c>
      <c r="E102" s="16">
        <v>0.0</v>
      </c>
      <c r="F102" s="16">
        <v>0.0</v>
      </c>
      <c r="G102" s="18">
        <v>0.0</v>
      </c>
      <c r="H102" s="16" t="s">
        <v>165</v>
      </c>
      <c r="I102" s="19">
        <f t="shared" si="1"/>
        <v>0</v>
      </c>
      <c r="J102" s="19">
        <f t="shared" si="2"/>
        <v>0</v>
      </c>
    </row>
    <row r="103" ht="22.5" customHeight="1">
      <c r="A103" s="16">
        <v>1.0</v>
      </c>
      <c r="B103" s="16">
        <v>4.0</v>
      </c>
      <c r="C103" s="16">
        <v>0.0</v>
      </c>
      <c r="D103" s="16">
        <v>0.0</v>
      </c>
      <c r="E103" s="16">
        <v>0.0</v>
      </c>
      <c r="F103" s="16">
        <v>0.0</v>
      </c>
      <c r="G103" s="18">
        <v>0.0</v>
      </c>
      <c r="H103" s="16" t="s">
        <v>167</v>
      </c>
      <c r="I103" s="19">
        <f t="shared" si="1"/>
        <v>0</v>
      </c>
      <c r="J103" s="19">
        <f t="shared" si="2"/>
        <v>0</v>
      </c>
    </row>
    <row r="104" ht="22.5" customHeight="1">
      <c r="A104" s="16">
        <v>5.0</v>
      </c>
      <c r="B104" s="16">
        <v>19.0</v>
      </c>
      <c r="C104" s="16">
        <v>2.0</v>
      </c>
      <c r="D104" s="16">
        <v>-0.8</v>
      </c>
      <c r="E104" s="16">
        <v>0.2</v>
      </c>
      <c r="F104" s="16">
        <v>0.0</v>
      </c>
      <c r="G104" s="18">
        <v>0.0</v>
      </c>
      <c r="H104" s="16" t="s">
        <v>169</v>
      </c>
      <c r="I104" s="19">
        <f t="shared" si="1"/>
        <v>-4</v>
      </c>
      <c r="J104" s="19">
        <f t="shared" si="2"/>
        <v>1</v>
      </c>
    </row>
    <row r="105" ht="22.5" customHeight="1">
      <c r="A105" s="16">
        <v>3.0</v>
      </c>
      <c r="B105" s="16">
        <v>11.0</v>
      </c>
      <c r="C105" s="16">
        <v>9.0</v>
      </c>
      <c r="D105" s="16">
        <v>4.0</v>
      </c>
      <c r="E105" s="16">
        <v>1.0</v>
      </c>
      <c r="F105" s="16">
        <v>0.0</v>
      </c>
      <c r="G105" s="20">
        <v>0.667</v>
      </c>
      <c r="H105" s="16" t="s">
        <v>171</v>
      </c>
      <c r="I105" s="19">
        <f t="shared" si="1"/>
        <v>12</v>
      </c>
      <c r="J105" s="19">
        <f t="shared" si="2"/>
        <v>3</v>
      </c>
    </row>
    <row r="106" ht="22.5" customHeight="1">
      <c r="A106" s="16">
        <v>4.0</v>
      </c>
      <c r="B106" s="16">
        <v>15.0</v>
      </c>
      <c r="C106" s="16">
        <v>9.0</v>
      </c>
      <c r="D106" s="16">
        <v>2.0</v>
      </c>
      <c r="E106" s="16">
        <v>0.75</v>
      </c>
      <c r="F106" s="16">
        <v>0.0</v>
      </c>
      <c r="G106" s="20">
        <v>0.556</v>
      </c>
      <c r="H106" s="16" t="s">
        <v>173</v>
      </c>
      <c r="I106" s="19">
        <f t="shared" si="1"/>
        <v>8</v>
      </c>
      <c r="J106" s="19">
        <f t="shared" si="2"/>
        <v>3</v>
      </c>
    </row>
    <row r="107" ht="22.5" customHeight="1">
      <c r="A107" s="16">
        <v>1.0</v>
      </c>
      <c r="B107" s="16">
        <v>4.0</v>
      </c>
      <c r="C107" s="16">
        <v>2.0</v>
      </c>
      <c r="D107" s="16">
        <v>8.0</v>
      </c>
      <c r="E107" s="16">
        <v>0.0</v>
      </c>
      <c r="F107" s="16">
        <v>0.0</v>
      </c>
      <c r="G107" s="18">
        <v>1.0</v>
      </c>
      <c r="H107" s="16" t="s">
        <v>173</v>
      </c>
      <c r="I107" s="19">
        <f t="shared" si="1"/>
        <v>8</v>
      </c>
      <c r="J107" s="19">
        <f t="shared" si="2"/>
        <v>0</v>
      </c>
    </row>
    <row r="108" ht="22.5" customHeight="1">
      <c r="A108" s="16">
        <v>1.0</v>
      </c>
      <c r="B108" s="16">
        <v>4.0</v>
      </c>
      <c r="C108" s="16">
        <v>0.0</v>
      </c>
      <c r="D108" s="16">
        <v>0.0</v>
      </c>
      <c r="E108" s="16">
        <v>0.0</v>
      </c>
      <c r="F108" s="16">
        <v>0.0</v>
      </c>
      <c r="G108" s="18">
        <v>0.0</v>
      </c>
      <c r="H108" s="16" t="s">
        <v>174</v>
      </c>
      <c r="I108" s="19">
        <f t="shared" si="1"/>
        <v>0</v>
      </c>
      <c r="J108" s="19">
        <f t="shared" si="2"/>
        <v>0</v>
      </c>
    </row>
    <row r="109" ht="22.5" customHeight="1">
      <c r="A109" s="16">
        <v>1.0</v>
      </c>
      <c r="B109" s="16">
        <v>4.0</v>
      </c>
      <c r="C109" s="16">
        <v>0.0</v>
      </c>
      <c r="D109" s="16">
        <v>0.0</v>
      </c>
      <c r="E109" s="16">
        <v>0.0</v>
      </c>
      <c r="F109" s="16">
        <v>0.0</v>
      </c>
      <c r="G109" s="18">
        <v>0.0</v>
      </c>
      <c r="H109" s="16" t="s">
        <v>176</v>
      </c>
      <c r="I109" s="19">
        <f t="shared" si="1"/>
        <v>0</v>
      </c>
      <c r="J109" s="19">
        <f t="shared" si="2"/>
        <v>0</v>
      </c>
    </row>
    <row r="110" ht="22.5" customHeight="1">
      <c r="A110" s="16">
        <v>4.0</v>
      </c>
      <c r="B110" s="16">
        <v>15.0</v>
      </c>
      <c r="C110" s="16">
        <v>2.0</v>
      </c>
      <c r="D110" s="16">
        <v>1.0</v>
      </c>
      <c r="E110" s="16">
        <v>0.0</v>
      </c>
      <c r="F110" s="16">
        <v>0.0</v>
      </c>
      <c r="G110" s="18">
        <v>0.5</v>
      </c>
      <c r="H110" s="16" t="s">
        <v>74</v>
      </c>
      <c r="I110" s="19">
        <f t="shared" si="1"/>
        <v>4</v>
      </c>
      <c r="J110" s="19">
        <f t="shared" si="2"/>
        <v>0</v>
      </c>
    </row>
    <row r="111" ht="22.5" customHeight="1">
      <c r="A111" s="16">
        <v>1.0</v>
      </c>
      <c r="B111" s="16">
        <v>4.0</v>
      </c>
      <c r="C111" s="16">
        <v>1.0</v>
      </c>
      <c r="D111" s="16">
        <v>0.0</v>
      </c>
      <c r="E111" s="16">
        <v>0.0</v>
      </c>
      <c r="F111" s="16">
        <v>0.0</v>
      </c>
      <c r="G111" s="18">
        <v>0.0</v>
      </c>
      <c r="H111" s="16" t="s">
        <v>74</v>
      </c>
      <c r="I111" s="19">
        <f t="shared" si="1"/>
        <v>0</v>
      </c>
      <c r="J111" s="19">
        <f t="shared" si="2"/>
        <v>0</v>
      </c>
    </row>
    <row r="112" ht="22.5" customHeight="1">
      <c r="A112" s="16">
        <v>1.0</v>
      </c>
      <c r="B112" s="16">
        <v>4.0</v>
      </c>
      <c r="C112" s="16">
        <v>0.0</v>
      </c>
      <c r="D112" s="16">
        <v>0.0</v>
      </c>
      <c r="E112" s="16">
        <v>0.0</v>
      </c>
      <c r="F112" s="16">
        <v>0.0</v>
      </c>
      <c r="G112" s="18">
        <v>0.0</v>
      </c>
      <c r="H112" s="16" t="s">
        <v>177</v>
      </c>
      <c r="I112" s="19">
        <f t="shared" si="1"/>
        <v>0</v>
      </c>
      <c r="J112" s="19">
        <f t="shared" si="2"/>
        <v>0</v>
      </c>
    </row>
    <row r="113" ht="22.5" customHeight="1">
      <c r="A113" s="16">
        <v>4.0</v>
      </c>
      <c r="B113" s="16">
        <v>15.0</v>
      </c>
      <c r="C113" s="16">
        <v>12.0</v>
      </c>
      <c r="D113" s="16">
        <v>2.0</v>
      </c>
      <c r="E113" s="16">
        <v>0.75</v>
      </c>
      <c r="F113" s="16">
        <v>0.0</v>
      </c>
      <c r="G113" s="20">
        <v>0.417</v>
      </c>
      <c r="H113" s="16" t="s">
        <v>178</v>
      </c>
      <c r="I113" s="19">
        <f t="shared" si="1"/>
        <v>8</v>
      </c>
      <c r="J113" s="19">
        <f t="shared" si="2"/>
        <v>3</v>
      </c>
    </row>
    <row r="114" ht="22.5" customHeight="1">
      <c r="A114" s="16">
        <v>1.0</v>
      </c>
      <c r="B114" s="16">
        <v>4.0</v>
      </c>
      <c r="C114" s="16">
        <v>4.0</v>
      </c>
      <c r="D114" s="16">
        <v>12.0</v>
      </c>
      <c r="E114" s="16">
        <v>0.0</v>
      </c>
      <c r="F114" s="16">
        <v>0.0</v>
      </c>
      <c r="G114" s="18">
        <v>0.75</v>
      </c>
      <c r="H114" s="16" t="s">
        <v>178</v>
      </c>
      <c r="I114" s="19">
        <f t="shared" si="1"/>
        <v>12</v>
      </c>
      <c r="J114" s="19">
        <f t="shared" si="2"/>
        <v>0</v>
      </c>
    </row>
    <row r="115" ht="22.5" customHeight="1">
      <c r="A115" s="16">
        <v>3.0</v>
      </c>
      <c r="B115" s="16">
        <v>11.0</v>
      </c>
      <c r="C115" s="16">
        <v>0.0</v>
      </c>
      <c r="D115" s="16">
        <v>0.0</v>
      </c>
      <c r="E115" s="16">
        <v>0.0</v>
      </c>
      <c r="F115" s="16">
        <v>0.0</v>
      </c>
      <c r="G115" s="18">
        <v>0.0</v>
      </c>
      <c r="H115" s="16" t="s">
        <v>150</v>
      </c>
      <c r="I115" s="19">
        <f t="shared" si="1"/>
        <v>0</v>
      </c>
      <c r="J115" s="19">
        <f t="shared" si="2"/>
        <v>0</v>
      </c>
    </row>
    <row r="116" ht="22.5" customHeight="1">
      <c r="A116" s="16">
        <v>1.0</v>
      </c>
      <c r="B116" s="16">
        <v>4.0</v>
      </c>
      <c r="C116" s="16">
        <v>0.0</v>
      </c>
      <c r="D116" s="16">
        <v>0.0</v>
      </c>
      <c r="E116" s="16">
        <v>0.0</v>
      </c>
      <c r="F116" s="16">
        <v>0.0</v>
      </c>
      <c r="G116" s="18">
        <v>0.0</v>
      </c>
      <c r="H116" s="16" t="s">
        <v>150</v>
      </c>
      <c r="I116" s="19">
        <f t="shared" si="1"/>
        <v>0</v>
      </c>
      <c r="J116" s="19">
        <f t="shared" si="2"/>
        <v>0</v>
      </c>
    </row>
    <row r="117" ht="22.5" customHeight="1">
      <c r="A117" s="16">
        <v>2.0</v>
      </c>
      <c r="B117" s="16">
        <v>7.0</v>
      </c>
      <c r="C117" s="16">
        <v>0.0</v>
      </c>
      <c r="D117" s="16">
        <v>0.0</v>
      </c>
      <c r="E117" s="16">
        <v>0.0</v>
      </c>
      <c r="F117" s="16">
        <v>0.0</v>
      </c>
      <c r="G117" s="18">
        <v>0.0</v>
      </c>
      <c r="H117" s="16" t="s">
        <v>179</v>
      </c>
      <c r="I117" s="19">
        <f t="shared" si="1"/>
        <v>0</v>
      </c>
      <c r="J117" s="19">
        <f t="shared" si="2"/>
        <v>0</v>
      </c>
    </row>
    <row r="118" ht="22.5" customHeight="1">
      <c r="A118" s="16">
        <v>1.0</v>
      </c>
      <c r="B118" s="16">
        <v>4.0</v>
      </c>
      <c r="C118" s="16">
        <v>0.0</v>
      </c>
      <c r="D118" s="16">
        <v>0.0</v>
      </c>
      <c r="E118" s="16">
        <v>0.0</v>
      </c>
      <c r="F118" s="16">
        <v>0.0</v>
      </c>
      <c r="G118" s="18">
        <v>0.0</v>
      </c>
      <c r="H118" s="16" t="s">
        <v>179</v>
      </c>
      <c r="I118" s="19">
        <f t="shared" si="1"/>
        <v>0</v>
      </c>
      <c r="J118" s="19">
        <f t="shared" si="2"/>
        <v>0</v>
      </c>
    </row>
    <row r="119" ht="22.5" customHeight="1">
      <c r="A119" s="16">
        <v>2.0</v>
      </c>
      <c r="B119" s="16">
        <v>8.0</v>
      </c>
      <c r="C119" s="16">
        <v>0.0</v>
      </c>
      <c r="D119" s="16">
        <v>0.0</v>
      </c>
      <c r="E119" s="16">
        <v>0.0</v>
      </c>
      <c r="F119" s="16">
        <v>0.0</v>
      </c>
      <c r="G119" s="18">
        <v>0.0</v>
      </c>
      <c r="H119" s="16" t="s">
        <v>181</v>
      </c>
      <c r="I119" s="19">
        <f t="shared" si="1"/>
        <v>0</v>
      </c>
      <c r="J119" s="19">
        <f t="shared" si="2"/>
        <v>0</v>
      </c>
    </row>
    <row r="120" ht="22.5" customHeight="1">
      <c r="A120" s="16">
        <v>4.0</v>
      </c>
      <c r="B120" s="16">
        <v>15.0</v>
      </c>
      <c r="C120" s="16">
        <v>0.0</v>
      </c>
      <c r="D120" s="16">
        <v>0.0</v>
      </c>
      <c r="E120" s="16">
        <v>0.0</v>
      </c>
      <c r="F120" s="16">
        <v>0.0</v>
      </c>
      <c r="G120" s="18">
        <v>0.0</v>
      </c>
      <c r="H120" s="16" t="s">
        <v>183</v>
      </c>
      <c r="I120" s="19">
        <f t="shared" si="1"/>
        <v>0</v>
      </c>
      <c r="J120" s="19">
        <f t="shared" si="2"/>
        <v>0</v>
      </c>
    </row>
    <row r="121" ht="22.5" customHeight="1">
      <c r="A121" s="16">
        <v>1.0</v>
      </c>
      <c r="B121" s="16">
        <v>4.0</v>
      </c>
      <c r="C121" s="16">
        <v>0.0</v>
      </c>
      <c r="D121" s="16">
        <v>0.0</v>
      </c>
      <c r="E121" s="16">
        <v>0.0</v>
      </c>
      <c r="F121" s="16">
        <v>0.0</v>
      </c>
      <c r="G121" s="18">
        <v>0.0</v>
      </c>
      <c r="H121" s="16" t="s">
        <v>183</v>
      </c>
      <c r="I121" s="19">
        <f t="shared" si="1"/>
        <v>0</v>
      </c>
      <c r="J121" s="19">
        <f t="shared" si="2"/>
        <v>0</v>
      </c>
    </row>
    <row r="122" ht="22.5" customHeight="1">
      <c r="A122" s="16">
        <v>1.0</v>
      </c>
      <c r="B122" s="16">
        <v>4.0</v>
      </c>
      <c r="C122" s="16">
        <v>0.0</v>
      </c>
      <c r="D122" s="16">
        <v>0.0</v>
      </c>
      <c r="E122" s="16">
        <v>0.0</v>
      </c>
      <c r="F122" s="16">
        <v>0.0</v>
      </c>
      <c r="G122" s="18">
        <v>0.0</v>
      </c>
      <c r="H122" s="16" t="s">
        <v>184</v>
      </c>
      <c r="I122" s="19">
        <f t="shared" si="1"/>
        <v>0</v>
      </c>
      <c r="J122" s="19">
        <f t="shared" si="2"/>
        <v>0</v>
      </c>
    </row>
    <row r="123" ht="22.5" customHeight="1">
      <c r="A123" s="16">
        <v>1.0</v>
      </c>
      <c r="B123" s="16">
        <v>4.0</v>
      </c>
      <c r="C123" s="16">
        <v>3.0</v>
      </c>
      <c r="D123" s="16">
        <v>4.0</v>
      </c>
      <c r="E123" s="16">
        <v>0.0</v>
      </c>
      <c r="F123" s="16">
        <v>0.0</v>
      </c>
      <c r="G123" s="20">
        <v>0.333</v>
      </c>
      <c r="H123" s="16" t="s">
        <v>184</v>
      </c>
      <c r="I123" s="19">
        <f t="shared" si="1"/>
        <v>4</v>
      </c>
      <c r="J123" s="19">
        <f t="shared" si="2"/>
        <v>0</v>
      </c>
    </row>
    <row r="124" ht="22.5" customHeight="1">
      <c r="A124" s="16">
        <v>3.0</v>
      </c>
      <c r="B124" s="16">
        <v>12.0</v>
      </c>
      <c r="C124" s="16">
        <v>3.0</v>
      </c>
      <c r="D124" s="16">
        <v>1.33</v>
      </c>
      <c r="E124" s="16">
        <v>0.0</v>
      </c>
      <c r="F124" s="16">
        <v>0.0</v>
      </c>
      <c r="G124" s="20">
        <v>0.333</v>
      </c>
      <c r="H124" s="16" t="s">
        <v>184</v>
      </c>
      <c r="I124" s="19">
        <f t="shared" si="1"/>
        <v>4</v>
      </c>
      <c r="J124" s="19">
        <f t="shared" si="2"/>
        <v>0</v>
      </c>
    </row>
    <row r="125" ht="22.5" customHeight="1">
      <c r="A125" s="16">
        <v>4.0</v>
      </c>
      <c r="B125" s="16">
        <v>16.0</v>
      </c>
      <c r="C125" s="16">
        <v>3.0</v>
      </c>
      <c r="D125" s="16">
        <v>1.0</v>
      </c>
      <c r="E125" s="16">
        <v>0.0</v>
      </c>
      <c r="F125" s="16">
        <v>0.0</v>
      </c>
      <c r="G125" s="20">
        <v>0.333</v>
      </c>
      <c r="H125" s="16" t="s">
        <v>161</v>
      </c>
      <c r="I125" s="19">
        <f t="shared" si="1"/>
        <v>4</v>
      </c>
      <c r="J125" s="19">
        <f t="shared" si="2"/>
        <v>0</v>
      </c>
    </row>
    <row r="126" ht="22.5" customHeight="1">
      <c r="A126" s="16">
        <v>1.0</v>
      </c>
      <c r="B126" s="16">
        <v>4.0</v>
      </c>
      <c r="C126" s="16">
        <v>1.0</v>
      </c>
      <c r="D126" s="16">
        <v>4.0</v>
      </c>
      <c r="E126" s="16">
        <v>0.0</v>
      </c>
      <c r="F126" s="16">
        <v>0.0</v>
      </c>
      <c r="G126" s="18">
        <v>1.0</v>
      </c>
      <c r="H126" s="16" t="s">
        <v>161</v>
      </c>
      <c r="I126" s="19">
        <f t="shared" si="1"/>
        <v>4</v>
      </c>
      <c r="J126" s="19">
        <f t="shared" si="2"/>
        <v>0</v>
      </c>
    </row>
    <row r="127" ht="22.5" customHeight="1">
      <c r="A127" s="16">
        <v>3.0</v>
      </c>
      <c r="B127" s="16">
        <v>12.0</v>
      </c>
      <c r="C127" s="16">
        <v>0.0</v>
      </c>
      <c r="D127" s="16">
        <v>0.0</v>
      </c>
      <c r="E127" s="16">
        <v>0.0</v>
      </c>
      <c r="F127" s="16">
        <v>0.0</v>
      </c>
      <c r="G127" s="18">
        <v>0.0</v>
      </c>
      <c r="H127" s="16" t="s">
        <v>187</v>
      </c>
      <c r="I127" s="19">
        <f t="shared" si="1"/>
        <v>0</v>
      </c>
      <c r="J127" s="19">
        <f t="shared" si="2"/>
        <v>0</v>
      </c>
    </row>
    <row r="128" ht="22.5" customHeight="1">
      <c r="A128" s="16">
        <v>5.0</v>
      </c>
      <c r="B128" s="16">
        <v>19.0</v>
      </c>
      <c r="C128" s="16">
        <v>11.0</v>
      </c>
      <c r="D128" s="16">
        <v>1.6</v>
      </c>
      <c r="E128" s="16">
        <v>0.6</v>
      </c>
      <c r="F128" s="16">
        <v>0.0</v>
      </c>
      <c r="G128" s="20">
        <v>0.455</v>
      </c>
      <c r="H128" s="16" t="s">
        <v>180</v>
      </c>
      <c r="I128" s="19">
        <f t="shared" si="1"/>
        <v>8</v>
      </c>
      <c r="J128" s="19">
        <f t="shared" si="2"/>
        <v>3</v>
      </c>
    </row>
    <row r="129" ht="22.5" customHeight="1">
      <c r="A129" s="16">
        <v>4.0</v>
      </c>
      <c r="B129" s="16">
        <v>16.0</v>
      </c>
      <c r="C129" s="16">
        <v>0.0</v>
      </c>
      <c r="D129" s="16">
        <v>0.0</v>
      </c>
      <c r="E129" s="16">
        <v>0.0</v>
      </c>
      <c r="F129" s="16">
        <v>0.0</v>
      </c>
      <c r="G129" s="18">
        <v>0.0</v>
      </c>
      <c r="H129" s="16" t="s">
        <v>189</v>
      </c>
      <c r="I129" s="19">
        <f t="shared" si="1"/>
        <v>0</v>
      </c>
      <c r="J129" s="19">
        <f t="shared" si="2"/>
        <v>0</v>
      </c>
    </row>
    <row r="130" ht="22.5" customHeight="1">
      <c r="A130" s="16">
        <v>5.0</v>
      </c>
      <c r="B130" s="16">
        <v>19.0</v>
      </c>
      <c r="C130" s="16">
        <v>1.0</v>
      </c>
      <c r="D130" s="16">
        <v>0.8</v>
      </c>
      <c r="E130" s="16">
        <v>0.0</v>
      </c>
      <c r="F130" s="16">
        <v>0.0</v>
      </c>
      <c r="G130" s="18">
        <v>1.0</v>
      </c>
      <c r="H130" s="16" t="s">
        <v>190</v>
      </c>
      <c r="I130" s="19">
        <f t="shared" si="1"/>
        <v>4</v>
      </c>
      <c r="J130" s="19">
        <f t="shared" si="2"/>
        <v>0</v>
      </c>
    </row>
    <row r="131" ht="22.5" customHeight="1">
      <c r="A131" s="16">
        <v>1.0</v>
      </c>
      <c r="B131" s="16">
        <v>4.0</v>
      </c>
      <c r="C131" s="16">
        <v>1.0</v>
      </c>
      <c r="D131" s="16">
        <v>4.0</v>
      </c>
      <c r="E131" s="16">
        <v>0.0</v>
      </c>
      <c r="F131" s="16">
        <v>0.0</v>
      </c>
      <c r="G131" s="18">
        <v>1.0</v>
      </c>
      <c r="H131" s="16" t="s">
        <v>191</v>
      </c>
      <c r="I131" s="19">
        <f t="shared" si="1"/>
        <v>4</v>
      </c>
      <c r="J131" s="19">
        <f t="shared" si="2"/>
        <v>0</v>
      </c>
    </row>
    <row r="132" ht="22.5" customHeight="1">
      <c r="A132" s="16">
        <v>3.0</v>
      </c>
      <c r="B132" s="16">
        <v>10.0</v>
      </c>
      <c r="C132" s="16">
        <v>3.0</v>
      </c>
      <c r="D132" s="16">
        <v>1.33</v>
      </c>
      <c r="E132" s="16">
        <v>0.0</v>
      </c>
      <c r="F132" s="16">
        <v>0.0</v>
      </c>
      <c r="G132" s="20">
        <v>0.333</v>
      </c>
      <c r="H132" s="16" t="s">
        <v>191</v>
      </c>
      <c r="I132" s="19">
        <f t="shared" si="1"/>
        <v>4</v>
      </c>
      <c r="J132" s="19">
        <f t="shared" si="2"/>
        <v>0</v>
      </c>
    </row>
    <row r="133" ht="22.5" customHeight="1">
      <c r="A133" s="16">
        <v>2.0</v>
      </c>
      <c r="B133" s="16">
        <v>7.0</v>
      </c>
      <c r="C133" s="16">
        <v>1.0</v>
      </c>
      <c r="D133" s="16">
        <v>0.0</v>
      </c>
      <c r="E133" s="16">
        <v>0.0</v>
      </c>
      <c r="F133" s="16">
        <v>0.0</v>
      </c>
      <c r="G133" s="18">
        <v>0.0</v>
      </c>
      <c r="H133" s="16" t="s">
        <v>192</v>
      </c>
      <c r="I133" s="19">
        <f t="shared" si="1"/>
        <v>0</v>
      </c>
      <c r="J133" s="19">
        <f t="shared" si="2"/>
        <v>0</v>
      </c>
    </row>
    <row r="134" ht="22.5" customHeight="1">
      <c r="A134" s="16">
        <v>1.0</v>
      </c>
      <c r="B134" s="16">
        <v>3.0</v>
      </c>
      <c r="C134" s="16">
        <v>1.0</v>
      </c>
      <c r="D134" s="16">
        <v>4.0</v>
      </c>
      <c r="E134" s="16">
        <v>0.0</v>
      </c>
      <c r="F134" s="16">
        <v>0.0</v>
      </c>
      <c r="G134" s="18">
        <v>1.0</v>
      </c>
      <c r="H134" s="16" t="s">
        <v>192</v>
      </c>
      <c r="I134" s="19">
        <f t="shared" si="1"/>
        <v>4</v>
      </c>
      <c r="J134" s="19">
        <f t="shared" si="2"/>
        <v>0</v>
      </c>
    </row>
    <row r="135" ht="22.5" customHeight="1">
      <c r="A135" s="16">
        <v>1.0</v>
      </c>
      <c r="B135" s="16">
        <v>4.0</v>
      </c>
      <c r="C135" s="16">
        <v>3.0</v>
      </c>
      <c r="D135" s="16">
        <v>8.0</v>
      </c>
      <c r="E135" s="16">
        <v>0.0</v>
      </c>
      <c r="F135" s="16">
        <v>0.0</v>
      </c>
      <c r="G135" s="20">
        <v>0.667</v>
      </c>
      <c r="H135" s="16" t="s">
        <v>194</v>
      </c>
      <c r="I135" s="19">
        <f t="shared" si="1"/>
        <v>8</v>
      </c>
      <c r="J135" s="19">
        <f t="shared" si="2"/>
        <v>0</v>
      </c>
    </row>
    <row r="136" ht="22.5" customHeight="1">
      <c r="A136" s="16">
        <v>1.0</v>
      </c>
      <c r="B136" s="16">
        <v>3.0</v>
      </c>
      <c r="C136" s="16">
        <v>1.0</v>
      </c>
      <c r="D136" s="16">
        <v>0.0</v>
      </c>
      <c r="E136" s="16">
        <v>0.0</v>
      </c>
      <c r="F136" s="16">
        <v>0.0</v>
      </c>
      <c r="G136" s="18">
        <v>0.0</v>
      </c>
      <c r="H136" s="16" t="s">
        <v>194</v>
      </c>
      <c r="I136" s="19">
        <f t="shared" si="1"/>
        <v>0</v>
      </c>
      <c r="J136" s="19">
        <f t="shared" si="2"/>
        <v>0</v>
      </c>
    </row>
    <row r="137" ht="22.5" customHeight="1">
      <c r="A137" s="16">
        <v>1.0</v>
      </c>
      <c r="B137" s="16">
        <v>4.0</v>
      </c>
      <c r="C137" s="16">
        <v>0.0</v>
      </c>
      <c r="D137" s="16">
        <v>0.0</v>
      </c>
      <c r="E137" s="16">
        <v>0.0</v>
      </c>
      <c r="F137" s="16">
        <v>0.0</v>
      </c>
      <c r="G137" s="18">
        <v>0.0</v>
      </c>
      <c r="H137" s="16" t="s">
        <v>195</v>
      </c>
      <c r="I137" s="19">
        <f t="shared" si="1"/>
        <v>0</v>
      </c>
      <c r="J137" s="19">
        <f t="shared" si="2"/>
        <v>0</v>
      </c>
    </row>
    <row r="138" ht="22.5" customHeight="1">
      <c r="A138" s="16">
        <v>4.0</v>
      </c>
      <c r="B138" s="16">
        <v>14.0</v>
      </c>
      <c r="C138" s="16">
        <v>1.0</v>
      </c>
      <c r="D138" s="16">
        <v>0.0</v>
      </c>
      <c r="E138" s="16">
        <v>0.0</v>
      </c>
      <c r="F138" s="16">
        <v>0.0</v>
      </c>
      <c r="G138" s="18">
        <v>0.0</v>
      </c>
      <c r="H138" s="16" t="s">
        <v>195</v>
      </c>
      <c r="I138" s="19">
        <f t="shared" si="1"/>
        <v>0</v>
      </c>
      <c r="J138" s="19">
        <f t="shared" si="2"/>
        <v>0</v>
      </c>
    </row>
    <row r="139" ht="22.5" customHeight="1">
      <c r="A139" s="16">
        <v>4.0</v>
      </c>
      <c r="B139" s="16">
        <v>14.0</v>
      </c>
      <c r="C139" s="16">
        <v>2.0</v>
      </c>
      <c r="D139" s="16">
        <v>2.0</v>
      </c>
      <c r="E139" s="16">
        <v>0.0</v>
      </c>
      <c r="F139" s="16">
        <v>0.0</v>
      </c>
      <c r="G139" s="18">
        <v>1.0</v>
      </c>
      <c r="H139" s="16" t="s">
        <v>112</v>
      </c>
      <c r="I139" s="19">
        <f t="shared" si="1"/>
        <v>8</v>
      </c>
      <c r="J139" s="19">
        <f t="shared" si="2"/>
        <v>0</v>
      </c>
    </row>
    <row r="140" ht="22.5" customHeight="1">
      <c r="A140" s="16">
        <v>1.0</v>
      </c>
      <c r="B140" s="16">
        <v>4.0</v>
      </c>
      <c r="C140" s="16">
        <v>0.0</v>
      </c>
      <c r="D140" s="16">
        <v>0.0</v>
      </c>
      <c r="E140" s="16">
        <v>0.0</v>
      </c>
      <c r="F140" s="16">
        <v>0.0</v>
      </c>
      <c r="G140" s="18">
        <v>0.0</v>
      </c>
      <c r="H140" s="16" t="s">
        <v>112</v>
      </c>
      <c r="I140" s="19">
        <f t="shared" si="1"/>
        <v>0</v>
      </c>
      <c r="J140" s="19">
        <f t="shared" si="2"/>
        <v>0</v>
      </c>
    </row>
    <row r="141" ht="22.5" customHeight="1">
      <c r="A141" s="16">
        <v>1.0</v>
      </c>
      <c r="B141" s="16">
        <v>4.0</v>
      </c>
      <c r="C141" s="16">
        <v>1.0</v>
      </c>
      <c r="D141" s="16">
        <v>0.0</v>
      </c>
      <c r="E141" s="16">
        <v>0.0</v>
      </c>
      <c r="F141" s="16">
        <v>0.0</v>
      </c>
      <c r="G141" s="18">
        <v>0.0</v>
      </c>
      <c r="H141" s="16" t="s">
        <v>196</v>
      </c>
      <c r="I141" s="19">
        <f t="shared" si="1"/>
        <v>0</v>
      </c>
      <c r="J141" s="19">
        <f t="shared" si="2"/>
        <v>0</v>
      </c>
    </row>
    <row r="142" ht="22.5" customHeight="1">
      <c r="A142" s="16">
        <v>5.0</v>
      </c>
      <c r="B142" s="16">
        <v>19.0</v>
      </c>
      <c r="C142" s="16">
        <v>6.0</v>
      </c>
      <c r="D142" s="16">
        <v>0.8</v>
      </c>
      <c r="E142" s="16">
        <v>0.0</v>
      </c>
      <c r="F142" s="16">
        <v>0.0</v>
      </c>
      <c r="G142" s="20">
        <v>0.167</v>
      </c>
      <c r="H142" s="16" t="s">
        <v>197</v>
      </c>
      <c r="I142" s="19">
        <f t="shared" si="1"/>
        <v>4</v>
      </c>
      <c r="J142" s="19">
        <f t="shared" si="2"/>
        <v>0</v>
      </c>
    </row>
    <row r="143" ht="22.5" customHeight="1">
      <c r="A143" s="16">
        <v>2.0</v>
      </c>
      <c r="B143" s="16">
        <v>8.0</v>
      </c>
      <c r="C143" s="16">
        <v>2.0</v>
      </c>
      <c r="D143" s="16">
        <v>2.0</v>
      </c>
      <c r="E143" s="16">
        <v>0.0</v>
      </c>
      <c r="F143" s="16">
        <v>0.0</v>
      </c>
      <c r="G143" s="18">
        <v>0.5</v>
      </c>
      <c r="H143" s="16" t="s">
        <v>198</v>
      </c>
      <c r="I143" s="19">
        <f t="shared" si="1"/>
        <v>4</v>
      </c>
      <c r="J143" s="19">
        <f t="shared" si="2"/>
        <v>0</v>
      </c>
    </row>
    <row r="144" ht="22.5" customHeight="1">
      <c r="A144" s="16">
        <v>5.0</v>
      </c>
      <c r="B144" s="16">
        <v>19.0</v>
      </c>
      <c r="C144" s="16">
        <v>3.0</v>
      </c>
      <c r="D144" s="16">
        <v>0.0</v>
      </c>
      <c r="E144" s="16">
        <v>0.2</v>
      </c>
      <c r="F144" s="16">
        <v>0.0</v>
      </c>
      <c r="G144" s="20">
        <v>0.333</v>
      </c>
      <c r="H144" s="16" t="s">
        <v>199</v>
      </c>
      <c r="I144" s="19">
        <f t="shared" si="1"/>
        <v>0</v>
      </c>
      <c r="J144" s="19">
        <f t="shared" si="2"/>
        <v>1</v>
      </c>
    </row>
    <row r="145" ht="22.5" customHeight="1">
      <c r="A145" s="16">
        <v>3.0</v>
      </c>
      <c r="B145" s="16">
        <v>13.0</v>
      </c>
      <c r="C145" s="16">
        <v>0.0</v>
      </c>
      <c r="D145" s="16">
        <v>0.0</v>
      </c>
      <c r="E145" s="16">
        <v>0.0</v>
      </c>
      <c r="F145" s="16">
        <v>0.0</v>
      </c>
      <c r="G145" s="18">
        <v>0.0</v>
      </c>
      <c r="H145" s="16" t="s">
        <v>200</v>
      </c>
      <c r="I145" s="19">
        <f t="shared" si="1"/>
        <v>0</v>
      </c>
      <c r="J145" s="19">
        <f t="shared" si="2"/>
        <v>0</v>
      </c>
    </row>
    <row r="146" ht="22.5" customHeight="1">
      <c r="A146" s="16">
        <v>3.0</v>
      </c>
      <c r="B146" s="16">
        <v>12.0</v>
      </c>
      <c r="C146" s="16">
        <v>4.0</v>
      </c>
      <c r="D146" s="16">
        <v>4.0</v>
      </c>
      <c r="E146" s="16">
        <v>0.0</v>
      </c>
      <c r="F146" s="16">
        <v>0.0</v>
      </c>
      <c r="G146" s="18">
        <v>0.75</v>
      </c>
      <c r="H146" s="16" t="s">
        <v>201</v>
      </c>
      <c r="I146" s="19">
        <f t="shared" si="1"/>
        <v>12</v>
      </c>
      <c r="J146" s="19">
        <f t="shared" si="2"/>
        <v>0</v>
      </c>
    </row>
    <row r="147" ht="22.5" customHeight="1">
      <c r="A147" s="16">
        <v>5.0</v>
      </c>
      <c r="B147" s="16">
        <v>20.0</v>
      </c>
      <c r="C147" s="16">
        <v>12.0</v>
      </c>
      <c r="D147" s="16">
        <v>1.6</v>
      </c>
      <c r="E147" s="16">
        <v>0.4</v>
      </c>
      <c r="F147" s="16">
        <v>0.0</v>
      </c>
      <c r="G147" s="20">
        <v>0.333</v>
      </c>
      <c r="H147" s="16" t="s">
        <v>70</v>
      </c>
      <c r="I147" s="19">
        <f t="shared" si="1"/>
        <v>8</v>
      </c>
      <c r="J147" s="19">
        <f t="shared" si="2"/>
        <v>2</v>
      </c>
    </row>
    <row r="148" ht="22.5" customHeight="1">
      <c r="A148" s="16">
        <v>1.0</v>
      </c>
      <c r="B148" s="16">
        <v>4.0</v>
      </c>
      <c r="C148" s="16">
        <v>0.0</v>
      </c>
      <c r="D148" s="16">
        <v>0.0</v>
      </c>
      <c r="E148" s="16">
        <v>0.0</v>
      </c>
      <c r="F148" s="16">
        <v>0.0</v>
      </c>
      <c r="G148" s="18">
        <v>0.0</v>
      </c>
      <c r="H148" s="16" t="s">
        <v>203</v>
      </c>
      <c r="I148" s="19">
        <f t="shared" si="1"/>
        <v>0</v>
      </c>
      <c r="J148" s="19">
        <f t="shared" si="2"/>
        <v>0</v>
      </c>
    </row>
    <row r="149" ht="22.5" customHeight="1">
      <c r="A149" s="16">
        <v>2.0</v>
      </c>
      <c r="B149" s="16">
        <v>8.0</v>
      </c>
      <c r="C149" s="16">
        <v>0.0</v>
      </c>
      <c r="D149" s="16">
        <v>0.0</v>
      </c>
      <c r="E149" s="16">
        <v>0.0</v>
      </c>
      <c r="F149" s="16">
        <v>0.0</v>
      </c>
      <c r="G149" s="18">
        <v>0.0</v>
      </c>
      <c r="H149" s="16" t="s">
        <v>205</v>
      </c>
      <c r="I149" s="19">
        <f t="shared" si="1"/>
        <v>0</v>
      </c>
      <c r="J149" s="19">
        <f t="shared" si="2"/>
        <v>0</v>
      </c>
    </row>
    <row r="150" ht="22.5" customHeight="1">
      <c r="A150" s="16">
        <v>1.0</v>
      </c>
      <c r="B150" s="16">
        <v>4.0</v>
      </c>
      <c r="C150" s="16">
        <v>1.0</v>
      </c>
      <c r="D150" s="16">
        <v>4.0</v>
      </c>
      <c r="E150" s="16">
        <v>0.0</v>
      </c>
      <c r="F150" s="16">
        <v>0.0</v>
      </c>
      <c r="G150" s="18">
        <v>1.0</v>
      </c>
      <c r="H150" s="16" t="s">
        <v>206</v>
      </c>
      <c r="I150" s="19">
        <f t="shared" si="1"/>
        <v>4</v>
      </c>
      <c r="J150" s="19">
        <f t="shared" si="2"/>
        <v>0</v>
      </c>
    </row>
    <row r="151" ht="22.5" customHeight="1">
      <c r="A151" s="16">
        <v>5.0</v>
      </c>
      <c r="B151" s="16">
        <v>19.0</v>
      </c>
      <c r="C151" s="16">
        <v>14.0</v>
      </c>
      <c r="D151" s="16">
        <v>6.4</v>
      </c>
      <c r="E151" s="16">
        <v>0.2</v>
      </c>
      <c r="F151" s="16">
        <v>0.0</v>
      </c>
      <c r="G151" s="20">
        <v>0.643</v>
      </c>
      <c r="H151" s="16" t="s">
        <v>62</v>
      </c>
      <c r="I151" s="19">
        <f t="shared" si="1"/>
        <v>32</v>
      </c>
      <c r="J151" s="19">
        <f t="shared" si="2"/>
        <v>1</v>
      </c>
    </row>
    <row r="152" ht="22.5" customHeight="1">
      <c r="A152" s="16">
        <v>1.0</v>
      </c>
      <c r="B152" s="16">
        <v>4.0</v>
      </c>
      <c r="C152" s="16">
        <v>0.0</v>
      </c>
      <c r="D152" s="16">
        <v>0.0</v>
      </c>
      <c r="E152" s="16">
        <v>0.0</v>
      </c>
      <c r="F152" s="16">
        <v>0.0</v>
      </c>
      <c r="G152" s="18">
        <v>0.0</v>
      </c>
      <c r="H152" s="16" t="s">
        <v>208</v>
      </c>
      <c r="I152" s="19">
        <f t="shared" si="1"/>
        <v>0</v>
      </c>
      <c r="J152" s="19">
        <f t="shared" si="2"/>
        <v>0</v>
      </c>
    </row>
    <row r="153" ht="22.5" customHeight="1">
      <c r="A153" s="16">
        <v>5.0</v>
      </c>
      <c r="B153" s="16">
        <v>17.0</v>
      </c>
      <c r="C153" s="16">
        <v>1.0</v>
      </c>
      <c r="D153" s="16">
        <v>-0.8</v>
      </c>
      <c r="E153" s="16">
        <v>0.2</v>
      </c>
      <c r="F153" s="16">
        <v>0.0</v>
      </c>
      <c r="G153" s="18">
        <v>0.0</v>
      </c>
      <c r="H153" s="16" t="s">
        <v>209</v>
      </c>
      <c r="I153" s="19">
        <f t="shared" si="1"/>
        <v>-4</v>
      </c>
      <c r="J153" s="19">
        <f t="shared" si="2"/>
        <v>1</v>
      </c>
    </row>
    <row r="154" ht="22.5" customHeight="1">
      <c r="A154" s="16">
        <v>5.0</v>
      </c>
      <c r="B154" s="16">
        <v>17.0</v>
      </c>
      <c r="C154" s="16">
        <v>4.0</v>
      </c>
      <c r="D154" s="16">
        <v>0.0</v>
      </c>
      <c r="E154" s="16">
        <v>0.0</v>
      </c>
      <c r="F154" s="16">
        <v>0.0</v>
      </c>
      <c r="G154" s="18">
        <v>0.0</v>
      </c>
      <c r="H154" s="16" t="s">
        <v>210</v>
      </c>
      <c r="I154" s="19">
        <f t="shared" si="1"/>
        <v>0</v>
      </c>
      <c r="J154" s="19">
        <f t="shared" si="2"/>
        <v>0</v>
      </c>
    </row>
    <row r="155" ht="22.5" customHeight="1">
      <c r="A155" s="16">
        <v>5.0</v>
      </c>
      <c r="B155" s="16">
        <v>17.0</v>
      </c>
      <c r="C155" s="16">
        <v>2.0</v>
      </c>
      <c r="D155" s="16">
        <v>0.0</v>
      </c>
      <c r="E155" s="16">
        <v>0.0</v>
      </c>
      <c r="F155" s="16">
        <v>0.0</v>
      </c>
      <c r="G155" s="18">
        <v>0.0</v>
      </c>
      <c r="H155" s="16" t="s">
        <v>211</v>
      </c>
      <c r="I155" s="19">
        <f t="shared" si="1"/>
        <v>0</v>
      </c>
      <c r="J155" s="19">
        <f t="shared" si="2"/>
        <v>0</v>
      </c>
    </row>
    <row r="156" ht="22.5" customHeight="1">
      <c r="A156" s="16">
        <v>5.0</v>
      </c>
      <c r="B156" s="16">
        <v>17.0</v>
      </c>
      <c r="C156" s="16">
        <v>3.0</v>
      </c>
      <c r="D156" s="16">
        <v>0.8</v>
      </c>
      <c r="E156" s="16">
        <v>0.0</v>
      </c>
      <c r="F156" s="16">
        <v>0.0</v>
      </c>
      <c r="G156" s="20">
        <v>0.333</v>
      </c>
      <c r="H156" s="16" t="s">
        <v>213</v>
      </c>
      <c r="I156" s="19">
        <f t="shared" si="1"/>
        <v>4</v>
      </c>
      <c r="J156" s="19">
        <f t="shared" si="2"/>
        <v>0</v>
      </c>
    </row>
    <row r="157" ht="22.5" customHeight="1">
      <c r="A157" s="16">
        <v>1.0</v>
      </c>
      <c r="B157" s="16">
        <v>4.0</v>
      </c>
      <c r="C157" s="16">
        <v>0.0</v>
      </c>
      <c r="D157" s="16">
        <v>0.0</v>
      </c>
      <c r="E157" s="16">
        <v>0.0</v>
      </c>
      <c r="F157" s="16">
        <v>0.0</v>
      </c>
      <c r="G157" s="18">
        <v>0.0</v>
      </c>
      <c r="H157" s="16" t="s">
        <v>214</v>
      </c>
      <c r="I157" s="19">
        <f t="shared" si="1"/>
        <v>0</v>
      </c>
      <c r="J157" s="19">
        <f t="shared" si="2"/>
        <v>0</v>
      </c>
    </row>
    <row r="158" ht="22.5" customHeight="1">
      <c r="A158" s="16">
        <v>2.0</v>
      </c>
      <c r="B158" s="16">
        <v>8.0</v>
      </c>
      <c r="C158" s="16">
        <v>0.0</v>
      </c>
      <c r="D158" s="16">
        <v>0.0</v>
      </c>
      <c r="E158" s="16">
        <v>0.0</v>
      </c>
      <c r="F158" s="16">
        <v>0.0</v>
      </c>
      <c r="G158" s="18">
        <v>0.0</v>
      </c>
      <c r="H158" s="16" t="s">
        <v>214</v>
      </c>
      <c r="I158" s="19">
        <f t="shared" si="1"/>
        <v>0</v>
      </c>
      <c r="J158" s="19">
        <f t="shared" si="2"/>
        <v>0</v>
      </c>
    </row>
    <row r="159" ht="22.5" customHeight="1">
      <c r="A159" s="16">
        <v>1.0</v>
      </c>
      <c r="B159" s="16">
        <v>4.0</v>
      </c>
      <c r="C159" s="16">
        <v>0.0</v>
      </c>
      <c r="D159" s="16">
        <v>0.0</v>
      </c>
      <c r="E159" s="16">
        <v>0.0</v>
      </c>
      <c r="F159" s="16">
        <v>0.0</v>
      </c>
      <c r="G159" s="18">
        <v>0.0</v>
      </c>
      <c r="H159" s="16" t="s">
        <v>214</v>
      </c>
      <c r="I159" s="19">
        <f t="shared" si="1"/>
        <v>0</v>
      </c>
      <c r="J159" s="19">
        <f t="shared" si="2"/>
        <v>0</v>
      </c>
    </row>
    <row r="160" ht="22.5" customHeight="1">
      <c r="A160" s="16">
        <v>1.0</v>
      </c>
      <c r="B160" s="16">
        <v>4.0</v>
      </c>
      <c r="C160" s="16">
        <v>0.0</v>
      </c>
      <c r="D160" s="16">
        <v>0.0</v>
      </c>
      <c r="E160" s="16">
        <v>0.0</v>
      </c>
      <c r="F160" s="16">
        <v>0.0</v>
      </c>
      <c r="G160" s="18">
        <v>0.0</v>
      </c>
      <c r="H160" s="16" t="s">
        <v>214</v>
      </c>
      <c r="I160" s="19">
        <f t="shared" si="1"/>
        <v>0</v>
      </c>
      <c r="J160" s="19">
        <f t="shared" si="2"/>
        <v>0</v>
      </c>
    </row>
    <row r="161" ht="22.5" customHeight="1">
      <c r="A161" s="16">
        <v>2.0</v>
      </c>
      <c r="B161" s="16">
        <v>8.0</v>
      </c>
      <c r="C161" s="16">
        <v>0.0</v>
      </c>
      <c r="D161" s="16">
        <v>0.0</v>
      </c>
      <c r="E161" s="16">
        <v>0.0</v>
      </c>
      <c r="F161" s="16">
        <v>0.0</v>
      </c>
      <c r="G161" s="18">
        <v>0.0</v>
      </c>
      <c r="H161" s="16" t="s">
        <v>217</v>
      </c>
      <c r="I161" s="19">
        <f t="shared" si="1"/>
        <v>0</v>
      </c>
      <c r="J161" s="19">
        <f t="shared" si="2"/>
        <v>0</v>
      </c>
    </row>
    <row r="162" ht="22.5" customHeight="1">
      <c r="A162" s="16">
        <v>1.0</v>
      </c>
      <c r="B162" s="16">
        <v>4.0</v>
      </c>
      <c r="C162" s="16">
        <v>0.0</v>
      </c>
      <c r="D162" s="16">
        <v>0.0</v>
      </c>
      <c r="E162" s="16">
        <v>0.0</v>
      </c>
      <c r="F162" s="16">
        <v>0.0</v>
      </c>
      <c r="G162" s="18">
        <v>0.0</v>
      </c>
      <c r="H162" s="16" t="s">
        <v>217</v>
      </c>
      <c r="I162" s="19">
        <f t="shared" si="1"/>
        <v>0</v>
      </c>
      <c r="J162" s="19">
        <f t="shared" si="2"/>
        <v>0</v>
      </c>
    </row>
    <row r="163" ht="22.5" customHeight="1">
      <c r="A163" s="16">
        <v>3.0</v>
      </c>
      <c r="B163" s="16">
        <v>12.0</v>
      </c>
      <c r="C163" s="16">
        <v>9.0</v>
      </c>
      <c r="D163" s="16">
        <v>10.67</v>
      </c>
      <c r="E163" s="16">
        <v>0.0</v>
      </c>
      <c r="F163" s="16">
        <v>0.0</v>
      </c>
      <c r="G163" s="20">
        <v>0.889</v>
      </c>
      <c r="H163" s="16" t="s">
        <v>105</v>
      </c>
      <c r="I163" s="19">
        <f t="shared" si="1"/>
        <v>32</v>
      </c>
      <c r="J163" s="19">
        <f t="shared" si="2"/>
        <v>0</v>
      </c>
    </row>
    <row r="164" ht="22.5" customHeight="1">
      <c r="A164" s="16">
        <v>1.0</v>
      </c>
      <c r="B164" s="16">
        <v>4.0</v>
      </c>
      <c r="C164" s="16">
        <v>4.0</v>
      </c>
      <c r="D164" s="16">
        <v>16.0</v>
      </c>
      <c r="E164" s="16">
        <v>0.0</v>
      </c>
      <c r="F164" s="16">
        <v>0.0</v>
      </c>
      <c r="G164" s="18">
        <v>1.0</v>
      </c>
      <c r="H164" s="16" t="s">
        <v>105</v>
      </c>
      <c r="I164" s="19">
        <f t="shared" si="1"/>
        <v>16</v>
      </c>
      <c r="J164" s="19">
        <f t="shared" si="2"/>
        <v>0</v>
      </c>
    </row>
    <row r="165" ht="22.5" customHeight="1">
      <c r="A165" s="16">
        <v>1.0</v>
      </c>
      <c r="B165" s="16">
        <v>4.0</v>
      </c>
      <c r="C165" s="16">
        <v>3.0</v>
      </c>
      <c r="D165" s="16">
        <v>-8.0</v>
      </c>
      <c r="E165" s="16">
        <v>2.0</v>
      </c>
      <c r="F165" s="16">
        <v>0.0</v>
      </c>
      <c r="G165" s="18">
        <v>0.0</v>
      </c>
      <c r="H165" s="16" t="s">
        <v>105</v>
      </c>
      <c r="I165" s="19">
        <f t="shared" si="1"/>
        <v>-8</v>
      </c>
      <c r="J165" s="19">
        <f t="shared" si="2"/>
        <v>2</v>
      </c>
    </row>
    <row r="166" ht="22.5" customHeight="1">
      <c r="A166" s="16">
        <v>1.0</v>
      </c>
      <c r="B166" s="16">
        <v>4.0</v>
      </c>
      <c r="C166" s="16">
        <v>1.0</v>
      </c>
      <c r="D166" s="16">
        <v>4.0</v>
      </c>
      <c r="E166" s="16">
        <v>0.0</v>
      </c>
      <c r="F166" s="16">
        <v>0.0</v>
      </c>
      <c r="G166" s="18">
        <v>1.0</v>
      </c>
      <c r="H166" s="16" t="s">
        <v>219</v>
      </c>
      <c r="I166" s="19">
        <f t="shared" si="1"/>
        <v>4</v>
      </c>
      <c r="J166" s="19">
        <f t="shared" si="2"/>
        <v>0</v>
      </c>
    </row>
    <row r="167" ht="22.5" customHeight="1">
      <c r="A167" s="16">
        <v>1.0</v>
      </c>
      <c r="B167" s="16">
        <v>4.0</v>
      </c>
      <c r="C167" s="16">
        <v>0.0</v>
      </c>
      <c r="D167" s="16">
        <v>0.0</v>
      </c>
      <c r="E167" s="16">
        <v>0.0</v>
      </c>
      <c r="F167" s="16">
        <v>0.0</v>
      </c>
      <c r="G167" s="18">
        <v>0.0</v>
      </c>
      <c r="H167" s="16" t="s">
        <v>220</v>
      </c>
      <c r="I167" s="19">
        <f t="shared" si="1"/>
        <v>0</v>
      </c>
      <c r="J167" s="19">
        <f t="shared" si="2"/>
        <v>0</v>
      </c>
    </row>
    <row r="168" ht="22.5" customHeight="1">
      <c r="A168" s="16">
        <v>2.0</v>
      </c>
      <c r="B168" s="16">
        <v>8.0</v>
      </c>
      <c r="C168" s="16">
        <v>0.0</v>
      </c>
      <c r="D168" s="16">
        <v>0.0</v>
      </c>
      <c r="E168" s="16">
        <v>0.0</v>
      </c>
      <c r="F168" s="16">
        <v>0.0</v>
      </c>
      <c r="G168" s="18">
        <v>0.0</v>
      </c>
      <c r="H168" s="16" t="s">
        <v>220</v>
      </c>
      <c r="I168" s="19">
        <f t="shared" si="1"/>
        <v>0</v>
      </c>
      <c r="J168" s="19">
        <f t="shared" si="2"/>
        <v>0</v>
      </c>
    </row>
    <row r="169" ht="22.5" customHeight="1">
      <c r="A169" s="16">
        <v>1.0</v>
      </c>
      <c r="B169" s="16">
        <v>4.0</v>
      </c>
      <c r="C169" s="16">
        <v>0.0</v>
      </c>
      <c r="D169" s="16">
        <v>0.0</v>
      </c>
      <c r="E169" s="16">
        <v>0.0</v>
      </c>
      <c r="F169" s="16">
        <v>0.0</v>
      </c>
      <c r="G169" s="18">
        <v>0.0</v>
      </c>
      <c r="H169" s="16" t="s">
        <v>220</v>
      </c>
      <c r="I169" s="19">
        <f t="shared" si="1"/>
        <v>0</v>
      </c>
      <c r="J169" s="19">
        <f t="shared" si="2"/>
        <v>0</v>
      </c>
    </row>
    <row r="170" ht="22.5" customHeight="1">
      <c r="A170" s="16">
        <v>1.0</v>
      </c>
      <c r="B170" s="16">
        <v>4.0</v>
      </c>
      <c r="C170" s="16">
        <v>0.0</v>
      </c>
      <c r="D170" s="16">
        <v>0.0</v>
      </c>
      <c r="E170" s="16">
        <v>0.0</v>
      </c>
      <c r="F170" s="16">
        <v>0.0</v>
      </c>
      <c r="G170" s="18">
        <v>0.0</v>
      </c>
      <c r="H170" s="16" t="s">
        <v>220</v>
      </c>
      <c r="I170" s="19">
        <f t="shared" si="1"/>
        <v>0</v>
      </c>
      <c r="J170" s="19">
        <f t="shared" si="2"/>
        <v>0</v>
      </c>
    </row>
    <row r="171" ht="22.5" customHeight="1">
      <c r="A171" s="16">
        <v>4.0</v>
      </c>
      <c r="B171" s="16">
        <v>15.0</v>
      </c>
      <c r="C171" s="16">
        <v>2.0</v>
      </c>
      <c r="D171" s="16">
        <v>2.0</v>
      </c>
      <c r="E171" s="16">
        <v>0.0</v>
      </c>
      <c r="F171" s="16">
        <v>0.0</v>
      </c>
      <c r="G171" s="18">
        <v>1.0</v>
      </c>
      <c r="H171" s="16" t="s">
        <v>222</v>
      </c>
      <c r="I171" s="19">
        <f t="shared" si="1"/>
        <v>8</v>
      </c>
      <c r="J171" s="19">
        <f t="shared" si="2"/>
        <v>0</v>
      </c>
    </row>
    <row r="172" ht="22.5" customHeight="1">
      <c r="A172" s="16">
        <v>1.0</v>
      </c>
      <c r="B172" s="16">
        <v>4.0</v>
      </c>
      <c r="C172" s="16">
        <v>0.0</v>
      </c>
      <c r="D172" s="16">
        <v>0.0</v>
      </c>
      <c r="E172" s="16">
        <v>0.0</v>
      </c>
      <c r="F172" s="16">
        <v>0.0</v>
      </c>
      <c r="G172" s="18">
        <v>0.0</v>
      </c>
      <c r="H172" s="16" t="s">
        <v>222</v>
      </c>
      <c r="I172" s="19">
        <f t="shared" si="1"/>
        <v>0</v>
      </c>
      <c r="J172" s="19">
        <f t="shared" si="2"/>
        <v>0</v>
      </c>
    </row>
    <row r="173" ht="22.5" customHeight="1">
      <c r="A173" s="16">
        <v>2.0</v>
      </c>
      <c r="B173" s="16">
        <v>7.0</v>
      </c>
      <c r="C173" s="16">
        <v>0.0</v>
      </c>
      <c r="D173" s="16">
        <v>0.0</v>
      </c>
      <c r="E173" s="16">
        <v>0.0</v>
      </c>
      <c r="F173" s="16">
        <v>0.0</v>
      </c>
      <c r="G173" s="18">
        <v>0.0</v>
      </c>
      <c r="H173" s="16" t="s">
        <v>224</v>
      </c>
      <c r="I173" s="19">
        <f t="shared" si="1"/>
        <v>0</v>
      </c>
      <c r="J173" s="19">
        <f t="shared" si="2"/>
        <v>0</v>
      </c>
    </row>
    <row r="174" ht="22.5" customHeight="1">
      <c r="A174" s="16">
        <v>5.0</v>
      </c>
      <c r="B174" s="16">
        <v>19.0</v>
      </c>
      <c r="C174" s="16">
        <v>15.0</v>
      </c>
      <c r="D174" s="16">
        <v>12.0</v>
      </c>
      <c r="E174" s="16">
        <v>0.0</v>
      </c>
      <c r="F174" s="16">
        <v>0.0</v>
      </c>
      <c r="G174" s="18">
        <v>1.0</v>
      </c>
      <c r="H174" s="16" t="s">
        <v>47</v>
      </c>
      <c r="I174" s="19">
        <f t="shared" si="1"/>
        <v>60</v>
      </c>
      <c r="J174" s="19">
        <f t="shared" si="2"/>
        <v>0</v>
      </c>
    </row>
    <row r="175" ht="22.5" customHeight="1">
      <c r="A175" s="16">
        <v>1.0</v>
      </c>
      <c r="B175" s="16">
        <v>4.0</v>
      </c>
      <c r="C175" s="16">
        <v>0.0</v>
      </c>
      <c r="D175" s="16">
        <v>0.0</v>
      </c>
      <c r="E175" s="16">
        <v>0.0</v>
      </c>
      <c r="F175" s="16">
        <v>0.0</v>
      </c>
      <c r="G175" s="18">
        <v>0.0</v>
      </c>
      <c r="H175" s="16" t="s">
        <v>225</v>
      </c>
      <c r="I175" s="19">
        <f t="shared" si="1"/>
        <v>0</v>
      </c>
      <c r="J175" s="19">
        <f t="shared" si="2"/>
        <v>0</v>
      </c>
    </row>
    <row r="176" ht="22.5" customHeight="1">
      <c r="A176" s="16">
        <v>1.0</v>
      </c>
      <c r="B176" s="16">
        <v>4.0</v>
      </c>
      <c r="C176" s="16">
        <v>1.0</v>
      </c>
      <c r="D176" s="16">
        <v>4.0</v>
      </c>
      <c r="E176" s="16">
        <v>0.0</v>
      </c>
      <c r="F176" s="16">
        <v>0.0</v>
      </c>
      <c r="G176" s="18">
        <v>1.0</v>
      </c>
      <c r="H176" s="16" t="s">
        <v>226</v>
      </c>
      <c r="I176" s="19">
        <f t="shared" si="1"/>
        <v>4</v>
      </c>
      <c r="J176" s="19">
        <f t="shared" si="2"/>
        <v>0</v>
      </c>
    </row>
    <row r="177" ht="22.5" customHeight="1">
      <c r="A177" s="16">
        <v>3.0</v>
      </c>
      <c r="B177" s="16">
        <v>11.0</v>
      </c>
      <c r="C177" s="16">
        <v>1.0</v>
      </c>
      <c r="D177" s="16">
        <v>0.0</v>
      </c>
      <c r="E177" s="16">
        <v>0.0</v>
      </c>
      <c r="F177" s="16">
        <v>0.0</v>
      </c>
      <c r="G177" s="18">
        <v>0.0</v>
      </c>
      <c r="H177" s="16" t="s">
        <v>226</v>
      </c>
      <c r="I177" s="19">
        <f t="shared" si="1"/>
        <v>0</v>
      </c>
      <c r="J177" s="19">
        <f t="shared" si="2"/>
        <v>0</v>
      </c>
    </row>
    <row r="178" ht="22.5" customHeight="1">
      <c r="A178" s="16">
        <v>1.0</v>
      </c>
      <c r="B178" s="16">
        <v>4.0</v>
      </c>
      <c r="C178" s="16">
        <v>1.0</v>
      </c>
      <c r="D178" s="16">
        <v>4.0</v>
      </c>
      <c r="E178" s="16">
        <v>0.0</v>
      </c>
      <c r="F178" s="16">
        <v>0.0</v>
      </c>
      <c r="G178" s="18">
        <v>1.0</v>
      </c>
      <c r="H178" s="16" t="s">
        <v>227</v>
      </c>
      <c r="I178" s="19">
        <f t="shared" si="1"/>
        <v>4</v>
      </c>
      <c r="J178" s="19">
        <f t="shared" si="2"/>
        <v>0</v>
      </c>
    </row>
    <row r="179" ht="22.5" customHeight="1">
      <c r="A179" s="16">
        <v>1.0</v>
      </c>
      <c r="B179" s="16">
        <v>4.0</v>
      </c>
      <c r="C179" s="16">
        <v>0.0</v>
      </c>
      <c r="D179" s="16">
        <v>0.0</v>
      </c>
      <c r="E179" s="16">
        <v>0.0</v>
      </c>
      <c r="F179" s="16">
        <v>0.0</v>
      </c>
      <c r="G179" s="18">
        <v>0.0</v>
      </c>
      <c r="H179" s="16" t="s">
        <v>227</v>
      </c>
      <c r="I179" s="19">
        <f t="shared" si="1"/>
        <v>0</v>
      </c>
      <c r="J179" s="19">
        <f t="shared" si="2"/>
        <v>0</v>
      </c>
    </row>
    <row r="180" ht="22.5" customHeight="1">
      <c r="A180" s="16">
        <v>3.0</v>
      </c>
      <c r="B180" s="16">
        <v>11.0</v>
      </c>
      <c r="C180" s="16">
        <v>1.0</v>
      </c>
      <c r="D180" s="16">
        <v>0.0</v>
      </c>
      <c r="E180" s="16">
        <v>0.0</v>
      </c>
      <c r="F180" s="16">
        <v>0.0</v>
      </c>
      <c r="G180" s="18">
        <v>0.0</v>
      </c>
      <c r="H180" s="16" t="s">
        <v>227</v>
      </c>
      <c r="I180" s="19">
        <f t="shared" si="1"/>
        <v>0</v>
      </c>
      <c r="J180" s="19">
        <f t="shared" si="2"/>
        <v>0</v>
      </c>
    </row>
    <row r="181" ht="22.5" customHeight="1">
      <c r="A181" s="16">
        <v>1.0</v>
      </c>
      <c r="B181" s="16">
        <v>4.0</v>
      </c>
      <c r="C181" s="16">
        <v>0.0</v>
      </c>
      <c r="D181" s="16">
        <v>0.0</v>
      </c>
      <c r="E181" s="16">
        <v>0.0</v>
      </c>
      <c r="F181" s="16">
        <v>0.0</v>
      </c>
      <c r="G181" s="18">
        <v>0.0</v>
      </c>
      <c r="H181" s="16" t="s">
        <v>229</v>
      </c>
      <c r="I181" s="19">
        <f t="shared" si="1"/>
        <v>0</v>
      </c>
      <c r="J181" s="19">
        <f t="shared" si="2"/>
        <v>0</v>
      </c>
    </row>
    <row r="182" ht="22.5" customHeight="1">
      <c r="A182" s="16">
        <v>1.0</v>
      </c>
      <c r="B182" s="16">
        <v>4.0</v>
      </c>
      <c r="C182" s="16">
        <v>1.0</v>
      </c>
      <c r="D182" s="16">
        <v>0.0</v>
      </c>
      <c r="E182" s="16">
        <v>0.0</v>
      </c>
      <c r="F182" s="16">
        <v>0.0</v>
      </c>
      <c r="G182" s="18">
        <v>0.0</v>
      </c>
      <c r="H182" s="16" t="s">
        <v>229</v>
      </c>
      <c r="I182" s="19">
        <f t="shared" si="1"/>
        <v>0</v>
      </c>
      <c r="J182" s="19">
        <f t="shared" si="2"/>
        <v>0</v>
      </c>
    </row>
    <row r="183" ht="22.5" customHeight="1">
      <c r="A183" s="16">
        <v>2.0</v>
      </c>
      <c r="B183" s="16">
        <v>7.0</v>
      </c>
      <c r="C183" s="16">
        <v>0.0</v>
      </c>
      <c r="D183" s="16">
        <v>0.0</v>
      </c>
      <c r="E183" s="16">
        <v>0.0</v>
      </c>
      <c r="F183" s="16">
        <v>0.0</v>
      </c>
      <c r="G183" s="18">
        <v>0.0</v>
      </c>
      <c r="H183" s="16" t="s">
        <v>229</v>
      </c>
      <c r="I183" s="19">
        <f t="shared" si="1"/>
        <v>0</v>
      </c>
      <c r="J183" s="19">
        <f t="shared" si="2"/>
        <v>0</v>
      </c>
    </row>
    <row r="184" ht="22.5" customHeight="1">
      <c r="A184" s="16">
        <v>1.0</v>
      </c>
      <c r="B184" s="16">
        <v>4.0</v>
      </c>
      <c r="C184" s="16">
        <v>0.0</v>
      </c>
      <c r="D184" s="16">
        <v>0.0</v>
      </c>
      <c r="E184" s="16">
        <v>0.0</v>
      </c>
      <c r="F184" s="16">
        <v>0.0</v>
      </c>
      <c r="G184" s="18">
        <v>0.0</v>
      </c>
      <c r="H184" s="16" t="s">
        <v>232</v>
      </c>
      <c r="I184" s="19">
        <f t="shared" si="1"/>
        <v>0</v>
      </c>
      <c r="J184" s="19">
        <f t="shared" si="2"/>
        <v>0</v>
      </c>
    </row>
    <row r="185" ht="22.5" customHeight="1">
      <c r="A185" s="16">
        <v>1.0</v>
      </c>
      <c r="B185" s="16">
        <v>4.0</v>
      </c>
      <c r="C185" s="16">
        <v>0.0</v>
      </c>
      <c r="D185" s="16">
        <v>0.0</v>
      </c>
      <c r="E185" s="16">
        <v>0.0</v>
      </c>
      <c r="F185" s="16">
        <v>0.0</v>
      </c>
      <c r="G185" s="18">
        <v>0.0</v>
      </c>
      <c r="H185" s="16" t="s">
        <v>232</v>
      </c>
      <c r="I185" s="19">
        <f t="shared" si="1"/>
        <v>0</v>
      </c>
      <c r="J185" s="19">
        <f t="shared" si="2"/>
        <v>0</v>
      </c>
    </row>
    <row r="186" ht="22.5" customHeight="1">
      <c r="A186" s="16">
        <v>3.0</v>
      </c>
      <c r="B186" s="16">
        <v>11.0</v>
      </c>
      <c r="C186" s="16">
        <v>0.0</v>
      </c>
      <c r="D186" s="16">
        <v>0.0</v>
      </c>
      <c r="E186" s="16">
        <v>0.0</v>
      </c>
      <c r="F186" s="16">
        <v>0.0</v>
      </c>
      <c r="G186" s="18">
        <v>0.0</v>
      </c>
      <c r="H186" s="16" t="s">
        <v>232</v>
      </c>
      <c r="I186" s="19">
        <f t="shared" si="1"/>
        <v>0</v>
      </c>
      <c r="J186" s="19">
        <f t="shared" si="2"/>
        <v>0</v>
      </c>
    </row>
    <row r="187" ht="22.5" customHeight="1">
      <c r="A187" s="16">
        <v>1.0</v>
      </c>
      <c r="B187" s="16">
        <v>4.0</v>
      </c>
      <c r="C187" s="16">
        <v>0.0</v>
      </c>
      <c r="D187" s="16">
        <v>0.0</v>
      </c>
      <c r="E187" s="16">
        <v>0.0</v>
      </c>
      <c r="F187" s="16">
        <v>0.0</v>
      </c>
      <c r="G187" s="18">
        <v>0.0</v>
      </c>
      <c r="H187" s="16" t="s">
        <v>233</v>
      </c>
      <c r="I187" s="19">
        <f t="shared" si="1"/>
        <v>0</v>
      </c>
      <c r="J187" s="19">
        <f t="shared" si="2"/>
        <v>0</v>
      </c>
    </row>
    <row r="188" ht="22.5" customHeight="1">
      <c r="A188" s="16">
        <v>1.0</v>
      </c>
      <c r="B188" s="16">
        <v>4.0</v>
      </c>
      <c r="C188" s="16">
        <v>0.0</v>
      </c>
      <c r="D188" s="16">
        <v>0.0</v>
      </c>
      <c r="E188" s="16">
        <v>0.0</v>
      </c>
      <c r="F188" s="16">
        <v>0.0</v>
      </c>
      <c r="G188" s="18">
        <v>0.0</v>
      </c>
      <c r="H188" s="16" t="s">
        <v>233</v>
      </c>
      <c r="I188" s="19">
        <f t="shared" si="1"/>
        <v>0</v>
      </c>
      <c r="J188" s="19">
        <f t="shared" si="2"/>
        <v>0</v>
      </c>
    </row>
    <row r="189" ht="22.5" customHeight="1">
      <c r="A189" s="16">
        <v>1.0</v>
      </c>
      <c r="B189" s="16">
        <v>4.0</v>
      </c>
      <c r="C189" s="16">
        <v>0.0</v>
      </c>
      <c r="D189" s="16">
        <v>0.0</v>
      </c>
      <c r="E189" s="16">
        <v>0.0</v>
      </c>
      <c r="F189" s="16">
        <v>0.0</v>
      </c>
      <c r="G189" s="18">
        <v>0.0</v>
      </c>
      <c r="H189" s="16" t="s">
        <v>233</v>
      </c>
      <c r="I189" s="19">
        <f t="shared" si="1"/>
        <v>0</v>
      </c>
      <c r="J189" s="19">
        <f t="shared" si="2"/>
        <v>0</v>
      </c>
    </row>
    <row r="190" ht="22.5" customHeight="1">
      <c r="A190" s="16">
        <v>1.0</v>
      </c>
      <c r="B190" s="16">
        <v>4.0</v>
      </c>
      <c r="C190" s="16">
        <v>0.0</v>
      </c>
      <c r="D190" s="16">
        <v>0.0</v>
      </c>
      <c r="E190" s="16">
        <v>0.0</v>
      </c>
      <c r="F190" s="16">
        <v>0.0</v>
      </c>
      <c r="G190" s="18">
        <v>0.0</v>
      </c>
      <c r="H190" s="16" t="s">
        <v>233</v>
      </c>
      <c r="I190" s="19">
        <f t="shared" si="1"/>
        <v>0</v>
      </c>
      <c r="J190" s="19">
        <f t="shared" si="2"/>
        <v>0</v>
      </c>
    </row>
    <row r="191" ht="22.5" customHeight="1">
      <c r="A191" s="16">
        <v>2.0</v>
      </c>
      <c r="B191" s="16">
        <v>7.0</v>
      </c>
      <c r="C191" s="16">
        <v>0.0</v>
      </c>
      <c r="D191" s="16">
        <v>0.0</v>
      </c>
      <c r="E191" s="16">
        <v>0.0</v>
      </c>
      <c r="F191" s="16">
        <v>0.0</v>
      </c>
      <c r="G191" s="18">
        <v>0.0</v>
      </c>
      <c r="H191" s="16" t="s">
        <v>234</v>
      </c>
      <c r="I191" s="19">
        <f t="shared" si="1"/>
        <v>0</v>
      </c>
      <c r="J191" s="19">
        <f t="shared" si="2"/>
        <v>0</v>
      </c>
    </row>
    <row r="192" ht="22.5" customHeight="1">
      <c r="A192" s="16">
        <v>1.0</v>
      </c>
      <c r="B192" s="16">
        <v>4.0</v>
      </c>
      <c r="C192" s="16">
        <v>0.0</v>
      </c>
      <c r="D192" s="16">
        <v>0.0</v>
      </c>
      <c r="E192" s="16">
        <v>0.0</v>
      </c>
      <c r="F192" s="16">
        <v>0.0</v>
      </c>
      <c r="G192" s="18">
        <v>0.0</v>
      </c>
      <c r="H192" s="16" t="s">
        <v>153</v>
      </c>
      <c r="I192" s="19">
        <f t="shared" si="1"/>
        <v>0</v>
      </c>
      <c r="J192" s="19">
        <f t="shared" si="2"/>
        <v>0</v>
      </c>
    </row>
    <row r="193" ht="22.5" customHeight="1">
      <c r="A193" s="16">
        <v>4.0</v>
      </c>
      <c r="B193" s="16">
        <v>15.0</v>
      </c>
      <c r="C193" s="16">
        <v>8.0</v>
      </c>
      <c r="D193" s="16">
        <v>1.0</v>
      </c>
      <c r="E193" s="16">
        <v>0.0</v>
      </c>
      <c r="F193" s="16">
        <v>0.0</v>
      </c>
      <c r="G193" s="20">
        <v>0.125</v>
      </c>
      <c r="H193" s="16" t="s">
        <v>235</v>
      </c>
      <c r="I193" s="19">
        <f t="shared" si="1"/>
        <v>4</v>
      </c>
      <c r="J193" s="19">
        <f t="shared" si="2"/>
        <v>0</v>
      </c>
    </row>
    <row r="194" ht="22.5" customHeight="1">
      <c r="A194" s="16">
        <v>4.0</v>
      </c>
      <c r="B194" s="16">
        <v>15.0</v>
      </c>
      <c r="C194" s="16">
        <v>0.0</v>
      </c>
      <c r="D194" s="16">
        <v>0.0</v>
      </c>
      <c r="E194" s="16">
        <v>0.0</v>
      </c>
      <c r="F194" s="16">
        <v>0.0</v>
      </c>
      <c r="G194" s="18">
        <v>0.0</v>
      </c>
      <c r="H194" s="16" t="s">
        <v>202</v>
      </c>
      <c r="I194" s="19">
        <f t="shared" si="1"/>
        <v>0</v>
      </c>
      <c r="J194" s="19">
        <f t="shared" si="2"/>
        <v>0</v>
      </c>
    </row>
    <row r="195" ht="22.5" customHeight="1">
      <c r="A195" s="16">
        <v>1.0</v>
      </c>
      <c r="B195" s="16">
        <v>4.0</v>
      </c>
      <c r="C195" s="16">
        <v>0.0</v>
      </c>
      <c r="D195" s="16">
        <v>0.0</v>
      </c>
      <c r="E195" s="16">
        <v>0.0</v>
      </c>
      <c r="F195" s="16">
        <v>0.0</v>
      </c>
      <c r="G195" s="18">
        <v>0.0</v>
      </c>
      <c r="H195" s="16" t="s">
        <v>202</v>
      </c>
      <c r="I195" s="19">
        <f t="shared" si="1"/>
        <v>0</v>
      </c>
      <c r="J195" s="19">
        <f t="shared" si="2"/>
        <v>0</v>
      </c>
    </row>
    <row r="196" ht="22.5" customHeight="1">
      <c r="A196" s="16">
        <v>3.0</v>
      </c>
      <c r="B196" s="16">
        <v>11.0</v>
      </c>
      <c r="C196" s="16">
        <v>0.0</v>
      </c>
      <c r="D196" s="16">
        <v>0.0</v>
      </c>
      <c r="E196" s="16">
        <v>0.0</v>
      </c>
      <c r="F196" s="16">
        <v>0.0</v>
      </c>
      <c r="G196" s="18">
        <v>0.0</v>
      </c>
      <c r="H196" s="16" t="s">
        <v>135</v>
      </c>
      <c r="I196" s="19">
        <f t="shared" si="1"/>
        <v>0</v>
      </c>
      <c r="J196" s="19">
        <f t="shared" si="2"/>
        <v>0</v>
      </c>
    </row>
    <row r="197" ht="22.5" customHeight="1">
      <c r="A197" s="16">
        <v>1.0</v>
      </c>
      <c r="B197" s="16">
        <v>4.0</v>
      </c>
      <c r="C197" s="16">
        <v>0.0</v>
      </c>
      <c r="D197" s="16">
        <v>0.0</v>
      </c>
      <c r="E197" s="16">
        <v>0.0</v>
      </c>
      <c r="F197" s="16">
        <v>0.0</v>
      </c>
      <c r="G197" s="18">
        <v>0.0</v>
      </c>
      <c r="H197" s="16" t="s">
        <v>135</v>
      </c>
      <c r="I197" s="19">
        <f t="shared" si="1"/>
        <v>0</v>
      </c>
      <c r="J197" s="19">
        <f t="shared" si="2"/>
        <v>0</v>
      </c>
    </row>
    <row r="198" ht="22.5" customHeight="1">
      <c r="A198" s="16">
        <v>1.0</v>
      </c>
      <c r="B198" s="16">
        <v>4.0</v>
      </c>
      <c r="C198" s="16">
        <v>0.0</v>
      </c>
      <c r="D198" s="16">
        <v>0.0</v>
      </c>
      <c r="E198" s="16">
        <v>0.0</v>
      </c>
      <c r="F198" s="16">
        <v>0.0</v>
      </c>
      <c r="G198" s="18">
        <v>0.0</v>
      </c>
      <c r="H198" s="16" t="s">
        <v>236</v>
      </c>
      <c r="I198" s="19">
        <f t="shared" si="1"/>
        <v>0</v>
      </c>
      <c r="J198" s="19">
        <f t="shared" si="2"/>
        <v>0</v>
      </c>
    </row>
    <row r="199" ht="22.5" customHeight="1">
      <c r="A199" s="16">
        <v>1.0</v>
      </c>
      <c r="B199" s="16">
        <v>4.0</v>
      </c>
      <c r="C199" s="16">
        <v>0.0</v>
      </c>
      <c r="D199" s="16">
        <v>0.0</v>
      </c>
      <c r="E199" s="16">
        <v>0.0</v>
      </c>
      <c r="F199" s="16">
        <v>0.0</v>
      </c>
      <c r="G199" s="18">
        <v>0.0</v>
      </c>
      <c r="H199" s="16" t="s">
        <v>236</v>
      </c>
      <c r="I199" s="19">
        <f t="shared" si="1"/>
        <v>0</v>
      </c>
      <c r="J199" s="19">
        <f t="shared" si="2"/>
        <v>0</v>
      </c>
    </row>
    <row r="200" ht="22.5" customHeight="1">
      <c r="A200" s="16">
        <v>1.0</v>
      </c>
      <c r="B200" s="16">
        <v>4.0</v>
      </c>
      <c r="C200" s="16">
        <v>0.0</v>
      </c>
      <c r="D200" s="16">
        <v>0.0</v>
      </c>
      <c r="E200" s="16">
        <v>0.0</v>
      </c>
      <c r="F200" s="16">
        <v>0.0</v>
      </c>
      <c r="G200" s="18">
        <v>0.0</v>
      </c>
      <c r="H200" s="16" t="s">
        <v>237</v>
      </c>
      <c r="I200" s="19">
        <f t="shared" si="1"/>
        <v>0</v>
      </c>
      <c r="J200" s="19">
        <f t="shared" si="2"/>
        <v>0</v>
      </c>
    </row>
    <row r="201" ht="22.5" customHeight="1">
      <c r="A201" s="16">
        <v>5.0</v>
      </c>
      <c r="B201" s="16">
        <v>20.0</v>
      </c>
      <c r="C201" s="16">
        <v>0.0</v>
      </c>
      <c r="D201" s="16">
        <v>0.0</v>
      </c>
      <c r="E201" s="16">
        <v>0.0</v>
      </c>
      <c r="F201" s="16">
        <v>0.0</v>
      </c>
      <c r="G201" s="18">
        <v>0.0</v>
      </c>
      <c r="H201" s="16" t="s">
        <v>182</v>
      </c>
      <c r="I201" s="19">
        <f t="shared" si="1"/>
        <v>0</v>
      </c>
      <c r="J201" s="19">
        <f t="shared" si="2"/>
        <v>0</v>
      </c>
    </row>
    <row r="202" ht="22.5" customHeight="1">
      <c r="A202" s="16">
        <v>5.0</v>
      </c>
      <c r="B202" s="16">
        <v>20.0</v>
      </c>
      <c r="C202" s="16">
        <v>10.0</v>
      </c>
      <c r="D202" s="16">
        <v>2.4</v>
      </c>
      <c r="E202" s="16">
        <v>0.2</v>
      </c>
      <c r="F202" s="16">
        <v>0.0</v>
      </c>
      <c r="G202" s="18">
        <v>0.4</v>
      </c>
      <c r="H202" s="16" t="s">
        <v>204</v>
      </c>
      <c r="I202" s="19">
        <f t="shared" si="1"/>
        <v>12</v>
      </c>
      <c r="J202" s="19">
        <f t="shared" si="2"/>
        <v>1</v>
      </c>
    </row>
    <row r="203" ht="22.5" customHeight="1">
      <c r="A203" s="16">
        <v>3.0</v>
      </c>
      <c r="B203" s="16">
        <v>12.0</v>
      </c>
      <c r="C203" s="16">
        <v>1.0</v>
      </c>
      <c r="D203" s="16">
        <v>0.0</v>
      </c>
      <c r="E203" s="16">
        <v>0.0</v>
      </c>
      <c r="F203" s="16">
        <v>0.0</v>
      </c>
      <c r="G203" s="18">
        <v>0.0</v>
      </c>
      <c r="H203" s="16" t="s">
        <v>238</v>
      </c>
      <c r="I203" s="19">
        <f t="shared" si="1"/>
        <v>0</v>
      </c>
      <c r="J203" s="19">
        <f t="shared" si="2"/>
        <v>0</v>
      </c>
    </row>
    <row r="204" ht="22.5" customHeight="1">
      <c r="A204" s="16">
        <v>5.0</v>
      </c>
      <c r="B204" s="16">
        <v>19.0</v>
      </c>
      <c r="C204" s="16">
        <v>2.0</v>
      </c>
      <c r="D204" s="16">
        <v>0.8</v>
      </c>
      <c r="E204" s="16">
        <v>0.0</v>
      </c>
      <c r="F204" s="16">
        <v>0.0</v>
      </c>
      <c r="G204" s="18">
        <v>0.5</v>
      </c>
      <c r="H204" s="16" t="s">
        <v>149</v>
      </c>
      <c r="I204" s="19">
        <f t="shared" si="1"/>
        <v>4</v>
      </c>
      <c r="J204" s="19">
        <f t="shared" si="2"/>
        <v>0</v>
      </c>
    </row>
    <row r="205" ht="22.5" customHeight="1">
      <c r="A205" s="16">
        <v>3.0</v>
      </c>
      <c r="B205" s="16">
        <v>12.0</v>
      </c>
      <c r="C205" s="16">
        <v>5.0</v>
      </c>
      <c r="D205" s="16">
        <v>4.0</v>
      </c>
      <c r="E205" s="16">
        <v>0.0</v>
      </c>
      <c r="F205" s="16">
        <v>0.0</v>
      </c>
      <c r="G205" s="18">
        <v>0.6</v>
      </c>
      <c r="H205" s="16" t="s">
        <v>240</v>
      </c>
      <c r="I205" s="19">
        <f t="shared" si="1"/>
        <v>12</v>
      </c>
      <c r="J205" s="19">
        <f t="shared" si="2"/>
        <v>0</v>
      </c>
    </row>
    <row r="206" ht="22.5" customHeight="1">
      <c r="A206" s="16">
        <v>1.0</v>
      </c>
      <c r="B206" s="16">
        <v>4.0</v>
      </c>
      <c r="C206" s="16">
        <v>0.0</v>
      </c>
      <c r="D206" s="16">
        <v>0.0</v>
      </c>
      <c r="E206" s="16">
        <v>0.0</v>
      </c>
      <c r="F206" s="16">
        <v>0.0</v>
      </c>
      <c r="G206" s="18">
        <v>0.0</v>
      </c>
      <c r="H206" s="16" t="s">
        <v>242</v>
      </c>
      <c r="I206" s="19">
        <f t="shared" si="1"/>
        <v>0</v>
      </c>
      <c r="J206" s="19">
        <f t="shared" si="2"/>
        <v>0</v>
      </c>
    </row>
    <row r="207" ht="22.5" customHeight="1">
      <c r="A207" s="16">
        <v>1.0</v>
      </c>
      <c r="B207" s="16">
        <v>4.0</v>
      </c>
      <c r="C207" s="16">
        <v>0.0</v>
      </c>
      <c r="D207" s="16">
        <v>0.0</v>
      </c>
      <c r="E207" s="16">
        <v>0.0</v>
      </c>
      <c r="F207" s="16">
        <v>0.0</v>
      </c>
      <c r="G207" s="18">
        <v>0.0</v>
      </c>
      <c r="H207" s="16" t="s">
        <v>243</v>
      </c>
      <c r="I207" s="19">
        <f t="shared" si="1"/>
        <v>0</v>
      </c>
      <c r="J207" s="19">
        <f t="shared" si="2"/>
        <v>0</v>
      </c>
    </row>
    <row r="208" ht="22.5" customHeight="1">
      <c r="A208" s="16">
        <v>3.0</v>
      </c>
      <c r="B208" s="16">
        <v>12.0</v>
      </c>
      <c r="C208" s="16">
        <v>0.0</v>
      </c>
      <c r="D208" s="16">
        <v>0.0</v>
      </c>
      <c r="E208" s="16">
        <v>0.0</v>
      </c>
      <c r="F208" s="16">
        <v>0.0</v>
      </c>
      <c r="G208" s="18">
        <v>0.0</v>
      </c>
      <c r="H208" s="16" t="s">
        <v>244</v>
      </c>
      <c r="I208" s="19">
        <f t="shared" si="1"/>
        <v>0</v>
      </c>
      <c r="J208" s="19">
        <f t="shared" si="2"/>
        <v>0</v>
      </c>
    </row>
    <row r="209" ht="22.5" customHeight="1">
      <c r="A209" s="16">
        <v>2.0</v>
      </c>
      <c r="B209" s="16">
        <v>8.0</v>
      </c>
      <c r="C209" s="16">
        <v>0.0</v>
      </c>
      <c r="D209" s="16">
        <v>0.0</v>
      </c>
      <c r="E209" s="16">
        <v>0.0</v>
      </c>
      <c r="F209" s="16">
        <v>0.0</v>
      </c>
      <c r="G209" s="18">
        <v>0.0</v>
      </c>
      <c r="H209" s="16" t="s">
        <v>244</v>
      </c>
      <c r="I209" s="19">
        <f t="shared" si="1"/>
        <v>0</v>
      </c>
      <c r="J209" s="19">
        <f t="shared" si="2"/>
        <v>0</v>
      </c>
    </row>
    <row r="210" ht="22.5" customHeight="1">
      <c r="A210" s="16">
        <v>3.0</v>
      </c>
      <c r="B210" s="16">
        <v>12.0</v>
      </c>
      <c r="C210" s="16">
        <v>0.0</v>
      </c>
      <c r="D210" s="16">
        <v>0.0</v>
      </c>
      <c r="E210" s="16">
        <v>0.0</v>
      </c>
      <c r="F210" s="16">
        <v>0.0</v>
      </c>
      <c r="G210" s="18">
        <v>0.0</v>
      </c>
      <c r="H210" s="16" t="s">
        <v>185</v>
      </c>
      <c r="I210" s="19">
        <f t="shared" si="1"/>
        <v>0</v>
      </c>
      <c r="J210" s="19">
        <f t="shared" si="2"/>
        <v>0</v>
      </c>
    </row>
    <row r="211" ht="22.5" customHeight="1">
      <c r="A211" s="16">
        <v>2.0</v>
      </c>
      <c r="B211" s="16">
        <v>8.0</v>
      </c>
      <c r="C211" s="16">
        <v>0.0</v>
      </c>
      <c r="D211" s="16">
        <v>0.0</v>
      </c>
      <c r="E211" s="16">
        <v>0.0</v>
      </c>
      <c r="F211" s="16">
        <v>0.0</v>
      </c>
      <c r="G211" s="18">
        <v>0.0</v>
      </c>
      <c r="H211" s="16" t="s">
        <v>185</v>
      </c>
      <c r="I211" s="19">
        <f t="shared" si="1"/>
        <v>0</v>
      </c>
      <c r="J211" s="19">
        <f t="shared" si="2"/>
        <v>0</v>
      </c>
    </row>
    <row r="212" ht="22.5" customHeight="1">
      <c r="A212" s="16">
        <v>3.0</v>
      </c>
      <c r="B212" s="16">
        <v>12.0</v>
      </c>
      <c r="C212" s="16">
        <v>4.0</v>
      </c>
      <c r="D212" s="16">
        <v>4.0</v>
      </c>
      <c r="E212" s="16">
        <v>0.0</v>
      </c>
      <c r="F212" s="16">
        <v>0.0</v>
      </c>
      <c r="G212" s="18">
        <v>0.75</v>
      </c>
      <c r="H212" s="16" t="s">
        <v>248</v>
      </c>
      <c r="I212" s="19">
        <f t="shared" si="1"/>
        <v>12</v>
      </c>
      <c r="J212" s="19">
        <f t="shared" si="2"/>
        <v>0</v>
      </c>
    </row>
    <row r="213" ht="22.5" customHeight="1">
      <c r="A213" s="16">
        <v>2.0</v>
      </c>
      <c r="B213" s="16">
        <v>8.0</v>
      </c>
      <c r="C213" s="16">
        <v>3.0</v>
      </c>
      <c r="D213" s="16">
        <v>0.0</v>
      </c>
      <c r="E213" s="16">
        <v>0.0</v>
      </c>
      <c r="F213" s="16">
        <v>0.0</v>
      </c>
      <c r="G213" s="18">
        <v>0.0</v>
      </c>
      <c r="H213" s="16" t="s">
        <v>248</v>
      </c>
      <c r="I213" s="19">
        <f t="shared" si="1"/>
        <v>0</v>
      </c>
      <c r="J213" s="19">
        <f t="shared" si="2"/>
        <v>0</v>
      </c>
    </row>
    <row r="214" ht="22.5" customHeight="1">
      <c r="A214" s="16">
        <v>2.0</v>
      </c>
      <c r="B214" s="16">
        <v>8.0</v>
      </c>
      <c r="C214" s="16">
        <v>2.0</v>
      </c>
      <c r="D214" s="16">
        <v>0.0</v>
      </c>
      <c r="E214" s="16">
        <v>0.5</v>
      </c>
      <c r="F214" s="16">
        <v>0.0</v>
      </c>
      <c r="G214" s="18">
        <v>0.5</v>
      </c>
      <c r="H214" s="16" t="s">
        <v>250</v>
      </c>
      <c r="I214" s="19">
        <f t="shared" si="1"/>
        <v>0</v>
      </c>
      <c r="J214" s="19">
        <f t="shared" si="2"/>
        <v>1</v>
      </c>
    </row>
    <row r="215" ht="22.5" customHeight="1">
      <c r="A215" s="16">
        <v>1.0</v>
      </c>
      <c r="B215" s="16">
        <v>4.0</v>
      </c>
      <c r="C215" s="16">
        <v>1.0</v>
      </c>
      <c r="D215" s="16">
        <v>4.0</v>
      </c>
      <c r="E215" s="16">
        <v>0.0</v>
      </c>
      <c r="F215" s="16">
        <v>0.0</v>
      </c>
      <c r="G215" s="18">
        <v>1.0</v>
      </c>
      <c r="H215" s="16" t="s">
        <v>250</v>
      </c>
      <c r="I215" s="19">
        <f t="shared" si="1"/>
        <v>4</v>
      </c>
      <c r="J215" s="19">
        <f t="shared" si="2"/>
        <v>0</v>
      </c>
    </row>
    <row r="216" ht="22.5" customHeight="1">
      <c r="A216" s="16">
        <v>1.0</v>
      </c>
      <c r="B216" s="16">
        <v>4.0</v>
      </c>
      <c r="C216" s="16">
        <v>1.0</v>
      </c>
      <c r="D216" s="16">
        <v>4.0</v>
      </c>
      <c r="E216" s="16">
        <v>0.0</v>
      </c>
      <c r="F216" s="16">
        <v>0.0</v>
      </c>
      <c r="G216" s="18">
        <v>1.0</v>
      </c>
      <c r="H216" s="16" t="s">
        <v>251</v>
      </c>
      <c r="I216" s="19">
        <f t="shared" si="1"/>
        <v>4</v>
      </c>
      <c r="J216" s="19">
        <f t="shared" si="2"/>
        <v>0</v>
      </c>
    </row>
    <row r="217" ht="22.5" customHeight="1">
      <c r="A217" s="16">
        <v>1.0</v>
      </c>
      <c r="B217" s="16">
        <v>4.0</v>
      </c>
      <c r="C217" s="16">
        <v>0.0</v>
      </c>
      <c r="D217" s="16">
        <v>0.0</v>
      </c>
      <c r="E217" s="16">
        <v>0.0</v>
      </c>
      <c r="F217" s="16">
        <v>0.0</v>
      </c>
      <c r="G217" s="18">
        <v>0.0</v>
      </c>
      <c r="H217" s="16" t="s">
        <v>239</v>
      </c>
      <c r="I217" s="19">
        <f t="shared" si="1"/>
        <v>0</v>
      </c>
      <c r="J217" s="19">
        <f t="shared" si="2"/>
        <v>0</v>
      </c>
    </row>
    <row r="218" ht="22.5" customHeight="1">
      <c r="A218" s="16">
        <v>4.0</v>
      </c>
      <c r="B218" s="16">
        <v>16.0</v>
      </c>
      <c r="C218" s="16">
        <v>11.0</v>
      </c>
      <c r="D218" s="16">
        <v>-2.0</v>
      </c>
      <c r="E218" s="16">
        <v>1.0</v>
      </c>
      <c r="F218" s="16">
        <v>0.0</v>
      </c>
      <c r="G218" s="20">
        <v>0.182</v>
      </c>
      <c r="H218" s="16" t="s">
        <v>253</v>
      </c>
      <c r="I218" s="19">
        <f t="shared" si="1"/>
        <v>-8</v>
      </c>
      <c r="J218" s="19">
        <f t="shared" si="2"/>
        <v>4</v>
      </c>
    </row>
    <row r="219" ht="22.5" customHeight="1">
      <c r="A219" s="16">
        <v>1.0</v>
      </c>
      <c r="B219" s="16">
        <v>4.0</v>
      </c>
      <c r="C219" s="16">
        <v>4.0</v>
      </c>
      <c r="D219" s="16">
        <v>16.0</v>
      </c>
      <c r="E219" s="16">
        <v>0.0</v>
      </c>
      <c r="F219" s="16">
        <v>0.0</v>
      </c>
      <c r="G219" s="18">
        <v>1.0</v>
      </c>
      <c r="H219" s="16" t="s">
        <v>253</v>
      </c>
      <c r="I219" s="19">
        <f t="shared" si="1"/>
        <v>16</v>
      </c>
      <c r="J219" s="19">
        <f t="shared" si="2"/>
        <v>0</v>
      </c>
    </row>
    <row r="220" ht="22.5" customHeight="1">
      <c r="A220" s="16">
        <v>4.0</v>
      </c>
      <c r="B220" s="16">
        <v>16.0</v>
      </c>
      <c r="C220" s="16">
        <v>1.0</v>
      </c>
      <c r="D220" s="16">
        <v>1.0</v>
      </c>
      <c r="E220" s="16">
        <v>0.0</v>
      </c>
      <c r="F220" s="16">
        <v>0.0</v>
      </c>
      <c r="G220" s="18">
        <v>1.0</v>
      </c>
      <c r="H220" s="16" t="s">
        <v>255</v>
      </c>
      <c r="I220" s="19">
        <f t="shared" si="1"/>
        <v>4</v>
      </c>
      <c r="J220" s="19">
        <f t="shared" si="2"/>
        <v>0</v>
      </c>
    </row>
    <row r="221" ht="22.5" customHeight="1">
      <c r="A221" s="16">
        <v>1.0</v>
      </c>
      <c r="B221" s="16">
        <v>4.0</v>
      </c>
      <c r="C221" s="16">
        <v>0.0</v>
      </c>
      <c r="D221" s="16">
        <v>0.0</v>
      </c>
      <c r="E221" s="16">
        <v>0.0</v>
      </c>
      <c r="F221" s="16">
        <v>0.0</v>
      </c>
      <c r="G221" s="18">
        <v>0.0</v>
      </c>
      <c r="H221" s="16" t="s">
        <v>255</v>
      </c>
      <c r="I221" s="19">
        <f t="shared" si="1"/>
        <v>0</v>
      </c>
      <c r="J221" s="19">
        <f t="shared" si="2"/>
        <v>0</v>
      </c>
    </row>
    <row r="222" ht="22.5" customHeight="1">
      <c r="A222" s="16">
        <v>4.0</v>
      </c>
      <c r="B222" s="16">
        <v>16.0</v>
      </c>
      <c r="C222" s="16">
        <v>1.0</v>
      </c>
      <c r="D222" s="16">
        <v>1.0</v>
      </c>
      <c r="E222" s="16">
        <v>0.0</v>
      </c>
      <c r="F222" s="16">
        <v>0.0</v>
      </c>
      <c r="G222" s="18">
        <v>1.0</v>
      </c>
      <c r="H222" s="16" t="s">
        <v>164</v>
      </c>
      <c r="I222" s="19">
        <f t="shared" si="1"/>
        <v>4</v>
      </c>
      <c r="J222" s="19">
        <f t="shared" si="2"/>
        <v>0</v>
      </c>
    </row>
    <row r="223" ht="22.5" customHeight="1">
      <c r="A223" s="16">
        <v>1.0</v>
      </c>
      <c r="B223" s="16">
        <v>4.0</v>
      </c>
      <c r="C223" s="16">
        <v>0.0</v>
      </c>
      <c r="D223" s="16">
        <v>0.0</v>
      </c>
      <c r="E223" s="16">
        <v>0.0</v>
      </c>
      <c r="F223" s="16">
        <v>0.0</v>
      </c>
      <c r="G223" s="18">
        <v>0.0</v>
      </c>
      <c r="H223" s="16" t="s">
        <v>164</v>
      </c>
      <c r="I223" s="19">
        <f t="shared" si="1"/>
        <v>0</v>
      </c>
      <c r="J223" s="19">
        <f t="shared" si="2"/>
        <v>0</v>
      </c>
    </row>
    <row r="224" ht="22.5" customHeight="1">
      <c r="A224" s="16">
        <v>1.0</v>
      </c>
      <c r="B224" s="16">
        <v>3.0</v>
      </c>
      <c r="C224" s="16">
        <v>2.0</v>
      </c>
      <c r="D224" s="16">
        <v>8.0</v>
      </c>
      <c r="E224" s="16">
        <v>0.0</v>
      </c>
      <c r="F224" s="16">
        <v>0.0</v>
      </c>
      <c r="G224" s="18">
        <v>1.0</v>
      </c>
      <c r="H224" s="16" t="s">
        <v>257</v>
      </c>
      <c r="I224" s="19">
        <f t="shared" si="1"/>
        <v>8</v>
      </c>
      <c r="J224" s="19">
        <f t="shared" si="2"/>
        <v>0</v>
      </c>
    </row>
    <row r="225" ht="22.5" customHeight="1">
      <c r="A225" s="16">
        <v>1.0</v>
      </c>
      <c r="B225" s="16">
        <v>3.0</v>
      </c>
      <c r="C225" s="16">
        <v>1.0</v>
      </c>
      <c r="D225" s="16">
        <v>4.0</v>
      </c>
      <c r="E225" s="16">
        <v>0.0</v>
      </c>
      <c r="F225" s="16">
        <v>0.0</v>
      </c>
      <c r="G225" s="18">
        <v>1.0</v>
      </c>
      <c r="H225" s="16" t="s">
        <v>257</v>
      </c>
      <c r="I225" s="19">
        <f t="shared" si="1"/>
        <v>4</v>
      </c>
      <c r="J225" s="19">
        <f t="shared" si="2"/>
        <v>0</v>
      </c>
    </row>
    <row r="226" ht="22.5" customHeight="1">
      <c r="A226" s="16">
        <v>2.0</v>
      </c>
      <c r="B226" s="16">
        <v>7.0</v>
      </c>
      <c r="C226" s="16">
        <v>1.0</v>
      </c>
      <c r="D226" s="16">
        <v>2.0</v>
      </c>
      <c r="E226" s="16">
        <v>0.0</v>
      </c>
      <c r="F226" s="16">
        <v>0.0</v>
      </c>
      <c r="G226" s="18">
        <v>1.0</v>
      </c>
      <c r="H226" s="16" t="s">
        <v>259</v>
      </c>
      <c r="I226" s="19">
        <f t="shared" si="1"/>
        <v>4</v>
      </c>
      <c r="J226" s="19">
        <f t="shared" si="2"/>
        <v>0</v>
      </c>
    </row>
    <row r="227" ht="22.5" customHeight="1">
      <c r="A227" s="16">
        <v>2.0</v>
      </c>
      <c r="B227" s="16">
        <v>7.0</v>
      </c>
      <c r="C227" s="16">
        <v>1.0</v>
      </c>
      <c r="D227" s="16">
        <v>0.0</v>
      </c>
      <c r="E227" s="16">
        <v>0.0</v>
      </c>
      <c r="F227" s="16">
        <v>0.0</v>
      </c>
      <c r="G227" s="18">
        <v>0.0</v>
      </c>
      <c r="H227" s="16" t="s">
        <v>259</v>
      </c>
      <c r="I227" s="19">
        <f t="shared" si="1"/>
        <v>0</v>
      </c>
      <c r="J227" s="19">
        <f t="shared" si="2"/>
        <v>0</v>
      </c>
    </row>
    <row r="228" ht="22.5" customHeight="1">
      <c r="A228" s="16">
        <v>3.0</v>
      </c>
      <c r="B228" s="16">
        <v>10.0</v>
      </c>
      <c r="C228" s="16">
        <v>0.0</v>
      </c>
      <c r="D228" s="16">
        <v>0.0</v>
      </c>
      <c r="E228" s="16">
        <v>0.0</v>
      </c>
      <c r="F228" s="16">
        <v>0.0</v>
      </c>
      <c r="G228" s="18">
        <v>0.0</v>
      </c>
      <c r="H228" s="16" t="s">
        <v>99</v>
      </c>
      <c r="I228" s="19">
        <f t="shared" si="1"/>
        <v>0</v>
      </c>
      <c r="J228" s="19">
        <f t="shared" si="2"/>
        <v>0</v>
      </c>
    </row>
    <row r="229" ht="22.5" customHeight="1">
      <c r="A229" s="16">
        <v>2.0</v>
      </c>
      <c r="B229" s="16">
        <v>7.0</v>
      </c>
      <c r="C229" s="16">
        <v>0.0</v>
      </c>
      <c r="D229" s="16">
        <v>0.0</v>
      </c>
      <c r="E229" s="16">
        <v>0.0</v>
      </c>
      <c r="F229" s="16">
        <v>0.0</v>
      </c>
      <c r="G229" s="18">
        <v>0.0</v>
      </c>
      <c r="H229" s="16" t="s">
        <v>99</v>
      </c>
      <c r="I229" s="19">
        <f t="shared" si="1"/>
        <v>0</v>
      </c>
      <c r="J229" s="19">
        <f t="shared" si="2"/>
        <v>0</v>
      </c>
    </row>
    <row r="230" ht="22.5" customHeight="1">
      <c r="A230" s="16">
        <v>3.0</v>
      </c>
      <c r="B230" s="16">
        <v>10.0</v>
      </c>
      <c r="C230" s="16">
        <v>1.0</v>
      </c>
      <c r="D230" s="16">
        <v>1.33</v>
      </c>
      <c r="E230" s="16">
        <v>0.0</v>
      </c>
      <c r="F230" s="16">
        <v>0.0</v>
      </c>
      <c r="G230" s="18">
        <v>1.0</v>
      </c>
      <c r="H230" s="16" t="s">
        <v>262</v>
      </c>
      <c r="I230" s="19">
        <f t="shared" si="1"/>
        <v>4</v>
      </c>
      <c r="J230" s="19">
        <f t="shared" si="2"/>
        <v>0</v>
      </c>
    </row>
    <row r="231" ht="22.5" customHeight="1">
      <c r="A231" s="16">
        <v>1.0</v>
      </c>
      <c r="B231" s="16">
        <v>3.0</v>
      </c>
      <c r="C231" s="16">
        <v>0.0</v>
      </c>
      <c r="D231" s="16">
        <v>0.0</v>
      </c>
      <c r="E231" s="16">
        <v>0.0</v>
      </c>
      <c r="F231" s="16">
        <v>0.0</v>
      </c>
      <c r="G231" s="18">
        <v>0.0</v>
      </c>
      <c r="H231" s="16" t="s">
        <v>262</v>
      </c>
      <c r="I231" s="19">
        <f t="shared" si="1"/>
        <v>0</v>
      </c>
      <c r="J231" s="19">
        <f t="shared" si="2"/>
        <v>0</v>
      </c>
    </row>
    <row r="232" ht="22.5" customHeight="1">
      <c r="A232" s="16">
        <v>1.0</v>
      </c>
      <c r="B232" s="16">
        <v>4.0</v>
      </c>
      <c r="C232" s="16">
        <v>1.0</v>
      </c>
      <c r="D232" s="16">
        <v>0.0</v>
      </c>
      <c r="E232" s="16">
        <v>0.0</v>
      </c>
      <c r="F232" s="16">
        <v>0.0</v>
      </c>
      <c r="G232" s="18">
        <v>0.0</v>
      </c>
      <c r="H232" s="16" t="s">
        <v>262</v>
      </c>
      <c r="I232" s="19">
        <f t="shared" si="1"/>
        <v>0</v>
      </c>
      <c r="J232" s="19">
        <f t="shared" si="2"/>
        <v>0</v>
      </c>
    </row>
    <row r="233" ht="22.5" customHeight="1">
      <c r="A233" s="16">
        <v>1.0</v>
      </c>
      <c r="B233" s="16">
        <v>3.0</v>
      </c>
      <c r="C233" s="16">
        <v>0.0</v>
      </c>
      <c r="D233" s="16">
        <v>0.0</v>
      </c>
      <c r="E233" s="16">
        <v>0.0</v>
      </c>
      <c r="F233" s="16">
        <v>0.0</v>
      </c>
      <c r="G233" s="18">
        <v>0.0</v>
      </c>
      <c r="H233" s="16" t="s">
        <v>241</v>
      </c>
      <c r="I233" s="19">
        <f t="shared" si="1"/>
        <v>0</v>
      </c>
      <c r="J233" s="19">
        <f t="shared" si="2"/>
        <v>0</v>
      </c>
    </row>
    <row r="234" ht="22.5" customHeight="1">
      <c r="A234" s="16">
        <v>1.0</v>
      </c>
      <c r="B234" s="16">
        <v>4.0</v>
      </c>
      <c r="C234" s="16">
        <v>0.0</v>
      </c>
      <c r="D234" s="16">
        <v>0.0</v>
      </c>
      <c r="E234" s="16">
        <v>0.0</v>
      </c>
      <c r="F234" s="16">
        <v>0.0</v>
      </c>
      <c r="G234" s="18">
        <v>0.0</v>
      </c>
      <c r="H234" s="16" t="s">
        <v>241</v>
      </c>
      <c r="I234" s="19">
        <f t="shared" si="1"/>
        <v>0</v>
      </c>
      <c r="J234" s="19">
        <f t="shared" si="2"/>
        <v>0</v>
      </c>
    </row>
    <row r="235" ht="22.5" customHeight="1">
      <c r="A235" s="16">
        <v>2.0</v>
      </c>
      <c r="B235" s="16">
        <v>7.0</v>
      </c>
      <c r="C235" s="16">
        <v>1.0</v>
      </c>
      <c r="D235" s="16">
        <v>2.0</v>
      </c>
      <c r="E235" s="16">
        <v>0.0</v>
      </c>
      <c r="F235" s="16">
        <v>0.0</v>
      </c>
      <c r="G235" s="18">
        <v>1.0</v>
      </c>
      <c r="H235" s="16" t="s">
        <v>263</v>
      </c>
      <c r="I235" s="19">
        <f t="shared" si="1"/>
        <v>4</v>
      </c>
      <c r="J235" s="19">
        <f t="shared" si="2"/>
        <v>0</v>
      </c>
    </row>
    <row r="236" ht="22.5" customHeight="1">
      <c r="A236" s="16">
        <v>1.0</v>
      </c>
      <c r="B236" s="16">
        <v>3.0</v>
      </c>
      <c r="C236" s="16">
        <v>0.0</v>
      </c>
      <c r="D236" s="16">
        <v>0.0</v>
      </c>
      <c r="E236" s="16">
        <v>0.0</v>
      </c>
      <c r="F236" s="16">
        <v>0.0</v>
      </c>
      <c r="G236" s="18">
        <v>0.0</v>
      </c>
      <c r="H236" s="16" t="s">
        <v>263</v>
      </c>
      <c r="I236" s="19">
        <f t="shared" si="1"/>
        <v>0</v>
      </c>
      <c r="J236" s="19">
        <f t="shared" si="2"/>
        <v>0</v>
      </c>
    </row>
    <row r="237" ht="22.5" customHeight="1">
      <c r="A237" s="16">
        <v>1.0</v>
      </c>
      <c r="B237" s="16">
        <v>3.0</v>
      </c>
      <c r="C237" s="16">
        <v>0.0</v>
      </c>
      <c r="D237" s="16">
        <v>0.0</v>
      </c>
      <c r="E237" s="16">
        <v>0.0</v>
      </c>
      <c r="F237" s="16">
        <v>0.0</v>
      </c>
      <c r="G237" s="18">
        <v>0.0</v>
      </c>
      <c r="H237" s="16" t="s">
        <v>264</v>
      </c>
      <c r="I237" s="19">
        <f t="shared" si="1"/>
        <v>0</v>
      </c>
      <c r="J237" s="19">
        <f t="shared" si="2"/>
        <v>0</v>
      </c>
    </row>
    <row r="238" ht="22.5" customHeight="1">
      <c r="A238" s="16">
        <v>3.0</v>
      </c>
      <c r="B238" s="16">
        <v>11.0</v>
      </c>
      <c r="C238" s="16">
        <v>0.0</v>
      </c>
      <c r="D238" s="16">
        <v>0.0</v>
      </c>
      <c r="E238" s="16">
        <v>0.0</v>
      </c>
      <c r="F238" s="16">
        <v>0.0</v>
      </c>
      <c r="G238" s="18">
        <v>0.0</v>
      </c>
      <c r="H238" s="16" t="s">
        <v>264</v>
      </c>
      <c r="I238" s="19">
        <f t="shared" si="1"/>
        <v>0</v>
      </c>
      <c r="J238" s="19">
        <f t="shared" si="2"/>
        <v>0</v>
      </c>
    </row>
    <row r="239" ht="22.5" customHeight="1">
      <c r="A239" s="16">
        <v>1.0</v>
      </c>
      <c r="B239" s="16">
        <v>3.0</v>
      </c>
      <c r="C239" s="16">
        <v>0.0</v>
      </c>
      <c r="D239" s="16">
        <v>0.0</v>
      </c>
      <c r="E239" s="16">
        <v>0.0</v>
      </c>
      <c r="F239" s="16">
        <v>0.0</v>
      </c>
      <c r="G239" s="18">
        <v>0.0</v>
      </c>
      <c r="H239" s="16" t="s">
        <v>265</v>
      </c>
      <c r="I239" s="19">
        <f t="shared" si="1"/>
        <v>0</v>
      </c>
      <c r="J239" s="19">
        <f t="shared" si="2"/>
        <v>0</v>
      </c>
    </row>
    <row r="240" ht="22.5" customHeight="1">
      <c r="A240" s="16">
        <v>4.0</v>
      </c>
      <c r="B240" s="16">
        <v>15.0</v>
      </c>
      <c r="C240" s="16">
        <v>8.0</v>
      </c>
      <c r="D240" s="16">
        <v>5.0</v>
      </c>
      <c r="E240" s="16">
        <v>0.0</v>
      </c>
      <c r="F240" s="16">
        <v>0.0</v>
      </c>
      <c r="G240" s="20">
        <v>0.625</v>
      </c>
      <c r="H240" s="16" t="s">
        <v>265</v>
      </c>
      <c r="I240" s="19">
        <f t="shared" si="1"/>
        <v>20</v>
      </c>
      <c r="J240" s="19">
        <f t="shared" si="2"/>
        <v>0</v>
      </c>
    </row>
    <row r="241" ht="22.5" customHeight="1">
      <c r="A241" s="16">
        <v>4.0</v>
      </c>
      <c r="B241" s="16">
        <v>15.0</v>
      </c>
      <c r="C241" s="16">
        <v>1.0</v>
      </c>
      <c r="D241" s="16">
        <v>0.0</v>
      </c>
      <c r="E241" s="16">
        <v>0.0</v>
      </c>
      <c r="F241" s="16">
        <v>0.0</v>
      </c>
      <c r="G241" s="18">
        <v>0.0</v>
      </c>
      <c r="H241" s="16" t="s">
        <v>266</v>
      </c>
      <c r="I241" s="19">
        <f t="shared" si="1"/>
        <v>0</v>
      </c>
      <c r="J241" s="19">
        <f t="shared" si="2"/>
        <v>0</v>
      </c>
    </row>
    <row r="242" ht="22.5" customHeight="1">
      <c r="A242" s="16">
        <v>1.0</v>
      </c>
      <c r="B242" s="16">
        <v>3.0</v>
      </c>
      <c r="C242" s="16">
        <v>1.0</v>
      </c>
      <c r="D242" s="16">
        <v>4.0</v>
      </c>
      <c r="E242" s="16">
        <v>0.0</v>
      </c>
      <c r="F242" s="16">
        <v>0.0</v>
      </c>
      <c r="G242" s="18">
        <v>1.0</v>
      </c>
      <c r="H242" s="16" t="s">
        <v>93</v>
      </c>
      <c r="I242" s="19">
        <f t="shared" si="1"/>
        <v>4</v>
      </c>
      <c r="J242" s="19">
        <f t="shared" si="2"/>
        <v>0</v>
      </c>
    </row>
    <row r="243" ht="22.5" customHeight="1">
      <c r="A243" s="16">
        <v>4.0</v>
      </c>
      <c r="B243" s="16">
        <v>15.0</v>
      </c>
      <c r="C243" s="16">
        <v>1.0</v>
      </c>
      <c r="D243" s="16">
        <v>-1.0</v>
      </c>
      <c r="E243" s="16">
        <v>0.25</v>
      </c>
      <c r="F243" s="16">
        <v>0.0</v>
      </c>
      <c r="G243" s="18">
        <v>0.0</v>
      </c>
      <c r="H243" s="16" t="s">
        <v>93</v>
      </c>
      <c r="I243" s="19">
        <f t="shared" si="1"/>
        <v>-4</v>
      </c>
      <c r="J243" s="19">
        <f t="shared" si="2"/>
        <v>1</v>
      </c>
    </row>
    <row r="244" ht="22.5" customHeight="1">
      <c r="A244" s="16">
        <v>1.0</v>
      </c>
      <c r="B244" s="16">
        <v>4.0</v>
      </c>
      <c r="C244" s="16">
        <v>0.0</v>
      </c>
      <c r="D244" s="16">
        <v>0.0</v>
      </c>
      <c r="E244" s="16">
        <v>0.0</v>
      </c>
      <c r="F244" s="16">
        <v>0.0</v>
      </c>
      <c r="G244" s="18">
        <v>0.0</v>
      </c>
      <c r="H244" s="16" t="s">
        <v>268</v>
      </c>
      <c r="I244" s="19">
        <f t="shared" si="1"/>
        <v>0</v>
      </c>
      <c r="J244" s="19">
        <f t="shared" si="2"/>
        <v>0</v>
      </c>
    </row>
    <row r="245" ht="22.5" customHeight="1">
      <c r="A245" s="16">
        <v>4.0</v>
      </c>
      <c r="B245" s="16">
        <v>15.0</v>
      </c>
      <c r="C245" s="16">
        <v>8.0</v>
      </c>
      <c r="D245" s="16">
        <v>4.0</v>
      </c>
      <c r="E245" s="16">
        <v>0.0</v>
      </c>
      <c r="F245" s="16">
        <v>0.0</v>
      </c>
      <c r="G245" s="18">
        <v>0.5</v>
      </c>
      <c r="H245" s="16" t="s">
        <v>80</v>
      </c>
      <c r="I245" s="19">
        <f t="shared" si="1"/>
        <v>16</v>
      </c>
      <c r="J245" s="19">
        <f t="shared" si="2"/>
        <v>0</v>
      </c>
    </row>
    <row r="246" ht="22.5" customHeight="1">
      <c r="A246" s="16">
        <v>1.0</v>
      </c>
      <c r="B246" s="16">
        <v>3.0</v>
      </c>
      <c r="C246" s="16">
        <v>0.0</v>
      </c>
      <c r="D246" s="16">
        <v>0.0</v>
      </c>
      <c r="E246" s="16">
        <v>0.0</v>
      </c>
      <c r="F246" s="16">
        <v>0.0</v>
      </c>
      <c r="G246" s="18">
        <v>0.0</v>
      </c>
      <c r="H246" s="16" t="s">
        <v>221</v>
      </c>
      <c r="I246" s="19">
        <f t="shared" si="1"/>
        <v>0</v>
      </c>
      <c r="J246" s="19">
        <f t="shared" si="2"/>
        <v>0</v>
      </c>
    </row>
    <row r="247" ht="22.5" customHeight="1">
      <c r="A247" s="16">
        <v>3.0</v>
      </c>
      <c r="B247" s="16">
        <v>12.0</v>
      </c>
      <c r="C247" s="16">
        <v>0.0</v>
      </c>
      <c r="D247" s="16">
        <v>0.0</v>
      </c>
      <c r="E247" s="16">
        <v>0.0</v>
      </c>
      <c r="F247" s="16">
        <v>0.0</v>
      </c>
      <c r="G247" s="18">
        <v>0.0</v>
      </c>
      <c r="H247" s="16" t="s">
        <v>221</v>
      </c>
      <c r="I247" s="19">
        <f t="shared" si="1"/>
        <v>0</v>
      </c>
      <c r="J247" s="19">
        <f t="shared" si="2"/>
        <v>0</v>
      </c>
    </row>
    <row r="248" ht="22.5" customHeight="1">
      <c r="A248" s="16">
        <v>1.0</v>
      </c>
      <c r="B248" s="16">
        <v>4.0</v>
      </c>
      <c r="C248" s="16">
        <v>1.0</v>
      </c>
      <c r="D248" s="16">
        <v>0.0</v>
      </c>
      <c r="E248" s="16">
        <v>0.0</v>
      </c>
      <c r="F248" s="16">
        <v>0.0</v>
      </c>
      <c r="G248" s="18">
        <v>0.0</v>
      </c>
      <c r="H248" s="16" t="s">
        <v>270</v>
      </c>
      <c r="I248" s="19">
        <f t="shared" si="1"/>
        <v>0</v>
      </c>
      <c r="J248" s="19">
        <f t="shared" si="2"/>
        <v>0</v>
      </c>
    </row>
    <row r="249" ht="22.5" customHeight="1">
      <c r="A249" s="16">
        <v>1.0</v>
      </c>
      <c r="B249" s="16">
        <v>4.0</v>
      </c>
      <c r="C249" s="16">
        <v>0.0</v>
      </c>
      <c r="D249" s="16">
        <v>0.0</v>
      </c>
      <c r="E249" s="16">
        <v>0.0</v>
      </c>
      <c r="F249" s="16">
        <v>0.0</v>
      </c>
      <c r="G249" s="18">
        <v>0.0</v>
      </c>
      <c r="H249" s="16" t="s">
        <v>270</v>
      </c>
      <c r="I249" s="19">
        <f t="shared" si="1"/>
        <v>0</v>
      </c>
      <c r="J249" s="19">
        <f t="shared" si="2"/>
        <v>0</v>
      </c>
    </row>
    <row r="250" ht="22.5" customHeight="1">
      <c r="A250" s="16">
        <v>1.0</v>
      </c>
      <c r="B250" s="16">
        <v>3.0</v>
      </c>
      <c r="C250" s="16">
        <v>1.0</v>
      </c>
      <c r="D250" s="16">
        <v>4.0</v>
      </c>
      <c r="E250" s="16">
        <v>0.0</v>
      </c>
      <c r="F250" s="16">
        <v>0.0</v>
      </c>
      <c r="G250" s="18">
        <v>1.0</v>
      </c>
      <c r="H250" s="16" t="s">
        <v>228</v>
      </c>
      <c r="I250" s="19">
        <f t="shared" si="1"/>
        <v>4</v>
      </c>
      <c r="J250" s="19">
        <f t="shared" si="2"/>
        <v>0</v>
      </c>
    </row>
    <row r="251" ht="22.5" customHeight="1">
      <c r="A251" s="16">
        <v>4.0</v>
      </c>
      <c r="B251" s="16">
        <v>16.0</v>
      </c>
      <c r="C251" s="16">
        <v>2.0</v>
      </c>
      <c r="D251" s="16">
        <v>1.0</v>
      </c>
      <c r="E251" s="16">
        <v>0.0</v>
      </c>
      <c r="F251" s="16">
        <v>0.0</v>
      </c>
      <c r="G251" s="18">
        <v>0.5</v>
      </c>
      <c r="H251" s="16" t="s">
        <v>228</v>
      </c>
      <c r="I251" s="19">
        <f t="shared" si="1"/>
        <v>4</v>
      </c>
      <c r="J251" s="19">
        <f t="shared" si="2"/>
        <v>0</v>
      </c>
    </row>
    <row r="252" ht="22.5" customHeight="1">
      <c r="A252" s="16">
        <v>1.0</v>
      </c>
      <c r="B252" s="16">
        <v>3.0</v>
      </c>
      <c r="C252" s="16">
        <v>1.0</v>
      </c>
      <c r="D252" s="16">
        <v>4.0</v>
      </c>
      <c r="E252" s="16">
        <v>0.0</v>
      </c>
      <c r="F252" s="16">
        <v>0.0</v>
      </c>
      <c r="G252" s="18">
        <v>1.0</v>
      </c>
      <c r="H252" s="16" t="s">
        <v>273</v>
      </c>
      <c r="I252" s="19">
        <f t="shared" si="1"/>
        <v>4</v>
      </c>
      <c r="J252" s="19">
        <f t="shared" si="2"/>
        <v>0</v>
      </c>
    </row>
    <row r="253" ht="22.5" customHeight="1">
      <c r="A253" s="16">
        <v>3.0</v>
      </c>
      <c r="B253" s="16">
        <v>13.0</v>
      </c>
      <c r="C253" s="16">
        <v>3.0</v>
      </c>
      <c r="D253" s="16">
        <v>0.0</v>
      </c>
      <c r="E253" s="16">
        <v>0.0</v>
      </c>
      <c r="F253" s="16">
        <v>0.0</v>
      </c>
      <c r="G253" s="18">
        <v>0.0</v>
      </c>
      <c r="H253" s="16" t="s">
        <v>273</v>
      </c>
      <c r="I253" s="19">
        <f t="shared" si="1"/>
        <v>0</v>
      </c>
      <c r="J253" s="19">
        <f t="shared" si="2"/>
        <v>0</v>
      </c>
    </row>
    <row r="254" ht="22.5" customHeight="1">
      <c r="A254" s="16">
        <v>1.0</v>
      </c>
      <c r="B254" s="16">
        <v>3.0</v>
      </c>
      <c r="C254" s="16">
        <v>0.0</v>
      </c>
      <c r="D254" s="16">
        <v>0.0</v>
      </c>
      <c r="E254" s="16">
        <v>0.0</v>
      </c>
      <c r="F254" s="16">
        <v>0.0</v>
      </c>
      <c r="G254" s="18">
        <v>0.0</v>
      </c>
      <c r="H254" s="16" t="s">
        <v>273</v>
      </c>
      <c r="I254" s="19">
        <f t="shared" si="1"/>
        <v>0</v>
      </c>
      <c r="J254" s="19">
        <f t="shared" si="2"/>
        <v>0</v>
      </c>
    </row>
    <row r="255" ht="22.5" customHeight="1">
      <c r="A255" s="16">
        <v>1.0</v>
      </c>
      <c r="B255" s="16">
        <v>3.0</v>
      </c>
      <c r="C255" s="16">
        <v>0.0</v>
      </c>
      <c r="D255" s="16">
        <v>0.0</v>
      </c>
      <c r="E255" s="16">
        <v>0.0</v>
      </c>
      <c r="F255" s="16">
        <v>0.0</v>
      </c>
      <c r="G255" s="18">
        <v>0.0</v>
      </c>
      <c r="H255" s="16" t="s">
        <v>275</v>
      </c>
      <c r="I255" s="19">
        <f t="shared" si="1"/>
        <v>0</v>
      </c>
      <c r="J255" s="19">
        <f t="shared" si="2"/>
        <v>0</v>
      </c>
    </row>
    <row r="256" ht="22.5" customHeight="1">
      <c r="A256" s="16">
        <v>3.0</v>
      </c>
      <c r="B256" s="16">
        <v>11.0</v>
      </c>
      <c r="C256" s="16">
        <v>0.0</v>
      </c>
      <c r="D256" s="16">
        <v>0.0</v>
      </c>
      <c r="E256" s="16">
        <v>0.0</v>
      </c>
      <c r="F256" s="16">
        <v>0.0</v>
      </c>
      <c r="G256" s="18">
        <v>0.0</v>
      </c>
      <c r="H256" s="16" t="s">
        <v>275</v>
      </c>
      <c r="I256" s="19">
        <f t="shared" si="1"/>
        <v>0</v>
      </c>
      <c r="J256" s="19">
        <f t="shared" si="2"/>
        <v>0</v>
      </c>
    </row>
    <row r="257" ht="22.5" customHeight="1">
      <c r="A257" s="16">
        <v>2.0</v>
      </c>
      <c r="B257" s="16">
        <v>6.0</v>
      </c>
      <c r="C257" s="16">
        <v>2.0</v>
      </c>
      <c r="D257" s="16">
        <v>0.0</v>
      </c>
      <c r="E257" s="16">
        <v>0.0</v>
      </c>
      <c r="F257" s="16">
        <v>0.0</v>
      </c>
      <c r="G257" s="18">
        <v>0.0</v>
      </c>
      <c r="H257" s="16" t="s">
        <v>276</v>
      </c>
      <c r="I257" s="19">
        <f t="shared" si="1"/>
        <v>0</v>
      </c>
      <c r="J257" s="19">
        <f t="shared" si="2"/>
        <v>0</v>
      </c>
    </row>
    <row r="258" ht="22.5" customHeight="1">
      <c r="A258" s="16">
        <v>2.0</v>
      </c>
      <c r="B258" s="16">
        <v>8.0</v>
      </c>
      <c r="C258" s="16">
        <v>1.0</v>
      </c>
      <c r="D258" s="16">
        <v>0.0</v>
      </c>
      <c r="E258" s="16">
        <v>0.0</v>
      </c>
      <c r="F258" s="16">
        <v>0.0</v>
      </c>
      <c r="G258" s="18">
        <v>0.0</v>
      </c>
      <c r="H258" s="16" t="s">
        <v>276</v>
      </c>
      <c r="I258" s="19">
        <f t="shared" si="1"/>
        <v>0</v>
      </c>
      <c r="J258" s="19">
        <f t="shared" si="2"/>
        <v>0</v>
      </c>
    </row>
    <row r="259" ht="22.5" customHeight="1">
      <c r="A259" s="16">
        <v>1.0</v>
      </c>
      <c r="B259" s="16">
        <v>3.0</v>
      </c>
      <c r="C259" s="16">
        <v>1.0</v>
      </c>
      <c r="D259" s="16">
        <v>-4.0</v>
      </c>
      <c r="E259" s="16">
        <v>1.0</v>
      </c>
      <c r="F259" s="16">
        <v>0.0</v>
      </c>
      <c r="G259" s="18">
        <v>0.0</v>
      </c>
      <c r="H259" s="16" t="s">
        <v>277</v>
      </c>
      <c r="I259" s="19">
        <f t="shared" si="1"/>
        <v>-4</v>
      </c>
      <c r="J259" s="19">
        <f t="shared" si="2"/>
        <v>1</v>
      </c>
    </row>
    <row r="260" ht="22.5" customHeight="1">
      <c r="A260" s="16">
        <v>4.0</v>
      </c>
      <c r="B260" s="16">
        <v>16.0</v>
      </c>
      <c r="C260" s="16">
        <v>3.0</v>
      </c>
      <c r="D260" s="16">
        <v>0.0</v>
      </c>
      <c r="E260" s="16">
        <v>0.0</v>
      </c>
      <c r="F260" s="16">
        <v>0.0</v>
      </c>
      <c r="G260" s="18">
        <v>0.0</v>
      </c>
      <c r="H260" s="16" t="s">
        <v>277</v>
      </c>
      <c r="I260" s="19">
        <f t="shared" si="1"/>
        <v>0</v>
      </c>
      <c r="J260" s="19">
        <f t="shared" si="2"/>
        <v>0</v>
      </c>
    </row>
    <row r="261" ht="22.5" customHeight="1">
      <c r="A261" s="16">
        <v>1.0</v>
      </c>
      <c r="B261" s="16">
        <v>3.0</v>
      </c>
      <c r="C261" s="16">
        <v>0.0</v>
      </c>
      <c r="D261" s="16">
        <v>0.0</v>
      </c>
      <c r="E261" s="16">
        <v>0.0</v>
      </c>
      <c r="F261" s="16">
        <v>0.0</v>
      </c>
      <c r="G261" s="18">
        <v>0.0</v>
      </c>
      <c r="H261" s="16" t="s">
        <v>172</v>
      </c>
      <c r="I261" s="19">
        <f t="shared" si="1"/>
        <v>0</v>
      </c>
      <c r="J261" s="19">
        <f t="shared" si="2"/>
        <v>0</v>
      </c>
    </row>
    <row r="262" ht="22.5" customHeight="1">
      <c r="A262" s="16">
        <v>3.0</v>
      </c>
      <c r="B262" s="16">
        <v>12.0</v>
      </c>
      <c r="C262" s="16">
        <v>0.0</v>
      </c>
      <c r="D262" s="16">
        <v>0.0</v>
      </c>
      <c r="E262" s="16">
        <v>0.0</v>
      </c>
      <c r="F262" s="16">
        <v>0.0</v>
      </c>
      <c r="G262" s="18">
        <v>0.0</v>
      </c>
      <c r="H262" s="16" t="s">
        <v>172</v>
      </c>
      <c r="I262" s="19">
        <f t="shared" si="1"/>
        <v>0</v>
      </c>
      <c r="J262" s="19">
        <f t="shared" si="2"/>
        <v>0</v>
      </c>
    </row>
    <row r="263" ht="22.5" customHeight="1">
      <c r="A263" s="16">
        <v>1.0</v>
      </c>
      <c r="B263" s="16">
        <v>3.0</v>
      </c>
      <c r="C263" s="16">
        <v>0.0</v>
      </c>
      <c r="D263" s="16">
        <v>0.0</v>
      </c>
      <c r="E263" s="16">
        <v>0.0</v>
      </c>
      <c r="F263" s="16">
        <v>0.0</v>
      </c>
      <c r="G263" s="18">
        <v>0.0</v>
      </c>
      <c r="H263" s="16" t="s">
        <v>279</v>
      </c>
      <c r="I263" s="19">
        <f t="shared" si="1"/>
        <v>0</v>
      </c>
      <c r="J263" s="19">
        <f t="shared" si="2"/>
        <v>0</v>
      </c>
    </row>
    <row r="264" ht="22.5" customHeight="1">
      <c r="A264" s="16">
        <v>4.0</v>
      </c>
      <c r="B264" s="16">
        <v>16.0</v>
      </c>
      <c r="C264" s="16">
        <v>7.0</v>
      </c>
      <c r="D264" s="16">
        <v>-1.0</v>
      </c>
      <c r="E264" s="16">
        <v>0.5</v>
      </c>
      <c r="F264" s="16">
        <v>0.0</v>
      </c>
      <c r="G264" s="20">
        <v>0.143</v>
      </c>
      <c r="H264" s="16" t="s">
        <v>279</v>
      </c>
      <c r="I264" s="19">
        <f t="shared" si="1"/>
        <v>-4</v>
      </c>
      <c r="J264" s="19">
        <f t="shared" si="2"/>
        <v>2</v>
      </c>
    </row>
    <row r="265" ht="22.5" customHeight="1">
      <c r="A265" s="16">
        <v>1.0</v>
      </c>
      <c r="B265" s="16">
        <v>4.0</v>
      </c>
      <c r="C265" s="16">
        <v>0.0</v>
      </c>
      <c r="D265" s="16">
        <v>0.0</v>
      </c>
      <c r="E265" s="16">
        <v>0.0</v>
      </c>
      <c r="F265" s="16">
        <v>0.0</v>
      </c>
      <c r="G265" s="18">
        <v>0.0</v>
      </c>
      <c r="H265" s="16" t="s">
        <v>280</v>
      </c>
      <c r="I265" s="19">
        <f t="shared" si="1"/>
        <v>0</v>
      </c>
      <c r="J265" s="19">
        <f t="shared" si="2"/>
        <v>0</v>
      </c>
    </row>
    <row r="266" ht="22.5" customHeight="1">
      <c r="A266" s="16">
        <v>1.0</v>
      </c>
      <c r="B266" s="16">
        <v>3.0</v>
      </c>
      <c r="C266" s="16">
        <v>1.0</v>
      </c>
      <c r="D266" s="16">
        <v>4.0</v>
      </c>
      <c r="E266" s="16">
        <v>0.0</v>
      </c>
      <c r="F266" s="16">
        <v>0.0</v>
      </c>
      <c r="G266" s="18">
        <v>1.0</v>
      </c>
      <c r="H266" s="16" t="s">
        <v>281</v>
      </c>
      <c r="I266" s="19">
        <f t="shared" si="1"/>
        <v>4</v>
      </c>
      <c r="J266" s="19">
        <f t="shared" si="2"/>
        <v>0</v>
      </c>
    </row>
    <row r="267" ht="22.5" customHeight="1">
      <c r="A267" s="16">
        <v>4.0</v>
      </c>
      <c r="B267" s="16">
        <v>16.0</v>
      </c>
      <c r="C267" s="16">
        <v>0.0</v>
      </c>
      <c r="D267" s="16">
        <v>0.0</v>
      </c>
      <c r="E267" s="16">
        <v>0.0</v>
      </c>
      <c r="F267" s="16">
        <v>0.0</v>
      </c>
      <c r="G267" s="18">
        <v>0.0</v>
      </c>
      <c r="H267" s="16" t="s">
        <v>281</v>
      </c>
      <c r="I267" s="19">
        <f t="shared" si="1"/>
        <v>0</v>
      </c>
      <c r="J267" s="19">
        <f t="shared" si="2"/>
        <v>0</v>
      </c>
    </row>
    <row r="268" ht="22.5" customHeight="1">
      <c r="A268" s="16">
        <v>2.0</v>
      </c>
      <c r="B268" s="16">
        <v>8.0</v>
      </c>
      <c r="C268" s="16">
        <v>0.0</v>
      </c>
      <c r="D268" s="16">
        <v>0.0</v>
      </c>
      <c r="E268" s="16">
        <v>0.0</v>
      </c>
      <c r="F268" s="16">
        <v>0.0</v>
      </c>
      <c r="G268" s="18">
        <v>0.0</v>
      </c>
      <c r="H268" s="16" t="s">
        <v>282</v>
      </c>
      <c r="I268" s="19">
        <f t="shared" si="1"/>
        <v>0</v>
      </c>
      <c r="J268" s="19">
        <f t="shared" si="2"/>
        <v>0</v>
      </c>
    </row>
    <row r="269" ht="22.5" customHeight="1">
      <c r="A269" s="16">
        <v>1.0</v>
      </c>
      <c r="B269" s="16">
        <v>4.0</v>
      </c>
      <c r="C269" s="16">
        <v>0.0</v>
      </c>
      <c r="D269" s="16">
        <v>0.0</v>
      </c>
      <c r="E269" s="16">
        <v>0.0</v>
      </c>
      <c r="F269" s="16">
        <v>0.0</v>
      </c>
      <c r="G269" s="18">
        <v>0.0</v>
      </c>
      <c r="H269" s="16" t="s">
        <v>282</v>
      </c>
      <c r="I269" s="19">
        <f t="shared" si="1"/>
        <v>0</v>
      </c>
      <c r="J269" s="19">
        <f t="shared" si="2"/>
        <v>0</v>
      </c>
    </row>
    <row r="270" ht="22.5" customHeight="1">
      <c r="A270" s="16">
        <v>3.0</v>
      </c>
      <c r="B270" s="16">
        <v>12.0</v>
      </c>
      <c r="C270" s="16">
        <v>6.0</v>
      </c>
      <c r="D270" s="16">
        <v>6.67</v>
      </c>
      <c r="E270" s="16">
        <v>0.0</v>
      </c>
      <c r="F270" s="16">
        <v>0.0</v>
      </c>
      <c r="G270" s="20">
        <v>0.833</v>
      </c>
      <c r="H270" s="16" t="s">
        <v>283</v>
      </c>
      <c r="I270" s="19">
        <f t="shared" si="1"/>
        <v>20</v>
      </c>
      <c r="J270" s="19">
        <f t="shared" si="2"/>
        <v>0</v>
      </c>
    </row>
    <row r="271" ht="22.5" customHeight="1">
      <c r="A271" s="16">
        <v>1.0</v>
      </c>
      <c r="B271" s="16">
        <v>4.0</v>
      </c>
      <c r="C271" s="16">
        <v>3.0</v>
      </c>
      <c r="D271" s="16">
        <v>4.0</v>
      </c>
      <c r="E271" s="16">
        <v>0.0</v>
      </c>
      <c r="F271" s="16">
        <v>0.0</v>
      </c>
      <c r="G271" s="20">
        <v>0.333</v>
      </c>
      <c r="H271" s="16" t="s">
        <v>283</v>
      </c>
      <c r="I271" s="19">
        <f t="shared" si="1"/>
        <v>4</v>
      </c>
      <c r="J271" s="19">
        <f t="shared" si="2"/>
        <v>0</v>
      </c>
    </row>
    <row r="272" ht="22.5" customHeight="1">
      <c r="A272" s="16">
        <v>1.0</v>
      </c>
      <c r="B272" s="16">
        <v>4.0</v>
      </c>
      <c r="C272" s="16">
        <v>0.0</v>
      </c>
      <c r="D272" s="16">
        <v>0.0</v>
      </c>
      <c r="E272" s="16">
        <v>0.0</v>
      </c>
      <c r="F272" s="16">
        <v>0.0</v>
      </c>
      <c r="G272" s="18">
        <v>0.0</v>
      </c>
      <c r="H272" s="16" t="s">
        <v>284</v>
      </c>
      <c r="I272" s="19">
        <f t="shared" si="1"/>
        <v>0</v>
      </c>
      <c r="J272" s="19">
        <f t="shared" si="2"/>
        <v>0</v>
      </c>
    </row>
    <row r="273" ht="22.5" customHeight="1">
      <c r="A273" s="16">
        <v>1.0</v>
      </c>
      <c r="B273" s="16">
        <v>4.0</v>
      </c>
      <c r="C273" s="16">
        <v>0.0</v>
      </c>
      <c r="D273" s="16">
        <v>0.0</v>
      </c>
      <c r="E273" s="16">
        <v>0.0</v>
      </c>
      <c r="F273" s="16">
        <v>0.0</v>
      </c>
      <c r="G273" s="18">
        <v>0.0</v>
      </c>
      <c r="H273" s="16" t="s">
        <v>284</v>
      </c>
      <c r="I273" s="19">
        <f t="shared" si="1"/>
        <v>0</v>
      </c>
      <c r="J273" s="19">
        <f t="shared" si="2"/>
        <v>0</v>
      </c>
    </row>
    <row r="274" ht="22.5" customHeight="1">
      <c r="A274" s="16">
        <v>1.0</v>
      </c>
      <c r="B274" s="16">
        <v>3.0</v>
      </c>
      <c r="C274" s="16">
        <v>3.0</v>
      </c>
      <c r="D274" s="16">
        <v>12.0</v>
      </c>
      <c r="E274" s="16">
        <v>0.0</v>
      </c>
      <c r="F274" s="16">
        <v>0.0</v>
      </c>
      <c r="G274" s="18">
        <v>1.0</v>
      </c>
      <c r="H274" s="16" t="s">
        <v>52</v>
      </c>
      <c r="I274" s="19">
        <f t="shared" si="1"/>
        <v>12</v>
      </c>
      <c r="J274" s="19">
        <f t="shared" si="2"/>
        <v>0</v>
      </c>
    </row>
    <row r="275" ht="22.5" customHeight="1">
      <c r="A275" s="16">
        <v>3.0</v>
      </c>
      <c r="B275" s="16">
        <v>12.0</v>
      </c>
      <c r="C275" s="16">
        <v>6.0</v>
      </c>
      <c r="D275" s="16">
        <v>8.0</v>
      </c>
      <c r="E275" s="16">
        <v>0.0</v>
      </c>
      <c r="F275" s="16">
        <v>0.0</v>
      </c>
      <c r="G275" s="18">
        <v>1.0</v>
      </c>
      <c r="H275" s="16" t="s">
        <v>52</v>
      </c>
      <c r="I275" s="19">
        <f t="shared" si="1"/>
        <v>24</v>
      </c>
      <c r="J275" s="19">
        <f t="shared" si="2"/>
        <v>0</v>
      </c>
    </row>
    <row r="276" ht="22.5" customHeight="1">
      <c r="A276" s="16">
        <v>1.0</v>
      </c>
      <c r="B276" s="16">
        <v>4.0</v>
      </c>
      <c r="C276" s="16">
        <v>1.0</v>
      </c>
      <c r="D276" s="16">
        <v>4.0</v>
      </c>
      <c r="E276" s="16">
        <v>0.0</v>
      </c>
      <c r="F276" s="16">
        <v>0.0</v>
      </c>
      <c r="G276" s="18">
        <v>1.0</v>
      </c>
      <c r="H276" s="16" t="s">
        <v>52</v>
      </c>
      <c r="I276" s="19">
        <f t="shared" si="1"/>
        <v>4</v>
      </c>
      <c r="J276" s="19">
        <f t="shared" si="2"/>
        <v>0</v>
      </c>
    </row>
    <row r="277" ht="22.5" customHeight="1">
      <c r="A277" s="16">
        <v>1.0</v>
      </c>
      <c r="B277" s="16">
        <v>4.0</v>
      </c>
      <c r="C277" s="16">
        <v>0.0</v>
      </c>
      <c r="D277" s="16">
        <v>0.0</v>
      </c>
      <c r="E277" s="16">
        <v>0.0</v>
      </c>
      <c r="F277" s="16">
        <v>0.0</v>
      </c>
      <c r="G277" s="18">
        <v>0.0</v>
      </c>
      <c r="H277" s="16" t="s">
        <v>223</v>
      </c>
      <c r="I277" s="19">
        <f t="shared" si="1"/>
        <v>0</v>
      </c>
      <c r="J277" s="19">
        <f t="shared" si="2"/>
        <v>0</v>
      </c>
    </row>
    <row r="278" ht="22.5" customHeight="1">
      <c r="A278" s="16">
        <v>1.0</v>
      </c>
      <c r="B278" s="16">
        <v>4.0</v>
      </c>
      <c r="C278" s="16">
        <v>0.0</v>
      </c>
      <c r="D278" s="16">
        <v>0.0</v>
      </c>
      <c r="E278" s="16">
        <v>0.0</v>
      </c>
      <c r="F278" s="16">
        <v>0.0</v>
      </c>
      <c r="G278" s="18">
        <v>0.0</v>
      </c>
      <c r="H278" s="16" t="s">
        <v>223</v>
      </c>
      <c r="I278" s="19">
        <f t="shared" si="1"/>
        <v>0</v>
      </c>
      <c r="J278" s="19">
        <f t="shared" si="2"/>
        <v>0</v>
      </c>
    </row>
    <row r="279" ht="22.5" customHeight="1">
      <c r="A279" s="16">
        <v>1.0</v>
      </c>
      <c r="B279" s="16">
        <v>3.0</v>
      </c>
      <c r="C279" s="16">
        <v>0.0</v>
      </c>
      <c r="D279" s="16">
        <v>0.0</v>
      </c>
      <c r="E279" s="16">
        <v>0.0</v>
      </c>
      <c r="F279" s="16">
        <v>0.0</v>
      </c>
      <c r="G279" s="18">
        <v>0.0</v>
      </c>
      <c r="H279" s="16" t="s">
        <v>223</v>
      </c>
      <c r="I279" s="19">
        <f t="shared" si="1"/>
        <v>0</v>
      </c>
      <c r="J279" s="19">
        <f t="shared" si="2"/>
        <v>0</v>
      </c>
    </row>
    <row r="280" ht="22.5" customHeight="1">
      <c r="A280" s="16">
        <v>1.0</v>
      </c>
      <c r="B280" s="16">
        <v>4.0</v>
      </c>
      <c r="C280" s="16">
        <v>0.0</v>
      </c>
      <c r="D280" s="16">
        <v>0.0</v>
      </c>
      <c r="E280" s="16">
        <v>0.0</v>
      </c>
      <c r="F280" s="16">
        <v>0.0</v>
      </c>
      <c r="G280" s="18">
        <v>0.0</v>
      </c>
      <c r="H280" s="16" t="s">
        <v>223</v>
      </c>
      <c r="I280" s="19">
        <f t="shared" si="1"/>
        <v>0</v>
      </c>
      <c r="J280" s="19">
        <f t="shared" si="2"/>
        <v>0</v>
      </c>
    </row>
    <row r="281" ht="22.5" customHeight="1">
      <c r="A281" s="16">
        <v>1.0</v>
      </c>
      <c r="B281" s="16">
        <v>4.0</v>
      </c>
      <c r="C281" s="16">
        <v>4.0</v>
      </c>
      <c r="D281" s="16">
        <v>16.0</v>
      </c>
      <c r="E281" s="16">
        <v>0.0</v>
      </c>
      <c r="F281" s="16">
        <v>0.0</v>
      </c>
      <c r="G281" s="18">
        <v>1.0</v>
      </c>
      <c r="H281" s="16" t="s">
        <v>207</v>
      </c>
      <c r="I281" s="19">
        <f t="shared" si="1"/>
        <v>16</v>
      </c>
      <c r="J281" s="19">
        <f t="shared" si="2"/>
        <v>0</v>
      </c>
    </row>
    <row r="282" ht="22.5" customHeight="1">
      <c r="A282" s="16">
        <v>1.0</v>
      </c>
      <c r="B282" s="16">
        <v>4.0</v>
      </c>
      <c r="C282" s="16">
        <v>3.0</v>
      </c>
      <c r="D282" s="16">
        <v>4.0</v>
      </c>
      <c r="E282" s="16">
        <v>1.0</v>
      </c>
      <c r="F282" s="16">
        <v>0.0</v>
      </c>
      <c r="G282" s="20">
        <v>0.667</v>
      </c>
      <c r="H282" s="16" t="s">
        <v>207</v>
      </c>
      <c r="I282" s="19">
        <f t="shared" si="1"/>
        <v>4</v>
      </c>
      <c r="J282" s="19">
        <f t="shared" si="2"/>
        <v>1</v>
      </c>
    </row>
    <row r="283" ht="22.5" customHeight="1">
      <c r="A283" s="16">
        <v>1.0</v>
      </c>
      <c r="B283" s="16">
        <v>4.0</v>
      </c>
      <c r="C283" s="16">
        <v>4.0</v>
      </c>
      <c r="D283" s="16">
        <v>16.0</v>
      </c>
      <c r="E283" s="16">
        <v>0.0</v>
      </c>
      <c r="F283" s="16">
        <v>0.0</v>
      </c>
      <c r="G283" s="18">
        <v>1.0</v>
      </c>
      <c r="H283" s="16" t="s">
        <v>207</v>
      </c>
      <c r="I283" s="19">
        <f t="shared" si="1"/>
        <v>16</v>
      </c>
      <c r="J283" s="19">
        <f t="shared" si="2"/>
        <v>0</v>
      </c>
    </row>
    <row r="284" ht="22.5" customHeight="1">
      <c r="A284" s="16">
        <v>2.0</v>
      </c>
      <c r="B284" s="16">
        <v>7.0</v>
      </c>
      <c r="C284" s="16">
        <v>4.0</v>
      </c>
      <c r="D284" s="16">
        <v>4.0</v>
      </c>
      <c r="E284" s="16">
        <v>0.0</v>
      </c>
      <c r="F284" s="16">
        <v>0.0</v>
      </c>
      <c r="G284" s="18">
        <v>0.5</v>
      </c>
      <c r="H284" s="16" t="s">
        <v>207</v>
      </c>
      <c r="I284" s="19">
        <f t="shared" si="1"/>
        <v>8</v>
      </c>
      <c r="J284" s="19">
        <f t="shared" si="2"/>
        <v>0</v>
      </c>
    </row>
    <row r="285" ht="22.5" customHeight="1">
      <c r="A285" s="16">
        <v>1.0</v>
      </c>
      <c r="B285" s="16">
        <v>4.0</v>
      </c>
      <c r="C285" s="16">
        <v>0.0</v>
      </c>
      <c r="D285" s="16">
        <v>0.0</v>
      </c>
      <c r="E285" s="16">
        <v>0.0</v>
      </c>
      <c r="F285" s="16">
        <v>0.0</v>
      </c>
      <c r="G285" s="18">
        <v>0.0</v>
      </c>
      <c r="H285" s="16" t="s">
        <v>288</v>
      </c>
      <c r="I285" s="19">
        <f t="shared" si="1"/>
        <v>0</v>
      </c>
      <c r="J285" s="19">
        <f t="shared" si="2"/>
        <v>0</v>
      </c>
    </row>
    <row r="286" ht="22.5" customHeight="1">
      <c r="A286" s="16">
        <v>1.0</v>
      </c>
      <c r="B286" s="16">
        <v>4.0</v>
      </c>
      <c r="C286" s="16">
        <v>1.0</v>
      </c>
      <c r="D286" s="16">
        <v>-4.0</v>
      </c>
      <c r="E286" s="16">
        <v>1.0</v>
      </c>
      <c r="F286" s="16">
        <v>0.0</v>
      </c>
      <c r="G286" s="18">
        <v>0.0</v>
      </c>
      <c r="H286" s="16" t="s">
        <v>245</v>
      </c>
      <c r="I286" s="19">
        <f t="shared" si="1"/>
        <v>-4</v>
      </c>
      <c r="J286" s="19">
        <f t="shared" si="2"/>
        <v>1</v>
      </c>
    </row>
    <row r="287" ht="22.5" customHeight="1">
      <c r="A287" s="16">
        <v>1.0</v>
      </c>
      <c r="B287" s="16">
        <v>4.0</v>
      </c>
      <c r="C287" s="16">
        <v>0.0</v>
      </c>
      <c r="D287" s="16">
        <v>0.0</v>
      </c>
      <c r="E287" s="16">
        <v>0.0</v>
      </c>
      <c r="F287" s="16">
        <v>0.0</v>
      </c>
      <c r="G287" s="18">
        <v>0.0</v>
      </c>
      <c r="H287" s="16" t="s">
        <v>245</v>
      </c>
      <c r="I287" s="19">
        <f t="shared" si="1"/>
        <v>0</v>
      </c>
      <c r="J287" s="19">
        <f t="shared" si="2"/>
        <v>0</v>
      </c>
    </row>
    <row r="288" ht="22.5" customHeight="1">
      <c r="A288" s="16">
        <v>1.0</v>
      </c>
      <c r="B288" s="16">
        <v>3.0</v>
      </c>
      <c r="C288" s="16">
        <v>0.0</v>
      </c>
      <c r="D288" s="16">
        <v>0.0</v>
      </c>
      <c r="E288" s="16">
        <v>0.0</v>
      </c>
      <c r="F288" s="16">
        <v>0.0</v>
      </c>
      <c r="G288" s="18">
        <v>0.0</v>
      </c>
      <c r="H288" s="16" t="s">
        <v>245</v>
      </c>
      <c r="I288" s="19">
        <f t="shared" si="1"/>
        <v>0</v>
      </c>
      <c r="J288" s="19">
        <f t="shared" si="2"/>
        <v>0</v>
      </c>
    </row>
    <row r="289" ht="22.5" customHeight="1">
      <c r="A289" s="16">
        <v>1.0</v>
      </c>
      <c r="B289" s="16">
        <v>4.0</v>
      </c>
      <c r="C289" s="16">
        <v>0.0</v>
      </c>
      <c r="D289" s="16">
        <v>0.0</v>
      </c>
      <c r="E289" s="16">
        <v>0.0</v>
      </c>
      <c r="F289" s="16">
        <v>0.0</v>
      </c>
      <c r="G289" s="18">
        <v>0.0</v>
      </c>
      <c r="H289" s="16" t="s">
        <v>290</v>
      </c>
      <c r="I289" s="19">
        <f t="shared" si="1"/>
        <v>0</v>
      </c>
      <c r="J289" s="19">
        <f t="shared" si="2"/>
        <v>0</v>
      </c>
    </row>
    <row r="290" ht="22.5" customHeight="1">
      <c r="A290" s="16">
        <v>4.0</v>
      </c>
      <c r="B290" s="16">
        <v>15.0</v>
      </c>
      <c r="C290" s="16">
        <v>7.0</v>
      </c>
      <c r="D290" s="16">
        <v>3.0</v>
      </c>
      <c r="E290" s="16">
        <v>0.0</v>
      </c>
      <c r="F290" s="16">
        <v>0.0</v>
      </c>
      <c r="G290" s="20">
        <v>0.429</v>
      </c>
      <c r="H290" s="16" t="s">
        <v>291</v>
      </c>
      <c r="I290" s="19">
        <f t="shared" si="1"/>
        <v>12</v>
      </c>
      <c r="J290" s="19">
        <f t="shared" si="2"/>
        <v>0</v>
      </c>
    </row>
    <row r="291" ht="22.5" customHeight="1">
      <c r="A291" s="16">
        <v>5.0</v>
      </c>
      <c r="B291" s="16">
        <v>19.0</v>
      </c>
      <c r="C291" s="16">
        <v>0.0</v>
      </c>
      <c r="D291" s="16">
        <v>0.0</v>
      </c>
      <c r="E291" s="16">
        <v>0.0</v>
      </c>
      <c r="F291" s="16">
        <v>0.0</v>
      </c>
      <c r="G291" s="18">
        <v>0.0</v>
      </c>
      <c r="H291" s="16" t="s">
        <v>267</v>
      </c>
      <c r="I291" s="19">
        <f t="shared" si="1"/>
        <v>0</v>
      </c>
      <c r="J291" s="19">
        <f t="shared" si="2"/>
        <v>0</v>
      </c>
    </row>
    <row r="292" ht="22.5" customHeight="1">
      <c r="A292" s="16">
        <v>5.0</v>
      </c>
      <c r="B292" s="16">
        <v>19.0</v>
      </c>
      <c r="C292" s="16">
        <v>9.0</v>
      </c>
      <c r="D292" s="16">
        <v>1.6</v>
      </c>
      <c r="E292" s="16">
        <v>0.4</v>
      </c>
      <c r="F292" s="16">
        <v>0.0</v>
      </c>
      <c r="G292" s="20">
        <v>0.444</v>
      </c>
      <c r="H292" s="16" t="s">
        <v>98</v>
      </c>
      <c r="I292" s="19">
        <f t="shared" si="1"/>
        <v>8</v>
      </c>
      <c r="J292" s="19">
        <f t="shared" si="2"/>
        <v>2</v>
      </c>
    </row>
    <row r="293" ht="22.5" customHeight="1">
      <c r="A293" s="16">
        <v>1.0</v>
      </c>
      <c r="B293" s="16">
        <v>4.0</v>
      </c>
      <c r="C293" s="16">
        <v>1.0</v>
      </c>
      <c r="D293" s="16">
        <v>4.0</v>
      </c>
      <c r="E293" s="16">
        <v>0.0</v>
      </c>
      <c r="F293" s="16">
        <v>0.0</v>
      </c>
      <c r="G293" s="18">
        <v>1.0</v>
      </c>
      <c r="H293" s="16" t="s">
        <v>106</v>
      </c>
      <c r="I293" s="19">
        <f t="shared" si="1"/>
        <v>4</v>
      </c>
      <c r="J293" s="19">
        <f t="shared" si="2"/>
        <v>0</v>
      </c>
    </row>
    <row r="294" ht="22.5" customHeight="1">
      <c r="A294" s="16">
        <v>3.0</v>
      </c>
      <c r="B294" s="16">
        <v>12.0</v>
      </c>
      <c r="C294" s="16">
        <v>2.0</v>
      </c>
      <c r="D294" s="16">
        <v>1.33</v>
      </c>
      <c r="E294" s="16">
        <v>0.0</v>
      </c>
      <c r="F294" s="16">
        <v>0.0</v>
      </c>
      <c r="G294" s="18">
        <v>0.5</v>
      </c>
      <c r="H294" s="16" t="s">
        <v>106</v>
      </c>
      <c r="I294" s="19">
        <f t="shared" si="1"/>
        <v>4</v>
      </c>
      <c r="J294" s="19">
        <f t="shared" si="2"/>
        <v>0</v>
      </c>
    </row>
    <row r="295" ht="22.5" customHeight="1">
      <c r="A295" s="16">
        <v>1.0</v>
      </c>
      <c r="B295" s="16">
        <v>4.0</v>
      </c>
      <c r="C295" s="16">
        <v>2.0</v>
      </c>
      <c r="D295" s="16">
        <v>8.0</v>
      </c>
      <c r="E295" s="16">
        <v>0.0</v>
      </c>
      <c r="F295" s="16">
        <v>0.0</v>
      </c>
      <c r="G295" s="18">
        <v>1.0</v>
      </c>
      <c r="H295" s="16" t="s">
        <v>106</v>
      </c>
      <c r="I295" s="19">
        <f t="shared" si="1"/>
        <v>8</v>
      </c>
      <c r="J295" s="19">
        <f t="shared" si="2"/>
        <v>0</v>
      </c>
    </row>
    <row r="296" ht="22.5" customHeight="1">
      <c r="A296" s="16">
        <v>2.0</v>
      </c>
      <c r="B296" s="16">
        <v>8.0</v>
      </c>
      <c r="C296" s="16">
        <v>0.0</v>
      </c>
      <c r="D296" s="16">
        <v>0.0</v>
      </c>
      <c r="E296" s="16">
        <v>0.0</v>
      </c>
      <c r="F296" s="16">
        <v>0.0</v>
      </c>
      <c r="G296" s="18">
        <v>0.0</v>
      </c>
      <c r="H296" s="16" t="s">
        <v>292</v>
      </c>
      <c r="I296" s="19">
        <f t="shared" si="1"/>
        <v>0</v>
      </c>
      <c r="J296" s="19">
        <f t="shared" si="2"/>
        <v>0</v>
      </c>
    </row>
    <row r="297" ht="22.5" customHeight="1">
      <c r="A297" s="16">
        <v>1.0</v>
      </c>
      <c r="B297" s="16">
        <v>4.0</v>
      </c>
      <c r="C297" s="16">
        <v>2.0</v>
      </c>
      <c r="D297" s="16">
        <v>8.0</v>
      </c>
      <c r="E297" s="16">
        <v>0.0</v>
      </c>
      <c r="F297" s="16">
        <v>0.0</v>
      </c>
      <c r="G297" s="18">
        <v>1.0</v>
      </c>
      <c r="H297" s="16" t="s">
        <v>269</v>
      </c>
      <c r="I297" s="19">
        <f t="shared" si="1"/>
        <v>8</v>
      </c>
      <c r="J297" s="19">
        <f t="shared" si="2"/>
        <v>0</v>
      </c>
    </row>
    <row r="298" ht="22.5" customHeight="1">
      <c r="A298" s="16">
        <v>3.0</v>
      </c>
      <c r="B298" s="16">
        <v>12.0</v>
      </c>
      <c r="C298" s="16">
        <v>6.0</v>
      </c>
      <c r="D298" s="16">
        <v>2.67</v>
      </c>
      <c r="E298" s="16">
        <v>0.0</v>
      </c>
      <c r="F298" s="16">
        <v>0.0</v>
      </c>
      <c r="G298" s="20">
        <v>0.333</v>
      </c>
      <c r="H298" s="16" t="s">
        <v>269</v>
      </c>
      <c r="I298" s="19">
        <f t="shared" si="1"/>
        <v>8</v>
      </c>
      <c r="J298" s="19">
        <f t="shared" si="2"/>
        <v>0</v>
      </c>
    </row>
    <row r="299" ht="22.5" customHeight="1">
      <c r="A299" s="16">
        <v>1.0</v>
      </c>
      <c r="B299" s="16">
        <v>4.0</v>
      </c>
      <c r="C299" s="16">
        <v>1.0</v>
      </c>
      <c r="D299" s="16">
        <v>0.0</v>
      </c>
      <c r="E299" s="16">
        <v>0.0</v>
      </c>
      <c r="F299" s="16">
        <v>0.0</v>
      </c>
      <c r="G299" s="18">
        <v>0.0</v>
      </c>
      <c r="H299" s="16" t="s">
        <v>269</v>
      </c>
      <c r="I299" s="19">
        <f t="shared" si="1"/>
        <v>0</v>
      </c>
      <c r="J299" s="19">
        <f t="shared" si="2"/>
        <v>0</v>
      </c>
    </row>
    <row r="300" ht="22.5" customHeight="1">
      <c r="A300" s="16">
        <v>1.0</v>
      </c>
      <c r="B300" s="16">
        <v>4.0</v>
      </c>
      <c r="C300" s="16">
        <v>0.0</v>
      </c>
      <c r="D300" s="16">
        <v>0.0</v>
      </c>
      <c r="E300" s="16">
        <v>0.0</v>
      </c>
      <c r="F300" s="16">
        <v>0.0</v>
      </c>
      <c r="G300" s="18">
        <v>0.0</v>
      </c>
      <c r="H300" s="16" t="s">
        <v>293</v>
      </c>
      <c r="I300" s="19">
        <f t="shared" si="1"/>
        <v>0</v>
      </c>
      <c r="J300" s="19">
        <f t="shared" si="2"/>
        <v>0</v>
      </c>
    </row>
    <row r="301" ht="22.5" customHeight="1">
      <c r="A301" s="16">
        <v>3.0</v>
      </c>
      <c r="B301" s="16">
        <v>12.0</v>
      </c>
      <c r="C301" s="16">
        <v>0.0</v>
      </c>
      <c r="D301" s="16">
        <v>0.0</v>
      </c>
      <c r="E301" s="16">
        <v>0.0</v>
      </c>
      <c r="F301" s="16">
        <v>0.0</v>
      </c>
      <c r="G301" s="18">
        <v>0.0</v>
      </c>
      <c r="H301" s="16" t="s">
        <v>293</v>
      </c>
      <c r="I301" s="19">
        <f t="shared" si="1"/>
        <v>0</v>
      </c>
      <c r="J301" s="19">
        <f t="shared" si="2"/>
        <v>0</v>
      </c>
    </row>
    <row r="302" ht="22.5" customHeight="1">
      <c r="A302" s="16">
        <v>1.0</v>
      </c>
      <c r="B302" s="16">
        <v>4.0</v>
      </c>
      <c r="C302" s="16">
        <v>0.0</v>
      </c>
      <c r="D302" s="16">
        <v>0.0</v>
      </c>
      <c r="E302" s="16">
        <v>0.0</v>
      </c>
      <c r="F302" s="16">
        <v>0.0</v>
      </c>
      <c r="G302" s="18">
        <v>0.0</v>
      </c>
      <c r="H302" s="16" t="s">
        <v>293</v>
      </c>
      <c r="I302" s="19">
        <f t="shared" si="1"/>
        <v>0</v>
      </c>
      <c r="J302" s="19">
        <f t="shared" si="2"/>
        <v>0</v>
      </c>
    </row>
    <row r="303" ht="22.5" customHeight="1">
      <c r="A303" s="16">
        <v>5.0</v>
      </c>
      <c r="B303" s="16">
        <v>18.0</v>
      </c>
      <c r="C303" s="16">
        <v>0.0</v>
      </c>
      <c r="D303" s="16">
        <v>0.0</v>
      </c>
      <c r="E303" s="16">
        <v>0.0</v>
      </c>
      <c r="F303" s="16">
        <v>0.0</v>
      </c>
      <c r="G303" s="18">
        <v>0.0</v>
      </c>
      <c r="H303" s="16" t="s">
        <v>285</v>
      </c>
      <c r="I303" s="19">
        <f t="shared" si="1"/>
        <v>0</v>
      </c>
      <c r="J303" s="19">
        <f t="shared" si="2"/>
        <v>0</v>
      </c>
    </row>
    <row r="304" ht="22.5" customHeight="1">
      <c r="A304" s="16">
        <v>1.0</v>
      </c>
      <c r="B304" s="16">
        <v>3.0</v>
      </c>
      <c r="C304" s="16">
        <v>0.0</v>
      </c>
      <c r="D304" s="16">
        <v>0.0</v>
      </c>
      <c r="E304" s="16">
        <v>0.0</v>
      </c>
      <c r="F304" s="16">
        <v>0.0</v>
      </c>
      <c r="G304" s="18">
        <v>0.0</v>
      </c>
      <c r="H304" s="16" t="s">
        <v>246</v>
      </c>
      <c r="I304" s="19">
        <f t="shared" si="1"/>
        <v>0</v>
      </c>
      <c r="J304" s="19">
        <f t="shared" si="2"/>
        <v>0</v>
      </c>
    </row>
    <row r="305" ht="22.5" customHeight="1">
      <c r="A305" s="16">
        <v>4.0</v>
      </c>
      <c r="B305" s="16">
        <v>15.0</v>
      </c>
      <c r="C305" s="16">
        <v>0.0</v>
      </c>
      <c r="D305" s="16">
        <v>0.0</v>
      </c>
      <c r="E305" s="16">
        <v>0.0</v>
      </c>
      <c r="F305" s="16">
        <v>0.0</v>
      </c>
      <c r="G305" s="18">
        <v>0.0</v>
      </c>
      <c r="H305" s="16" t="s">
        <v>295</v>
      </c>
      <c r="I305" s="19">
        <f t="shared" si="1"/>
        <v>0</v>
      </c>
      <c r="J305" s="19">
        <f t="shared" si="2"/>
        <v>0</v>
      </c>
    </row>
    <row r="306" ht="22.5" customHeight="1">
      <c r="A306" s="16">
        <v>5.0</v>
      </c>
      <c r="B306" s="16">
        <v>18.0</v>
      </c>
      <c r="C306" s="16">
        <v>3.0</v>
      </c>
      <c r="D306" s="16">
        <v>0.0</v>
      </c>
      <c r="E306" s="16">
        <v>0.2</v>
      </c>
      <c r="F306" s="16">
        <v>0.0</v>
      </c>
      <c r="G306" s="20">
        <v>0.333</v>
      </c>
      <c r="H306" s="16" t="s">
        <v>286</v>
      </c>
      <c r="I306" s="19">
        <f t="shared" si="1"/>
        <v>0</v>
      </c>
      <c r="J306" s="19">
        <f t="shared" si="2"/>
        <v>1</v>
      </c>
    </row>
    <row r="307" ht="22.5" customHeight="1">
      <c r="A307" s="16">
        <v>5.0</v>
      </c>
      <c r="B307" s="16">
        <v>18.0</v>
      </c>
      <c r="C307" s="16">
        <v>14.0</v>
      </c>
      <c r="D307" s="16">
        <v>0.0</v>
      </c>
      <c r="E307" s="16">
        <v>0.8</v>
      </c>
      <c r="F307" s="16">
        <v>0.0</v>
      </c>
      <c r="G307" s="20">
        <v>0.286</v>
      </c>
      <c r="H307" s="16" t="s">
        <v>297</v>
      </c>
      <c r="I307" s="19">
        <f t="shared" si="1"/>
        <v>0</v>
      </c>
      <c r="J307" s="19">
        <f t="shared" si="2"/>
        <v>4</v>
      </c>
    </row>
    <row r="308" ht="22.5" customHeight="1">
      <c r="A308" s="16">
        <v>3.0</v>
      </c>
      <c r="B308" s="16">
        <v>12.0</v>
      </c>
      <c r="C308" s="16">
        <v>2.0</v>
      </c>
      <c r="D308" s="16">
        <v>1.33</v>
      </c>
      <c r="E308" s="16">
        <v>0.0</v>
      </c>
      <c r="F308" s="16">
        <v>0.0</v>
      </c>
      <c r="G308" s="18">
        <v>0.5</v>
      </c>
      <c r="H308" s="16" t="s">
        <v>298</v>
      </c>
      <c r="I308" s="19">
        <f t="shared" si="1"/>
        <v>4</v>
      </c>
      <c r="J308" s="19">
        <f t="shared" si="2"/>
        <v>0</v>
      </c>
    </row>
    <row r="309" ht="22.5" customHeight="1">
      <c r="A309" s="16">
        <v>4.0</v>
      </c>
      <c r="B309" s="16">
        <v>16.0</v>
      </c>
      <c r="C309" s="16">
        <v>10.0</v>
      </c>
      <c r="D309" s="16">
        <v>4.0</v>
      </c>
      <c r="E309" s="16">
        <v>0.0</v>
      </c>
      <c r="F309" s="16">
        <v>0.0</v>
      </c>
      <c r="G309" s="18">
        <v>0.4</v>
      </c>
      <c r="H309" s="16" t="s">
        <v>296</v>
      </c>
      <c r="I309" s="19">
        <f t="shared" si="1"/>
        <v>16</v>
      </c>
      <c r="J309" s="19">
        <f t="shared" si="2"/>
        <v>0</v>
      </c>
    </row>
    <row r="310" ht="22.5" customHeight="1">
      <c r="A310" s="16">
        <v>4.0</v>
      </c>
      <c r="B310" s="16">
        <v>16.0</v>
      </c>
      <c r="C310" s="16">
        <v>1.0</v>
      </c>
      <c r="D310" s="16">
        <v>1.0</v>
      </c>
      <c r="E310" s="16">
        <v>0.0</v>
      </c>
      <c r="F310" s="16">
        <v>0.0</v>
      </c>
      <c r="G310" s="18">
        <v>1.0</v>
      </c>
      <c r="H310" s="16" t="s">
        <v>175</v>
      </c>
      <c r="I310" s="19">
        <f t="shared" si="1"/>
        <v>4</v>
      </c>
      <c r="J310" s="19">
        <f t="shared" si="2"/>
        <v>0</v>
      </c>
    </row>
    <row r="311" ht="22.5" customHeight="1">
      <c r="A311" s="16">
        <v>4.0</v>
      </c>
      <c r="B311" s="16">
        <v>16.0</v>
      </c>
      <c r="C311" s="16">
        <v>0.0</v>
      </c>
      <c r="D311" s="16">
        <v>0.0</v>
      </c>
      <c r="E311" s="16">
        <v>0.0</v>
      </c>
      <c r="F311" s="16">
        <v>0.0</v>
      </c>
      <c r="G311" s="18">
        <v>0.0</v>
      </c>
      <c r="H311" s="16" t="s">
        <v>300</v>
      </c>
      <c r="I311" s="19">
        <f t="shared" si="1"/>
        <v>0</v>
      </c>
      <c r="J311" s="19">
        <f t="shared" si="2"/>
        <v>0</v>
      </c>
    </row>
    <row r="312" ht="22.5" customHeight="1">
      <c r="A312" s="16">
        <v>4.0</v>
      </c>
      <c r="B312" s="16">
        <v>16.0</v>
      </c>
      <c r="C312" s="16">
        <v>2.0</v>
      </c>
      <c r="D312" s="16">
        <v>2.0</v>
      </c>
      <c r="E312" s="16">
        <v>0.0</v>
      </c>
      <c r="F312" s="16">
        <v>0.0</v>
      </c>
      <c r="G312" s="18">
        <v>1.0</v>
      </c>
      <c r="H312" s="16" t="s">
        <v>271</v>
      </c>
      <c r="I312" s="19">
        <f t="shared" si="1"/>
        <v>8</v>
      </c>
      <c r="J312" s="19">
        <f t="shared" si="2"/>
        <v>0</v>
      </c>
    </row>
    <row r="313" ht="22.5" customHeight="1">
      <c r="A313" s="16">
        <v>1.0</v>
      </c>
      <c r="B313" s="16">
        <v>4.0</v>
      </c>
      <c r="C313" s="16">
        <v>1.0</v>
      </c>
      <c r="D313" s="16">
        <v>0.0</v>
      </c>
      <c r="E313" s="16">
        <v>0.0</v>
      </c>
      <c r="F313" s="16">
        <v>0.0</v>
      </c>
      <c r="G313" s="18">
        <v>0.0</v>
      </c>
      <c r="H313" s="16" t="s">
        <v>271</v>
      </c>
      <c r="I313" s="19">
        <f t="shared" si="1"/>
        <v>0</v>
      </c>
      <c r="J313" s="19">
        <f t="shared" si="2"/>
        <v>0</v>
      </c>
    </row>
    <row r="314" ht="22.5" customHeight="1">
      <c r="A314" s="16">
        <v>4.0</v>
      </c>
      <c r="B314" s="16">
        <v>16.0</v>
      </c>
      <c r="C314" s="16">
        <v>0.0</v>
      </c>
      <c r="D314" s="16">
        <v>0.0</v>
      </c>
      <c r="E314" s="16">
        <v>0.0</v>
      </c>
      <c r="F314" s="16">
        <v>0.0</v>
      </c>
      <c r="G314" s="18">
        <v>0.0</v>
      </c>
      <c r="H314" s="16" t="s">
        <v>249</v>
      </c>
      <c r="I314" s="19">
        <f t="shared" si="1"/>
        <v>0</v>
      </c>
      <c r="J314" s="19">
        <f t="shared" si="2"/>
        <v>0</v>
      </c>
    </row>
    <row r="315" ht="22.5" customHeight="1">
      <c r="A315" s="16">
        <v>1.0</v>
      </c>
      <c r="B315" s="16">
        <v>4.0</v>
      </c>
      <c r="C315" s="16">
        <v>1.0</v>
      </c>
      <c r="D315" s="16">
        <v>0.0</v>
      </c>
      <c r="E315" s="16">
        <v>0.0</v>
      </c>
      <c r="F315" s="16">
        <v>0.0</v>
      </c>
      <c r="G315" s="18">
        <v>0.0</v>
      </c>
      <c r="H315" s="16" t="s">
        <v>249</v>
      </c>
      <c r="I315" s="19">
        <f t="shared" si="1"/>
        <v>0</v>
      </c>
      <c r="J315" s="19">
        <f t="shared" si="2"/>
        <v>0</v>
      </c>
    </row>
    <row r="316" ht="22.5" customHeight="1">
      <c r="A316" s="16">
        <v>4.0</v>
      </c>
      <c r="B316" s="16">
        <v>16.0</v>
      </c>
      <c r="C316" s="16">
        <v>8.0</v>
      </c>
      <c r="D316" s="16">
        <v>3.0</v>
      </c>
      <c r="E316" s="16">
        <v>0.0</v>
      </c>
      <c r="F316" s="16">
        <v>0.0</v>
      </c>
      <c r="G316" s="20">
        <v>0.375</v>
      </c>
      <c r="H316" s="16" t="s">
        <v>272</v>
      </c>
      <c r="I316" s="19">
        <f t="shared" si="1"/>
        <v>12</v>
      </c>
      <c r="J316" s="19">
        <f t="shared" si="2"/>
        <v>0</v>
      </c>
    </row>
    <row r="317" ht="22.5" customHeight="1">
      <c r="A317" s="16">
        <v>1.0</v>
      </c>
      <c r="B317" s="16">
        <v>4.0</v>
      </c>
      <c r="C317" s="16">
        <v>2.0</v>
      </c>
      <c r="D317" s="16">
        <v>0.0</v>
      </c>
      <c r="E317" s="16">
        <v>0.0</v>
      </c>
      <c r="F317" s="16">
        <v>0.0</v>
      </c>
      <c r="G317" s="18">
        <v>0.0</v>
      </c>
      <c r="H317" s="16" t="s">
        <v>272</v>
      </c>
      <c r="I317" s="19">
        <f t="shared" si="1"/>
        <v>0</v>
      </c>
      <c r="J317" s="19">
        <f t="shared" si="2"/>
        <v>0</v>
      </c>
    </row>
    <row r="318" ht="22.5" customHeight="1">
      <c r="A318" s="16">
        <v>4.0</v>
      </c>
      <c r="B318" s="16">
        <v>15.0</v>
      </c>
      <c r="C318" s="16">
        <v>10.0</v>
      </c>
      <c r="D318" s="16">
        <v>2.0</v>
      </c>
      <c r="E318" s="16">
        <v>0.25</v>
      </c>
      <c r="F318" s="16">
        <v>0.0</v>
      </c>
      <c r="G318" s="18">
        <v>0.3</v>
      </c>
      <c r="H318" s="16" t="s">
        <v>138</v>
      </c>
      <c r="I318" s="19">
        <f t="shared" si="1"/>
        <v>8</v>
      </c>
      <c r="J318" s="19">
        <f t="shared" si="2"/>
        <v>1</v>
      </c>
    </row>
    <row r="319" ht="22.5" customHeight="1">
      <c r="A319" s="16">
        <v>1.0</v>
      </c>
      <c r="B319" s="16">
        <v>4.0</v>
      </c>
      <c r="C319" s="16">
        <v>3.0</v>
      </c>
      <c r="D319" s="16">
        <v>4.0</v>
      </c>
      <c r="E319" s="16">
        <v>1.0</v>
      </c>
      <c r="F319" s="16">
        <v>0.0</v>
      </c>
      <c r="G319" s="20">
        <v>0.667</v>
      </c>
      <c r="H319" s="16" t="s">
        <v>138</v>
      </c>
      <c r="I319" s="19">
        <f t="shared" si="1"/>
        <v>4</v>
      </c>
      <c r="J319" s="19">
        <f t="shared" si="2"/>
        <v>1</v>
      </c>
    </row>
    <row r="320" ht="22.5" customHeight="1">
      <c r="A320" s="16">
        <v>2.0</v>
      </c>
      <c r="B320" s="16">
        <v>8.0</v>
      </c>
      <c r="C320" s="16">
        <v>0.0</v>
      </c>
      <c r="D320" s="16">
        <v>0.0</v>
      </c>
      <c r="E320" s="16">
        <v>0.0</v>
      </c>
      <c r="F320" s="16">
        <v>0.0</v>
      </c>
      <c r="G320" s="18">
        <v>0.0</v>
      </c>
      <c r="H320" s="16" t="s">
        <v>303</v>
      </c>
      <c r="I320" s="19">
        <f t="shared" si="1"/>
        <v>0</v>
      </c>
      <c r="J320" s="19">
        <f t="shared" si="2"/>
        <v>0</v>
      </c>
    </row>
    <row r="321" ht="22.5" customHeight="1">
      <c r="A321" s="16">
        <v>4.0</v>
      </c>
      <c r="B321" s="16">
        <v>15.0</v>
      </c>
      <c r="C321" s="16">
        <v>0.0</v>
      </c>
      <c r="D321" s="16">
        <v>0.0</v>
      </c>
      <c r="E321" s="16">
        <v>0.0</v>
      </c>
      <c r="F321" s="16">
        <v>0.0</v>
      </c>
      <c r="G321" s="18">
        <v>0.0</v>
      </c>
      <c r="H321" s="16" t="s">
        <v>304</v>
      </c>
      <c r="I321" s="19">
        <f t="shared" si="1"/>
        <v>0</v>
      </c>
      <c r="J321" s="19">
        <f t="shared" si="2"/>
        <v>0</v>
      </c>
    </row>
    <row r="322" ht="22.5" customHeight="1">
      <c r="A322" s="16">
        <v>1.0</v>
      </c>
      <c r="B322" s="16">
        <v>3.0</v>
      </c>
      <c r="C322" s="16">
        <v>1.0</v>
      </c>
      <c r="D322" s="16">
        <v>4.0</v>
      </c>
      <c r="E322" s="16">
        <v>0.0</v>
      </c>
      <c r="F322" s="16">
        <v>0.0</v>
      </c>
      <c r="G322" s="18">
        <v>1.0</v>
      </c>
      <c r="H322" s="16" t="s">
        <v>305</v>
      </c>
      <c r="I322" s="19">
        <f t="shared" si="1"/>
        <v>4</v>
      </c>
      <c r="J322" s="19">
        <f t="shared" si="2"/>
        <v>0</v>
      </c>
    </row>
    <row r="323" ht="22.5" customHeight="1">
      <c r="A323" s="16">
        <v>1.0</v>
      </c>
      <c r="B323" s="16">
        <v>3.0</v>
      </c>
      <c r="C323" s="16">
        <v>0.0</v>
      </c>
      <c r="D323" s="16">
        <v>0.0</v>
      </c>
      <c r="E323" s="16">
        <v>0.0</v>
      </c>
      <c r="F323" s="16">
        <v>0.0</v>
      </c>
      <c r="G323" s="18">
        <v>0.0</v>
      </c>
      <c r="H323" s="16" t="s">
        <v>306</v>
      </c>
      <c r="I323" s="19">
        <f t="shared" si="1"/>
        <v>0</v>
      </c>
      <c r="J323" s="19">
        <f t="shared" si="2"/>
        <v>0</v>
      </c>
    </row>
    <row r="324" ht="22.5" customHeight="1">
      <c r="A324" s="16">
        <v>1.0</v>
      </c>
      <c r="B324" s="16">
        <v>4.0</v>
      </c>
      <c r="C324" s="16">
        <v>1.0</v>
      </c>
      <c r="D324" s="16">
        <v>4.0</v>
      </c>
      <c r="E324" s="16">
        <v>0.0</v>
      </c>
      <c r="F324" s="16">
        <v>0.0</v>
      </c>
      <c r="G324" s="18">
        <v>1.0</v>
      </c>
      <c r="H324" s="16" t="s">
        <v>306</v>
      </c>
      <c r="I324" s="19">
        <f t="shared" si="1"/>
        <v>4</v>
      </c>
      <c r="J324" s="19">
        <f t="shared" si="2"/>
        <v>0</v>
      </c>
    </row>
    <row r="325" ht="22.5" customHeight="1">
      <c r="A325" s="16">
        <v>1.0</v>
      </c>
      <c r="B325" s="16">
        <v>3.0</v>
      </c>
      <c r="C325" s="16">
        <v>0.0</v>
      </c>
      <c r="D325" s="16">
        <v>0.0</v>
      </c>
      <c r="E325" s="16">
        <v>0.0</v>
      </c>
      <c r="F325" s="16">
        <v>0.0</v>
      </c>
      <c r="G325" s="18">
        <v>0.0</v>
      </c>
      <c r="H325" s="16" t="s">
        <v>306</v>
      </c>
      <c r="I325" s="19">
        <f t="shared" si="1"/>
        <v>0</v>
      </c>
      <c r="J325" s="19">
        <f t="shared" si="2"/>
        <v>0</v>
      </c>
    </row>
    <row r="326" ht="22.5" customHeight="1">
      <c r="A326" s="16">
        <v>1.0</v>
      </c>
      <c r="B326" s="16">
        <v>2.0</v>
      </c>
      <c r="C326" s="16">
        <v>0.0</v>
      </c>
      <c r="D326" s="16">
        <v>0.0</v>
      </c>
      <c r="E326" s="16">
        <v>0.0</v>
      </c>
      <c r="F326" s="16">
        <v>0.0</v>
      </c>
      <c r="G326" s="18">
        <v>0.0</v>
      </c>
      <c r="H326" s="16" t="s">
        <v>306</v>
      </c>
      <c r="I326" s="19">
        <f t="shared" si="1"/>
        <v>0</v>
      </c>
      <c r="J326" s="19">
        <f t="shared" si="2"/>
        <v>0</v>
      </c>
    </row>
    <row r="327" ht="22.5" customHeight="1">
      <c r="A327" s="16">
        <v>1.0</v>
      </c>
      <c r="B327" s="16">
        <v>3.0</v>
      </c>
      <c r="C327" s="16">
        <v>1.0</v>
      </c>
      <c r="D327" s="16">
        <v>4.0</v>
      </c>
      <c r="E327" s="16">
        <v>0.0</v>
      </c>
      <c r="F327" s="16">
        <v>0.0</v>
      </c>
      <c r="G327" s="18">
        <v>1.0</v>
      </c>
      <c r="H327" s="16" t="s">
        <v>141</v>
      </c>
      <c r="I327" s="19">
        <f t="shared" si="1"/>
        <v>4</v>
      </c>
      <c r="J327" s="19">
        <f t="shared" si="2"/>
        <v>0</v>
      </c>
    </row>
    <row r="328" ht="22.5" customHeight="1">
      <c r="A328" s="16">
        <v>1.0</v>
      </c>
      <c r="B328" s="16">
        <v>4.0</v>
      </c>
      <c r="C328" s="16">
        <v>0.0</v>
      </c>
      <c r="D328" s="16">
        <v>0.0</v>
      </c>
      <c r="E328" s="16">
        <v>0.0</v>
      </c>
      <c r="F328" s="16">
        <v>0.0</v>
      </c>
      <c r="G328" s="18">
        <v>0.0</v>
      </c>
      <c r="H328" s="16" t="s">
        <v>141</v>
      </c>
      <c r="I328" s="19">
        <f t="shared" si="1"/>
        <v>0</v>
      </c>
      <c r="J328" s="19">
        <f t="shared" si="2"/>
        <v>0</v>
      </c>
    </row>
    <row r="329" ht="22.5" customHeight="1">
      <c r="A329" s="16">
        <v>1.0</v>
      </c>
      <c r="B329" s="16">
        <v>3.0</v>
      </c>
      <c r="C329" s="16">
        <v>1.0</v>
      </c>
      <c r="D329" s="16">
        <v>0.0</v>
      </c>
      <c r="E329" s="16">
        <v>0.0</v>
      </c>
      <c r="F329" s="16">
        <v>0.0</v>
      </c>
      <c r="G329" s="18">
        <v>0.0</v>
      </c>
      <c r="H329" s="16" t="s">
        <v>141</v>
      </c>
      <c r="I329" s="19">
        <f t="shared" si="1"/>
        <v>0</v>
      </c>
      <c r="J329" s="19">
        <f t="shared" si="2"/>
        <v>0</v>
      </c>
    </row>
    <row r="330" ht="22.5" customHeight="1">
      <c r="A330" s="16">
        <v>1.0</v>
      </c>
      <c r="B330" s="16">
        <v>2.0</v>
      </c>
      <c r="C330" s="16">
        <v>2.0</v>
      </c>
      <c r="D330" s="16">
        <v>4.0</v>
      </c>
      <c r="E330" s="16">
        <v>0.0</v>
      </c>
      <c r="F330" s="16">
        <v>0.0</v>
      </c>
      <c r="G330" s="18">
        <v>0.5</v>
      </c>
      <c r="H330" s="16" t="s">
        <v>141</v>
      </c>
      <c r="I330" s="19">
        <f t="shared" si="1"/>
        <v>4</v>
      </c>
      <c r="J330" s="19">
        <f t="shared" si="2"/>
        <v>0</v>
      </c>
    </row>
    <row r="331" ht="22.5" customHeight="1">
      <c r="A331" s="16">
        <v>1.0</v>
      </c>
      <c r="B331" s="16">
        <v>3.0</v>
      </c>
      <c r="C331" s="16">
        <v>1.0</v>
      </c>
      <c r="D331" s="16">
        <v>4.0</v>
      </c>
      <c r="E331" s="16">
        <v>0.0</v>
      </c>
      <c r="F331" s="16">
        <v>0.0</v>
      </c>
      <c r="G331" s="18">
        <v>1.0</v>
      </c>
      <c r="H331" s="16" t="s">
        <v>308</v>
      </c>
      <c r="I331" s="19">
        <f t="shared" si="1"/>
        <v>4</v>
      </c>
      <c r="J331" s="19">
        <f t="shared" si="2"/>
        <v>0</v>
      </c>
    </row>
    <row r="332" ht="22.5" customHeight="1">
      <c r="A332" s="16">
        <v>1.0</v>
      </c>
      <c r="B332" s="16">
        <v>4.0</v>
      </c>
      <c r="C332" s="16">
        <v>3.0</v>
      </c>
      <c r="D332" s="16">
        <v>4.0</v>
      </c>
      <c r="E332" s="16">
        <v>1.0</v>
      </c>
      <c r="F332" s="16">
        <v>0.0</v>
      </c>
      <c r="G332" s="20">
        <v>0.667</v>
      </c>
      <c r="H332" s="16" t="s">
        <v>308</v>
      </c>
      <c r="I332" s="19">
        <f t="shared" si="1"/>
        <v>4</v>
      </c>
      <c r="J332" s="19">
        <f t="shared" si="2"/>
        <v>1</v>
      </c>
    </row>
    <row r="333" ht="22.5" customHeight="1">
      <c r="A333" s="16">
        <v>1.0</v>
      </c>
      <c r="B333" s="16">
        <v>3.0</v>
      </c>
      <c r="C333" s="16">
        <v>2.0</v>
      </c>
      <c r="D333" s="16">
        <v>0.0</v>
      </c>
      <c r="E333" s="16">
        <v>1.0</v>
      </c>
      <c r="F333" s="16">
        <v>0.0</v>
      </c>
      <c r="G333" s="18">
        <v>0.5</v>
      </c>
      <c r="H333" s="16" t="s">
        <v>308</v>
      </c>
      <c r="I333" s="19">
        <f t="shared" si="1"/>
        <v>0</v>
      </c>
      <c r="J333" s="19">
        <f t="shared" si="2"/>
        <v>1</v>
      </c>
    </row>
    <row r="334" ht="22.5" customHeight="1">
      <c r="A334" s="16">
        <v>1.0</v>
      </c>
      <c r="B334" s="16">
        <v>4.0</v>
      </c>
      <c r="C334" s="16">
        <v>0.0</v>
      </c>
      <c r="D334" s="16">
        <v>0.0</v>
      </c>
      <c r="E334" s="16">
        <v>0.0</v>
      </c>
      <c r="F334" s="16">
        <v>0.0</v>
      </c>
      <c r="G334" s="18">
        <v>0.0</v>
      </c>
      <c r="H334" s="16" t="s">
        <v>309</v>
      </c>
      <c r="I334" s="19">
        <f t="shared" si="1"/>
        <v>0</v>
      </c>
      <c r="J334" s="19">
        <f t="shared" si="2"/>
        <v>0</v>
      </c>
    </row>
    <row r="335" ht="22.5" customHeight="1">
      <c r="A335" s="16">
        <v>1.0</v>
      </c>
      <c r="B335" s="16">
        <v>3.0</v>
      </c>
      <c r="C335" s="16">
        <v>0.0</v>
      </c>
      <c r="D335" s="16">
        <v>0.0</v>
      </c>
      <c r="E335" s="16">
        <v>0.0</v>
      </c>
      <c r="F335" s="16">
        <v>0.0</v>
      </c>
      <c r="G335" s="18">
        <v>0.0</v>
      </c>
      <c r="H335" s="16" t="s">
        <v>309</v>
      </c>
      <c r="I335" s="19">
        <f t="shared" si="1"/>
        <v>0</v>
      </c>
      <c r="J335" s="19">
        <f t="shared" si="2"/>
        <v>0</v>
      </c>
    </row>
    <row r="336" ht="22.5" customHeight="1">
      <c r="A336" s="16">
        <v>1.0</v>
      </c>
      <c r="B336" s="16">
        <v>3.0</v>
      </c>
      <c r="C336" s="16">
        <v>0.0</v>
      </c>
      <c r="D336" s="16">
        <v>0.0</v>
      </c>
      <c r="E336" s="16">
        <v>0.0</v>
      </c>
      <c r="F336" s="16">
        <v>0.0</v>
      </c>
      <c r="G336" s="18">
        <v>0.0</v>
      </c>
      <c r="H336" s="16" t="s">
        <v>310</v>
      </c>
      <c r="I336" s="19">
        <f t="shared" si="1"/>
        <v>0</v>
      </c>
      <c r="J336" s="19">
        <f t="shared" si="2"/>
        <v>0</v>
      </c>
    </row>
    <row r="337" ht="22.5" customHeight="1">
      <c r="A337" s="16">
        <v>1.0</v>
      </c>
      <c r="B337" s="16">
        <v>3.0</v>
      </c>
      <c r="C337" s="16">
        <v>0.0</v>
      </c>
      <c r="D337" s="16">
        <v>0.0</v>
      </c>
      <c r="E337" s="16">
        <v>0.0</v>
      </c>
      <c r="F337" s="16">
        <v>0.0</v>
      </c>
      <c r="G337" s="18">
        <v>0.0</v>
      </c>
      <c r="H337" s="16" t="s">
        <v>310</v>
      </c>
      <c r="I337" s="19">
        <f t="shared" si="1"/>
        <v>0</v>
      </c>
      <c r="J337" s="19">
        <f t="shared" si="2"/>
        <v>0</v>
      </c>
    </row>
    <row r="338" ht="22.5" customHeight="1">
      <c r="A338" s="16">
        <v>1.0</v>
      </c>
      <c r="B338" s="16">
        <v>4.0</v>
      </c>
      <c r="C338" s="16">
        <v>0.0</v>
      </c>
      <c r="D338" s="16">
        <v>0.0</v>
      </c>
      <c r="E338" s="16">
        <v>0.0</v>
      </c>
      <c r="F338" s="16">
        <v>0.0</v>
      </c>
      <c r="G338" s="18">
        <v>0.0</v>
      </c>
      <c r="H338" s="16" t="s">
        <v>252</v>
      </c>
      <c r="I338" s="19">
        <f t="shared" si="1"/>
        <v>0</v>
      </c>
      <c r="J338" s="19">
        <f t="shared" si="2"/>
        <v>0</v>
      </c>
    </row>
    <row r="339" ht="22.5" customHeight="1">
      <c r="A339" s="16">
        <v>2.0</v>
      </c>
      <c r="B339" s="16">
        <v>7.0</v>
      </c>
      <c r="C339" s="16">
        <v>0.0</v>
      </c>
      <c r="D339" s="16">
        <v>0.0</v>
      </c>
      <c r="E339" s="16">
        <v>0.0</v>
      </c>
      <c r="F339" s="16">
        <v>0.0</v>
      </c>
      <c r="G339" s="18">
        <v>0.0</v>
      </c>
      <c r="H339" s="16" t="s">
        <v>252</v>
      </c>
      <c r="I339" s="19">
        <f t="shared" si="1"/>
        <v>0</v>
      </c>
      <c r="J339" s="19">
        <f t="shared" si="2"/>
        <v>0</v>
      </c>
    </row>
    <row r="340" ht="22.5" customHeight="1">
      <c r="A340" s="16">
        <v>3.0</v>
      </c>
      <c r="B340" s="16">
        <v>11.0</v>
      </c>
      <c r="C340" s="16">
        <v>2.0</v>
      </c>
      <c r="D340" s="16">
        <v>1.33</v>
      </c>
      <c r="E340" s="16">
        <v>0.0</v>
      </c>
      <c r="F340" s="16">
        <v>0.0</v>
      </c>
      <c r="G340" s="18">
        <v>0.5</v>
      </c>
      <c r="H340" s="16" t="s">
        <v>274</v>
      </c>
      <c r="I340" s="19">
        <f t="shared" si="1"/>
        <v>4</v>
      </c>
      <c r="J340" s="19">
        <f t="shared" si="2"/>
        <v>0</v>
      </c>
    </row>
    <row r="341" ht="22.5" customHeight="1">
      <c r="A341" s="16">
        <v>2.0</v>
      </c>
      <c r="B341" s="16">
        <v>8.0</v>
      </c>
      <c r="C341" s="16">
        <v>0.0</v>
      </c>
      <c r="D341" s="16">
        <v>0.0</v>
      </c>
      <c r="E341" s="16">
        <v>0.0</v>
      </c>
      <c r="F341" s="16">
        <v>0.0</v>
      </c>
      <c r="G341" s="18">
        <v>0.0</v>
      </c>
      <c r="H341" s="16" t="s">
        <v>274</v>
      </c>
      <c r="I341" s="19">
        <f t="shared" si="1"/>
        <v>0</v>
      </c>
      <c r="J341" s="19">
        <f t="shared" si="2"/>
        <v>0</v>
      </c>
    </row>
    <row r="342" ht="22.5" customHeight="1">
      <c r="A342" s="16">
        <v>3.0</v>
      </c>
      <c r="B342" s="16">
        <v>11.0</v>
      </c>
      <c r="C342" s="16">
        <v>1.0</v>
      </c>
      <c r="D342" s="16">
        <v>1.33</v>
      </c>
      <c r="E342" s="16">
        <v>0.0</v>
      </c>
      <c r="F342" s="16">
        <v>0.0</v>
      </c>
      <c r="G342" s="18">
        <v>1.0</v>
      </c>
      <c r="H342" s="16" t="s">
        <v>230</v>
      </c>
      <c r="I342" s="19">
        <f t="shared" si="1"/>
        <v>4</v>
      </c>
      <c r="J342" s="19">
        <f t="shared" si="2"/>
        <v>0</v>
      </c>
    </row>
    <row r="343" ht="22.5" customHeight="1">
      <c r="A343" s="16">
        <v>2.0</v>
      </c>
      <c r="B343" s="16">
        <v>8.0</v>
      </c>
      <c r="C343" s="16">
        <v>3.0</v>
      </c>
      <c r="D343" s="16">
        <v>2.0</v>
      </c>
      <c r="E343" s="16">
        <v>0.0</v>
      </c>
      <c r="F343" s="16">
        <v>0.0</v>
      </c>
      <c r="G343" s="20">
        <v>0.333</v>
      </c>
      <c r="H343" s="16" t="s">
        <v>230</v>
      </c>
      <c r="I343" s="19">
        <f t="shared" si="1"/>
        <v>4</v>
      </c>
      <c r="J343" s="19">
        <f t="shared" si="2"/>
        <v>0</v>
      </c>
    </row>
    <row r="344" ht="22.5" customHeight="1">
      <c r="A344" s="16">
        <v>1.0</v>
      </c>
      <c r="B344" s="16">
        <v>3.0</v>
      </c>
      <c r="C344" s="16">
        <v>0.0</v>
      </c>
      <c r="D344" s="16">
        <v>0.0</v>
      </c>
      <c r="E344" s="16">
        <v>0.0</v>
      </c>
      <c r="F344" s="16">
        <v>0.0</v>
      </c>
      <c r="G344" s="18">
        <v>0.0</v>
      </c>
      <c r="H344" s="16" t="s">
        <v>313</v>
      </c>
      <c r="I344" s="19">
        <f t="shared" si="1"/>
        <v>0</v>
      </c>
      <c r="J344" s="19">
        <f t="shared" si="2"/>
        <v>0</v>
      </c>
    </row>
    <row r="345" ht="22.5" customHeight="1">
      <c r="A345" s="16">
        <v>1.0</v>
      </c>
      <c r="B345" s="16">
        <v>4.0</v>
      </c>
      <c r="C345" s="16">
        <v>2.0</v>
      </c>
      <c r="D345" s="16">
        <v>4.0</v>
      </c>
      <c r="E345" s="16">
        <v>0.0</v>
      </c>
      <c r="F345" s="16">
        <v>0.0</v>
      </c>
      <c r="G345" s="18">
        <v>0.5</v>
      </c>
      <c r="H345" s="16" t="s">
        <v>313</v>
      </c>
      <c r="I345" s="19">
        <f t="shared" si="1"/>
        <v>4</v>
      </c>
      <c r="J345" s="19">
        <f t="shared" si="2"/>
        <v>0</v>
      </c>
    </row>
    <row r="346" ht="22.5" customHeight="1">
      <c r="A346" s="16">
        <v>2.0</v>
      </c>
      <c r="B346" s="16">
        <v>7.0</v>
      </c>
      <c r="C346" s="16">
        <v>0.0</v>
      </c>
      <c r="D346" s="16">
        <v>0.0</v>
      </c>
      <c r="E346" s="16">
        <v>0.0</v>
      </c>
      <c r="F346" s="16">
        <v>0.0</v>
      </c>
      <c r="G346" s="18">
        <v>0.0</v>
      </c>
      <c r="H346" s="16" t="s">
        <v>314</v>
      </c>
      <c r="I346" s="19">
        <f t="shared" si="1"/>
        <v>0</v>
      </c>
      <c r="J346" s="19">
        <f t="shared" si="2"/>
        <v>0</v>
      </c>
    </row>
    <row r="347" ht="22.5" customHeight="1">
      <c r="A347" s="16">
        <v>1.0</v>
      </c>
      <c r="B347" s="16">
        <v>4.0</v>
      </c>
      <c r="C347" s="16">
        <v>0.0</v>
      </c>
      <c r="D347" s="16">
        <v>0.0</v>
      </c>
      <c r="E347" s="16">
        <v>0.0</v>
      </c>
      <c r="F347" s="16">
        <v>0.0</v>
      </c>
      <c r="G347" s="18">
        <v>0.0</v>
      </c>
      <c r="H347" s="16" t="s">
        <v>314</v>
      </c>
      <c r="I347" s="19">
        <f t="shared" si="1"/>
        <v>0</v>
      </c>
      <c r="J347" s="19">
        <f t="shared" si="2"/>
        <v>0</v>
      </c>
    </row>
    <row r="348" ht="22.5" customHeight="1">
      <c r="A348" s="16">
        <v>3.0</v>
      </c>
      <c r="B348" s="16">
        <v>11.0</v>
      </c>
      <c r="C348" s="16">
        <v>2.0</v>
      </c>
      <c r="D348" s="16">
        <v>0.0</v>
      </c>
      <c r="E348" s="16">
        <v>0.33</v>
      </c>
      <c r="F348" s="16">
        <v>0.0</v>
      </c>
      <c r="G348" s="18">
        <v>0.5</v>
      </c>
      <c r="H348" s="16" t="s">
        <v>315</v>
      </c>
      <c r="I348" s="19">
        <f t="shared" si="1"/>
        <v>0</v>
      </c>
      <c r="J348" s="19">
        <f t="shared" si="2"/>
        <v>1</v>
      </c>
    </row>
    <row r="349" ht="22.5" customHeight="1">
      <c r="A349" s="16">
        <v>1.0</v>
      </c>
      <c r="B349" s="16">
        <v>4.0</v>
      </c>
      <c r="C349" s="16">
        <v>0.0</v>
      </c>
      <c r="D349" s="16">
        <v>0.0</v>
      </c>
      <c r="E349" s="16">
        <v>0.0</v>
      </c>
      <c r="F349" s="16">
        <v>0.0</v>
      </c>
      <c r="G349" s="18">
        <v>0.0</v>
      </c>
      <c r="H349" s="16" t="s">
        <v>315</v>
      </c>
      <c r="I349" s="19">
        <f t="shared" si="1"/>
        <v>0</v>
      </c>
      <c r="J349" s="19">
        <f t="shared" si="2"/>
        <v>0</v>
      </c>
    </row>
    <row r="350" ht="22.5" customHeight="1">
      <c r="A350" s="16">
        <v>3.0</v>
      </c>
      <c r="B350" s="16">
        <v>11.0</v>
      </c>
      <c r="C350" s="16">
        <v>2.0</v>
      </c>
      <c r="D350" s="16">
        <v>0.0</v>
      </c>
      <c r="E350" s="16">
        <v>0.0</v>
      </c>
      <c r="F350" s="16">
        <v>0.0</v>
      </c>
      <c r="G350" s="18">
        <v>0.0</v>
      </c>
      <c r="H350" s="16" t="s">
        <v>316</v>
      </c>
      <c r="I350" s="19">
        <f t="shared" si="1"/>
        <v>0</v>
      </c>
      <c r="J350" s="19">
        <f t="shared" si="2"/>
        <v>0</v>
      </c>
    </row>
    <row r="351" ht="22.5" customHeight="1">
      <c r="A351" s="16">
        <v>1.0</v>
      </c>
      <c r="B351" s="16">
        <v>4.0</v>
      </c>
      <c r="C351" s="16">
        <v>1.0</v>
      </c>
      <c r="D351" s="16">
        <v>-4.0</v>
      </c>
      <c r="E351" s="16">
        <v>1.0</v>
      </c>
      <c r="F351" s="16">
        <v>0.0</v>
      </c>
      <c r="G351" s="18">
        <v>0.0</v>
      </c>
      <c r="H351" s="16" t="s">
        <v>316</v>
      </c>
      <c r="I351" s="19">
        <f t="shared" si="1"/>
        <v>-4</v>
      </c>
      <c r="J351" s="19">
        <f t="shared" si="2"/>
        <v>1</v>
      </c>
    </row>
    <row r="352" ht="22.5" customHeight="1">
      <c r="A352" s="16">
        <v>1.0</v>
      </c>
      <c r="B352" s="16">
        <v>4.0</v>
      </c>
      <c r="C352" s="16">
        <v>0.0</v>
      </c>
      <c r="D352" s="16">
        <v>0.0</v>
      </c>
      <c r="E352" s="16">
        <v>0.0</v>
      </c>
      <c r="F352" s="16">
        <v>0.0</v>
      </c>
      <c r="G352" s="18">
        <v>0.0</v>
      </c>
      <c r="H352" s="16" t="s">
        <v>318</v>
      </c>
      <c r="I352" s="19">
        <f t="shared" si="1"/>
        <v>0</v>
      </c>
      <c r="J352" s="19">
        <f t="shared" si="2"/>
        <v>0</v>
      </c>
    </row>
    <row r="353" ht="22.5" customHeight="1">
      <c r="A353" s="16">
        <v>4.0</v>
      </c>
      <c r="B353" s="16">
        <v>15.0</v>
      </c>
      <c r="C353" s="16">
        <v>3.0</v>
      </c>
      <c r="D353" s="16">
        <v>2.0</v>
      </c>
      <c r="E353" s="16">
        <v>0.0</v>
      </c>
      <c r="F353" s="16">
        <v>0.0</v>
      </c>
      <c r="G353" s="20">
        <v>0.667</v>
      </c>
      <c r="H353" s="16" t="s">
        <v>254</v>
      </c>
      <c r="I353" s="19">
        <f t="shared" si="1"/>
        <v>8</v>
      </c>
      <c r="J353" s="19">
        <f t="shared" si="2"/>
        <v>0</v>
      </c>
    </row>
    <row r="354" ht="22.5" customHeight="1">
      <c r="A354" s="16">
        <v>1.0</v>
      </c>
      <c r="B354" s="16">
        <v>4.0</v>
      </c>
      <c r="C354" s="16">
        <v>2.0</v>
      </c>
      <c r="D354" s="16">
        <v>4.0</v>
      </c>
      <c r="E354" s="16">
        <v>0.0</v>
      </c>
      <c r="F354" s="16">
        <v>0.0</v>
      </c>
      <c r="G354" s="18">
        <v>0.5</v>
      </c>
      <c r="H354" s="16" t="s">
        <v>254</v>
      </c>
      <c r="I354" s="19">
        <f t="shared" si="1"/>
        <v>4</v>
      </c>
      <c r="J354" s="19">
        <f t="shared" si="2"/>
        <v>0</v>
      </c>
    </row>
    <row r="355" ht="22.5" customHeight="1">
      <c r="A355" s="16">
        <v>1.0</v>
      </c>
      <c r="B355" s="16">
        <v>4.0</v>
      </c>
      <c r="C355" s="16">
        <v>0.0</v>
      </c>
      <c r="D355" s="16">
        <v>0.0</v>
      </c>
      <c r="E355" s="16">
        <v>0.0</v>
      </c>
      <c r="F355" s="16">
        <v>0.0</v>
      </c>
      <c r="G355" s="18">
        <v>0.0</v>
      </c>
      <c r="H355" s="16" t="s">
        <v>317</v>
      </c>
      <c r="I355" s="19">
        <f t="shared" si="1"/>
        <v>0</v>
      </c>
      <c r="J355" s="19">
        <f t="shared" si="2"/>
        <v>0</v>
      </c>
    </row>
    <row r="356" ht="22.5" customHeight="1">
      <c r="A356" s="16">
        <v>2.0</v>
      </c>
      <c r="B356" s="16">
        <v>7.0</v>
      </c>
      <c r="C356" s="16">
        <v>0.0</v>
      </c>
      <c r="D356" s="16">
        <v>0.0</v>
      </c>
      <c r="E356" s="16">
        <v>0.0</v>
      </c>
      <c r="F356" s="16">
        <v>0.0</v>
      </c>
      <c r="G356" s="18">
        <v>0.0</v>
      </c>
      <c r="H356" s="16" t="s">
        <v>317</v>
      </c>
      <c r="I356" s="19">
        <f t="shared" si="1"/>
        <v>0</v>
      </c>
      <c r="J356" s="19">
        <f t="shared" si="2"/>
        <v>0</v>
      </c>
    </row>
    <row r="357" ht="22.5" customHeight="1">
      <c r="A357" s="16">
        <v>2.0</v>
      </c>
      <c r="B357" s="16">
        <v>7.0</v>
      </c>
      <c r="C357" s="16">
        <v>1.0</v>
      </c>
      <c r="D357" s="16">
        <v>2.0</v>
      </c>
      <c r="E357" s="16">
        <v>0.0</v>
      </c>
      <c r="F357" s="16">
        <v>0.0</v>
      </c>
      <c r="G357" s="18">
        <v>1.0</v>
      </c>
      <c r="H357" s="16" t="s">
        <v>133</v>
      </c>
      <c r="I357" s="19">
        <f t="shared" si="1"/>
        <v>4</v>
      </c>
      <c r="J357" s="19">
        <f t="shared" si="2"/>
        <v>0</v>
      </c>
    </row>
    <row r="358" ht="22.5" customHeight="1">
      <c r="A358" s="16">
        <v>1.0</v>
      </c>
      <c r="B358" s="16">
        <v>4.0</v>
      </c>
      <c r="C358" s="16">
        <v>2.0</v>
      </c>
      <c r="D358" s="16">
        <v>8.0</v>
      </c>
      <c r="E358" s="16">
        <v>0.0</v>
      </c>
      <c r="F358" s="16">
        <v>0.0</v>
      </c>
      <c r="G358" s="18">
        <v>1.0</v>
      </c>
      <c r="H358" s="16" t="s">
        <v>133</v>
      </c>
      <c r="I358" s="19">
        <f t="shared" si="1"/>
        <v>8</v>
      </c>
      <c r="J358" s="19">
        <f t="shared" si="2"/>
        <v>0</v>
      </c>
    </row>
    <row r="359" ht="22.5" customHeight="1">
      <c r="A359" s="16">
        <v>1.0</v>
      </c>
      <c r="B359" s="16">
        <v>3.0</v>
      </c>
      <c r="C359" s="16">
        <v>1.0</v>
      </c>
      <c r="D359" s="16">
        <v>0.0</v>
      </c>
      <c r="E359" s="16">
        <v>0.0</v>
      </c>
      <c r="F359" s="16">
        <v>0.0</v>
      </c>
      <c r="G359" s="18">
        <v>0.0</v>
      </c>
      <c r="H359" s="16" t="s">
        <v>319</v>
      </c>
      <c r="I359" s="19">
        <f t="shared" si="1"/>
        <v>0</v>
      </c>
      <c r="J359" s="19">
        <f t="shared" si="2"/>
        <v>0</v>
      </c>
    </row>
    <row r="360" ht="22.5" customHeight="1">
      <c r="A360" s="16">
        <v>5.0</v>
      </c>
      <c r="B360" s="16">
        <v>18.0</v>
      </c>
      <c r="C360" s="16">
        <v>6.0</v>
      </c>
      <c r="D360" s="16">
        <v>0.8</v>
      </c>
      <c r="E360" s="16">
        <v>0.0</v>
      </c>
      <c r="F360" s="16">
        <v>0.0</v>
      </c>
      <c r="G360" s="20">
        <v>0.167</v>
      </c>
      <c r="H360" s="16" t="s">
        <v>129</v>
      </c>
      <c r="I360" s="19">
        <f t="shared" si="1"/>
        <v>4</v>
      </c>
      <c r="J360" s="19">
        <f t="shared" si="2"/>
        <v>0</v>
      </c>
    </row>
    <row r="361" ht="22.5" customHeight="1">
      <c r="A361" s="16">
        <v>2.0</v>
      </c>
      <c r="B361" s="16">
        <v>7.0</v>
      </c>
      <c r="C361" s="16">
        <v>0.0</v>
      </c>
      <c r="D361" s="16">
        <v>0.0</v>
      </c>
      <c r="E361" s="16">
        <v>0.0</v>
      </c>
      <c r="F361" s="16">
        <v>0.0</v>
      </c>
      <c r="G361" s="18">
        <v>0.0</v>
      </c>
      <c r="H361" s="16" t="s">
        <v>320</v>
      </c>
      <c r="I361" s="19">
        <f t="shared" si="1"/>
        <v>0</v>
      </c>
      <c r="J361" s="19">
        <f t="shared" si="2"/>
        <v>0</v>
      </c>
    </row>
    <row r="362" ht="22.5" customHeight="1">
      <c r="A362" s="16">
        <v>1.0</v>
      </c>
      <c r="B362" s="16">
        <v>4.0</v>
      </c>
      <c r="C362" s="16">
        <v>0.0</v>
      </c>
      <c r="D362" s="16">
        <v>0.0</v>
      </c>
      <c r="E362" s="16">
        <v>0.0</v>
      </c>
      <c r="F362" s="16">
        <v>0.0</v>
      </c>
      <c r="G362" s="18">
        <v>0.0</v>
      </c>
      <c r="H362" s="16" t="s">
        <v>320</v>
      </c>
      <c r="I362" s="19">
        <f t="shared" si="1"/>
        <v>0</v>
      </c>
      <c r="J362" s="19">
        <f t="shared" si="2"/>
        <v>0</v>
      </c>
    </row>
    <row r="363" ht="22.5" customHeight="1">
      <c r="A363" s="16">
        <v>2.0</v>
      </c>
      <c r="B363" s="16">
        <v>8.0</v>
      </c>
      <c r="C363" s="16">
        <v>0.0</v>
      </c>
      <c r="D363" s="16">
        <v>0.0</v>
      </c>
      <c r="E363" s="16">
        <v>0.0</v>
      </c>
      <c r="F363" s="16">
        <v>0.0</v>
      </c>
      <c r="G363" s="18">
        <v>0.0</v>
      </c>
      <c r="H363" s="16" t="s">
        <v>320</v>
      </c>
      <c r="I363" s="19">
        <f t="shared" si="1"/>
        <v>0</v>
      </c>
      <c r="J363" s="19">
        <f t="shared" si="2"/>
        <v>0</v>
      </c>
    </row>
    <row r="364" ht="22.5" customHeight="1">
      <c r="A364" s="16">
        <v>2.0</v>
      </c>
      <c r="B364" s="16">
        <v>7.0</v>
      </c>
      <c r="C364" s="16">
        <v>0.0</v>
      </c>
      <c r="D364" s="16">
        <v>0.0</v>
      </c>
      <c r="E364" s="16">
        <v>0.0</v>
      </c>
      <c r="F364" s="16">
        <v>0.0</v>
      </c>
      <c r="G364" s="18">
        <v>0.0</v>
      </c>
      <c r="H364" s="16" t="s">
        <v>287</v>
      </c>
      <c r="I364" s="19">
        <f t="shared" si="1"/>
        <v>0</v>
      </c>
      <c r="J364" s="19">
        <f t="shared" si="2"/>
        <v>0</v>
      </c>
    </row>
    <row r="365" ht="22.5" customHeight="1">
      <c r="A365" s="16">
        <v>1.0</v>
      </c>
      <c r="B365" s="16">
        <v>4.0</v>
      </c>
      <c r="C365" s="16">
        <v>0.0</v>
      </c>
      <c r="D365" s="16">
        <v>0.0</v>
      </c>
      <c r="E365" s="16">
        <v>0.0</v>
      </c>
      <c r="F365" s="16">
        <v>0.0</v>
      </c>
      <c r="G365" s="18">
        <v>0.0</v>
      </c>
      <c r="H365" s="16" t="s">
        <v>287</v>
      </c>
      <c r="I365" s="19">
        <f t="shared" si="1"/>
        <v>0</v>
      </c>
      <c r="J365" s="19">
        <f t="shared" si="2"/>
        <v>0</v>
      </c>
    </row>
    <row r="366" ht="22.5" customHeight="1">
      <c r="A366" s="16">
        <v>2.0</v>
      </c>
      <c r="B366" s="16">
        <v>8.0</v>
      </c>
      <c r="C366" s="16">
        <v>0.0</v>
      </c>
      <c r="D366" s="16">
        <v>0.0</v>
      </c>
      <c r="E366" s="16">
        <v>0.0</v>
      </c>
      <c r="F366" s="16">
        <v>0.0</v>
      </c>
      <c r="G366" s="18">
        <v>0.0</v>
      </c>
      <c r="H366" s="16" t="s">
        <v>287</v>
      </c>
      <c r="I366" s="19">
        <f t="shared" si="1"/>
        <v>0</v>
      </c>
      <c r="J366" s="19">
        <f t="shared" si="2"/>
        <v>0</v>
      </c>
    </row>
    <row r="367" ht="22.5" customHeight="1">
      <c r="A367" s="16">
        <v>2.0</v>
      </c>
      <c r="B367" s="16">
        <v>7.0</v>
      </c>
      <c r="C367" s="16">
        <v>6.0</v>
      </c>
      <c r="D367" s="16">
        <v>10.0</v>
      </c>
      <c r="E367" s="16">
        <v>0.0</v>
      </c>
      <c r="F367" s="16">
        <v>0.0</v>
      </c>
      <c r="G367" s="20">
        <v>0.833</v>
      </c>
      <c r="H367" s="16" t="s">
        <v>289</v>
      </c>
      <c r="I367" s="19">
        <f t="shared" si="1"/>
        <v>20</v>
      </c>
      <c r="J367" s="19">
        <f t="shared" si="2"/>
        <v>0</v>
      </c>
    </row>
    <row r="368" ht="22.5" customHeight="1">
      <c r="A368" s="16">
        <v>1.0</v>
      </c>
      <c r="B368" s="16">
        <v>4.0</v>
      </c>
      <c r="C368" s="16">
        <v>3.0</v>
      </c>
      <c r="D368" s="16">
        <v>0.0</v>
      </c>
      <c r="E368" s="16">
        <v>0.0</v>
      </c>
      <c r="F368" s="16">
        <v>0.0</v>
      </c>
      <c r="G368" s="18">
        <v>0.0</v>
      </c>
      <c r="H368" s="16" t="s">
        <v>289</v>
      </c>
      <c r="I368" s="19">
        <f t="shared" si="1"/>
        <v>0</v>
      </c>
      <c r="J368" s="19">
        <f t="shared" si="2"/>
        <v>0</v>
      </c>
    </row>
    <row r="369" ht="22.5" customHeight="1">
      <c r="A369" s="16">
        <v>2.0</v>
      </c>
      <c r="B369" s="16">
        <v>8.0</v>
      </c>
      <c r="C369" s="16">
        <v>6.0</v>
      </c>
      <c r="D369" s="16">
        <v>6.0</v>
      </c>
      <c r="E369" s="16">
        <v>0.0</v>
      </c>
      <c r="F369" s="16">
        <v>0.0</v>
      </c>
      <c r="G369" s="18">
        <v>0.5</v>
      </c>
      <c r="H369" s="16" t="s">
        <v>289</v>
      </c>
      <c r="I369" s="19">
        <f t="shared" si="1"/>
        <v>12</v>
      </c>
      <c r="J369" s="19">
        <f t="shared" si="2"/>
        <v>0</v>
      </c>
    </row>
    <row r="370" ht="22.5" customHeight="1">
      <c r="A370" s="16">
        <v>2.0</v>
      </c>
      <c r="B370" s="16">
        <v>7.0</v>
      </c>
      <c r="C370" s="16">
        <v>0.0</v>
      </c>
      <c r="D370" s="16">
        <v>0.0</v>
      </c>
      <c r="E370" s="16">
        <v>0.0</v>
      </c>
      <c r="F370" s="16">
        <v>0.0</v>
      </c>
      <c r="G370" s="18">
        <v>0.0</v>
      </c>
      <c r="H370" s="16" t="s">
        <v>321</v>
      </c>
      <c r="I370" s="19">
        <f t="shared" si="1"/>
        <v>0</v>
      </c>
      <c r="J370" s="19">
        <f t="shared" si="2"/>
        <v>0</v>
      </c>
    </row>
    <row r="371" ht="22.5" customHeight="1">
      <c r="A371" s="16">
        <v>1.0</v>
      </c>
      <c r="B371" s="16">
        <v>4.0</v>
      </c>
      <c r="C371" s="16">
        <v>0.0</v>
      </c>
      <c r="D371" s="16">
        <v>0.0</v>
      </c>
      <c r="E371" s="16">
        <v>0.0</v>
      </c>
      <c r="F371" s="16">
        <v>0.0</v>
      </c>
      <c r="G371" s="18">
        <v>0.0</v>
      </c>
      <c r="H371" s="16" t="s">
        <v>321</v>
      </c>
      <c r="I371" s="19">
        <f t="shared" si="1"/>
        <v>0</v>
      </c>
      <c r="J371" s="19">
        <f t="shared" si="2"/>
        <v>0</v>
      </c>
    </row>
    <row r="372" ht="22.5" customHeight="1">
      <c r="A372" s="16">
        <v>1.0</v>
      </c>
      <c r="B372" s="16">
        <v>4.0</v>
      </c>
      <c r="C372" s="16">
        <v>0.0</v>
      </c>
      <c r="D372" s="16">
        <v>0.0</v>
      </c>
      <c r="E372" s="16">
        <v>0.0</v>
      </c>
      <c r="F372" s="16">
        <v>0.0</v>
      </c>
      <c r="G372" s="18">
        <v>0.0</v>
      </c>
      <c r="H372" s="16" t="s">
        <v>321</v>
      </c>
      <c r="I372" s="19">
        <f t="shared" si="1"/>
        <v>0</v>
      </c>
      <c r="J372" s="19">
        <f t="shared" si="2"/>
        <v>0</v>
      </c>
    </row>
    <row r="373" ht="22.5" customHeight="1">
      <c r="A373" s="16">
        <v>2.0</v>
      </c>
      <c r="B373" s="16">
        <v>7.0</v>
      </c>
      <c r="C373" s="16">
        <v>0.0</v>
      </c>
      <c r="D373" s="16">
        <v>0.0</v>
      </c>
      <c r="E373" s="16">
        <v>0.0</v>
      </c>
      <c r="F373" s="16">
        <v>0.0</v>
      </c>
      <c r="G373" s="18">
        <v>0.0</v>
      </c>
      <c r="H373" s="16" t="s">
        <v>323</v>
      </c>
      <c r="I373" s="19">
        <f t="shared" si="1"/>
        <v>0</v>
      </c>
      <c r="J373" s="19">
        <f t="shared" si="2"/>
        <v>0</v>
      </c>
    </row>
    <row r="374" ht="22.5" customHeight="1">
      <c r="A374" s="16">
        <v>1.0</v>
      </c>
      <c r="B374" s="16">
        <v>4.0</v>
      </c>
      <c r="C374" s="16">
        <v>0.0</v>
      </c>
      <c r="D374" s="16">
        <v>0.0</v>
      </c>
      <c r="E374" s="16">
        <v>0.0</v>
      </c>
      <c r="F374" s="16">
        <v>0.0</v>
      </c>
      <c r="G374" s="18">
        <v>0.0</v>
      </c>
      <c r="H374" s="16" t="s">
        <v>323</v>
      </c>
      <c r="I374" s="19">
        <f t="shared" si="1"/>
        <v>0</v>
      </c>
      <c r="J374" s="19">
        <f t="shared" si="2"/>
        <v>0</v>
      </c>
    </row>
    <row r="375" ht="22.5" customHeight="1">
      <c r="A375" s="16">
        <v>2.0</v>
      </c>
      <c r="B375" s="16">
        <v>8.0</v>
      </c>
      <c r="C375" s="16">
        <v>0.0</v>
      </c>
      <c r="D375" s="16">
        <v>0.0</v>
      </c>
      <c r="E375" s="16">
        <v>0.0</v>
      </c>
      <c r="F375" s="16">
        <v>0.0</v>
      </c>
      <c r="G375" s="18">
        <v>0.0</v>
      </c>
      <c r="H375" s="16" t="s">
        <v>323</v>
      </c>
      <c r="I375" s="19">
        <f t="shared" si="1"/>
        <v>0</v>
      </c>
      <c r="J375" s="19">
        <f t="shared" si="2"/>
        <v>0</v>
      </c>
    </row>
    <row r="376" ht="22.5" customHeight="1">
      <c r="A376" s="16">
        <v>1.0</v>
      </c>
      <c r="B376" s="16">
        <v>4.0</v>
      </c>
      <c r="C376" s="16">
        <v>0.0</v>
      </c>
      <c r="D376" s="16">
        <v>0.0</v>
      </c>
      <c r="E376" s="16">
        <v>0.0</v>
      </c>
      <c r="F376" s="16">
        <v>0.0</v>
      </c>
      <c r="G376" s="18">
        <v>0.0</v>
      </c>
      <c r="H376" s="16" t="s">
        <v>278</v>
      </c>
      <c r="I376" s="19">
        <f t="shared" si="1"/>
        <v>0</v>
      </c>
      <c r="J376" s="19">
        <f t="shared" si="2"/>
        <v>0</v>
      </c>
    </row>
    <row r="377" ht="22.5" customHeight="1">
      <c r="A377" s="16">
        <v>3.0</v>
      </c>
      <c r="B377" s="16">
        <v>11.0</v>
      </c>
      <c r="C377" s="16">
        <v>0.0</v>
      </c>
      <c r="D377" s="16">
        <v>0.0</v>
      </c>
      <c r="E377" s="16">
        <v>0.0</v>
      </c>
      <c r="F377" s="16">
        <v>0.0</v>
      </c>
      <c r="G377" s="18">
        <v>0.0</v>
      </c>
      <c r="H377" s="16" t="s">
        <v>278</v>
      </c>
      <c r="I377" s="19">
        <f t="shared" si="1"/>
        <v>0</v>
      </c>
      <c r="J377" s="19">
        <f t="shared" si="2"/>
        <v>0</v>
      </c>
    </row>
    <row r="378" ht="22.5" customHeight="1">
      <c r="A378" s="16">
        <v>1.0</v>
      </c>
      <c r="B378" s="16">
        <v>4.0</v>
      </c>
      <c r="C378" s="16">
        <v>0.0</v>
      </c>
      <c r="D378" s="16">
        <v>0.0</v>
      </c>
      <c r="E378" s="16">
        <v>0.0</v>
      </c>
      <c r="F378" s="16">
        <v>0.0</v>
      </c>
      <c r="G378" s="18">
        <v>0.0</v>
      </c>
      <c r="H378" s="16" t="s">
        <v>325</v>
      </c>
      <c r="I378" s="19">
        <f t="shared" si="1"/>
        <v>0</v>
      </c>
      <c r="J378" s="19">
        <f t="shared" si="2"/>
        <v>0</v>
      </c>
    </row>
    <row r="379" ht="22.5" customHeight="1">
      <c r="A379" s="16">
        <v>4.0</v>
      </c>
      <c r="B379" s="16">
        <v>15.0</v>
      </c>
      <c r="C379" s="16">
        <v>0.0</v>
      </c>
      <c r="D379" s="16">
        <v>0.0</v>
      </c>
      <c r="E379" s="16">
        <v>0.0</v>
      </c>
      <c r="F379" s="16">
        <v>0.0</v>
      </c>
      <c r="G379" s="18">
        <v>0.0</v>
      </c>
      <c r="H379" s="16" t="s">
        <v>325</v>
      </c>
      <c r="I379" s="19">
        <f t="shared" si="1"/>
        <v>0</v>
      </c>
      <c r="J379" s="19">
        <f t="shared" si="2"/>
        <v>0</v>
      </c>
    </row>
    <row r="380" ht="22.5" customHeight="1">
      <c r="A380" s="16">
        <v>1.0</v>
      </c>
      <c r="B380" s="16">
        <v>4.0</v>
      </c>
      <c r="C380" s="16">
        <v>0.0</v>
      </c>
      <c r="D380" s="16">
        <v>0.0</v>
      </c>
      <c r="E380" s="16">
        <v>0.0</v>
      </c>
      <c r="F380" s="16">
        <v>0.0</v>
      </c>
      <c r="G380" s="18">
        <v>0.0</v>
      </c>
      <c r="H380" s="16" t="s">
        <v>326</v>
      </c>
      <c r="I380" s="19">
        <f t="shared" si="1"/>
        <v>0</v>
      </c>
      <c r="J380" s="19">
        <f t="shared" si="2"/>
        <v>0</v>
      </c>
    </row>
    <row r="381" ht="22.5" customHeight="1">
      <c r="A381" s="16">
        <v>2.0</v>
      </c>
      <c r="B381" s="16">
        <v>8.0</v>
      </c>
      <c r="C381" s="16">
        <v>0.0</v>
      </c>
      <c r="D381" s="16">
        <v>0.0</v>
      </c>
      <c r="E381" s="16">
        <v>0.0</v>
      </c>
      <c r="F381" s="16">
        <v>0.0</v>
      </c>
      <c r="G381" s="18">
        <v>0.0</v>
      </c>
      <c r="H381" s="16" t="s">
        <v>326</v>
      </c>
      <c r="I381" s="19">
        <f t="shared" si="1"/>
        <v>0</v>
      </c>
      <c r="J381" s="19">
        <f t="shared" si="2"/>
        <v>0</v>
      </c>
    </row>
    <row r="382" ht="22.5" customHeight="1">
      <c r="A382" s="16">
        <v>1.0</v>
      </c>
      <c r="B382" s="16">
        <v>4.0</v>
      </c>
      <c r="C382" s="16">
        <v>4.0</v>
      </c>
      <c r="D382" s="16">
        <v>4.0</v>
      </c>
      <c r="E382" s="16">
        <v>1.0</v>
      </c>
      <c r="F382" s="16">
        <v>0.0</v>
      </c>
      <c r="G382" s="18">
        <v>0.5</v>
      </c>
      <c r="H382" s="16" t="s">
        <v>311</v>
      </c>
      <c r="I382" s="19">
        <f t="shared" si="1"/>
        <v>4</v>
      </c>
      <c r="J382" s="19">
        <f t="shared" si="2"/>
        <v>1</v>
      </c>
    </row>
    <row r="383" ht="22.5" customHeight="1">
      <c r="A383" s="16">
        <v>4.0</v>
      </c>
      <c r="B383" s="16">
        <v>15.0</v>
      </c>
      <c r="C383" s="16">
        <v>9.0</v>
      </c>
      <c r="D383" s="16">
        <v>3.0</v>
      </c>
      <c r="E383" s="16">
        <v>0.25</v>
      </c>
      <c r="F383" s="16">
        <v>0.0</v>
      </c>
      <c r="G383" s="20">
        <v>0.444</v>
      </c>
      <c r="H383" s="16" t="s">
        <v>311</v>
      </c>
      <c r="I383" s="19">
        <f t="shared" si="1"/>
        <v>12</v>
      </c>
      <c r="J383" s="19">
        <f t="shared" si="2"/>
        <v>1</v>
      </c>
    </row>
    <row r="384" ht="22.5" customHeight="1">
      <c r="A384" s="16">
        <v>1.0</v>
      </c>
      <c r="B384" s="16">
        <v>3.0</v>
      </c>
      <c r="C384" s="16">
        <v>1.0</v>
      </c>
      <c r="D384" s="16">
        <v>4.0</v>
      </c>
      <c r="E384" s="16">
        <v>0.0</v>
      </c>
      <c r="F384" s="16">
        <v>0.0</v>
      </c>
      <c r="G384" s="18">
        <v>1.0</v>
      </c>
      <c r="H384" s="16" t="s">
        <v>322</v>
      </c>
      <c r="I384" s="19">
        <f t="shared" si="1"/>
        <v>4</v>
      </c>
      <c r="J384" s="19">
        <f t="shared" si="2"/>
        <v>0</v>
      </c>
    </row>
    <row r="385" ht="22.5" customHeight="1">
      <c r="A385" s="16">
        <v>3.0</v>
      </c>
      <c r="B385" s="16">
        <v>12.0</v>
      </c>
      <c r="C385" s="16">
        <v>2.0</v>
      </c>
      <c r="D385" s="16">
        <v>2.67</v>
      </c>
      <c r="E385" s="16">
        <v>0.0</v>
      </c>
      <c r="F385" s="16">
        <v>0.0</v>
      </c>
      <c r="G385" s="18">
        <v>1.0</v>
      </c>
      <c r="H385" s="16" t="s">
        <v>322</v>
      </c>
      <c r="I385" s="19">
        <f t="shared" si="1"/>
        <v>8</v>
      </c>
      <c r="J385" s="19">
        <f t="shared" si="2"/>
        <v>0</v>
      </c>
    </row>
    <row r="386" ht="22.5" customHeight="1">
      <c r="A386" s="16">
        <v>3.0</v>
      </c>
      <c r="B386" s="16">
        <v>12.0</v>
      </c>
      <c r="C386" s="16">
        <v>3.0</v>
      </c>
      <c r="D386" s="16">
        <v>0.0</v>
      </c>
      <c r="E386" s="16">
        <v>0.0</v>
      </c>
      <c r="F386" s="16">
        <v>0.0</v>
      </c>
      <c r="G386" s="18">
        <v>0.0</v>
      </c>
      <c r="H386" s="16" t="s">
        <v>328</v>
      </c>
      <c r="I386" s="19">
        <f t="shared" si="1"/>
        <v>0</v>
      </c>
      <c r="J386" s="19">
        <f t="shared" si="2"/>
        <v>0</v>
      </c>
    </row>
    <row r="387" ht="22.5" customHeight="1">
      <c r="A387" s="16">
        <v>3.0</v>
      </c>
      <c r="B387" s="16">
        <v>12.0</v>
      </c>
      <c r="C387" s="16">
        <v>1.0</v>
      </c>
      <c r="D387" s="16">
        <v>0.0</v>
      </c>
      <c r="E387" s="16">
        <v>0.0</v>
      </c>
      <c r="F387" s="16">
        <v>0.0</v>
      </c>
      <c r="G387" s="18">
        <v>0.0</v>
      </c>
      <c r="H387" s="16" t="s">
        <v>329</v>
      </c>
      <c r="I387" s="19">
        <f t="shared" si="1"/>
        <v>0</v>
      </c>
      <c r="J387" s="19">
        <f t="shared" si="2"/>
        <v>0</v>
      </c>
    </row>
    <row r="388" ht="22.5" customHeight="1">
      <c r="A388" s="16">
        <v>1.0</v>
      </c>
      <c r="B388" s="16">
        <v>4.0</v>
      </c>
      <c r="C388" s="16">
        <v>0.0</v>
      </c>
      <c r="D388" s="16">
        <v>0.0</v>
      </c>
      <c r="E388" s="16">
        <v>0.0</v>
      </c>
      <c r="F388" s="16">
        <v>0.0</v>
      </c>
      <c r="G388" s="18">
        <v>0.0</v>
      </c>
      <c r="H388" s="16" t="s">
        <v>329</v>
      </c>
      <c r="I388" s="19">
        <f t="shared" si="1"/>
        <v>0</v>
      </c>
      <c r="J388" s="19">
        <f t="shared" si="2"/>
        <v>0</v>
      </c>
    </row>
    <row r="389" ht="22.5" customHeight="1">
      <c r="A389" s="16">
        <v>2.0</v>
      </c>
      <c r="B389" s="16">
        <v>8.0</v>
      </c>
      <c r="C389" s="16">
        <v>5.0</v>
      </c>
      <c r="D389" s="16">
        <v>0.0</v>
      </c>
      <c r="E389" s="16">
        <v>0.5</v>
      </c>
      <c r="F389" s="16">
        <v>0.0</v>
      </c>
      <c r="G389" s="18">
        <v>0.2</v>
      </c>
      <c r="H389" s="16" t="s">
        <v>330</v>
      </c>
      <c r="I389" s="19">
        <f t="shared" si="1"/>
        <v>0</v>
      </c>
      <c r="J389" s="19">
        <f t="shared" si="2"/>
        <v>1</v>
      </c>
    </row>
    <row r="390" ht="22.5" customHeight="1">
      <c r="A390" s="16">
        <v>3.0</v>
      </c>
      <c r="B390" s="16">
        <v>12.0</v>
      </c>
      <c r="C390" s="16">
        <v>6.0</v>
      </c>
      <c r="D390" s="16">
        <v>2.67</v>
      </c>
      <c r="E390" s="16">
        <v>0.0</v>
      </c>
      <c r="F390" s="16">
        <v>0.0</v>
      </c>
      <c r="G390" s="20">
        <v>0.333</v>
      </c>
      <c r="H390" s="16" t="s">
        <v>330</v>
      </c>
      <c r="I390" s="19">
        <f t="shared" si="1"/>
        <v>8</v>
      </c>
      <c r="J390" s="19">
        <f t="shared" si="2"/>
        <v>0</v>
      </c>
    </row>
    <row r="391" ht="22.5" customHeight="1">
      <c r="A391" s="16">
        <v>2.0</v>
      </c>
      <c r="B391" s="16">
        <v>8.0</v>
      </c>
      <c r="C391" s="16">
        <v>0.0</v>
      </c>
      <c r="D391" s="16">
        <v>0.0</v>
      </c>
      <c r="E391" s="16">
        <v>0.0</v>
      </c>
      <c r="F391" s="16">
        <v>0.0</v>
      </c>
      <c r="G391" s="18">
        <v>0.0</v>
      </c>
      <c r="H391" s="16" t="s">
        <v>331</v>
      </c>
      <c r="I391" s="19">
        <f t="shared" si="1"/>
        <v>0</v>
      </c>
      <c r="J391" s="19">
        <f t="shared" si="2"/>
        <v>0</v>
      </c>
    </row>
    <row r="392" ht="22.5" customHeight="1">
      <c r="A392" s="16">
        <v>2.0</v>
      </c>
      <c r="B392" s="16">
        <v>8.0</v>
      </c>
      <c r="C392" s="16">
        <v>0.0</v>
      </c>
      <c r="D392" s="16">
        <v>0.0</v>
      </c>
      <c r="E392" s="16">
        <v>0.0</v>
      </c>
      <c r="F392" s="16">
        <v>0.0</v>
      </c>
      <c r="G392" s="18">
        <v>0.0</v>
      </c>
      <c r="H392" s="16" t="s">
        <v>331</v>
      </c>
      <c r="I392" s="19">
        <f t="shared" si="1"/>
        <v>0</v>
      </c>
      <c r="J392" s="19">
        <f t="shared" si="2"/>
        <v>0</v>
      </c>
    </row>
    <row r="393" ht="22.5" customHeight="1">
      <c r="A393" s="16">
        <v>1.0</v>
      </c>
      <c r="B393" s="16">
        <v>4.0</v>
      </c>
      <c r="C393" s="16">
        <v>0.0</v>
      </c>
      <c r="D393" s="16">
        <v>0.0</v>
      </c>
      <c r="E393" s="16">
        <v>0.0</v>
      </c>
      <c r="F393" s="16">
        <v>0.0</v>
      </c>
      <c r="G393" s="18">
        <v>0.0</v>
      </c>
      <c r="H393" s="16" t="s">
        <v>332</v>
      </c>
      <c r="I393" s="19">
        <f t="shared" si="1"/>
        <v>0</v>
      </c>
      <c r="J393" s="19">
        <f t="shared" si="2"/>
        <v>0</v>
      </c>
    </row>
    <row r="394" ht="22.5" customHeight="1">
      <c r="A394" s="16">
        <v>1.0</v>
      </c>
      <c r="B394" s="16">
        <v>4.0</v>
      </c>
      <c r="C394" s="16">
        <v>1.0</v>
      </c>
      <c r="D394" s="16">
        <v>4.0</v>
      </c>
      <c r="E394" s="16">
        <v>0.0</v>
      </c>
      <c r="F394" s="16">
        <v>0.0</v>
      </c>
      <c r="G394" s="18">
        <v>1.0</v>
      </c>
      <c r="H394" s="16" t="s">
        <v>332</v>
      </c>
      <c r="I394" s="19">
        <f t="shared" si="1"/>
        <v>4</v>
      </c>
      <c r="J394" s="19">
        <f t="shared" si="2"/>
        <v>0</v>
      </c>
    </row>
    <row r="395" ht="22.5" customHeight="1">
      <c r="A395" s="16">
        <v>1.0</v>
      </c>
      <c r="B395" s="16">
        <v>4.0</v>
      </c>
      <c r="C395" s="16">
        <v>0.0</v>
      </c>
      <c r="D395" s="16">
        <v>0.0</v>
      </c>
      <c r="E395" s="16">
        <v>0.0</v>
      </c>
      <c r="F395" s="16">
        <v>0.0</v>
      </c>
      <c r="G395" s="18">
        <v>0.0</v>
      </c>
      <c r="H395" s="16" t="s">
        <v>333</v>
      </c>
      <c r="I395" s="19">
        <f t="shared" si="1"/>
        <v>0</v>
      </c>
      <c r="J395" s="19">
        <f t="shared" si="2"/>
        <v>0</v>
      </c>
    </row>
    <row r="396" ht="22.5" customHeight="1">
      <c r="A396" s="16">
        <v>3.0</v>
      </c>
      <c r="B396" s="16">
        <v>12.0</v>
      </c>
      <c r="C396" s="16">
        <v>0.0</v>
      </c>
      <c r="D396" s="16">
        <v>0.0</v>
      </c>
      <c r="E396" s="16">
        <v>0.0</v>
      </c>
      <c r="F396" s="16">
        <v>0.0</v>
      </c>
      <c r="G396" s="18">
        <v>0.0</v>
      </c>
      <c r="H396" s="16" t="s">
        <v>333</v>
      </c>
      <c r="I396" s="19">
        <f t="shared" si="1"/>
        <v>0</v>
      </c>
      <c r="J396" s="19">
        <f t="shared" si="2"/>
        <v>0</v>
      </c>
    </row>
    <row r="397" ht="22.5" customHeight="1">
      <c r="A397" s="16">
        <v>3.0</v>
      </c>
      <c r="B397" s="16">
        <v>12.0</v>
      </c>
      <c r="C397" s="16">
        <v>0.0</v>
      </c>
      <c r="D397" s="16">
        <v>0.0</v>
      </c>
      <c r="E397" s="16">
        <v>0.0</v>
      </c>
      <c r="F397" s="16">
        <v>0.0</v>
      </c>
      <c r="G397" s="18">
        <v>0.0</v>
      </c>
      <c r="H397" s="16" t="s">
        <v>324</v>
      </c>
      <c r="I397" s="19">
        <f t="shared" si="1"/>
        <v>0</v>
      </c>
      <c r="J397" s="19">
        <f t="shared" si="2"/>
        <v>0</v>
      </c>
    </row>
    <row r="398" ht="22.5" customHeight="1">
      <c r="A398" s="16">
        <v>1.0</v>
      </c>
      <c r="B398" s="16">
        <v>4.0</v>
      </c>
      <c r="C398" s="16">
        <v>0.0</v>
      </c>
      <c r="D398" s="16">
        <v>0.0</v>
      </c>
      <c r="E398" s="16">
        <v>0.0</v>
      </c>
      <c r="F398" s="16">
        <v>0.0</v>
      </c>
      <c r="G398" s="18">
        <v>0.0</v>
      </c>
      <c r="H398" s="16" t="s">
        <v>324</v>
      </c>
      <c r="I398" s="19">
        <f t="shared" si="1"/>
        <v>0</v>
      </c>
      <c r="J398" s="19">
        <f t="shared" si="2"/>
        <v>0</v>
      </c>
    </row>
    <row r="399" ht="22.5" customHeight="1">
      <c r="A399" s="16">
        <v>4.0</v>
      </c>
      <c r="B399" s="16">
        <v>16.0</v>
      </c>
      <c r="C399" s="16">
        <v>0.0</v>
      </c>
      <c r="D399" s="16">
        <v>0.0</v>
      </c>
      <c r="E399" s="16">
        <v>0.0</v>
      </c>
      <c r="F399" s="16">
        <v>0.0</v>
      </c>
      <c r="G399" s="18">
        <v>0.0</v>
      </c>
      <c r="H399" s="16" t="s">
        <v>186</v>
      </c>
      <c r="I399" s="19">
        <f t="shared" si="1"/>
        <v>0</v>
      </c>
      <c r="J399" s="19">
        <f t="shared" si="2"/>
        <v>0</v>
      </c>
    </row>
    <row r="400" ht="22.5" customHeight="1">
      <c r="A400" s="16">
        <v>1.0</v>
      </c>
      <c r="B400" s="16">
        <v>4.0</v>
      </c>
      <c r="C400" s="16">
        <v>0.0</v>
      </c>
      <c r="D400" s="16">
        <v>0.0</v>
      </c>
      <c r="E400" s="16">
        <v>0.0</v>
      </c>
      <c r="F400" s="16">
        <v>0.0</v>
      </c>
      <c r="G400" s="18">
        <v>0.0</v>
      </c>
      <c r="H400" s="16" t="s">
        <v>186</v>
      </c>
      <c r="I400" s="19">
        <f t="shared" si="1"/>
        <v>0</v>
      </c>
      <c r="J400" s="19">
        <f t="shared" si="2"/>
        <v>0</v>
      </c>
    </row>
    <row r="401" ht="22.5" customHeight="1">
      <c r="A401" s="16">
        <v>4.0</v>
      </c>
      <c r="B401" s="16">
        <v>16.0</v>
      </c>
      <c r="C401" s="16">
        <v>13.0</v>
      </c>
      <c r="D401" s="16">
        <v>7.0</v>
      </c>
      <c r="E401" s="16">
        <v>0.25</v>
      </c>
      <c r="F401" s="16">
        <v>0.0</v>
      </c>
      <c r="G401" s="20">
        <v>0.615</v>
      </c>
      <c r="H401" s="16" t="s">
        <v>157</v>
      </c>
      <c r="I401" s="19">
        <f t="shared" si="1"/>
        <v>28</v>
      </c>
      <c r="J401" s="19">
        <f t="shared" si="2"/>
        <v>1</v>
      </c>
    </row>
    <row r="402" ht="22.5" customHeight="1">
      <c r="A402" s="16">
        <v>1.0</v>
      </c>
      <c r="B402" s="16">
        <v>4.0</v>
      </c>
      <c r="C402" s="16">
        <v>4.0</v>
      </c>
      <c r="D402" s="16">
        <v>-4.0</v>
      </c>
      <c r="E402" s="16">
        <v>1.0</v>
      </c>
      <c r="F402" s="16">
        <v>0.0</v>
      </c>
      <c r="G402" s="18">
        <v>0.0</v>
      </c>
      <c r="H402" s="16" t="s">
        <v>157</v>
      </c>
      <c r="I402" s="19">
        <f t="shared" si="1"/>
        <v>-4</v>
      </c>
      <c r="J402" s="19">
        <f t="shared" si="2"/>
        <v>1</v>
      </c>
    </row>
    <row r="403" ht="22.5" customHeight="1">
      <c r="A403" s="16">
        <v>5.0</v>
      </c>
      <c r="B403" s="16">
        <v>19.0</v>
      </c>
      <c r="C403" s="16">
        <v>2.0</v>
      </c>
      <c r="D403" s="16">
        <v>0.0</v>
      </c>
      <c r="E403" s="16">
        <v>0.0</v>
      </c>
      <c r="F403" s="16">
        <v>0.0</v>
      </c>
      <c r="G403" s="18">
        <v>0.0</v>
      </c>
      <c r="H403" s="16" t="s">
        <v>155</v>
      </c>
      <c r="I403" s="19">
        <f t="shared" si="1"/>
        <v>0</v>
      </c>
      <c r="J403" s="19">
        <f t="shared" si="2"/>
        <v>0</v>
      </c>
    </row>
    <row r="404" ht="22.5" customHeight="1">
      <c r="A404" s="16">
        <v>5.0</v>
      </c>
      <c r="B404" s="16">
        <v>19.0</v>
      </c>
      <c r="C404" s="16">
        <v>0.0</v>
      </c>
      <c r="D404" s="16">
        <v>0.0</v>
      </c>
      <c r="E404" s="16">
        <v>0.0</v>
      </c>
      <c r="F404" s="16">
        <v>0.0</v>
      </c>
      <c r="G404" s="18">
        <v>0.0</v>
      </c>
      <c r="H404" s="16" t="s">
        <v>212</v>
      </c>
      <c r="I404" s="19">
        <f t="shared" si="1"/>
        <v>0</v>
      </c>
      <c r="J404" s="19">
        <f t="shared" si="2"/>
        <v>0</v>
      </c>
    </row>
    <row r="405" ht="22.5" customHeight="1">
      <c r="A405" s="16">
        <v>1.0</v>
      </c>
      <c r="B405" s="16">
        <v>4.0</v>
      </c>
      <c r="C405" s="16">
        <v>0.0</v>
      </c>
      <c r="D405" s="16">
        <v>0.0</v>
      </c>
      <c r="E405" s="16">
        <v>0.0</v>
      </c>
      <c r="F405" s="16">
        <v>0.0</v>
      </c>
      <c r="G405" s="18">
        <v>0.0</v>
      </c>
      <c r="H405" s="16" t="s">
        <v>334</v>
      </c>
      <c r="I405" s="19">
        <f t="shared" si="1"/>
        <v>0</v>
      </c>
      <c r="J405" s="19">
        <f t="shared" si="2"/>
        <v>0</v>
      </c>
    </row>
    <row r="406" ht="22.5" customHeight="1">
      <c r="A406" s="16">
        <v>5.0</v>
      </c>
      <c r="B406" s="16">
        <v>19.0</v>
      </c>
      <c r="C406" s="16">
        <v>11.0</v>
      </c>
      <c r="D406" s="16">
        <v>3.2</v>
      </c>
      <c r="E406" s="16">
        <v>0.4</v>
      </c>
      <c r="F406" s="16">
        <v>0.0</v>
      </c>
      <c r="G406" s="20">
        <v>0.545</v>
      </c>
      <c r="H406" s="16" t="s">
        <v>215</v>
      </c>
      <c r="I406" s="19">
        <f t="shared" si="1"/>
        <v>16</v>
      </c>
      <c r="J406" s="19">
        <f t="shared" si="2"/>
        <v>2</v>
      </c>
    </row>
    <row r="407" ht="22.5" customHeight="1">
      <c r="A407" s="16">
        <v>2.0</v>
      </c>
      <c r="B407" s="16">
        <v>7.0</v>
      </c>
      <c r="C407" s="16">
        <v>2.0</v>
      </c>
      <c r="D407" s="16">
        <v>4.0</v>
      </c>
      <c r="E407" s="16">
        <v>0.0</v>
      </c>
      <c r="F407" s="16">
        <v>0.0</v>
      </c>
      <c r="G407" s="18">
        <v>1.0</v>
      </c>
      <c r="H407" s="16" t="s">
        <v>168</v>
      </c>
      <c r="I407" s="19">
        <f t="shared" si="1"/>
        <v>8</v>
      </c>
      <c r="J407" s="19">
        <f t="shared" si="2"/>
        <v>0</v>
      </c>
    </row>
    <row r="408" ht="22.5" customHeight="1">
      <c r="A408" s="16">
        <v>3.0</v>
      </c>
      <c r="B408" s="16">
        <v>11.0</v>
      </c>
      <c r="C408" s="16">
        <v>4.0</v>
      </c>
      <c r="D408" s="16">
        <v>0.0</v>
      </c>
      <c r="E408" s="16">
        <v>0.33</v>
      </c>
      <c r="F408" s="16">
        <v>0.0</v>
      </c>
      <c r="G408" s="18">
        <v>0.25</v>
      </c>
      <c r="H408" s="16" t="s">
        <v>168</v>
      </c>
      <c r="I408" s="19">
        <f t="shared" si="1"/>
        <v>0</v>
      </c>
      <c r="J408" s="19">
        <f t="shared" si="2"/>
        <v>1</v>
      </c>
    </row>
    <row r="409" ht="22.5" customHeight="1">
      <c r="A409" s="16">
        <v>1.0</v>
      </c>
      <c r="B409" s="16">
        <v>4.0</v>
      </c>
      <c r="C409" s="16">
        <v>1.0</v>
      </c>
      <c r="D409" s="16">
        <v>4.0</v>
      </c>
      <c r="E409" s="16">
        <v>0.0</v>
      </c>
      <c r="F409" s="16">
        <v>0.0</v>
      </c>
      <c r="G409" s="18">
        <v>1.0</v>
      </c>
      <c r="H409" s="16" t="s">
        <v>113</v>
      </c>
      <c r="I409" s="19">
        <f t="shared" si="1"/>
        <v>4</v>
      </c>
      <c r="J409" s="19">
        <f t="shared" si="2"/>
        <v>0</v>
      </c>
    </row>
    <row r="410" ht="22.5" customHeight="1">
      <c r="A410" s="16">
        <v>1.0</v>
      </c>
      <c r="B410" s="16">
        <v>3.0</v>
      </c>
      <c r="C410" s="16">
        <v>1.0</v>
      </c>
      <c r="D410" s="16">
        <v>4.0</v>
      </c>
      <c r="E410" s="16">
        <v>0.0</v>
      </c>
      <c r="F410" s="16">
        <v>0.0</v>
      </c>
      <c r="G410" s="18">
        <v>1.0</v>
      </c>
      <c r="H410" s="16" t="s">
        <v>113</v>
      </c>
      <c r="I410" s="19">
        <f t="shared" si="1"/>
        <v>4</v>
      </c>
      <c r="J410" s="19">
        <f t="shared" si="2"/>
        <v>0</v>
      </c>
    </row>
    <row r="411" ht="22.5" customHeight="1">
      <c r="A411" s="16">
        <v>3.0</v>
      </c>
      <c r="B411" s="16">
        <v>11.0</v>
      </c>
      <c r="C411" s="16">
        <v>0.0</v>
      </c>
      <c r="D411" s="16">
        <v>0.0</v>
      </c>
      <c r="E411" s="16">
        <v>0.0</v>
      </c>
      <c r="F411" s="16">
        <v>0.0</v>
      </c>
      <c r="G411" s="18">
        <v>0.0</v>
      </c>
      <c r="H411" s="16" t="s">
        <v>113</v>
      </c>
      <c r="I411" s="19">
        <f t="shared" si="1"/>
        <v>0</v>
      </c>
      <c r="J411" s="19">
        <f t="shared" si="2"/>
        <v>0</v>
      </c>
    </row>
    <row r="412" ht="22.5" customHeight="1">
      <c r="A412" s="16">
        <v>1.0</v>
      </c>
      <c r="B412" s="16">
        <v>3.0</v>
      </c>
      <c r="C412" s="16">
        <v>1.0</v>
      </c>
      <c r="D412" s="16">
        <v>-4.0</v>
      </c>
      <c r="E412" s="16">
        <v>1.0</v>
      </c>
      <c r="F412" s="16">
        <v>0.0</v>
      </c>
      <c r="G412" s="18">
        <v>0.0</v>
      </c>
      <c r="H412" s="16" t="s">
        <v>335</v>
      </c>
      <c r="I412" s="19">
        <f t="shared" si="1"/>
        <v>-4</v>
      </c>
      <c r="J412" s="19">
        <f t="shared" si="2"/>
        <v>1</v>
      </c>
    </row>
    <row r="413" ht="22.5" customHeight="1">
      <c r="A413" s="16">
        <v>2.0</v>
      </c>
      <c r="B413" s="16">
        <v>8.0</v>
      </c>
      <c r="C413" s="16">
        <v>3.0</v>
      </c>
      <c r="D413" s="16">
        <v>4.0</v>
      </c>
      <c r="E413" s="16">
        <v>0.0</v>
      </c>
      <c r="F413" s="16">
        <v>0.0</v>
      </c>
      <c r="G413" s="20">
        <v>0.667</v>
      </c>
      <c r="H413" s="16" t="s">
        <v>335</v>
      </c>
      <c r="I413" s="19">
        <f t="shared" si="1"/>
        <v>8</v>
      </c>
      <c r="J413" s="19">
        <f t="shared" si="2"/>
        <v>0</v>
      </c>
    </row>
    <row r="414" ht="22.5" customHeight="1">
      <c r="A414" s="16">
        <v>1.0</v>
      </c>
      <c r="B414" s="16">
        <v>4.0</v>
      </c>
      <c r="C414" s="16">
        <v>0.0</v>
      </c>
      <c r="D414" s="16">
        <v>0.0</v>
      </c>
      <c r="E414" s="16">
        <v>0.0</v>
      </c>
      <c r="F414" s="16">
        <v>0.0</v>
      </c>
      <c r="G414" s="18">
        <v>0.0</v>
      </c>
      <c r="H414" s="16" t="s">
        <v>336</v>
      </c>
      <c r="I414" s="19">
        <f t="shared" si="1"/>
        <v>0</v>
      </c>
      <c r="J414" s="19">
        <f t="shared" si="2"/>
        <v>0</v>
      </c>
    </row>
    <row r="415" ht="22.5" customHeight="1">
      <c r="A415" s="16">
        <v>1.0</v>
      </c>
      <c r="B415" s="16">
        <v>3.0</v>
      </c>
      <c r="C415" s="16">
        <v>0.0</v>
      </c>
      <c r="D415" s="16">
        <v>0.0</v>
      </c>
      <c r="E415" s="16">
        <v>0.0</v>
      </c>
      <c r="F415" s="16">
        <v>0.0</v>
      </c>
      <c r="G415" s="18">
        <v>0.0</v>
      </c>
      <c r="H415" s="16" t="s">
        <v>336</v>
      </c>
      <c r="I415" s="19">
        <f t="shared" si="1"/>
        <v>0</v>
      </c>
      <c r="J415" s="19">
        <f t="shared" si="2"/>
        <v>0</v>
      </c>
    </row>
    <row r="416" ht="22.5" customHeight="1">
      <c r="A416" s="16">
        <v>2.0</v>
      </c>
      <c r="B416" s="16">
        <v>7.0</v>
      </c>
      <c r="C416" s="16">
        <v>2.0</v>
      </c>
      <c r="D416" s="16">
        <v>0.0</v>
      </c>
      <c r="E416" s="16">
        <v>0.5</v>
      </c>
      <c r="F416" s="16">
        <v>0.0</v>
      </c>
      <c r="G416" s="18">
        <v>0.5</v>
      </c>
      <c r="H416" s="16" t="s">
        <v>337</v>
      </c>
      <c r="I416" s="19">
        <f t="shared" si="1"/>
        <v>0</v>
      </c>
      <c r="J416" s="19">
        <f t="shared" si="2"/>
        <v>1</v>
      </c>
    </row>
    <row r="417" ht="22.5" customHeight="1">
      <c r="A417" s="16">
        <v>3.0</v>
      </c>
      <c r="B417" s="16">
        <v>11.0</v>
      </c>
      <c r="C417" s="16">
        <v>1.0</v>
      </c>
      <c r="D417" s="16">
        <v>1.33</v>
      </c>
      <c r="E417" s="16">
        <v>0.0</v>
      </c>
      <c r="F417" s="16">
        <v>0.0</v>
      </c>
      <c r="G417" s="18">
        <v>1.0</v>
      </c>
      <c r="H417" s="16" t="s">
        <v>337</v>
      </c>
      <c r="I417" s="19">
        <f t="shared" si="1"/>
        <v>4</v>
      </c>
      <c r="J417" s="19">
        <f t="shared" si="2"/>
        <v>0</v>
      </c>
    </row>
    <row r="418" ht="22.5" customHeight="1">
      <c r="A418" s="16">
        <v>4.0</v>
      </c>
      <c r="B418" s="16">
        <v>14.0</v>
      </c>
      <c r="C418" s="16">
        <v>2.0</v>
      </c>
      <c r="D418" s="16">
        <v>0.0</v>
      </c>
      <c r="E418" s="16">
        <v>0.0</v>
      </c>
      <c r="F418" s="16">
        <v>0.0</v>
      </c>
      <c r="G418" s="18">
        <v>0.0</v>
      </c>
      <c r="H418" s="16" t="s">
        <v>299</v>
      </c>
      <c r="I418" s="19">
        <f t="shared" si="1"/>
        <v>0</v>
      </c>
      <c r="J418" s="19">
        <f t="shared" si="2"/>
        <v>0</v>
      </c>
    </row>
    <row r="419" ht="22.5" customHeight="1">
      <c r="A419" s="16">
        <v>1.0</v>
      </c>
      <c r="B419" s="16">
        <v>3.0</v>
      </c>
      <c r="C419" s="16">
        <v>0.0</v>
      </c>
      <c r="D419" s="16">
        <v>0.0</v>
      </c>
      <c r="E419" s="16">
        <v>0.0</v>
      </c>
      <c r="F419" s="16">
        <v>0.0</v>
      </c>
      <c r="G419" s="18">
        <v>0.0</v>
      </c>
      <c r="H419" s="16" t="s">
        <v>256</v>
      </c>
      <c r="I419" s="19">
        <f t="shared" si="1"/>
        <v>0</v>
      </c>
      <c r="J419" s="19">
        <f t="shared" si="2"/>
        <v>0</v>
      </c>
    </row>
    <row r="420" ht="22.5" customHeight="1">
      <c r="A420" s="16">
        <v>1.0</v>
      </c>
      <c r="B420" s="16">
        <v>3.0</v>
      </c>
      <c r="C420" s="16">
        <v>0.0</v>
      </c>
      <c r="D420" s="16">
        <v>0.0</v>
      </c>
      <c r="E420" s="16">
        <v>0.0</v>
      </c>
      <c r="F420" s="16">
        <v>0.0</v>
      </c>
      <c r="G420" s="18">
        <v>0.0</v>
      </c>
      <c r="H420" s="16" t="s">
        <v>216</v>
      </c>
      <c r="I420" s="19">
        <f t="shared" si="1"/>
        <v>0</v>
      </c>
      <c r="J420" s="19">
        <f t="shared" si="2"/>
        <v>0</v>
      </c>
    </row>
    <row r="421" ht="22.5" customHeight="1">
      <c r="A421" s="16">
        <v>1.0</v>
      </c>
      <c r="B421" s="16">
        <v>4.0</v>
      </c>
      <c r="C421" s="16">
        <v>2.0</v>
      </c>
      <c r="D421" s="16">
        <v>0.0</v>
      </c>
      <c r="E421" s="16">
        <v>0.0</v>
      </c>
      <c r="F421" s="16">
        <v>0.0</v>
      </c>
      <c r="G421" s="18">
        <v>0.0</v>
      </c>
      <c r="H421" s="16" t="s">
        <v>216</v>
      </c>
      <c r="I421" s="19">
        <f t="shared" si="1"/>
        <v>0</v>
      </c>
      <c r="J421" s="19">
        <f t="shared" si="2"/>
        <v>0</v>
      </c>
    </row>
    <row r="422" ht="22.5" customHeight="1">
      <c r="A422" s="16">
        <v>3.0</v>
      </c>
      <c r="B422" s="16">
        <v>10.0</v>
      </c>
      <c r="C422" s="16">
        <v>4.0</v>
      </c>
      <c r="D422" s="16">
        <v>1.33</v>
      </c>
      <c r="E422" s="16">
        <v>0.0</v>
      </c>
      <c r="F422" s="16">
        <v>0.0</v>
      </c>
      <c r="G422" s="18">
        <v>0.25</v>
      </c>
      <c r="H422" s="16" t="s">
        <v>216</v>
      </c>
      <c r="I422" s="19">
        <f t="shared" si="1"/>
        <v>4</v>
      </c>
      <c r="J422" s="19">
        <f t="shared" si="2"/>
        <v>0</v>
      </c>
    </row>
    <row r="423" ht="22.5" customHeight="1">
      <c r="A423" s="16">
        <v>1.0</v>
      </c>
      <c r="B423" s="16">
        <v>4.0</v>
      </c>
      <c r="C423" s="16">
        <v>1.0</v>
      </c>
      <c r="D423" s="16">
        <v>4.0</v>
      </c>
      <c r="E423" s="16">
        <v>0.0</v>
      </c>
      <c r="F423" s="16">
        <v>0.0</v>
      </c>
      <c r="G423" s="18">
        <v>1.0</v>
      </c>
      <c r="H423" s="16" t="s">
        <v>338</v>
      </c>
      <c r="I423" s="19">
        <f t="shared" si="1"/>
        <v>4</v>
      </c>
      <c r="J423" s="19">
        <f t="shared" si="2"/>
        <v>0</v>
      </c>
    </row>
    <row r="424" ht="22.5" customHeight="1">
      <c r="A424" s="16">
        <v>1.0</v>
      </c>
      <c r="B424" s="16">
        <v>4.0</v>
      </c>
      <c r="C424" s="16">
        <v>1.0</v>
      </c>
      <c r="D424" s="16">
        <v>-4.0</v>
      </c>
      <c r="E424" s="16">
        <v>1.0</v>
      </c>
      <c r="F424" s="16">
        <v>0.0</v>
      </c>
      <c r="G424" s="18">
        <v>0.0</v>
      </c>
      <c r="H424" s="16" t="s">
        <v>338</v>
      </c>
      <c r="I424" s="19">
        <f t="shared" si="1"/>
        <v>-4</v>
      </c>
      <c r="J424" s="19">
        <f t="shared" si="2"/>
        <v>1</v>
      </c>
    </row>
    <row r="425" ht="22.5" customHeight="1">
      <c r="A425" s="16">
        <v>1.0</v>
      </c>
      <c r="B425" s="16">
        <v>4.0</v>
      </c>
      <c r="C425" s="16">
        <v>0.0</v>
      </c>
      <c r="D425" s="16">
        <v>0.0</v>
      </c>
      <c r="E425" s="16">
        <v>0.0</v>
      </c>
      <c r="F425" s="16">
        <v>0.0</v>
      </c>
      <c r="G425" s="18">
        <v>0.0</v>
      </c>
      <c r="H425" s="16" t="s">
        <v>339</v>
      </c>
      <c r="I425" s="19">
        <f t="shared" si="1"/>
        <v>0</v>
      </c>
      <c r="J425" s="19">
        <f t="shared" si="2"/>
        <v>0</v>
      </c>
    </row>
    <row r="426" ht="22.5" customHeight="1">
      <c r="A426" s="16">
        <v>1.0</v>
      </c>
      <c r="B426" s="16">
        <v>4.0</v>
      </c>
      <c r="C426" s="16">
        <v>2.0</v>
      </c>
      <c r="D426" s="16">
        <v>4.0</v>
      </c>
      <c r="E426" s="16">
        <v>0.0</v>
      </c>
      <c r="F426" s="16">
        <v>0.0</v>
      </c>
      <c r="G426" s="18">
        <v>0.5</v>
      </c>
      <c r="H426" s="16" t="s">
        <v>83</v>
      </c>
      <c r="I426" s="19">
        <f t="shared" si="1"/>
        <v>4</v>
      </c>
      <c r="J426" s="19">
        <f t="shared" si="2"/>
        <v>0</v>
      </c>
    </row>
    <row r="427" ht="22.5" customHeight="1">
      <c r="A427" s="16">
        <v>2.0</v>
      </c>
      <c r="B427" s="16">
        <v>8.0</v>
      </c>
      <c r="C427" s="16">
        <v>5.0</v>
      </c>
      <c r="D427" s="16">
        <v>0.0</v>
      </c>
      <c r="E427" s="16">
        <v>0.5</v>
      </c>
      <c r="F427" s="16">
        <v>0.0</v>
      </c>
      <c r="G427" s="18">
        <v>0.2</v>
      </c>
      <c r="H427" s="16" t="s">
        <v>83</v>
      </c>
      <c r="I427" s="19">
        <f t="shared" si="1"/>
        <v>0</v>
      </c>
      <c r="J427" s="19">
        <f t="shared" si="2"/>
        <v>1</v>
      </c>
    </row>
    <row r="428" ht="22.5" customHeight="1">
      <c r="A428" s="16">
        <v>1.0</v>
      </c>
      <c r="B428" s="16">
        <v>4.0</v>
      </c>
      <c r="C428" s="16">
        <v>1.0</v>
      </c>
      <c r="D428" s="16">
        <v>4.0</v>
      </c>
      <c r="E428" s="16">
        <v>0.0</v>
      </c>
      <c r="F428" s="16">
        <v>0.0</v>
      </c>
      <c r="G428" s="18">
        <v>1.0</v>
      </c>
      <c r="H428" s="16" t="s">
        <v>340</v>
      </c>
      <c r="I428" s="19">
        <f t="shared" si="1"/>
        <v>4</v>
      </c>
      <c r="J428" s="19">
        <f t="shared" si="2"/>
        <v>0</v>
      </c>
    </row>
    <row r="429" ht="22.5" customHeight="1">
      <c r="A429" s="16">
        <v>1.0</v>
      </c>
      <c r="B429" s="16">
        <v>4.0</v>
      </c>
      <c r="C429" s="16">
        <v>1.0</v>
      </c>
      <c r="D429" s="16">
        <v>4.0</v>
      </c>
      <c r="E429" s="16">
        <v>0.0</v>
      </c>
      <c r="F429" s="16">
        <v>0.0</v>
      </c>
      <c r="G429" s="18">
        <v>1.0</v>
      </c>
      <c r="H429" s="16" t="s">
        <v>340</v>
      </c>
      <c r="I429" s="19">
        <f t="shared" si="1"/>
        <v>4</v>
      </c>
      <c r="J429" s="19">
        <f t="shared" si="2"/>
        <v>0</v>
      </c>
    </row>
    <row r="430" ht="22.5" customHeight="1">
      <c r="A430" s="16">
        <v>3.0</v>
      </c>
      <c r="B430" s="16">
        <v>11.0</v>
      </c>
      <c r="C430" s="16">
        <v>0.0</v>
      </c>
      <c r="D430" s="16">
        <v>0.0</v>
      </c>
      <c r="E430" s="16">
        <v>0.0</v>
      </c>
      <c r="F430" s="16">
        <v>0.0</v>
      </c>
      <c r="G430" s="18">
        <v>0.0</v>
      </c>
      <c r="H430" s="16" t="s">
        <v>258</v>
      </c>
      <c r="I430" s="19">
        <f t="shared" si="1"/>
        <v>0</v>
      </c>
      <c r="J430" s="19">
        <f t="shared" si="2"/>
        <v>0</v>
      </c>
    </row>
    <row r="431" ht="22.5" customHeight="1">
      <c r="A431" s="16">
        <v>1.0</v>
      </c>
      <c r="B431" s="16">
        <v>4.0</v>
      </c>
      <c r="C431" s="16">
        <v>0.0</v>
      </c>
      <c r="D431" s="16">
        <v>0.0</v>
      </c>
      <c r="E431" s="16">
        <v>0.0</v>
      </c>
      <c r="F431" s="16">
        <v>0.0</v>
      </c>
      <c r="G431" s="18">
        <v>0.0</v>
      </c>
      <c r="H431" s="16" t="s">
        <v>301</v>
      </c>
      <c r="I431" s="19">
        <f t="shared" si="1"/>
        <v>0</v>
      </c>
      <c r="J431" s="19">
        <f t="shared" si="2"/>
        <v>0</v>
      </c>
    </row>
    <row r="432" ht="22.5" customHeight="1">
      <c r="A432" s="16">
        <v>1.0</v>
      </c>
      <c r="B432" s="16">
        <v>4.0</v>
      </c>
      <c r="C432" s="16">
        <v>0.0</v>
      </c>
      <c r="D432" s="16">
        <v>0.0</v>
      </c>
      <c r="E432" s="16">
        <v>0.0</v>
      </c>
      <c r="F432" s="16">
        <v>0.0</v>
      </c>
      <c r="G432" s="18">
        <v>0.0</v>
      </c>
      <c r="H432" s="16" t="s">
        <v>301</v>
      </c>
      <c r="I432" s="19">
        <f t="shared" si="1"/>
        <v>0</v>
      </c>
      <c r="J432" s="19">
        <f t="shared" si="2"/>
        <v>0</v>
      </c>
    </row>
    <row r="433" ht="22.5" customHeight="1">
      <c r="A433" s="16">
        <v>2.0</v>
      </c>
      <c r="B433" s="16">
        <v>7.0</v>
      </c>
      <c r="C433" s="16">
        <v>7.0</v>
      </c>
      <c r="D433" s="16">
        <v>8.0</v>
      </c>
      <c r="E433" s="16">
        <v>0.5</v>
      </c>
      <c r="F433" s="16">
        <v>0.0</v>
      </c>
      <c r="G433" s="20">
        <v>0.714</v>
      </c>
      <c r="H433" s="16" t="s">
        <v>87</v>
      </c>
      <c r="I433" s="19">
        <f t="shared" si="1"/>
        <v>16</v>
      </c>
      <c r="J433" s="19">
        <f t="shared" si="2"/>
        <v>1</v>
      </c>
    </row>
    <row r="434" ht="22.5" customHeight="1">
      <c r="A434" s="16">
        <v>1.0</v>
      </c>
      <c r="B434" s="16">
        <v>4.0</v>
      </c>
      <c r="C434" s="16">
        <v>0.0</v>
      </c>
      <c r="D434" s="16">
        <v>0.0</v>
      </c>
      <c r="E434" s="16">
        <v>0.0</v>
      </c>
      <c r="F434" s="16">
        <v>0.0</v>
      </c>
      <c r="G434" s="18">
        <v>0.0</v>
      </c>
      <c r="H434" s="16" t="s">
        <v>87</v>
      </c>
      <c r="I434" s="19">
        <f t="shared" si="1"/>
        <v>0</v>
      </c>
      <c r="J434" s="19">
        <f t="shared" si="2"/>
        <v>0</v>
      </c>
    </row>
    <row r="435" ht="22.5" customHeight="1">
      <c r="A435" s="16">
        <v>1.0</v>
      </c>
      <c r="B435" s="16">
        <v>4.0</v>
      </c>
      <c r="C435" s="16">
        <v>3.0</v>
      </c>
      <c r="D435" s="16">
        <v>4.0</v>
      </c>
      <c r="E435" s="16">
        <v>0.0</v>
      </c>
      <c r="F435" s="16">
        <v>0.0</v>
      </c>
      <c r="G435" s="20">
        <v>0.333</v>
      </c>
      <c r="H435" s="16" t="s">
        <v>87</v>
      </c>
      <c r="I435" s="19">
        <f t="shared" si="1"/>
        <v>4</v>
      </c>
      <c r="J435" s="19">
        <f t="shared" si="2"/>
        <v>0</v>
      </c>
    </row>
    <row r="436" ht="22.5" customHeight="1">
      <c r="A436" s="16">
        <v>1.0</v>
      </c>
      <c r="B436" s="16">
        <v>4.0</v>
      </c>
      <c r="C436" s="16">
        <v>0.0</v>
      </c>
      <c r="D436" s="16">
        <v>0.0</v>
      </c>
      <c r="E436" s="16">
        <v>0.0</v>
      </c>
      <c r="F436" s="16">
        <v>0.0</v>
      </c>
      <c r="G436" s="18">
        <v>0.0</v>
      </c>
      <c r="H436" s="16" t="s">
        <v>341</v>
      </c>
      <c r="I436" s="19">
        <f t="shared" si="1"/>
        <v>0</v>
      </c>
      <c r="J436" s="19">
        <f t="shared" si="2"/>
        <v>0</v>
      </c>
    </row>
    <row r="437" ht="22.5" customHeight="1">
      <c r="A437" s="16">
        <v>1.0</v>
      </c>
      <c r="B437" s="16">
        <v>3.0</v>
      </c>
      <c r="C437" s="16">
        <v>0.0</v>
      </c>
      <c r="D437" s="16">
        <v>0.0</v>
      </c>
      <c r="E437" s="16">
        <v>0.0</v>
      </c>
      <c r="F437" s="16">
        <v>0.0</v>
      </c>
      <c r="G437" s="18">
        <v>0.0</v>
      </c>
      <c r="H437" s="16" t="s">
        <v>341</v>
      </c>
      <c r="I437" s="19">
        <f t="shared" si="1"/>
        <v>0</v>
      </c>
      <c r="J437" s="19">
        <f t="shared" si="2"/>
        <v>0</v>
      </c>
    </row>
    <row r="438" ht="22.5" customHeight="1">
      <c r="A438" s="16">
        <v>5.0</v>
      </c>
      <c r="B438" s="16">
        <v>19.0</v>
      </c>
      <c r="C438" s="16">
        <v>5.0</v>
      </c>
      <c r="D438" s="16">
        <v>0.0</v>
      </c>
      <c r="E438" s="16">
        <v>0.2</v>
      </c>
      <c r="F438" s="16">
        <v>0.0</v>
      </c>
      <c r="G438" s="18">
        <v>0.2</v>
      </c>
      <c r="H438" s="16" t="s">
        <v>312</v>
      </c>
      <c r="I438" s="19">
        <f t="shared" si="1"/>
        <v>0</v>
      </c>
      <c r="J438" s="19">
        <f t="shared" si="2"/>
        <v>1</v>
      </c>
    </row>
    <row r="439" ht="22.5" customHeight="1">
      <c r="A439" s="16">
        <v>4.0</v>
      </c>
      <c r="B439" s="16">
        <v>15.0</v>
      </c>
      <c r="C439" s="16">
        <v>6.0</v>
      </c>
      <c r="D439" s="16">
        <v>2.0</v>
      </c>
      <c r="E439" s="16">
        <v>0.0</v>
      </c>
      <c r="F439" s="16">
        <v>0.0</v>
      </c>
      <c r="G439" s="20">
        <v>0.333</v>
      </c>
      <c r="H439" s="16" t="s">
        <v>260</v>
      </c>
      <c r="I439" s="19">
        <f t="shared" si="1"/>
        <v>8</v>
      </c>
      <c r="J439" s="19">
        <f t="shared" si="2"/>
        <v>0</v>
      </c>
    </row>
    <row r="440" ht="22.5" customHeight="1">
      <c r="A440" s="16">
        <v>1.0</v>
      </c>
      <c r="B440" s="16">
        <v>4.0</v>
      </c>
      <c r="C440" s="16">
        <v>2.0</v>
      </c>
      <c r="D440" s="16">
        <v>4.0</v>
      </c>
      <c r="E440" s="16">
        <v>0.0</v>
      </c>
      <c r="F440" s="16">
        <v>0.0</v>
      </c>
      <c r="G440" s="18">
        <v>0.5</v>
      </c>
      <c r="H440" s="16" t="s">
        <v>260</v>
      </c>
      <c r="I440" s="19">
        <f t="shared" si="1"/>
        <v>4</v>
      </c>
      <c r="J440" s="19">
        <f t="shared" si="2"/>
        <v>0</v>
      </c>
    </row>
    <row r="441" ht="22.5" customHeight="1">
      <c r="A441" s="16">
        <v>4.0</v>
      </c>
      <c r="B441" s="16">
        <v>16.0</v>
      </c>
      <c r="C441" s="16">
        <v>0.0</v>
      </c>
      <c r="D441" s="16">
        <v>0.0</v>
      </c>
      <c r="E441" s="16">
        <v>0.0</v>
      </c>
      <c r="F441" s="16">
        <v>0.0</v>
      </c>
      <c r="G441" s="18">
        <v>0.0</v>
      </c>
      <c r="H441" s="16" t="s">
        <v>327</v>
      </c>
      <c r="I441" s="19">
        <f t="shared" si="1"/>
        <v>0</v>
      </c>
      <c r="J441" s="19">
        <f t="shared" si="2"/>
        <v>0</v>
      </c>
    </row>
    <row r="442" ht="22.5" customHeight="1">
      <c r="A442" s="16">
        <v>5.0</v>
      </c>
      <c r="B442" s="16">
        <v>20.0</v>
      </c>
      <c r="C442" s="16">
        <v>16.0</v>
      </c>
      <c r="D442" s="16">
        <v>4.8</v>
      </c>
      <c r="E442" s="16">
        <v>0.4</v>
      </c>
      <c r="F442" s="16">
        <v>0.0</v>
      </c>
      <c r="G442" s="18">
        <v>0.5</v>
      </c>
      <c r="H442" s="16" t="s">
        <v>131</v>
      </c>
      <c r="I442" s="19">
        <f t="shared" si="1"/>
        <v>24</v>
      </c>
      <c r="J442" s="19">
        <f t="shared" si="2"/>
        <v>2</v>
      </c>
    </row>
    <row r="443" ht="22.5" customHeight="1">
      <c r="A443" s="16">
        <v>2.0</v>
      </c>
      <c r="B443" s="16">
        <v>8.0</v>
      </c>
      <c r="C443" s="16">
        <v>0.0</v>
      </c>
      <c r="D443" s="16">
        <v>0.0</v>
      </c>
      <c r="E443" s="16">
        <v>0.0</v>
      </c>
      <c r="F443" s="16">
        <v>0.0</v>
      </c>
      <c r="G443" s="18">
        <v>0.0</v>
      </c>
      <c r="H443" s="16" t="s">
        <v>342</v>
      </c>
      <c r="I443" s="19">
        <f t="shared" si="1"/>
        <v>0</v>
      </c>
      <c r="J443" s="19">
        <f t="shared" si="2"/>
        <v>0</v>
      </c>
    </row>
    <row r="444" ht="22.5" customHeight="1">
      <c r="A444" s="16">
        <v>4.0</v>
      </c>
      <c r="B444" s="16">
        <v>16.0</v>
      </c>
      <c r="C444" s="16">
        <v>0.0</v>
      </c>
      <c r="D444" s="16">
        <v>0.0</v>
      </c>
      <c r="E444" s="16">
        <v>0.0</v>
      </c>
      <c r="F444" s="16">
        <v>0.0</v>
      </c>
      <c r="G444" s="18">
        <v>0.0</v>
      </c>
      <c r="H444" s="16" t="s">
        <v>343</v>
      </c>
      <c r="I444" s="19">
        <f t="shared" si="1"/>
        <v>0</v>
      </c>
      <c r="J444" s="19">
        <f t="shared" si="2"/>
        <v>0</v>
      </c>
    </row>
    <row r="445" ht="22.5" customHeight="1">
      <c r="A445" s="16">
        <v>1.0</v>
      </c>
      <c r="B445" s="16">
        <v>4.0</v>
      </c>
      <c r="C445" s="16">
        <v>0.0</v>
      </c>
      <c r="D445" s="16">
        <v>0.0</v>
      </c>
      <c r="E445" s="16">
        <v>0.0</v>
      </c>
      <c r="F445" s="16">
        <v>0.0</v>
      </c>
      <c r="G445" s="18">
        <v>0.0</v>
      </c>
      <c r="H445" s="16" t="s">
        <v>343</v>
      </c>
      <c r="I445" s="19">
        <f t="shared" si="1"/>
        <v>0</v>
      </c>
      <c r="J445" s="19">
        <f t="shared" si="2"/>
        <v>0</v>
      </c>
    </row>
    <row r="446" ht="22.5" customHeight="1">
      <c r="A446" s="16">
        <v>2.0</v>
      </c>
      <c r="B446" s="16">
        <v>8.0</v>
      </c>
      <c r="C446" s="16">
        <v>0.0</v>
      </c>
      <c r="D446" s="16">
        <v>0.0</v>
      </c>
      <c r="E446" s="16">
        <v>0.0</v>
      </c>
      <c r="F446" s="16">
        <v>0.0</v>
      </c>
      <c r="G446" s="18">
        <v>0.0</v>
      </c>
      <c r="H446" s="16" t="s">
        <v>302</v>
      </c>
      <c r="I446" s="19">
        <f t="shared" si="1"/>
        <v>0</v>
      </c>
      <c r="J446" s="19">
        <f t="shared" si="2"/>
        <v>0</v>
      </c>
    </row>
    <row r="447" ht="22.5" customHeight="1">
      <c r="A447" s="16">
        <v>5.0</v>
      </c>
      <c r="B447" s="16">
        <v>19.0</v>
      </c>
      <c r="C447" s="16">
        <v>0.0</v>
      </c>
      <c r="D447" s="16">
        <v>0.0</v>
      </c>
      <c r="E447" s="16">
        <v>0.0</v>
      </c>
      <c r="F447" s="16">
        <v>0.0</v>
      </c>
      <c r="G447" s="18">
        <v>0.0</v>
      </c>
      <c r="H447" s="16" t="s">
        <v>231</v>
      </c>
      <c r="I447" s="19">
        <f t="shared" si="1"/>
        <v>0</v>
      </c>
      <c r="J447" s="19">
        <f t="shared" si="2"/>
        <v>0</v>
      </c>
    </row>
    <row r="448" ht="22.5" customHeight="1">
      <c r="A448" s="16">
        <v>5.0</v>
      </c>
      <c r="B448" s="16">
        <v>19.0</v>
      </c>
      <c r="C448" s="16">
        <v>15.0</v>
      </c>
      <c r="D448" s="16">
        <v>4.0</v>
      </c>
      <c r="E448" s="16">
        <v>1.0</v>
      </c>
      <c r="F448" s="16">
        <v>0.0</v>
      </c>
      <c r="G448" s="20">
        <v>0.667</v>
      </c>
      <c r="H448" s="16" t="s">
        <v>122</v>
      </c>
      <c r="I448" s="19">
        <f t="shared" si="1"/>
        <v>20</v>
      </c>
      <c r="J448" s="19">
        <f t="shared" si="2"/>
        <v>5</v>
      </c>
    </row>
    <row r="449" ht="22.5" customHeight="1">
      <c r="A449" s="16">
        <v>3.0</v>
      </c>
      <c r="B449" s="16">
        <v>12.0</v>
      </c>
      <c r="C449" s="16">
        <v>0.0</v>
      </c>
      <c r="D449" s="16">
        <v>0.0</v>
      </c>
      <c r="E449" s="16">
        <v>0.0</v>
      </c>
      <c r="F449" s="16">
        <v>0.0</v>
      </c>
      <c r="G449" s="18">
        <v>0.0</v>
      </c>
      <c r="H449" s="16" t="s">
        <v>261</v>
      </c>
      <c r="I449" s="19">
        <f t="shared" si="1"/>
        <v>0</v>
      </c>
      <c r="J449" s="19">
        <f t="shared" si="2"/>
        <v>0</v>
      </c>
    </row>
    <row r="450" ht="22.5" customHeight="1">
      <c r="A450" s="16">
        <v>5.0</v>
      </c>
      <c r="B450" s="16">
        <v>19.0</v>
      </c>
      <c r="C450" s="16">
        <v>2.0</v>
      </c>
      <c r="D450" s="16">
        <v>1.6</v>
      </c>
      <c r="E450" s="16">
        <v>0.0</v>
      </c>
      <c r="F450" s="16">
        <v>0.0</v>
      </c>
      <c r="G450" s="18">
        <v>1.0</v>
      </c>
      <c r="H450" s="16" t="s">
        <v>344</v>
      </c>
      <c r="I450" s="19">
        <f t="shared" si="1"/>
        <v>8</v>
      </c>
      <c r="J450" s="19">
        <f t="shared" si="2"/>
        <v>0</v>
      </c>
    </row>
    <row r="451" ht="22.5" customHeight="1">
      <c r="A451" s="16">
        <v>4.0</v>
      </c>
      <c r="B451" s="16">
        <v>12.0</v>
      </c>
      <c r="C451" s="16">
        <v>8.0</v>
      </c>
      <c r="D451" s="16">
        <v>0.0</v>
      </c>
      <c r="E451" s="16">
        <v>0.75</v>
      </c>
      <c r="F451" s="16">
        <v>0.0</v>
      </c>
      <c r="G451" s="20">
        <v>0.375</v>
      </c>
      <c r="H451" s="16" t="s">
        <v>345</v>
      </c>
      <c r="I451" s="19">
        <f t="shared" si="1"/>
        <v>0</v>
      </c>
      <c r="J451" s="19">
        <f t="shared" si="2"/>
        <v>3</v>
      </c>
    </row>
    <row r="452" ht="22.5" customHeight="1">
      <c r="A452" s="16">
        <v>1.0</v>
      </c>
      <c r="B452" s="16">
        <v>4.0</v>
      </c>
      <c r="C452" s="16">
        <v>3.0</v>
      </c>
      <c r="D452" s="16">
        <v>8.0</v>
      </c>
      <c r="E452" s="16">
        <v>0.0</v>
      </c>
      <c r="F452" s="16">
        <v>0.0</v>
      </c>
      <c r="G452" s="20">
        <v>0.667</v>
      </c>
      <c r="H452" s="16" t="s">
        <v>345</v>
      </c>
      <c r="I452" s="19">
        <f t="shared" si="1"/>
        <v>8</v>
      </c>
      <c r="J452" s="19">
        <f t="shared" si="2"/>
        <v>0</v>
      </c>
    </row>
    <row r="453" ht="22.5" customHeight="1">
      <c r="A453" s="16">
        <v>4.0</v>
      </c>
      <c r="B453" s="16">
        <v>12.0</v>
      </c>
      <c r="C453" s="16">
        <v>0.0</v>
      </c>
      <c r="D453" s="16">
        <v>0.0</v>
      </c>
      <c r="E453" s="16">
        <v>0.0</v>
      </c>
      <c r="F453" s="16">
        <v>0.0</v>
      </c>
      <c r="G453" s="18">
        <v>0.0</v>
      </c>
      <c r="H453" s="16" t="s">
        <v>346</v>
      </c>
      <c r="I453" s="19">
        <f t="shared" si="1"/>
        <v>0</v>
      </c>
      <c r="J453" s="19">
        <f t="shared" si="2"/>
        <v>0</v>
      </c>
    </row>
    <row r="454" ht="22.5" customHeight="1">
      <c r="A454" s="16">
        <v>1.0</v>
      </c>
      <c r="B454" s="16">
        <v>4.0</v>
      </c>
      <c r="C454" s="16">
        <v>0.0</v>
      </c>
      <c r="D454" s="16">
        <v>0.0</v>
      </c>
      <c r="E454" s="16">
        <v>0.0</v>
      </c>
      <c r="F454" s="16">
        <v>0.0</v>
      </c>
      <c r="G454" s="18">
        <v>0.0</v>
      </c>
      <c r="H454" s="16" t="s">
        <v>346</v>
      </c>
      <c r="I454" s="19">
        <f t="shared" si="1"/>
        <v>0</v>
      </c>
      <c r="J454" s="19">
        <f t="shared" si="2"/>
        <v>0</v>
      </c>
    </row>
    <row r="455" ht="22.5" customHeight="1">
      <c r="A455" s="16">
        <v>1.0</v>
      </c>
      <c r="B455" s="16">
        <v>4.0</v>
      </c>
      <c r="C455" s="16">
        <v>0.0</v>
      </c>
      <c r="D455" s="16">
        <v>0.0</v>
      </c>
      <c r="E455" s="16">
        <v>0.0</v>
      </c>
      <c r="F455" s="16">
        <v>0.0</v>
      </c>
      <c r="G455" s="18">
        <v>0.0</v>
      </c>
      <c r="H455" s="16" t="s">
        <v>347</v>
      </c>
      <c r="I455" s="19">
        <f t="shared" si="1"/>
        <v>0</v>
      </c>
      <c r="J455" s="19">
        <f t="shared" si="2"/>
        <v>0</v>
      </c>
    </row>
    <row r="456" ht="22.5" customHeight="1">
      <c r="A456" s="16">
        <v>4.0</v>
      </c>
      <c r="B456" s="16">
        <v>12.0</v>
      </c>
      <c r="C456" s="16">
        <v>2.0</v>
      </c>
      <c r="D456" s="16">
        <v>-2.0</v>
      </c>
      <c r="E456" s="16">
        <v>0.5</v>
      </c>
      <c r="F456" s="16">
        <v>0.0</v>
      </c>
      <c r="G456" s="18">
        <v>0.0</v>
      </c>
      <c r="H456" s="16" t="s">
        <v>347</v>
      </c>
      <c r="I456" s="19">
        <f t="shared" si="1"/>
        <v>-8</v>
      </c>
      <c r="J456" s="19">
        <f t="shared" si="2"/>
        <v>2</v>
      </c>
    </row>
    <row r="457" ht="22.5" customHeight="1">
      <c r="A457" s="16">
        <v>4.0</v>
      </c>
      <c r="B457" s="16">
        <v>12.0</v>
      </c>
      <c r="C457" s="16">
        <v>1.0</v>
      </c>
      <c r="D457" s="16">
        <v>1.0</v>
      </c>
      <c r="E457" s="16">
        <v>0.0</v>
      </c>
      <c r="F457" s="16">
        <v>0.0</v>
      </c>
      <c r="G457" s="18">
        <v>1.0</v>
      </c>
      <c r="H457" s="16" t="s">
        <v>188</v>
      </c>
      <c r="I457" s="19">
        <f t="shared" si="1"/>
        <v>4</v>
      </c>
      <c r="J457" s="19">
        <f t="shared" si="2"/>
        <v>0</v>
      </c>
    </row>
    <row r="458" ht="22.5" customHeight="1">
      <c r="A458" s="16">
        <v>1.0</v>
      </c>
      <c r="B458" s="16">
        <v>4.0</v>
      </c>
      <c r="C458" s="16">
        <v>0.0</v>
      </c>
      <c r="D458" s="16">
        <v>0.0</v>
      </c>
      <c r="E458" s="16">
        <v>0.0</v>
      </c>
      <c r="F458" s="16">
        <v>0.0</v>
      </c>
      <c r="G458" s="18">
        <v>0.0</v>
      </c>
      <c r="H458" s="16" t="s">
        <v>188</v>
      </c>
      <c r="I458" s="19">
        <f t="shared" si="1"/>
        <v>0</v>
      </c>
      <c r="J458" s="19">
        <f t="shared" si="2"/>
        <v>0</v>
      </c>
    </row>
    <row r="459" ht="22.5" customHeight="1">
      <c r="A459" s="16">
        <v>3.0</v>
      </c>
      <c r="B459" s="16">
        <v>11.0</v>
      </c>
      <c r="C459" s="16">
        <v>1.0</v>
      </c>
      <c r="D459" s="16">
        <v>1.33</v>
      </c>
      <c r="E459" s="16">
        <v>0.0</v>
      </c>
      <c r="F459" s="16">
        <v>0.0</v>
      </c>
      <c r="G459" s="18">
        <v>1.0</v>
      </c>
      <c r="H459" s="16" t="s">
        <v>119</v>
      </c>
      <c r="I459" s="19">
        <f t="shared" si="1"/>
        <v>4</v>
      </c>
      <c r="J459" s="19">
        <f t="shared" si="2"/>
        <v>0</v>
      </c>
    </row>
    <row r="460" ht="22.5" customHeight="1">
      <c r="A460" s="16">
        <v>3.0</v>
      </c>
      <c r="B460" s="16">
        <v>11.0</v>
      </c>
      <c r="C460" s="16">
        <v>5.0</v>
      </c>
      <c r="D460" s="16">
        <v>2.67</v>
      </c>
      <c r="E460" s="16">
        <v>0.33</v>
      </c>
      <c r="F460" s="16">
        <v>0.0</v>
      </c>
      <c r="G460" s="18">
        <v>0.6</v>
      </c>
      <c r="H460" s="16" t="s">
        <v>218</v>
      </c>
      <c r="I460" s="19">
        <f t="shared" si="1"/>
        <v>8</v>
      </c>
      <c r="J460" s="19">
        <f t="shared" si="2"/>
        <v>1</v>
      </c>
    </row>
    <row r="461" ht="22.5" customHeight="1">
      <c r="A461" s="16">
        <v>2.0</v>
      </c>
      <c r="B461" s="16">
        <v>8.0</v>
      </c>
      <c r="C461" s="16">
        <v>0.0</v>
      </c>
      <c r="D461" s="16">
        <v>0.0</v>
      </c>
      <c r="E461" s="16">
        <v>0.0</v>
      </c>
      <c r="F461" s="16">
        <v>0.0</v>
      </c>
      <c r="G461" s="18">
        <v>0.0</v>
      </c>
      <c r="H461" s="16" t="s">
        <v>348</v>
      </c>
      <c r="I461" s="19">
        <f t="shared" si="1"/>
        <v>0</v>
      </c>
      <c r="J461" s="19">
        <f t="shared" si="2"/>
        <v>0</v>
      </c>
    </row>
    <row r="462" ht="22.5" customHeight="1">
      <c r="A462" s="16">
        <v>3.0</v>
      </c>
      <c r="B462" s="16">
        <v>11.0</v>
      </c>
      <c r="C462" s="16">
        <v>4.0</v>
      </c>
      <c r="D462" s="16">
        <v>-1.33</v>
      </c>
      <c r="E462" s="16">
        <v>0.67</v>
      </c>
      <c r="F462" s="16">
        <v>0.0</v>
      </c>
      <c r="G462" s="18">
        <v>0.25</v>
      </c>
      <c r="H462" s="16" t="s">
        <v>349</v>
      </c>
      <c r="I462" s="19">
        <f t="shared" si="1"/>
        <v>-4</v>
      </c>
      <c r="J462" s="19">
        <f t="shared" si="2"/>
        <v>2</v>
      </c>
    </row>
    <row r="463" ht="22.5" customHeight="1">
      <c r="A463" s="16">
        <v>4.0</v>
      </c>
      <c r="B463" s="16">
        <v>15.0</v>
      </c>
      <c r="C463" s="16">
        <v>0.0</v>
      </c>
      <c r="D463" s="16">
        <v>0.0</v>
      </c>
      <c r="E463" s="16">
        <v>0.0</v>
      </c>
      <c r="F463" s="16">
        <v>0.0</v>
      </c>
      <c r="G463" s="18">
        <v>0.0</v>
      </c>
      <c r="H463" s="16" t="s">
        <v>193</v>
      </c>
      <c r="I463" s="19">
        <f t="shared" si="1"/>
        <v>0</v>
      </c>
      <c r="J463" s="19">
        <f t="shared" si="2"/>
        <v>0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3" max="3" width="17.25"/>
  </cols>
  <sheetData>
    <row r="1" ht="22.5" customHeight="1">
      <c r="A1" s="12" t="s">
        <v>36</v>
      </c>
      <c r="B1" s="12" t="s">
        <v>42</v>
      </c>
      <c r="C1" s="12" t="s">
        <v>44</v>
      </c>
      <c r="D1" s="12" t="s">
        <v>45</v>
      </c>
      <c r="E1" s="8" t="s">
        <v>30</v>
      </c>
    </row>
    <row r="2" ht="22.5" customHeight="1">
      <c r="A2" s="13" t="s">
        <v>47</v>
      </c>
      <c r="B2" s="13">
        <v>5.0</v>
      </c>
      <c r="C2" s="13">
        <v>19.0</v>
      </c>
      <c r="D2" s="10">
        <v>12.0</v>
      </c>
      <c r="E2" s="10">
        <v>0.0</v>
      </c>
    </row>
    <row r="3" ht="22.5" customHeight="1">
      <c r="A3" s="13" t="s">
        <v>207</v>
      </c>
      <c r="B3" s="13">
        <v>5.0</v>
      </c>
      <c r="C3" s="13">
        <v>19.0</v>
      </c>
      <c r="D3" s="10">
        <v>8.8</v>
      </c>
      <c r="E3" s="10">
        <v>0.2</v>
      </c>
    </row>
    <row r="4" ht="22.5" customHeight="1">
      <c r="A4" s="13" t="s">
        <v>105</v>
      </c>
      <c r="B4" s="13">
        <v>5.0</v>
      </c>
      <c r="C4" s="13">
        <v>20.0</v>
      </c>
      <c r="D4" s="10">
        <v>8.0</v>
      </c>
      <c r="E4" s="10">
        <v>0.4</v>
      </c>
    </row>
    <row r="5" ht="22.5" customHeight="1">
      <c r="A5" s="13" t="s">
        <v>52</v>
      </c>
      <c r="B5" s="13">
        <v>5.0</v>
      </c>
      <c r="C5" s="13">
        <v>19.0</v>
      </c>
      <c r="D5" s="10">
        <v>8.0</v>
      </c>
      <c r="E5" s="10">
        <v>0.0</v>
      </c>
    </row>
    <row r="6" ht="22.5" customHeight="1">
      <c r="A6" s="13" t="s">
        <v>66</v>
      </c>
      <c r="B6" s="13">
        <v>5.0</v>
      </c>
      <c r="C6" s="13">
        <v>20.0</v>
      </c>
      <c r="D6" s="10">
        <v>6.4</v>
      </c>
      <c r="E6" s="10">
        <v>0.2</v>
      </c>
    </row>
    <row r="7" ht="22.5" customHeight="1">
      <c r="A7" s="13" t="s">
        <v>62</v>
      </c>
      <c r="B7" s="13">
        <v>5.0</v>
      </c>
      <c r="C7" s="13">
        <v>19.0</v>
      </c>
      <c r="D7" s="10">
        <v>6.4</v>
      </c>
      <c r="E7" s="10">
        <v>0.2</v>
      </c>
    </row>
    <row r="8" ht="22.5" customHeight="1">
      <c r="A8" s="13" t="s">
        <v>289</v>
      </c>
      <c r="B8" s="13">
        <v>5.0</v>
      </c>
      <c r="C8" s="13">
        <v>19.0</v>
      </c>
      <c r="D8" s="10">
        <v>6.4</v>
      </c>
      <c r="E8" s="10">
        <v>0.0</v>
      </c>
    </row>
    <row r="9" ht="22.5" customHeight="1">
      <c r="A9" s="13" t="s">
        <v>257</v>
      </c>
      <c r="B9" s="13">
        <v>2.0</v>
      </c>
      <c r="C9" s="13">
        <v>6.0</v>
      </c>
      <c r="D9" s="10">
        <v>6.0</v>
      </c>
      <c r="E9" s="10">
        <v>0.0</v>
      </c>
    </row>
    <row r="10" ht="22.5" customHeight="1">
      <c r="A10" s="13" t="s">
        <v>283</v>
      </c>
      <c r="B10" s="13">
        <v>4.0</v>
      </c>
      <c r="C10" s="13">
        <v>16.0</v>
      </c>
      <c r="D10" s="10">
        <v>6.0</v>
      </c>
      <c r="E10" s="10">
        <v>0.0</v>
      </c>
    </row>
    <row r="11" ht="22.5" customHeight="1">
      <c r="A11" s="13" t="s">
        <v>75</v>
      </c>
      <c r="B11" s="13">
        <v>5.0</v>
      </c>
      <c r="C11" s="13">
        <v>18.0</v>
      </c>
      <c r="D11" s="10">
        <v>5.6</v>
      </c>
      <c r="E11" s="10">
        <v>0.2</v>
      </c>
    </row>
    <row r="12" ht="22.5" customHeight="1">
      <c r="A12" s="13" t="s">
        <v>87</v>
      </c>
      <c r="B12" s="13">
        <v>4.0</v>
      </c>
      <c r="C12" s="13">
        <v>15.0</v>
      </c>
      <c r="D12" s="10">
        <v>5.0</v>
      </c>
      <c r="E12" s="10">
        <v>0.25</v>
      </c>
    </row>
    <row r="13" ht="22.5" customHeight="1">
      <c r="A13" s="13" t="s">
        <v>157</v>
      </c>
      <c r="B13" s="13">
        <v>5.0</v>
      </c>
      <c r="C13" s="13">
        <v>20.0</v>
      </c>
      <c r="D13" s="10">
        <v>4.8</v>
      </c>
      <c r="E13" s="10">
        <v>0.4</v>
      </c>
    </row>
    <row r="14" ht="22.5" customHeight="1">
      <c r="A14" s="13" t="s">
        <v>131</v>
      </c>
      <c r="B14" s="13">
        <v>5.0</v>
      </c>
      <c r="C14" s="13">
        <v>20.0</v>
      </c>
      <c r="D14" s="10">
        <v>4.8</v>
      </c>
      <c r="E14" s="10">
        <v>0.4</v>
      </c>
    </row>
    <row r="15" ht="22.5" customHeight="1">
      <c r="A15" s="13" t="s">
        <v>51</v>
      </c>
      <c r="B15" s="13">
        <v>4.0</v>
      </c>
      <c r="C15" s="13">
        <v>16.0</v>
      </c>
      <c r="D15" s="10">
        <v>4.0</v>
      </c>
      <c r="E15" s="10">
        <v>0.25</v>
      </c>
      <c r="I15" s="3" t="s">
        <v>362</v>
      </c>
    </row>
    <row r="16" ht="22.5" customHeight="1">
      <c r="A16" s="13" t="s">
        <v>76</v>
      </c>
      <c r="B16" s="13">
        <v>1.0</v>
      </c>
      <c r="C16" s="13">
        <v>4.0</v>
      </c>
      <c r="D16" s="10">
        <v>4.0</v>
      </c>
      <c r="E16" s="10">
        <v>0.0</v>
      </c>
    </row>
    <row r="17" ht="22.5" customHeight="1">
      <c r="A17" s="13" t="s">
        <v>94</v>
      </c>
      <c r="B17" s="13">
        <v>3.0</v>
      </c>
      <c r="C17" s="13">
        <v>12.0</v>
      </c>
      <c r="D17" s="10">
        <v>4.0</v>
      </c>
      <c r="E17" s="10">
        <v>0.3333333333333333</v>
      </c>
    </row>
    <row r="18" ht="22.5" customHeight="1">
      <c r="A18" s="13" t="s">
        <v>128</v>
      </c>
      <c r="B18" s="13">
        <v>5.0</v>
      </c>
      <c r="C18" s="13">
        <v>20.0</v>
      </c>
      <c r="D18" s="10">
        <v>4.0</v>
      </c>
      <c r="E18" s="10">
        <v>0.2</v>
      </c>
    </row>
    <row r="19" ht="22.5" customHeight="1">
      <c r="A19" s="13" t="s">
        <v>171</v>
      </c>
      <c r="B19" s="13">
        <v>3.0</v>
      </c>
      <c r="C19" s="13">
        <v>11.0</v>
      </c>
      <c r="D19" s="10">
        <v>4.0</v>
      </c>
      <c r="E19" s="10">
        <v>1.0</v>
      </c>
    </row>
    <row r="20" ht="22.5" customHeight="1">
      <c r="A20" s="13" t="s">
        <v>178</v>
      </c>
      <c r="B20" s="13">
        <v>5.0</v>
      </c>
      <c r="C20" s="13">
        <v>19.0</v>
      </c>
      <c r="D20" s="10">
        <v>4.0</v>
      </c>
      <c r="E20" s="10">
        <v>0.6</v>
      </c>
    </row>
    <row r="21" ht="22.5" customHeight="1">
      <c r="A21" s="13" t="s">
        <v>194</v>
      </c>
      <c r="B21" s="13">
        <v>2.0</v>
      </c>
      <c r="C21" s="13">
        <v>7.0</v>
      </c>
      <c r="D21" s="10">
        <v>4.0</v>
      </c>
      <c r="E21" s="10">
        <v>0.0</v>
      </c>
    </row>
    <row r="22" ht="22.5" customHeight="1">
      <c r="A22" s="13" t="s">
        <v>201</v>
      </c>
      <c r="B22" s="13">
        <v>3.0</v>
      </c>
      <c r="C22" s="13">
        <v>12.0</v>
      </c>
      <c r="D22" s="10">
        <v>4.0</v>
      </c>
      <c r="E22" s="10">
        <v>0.0</v>
      </c>
    </row>
    <row r="23" ht="22.5" customHeight="1">
      <c r="A23" s="13" t="s">
        <v>206</v>
      </c>
      <c r="B23" s="13">
        <v>1.0</v>
      </c>
      <c r="C23" s="13">
        <v>4.0</v>
      </c>
      <c r="D23" s="10">
        <v>4.0</v>
      </c>
      <c r="E23" s="10">
        <v>0.0</v>
      </c>
    </row>
    <row r="24" ht="22.5" customHeight="1">
      <c r="A24" s="13" t="s">
        <v>219</v>
      </c>
      <c r="B24" s="13">
        <v>1.0</v>
      </c>
      <c r="C24" s="13">
        <v>4.0</v>
      </c>
      <c r="D24" s="10">
        <v>4.0</v>
      </c>
      <c r="E24" s="10">
        <v>0.0</v>
      </c>
    </row>
    <row r="25" ht="22.5" customHeight="1">
      <c r="A25" s="13" t="s">
        <v>240</v>
      </c>
      <c r="B25" s="13">
        <v>3.0</v>
      </c>
      <c r="C25" s="13">
        <v>12.0</v>
      </c>
      <c r="D25" s="10">
        <v>4.0</v>
      </c>
      <c r="E25" s="10">
        <v>0.0</v>
      </c>
    </row>
    <row r="26" ht="22.5" customHeight="1">
      <c r="A26" s="13" t="s">
        <v>251</v>
      </c>
      <c r="B26" s="13">
        <v>1.0</v>
      </c>
      <c r="C26" s="13">
        <v>4.0</v>
      </c>
      <c r="D26" s="10">
        <v>4.0</v>
      </c>
      <c r="E26" s="10">
        <v>0.0</v>
      </c>
    </row>
    <row r="27" ht="22.5" customHeight="1">
      <c r="A27" s="13" t="s">
        <v>265</v>
      </c>
      <c r="B27" s="13">
        <v>5.0</v>
      </c>
      <c r="C27" s="13">
        <v>18.0</v>
      </c>
      <c r="D27" s="10">
        <v>4.0</v>
      </c>
      <c r="E27" s="10">
        <v>0.0</v>
      </c>
    </row>
    <row r="28" ht="22.5" customHeight="1">
      <c r="A28" s="13" t="s">
        <v>80</v>
      </c>
      <c r="B28" s="13">
        <v>4.0</v>
      </c>
      <c r="C28" s="13">
        <v>15.0</v>
      </c>
      <c r="D28" s="10">
        <v>4.0</v>
      </c>
      <c r="E28" s="10">
        <v>0.0</v>
      </c>
    </row>
    <row r="29" ht="22.5" customHeight="1">
      <c r="A29" s="13" t="s">
        <v>296</v>
      </c>
      <c r="B29" s="13">
        <v>4.0</v>
      </c>
      <c r="C29" s="13">
        <v>16.0</v>
      </c>
      <c r="D29" s="10">
        <v>4.0</v>
      </c>
      <c r="E29" s="10">
        <v>0.0</v>
      </c>
    </row>
    <row r="30" ht="22.5" customHeight="1">
      <c r="A30" s="16" t="s">
        <v>138</v>
      </c>
      <c r="B30" s="13">
        <v>1.0</v>
      </c>
      <c r="C30" s="13">
        <v>4.0</v>
      </c>
      <c r="D30" s="10">
        <v>4.0</v>
      </c>
      <c r="E30" s="10">
        <v>1.0</v>
      </c>
    </row>
    <row r="31" ht="22.5" customHeight="1">
      <c r="A31" s="13" t="s">
        <v>305</v>
      </c>
      <c r="B31" s="13">
        <v>1.0</v>
      </c>
      <c r="C31" s="13">
        <v>3.0</v>
      </c>
      <c r="D31" s="10">
        <v>4.0</v>
      </c>
      <c r="E31" s="10">
        <v>0.0</v>
      </c>
    </row>
    <row r="32" ht="22.5" customHeight="1">
      <c r="A32" s="13" t="s">
        <v>133</v>
      </c>
      <c r="B32" s="13">
        <v>3.0</v>
      </c>
      <c r="C32" s="13">
        <v>11.0</v>
      </c>
      <c r="D32" s="10">
        <v>4.0</v>
      </c>
      <c r="E32" s="10">
        <v>0.0</v>
      </c>
    </row>
    <row r="33" ht="22.5" customHeight="1">
      <c r="A33" s="13" t="s">
        <v>340</v>
      </c>
      <c r="B33" s="13">
        <v>2.0</v>
      </c>
      <c r="C33" s="13">
        <v>8.0</v>
      </c>
      <c r="D33" s="10">
        <v>4.0</v>
      </c>
      <c r="E33" s="10">
        <v>0.0</v>
      </c>
    </row>
    <row r="34" ht="22.5" customHeight="1">
      <c r="A34" s="13" t="s">
        <v>122</v>
      </c>
      <c r="B34" s="13">
        <v>5.0</v>
      </c>
      <c r="C34" s="13">
        <v>19.0</v>
      </c>
      <c r="D34" s="10">
        <v>4.0</v>
      </c>
      <c r="E34" s="10">
        <v>1.0</v>
      </c>
    </row>
    <row r="35" ht="22.5" customHeight="1">
      <c r="A35" s="13" t="s">
        <v>8</v>
      </c>
      <c r="B35" s="13">
        <v>5.0</v>
      </c>
      <c r="C35" s="13">
        <v>20.0</v>
      </c>
      <c r="D35" s="10">
        <v>3.2</v>
      </c>
      <c r="E35" s="10">
        <v>0.2</v>
      </c>
    </row>
    <row r="36" ht="22.5" customHeight="1">
      <c r="A36" s="13" t="s">
        <v>173</v>
      </c>
      <c r="B36" s="13">
        <v>5.0</v>
      </c>
      <c r="C36" s="13">
        <v>19.0</v>
      </c>
      <c r="D36" s="10">
        <v>3.2</v>
      </c>
      <c r="E36" s="10">
        <v>0.6</v>
      </c>
    </row>
    <row r="37" ht="22.5" customHeight="1">
      <c r="A37" s="13" t="s">
        <v>106</v>
      </c>
      <c r="B37" s="13">
        <v>5.0</v>
      </c>
      <c r="C37" s="13">
        <v>20.0</v>
      </c>
      <c r="D37" s="10">
        <v>3.2</v>
      </c>
      <c r="E37" s="10">
        <v>0.0</v>
      </c>
    </row>
    <row r="38" ht="22.5" customHeight="1">
      <c r="A38" s="13" t="s">
        <v>269</v>
      </c>
      <c r="B38" s="13">
        <v>5.0</v>
      </c>
      <c r="C38" s="13">
        <v>20.0</v>
      </c>
      <c r="D38" s="10">
        <v>3.2</v>
      </c>
      <c r="E38" s="10">
        <v>0.0</v>
      </c>
    </row>
    <row r="39" ht="22.5" customHeight="1">
      <c r="A39" s="13" t="s">
        <v>215</v>
      </c>
      <c r="B39" s="13">
        <v>5.0</v>
      </c>
      <c r="C39" s="13">
        <v>19.0</v>
      </c>
      <c r="D39" s="10">
        <v>3.2</v>
      </c>
      <c r="E39" s="10">
        <v>0.4</v>
      </c>
    </row>
    <row r="40" ht="22.5" customHeight="1">
      <c r="A40" s="13" t="s">
        <v>311</v>
      </c>
      <c r="B40" s="13">
        <v>5.0</v>
      </c>
      <c r="C40" s="13">
        <v>19.0</v>
      </c>
      <c r="D40" s="10">
        <v>3.2</v>
      </c>
      <c r="E40" s="10">
        <v>0.4</v>
      </c>
    </row>
    <row r="41" ht="22.5" customHeight="1">
      <c r="A41" s="13" t="s">
        <v>125</v>
      </c>
      <c r="B41" s="13">
        <v>4.0</v>
      </c>
      <c r="C41" s="13">
        <v>16.0</v>
      </c>
      <c r="D41" s="10">
        <v>3.0</v>
      </c>
      <c r="E41" s="10">
        <v>1.0</v>
      </c>
    </row>
    <row r="42" ht="22.5" customHeight="1">
      <c r="A42" s="13" t="s">
        <v>291</v>
      </c>
      <c r="B42" s="13">
        <v>4.0</v>
      </c>
      <c r="C42" s="13">
        <v>15.0</v>
      </c>
      <c r="D42" s="10">
        <v>3.0</v>
      </c>
      <c r="E42" s="10">
        <v>0.0</v>
      </c>
    </row>
    <row r="43" ht="22.5" customHeight="1">
      <c r="A43" s="13" t="s">
        <v>322</v>
      </c>
      <c r="B43" s="13">
        <v>4.0</v>
      </c>
      <c r="C43" s="13">
        <v>15.0</v>
      </c>
      <c r="D43" s="10">
        <v>3.0</v>
      </c>
      <c r="E43" s="10">
        <v>0.0</v>
      </c>
    </row>
    <row r="44" ht="22.5" customHeight="1">
      <c r="A44" s="13" t="s">
        <v>308</v>
      </c>
      <c r="B44" s="13">
        <v>3.0</v>
      </c>
      <c r="C44" s="13">
        <v>10.0</v>
      </c>
      <c r="D44" s="10">
        <v>2.6666666666666665</v>
      </c>
      <c r="E44" s="10">
        <v>0.6666666666666666</v>
      </c>
    </row>
    <row r="45" ht="22.5" customHeight="1">
      <c r="A45" s="13" t="s">
        <v>218</v>
      </c>
      <c r="B45" s="13">
        <v>3.0</v>
      </c>
      <c r="C45" s="13">
        <v>11.0</v>
      </c>
      <c r="D45" s="10">
        <v>2.6666666666666665</v>
      </c>
      <c r="E45" s="10">
        <v>0.3333333333333333</v>
      </c>
    </row>
    <row r="46" ht="22.5" customHeight="1">
      <c r="A46" s="13" t="s">
        <v>96</v>
      </c>
      <c r="B46" s="13">
        <v>5.0</v>
      </c>
      <c r="C46" s="13">
        <v>19.0</v>
      </c>
      <c r="D46" s="10">
        <v>2.4</v>
      </c>
      <c r="E46" s="10">
        <v>0.4</v>
      </c>
    </row>
    <row r="47" ht="22.5" customHeight="1">
      <c r="A47" s="13" t="s">
        <v>90</v>
      </c>
      <c r="B47" s="13">
        <v>5.0</v>
      </c>
      <c r="C47" s="13">
        <v>19.0</v>
      </c>
      <c r="D47" s="10">
        <v>2.4</v>
      </c>
      <c r="E47" s="10">
        <v>0.0</v>
      </c>
    </row>
    <row r="48" ht="22.5" customHeight="1">
      <c r="A48" s="13" t="s">
        <v>145</v>
      </c>
      <c r="B48" s="13">
        <v>5.0</v>
      </c>
      <c r="C48" s="13">
        <v>19.0</v>
      </c>
      <c r="D48" s="10">
        <v>2.4</v>
      </c>
      <c r="E48" s="10">
        <v>0.4</v>
      </c>
    </row>
    <row r="49" ht="22.5" customHeight="1">
      <c r="A49" s="13" t="s">
        <v>204</v>
      </c>
      <c r="B49" s="13">
        <v>5.0</v>
      </c>
      <c r="C49" s="13">
        <v>20.0</v>
      </c>
      <c r="D49" s="10">
        <v>2.4</v>
      </c>
      <c r="E49" s="10">
        <v>0.2</v>
      </c>
    </row>
    <row r="50" ht="22.5" customHeight="1">
      <c r="A50" s="13" t="s">
        <v>248</v>
      </c>
      <c r="B50" s="13">
        <v>5.0</v>
      </c>
      <c r="C50" s="13">
        <v>20.0</v>
      </c>
      <c r="D50" s="10">
        <v>2.4</v>
      </c>
      <c r="E50" s="10">
        <v>0.0</v>
      </c>
    </row>
    <row r="51" ht="22.5" customHeight="1">
      <c r="A51" s="13" t="s">
        <v>272</v>
      </c>
      <c r="B51" s="13">
        <v>5.0</v>
      </c>
      <c r="C51" s="13">
        <v>20.0</v>
      </c>
      <c r="D51" s="10">
        <v>2.4</v>
      </c>
      <c r="E51" s="10">
        <v>0.0</v>
      </c>
    </row>
    <row r="52" ht="22.5" customHeight="1">
      <c r="A52" s="13" t="s">
        <v>254</v>
      </c>
      <c r="B52" s="13">
        <v>5.0</v>
      </c>
      <c r="C52" s="13">
        <v>19.0</v>
      </c>
      <c r="D52" s="10">
        <v>2.4</v>
      </c>
      <c r="E52" s="10">
        <v>0.0</v>
      </c>
    </row>
    <row r="53" ht="22.5" customHeight="1">
      <c r="A53" s="13" t="s">
        <v>260</v>
      </c>
      <c r="B53" s="13">
        <v>5.0</v>
      </c>
      <c r="C53" s="13">
        <v>19.0</v>
      </c>
      <c r="D53" s="10">
        <v>2.4</v>
      </c>
      <c r="E53" s="10">
        <v>0.0</v>
      </c>
    </row>
    <row r="54" ht="22.5" customHeight="1">
      <c r="A54" s="13" t="s">
        <v>55</v>
      </c>
      <c r="B54" s="13">
        <v>2.0</v>
      </c>
      <c r="C54" s="13">
        <v>7.0</v>
      </c>
      <c r="D54" s="10">
        <v>2.0</v>
      </c>
      <c r="E54" s="10">
        <v>0.0</v>
      </c>
    </row>
    <row r="55" ht="22.5" customHeight="1">
      <c r="A55" s="13" t="s">
        <v>198</v>
      </c>
      <c r="B55" s="13">
        <v>2.0</v>
      </c>
      <c r="C55" s="13">
        <v>8.0</v>
      </c>
      <c r="D55" s="10">
        <v>2.0</v>
      </c>
      <c r="E55" s="10">
        <v>0.0</v>
      </c>
    </row>
    <row r="56" ht="22.5" customHeight="1">
      <c r="A56" s="13" t="s">
        <v>191</v>
      </c>
      <c r="B56" s="13">
        <v>4.0</v>
      </c>
      <c r="C56" s="13">
        <v>14.0</v>
      </c>
      <c r="D56" s="10">
        <v>2.0</v>
      </c>
      <c r="E56" s="10">
        <v>0.0</v>
      </c>
    </row>
    <row r="57" ht="22.5" customHeight="1">
      <c r="A57" s="13" t="s">
        <v>138</v>
      </c>
      <c r="B57" s="13">
        <v>4.0</v>
      </c>
      <c r="C57" s="13">
        <v>15.0</v>
      </c>
      <c r="D57" s="10">
        <v>2.0</v>
      </c>
      <c r="E57" s="10">
        <v>0.25</v>
      </c>
    </row>
    <row r="58" ht="22.5" customHeight="1">
      <c r="A58" s="13" t="s">
        <v>141</v>
      </c>
      <c r="B58" s="13">
        <v>4.0</v>
      </c>
      <c r="C58" s="13">
        <v>12.0</v>
      </c>
      <c r="D58" s="10">
        <v>2.0</v>
      </c>
      <c r="E58" s="10">
        <v>0.0</v>
      </c>
    </row>
    <row r="59" ht="22.5" customHeight="1">
      <c r="A59" s="13" t="s">
        <v>313</v>
      </c>
      <c r="B59" s="13">
        <v>2.0</v>
      </c>
      <c r="C59" s="13">
        <v>7.0</v>
      </c>
      <c r="D59" s="10">
        <v>2.0</v>
      </c>
      <c r="E59" s="10">
        <v>0.0</v>
      </c>
    </row>
    <row r="60" ht="22.5" customHeight="1">
      <c r="A60" s="13" t="s">
        <v>332</v>
      </c>
      <c r="B60" s="13">
        <v>2.0</v>
      </c>
      <c r="C60" s="13">
        <v>8.0</v>
      </c>
      <c r="D60" s="10">
        <v>2.0</v>
      </c>
      <c r="E60" s="10">
        <v>0.0</v>
      </c>
    </row>
    <row r="61" ht="22.5" customHeight="1">
      <c r="A61" s="13" t="s">
        <v>5</v>
      </c>
      <c r="B61" s="13">
        <v>5.0</v>
      </c>
      <c r="C61" s="13">
        <v>20.0</v>
      </c>
      <c r="D61" s="10">
        <v>1.6</v>
      </c>
      <c r="E61" s="10">
        <v>0.2</v>
      </c>
    </row>
    <row r="62" ht="22.5" customHeight="1">
      <c r="A62" s="13" t="s">
        <v>29</v>
      </c>
      <c r="B62" s="13">
        <v>5.0</v>
      </c>
      <c r="C62" s="13">
        <v>20.0</v>
      </c>
      <c r="D62" s="10">
        <v>1.6</v>
      </c>
      <c r="E62" s="10">
        <v>0.4</v>
      </c>
    </row>
    <row r="63" ht="22.5" customHeight="1">
      <c r="A63" s="13" t="s">
        <v>46</v>
      </c>
      <c r="B63" s="13">
        <v>5.0</v>
      </c>
      <c r="C63" s="13">
        <v>20.0</v>
      </c>
      <c r="D63" s="10">
        <v>1.6</v>
      </c>
      <c r="E63" s="10">
        <v>0.0</v>
      </c>
    </row>
    <row r="64" ht="22.5" customHeight="1">
      <c r="A64" s="13" t="s">
        <v>61</v>
      </c>
      <c r="B64" s="13">
        <v>5.0</v>
      </c>
      <c r="C64" s="13">
        <v>19.0</v>
      </c>
      <c r="D64" s="10">
        <v>1.6</v>
      </c>
      <c r="E64" s="10">
        <v>0.0</v>
      </c>
    </row>
    <row r="65" ht="22.5" customHeight="1">
      <c r="A65" s="13" t="s">
        <v>184</v>
      </c>
      <c r="B65" s="13">
        <v>5.0</v>
      </c>
      <c r="C65" s="13">
        <v>20.0</v>
      </c>
      <c r="D65" s="10">
        <v>1.6</v>
      </c>
      <c r="E65" s="10">
        <v>0.0</v>
      </c>
    </row>
    <row r="66" ht="22.5" customHeight="1">
      <c r="A66" s="13" t="s">
        <v>161</v>
      </c>
      <c r="B66" s="13">
        <v>5.0</v>
      </c>
      <c r="C66" s="13">
        <v>20.0</v>
      </c>
      <c r="D66" s="10">
        <v>1.6</v>
      </c>
      <c r="E66" s="10">
        <v>0.0</v>
      </c>
    </row>
    <row r="67" ht="22.5" customHeight="1">
      <c r="A67" s="13" t="s">
        <v>180</v>
      </c>
      <c r="B67" s="13">
        <v>5.0</v>
      </c>
      <c r="C67" s="13">
        <v>19.0</v>
      </c>
      <c r="D67" s="10">
        <v>1.6</v>
      </c>
      <c r="E67" s="10">
        <v>0.6</v>
      </c>
    </row>
    <row r="68" ht="22.5" customHeight="1">
      <c r="A68" s="13" t="s">
        <v>112</v>
      </c>
      <c r="B68" s="13">
        <v>5.0</v>
      </c>
      <c r="C68" s="13">
        <v>18.0</v>
      </c>
      <c r="D68" s="10">
        <v>1.6</v>
      </c>
      <c r="E68" s="10">
        <v>0.0</v>
      </c>
    </row>
    <row r="69" ht="22.5" customHeight="1">
      <c r="A69" s="13" t="s">
        <v>70</v>
      </c>
      <c r="B69" s="13">
        <v>5.0</v>
      </c>
      <c r="C69" s="13">
        <v>20.0</v>
      </c>
      <c r="D69" s="10">
        <v>1.6</v>
      </c>
      <c r="E69" s="10">
        <v>0.4</v>
      </c>
    </row>
    <row r="70" ht="22.5" customHeight="1">
      <c r="A70" s="13" t="s">
        <v>222</v>
      </c>
      <c r="B70" s="13">
        <v>5.0</v>
      </c>
      <c r="C70" s="13">
        <v>19.0</v>
      </c>
      <c r="D70" s="10">
        <v>1.6</v>
      </c>
      <c r="E70" s="10">
        <v>0.0</v>
      </c>
    </row>
    <row r="71" ht="22.5" customHeight="1">
      <c r="A71" s="13" t="s">
        <v>253</v>
      </c>
      <c r="B71" s="13">
        <v>5.0</v>
      </c>
      <c r="C71" s="13">
        <v>20.0</v>
      </c>
      <c r="D71" s="10">
        <v>1.6</v>
      </c>
      <c r="E71" s="10">
        <v>0.8</v>
      </c>
    </row>
    <row r="72" ht="22.5" customHeight="1">
      <c r="A72" s="13" t="s">
        <v>228</v>
      </c>
      <c r="B72" s="13">
        <v>5.0</v>
      </c>
      <c r="C72" s="13">
        <v>19.0</v>
      </c>
      <c r="D72" s="10">
        <v>1.6</v>
      </c>
      <c r="E72" s="10">
        <v>0.0</v>
      </c>
    </row>
    <row r="73" ht="22.5" customHeight="1">
      <c r="A73" s="13" t="s">
        <v>98</v>
      </c>
      <c r="B73" s="13">
        <v>5.0</v>
      </c>
      <c r="C73" s="13">
        <v>19.0</v>
      </c>
      <c r="D73" s="10">
        <v>1.6</v>
      </c>
      <c r="E73" s="10">
        <v>0.4</v>
      </c>
    </row>
    <row r="74" ht="22.5" customHeight="1">
      <c r="A74" s="13" t="s">
        <v>271</v>
      </c>
      <c r="B74" s="13">
        <v>5.0</v>
      </c>
      <c r="C74" s="13">
        <v>20.0</v>
      </c>
      <c r="D74" s="10">
        <v>1.6</v>
      </c>
      <c r="E74" s="10">
        <v>0.0</v>
      </c>
    </row>
    <row r="75" ht="22.5" customHeight="1">
      <c r="A75" s="13" t="s">
        <v>230</v>
      </c>
      <c r="B75" s="13">
        <v>5.0</v>
      </c>
      <c r="C75" s="13">
        <v>19.0</v>
      </c>
      <c r="D75" s="10">
        <v>1.6</v>
      </c>
      <c r="E75" s="10">
        <v>0.0</v>
      </c>
    </row>
    <row r="76" ht="22.5" customHeight="1">
      <c r="A76" s="13" t="s">
        <v>330</v>
      </c>
      <c r="B76" s="13">
        <v>5.0</v>
      </c>
      <c r="C76" s="13">
        <v>20.0</v>
      </c>
      <c r="D76" s="10">
        <v>1.6</v>
      </c>
      <c r="E76" s="10">
        <v>0.2</v>
      </c>
    </row>
    <row r="77" ht="22.5" customHeight="1">
      <c r="A77" s="13" t="s">
        <v>168</v>
      </c>
      <c r="B77" s="13">
        <v>5.0</v>
      </c>
      <c r="C77" s="13">
        <v>18.0</v>
      </c>
      <c r="D77" s="10">
        <v>1.6</v>
      </c>
      <c r="E77" s="10">
        <v>0.2</v>
      </c>
    </row>
    <row r="78" ht="22.5" customHeight="1">
      <c r="A78" s="13" t="s">
        <v>113</v>
      </c>
      <c r="B78" s="13">
        <v>5.0</v>
      </c>
      <c r="C78" s="13">
        <v>18.0</v>
      </c>
      <c r="D78" s="10">
        <v>1.6</v>
      </c>
      <c r="E78" s="10">
        <v>0.0</v>
      </c>
    </row>
    <row r="79" ht="22.5" customHeight="1">
      <c r="A79" s="13" t="s">
        <v>345</v>
      </c>
      <c r="B79" s="13">
        <v>5.0</v>
      </c>
      <c r="C79" s="13">
        <v>16.0</v>
      </c>
      <c r="D79" s="10">
        <v>1.6</v>
      </c>
      <c r="E79" s="10">
        <v>0.6</v>
      </c>
    </row>
    <row r="80" ht="22.5" customHeight="1">
      <c r="A80" s="13" t="s">
        <v>344</v>
      </c>
      <c r="B80" s="13">
        <v>5.0</v>
      </c>
      <c r="C80" s="13">
        <v>19.0</v>
      </c>
      <c r="D80" s="10">
        <v>1.6</v>
      </c>
      <c r="E80" s="10">
        <v>0.0</v>
      </c>
    </row>
    <row r="81" ht="22.5" customHeight="1">
      <c r="A81" s="13" t="s">
        <v>12</v>
      </c>
      <c r="B81" s="13">
        <v>3.0</v>
      </c>
      <c r="C81" s="13">
        <v>12.0</v>
      </c>
      <c r="D81" s="10">
        <v>1.3333333333333333</v>
      </c>
      <c r="E81" s="10">
        <v>0.0</v>
      </c>
    </row>
    <row r="82" ht="22.5" customHeight="1">
      <c r="A82" s="13" t="s">
        <v>192</v>
      </c>
      <c r="B82" s="13">
        <v>3.0</v>
      </c>
      <c r="C82" s="13">
        <v>10.0</v>
      </c>
      <c r="D82" s="10">
        <v>1.3333333333333333</v>
      </c>
      <c r="E82" s="10">
        <v>0.0</v>
      </c>
    </row>
    <row r="83" ht="22.5" customHeight="1">
      <c r="A83" s="13" t="s">
        <v>250</v>
      </c>
      <c r="B83" s="13">
        <v>3.0</v>
      </c>
      <c r="C83" s="13">
        <v>12.0</v>
      </c>
      <c r="D83" s="10">
        <v>1.3333333333333333</v>
      </c>
      <c r="E83" s="10">
        <v>0.3333333333333333</v>
      </c>
    </row>
    <row r="84" ht="22.5" customHeight="1">
      <c r="A84" s="13" t="s">
        <v>263</v>
      </c>
      <c r="B84" s="13">
        <v>3.0</v>
      </c>
      <c r="C84" s="13">
        <v>10.0</v>
      </c>
      <c r="D84" s="10">
        <v>1.3333333333333333</v>
      </c>
      <c r="E84" s="10">
        <v>0.0</v>
      </c>
    </row>
    <row r="85" ht="22.5" customHeight="1">
      <c r="A85" s="13" t="s">
        <v>298</v>
      </c>
      <c r="B85" s="13">
        <v>3.0</v>
      </c>
      <c r="C85" s="13">
        <v>12.0</v>
      </c>
      <c r="D85" s="10">
        <v>1.3333333333333333</v>
      </c>
      <c r="E85" s="10">
        <v>0.0</v>
      </c>
    </row>
    <row r="86" ht="22.5" customHeight="1">
      <c r="A86" s="13" t="s">
        <v>335</v>
      </c>
      <c r="B86" s="13">
        <v>3.0</v>
      </c>
      <c r="C86" s="13">
        <v>11.0</v>
      </c>
      <c r="D86" s="10">
        <v>1.3333333333333333</v>
      </c>
      <c r="E86" s="10">
        <v>0.3333333333333333</v>
      </c>
    </row>
    <row r="87" ht="22.5" customHeight="1">
      <c r="A87" s="13" t="s">
        <v>83</v>
      </c>
      <c r="B87" s="13">
        <v>3.0</v>
      </c>
      <c r="C87" s="13">
        <v>12.0</v>
      </c>
      <c r="D87" s="10">
        <v>1.3333333333333333</v>
      </c>
      <c r="E87" s="10">
        <v>0.3333333333333333</v>
      </c>
    </row>
    <row r="88" ht="22.5" customHeight="1">
      <c r="A88" s="13" t="s">
        <v>119</v>
      </c>
      <c r="B88" s="13">
        <v>3.0</v>
      </c>
      <c r="C88" s="13">
        <v>11.0</v>
      </c>
      <c r="D88" s="10">
        <v>1.3333333333333333</v>
      </c>
      <c r="E88" s="10">
        <v>0.0</v>
      </c>
    </row>
    <row r="89" ht="22.5" customHeight="1">
      <c r="A89" s="13" t="s">
        <v>11</v>
      </c>
      <c r="B89" s="13">
        <v>4.0</v>
      </c>
      <c r="C89" s="13">
        <v>16.0</v>
      </c>
      <c r="D89" s="10">
        <v>1.0</v>
      </c>
      <c r="E89" s="10">
        <v>0.5</v>
      </c>
    </row>
    <row r="90" ht="22.5" customHeight="1">
      <c r="A90" s="13" t="s">
        <v>77</v>
      </c>
      <c r="B90" s="13">
        <v>4.0</v>
      </c>
      <c r="C90" s="13">
        <v>13.0</v>
      </c>
      <c r="D90" s="10">
        <v>1.0</v>
      </c>
      <c r="E90" s="10">
        <v>1.0</v>
      </c>
    </row>
    <row r="91" ht="22.5" customHeight="1">
      <c r="A91" s="13" t="s">
        <v>226</v>
      </c>
      <c r="B91" s="13">
        <v>4.0</v>
      </c>
      <c r="C91" s="13">
        <v>15.0</v>
      </c>
      <c r="D91" s="10">
        <v>1.0</v>
      </c>
      <c r="E91" s="10">
        <v>0.0</v>
      </c>
    </row>
    <row r="92" ht="22.5" customHeight="1">
      <c r="A92" s="13" t="s">
        <v>235</v>
      </c>
      <c r="B92" s="13">
        <v>4.0</v>
      </c>
      <c r="C92" s="13">
        <v>15.0</v>
      </c>
      <c r="D92" s="10">
        <v>1.0</v>
      </c>
      <c r="E92" s="10">
        <v>0.0</v>
      </c>
    </row>
    <row r="93" ht="22.5" customHeight="1">
      <c r="A93" s="13" t="s">
        <v>259</v>
      </c>
      <c r="B93" s="13">
        <v>4.0</v>
      </c>
      <c r="C93" s="13">
        <v>14.0</v>
      </c>
      <c r="D93" s="10">
        <v>1.0</v>
      </c>
      <c r="E93" s="10">
        <v>0.0</v>
      </c>
    </row>
    <row r="94" ht="22.5" customHeight="1">
      <c r="A94" s="13" t="s">
        <v>175</v>
      </c>
      <c r="B94" s="13">
        <v>4.0</v>
      </c>
      <c r="C94" s="13">
        <v>16.0</v>
      </c>
      <c r="D94" s="10">
        <v>1.0</v>
      </c>
      <c r="E94" s="10">
        <v>0.0</v>
      </c>
    </row>
    <row r="95" ht="22.5" customHeight="1">
      <c r="A95" s="13" t="s">
        <v>306</v>
      </c>
      <c r="B95" s="13">
        <v>4.0</v>
      </c>
      <c r="C95" s="13">
        <v>12.0</v>
      </c>
      <c r="D95" s="10">
        <v>1.0</v>
      </c>
      <c r="E95" s="10">
        <v>0.0</v>
      </c>
    </row>
    <row r="96" ht="22.5" customHeight="1">
      <c r="A96" s="13" t="s">
        <v>13</v>
      </c>
      <c r="B96" s="13">
        <v>5.0</v>
      </c>
      <c r="C96" s="13">
        <v>20.0</v>
      </c>
      <c r="D96" s="10">
        <v>0.8</v>
      </c>
      <c r="E96" s="10">
        <v>0.0</v>
      </c>
    </row>
    <row r="97" ht="22.5" customHeight="1">
      <c r="A97" s="13" t="s">
        <v>40</v>
      </c>
      <c r="B97" s="13">
        <v>5.0</v>
      </c>
      <c r="C97" s="13">
        <v>20.0</v>
      </c>
      <c r="D97" s="10">
        <v>0.8</v>
      </c>
      <c r="E97" s="10">
        <v>0.0</v>
      </c>
    </row>
    <row r="98" ht="22.5" customHeight="1">
      <c r="A98" s="13" t="s">
        <v>111</v>
      </c>
      <c r="B98" s="13">
        <v>5.0</v>
      </c>
      <c r="C98" s="13">
        <v>19.0</v>
      </c>
      <c r="D98" s="10">
        <v>0.8</v>
      </c>
      <c r="E98" s="10">
        <v>0.0</v>
      </c>
    </row>
    <row r="99" ht="22.5" customHeight="1">
      <c r="A99" s="13" t="s">
        <v>115</v>
      </c>
      <c r="B99" s="13">
        <v>5.0</v>
      </c>
      <c r="C99" s="13">
        <v>19.0</v>
      </c>
      <c r="D99" s="10">
        <v>0.8</v>
      </c>
      <c r="E99" s="10">
        <v>0.0</v>
      </c>
    </row>
    <row r="100" ht="22.5" customHeight="1">
      <c r="A100" s="13" t="s">
        <v>127</v>
      </c>
      <c r="B100" s="13">
        <v>5.0</v>
      </c>
      <c r="C100" s="13">
        <v>20.0</v>
      </c>
      <c r="D100" s="10">
        <v>0.8</v>
      </c>
      <c r="E100" s="10">
        <v>0.0</v>
      </c>
    </row>
    <row r="101" ht="22.5" customHeight="1">
      <c r="A101" s="13" t="s">
        <v>74</v>
      </c>
      <c r="B101" s="13">
        <v>5.0</v>
      </c>
      <c r="C101" s="13">
        <v>19.0</v>
      </c>
      <c r="D101" s="10">
        <v>0.8</v>
      </c>
      <c r="E101" s="10">
        <v>0.0</v>
      </c>
    </row>
    <row r="102" ht="22.5" customHeight="1">
      <c r="A102" s="13" t="s">
        <v>197</v>
      </c>
      <c r="B102" s="13">
        <v>5.0</v>
      </c>
      <c r="C102" s="13">
        <v>19.0</v>
      </c>
      <c r="D102" s="10">
        <v>0.8</v>
      </c>
      <c r="E102" s="10">
        <v>0.0</v>
      </c>
    </row>
    <row r="103" ht="22.5" customHeight="1">
      <c r="A103" s="13" t="s">
        <v>190</v>
      </c>
      <c r="B103" s="13">
        <v>5.0</v>
      </c>
      <c r="C103" s="13">
        <v>19.0</v>
      </c>
      <c r="D103" s="10">
        <v>0.8</v>
      </c>
      <c r="E103" s="10">
        <v>0.0</v>
      </c>
    </row>
    <row r="104" ht="22.5" customHeight="1">
      <c r="A104" s="13" t="s">
        <v>213</v>
      </c>
      <c r="B104" s="13">
        <v>5.0</v>
      </c>
      <c r="C104" s="13">
        <v>17.0</v>
      </c>
      <c r="D104" s="10">
        <v>0.8</v>
      </c>
      <c r="E104" s="10">
        <v>0.0</v>
      </c>
    </row>
    <row r="105" ht="22.5" customHeight="1">
      <c r="A105" s="13" t="s">
        <v>227</v>
      </c>
      <c r="B105" s="13">
        <v>5.0</v>
      </c>
      <c r="C105" s="13">
        <v>19.0</v>
      </c>
      <c r="D105" s="10">
        <v>0.8</v>
      </c>
      <c r="E105" s="10">
        <v>0.0</v>
      </c>
    </row>
    <row r="106" ht="22.5" customHeight="1">
      <c r="A106" s="13" t="s">
        <v>149</v>
      </c>
      <c r="B106" s="13">
        <v>5.0</v>
      </c>
      <c r="C106" s="13">
        <v>19.0</v>
      </c>
      <c r="D106" s="10">
        <v>0.8</v>
      </c>
      <c r="E106" s="10">
        <v>0.0</v>
      </c>
    </row>
    <row r="107" ht="22.5" customHeight="1">
      <c r="A107" s="13" t="s">
        <v>255</v>
      </c>
      <c r="B107" s="13">
        <v>5.0</v>
      </c>
      <c r="C107" s="13">
        <v>20.0</v>
      </c>
      <c r="D107" s="10">
        <v>0.8</v>
      </c>
      <c r="E107" s="10">
        <v>0.0</v>
      </c>
    </row>
    <row r="108" ht="22.5" customHeight="1">
      <c r="A108" s="13" t="s">
        <v>164</v>
      </c>
      <c r="B108" s="13">
        <v>5.0</v>
      </c>
      <c r="C108" s="13">
        <v>20.0</v>
      </c>
      <c r="D108" s="10">
        <v>0.8</v>
      </c>
      <c r="E108" s="10">
        <v>0.0</v>
      </c>
    </row>
    <row r="109" ht="22.5" customHeight="1">
      <c r="A109" s="13" t="s">
        <v>262</v>
      </c>
      <c r="B109" s="13">
        <v>5.0</v>
      </c>
      <c r="C109" s="13">
        <v>17.0</v>
      </c>
      <c r="D109" s="10">
        <v>0.8</v>
      </c>
      <c r="E109" s="10">
        <v>0.0</v>
      </c>
    </row>
    <row r="110" ht="22.5" customHeight="1">
      <c r="A110" s="13" t="s">
        <v>273</v>
      </c>
      <c r="B110" s="13">
        <v>5.0</v>
      </c>
      <c r="C110" s="13">
        <v>19.0</v>
      </c>
      <c r="D110" s="10">
        <v>0.8</v>
      </c>
      <c r="E110" s="10">
        <v>0.0</v>
      </c>
    </row>
    <row r="111" ht="22.5" customHeight="1">
      <c r="A111" s="13" t="s">
        <v>281</v>
      </c>
      <c r="B111" s="13">
        <v>5.0</v>
      </c>
      <c r="C111" s="13">
        <v>19.0</v>
      </c>
      <c r="D111" s="10">
        <v>0.8</v>
      </c>
      <c r="E111" s="10">
        <v>0.0</v>
      </c>
    </row>
    <row r="112" ht="22.5" customHeight="1">
      <c r="A112" s="13" t="s">
        <v>274</v>
      </c>
      <c r="B112" s="13">
        <v>5.0</v>
      </c>
      <c r="C112" s="13">
        <v>19.0</v>
      </c>
      <c r="D112" s="10">
        <v>0.8</v>
      </c>
      <c r="E112" s="10">
        <v>0.0</v>
      </c>
    </row>
    <row r="113" ht="22.5" customHeight="1">
      <c r="A113" s="13" t="s">
        <v>129</v>
      </c>
      <c r="B113" s="13">
        <v>5.0</v>
      </c>
      <c r="C113" s="13">
        <v>18.0</v>
      </c>
      <c r="D113" s="10">
        <v>0.8</v>
      </c>
      <c r="E113" s="10">
        <v>0.0</v>
      </c>
    </row>
    <row r="114" ht="22.5" customHeight="1">
      <c r="A114" s="13" t="s">
        <v>337</v>
      </c>
      <c r="B114" s="13">
        <v>5.0</v>
      </c>
      <c r="C114" s="13">
        <v>18.0</v>
      </c>
      <c r="D114" s="10">
        <v>0.8</v>
      </c>
      <c r="E114" s="10">
        <v>0.2</v>
      </c>
    </row>
    <row r="115" ht="22.5" customHeight="1">
      <c r="A115" s="13" t="s">
        <v>216</v>
      </c>
      <c r="B115" s="13">
        <v>5.0</v>
      </c>
      <c r="C115" s="13">
        <v>17.0</v>
      </c>
      <c r="D115" s="10">
        <v>0.8</v>
      </c>
      <c r="E115" s="10">
        <v>0.0</v>
      </c>
    </row>
    <row r="116" ht="22.5" customHeight="1">
      <c r="A116" s="13" t="s">
        <v>188</v>
      </c>
      <c r="B116" s="13">
        <v>5.0</v>
      </c>
      <c r="C116" s="13">
        <v>16.0</v>
      </c>
      <c r="D116" s="10">
        <v>0.8</v>
      </c>
      <c r="E116" s="10">
        <v>0.0</v>
      </c>
    </row>
    <row r="117" ht="22.5" customHeight="1">
      <c r="A117" s="13" t="s">
        <v>0</v>
      </c>
      <c r="B117" s="13">
        <v>1.0</v>
      </c>
      <c r="C117" s="13">
        <v>4.0</v>
      </c>
      <c r="D117" s="10">
        <v>0.0</v>
      </c>
      <c r="E117" s="10">
        <v>0.0</v>
      </c>
    </row>
    <row r="118" ht="22.5" customHeight="1">
      <c r="A118" s="13" t="s">
        <v>2</v>
      </c>
      <c r="B118" s="13">
        <v>5.0</v>
      </c>
      <c r="C118" s="13">
        <v>20.0</v>
      </c>
      <c r="D118" s="10">
        <v>0.0</v>
      </c>
      <c r="E118" s="10">
        <v>0.0</v>
      </c>
    </row>
    <row r="119" ht="22.5" customHeight="1">
      <c r="A119" s="13" t="s">
        <v>15</v>
      </c>
      <c r="B119" s="13">
        <v>5.0</v>
      </c>
      <c r="C119" s="13">
        <v>20.0</v>
      </c>
      <c r="D119" s="10">
        <v>0.0</v>
      </c>
      <c r="E119" s="10">
        <v>0.0</v>
      </c>
    </row>
    <row r="120" ht="22.5" customHeight="1">
      <c r="A120" s="13" t="s">
        <v>24</v>
      </c>
      <c r="B120" s="13">
        <v>2.0</v>
      </c>
      <c r="C120" s="13">
        <v>8.0</v>
      </c>
      <c r="D120" s="10">
        <v>0.0</v>
      </c>
      <c r="E120" s="10">
        <v>0.0</v>
      </c>
    </row>
    <row r="121" ht="22.5" customHeight="1">
      <c r="A121" s="13" t="s">
        <v>38</v>
      </c>
      <c r="B121" s="13">
        <v>3.0</v>
      </c>
      <c r="C121" s="13">
        <v>12.0</v>
      </c>
      <c r="D121" s="10">
        <v>0.0</v>
      </c>
      <c r="E121" s="10">
        <v>0.0</v>
      </c>
    </row>
    <row r="122" ht="22.5" customHeight="1">
      <c r="A122" s="13" t="s">
        <v>54</v>
      </c>
      <c r="B122" s="13">
        <v>5.0</v>
      </c>
      <c r="C122" s="13">
        <v>19.0</v>
      </c>
      <c r="D122" s="10">
        <v>0.0</v>
      </c>
      <c r="E122" s="10">
        <v>0.0</v>
      </c>
    </row>
    <row r="123" ht="22.5" customHeight="1">
      <c r="A123" s="13" t="s">
        <v>59</v>
      </c>
      <c r="B123" s="13">
        <v>5.0</v>
      </c>
      <c r="C123" s="13">
        <v>19.0</v>
      </c>
      <c r="D123" s="10">
        <v>0.0</v>
      </c>
      <c r="E123" s="10">
        <v>0.0</v>
      </c>
    </row>
    <row r="124" ht="22.5" customHeight="1">
      <c r="A124" s="13" t="s">
        <v>65</v>
      </c>
      <c r="B124" s="13">
        <v>2.0</v>
      </c>
      <c r="C124" s="13">
        <v>6.0</v>
      </c>
      <c r="D124" s="10">
        <v>0.0</v>
      </c>
      <c r="E124" s="10">
        <v>0.0</v>
      </c>
    </row>
    <row r="125" ht="22.5" customHeight="1">
      <c r="A125" s="13" t="s">
        <v>68</v>
      </c>
      <c r="B125" s="13">
        <v>5.0</v>
      </c>
      <c r="C125" s="13">
        <v>18.0</v>
      </c>
      <c r="D125" s="10">
        <v>0.0</v>
      </c>
      <c r="E125" s="10">
        <v>0.0</v>
      </c>
    </row>
    <row r="126" ht="22.5" customHeight="1">
      <c r="A126" s="13" t="s">
        <v>71</v>
      </c>
      <c r="B126" s="13">
        <v>5.0</v>
      </c>
      <c r="C126" s="13">
        <v>18.0</v>
      </c>
      <c r="D126" s="10">
        <v>0.0</v>
      </c>
      <c r="E126" s="10">
        <v>0.0</v>
      </c>
    </row>
    <row r="127" ht="22.5" customHeight="1">
      <c r="A127" s="13" t="s">
        <v>73</v>
      </c>
      <c r="B127" s="13">
        <v>3.0</v>
      </c>
      <c r="C127" s="13">
        <v>12.0</v>
      </c>
      <c r="D127" s="10">
        <v>0.0</v>
      </c>
      <c r="E127" s="10">
        <v>0.3333333333333333</v>
      </c>
    </row>
    <row r="128" ht="22.5" customHeight="1">
      <c r="A128" s="13" t="s">
        <v>79</v>
      </c>
      <c r="B128" s="13">
        <v>5.0</v>
      </c>
      <c r="C128" s="13">
        <v>18.0</v>
      </c>
      <c r="D128" s="10">
        <v>0.0</v>
      </c>
      <c r="E128" s="10">
        <v>0.0</v>
      </c>
    </row>
    <row r="129" ht="22.5" customHeight="1">
      <c r="A129" s="13" t="s">
        <v>85</v>
      </c>
      <c r="B129" s="13">
        <v>1.0</v>
      </c>
      <c r="C129" s="13">
        <v>4.0</v>
      </c>
      <c r="D129" s="10">
        <v>0.0</v>
      </c>
      <c r="E129" s="10">
        <v>0.0</v>
      </c>
    </row>
    <row r="130" ht="22.5" customHeight="1">
      <c r="A130" s="13" t="s">
        <v>88</v>
      </c>
      <c r="B130" s="13">
        <v>3.0</v>
      </c>
      <c r="C130" s="13">
        <v>10.0</v>
      </c>
      <c r="D130" s="10">
        <v>0.0</v>
      </c>
      <c r="E130" s="10">
        <v>0.0</v>
      </c>
    </row>
    <row r="131" ht="22.5" customHeight="1">
      <c r="A131" s="13" t="s">
        <v>92</v>
      </c>
      <c r="B131" s="13">
        <v>4.0</v>
      </c>
      <c r="C131" s="13">
        <v>15.0</v>
      </c>
      <c r="D131" s="10">
        <v>0.0</v>
      </c>
      <c r="E131" s="10">
        <v>0.0</v>
      </c>
    </row>
    <row r="132" ht="22.5" customHeight="1">
      <c r="A132" s="13" t="s">
        <v>100</v>
      </c>
      <c r="B132" s="13">
        <v>4.0</v>
      </c>
      <c r="C132" s="13">
        <v>15.0</v>
      </c>
      <c r="D132" s="10">
        <v>0.0</v>
      </c>
      <c r="E132" s="10">
        <v>0.0</v>
      </c>
    </row>
    <row r="133" ht="22.5" customHeight="1">
      <c r="A133" s="13" t="s">
        <v>102</v>
      </c>
      <c r="B133" s="13">
        <v>2.0</v>
      </c>
      <c r="C133" s="13">
        <v>8.0</v>
      </c>
      <c r="D133" s="10">
        <v>0.0</v>
      </c>
      <c r="E133" s="10">
        <v>0.5</v>
      </c>
    </row>
    <row r="134" ht="22.5" customHeight="1">
      <c r="A134" s="13" t="s">
        <v>108</v>
      </c>
      <c r="B134" s="13">
        <v>2.0</v>
      </c>
      <c r="C134" s="13">
        <v>8.0</v>
      </c>
      <c r="D134" s="10">
        <v>0.0</v>
      </c>
      <c r="E134" s="10">
        <v>0.0</v>
      </c>
    </row>
    <row r="135" ht="22.5" customHeight="1">
      <c r="A135" s="13" t="s">
        <v>109</v>
      </c>
      <c r="B135" s="13">
        <v>2.0</v>
      </c>
      <c r="C135" s="13">
        <v>8.0</v>
      </c>
      <c r="D135" s="10">
        <v>0.0</v>
      </c>
      <c r="E135" s="10">
        <v>0.0</v>
      </c>
    </row>
    <row r="136" ht="22.5" customHeight="1">
      <c r="A136" s="13" t="s">
        <v>110</v>
      </c>
      <c r="B136" s="13">
        <v>1.0</v>
      </c>
      <c r="C136" s="13">
        <v>4.0</v>
      </c>
      <c r="D136" s="10">
        <v>0.0</v>
      </c>
      <c r="E136" s="10">
        <v>0.0</v>
      </c>
    </row>
    <row r="137" ht="22.5" customHeight="1">
      <c r="A137" s="13" t="s">
        <v>117</v>
      </c>
      <c r="B137" s="13">
        <v>5.0</v>
      </c>
      <c r="C137" s="13">
        <v>19.0</v>
      </c>
      <c r="D137" s="10">
        <v>0.0</v>
      </c>
      <c r="E137" s="10">
        <v>0.0</v>
      </c>
    </row>
    <row r="138" ht="22.5" customHeight="1">
      <c r="A138" s="13" t="s">
        <v>124</v>
      </c>
      <c r="B138" s="13">
        <v>5.0</v>
      </c>
      <c r="C138" s="13">
        <v>20.0</v>
      </c>
      <c r="D138" s="10">
        <v>0.0</v>
      </c>
      <c r="E138" s="10">
        <v>0.0</v>
      </c>
    </row>
    <row r="139" ht="22.5" customHeight="1">
      <c r="A139" s="13" t="s">
        <v>130</v>
      </c>
      <c r="B139" s="13">
        <v>4.0</v>
      </c>
      <c r="C139" s="13">
        <v>17.0</v>
      </c>
      <c r="D139" s="10">
        <v>0.0</v>
      </c>
      <c r="E139" s="10">
        <v>0.0</v>
      </c>
    </row>
    <row r="140" ht="22.5" customHeight="1">
      <c r="A140" s="13" t="s">
        <v>132</v>
      </c>
      <c r="B140" s="13">
        <v>4.0</v>
      </c>
      <c r="C140" s="13">
        <v>13.0</v>
      </c>
      <c r="D140" s="10">
        <v>0.0</v>
      </c>
      <c r="E140" s="10">
        <v>0.0</v>
      </c>
    </row>
    <row r="141" ht="22.5" customHeight="1">
      <c r="A141" s="13" t="s">
        <v>137</v>
      </c>
      <c r="B141" s="13">
        <v>2.0</v>
      </c>
      <c r="C141" s="13">
        <v>7.0</v>
      </c>
      <c r="D141" s="10">
        <v>0.0</v>
      </c>
      <c r="E141" s="10">
        <v>0.0</v>
      </c>
    </row>
    <row r="142" ht="22.5" customHeight="1">
      <c r="A142" s="13" t="s">
        <v>139</v>
      </c>
      <c r="B142" s="13">
        <v>5.0</v>
      </c>
      <c r="C142" s="13">
        <v>20.0</v>
      </c>
      <c r="D142" s="10">
        <v>0.0</v>
      </c>
      <c r="E142" s="10">
        <v>0.0</v>
      </c>
    </row>
    <row r="143" ht="22.5" customHeight="1">
      <c r="A143" s="13" t="s">
        <v>142</v>
      </c>
      <c r="B143" s="13">
        <v>1.0</v>
      </c>
      <c r="C143" s="13">
        <v>4.0</v>
      </c>
      <c r="D143" s="10">
        <v>0.0</v>
      </c>
      <c r="E143" s="10">
        <v>0.0</v>
      </c>
    </row>
    <row r="144" ht="22.5" customHeight="1">
      <c r="A144" s="13" t="s">
        <v>144</v>
      </c>
      <c r="B144" s="13">
        <v>5.0</v>
      </c>
      <c r="C144" s="13">
        <v>20.0</v>
      </c>
      <c r="D144" s="10">
        <v>0.0</v>
      </c>
      <c r="E144" s="10">
        <v>0.0</v>
      </c>
    </row>
    <row r="145" ht="22.5" customHeight="1">
      <c r="A145" s="13" t="s">
        <v>147</v>
      </c>
      <c r="B145" s="13">
        <v>5.0</v>
      </c>
      <c r="C145" s="13">
        <v>20.0</v>
      </c>
      <c r="D145" s="10">
        <v>0.0</v>
      </c>
      <c r="E145" s="10">
        <v>0.0</v>
      </c>
    </row>
    <row r="146" ht="22.5" customHeight="1">
      <c r="A146" s="13" t="s">
        <v>151</v>
      </c>
      <c r="B146" s="13">
        <v>1.0</v>
      </c>
      <c r="C146" s="13">
        <v>3.0</v>
      </c>
      <c r="D146" s="10">
        <v>0.0</v>
      </c>
      <c r="E146" s="10">
        <v>0.0</v>
      </c>
    </row>
    <row r="147" ht="22.5" customHeight="1">
      <c r="A147" s="13" t="s">
        <v>152</v>
      </c>
      <c r="B147" s="13">
        <v>4.0</v>
      </c>
      <c r="C147" s="13">
        <v>15.0</v>
      </c>
      <c r="D147" s="10">
        <v>0.0</v>
      </c>
      <c r="E147" s="10">
        <v>0.0</v>
      </c>
    </row>
    <row r="148" ht="22.5" customHeight="1">
      <c r="A148" s="13" t="s">
        <v>156</v>
      </c>
      <c r="B148" s="13">
        <v>3.0</v>
      </c>
      <c r="C148" s="13">
        <v>11.0</v>
      </c>
      <c r="D148" s="10">
        <v>0.0</v>
      </c>
      <c r="E148" s="10">
        <v>0.0</v>
      </c>
    </row>
    <row r="149" ht="22.5" customHeight="1">
      <c r="A149" s="13" t="s">
        <v>160</v>
      </c>
      <c r="B149" s="13">
        <v>1.0</v>
      </c>
      <c r="C149" s="13">
        <v>4.0</v>
      </c>
      <c r="D149" s="10">
        <v>0.0</v>
      </c>
      <c r="E149" s="10">
        <v>0.0</v>
      </c>
    </row>
    <row r="150" ht="22.5" customHeight="1">
      <c r="A150" s="13" t="s">
        <v>165</v>
      </c>
      <c r="B150" s="13">
        <v>5.0</v>
      </c>
      <c r="C150" s="13">
        <v>19.0</v>
      </c>
      <c r="D150" s="10">
        <v>0.0</v>
      </c>
      <c r="E150" s="10">
        <v>0.0</v>
      </c>
    </row>
    <row r="151" ht="22.5" customHeight="1">
      <c r="A151" s="13" t="s">
        <v>167</v>
      </c>
      <c r="B151" s="13">
        <v>1.0</v>
      </c>
      <c r="C151" s="13">
        <v>4.0</v>
      </c>
      <c r="D151" s="10">
        <v>0.0</v>
      </c>
      <c r="E151" s="10">
        <v>0.0</v>
      </c>
    </row>
    <row r="152" ht="22.5" customHeight="1">
      <c r="A152" s="13" t="s">
        <v>174</v>
      </c>
      <c r="B152" s="13">
        <v>1.0</v>
      </c>
      <c r="C152" s="13">
        <v>4.0</v>
      </c>
      <c r="D152" s="10">
        <v>0.0</v>
      </c>
      <c r="E152" s="10">
        <v>0.0</v>
      </c>
    </row>
    <row r="153" ht="22.5" customHeight="1">
      <c r="A153" s="13" t="s">
        <v>176</v>
      </c>
      <c r="B153" s="13">
        <v>1.0</v>
      </c>
      <c r="C153" s="13">
        <v>4.0</v>
      </c>
      <c r="D153" s="10">
        <v>0.0</v>
      </c>
      <c r="E153" s="10">
        <v>0.0</v>
      </c>
    </row>
    <row r="154" ht="22.5" customHeight="1">
      <c r="A154" s="13" t="s">
        <v>177</v>
      </c>
      <c r="B154" s="13">
        <v>1.0</v>
      </c>
      <c r="C154" s="13">
        <v>4.0</v>
      </c>
      <c r="D154" s="10">
        <v>0.0</v>
      </c>
      <c r="E154" s="10">
        <v>0.0</v>
      </c>
    </row>
    <row r="155" ht="22.5" customHeight="1">
      <c r="A155" s="13" t="s">
        <v>150</v>
      </c>
      <c r="B155" s="13">
        <v>4.0</v>
      </c>
      <c r="C155" s="13">
        <v>15.0</v>
      </c>
      <c r="D155" s="10">
        <v>0.0</v>
      </c>
      <c r="E155" s="10">
        <v>0.0</v>
      </c>
    </row>
    <row r="156" ht="22.5" customHeight="1">
      <c r="A156" s="13" t="s">
        <v>179</v>
      </c>
      <c r="B156" s="13">
        <v>3.0</v>
      </c>
      <c r="C156" s="13">
        <v>11.0</v>
      </c>
      <c r="D156" s="10">
        <v>0.0</v>
      </c>
      <c r="E156" s="10">
        <v>0.0</v>
      </c>
    </row>
    <row r="157" ht="22.5" customHeight="1">
      <c r="A157" s="13" t="s">
        <v>181</v>
      </c>
      <c r="B157" s="13">
        <v>2.0</v>
      </c>
      <c r="C157" s="13">
        <v>8.0</v>
      </c>
      <c r="D157" s="10">
        <v>0.0</v>
      </c>
      <c r="E157" s="10">
        <v>0.0</v>
      </c>
    </row>
    <row r="158" ht="22.5" customHeight="1">
      <c r="A158" s="13" t="s">
        <v>183</v>
      </c>
      <c r="B158" s="13">
        <v>5.0</v>
      </c>
      <c r="C158" s="13">
        <v>19.0</v>
      </c>
      <c r="D158" s="10">
        <v>0.0</v>
      </c>
      <c r="E158" s="10">
        <v>0.0</v>
      </c>
    </row>
    <row r="159" ht="22.5" customHeight="1">
      <c r="A159" s="13" t="s">
        <v>196</v>
      </c>
      <c r="B159" s="13">
        <v>1.0</v>
      </c>
      <c r="C159" s="13">
        <v>4.0</v>
      </c>
      <c r="D159" s="10">
        <v>0.0</v>
      </c>
      <c r="E159" s="10">
        <v>0.0</v>
      </c>
    </row>
    <row r="160" ht="22.5" customHeight="1">
      <c r="A160" s="13" t="s">
        <v>199</v>
      </c>
      <c r="B160" s="13">
        <v>5.0</v>
      </c>
      <c r="C160" s="13">
        <v>19.0</v>
      </c>
      <c r="D160" s="10">
        <v>0.0</v>
      </c>
      <c r="E160" s="10">
        <v>0.2</v>
      </c>
    </row>
    <row r="161" ht="22.5" customHeight="1">
      <c r="A161" s="13" t="s">
        <v>187</v>
      </c>
      <c r="B161" s="13">
        <v>3.0</v>
      </c>
      <c r="C161" s="13">
        <v>12.0</v>
      </c>
      <c r="D161" s="10">
        <v>0.0</v>
      </c>
      <c r="E161" s="10">
        <v>0.0</v>
      </c>
    </row>
    <row r="162" ht="22.5" customHeight="1">
      <c r="A162" s="13" t="s">
        <v>189</v>
      </c>
      <c r="B162" s="13">
        <v>4.0</v>
      </c>
      <c r="C162" s="13">
        <v>16.0</v>
      </c>
      <c r="D162" s="10">
        <v>0.0</v>
      </c>
      <c r="E162" s="10">
        <v>0.0</v>
      </c>
    </row>
    <row r="163" ht="22.5" customHeight="1">
      <c r="A163" s="13" t="s">
        <v>195</v>
      </c>
      <c r="B163" s="13">
        <v>5.0</v>
      </c>
      <c r="C163" s="13">
        <v>18.0</v>
      </c>
      <c r="D163" s="10">
        <v>0.0</v>
      </c>
      <c r="E163" s="10">
        <v>0.0</v>
      </c>
    </row>
    <row r="164" ht="22.5" customHeight="1">
      <c r="A164" s="13" t="s">
        <v>200</v>
      </c>
      <c r="B164" s="13">
        <v>3.0</v>
      </c>
      <c r="C164" s="13">
        <v>13.0</v>
      </c>
      <c r="D164" s="10">
        <v>0.0</v>
      </c>
      <c r="E164" s="10">
        <v>0.0</v>
      </c>
    </row>
    <row r="165" ht="22.5" customHeight="1">
      <c r="A165" s="13" t="s">
        <v>203</v>
      </c>
      <c r="B165" s="13">
        <v>1.0</v>
      </c>
      <c r="C165" s="13">
        <v>4.0</v>
      </c>
      <c r="D165" s="10">
        <v>0.0</v>
      </c>
      <c r="E165" s="10">
        <v>0.0</v>
      </c>
    </row>
    <row r="166" ht="22.5" customHeight="1">
      <c r="A166" s="13" t="s">
        <v>205</v>
      </c>
      <c r="B166" s="13">
        <v>2.0</v>
      </c>
      <c r="C166" s="13">
        <v>8.0</v>
      </c>
      <c r="D166" s="10">
        <v>0.0</v>
      </c>
      <c r="E166" s="10">
        <v>0.0</v>
      </c>
    </row>
    <row r="167" ht="22.5" customHeight="1">
      <c r="A167" s="13" t="s">
        <v>208</v>
      </c>
      <c r="B167" s="13">
        <v>1.0</v>
      </c>
      <c r="C167" s="13">
        <v>4.0</v>
      </c>
      <c r="D167" s="10">
        <v>0.0</v>
      </c>
      <c r="E167" s="10">
        <v>0.0</v>
      </c>
    </row>
    <row r="168" ht="22.5" customHeight="1">
      <c r="A168" s="13" t="s">
        <v>210</v>
      </c>
      <c r="B168" s="13">
        <v>5.0</v>
      </c>
      <c r="C168" s="13">
        <v>17.0</v>
      </c>
      <c r="D168" s="10">
        <v>0.0</v>
      </c>
      <c r="E168" s="10">
        <v>0.0</v>
      </c>
    </row>
    <row r="169" ht="22.5" customHeight="1">
      <c r="A169" s="13" t="s">
        <v>211</v>
      </c>
      <c r="B169" s="13">
        <v>5.0</v>
      </c>
      <c r="C169" s="13">
        <v>17.0</v>
      </c>
      <c r="D169" s="10">
        <v>0.0</v>
      </c>
      <c r="E169" s="10">
        <v>0.0</v>
      </c>
    </row>
    <row r="170" ht="22.5" customHeight="1">
      <c r="A170" s="13" t="s">
        <v>214</v>
      </c>
      <c r="B170" s="13">
        <v>5.0</v>
      </c>
      <c r="C170" s="13">
        <v>20.0</v>
      </c>
      <c r="D170" s="10">
        <v>0.0</v>
      </c>
      <c r="E170" s="10">
        <v>0.0</v>
      </c>
    </row>
    <row r="171" ht="22.5" customHeight="1">
      <c r="A171" s="13" t="s">
        <v>217</v>
      </c>
      <c r="B171" s="13">
        <v>3.0</v>
      </c>
      <c r="C171" s="13">
        <v>12.0</v>
      </c>
      <c r="D171" s="10">
        <v>0.0</v>
      </c>
      <c r="E171" s="10">
        <v>0.0</v>
      </c>
    </row>
    <row r="172" ht="22.5" customHeight="1">
      <c r="A172" s="13" t="s">
        <v>220</v>
      </c>
      <c r="B172" s="13">
        <v>5.0</v>
      </c>
      <c r="C172" s="13">
        <v>20.0</v>
      </c>
      <c r="D172" s="10">
        <v>0.0</v>
      </c>
      <c r="E172" s="10">
        <v>0.0</v>
      </c>
    </row>
    <row r="173" ht="22.5" customHeight="1">
      <c r="A173" s="13" t="s">
        <v>224</v>
      </c>
      <c r="B173" s="13">
        <v>2.0</v>
      </c>
      <c r="C173" s="13">
        <v>7.0</v>
      </c>
      <c r="D173" s="10">
        <v>0.0</v>
      </c>
      <c r="E173" s="10">
        <v>0.0</v>
      </c>
    </row>
    <row r="174" ht="22.5" customHeight="1">
      <c r="A174" s="13" t="s">
        <v>225</v>
      </c>
      <c r="B174" s="13">
        <v>1.0</v>
      </c>
      <c r="C174" s="13">
        <v>4.0</v>
      </c>
      <c r="D174" s="10">
        <v>0.0</v>
      </c>
      <c r="E174" s="10">
        <v>0.0</v>
      </c>
    </row>
    <row r="175" ht="22.5" customHeight="1">
      <c r="A175" s="13" t="s">
        <v>229</v>
      </c>
      <c r="B175" s="13">
        <v>4.0</v>
      </c>
      <c r="C175" s="13">
        <v>15.0</v>
      </c>
      <c r="D175" s="10">
        <v>0.0</v>
      </c>
      <c r="E175" s="10">
        <v>0.0</v>
      </c>
    </row>
    <row r="176" ht="22.5" customHeight="1">
      <c r="A176" s="13" t="s">
        <v>232</v>
      </c>
      <c r="B176" s="13">
        <v>5.0</v>
      </c>
      <c r="C176" s="13">
        <v>19.0</v>
      </c>
      <c r="D176" s="10">
        <v>0.0</v>
      </c>
      <c r="E176" s="10">
        <v>0.0</v>
      </c>
    </row>
    <row r="177" ht="22.5" customHeight="1">
      <c r="A177" s="13" t="s">
        <v>233</v>
      </c>
      <c r="B177" s="13">
        <v>4.0</v>
      </c>
      <c r="C177" s="13">
        <v>16.0</v>
      </c>
      <c r="D177" s="10">
        <v>0.0</v>
      </c>
      <c r="E177" s="10">
        <v>0.0</v>
      </c>
    </row>
    <row r="178" ht="22.5" customHeight="1">
      <c r="A178" s="13" t="s">
        <v>234</v>
      </c>
      <c r="B178" s="13">
        <v>2.0</v>
      </c>
      <c r="C178" s="13">
        <v>7.0</v>
      </c>
      <c r="D178" s="10">
        <v>0.0</v>
      </c>
      <c r="E178" s="10">
        <v>0.0</v>
      </c>
    </row>
    <row r="179" ht="22.5" customHeight="1">
      <c r="A179" s="13" t="s">
        <v>153</v>
      </c>
      <c r="B179" s="13">
        <v>1.0</v>
      </c>
      <c r="C179" s="13">
        <v>4.0</v>
      </c>
      <c r="D179" s="10">
        <v>0.0</v>
      </c>
      <c r="E179" s="10">
        <v>0.0</v>
      </c>
    </row>
    <row r="180" ht="22.5" customHeight="1">
      <c r="A180" s="13" t="s">
        <v>202</v>
      </c>
      <c r="B180" s="13">
        <v>5.0</v>
      </c>
      <c r="C180" s="13">
        <v>19.0</v>
      </c>
      <c r="D180" s="10">
        <v>0.0</v>
      </c>
      <c r="E180" s="10">
        <v>0.0</v>
      </c>
    </row>
    <row r="181" ht="22.5" customHeight="1">
      <c r="A181" s="13" t="s">
        <v>135</v>
      </c>
      <c r="B181" s="13">
        <v>4.0</v>
      </c>
      <c r="C181" s="13">
        <v>15.0</v>
      </c>
      <c r="D181" s="10">
        <v>0.0</v>
      </c>
      <c r="E181" s="10">
        <v>0.0</v>
      </c>
    </row>
    <row r="182" ht="22.5" customHeight="1">
      <c r="A182" s="13" t="s">
        <v>236</v>
      </c>
      <c r="B182" s="13">
        <v>2.0</v>
      </c>
      <c r="C182" s="13">
        <v>8.0</v>
      </c>
      <c r="D182" s="10">
        <v>0.0</v>
      </c>
      <c r="E182" s="10">
        <v>0.0</v>
      </c>
    </row>
    <row r="183" ht="22.5" customHeight="1">
      <c r="A183" s="13" t="s">
        <v>237</v>
      </c>
      <c r="B183" s="13">
        <v>1.0</v>
      </c>
      <c r="C183" s="13">
        <v>4.0</v>
      </c>
      <c r="D183" s="10">
        <v>0.0</v>
      </c>
      <c r="E183" s="10">
        <v>0.0</v>
      </c>
    </row>
    <row r="184" ht="22.5" customHeight="1">
      <c r="A184" s="13" t="s">
        <v>182</v>
      </c>
      <c r="B184" s="13">
        <v>5.0</v>
      </c>
      <c r="C184" s="13">
        <v>20.0</v>
      </c>
      <c r="D184" s="10">
        <v>0.0</v>
      </c>
      <c r="E184" s="10">
        <v>0.0</v>
      </c>
    </row>
    <row r="185" ht="22.5" customHeight="1">
      <c r="A185" s="13" t="s">
        <v>238</v>
      </c>
      <c r="B185" s="13">
        <v>3.0</v>
      </c>
      <c r="C185" s="13">
        <v>12.0</v>
      </c>
      <c r="D185" s="10">
        <v>0.0</v>
      </c>
      <c r="E185" s="10">
        <v>0.0</v>
      </c>
    </row>
    <row r="186" ht="22.5" customHeight="1">
      <c r="A186" s="13" t="s">
        <v>242</v>
      </c>
      <c r="B186" s="13">
        <v>1.0</v>
      </c>
      <c r="C186" s="13">
        <v>4.0</v>
      </c>
      <c r="D186" s="10">
        <v>0.0</v>
      </c>
      <c r="E186" s="10">
        <v>0.0</v>
      </c>
    </row>
    <row r="187" ht="22.5" customHeight="1">
      <c r="A187" s="13" t="s">
        <v>244</v>
      </c>
      <c r="B187" s="13">
        <v>5.0</v>
      </c>
      <c r="C187" s="13">
        <v>20.0</v>
      </c>
      <c r="D187" s="10">
        <v>0.0</v>
      </c>
      <c r="E187" s="10">
        <v>0.0</v>
      </c>
    </row>
    <row r="188" ht="22.5" customHeight="1">
      <c r="A188" s="13" t="s">
        <v>185</v>
      </c>
      <c r="B188" s="13">
        <v>5.0</v>
      </c>
      <c r="C188" s="13">
        <v>20.0</v>
      </c>
      <c r="D188" s="10">
        <v>0.0</v>
      </c>
      <c r="E188" s="10">
        <v>0.0</v>
      </c>
    </row>
    <row r="189" ht="22.5" customHeight="1">
      <c r="A189" s="13" t="s">
        <v>239</v>
      </c>
      <c r="B189" s="13">
        <v>1.0</v>
      </c>
      <c r="C189" s="13">
        <v>4.0</v>
      </c>
      <c r="D189" s="10">
        <v>0.0</v>
      </c>
      <c r="E189" s="10">
        <v>0.0</v>
      </c>
    </row>
    <row r="190" ht="22.5" customHeight="1">
      <c r="A190" s="13" t="s">
        <v>99</v>
      </c>
      <c r="B190" s="13">
        <v>5.0</v>
      </c>
      <c r="C190" s="13">
        <v>17.0</v>
      </c>
      <c r="D190" s="10">
        <v>0.0</v>
      </c>
      <c r="E190" s="10">
        <v>0.0</v>
      </c>
    </row>
    <row r="191" ht="22.5" customHeight="1">
      <c r="A191" s="13" t="s">
        <v>241</v>
      </c>
      <c r="B191" s="13">
        <v>2.0</v>
      </c>
      <c r="C191" s="13">
        <v>7.0</v>
      </c>
      <c r="D191" s="10">
        <v>0.0</v>
      </c>
      <c r="E191" s="10">
        <v>0.0</v>
      </c>
    </row>
    <row r="192" ht="22.5" customHeight="1">
      <c r="A192" s="13" t="s">
        <v>264</v>
      </c>
      <c r="B192" s="13">
        <v>4.0</v>
      </c>
      <c r="C192" s="13">
        <v>14.0</v>
      </c>
      <c r="D192" s="10">
        <v>0.0</v>
      </c>
      <c r="E192" s="10">
        <v>0.0</v>
      </c>
    </row>
    <row r="193" ht="22.5" customHeight="1">
      <c r="A193" s="13" t="s">
        <v>266</v>
      </c>
      <c r="B193" s="13">
        <v>4.0</v>
      </c>
      <c r="C193" s="13">
        <v>15.0</v>
      </c>
      <c r="D193" s="10">
        <v>0.0</v>
      </c>
      <c r="E193" s="10">
        <v>0.0</v>
      </c>
    </row>
    <row r="194" ht="22.5" customHeight="1">
      <c r="A194" s="13" t="s">
        <v>93</v>
      </c>
      <c r="B194" s="13">
        <v>5.0</v>
      </c>
      <c r="C194" s="13">
        <v>18.0</v>
      </c>
      <c r="D194" s="10">
        <v>0.0</v>
      </c>
      <c r="E194" s="10">
        <v>0.2</v>
      </c>
    </row>
    <row r="195" ht="22.5" customHeight="1">
      <c r="A195" s="13" t="s">
        <v>268</v>
      </c>
      <c r="B195" s="13">
        <v>1.0</v>
      </c>
      <c r="C195" s="13">
        <v>4.0</v>
      </c>
      <c r="D195" s="10">
        <v>0.0</v>
      </c>
      <c r="E195" s="10">
        <v>0.0</v>
      </c>
    </row>
    <row r="196" ht="22.5" customHeight="1">
      <c r="A196" s="13" t="s">
        <v>221</v>
      </c>
      <c r="B196" s="13">
        <v>4.0</v>
      </c>
      <c r="C196" s="13">
        <v>15.0</v>
      </c>
      <c r="D196" s="10">
        <v>0.0</v>
      </c>
      <c r="E196" s="10">
        <v>0.0</v>
      </c>
    </row>
    <row r="197" ht="22.5" customHeight="1">
      <c r="A197" s="13" t="s">
        <v>270</v>
      </c>
      <c r="B197" s="13">
        <v>2.0</v>
      </c>
      <c r="C197" s="13">
        <v>8.0</v>
      </c>
      <c r="D197" s="10">
        <v>0.0</v>
      </c>
      <c r="E197" s="10">
        <v>0.0</v>
      </c>
    </row>
    <row r="198" ht="22.5" customHeight="1">
      <c r="A198" s="13" t="s">
        <v>275</v>
      </c>
      <c r="B198" s="13">
        <v>4.0</v>
      </c>
      <c r="C198" s="13">
        <v>14.0</v>
      </c>
      <c r="D198" s="10">
        <v>0.0</v>
      </c>
      <c r="E198" s="10">
        <v>0.0</v>
      </c>
    </row>
    <row r="199" ht="22.5" customHeight="1">
      <c r="A199" s="13" t="s">
        <v>276</v>
      </c>
      <c r="B199" s="13">
        <v>4.0</v>
      </c>
      <c r="C199" s="13">
        <v>14.0</v>
      </c>
      <c r="D199" s="10">
        <v>0.0</v>
      </c>
      <c r="E199" s="10">
        <v>0.0</v>
      </c>
    </row>
    <row r="200" ht="22.5" customHeight="1">
      <c r="A200" s="13" t="s">
        <v>172</v>
      </c>
      <c r="B200" s="13">
        <v>4.0</v>
      </c>
      <c r="C200" s="13">
        <v>15.0</v>
      </c>
      <c r="D200" s="10">
        <v>0.0</v>
      </c>
      <c r="E200" s="10">
        <v>0.0</v>
      </c>
    </row>
    <row r="201" ht="22.5" customHeight="1">
      <c r="A201" s="13" t="s">
        <v>280</v>
      </c>
      <c r="B201" s="13">
        <v>1.0</v>
      </c>
      <c r="C201" s="13">
        <v>4.0</v>
      </c>
      <c r="D201" s="10">
        <v>0.0</v>
      </c>
      <c r="E201" s="10">
        <v>0.0</v>
      </c>
    </row>
    <row r="202" ht="22.5" customHeight="1">
      <c r="A202" s="13" t="s">
        <v>282</v>
      </c>
      <c r="B202" s="13">
        <v>3.0</v>
      </c>
      <c r="C202" s="13">
        <v>12.0</v>
      </c>
      <c r="D202" s="10">
        <v>0.0</v>
      </c>
      <c r="E202" s="10">
        <v>0.0</v>
      </c>
    </row>
    <row r="203" ht="22.5" customHeight="1">
      <c r="A203" s="13" t="s">
        <v>284</v>
      </c>
      <c r="B203" s="13">
        <v>2.0</v>
      </c>
      <c r="C203" s="13">
        <v>8.0</v>
      </c>
      <c r="D203" s="10">
        <v>0.0</v>
      </c>
      <c r="E203" s="10">
        <v>0.0</v>
      </c>
    </row>
    <row r="204" ht="22.5" customHeight="1">
      <c r="A204" s="13" t="s">
        <v>223</v>
      </c>
      <c r="B204" s="13">
        <v>4.0</v>
      </c>
      <c r="C204" s="13">
        <v>15.0</v>
      </c>
      <c r="D204" s="10">
        <v>0.0</v>
      </c>
      <c r="E204" s="10">
        <v>0.0</v>
      </c>
    </row>
    <row r="205" ht="22.5" customHeight="1">
      <c r="A205" s="13" t="s">
        <v>288</v>
      </c>
      <c r="B205" s="13">
        <v>1.0</v>
      </c>
      <c r="C205" s="13">
        <v>4.0</v>
      </c>
      <c r="D205" s="10">
        <v>0.0</v>
      </c>
      <c r="E205" s="10">
        <v>0.0</v>
      </c>
    </row>
    <row r="206" ht="22.5" customHeight="1">
      <c r="A206" s="13" t="s">
        <v>267</v>
      </c>
      <c r="B206" s="13">
        <v>5.0</v>
      </c>
      <c r="C206" s="13">
        <v>19.0</v>
      </c>
      <c r="D206" s="10">
        <v>0.0</v>
      </c>
      <c r="E206" s="10">
        <v>0.0</v>
      </c>
    </row>
    <row r="207" ht="22.5" customHeight="1">
      <c r="A207" s="13" t="s">
        <v>292</v>
      </c>
      <c r="B207" s="13">
        <v>2.0</v>
      </c>
      <c r="C207" s="13">
        <v>8.0</v>
      </c>
      <c r="D207" s="10">
        <v>0.0</v>
      </c>
      <c r="E207" s="10">
        <v>0.0</v>
      </c>
    </row>
    <row r="208" ht="22.5" customHeight="1">
      <c r="A208" s="13" t="s">
        <v>293</v>
      </c>
      <c r="B208" s="13">
        <v>5.0</v>
      </c>
      <c r="C208" s="13">
        <v>20.0</v>
      </c>
      <c r="D208" s="10">
        <v>0.0</v>
      </c>
      <c r="E208" s="10">
        <v>0.0</v>
      </c>
    </row>
    <row r="209" ht="22.5" customHeight="1">
      <c r="A209" s="13" t="s">
        <v>285</v>
      </c>
      <c r="B209" s="13">
        <v>5.0</v>
      </c>
      <c r="C209" s="13">
        <v>18.0</v>
      </c>
      <c r="D209" s="10">
        <v>0.0</v>
      </c>
      <c r="E209" s="10">
        <v>0.0</v>
      </c>
    </row>
    <row r="210" ht="22.5" customHeight="1">
      <c r="A210" s="13" t="s">
        <v>246</v>
      </c>
      <c r="B210" s="13">
        <v>1.0</v>
      </c>
      <c r="C210" s="13">
        <v>3.0</v>
      </c>
      <c r="D210" s="10">
        <v>0.0</v>
      </c>
      <c r="E210" s="10">
        <v>0.0</v>
      </c>
    </row>
    <row r="211" ht="22.5" customHeight="1">
      <c r="A211" s="13" t="s">
        <v>295</v>
      </c>
      <c r="B211" s="13">
        <v>4.0</v>
      </c>
      <c r="C211" s="13">
        <v>15.0</v>
      </c>
      <c r="D211" s="10">
        <v>0.0</v>
      </c>
      <c r="E211" s="10">
        <v>0.0</v>
      </c>
    </row>
    <row r="212" ht="22.5" customHeight="1">
      <c r="A212" s="13" t="s">
        <v>286</v>
      </c>
      <c r="B212" s="13">
        <v>5.0</v>
      </c>
      <c r="C212" s="13">
        <v>18.0</v>
      </c>
      <c r="D212" s="10">
        <v>0.0</v>
      </c>
      <c r="E212" s="10">
        <v>0.2</v>
      </c>
    </row>
    <row r="213" ht="22.5" customHeight="1">
      <c r="A213" s="13" t="s">
        <v>297</v>
      </c>
      <c r="B213" s="13">
        <v>5.0</v>
      </c>
      <c r="C213" s="13">
        <v>18.0</v>
      </c>
      <c r="D213" s="10">
        <v>0.0</v>
      </c>
      <c r="E213" s="10">
        <v>0.8</v>
      </c>
    </row>
    <row r="214" ht="22.5" customHeight="1">
      <c r="A214" s="13" t="s">
        <v>300</v>
      </c>
      <c r="B214" s="13">
        <v>4.0</v>
      </c>
      <c r="C214" s="13">
        <v>16.0</v>
      </c>
      <c r="D214" s="10">
        <v>0.0</v>
      </c>
      <c r="E214" s="10">
        <v>0.0</v>
      </c>
    </row>
    <row r="215" ht="22.5" customHeight="1">
      <c r="A215" s="13" t="s">
        <v>249</v>
      </c>
      <c r="B215" s="13">
        <v>5.0</v>
      </c>
      <c r="C215" s="13">
        <v>20.0</v>
      </c>
      <c r="D215" s="10">
        <v>0.0</v>
      </c>
      <c r="E215" s="10">
        <v>0.0</v>
      </c>
    </row>
    <row r="216" ht="22.5" customHeight="1">
      <c r="A216" s="13" t="s">
        <v>303</v>
      </c>
      <c r="B216" s="13">
        <v>2.0</v>
      </c>
      <c r="C216" s="13">
        <v>8.0</v>
      </c>
      <c r="D216" s="10">
        <v>0.0</v>
      </c>
      <c r="E216" s="10">
        <v>0.0</v>
      </c>
    </row>
    <row r="217" ht="22.5" customHeight="1">
      <c r="A217" s="13" t="s">
        <v>304</v>
      </c>
      <c r="B217" s="13">
        <v>4.0</v>
      </c>
      <c r="C217" s="13">
        <v>15.0</v>
      </c>
      <c r="D217" s="10">
        <v>0.0</v>
      </c>
      <c r="E217" s="10">
        <v>0.0</v>
      </c>
    </row>
    <row r="218" ht="22.5" customHeight="1">
      <c r="A218" s="13" t="s">
        <v>309</v>
      </c>
      <c r="B218" s="13">
        <v>2.0</v>
      </c>
      <c r="C218" s="13">
        <v>7.0</v>
      </c>
      <c r="D218" s="10">
        <v>0.0</v>
      </c>
      <c r="E218" s="10">
        <v>0.0</v>
      </c>
    </row>
    <row r="219" ht="22.5" customHeight="1">
      <c r="A219" s="13" t="s">
        <v>310</v>
      </c>
      <c r="B219" s="13">
        <v>2.0</v>
      </c>
      <c r="C219" s="13">
        <v>6.0</v>
      </c>
      <c r="D219" s="10">
        <v>0.0</v>
      </c>
      <c r="E219" s="10">
        <v>0.0</v>
      </c>
    </row>
    <row r="220" ht="22.5" customHeight="1">
      <c r="A220" s="13" t="s">
        <v>252</v>
      </c>
      <c r="B220" s="13">
        <v>3.0</v>
      </c>
      <c r="C220" s="13">
        <v>11.0</v>
      </c>
      <c r="D220" s="10">
        <v>0.0</v>
      </c>
      <c r="E220" s="10">
        <v>0.0</v>
      </c>
    </row>
    <row r="221" ht="22.5" customHeight="1">
      <c r="A221" s="13" t="s">
        <v>314</v>
      </c>
      <c r="B221" s="13">
        <v>3.0</v>
      </c>
      <c r="C221" s="13">
        <v>11.0</v>
      </c>
      <c r="D221" s="10">
        <v>0.0</v>
      </c>
      <c r="E221" s="10">
        <v>0.0</v>
      </c>
    </row>
    <row r="222" ht="22.5" customHeight="1">
      <c r="A222" s="13" t="s">
        <v>315</v>
      </c>
      <c r="B222" s="13">
        <v>4.0</v>
      </c>
      <c r="C222" s="13">
        <v>15.0</v>
      </c>
      <c r="D222" s="10">
        <v>0.0</v>
      </c>
      <c r="E222" s="10">
        <v>0.25</v>
      </c>
    </row>
    <row r="223" ht="22.5" customHeight="1">
      <c r="A223" s="13" t="s">
        <v>318</v>
      </c>
      <c r="B223" s="13">
        <v>1.0</v>
      </c>
      <c r="C223" s="13">
        <v>4.0</v>
      </c>
      <c r="D223" s="10">
        <v>0.0</v>
      </c>
      <c r="E223" s="10">
        <v>0.0</v>
      </c>
    </row>
    <row r="224" ht="22.5" customHeight="1">
      <c r="A224" s="13" t="s">
        <v>317</v>
      </c>
      <c r="B224" s="13">
        <v>3.0</v>
      </c>
      <c r="C224" s="13">
        <v>11.0</v>
      </c>
      <c r="D224" s="10">
        <v>0.0</v>
      </c>
      <c r="E224" s="10">
        <v>0.0</v>
      </c>
    </row>
    <row r="225" ht="22.5" customHeight="1">
      <c r="A225" s="13" t="s">
        <v>319</v>
      </c>
      <c r="B225" s="13">
        <v>1.0</v>
      </c>
      <c r="C225" s="13">
        <v>3.0</v>
      </c>
      <c r="D225" s="10">
        <v>0.0</v>
      </c>
      <c r="E225" s="10">
        <v>0.0</v>
      </c>
    </row>
    <row r="226" ht="22.5" customHeight="1">
      <c r="A226" s="13" t="s">
        <v>155</v>
      </c>
      <c r="B226" s="13">
        <v>5.0</v>
      </c>
      <c r="C226" s="13">
        <v>19.0</v>
      </c>
      <c r="D226" s="10">
        <v>0.0</v>
      </c>
      <c r="E226" s="10">
        <v>0.0</v>
      </c>
    </row>
    <row r="227" ht="22.5" customHeight="1">
      <c r="A227" s="13" t="s">
        <v>212</v>
      </c>
      <c r="B227" s="13">
        <v>5.0</v>
      </c>
      <c r="C227" s="13">
        <v>19.0</v>
      </c>
      <c r="D227" s="10">
        <v>0.0</v>
      </c>
      <c r="E227" s="10">
        <v>0.0</v>
      </c>
    </row>
    <row r="228" ht="22.5" customHeight="1">
      <c r="A228" s="13" t="s">
        <v>334</v>
      </c>
      <c r="B228" s="13">
        <v>1.0</v>
      </c>
      <c r="C228" s="13">
        <v>4.0</v>
      </c>
      <c r="D228" s="10">
        <v>0.0</v>
      </c>
      <c r="E228" s="10">
        <v>0.0</v>
      </c>
    </row>
    <row r="229" ht="22.5" customHeight="1">
      <c r="A229" s="13" t="s">
        <v>320</v>
      </c>
      <c r="B229" s="13">
        <v>5.0</v>
      </c>
      <c r="C229" s="13">
        <v>19.0</v>
      </c>
      <c r="D229" s="10">
        <v>0.0</v>
      </c>
      <c r="E229" s="10">
        <v>0.0</v>
      </c>
    </row>
    <row r="230" ht="22.5" customHeight="1">
      <c r="A230" s="13" t="s">
        <v>287</v>
      </c>
      <c r="B230" s="13">
        <v>5.0</v>
      </c>
      <c r="C230" s="13">
        <v>19.0</v>
      </c>
      <c r="D230" s="10">
        <v>0.0</v>
      </c>
      <c r="E230" s="10">
        <v>0.0</v>
      </c>
    </row>
    <row r="231" ht="22.5" customHeight="1">
      <c r="A231" s="13" t="s">
        <v>321</v>
      </c>
      <c r="B231" s="13">
        <v>4.0</v>
      </c>
      <c r="C231" s="13">
        <v>15.0</v>
      </c>
      <c r="D231" s="10">
        <v>0.0</v>
      </c>
      <c r="E231" s="10">
        <v>0.0</v>
      </c>
    </row>
    <row r="232" ht="22.5" customHeight="1">
      <c r="A232" s="13" t="s">
        <v>323</v>
      </c>
      <c r="B232" s="13">
        <v>5.0</v>
      </c>
      <c r="C232" s="13">
        <v>19.0</v>
      </c>
      <c r="D232" s="10">
        <v>0.0</v>
      </c>
      <c r="E232" s="10">
        <v>0.0</v>
      </c>
    </row>
    <row r="233" ht="22.5" customHeight="1">
      <c r="A233" s="13" t="s">
        <v>278</v>
      </c>
      <c r="B233" s="13">
        <v>4.0</v>
      </c>
      <c r="C233" s="13">
        <v>15.0</v>
      </c>
      <c r="D233" s="10">
        <v>0.0</v>
      </c>
      <c r="E233" s="10">
        <v>0.0</v>
      </c>
    </row>
    <row r="234" ht="22.5" customHeight="1">
      <c r="A234" s="13" t="s">
        <v>325</v>
      </c>
      <c r="B234" s="13">
        <v>5.0</v>
      </c>
      <c r="C234" s="13">
        <v>19.0</v>
      </c>
      <c r="D234" s="10">
        <v>0.0</v>
      </c>
      <c r="E234" s="10">
        <v>0.0</v>
      </c>
    </row>
    <row r="235" ht="22.5" customHeight="1">
      <c r="A235" s="13" t="s">
        <v>326</v>
      </c>
      <c r="B235" s="13">
        <v>3.0</v>
      </c>
      <c r="C235" s="13">
        <v>12.0</v>
      </c>
      <c r="D235" s="10">
        <v>0.0</v>
      </c>
      <c r="E235" s="10">
        <v>0.0</v>
      </c>
    </row>
    <row r="236" ht="22.5" customHeight="1">
      <c r="A236" s="13" t="s">
        <v>328</v>
      </c>
      <c r="B236" s="13">
        <v>3.0</v>
      </c>
      <c r="C236" s="13">
        <v>12.0</v>
      </c>
      <c r="D236" s="10">
        <v>0.0</v>
      </c>
      <c r="E236" s="10">
        <v>0.0</v>
      </c>
    </row>
    <row r="237" ht="22.5" customHeight="1">
      <c r="A237" s="13" t="s">
        <v>329</v>
      </c>
      <c r="B237" s="13">
        <v>4.0</v>
      </c>
      <c r="C237" s="13">
        <v>16.0</v>
      </c>
      <c r="D237" s="10">
        <v>0.0</v>
      </c>
      <c r="E237" s="10">
        <v>0.0</v>
      </c>
    </row>
    <row r="238" ht="22.5" customHeight="1">
      <c r="A238" s="13" t="s">
        <v>331</v>
      </c>
      <c r="B238" s="13">
        <v>4.0</v>
      </c>
      <c r="C238" s="13">
        <v>16.0</v>
      </c>
      <c r="D238" s="10">
        <v>0.0</v>
      </c>
      <c r="E238" s="10">
        <v>0.0</v>
      </c>
    </row>
    <row r="239" ht="22.5" customHeight="1">
      <c r="A239" s="13" t="s">
        <v>333</v>
      </c>
      <c r="B239" s="13">
        <v>4.0</v>
      </c>
      <c r="C239" s="13">
        <v>16.0</v>
      </c>
      <c r="D239" s="10">
        <v>0.0</v>
      </c>
      <c r="E239" s="10">
        <v>0.0</v>
      </c>
    </row>
    <row r="240" ht="22.5" customHeight="1">
      <c r="A240" s="13" t="s">
        <v>324</v>
      </c>
      <c r="B240" s="13">
        <v>4.0</v>
      </c>
      <c r="C240" s="13">
        <v>16.0</v>
      </c>
      <c r="D240" s="10">
        <v>0.0</v>
      </c>
      <c r="E240" s="10">
        <v>0.0</v>
      </c>
    </row>
    <row r="241" ht="22.5" customHeight="1">
      <c r="A241" s="13" t="s">
        <v>186</v>
      </c>
      <c r="B241" s="13">
        <v>5.0</v>
      </c>
      <c r="C241" s="13">
        <v>20.0</v>
      </c>
      <c r="D241" s="10">
        <v>0.0</v>
      </c>
      <c r="E241" s="10">
        <v>0.0</v>
      </c>
    </row>
    <row r="242" ht="22.5" customHeight="1">
      <c r="A242" s="13" t="s">
        <v>336</v>
      </c>
      <c r="B242" s="13">
        <v>2.0</v>
      </c>
      <c r="C242" s="13">
        <v>7.0</v>
      </c>
      <c r="D242" s="10">
        <v>0.0</v>
      </c>
      <c r="E242" s="10">
        <v>0.0</v>
      </c>
    </row>
    <row r="243" ht="22.5" customHeight="1">
      <c r="A243" s="13" t="s">
        <v>338</v>
      </c>
      <c r="B243" s="13">
        <v>2.0</v>
      </c>
      <c r="C243" s="13">
        <v>8.0</v>
      </c>
      <c r="D243" s="10">
        <v>0.0</v>
      </c>
      <c r="E243" s="10">
        <v>0.5</v>
      </c>
    </row>
    <row r="244" ht="22.5" customHeight="1">
      <c r="A244" s="13" t="s">
        <v>339</v>
      </c>
      <c r="B244" s="13">
        <v>1.0</v>
      </c>
      <c r="C244" s="13">
        <v>4.0</v>
      </c>
      <c r="D244" s="10">
        <v>0.0</v>
      </c>
      <c r="E244" s="10">
        <v>0.0</v>
      </c>
    </row>
    <row r="245" ht="22.5" customHeight="1">
      <c r="A245" s="13" t="s">
        <v>299</v>
      </c>
      <c r="B245" s="13">
        <v>4.0</v>
      </c>
      <c r="C245" s="13">
        <v>14.0</v>
      </c>
      <c r="D245" s="10">
        <v>0.0</v>
      </c>
      <c r="E245" s="10">
        <v>0.0</v>
      </c>
    </row>
    <row r="246" ht="22.5" customHeight="1">
      <c r="A246" s="13" t="s">
        <v>256</v>
      </c>
      <c r="B246" s="13">
        <v>1.0</v>
      </c>
      <c r="C246" s="13">
        <v>3.0</v>
      </c>
      <c r="D246" s="10">
        <v>0.0</v>
      </c>
      <c r="E246" s="10">
        <v>0.0</v>
      </c>
    </row>
    <row r="247" ht="22.5" customHeight="1">
      <c r="A247" s="13" t="s">
        <v>346</v>
      </c>
      <c r="B247" s="13">
        <v>5.0</v>
      </c>
      <c r="C247" s="13">
        <v>16.0</v>
      </c>
      <c r="D247" s="10">
        <v>0.0</v>
      </c>
      <c r="E247" s="10">
        <v>0.0</v>
      </c>
    </row>
    <row r="248" ht="22.5" customHeight="1">
      <c r="A248" s="13" t="s">
        <v>348</v>
      </c>
      <c r="B248" s="13">
        <v>2.0</v>
      </c>
      <c r="C248" s="13">
        <v>8.0</v>
      </c>
      <c r="D248" s="10">
        <v>0.0</v>
      </c>
      <c r="E248" s="10">
        <v>0.0</v>
      </c>
    </row>
    <row r="249" ht="22.5" customHeight="1">
      <c r="A249" s="13" t="s">
        <v>193</v>
      </c>
      <c r="B249" s="13">
        <v>4.0</v>
      </c>
      <c r="C249" s="13">
        <v>15.0</v>
      </c>
      <c r="D249" s="10">
        <v>0.0</v>
      </c>
      <c r="E249" s="10">
        <v>0.0</v>
      </c>
    </row>
    <row r="250" ht="22.5" customHeight="1">
      <c r="A250" s="13" t="s">
        <v>258</v>
      </c>
      <c r="B250" s="13">
        <v>3.0</v>
      </c>
      <c r="C250" s="13">
        <v>11.0</v>
      </c>
      <c r="D250" s="10">
        <v>0.0</v>
      </c>
      <c r="E250" s="10">
        <v>0.0</v>
      </c>
    </row>
    <row r="251" ht="22.5" customHeight="1">
      <c r="A251" s="13" t="s">
        <v>301</v>
      </c>
      <c r="B251" s="13">
        <v>2.0</v>
      </c>
      <c r="C251" s="13">
        <v>8.0</v>
      </c>
      <c r="D251" s="10">
        <v>0.0</v>
      </c>
      <c r="E251" s="10">
        <v>0.0</v>
      </c>
    </row>
    <row r="252" ht="22.5" customHeight="1">
      <c r="A252" s="13" t="s">
        <v>341</v>
      </c>
      <c r="B252" s="13">
        <v>2.0</v>
      </c>
      <c r="C252" s="13">
        <v>7.0</v>
      </c>
      <c r="D252" s="10">
        <v>0.0</v>
      </c>
      <c r="E252" s="10">
        <v>0.0</v>
      </c>
    </row>
    <row r="253" ht="22.5" customHeight="1">
      <c r="A253" s="13" t="s">
        <v>312</v>
      </c>
      <c r="B253" s="13">
        <v>5.0</v>
      </c>
      <c r="C253" s="13">
        <v>19.0</v>
      </c>
      <c r="D253" s="10">
        <v>0.0</v>
      </c>
      <c r="E253" s="10">
        <v>0.2</v>
      </c>
    </row>
    <row r="254" ht="22.5" customHeight="1">
      <c r="A254" s="13" t="s">
        <v>327</v>
      </c>
      <c r="B254" s="13">
        <v>4.0</v>
      </c>
      <c r="C254" s="13">
        <v>16.0</v>
      </c>
      <c r="D254" s="10">
        <v>0.0</v>
      </c>
      <c r="E254" s="10">
        <v>0.0</v>
      </c>
    </row>
    <row r="255" ht="22.5" customHeight="1">
      <c r="A255" s="13" t="s">
        <v>342</v>
      </c>
      <c r="B255" s="13">
        <v>2.0</v>
      </c>
      <c r="C255" s="13">
        <v>8.0</v>
      </c>
      <c r="D255" s="10">
        <v>0.0</v>
      </c>
      <c r="E255" s="10">
        <v>0.0</v>
      </c>
    </row>
    <row r="256" ht="22.5" customHeight="1">
      <c r="A256" s="13" t="s">
        <v>343</v>
      </c>
      <c r="B256" s="13">
        <v>5.0</v>
      </c>
      <c r="C256" s="13">
        <v>20.0</v>
      </c>
      <c r="D256" s="10">
        <v>0.0</v>
      </c>
      <c r="E256" s="10">
        <v>0.0</v>
      </c>
    </row>
    <row r="257" ht="22.5" customHeight="1">
      <c r="A257" s="13" t="s">
        <v>302</v>
      </c>
      <c r="B257" s="13">
        <v>2.0</v>
      </c>
      <c r="C257" s="13">
        <v>8.0</v>
      </c>
      <c r="D257" s="10">
        <v>0.0</v>
      </c>
      <c r="E257" s="10">
        <v>0.0</v>
      </c>
    </row>
    <row r="258" ht="22.5" customHeight="1">
      <c r="A258" s="13" t="s">
        <v>231</v>
      </c>
      <c r="B258" s="13">
        <v>5.0</v>
      </c>
      <c r="C258" s="13">
        <v>19.0</v>
      </c>
      <c r="D258" s="10">
        <v>0.0</v>
      </c>
      <c r="E258" s="10">
        <v>0.0</v>
      </c>
    </row>
    <row r="259" ht="22.5" customHeight="1">
      <c r="A259" s="13" t="s">
        <v>261</v>
      </c>
      <c r="B259" s="13">
        <v>3.0</v>
      </c>
      <c r="C259" s="13">
        <v>12.0</v>
      </c>
      <c r="D259" s="10">
        <v>0.0</v>
      </c>
      <c r="E259" s="10">
        <v>0.0</v>
      </c>
    </row>
    <row r="260" ht="22.5" customHeight="1">
      <c r="A260" s="13" t="s">
        <v>243</v>
      </c>
      <c r="B260" s="13">
        <v>1.0</v>
      </c>
      <c r="C260" s="13">
        <v>4.0</v>
      </c>
      <c r="D260" s="10">
        <v>0.0</v>
      </c>
      <c r="E260" s="10">
        <v>0.0</v>
      </c>
    </row>
    <row r="261" ht="22.5" customHeight="1">
      <c r="A261" s="13" t="s">
        <v>290</v>
      </c>
      <c r="B261" s="13">
        <v>1.0</v>
      </c>
      <c r="C261" s="13">
        <v>4.0</v>
      </c>
      <c r="D261" s="10">
        <v>0.0</v>
      </c>
      <c r="E261" s="10">
        <v>0.0</v>
      </c>
    </row>
    <row r="262" ht="22.5" customHeight="1">
      <c r="A262" s="13" t="s">
        <v>17</v>
      </c>
      <c r="B262" s="13">
        <v>5.0</v>
      </c>
      <c r="C262" s="13">
        <v>20.0</v>
      </c>
      <c r="D262" s="10">
        <v>-0.8</v>
      </c>
      <c r="E262" s="10">
        <v>0.4</v>
      </c>
    </row>
    <row r="263" ht="22.5" customHeight="1">
      <c r="A263" s="13" t="s">
        <v>169</v>
      </c>
      <c r="B263" s="13">
        <v>5.0</v>
      </c>
      <c r="C263" s="13">
        <v>19.0</v>
      </c>
      <c r="D263" s="10">
        <v>-0.8</v>
      </c>
      <c r="E263" s="10">
        <v>0.2</v>
      </c>
    </row>
    <row r="264" ht="22.5" customHeight="1">
      <c r="A264" s="13" t="s">
        <v>209</v>
      </c>
      <c r="B264" s="13">
        <v>5.0</v>
      </c>
      <c r="C264" s="13">
        <v>17.0</v>
      </c>
      <c r="D264" s="10">
        <v>-0.8</v>
      </c>
      <c r="E264" s="10">
        <v>0.2</v>
      </c>
    </row>
    <row r="265" ht="22.5" customHeight="1">
      <c r="A265" s="13" t="s">
        <v>277</v>
      </c>
      <c r="B265" s="13">
        <v>5.0</v>
      </c>
      <c r="C265" s="13">
        <v>19.0</v>
      </c>
      <c r="D265" s="10">
        <v>-0.8</v>
      </c>
      <c r="E265" s="10">
        <v>0.2</v>
      </c>
    </row>
    <row r="266" ht="22.5" customHeight="1">
      <c r="A266" s="13" t="s">
        <v>279</v>
      </c>
      <c r="B266" s="13">
        <v>5.0</v>
      </c>
      <c r="C266" s="13">
        <v>19.0</v>
      </c>
      <c r="D266" s="10">
        <v>-0.8</v>
      </c>
      <c r="E266" s="10">
        <v>0.4</v>
      </c>
    </row>
    <row r="267" ht="22.5" customHeight="1">
      <c r="A267" s="13" t="s">
        <v>162</v>
      </c>
      <c r="B267" s="13">
        <v>4.0</v>
      </c>
      <c r="C267" s="13">
        <v>16.0</v>
      </c>
      <c r="D267" s="10">
        <v>-1.0</v>
      </c>
      <c r="E267" s="10">
        <v>0.25</v>
      </c>
    </row>
    <row r="268" ht="22.5" customHeight="1">
      <c r="A268" s="13" t="s">
        <v>316</v>
      </c>
      <c r="B268" s="13">
        <v>4.0</v>
      </c>
      <c r="C268" s="13">
        <v>15.0</v>
      </c>
      <c r="D268" s="10">
        <v>-1.0</v>
      </c>
      <c r="E268" s="10">
        <v>0.25</v>
      </c>
    </row>
    <row r="269" ht="22.5" customHeight="1">
      <c r="A269" s="13" t="s">
        <v>123</v>
      </c>
      <c r="B269" s="13">
        <v>3.0</v>
      </c>
      <c r="C269" s="13">
        <v>12.0</v>
      </c>
      <c r="D269" s="10">
        <v>-1.3333333333333333</v>
      </c>
      <c r="E269" s="10">
        <v>0.3333333333333333</v>
      </c>
    </row>
    <row r="270" ht="22.5" customHeight="1">
      <c r="A270" s="13" t="s">
        <v>245</v>
      </c>
      <c r="B270" s="13">
        <v>3.0</v>
      </c>
      <c r="C270" s="13">
        <v>11.0</v>
      </c>
      <c r="D270" s="10">
        <v>-1.3333333333333333</v>
      </c>
      <c r="E270" s="10">
        <v>0.3333333333333333</v>
      </c>
    </row>
    <row r="271" ht="22.5" customHeight="1">
      <c r="A271" s="13" t="s">
        <v>349</v>
      </c>
      <c r="B271" s="13">
        <v>3.0</v>
      </c>
      <c r="C271" s="13">
        <v>11.0</v>
      </c>
      <c r="D271" s="10">
        <v>-1.3333333333333333</v>
      </c>
      <c r="E271" s="10">
        <v>0.6666666666666666</v>
      </c>
    </row>
    <row r="272" ht="22.5" customHeight="1">
      <c r="A272" s="13" t="s">
        <v>347</v>
      </c>
      <c r="B272" s="13">
        <v>5.0</v>
      </c>
      <c r="C272" s="13">
        <v>16.0</v>
      </c>
      <c r="D272" s="10">
        <v>-1.6</v>
      </c>
      <c r="E272" s="10">
        <v>0.4</v>
      </c>
    </row>
    <row r="273" ht="22.5" customHeight="1">
      <c r="A273" s="13" t="s">
        <v>20</v>
      </c>
      <c r="B273" s="13">
        <v>2.0</v>
      </c>
      <c r="C273" s="13">
        <v>8.0</v>
      </c>
      <c r="D273" s="10">
        <v>-2.0</v>
      </c>
      <c r="E273" s="10">
        <v>0.5</v>
      </c>
    </row>
    <row r="274">
      <c r="E274" s="4"/>
    </row>
    <row r="275">
      <c r="E275" s="4"/>
    </row>
    <row r="276">
      <c r="E276" s="4"/>
    </row>
    <row r="277">
      <c r="E277" s="4"/>
    </row>
    <row r="278">
      <c r="E278" s="4"/>
    </row>
    <row r="279">
      <c r="E279" s="4"/>
    </row>
    <row r="280">
      <c r="E280" s="4"/>
    </row>
    <row r="281">
      <c r="E281" s="4"/>
    </row>
    <row r="282">
      <c r="E282" s="4"/>
    </row>
    <row r="283">
      <c r="E283" s="4"/>
    </row>
    <row r="284">
      <c r="E284" s="4"/>
    </row>
    <row r="285">
      <c r="E285" s="4"/>
    </row>
    <row r="286">
      <c r="E286" s="4"/>
    </row>
    <row r="287">
      <c r="E287" s="4"/>
    </row>
    <row r="288">
      <c r="E288" s="4"/>
    </row>
    <row r="289">
      <c r="E289" s="4"/>
    </row>
    <row r="290">
      <c r="E290" s="4"/>
    </row>
    <row r="291">
      <c r="E291" s="4"/>
    </row>
    <row r="292">
      <c r="E292" s="4"/>
    </row>
    <row r="293">
      <c r="E293" s="4"/>
    </row>
    <row r="294">
      <c r="E294" s="4"/>
    </row>
    <row r="295">
      <c r="E295" s="4"/>
    </row>
    <row r="296">
      <c r="E296" s="4"/>
    </row>
    <row r="297">
      <c r="E297" s="4"/>
    </row>
    <row r="298">
      <c r="E298" s="4"/>
    </row>
    <row r="299">
      <c r="E299" s="4"/>
    </row>
    <row r="300">
      <c r="E300" s="4"/>
    </row>
    <row r="301">
      <c r="E301" s="4"/>
    </row>
    <row r="302">
      <c r="E302" s="4"/>
    </row>
    <row r="303">
      <c r="E303" s="4"/>
    </row>
    <row r="304">
      <c r="E304" s="4"/>
    </row>
    <row r="305">
      <c r="E305" s="4"/>
    </row>
    <row r="306">
      <c r="E306" s="4"/>
    </row>
    <row r="307">
      <c r="E307" s="4"/>
    </row>
    <row r="308">
      <c r="E308" s="4"/>
    </row>
    <row r="309">
      <c r="E309" s="4"/>
    </row>
    <row r="310">
      <c r="E310" s="4"/>
    </row>
    <row r="311">
      <c r="E311" s="4"/>
    </row>
    <row r="312">
      <c r="E312" s="4"/>
    </row>
    <row r="313">
      <c r="E313" s="4"/>
    </row>
    <row r="314">
      <c r="E314" s="4"/>
    </row>
    <row r="315">
      <c r="E315" s="4"/>
    </row>
    <row r="316">
      <c r="E316" s="4"/>
    </row>
    <row r="317">
      <c r="E317" s="4"/>
    </row>
    <row r="318">
      <c r="E318" s="4"/>
    </row>
    <row r="319">
      <c r="E319" s="4"/>
    </row>
    <row r="320">
      <c r="E320" s="4"/>
    </row>
    <row r="321">
      <c r="E321" s="4"/>
    </row>
    <row r="322">
      <c r="E322" s="4"/>
    </row>
    <row r="323">
      <c r="E323" s="4"/>
    </row>
    <row r="324">
      <c r="E324" s="4"/>
    </row>
    <row r="325">
      <c r="E325" s="4"/>
    </row>
    <row r="326">
      <c r="E326" s="4"/>
    </row>
    <row r="327">
      <c r="E327" s="4"/>
    </row>
    <row r="328">
      <c r="E328" s="4"/>
    </row>
    <row r="329">
      <c r="E329" s="4"/>
    </row>
    <row r="330">
      <c r="E330" s="4"/>
    </row>
    <row r="331">
      <c r="E331" s="4"/>
    </row>
    <row r="332">
      <c r="E332" s="4"/>
    </row>
    <row r="333">
      <c r="E333" s="4"/>
    </row>
    <row r="334">
      <c r="E334" s="4"/>
    </row>
    <row r="335">
      <c r="E335" s="4"/>
    </row>
    <row r="336">
      <c r="E336" s="4"/>
    </row>
    <row r="337">
      <c r="E337" s="4"/>
    </row>
    <row r="338">
      <c r="E338" s="4"/>
    </row>
    <row r="339">
      <c r="E339" s="4"/>
    </row>
    <row r="340">
      <c r="E340" s="4"/>
    </row>
    <row r="341">
      <c r="E341" s="4"/>
    </row>
    <row r="342">
      <c r="E342" s="4"/>
    </row>
    <row r="343">
      <c r="E343" s="4"/>
    </row>
    <row r="344">
      <c r="E344" s="4"/>
    </row>
    <row r="345">
      <c r="E345" s="4"/>
    </row>
    <row r="346">
      <c r="E346" s="4"/>
    </row>
    <row r="347">
      <c r="E347" s="4"/>
    </row>
    <row r="348">
      <c r="E348" s="4"/>
    </row>
    <row r="349">
      <c r="E349" s="4"/>
    </row>
    <row r="350">
      <c r="E350" s="4"/>
    </row>
    <row r="351">
      <c r="E351" s="4"/>
    </row>
    <row r="352">
      <c r="E352" s="4"/>
    </row>
    <row r="353">
      <c r="E353" s="4"/>
    </row>
    <row r="354">
      <c r="E354" s="4"/>
    </row>
    <row r="355">
      <c r="E355" s="4"/>
    </row>
    <row r="356">
      <c r="E356" s="4"/>
    </row>
    <row r="357">
      <c r="E357" s="4"/>
    </row>
    <row r="358">
      <c r="E358" s="4"/>
    </row>
    <row r="359">
      <c r="E359" s="4"/>
    </row>
    <row r="360">
      <c r="E360" s="4"/>
    </row>
    <row r="361">
      <c r="E361" s="4"/>
    </row>
    <row r="362">
      <c r="E362" s="4"/>
    </row>
    <row r="363">
      <c r="E363" s="4"/>
    </row>
    <row r="364">
      <c r="E364" s="4"/>
    </row>
    <row r="365">
      <c r="E365" s="4"/>
    </row>
    <row r="366">
      <c r="E366" s="4"/>
    </row>
    <row r="367">
      <c r="E367" s="4"/>
    </row>
    <row r="368">
      <c r="E368" s="4"/>
    </row>
    <row r="369">
      <c r="E369" s="4"/>
    </row>
    <row r="370">
      <c r="E370" s="4"/>
    </row>
    <row r="371">
      <c r="E371" s="4"/>
    </row>
    <row r="372">
      <c r="E372" s="4"/>
    </row>
    <row r="373">
      <c r="E373" s="4"/>
    </row>
    <row r="374">
      <c r="E374" s="4"/>
    </row>
    <row r="375">
      <c r="E375" s="4"/>
    </row>
    <row r="376">
      <c r="E376" s="4"/>
    </row>
    <row r="377">
      <c r="E377" s="4"/>
    </row>
    <row r="378">
      <c r="E378" s="4"/>
    </row>
    <row r="379">
      <c r="E379" s="4"/>
    </row>
    <row r="380">
      <c r="E380" s="4"/>
    </row>
    <row r="381">
      <c r="E381" s="4"/>
    </row>
    <row r="382">
      <c r="E382" s="4"/>
    </row>
    <row r="383">
      <c r="E383" s="4"/>
    </row>
    <row r="384">
      <c r="E384" s="4"/>
    </row>
    <row r="385">
      <c r="E385" s="4"/>
    </row>
    <row r="386">
      <c r="E386" s="4"/>
    </row>
    <row r="387">
      <c r="E387" s="4"/>
    </row>
    <row r="388">
      <c r="E388" s="4"/>
    </row>
    <row r="389">
      <c r="E389" s="4"/>
    </row>
    <row r="390">
      <c r="E390" s="4"/>
    </row>
    <row r="391">
      <c r="E391" s="4"/>
    </row>
    <row r="392">
      <c r="E392" s="4"/>
    </row>
    <row r="393">
      <c r="E393" s="4"/>
    </row>
    <row r="394">
      <c r="E394" s="4"/>
    </row>
    <row r="395">
      <c r="E395" s="4"/>
    </row>
    <row r="396">
      <c r="E396" s="4"/>
    </row>
    <row r="397">
      <c r="E397" s="4"/>
    </row>
    <row r="398">
      <c r="E398" s="4"/>
    </row>
    <row r="399">
      <c r="E399" s="4"/>
    </row>
    <row r="400">
      <c r="E400" s="4"/>
    </row>
    <row r="401">
      <c r="E401" s="4"/>
    </row>
    <row r="402">
      <c r="E402" s="4"/>
    </row>
    <row r="403">
      <c r="E403" s="4"/>
    </row>
    <row r="404">
      <c r="E404" s="4"/>
    </row>
    <row r="405">
      <c r="E405" s="4"/>
    </row>
    <row r="406">
      <c r="E406" s="4"/>
    </row>
    <row r="407">
      <c r="E407" s="4"/>
    </row>
    <row r="408">
      <c r="E408" s="4"/>
    </row>
    <row r="409">
      <c r="E409" s="4"/>
    </row>
    <row r="410">
      <c r="E410" s="4"/>
    </row>
    <row r="411">
      <c r="E411" s="4"/>
    </row>
    <row r="412">
      <c r="E412" s="4"/>
    </row>
    <row r="413">
      <c r="E413" s="4"/>
    </row>
    <row r="414">
      <c r="E414" s="4"/>
    </row>
    <row r="415">
      <c r="E415" s="4"/>
    </row>
    <row r="416">
      <c r="E416" s="4"/>
    </row>
    <row r="417">
      <c r="E417" s="4"/>
    </row>
    <row r="418">
      <c r="E418" s="4"/>
    </row>
    <row r="419">
      <c r="E419" s="4"/>
    </row>
    <row r="420">
      <c r="E420" s="4"/>
    </row>
    <row r="421">
      <c r="E421" s="4"/>
    </row>
    <row r="422">
      <c r="E422" s="4"/>
    </row>
    <row r="423">
      <c r="E423" s="4"/>
    </row>
    <row r="424">
      <c r="E424" s="4"/>
    </row>
    <row r="425">
      <c r="E425" s="4"/>
    </row>
    <row r="426">
      <c r="E426" s="4"/>
    </row>
    <row r="427">
      <c r="E427" s="4"/>
    </row>
    <row r="428">
      <c r="E428" s="4"/>
    </row>
    <row r="429">
      <c r="E429" s="4"/>
    </row>
    <row r="430">
      <c r="E430" s="4"/>
    </row>
    <row r="431">
      <c r="E431" s="4"/>
    </row>
    <row r="432">
      <c r="E432" s="4"/>
    </row>
    <row r="433">
      <c r="E433" s="4"/>
    </row>
    <row r="434">
      <c r="E434" s="4"/>
    </row>
    <row r="435">
      <c r="E435" s="4"/>
    </row>
    <row r="436">
      <c r="E436" s="4"/>
    </row>
    <row r="437">
      <c r="E437" s="4"/>
    </row>
    <row r="438">
      <c r="E438" s="4"/>
    </row>
    <row r="439">
      <c r="E439" s="4"/>
    </row>
    <row r="440">
      <c r="E440" s="4"/>
    </row>
    <row r="441">
      <c r="E441" s="4"/>
    </row>
    <row r="442">
      <c r="E442" s="4"/>
    </row>
    <row r="443">
      <c r="E443" s="4"/>
    </row>
    <row r="444">
      <c r="E444" s="4"/>
    </row>
    <row r="445">
      <c r="E445" s="4"/>
    </row>
    <row r="446">
      <c r="E446" s="4"/>
    </row>
    <row r="447">
      <c r="E447" s="4"/>
    </row>
    <row r="448">
      <c r="E448" s="4"/>
    </row>
    <row r="449">
      <c r="E449" s="4"/>
    </row>
    <row r="450">
      <c r="E450" s="4"/>
    </row>
    <row r="451">
      <c r="E451" s="4"/>
    </row>
    <row r="452">
      <c r="E452" s="4"/>
    </row>
    <row r="453">
      <c r="E453" s="4"/>
    </row>
    <row r="454">
      <c r="E454" s="4"/>
    </row>
    <row r="455">
      <c r="E455" s="4"/>
    </row>
    <row r="456">
      <c r="E456" s="4"/>
    </row>
    <row r="457">
      <c r="E457" s="4"/>
    </row>
    <row r="458">
      <c r="E458" s="4"/>
    </row>
    <row r="459">
      <c r="E459" s="4"/>
    </row>
    <row r="460">
      <c r="E460" s="4"/>
    </row>
    <row r="461">
      <c r="E461" s="4"/>
    </row>
    <row r="462">
      <c r="E462" s="4"/>
    </row>
    <row r="463">
      <c r="E463" s="4"/>
    </row>
    <row r="464">
      <c r="E464" s="4"/>
    </row>
    <row r="465">
      <c r="E465" s="4"/>
    </row>
    <row r="466">
      <c r="E466" s="4"/>
    </row>
    <row r="467">
      <c r="E467" s="4"/>
    </row>
    <row r="468">
      <c r="E468" s="4"/>
    </row>
    <row r="469">
      <c r="E469" s="4"/>
    </row>
    <row r="470">
      <c r="E470" s="4"/>
    </row>
    <row r="471">
      <c r="E471" s="4"/>
    </row>
    <row r="472">
      <c r="E472" s="4"/>
    </row>
    <row r="473">
      <c r="E473" s="4"/>
    </row>
    <row r="474">
      <c r="E474" s="4"/>
    </row>
    <row r="475">
      <c r="E475" s="4"/>
    </row>
    <row r="476">
      <c r="E476" s="4"/>
    </row>
    <row r="477">
      <c r="E477" s="4"/>
    </row>
    <row r="478">
      <c r="E478" s="4"/>
    </row>
    <row r="479">
      <c r="E479" s="4"/>
    </row>
    <row r="480">
      <c r="E480" s="4"/>
    </row>
    <row r="481">
      <c r="E481" s="4"/>
    </row>
    <row r="482">
      <c r="E482" s="4"/>
    </row>
    <row r="483">
      <c r="E483" s="4"/>
    </row>
    <row r="484">
      <c r="E484" s="4"/>
    </row>
    <row r="485">
      <c r="E485" s="4"/>
    </row>
    <row r="486">
      <c r="E486" s="4"/>
    </row>
    <row r="487">
      <c r="E487" s="4"/>
    </row>
    <row r="488">
      <c r="E488" s="4"/>
    </row>
    <row r="489">
      <c r="E489" s="4"/>
    </row>
    <row r="490">
      <c r="E490" s="4"/>
    </row>
    <row r="491">
      <c r="E491" s="4"/>
    </row>
    <row r="492">
      <c r="E492" s="4"/>
    </row>
    <row r="493">
      <c r="E493" s="4"/>
    </row>
    <row r="494">
      <c r="E494" s="4"/>
    </row>
    <row r="495">
      <c r="E495" s="4"/>
    </row>
    <row r="496">
      <c r="E496" s="4"/>
    </row>
    <row r="497">
      <c r="E497" s="4"/>
    </row>
    <row r="498">
      <c r="E498" s="4"/>
    </row>
    <row r="499">
      <c r="E499" s="4"/>
    </row>
    <row r="500">
      <c r="E500" s="4"/>
    </row>
    <row r="501">
      <c r="E501" s="4"/>
    </row>
    <row r="502">
      <c r="E502" s="4"/>
    </row>
    <row r="503">
      <c r="E503" s="4"/>
    </row>
    <row r="504">
      <c r="E504" s="4"/>
    </row>
    <row r="505">
      <c r="E505" s="4"/>
    </row>
    <row r="506">
      <c r="E506" s="4"/>
    </row>
    <row r="507">
      <c r="E507" s="4"/>
    </row>
    <row r="508">
      <c r="E508" s="4"/>
    </row>
    <row r="509">
      <c r="E509" s="4"/>
    </row>
    <row r="510">
      <c r="E510" s="4"/>
    </row>
    <row r="511">
      <c r="E511" s="4"/>
    </row>
    <row r="512">
      <c r="E512" s="4"/>
    </row>
    <row r="513">
      <c r="E513" s="4"/>
    </row>
    <row r="514">
      <c r="E514" s="4"/>
    </row>
    <row r="515">
      <c r="E515" s="4"/>
    </row>
    <row r="516">
      <c r="E516" s="4"/>
    </row>
    <row r="517">
      <c r="E517" s="4"/>
    </row>
    <row r="518">
      <c r="E518" s="4"/>
    </row>
    <row r="519">
      <c r="E519" s="4"/>
    </row>
    <row r="520">
      <c r="E520" s="4"/>
    </row>
    <row r="521">
      <c r="E521" s="4"/>
    </row>
    <row r="522">
      <c r="E522" s="4"/>
    </row>
    <row r="523">
      <c r="E523" s="4"/>
    </row>
    <row r="524">
      <c r="E524" s="4"/>
    </row>
    <row r="525">
      <c r="E525" s="4"/>
    </row>
    <row r="526">
      <c r="E526" s="4"/>
    </row>
    <row r="527">
      <c r="E527" s="4"/>
    </row>
    <row r="528">
      <c r="E528" s="4"/>
    </row>
    <row r="529">
      <c r="E529" s="4"/>
    </row>
    <row r="530">
      <c r="E530" s="4"/>
    </row>
    <row r="531">
      <c r="E531" s="4"/>
    </row>
    <row r="532">
      <c r="E532" s="4"/>
    </row>
    <row r="533">
      <c r="E533" s="4"/>
    </row>
    <row r="534">
      <c r="E534" s="4"/>
    </row>
    <row r="535">
      <c r="E535" s="4"/>
    </row>
    <row r="536">
      <c r="E536" s="4"/>
    </row>
    <row r="537">
      <c r="E537" s="4"/>
    </row>
    <row r="538">
      <c r="E538" s="4"/>
    </row>
    <row r="539">
      <c r="E539" s="4"/>
    </row>
    <row r="540">
      <c r="E540" s="4"/>
    </row>
    <row r="541">
      <c r="E541" s="4"/>
    </row>
    <row r="542">
      <c r="E542" s="4"/>
    </row>
    <row r="543">
      <c r="E543" s="4"/>
    </row>
    <row r="544">
      <c r="E544" s="4"/>
    </row>
    <row r="545">
      <c r="E545" s="4"/>
    </row>
    <row r="546">
      <c r="E546" s="4"/>
    </row>
    <row r="547">
      <c r="E547" s="4"/>
    </row>
    <row r="548">
      <c r="E548" s="4"/>
    </row>
    <row r="549">
      <c r="E549" s="4"/>
    </row>
    <row r="550">
      <c r="E550" s="4"/>
    </row>
    <row r="551">
      <c r="E551" s="4"/>
    </row>
    <row r="552">
      <c r="E552" s="4"/>
    </row>
    <row r="553">
      <c r="E553" s="4"/>
    </row>
    <row r="554">
      <c r="E554" s="4"/>
    </row>
    <row r="555">
      <c r="E555" s="4"/>
    </row>
    <row r="556">
      <c r="E556" s="4"/>
    </row>
    <row r="557">
      <c r="E557" s="4"/>
    </row>
    <row r="558">
      <c r="E558" s="4"/>
    </row>
    <row r="559">
      <c r="E559" s="4"/>
    </row>
    <row r="560">
      <c r="E560" s="4"/>
    </row>
    <row r="561">
      <c r="E561" s="4"/>
    </row>
    <row r="562">
      <c r="E562" s="4"/>
    </row>
    <row r="563">
      <c r="E563" s="4"/>
    </row>
    <row r="564">
      <c r="E564" s="4"/>
    </row>
    <row r="565">
      <c r="E565" s="4"/>
    </row>
    <row r="566">
      <c r="E566" s="4"/>
    </row>
    <row r="567">
      <c r="E567" s="4"/>
    </row>
    <row r="568">
      <c r="E568" s="4"/>
    </row>
    <row r="569">
      <c r="E569" s="4"/>
    </row>
    <row r="570">
      <c r="E570" s="4"/>
    </row>
    <row r="571">
      <c r="E571" s="4"/>
    </row>
    <row r="572">
      <c r="E572" s="4"/>
    </row>
    <row r="573">
      <c r="E573" s="4"/>
    </row>
    <row r="574">
      <c r="E574" s="4"/>
    </row>
    <row r="575">
      <c r="E575" s="4"/>
    </row>
    <row r="576">
      <c r="E576" s="4"/>
    </row>
    <row r="577">
      <c r="E577" s="4"/>
    </row>
    <row r="578">
      <c r="E578" s="4"/>
    </row>
    <row r="579">
      <c r="E579" s="4"/>
    </row>
    <row r="580">
      <c r="E580" s="4"/>
    </row>
    <row r="581">
      <c r="E581" s="4"/>
    </row>
    <row r="582">
      <c r="E582" s="4"/>
    </row>
    <row r="583">
      <c r="E583" s="4"/>
    </row>
    <row r="584">
      <c r="E584" s="4"/>
    </row>
    <row r="585">
      <c r="E585" s="4"/>
    </row>
    <row r="586">
      <c r="E586" s="4"/>
    </row>
    <row r="587">
      <c r="E587" s="4"/>
    </row>
    <row r="588">
      <c r="E588" s="4"/>
    </row>
    <row r="589">
      <c r="E589" s="4"/>
    </row>
    <row r="590">
      <c r="E590" s="4"/>
    </row>
    <row r="591">
      <c r="E591" s="4"/>
    </row>
    <row r="592">
      <c r="E592" s="4"/>
    </row>
    <row r="593">
      <c r="E593" s="4"/>
    </row>
    <row r="594">
      <c r="E594" s="4"/>
    </row>
    <row r="595">
      <c r="E595" s="4"/>
    </row>
    <row r="596">
      <c r="E596" s="4"/>
    </row>
    <row r="597">
      <c r="E597" s="4"/>
    </row>
    <row r="598">
      <c r="E598" s="4"/>
    </row>
    <row r="599">
      <c r="E599" s="4"/>
    </row>
    <row r="600">
      <c r="E600" s="4"/>
    </row>
    <row r="601">
      <c r="E601" s="4"/>
    </row>
    <row r="602">
      <c r="E602" s="4"/>
    </row>
    <row r="603">
      <c r="E603" s="4"/>
    </row>
    <row r="604">
      <c r="E604" s="4"/>
    </row>
    <row r="605">
      <c r="E605" s="4"/>
    </row>
    <row r="606">
      <c r="E606" s="4"/>
    </row>
    <row r="607">
      <c r="E607" s="4"/>
    </row>
    <row r="608">
      <c r="E608" s="4"/>
    </row>
    <row r="609">
      <c r="E609" s="4"/>
    </row>
    <row r="610">
      <c r="E610" s="4"/>
    </row>
    <row r="611">
      <c r="E611" s="4"/>
    </row>
    <row r="612">
      <c r="E612" s="4"/>
    </row>
    <row r="613">
      <c r="E613" s="4"/>
    </row>
    <row r="614">
      <c r="E614" s="4"/>
    </row>
    <row r="615">
      <c r="E615" s="4"/>
    </row>
    <row r="616">
      <c r="E616" s="4"/>
    </row>
    <row r="617">
      <c r="E617" s="4"/>
    </row>
    <row r="618">
      <c r="E618" s="4"/>
    </row>
    <row r="619">
      <c r="E619" s="4"/>
    </row>
    <row r="620">
      <c r="E620" s="4"/>
    </row>
    <row r="621">
      <c r="E621" s="4"/>
    </row>
    <row r="622">
      <c r="E622" s="4"/>
    </row>
    <row r="623">
      <c r="E623" s="4"/>
    </row>
    <row r="624">
      <c r="E624" s="4"/>
    </row>
    <row r="625">
      <c r="E625" s="4"/>
    </row>
    <row r="626">
      <c r="E626" s="4"/>
    </row>
    <row r="627">
      <c r="E627" s="4"/>
    </row>
    <row r="628">
      <c r="E628" s="4"/>
    </row>
    <row r="629">
      <c r="E629" s="4"/>
    </row>
    <row r="630">
      <c r="E630" s="4"/>
    </row>
    <row r="631">
      <c r="E631" s="4"/>
    </row>
    <row r="632">
      <c r="E632" s="4"/>
    </row>
    <row r="633">
      <c r="E633" s="4"/>
    </row>
    <row r="634">
      <c r="E634" s="4"/>
    </row>
    <row r="635">
      <c r="E635" s="4"/>
    </row>
    <row r="636">
      <c r="E636" s="4"/>
    </row>
    <row r="637">
      <c r="E637" s="4"/>
    </row>
    <row r="638">
      <c r="E638" s="4"/>
    </row>
    <row r="639">
      <c r="E639" s="4"/>
    </row>
    <row r="640">
      <c r="E640" s="4"/>
    </row>
    <row r="641">
      <c r="E641" s="4"/>
    </row>
    <row r="642">
      <c r="E642" s="4"/>
    </row>
    <row r="643">
      <c r="E643" s="4"/>
    </row>
    <row r="644">
      <c r="E644" s="4"/>
    </row>
    <row r="645">
      <c r="E645" s="4"/>
    </row>
    <row r="646">
      <c r="E646" s="4"/>
    </row>
    <row r="647">
      <c r="E647" s="4"/>
    </row>
    <row r="648">
      <c r="E648" s="4"/>
    </row>
    <row r="649">
      <c r="E649" s="4"/>
    </row>
    <row r="650">
      <c r="E650" s="4"/>
    </row>
    <row r="651">
      <c r="E651" s="4"/>
    </row>
    <row r="652">
      <c r="E652" s="4"/>
    </row>
    <row r="653">
      <c r="E653" s="4"/>
    </row>
    <row r="654">
      <c r="E654" s="4"/>
    </row>
    <row r="655">
      <c r="E655" s="4"/>
    </row>
    <row r="656">
      <c r="E656" s="4"/>
    </row>
    <row r="657">
      <c r="E657" s="4"/>
    </row>
    <row r="658">
      <c r="E658" s="4"/>
    </row>
    <row r="659">
      <c r="E659" s="4"/>
    </row>
    <row r="660">
      <c r="E660" s="4"/>
    </row>
    <row r="661">
      <c r="E661" s="4"/>
    </row>
    <row r="662">
      <c r="E662" s="4"/>
    </row>
    <row r="663">
      <c r="E663" s="4"/>
    </row>
    <row r="664">
      <c r="E664" s="4"/>
    </row>
    <row r="665">
      <c r="E665" s="4"/>
    </row>
    <row r="666">
      <c r="E666" s="4"/>
    </row>
    <row r="667">
      <c r="E667" s="4"/>
    </row>
    <row r="668">
      <c r="E668" s="4"/>
    </row>
    <row r="669">
      <c r="E669" s="4"/>
    </row>
    <row r="670">
      <c r="E670" s="4"/>
    </row>
    <row r="671">
      <c r="E671" s="4"/>
    </row>
    <row r="672">
      <c r="E672" s="4"/>
    </row>
    <row r="673">
      <c r="E673" s="4"/>
    </row>
    <row r="674">
      <c r="E674" s="4"/>
    </row>
    <row r="675">
      <c r="E675" s="4"/>
    </row>
    <row r="676">
      <c r="E676" s="4"/>
    </row>
    <row r="677">
      <c r="E677" s="4"/>
    </row>
    <row r="678">
      <c r="E678" s="4"/>
    </row>
    <row r="679">
      <c r="E679" s="4"/>
    </row>
    <row r="680">
      <c r="E680" s="4"/>
    </row>
    <row r="681">
      <c r="E681" s="4"/>
    </row>
    <row r="682">
      <c r="E682" s="4"/>
    </row>
    <row r="683">
      <c r="E683" s="4"/>
    </row>
    <row r="684">
      <c r="E684" s="4"/>
    </row>
    <row r="685">
      <c r="E685" s="4"/>
    </row>
    <row r="686">
      <c r="E686" s="4"/>
    </row>
    <row r="687">
      <c r="E687" s="4"/>
    </row>
    <row r="688">
      <c r="E688" s="4"/>
    </row>
    <row r="689">
      <c r="E689" s="4"/>
    </row>
    <row r="690">
      <c r="E690" s="4"/>
    </row>
    <row r="691">
      <c r="E691" s="4"/>
    </row>
    <row r="692">
      <c r="E692" s="4"/>
    </row>
    <row r="693">
      <c r="E693" s="4"/>
    </row>
    <row r="694">
      <c r="E694" s="4"/>
    </row>
    <row r="695">
      <c r="E695" s="4"/>
    </row>
    <row r="696">
      <c r="E696" s="4"/>
    </row>
    <row r="697">
      <c r="E697" s="4"/>
    </row>
    <row r="698">
      <c r="E698" s="4"/>
    </row>
    <row r="699">
      <c r="E699" s="4"/>
    </row>
    <row r="700">
      <c r="E700" s="4"/>
    </row>
    <row r="701">
      <c r="E701" s="4"/>
    </row>
    <row r="702">
      <c r="E702" s="4"/>
    </row>
    <row r="703">
      <c r="E703" s="4"/>
    </row>
    <row r="704">
      <c r="E704" s="4"/>
    </row>
    <row r="705">
      <c r="E705" s="4"/>
    </row>
    <row r="706">
      <c r="E706" s="4"/>
    </row>
    <row r="707">
      <c r="E707" s="4"/>
    </row>
    <row r="708">
      <c r="E708" s="4"/>
    </row>
    <row r="709">
      <c r="E709" s="4"/>
    </row>
    <row r="710">
      <c r="E710" s="4"/>
    </row>
    <row r="711">
      <c r="E711" s="4"/>
    </row>
    <row r="712">
      <c r="E712" s="4"/>
    </row>
    <row r="713">
      <c r="E713" s="4"/>
    </row>
    <row r="714">
      <c r="E714" s="4"/>
    </row>
    <row r="715">
      <c r="E715" s="4"/>
    </row>
    <row r="716">
      <c r="E716" s="4"/>
    </row>
    <row r="717">
      <c r="E717" s="4"/>
    </row>
    <row r="718">
      <c r="E718" s="4"/>
    </row>
    <row r="719">
      <c r="E719" s="4"/>
    </row>
    <row r="720">
      <c r="E720" s="4"/>
    </row>
    <row r="721">
      <c r="E721" s="4"/>
    </row>
    <row r="722">
      <c r="E722" s="4"/>
    </row>
    <row r="723">
      <c r="E723" s="4"/>
    </row>
    <row r="724">
      <c r="E724" s="4"/>
    </row>
    <row r="725">
      <c r="E725" s="4"/>
    </row>
    <row r="726">
      <c r="E726" s="4"/>
    </row>
    <row r="727">
      <c r="E727" s="4"/>
    </row>
    <row r="728">
      <c r="E728" s="4"/>
    </row>
    <row r="729">
      <c r="E729" s="4"/>
    </row>
    <row r="730">
      <c r="E730" s="4"/>
    </row>
    <row r="731">
      <c r="E731" s="4"/>
    </row>
    <row r="732">
      <c r="E732" s="4"/>
    </row>
    <row r="733">
      <c r="E733" s="4"/>
    </row>
    <row r="734">
      <c r="E734" s="4"/>
    </row>
    <row r="735">
      <c r="E735" s="4"/>
    </row>
    <row r="736">
      <c r="E736" s="4"/>
    </row>
    <row r="737">
      <c r="E737" s="4"/>
    </row>
    <row r="738">
      <c r="E738" s="4"/>
    </row>
    <row r="739">
      <c r="E739" s="4"/>
    </row>
    <row r="740">
      <c r="E740" s="4"/>
    </row>
    <row r="741">
      <c r="E741" s="4"/>
    </row>
    <row r="742">
      <c r="E742" s="4"/>
    </row>
    <row r="743">
      <c r="E743" s="4"/>
    </row>
    <row r="744">
      <c r="E744" s="4"/>
    </row>
    <row r="745">
      <c r="E745" s="4"/>
    </row>
    <row r="746">
      <c r="E746" s="4"/>
    </row>
    <row r="747">
      <c r="E747" s="4"/>
    </row>
    <row r="748">
      <c r="E748" s="4"/>
    </row>
    <row r="749">
      <c r="E749" s="4"/>
    </row>
    <row r="750">
      <c r="E750" s="4"/>
    </row>
    <row r="751">
      <c r="E751" s="4"/>
    </row>
    <row r="752">
      <c r="E752" s="4"/>
    </row>
    <row r="753">
      <c r="E753" s="4"/>
    </row>
    <row r="754">
      <c r="E754" s="4"/>
    </row>
    <row r="755">
      <c r="E755" s="4"/>
    </row>
    <row r="756">
      <c r="E756" s="4"/>
    </row>
    <row r="757">
      <c r="E757" s="4"/>
    </row>
    <row r="758">
      <c r="E758" s="4"/>
    </row>
    <row r="759">
      <c r="E759" s="4"/>
    </row>
    <row r="760">
      <c r="E760" s="4"/>
    </row>
    <row r="761">
      <c r="E761" s="4"/>
    </row>
    <row r="762">
      <c r="E762" s="4"/>
    </row>
    <row r="763">
      <c r="E763" s="4"/>
    </row>
    <row r="764">
      <c r="E764" s="4"/>
    </row>
    <row r="765">
      <c r="E765" s="4"/>
    </row>
    <row r="766">
      <c r="E766" s="4"/>
    </row>
    <row r="767">
      <c r="E767" s="4"/>
    </row>
    <row r="768">
      <c r="E768" s="4"/>
    </row>
    <row r="769">
      <c r="E769" s="4"/>
    </row>
    <row r="770">
      <c r="E770" s="4"/>
    </row>
    <row r="771">
      <c r="E771" s="4"/>
    </row>
    <row r="772">
      <c r="E772" s="4"/>
    </row>
    <row r="773">
      <c r="E773" s="4"/>
    </row>
    <row r="774">
      <c r="E774" s="4"/>
    </row>
    <row r="775">
      <c r="E775" s="4"/>
    </row>
    <row r="776">
      <c r="E776" s="4"/>
    </row>
    <row r="777">
      <c r="E777" s="4"/>
    </row>
    <row r="778">
      <c r="E778" s="4"/>
    </row>
    <row r="779">
      <c r="E779" s="4"/>
    </row>
    <row r="780">
      <c r="E780" s="4"/>
    </row>
    <row r="781">
      <c r="E781" s="4"/>
    </row>
    <row r="782">
      <c r="E782" s="4"/>
    </row>
    <row r="783">
      <c r="E783" s="4"/>
    </row>
    <row r="784">
      <c r="E784" s="4"/>
    </row>
    <row r="785">
      <c r="E785" s="4"/>
    </row>
    <row r="786">
      <c r="E786" s="4"/>
    </row>
    <row r="787">
      <c r="E787" s="4"/>
    </row>
    <row r="788">
      <c r="E788" s="4"/>
    </row>
    <row r="789">
      <c r="E789" s="4"/>
    </row>
    <row r="790">
      <c r="E790" s="4"/>
    </row>
    <row r="791">
      <c r="E791" s="4"/>
    </row>
    <row r="792">
      <c r="E792" s="4"/>
    </row>
    <row r="793">
      <c r="E793" s="4"/>
    </row>
    <row r="794">
      <c r="E794" s="4"/>
    </row>
    <row r="795">
      <c r="E795" s="4"/>
    </row>
    <row r="796">
      <c r="E796" s="4"/>
    </row>
    <row r="797">
      <c r="E797" s="4"/>
    </row>
    <row r="798">
      <c r="E798" s="4"/>
    </row>
    <row r="799">
      <c r="E799" s="4"/>
    </row>
    <row r="800">
      <c r="E800" s="4"/>
    </row>
    <row r="801">
      <c r="E801" s="4"/>
    </row>
    <row r="802">
      <c r="E802" s="4"/>
    </row>
    <row r="803">
      <c r="E803" s="4"/>
    </row>
    <row r="804">
      <c r="E804" s="4"/>
    </row>
    <row r="805">
      <c r="E805" s="4"/>
    </row>
    <row r="806">
      <c r="E806" s="4"/>
    </row>
    <row r="807">
      <c r="E807" s="4"/>
    </row>
    <row r="808">
      <c r="E808" s="4"/>
    </row>
    <row r="809">
      <c r="E809" s="4"/>
    </row>
    <row r="810">
      <c r="E810" s="4"/>
    </row>
    <row r="811">
      <c r="E811" s="4"/>
    </row>
    <row r="812">
      <c r="E812" s="4"/>
    </row>
    <row r="813">
      <c r="E813" s="4"/>
    </row>
    <row r="814">
      <c r="E814" s="4"/>
    </row>
    <row r="815">
      <c r="E815" s="4"/>
    </row>
    <row r="816">
      <c r="E816" s="4"/>
    </row>
    <row r="817">
      <c r="E817" s="4"/>
    </row>
    <row r="818">
      <c r="E818" s="4"/>
    </row>
    <row r="819">
      <c r="E819" s="4"/>
    </row>
    <row r="820">
      <c r="E820" s="4"/>
    </row>
    <row r="821">
      <c r="E821" s="4"/>
    </row>
    <row r="822">
      <c r="E822" s="4"/>
    </row>
    <row r="823">
      <c r="E823" s="4"/>
    </row>
    <row r="824">
      <c r="E824" s="4"/>
    </row>
    <row r="825">
      <c r="E825" s="4"/>
    </row>
    <row r="826">
      <c r="E826" s="4"/>
    </row>
    <row r="827">
      <c r="E827" s="4"/>
    </row>
    <row r="828">
      <c r="E828" s="4"/>
    </row>
    <row r="829">
      <c r="E829" s="4"/>
    </row>
    <row r="830">
      <c r="E830" s="4"/>
    </row>
    <row r="831">
      <c r="E831" s="4"/>
    </row>
    <row r="832">
      <c r="E832" s="4"/>
    </row>
    <row r="833">
      <c r="E833" s="4"/>
    </row>
    <row r="834">
      <c r="E834" s="4"/>
    </row>
    <row r="835">
      <c r="E835" s="4"/>
    </row>
    <row r="836">
      <c r="E836" s="4"/>
    </row>
    <row r="837">
      <c r="E837" s="4"/>
    </row>
    <row r="838">
      <c r="E838" s="4"/>
    </row>
    <row r="839">
      <c r="E839" s="4"/>
    </row>
    <row r="840">
      <c r="E840" s="4"/>
    </row>
    <row r="841">
      <c r="E841" s="4"/>
    </row>
    <row r="842">
      <c r="E842" s="4"/>
    </row>
    <row r="843">
      <c r="E843" s="4"/>
    </row>
    <row r="844">
      <c r="E844" s="4"/>
    </row>
    <row r="845">
      <c r="E845" s="4"/>
    </row>
    <row r="846">
      <c r="E846" s="4"/>
    </row>
    <row r="847">
      <c r="E847" s="4"/>
    </row>
    <row r="848">
      <c r="E848" s="4"/>
    </row>
    <row r="849">
      <c r="E849" s="4"/>
    </row>
    <row r="850">
      <c r="E850" s="4"/>
    </row>
    <row r="851">
      <c r="E851" s="4"/>
    </row>
    <row r="852">
      <c r="E852" s="4"/>
    </row>
    <row r="853">
      <c r="E853" s="4"/>
    </row>
    <row r="854">
      <c r="E854" s="4"/>
    </row>
    <row r="855">
      <c r="E855" s="4"/>
    </row>
    <row r="856">
      <c r="E856" s="4"/>
    </row>
    <row r="857">
      <c r="E857" s="4"/>
    </row>
    <row r="858">
      <c r="E858" s="4"/>
    </row>
    <row r="859">
      <c r="E859" s="4"/>
    </row>
    <row r="860">
      <c r="E860" s="4"/>
    </row>
    <row r="861">
      <c r="E861" s="4"/>
    </row>
    <row r="862">
      <c r="E862" s="4"/>
    </row>
    <row r="863">
      <c r="E863" s="4"/>
    </row>
    <row r="864">
      <c r="E864" s="4"/>
    </row>
    <row r="865">
      <c r="E865" s="4"/>
    </row>
    <row r="866">
      <c r="E866" s="4"/>
    </row>
    <row r="867">
      <c r="E867" s="4"/>
    </row>
    <row r="868">
      <c r="E868" s="4"/>
    </row>
    <row r="869">
      <c r="E869" s="4"/>
    </row>
    <row r="870">
      <c r="E870" s="4"/>
    </row>
    <row r="871">
      <c r="E871" s="4"/>
    </row>
    <row r="872">
      <c r="E872" s="4"/>
    </row>
    <row r="873">
      <c r="E873" s="4"/>
    </row>
    <row r="874">
      <c r="E874" s="4"/>
    </row>
    <row r="875">
      <c r="E875" s="4"/>
    </row>
    <row r="876">
      <c r="E876" s="4"/>
    </row>
    <row r="877">
      <c r="E877" s="4"/>
    </row>
    <row r="878">
      <c r="E878" s="4"/>
    </row>
    <row r="879">
      <c r="E879" s="4"/>
    </row>
    <row r="880">
      <c r="E880" s="4"/>
    </row>
    <row r="881">
      <c r="E881" s="4"/>
    </row>
    <row r="882">
      <c r="E882" s="4"/>
    </row>
    <row r="883">
      <c r="E883" s="4"/>
    </row>
    <row r="884">
      <c r="E884" s="4"/>
    </row>
    <row r="885">
      <c r="E885" s="4"/>
    </row>
    <row r="886">
      <c r="E886" s="4"/>
    </row>
    <row r="887">
      <c r="E887" s="4"/>
    </row>
    <row r="888">
      <c r="E888" s="4"/>
    </row>
    <row r="889">
      <c r="E889" s="4"/>
    </row>
    <row r="890">
      <c r="E890" s="4"/>
    </row>
    <row r="891">
      <c r="E891" s="4"/>
    </row>
    <row r="892">
      <c r="E892" s="4"/>
    </row>
    <row r="893">
      <c r="E893" s="4"/>
    </row>
    <row r="894">
      <c r="E894" s="4"/>
    </row>
    <row r="895">
      <c r="E895" s="4"/>
    </row>
    <row r="896">
      <c r="E896" s="4"/>
    </row>
    <row r="897">
      <c r="E897" s="4"/>
    </row>
    <row r="898">
      <c r="E898" s="4"/>
    </row>
    <row r="899">
      <c r="E899" s="4"/>
    </row>
    <row r="900">
      <c r="E900" s="4"/>
    </row>
    <row r="901">
      <c r="E901" s="4"/>
    </row>
    <row r="902">
      <c r="E902" s="4"/>
    </row>
    <row r="903">
      <c r="E903" s="4"/>
    </row>
    <row r="904">
      <c r="E904" s="4"/>
    </row>
    <row r="905">
      <c r="E905" s="4"/>
    </row>
    <row r="906">
      <c r="E906" s="4"/>
    </row>
    <row r="907">
      <c r="E907" s="4"/>
    </row>
    <row r="908">
      <c r="E908" s="4"/>
    </row>
    <row r="909">
      <c r="E909" s="4"/>
    </row>
    <row r="910">
      <c r="E910" s="4"/>
    </row>
    <row r="911">
      <c r="E911" s="4"/>
    </row>
    <row r="912">
      <c r="E912" s="4"/>
    </row>
    <row r="913">
      <c r="E913" s="4"/>
    </row>
    <row r="914">
      <c r="E914" s="4"/>
    </row>
    <row r="915">
      <c r="E915" s="4"/>
    </row>
    <row r="916">
      <c r="E916" s="4"/>
    </row>
    <row r="917">
      <c r="E917" s="4"/>
    </row>
    <row r="918">
      <c r="E918" s="4"/>
    </row>
    <row r="919">
      <c r="E919" s="4"/>
    </row>
    <row r="920">
      <c r="E920" s="4"/>
    </row>
    <row r="921">
      <c r="E921" s="4"/>
    </row>
    <row r="922">
      <c r="E922" s="4"/>
    </row>
    <row r="923">
      <c r="E923" s="4"/>
    </row>
    <row r="924">
      <c r="E924" s="4"/>
    </row>
    <row r="925">
      <c r="E925" s="4"/>
    </row>
    <row r="926">
      <c r="E926" s="4"/>
    </row>
    <row r="927">
      <c r="E927" s="4"/>
    </row>
    <row r="928">
      <c r="E928" s="4"/>
    </row>
    <row r="929">
      <c r="E929" s="4"/>
    </row>
    <row r="930">
      <c r="E930" s="4"/>
    </row>
    <row r="931">
      <c r="E931" s="4"/>
    </row>
    <row r="932">
      <c r="E932" s="4"/>
    </row>
    <row r="933">
      <c r="E933" s="4"/>
    </row>
    <row r="934">
      <c r="E934" s="4"/>
    </row>
    <row r="935">
      <c r="E935" s="4"/>
    </row>
    <row r="936">
      <c r="E936" s="4"/>
    </row>
    <row r="937">
      <c r="E937" s="4"/>
    </row>
    <row r="938">
      <c r="E938" s="4"/>
    </row>
    <row r="939">
      <c r="E939" s="4"/>
    </row>
    <row r="940">
      <c r="E940" s="4"/>
    </row>
    <row r="941">
      <c r="E941" s="4"/>
    </row>
    <row r="942">
      <c r="E942" s="4"/>
    </row>
    <row r="943">
      <c r="E943" s="4"/>
    </row>
    <row r="944">
      <c r="E944" s="4"/>
    </row>
    <row r="945">
      <c r="E945" s="4"/>
    </row>
    <row r="946">
      <c r="E946" s="4"/>
    </row>
    <row r="947">
      <c r="E947" s="4"/>
    </row>
    <row r="948">
      <c r="E948" s="4"/>
    </row>
    <row r="949">
      <c r="E949" s="4"/>
    </row>
    <row r="950">
      <c r="E950" s="4"/>
    </row>
    <row r="951">
      <c r="E951" s="4"/>
    </row>
    <row r="952">
      <c r="E952" s="4"/>
    </row>
    <row r="953">
      <c r="E953" s="4"/>
    </row>
    <row r="954">
      <c r="E954" s="4"/>
    </row>
    <row r="955">
      <c r="E955" s="4"/>
    </row>
    <row r="956">
      <c r="E956" s="4"/>
    </row>
    <row r="957">
      <c r="E957" s="4"/>
    </row>
    <row r="958">
      <c r="E958" s="4"/>
    </row>
    <row r="959">
      <c r="E959" s="4"/>
    </row>
    <row r="960">
      <c r="E960" s="4"/>
    </row>
    <row r="961">
      <c r="E961" s="4"/>
    </row>
    <row r="962">
      <c r="E962" s="4"/>
    </row>
    <row r="963">
      <c r="E963" s="4"/>
    </row>
    <row r="964">
      <c r="E964" s="4"/>
    </row>
    <row r="965">
      <c r="E965" s="4"/>
    </row>
    <row r="966">
      <c r="E966" s="4"/>
    </row>
    <row r="967">
      <c r="E967" s="4"/>
    </row>
    <row r="968">
      <c r="E968" s="4"/>
    </row>
    <row r="969">
      <c r="E969" s="4"/>
    </row>
    <row r="970">
      <c r="E970" s="4"/>
    </row>
    <row r="971">
      <c r="E971" s="4"/>
    </row>
    <row r="972">
      <c r="E972" s="4"/>
    </row>
    <row r="973">
      <c r="E973" s="4"/>
    </row>
    <row r="974">
      <c r="E974" s="4"/>
    </row>
    <row r="975">
      <c r="E975" s="4"/>
    </row>
    <row r="976">
      <c r="E976" s="4"/>
    </row>
    <row r="977">
      <c r="E977" s="4"/>
    </row>
    <row r="978">
      <c r="E978" s="4"/>
    </row>
    <row r="979">
      <c r="E979" s="4"/>
    </row>
    <row r="980">
      <c r="E980" s="4"/>
    </row>
    <row r="981">
      <c r="E981" s="4"/>
    </row>
    <row r="982">
      <c r="E982" s="4"/>
    </row>
    <row r="983">
      <c r="E983" s="4"/>
    </row>
    <row r="984">
      <c r="E984" s="4"/>
    </row>
    <row r="985">
      <c r="E985" s="4"/>
    </row>
    <row r="986">
      <c r="E986" s="4"/>
    </row>
    <row r="987">
      <c r="E987" s="4"/>
    </row>
    <row r="988">
      <c r="E988" s="4"/>
    </row>
    <row r="989">
      <c r="E989" s="4"/>
    </row>
    <row r="990">
      <c r="E990" s="4"/>
    </row>
    <row r="991">
      <c r="E991" s="4"/>
    </row>
    <row r="992">
      <c r="E992" s="4"/>
    </row>
    <row r="993">
      <c r="E993" s="4"/>
    </row>
    <row r="994">
      <c r="E994" s="4"/>
    </row>
    <row r="995">
      <c r="E995" s="4"/>
    </row>
    <row r="996">
      <c r="E996" s="4"/>
    </row>
    <row r="997">
      <c r="E997" s="4"/>
    </row>
    <row r="998">
      <c r="E998" s="4"/>
    </row>
    <row r="999">
      <c r="E999" s="4"/>
    </row>
    <row r="1000">
      <c r="E1000" s="4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3" max="3" width="17.25"/>
  </cols>
  <sheetData>
    <row r="1" ht="22.5" customHeight="1">
      <c r="A1" s="12" t="s">
        <v>36</v>
      </c>
      <c r="B1" s="12" t="s">
        <v>42</v>
      </c>
      <c r="C1" s="12" t="s">
        <v>44</v>
      </c>
      <c r="D1" s="8" t="s">
        <v>45</v>
      </c>
      <c r="E1" s="8" t="s">
        <v>30</v>
      </c>
    </row>
    <row r="2" ht="22.5" customHeight="1">
      <c r="A2" s="13" t="s">
        <v>90</v>
      </c>
      <c r="B2" s="13">
        <v>5.0</v>
      </c>
      <c r="C2" s="13">
        <v>20.0</v>
      </c>
      <c r="D2" s="10">
        <v>9.6</v>
      </c>
      <c r="E2" s="10">
        <v>0.2</v>
      </c>
    </row>
    <row r="3" ht="22.5" customHeight="1">
      <c r="A3" s="13" t="s">
        <v>83</v>
      </c>
      <c r="B3" s="13">
        <v>3.0</v>
      </c>
      <c r="C3" s="13">
        <v>12.0</v>
      </c>
      <c r="D3" s="10">
        <v>9.333333333333334</v>
      </c>
      <c r="E3" s="10">
        <v>0.3333333333333333</v>
      </c>
    </row>
    <row r="4" ht="22.5" customHeight="1">
      <c r="A4" s="13" t="s">
        <v>112</v>
      </c>
      <c r="B4" s="13">
        <v>5.0</v>
      </c>
      <c r="C4" s="13">
        <v>21.0</v>
      </c>
      <c r="D4" s="10">
        <v>8.8</v>
      </c>
      <c r="E4" s="10">
        <v>0.2</v>
      </c>
    </row>
    <row r="5" ht="22.5" customHeight="1">
      <c r="A5" s="13" t="s">
        <v>129</v>
      </c>
      <c r="B5" s="13">
        <v>5.0</v>
      </c>
      <c r="C5" s="13">
        <v>21.0</v>
      </c>
      <c r="D5" s="10">
        <v>8.8</v>
      </c>
      <c r="E5" s="10">
        <v>0.0</v>
      </c>
    </row>
    <row r="6" ht="22.5" customHeight="1">
      <c r="A6" s="13" t="s">
        <v>221</v>
      </c>
      <c r="B6" s="13">
        <v>4.0</v>
      </c>
      <c r="C6" s="13">
        <v>16.0</v>
      </c>
      <c r="D6" s="10">
        <v>8.0</v>
      </c>
      <c r="E6" s="10">
        <v>0.0</v>
      </c>
    </row>
    <row r="7" ht="22.5" customHeight="1">
      <c r="A7" s="13" t="s">
        <v>52</v>
      </c>
      <c r="B7" s="13">
        <v>5.0</v>
      </c>
      <c r="C7" s="13">
        <v>20.0</v>
      </c>
      <c r="D7" s="10">
        <v>8.0</v>
      </c>
      <c r="E7" s="10">
        <v>0.4</v>
      </c>
    </row>
    <row r="8" ht="22.5" customHeight="1">
      <c r="A8" s="13" t="s">
        <v>168</v>
      </c>
      <c r="B8" s="13">
        <v>5.0</v>
      </c>
      <c r="C8" s="13">
        <v>20.0</v>
      </c>
      <c r="D8" s="10">
        <v>8.0</v>
      </c>
      <c r="E8" s="10">
        <v>0.4</v>
      </c>
    </row>
    <row r="9" ht="22.5" customHeight="1">
      <c r="A9" s="13" t="s">
        <v>180</v>
      </c>
      <c r="B9" s="13">
        <v>5.0</v>
      </c>
      <c r="C9" s="13">
        <v>20.0</v>
      </c>
      <c r="D9" s="10">
        <v>7.2</v>
      </c>
      <c r="E9" s="10">
        <v>0.0</v>
      </c>
    </row>
    <row r="10" ht="22.5" customHeight="1">
      <c r="A10" s="13" t="s">
        <v>230</v>
      </c>
      <c r="B10" s="13">
        <v>5.0</v>
      </c>
      <c r="C10" s="13">
        <v>20.0</v>
      </c>
      <c r="D10" s="10">
        <v>7.2</v>
      </c>
      <c r="E10" s="10">
        <v>0.8</v>
      </c>
    </row>
    <row r="11" ht="22.5" customHeight="1">
      <c r="A11" s="13" t="s">
        <v>216</v>
      </c>
      <c r="B11" s="13">
        <v>5.0</v>
      </c>
      <c r="C11" s="13">
        <v>20.0</v>
      </c>
      <c r="D11" s="10">
        <v>7.2</v>
      </c>
      <c r="E11" s="10">
        <v>0.2</v>
      </c>
    </row>
    <row r="12" ht="22.5" customHeight="1">
      <c r="A12" s="13" t="s">
        <v>223</v>
      </c>
      <c r="B12" s="13">
        <v>4.0</v>
      </c>
      <c r="C12" s="13">
        <v>16.0</v>
      </c>
      <c r="D12" s="10">
        <v>7.0</v>
      </c>
      <c r="E12" s="10">
        <v>0.5</v>
      </c>
    </row>
    <row r="13" ht="22.5" customHeight="1">
      <c r="A13" s="13" t="s">
        <v>187</v>
      </c>
      <c r="B13" s="13">
        <v>3.0</v>
      </c>
      <c r="C13" s="13">
        <v>12.0</v>
      </c>
      <c r="D13" s="10">
        <v>6.666666666666667</v>
      </c>
      <c r="E13" s="10">
        <v>0.3333333333333333</v>
      </c>
    </row>
    <row r="14" ht="22.5" customHeight="1">
      <c r="A14" s="13" t="s">
        <v>217</v>
      </c>
      <c r="B14" s="13">
        <v>3.0</v>
      </c>
      <c r="C14" s="13">
        <v>12.0</v>
      </c>
      <c r="D14" s="10">
        <v>6.666666666666667</v>
      </c>
      <c r="E14" s="10">
        <v>0.0</v>
      </c>
    </row>
    <row r="15" ht="22.5" customHeight="1">
      <c r="A15" s="13" t="s">
        <v>17</v>
      </c>
      <c r="B15" s="13">
        <v>5.0</v>
      </c>
      <c r="C15" s="13">
        <v>20.0</v>
      </c>
      <c r="D15" s="10">
        <v>6.4</v>
      </c>
      <c r="E15" s="10">
        <v>0.6</v>
      </c>
      <c r="I15" s="3" t="s">
        <v>360</v>
      </c>
    </row>
    <row r="16" ht="22.5" customHeight="1">
      <c r="A16" s="13" t="s">
        <v>68</v>
      </c>
      <c r="B16" s="13">
        <v>5.0</v>
      </c>
      <c r="C16" s="13">
        <v>20.0</v>
      </c>
      <c r="D16" s="10">
        <v>6.4</v>
      </c>
      <c r="E16" s="10">
        <v>0.2</v>
      </c>
    </row>
    <row r="17" ht="22.5" customHeight="1">
      <c r="A17" s="13" t="s">
        <v>147</v>
      </c>
      <c r="B17" s="13">
        <v>5.0</v>
      </c>
      <c r="C17" s="13">
        <v>20.0</v>
      </c>
      <c r="D17" s="10">
        <v>6.4</v>
      </c>
      <c r="E17" s="10">
        <v>0.0</v>
      </c>
    </row>
    <row r="18" ht="22.5" customHeight="1">
      <c r="A18" s="13" t="s">
        <v>74</v>
      </c>
      <c r="B18" s="13">
        <v>5.0</v>
      </c>
      <c r="C18" s="13">
        <v>20.0</v>
      </c>
      <c r="D18" s="10">
        <v>6.4</v>
      </c>
      <c r="E18" s="10">
        <v>0.0</v>
      </c>
    </row>
    <row r="19" ht="22.5" customHeight="1">
      <c r="A19" s="13" t="s">
        <v>183</v>
      </c>
      <c r="B19" s="13">
        <v>5.0</v>
      </c>
      <c r="C19" s="13">
        <v>20.0</v>
      </c>
      <c r="D19" s="10">
        <v>6.4</v>
      </c>
      <c r="E19" s="10">
        <v>0.8</v>
      </c>
    </row>
    <row r="20" ht="22.5" customHeight="1">
      <c r="A20" s="13" t="s">
        <v>164</v>
      </c>
      <c r="B20" s="13">
        <v>5.0</v>
      </c>
      <c r="C20" s="13">
        <v>20.0</v>
      </c>
      <c r="D20" s="10">
        <v>6.4</v>
      </c>
      <c r="E20" s="10">
        <v>0.4</v>
      </c>
    </row>
    <row r="21" ht="22.5" customHeight="1">
      <c r="A21" s="13" t="s">
        <v>267</v>
      </c>
      <c r="B21" s="13">
        <v>5.0</v>
      </c>
      <c r="C21" s="13">
        <v>20.0</v>
      </c>
      <c r="D21" s="10">
        <v>6.4</v>
      </c>
      <c r="E21" s="10">
        <v>0.2</v>
      </c>
    </row>
    <row r="22" ht="22.5" customHeight="1">
      <c r="A22" s="13" t="s">
        <v>285</v>
      </c>
      <c r="B22" s="13">
        <v>5.0</v>
      </c>
      <c r="C22" s="13">
        <v>20.0</v>
      </c>
      <c r="D22" s="10">
        <v>6.4</v>
      </c>
      <c r="E22" s="10">
        <v>0.0</v>
      </c>
    </row>
    <row r="23" ht="22.5" customHeight="1">
      <c r="A23" s="13" t="s">
        <v>215</v>
      </c>
      <c r="B23" s="13">
        <v>5.0</v>
      </c>
      <c r="C23" s="13">
        <v>19.0</v>
      </c>
      <c r="D23" s="10">
        <v>6.4</v>
      </c>
      <c r="E23" s="10">
        <v>0.4</v>
      </c>
    </row>
    <row r="24" ht="22.5" customHeight="1">
      <c r="A24" s="13" t="s">
        <v>287</v>
      </c>
      <c r="B24" s="13">
        <v>5.0</v>
      </c>
      <c r="C24" s="13">
        <v>20.0</v>
      </c>
      <c r="D24" s="10">
        <v>6.4</v>
      </c>
      <c r="E24" s="10">
        <v>0.2</v>
      </c>
    </row>
    <row r="25" ht="22.5" customHeight="1">
      <c r="A25" s="13" t="s">
        <v>109</v>
      </c>
      <c r="B25" s="13">
        <v>2.0</v>
      </c>
      <c r="C25" s="13">
        <v>8.0</v>
      </c>
      <c r="D25" s="10">
        <v>6.0</v>
      </c>
      <c r="E25" s="10">
        <v>0.0</v>
      </c>
    </row>
    <row r="26" ht="22.5" customHeight="1">
      <c r="A26" s="13" t="s">
        <v>132</v>
      </c>
      <c r="B26" s="13">
        <v>4.0</v>
      </c>
      <c r="C26" s="13">
        <v>16.0</v>
      </c>
      <c r="D26" s="10">
        <v>6.0</v>
      </c>
      <c r="E26" s="10">
        <v>0.25</v>
      </c>
    </row>
    <row r="27" ht="22.5" customHeight="1">
      <c r="A27" s="13" t="s">
        <v>152</v>
      </c>
      <c r="B27" s="13">
        <v>4.0</v>
      </c>
      <c r="C27" s="13">
        <v>16.0</v>
      </c>
      <c r="D27" s="10">
        <v>6.0</v>
      </c>
      <c r="E27" s="10">
        <v>0.0</v>
      </c>
    </row>
    <row r="28" ht="22.5" customHeight="1">
      <c r="A28" s="13" t="s">
        <v>5</v>
      </c>
      <c r="B28" s="13">
        <v>5.0</v>
      </c>
      <c r="C28" s="13">
        <v>20.0</v>
      </c>
      <c r="D28" s="10">
        <v>5.6</v>
      </c>
      <c r="E28" s="10">
        <v>0.2</v>
      </c>
    </row>
    <row r="29" ht="22.5" customHeight="1">
      <c r="A29" s="13" t="s">
        <v>70</v>
      </c>
      <c r="B29" s="13">
        <v>5.0</v>
      </c>
      <c r="C29" s="13">
        <v>20.0</v>
      </c>
      <c r="D29" s="10">
        <v>5.6</v>
      </c>
      <c r="E29" s="10">
        <v>0.2</v>
      </c>
    </row>
    <row r="30" ht="22.5" customHeight="1">
      <c r="A30" s="13" t="s">
        <v>202</v>
      </c>
      <c r="B30" s="13">
        <v>5.0</v>
      </c>
      <c r="C30" s="13">
        <v>20.0</v>
      </c>
      <c r="D30" s="10">
        <v>5.6</v>
      </c>
      <c r="E30" s="10">
        <v>0.2</v>
      </c>
    </row>
    <row r="31" ht="22.5" customHeight="1">
      <c r="A31" s="13" t="s">
        <v>244</v>
      </c>
      <c r="B31" s="13">
        <v>5.0</v>
      </c>
      <c r="C31" s="13">
        <v>20.0</v>
      </c>
      <c r="D31" s="10">
        <v>5.6</v>
      </c>
      <c r="E31" s="10">
        <v>0.4</v>
      </c>
    </row>
    <row r="32" ht="22.5" customHeight="1">
      <c r="A32" s="13" t="s">
        <v>312</v>
      </c>
      <c r="B32" s="13">
        <v>5.0</v>
      </c>
      <c r="C32" s="13">
        <v>20.0</v>
      </c>
      <c r="D32" s="10">
        <v>5.6</v>
      </c>
      <c r="E32" s="10">
        <v>0.2</v>
      </c>
    </row>
    <row r="33" ht="22.5" customHeight="1">
      <c r="A33" s="13" t="s">
        <v>80</v>
      </c>
      <c r="B33" s="13">
        <v>4.0</v>
      </c>
      <c r="C33" s="13">
        <v>16.0</v>
      </c>
      <c r="D33" s="10">
        <v>5.0</v>
      </c>
      <c r="E33" s="10">
        <v>0.0</v>
      </c>
    </row>
    <row r="34" ht="22.5" customHeight="1">
      <c r="A34" s="13" t="s">
        <v>300</v>
      </c>
      <c r="B34" s="13">
        <v>4.0</v>
      </c>
      <c r="C34" s="13">
        <v>15.0</v>
      </c>
      <c r="D34" s="10">
        <v>5.0</v>
      </c>
      <c r="E34" s="10">
        <v>0.5</v>
      </c>
    </row>
    <row r="35" ht="22.5" customHeight="1">
      <c r="A35" s="13" t="s">
        <v>165</v>
      </c>
      <c r="B35" s="13">
        <v>5.0</v>
      </c>
      <c r="C35" s="13">
        <v>20.0</v>
      </c>
      <c r="D35" s="10">
        <v>4.8</v>
      </c>
      <c r="E35" s="10">
        <v>0.8</v>
      </c>
    </row>
    <row r="36" ht="22.5" customHeight="1">
      <c r="A36" s="13" t="s">
        <v>220</v>
      </c>
      <c r="B36" s="13">
        <v>5.0</v>
      </c>
      <c r="C36" s="13">
        <v>20.0</v>
      </c>
      <c r="D36" s="10">
        <v>4.8</v>
      </c>
      <c r="E36" s="10">
        <v>0.6</v>
      </c>
    </row>
    <row r="37" ht="22.5" customHeight="1">
      <c r="A37" s="13" t="s">
        <v>182</v>
      </c>
      <c r="B37" s="13">
        <v>5.0</v>
      </c>
      <c r="C37" s="13">
        <v>21.0</v>
      </c>
      <c r="D37" s="10">
        <v>4.8</v>
      </c>
      <c r="E37" s="10">
        <v>0.0</v>
      </c>
    </row>
    <row r="38" ht="22.5" customHeight="1">
      <c r="A38" s="13" t="s">
        <v>186</v>
      </c>
      <c r="B38" s="13">
        <v>5.0</v>
      </c>
      <c r="C38" s="13">
        <v>21.0</v>
      </c>
      <c r="D38" s="10">
        <v>4.8</v>
      </c>
      <c r="E38" s="10">
        <v>0.0</v>
      </c>
    </row>
    <row r="39" ht="22.5" customHeight="1">
      <c r="A39" s="13" t="s">
        <v>231</v>
      </c>
      <c r="B39" s="13">
        <v>5.0</v>
      </c>
      <c r="C39" s="13">
        <v>20.0</v>
      </c>
      <c r="D39" s="10">
        <v>4.8</v>
      </c>
      <c r="E39" s="10">
        <v>0.2</v>
      </c>
    </row>
    <row r="40" ht="22.5" customHeight="1">
      <c r="A40" s="13" t="s">
        <v>122</v>
      </c>
      <c r="B40" s="13">
        <v>5.0</v>
      </c>
      <c r="C40" s="13">
        <v>20.0</v>
      </c>
      <c r="D40" s="10">
        <v>4.8</v>
      </c>
      <c r="E40" s="10">
        <v>0.2</v>
      </c>
    </row>
    <row r="41" ht="22.5" customHeight="1">
      <c r="A41" s="13" t="s">
        <v>76</v>
      </c>
      <c r="B41" s="13">
        <v>1.0</v>
      </c>
      <c r="C41" s="13">
        <v>4.0</v>
      </c>
      <c r="D41" s="10">
        <v>4.0</v>
      </c>
      <c r="E41" s="10">
        <v>0.0</v>
      </c>
    </row>
    <row r="42" ht="22.5" customHeight="1">
      <c r="A42" s="13" t="s">
        <v>137</v>
      </c>
      <c r="B42" s="13">
        <v>2.0</v>
      </c>
      <c r="C42" s="13">
        <v>8.0</v>
      </c>
      <c r="D42" s="10">
        <v>4.0</v>
      </c>
      <c r="E42" s="10">
        <v>0.0</v>
      </c>
    </row>
    <row r="43" ht="22.5" customHeight="1">
      <c r="A43" s="13" t="s">
        <v>176</v>
      </c>
      <c r="B43" s="13">
        <v>1.0</v>
      </c>
      <c r="C43" s="13">
        <v>4.0</v>
      </c>
      <c r="D43" s="10">
        <v>4.0</v>
      </c>
      <c r="E43" s="10">
        <v>0.0</v>
      </c>
    </row>
    <row r="44" ht="22.5" customHeight="1">
      <c r="A44" s="13" t="s">
        <v>161</v>
      </c>
      <c r="B44" s="13">
        <v>5.0</v>
      </c>
      <c r="C44" s="13">
        <v>21.0</v>
      </c>
      <c r="D44" s="10">
        <v>4.0</v>
      </c>
      <c r="E44" s="10">
        <v>0.4</v>
      </c>
    </row>
    <row r="45" ht="22.5" customHeight="1">
      <c r="A45" s="13" t="s">
        <v>237</v>
      </c>
      <c r="B45" s="13">
        <v>1.0</v>
      </c>
      <c r="C45" s="13">
        <v>4.0</v>
      </c>
      <c r="D45" s="10">
        <v>4.0</v>
      </c>
      <c r="E45" s="10">
        <v>0.0</v>
      </c>
    </row>
    <row r="46" ht="22.5" customHeight="1">
      <c r="A46" s="13" t="s">
        <v>262</v>
      </c>
      <c r="B46" s="13">
        <v>5.0</v>
      </c>
      <c r="C46" s="13">
        <v>20.0</v>
      </c>
      <c r="D46" s="10">
        <v>4.0</v>
      </c>
      <c r="E46" s="10">
        <v>0.2</v>
      </c>
    </row>
    <row r="47" ht="22.5" customHeight="1">
      <c r="A47" s="13" t="s">
        <v>277</v>
      </c>
      <c r="B47" s="13">
        <v>5.0</v>
      </c>
      <c r="C47" s="13">
        <v>20.0</v>
      </c>
      <c r="D47" s="10">
        <v>4.0</v>
      </c>
      <c r="E47" s="10">
        <v>0.2</v>
      </c>
    </row>
    <row r="48" ht="22.5" customHeight="1">
      <c r="A48" s="16" t="s">
        <v>138</v>
      </c>
      <c r="B48" s="13">
        <v>1.0</v>
      </c>
      <c r="C48" s="13">
        <v>4.0</v>
      </c>
      <c r="D48" s="10">
        <v>4.0</v>
      </c>
      <c r="E48" s="10">
        <v>0.0</v>
      </c>
    </row>
    <row r="49" ht="22.5" customHeight="1">
      <c r="A49" s="13" t="s">
        <v>334</v>
      </c>
      <c r="B49" s="13">
        <v>1.0</v>
      </c>
      <c r="C49" s="13">
        <v>4.0</v>
      </c>
      <c r="D49" s="10">
        <v>4.0</v>
      </c>
      <c r="E49" s="10">
        <v>0.0</v>
      </c>
    </row>
    <row r="50" ht="22.5" customHeight="1">
      <c r="A50" s="13" t="s">
        <v>321</v>
      </c>
      <c r="B50" s="13">
        <v>4.0</v>
      </c>
      <c r="C50" s="13">
        <v>16.0</v>
      </c>
      <c r="D50" s="10">
        <v>4.0</v>
      </c>
      <c r="E50" s="10">
        <v>0.0</v>
      </c>
    </row>
    <row r="51" ht="22.5" customHeight="1">
      <c r="A51" s="13" t="s">
        <v>29</v>
      </c>
      <c r="B51" s="13">
        <v>5.0</v>
      </c>
      <c r="C51" s="13">
        <v>19.0</v>
      </c>
      <c r="D51" s="10">
        <v>3.2</v>
      </c>
      <c r="E51" s="10">
        <v>0.4</v>
      </c>
    </row>
    <row r="52" ht="22.5" customHeight="1">
      <c r="A52" s="13" t="s">
        <v>59</v>
      </c>
      <c r="B52" s="13">
        <v>5.0</v>
      </c>
      <c r="C52" s="13">
        <v>20.0</v>
      </c>
      <c r="D52" s="10">
        <v>3.2</v>
      </c>
      <c r="E52" s="10">
        <v>0.0</v>
      </c>
    </row>
    <row r="53" ht="22.5" customHeight="1">
      <c r="A53" s="13" t="s">
        <v>145</v>
      </c>
      <c r="B53" s="13">
        <v>5.0</v>
      </c>
      <c r="C53" s="13">
        <v>20.0</v>
      </c>
      <c r="D53" s="10">
        <v>3.2</v>
      </c>
      <c r="E53" s="10">
        <v>0.4</v>
      </c>
    </row>
    <row r="54" ht="22.5" customHeight="1">
      <c r="A54" s="13" t="s">
        <v>62</v>
      </c>
      <c r="B54" s="13">
        <v>5.0</v>
      </c>
      <c r="C54" s="13">
        <v>20.0</v>
      </c>
      <c r="D54" s="10">
        <v>3.2</v>
      </c>
      <c r="E54" s="10">
        <v>0.0</v>
      </c>
    </row>
    <row r="55" ht="22.5" customHeight="1">
      <c r="A55" s="13" t="s">
        <v>93</v>
      </c>
      <c r="B55" s="13">
        <v>5.0</v>
      </c>
      <c r="C55" s="13">
        <v>20.0</v>
      </c>
      <c r="D55" s="10">
        <v>3.2</v>
      </c>
      <c r="E55" s="10">
        <v>0.0</v>
      </c>
    </row>
    <row r="56" ht="22.5" customHeight="1">
      <c r="A56" s="13" t="s">
        <v>293</v>
      </c>
      <c r="B56" s="13">
        <v>5.0</v>
      </c>
      <c r="C56" s="13">
        <v>20.0</v>
      </c>
      <c r="D56" s="10">
        <v>3.2</v>
      </c>
      <c r="E56" s="10">
        <v>0.6</v>
      </c>
    </row>
    <row r="57" ht="22.5" customHeight="1">
      <c r="A57" s="13" t="s">
        <v>325</v>
      </c>
      <c r="B57" s="13">
        <v>5.0</v>
      </c>
      <c r="C57" s="13">
        <v>20.0</v>
      </c>
      <c r="D57" s="10">
        <v>3.2</v>
      </c>
      <c r="E57" s="10">
        <v>0.0</v>
      </c>
    </row>
    <row r="58" ht="22.5" customHeight="1">
      <c r="A58" s="13" t="s">
        <v>343</v>
      </c>
      <c r="B58" s="13">
        <v>5.0</v>
      </c>
      <c r="C58" s="13">
        <v>20.0</v>
      </c>
      <c r="D58" s="10">
        <v>3.2</v>
      </c>
      <c r="E58" s="10">
        <v>0.4</v>
      </c>
    </row>
    <row r="59" ht="22.5" customHeight="1">
      <c r="A59" s="13" t="s">
        <v>77</v>
      </c>
      <c r="B59" s="13">
        <v>4.0</v>
      </c>
      <c r="C59" s="13">
        <v>16.0</v>
      </c>
      <c r="D59" s="10">
        <v>3.0</v>
      </c>
      <c r="E59" s="10">
        <v>0.0</v>
      </c>
    </row>
    <row r="60" ht="22.5" customHeight="1">
      <c r="A60" s="13" t="s">
        <v>306</v>
      </c>
      <c r="B60" s="13">
        <v>4.0</v>
      </c>
      <c r="C60" s="13">
        <v>15.0</v>
      </c>
      <c r="D60" s="10">
        <v>3.0</v>
      </c>
      <c r="E60" s="10">
        <v>0.0</v>
      </c>
    </row>
    <row r="61" ht="22.5" customHeight="1">
      <c r="A61" s="13" t="s">
        <v>141</v>
      </c>
      <c r="B61" s="13">
        <v>4.0</v>
      </c>
      <c r="C61" s="13">
        <v>15.0</v>
      </c>
      <c r="D61" s="10">
        <v>3.0</v>
      </c>
      <c r="E61" s="10">
        <v>0.0</v>
      </c>
    </row>
    <row r="62" ht="22.5" customHeight="1">
      <c r="A62" s="13" t="s">
        <v>123</v>
      </c>
      <c r="B62" s="13">
        <v>3.0</v>
      </c>
      <c r="C62" s="13">
        <v>11.0</v>
      </c>
      <c r="D62" s="10">
        <v>2.6666666666666665</v>
      </c>
      <c r="E62" s="10">
        <v>0.0</v>
      </c>
    </row>
    <row r="63" ht="22.5" customHeight="1">
      <c r="A63" s="13" t="s">
        <v>173</v>
      </c>
      <c r="B63" s="13">
        <v>5.0</v>
      </c>
      <c r="C63" s="13">
        <v>20.0</v>
      </c>
      <c r="D63" s="10">
        <v>2.4</v>
      </c>
      <c r="E63" s="10">
        <v>0.0</v>
      </c>
    </row>
    <row r="64" ht="22.5" customHeight="1">
      <c r="A64" s="13" t="s">
        <v>197</v>
      </c>
      <c r="B64" s="13">
        <v>5.0</v>
      </c>
      <c r="C64" s="13">
        <v>19.0</v>
      </c>
      <c r="D64" s="10">
        <v>2.4</v>
      </c>
      <c r="E64" s="10">
        <v>0.0</v>
      </c>
    </row>
    <row r="65" ht="22.5" customHeight="1">
      <c r="A65" s="13" t="s">
        <v>232</v>
      </c>
      <c r="B65" s="13">
        <v>5.0</v>
      </c>
      <c r="C65" s="13">
        <v>20.0</v>
      </c>
      <c r="D65" s="10">
        <v>2.4</v>
      </c>
      <c r="E65" s="10">
        <v>0.2</v>
      </c>
    </row>
    <row r="66" ht="22.5" customHeight="1">
      <c r="A66" s="13" t="s">
        <v>228</v>
      </c>
      <c r="B66" s="13">
        <v>5.0</v>
      </c>
      <c r="C66" s="13">
        <v>19.0</v>
      </c>
      <c r="D66" s="10">
        <v>2.4</v>
      </c>
      <c r="E66" s="10">
        <v>0.0</v>
      </c>
    </row>
    <row r="67" ht="22.5" customHeight="1">
      <c r="A67" s="13" t="s">
        <v>272</v>
      </c>
      <c r="B67" s="13">
        <v>5.0</v>
      </c>
      <c r="C67" s="13">
        <v>20.0</v>
      </c>
      <c r="D67" s="10">
        <v>2.4</v>
      </c>
      <c r="E67" s="10">
        <v>0.2</v>
      </c>
    </row>
    <row r="68" ht="22.5" customHeight="1">
      <c r="A68" s="13" t="s">
        <v>102</v>
      </c>
      <c r="B68" s="13">
        <v>2.0</v>
      </c>
      <c r="C68" s="13">
        <v>8.0</v>
      </c>
      <c r="D68" s="10">
        <v>2.0</v>
      </c>
      <c r="E68" s="10">
        <v>0.0</v>
      </c>
    </row>
    <row r="69" ht="22.5" customHeight="1">
      <c r="A69" s="13" t="s">
        <v>234</v>
      </c>
      <c r="B69" s="13">
        <v>2.0</v>
      </c>
      <c r="C69" s="13">
        <v>8.0</v>
      </c>
      <c r="D69" s="10">
        <v>2.0</v>
      </c>
      <c r="E69" s="10">
        <v>0.0</v>
      </c>
    </row>
    <row r="70" ht="22.5" customHeight="1">
      <c r="A70" s="13" t="s">
        <v>270</v>
      </c>
      <c r="B70" s="13">
        <v>2.0</v>
      </c>
      <c r="C70" s="13">
        <v>8.0</v>
      </c>
      <c r="D70" s="10">
        <v>2.0</v>
      </c>
      <c r="E70" s="10">
        <v>0.0</v>
      </c>
    </row>
    <row r="71" ht="22.5" customHeight="1">
      <c r="A71" s="13" t="s">
        <v>275</v>
      </c>
      <c r="B71" s="13">
        <v>4.0</v>
      </c>
      <c r="C71" s="13">
        <v>15.0</v>
      </c>
      <c r="D71" s="10">
        <v>2.0</v>
      </c>
      <c r="E71" s="10">
        <v>0.0</v>
      </c>
    </row>
    <row r="72" ht="22.5" customHeight="1">
      <c r="A72" s="13" t="s">
        <v>296</v>
      </c>
      <c r="B72" s="13">
        <v>4.0</v>
      </c>
      <c r="C72" s="13">
        <v>15.0</v>
      </c>
      <c r="D72" s="10">
        <v>2.0</v>
      </c>
      <c r="E72" s="10">
        <v>0.0</v>
      </c>
    </row>
    <row r="73" ht="22.5" customHeight="1">
      <c r="A73" s="13" t="s">
        <v>138</v>
      </c>
      <c r="B73" s="13">
        <v>4.0</v>
      </c>
      <c r="C73" s="13">
        <v>16.0</v>
      </c>
      <c r="D73" s="10">
        <v>2.0</v>
      </c>
      <c r="E73" s="10">
        <v>0.0</v>
      </c>
    </row>
    <row r="74" ht="22.5" customHeight="1">
      <c r="A74" s="13" t="s">
        <v>324</v>
      </c>
      <c r="B74" s="13">
        <v>4.0</v>
      </c>
      <c r="C74" s="13">
        <v>17.0</v>
      </c>
      <c r="D74" s="10">
        <v>2.0</v>
      </c>
      <c r="E74" s="10">
        <v>0.0</v>
      </c>
    </row>
    <row r="75" ht="22.5" customHeight="1">
      <c r="A75" s="13" t="s">
        <v>301</v>
      </c>
      <c r="B75" s="13">
        <v>2.0</v>
      </c>
      <c r="C75" s="13">
        <v>8.0</v>
      </c>
      <c r="D75" s="10">
        <v>2.0</v>
      </c>
      <c r="E75" s="10">
        <v>1.0</v>
      </c>
    </row>
    <row r="76" ht="22.5" customHeight="1">
      <c r="A76" s="13" t="s">
        <v>13</v>
      </c>
      <c r="B76" s="13">
        <v>5.0</v>
      </c>
      <c r="C76" s="13">
        <v>20.0</v>
      </c>
      <c r="D76" s="10">
        <v>1.6</v>
      </c>
      <c r="E76" s="10">
        <v>0.0</v>
      </c>
    </row>
    <row r="77" ht="22.5" customHeight="1">
      <c r="A77" s="13" t="s">
        <v>66</v>
      </c>
      <c r="B77" s="13">
        <v>5.0</v>
      </c>
      <c r="C77" s="13">
        <v>20.0</v>
      </c>
      <c r="D77" s="10">
        <v>1.6</v>
      </c>
      <c r="E77" s="10">
        <v>0.2</v>
      </c>
    </row>
    <row r="78" ht="22.5" customHeight="1">
      <c r="A78" s="13" t="s">
        <v>127</v>
      </c>
      <c r="B78" s="13">
        <v>5.0</v>
      </c>
      <c r="C78" s="13">
        <v>19.0</v>
      </c>
      <c r="D78" s="10">
        <v>1.6</v>
      </c>
      <c r="E78" s="10">
        <v>0.0</v>
      </c>
    </row>
    <row r="79" ht="22.5" customHeight="1">
      <c r="A79" s="13" t="s">
        <v>47</v>
      </c>
      <c r="B79" s="13">
        <v>5.0</v>
      </c>
      <c r="C79" s="13">
        <v>20.0</v>
      </c>
      <c r="D79" s="10">
        <v>1.6</v>
      </c>
      <c r="E79" s="10">
        <v>0.4</v>
      </c>
    </row>
    <row r="80" ht="22.5" customHeight="1">
      <c r="A80" s="13" t="s">
        <v>279</v>
      </c>
      <c r="B80" s="13">
        <v>5.0</v>
      </c>
      <c r="C80" s="13">
        <v>20.0</v>
      </c>
      <c r="D80" s="10">
        <v>1.6</v>
      </c>
      <c r="E80" s="10">
        <v>0.2</v>
      </c>
    </row>
    <row r="81" ht="22.5" customHeight="1">
      <c r="A81" s="13" t="s">
        <v>207</v>
      </c>
      <c r="B81" s="13">
        <v>5.0</v>
      </c>
      <c r="C81" s="13">
        <v>20.0</v>
      </c>
      <c r="D81" s="10">
        <v>1.6</v>
      </c>
      <c r="E81" s="10">
        <v>0.0</v>
      </c>
    </row>
    <row r="82" ht="22.5" customHeight="1">
      <c r="A82" s="13" t="s">
        <v>254</v>
      </c>
      <c r="B82" s="13">
        <v>5.0</v>
      </c>
      <c r="C82" s="13">
        <v>20.0</v>
      </c>
      <c r="D82" s="10">
        <v>1.6</v>
      </c>
      <c r="E82" s="10">
        <v>0.0</v>
      </c>
    </row>
    <row r="83" ht="22.5" customHeight="1">
      <c r="A83" s="13" t="s">
        <v>311</v>
      </c>
      <c r="B83" s="13">
        <v>5.0</v>
      </c>
      <c r="C83" s="13">
        <v>20.0</v>
      </c>
      <c r="D83" s="10">
        <v>1.6</v>
      </c>
      <c r="E83" s="10">
        <v>0.0</v>
      </c>
    </row>
    <row r="84" ht="22.5" customHeight="1">
      <c r="A84" s="13" t="s">
        <v>345</v>
      </c>
      <c r="B84" s="13">
        <v>5.0</v>
      </c>
      <c r="C84" s="13">
        <v>20.0</v>
      </c>
      <c r="D84" s="10">
        <v>1.6</v>
      </c>
      <c r="E84" s="10">
        <v>0.4</v>
      </c>
    </row>
    <row r="85" ht="22.5" customHeight="1">
      <c r="A85" s="13" t="s">
        <v>156</v>
      </c>
      <c r="B85" s="13">
        <v>3.0</v>
      </c>
      <c r="C85" s="13">
        <v>12.0</v>
      </c>
      <c r="D85" s="10">
        <v>1.3333333333333333</v>
      </c>
      <c r="E85" s="10">
        <v>0.0</v>
      </c>
    </row>
    <row r="86" ht="22.5" customHeight="1">
      <c r="A86" s="13" t="s">
        <v>201</v>
      </c>
      <c r="B86" s="13">
        <v>3.0</v>
      </c>
      <c r="C86" s="13">
        <v>12.0</v>
      </c>
      <c r="D86" s="10">
        <v>1.3333333333333333</v>
      </c>
      <c r="E86" s="10">
        <v>0.0</v>
      </c>
    </row>
    <row r="87" ht="22.5" customHeight="1">
      <c r="A87" s="13" t="s">
        <v>238</v>
      </c>
      <c r="B87" s="13">
        <v>3.0</v>
      </c>
      <c r="C87" s="13">
        <v>12.0</v>
      </c>
      <c r="D87" s="10">
        <v>1.3333333333333333</v>
      </c>
      <c r="E87" s="10">
        <v>0.3333333333333333</v>
      </c>
    </row>
    <row r="88" ht="22.5" customHeight="1">
      <c r="A88" s="13" t="s">
        <v>240</v>
      </c>
      <c r="B88" s="13">
        <v>3.0</v>
      </c>
      <c r="C88" s="13">
        <v>12.0</v>
      </c>
      <c r="D88" s="10">
        <v>1.3333333333333333</v>
      </c>
      <c r="E88" s="10">
        <v>0.0</v>
      </c>
    </row>
    <row r="89" ht="22.5" customHeight="1">
      <c r="A89" s="13" t="s">
        <v>263</v>
      </c>
      <c r="B89" s="13">
        <v>3.0</v>
      </c>
      <c r="C89" s="13">
        <v>12.0</v>
      </c>
      <c r="D89" s="10">
        <v>1.3333333333333333</v>
      </c>
      <c r="E89" s="10">
        <v>0.0</v>
      </c>
    </row>
    <row r="90" ht="22.5" customHeight="1">
      <c r="A90" s="13" t="s">
        <v>133</v>
      </c>
      <c r="B90" s="13">
        <v>3.0</v>
      </c>
      <c r="C90" s="13">
        <v>13.0</v>
      </c>
      <c r="D90" s="10">
        <v>1.3333333333333333</v>
      </c>
      <c r="E90" s="10">
        <v>0.0</v>
      </c>
    </row>
    <row r="91" ht="22.5" customHeight="1">
      <c r="A91" s="13" t="s">
        <v>326</v>
      </c>
      <c r="B91" s="13">
        <v>3.0</v>
      </c>
      <c r="C91" s="13">
        <v>12.0</v>
      </c>
      <c r="D91" s="10">
        <v>1.3333333333333333</v>
      </c>
      <c r="E91" s="10">
        <v>0.3333333333333333</v>
      </c>
    </row>
    <row r="92" ht="22.5" customHeight="1">
      <c r="A92" s="13" t="s">
        <v>328</v>
      </c>
      <c r="B92" s="13">
        <v>3.0</v>
      </c>
      <c r="C92" s="13">
        <v>12.0</v>
      </c>
      <c r="D92" s="10">
        <v>1.3333333333333333</v>
      </c>
      <c r="E92" s="10">
        <v>0.0</v>
      </c>
    </row>
    <row r="93" ht="22.5" customHeight="1">
      <c r="A93" s="13" t="s">
        <v>258</v>
      </c>
      <c r="B93" s="13">
        <v>3.0</v>
      </c>
      <c r="C93" s="13">
        <v>12.0</v>
      </c>
      <c r="D93" s="10">
        <v>1.3333333333333333</v>
      </c>
      <c r="E93" s="10">
        <v>0.0</v>
      </c>
    </row>
    <row r="94" ht="22.5" customHeight="1">
      <c r="A94" s="13" t="s">
        <v>100</v>
      </c>
      <c r="B94" s="13">
        <v>4.0</v>
      </c>
      <c r="C94" s="13">
        <v>16.0</v>
      </c>
      <c r="D94" s="10">
        <v>1.0</v>
      </c>
      <c r="E94" s="10">
        <v>0.0</v>
      </c>
    </row>
    <row r="95" ht="22.5" customHeight="1">
      <c r="A95" s="13" t="s">
        <v>130</v>
      </c>
      <c r="B95" s="13">
        <v>4.0</v>
      </c>
      <c r="C95" s="13">
        <v>15.0</v>
      </c>
      <c r="D95" s="10">
        <v>1.0</v>
      </c>
      <c r="E95" s="10">
        <v>0.0</v>
      </c>
    </row>
    <row r="96" ht="22.5" customHeight="1">
      <c r="A96" s="13" t="s">
        <v>125</v>
      </c>
      <c r="B96" s="13">
        <v>4.0</v>
      </c>
      <c r="C96" s="13">
        <v>16.0</v>
      </c>
      <c r="D96" s="10">
        <v>1.0</v>
      </c>
      <c r="E96" s="10">
        <v>0.25</v>
      </c>
    </row>
    <row r="97" ht="22.5" customHeight="1">
      <c r="A97" s="13" t="s">
        <v>229</v>
      </c>
      <c r="B97" s="13">
        <v>4.0</v>
      </c>
      <c r="C97" s="13">
        <v>16.0</v>
      </c>
      <c r="D97" s="10">
        <v>1.0</v>
      </c>
      <c r="E97" s="10">
        <v>0.25</v>
      </c>
    </row>
    <row r="98" ht="22.5" customHeight="1">
      <c r="A98" s="13" t="s">
        <v>259</v>
      </c>
      <c r="B98" s="13">
        <v>4.0</v>
      </c>
      <c r="C98" s="13">
        <v>16.0</v>
      </c>
      <c r="D98" s="10">
        <v>1.0</v>
      </c>
      <c r="E98" s="10">
        <v>0.0</v>
      </c>
    </row>
    <row r="99" ht="22.5" customHeight="1">
      <c r="A99" s="13" t="s">
        <v>295</v>
      </c>
      <c r="B99" s="13">
        <v>4.0</v>
      </c>
      <c r="C99" s="13">
        <v>16.0</v>
      </c>
      <c r="D99" s="10">
        <v>1.0</v>
      </c>
      <c r="E99" s="10">
        <v>0.0</v>
      </c>
    </row>
    <row r="100" ht="22.5" customHeight="1">
      <c r="A100" s="13" t="s">
        <v>315</v>
      </c>
      <c r="B100" s="13">
        <v>4.0</v>
      </c>
      <c r="C100" s="13">
        <v>16.0</v>
      </c>
      <c r="D100" s="10">
        <v>1.0</v>
      </c>
      <c r="E100" s="10">
        <v>0.0</v>
      </c>
    </row>
    <row r="101" ht="22.5" customHeight="1">
      <c r="A101" s="13" t="s">
        <v>331</v>
      </c>
      <c r="B101" s="13">
        <v>4.0</v>
      </c>
      <c r="C101" s="13">
        <v>16.0</v>
      </c>
      <c r="D101" s="10">
        <v>1.0</v>
      </c>
      <c r="E101" s="10">
        <v>0.0</v>
      </c>
    </row>
    <row r="102" ht="22.5" customHeight="1">
      <c r="A102" s="13" t="s">
        <v>87</v>
      </c>
      <c r="B102" s="13">
        <v>4.0</v>
      </c>
      <c r="C102" s="13">
        <v>16.0</v>
      </c>
      <c r="D102" s="10">
        <v>1.0</v>
      </c>
      <c r="E102" s="10">
        <v>0.0</v>
      </c>
    </row>
    <row r="103" ht="22.5" customHeight="1">
      <c r="A103" s="13" t="s">
        <v>46</v>
      </c>
      <c r="B103" s="13">
        <v>5.0</v>
      </c>
      <c r="C103" s="13">
        <v>19.0</v>
      </c>
      <c r="D103" s="10">
        <v>0.8</v>
      </c>
      <c r="E103" s="10">
        <v>0.0</v>
      </c>
    </row>
    <row r="104" ht="22.5" customHeight="1">
      <c r="A104" s="13" t="s">
        <v>54</v>
      </c>
      <c r="B104" s="13">
        <v>5.0</v>
      </c>
      <c r="C104" s="13">
        <v>20.0</v>
      </c>
      <c r="D104" s="10">
        <v>0.8</v>
      </c>
      <c r="E104" s="10">
        <v>0.0</v>
      </c>
    </row>
    <row r="105" ht="22.5" customHeight="1">
      <c r="A105" s="13" t="s">
        <v>71</v>
      </c>
      <c r="B105" s="13">
        <v>5.0</v>
      </c>
      <c r="C105" s="13">
        <v>20.0</v>
      </c>
      <c r="D105" s="10">
        <v>0.8</v>
      </c>
      <c r="E105" s="10">
        <v>0.0</v>
      </c>
    </row>
    <row r="106" ht="22.5" customHeight="1">
      <c r="A106" s="13" t="s">
        <v>75</v>
      </c>
      <c r="B106" s="13">
        <v>5.0</v>
      </c>
      <c r="C106" s="13">
        <v>20.0</v>
      </c>
      <c r="D106" s="10">
        <v>0.8</v>
      </c>
      <c r="E106" s="10">
        <v>0.0</v>
      </c>
    </row>
    <row r="107" ht="22.5" customHeight="1">
      <c r="A107" s="13" t="s">
        <v>111</v>
      </c>
      <c r="B107" s="13">
        <v>5.0</v>
      </c>
      <c r="C107" s="13">
        <v>20.0</v>
      </c>
      <c r="D107" s="10">
        <v>0.8</v>
      </c>
      <c r="E107" s="10">
        <v>0.0</v>
      </c>
    </row>
    <row r="108" ht="22.5" customHeight="1">
      <c r="A108" s="13" t="s">
        <v>115</v>
      </c>
      <c r="B108" s="13">
        <v>5.0</v>
      </c>
      <c r="C108" s="13">
        <v>20.0</v>
      </c>
      <c r="D108" s="10">
        <v>0.8</v>
      </c>
      <c r="E108" s="10">
        <v>0.0</v>
      </c>
    </row>
    <row r="109" ht="22.5" customHeight="1">
      <c r="A109" s="13" t="s">
        <v>184</v>
      </c>
      <c r="B109" s="13">
        <v>5.0</v>
      </c>
      <c r="C109" s="13">
        <v>21.0</v>
      </c>
      <c r="D109" s="10">
        <v>0.8</v>
      </c>
      <c r="E109" s="10">
        <v>0.0</v>
      </c>
    </row>
    <row r="110" ht="22.5" customHeight="1">
      <c r="A110" s="13" t="s">
        <v>210</v>
      </c>
      <c r="B110" s="13">
        <v>5.0</v>
      </c>
      <c r="C110" s="13">
        <v>21.0</v>
      </c>
      <c r="D110" s="10">
        <v>0.8</v>
      </c>
      <c r="E110" s="10">
        <v>0.0</v>
      </c>
    </row>
    <row r="111" ht="22.5" customHeight="1">
      <c r="A111" s="13" t="s">
        <v>211</v>
      </c>
      <c r="B111" s="13">
        <v>5.0</v>
      </c>
      <c r="C111" s="13">
        <v>21.0</v>
      </c>
      <c r="D111" s="10">
        <v>0.8</v>
      </c>
      <c r="E111" s="10">
        <v>0.0</v>
      </c>
    </row>
    <row r="112" ht="22.5" customHeight="1">
      <c r="A112" s="13" t="s">
        <v>213</v>
      </c>
      <c r="B112" s="13">
        <v>5.0</v>
      </c>
      <c r="C112" s="13">
        <v>21.0</v>
      </c>
      <c r="D112" s="10">
        <v>0.8</v>
      </c>
      <c r="E112" s="10">
        <v>0.0</v>
      </c>
    </row>
    <row r="113" ht="22.5" customHeight="1">
      <c r="A113" s="13" t="s">
        <v>204</v>
      </c>
      <c r="B113" s="13">
        <v>5.0</v>
      </c>
      <c r="C113" s="13">
        <v>21.0</v>
      </c>
      <c r="D113" s="10">
        <v>0.8</v>
      </c>
      <c r="E113" s="10">
        <v>0.0</v>
      </c>
    </row>
    <row r="114" ht="22.5" customHeight="1">
      <c r="A114" s="13" t="s">
        <v>149</v>
      </c>
      <c r="B114" s="13">
        <v>5.0</v>
      </c>
      <c r="C114" s="13">
        <v>20.0</v>
      </c>
      <c r="D114" s="10">
        <v>0.8</v>
      </c>
      <c r="E114" s="10">
        <v>0.0</v>
      </c>
    </row>
    <row r="115" ht="22.5" customHeight="1">
      <c r="A115" s="13" t="s">
        <v>185</v>
      </c>
      <c r="B115" s="13">
        <v>5.0</v>
      </c>
      <c r="C115" s="13">
        <v>20.0</v>
      </c>
      <c r="D115" s="10">
        <v>0.8</v>
      </c>
      <c r="E115" s="10">
        <v>0.0</v>
      </c>
    </row>
    <row r="116" ht="22.5" customHeight="1">
      <c r="A116" s="13" t="s">
        <v>253</v>
      </c>
      <c r="B116" s="13">
        <v>5.0</v>
      </c>
      <c r="C116" s="13">
        <v>20.0</v>
      </c>
      <c r="D116" s="10">
        <v>0.8</v>
      </c>
      <c r="E116" s="10">
        <v>0.0</v>
      </c>
    </row>
    <row r="117" ht="22.5" customHeight="1">
      <c r="A117" s="13" t="s">
        <v>265</v>
      </c>
      <c r="B117" s="13">
        <v>5.0</v>
      </c>
      <c r="C117" s="13">
        <v>20.0</v>
      </c>
      <c r="D117" s="10">
        <v>0.8</v>
      </c>
      <c r="E117" s="10">
        <v>0.0</v>
      </c>
    </row>
    <row r="118" ht="22.5" customHeight="1">
      <c r="A118" s="13" t="s">
        <v>286</v>
      </c>
      <c r="B118" s="13">
        <v>5.0</v>
      </c>
      <c r="C118" s="13">
        <v>20.0</v>
      </c>
      <c r="D118" s="10">
        <v>0.8</v>
      </c>
      <c r="E118" s="10">
        <v>0.0</v>
      </c>
    </row>
    <row r="119" ht="22.5" customHeight="1">
      <c r="A119" s="13" t="s">
        <v>249</v>
      </c>
      <c r="B119" s="13">
        <v>5.0</v>
      </c>
      <c r="C119" s="13">
        <v>20.0</v>
      </c>
      <c r="D119" s="10">
        <v>0.8</v>
      </c>
      <c r="E119" s="10">
        <v>0.0</v>
      </c>
    </row>
    <row r="120" ht="22.5" customHeight="1">
      <c r="A120" s="13" t="s">
        <v>157</v>
      </c>
      <c r="B120" s="13">
        <v>5.0</v>
      </c>
      <c r="C120" s="13">
        <v>21.0</v>
      </c>
      <c r="D120" s="10">
        <v>0.8</v>
      </c>
      <c r="E120" s="10">
        <v>0.0</v>
      </c>
    </row>
    <row r="121" ht="22.5" customHeight="1">
      <c r="A121" s="13" t="s">
        <v>0</v>
      </c>
      <c r="B121" s="13">
        <v>1.0</v>
      </c>
      <c r="C121" s="13">
        <v>4.0</v>
      </c>
      <c r="D121" s="10">
        <v>0.0</v>
      </c>
      <c r="E121" s="10">
        <v>0.0</v>
      </c>
    </row>
    <row r="122" ht="22.5" customHeight="1">
      <c r="A122" s="13" t="s">
        <v>11</v>
      </c>
      <c r="B122" s="13">
        <v>4.0</v>
      </c>
      <c r="C122" s="13">
        <v>16.0</v>
      </c>
      <c r="D122" s="10">
        <v>0.0</v>
      </c>
      <c r="E122" s="10">
        <v>0.0</v>
      </c>
    </row>
    <row r="123" ht="22.5" customHeight="1">
      <c r="A123" s="13" t="s">
        <v>12</v>
      </c>
      <c r="B123" s="13">
        <v>3.0</v>
      </c>
      <c r="C123" s="13">
        <v>12.0</v>
      </c>
      <c r="D123" s="10">
        <v>0.0</v>
      </c>
      <c r="E123" s="10">
        <v>0.0</v>
      </c>
    </row>
    <row r="124" ht="22.5" customHeight="1">
      <c r="A124" s="13" t="s">
        <v>15</v>
      </c>
      <c r="B124" s="13">
        <v>5.0</v>
      </c>
      <c r="C124" s="13">
        <v>20.0</v>
      </c>
      <c r="D124" s="10">
        <v>0.0</v>
      </c>
      <c r="E124" s="10">
        <v>0.0</v>
      </c>
    </row>
    <row r="125" ht="22.5" customHeight="1">
      <c r="A125" s="13" t="s">
        <v>20</v>
      </c>
      <c r="B125" s="13">
        <v>2.0</v>
      </c>
      <c r="C125" s="13">
        <v>8.0</v>
      </c>
      <c r="D125" s="10">
        <v>0.0</v>
      </c>
      <c r="E125" s="10">
        <v>0.0</v>
      </c>
    </row>
    <row r="126" ht="22.5" customHeight="1">
      <c r="A126" s="13" t="s">
        <v>24</v>
      </c>
      <c r="B126" s="13">
        <v>2.0</v>
      </c>
      <c r="C126" s="13">
        <v>8.0</v>
      </c>
      <c r="D126" s="10">
        <v>0.0</v>
      </c>
      <c r="E126" s="10">
        <v>0.0</v>
      </c>
    </row>
    <row r="127" ht="22.5" customHeight="1">
      <c r="A127" s="13" t="s">
        <v>38</v>
      </c>
      <c r="B127" s="13">
        <v>3.0</v>
      </c>
      <c r="C127" s="13">
        <v>11.0</v>
      </c>
      <c r="D127" s="10">
        <v>0.0</v>
      </c>
      <c r="E127" s="10">
        <v>0.0</v>
      </c>
    </row>
    <row r="128" ht="22.5" customHeight="1">
      <c r="A128" s="13" t="s">
        <v>51</v>
      </c>
      <c r="B128" s="13">
        <v>4.0</v>
      </c>
      <c r="C128" s="13">
        <v>16.0</v>
      </c>
      <c r="D128" s="10">
        <v>0.0</v>
      </c>
      <c r="E128" s="10">
        <v>0.0</v>
      </c>
    </row>
    <row r="129" ht="22.5" customHeight="1">
      <c r="A129" s="13" t="s">
        <v>55</v>
      </c>
      <c r="B129" s="13">
        <v>2.0</v>
      </c>
      <c r="C129" s="13">
        <v>8.0</v>
      </c>
      <c r="D129" s="10">
        <v>0.0</v>
      </c>
      <c r="E129" s="10">
        <v>0.0</v>
      </c>
    </row>
    <row r="130" ht="22.5" customHeight="1">
      <c r="A130" s="13" t="s">
        <v>61</v>
      </c>
      <c r="B130" s="13">
        <v>5.0</v>
      </c>
      <c r="C130" s="13">
        <v>20.0</v>
      </c>
      <c r="D130" s="10">
        <v>0.0</v>
      </c>
      <c r="E130" s="10">
        <v>0.0</v>
      </c>
    </row>
    <row r="131" ht="22.5" customHeight="1">
      <c r="A131" s="13" t="s">
        <v>65</v>
      </c>
      <c r="B131" s="13">
        <v>2.0</v>
      </c>
      <c r="C131" s="13">
        <v>8.0</v>
      </c>
      <c r="D131" s="10">
        <v>0.0</v>
      </c>
      <c r="E131" s="10">
        <v>0.0</v>
      </c>
    </row>
    <row r="132" ht="22.5" customHeight="1">
      <c r="A132" s="13" t="s">
        <v>73</v>
      </c>
      <c r="B132" s="13">
        <v>3.0</v>
      </c>
      <c r="C132" s="13">
        <v>12.0</v>
      </c>
      <c r="D132" s="10">
        <v>0.0</v>
      </c>
      <c r="E132" s="10">
        <v>0.0</v>
      </c>
    </row>
    <row r="133" ht="22.5" customHeight="1">
      <c r="A133" s="13" t="s">
        <v>79</v>
      </c>
      <c r="B133" s="13">
        <v>5.0</v>
      </c>
      <c r="C133" s="13">
        <v>20.0</v>
      </c>
      <c r="D133" s="10">
        <v>0.0</v>
      </c>
      <c r="E133" s="10">
        <v>0.0</v>
      </c>
    </row>
    <row r="134" ht="22.5" customHeight="1">
      <c r="A134" s="13" t="s">
        <v>85</v>
      </c>
      <c r="B134" s="13">
        <v>1.0</v>
      </c>
      <c r="C134" s="13">
        <v>4.0</v>
      </c>
      <c r="D134" s="10">
        <v>0.0</v>
      </c>
      <c r="E134" s="10">
        <v>0.0</v>
      </c>
    </row>
    <row r="135" ht="22.5" customHeight="1">
      <c r="A135" s="13" t="s">
        <v>92</v>
      </c>
      <c r="B135" s="13">
        <v>4.0</v>
      </c>
      <c r="C135" s="13">
        <v>16.0</v>
      </c>
      <c r="D135" s="10">
        <v>0.0</v>
      </c>
      <c r="E135" s="10">
        <v>0.0</v>
      </c>
    </row>
    <row r="136" ht="22.5" customHeight="1">
      <c r="A136" s="13" t="s">
        <v>94</v>
      </c>
      <c r="B136" s="13">
        <v>3.0</v>
      </c>
      <c r="C136" s="13">
        <v>12.0</v>
      </c>
      <c r="D136" s="10">
        <v>0.0</v>
      </c>
      <c r="E136" s="10">
        <v>0.0</v>
      </c>
    </row>
    <row r="137" ht="22.5" customHeight="1">
      <c r="A137" s="13" t="s">
        <v>108</v>
      </c>
      <c r="B137" s="13">
        <v>2.0</v>
      </c>
      <c r="C137" s="13">
        <v>8.0</v>
      </c>
      <c r="D137" s="10">
        <v>0.0</v>
      </c>
      <c r="E137" s="10">
        <v>0.0</v>
      </c>
    </row>
    <row r="138" ht="22.5" customHeight="1">
      <c r="A138" s="13" t="s">
        <v>110</v>
      </c>
      <c r="B138" s="13">
        <v>1.0</v>
      </c>
      <c r="C138" s="13">
        <v>4.0</v>
      </c>
      <c r="D138" s="10">
        <v>0.0</v>
      </c>
      <c r="E138" s="10">
        <v>0.0</v>
      </c>
    </row>
    <row r="139" ht="22.5" customHeight="1">
      <c r="A139" s="13" t="s">
        <v>117</v>
      </c>
      <c r="B139" s="13">
        <v>5.0</v>
      </c>
      <c r="C139" s="13">
        <v>20.0</v>
      </c>
      <c r="D139" s="10">
        <v>0.0</v>
      </c>
      <c r="E139" s="10">
        <v>0.0</v>
      </c>
    </row>
    <row r="140" ht="22.5" customHeight="1">
      <c r="A140" s="13" t="s">
        <v>124</v>
      </c>
      <c r="B140" s="13">
        <v>5.0</v>
      </c>
      <c r="C140" s="13">
        <v>19.0</v>
      </c>
      <c r="D140" s="10">
        <v>0.0</v>
      </c>
      <c r="E140" s="10">
        <v>0.0</v>
      </c>
    </row>
    <row r="141" ht="22.5" customHeight="1">
      <c r="A141" s="13" t="s">
        <v>128</v>
      </c>
      <c r="B141" s="13">
        <v>5.0</v>
      </c>
      <c r="C141" s="13">
        <v>19.0</v>
      </c>
      <c r="D141" s="10">
        <v>0.0</v>
      </c>
      <c r="E141" s="10">
        <v>0.0</v>
      </c>
    </row>
    <row r="142" ht="22.5" customHeight="1">
      <c r="A142" s="13" t="s">
        <v>139</v>
      </c>
      <c r="B142" s="13">
        <v>5.0</v>
      </c>
      <c r="C142" s="13">
        <v>20.0</v>
      </c>
      <c r="D142" s="10">
        <v>0.0</v>
      </c>
      <c r="E142" s="10">
        <v>0.0</v>
      </c>
    </row>
    <row r="143" ht="22.5" customHeight="1">
      <c r="A143" s="13" t="s">
        <v>142</v>
      </c>
      <c r="B143" s="13">
        <v>1.0</v>
      </c>
      <c r="C143" s="13">
        <v>4.0</v>
      </c>
      <c r="D143" s="10">
        <v>0.0</v>
      </c>
      <c r="E143" s="10">
        <v>0.0</v>
      </c>
    </row>
    <row r="144" ht="22.5" customHeight="1">
      <c r="A144" s="13" t="s">
        <v>144</v>
      </c>
      <c r="B144" s="13">
        <v>5.0</v>
      </c>
      <c r="C144" s="13">
        <v>20.0</v>
      </c>
      <c r="D144" s="10">
        <v>0.0</v>
      </c>
      <c r="E144" s="10">
        <v>0.0</v>
      </c>
    </row>
    <row r="145" ht="22.5" customHeight="1">
      <c r="A145" s="13" t="s">
        <v>151</v>
      </c>
      <c r="B145" s="13">
        <v>1.0</v>
      </c>
      <c r="C145" s="13">
        <v>4.0</v>
      </c>
      <c r="D145" s="10">
        <v>0.0</v>
      </c>
      <c r="E145" s="10">
        <v>0.0</v>
      </c>
    </row>
    <row r="146" ht="22.5" customHeight="1">
      <c r="A146" s="13" t="s">
        <v>160</v>
      </c>
      <c r="B146" s="13">
        <v>1.0</v>
      </c>
      <c r="C146" s="13">
        <v>4.0</v>
      </c>
      <c r="D146" s="10">
        <v>0.0</v>
      </c>
      <c r="E146" s="10">
        <v>0.0</v>
      </c>
    </row>
    <row r="147" ht="22.5" customHeight="1">
      <c r="A147" s="13" t="s">
        <v>162</v>
      </c>
      <c r="B147" s="13">
        <v>4.0</v>
      </c>
      <c r="C147" s="13">
        <v>16.0</v>
      </c>
      <c r="D147" s="10">
        <v>0.0</v>
      </c>
      <c r="E147" s="10">
        <v>0.0</v>
      </c>
    </row>
    <row r="148" ht="22.5" customHeight="1">
      <c r="A148" s="13" t="s">
        <v>167</v>
      </c>
      <c r="B148" s="13">
        <v>1.0</v>
      </c>
      <c r="C148" s="13">
        <v>4.0</v>
      </c>
      <c r="D148" s="10">
        <v>0.0</v>
      </c>
      <c r="E148" s="10">
        <v>0.0</v>
      </c>
    </row>
    <row r="149" ht="22.5" customHeight="1">
      <c r="A149" s="13" t="s">
        <v>169</v>
      </c>
      <c r="B149" s="13">
        <v>5.0</v>
      </c>
      <c r="C149" s="13">
        <v>20.0</v>
      </c>
      <c r="D149" s="10">
        <v>0.0</v>
      </c>
      <c r="E149" s="10">
        <v>0.0</v>
      </c>
    </row>
    <row r="150" ht="22.5" customHeight="1">
      <c r="A150" s="13" t="s">
        <v>171</v>
      </c>
      <c r="B150" s="13">
        <v>3.0</v>
      </c>
      <c r="C150" s="13">
        <v>12.0</v>
      </c>
      <c r="D150" s="10">
        <v>0.0</v>
      </c>
      <c r="E150" s="10">
        <v>0.0</v>
      </c>
    </row>
    <row r="151" ht="22.5" customHeight="1">
      <c r="A151" s="13" t="s">
        <v>174</v>
      </c>
      <c r="B151" s="13">
        <v>1.0</v>
      </c>
      <c r="C151" s="13">
        <v>4.0</v>
      </c>
      <c r="D151" s="10">
        <v>0.0</v>
      </c>
      <c r="E151" s="10">
        <v>0.0</v>
      </c>
    </row>
    <row r="152" ht="22.5" customHeight="1">
      <c r="A152" s="13" t="s">
        <v>177</v>
      </c>
      <c r="B152" s="13">
        <v>1.0</v>
      </c>
      <c r="C152" s="13">
        <v>4.0</v>
      </c>
      <c r="D152" s="10">
        <v>0.0</v>
      </c>
      <c r="E152" s="10">
        <v>0.0</v>
      </c>
    </row>
    <row r="153" ht="22.5" customHeight="1">
      <c r="A153" s="13" t="s">
        <v>178</v>
      </c>
      <c r="B153" s="13">
        <v>5.0</v>
      </c>
      <c r="C153" s="13">
        <v>20.0</v>
      </c>
      <c r="D153" s="10">
        <v>0.0</v>
      </c>
      <c r="E153" s="10">
        <v>0.0</v>
      </c>
    </row>
    <row r="154" ht="22.5" customHeight="1">
      <c r="A154" s="13" t="s">
        <v>150</v>
      </c>
      <c r="B154" s="13">
        <v>4.0</v>
      </c>
      <c r="C154" s="13">
        <v>16.0</v>
      </c>
      <c r="D154" s="10">
        <v>0.0</v>
      </c>
      <c r="E154" s="10">
        <v>0.0</v>
      </c>
    </row>
    <row r="155" ht="22.5" customHeight="1">
      <c r="A155" s="13" t="s">
        <v>179</v>
      </c>
      <c r="B155" s="13">
        <v>3.0</v>
      </c>
      <c r="C155" s="13">
        <v>12.0</v>
      </c>
      <c r="D155" s="10">
        <v>0.0</v>
      </c>
      <c r="E155" s="10">
        <v>0.0</v>
      </c>
    </row>
    <row r="156" ht="22.5" customHeight="1">
      <c r="A156" s="13" t="s">
        <v>181</v>
      </c>
      <c r="B156" s="13">
        <v>2.0</v>
      </c>
      <c r="C156" s="13">
        <v>8.0</v>
      </c>
      <c r="D156" s="10">
        <v>0.0</v>
      </c>
      <c r="E156" s="10">
        <v>0.0</v>
      </c>
    </row>
    <row r="157" ht="22.5" customHeight="1">
      <c r="A157" s="13" t="s">
        <v>196</v>
      </c>
      <c r="B157" s="13">
        <v>1.0</v>
      </c>
      <c r="C157" s="13">
        <v>4.0</v>
      </c>
      <c r="D157" s="10">
        <v>0.0</v>
      </c>
      <c r="E157" s="10">
        <v>0.0</v>
      </c>
    </row>
    <row r="158" ht="22.5" customHeight="1">
      <c r="A158" s="13" t="s">
        <v>198</v>
      </c>
      <c r="B158" s="13">
        <v>2.0</v>
      </c>
      <c r="C158" s="13">
        <v>7.0</v>
      </c>
      <c r="D158" s="10">
        <v>0.0</v>
      </c>
      <c r="E158" s="10">
        <v>0.0</v>
      </c>
    </row>
    <row r="159" ht="22.5" customHeight="1">
      <c r="A159" s="13" t="s">
        <v>199</v>
      </c>
      <c r="B159" s="13">
        <v>5.0</v>
      </c>
      <c r="C159" s="13">
        <v>19.0</v>
      </c>
      <c r="D159" s="10">
        <v>0.0</v>
      </c>
      <c r="E159" s="10">
        <v>0.0</v>
      </c>
    </row>
    <row r="160" ht="22.5" customHeight="1">
      <c r="A160" s="13" t="s">
        <v>189</v>
      </c>
      <c r="B160" s="13">
        <v>4.0</v>
      </c>
      <c r="C160" s="13">
        <v>16.0</v>
      </c>
      <c r="D160" s="10">
        <v>0.0</v>
      </c>
      <c r="E160" s="10">
        <v>0.0</v>
      </c>
    </row>
    <row r="161" ht="22.5" customHeight="1">
      <c r="A161" s="13" t="s">
        <v>190</v>
      </c>
      <c r="B161" s="13">
        <v>5.0</v>
      </c>
      <c r="C161" s="13">
        <v>20.0</v>
      </c>
      <c r="D161" s="10">
        <v>0.0</v>
      </c>
      <c r="E161" s="10">
        <v>0.0</v>
      </c>
    </row>
    <row r="162" ht="22.5" customHeight="1">
      <c r="A162" s="13" t="s">
        <v>192</v>
      </c>
      <c r="B162" s="13">
        <v>3.0</v>
      </c>
      <c r="C162" s="13">
        <v>13.0</v>
      </c>
      <c r="D162" s="10">
        <v>0.0</v>
      </c>
      <c r="E162" s="10">
        <v>0.0</v>
      </c>
    </row>
    <row r="163" ht="22.5" customHeight="1">
      <c r="A163" s="13" t="s">
        <v>194</v>
      </c>
      <c r="B163" s="13">
        <v>2.0</v>
      </c>
      <c r="C163" s="13">
        <v>8.0</v>
      </c>
      <c r="D163" s="10">
        <v>0.0</v>
      </c>
      <c r="E163" s="10">
        <v>0.0</v>
      </c>
    </row>
    <row r="164" ht="22.5" customHeight="1">
      <c r="A164" s="13" t="s">
        <v>195</v>
      </c>
      <c r="B164" s="13">
        <v>5.0</v>
      </c>
      <c r="C164" s="13">
        <v>21.0</v>
      </c>
      <c r="D164" s="10">
        <v>0.0</v>
      </c>
      <c r="E164" s="10">
        <v>0.0</v>
      </c>
    </row>
    <row r="165" ht="22.5" customHeight="1">
      <c r="A165" s="13" t="s">
        <v>200</v>
      </c>
      <c r="B165" s="13">
        <v>3.0</v>
      </c>
      <c r="C165" s="13">
        <v>12.0</v>
      </c>
      <c r="D165" s="10">
        <v>0.0</v>
      </c>
      <c r="E165" s="10">
        <v>0.0</v>
      </c>
    </row>
    <row r="166" ht="22.5" customHeight="1">
      <c r="A166" s="13" t="s">
        <v>203</v>
      </c>
      <c r="B166" s="13">
        <v>1.0</v>
      </c>
      <c r="C166" s="13">
        <v>4.0</v>
      </c>
      <c r="D166" s="10">
        <v>0.0</v>
      </c>
      <c r="E166" s="10">
        <v>0.0</v>
      </c>
    </row>
    <row r="167" ht="22.5" customHeight="1">
      <c r="A167" s="13" t="s">
        <v>205</v>
      </c>
      <c r="B167" s="13">
        <v>2.0</v>
      </c>
      <c r="C167" s="13">
        <v>8.0</v>
      </c>
      <c r="D167" s="10">
        <v>0.0</v>
      </c>
      <c r="E167" s="10">
        <v>0.0</v>
      </c>
    </row>
    <row r="168" ht="22.5" customHeight="1">
      <c r="A168" s="13" t="s">
        <v>206</v>
      </c>
      <c r="B168" s="13">
        <v>1.0</v>
      </c>
      <c r="C168" s="13">
        <v>4.0</v>
      </c>
      <c r="D168" s="10">
        <v>0.0</v>
      </c>
      <c r="E168" s="10">
        <v>0.0</v>
      </c>
    </row>
    <row r="169" ht="22.5" customHeight="1">
      <c r="A169" s="13" t="s">
        <v>208</v>
      </c>
      <c r="B169" s="13">
        <v>1.0</v>
      </c>
      <c r="C169" s="13">
        <v>4.0</v>
      </c>
      <c r="D169" s="10">
        <v>0.0</v>
      </c>
      <c r="E169" s="10">
        <v>0.0</v>
      </c>
    </row>
    <row r="170" ht="22.5" customHeight="1">
      <c r="A170" s="13" t="s">
        <v>209</v>
      </c>
      <c r="B170" s="13">
        <v>5.0</v>
      </c>
      <c r="C170" s="13">
        <v>21.0</v>
      </c>
      <c r="D170" s="10">
        <v>0.0</v>
      </c>
      <c r="E170" s="10">
        <v>0.0</v>
      </c>
    </row>
    <row r="171" ht="22.5" customHeight="1">
      <c r="A171" s="13" t="s">
        <v>214</v>
      </c>
      <c r="B171" s="13">
        <v>5.0</v>
      </c>
      <c r="C171" s="13">
        <v>20.0</v>
      </c>
      <c r="D171" s="10">
        <v>0.0</v>
      </c>
      <c r="E171" s="10">
        <v>0.0</v>
      </c>
    </row>
    <row r="172" ht="22.5" customHeight="1">
      <c r="A172" s="13" t="s">
        <v>105</v>
      </c>
      <c r="B172" s="13">
        <v>5.0</v>
      </c>
      <c r="C172" s="13">
        <v>20.0</v>
      </c>
      <c r="D172" s="10">
        <v>0.0</v>
      </c>
      <c r="E172" s="10">
        <v>0.0</v>
      </c>
    </row>
    <row r="173" ht="22.5" customHeight="1">
      <c r="A173" s="13" t="s">
        <v>219</v>
      </c>
      <c r="B173" s="13">
        <v>1.0</v>
      </c>
      <c r="C173" s="13">
        <v>4.0</v>
      </c>
      <c r="D173" s="10">
        <v>0.0</v>
      </c>
      <c r="E173" s="10">
        <v>0.0</v>
      </c>
    </row>
    <row r="174" ht="22.5" customHeight="1">
      <c r="A174" s="13" t="s">
        <v>224</v>
      </c>
      <c r="B174" s="13">
        <v>2.0</v>
      </c>
      <c r="C174" s="13">
        <v>8.0</v>
      </c>
      <c r="D174" s="10">
        <v>0.0</v>
      </c>
      <c r="E174" s="10">
        <v>0.0</v>
      </c>
    </row>
    <row r="175" ht="22.5" customHeight="1">
      <c r="A175" s="13" t="s">
        <v>225</v>
      </c>
      <c r="B175" s="13">
        <v>1.0</v>
      </c>
      <c r="C175" s="13">
        <v>4.0</v>
      </c>
      <c r="D175" s="10">
        <v>0.0</v>
      </c>
      <c r="E175" s="10">
        <v>0.0</v>
      </c>
    </row>
    <row r="176" ht="22.5" customHeight="1">
      <c r="A176" s="13" t="s">
        <v>226</v>
      </c>
      <c r="B176" s="13">
        <v>4.0</v>
      </c>
      <c r="C176" s="13">
        <v>16.0</v>
      </c>
      <c r="D176" s="10">
        <v>0.0</v>
      </c>
      <c r="E176" s="10">
        <v>0.0</v>
      </c>
    </row>
    <row r="177" ht="22.5" customHeight="1">
      <c r="A177" s="13" t="s">
        <v>227</v>
      </c>
      <c r="B177" s="13">
        <v>5.0</v>
      </c>
      <c r="C177" s="13">
        <v>20.0</v>
      </c>
      <c r="D177" s="10">
        <v>0.0</v>
      </c>
      <c r="E177" s="10">
        <v>0.0</v>
      </c>
    </row>
    <row r="178" ht="22.5" customHeight="1">
      <c r="A178" s="13" t="s">
        <v>233</v>
      </c>
      <c r="B178" s="13">
        <v>4.0</v>
      </c>
      <c r="C178" s="13">
        <v>16.0</v>
      </c>
      <c r="D178" s="10">
        <v>0.0</v>
      </c>
      <c r="E178" s="10">
        <v>0.0</v>
      </c>
    </row>
    <row r="179" ht="22.5" customHeight="1">
      <c r="A179" s="13" t="s">
        <v>153</v>
      </c>
      <c r="B179" s="13">
        <v>1.0</v>
      </c>
      <c r="C179" s="13">
        <v>4.0</v>
      </c>
      <c r="D179" s="10">
        <v>0.0</v>
      </c>
      <c r="E179" s="10">
        <v>0.0</v>
      </c>
    </row>
    <row r="180" ht="22.5" customHeight="1">
      <c r="A180" s="13" t="s">
        <v>235</v>
      </c>
      <c r="B180" s="13">
        <v>4.0</v>
      </c>
      <c r="C180" s="13">
        <v>16.0</v>
      </c>
      <c r="D180" s="10">
        <v>0.0</v>
      </c>
      <c r="E180" s="10">
        <v>0.0</v>
      </c>
    </row>
    <row r="181" ht="22.5" customHeight="1">
      <c r="A181" s="13" t="s">
        <v>135</v>
      </c>
      <c r="B181" s="13">
        <v>4.0</v>
      </c>
      <c r="C181" s="13">
        <v>16.0</v>
      </c>
      <c r="D181" s="10">
        <v>0.0</v>
      </c>
      <c r="E181" s="10">
        <v>0.0</v>
      </c>
    </row>
    <row r="182" ht="22.5" customHeight="1">
      <c r="A182" s="13" t="s">
        <v>236</v>
      </c>
      <c r="B182" s="13">
        <v>2.0</v>
      </c>
      <c r="C182" s="13">
        <v>8.0</v>
      </c>
      <c r="D182" s="10">
        <v>0.0</v>
      </c>
      <c r="E182" s="10">
        <v>0.0</v>
      </c>
    </row>
    <row r="183" ht="22.5" customHeight="1">
      <c r="A183" s="13" t="s">
        <v>242</v>
      </c>
      <c r="B183" s="13">
        <v>1.0</v>
      </c>
      <c r="C183" s="13">
        <v>4.0</v>
      </c>
      <c r="D183" s="10">
        <v>0.0</v>
      </c>
      <c r="E183" s="10">
        <v>0.0</v>
      </c>
    </row>
    <row r="184" ht="22.5" customHeight="1">
      <c r="A184" s="13" t="s">
        <v>248</v>
      </c>
      <c r="B184" s="13">
        <v>5.0</v>
      </c>
      <c r="C184" s="13">
        <v>20.0</v>
      </c>
      <c r="D184" s="10">
        <v>0.0</v>
      </c>
      <c r="E184" s="10">
        <v>0.0</v>
      </c>
    </row>
    <row r="185" ht="22.5" customHeight="1">
      <c r="A185" s="13" t="s">
        <v>250</v>
      </c>
      <c r="B185" s="13">
        <v>3.0</v>
      </c>
      <c r="C185" s="13">
        <v>12.0</v>
      </c>
      <c r="D185" s="10">
        <v>0.0</v>
      </c>
      <c r="E185" s="10">
        <v>0.0</v>
      </c>
    </row>
    <row r="186" ht="22.5" customHeight="1">
      <c r="A186" s="13" t="s">
        <v>251</v>
      </c>
      <c r="B186" s="13">
        <v>1.0</v>
      </c>
      <c r="C186" s="13">
        <v>4.0</v>
      </c>
      <c r="D186" s="10">
        <v>0.0</v>
      </c>
      <c r="E186" s="10">
        <v>0.0</v>
      </c>
    </row>
    <row r="187" ht="22.5" customHeight="1">
      <c r="A187" s="13" t="s">
        <v>239</v>
      </c>
      <c r="B187" s="13">
        <v>1.0</v>
      </c>
      <c r="C187" s="13">
        <v>4.0</v>
      </c>
      <c r="D187" s="10">
        <v>0.0</v>
      </c>
      <c r="E187" s="10">
        <v>0.0</v>
      </c>
    </row>
    <row r="188" ht="22.5" customHeight="1">
      <c r="A188" s="13" t="s">
        <v>255</v>
      </c>
      <c r="B188" s="13">
        <v>5.0</v>
      </c>
      <c r="C188" s="13">
        <v>20.0</v>
      </c>
      <c r="D188" s="10">
        <v>0.0</v>
      </c>
      <c r="E188" s="10">
        <v>0.0</v>
      </c>
    </row>
    <row r="189" ht="22.5" customHeight="1">
      <c r="A189" s="13" t="s">
        <v>257</v>
      </c>
      <c r="B189" s="13">
        <v>2.0</v>
      </c>
      <c r="C189" s="13">
        <v>8.0</v>
      </c>
      <c r="D189" s="10">
        <v>0.0</v>
      </c>
      <c r="E189" s="10">
        <v>0.0</v>
      </c>
    </row>
    <row r="190" ht="22.5" customHeight="1">
      <c r="A190" s="13" t="s">
        <v>99</v>
      </c>
      <c r="B190" s="13">
        <v>5.0</v>
      </c>
      <c r="C190" s="13">
        <v>20.0</v>
      </c>
      <c r="D190" s="10">
        <v>0.0</v>
      </c>
      <c r="E190" s="10">
        <v>0.0</v>
      </c>
    </row>
    <row r="191" ht="22.5" customHeight="1">
      <c r="A191" s="13" t="s">
        <v>241</v>
      </c>
      <c r="B191" s="13">
        <v>2.0</v>
      </c>
      <c r="C191" s="13">
        <v>8.0</v>
      </c>
      <c r="D191" s="10">
        <v>0.0</v>
      </c>
      <c r="E191" s="10">
        <v>0.0</v>
      </c>
    </row>
    <row r="192" ht="22.5" customHeight="1">
      <c r="A192" s="13" t="s">
        <v>264</v>
      </c>
      <c r="B192" s="13">
        <v>4.0</v>
      </c>
      <c r="C192" s="13">
        <v>16.0</v>
      </c>
      <c r="D192" s="10">
        <v>0.0</v>
      </c>
      <c r="E192" s="10">
        <v>0.0</v>
      </c>
    </row>
    <row r="193" ht="22.5" customHeight="1">
      <c r="A193" s="13" t="s">
        <v>266</v>
      </c>
      <c r="B193" s="13">
        <v>4.0</v>
      </c>
      <c r="C193" s="13">
        <v>16.0</v>
      </c>
      <c r="D193" s="10">
        <v>0.0</v>
      </c>
      <c r="E193" s="10">
        <v>0.0</v>
      </c>
    </row>
    <row r="194" ht="22.5" customHeight="1">
      <c r="A194" s="13" t="s">
        <v>268</v>
      </c>
      <c r="B194" s="13">
        <v>1.0</v>
      </c>
      <c r="C194" s="13">
        <v>4.0</v>
      </c>
      <c r="D194" s="10">
        <v>0.0</v>
      </c>
      <c r="E194" s="10">
        <v>0.0</v>
      </c>
    </row>
    <row r="195" ht="22.5" customHeight="1">
      <c r="A195" s="13" t="s">
        <v>276</v>
      </c>
      <c r="B195" s="13">
        <v>4.0</v>
      </c>
      <c r="C195" s="13">
        <v>15.0</v>
      </c>
      <c r="D195" s="10">
        <v>0.0</v>
      </c>
      <c r="E195" s="10">
        <v>0.0</v>
      </c>
    </row>
    <row r="196" ht="22.5" customHeight="1">
      <c r="A196" s="13" t="s">
        <v>172</v>
      </c>
      <c r="B196" s="13">
        <v>4.0</v>
      </c>
      <c r="C196" s="13">
        <v>16.0</v>
      </c>
      <c r="D196" s="10">
        <v>0.0</v>
      </c>
      <c r="E196" s="10">
        <v>0.0</v>
      </c>
    </row>
    <row r="197" ht="22.5" customHeight="1">
      <c r="A197" s="13" t="s">
        <v>280</v>
      </c>
      <c r="B197" s="13">
        <v>1.0</v>
      </c>
      <c r="C197" s="13">
        <v>4.0</v>
      </c>
      <c r="D197" s="10">
        <v>0.0</v>
      </c>
      <c r="E197" s="10">
        <v>0.0</v>
      </c>
    </row>
    <row r="198" ht="22.5" customHeight="1">
      <c r="A198" s="13" t="s">
        <v>281</v>
      </c>
      <c r="B198" s="13">
        <v>5.0</v>
      </c>
      <c r="C198" s="13">
        <v>20.0</v>
      </c>
      <c r="D198" s="10">
        <v>0.0</v>
      </c>
      <c r="E198" s="10">
        <v>0.0</v>
      </c>
    </row>
    <row r="199" ht="22.5" customHeight="1">
      <c r="A199" s="13" t="s">
        <v>282</v>
      </c>
      <c r="B199" s="13">
        <v>3.0</v>
      </c>
      <c r="C199" s="13">
        <v>12.0</v>
      </c>
      <c r="D199" s="10">
        <v>0.0</v>
      </c>
      <c r="E199" s="10">
        <v>0.0</v>
      </c>
    </row>
    <row r="200" ht="22.5" customHeight="1">
      <c r="A200" s="13" t="s">
        <v>283</v>
      </c>
      <c r="B200" s="13">
        <v>4.0</v>
      </c>
      <c r="C200" s="13">
        <v>16.0</v>
      </c>
      <c r="D200" s="10">
        <v>0.0</v>
      </c>
      <c r="E200" s="10">
        <v>0.0</v>
      </c>
    </row>
    <row r="201" ht="22.5" customHeight="1">
      <c r="A201" s="13" t="s">
        <v>284</v>
      </c>
      <c r="B201" s="13">
        <v>2.0</v>
      </c>
      <c r="C201" s="13">
        <v>8.0</v>
      </c>
      <c r="D201" s="10">
        <v>0.0</v>
      </c>
      <c r="E201" s="10">
        <v>0.0</v>
      </c>
    </row>
    <row r="202" ht="22.5" customHeight="1">
      <c r="A202" s="13" t="s">
        <v>245</v>
      </c>
      <c r="B202" s="13">
        <v>3.0</v>
      </c>
      <c r="C202" s="13">
        <v>12.0</v>
      </c>
      <c r="D202" s="10">
        <v>0.0</v>
      </c>
      <c r="E202" s="10">
        <v>0.0</v>
      </c>
    </row>
    <row r="203" ht="22.5" customHeight="1">
      <c r="A203" s="13" t="s">
        <v>291</v>
      </c>
      <c r="B203" s="13">
        <v>4.0</v>
      </c>
      <c r="C203" s="13">
        <v>16.0</v>
      </c>
      <c r="D203" s="10">
        <v>0.0</v>
      </c>
      <c r="E203" s="10">
        <v>0.0</v>
      </c>
    </row>
    <row r="204" ht="22.5" customHeight="1">
      <c r="A204" s="13" t="s">
        <v>98</v>
      </c>
      <c r="B204" s="13">
        <v>5.0</v>
      </c>
      <c r="C204" s="13">
        <v>20.0</v>
      </c>
      <c r="D204" s="10">
        <v>0.0</v>
      </c>
      <c r="E204" s="10">
        <v>0.0</v>
      </c>
    </row>
    <row r="205" ht="22.5" customHeight="1">
      <c r="A205" s="13" t="s">
        <v>106</v>
      </c>
      <c r="B205" s="13">
        <v>5.0</v>
      </c>
      <c r="C205" s="13">
        <v>20.0</v>
      </c>
      <c r="D205" s="10">
        <v>0.0</v>
      </c>
      <c r="E205" s="10">
        <v>0.0</v>
      </c>
    </row>
    <row r="206" ht="22.5" customHeight="1">
      <c r="A206" s="13" t="s">
        <v>292</v>
      </c>
      <c r="B206" s="13">
        <v>2.0</v>
      </c>
      <c r="C206" s="13">
        <v>8.0</v>
      </c>
      <c r="D206" s="10">
        <v>0.0</v>
      </c>
      <c r="E206" s="10">
        <v>0.0</v>
      </c>
    </row>
    <row r="207" ht="22.5" customHeight="1">
      <c r="A207" s="13" t="s">
        <v>269</v>
      </c>
      <c r="B207" s="13">
        <v>5.0</v>
      </c>
      <c r="C207" s="13">
        <v>20.0</v>
      </c>
      <c r="D207" s="10">
        <v>0.0</v>
      </c>
      <c r="E207" s="10">
        <v>0.0</v>
      </c>
    </row>
    <row r="208" ht="22.5" customHeight="1">
      <c r="A208" s="13" t="s">
        <v>246</v>
      </c>
      <c r="B208" s="13">
        <v>1.0</v>
      </c>
      <c r="C208" s="13">
        <v>4.0</v>
      </c>
      <c r="D208" s="10">
        <v>0.0</v>
      </c>
      <c r="E208" s="10">
        <v>0.0</v>
      </c>
    </row>
    <row r="209" ht="22.5" customHeight="1">
      <c r="A209" s="13" t="s">
        <v>297</v>
      </c>
      <c r="B209" s="13">
        <v>5.0</v>
      </c>
      <c r="C209" s="13">
        <v>20.0</v>
      </c>
      <c r="D209" s="10">
        <v>0.0</v>
      </c>
      <c r="E209" s="10">
        <v>0.0</v>
      </c>
    </row>
    <row r="210" ht="22.5" customHeight="1">
      <c r="A210" s="13" t="s">
        <v>298</v>
      </c>
      <c r="B210" s="13">
        <v>3.0</v>
      </c>
      <c r="C210" s="13">
        <v>11.0</v>
      </c>
      <c r="D210" s="10">
        <v>0.0</v>
      </c>
      <c r="E210" s="10">
        <v>0.0</v>
      </c>
    </row>
    <row r="211" ht="22.5" customHeight="1">
      <c r="A211" s="13" t="s">
        <v>175</v>
      </c>
      <c r="B211" s="13">
        <v>4.0</v>
      </c>
      <c r="C211" s="13">
        <v>15.0</v>
      </c>
      <c r="D211" s="10">
        <v>0.0</v>
      </c>
      <c r="E211" s="10">
        <v>0.0</v>
      </c>
    </row>
    <row r="212" ht="22.5" customHeight="1">
      <c r="A212" s="13" t="s">
        <v>271</v>
      </c>
      <c r="B212" s="13">
        <v>5.0</v>
      </c>
      <c r="C212" s="13">
        <v>20.0</v>
      </c>
      <c r="D212" s="10">
        <v>0.0</v>
      </c>
      <c r="E212" s="10">
        <v>0.0</v>
      </c>
    </row>
    <row r="213" ht="22.5" customHeight="1">
      <c r="A213" s="13" t="s">
        <v>303</v>
      </c>
      <c r="B213" s="13">
        <v>2.0</v>
      </c>
      <c r="C213" s="13">
        <v>8.0</v>
      </c>
      <c r="D213" s="10">
        <v>0.0</v>
      </c>
      <c r="E213" s="10">
        <v>0.0</v>
      </c>
    </row>
    <row r="214" ht="22.5" customHeight="1">
      <c r="A214" s="13" t="s">
        <v>304</v>
      </c>
      <c r="B214" s="13">
        <v>4.0</v>
      </c>
      <c r="C214" s="13">
        <v>16.0</v>
      </c>
      <c r="D214" s="10">
        <v>0.0</v>
      </c>
      <c r="E214" s="10">
        <v>0.0</v>
      </c>
    </row>
    <row r="215" ht="22.5" customHeight="1">
      <c r="A215" s="13" t="s">
        <v>305</v>
      </c>
      <c r="B215" s="13">
        <v>1.0</v>
      </c>
      <c r="C215" s="13">
        <v>4.0</v>
      </c>
      <c r="D215" s="10">
        <v>0.0</v>
      </c>
      <c r="E215" s="10">
        <v>0.0</v>
      </c>
    </row>
    <row r="216" ht="22.5" customHeight="1">
      <c r="A216" s="13" t="s">
        <v>308</v>
      </c>
      <c r="B216" s="13">
        <v>3.0</v>
      </c>
      <c r="C216" s="13">
        <v>11.0</v>
      </c>
      <c r="D216" s="10">
        <v>0.0</v>
      </c>
      <c r="E216" s="10">
        <v>0.0</v>
      </c>
    </row>
    <row r="217" ht="22.5" customHeight="1">
      <c r="A217" s="13" t="s">
        <v>309</v>
      </c>
      <c r="B217" s="13">
        <v>2.0</v>
      </c>
      <c r="C217" s="13">
        <v>7.0</v>
      </c>
      <c r="D217" s="10">
        <v>0.0</v>
      </c>
      <c r="E217" s="10">
        <v>0.0</v>
      </c>
    </row>
    <row r="218" ht="22.5" customHeight="1">
      <c r="A218" s="13" t="s">
        <v>310</v>
      </c>
      <c r="B218" s="13">
        <v>2.0</v>
      </c>
      <c r="C218" s="13">
        <v>8.0</v>
      </c>
      <c r="D218" s="10">
        <v>0.0</v>
      </c>
      <c r="E218" s="10">
        <v>0.0</v>
      </c>
    </row>
    <row r="219" ht="22.5" customHeight="1">
      <c r="A219" s="13" t="s">
        <v>252</v>
      </c>
      <c r="B219" s="13">
        <v>3.0</v>
      </c>
      <c r="C219" s="13">
        <v>12.0</v>
      </c>
      <c r="D219" s="10">
        <v>0.0</v>
      </c>
      <c r="E219" s="10">
        <v>0.0</v>
      </c>
    </row>
    <row r="220" ht="22.5" customHeight="1">
      <c r="A220" s="13" t="s">
        <v>274</v>
      </c>
      <c r="B220" s="13">
        <v>5.0</v>
      </c>
      <c r="C220" s="13">
        <v>20.0</v>
      </c>
      <c r="D220" s="10">
        <v>0.0</v>
      </c>
      <c r="E220" s="10">
        <v>0.0</v>
      </c>
    </row>
    <row r="221" ht="22.5" customHeight="1">
      <c r="A221" s="13" t="s">
        <v>313</v>
      </c>
      <c r="B221" s="13">
        <v>2.0</v>
      </c>
      <c r="C221" s="13">
        <v>8.0</v>
      </c>
      <c r="D221" s="10">
        <v>0.0</v>
      </c>
      <c r="E221" s="10">
        <v>0.0</v>
      </c>
    </row>
    <row r="222" ht="22.5" customHeight="1">
      <c r="A222" s="13" t="s">
        <v>314</v>
      </c>
      <c r="B222" s="13">
        <v>3.0</v>
      </c>
      <c r="C222" s="13">
        <v>12.0</v>
      </c>
      <c r="D222" s="10">
        <v>0.0</v>
      </c>
      <c r="E222" s="10">
        <v>0.0</v>
      </c>
    </row>
    <row r="223" ht="22.5" customHeight="1">
      <c r="A223" s="13" t="s">
        <v>316</v>
      </c>
      <c r="B223" s="13">
        <v>4.0</v>
      </c>
      <c r="C223" s="13">
        <v>16.0</v>
      </c>
      <c r="D223" s="10">
        <v>0.0</v>
      </c>
      <c r="E223" s="10">
        <v>0.0</v>
      </c>
    </row>
    <row r="224" ht="22.5" customHeight="1">
      <c r="A224" s="13" t="s">
        <v>318</v>
      </c>
      <c r="B224" s="13">
        <v>1.0</v>
      </c>
      <c r="C224" s="13">
        <v>4.0</v>
      </c>
      <c r="D224" s="10">
        <v>0.0</v>
      </c>
      <c r="E224" s="10">
        <v>0.0</v>
      </c>
    </row>
    <row r="225" ht="22.5" customHeight="1">
      <c r="A225" s="13" t="s">
        <v>317</v>
      </c>
      <c r="B225" s="13">
        <v>3.0</v>
      </c>
      <c r="C225" s="13">
        <v>12.0</v>
      </c>
      <c r="D225" s="10">
        <v>0.0</v>
      </c>
      <c r="E225" s="10">
        <v>0.0</v>
      </c>
    </row>
    <row r="226" ht="22.5" customHeight="1">
      <c r="A226" s="13" t="s">
        <v>319</v>
      </c>
      <c r="B226" s="13">
        <v>1.0</v>
      </c>
      <c r="C226" s="13">
        <v>4.0</v>
      </c>
      <c r="D226" s="10">
        <v>0.0</v>
      </c>
      <c r="E226" s="10">
        <v>0.0</v>
      </c>
    </row>
    <row r="227" ht="22.5" customHeight="1">
      <c r="A227" s="13" t="s">
        <v>155</v>
      </c>
      <c r="B227" s="13">
        <v>5.0</v>
      </c>
      <c r="C227" s="13">
        <v>19.0</v>
      </c>
      <c r="D227" s="10">
        <v>0.0</v>
      </c>
      <c r="E227" s="10">
        <v>0.0</v>
      </c>
    </row>
    <row r="228" ht="22.5" customHeight="1">
      <c r="A228" s="13" t="s">
        <v>212</v>
      </c>
      <c r="B228" s="13">
        <v>5.0</v>
      </c>
      <c r="C228" s="13">
        <v>19.0</v>
      </c>
      <c r="D228" s="10">
        <v>0.0</v>
      </c>
      <c r="E228" s="10">
        <v>0.0</v>
      </c>
    </row>
    <row r="229" ht="22.5" customHeight="1">
      <c r="A229" s="13" t="s">
        <v>320</v>
      </c>
      <c r="B229" s="13">
        <v>5.0</v>
      </c>
      <c r="C229" s="13">
        <v>20.0</v>
      </c>
      <c r="D229" s="10">
        <v>0.0</v>
      </c>
      <c r="E229" s="10">
        <v>0.0</v>
      </c>
    </row>
    <row r="230" ht="22.5" customHeight="1">
      <c r="A230" s="13" t="s">
        <v>289</v>
      </c>
      <c r="B230" s="13">
        <v>5.0</v>
      </c>
      <c r="C230" s="13">
        <v>20.0</v>
      </c>
      <c r="D230" s="10">
        <v>0.0</v>
      </c>
      <c r="E230" s="10">
        <v>0.0</v>
      </c>
    </row>
    <row r="231" ht="22.5" customHeight="1">
      <c r="A231" s="13" t="s">
        <v>323</v>
      </c>
      <c r="B231" s="13">
        <v>5.0</v>
      </c>
      <c r="C231" s="13">
        <v>20.0</v>
      </c>
      <c r="D231" s="10">
        <v>0.0</v>
      </c>
      <c r="E231" s="10">
        <v>0.0</v>
      </c>
    </row>
    <row r="232" ht="22.5" customHeight="1">
      <c r="A232" s="13" t="s">
        <v>322</v>
      </c>
      <c r="B232" s="13">
        <v>4.0</v>
      </c>
      <c r="C232" s="13">
        <v>16.0</v>
      </c>
      <c r="D232" s="10">
        <v>0.0</v>
      </c>
      <c r="E232" s="10">
        <v>0.0</v>
      </c>
    </row>
    <row r="233" ht="22.5" customHeight="1">
      <c r="A233" s="13" t="s">
        <v>329</v>
      </c>
      <c r="B233" s="13">
        <v>4.0</v>
      </c>
      <c r="C233" s="13">
        <v>16.0</v>
      </c>
      <c r="D233" s="10">
        <v>0.0</v>
      </c>
      <c r="E233" s="10">
        <v>0.0</v>
      </c>
    </row>
    <row r="234" ht="22.5" customHeight="1">
      <c r="A234" s="13" t="s">
        <v>330</v>
      </c>
      <c r="B234" s="13">
        <v>5.0</v>
      </c>
      <c r="C234" s="13">
        <v>20.0</v>
      </c>
      <c r="D234" s="10">
        <v>0.0</v>
      </c>
      <c r="E234" s="10">
        <v>0.0</v>
      </c>
    </row>
    <row r="235" ht="22.5" customHeight="1">
      <c r="A235" s="13" t="s">
        <v>332</v>
      </c>
      <c r="B235" s="13">
        <v>2.0</v>
      </c>
      <c r="C235" s="13">
        <v>8.0</v>
      </c>
      <c r="D235" s="10">
        <v>0.0</v>
      </c>
      <c r="E235" s="10">
        <v>0.0</v>
      </c>
    </row>
    <row r="236" ht="22.5" customHeight="1">
      <c r="A236" s="13" t="s">
        <v>333</v>
      </c>
      <c r="B236" s="13">
        <v>4.0</v>
      </c>
      <c r="C236" s="13">
        <v>17.0</v>
      </c>
      <c r="D236" s="10">
        <v>0.0</v>
      </c>
      <c r="E236" s="10">
        <v>0.0</v>
      </c>
    </row>
    <row r="237" ht="22.5" customHeight="1">
      <c r="A237" s="13" t="s">
        <v>113</v>
      </c>
      <c r="B237" s="13">
        <v>5.0</v>
      </c>
      <c r="C237" s="13">
        <v>20.0</v>
      </c>
      <c r="D237" s="10">
        <v>0.0</v>
      </c>
      <c r="E237" s="10">
        <v>0.0</v>
      </c>
    </row>
    <row r="238" ht="22.5" customHeight="1">
      <c r="A238" s="13" t="s">
        <v>335</v>
      </c>
      <c r="B238" s="13">
        <v>3.0</v>
      </c>
      <c r="C238" s="13">
        <v>12.0</v>
      </c>
      <c r="D238" s="10">
        <v>0.0</v>
      </c>
      <c r="E238" s="10">
        <v>0.0</v>
      </c>
    </row>
    <row r="239" ht="22.5" customHeight="1">
      <c r="A239" s="13" t="s">
        <v>337</v>
      </c>
      <c r="B239" s="13">
        <v>5.0</v>
      </c>
      <c r="C239" s="13">
        <v>20.0</v>
      </c>
      <c r="D239" s="10">
        <v>0.0</v>
      </c>
      <c r="E239" s="10">
        <v>0.0</v>
      </c>
    </row>
    <row r="240" ht="22.5" customHeight="1">
      <c r="A240" s="13" t="s">
        <v>338</v>
      </c>
      <c r="B240" s="13">
        <v>2.0</v>
      </c>
      <c r="C240" s="13">
        <v>8.0</v>
      </c>
      <c r="D240" s="10">
        <v>0.0</v>
      </c>
      <c r="E240" s="10">
        <v>0.0</v>
      </c>
    </row>
    <row r="241" ht="22.5" customHeight="1">
      <c r="A241" s="13" t="s">
        <v>339</v>
      </c>
      <c r="B241" s="13">
        <v>1.0</v>
      </c>
      <c r="C241" s="13">
        <v>4.0</v>
      </c>
      <c r="D241" s="10">
        <v>0.0</v>
      </c>
      <c r="E241" s="10">
        <v>0.0</v>
      </c>
    </row>
    <row r="242" ht="22.5" customHeight="1">
      <c r="A242" s="13" t="s">
        <v>340</v>
      </c>
      <c r="B242" s="13">
        <v>2.0</v>
      </c>
      <c r="C242" s="13">
        <v>8.0</v>
      </c>
      <c r="D242" s="10">
        <v>0.0</v>
      </c>
      <c r="E242" s="10">
        <v>0.0</v>
      </c>
    </row>
    <row r="243" ht="22.5" customHeight="1">
      <c r="A243" s="13" t="s">
        <v>299</v>
      </c>
      <c r="B243" s="13">
        <v>4.0</v>
      </c>
      <c r="C243" s="13">
        <v>16.0</v>
      </c>
      <c r="D243" s="10">
        <v>0.0</v>
      </c>
      <c r="E243" s="10">
        <v>0.0</v>
      </c>
    </row>
    <row r="244" ht="22.5" customHeight="1">
      <c r="A244" s="13" t="s">
        <v>256</v>
      </c>
      <c r="B244" s="13">
        <v>1.0</v>
      </c>
      <c r="C244" s="13">
        <v>4.0</v>
      </c>
      <c r="D244" s="10">
        <v>0.0</v>
      </c>
      <c r="E244" s="10">
        <v>0.0</v>
      </c>
    </row>
    <row r="245" ht="22.5" customHeight="1">
      <c r="A245" s="13" t="s">
        <v>346</v>
      </c>
      <c r="B245" s="13">
        <v>5.0</v>
      </c>
      <c r="C245" s="13">
        <v>20.0</v>
      </c>
      <c r="D245" s="10">
        <v>0.0</v>
      </c>
      <c r="E245" s="10">
        <v>0.0</v>
      </c>
    </row>
    <row r="246" ht="22.5" customHeight="1">
      <c r="A246" s="13" t="s">
        <v>347</v>
      </c>
      <c r="B246" s="13">
        <v>5.0</v>
      </c>
      <c r="C246" s="13">
        <v>20.0</v>
      </c>
      <c r="D246" s="10">
        <v>0.0</v>
      </c>
      <c r="E246" s="10">
        <v>0.2</v>
      </c>
    </row>
    <row r="247" ht="22.5" customHeight="1">
      <c r="A247" s="13" t="s">
        <v>188</v>
      </c>
      <c r="B247" s="13">
        <v>5.0</v>
      </c>
      <c r="C247" s="13">
        <v>20.0</v>
      </c>
      <c r="D247" s="10">
        <v>0.0</v>
      </c>
      <c r="E247" s="10">
        <v>0.0</v>
      </c>
    </row>
    <row r="248" ht="22.5" customHeight="1">
      <c r="A248" s="13" t="s">
        <v>119</v>
      </c>
      <c r="B248" s="13">
        <v>3.0</v>
      </c>
      <c r="C248" s="13">
        <v>11.0</v>
      </c>
      <c r="D248" s="10">
        <v>0.0</v>
      </c>
      <c r="E248" s="10">
        <v>0.0</v>
      </c>
    </row>
    <row r="249" ht="22.5" customHeight="1">
      <c r="A249" s="13" t="s">
        <v>218</v>
      </c>
      <c r="B249" s="13">
        <v>3.0</v>
      </c>
      <c r="C249" s="13">
        <v>11.0</v>
      </c>
      <c r="D249" s="10">
        <v>0.0</v>
      </c>
      <c r="E249" s="10">
        <v>0.0</v>
      </c>
    </row>
    <row r="250" ht="22.5" customHeight="1">
      <c r="A250" s="13" t="s">
        <v>348</v>
      </c>
      <c r="B250" s="13">
        <v>2.0</v>
      </c>
      <c r="C250" s="13">
        <v>7.0</v>
      </c>
      <c r="D250" s="10">
        <v>0.0</v>
      </c>
      <c r="E250" s="10">
        <v>0.0</v>
      </c>
    </row>
    <row r="251" ht="22.5" customHeight="1">
      <c r="A251" s="13" t="s">
        <v>349</v>
      </c>
      <c r="B251" s="13">
        <v>3.0</v>
      </c>
      <c r="C251" s="13">
        <v>12.0</v>
      </c>
      <c r="D251" s="10">
        <v>0.0</v>
      </c>
      <c r="E251" s="10">
        <v>0.0</v>
      </c>
    </row>
    <row r="252" ht="22.5" customHeight="1">
      <c r="A252" s="13" t="s">
        <v>193</v>
      </c>
      <c r="B252" s="13">
        <v>4.0</v>
      </c>
      <c r="C252" s="13">
        <v>15.0</v>
      </c>
      <c r="D252" s="10">
        <v>0.0</v>
      </c>
      <c r="E252" s="10">
        <v>0.0</v>
      </c>
    </row>
    <row r="253" ht="22.5" customHeight="1">
      <c r="A253" s="13" t="s">
        <v>341</v>
      </c>
      <c r="B253" s="13">
        <v>2.0</v>
      </c>
      <c r="C253" s="13">
        <v>8.0</v>
      </c>
      <c r="D253" s="10">
        <v>0.0</v>
      </c>
      <c r="E253" s="10">
        <v>0.0</v>
      </c>
    </row>
    <row r="254" ht="22.5" customHeight="1">
      <c r="A254" s="13" t="s">
        <v>260</v>
      </c>
      <c r="B254" s="13">
        <v>5.0</v>
      </c>
      <c r="C254" s="13">
        <v>20.0</v>
      </c>
      <c r="D254" s="10">
        <v>0.0</v>
      </c>
      <c r="E254" s="10">
        <v>0.0</v>
      </c>
    </row>
    <row r="255" ht="22.5" customHeight="1">
      <c r="A255" s="13" t="s">
        <v>327</v>
      </c>
      <c r="B255" s="13">
        <v>4.0</v>
      </c>
      <c r="C255" s="13">
        <v>16.0</v>
      </c>
      <c r="D255" s="10">
        <v>0.0</v>
      </c>
      <c r="E255" s="10">
        <v>0.0</v>
      </c>
    </row>
    <row r="256" ht="22.5" customHeight="1">
      <c r="A256" s="13" t="s">
        <v>131</v>
      </c>
      <c r="B256" s="13">
        <v>5.0</v>
      </c>
      <c r="C256" s="13">
        <v>20.0</v>
      </c>
      <c r="D256" s="10">
        <v>0.0</v>
      </c>
      <c r="E256" s="10">
        <v>0.2</v>
      </c>
    </row>
    <row r="257" ht="22.5" customHeight="1">
      <c r="A257" s="13" t="s">
        <v>342</v>
      </c>
      <c r="B257" s="13">
        <v>2.0</v>
      </c>
      <c r="C257" s="13">
        <v>8.0</v>
      </c>
      <c r="D257" s="10">
        <v>0.0</v>
      </c>
      <c r="E257" s="10">
        <v>0.0</v>
      </c>
    </row>
    <row r="258" ht="22.5" customHeight="1">
      <c r="A258" s="13" t="s">
        <v>302</v>
      </c>
      <c r="B258" s="13">
        <v>2.0</v>
      </c>
      <c r="C258" s="13">
        <v>8.0</v>
      </c>
      <c r="D258" s="10">
        <v>0.0</v>
      </c>
      <c r="E258" s="10">
        <v>0.0</v>
      </c>
    </row>
    <row r="259" ht="22.5" customHeight="1">
      <c r="A259" s="13" t="s">
        <v>261</v>
      </c>
      <c r="B259" s="13">
        <v>3.0</v>
      </c>
      <c r="C259" s="13">
        <v>12.0</v>
      </c>
      <c r="D259" s="10">
        <v>0.0</v>
      </c>
      <c r="E259" s="10">
        <v>0.0</v>
      </c>
    </row>
    <row r="260" ht="22.5" customHeight="1">
      <c r="A260" s="13" t="s">
        <v>344</v>
      </c>
      <c r="B260" s="13">
        <v>5.0</v>
      </c>
      <c r="C260" s="13">
        <v>20.0</v>
      </c>
      <c r="D260" s="10">
        <v>0.0</v>
      </c>
      <c r="E260" s="10">
        <v>0.0</v>
      </c>
    </row>
    <row r="261" ht="22.5" customHeight="1">
      <c r="A261" s="13" t="s">
        <v>243</v>
      </c>
      <c r="B261" s="13">
        <v>1.0</v>
      </c>
      <c r="C261" s="13">
        <v>4.0</v>
      </c>
      <c r="D261" s="10">
        <v>0.0</v>
      </c>
      <c r="E261" s="10">
        <v>0.0</v>
      </c>
    </row>
    <row r="262" ht="22.5" customHeight="1">
      <c r="A262" s="13" t="s">
        <v>2</v>
      </c>
      <c r="B262" s="13">
        <v>5.0</v>
      </c>
      <c r="C262" s="13">
        <v>20.0</v>
      </c>
      <c r="D262" s="10">
        <v>-0.8</v>
      </c>
      <c r="E262" s="10">
        <v>0.2</v>
      </c>
    </row>
    <row r="263" ht="22.5" customHeight="1">
      <c r="A263" s="13" t="s">
        <v>96</v>
      </c>
      <c r="B263" s="13">
        <v>5.0</v>
      </c>
      <c r="C263" s="13">
        <v>20.0</v>
      </c>
      <c r="D263" s="10">
        <v>-0.8</v>
      </c>
      <c r="E263" s="10">
        <v>0.2</v>
      </c>
    </row>
    <row r="264" ht="22.5" customHeight="1">
      <c r="A264" s="13" t="s">
        <v>273</v>
      </c>
      <c r="B264" s="13">
        <v>5.0</v>
      </c>
      <c r="C264" s="13">
        <v>19.0</v>
      </c>
      <c r="D264" s="10">
        <v>-0.8</v>
      </c>
      <c r="E264" s="10">
        <v>0.2</v>
      </c>
    </row>
    <row r="265" ht="22.5" customHeight="1">
      <c r="A265" s="13" t="s">
        <v>191</v>
      </c>
      <c r="B265" s="13">
        <v>4.0</v>
      </c>
      <c r="C265" s="13">
        <v>17.0</v>
      </c>
      <c r="D265" s="10">
        <v>-1.0</v>
      </c>
      <c r="E265" s="10">
        <v>0.25</v>
      </c>
    </row>
    <row r="266" ht="22.5" customHeight="1">
      <c r="A266" s="13" t="s">
        <v>278</v>
      </c>
      <c r="B266" s="13">
        <v>4.0</v>
      </c>
      <c r="C266" s="13">
        <v>16.0</v>
      </c>
      <c r="D266" s="10">
        <v>-1.0</v>
      </c>
      <c r="E266" s="10">
        <v>0.25</v>
      </c>
    </row>
    <row r="267" ht="22.5" customHeight="1">
      <c r="A267" s="13" t="s">
        <v>8</v>
      </c>
      <c r="B267" s="13">
        <v>5.0</v>
      </c>
      <c r="C267" s="13">
        <v>20.0</v>
      </c>
      <c r="D267" s="10">
        <v>-1.6</v>
      </c>
      <c r="E267" s="10">
        <v>0.6</v>
      </c>
    </row>
    <row r="268" ht="22.5" customHeight="1">
      <c r="A268" s="13" t="s">
        <v>40</v>
      </c>
      <c r="B268" s="13">
        <v>5.0</v>
      </c>
      <c r="C268" s="13">
        <v>19.0</v>
      </c>
      <c r="D268" s="10">
        <v>-1.6</v>
      </c>
      <c r="E268" s="10">
        <v>0.6</v>
      </c>
    </row>
    <row r="269" ht="22.5" customHeight="1">
      <c r="A269" s="13" t="s">
        <v>222</v>
      </c>
      <c r="B269" s="13">
        <v>5.0</v>
      </c>
      <c r="C269" s="13">
        <v>20.0</v>
      </c>
      <c r="D269" s="10">
        <v>-1.6</v>
      </c>
      <c r="E269" s="10">
        <v>0.6</v>
      </c>
    </row>
    <row r="270" ht="22.5" customHeight="1">
      <c r="A270" s="13" t="s">
        <v>336</v>
      </c>
      <c r="B270" s="13">
        <v>2.0</v>
      </c>
      <c r="C270" s="13">
        <v>8.0</v>
      </c>
      <c r="D270" s="10">
        <v>-2.0</v>
      </c>
      <c r="E270" s="10">
        <v>0.5</v>
      </c>
    </row>
    <row r="271" ht="22.5" customHeight="1">
      <c r="A271" s="13" t="s">
        <v>288</v>
      </c>
      <c r="B271" s="13">
        <v>1.0</v>
      </c>
      <c r="C271" s="13">
        <v>4.0</v>
      </c>
      <c r="D271" s="10">
        <v>-4.0</v>
      </c>
      <c r="E271" s="10">
        <v>1.0</v>
      </c>
    </row>
    <row r="272" ht="22.5" customHeight="1">
      <c r="A272" s="13" t="s">
        <v>290</v>
      </c>
      <c r="B272" s="13">
        <v>1.0</v>
      </c>
      <c r="C272" s="13">
        <v>4.0</v>
      </c>
      <c r="D272" s="10">
        <v>-4.0</v>
      </c>
      <c r="E272" s="10">
        <v>1.0</v>
      </c>
    </row>
    <row r="273" ht="22.5" customHeight="1">
      <c r="A273" s="13" t="s">
        <v>88</v>
      </c>
      <c r="B273" s="13">
        <v>3.0</v>
      </c>
      <c r="C273" s="13">
        <v>12.0</v>
      </c>
      <c r="D273" s="10">
        <v>-6.666666666666667</v>
      </c>
      <c r="E273" s="10">
        <v>2.0</v>
      </c>
    </row>
    <row r="274">
      <c r="D274" s="4"/>
      <c r="E274" s="4"/>
    </row>
    <row r="275">
      <c r="D275" s="4"/>
      <c r="E275" s="4"/>
    </row>
    <row r="276">
      <c r="D276" s="4"/>
      <c r="E276" s="4"/>
    </row>
    <row r="277">
      <c r="D277" s="4"/>
      <c r="E277" s="4"/>
    </row>
    <row r="278">
      <c r="D278" s="4"/>
      <c r="E278" s="4"/>
    </row>
    <row r="279">
      <c r="D279" s="4"/>
      <c r="E279" s="4"/>
    </row>
    <row r="280">
      <c r="D280" s="4"/>
      <c r="E280" s="4"/>
    </row>
    <row r="281">
      <c r="D281" s="4"/>
      <c r="E281" s="4"/>
    </row>
    <row r="282">
      <c r="D282" s="4"/>
      <c r="E282" s="4"/>
    </row>
    <row r="283">
      <c r="D283" s="4"/>
      <c r="E283" s="4"/>
    </row>
    <row r="284">
      <c r="D284" s="4"/>
      <c r="E284" s="4"/>
    </row>
    <row r="285">
      <c r="D285" s="4"/>
      <c r="E285" s="4"/>
    </row>
    <row r="286">
      <c r="D286" s="4"/>
      <c r="E286" s="4"/>
    </row>
    <row r="287">
      <c r="D287" s="4"/>
      <c r="E287" s="4"/>
    </row>
    <row r="288">
      <c r="D288" s="4"/>
      <c r="E288" s="4"/>
    </row>
    <row r="289">
      <c r="D289" s="4"/>
      <c r="E289" s="4"/>
    </row>
    <row r="290">
      <c r="D290" s="4"/>
      <c r="E290" s="4"/>
    </row>
    <row r="291">
      <c r="D291" s="4"/>
      <c r="E291" s="4"/>
    </row>
    <row r="292">
      <c r="D292" s="4"/>
      <c r="E292" s="4"/>
    </row>
    <row r="293">
      <c r="D293" s="4"/>
      <c r="E293" s="4"/>
    </row>
    <row r="294">
      <c r="D294" s="4"/>
      <c r="E294" s="4"/>
    </row>
    <row r="295">
      <c r="D295" s="4"/>
      <c r="E295" s="4"/>
    </row>
    <row r="296">
      <c r="D296" s="4"/>
      <c r="E296" s="4"/>
    </row>
    <row r="297">
      <c r="D297" s="4"/>
      <c r="E297" s="4"/>
    </row>
    <row r="298">
      <c r="D298" s="4"/>
      <c r="E298" s="4"/>
    </row>
    <row r="299">
      <c r="D299" s="4"/>
      <c r="E299" s="4"/>
    </row>
    <row r="300">
      <c r="D300" s="4"/>
      <c r="E300" s="4"/>
    </row>
    <row r="301">
      <c r="D301" s="4"/>
      <c r="E301" s="4"/>
    </row>
    <row r="302">
      <c r="D302" s="4"/>
      <c r="E302" s="4"/>
    </row>
    <row r="303">
      <c r="D303" s="4"/>
      <c r="E303" s="4"/>
    </row>
    <row r="304">
      <c r="D304" s="4"/>
      <c r="E304" s="4"/>
    </row>
    <row r="305">
      <c r="D305" s="4"/>
      <c r="E305" s="4"/>
    </row>
    <row r="306">
      <c r="D306" s="4"/>
      <c r="E306" s="4"/>
    </row>
    <row r="307">
      <c r="D307" s="4"/>
      <c r="E307" s="4"/>
    </row>
    <row r="308">
      <c r="D308" s="4"/>
      <c r="E308" s="4"/>
    </row>
    <row r="309">
      <c r="D309" s="4"/>
      <c r="E309" s="4"/>
    </row>
    <row r="310">
      <c r="D310" s="4"/>
      <c r="E310" s="4"/>
    </row>
    <row r="311">
      <c r="D311" s="4"/>
      <c r="E311" s="4"/>
    </row>
    <row r="312">
      <c r="D312" s="4"/>
      <c r="E312" s="4"/>
    </row>
    <row r="313">
      <c r="D313" s="4"/>
      <c r="E313" s="4"/>
    </row>
    <row r="314">
      <c r="D314" s="4"/>
      <c r="E314" s="4"/>
    </row>
    <row r="315">
      <c r="D315" s="4"/>
      <c r="E315" s="4"/>
    </row>
    <row r="316">
      <c r="D316" s="4"/>
      <c r="E316" s="4"/>
    </row>
    <row r="317">
      <c r="D317" s="4"/>
      <c r="E317" s="4"/>
    </row>
    <row r="318">
      <c r="D318" s="4"/>
      <c r="E318" s="4"/>
    </row>
    <row r="319">
      <c r="D319" s="4"/>
      <c r="E319" s="4"/>
    </row>
    <row r="320">
      <c r="D320" s="4"/>
      <c r="E320" s="4"/>
    </row>
    <row r="321">
      <c r="D321" s="4"/>
      <c r="E321" s="4"/>
    </row>
    <row r="322">
      <c r="D322" s="4"/>
      <c r="E322" s="4"/>
    </row>
    <row r="323">
      <c r="D323" s="4"/>
      <c r="E323" s="4"/>
    </row>
    <row r="324">
      <c r="D324" s="4"/>
      <c r="E324" s="4"/>
    </row>
    <row r="325">
      <c r="D325" s="4"/>
      <c r="E325" s="4"/>
    </row>
    <row r="326">
      <c r="D326" s="4"/>
      <c r="E326" s="4"/>
    </row>
    <row r="327">
      <c r="D327" s="4"/>
      <c r="E327" s="4"/>
    </row>
    <row r="328">
      <c r="D328" s="4"/>
      <c r="E328" s="4"/>
    </row>
    <row r="329">
      <c r="D329" s="4"/>
      <c r="E329" s="4"/>
    </row>
    <row r="330">
      <c r="D330" s="4"/>
      <c r="E330" s="4"/>
    </row>
    <row r="331">
      <c r="D331" s="4"/>
      <c r="E331" s="4"/>
    </row>
    <row r="332">
      <c r="D332" s="4"/>
      <c r="E332" s="4"/>
    </row>
    <row r="333">
      <c r="D333" s="4"/>
      <c r="E333" s="4"/>
    </row>
    <row r="334">
      <c r="D334" s="4"/>
      <c r="E334" s="4"/>
    </row>
    <row r="335">
      <c r="D335" s="4"/>
      <c r="E335" s="4"/>
    </row>
    <row r="336">
      <c r="D336" s="4"/>
      <c r="E336" s="4"/>
    </row>
    <row r="337">
      <c r="D337" s="4"/>
      <c r="E337" s="4"/>
    </row>
    <row r="338">
      <c r="D338" s="4"/>
      <c r="E338" s="4"/>
    </row>
    <row r="339">
      <c r="D339" s="4"/>
      <c r="E339" s="4"/>
    </row>
    <row r="340">
      <c r="D340" s="4"/>
      <c r="E340" s="4"/>
    </row>
    <row r="341">
      <c r="D341" s="4"/>
      <c r="E341" s="4"/>
    </row>
    <row r="342">
      <c r="D342" s="4"/>
      <c r="E342" s="4"/>
    </row>
    <row r="343">
      <c r="D343" s="4"/>
      <c r="E343" s="4"/>
    </row>
    <row r="344">
      <c r="D344" s="4"/>
      <c r="E344" s="4"/>
    </row>
    <row r="345">
      <c r="D345" s="4"/>
      <c r="E345" s="4"/>
    </row>
    <row r="346">
      <c r="D346" s="4"/>
      <c r="E346" s="4"/>
    </row>
    <row r="347">
      <c r="D347" s="4"/>
      <c r="E347" s="4"/>
    </row>
    <row r="348">
      <c r="D348" s="4"/>
      <c r="E348" s="4"/>
    </row>
    <row r="349">
      <c r="D349" s="4"/>
      <c r="E349" s="4"/>
    </row>
    <row r="350">
      <c r="D350" s="4"/>
      <c r="E350" s="4"/>
    </row>
    <row r="351">
      <c r="D351" s="4"/>
      <c r="E351" s="4"/>
    </row>
    <row r="352">
      <c r="D352" s="4"/>
      <c r="E352" s="4"/>
    </row>
    <row r="353">
      <c r="D353" s="4"/>
      <c r="E353" s="4"/>
    </row>
    <row r="354">
      <c r="D354" s="4"/>
      <c r="E354" s="4"/>
    </row>
    <row r="355">
      <c r="D355" s="4"/>
      <c r="E355" s="4"/>
    </row>
    <row r="356">
      <c r="D356" s="4"/>
      <c r="E356" s="4"/>
    </row>
    <row r="357">
      <c r="D357" s="4"/>
      <c r="E357" s="4"/>
    </row>
    <row r="358">
      <c r="D358" s="4"/>
      <c r="E358" s="4"/>
    </row>
    <row r="359">
      <c r="D359" s="4"/>
      <c r="E359" s="4"/>
    </row>
    <row r="360">
      <c r="D360" s="4"/>
      <c r="E360" s="4"/>
    </row>
    <row r="361">
      <c r="D361" s="4"/>
      <c r="E361" s="4"/>
    </row>
    <row r="362">
      <c r="D362" s="4"/>
      <c r="E362" s="4"/>
    </row>
    <row r="363">
      <c r="D363" s="4"/>
      <c r="E363" s="4"/>
    </row>
    <row r="364">
      <c r="D364" s="4"/>
      <c r="E364" s="4"/>
    </row>
    <row r="365">
      <c r="D365" s="4"/>
      <c r="E365" s="4"/>
    </row>
    <row r="366">
      <c r="D366" s="4"/>
      <c r="E366" s="4"/>
    </row>
    <row r="367">
      <c r="D367" s="4"/>
      <c r="E367" s="4"/>
    </row>
    <row r="368">
      <c r="D368" s="4"/>
      <c r="E368" s="4"/>
    </row>
    <row r="369">
      <c r="D369" s="4"/>
      <c r="E369" s="4"/>
    </row>
    <row r="370">
      <c r="D370" s="4"/>
      <c r="E370" s="4"/>
    </row>
    <row r="371">
      <c r="D371" s="4"/>
      <c r="E371" s="4"/>
    </row>
    <row r="372">
      <c r="D372" s="4"/>
      <c r="E372" s="4"/>
    </row>
    <row r="373">
      <c r="D373" s="4"/>
      <c r="E373" s="4"/>
    </row>
    <row r="374">
      <c r="D374" s="4"/>
      <c r="E374" s="4"/>
    </row>
    <row r="375">
      <c r="D375" s="4"/>
      <c r="E375" s="4"/>
    </row>
    <row r="376">
      <c r="D376" s="4"/>
      <c r="E376" s="4"/>
    </row>
    <row r="377">
      <c r="D377" s="4"/>
      <c r="E377" s="4"/>
    </row>
    <row r="378">
      <c r="D378" s="4"/>
      <c r="E378" s="4"/>
    </row>
    <row r="379">
      <c r="D379" s="4"/>
      <c r="E379" s="4"/>
    </row>
    <row r="380">
      <c r="D380" s="4"/>
      <c r="E380" s="4"/>
    </row>
    <row r="381">
      <c r="D381" s="4"/>
      <c r="E381" s="4"/>
    </row>
    <row r="382">
      <c r="D382" s="4"/>
      <c r="E382" s="4"/>
    </row>
    <row r="383">
      <c r="D383" s="4"/>
      <c r="E383" s="4"/>
    </row>
    <row r="384">
      <c r="D384" s="4"/>
      <c r="E384" s="4"/>
    </row>
    <row r="385">
      <c r="D385" s="4"/>
      <c r="E385" s="4"/>
    </row>
    <row r="386">
      <c r="D386" s="4"/>
      <c r="E386" s="4"/>
    </row>
    <row r="387">
      <c r="D387" s="4"/>
      <c r="E387" s="4"/>
    </row>
    <row r="388">
      <c r="D388" s="4"/>
      <c r="E388" s="4"/>
    </row>
    <row r="389">
      <c r="D389" s="4"/>
      <c r="E389" s="4"/>
    </row>
    <row r="390">
      <c r="D390" s="4"/>
      <c r="E390" s="4"/>
    </row>
    <row r="391">
      <c r="D391" s="4"/>
      <c r="E391" s="4"/>
    </row>
    <row r="392">
      <c r="D392" s="4"/>
      <c r="E392" s="4"/>
    </row>
    <row r="393">
      <c r="D393" s="4"/>
      <c r="E393" s="4"/>
    </row>
    <row r="394">
      <c r="D394" s="4"/>
      <c r="E394" s="4"/>
    </row>
    <row r="395">
      <c r="D395" s="4"/>
      <c r="E395" s="4"/>
    </row>
    <row r="396">
      <c r="D396" s="4"/>
      <c r="E396" s="4"/>
    </row>
    <row r="397">
      <c r="D397" s="4"/>
      <c r="E397" s="4"/>
    </row>
    <row r="398">
      <c r="D398" s="4"/>
      <c r="E398" s="4"/>
    </row>
    <row r="399">
      <c r="D399" s="4"/>
      <c r="E399" s="4"/>
    </row>
    <row r="400">
      <c r="D400" s="4"/>
      <c r="E400" s="4"/>
    </row>
    <row r="401">
      <c r="D401" s="4"/>
      <c r="E401" s="4"/>
    </row>
    <row r="402">
      <c r="D402" s="4"/>
      <c r="E402" s="4"/>
    </row>
    <row r="403">
      <c r="D403" s="4"/>
      <c r="E403" s="4"/>
    </row>
    <row r="404">
      <c r="D404" s="4"/>
      <c r="E404" s="4"/>
    </row>
    <row r="405">
      <c r="D405" s="4"/>
      <c r="E405" s="4"/>
    </row>
    <row r="406">
      <c r="D406" s="4"/>
      <c r="E406" s="4"/>
    </row>
    <row r="407">
      <c r="D407" s="4"/>
      <c r="E407" s="4"/>
    </row>
    <row r="408">
      <c r="D408" s="4"/>
      <c r="E408" s="4"/>
    </row>
    <row r="409">
      <c r="D409" s="4"/>
      <c r="E409" s="4"/>
    </row>
    <row r="410">
      <c r="D410" s="4"/>
      <c r="E410" s="4"/>
    </row>
    <row r="411">
      <c r="D411" s="4"/>
      <c r="E411" s="4"/>
    </row>
    <row r="412">
      <c r="D412" s="4"/>
      <c r="E412" s="4"/>
    </row>
    <row r="413">
      <c r="D413" s="4"/>
      <c r="E413" s="4"/>
    </row>
    <row r="414">
      <c r="D414" s="4"/>
      <c r="E414" s="4"/>
    </row>
    <row r="415">
      <c r="D415" s="4"/>
      <c r="E415" s="4"/>
    </row>
    <row r="416">
      <c r="D416" s="4"/>
      <c r="E416" s="4"/>
    </row>
    <row r="417">
      <c r="D417" s="4"/>
      <c r="E417" s="4"/>
    </row>
    <row r="418">
      <c r="D418" s="4"/>
      <c r="E418" s="4"/>
    </row>
    <row r="419">
      <c r="D419" s="4"/>
      <c r="E419" s="4"/>
    </row>
    <row r="420">
      <c r="D420" s="4"/>
      <c r="E420" s="4"/>
    </row>
    <row r="421">
      <c r="D421" s="4"/>
      <c r="E421" s="4"/>
    </row>
    <row r="422">
      <c r="D422" s="4"/>
      <c r="E422" s="4"/>
    </row>
    <row r="423">
      <c r="D423" s="4"/>
      <c r="E423" s="4"/>
    </row>
    <row r="424">
      <c r="D424" s="4"/>
      <c r="E424" s="4"/>
    </row>
    <row r="425">
      <c r="D425" s="4"/>
      <c r="E425" s="4"/>
    </row>
    <row r="426">
      <c r="D426" s="4"/>
      <c r="E426" s="4"/>
    </row>
    <row r="427">
      <c r="D427" s="4"/>
      <c r="E427" s="4"/>
    </row>
    <row r="428">
      <c r="D428" s="4"/>
      <c r="E428" s="4"/>
    </row>
    <row r="429">
      <c r="D429" s="4"/>
      <c r="E429" s="4"/>
    </row>
    <row r="430">
      <c r="D430" s="4"/>
      <c r="E430" s="4"/>
    </row>
    <row r="431">
      <c r="D431" s="4"/>
      <c r="E431" s="4"/>
    </row>
    <row r="432">
      <c r="D432" s="4"/>
      <c r="E432" s="4"/>
    </row>
    <row r="433">
      <c r="D433" s="4"/>
      <c r="E433" s="4"/>
    </row>
    <row r="434">
      <c r="D434" s="4"/>
      <c r="E434" s="4"/>
    </row>
    <row r="435">
      <c r="D435" s="4"/>
      <c r="E435" s="4"/>
    </row>
    <row r="436">
      <c r="D436" s="4"/>
      <c r="E436" s="4"/>
    </row>
    <row r="437">
      <c r="D437" s="4"/>
      <c r="E437" s="4"/>
    </row>
    <row r="438">
      <c r="D438" s="4"/>
      <c r="E438" s="4"/>
    </row>
    <row r="439">
      <c r="D439" s="4"/>
      <c r="E439" s="4"/>
    </row>
    <row r="440">
      <c r="D440" s="4"/>
      <c r="E440" s="4"/>
    </row>
    <row r="441">
      <c r="D441" s="4"/>
      <c r="E441" s="4"/>
    </row>
    <row r="442">
      <c r="D442" s="4"/>
      <c r="E442" s="4"/>
    </row>
    <row r="443">
      <c r="D443" s="4"/>
      <c r="E443" s="4"/>
    </row>
    <row r="444">
      <c r="D444" s="4"/>
      <c r="E444" s="4"/>
    </row>
    <row r="445">
      <c r="D445" s="4"/>
      <c r="E445" s="4"/>
    </row>
    <row r="446">
      <c r="D446" s="4"/>
      <c r="E446" s="4"/>
    </row>
    <row r="447">
      <c r="D447" s="4"/>
      <c r="E447" s="4"/>
    </row>
    <row r="448">
      <c r="D448" s="4"/>
      <c r="E448" s="4"/>
    </row>
    <row r="449">
      <c r="D449" s="4"/>
      <c r="E449" s="4"/>
    </row>
    <row r="450">
      <c r="D450" s="4"/>
      <c r="E450" s="4"/>
    </row>
    <row r="451">
      <c r="D451" s="4"/>
      <c r="E451" s="4"/>
    </row>
    <row r="452">
      <c r="D452" s="4"/>
      <c r="E452" s="4"/>
    </row>
    <row r="453">
      <c r="D453" s="4"/>
      <c r="E453" s="4"/>
    </row>
    <row r="454">
      <c r="D454" s="4"/>
      <c r="E454" s="4"/>
    </row>
    <row r="455">
      <c r="D455" s="4"/>
      <c r="E455" s="4"/>
    </row>
    <row r="456">
      <c r="D456" s="4"/>
      <c r="E456" s="4"/>
    </row>
    <row r="457">
      <c r="D457" s="4"/>
      <c r="E457" s="4"/>
    </row>
    <row r="458">
      <c r="D458" s="4"/>
      <c r="E458" s="4"/>
    </row>
    <row r="459">
      <c r="D459" s="4"/>
      <c r="E459" s="4"/>
    </row>
    <row r="460">
      <c r="D460" s="4"/>
      <c r="E460" s="4"/>
    </row>
    <row r="461">
      <c r="D461" s="4"/>
      <c r="E461" s="4"/>
    </row>
    <row r="462">
      <c r="D462" s="4"/>
      <c r="E462" s="4"/>
    </row>
    <row r="463">
      <c r="D463" s="4"/>
      <c r="E463" s="4"/>
    </row>
    <row r="464">
      <c r="D464" s="4"/>
      <c r="E464" s="4"/>
    </row>
    <row r="465">
      <c r="D465" s="4"/>
      <c r="E465" s="4"/>
    </row>
    <row r="466">
      <c r="D466" s="4"/>
      <c r="E466" s="4"/>
    </row>
    <row r="467">
      <c r="D467" s="4"/>
      <c r="E467" s="4"/>
    </row>
    <row r="468">
      <c r="D468" s="4"/>
      <c r="E468" s="4"/>
    </row>
    <row r="469">
      <c r="D469" s="4"/>
      <c r="E469" s="4"/>
    </row>
    <row r="470">
      <c r="D470" s="4"/>
      <c r="E470" s="4"/>
    </row>
    <row r="471">
      <c r="D471" s="4"/>
      <c r="E471" s="4"/>
    </row>
    <row r="472">
      <c r="D472" s="4"/>
      <c r="E472" s="4"/>
    </row>
    <row r="473">
      <c r="D473" s="4"/>
      <c r="E473" s="4"/>
    </row>
    <row r="474">
      <c r="D474" s="4"/>
      <c r="E474" s="4"/>
    </row>
    <row r="475">
      <c r="D475" s="4"/>
      <c r="E475" s="4"/>
    </row>
    <row r="476">
      <c r="D476" s="4"/>
      <c r="E476" s="4"/>
    </row>
    <row r="477">
      <c r="D477" s="4"/>
      <c r="E477" s="4"/>
    </row>
    <row r="478">
      <c r="D478" s="4"/>
      <c r="E478" s="4"/>
    </row>
    <row r="479">
      <c r="D479" s="4"/>
      <c r="E479" s="4"/>
    </row>
    <row r="480">
      <c r="D480" s="4"/>
      <c r="E480" s="4"/>
    </row>
    <row r="481">
      <c r="D481" s="4"/>
      <c r="E481" s="4"/>
    </row>
    <row r="482">
      <c r="D482" s="4"/>
      <c r="E482" s="4"/>
    </row>
    <row r="483">
      <c r="D483" s="4"/>
      <c r="E483" s="4"/>
    </row>
    <row r="484">
      <c r="D484" s="4"/>
      <c r="E484" s="4"/>
    </row>
    <row r="485">
      <c r="D485" s="4"/>
      <c r="E485" s="4"/>
    </row>
    <row r="486">
      <c r="D486" s="4"/>
      <c r="E486" s="4"/>
    </row>
    <row r="487">
      <c r="D487" s="4"/>
      <c r="E487" s="4"/>
    </row>
    <row r="488">
      <c r="D488" s="4"/>
      <c r="E488" s="4"/>
    </row>
    <row r="489">
      <c r="D489" s="4"/>
      <c r="E489" s="4"/>
    </row>
    <row r="490">
      <c r="D490" s="4"/>
      <c r="E490" s="4"/>
    </row>
    <row r="491">
      <c r="D491" s="4"/>
      <c r="E491" s="4"/>
    </row>
    <row r="492">
      <c r="D492" s="4"/>
      <c r="E492" s="4"/>
    </row>
    <row r="493">
      <c r="D493" s="4"/>
      <c r="E493" s="4"/>
    </row>
    <row r="494">
      <c r="D494" s="4"/>
      <c r="E494" s="4"/>
    </row>
    <row r="495">
      <c r="D495" s="4"/>
      <c r="E495" s="4"/>
    </row>
    <row r="496">
      <c r="D496" s="4"/>
      <c r="E496" s="4"/>
    </row>
    <row r="497">
      <c r="D497" s="4"/>
      <c r="E497" s="4"/>
    </row>
    <row r="498">
      <c r="D498" s="4"/>
      <c r="E498" s="4"/>
    </row>
    <row r="499">
      <c r="D499" s="4"/>
      <c r="E499" s="4"/>
    </row>
    <row r="500">
      <c r="D500" s="4"/>
      <c r="E500" s="4"/>
    </row>
    <row r="501">
      <c r="D501" s="4"/>
      <c r="E501" s="4"/>
    </row>
    <row r="502">
      <c r="D502" s="4"/>
      <c r="E502" s="4"/>
    </row>
    <row r="503">
      <c r="D503" s="4"/>
      <c r="E503" s="4"/>
    </row>
    <row r="504">
      <c r="D504" s="4"/>
      <c r="E504" s="4"/>
    </row>
    <row r="505">
      <c r="D505" s="4"/>
      <c r="E505" s="4"/>
    </row>
    <row r="506">
      <c r="D506" s="4"/>
      <c r="E506" s="4"/>
    </row>
    <row r="507">
      <c r="D507" s="4"/>
      <c r="E507" s="4"/>
    </row>
    <row r="508">
      <c r="D508" s="4"/>
      <c r="E508" s="4"/>
    </row>
    <row r="509">
      <c r="D509" s="4"/>
      <c r="E509" s="4"/>
    </row>
    <row r="510">
      <c r="D510" s="4"/>
      <c r="E510" s="4"/>
    </row>
    <row r="511">
      <c r="D511" s="4"/>
      <c r="E511" s="4"/>
    </row>
    <row r="512">
      <c r="D512" s="4"/>
      <c r="E512" s="4"/>
    </row>
    <row r="513">
      <c r="D513" s="4"/>
      <c r="E513" s="4"/>
    </row>
    <row r="514">
      <c r="D514" s="4"/>
      <c r="E514" s="4"/>
    </row>
    <row r="515">
      <c r="D515" s="4"/>
      <c r="E515" s="4"/>
    </row>
    <row r="516">
      <c r="D516" s="4"/>
      <c r="E516" s="4"/>
    </row>
    <row r="517">
      <c r="D517" s="4"/>
      <c r="E517" s="4"/>
    </row>
    <row r="518">
      <c r="D518" s="4"/>
      <c r="E518" s="4"/>
    </row>
    <row r="519">
      <c r="D519" s="4"/>
      <c r="E519" s="4"/>
    </row>
    <row r="520">
      <c r="D520" s="4"/>
      <c r="E520" s="4"/>
    </row>
    <row r="521">
      <c r="D521" s="4"/>
      <c r="E521" s="4"/>
    </row>
    <row r="522">
      <c r="D522" s="4"/>
      <c r="E522" s="4"/>
    </row>
    <row r="523">
      <c r="D523" s="4"/>
      <c r="E523" s="4"/>
    </row>
    <row r="524">
      <c r="D524" s="4"/>
      <c r="E524" s="4"/>
    </row>
    <row r="525">
      <c r="D525" s="4"/>
      <c r="E525" s="4"/>
    </row>
    <row r="526">
      <c r="D526" s="4"/>
      <c r="E526" s="4"/>
    </row>
    <row r="527">
      <c r="D527" s="4"/>
      <c r="E527" s="4"/>
    </row>
    <row r="528">
      <c r="D528" s="4"/>
      <c r="E528" s="4"/>
    </row>
    <row r="529">
      <c r="D529" s="4"/>
      <c r="E529" s="4"/>
    </row>
    <row r="530">
      <c r="D530" s="4"/>
      <c r="E530" s="4"/>
    </row>
    <row r="531">
      <c r="D531" s="4"/>
      <c r="E531" s="4"/>
    </row>
    <row r="532">
      <c r="D532" s="4"/>
      <c r="E532" s="4"/>
    </row>
    <row r="533">
      <c r="D533" s="4"/>
      <c r="E533" s="4"/>
    </row>
    <row r="534">
      <c r="D534" s="4"/>
      <c r="E534" s="4"/>
    </row>
    <row r="535">
      <c r="D535" s="4"/>
      <c r="E535" s="4"/>
    </row>
    <row r="536">
      <c r="D536" s="4"/>
      <c r="E536" s="4"/>
    </row>
    <row r="537">
      <c r="D537" s="4"/>
      <c r="E537" s="4"/>
    </row>
    <row r="538">
      <c r="D538" s="4"/>
      <c r="E538" s="4"/>
    </row>
    <row r="539">
      <c r="D539" s="4"/>
      <c r="E539" s="4"/>
    </row>
    <row r="540">
      <c r="D540" s="4"/>
      <c r="E540" s="4"/>
    </row>
    <row r="541">
      <c r="D541" s="4"/>
      <c r="E541" s="4"/>
    </row>
    <row r="542">
      <c r="D542" s="4"/>
      <c r="E542" s="4"/>
    </row>
    <row r="543">
      <c r="D543" s="4"/>
      <c r="E543" s="4"/>
    </row>
    <row r="544">
      <c r="D544" s="4"/>
      <c r="E544" s="4"/>
    </row>
    <row r="545">
      <c r="D545" s="4"/>
      <c r="E545" s="4"/>
    </row>
    <row r="546">
      <c r="D546" s="4"/>
      <c r="E546" s="4"/>
    </row>
    <row r="547">
      <c r="D547" s="4"/>
      <c r="E547" s="4"/>
    </row>
    <row r="548">
      <c r="D548" s="4"/>
      <c r="E548" s="4"/>
    </row>
    <row r="549">
      <c r="D549" s="4"/>
      <c r="E549" s="4"/>
    </row>
    <row r="550">
      <c r="D550" s="4"/>
      <c r="E550" s="4"/>
    </row>
    <row r="551">
      <c r="D551" s="4"/>
      <c r="E551" s="4"/>
    </row>
    <row r="552">
      <c r="D552" s="4"/>
      <c r="E552" s="4"/>
    </row>
    <row r="553">
      <c r="D553" s="4"/>
      <c r="E553" s="4"/>
    </row>
    <row r="554">
      <c r="D554" s="4"/>
      <c r="E554" s="4"/>
    </row>
    <row r="555">
      <c r="D555" s="4"/>
      <c r="E555" s="4"/>
    </row>
    <row r="556">
      <c r="D556" s="4"/>
      <c r="E556" s="4"/>
    </row>
    <row r="557">
      <c r="D557" s="4"/>
      <c r="E557" s="4"/>
    </row>
    <row r="558">
      <c r="D558" s="4"/>
      <c r="E558" s="4"/>
    </row>
    <row r="559">
      <c r="D559" s="4"/>
      <c r="E559" s="4"/>
    </row>
    <row r="560">
      <c r="D560" s="4"/>
      <c r="E560" s="4"/>
    </row>
    <row r="561">
      <c r="D561" s="4"/>
      <c r="E561" s="4"/>
    </row>
    <row r="562">
      <c r="D562" s="4"/>
      <c r="E562" s="4"/>
    </row>
    <row r="563">
      <c r="D563" s="4"/>
      <c r="E563" s="4"/>
    </row>
    <row r="564">
      <c r="D564" s="4"/>
      <c r="E564" s="4"/>
    </row>
    <row r="565">
      <c r="D565" s="4"/>
      <c r="E565" s="4"/>
    </row>
    <row r="566">
      <c r="D566" s="4"/>
      <c r="E566" s="4"/>
    </row>
    <row r="567">
      <c r="D567" s="4"/>
      <c r="E567" s="4"/>
    </row>
    <row r="568">
      <c r="D568" s="4"/>
      <c r="E568" s="4"/>
    </row>
    <row r="569">
      <c r="D569" s="4"/>
      <c r="E569" s="4"/>
    </row>
    <row r="570">
      <c r="D570" s="4"/>
      <c r="E570" s="4"/>
    </row>
    <row r="571">
      <c r="D571" s="4"/>
      <c r="E571" s="4"/>
    </row>
    <row r="572">
      <c r="D572" s="4"/>
      <c r="E572" s="4"/>
    </row>
    <row r="573">
      <c r="D573" s="4"/>
      <c r="E573" s="4"/>
    </row>
    <row r="574">
      <c r="D574" s="4"/>
      <c r="E574" s="4"/>
    </row>
    <row r="575">
      <c r="D575" s="4"/>
      <c r="E575" s="4"/>
    </row>
    <row r="576">
      <c r="D576" s="4"/>
      <c r="E576" s="4"/>
    </row>
    <row r="577">
      <c r="D577" s="4"/>
      <c r="E577" s="4"/>
    </row>
    <row r="578">
      <c r="D578" s="4"/>
      <c r="E578" s="4"/>
    </row>
    <row r="579">
      <c r="D579" s="4"/>
      <c r="E579" s="4"/>
    </row>
    <row r="580">
      <c r="D580" s="4"/>
      <c r="E580" s="4"/>
    </row>
    <row r="581">
      <c r="D581" s="4"/>
      <c r="E581" s="4"/>
    </row>
    <row r="582">
      <c r="D582" s="4"/>
      <c r="E582" s="4"/>
    </row>
    <row r="583">
      <c r="D583" s="4"/>
      <c r="E583" s="4"/>
    </row>
    <row r="584">
      <c r="D584" s="4"/>
      <c r="E584" s="4"/>
    </row>
    <row r="585">
      <c r="D585" s="4"/>
      <c r="E585" s="4"/>
    </row>
    <row r="586">
      <c r="D586" s="4"/>
      <c r="E586" s="4"/>
    </row>
    <row r="587">
      <c r="D587" s="4"/>
      <c r="E587" s="4"/>
    </row>
    <row r="588">
      <c r="D588" s="4"/>
      <c r="E588" s="4"/>
    </row>
    <row r="589">
      <c r="D589" s="4"/>
      <c r="E589" s="4"/>
    </row>
    <row r="590">
      <c r="D590" s="4"/>
      <c r="E590" s="4"/>
    </row>
    <row r="591">
      <c r="D591" s="4"/>
      <c r="E591" s="4"/>
    </row>
    <row r="592">
      <c r="D592" s="4"/>
      <c r="E592" s="4"/>
    </row>
    <row r="593">
      <c r="D593" s="4"/>
      <c r="E593" s="4"/>
    </row>
    <row r="594">
      <c r="D594" s="4"/>
      <c r="E594" s="4"/>
    </row>
    <row r="595">
      <c r="D595" s="4"/>
      <c r="E595" s="4"/>
    </row>
    <row r="596">
      <c r="D596" s="4"/>
      <c r="E596" s="4"/>
    </row>
    <row r="597">
      <c r="D597" s="4"/>
      <c r="E597" s="4"/>
    </row>
    <row r="598">
      <c r="D598" s="4"/>
      <c r="E598" s="4"/>
    </row>
    <row r="599">
      <c r="D599" s="4"/>
      <c r="E599" s="4"/>
    </row>
    <row r="600">
      <c r="D600" s="4"/>
      <c r="E600" s="4"/>
    </row>
    <row r="601">
      <c r="D601" s="4"/>
      <c r="E601" s="4"/>
    </row>
    <row r="602">
      <c r="D602" s="4"/>
      <c r="E602" s="4"/>
    </row>
    <row r="603">
      <c r="D603" s="4"/>
      <c r="E603" s="4"/>
    </row>
    <row r="604">
      <c r="D604" s="4"/>
      <c r="E604" s="4"/>
    </row>
    <row r="605">
      <c r="D605" s="4"/>
      <c r="E605" s="4"/>
    </row>
    <row r="606">
      <c r="D606" s="4"/>
      <c r="E606" s="4"/>
    </row>
    <row r="607">
      <c r="D607" s="4"/>
      <c r="E607" s="4"/>
    </row>
    <row r="608">
      <c r="D608" s="4"/>
      <c r="E608" s="4"/>
    </row>
    <row r="609">
      <c r="D609" s="4"/>
      <c r="E609" s="4"/>
    </row>
    <row r="610">
      <c r="D610" s="4"/>
      <c r="E610" s="4"/>
    </row>
    <row r="611">
      <c r="D611" s="4"/>
      <c r="E611" s="4"/>
    </row>
    <row r="612">
      <c r="D612" s="4"/>
      <c r="E612" s="4"/>
    </row>
    <row r="613">
      <c r="D613" s="4"/>
      <c r="E613" s="4"/>
    </row>
    <row r="614">
      <c r="D614" s="4"/>
      <c r="E614" s="4"/>
    </row>
    <row r="615">
      <c r="D615" s="4"/>
      <c r="E615" s="4"/>
    </row>
    <row r="616">
      <c r="D616" s="4"/>
      <c r="E616" s="4"/>
    </row>
    <row r="617">
      <c r="D617" s="4"/>
      <c r="E617" s="4"/>
    </row>
    <row r="618">
      <c r="D618" s="4"/>
      <c r="E618" s="4"/>
    </row>
    <row r="619">
      <c r="D619" s="4"/>
      <c r="E619" s="4"/>
    </row>
    <row r="620">
      <c r="D620" s="4"/>
      <c r="E620" s="4"/>
    </row>
    <row r="621">
      <c r="D621" s="4"/>
      <c r="E621" s="4"/>
    </row>
    <row r="622">
      <c r="D622" s="4"/>
      <c r="E622" s="4"/>
    </row>
    <row r="623">
      <c r="D623" s="4"/>
      <c r="E623" s="4"/>
    </row>
    <row r="624">
      <c r="D624" s="4"/>
      <c r="E624" s="4"/>
    </row>
    <row r="625">
      <c r="D625" s="4"/>
      <c r="E625" s="4"/>
    </row>
    <row r="626">
      <c r="D626" s="4"/>
      <c r="E626" s="4"/>
    </row>
    <row r="627">
      <c r="D627" s="4"/>
      <c r="E627" s="4"/>
    </row>
    <row r="628">
      <c r="D628" s="4"/>
      <c r="E628" s="4"/>
    </row>
    <row r="629">
      <c r="D629" s="4"/>
      <c r="E629" s="4"/>
    </row>
    <row r="630">
      <c r="D630" s="4"/>
      <c r="E630" s="4"/>
    </row>
    <row r="631">
      <c r="D631" s="4"/>
      <c r="E631" s="4"/>
    </row>
    <row r="632">
      <c r="D632" s="4"/>
      <c r="E632" s="4"/>
    </row>
    <row r="633">
      <c r="D633" s="4"/>
      <c r="E633" s="4"/>
    </row>
    <row r="634">
      <c r="D634" s="4"/>
      <c r="E634" s="4"/>
    </row>
    <row r="635">
      <c r="D635" s="4"/>
      <c r="E635" s="4"/>
    </row>
    <row r="636">
      <c r="D636" s="4"/>
      <c r="E636" s="4"/>
    </row>
    <row r="637">
      <c r="D637" s="4"/>
      <c r="E637" s="4"/>
    </row>
    <row r="638">
      <c r="D638" s="4"/>
      <c r="E638" s="4"/>
    </row>
    <row r="639">
      <c r="D639" s="4"/>
      <c r="E639" s="4"/>
    </row>
    <row r="640">
      <c r="D640" s="4"/>
      <c r="E640" s="4"/>
    </row>
    <row r="641">
      <c r="D641" s="4"/>
      <c r="E641" s="4"/>
    </row>
    <row r="642">
      <c r="D642" s="4"/>
      <c r="E642" s="4"/>
    </row>
    <row r="643">
      <c r="D643" s="4"/>
      <c r="E643" s="4"/>
    </row>
    <row r="644">
      <c r="D644" s="4"/>
      <c r="E644" s="4"/>
    </row>
    <row r="645">
      <c r="D645" s="4"/>
      <c r="E645" s="4"/>
    </row>
    <row r="646">
      <c r="D646" s="4"/>
      <c r="E646" s="4"/>
    </row>
    <row r="647">
      <c r="D647" s="4"/>
      <c r="E647" s="4"/>
    </row>
    <row r="648">
      <c r="D648" s="4"/>
      <c r="E648" s="4"/>
    </row>
    <row r="649">
      <c r="D649" s="4"/>
      <c r="E649" s="4"/>
    </row>
    <row r="650">
      <c r="D650" s="4"/>
      <c r="E650" s="4"/>
    </row>
    <row r="651">
      <c r="D651" s="4"/>
      <c r="E651" s="4"/>
    </row>
    <row r="652">
      <c r="D652" s="4"/>
      <c r="E652" s="4"/>
    </row>
    <row r="653">
      <c r="D653" s="4"/>
      <c r="E653" s="4"/>
    </row>
    <row r="654">
      <c r="D654" s="4"/>
      <c r="E654" s="4"/>
    </row>
    <row r="655">
      <c r="D655" s="4"/>
      <c r="E655" s="4"/>
    </row>
    <row r="656">
      <c r="D656" s="4"/>
      <c r="E656" s="4"/>
    </row>
    <row r="657">
      <c r="D657" s="4"/>
      <c r="E657" s="4"/>
    </row>
    <row r="658">
      <c r="D658" s="4"/>
      <c r="E658" s="4"/>
    </row>
    <row r="659">
      <c r="D659" s="4"/>
      <c r="E659" s="4"/>
    </row>
    <row r="660">
      <c r="D660" s="4"/>
      <c r="E660" s="4"/>
    </row>
    <row r="661">
      <c r="D661" s="4"/>
      <c r="E661" s="4"/>
    </row>
    <row r="662">
      <c r="D662" s="4"/>
      <c r="E662" s="4"/>
    </row>
    <row r="663">
      <c r="D663" s="4"/>
      <c r="E663" s="4"/>
    </row>
    <row r="664">
      <c r="D664" s="4"/>
      <c r="E664" s="4"/>
    </row>
    <row r="665">
      <c r="D665" s="4"/>
      <c r="E665" s="4"/>
    </row>
    <row r="666">
      <c r="D666" s="4"/>
      <c r="E666" s="4"/>
    </row>
    <row r="667">
      <c r="D667" s="4"/>
      <c r="E667" s="4"/>
    </row>
    <row r="668">
      <c r="D668" s="4"/>
      <c r="E668" s="4"/>
    </row>
    <row r="669">
      <c r="D669" s="4"/>
      <c r="E669" s="4"/>
    </row>
    <row r="670">
      <c r="D670" s="4"/>
      <c r="E670" s="4"/>
    </row>
    <row r="671">
      <c r="D671" s="4"/>
      <c r="E671" s="4"/>
    </row>
    <row r="672">
      <c r="D672" s="4"/>
      <c r="E672" s="4"/>
    </row>
    <row r="673">
      <c r="D673" s="4"/>
      <c r="E673" s="4"/>
    </row>
    <row r="674">
      <c r="D674" s="4"/>
      <c r="E674" s="4"/>
    </row>
    <row r="675">
      <c r="D675" s="4"/>
      <c r="E675" s="4"/>
    </row>
    <row r="676">
      <c r="D676" s="4"/>
      <c r="E676" s="4"/>
    </row>
    <row r="677">
      <c r="D677" s="4"/>
      <c r="E677" s="4"/>
    </row>
    <row r="678">
      <c r="D678" s="4"/>
      <c r="E678" s="4"/>
    </row>
    <row r="679">
      <c r="D679" s="4"/>
      <c r="E679" s="4"/>
    </row>
    <row r="680">
      <c r="D680" s="4"/>
      <c r="E680" s="4"/>
    </row>
    <row r="681">
      <c r="D681" s="4"/>
      <c r="E681" s="4"/>
    </row>
    <row r="682">
      <c r="D682" s="4"/>
      <c r="E682" s="4"/>
    </row>
    <row r="683">
      <c r="D683" s="4"/>
      <c r="E683" s="4"/>
    </row>
    <row r="684">
      <c r="D684" s="4"/>
      <c r="E684" s="4"/>
    </row>
    <row r="685">
      <c r="D685" s="4"/>
      <c r="E685" s="4"/>
    </row>
    <row r="686">
      <c r="D686" s="4"/>
      <c r="E686" s="4"/>
    </row>
    <row r="687">
      <c r="D687" s="4"/>
      <c r="E687" s="4"/>
    </row>
    <row r="688">
      <c r="D688" s="4"/>
      <c r="E688" s="4"/>
    </row>
    <row r="689">
      <c r="D689" s="4"/>
      <c r="E689" s="4"/>
    </row>
    <row r="690">
      <c r="D690" s="4"/>
      <c r="E690" s="4"/>
    </row>
    <row r="691">
      <c r="D691" s="4"/>
      <c r="E691" s="4"/>
    </row>
    <row r="692">
      <c r="D692" s="4"/>
      <c r="E692" s="4"/>
    </row>
    <row r="693">
      <c r="D693" s="4"/>
      <c r="E693" s="4"/>
    </row>
    <row r="694">
      <c r="D694" s="4"/>
      <c r="E694" s="4"/>
    </row>
    <row r="695">
      <c r="D695" s="4"/>
      <c r="E695" s="4"/>
    </row>
    <row r="696">
      <c r="D696" s="4"/>
      <c r="E696" s="4"/>
    </row>
    <row r="697">
      <c r="D697" s="4"/>
      <c r="E697" s="4"/>
    </row>
    <row r="698">
      <c r="D698" s="4"/>
      <c r="E698" s="4"/>
    </row>
    <row r="699">
      <c r="D699" s="4"/>
      <c r="E699" s="4"/>
    </row>
    <row r="700">
      <c r="D700" s="4"/>
      <c r="E700" s="4"/>
    </row>
    <row r="701">
      <c r="D701" s="4"/>
      <c r="E701" s="4"/>
    </row>
    <row r="702">
      <c r="D702" s="4"/>
      <c r="E702" s="4"/>
    </row>
    <row r="703">
      <c r="D703" s="4"/>
      <c r="E703" s="4"/>
    </row>
    <row r="704">
      <c r="D704" s="4"/>
      <c r="E704" s="4"/>
    </row>
    <row r="705">
      <c r="D705" s="4"/>
      <c r="E705" s="4"/>
    </row>
    <row r="706">
      <c r="D706" s="4"/>
      <c r="E706" s="4"/>
    </row>
    <row r="707">
      <c r="D707" s="4"/>
      <c r="E707" s="4"/>
    </row>
    <row r="708">
      <c r="D708" s="4"/>
      <c r="E708" s="4"/>
    </row>
    <row r="709">
      <c r="D709" s="4"/>
      <c r="E709" s="4"/>
    </row>
    <row r="710">
      <c r="D710" s="4"/>
      <c r="E710" s="4"/>
    </row>
    <row r="711">
      <c r="D711" s="4"/>
      <c r="E711" s="4"/>
    </row>
    <row r="712">
      <c r="D712" s="4"/>
      <c r="E712" s="4"/>
    </row>
    <row r="713">
      <c r="D713" s="4"/>
      <c r="E713" s="4"/>
    </row>
    <row r="714">
      <c r="D714" s="4"/>
      <c r="E714" s="4"/>
    </row>
    <row r="715">
      <c r="D715" s="4"/>
      <c r="E715" s="4"/>
    </row>
    <row r="716">
      <c r="D716" s="4"/>
      <c r="E716" s="4"/>
    </row>
    <row r="717">
      <c r="D717" s="4"/>
      <c r="E717" s="4"/>
    </row>
    <row r="718">
      <c r="D718" s="4"/>
      <c r="E718" s="4"/>
    </row>
    <row r="719">
      <c r="D719" s="4"/>
      <c r="E719" s="4"/>
    </row>
    <row r="720">
      <c r="D720" s="4"/>
      <c r="E720" s="4"/>
    </row>
    <row r="721">
      <c r="D721" s="4"/>
      <c r="E721" s="4"/>
    </row>
    <row r="722">
      <c r="D722" s="4"/>
      <c r="E722" s="4"/>
    </row>
    <row r="723">
      <c r="D723" s="4"/>
      <c r="E723" s="4"/>
    </row>
    <row r="724">
      <c r="D724" s="4"/>
      <c r="E724" s="4"/>
    </row>
    <row r="725">
      <c r="D725" s="4"/>
      <c r="E725" s="4"/>
    </row>
    <row r="726">
      <c r="D726" s="4"/>
      <c r="E726" s="4"/>
    </row>
    <row r="727">
      <c r="D727" s="4"/>
      <c r="E727" s="4"/>
    </row>
    <row r="728">
      <c r="D728" s="4"/>
      <c r="E728" s="4"/>
    </row>
    <row r="729">
      <c r="D729" s="4"/>
      <c r="E729" s="4"/>
    </row>
    <row r="730">
      <c r="D730" s="4"/>
      <c r="E730" s="4"/>
    </row>
    <row r="731">
      <c r="D731" s="4"/>
      <c r="E731" s="4"/>
    </row>
    <row r="732">
      <c r="D732" s="4"/>
      <c r="E732" s="4"/>
    </row>
    <row r="733">
      <c r="D733" s="4"/>
      <c r="E733" s="4"/>
    </row>
    <row r="734">
      <c r="D734" s="4"/>
      <c r="E734" s="4"/>
    </row>
    <row r="735">
      <c r="D735" s="4"/>
      <c r="E735" s="4"/>
    </row>
    <row r="736">
      <c r="D736" s="4"/>
      <c r="E736" s="4"/>
    </row>
    <row r="737">
      <c r="D737" s="4"/>
      <c r="E737" s="4"/>
    </row>
    <row r="738">
      <c r="D738" s="4"/>
      <c r="E738" s="4"/>
    </row>
    <row r="739">
      <c r="D739" s="4"/>
      <c r="E739" s="4"/>
    </row>
    <row r="740">
      <c r="D740" s="4"/>
      <c r="E740" s="4"/>
    </row>
    <row r="741">
      <c r="D741" s="4"/>
      <c r="E741" s="4"/>
    </row>
    <row r="742">
      <c r="D742" s="4"/>
      <c r="E742" s="4"/>
    </row>
    <row r="743">
      <c r="D743" s="4"/>
      <c r="E743" s="4"/>
    </row>
    <row r="744">
      <c r="D744" s="4"/>
      <c r="E744" s="4"/>
    </row>
    <row r="745">
      <c r="D745" s="4"/>
      <c r="E745" s="4"/>
    </row>
    <row r="746">
      <c r="D746" s="4"/>
      <c r="E746" s="4"/>
    </row>
    <row r="747">
      <c r="D747" s="4"/>
      <c r="E747" s="4"/>
    </row>
    <row r="748">
      <c r="D748" s="4"/>
      <c r="E748" s="4"/>
    </row>
    <row r="749">
      <c r="D749" s="4"/>
      <c r="E749" s="4"/>
    </row>
    <row r="750">
      <c r="D750" s="4"/>
      <c r="E750" s="4"/>
    </row>
    <row r="751">
      <c r="D751" s="4"/>
      <c r="E751" s="4"/>
    </row>
    <row r="752">
      <c r="D752" s="4"/>
      <c r="E752" s="4"/>
    </row>
    <row r="753">
      <c r="D753" s="4"/>
      <c r="E753" s="4"/>
    </row>
    <row r="754">
      <c r="D754" s="4"/>
      <c r="E754" s="4"/>
    </row>
    <row r="755">
      <c r="D755" s="4"/>
      <c r="E755" s="4"/>
    </row>
    <row r="756">
      <c r="D756" s="4"/>
      <c r="E756" s="4"/>
    </row>
    <row r="757">
      <c r="D757" s="4"/>
      <c r="E757" s="4"/>
    </row>
    <row r="758">
      <c r="D758" s="4"/>
      <c r="E758" s="4"/>
    </row>
    <row r="759">
      <c r="D759" s="4"/>
      <c r="E759" s="4"/>
    </row>
    <row r="760">
      <c r="D760" s="4"/>
      <c r="E760" s="4"/>
    </row>
    <row r="761">
      <c r="D761" s="4"/>
      <c r="E761" s="4"/>
    </row>
    <row r="762">
      <c r="D762" s="4"/>
      <c r="E762" s="4"/>
    </row>
    <row r="763">
      <c r="D763" s="4"/>
      <c r="E763" s="4"/>
    </row>
    <row r="764">
      <c r="D764" s="4"/>
      <c r="E764" s="4"/>
    </row>
    <row r="765">
      <c r="D765" s="4"/>
      <c r="E765" s="4"/>
    </row>
    <row r="766">
      <c r="D766" s="4"/>
      <c r="E766" s="4"/>
    </row>
    <row r="767">
      <c r="D767" s="4"/>
      <c r="E767" s="4"/>
    </row>
    <row r="768">
      <c r="D768" s="4"/>
      <c r="E768" s="4"/>
    </row>
    <row r="769">
      <c r="D769" s="4"/>
      <c r="E769" s="4"/>
    </row>
    <row r="770">
      <c r="D770" s="4"/>
      <c r="E770" s="4"/>
    </row>
    <row r="771">
      <c r="D771" s="4"/>
      <c r="E771" s="4"/>
    </row>
    <row r="772">
      <c r="D772" s="4"/>
      <c r="E772" s="4"/>
    </row>
    <row r="773">
      <c r="D773" s="4"/>
      <c r="E773" s="4"/>
    </row>
    <row r="774">
      <c r="D774" s="4"/>
      <c r="E774" s="4"/>
    </row>
    <row r="775">
      <c r="D775" s="4"/>
      <c r="E775" s="4"/>
    </row>
    <row r="776">
      <c r="D776" s="4"/>
      <c r="E776" s="4"/>
    </row>
    <row r="777">
      <c r="D777" s="4"/>
      <c r="E777" s="4"/>
    </row>
    <row r="778">
      <c r="D778" s="4"/>
      <c r="E778" s="4"/>
    </row>
    <row r="779">
      <c r="D779" s="4"/>
      <c r="E779" s="4"/>
    </row>
    <row r="780">
      <c r="D780" s="4"/>
      <c r="E780" s="4"/>
    </row>
    <row r="781">
      <c r="D781" s="4"/>
      <c r="E781" s="4"/>
    </row>
    <row r="782">
      <c r="D782" s="4"/>
      <c r="E782" s="4"/>
    </row>
    <row r="783">
      <c r="D783" s="4"/>
      <c r="E783" s="4"/>
    </row>
    <row r="784">
      <c r="D784" s="4"/>
      <c r="E784" s="4"/>
    </row>
    <row r="785">
      <c r="D785" s="4"/>
      <c r="E785" s="4"/>
    </row>
    <row r="786">
      <c r="D786" s="4"/>
      <c r="E786" s="4"/>
    </row>
    <row r="787">
      <c r="D787" s="4"/>
      <c r="E787" s="4"/>
    </row>
    <row r="788">
      <c r="D788" s="4"/>
      <c r="E788" s="4"/>
    </row>
    <row r="789">
      <c r="D789" s="4"/>
      <c r="E789" s="4"/>
    </row>
    <row r="790">
      <c r="D790" s="4"/>
      <c r="E790" s="4"/>
    </row>
    <row r="791">
      <c r="D791" s="4"/>
      <c r="E791" s="4"/>
    </row>
    <row r="792">
      <c r="D792" s="4"/>
      <c r="E792" s="4"/>
    </row>
    <row r="793">
      <c r="D793" s="4"/>
      <c r="E793" s="4"/>
    </row>
    <row r="794">
      <c r="D794" s="4"/>
      <c r="E794" s="4"/>
    </row>
    <row r="795">
      <c r="D795" s="4"/>
      <c r="E795" s="4"/>
    </row>
    <row r="796">
      <c r="D796" s="4"/>
      <c r="E796" s="4"/>
    </row>
    <row r="797">
      <c r="D797" s="4"/>
      <c r="E797" s="4"/>
    </row>
    <row r="798">
      <c r="D798" s="4"/>
      <c r="E798" s="4"/>
    </row>
    <row r="799">
      <c r="D799" s="4"/>
      <c r="E799" s="4"/>
    </row>
    <row r="800">
      <c r="D800" s="4"/>
      <c r="E800" s="4"/>
    </row>
    <row r="801">
      <c r="D801" s="4"/>
      <c r="E801" s="4"/>
    </row>
    <row r="802">
      <c r="D802" s="4"/>
      <c r="E802" s="4"/>
    </row>
    <row r="803">
      <c r="D803" s="4"/>
      <c r="E803" s="4"/>
    </row>
    <row r="804">
      <c r="D804" s="4"/>
      <c r="E804" s="4"/>
    </row>
    <row r="805">
      <c r="D805" s="4"/>
      <c r="E805" s="4"/>
    </row>
    <row r="806">
      <c r="D806" s="4"/>
      <c r="E806" s="4"/>
    </row>
    <row r="807">
      <c r="D807" s="4"/>
      <c r="E807" s="4"/>
    </row>
    <row r="808">
      <c r="D808" s="4"/>
      <c r="E808" s="4"/>
    </row>
    <row r="809">
      <c r="D809" s="4"/>
      <c r="E809" s="4"/>
    </row>
    <row r="810">
      <c r="D810" s="4"/>
      <c r="E810" s="4"/>
    </row>
    <row r="811">
      <c r="D811" s="4"/>
      <c r="E811" s="4"/>
    </row>
    <row r="812">
      <c r="D812" s="4"/>
      <c r="E812" s="4"/>
    </row>
    <row r="813">
      <c r="D813" s="4"/>
      <c r="E813" s="4"/>
    </row>
    <row r="814">
      <c r="D814" s="4"/>
      <c r="E814" s="4"/>
    </row>
    <row r="815">
      <c r="D815" s="4"/>
      <c r="E815" s="4"/>
    </row>
    <row r="816">
      <c r="D816" s="4"/>
      <c r="E816" s="4"/>
    </row>
    <row r="817">
      <c r="D817" s="4"/>
      <c r="E817" s="4"/>
    </row>
    <row r="818">
      <c r="D818" s="4"/>
      <c r="E818" s="4"/>
    </row>
    <row r="819">
      <c r="D819" s="4"/>
      <c r="E819" s="4"/>
    </row>
    <row r="820">
      <c r="D820" s="4"/>
      <c r="E820" s="4"/>
    </row>
    <row r="821">
      <c r="D821" s="4"/>
      <c r="E821" s="4"/>
    </row>
    <row r="822">
      <c r="D822" s="4"/>
      <c r="E822" s="4"/>
    </row>
    <row r="823">
      <c r="D823" s="4"/>
      <c r="E823" s="4"/>
    </row>
    <row r="824">
      <c r="D824" s="4"/>
      <c r="E824" s="4"/>
    </row>
    <row r="825">
      <c r="D825" s="4"/>
      <c r="E825" s="4"/>
    </row>
    <row r="826">
      <c r="D826" s="4"/>
      <c r="E826" s="4"/>
    </row>
    <row r="827">
      <c r="D827" s="4"/>
      <c r="E827" s="4"/>
    </row>
    <row r="828">
      <c r="D828" s="4"/>
      <c r="E828" s="4"/>
    </row>
    <row r="829">
      <c r="D829" s="4"/>
      <c r="E829" s="4"/>
    </row>
    <row r="830">
      <c r="D830" s="4"/>
      <c r="E830" s="4"/>
    </row>
    <row r="831">
      <c r="D831" s="4"/>
      <c r="E831" s="4"/>
    </row>
    <row r="832">
      <c r="D832" s="4"/>
      <c r="E832" s="4"/>
    </row>
    <row r="833">
      <c r="D833" s="4"/>
      <c r="E833" s="4"/>
    </row>
    <row r="834">
      <c r="D834" s="4"/>
      <c r="E834" s="4"/>
    </row>
    <row r="835">
      <c r="D835" s="4"/>
      <c r="E835" s="4"/>
    </row>
    <row r="836">
      <c r="D836" s="4"/>
      <c r="E836" s="4"/>
    </row>
    <row r="837">
      <c r="D837" s="4"/>
      <c r="E837" s="4"/>
    </row>
    <row r="838">
      <c r="D838" s="4"/>
      <c r="E838" s="4"/>
    </row>
    <row r="839">
      <c r="D839" s="4"/>
      <c r="E839" s="4"/>
    </row>
    <row r="840">
      <c r="D840" s="4"/>
      <c r="E840" s="4"/>
    </row>
    <row r="841">
      <c r="D841" s="4"/>
      <c r="E841" s="4"/>
    </row>
    <row r="842">
      <c r="D842" s="4"/>
      <c r="E842" s="4"/>
    </row>
    <row r="843">
      <c r="D843" s="4"/>
      <c r="E843" s="4"/>
    </row>
    <row r="844">
      <c r="D844" s="4"/>
      <c r="E844" s="4"/>
    </row>
    <row r="845">
      <c r="D845" s="4"/>
      <c r="E845" s="4"/>
    </row>
    <row r="846">
      <c r="D846" s="4"/>
      <c r="E846" s="4"/>
    </row>
    <row r="847">
      <c r="D847" s="4"/>
      <c r="E847" s="4"/>
    </row>
    <row r="848">
      <c r="D848" s="4"/>
      <c r="E848" s="4"/>
    </row>
    <row r="849">
      <c r="D849" s="4"/>
      <c r="E849" s="4"/>
    </row>
    <row r="850">
      <c r="D850" s="4"/>
      <c r="E850" s="4"/>
    </row>
    <row r="851">
      <c r="D851" s="4"/>
      <c r="E851" s="4"/>
    </row>
    <row r="852">
      <c r="D852" s="4"/>
      <c r="E852" s="4"/>
    </row>
    <row r="853">
      <c r="D853" s="4"/>
      <c r="E853" s="4"/>
    </row>
    <row r="854">
      <c r="D854" s="4"/>
      <c r="E854" s="4"/>
    </row>
    <row r="855">
      <c r="D855" s="4"/>
      <c r="E855" s="4"/>
    </row>
    <row r="856">
      <c r="D856" s="4"/>
      <c r="E856" s="4"/>
    </row>
    <row r="857">
      <c r="D857" s="4"/>
      <c r="E857" s="4"/>
    </row>
    <row r="858">
      <c r="D858" s="4"/>
      <c r="E858" s="4"/>
    </row>
    <row r="859">
      <c r="D859" s="4"/>
      <c r="E859" s="4"/>
    </row>
    <row r="860">
      <c r="D860" s="4"/>
      <c r="E860" s="4"/>
    </row>
    <row r="861">
      <c r="D861" s="4"/>
      <c r="E861" s="4"/>
    </row>
    <row r="862">
      <c r="D862" s="4"/>
      <c r="E862" s="4"/>
    </row>
    <row r="863">
      <c r="D863" s="4"/>
      <c r="E863" s="4"/>
    </row>
    <row r="864">
      <c r="D864" s="4"/>
      <c r="E864" s="4"/>
    </row>
    <row r="865">
      <c r="D865" s="4"/>
      <c r="E865" s="4"/>
    </row>
    <row r="866">
      <c r="D866" s="4"/>
      <c r="E866" s="4"/>
    </row>
    <row r="867">
      <c r="D867" s="4"/>
      <c r="E867" s="4"/>
    </row>
    <row r="868">
      <c r="D868" s="4"/>
      <c r="E868" s="4"/>
    </row>
    <row r="869">
      <c r="D869" s="4"/>
      <c r="E869" s="4"/>
    </row>
    <row r="870">
      <c r="D870" s="4"/>
      <c r="E870" s="4"/>
    </row>
    <row r="871">
      <c r="D871" s="4"/>
      <c r="E871" s="4"/>
    </row>
    <row r="872">
      <c r="D872" s="4"/>
      <c r="E872" s="4"/>
    </row>
    <row r="873">
      <c r="D873" s="4"/>
      <c r="E873" s="4"/>
    </row>
    <row r="874">
      <c r="D874" s="4"/>
      <c r="E874" s="4"/>
    </row>
    <row r="875">
      <c r="D875" s="4"/>
      <c r="E875" s="4"/>
    </row>
    <row r="876">
      <c r="D876" s="4"/>
      <c r="E876" s="4"/>
    </row>
    <row r="877">
      <c r="D877" s="4"/>
      <c r="E877" s="4"/>
    </row>
    <row r="878">
      <c r="D878" s="4"/>
      <c r="E878" s="4"/>
    </row>
    <row r="879">
      <c r="D879" s="4"/>
      <c r="E879" s="4"/>
    </row>
    <row r="880">
      <c r="D880" s="4"/>
      <c r="E880" s="4"/>
    </row>
    <row r="881">
      <c r="D881" s="4"/>
      <c r="E881" s="4"/>
    </row>
    <row r="882">
      <c r="D882" s="4"/>
      <c r="E882" s="4"/>
    </row>
    <row r="883">
      <c r="D883" s="4"/>
      <c r="E883" s="4"/>
    </row>
    <row r="884">
      <c r="D884" s="4"/>
      <c r="E884" s="4"/>
    </row>
    <row r="885">
      <c r="D885" s="4"/>
      <c r="E885" s="4"/>
    </row>
    <row r="886">
      <c r="D886" s="4"/>
      <c r="E886" s="4"/>
    </row>
    <row r="887">
      <c r="D887" s="4"/>
      <c r="E887" s="4"/>
    </row>
    <row r="888">
      <c r="D888" s="4"/>
      <c r="E888" s="4"/>
    </row>
    <row r="889">
      <c r="D889" s="4"/>
      <c r="E889" s="4"/>
    </row>
    <row r="890">
      <c r="D890" s="4"/>
      <c r="E890" s="4"/>
    </row>
    <row r="891">
      <c r="D891" s="4"/>
      <c r="E891" s="4"/>
    </row>
    <row r="892">
      <c r="D892" s="4"/>
      <c r="E892" s="4"/>
    </row>
    <row r="893">
      <c r="D893" s="4"/>
      <c r="E893" s="4"/>
    </row>
    <row r="894">
      <c r="D894" s="4"/>
      <c r="E894" s="4"/>
    </row>
    <row r="895">
      <c r="D895" s="4"/>
      <c r="E895" s="4"/>
    </row>
    <row r="896">
      <c r="D896" s="4"/>
      <c r="E896" s="4"/>
    </row>
    <row r="897">
      <c r="D897" s="4"/>
      <c r="E897" s="4"/>
    </row>
    <row r="898">
      <c r="D898" s="4"/>
      <c r="E898" s="4"/>
    </row>
    <row r="899">
      <c r="D899" s="4"/>
      <c r="E899" s="4"/>
    </row>
    <row r="900">
      <c r="D900" s="4"/>
      <c r="E900" s="4"/>
    </row>
    <row r="901">
      <c r="D901" s="4"/>
      <c r="E901" s="4"/>
    </row>
    <row r="902">
      <c r="D902" s="4"/>
      <c r="E902" s="4"/>
    </row>
    <row r="903">
      <c r="D903" s="4"/>
      <c r="E903" s="4"/>
    </row>
    <row r="904">
      <c r="D904" s="4"/>
      <c r="E904" s="4"/>
    </row>
    <row r="905">
      <c r="D905" s="4"/>
      <c r="E905" s="4"/>
    </row>
    <row r="906">
      <c r="D906" s="4"/>
      <c r="E906" s="4"/>
    </row>
    <row r="907">
      <c r="D907" s="4"/>
      <c r="E907" s="4"/>
    </row>
    <row r="908">
      <c r="D908" s="4"/>
      <c r="E908" s="4"/>
    </row>
    <row r="909">
      <c r="D909" s="4"/>
      <c r="E909" s="4"/>
    </row>
    <row r="910">
      <c r="D910" s="4"/>
      <c r="E910" s="4"/>
    </row>
    <row r="911">
      <c r="D911" s="4"/>
      <c r="E911" s="4"/>
    </row>
    <row r="912">
      <c r="D912" s="4"/>
      <c r="E912" s="4"/>
    </row>
    <row r="913">
      <c r="D913" s="4"/>
      <c r="E913" s="4"/>
    </row>
    <row r="914">
      <c r="D914" s="4"/>
      <c r="E914" s="4"/>
    </row>
    <row r="915">
      <c r="D915" s="4"/>
      <c r="E915" s="4"/>
    </row>
    <row r="916">
      <c r="D916" s="4"/>
      <c r="E916" s="4"/>
    </row>
    <row r="917">
      <c r="D917" s="4"/>
      <c r="E917" s="4"/>
    </row>
    <row r="918">
      <c r="D918" s="4"/>
      <c r="E918" s="4"/>
    </row>
    <row r="919">
      <c r="D919" s="4"/>
      <c r="E919" s="4"/>
    </row>
    <row r="920">
      <c r="D920" s="4"/>
      <c r="E920" s="4"/>
    </row>
    <row r="921">
      <c r="D921" s="4"/>
      <c r="E921" s="4"/>
    </row>
    <row r="922">
      <c r="D922" s="4"/>
      <c r="E922" s="4"/>
    </row>
    <row r="923">
      <c r="D923" s="4"/>
      <c r="E923" s="4"/>
    </row>
    <row r="924">
      <c r="D924" s="4"/>
      <c r="E924" s="4"/>
    </row>
    <row r="925">
      <c r="D925" s="4"/>
      <c r="E925" s="4"/>
    </row>
    <row r="926">
      <c r="D926" s="4"/>
      <c r="E926" s="4"/>
    </row>
    <row r="927">
      <c r="D927" s="4"/>
      <c r="E927" s="4"/>
    </row>
    <row r="928">
      <c r="D928" s="4"/>
      <c r="E928" s="4"/>
    </row>
    <row r="929">
      <c r="D929" s="4"/>
      <c r="E929" s="4"/>
    </row>
    <row r="930">
      <c r="D930" s="4"/>
      <c r="E930" s="4"/>
    </row>
    <row r="931">
      <c r="D931" s="4"/>
      <c r="E931" s="4"/>
    </row>
    <row r="932">
      <c r="D932" s="4"/>
      <c r="E932" s="4"/>
    </row>
    <row r="933">
      <c r="D933" s="4"/>
      <c r="E933" s="4"/>
    </row>
    <row r="934">
      <c r="D934" s="4"/>
      <c r="E934" s="4"/>
    </row>
    <row r="935">
      <c r="D935" s="4"/>
      <c r="E935" s="4"/>
    </row>
    <row r="936">
      <c r="D936" s="4"/>
      <c r="E936" s="4"/>
    </row>
    <row r="937">
      <c r="D937" s="4"/>
      <c r="E937" s="4"/>
    </row>
    <row r="938">
      <c r="D938" s="4"/>
      <c r="E938" s="4"/>
    </row>
    <row r="939">
      <c r="D939" s="4"/>
      <c r="E939" s="4"/>
    </row>
    <row r="940">
      <c r="D940" s="4"/>
      <c r="E940" s="4"/>
    </row>
    <row r="941">
      <c r="D941" s="4"/>
      <c r="E941" s="4"/>
    </row>
    <row r="942">
      <c r="D942" s="4"/>
      <c r="E942" s="4"/>
    </row>
    <row r="943">
      <c r="D943" s="4"/>
      <c r="E943" s="4"/>
    </row>
    <row r="944">
      <c r="D944" s="4"/>
      <c r="E944" s="4"/>
    </row>
    <row r="945">
      <c r="D945" s="4"/>
      <c r="E945" s="4"/>
    </row>
    <row r="946">
      <c r="D946" s="4"/>
      <c r="E946" s="4"/>
    </row>
    <row r="947">
      <c r="D947" s="4"/>
      <c r="E947" s="4"/>
    </row>
    <row r="948">
      <c r="D948" s="4"/>
      <c r="E948" s="4"/>
    </row>
    <row r="949">
      <c r="D949" s="4"/>
      <c r="E949" s="4"/>
    </row>
    <row r="950">
      <c r="D950" s="4"/>
      <c r="E950" s="4"/>
    </row>
    <row r="951">
      <c r="D951" s="4"/>
      <c r="E951" s="4"/>
    </row>
    <row r="952">
      <c r="D952" s="4"/>
      <c r="E952" s="4"/>
    </row>
    <row r="953">
      <c r="D953" s="4"/>
      <c r="E953" s="4"/>
    </row>
    <row r="954">
      <c r="D954" s="4"/>
      <c r="E954" s="4"/>
    </row>
    <row r="955">
      <c r="D955" s="4"/>
      <c r="E955" s="4"/>
    </row>
    <row r="956">
      <c r="D956" s="4"/>
      <c r="E956" s="4"/>
    </row>
    <row r="957">
      <c r="D957" s="4"/>
      <c r="E957" s="4"/>
    </row>
    <row r="958">
      <c r="D958" s="4"/>
      <c r="E958" s="4"/>
    </row>
    <row r="959">
      <c r="D959" s="4"/>
      <c r="E959" s="4"/>
    </row>
    <row r="960">
      <c r="D960" s="4"/>
      <c r="E960" s="4"/>
    </row>
    <row r="961">
      <c r="D961" s="4"/>
      <c r="E961" s="4"/>
    </row>
    <row r="962">
      <c r="D962" s="4"/>
      <c r="E962" s="4"/>
    </row>
    <row r="963">
      <c r="D963" s="4"/>
      <c r="E963" s="4"/>
    </row>
    <row r="964">
      <c r="D964" s="4"/>
      <c r="E964" s="4"/>
    </row>
    <row r="965">
      <c r="D965" s="4"/>
      <c r="E965" s="4"/>
    </row>
    <row r="966">
      <c r="D966" s="4"/>
      <c r="E966" s="4"/>
    </row>
    <row r="967">
      <c r="D967" s="4"/>
      <c r="E967" s="4"/>
    </row>
    <row r="968">
      <c r="D968" s="4"/>
      <c r="E968" s="4"/>
    </row>
    <row r="969">
      <c r="D969" s="4"/>
      <c r="E969" s="4"/>
    </row>
    <row r="970">
      <c r="D970" s="4"/>
      <c r="E970" s="4"/>
    </row>
    <row r="971">
      <c r="D971" s="4"/>
      <c r="E971" s="4"/>
    </row>
    <row r="972">
      <c r="D972" s="4"/>
      <c r="E972" s="4"/>
    </row>
    <row r="973">
      <c r="D973" s="4"/>
      <c r="E973" s="4"/>
    </row>
    <row r="974">
      <c r="D974" s="4"/>
      <c r="E974" s="4"/>
    </row>
    <row r="975">
      <c r="D975" s="4"/>
      <c r="E975" s="4"/>
    </row>
    <row r="976">
      <c r="D976" s="4"/>
      <c r="E976" s="4"/>
    </row>
    <row r="977">
      <c r="D977" s="4"/>
      <c r="E977" s="4"/>
    </row>
    <row r="978">
      <c r="D978" s="4"/>
      <c r="E978" s="4"/>
    </row>
    <row r="979">
      <c r="D979" s="4"/>
      <c r="E979" s="4"/>
    </row>
    <row r="980">
      <c r="D980" s="4"/>
      <c r="E980" s="4"/>
    </row>
    <row r="981">
      <c r="D981" s="4"/>
      <c r="E981" s="4"/>
    </row>
    <row r="982">
      <c r="D982" s="4"/>
      <c r="E982" s="4"/>
    </row>
    <row r="983">
      <c r="D983" s="4"/>
      <c r="E983" s="4"/>
    </row>
    <row r="984">
      <c r="D984" s="4"/>
      <c r="E984" s="4"/>
    </row>
    <row r="985">
      <c r="D985" s="4"/>
      <c r="E985" s="4"/>
    </row>
    <row r="986">
      <c r="D986" s="4"/>
      <c r="E986" s="4"/>
    </row>
    <row r="987">
      <c r="D987" s="4"/>
      <c r="E987" s="4"/>
    </row>
    <row r="988">
      <c r="D988" s="4"/>
      <c r="E988" s="4"/>
    </row>
    <row r="989">
      <c r="D989" s="4"/>
      <c r="E989" s="4"/>
    </row>
    <row r="990">
      <c r="D990" s="4"/>
      <c r="E990" s="4"/>
    </row>
    <row r="991">
      <c r="D991" s="4"/>
      <c r="E991" s="4"/>
    </row>
    <row r="992">
      <c r="D992" s="4"/>
      <c r="E992" s="4"/>
    </row>
    <row r="993">
      <c r="D993" s="4"/>
      <c r="E993" s="4"/>
    </row>
    <row r="994">
      <c r="D994" s="4"/>
      <c r="E994" s="4"/>
    </row>
    <row r="995">
      <c r="D995" s="4"/>
      <c r="E995" s="4"/>
    </row>
    <row r="996">
      <c r="D996" s="4"/>
      <c r="E996" s="4"/>
    </row>
    <row r="997">
      <c r="D997" s="4"/>
      <c r="E997" s="4"/>
    </row>
    <row r="998">
      <c r="D998" s="4"/>
      <c r="E998" s="4"/>
    </row>
    <row r="999">
      <c r="D999" s="4"/>
      <c r="E999" s="4"/>
    </row>
    <row r="1000">
      <c r="D1000" s="4"/>
      <c r="E1000" s="4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8" max="8" width="34.38"/>
  </cols>
  <sheetData>
    <row r="1" ht="22.5" customHeight="1">
      <c r="A1" s="11" t="s">
        <v>350</v>
      </c>
      <c r="B1" s="11" t="s">
        <v>351</v>
      </c>
      <c r="C1" s="11" t="s">
        <v>352</v>
      </c>
      <c r="D1" s="11" t="s">
        <v>353</v>
      </c>
      <c r="E1" s="11" t="s">
        <v>354</v>
      </c>
      <c r="F1" s="11" t="s">
        <v>355</v>
      </c>
      <c r="G1" s="11" t="s">
        <v>356</v>
      </c>
      <c r="H1" s="11" t="s">
        <v>357</v>
      </c>
      <c r="I1" s="17" t="s">
        <v>358</v>
      </c>
      <c r="J1" s="17" t="s">
        <v>359</v>
      </c>
    </row>
    <row r="2" ht="22.5" customHeight="1">
      <c r="A2" s="16">
        <v>1.0</v>
      </c>
      <c r="B2" s="16">
        <v>4.0</v>
      </c>
      <c r="C2" s="16">
        <v>0.0</v>
      </c>
      <c r="D2" s="16">
        <v>0.0</v>
      </c>
      <c r="E2" s="16">
        <v>0.0</v>
      </c>
      <c r="F2" s="16">
        <v>0.0</v>
      </c>
      <c r="G2" s="18">
        <v>0.0</v>
      </c>
      <c r="H2" s="16" t="s">
        <v>0</v>
      </c>
      <c r="I2" s="19">
        <f t="shared" ref="I2:J2" si="1">round(D2*$A2,0)</f>
        <v>0</v>
      </c>
      <c r="J2" s="19">
        <f t="shared" si="1"/>
        <v>0</v>
      </c>
    </row>
    <row r="3" ht="22.5" customHeight="1">
      <c r="A3" s="16">
        <v>4.0</v>
      </c>
      <c r="B3" s="16">
        <v>16.0</v>
      </c>
      <c r="C3" s="16">
        <v>0.0</v>
      </c>
      <c r="D3" s="16">
        <v>0.0</v>
      </c>
      <c r="E3" s="16">
        <v>0.0</v>
      </c>
      <c r="F3" s="16">
        <v>0.0</v>
      </c>
      <c r="G3" s="18">
        <v>0.0</v>
      </c>
      <c r="H3" s="16" t="s">
        <v>2</v>
      </c>
      <c r="I3" s="19">
        <f t="shared" ref="I3:J3" si="2">round(D3*$A3,0)</f>
        <v>0</v>
      </c>
      <c r="J3" s="19">
        <f t="shared" si="2"/>
        <v>0</v>
      </c>
    </row>
    <row r="4" ht="22.5" customHeight="1">
      <c r="A4" s="16">
        <v>1.0</v>
      </c>
      <c r="B4" s="16">
        <v>4.0</v>
      </c>
      <c r="C4" s="16">
        <v>1.0</v>
      </c>
      <c r="D4" s="16">
        <v>-4.0</v>
      </c>
      <c r="E4" s="16">
        <v>1.0</v>
      </c>
      <c r="F4" s="16">
        <v>0.0</v>
      </c>
      <c r="G4" s="18">
        <v>0.0</v>
      </c>
      <c r="H4" s="16" t="s">
        <v>2</v>
      </c>
      <c r="I4" s="19">
        <f t="shared" ref="I4:J4" si="3">round(D4*$A4,0)</f>
        <v>-4</v>
      </c>
      <c r="J4" s="19">
        <f t="shared" si="3"/>
        <v>1</v>
      </c>
    </row>
    <row r="5" ht="22.5" customHeight="1">
      <c r="A5" s="16">
        <v>1.0</v>
      </c>
      <c r="B5" s="16">
        <v>4.0</v>
      </c>
      <c r="C5" s="16">
        <v>1.0</v>
      </c>
      <c r="D5" s="16">
        <v>4.0</v>
      </c>
      <c r="E5" s="16">
        <v>0.0</v>
      </c>
      <c r="F5" s="16">
        <v>0.0</v>
      </c>
      <c r="G5" s="18">
        <v>1.0</v>
      </c>
      <c r="H5" s="16" t="s">
        <v>5</v>
      </c>
      <c r="I5" s="19">
        <f t="shared" ref="I5:J5" si="4">round(D5*$A5,0)</f>
        <v>4</v>
      </c>
      <c r="J5" s="19">
        <f t="shared" si="4"/>
        <v>0</v>
      </c>
    </row>
    <row r="6" ht="22.5" customHeight="1">
      <c r="A6" s="16">
        <v>4.0</v>
      </c>
      <c r="B6" s="16">
        <v>16.0</v>
      </c>
      <c r="C6" s="16">
        <v>9.0</v>
      </c>
      <c r="D6" s="16">
        <v>6.0</v>
      </c>
      <c r="E6" s="16">
        <v>0.25</v>
      </c>
      <c r="F6" s="16">
        <v>0.0</v>
      </c>
      <c r="G6" s="20">
        <v>0.778</v>
      </c>
      <c r="H6" s="16" t="s">
        <v>5</v>
      </c>
      <c r="I6" s="19">
        <f t="shared" ref="I6:J6" si="5">round(D6*$A6,0)</f>
        <v>24</v>
      </c>
      <c r="J6" s="19">
        <f t="shared" si="5"/>
        <v>1</v>
      </c>
    </row>
    <row r="7" ht="22.5" customHeight="1">
      <c r="A7" s="16">
        <v>1.0</v>
      </c>
      <c r="B7" s="16">
        <v>4.0</v>
      </c>
      <c r="C7" s="16">
        <v>1.0</v>
      </c>
      <c r="D7" s="16">
        <v>4.0</v>
      </c>
      <c r="E7" s="16">
        <v>0.0</v>
      </c>
      <c r="F7" s="16">
        <v>0.0</v>
      </c>
      <c r="G7" s="18">
        <v>1.0</v>
      </c>
      <c r="H7" s="16" t="s">
        <v>8</v>
      </c>
      <c r="I7" s="19">
        <f t="shared" ref="I7:J7" si="6">round(D7*$A7,0)</f>
        <v>4</v>
      </c>
      <c r="J7" s="19">
        <f t="shared" si="6"/>
        <v>0</v>
      </c>
    </row>
    <row r="8" ht="22.5" customHeight="1">
      <c r="A8" s="16">
        <v>4.0</v>
      </c>
      <c r="B8" s="16">
        <v>16.0</v>
      </c>
      <c r="C8" s="16">
        <v>3.0</v>
      </c>
      <c r="D8" s="16">
        <v>-3.0</v>
      </c>
      <c r="E8" s="16">
        <v>0.75</v>
      </c>
      <c r="F8" s="16">
        <v>0.0</v>
      </c>
      <c r="G8" s="18">
        <v>0.0</v>
      </c>
      <c r="H8" s="16" t="s">
        <v>8</v>
      </c>
      <c r="I8" s="19">
        <f t="shared" ref="I8:J8" si="7">round(D8*$A8,0)</f>
        <v>-12</v>
      </c>
      <c r="J8" s="19">
        <f t="shared" si="7"/>
        <v>3</v>
      </c>
    </row>
    <row r="9" ht="22.5" customHeight="1">
      <c r="A9" s="16">
        <v>4.0</v>
      </c>
      <c r="B9" s="16">
        <v>16.0</v>
      </c>
      <c r="C9" s="16">
        <v>0.0</v>
      </c>
      <c r="D9" s="16">
        <v>0.0</v>
      </c>
      <c r="E9" s="16">
        <v>0.0</v>
      </c>
      <c r="F9" s="16">
        <v>0.0</v>
      </c>
      <c r="G9" s="18">
        <v>0.0</v>
      </c>
      <c r="H9" s="16" t="s">
        <v>11</v>
      </c>
      <c r="I9" s="19">
        <f t="shared" ref="I9:J9" si="8">round(D9*$A9,0)</f>
        <v>0</v>
      </c>
      <c r="J9" s="19">
        <f t="shared" si="8"/>
        <v>0</v>
      </c>
    </row>
    <row r="10" ht="22.5" customHeight="1">
      <c r="A10" s="16">
        <v>3.0</v>
      </c>
      <c r="B10" s="16">
        <v>12.0</v>
      </c>
      <c r="C10" s="16">
        <v>0.0</v>
      </c>
      <c r="D10" s="16">
        <v>0.0</v>
      </c>
      <c r="E10" s="16">
        <v>0.0</v>
      </c>
      <c r="F10" s="16">
        <v>0.0</v>
      </c>
      <c r="G10" s="18">
        <v>0.0</v>
      </c>
      <c r="H10" s="16" t="s">
        <v>12</v>
      </c>
      <c r="I10" s="19">
        <f t="shared" ref="I10:J10" si="9">round(D10*$A10,0)</f>
        <v>0</v>
      </c>
      <c r="J10" s="19">
        <f t="shared" si="9"/>
        <v>0</v>
      </c>
    </row>
    <row r="11" ht="22.5" customHeight="1">
      <c r="A11" s="16">
        <v>4.0</v>
      </c>
      <c r="B11" s="16">
        <v>16.0</v>
      </c>
      <c r="C11" s="16">
        <v>2.0</v>
      </c>
      <c r="D11" s="16">
        <v>2.0</v>
      </c>
      <c r="E11" s="16">
        <v>0.0</v>
      </c>
      <c r="F11" s="16">
        <v>0.0</v>
      </c>
      <c r="G11" s="18">
        <v>1.0</v>
      </c>
      <c r="H11" s="16" t="s">
        <v>13</v>
      </c>
      <c r="I11" s="19">
        <f t="shared" ref="I11:J11" si="10">round(D11*$A11,0)</f>
        <v>8</v>
      </c>
      <c r="J11" s="19">
        <f t="shared" si="10"/>
        <v>0</v>
      </c>
    </row>
    <row r="12" ht="22.5" customHeight="1">
      <c r="A12" s="16">
        <v>1.0</v>
      </c>
      <c r="B12" s="16">
        <v>4.0</v>
      </c>
      <c r="C12" s="16">
        <v>0.0</v>
      </c>
      <c r="D12" s="16">
        <v>0.0</v>
      </c>
      <c r="E12" s="16">
        <v>0.0</v>
      </c>
      <c r="F12" s="16">
        <v>0.0</v>
      </c>
      <c r="G12" s="18">
        <v>0.0</v>
      </c>
      <c r="H12" s="16" t="s">
        <v>13</v>
      </c>
      <c r="I12" s="19">
        <f t="shared" ref="I12:J12" si="11">round(D12*$A12,0)</f>
        <v>0</v>
      </c>
      <c r="J12" s="19">
        <f t="shared" si="11"/>
        <v>0</v>
      </c>
    </row>
    <row r="13" ht="22.5" customHeight="1">
      <c r="A13" s="16">
        <v>1.0</v>
      </c>
      <c r="B13" s="16">
        <v>4.0</v>
      </c>
      <c r="C13" s="16">
        <v>0.0</v>
      </c>
      <c r="D13" s="16">
        <v>0.0</v>
      </c>
      <c r="E13" s="16">
        <v>0.0</v>
      </c>
      <c r="F13" s="16">
        <v>0.0</v>
      </c>
      <c r="G13" s="18">
        <v>0.0</v>
      </c>
      <c r="H13" s="16" t="s">
        <v>15</v>
      </c>
      <c r="I13" s="19">
        <f t="shared" ref="I13:J13" si="12">round(D13*$A13,0)</f>
        <v>0</v>
      </c>
      <c r="J13" s="19">
        <f t="shared" si="12"/>
        <v>0</v>
      </c>
    </row>
    <row r="14" ht="22.5" customHeight="1">
      <c r="A14" s="16">
        <v>4.0</v>
      </c>
      <c r="B14" s="16">
        <v>16.0</v>
      </c>
      <c r="C14" s="16">
        <v>0.0</v>
      </c>
      <c r="D14" s="16">
        <v>0.0</v>
      </c>
      <c r="E14" s="16">
        <v>0.0</v>
      </c>
      <c r="F14" s="16">
        <v>0.0</v>
      </c>
      <c r="G14" s="18">
        <v>0.0</v>
      </c>
      <c r="H14" s="16" t="s">
        <v>15</v>
      </c>
      <c r="I14" s="19">
        <f t="shared" ref="I14:J14" si="13">round(D14*$A14,0)</f>
        <v>0</v>
      </c>
      <c r="J14" s="19">
        <f t="shared" si="13"/>
        <v>0</v>
      </c>
    </row>
    <row r="15" ht="22.5" customHeight="1">
      <c r="A15" s="16">
        <v>4.0</v>
      </c>
      <c r="B15" s="16">
        <v>16.0</v>
      </c>
      <c r="C15" s="16">
        <v>12.0</v>
      </c>
      <c r="D15" s="16">
        <v>7.0</v>
      </c>
      <c r="E15" s="16">
        <v>0.5</v>
      </c>
      <c r="F15" s="16">
        <v>0.0</v>
      </c>
      <c r="G15" s="18">
        <v>0.75</v>
      </c>
      <c r="H15" s="16" t="s">
        <v>17</v>
      </c>
      <c r="I15" s="19">
        <f t="shared" ref="I15:J15" si="14">round(D15*$A15,0)</f>
        <v>28</v>
      </c>
      <c r="J15" s="19">
        <f t="shared" si="14"/>
        <v>2</v>
      </c>
    </row>
    <row r="16" ht="22.5" customHeight="1">
      <c r="A16" s="16">
        <v>1.0</v>
      </c>
      <c r="B16" s="16">
        <v>4.0</v>
      </c>
      <c r="C16" s="16">
        <v>3.0</v>
      </c>
      <c r="D16" s="16">
        <v>4.0</v>
      </c>
      <c r="E16" s="16">
        <v>1.0</v>
      </c>
      <c r="F16" s="16">
        <v>0.0</v>
      </c>
      <c r="G16" s="20">
        <v>0.667</v>
      </c>
      <c r="H16" s="16" t="s">
        <v>17</v>
      </c>
      <c r="I16" s="19">
        <f t="shared" ref="I16:J16" si="15">round(D16*$A16,0)</f>
        <v>4</v>
      </c>
      <c r="J16" s="19">
        <f t="shared" si="15"/>
        <v>1</v>
      </c>
    </row>
    <row r="17" ht="22.5" customHeight="1">
      <c r="A17" s="16">
        <v>1.0</v>
      </c>
      <c r="B17" s="16">
        <v>4.0</v>
      </c>
      <c r="C17" s="16">
        <v>0.0</v>
      </c>
      <c r="D17" s="16">
        <v>0.0</v>
      </c>
      <c r="E17" s="16">
        <v>0.0</v>
      </c>
      <c r="F17" s="16">
        <v>0.0</v>
      </c>
      <c r="G17" s="18">
        <v>0.0</v>
      </c>
      <c r="H17" s="16" t="s">
        <v>20</v>
      </c>
      <c r="I17" s="19">
        <f t="shared" ref="I17:J17" si="16">round(D17*$A17,0)</f>
        <v>0</v>
      </c>
      <c r="J17" s="19">
        <f t="shared" si="16"/>
        <v>0</v>
      </c>
    </row>
    <row r="18" ht="22.5" customHeight="1">
      <c r="A18" s="16">
        <v>1.0</v>
      </c>
      <c r="B18" s="16">
        <v>4.0</v>
      </c>
      <c r="C18" s="16">
        <v>0.0</v>
      </c>
      <c r="D18" s="16">
        <v>0.0</v>
      </c>
      <c r="E18" s="16">
        <v>0.0</v>
      </c>
      <c r="F18" s="16">
        <v>0.0</v>
      </c>
      <c r="G18" s="18">
        <v>0.0</v>
      </c>
      <c r="H18" s="16" t="s">
        <v>20</v>
      </c>
      <c r="I18" s="19">
        <f t="shared" ref="I18:J18" si="17">round(D18*$A18,0)</f>
        <v>0</v>
      </c>
      <c r="J18" s="19">
        <f t="shared" si="17"/>
        <v>0</v>
      </c>
    </row>
    <row r="19" ht="22.5" customHeight="1">
      <c r="A19" s="16">
        <v>1.0</v>
      </c>
      <c r="B19" s="16">
        <v>4.0</v>
      </c>
      <c r="C19" s="16">
        <v>0.0</v>
      </c>
      <c r="D19" s="16">
        <v>0.0</v>
      </c>
      <c r="E19" s="16">
        <v>0.0</v>
      </c>
      <c r="F19" s="16">
        <v>0.0</v>
      </c>
      <c r="G19" s="18">
        <v>0.0</v>
      </c>
      <c r="H19" s="16" t="s">
        <v>24</v>
      </c>
      <c r="I19" s="19">
        <f t="shared" ref="I19:J19" si="18">round(D19*$A19,0)</f>
        <v>0</v>
      </c>
      <c r="J19" s="19">
        <f t="shared" si="18"/>
        <v>0</v>
      </c>
    </row>
    <row r="20" ht="22.5" customHeight="1">
      <c r="A20" s="16">
        <v>1.0</v>
      </c>
      <c r="B20" s="16">
        <v>4.0</v>
      </c>
      <c r="C20" s="16">
        <v>0.0</v>
      </c>
      <c r="D20" s="16">
        <v>0.0</v>
      </c>
      <c r="E20" s="16">
        <v>0.0</v>
      </c>
      <c r="F20" s="16">
        <v>0.0</v>
      </c>
      <c r="G20" s="18">
        <v>0.0</v>
      </c>
      <c r="H20" s="16" t="s">
        <v>24</v>
      </c>
      <c r="I20" s="19">
        <f t="shared" ref="I20:J20" si="19">round(D20*$A20,0)</f>
        <v>0</v>
      </c>
      <c r="J20" s="19">
        <f t="shared" si="19"/>
        <v>0</v>
      </c>
    </row>
    <row r="21" ht="22.5" customHeight="1">
      <c r="A21" s="16">
        <v>1.0</v>
      </c>
      <c r="B21" s="16">
        <v>4.0</v>
      </c>
      <c r="C21" s="16">
        <v>2.0</v>
      </c>
      <c r="D21" s="16">
        <v>8.0</v>
      </c>
      <c r="E21" s="16">
        <v>0.0</v>
      </c>
      <c r="F21" s="16">
        <v>0.0</v>
      </c>
      <c r="G21" s="18">
        <v>1.0</v>
      </c>
      <c r="H21" s="16" t="s">
        <v>29</v>
      </c>
      <c r="I21" s="19">
        <f t="shared" ref="I21:J21" si="20">round(D21*$A21,0)</f>
        <v>8</v>
      </c>
      <c r="J21" s="19">
        <f t="shared" si="20"/>
        <v>0</v>
      </c>
    </row>
    <row r="22" ht="22.5" customHeight="1">
      <c r="A22" s="16">
        <v>3.0</v>
      </c>
      <c r="B22" s="16">
        <v>11.0</v>
      </c>
      <c r="C22" s="16">
        <v>4.0</v>
      </c>
      <c r="D22" s="16">
        <v>2.67</v>
      </c>
      <c r="E22" s="16">
        <v>0.33</v>
      </c>
      <c r="F22" s="16">
        <v>0.0</v>
      </c>
      <c r="G22" s="18">
        <v>0.75</v>
      </c>
      <c r="H22" s="16" t="s">
        <v>29</v>
      </c>
      <c r="I22" s="19">
        <f t="shared" ref="I22:J22" si="21">round(D22*$A22,0)</f>
        <v>8</v>
      </c>
      <c r="J22" s="19">
        <f t="shared" si="21"/>
        <v>1</v>
      </c>
    </row>
    <row r="23" ht="22.5" customHeight="1">
      <c r="A23" s="16">
        <v>1.0</v>
      </c>
      <c r="B23" s="16">
        <v>4.0</v>
      </c>
      <c r="C23" s="16">
        <v>2.0</v>
      </c>
      <c r="D23" s="16">
        <v>0.0</v>
      </c>
      <c r="E23" s="16">
        <v>1.0</v>
      </c>
      <c r="F23" s="16">
        <v>0.0</v>
      </c>
      <c r="G23" s="18">
        <v>0.5</v>
      </c>
      <c r="H23" s="16" t="s">
        <v>29</v>
      </c>
      <c r="I23" s="19">
        <f t="shared" ref="I23:J23" si="22">round(D23*$A23,0)</f>
        <v>0</v>
      </c>
      <c r="J23" s="19">
        <f t="shared" si="22"/>
        <v>1</v>
      </c>
    </row>
    <row r="24" ht="22.5" customHeight="1">
      <c r="A24" s="16">
        <v>2.0</v>
      </c>
      <c r="B24" s="16">
        <v>7.0</v>
      </c>
      <c r="C24" s="16">
        <v>0.0</v>
      </c>
      <c r="D24" s="16">
        <v>0.0</v>
      </c>
      <c r="E24" s="16">
        <v>0.0</v>
      </c>
      <c r="F24" s="16">
        <v>0.0</v>
      </c>
      <c r="G24" s="18">
        <v>0.0</v>
      </c>
      <c r="H24" s="16" t="s">
        <v>38</v>
      </c>
      <c r="I24" s="19">
        <f t="shared" ref="I24:J24" si="23">round(D24*$A24,0)</f>
        <v>0</v>
      </c>
      <c r="J24" s="19">
        <f t="shared" si="23"/>
        <v>0</v>
      </c>
    </row>
    <row r="25" ht="22.5" customHeight="1">
      <c r="A25" s="16">
        <v>1.0</v>
      </c>
      <c r="B25" s="16">
        <v>4.0</v>
      </c>
      <c r="C25" s="16">
        <v>0.0</v>
      </c>
      <c r="D25" s="16">
        <v>0.0</v>
      </c>
      <c r="E25" s="16">
        <v>0.0</v>
      </c>
      <c r="F25" s="16">
        <v>0.0</v>
      </c>
      <c r="G25" s="18">
        <v>0.0</v>
      </c>
      <c r="H25" s="16" t="s">
        <v>38</v>
      </c>
      <c r="I25" s="19">
        <f t="shared" ref="I25:J25" si="24">round(D25*$A25,0)</f>
        <v>0</v>
      </c>
      <c r="J25" s="19">
        <f t="shared" si="24"/>
        <v>0</v>
      </c>
    </row>
    <row r="26" ht="22.5" customHeight="1">
      <c r="A26" s="16">
        <v>1.0</v>
      </c>
      <c r="B26" s="16">
        <v>4.0</v>
      </c>
      <c r="C26" s="16">
        <v>1.0</v>
      </c>
      <c r="D26" s="16">
        <v>4.0</v>
      </c>
      <c r="E26" s="16">
        <v>0.0</v>
      </c>
      <c r="F26" s="16">
        <v>0.0</v>
      </c>
      <c r="G26" s="18">
        <v>1.0</v>
      </c>
      <c r="H26" s="16" t="s">
        <v>40</v>
      </c>
      <c r="I26" s="19">
        <f t="shared" ref="I26:J26" si="25">round(D26*$A26,0)</f>
        <v>4</v>
      </c>
      <c r="J26" s="19">
        <f t="shared" si="25"/>
        <v>0</v>
      </c>
    </row>
    <row r="27" ht="22.5" customHeight="1">
      <c r="A27" s="16">
        <v>3.0</v>
      </c>
      <c r="B27" s="16">
        <v>11.0</v>
      </c>
      <c r="C27" s="16">
        <v>4.0</v>
      </c>
      <c r="D27" s="16">
        <v>-2.67</v>
      </c>
      <c r="E27" s="16">
        <v>0.67</v>
      </c>
      <c r="F27" s="16">
        <v>0.0</v>
      </c>
      <c r="G27" s="18">
        <v>0.0</v>
      </c>
      <c r="H27" s="16" t="s">
        <v>40</v>
      </c>
      <c r="I27" s="19">
        <f t="shared" ref="I27:J27" si="26">round(D27*$A27,0)</f>
        <v>-8</v>
      </c>
      <c r="J27" s="19">
        <f t="shared" si="26"/>
        <v>2</v>
      </c>
    </row>
    <row r="28" ht="22.5" customHeight="1">
      <c r="A28" s="16">
        <v>1.0</v>
      </c>
      <c r="B28" s="16">
        <v>4.0</v>
      </c>
      <c r="C28" s="16">
        <v>1.0</v>
      </c>
      <c r="D28" s="16">
        <v>-4.0</v>
      </c>
      <c r="E28" s="16">
        <v>1.0</v>
      </c>
      <c r="F28" s="16">
        <v>0.0</v>
      </c>
      <c r="G28" s="18">
        <v>0.0</v>
      </c>
      <c r="H28" s="16" t="s">
        <v>40</v>
      </c>
      <c r="I28" s="19">
        <f t="shared" ref="I28:J28" si="27">round(D28*$A28,0)</f>
        <v>-4</v>
      </c>
      <c r="J28" s="19">
        <f t="shared" si="27"/>
        <v>1</v>
      </c>
    </row>
    <row r="29" ht="22.5" customHeight="1">
      <c r="A29" s="16">
        <v>3.0</v>
      </c>
      <c r="B29" s="16">
        <v>11.0</v>
      </c>
      <c r="C29" s="16">
        <v>1.0</v>
      </c>
      <c r="D29" s="16">
        <v>1.33</v>
      </c>
      <c r="E29" s="16">
        <v>0.0</v>
      </c>
      <c r="F29" s="16">
        <v>0.0</v>
      </c>
      <c r="G29" s="18">
        <v>1.0</v>
      </c>
      <c r="H29" s="16" t="s">
        <v>46</v>
      </c>
      <c r="I29" s="19">
        <f t="shared" ref="I29:J29" si="28">round(D29*$A29,0)</f>
        <v>4</v>
      </c>
      <c r="J29" s="19">
        <f t="shared" si="28"/>
        <v>0</v>
      </c>
    </row>
    <row r="30" ht="22.5" customHeight="1">
      <c r="A30" s="16">
        <v>1.0</v>
      </c>
      <c r="B30" s="16">
        <v>4.0</v>
      </c>
      <c r="C30" s="16">
        <v>0.0</v>
      </c>
      <c r="D30" s="16">
        <v>0.0</v>
      </c>
      <c r="E30" s="16">
        <v>0.0</v>
      </c>
      <c r="F30" s="16">
        <v>0.0</v>
      </c>
      <c r="G30" s="18">
        <v>0.0</v>
      </c>
      <c r="H30" s="16" t="s">
        <v>46</v>
      </c>
      <c r="I30" s="19">
        <f t="shared" ref="I30:J30" si="29">round(D30*$A30,0)</f>
        <v>0</v>
      </c>
      <c r="J30" s="19">
        <f t="shared" si="29"/>
        <v>0</v>
      </c>
    </row>
    <row r="31" ht="22.5" customHeight="1">
      <c r="A31" s="16">
        <v>1.0</v>
      </c>
      <c r="B31" s="16">
        <v>4.0</v>
      </c>
      <c r="C31" s="16">
        <v>0.0</v>
      </c>
      <c r="D31" s="16">
        <v>0.0</v>
      </c>
      <c r="E31" s="16">
        <v>0.0</v>
      </c>
      <c r="F31" s="16">
        <v>0.0</v>
      </c>
      <c r="G31" s="18">
        <v>0.0</v>
      </c>
      <c r="H31" s="16" t="s">
        <v>46</v>
      </c>
      <c r="I31" s="19">
        <f t="shared" ref="I31:J31" si="30">round(D31*$A31,0)</f>
        <v>0</v>
      </c>
      <c r="J31" s="19">
        <f t="shared" si="30"/>
        <v>0</v>
      </c>
    </row>
    <row r="32" ht="22.5" customHeight="1">
      <c r="A32" s="16">
        <v>4.0</v>
      </c>
      <c r="B32" s="16">
        <v>16.0</v>
      </c>
      <c r="C32" s="16">
        <v>0.0</v>
      </c>
      <c r="D32" s="16">
        <v>0.0</v>
      </c>
      <c r="E32" s="16">
        <v>0.0</v>
      </c>
      <c r="F32" s="16">
        <v>0.0</v>
      </c>
      <c r="G32" s="18">
        <v>0.0</v>
      </c>
      <c r="H32" s="16" t="s">
        <v>51</v>
      </c>
      <c r="I32" s="19">
        <f t="shared" ref="I32:J32" si="31">round(D32*$A32,0)</f>
        <v>0</v>
      </c>
      <c r="J32" s="19">
        <f t="shared" si="31"/>
        <v>0</v>
      </c>
    </row>
    <row r="33" ht="22.5" customHeight="1">
      <c r="A33" s="16">
        <v>5.0</v>
      </c>
      <c r="B33" s="16">
        <v>20.0</v>
      </c>
      <c r="C33" s="16">
        <v>2.0</v>
      </c>
      <c r="D33" s="16">
        <v>0.8</v>
      </c>
      <c r="E33" s="16">
        <v>0.0</v>
      </c>
      <c r="F33" s="16">
        <v>0.0</v>
      </c>
      <c r="G33" s="18">
        <v>0.5</v>
      </c>
      <c r="H33" s="16" t="s">
        <v>54</v>
      </c>
      <c r="I33" s="19">
        <f t="shared" ref="I33:J33" si="32">round(D33*$A33,0)</f>
        <v>4</v>
      </c>
      <c r="J33" s="19">
        <f t="shared" si="32"/>
        <v>0</v>
      </c>
    </row>
    <row r="34" ht="22.5" customHeight="1">
      <c r="A34" s="16">
        <v>1.0</v>
      </c>
      <c r="B34" s="16">
        <v>4.0</v>
      </c>
      <c r="C34" s="16">
        <v>0.0</v>
      </c>
      <c r="D34" s="16">
        <v>0.0</v>
      </c>
      <c r="E34" s="16">
        <v>0.0</v>
      </c>
      <c r="F34" s="16">
        <v>0.0</v>
      </c>
      <c r="G34" s="18">
        <v>0.0</v>
      </c>
      <c r="H34" s="16" t="s">
        <v>55</v>
      </c>
      <c r="I34" s="19">
        <f t="shared" ref="I34:J34" si="33">round(D34*$A34,0)</f>
        <v>0</v>
      </c>
      <c r="J34" s="19">
        <f t="shared" si="33"/>
        <v>0</v>
      </c>
    </row>
    <row r="35" ht="22.5" customHeight="1">
      <c r="A35" s="16">
        <v>1.0</v>
      </c>
      <c r="B35" s="16">
        <v>4.0</v>
      </c>
      <c r="C35" s="16">
        <v>1.0</v>
      </c>
      <c r="D35" s="16">
        <v>0.0</v>
      </c>
      <c r="E35" s="16">
        <v>0.0</v>
      </c>
      <c r="F35" s="16">
        <v>0.0</v>
      </c>
      <c r="G35" s="18">
        <v>0.0</v>
      </c>
      <c r="H35" s="16" t="s">
        <v>55</v>
      </c>
      <c r="I35" s="19">
        <f t="shared" ref="I35:J35" si="34">round(D35*$A35,0)</f>
        <v>0</v>
      </c>
      <c r="J35" s="19">
        <f t="shared" si="34"/>
        <v>0</v>
      </c>
    </row>
    <row r="36" ht="22.5" customHeight="1">
      <c r="A36" s="16">
        <v>5.0</v>
      </c>
      <c r="B36" s="16">
        <v>20.0</v>
      </c>
      <c r="C36" s="16">
        <v>7.0</v>
      </c>
      <c r="D36" s="16">
        <v>3.2</v>
      </c>
      <c r="E36" s="16">
        <v>0.0</v>
      </c>
      <c r="F36" s="16">
        <v>0.0</v>
      </c>
      <c r="G36" s="20">
        <v>0.571</v>
      </c>
      <c r="H36" s="16" t="s">
        <v>59</v>
      </c>
      <c r="I36" s="19">
        <f t="shared" ref="I36:J36" si="35">round(D36*$A36,0)</f>
        <v>16</v>
      </c>
      <c r="J36" s="19">
        <f t="shared" si="35"/>
        <v>0</v>
      </c>
    </row>
    <row r="37" ht="22.5" customHeight="1">
      <c r="A37" s="16">
        <v>4.0</v>
      </c>
      <c r="B37" s="16">
        <v>16.0</v>
      </c>
      <c r="C37" s="16">
        <v>0.0</v>
      </c>
      <c r="D37" s="16">
        <v>0.0</v>
      </c>
      <c r="E37" s="16">
        <v>0.0</v>
      </c>
      <c r="F37" s="16">
        <v>0.0</v>
      </c>
      <c r="G37" s="18">
        <v>0.0</v>
      </c>
      <c r="H37" s="16" t="s">
        <v>61</v>
      </c>
      <c r="I37" s="19">
        <f t="shared" ref="I37:J37" si="36">round(D37*$A37,0)</f>
        <v>0</v>
      </c>
      <c r="J37" s="19">
        <f t="shared" si="36"/>
        <v>0</v>
      </c>
    </row>
    <row r="38" ht="22.5" customHeight="1">
      <c r="A38" s="16">
        <v>1.0</v>
      </c>
      <c r="B38" s="16">
        <v>4.0</v>
      </c>
      <c r="C38" s="16">
        <v>0.0</v>
      </c>
      <c r="D38" s="16">
        <v>0.0</v>
      </c>
      <c r="E38" s="16">
        <v>0.0</v>
      </c>
      <c r="F38" s="16">
        <v>0.0</v>
      </c>
      <c r="G38" s="18">
        <v>0.0</v>
      </c>
      <c r="H38" s="16" t="s">
        <v>61</v>
      </c>
      <c r="I38" s="19">
        <f t="shared" ref="I38:J38" si="37">round(D38*$A38,0)</f>
        <v>0</v>
      </c>
      <c r="J38" s="19">
        <f t="shared" si="37"/>
        <v>0</v>
      </c>
    </row>
    <row r="39" ht="22.5" customHeight="1">
      <c r="A39" s="16">
        <v>2.0</v>
      </c>
      <c r="B39" s="16">
        <v>8.0</v>
      </c>
      <c r="C39" s="16">
        <v>0.0</v>
      </c>
      <c r="D39" s="16">
        <v>0.0</v>
      </c>
      <c r="E39" s="16">
        <v>0.0</v>
      </c>
      <c r="F39" s="16">
        <v>0.0</v>
      </c>
      <c r="G39" s="18">
        <v>0.0</v>
      </c>
      <c r="H39" s="16" t="s">
        <v>65</v>
      </c>
      <c r="I39" s="19">
        <f t="shared" ref="I39:J39" si="38">round(D39*$A39,0)</f>
        <v>0</v>
      </c>
      <c r="J39" s="19">
        <f t="shared" si="38"/>
        <v>0</v>
      </c>
    </row>
    <row r="40" ht="22.5" customHeight="1">
      <c r="A40" s="16">
        <v>5.0</v>
      </c>
      <c r="B40" s="16">
        <v>20.0</v>
      </c>
      <c r="C40" s="16">
        <v>13.0</v>
      </c>
      <c r="D40" s="16">
        <v>6.4</v>
      </c>
      <c r="E40" s="16">
        <v>0.2</v>
      </c>
      <c r="F40" s="16">
        <v>0.0</v>
      </c>
      <c r="G40" s="20">
        <v>0.692</v>
      </c>
      <c r="H40" s="16" t="s">
        <v>68</v>
      </c>
      <c r="I40" s="19">
        <f t="shared" ref="I40:J40" si="39">round(D40*$A40,0)</f>
        <v>32</v>
      </c>
      <c r="J40" s="19">
        <f t="shared" si="39"/>
        <v>1</v>
      </c>
    </row>
    <row r="41" ht="22.5" customHeight="1">
      <c r="A41" s="16">
        <v>5.0</v>
      </c>
      <c r="B41" s="16">
        <v>20.0</v>
      </c>
      <c r="C41" s="16">
        <v>1.0</v>
      </c>
      <c r="D41" s="16">
        <v>0.8</v>
      </c>
      <c r="E41" s="16">
        <v>0.0</v>
      </c>
      <c r="F41" s="16">
        <v>0.0</v>
      </c>
      <c r="G41" s="18">
        <v>1.0</v>
      </c>
      <c r="H41" s="16" t="s">
        <v>71</v>
      </c>
      <c r="I41" s="19">
        <f t="shared" ref="I41:J41" si="40">round(D41*$A41,0)</f>
        <v>4</v>
      </c>
      <c r="J41" s="19">
        <f t="shared" si="40"/>
        <v>0</v>
      </c>
    </row>
    <row r="42" ht="22.5" customHeight="1">
      <c r="A42" s="16">
        <v>2.0</v>
      </c>
      <c r="B42" s="16">
        <v>8.0</v>
      </c>
      <c r="C42" s="16">
        <v>0.0</v>
      </c>
      <c r="D42" s="16">
        <v>0.0</v>
      </c>
      <c r="E42" s="16">
        <v>0.0</v>
      </c>
      <c r="F42" s="16">
        <v>0.0</v>
      </c>
      <c r="G42" s="18">
        <v>0.0</v>
      </c>
      <c r="H42" s="16" t="s">
        <v>73</v>
      </c>
      <c r="I42" s="19">
        <f t="shared" ref="I42:J42" si="41">round(D42*$A42,0)</f>
        <v>0</v>
      </c>
      <c r="J42" s="19">
        <f t="shared" si="41"/>
        <v>0</v>
      </c>
    </row>
    <row r="43" ht="22.5" customHeight="1">
      <c r="A43" s="16">
        <v>1.0</v>
      </c>
      <c r="B43" s="16">
        <v>4.0</v>
      </c>
      <c r="C43" s="16">
        <v>0.0</v>
      </c>
      <c r="D43" s="16">
        <v>0.0</v>
      </c>
      <c r="E43" s="16">
        <v>0.0</v>
      </c>
      <c r="F43" s="16">
        <v>0.0</v>
      </c>
      <c r="G43" s="18">
        <v>0.0</v>
      </c>
      <c r="H43" s="16" t="s">
        <v>73</v>
      </c>
      <c r="I43" s="19">
        <f t="shared" ref="I43:J43" si="42">round(D43*$A43,0)</f>
        <v>0</v>
      </c>
      <c r="J43" s="19">
        <f t="shared" si="42"/>
        <v>0</v>
      </c>
    </row>
    <row r="44" ht="22.5" customHeight="1">
      <c r="A44" s="16">
        <v>4.0</v>
      </c>
      <c r="B44" s="16">
        <v>16.0</v>
      </c>
      <c r="C44" s="16">
        <v>4.0</v>
      </c>
      <c r="D44" s="16">
        <v>1.0</v>
      </c>
      <c r="E44" s="16">
        <v>0.0</v>
      </c>
      <c r="F44" s="16">
        <v>0.0</v>
      </c>
      <c r="G44" s="18">
        <v>0.25</v>
      </c>
      <c r="H44" s="16" t="s">
        <v>75</v>
      </c>
      <c r="I44" s="19">
        <f t="shared" ref="I44:J44" si="43">round(D44*$A44,0)</f>
        <v>4</v>
      </c>
      <c r="J44" s="19">
        <f t="shared" si="43"/>
        <v>0</v>
      </c>
    </row>
    <row r="45" ht="22.5" customHeight="1">
      <c r="A45" s="16">
        <v>1.0</v>
      </c>
      <c r="B45" s="16">
        <v>4.0</v>
      </c>
      <c r="C45" s="16">
        <v>0.0</v>
      </c>
      <c r="D45" s="16">
        <v>0.0</v>
      </c>
      <c r="E45" s="16">
        <v>0.0</v>
      </c>
      <c r="F45" s="16">
        <v>0.0</v>
      </c>
      <c r="G45" s="18">
        <v>0.0</v>
      </c>
      <c r="H45" s="16" t="s">
        <v>75</v>
      </c>
      <c r="I45" s="19">
        <f t="shared" ref="I45:J45" si="44">round(D45*$A45,0)</f>
        <v>0</v>
      </c>
      <c r="J45" s="19">
        <f t="shared" si="44"/>
        <v>0</v>
      </c>
    </row>
    <row r="46" ht="22.5" customHeight="1">
      <c r="A46" s="16">
        <v>1.0</v>
      </c>
      <c r="B46" s="16">
        <v>4.0</v>
      </c>
      <c r="C46" s="16">
        <v>0.0</v>
      </c>
      <c r="D46" s="16">
        <v>0.0</v>
      </c>
      <c r="E46" s="16">
        <v>0.0</v>
      </c>
      <c r="F46" s="16">
        <v>0.0</v>
      </c>
      <c r="G46" s="18">
        <v>0.0</v>
      </c>
      <c r="H46" s="16" t="s">
        <v>79</v>
      </c>
      <c r="I46" s="19">
        <f t="shared" ref="I46:J46" si="45">round(D46*$A46,0)</f>
        <v>0</v>
      </c>
      <c r="J46" s="19">
        <f t="shared" si="45"/>
        <v>0</v>
      </c>
    </row>
    <row r="47" ht="22.5" customHeight="1">
      <c r="A47" s="16">
        <v>2.0</v>
      </c>
      <c r="B47" s="16">
        <v>8.0</v>
      </c>
      <c r="C47" s="16">
        <v>0.0</v>
      </c>
      <c r="D47" s="16">
        <v>0.0</v>
      </c>
      <c r="E47" s="16">
        <v>0.0</v>
      </c>
      <c r="F47" s="16">
        <v>0.0</v>
      </c>
      <c r="G47" s="18">
        <v>0.0</v>
      </c>
      <c r="H47" s="16" t="s">
        <v>79</v>
      </c>
      <c r="I47" s="19">
        <f t="shared" ref="I47:J47" si="46">round(D47*$A47,0)</f>
        <v>0</v>
      </c>
      <c r="J47" s="19">
        <f t="shared" si="46"/>
        <v>0</v>
      </c>
    </row>
    <row r="48" ht="22.5" customHeight="1">
      <c r="A48" s="16">
        <v>1.0</v>
      </c>
      <c r="B48" s="16">
        <v>4.0</v>
      </c>
      <c r="C48" s="16">
        <v>0.0</v>
      </c>
      <c r="D48" s="16">
        <v>0.0</v>
      </c>
      <c r="E48" s="16">
        <v>0.0</v>
      </c>
      <c r="F48" s="16">
        <v>0.0</v>
      </c>
      <c r="G48" s="18">
        <v>0.0</v>
      </c>
      <c r="H48" s="16" t="s">
        <v>79</v>
      </c>
      <c r="I48" s="19">
        <f t="shared" ref="I48:J48" si="47">round(D48*$A48,0)</f>
        <v>0</v>
      </c>
      <c r="J48" s="19">
        <f t="shared" si="47"/>
        <v>0</v>
      </c>
    </row>
    <row r="49" ht="22.5" customHeight="1">
      <c r="A49" s="16">
        <v>1.0</v>
      </c>
      <c r="B49" s="16">
        <v>4.0</v>
      </c>
      <c r="C49" s="16">
        <v>0.0</v>
      </c>
      <c r="D49" s="16">
        <v>0.0</v>
      </c>
      <c r="E49" s="16">
        <v>0.0</v>
      </c>
      <c r="F49" s="16">
        <v>0.0</v>
      </c>
      <c r="G49" s="18">
        <v>0.0</v>
      </c>
      <c r="H49" s="16" t="s">
        <v>79</v>
      </c>
      <c r="I49" s="19">
        <f t="shared" ref="I49:J49" si="48">round(D49*$A49,0)</f>
        <v>0</v>
      </c>
      <c r="J49" s="19">
        <f t="shared" si="48"/>
        <v>0</v>
      </c>
    </row>
    <row r="50" ht="22.5" customHeight="1">
      <c r="A50" s="16">
        <v>1.0</v>
      </c>
      <c r="B50" s="16">
        <v>4.0</v>
      </c>
      <c r="C50" s="16">
        <v>0.0</v>
      </c>
      <c r="D50" s="16">
        <v>0.0</v>
      </c>
      <c r="E50" s="16">
        <v>0.0</v>
      </c>
      <c r="F50" s="16">
        <v>0.0</v>
      </c>
      <c r="G50" s="18">
        <v>0.0</v>
      </c>
      <c r="H50" s="16" t="s">
        <v>85</v>
      </c>
      <c r="I50" s="19">
        <f t="shared" ref="I50:J50" si="49">round(D50*$A50,0)</f>
        <v>0</v>
      </c>
      <c r="J50" s="19">
        <f t="shared" si="49"/>
        <v>0</v>
      </c>
    </row>
    <row r="51" ht="22.5" customHeight="1">
      <c r="A51" s="16">
        <v>1.0</v>
      </c>
      <c r="B51" s="16">
        <v>4.0</v>
      </c>
      <c r="C51" s="16">
        <v>2.0</v>
      </c>
      <c r="D51" s="16">
        <v>0.0</v>
      </c>
      <c r="E51" s="16">
        <v>1.0</v>
      </c>
      <c r="F51" s="16">
        <v>0.0</v>
      </c>
      <c r="G51" s="18">
        <v>0.5</v>
      </c>
      <c r="H51" s="16" t="s">
        <v>88</v>
      </c>
      <c r="I51" s="19">
        <f t="shared" ref="I51:J51" si="50">round(D51*$A51,0)</f>
        <v>0</v>
      </c>
      <c r="J51" s="19">
        <f t="shared" si="50"/>
        <v>1</v>
      </c>
    </row>
    <row r="52" ht="22.5" customHeight="1">
      <c r="A52" s="16">
        <v>2.0</v>
      </c>
      <c r="B52" s="16">
        <v>8.0</v>
      </c>
      <c r="C52" s="16">
        <v>5.0</v>
      </c>
      <c r="D52" s="16">
        <v>-10.0</v>
      </c>
      <c r="E52" s="16">
        <v>2.5</v>
      </c>
      <c r="F52" s="16">
        <v>0.0</v>
      </c>
      <c r="G52" s="18">
        <v>0.0</v>
      </c>
      <c r="H52" s="16" t="s">
        <v>88</v>
      </c>
      <c r="I52" s="19">
        <f t="shared" ref="I52:J52" si="51">round(D52*$A52,0)</f>
        <v>-20</v>
      </c>
      <c r="J52" s="19">
        <f t="shared" si="51"/>
        <v>5</v>
      </c>
    </row>
    <row r="53" ht="22.5" customHeight="1">
      <c r="A53" s="16">
        <v>1.0</v>
      </c>
      <c r="B53" s="16">
        <v>4.0</v>
      </c>
      <c r="C53" s="16">
        <v>1.0</v>
      </c>
      <c r="D53" s="16">
        <v>4.0</v>
      </c>
      <c r="E53" s="16">
        <v>0.0</v>
      </c>
      <c r="F53" s="16">
        <v>0.0</v>
      </c>
      <c r="G53" s="18">
        <v>1.0</v>
      </c>
      <c r="H53" s="16" t="s">
        <v>76</v>
      </c>
      <c r="I53" s="19">
        <f t="shared" ref="I53:J53" si="52">round(D53*$A53,0)</f>
        <v>4</v>
      </c>
      <c r="J53" s="19">
        <f t="shared" si="52"/>
        <v>0</v>
      </c>
    </row>
    <row r="54" ht="22.5" customHeight="1">
      <c r="A54" s="16">
        <v>4.0</v>
      </c>
      <c r="B54" s="16">
        <v>16.0</v>
      </c>
      <c r="C54" s="16">
        <v>0.0</v>
      </c>
      <c r="D54" s="16">
        <v>0.0</v>
      </c>
      <c r="E54" s="16">
        <v>0.0</v>
      </c>
      <c r="F54" s="16">
        <v>0.0</v>
      </c>
      <c r="G54" s="18">
        <v>0.0</v>
      </c>
      <c r="H54" s="16" t="s">
        <v>92</v>
      </c>
      <c r="I54" s="19">
        <f t="shared" ref="I54:J54" si="53">round(D54*$A54,0)</f>
        <v>0</v>
      </c>
      <c r="J54" s="19">
        <f t="shared" si="53"/>
        <v>0</v>
      </c>
    </row>
    <row r="55" ht="22.5" customHeight="1">
      <c r="A55" s="16">
        <v>3.0</v>
      </c>
      <c r="B55" s="16">
        <v>12.0</v>
      </c>
      <c r="C55" s="16">
        <v>0.0</v>
      </c>
      <c r="D55" s="16">
        <v>0.0</v>
      </c>
      <c r="E55" s="16">
        <v>0.0</v>
      </c>
      <c r="F55" s="16">
        <v>0.0</v>
      </c>
      <c r="G55" s="18">
        <v>0.0</v>
      </c>
      <c r="H55" s="16" t="s">
        <v>94</v>
      </c>
      <c r="I55" s="19">
        <f t="shared" ref="I55:J55" si="54">round(D55*$A55,0)</f>
        <v>0</v>
      </c>
      <c r="J55" s="19">
        <f t="shared" si="54"/>
        <v>0</v>
      </c>
    </row>
    <row r="56" ht="22.5" customHeight="1">
      <c r="A56" s="16">
        <v>1.0</v>
      </c>
      <c r="B56" s="16">
        <v>4.0</v>
      </c>
      <c r="C56" s="16">
        <v>0.0</v>
      </c>
      <c r="D56" s="16">
        <v>0.0</v>
      </c>
      <c r="E56" s="16">
        <v>0.0</v>
      </c>
      <c r="F56" s="16">
        <v>0.0</v>
      </c>
      <c r="G56" s="18">
        <v>0.0</v>
      </c>
      <c r="H56" s="16" t="s">
        <v>96</v>
      </c>
      <c r="I56" s="19">
        <f t="shared" ref="I56:J56" si="55">round(D56*$A56,0)</f>
        <v>0</v>
      </c>
      <c r="J56" s="19">
        <f t="shared" si="55"/>
        <v>0</v>
      </c>
    </row>
    <row r="57" ht="22.5" customHeight="1">
      <c r="A57" s="16">
        <v>4.0</v>
      </c>
      <c r="B57" s="16">
        <v>16.0</v>
      </c>
      <c r="C57" s="16">
        <v>1.0</v>
      </c>
      <c r="D57" s="16">
        <v>-1.0</v>
      </c>
      <c r="E57" s="16">
        <v>0.25</v>
      </c>
      <c r="F57" s="16">
        <v>0.0</v>
      </c>
      <c r="G57" s="18">
        <v>0.0</v>
      </c>
      <c r="H57" s="16" t="s">
        <v>96</v>
      </c>
      <c r="I57" s="19">
        <f t="shared" ref="I57:J57" si="56">round(D57*$A57,0)</f>
        <v>-4</v>
      </c>
      <c r="J57" s="19">
        <f t="shared" si="56"/>
        <v>1</v>
      </c>
    </row>
    <row r="58" ht="22.5" customHeight="1">
      <c r="A58" s="16">
        <v>5.0</v>
      </c>
      <c r="B58" s="16">
        <v>20.0</v>
      </c>
      <c r="C58" s="16">
        <v>14.0</v>
      </c>
      <c r="D58" s="16">
        <v>9.6</v>
      </c>
      <c r="E58" s="16">
        <v>0.2</v>
      </c>
      <c r="F58" s="16">
        <v>0.0</v>
      </c>
      <c r="G58" s="20">
        <v>0.929</v>
      </c>
      <c r="H58" s="16" t="s">
        <v>90</v>
      </c>
      <c r="I58" s="19">
        <f t="shared" ref="I58:J58" si="57">round(D58*$A58,0)</f>
        <v>48</v>
      </c>
      <c r="J58" s="19">
        <f t="shared" si="57"/>
        <v>1</v>
      </c>
    </row>
    <row r="59" ht="22.5" customHeight="1">
      <c r="A59" s="16">
        <v>4.0</v>
      </c>
      <c r="B59" s="16">
        <v>16.0</v>
      </c>
      <c r="C59" s="16">
        <v>1.0</v>
      </c>
      <c r="D59" s="16">
        <v>1.0</v>
      </c>
      <c r="E59" s="16">
        <v>0.0</v>
      </c>
      <c r="F59" s="16">
        <v>0.0</v>
      </c>
      <c r="G59" s="18">
        <v>1.0</v>
      </c>
      <c r="H59" s="16" t="s">
        <v>100</v>
      </c>
      <c r="I59" s="19">
        <f t="shared" ref="I59:J59" si="58">round(D59*$A59,0)</f>
        <v>4</v>
      </c>
      <c r="J59" s="19">
        <f t="shared" si="58"/>
        <v>0</v>
      </c>
    </row>
    <row r="60" ht="22.5" customHeight="1">
      <c r="A60" s="16">
        <v>1.0</v>
      </c>
      <c r="B60" s="16">
        <v>4.0</v>
      </c>
      <c r="C60" s="16">
        <v>1.0</v>
      </c>
      <c r="D60" s="16">
        <v>4.0</v>
      </c>
      <c r="E60" s="16">
        <v>0.0</v>
      </c>
      <c r="F60" s="16">
        <v>0.0</v>
      </c>
      <c r="G60" s="18">
        <v>1.0</v>
      </c>
      <c r="H60" s="16" t="s">
        <v>102</v>
      </c>
      <c r="I60" s="19">
        <f t="shared" ref="I60:J60" si="59">round(D60*$A60,0)</f>
        <v>4</v>
      </c>
      <c r="J60" s="19">
        <f t="shared" si="59"/>
        <v>0</v>
      </c>
    </row>
    <row r="61" ht="22.5" customHeight="1">
      <c r="A61" s="16">
        <v>1.0</v>
      </c>
      <c r="B61" s="16">
        <v>4.0</v>
      </c>
      <c r="C61" s="16">
        <v>0.0</v>
      </c>
      <c r="D61" s="16">
        <v>0.0</v>
      </c>
      <c r="E61" s="16">
        <v>0.0</v>
      </c>
      <c r="F61" s="16">
        <v>0.0</v>
      </c>
      <c r="G61" s="18">
        <v>0.0</v>
      </c>
      <c r="H61" s="16" t="s">
        <v>102</v>
      </c>
      <c r="I61" s="19">
        <f t="shared" ref="I61:J61" si="60">round(D61*$A61,0)</f>
        <v>0</v>
      </c>
      <c r="J61" s="19">
        <f t="shared" si="60"/>
        <v>0</v>
      </c>
    </row>
    <row r="62" ht="22.5" customHeight="1">
      <c r="A62" s="16">
        <v>5.0</v>
      </c>
      <c r="B62" s="16">
        <v>20.0</v>
      </c>
      <c r="C62" s="16">
        <v>4.0</v>
      </c>
      <c r="D62" s="16">
        <v>1.6</v>
      </c>
      <c r="E62" s="16">
        <v>0.2</v>
      </c>
      <c r="F62" s="16">
        <v>0.0</v>
      </c>
      <c r="G62" s="18">
        <v>0.75</v>
      </c>
      <c r="H62" s="16" t="s">
        <v>66</v>
      </c>
      <c r="I62" s="19">
        <f t="shared" ref="I62:J62" si="61">round(D62*$A62,0)</f>
        <v>8</v>
      </c>
      <c r="J62" s="19">
        <f t="shared" si="61"/>
        <v>1</v>
      </c>
    </row>
    <row r="63" ht="22.5" customHeight="1">
      <c r="A63" s="16">
        <v>2.0</v>
      </c>
      <c r="B63" s="16">
        <v>8.0</v>
      </c>
      <c r="C63" s="16">
        <v>1.0</v>
      </c>
      <c r="D63" s="16">
        <v>0.0</v>
      </c>
      <c r="E63" s="16">
        <v>0.0</v>
      </c>
      <c r="F63" s="16">
        <v>0.0</v>
      </c>
      <c r="G63" s="18">
        <v>0.0</v>
      </c>
      <c r="H63" s="16" t="s">
        <v>108</v>
      </c>
      <c r="I63" s="19">
        <f t="shared" ref="I63:J63" si="62">round(D63*$A63,0)</f>
        <v>0</v>
      </c>
      <c r="J63" s="19">
        <f t="shared" si="62"/>
        <v>0</v>
      </c>
    </row>
    <row r="64" ht="22.5" customHeight="1">
      <c r="A64" s="16">
        <v>2.0</v>
      </c>
      <c r="B64" s="16">
        <v>8.0</v>
      </c>
      <c r="C64" s="16">
        <v>3.0</v>
      </c>
      <c r="D64" s="16">
        <v>6.0</v>
      </c>
      <c r="E64" s="16">
        <v>0.0</v>
      </c>
      <c r="F64" s="16">
        <v>0.0</v>
      </c>
      <c r="G64" s="18">
        <v>1.0</v>
      </c>
      <c r="H64" s="16" t="s">
        <v>109</v>
      </c>
      <c r="I64" s="19">
        <f t="shared" ref="I64:J64" si="63">round(D64*$A64,0)</f>
        <v>12</v>
      </c>
      <c r="J64" s="19">
        <f t="shared" si="63"/>
        <v>0</v>
      </c>
    </row>
    <row r="65" ht="22.5" customHeight="1">
      <c r="A65" s="16">
        <v>1.0</v>
      </c>
      <c r="B65" s="16">
        <v>4.0</v>
      </c>
      <c r="C65" s="16">
        <v>0.0</v>
      </c>
      <c r="D65" s="16">
        <v>0.0</v>
      </c>
      <c r="E65" s="16">
        <v>0.0</v>
      </c>
      <c r="F65" s="16">
        <v>0.0</v>
      </c>
      <c r="G65" s="18">
        <v>0.0</v>
      </c>
      <c r="H65" s="16" t="s">
        <v>110</v>
      </c>
      <c r="I65" s="19">
        <f t="shared" ref="I65:J65" si="64">round(D65*$A65,0)</f>
        <v>0</v>
      </c>
      <c r="J65" s="19">
        <f t="shared" si="64"/>
        <v>0</v>
      </c>
    </row>
    <row r="66" ht="22.5" customHeight="1">
      <c r="A66" s="16">
        <v>2.0</v>
      </c>
      <c r="B66" s="16">
        <v>8.0</v>
      </c>
      <c r="C66" s="16">
        <v>2.0</v>
      </c>
      <c r="D66" s="16">
        <v>2.0</v>
      </c>
      <c r="E66" s="16">
        <v>0.0</v>
      </c>
      <c r="F66" s="16">
        <v>0.0</v>
      </c>
      <c r="G66" s="18">
        <v>0.5</v>
      </c>
      <c r="H66" s="16" t="s">
        <v>111</v>
      </c>
      <c r="I66" s="19">
        <f t="shared" ref="I66:J66" si="65">round(D66*$A66,0)</f>
        <v>4</v>
      </c>
      <c r="J66" s="19">
        <f t="shared" si="65"/>
        <v>0</v>
      </c>
    </row>
    <row r="67" ht="22.5" customHeight="1">
      <c r="A67" s="16">
        <v>2.0</v>
      </c>
      <c r="B67" s="16">
        <v>8.0</v>
      </c>
      <c r="C67" s="16">
        <v>2.0</v>
      </c>
      <c r="D67" s="16">
        <v>0.0</v>
      </c>
      <c r="E67" s="16">
        <v>0.0</v>
      </c>
      <c r="F67" s="16">
        <v>0.0</v>
      </c>
      <c r="G67" s="18">
        <v>0.0</v>
      </c>
      <c r="H67" s="16" t="s">
        <v>111</v>
      </c>
      <c r="I67" s="19">
        <f t="shared" ref="I67:J67" si="66">round(D67*$A67,0)</f>
        <v>0</v>
      </c>
      <c r="J67" s="19">
        <f t="shared" si="66"/>
        <v>0</v>
      </c>
    </row>
    <row r="68" ht="22.5" customHeight="1">
      <c r="A68" s="16">
        <v>1.0</v>
      </c>
      <c r="B68" s="16">
        <v>4.0</v>
      </c>
      <c r="C68" s="16">
        <v>1.0</v>
      </c>
      <c r="D68" s="16">
        <v>0.0</v>
      </c>
      <c r="E68" s="16">
        <v>0.0</v>
      </c>
      <c r="F68" s="16">
        <v>0.0</v>
      </c>
      <c r="G68" s="18">
        <v>0.0</v>
      </c>
      <c r="H68" s="16" t="s">
        <v>111</v>
      </c>
      <c r="I68" s="19">
        <f t="shared" ref="I68:J68" si="67">round(D68*$A68,0)</f>
        <v>0</v>
      </c>
      <c r="J68" s="19">
        <f t="shared" si="67"/>
        <v>0</v>
      </c>
    </row>
    <row r="69" ht="22.5" customHeight="1">
      <c r="A69" s="16">
        <v>2.0</v>
      </c>
      <c r="B69" s="16">
        <v>8.0</v>
      </c>
      <c r="C69" s="16">
        <v>1.0</v>
      </c>
      <c r="D69" s="16">
        <v>2.0</v>
      </c>
      <c r="E69" s="16">
        <v>0.0</v>
      </c>
      <c r="F69" s="16">
        <v>0.0</v>
      </c>
      <c r="G69" s="18">
        <v>1.0</v>
      </c>
      <c r="H69" s="16" t="s">
        <v>115</v>
      </c>
      <c r="I69" s="19">
        <f t="shared" ref="I69:J69" si="68">round(D69*$A69,0)</f>
        <v>4</v>
      </c>
      <c r="J69" s="19">
        <f t="shared" si="68"/>
        <v>0</v>
      </c>
    </row>
    <row r="70" ht="22.5" customHeight="1">
      <c r="A70" s="16">
        <v>3.0</v>
      </c>
      <c r="B70" s="16">
        <v>12.0</v>
      </c>
      <c r="C70" s="16">
        <v>1.0</v>
      </c>
      <c r="D70" s="16">
        <v>0.0</v>
      </c>
      <c r="E70" s="16">
        <v>0.0</v>
      </c>
      <c r="F70" s="16">
        <v>0.0</v>
      </c>
      <c r="G70" s="18">
        <v>0.0</v>
      </c>
      <c r="H70" s="16" t="s">
        <v>115</v>
      </c>
      <c r="I70" s="19">
        <f t="shared" ref="I70:J70" si="69">round(D70*$A70,0)</f>
        <v>0</v>
      </c>
      <c r="J70" s="19">
        <f t="shared" si="69"/>
        <v>0</v>
      </c>
    </row>
    <row r="71" ht="22.5" customHeight="1">
      <c r="A71" s="16">
        <v>2.0</v>
      </c>
      <c r="B71" s="16">
        <v>8.0</v>
      </c>
      <c r="C71" s="16">
        <v>0.0</v>
      </c>
      <c r="D71" s="16">
        <v>0.0</v>
      </c>
      <c r="E71" s="16">
        <v>0.0</v>
      </c>
      <c r="F71" s="16">
        <v>0.0</v>
      </c>
      <c r="G71" s="18">
        <v>0.0</v>
      </c>
      <c r="H71" s="16" t="s">
        <v>117</v>
      </c>
      <c r="I71" s="19">
        <f t="shared" ref="I71:J71" si="70">round(D71*$A71,0)</f>
        <v>0</v>
      </c>
      <c r="J71" s="19">
        <f t="shared" si="70"/>
        <v>0</v>
      </c>
    </row>
    <row r="72" ht="22.5" customHeight="1">
      <c r="A72" s="16">
        <v>1.0</v>
      </c>
      <c r="B72" s="16">
        <v>4.0</v>
      </c>
      <c r="C72" s="16">
        <v>0.0</v>
      </c>
      <c r="D72" s="16">
        <v>0.0</v>
      </c>
      <c r="E72" s="16">
        <v>0.0</v>
      </c>
      <c r="F72" s="16">
        <v>0.0</v>
      </c>
      <c r="G72" s="18">
        <v>0.0</v>
      </c>
      <c r="H72" s="16" t="s">
        <v>117</v>
      </c>
      <c r="I72" s="19">
        <f t="shared" ref="I72:J72" si="71">round(D72*$A72,0)</f>
        <v>0</v>
      </c>
      <c r="J72" s="19">
        <f t="shared" si="71"/>
        <v>0</v>
      </c>
    </row>
    <row r="73" ht="22.5" customHeight="1">
      <c r="A73" s="16">
        <v>1.0</v>
      </c>
      <c r="B73" s="16">
        <v>4.0</v>
      </c>
      <c r="C73" s="16">
        <v>0.0</v>
      </c>
      <c r="D73" s="16">
        <v>0.0</v>
      </c>
      <c r="E73" s="16">
        <v>0.0</v>
      </c>
      <c r="F73" s="16">
        <v>0.0</v>
      </c>
      <c r="G73" s="18">
        <v>0.0</v>
      </c>
      <c r="H73" s="16" t="s">
        <v>117</v>
      </c>
      <c r="I73" s="19">
        <f t="shared" ref="I73:J73" si="72">round(D73*$A73,0)</f>
        <v>0</v>
      </c>
      <c r="J73" s="19">
        <f t="shared" si="72"/>
        <v>0</v>
      </c>
    </row>
    <row r="74" ht="22.5" customHeight="1">
      <c r="A74" s="16">
        <v>1.0</v>
      </c>
      <c r="B74" s="16">
        <v>4.0</v>
      </c>
      <c r="C74" s="16">
        <v>0.0</v>
      </c>
      <c r="D74" s="16">
        <v>0.0</v>
      </c>
      <c r="E74" s="16">
        <v>0.0</v>
      </c>
      <c r="F74" s="16">
        <v>0.0</v>
      </c>
      <c r="G74" s="18">
        <v>0.0</v>
      </c>
      <c r="H74" s="16" t="s">
        <v>117</v>
      </c>
      <c r="I74" s="19">
        <f t="shared" ref="I74:J74" si="73">round(D74*$A74,0)</f>
        <v>0</v>
      </c>
      <c r="J74" s="19">
        <f t="shared" si="73"/>
        <v>0</v>
      </c>
    </row>
    <row r="75" ht="22.5" customHeight="1">
      <c r="A75" s="16">
        <v>3.0</v>
      </c>
      <c r="B75" s="16">
        <v>11.0</v>
      </c>
      <c r="C75" s="16">
        <v>5.0</v>
      </c>
      <c r="D75" s="16">
        <v>2.67</v>
      </c>
      <c r="E75" s="16">
        <v>0.0</v>
      </c>
      <c r="F75" s="16">
        <v>0.0</v>
      </c>
      <c r="G75" s="18">
        <v>0.4</v>
      </c>
      <c r="H75" s="16" t="s">
        <v>123</v>
      </c>
      <c r="I75" s="19">
        <f t="shared" ref="I75:J75" si="74">round(D75*$A75,0)</f>
        <v>8</v>
      </c>
      <c r="J75" s="19">
        <f t="shared" si="74"/>
        <v>0</v>
      </c>
    </row>
    <row r="76" ht="22.5" customHeight="1">
      <c r="A76" s="16">
        <v>5.0</v>
      </c>
      <c r="B76" s="16">
        <v>19.0</v>
      </c>
      <c r="C76" s="16">
        <v>0.0</v>
      </c>
      <c r="D76" s="16">
        <v>0.0</v>
      </c>
      <c r="E76" s="16">
        <v>0.0</v>
      </c>
      <c r="F76" s="16">
        <v>0.0</v>
      </c>
      <c r="G76" s="18">
        <v>0.0</v>
      </c>
      <c r="H76" s="16" t="s">
        <v>124</v>
      </c>
      <c r="I76" s="19">
        <f t="shared" ref="I76:J76" si="75">round(D76*$A76,0)</f>
        <v>0</v>
      </c>
      <c r="J76" s="19">
        <f t="shared" si="75"/>
        <v>0</v>
      </c>
    </row>
    <row r="77" ht="22.5" customHeight="1">
      <c r="A77" s="16">
        <v>5.0</v>
      </c>
      <c r="B77" s="16">
        <v>19.0</v>
      </c>
      <c r="C77" s="16">
        <v>3.0</v>
      </c>
      <c r="D77" s="16">
        <v>1.6</v>
      </c>
      <c r="E77" s="16">
        <v>0.0</v>
      </c>
      <c r="F77" s="16">
        <v>0.0</v>
      </c>
      <c r="G77" s="20">
        <v>0.667</v>
      </c>
      <c r="H77" s="16" t="s">
        <v>127</v>
      </c>
      <c r="I77" s="19">
        <f t="shared" ref="I77:J77" si="76">round(D77*$A77,0)</f>
        <v>8</v>
      </c>
      <c r="J77" s="19">
        <f t="shared" si="76"/>
        <v>0</v>
      </c>
    </row>
    <row r="78" ht="22.5" customHeight="1">
      <c r="A78" s="16">
        <v>5.0</v>
      </c>
      <c r="B78" s="16">
        <v>19.0</v>
      </c>
      <c r="C78" s="16">
        <v>0.0</v>
      </c>
      <c r="D78" s="16">
        <v>0.0</v>
      </c>
      <c r="E78" s="16">
        <v>0.0</v>
      </c>
      <c r="F78" s="16">
        <v>0.0</v>
      </c>
      <c r="G78" s="18">
        <v>0.0</v>
      </c>
      <c r="H78" s="16" t="s">
        <v>128</v>
      </c>
      <c r="I78" s="19">
        <f t="shared" ref="I78:J78" si="77">round(D78*$A78,0)</f>
        <v>0</v>
      </c>
      <c r="J78" s="19">
        <f t="shared" si="77"/>
        <v>0</v>
      </c>
    </row>
    <row r="79" ht="22.5" customHeight="1">
      <c r="A79" s="16">
        <v>4.0</v>
      </c>
      <c r="B79" s="16">
        <v>15.0</v>
      </c>
      <c r="C79" s="16">
        <v>1.0</v>
      </c>
      <c r="D79" s="16">
        <v>1.0</v>
      </c>
      <c r="E79" s="16">
        <v>0.0</v>
      </c>
      <c r="F79" s="16">
        <v>0.0</v>
      </c>
      <c r="G79" s="18">
        <v>1.0</v>
      </c>
      <c r="H79" s="16" t="s">
        <v>130</v>
      </c>
      <c r="I79" s="19">
        <f t="shared" ref="I79:J79" si="78">round(D79*$A79,0)</f>
        <v>4</v>
      </c>
      <c r="J79" s="19">
        <f t="shared" si="78"/>
        <v>0</v>
      </c>
    </row>
    <row r="80" ht="22.5" customHeight="1">
      <c r="A80" s="16">
        <v>3.0</v>
      </c>
      <c r="B80" s="16">
        <v>12.0</v>
      </c>
      <c r="C80" s="16">
        <v>7.0</v>
      </c>
      <c r="D80" s="16">
        <v>6.67</v>
      </c>
      <c r="E80" s="16">
        <v>0.33</v>
      </c>
      <c r="F80" s="16">
        <v>0.0</v>
      </c>
      <c r="G80" s="20">
        <v>0.857</v>
      </c>
      <c r="H80" s="16" t="s">
        <v>132</v>
      </c>
      <c r="I80" s="19">
        <f t="shared" ref="I80:J80" si="79">round(D80*$A80,0)</f>
        <v>20</v>
      </c>
      <c r="J80" s="19">
        <f t="shared" si="79"/>
        <v>1</v>
      </c>
    </row>
    <row r="81" ht="22.5" customHeight="1">
      <c r="A81" s="16">
        <v>1.0</v>
      </c>
      <c r="B81" s="16">
        <v>4.0</v>
      </c>
      <c r="C81" s="16">
        <v>2.0</v>
      </c>
      <c r="D81" s="16">
        <v>4.0</v>
      </c>
      <c r="E81" s="16">
        <v>0.0</v>
      </c>
      <c r="F81" s="16">
        <v>0.0</v>
      </c>
      <c r="G81" s="18">
        <v>0.5</v>
      </c>
      <c r="H81" s="16" t="s">
        <v>132</v>
      </c>
      <c r="I81" s="19">
        <f t="shared" ref="I81:J81" si="80">round(D81*$A81,0)</f>
        <v>4</v>
      </c>
      <c r="J81" s="19">
        <f t="shared" si="80"/>
        <v>0</v>
      </c>
    </row>
    <row r="82" ht="22.5" customHeight="1">
      <c r="A82" s="16">
        <v>3.0</v>
      </c>
      <c r="B82" s="16">
        <v>12.0</v>
      </c>
      <c r="C82" s="16">
        <v>3.0</v>
      </c>
      <c r="D82" s="16">
        <v>4.0</v>
      </c>
      <c r="E82" s="16">
        <v>0.0</v>
      </c>
      <c r="F82" s="16">
        <v>0.0</v>
      </c>
      <c r="G82" s="18">
        <v>1.0</v>
      </c>
      <c r="H82" s="16" t="s">
        <v>77</v>
      </c>
      <c r="I82" s="19">
        <f t="shared" ref="I82:J82" si="81">round(D82*$A82,0)</f>
        <v>12</v>
      </c>
      <c r="J82" s="19">
        <f t="shared" si="81"/>
        <v>0</v>
      </c>
    </row>
    <row r="83" ht="22.5" customHeight="1">
      <c r="A83" s="16">
        <v>1.0</v>
      </c>
      <c r="B83" s="16">
        <v>4.0</v>
      </c>
      <c r="C83" s="16">
        <v>0.0</v>
      </c>
      <c r="D83" s="16">
        <v>0.0</v>
      </c>
      <c r="E83" s="16">
        <v>0.0</v>
      </c>
      <c r="F83" s="16">
        <v>0.0</v>
      </c>
      <c r="G83" s="18">
        <v>0.0</v>
      </c>
      <c r="H83" s="16" t="s">
        <v>77</v>
      </c>
      <c r="I83" s="19">
        <f t="shared" ref="I83:J83" si="82">round(D83*$A83,0)</f>
        <v>0</v>
      </c>
      <c r="J83" s="19">
        <f t="shared" si="82"/>
        <v>0</v>
      </c>
    </row>
    <row r="84" ht="22.5" customHeight="1">
      <c r="A84" s="16">
        <v>1.0</v>
      </c>
      <c r="B84" s="16">
        <v>4.0</v>
      </c>
      <c r="C84" s="16">
        <v>2.0</v>
      </c>
      <c r="D84" s="16">
        <v>8.0</v>
      </c>
      <c r="E84" s="16">
        <v>0.0</v>
      </c>
      <c r="F84" s="16">
        <v>0.0</v>
      </c>
      <c r="G84" s="18">
        <v>1.0</v>
      </c>
      <c r="H84" s="16" t="s">
        <v>137</v>
      </c>
      <c r="I84" s="19">
        <f t="shared" ref="I84:J84" si="83">round(D84*$A84,0)</f>
        <v>8</v>
      </c>
      <c r="J84" s="19">
        <f t="shared" si="83"/>
        <v>0</v>
      </c>
    </row>
    <row r="85" ht="22.5" customHeight="1">
      <c r="A85" s="16">
        <v>1.0</v>
      </c>
      <c r="B85" s="16">
        <v>4.0</v>
      </c>
      <c r="C85" s="16">
        <v>1.0</v>
      </c>
      <c r="D85" s="16">
        <v>0.0</v>
      </c>
      <c r="E85" s="16">
        <v>0.0</v>
      </c>
      <c r="F85" s="16">
        <v>0.0</v>
      </c>
      <c r="G85" s="18">
        <v>0.0</v>
      </c>
      <c r="H85" s="16" t="s">
        <v>137</v>
      </c>
      <c r="I85" s="19">
        <f t="shared" ref="I85:J85" si="84">round(D85*$A85,0)</f>
        <v>0</v>
      </c>
      <c r="J85" s="19">
        <f t="shared" si="84"/>
        <v>0</v>
      </c>
    </row>
    <row r="86" ht="22.5" customHeight="1">
      <c r="A86" s="16">
        <v>5.0</v>
      </c>
      <c r="B86" s="16">
        <v>20.0</v>
      </c>
      <c r="C86" s="16">
        <v>0.0</v>
      </c>
      <c r="D86" s="16">
        <v>0.0</v>
      </c>
      <c r="E86" s="16">
        <v>0.0</v>
      </c>
      <c r="F86" s="16">
        <v>0.0</v>
      </c>
      <c r="G86" s="18">
        <v>0.0</v>
      </c>
      <c r="H86" s="16" t="s">
        <v>139</v>
      </c>
      <c r="I86" s="19">
        <f t="shared" ref="I86:J86" si="85">round(D86*$A86,0)</f>
        <v>0</v>
      </c>
      <c r="J86" s="19">
        <f t="shared" si="85"/>
        <v>0</v>
      </c>
    </row>
    <row r="87" ht="22.5" customHeight="1">
      <c r="A87" s="16">
        <v>1.0</v>
      </c>
      <c r="B87" s="16">
        <v>4.0</v>
      </c>
      <c r="C87" s="16">
        <v>0.0</v>
      </c>
      <c r="D87" s="16">
        <v>0.0</v>
      </c>
      <c r="E87" s="16">
        <v>0.0</v>
      </c>
      <c r="F87" s="16">
        <v>0.0</v>
      </c>
      <c r="G87" s="18">
        <v>0.0</v>
      </c>
      <c r="H87" s="16" t="s">
        <v>142</v>
      </c>
      <c r="I87" s="19">
        <f t="shared" ref="I87:J87" si="86">round(D87*$A87,0)</f>
        <v>0</v>
      </c>
      <c r="J87" s="19">
        <f t="shared" si="86"/>
        <v>0</v>
      </c>
    </row>
    <row r="88" ht="22.5" customHeight="1">
      <c r="A88" s="16">
        <v>5.0</v>
      </c>
      <c r="B88" s="16">
        <v>20.0</v>
      </c>
      <c r="C88" s="16">
        <v>0.0</v>
      </c>
      <c r="D88" s="16">
        <v>0.0</v>
      </c>
      <c r="E88" s="16">
        <v>0.0</v>
      </c>
      <c r="F88" s="16">
        <v>0.0</v>
      </c>
      <c r="G88" s="18">
        <v>0.0</v>
      </c>
      <c r="H88" s="16" t="s">
        <v>144</v>
      </c>
      <c r="I88" s="19">
        <f t="shared" ref="I88:J88" si="87">round(D88*$A88,0)</f>
        <v>0</v>
      </c>
      <c r="J88" s="19">
        <f t="shared" si="87"/>
        <v>0</v>
      </c>
    </row>
    <row r="89" ht="22.5" customHeight="1">
      <c r="A89" s="16">
        <v>1.0</v>
      </c>
      <c r="B89" s="16">
        <v>4.0</v>
      </c>
      <c r="C89" s="16">
        <v>2.0</v>
      </c>
      <c r="D89" s="16">
        <v>8.0</v>
      </c>
      <c r="E89" s="16">
        <v>0.0</v>
      </c>
      <c r="F89" s="16">
        <v>0.0</v>
      </c>
      <c r="G89" s="18">
        <v>1.0</v>
      </c>
      <c r="H89" s="16" t="s">
        <v>147</v>
      </c>
      <c r="I89" s="19">
        <f t="shared" ref="I89:J89" si="88">round(D89*$A89,0)</f>
        <v>8</v>
      </c>
      <c r="J89" s="19">
        <f t="shared" si="88"/>
        <v>0</v>
      </c>
    </row>
    <row r="90" ht="22.5" customHeight="1">
      <c r="A90" s="16">
        <v>4.0</v>
      </c>
      <c r="B90" s="16">
        <v>16.0</v>
      </c>
      <c r="C90" s="16">
        <v>8.0</v>
      </c>
      <c r="D90" s="16">
        <v>6.0</v>
      </c>
      <c r="E90" s="16">
        <v>0.0</v>
      </c>
      <c r="F90" s="16">
        <v>0.0</v>
      </c>
      <c r="G90" s="18">
        <v>0.75</v>
      </c>
      <c r="H90" s="16" t="s">
        <v>147</v>
      </c>
      <c r="I90" s="19">
        <f t="shared" ref="I90:J90" si="89">round(D90*$A90,0)</f>
        <v>24</v>
      </c>
      <c r="J90" s="19">
        <f t="shared" si="89"/>
        <v>0</v>
      </c>
    </row>
    <row r="91" ht="22.5" customHeight="1">
      <c r="A91" s="16">
        <v>4.0</v>
      </c>
      <c r="B91" s="16">
        <v>16.0</v>
      </c>
      <c r="C91" s="16">
        <v>3.0</v>
      </c>
      <c r="D91" s="16">
        <v>1.0</v>
      </c>
      <c r="E91" s="16">
        <v>0.25</v>
      </c>
      <c r="F91" s="16">
        <v>0.0</v>
      </c>
      <c r="G91" s="20">
        <v>0.667</v>
      </c>
      <c r="H91" s="16" t="s">
        <v>125</v>
      </c>
      <c r="I91" s="19">
        <f t="shared" ref="I91:J91" si="90">round(D91*$A91,0)</f>
        <v>4</v>
      </c>
      <c r="J91" s="19">
        <f t="shared" si="90"/>
        <v>1</v>
      </c>
    </row>
    <row r="92" ht="22.5" customHeight="1">
      <c r="A92" s="16">
        <v>1.0</v>
      </c>
      <c r="B92" s="16">
        <v>4.0</v>
      </c>
      <c r="C92" s="16">
        <v>0.0</v>
      </c>
      <c r="D92" s="16">
        <v>0.0</v>
      </c>
      <c r="E92" s="16">
        <v>0.0</v>
      </c>
      <c r="F92" s="16">
        <v>0.0</v>
      </c>
      <c r="G92" s="18">
        <v>0.0</v>
      </c>
      <c r="H92" s="16" t="s">
        <v>151</v>
      </c>
      <c r="I92" s="19">
        <f t="shared" ref="I92:J92" si="91">round(D92*$A92,0)</f>
        <v>0</v>
      </c>
      <c r="J92" s="19">
        <f t="shared" si="91"/>
        <v>0</v>
      </c>
    </row>
    <row r="93" ht="22.5" customHeight="1">
      <c r="A93" s="16">
        <v>3.0</v>
      </c>
      <c r="B93" s="16">
        <v>12.0</v>
      </c>
      <c r="C93" s="16">
        <v>6.0</v>
      </c>
      <c r="D93" s="16">
        <v>6.67</v>
      </c>
      <c r="E93" s="16">
        <v>0.0</v>
      </c>
      <c r="F93" s="16">
        <v>0.0</v>
      </c>
      <c r="G93" s="20">
        <v>0.833</v>
      </c>
      <c r="H93" s="16" t="s">
        <v>152</v>
      </c>
      <c r="I93" s="19">
        <f t="shared" ref="I93:J93" si="92">round(D93*$A93,0)</f>
        <v>20</v>
      </c>
      <c r="J93" s="19">
        <f t="shared" si="92"/>
        <v>0</v>
      </c>
    </row>
    <row r="94" ht="22.5" customHeight="1">
      <c r="A94" s="16">
        <v>1.0</v>
      </c>
      <c r="B94" s="16">
        <v>4.0</v>
      </c>
      <c r="C94" s="16">
        <v>1.0</v>
      </c>
      <c r="D94" s="16">
        <v>4.0</v>
      </c>
      <c r="E94" s="16">
        <v>0.0</v>
      </c>
      <c r="F94" s="16">
        <v>0.0</v>
      </c>
      <c r="G94" s="18">
        <v>1.0</v>
      </c>
      <c r="H94" s="16" t="s">
        <v>152</v>
      </c>
      <c r="I94" s="19">
        <f t="shared" ref="I94:J94" si="93">round(D94*$A94,0)</f>
        <v>4</v>
      </c>
      <c r="J94" s="19">
        <f t="shared" si="93"/>
        <v>0</v>
      </c>
    </row>
    <row r="95" ht="22.5" customHeight="1">
      <c r="A95" s="16">
        <v>2.0</v>
      </c>
      <c r="B95" s="16">
        <v>8.0</v>
      </c>
      <c r="C95" s="16">
        <v>1.0</v>
      </c>
      <c r="D95" s="16">
        <v>2.0</v>
      </c>
      <c r="E95" s="16">
        <v>0.0</v>
      </c>
      <c r="F95" s="16">
        <v>0.0</v>
      </c>
      <c r="G95" s="18">
        <v>1.0</v>
      </c>
      <c r="H95" s="16" t="s">
        <v>156</v>
      </c>
      <c r="I95" s="19">
        <f t="shared" ref="I95:J95" si="94">round(D95*$A95,0)</f>
        <v>4</v>
      </c>
      <c r="J95" s="19">
        <f t="shared" si="94"/>
        <v>0</v>
      </c>
    </row>
    <row r="96" ht="22.5" customHeight="1">
      <c r="A96" s="16">
        <v>1.0</v>
      </c>
      <c r="B96" s="16">
        <v>4.0</v>
      </c>
      <c r="C96" s="16">
        <v>0.0</v>
      </c>
      <c r="D96" s="16">
        <v>0.0</v>
      </c>
      <c r="E96" s="16">
        <v>0.0</v>
      </c>
      <c r="F96" s="16">
        <v>0.0</v>
      </c>
      <c r="G96" s="18">
        <v>0.0</v>
      </c>
      <c r="H96" s="16" t="s">
        <v>156</v>
      </c>
      <c r="I96" s="19">
        <f t="shared" ref="I96:J96" si="95">round(D96*$A96,0)</f>
        <v>0</v>
      </c>
      <c r="J96" s="19">
        <f t="shared" si="95"/>
        <v>0</v>
      </c>
    </row>
    <row r="97" ht="22.5" customHeight="1">
      <c r="A97" s="16">
        <v>1.0</v>
      </c>
      <c r="B97" s="16">
        <v>4.0</v>
      </c>
      <c r="C97" s="16">
        <v>3.0</v>
      </c>
      <c r="D97" s="16">
        <v>4.0</v>
      </c>
      <c r="E97" s="16">
        <v>1.0</v>
      </c>
      <c r="F97" s="16">
        <v>0.0</v>
      </c>
      <c r="G97" s="20">
        <v>0.667</v>
      </c>
      <c r="H97" s="16" t="s">
        <v>145</v>
      </c>
      <c r="I97" s="19">
        <f t="shared" ref="I97:J97" si="96">round(D97*$A97,0)</f>
        <v>4</v>
      </c>
      <c r="J97" s="19">
        <f t="shared" si="96"/>
        <v>1</v>
      </c>
    </row>
    <row r="98" ht="22.5" customHeight="1">
      <c r="A98" s="16">
        <v>4.0</v>
      </c>
      <c r="B98" s="16">
        <v>16.0</v>
      </c>
      <c r="C98" s="16">
        <v>5.0</v>
      </c>
      <c r="D98" s="16">
        <v>3.0</v>
      </c>
      <c r="E98" s="16">
        <v>0.25</v>
      </c>
      <c r="F98" s="16">
        <v>0.0</v>
      </c>
      <c r="G98" s="18">
        <v>0.8</v>
      </c>
      <c r="H98" s="16" t="s">
        <v>145</v>
      </c>
      <c r="I98" s="19">
        <f t="shared" ref="I98:J98" si="97">round(D98*$A98,0)</f>
        <v>12</v>
      </c>
      <c r="J98" s="19">
        <f t="shared" si="97"/>
        <v>1</v>
      </c>
    </row>
    <row r="99" ht="22.5" customHeight="1">
      <c r="A99" s="16">
        <v>1.0</v>
      </c>
      <c r="B99" s="16">
        <v>4.0</v>
      </c>
      <c r="C99" s="16">
        <v>1.0</v>
      </c>
      <c r="D99" s="16">
        <v>0.0</v>
      </c>
      <c r="E99" s="16">
        <v>0.0</v>
      </c>
      <c r="F99" s="16">
        <v>0.0</v>
      </c>
      <c r="G99" s="18">
        <v>0.0</v>
      </c>
      <c r="H99" s="16" t="s">
        <v>160</v>
      </c>
      <c r="I99" s="19">
        <f t="shared" ref="I99:J99" si="98">round(D99*$A99,0)</f>
        <v>0</v>
      </c>
      <c r="J99" s="19">
        <f t="shared" si="98"/>
        <v>0</v>
      </c>
    </row>
    <row r="100" ht="22.5" customHeight="1">
      <c r="A100" s="16">
        <v>2.0</v>
      </c>
      <c r="B100" s="16">
        <v>8.0</v>
      </c>
      <c r="C100" s="16">
        <v>0.0</v>
      </c>
      <c r="D100" s="16">
        <v>0.0</v>
      </c>
      <c r="E100" s="16">
        <v>0.0</v>
      </c>
      <c r="F100" s="16">
        <v>0.0</v>
      </c>
      <c r="G100" s="18">
        <v>0.0</v>
      </c>
      <c r="H100" s="16" t="s">
        <v>162</v>
      </c>
      <c r="I100" s="19">
        <f t="shared" ref="I100:J100" si="99">round(D100*$A100,0)</f>
        <v>0</v>
      </c>
      <c r="J100" s="19">
        <f t="shared" si="99"/>
        <v>0</v>
      </c>
    </row>
    <row r="101" ht="22.5" customHeight="1">
      <c r="A101" s="16">
        <v>2.0</v>
      </c>
      <c r="B101" s="16">
        <v>8.0</v>
      </c>
      <c r="C101" s="16">
        <v>0.0</v>
      </c>
      <c r="D101" s="16">
        <v>0.0</v>
      </c>
      <c r="E101" s="16">
        <v>0.0</v>
      </c>
      <c r="F101" s="16">
        <v>0.0</v>
      </c>
      <c r="G101" s="18">
        <v>0.0</v>
      </c>
      <c r="H101" s="16" t="s">
        <v>162</v>
      </c>
      <c r="I101" s="19">
        <f t="shared" ref="I101:J101" si="100">round(D101*$A101,0)</f>
        <v>0</v>
      </c>
      <c r="J101" s="19">
        <f t="shared" si="100"/>
        <v>0</v>
      </c>
    </row>
    <row r="102" ht="22.5" customHeight="1">
      <c r="A102" s="16">
        <v>5.0</v>
      </c>
      <c r="B102" s="16">
        <v>20.0</v>
      </c>
      <c r="C102" s="16">
        <v>15.0</v>
      </c>
      <c r="D102" s="16">
        <v>4.8</v>
      </c>
      <c r="E102" s="16">
        <v>0.8</v>
      </c>
      <c r="F102" s="16">
        <v>0.0</v>
      </c>
      <c r="G102" s="20">
        <v>0.667</v>
      </c>
      <c r="H102" s="16" t="s">
        <v>165</v>
      </c>
      <c r="I102" s="19">
        <f t="shared" ref="I102:J102" si="101">round(D102*$A102,0)</f>
        <v>24</v>
      </c>
      <c r="J102" s="19">
        <f t="shared" si="101"/>
        <v>4</v>
      </c>
    </row>
    <row r="103" ht="22.5" customHeight="1">
      <c r="A103" s="16">
        <v>1.0</v>
      </c>
      <c r="B103" s="16">
        <v>4.0</v>
      </c>
      <c r="C103" s="16">
        <v>0.0</v>
      </c>
      <c r="D103" s="16">
        <v>0.0</v>
      </c>
      <c r="E103" s="16">
        <v>0.0</v>
      </c>
      <c r="F103" s="16">
        <v>0.0</v>
      </c>
      <c r="G103" s="18">
        <v>0.0</v>
      </c>
      <c r="H103" s="16" t="s">
        <v>167</v>
      </c>
      <c r="I103" s="19">
        <f t="shared" ref="I103:J103" si="102">round(D103*$A103,0)</f>
        <v>0</v>
      </c>
      <c r="J103" s="19">
        <f t="shared" si="102"/>
        <v>0</v>
      </c>
    </row>
    <row r="104" ht="22.5" customHeight="1">
      <c r="A104" s="16">
        <v>5.0</v>
      </c>
      <c r="B104" s="16">
        <v>20.0</v>
      </c>
      <c r="C104" s="16">
        <v>0.0</v>
      </c>
      <c r="D104" s="16">
        <v>0.0</v>
      </c>
      <c r="E104" s="16">
        <v>0.0</v>
      </c>
      <c r="F104" s="16">
        <v>0.0</v>
      </c>
      <c r="G104" s="18">
        <v>0.0</v>
      </c>
      <c r="H104" s="16" t="s">
        <v>169</v>
      </c>
      <c r="I104" s="19">
        <f t="shared" ref="I104:J104" si="103">round(D104*$A104,0)</f>
        <v>0</v>
      </c>
      <c r="J104" s="19">
        <f t="shared" si="103"/>
        <v>0</v>
      </c>
    </row>
    <row r="105" ht="22.5" customHeight="1">
      <c r="A105" s="16">
        <v>3.0</v>
      </c>
      <c r="B105" s="16">
        <v>12.0</v>
      </c>
      <c r="C105" s="16">
        <v>0.0</v>
      </c>
      <c r="D105" s="16">
        <v>0.0</v>
      </c>
      <c r="E105" s="16">
        <v>0.0</v>
      </c>
      <c r="F105" s="16">
        <v>0.0</v>
      </c>
      <c r="G105" s="18">
        <v>0.0</v>
      </c>
      <c r="H105" s="16" t="s">
        <v>171</v>
      </c>
      <c r="I105" s="19">
        <f t="shared" ref="I105:J105" si="104">round(D105*$A105,0)</f>
        <v>0</v>
      </c>
      <c r="J105" s="19">
        <f t="shared" si="104"/>
        <v>0</v>
      </c>
    </row>
    <row r="106" ht="22.5" customHeight="1">
      <c r="A106" s="16">
        <v>4.0</v>
      </c>
      <c r="B106" s="16">
        <v>16.0</v>
      </c>
      <c r="C106" s="16">
        <v>3.0</v>
      </c>
      <c r="D106" s="16">
        <v>3.0</v>
      </c>
      <c r="E106" s="16">
        <v>0.0</v>
      </c>
      <c r="F106" s="16">
        <v>0.0</v>
      </c>
      <c r="G106" s="18">
        <v>1.0</v>
      </c>
      <c r="H106" s="16" t="s">
        <v>173</v>
      </c>
      <c r="I106" s="19">
        <f t="shared" ref="I106:J106" si="105">round(D106*$A106,0)</f>
        <v>12</v>
      </c>
      <c r="J106" s="19">
        <f t="shared" si="105"/>
        <v>0</v>
      </c>
    </row>
    <row r="107" ht="22.5" customHeight="1">
      <c r="A107" s="16">
        <v>1.0</v>
      </c>
      <c r="B107" s="16">
        <v>4.0</v>
      </c>
      <c r="C107" s="16">
        <v>0.0</v>
      </c>
      <c r="D107" s="16">
        <v>0.0</v>
      </c>
      <c r="E107" s="16">
        <v>0.0</v>
      </c>
      <c r="F107" s="16">
        <v>0.0</v>
      </c>
      <c r="G107" s="18">
        <v>0.0</v>
      </c>
      <c r="H107" s="16" t="s">
        <v>173</v>
      </c>
      <c r="I107" s="19">
        <f t="shared" ref="I107:J107" si="106">round(D107*$A107,0)</f>
        <v>0</v>
      </c>
      <c r="J107" s="19">
        <f t="shared" si="106"/>
        <v>0</v>
      </c>
    </row>
    <row r="108" ht="22.5" customHeight="1">
      <c r="A108" s="16">
        <v>1.0</v>
      </c>
      <c r="B108" s="16">
        <v>4.0</v>
      </c>
      <c r="C108" s="16">
        <v>0.0</v>
      </c>
      <c r="D108" s="16">
        <v>0.0</v>
      </c>
      <c r="E108" s="16">
        <v>0.0</v>
      </c>
      <c r="F108" s="16">
        <v>0.0</v>
      </c>
      <c r="G108" s="18">
        <v>0.0</v>
      </c>
      <c r="H108" s="16" t="s">
        <v>174</v>
      </c>
      <c r="I108" s="19">
        <f t="shared" ref="I108:J108" si="107">round(D108*$A108,0)</f>
        <v>0</v>
      </c>
      <c r="J108" s="19">
        <f t="shared" si="107"/>
        <v>0</v>
      </c>
    </row>
    <row r="109" ht="22.5" customHeight="1">
      <c r="A109" s="16">
        <v>1.0</v>
      </c>
      <c r="B109" s="16">
        <v>4.0</v>
      </c>
      <c r="C109" s="16">
        <v>1.0</v>
      </c>
      <c r="D109" s="16">
        <v>4.0</v>
      </c>
      <c r="E109" s="16">
        <v>0.0</v>
      </c>
      <c r="F109" s="16">
        <v>0.0</v>
      </c>
      <c r="G109" s="18">
        <v>1.0</v>
      </c>
      <c r="H109" s="16" t="s">
        <v>176</v>
      </c>
      <c r="I109" s="19">
        <f t="shared" ref="I109:J109" si="108">round(D109*$A109,0)</f>
        <v>4</v>
      </c>
      <c r="J109" s="19">
        <f t="shared" si="108"/>
        <v>0</v>
      </c>
    </row>
    <row r="110" ht="22.5" customHeight="1">
      <c r="A110" s="16">
        <v>4.0</v>
      </c>
      <c r="B110" s="16">
        <v>16.0</v>
      </c>
      <c r="C110" s="16">
        <v>9.0</v>
      </c>
      <c r="D110" s="16">
        <v>8.0</v>
      </c>
      <c r="E110" s="16">
        <v>0.0</v>
      </c>
      <c r="F110" s="16">
        <v>0.0</v>
      </c>
      <c r="G110" s="20">
        <v>0.889</v>
      </c>
      <c r="H110" s="16" t="s">
        <v>74</v>
      </c>
      <c r="I110" s="19">
        <f t="shared" ref="I110:J110" si="109">round(D110*$A110,0)</f>
        <v>32</v>
      </c>
      <c r="J110" s="19">
        <f t="shared" si="109"/>
        <v>0</v>
      </c>
    </row>
    <row r="111" ht="22.5" customHeight="1">
      <c r="A111" s="16">
        <v>1.0</v>
      </c>
      <c r="B111" s="16">
        <v>4.0</v>
      </c>
      <c r="C111" s="16">
        <v>0.0</v>
      </c>
      <c r="D111" s="16">
        <v>0.0</v>
      </c>
      <c r="E111" s="16">
        <v>0.0</v>
      </c>
      <c r="F111" s="16">
        <v>0.0</v>
      </c>
      <c r="G111" s="18">
        <v>0.0</v>
      </c>
      <c r="H111" s="16" t="s">
        <v>74</v>
      </c>
      <c r="I111" s="19">
        <f t="shared" ref="I111:J111" si="110">round(D111*$A111,0)</f>
        <v>0</v>
      </c>
      <c r="J111" s="19">
        <f t="shared" si="110"/>
        <v>0</v>
      </c>
    </row>
    <row r="112" ht="22.5" customHeight="1">
      <c r="A112" s="16">
        <v>1.0</v>
      </c>
      <c r="B112" s="16">
        <v>4.0</v>
      </c>
      <c r="C112" s="16">
        <v>1.0</v>
      </c>
      <c r="D112" s="16">
        <v>0.0</v>
      </c>
      <c r="E112" s="16">
        <v>0.0</v>
      </c>
      <c r="F112" s="16">
        <v>0.0</v>
      </c>
      <c r="G112" s="18">
        <v>0.0</v>
      </c>
      <c r="H112" s="16" t="s">
        <v>177</v>
      </c>
      <c r="I112" s="19">
        <f t="shared" ref="I112:J112" si="111">round(D112*$A112,0)</f>
        <v>0</v>
      </c>
      <c r="J112" s="19">
        <f t="shared" si="111"/>
        <v>0</v>
      </c>
    </row>
    <row r="113" ht="22.5" customHeight="1">
      <c r="A113" s="16">
        <v>4.0</v>
      </c>
      <c r="B113" s="16">
        <v>16.0</v>
      </c>
      <c r="C113" s="16">
        <v>0.0</v>
      </c>
      <c r="D113" s="16">
        <v>0.0</v>
      </c>
      <c r="E113" s="16">
        <v>0.0</v>
      </c>
      <c r="F113" s="16">
        <v>0.0</v>
      </c>
      <c r="G113" s="18">
        <v>0.0</v>
      </c>
      <c r="H113" s="16" t="s">
        <v>178</v>
      </c>
      <c r="I113" s="19">
        <f t="shared" ref="I113:J113" si="112">round(D113*$A113,0)</f>
        <v>0</v>
      </c>
      <c r="J113" s="19">
        <f t="shared" si="112"/>
        <v>0</v>
      </c>
    </row>
    <row r="114" ht="22.5" customHeight="1">
      <c r="A114" s="16">
        <v>1.0</v>
      </c>
      <c r="B114" s="16">
        <v>4.0</v>
      </c>
      <c r="C114" s="16">
        <v>0.0</v>
      </c>
      <c r="D114" s="16">
        <v>0.0</v>
      </c>
      <c r="E114" s="16">
        <v>0.0</v>
      </c>
      <c r="F114" s="16">
        <v>0.0</v>
      </c>
      <c r="G114" s="18">
        <v>0.0</v>
      </c>
      <c r="H114" s="16" t="s">
        <v>178</v>
      </c>
      <c r="I114" s="19">
        <f t="shared" ref="I114:J114" si="113">round(D114*$A114,0)</f>
        <v>0</v>
      </c>
      <c r="J114" s="19">
        <f t="shared" si="113"/>
        <v>0</v>
      </c>
    </row>
    <row r="115" ht="22.5" customHeight="1">
      <c r="A115" s="16">
        <v>3.0</v>
      </c>
      <c r="B115" s="16">
        <v>12.0</v>
      </c>
      <c r="C115" s="16">
        <v>0.0</v>
      </c>
      <c r="D115" s="16">
        <v>0.0</v>
      </c>
      <c r="E115" s="16">
        <v>0.0</v>
      </c>
      <c r="F115" s="16">
        <v>0.0</v>
      </c>
      <c r="G115" s="18">
        <v>0.0</v>
      </c>
      <c r="H115" s="16" t="s">
        <v>150</v>
      </c>
      <c r="I115" s="19">
        <f t="shared" ref="I115:J115" si="114">round(D115*$A115,0)</f>
        <v>0</v>
      </c>
      <c r="J115" s="19">
        <f t="shared" si="114"/>
        <v>0</v>
      </c>
    </row>
    <row r="116" ht="22.5" customHeight="1">
      <c r="A116" s="16">
        <v>1.0</v>
      </c>
      <c r="B116" s="16">
        <v>4.0</v>
      </c>
      <c r="C116" s="16">
        <v>0.0</v>
      </c>
      <c r="D116" s="16">
        <v>0.0</v>
      </c>
      <c r="E116" s="16">
        <v>0.0</v>
      </c>
      <c r="F116" s="16">
        <v>0.0</v>
      </c>
      <c r="G116" s="18">
        <v>0.0</v>
      </c>
      <c r="H116" s="16" t="s">
        <v>150</v>
      </c>
      <c r="I116" s="19">
        <f t="shared" ref="I116:J116" si="115">round(D116*$A116,0)</f>
        <v>0</v>
      </c>
      <c r="J116" s="19">
        <f t="shared" si="115"/>
        <v>0</v>
      </c>
    </row>
    <row r="117" ht="22.5" customHeight="1">
      <c r="A117" s="16">
        <v>2.0</v>
      </c>
      <c r="B117" s="16">
        <v>8.0</v>
      </c>
      <c r="C117" s="16">
        <v>0.0</v>
      </c>
      <c r="D117" s="16">
        <v>0.0</v>
      </c>
      <c r="E117" s="16">
        <v>0.0</v>
      </c>
      <c r="F117" s="16">
        <v>0.0</v>
      </c>
      <c r="G117" s="18">
        <v>0.0</v>
      </c>
      <c r="H117" s="16" t="s">
        <v>179</v>
      </c>
      <c r="I117" s="19">
        <f t="shared" ref="I117:J117" si="116">round(D117*$A117,0)</f>
        <v>0</v>
      </c>
      <c r="J117" s="19">
        <f t="shared" si="116"/>
        <v>0</v>
      </c>
    </row>
    <row r="118" ht="22.5" customHeight="1">
      <c r="A118" s="16">
        <v>1.0</v>
      </c>
      <c r="B118" s="16">
        <v>4.0</v>
      </c>
      <c r="C118" s="16">
        <v>0.0</v>
      </c>
      <c r="D118" s="16">
        <v>0.0</v>
      </c>
      <c r="E118" s="16">
        <v>0.0</v>
      </c>
      <c r="F118" s="16">
        <v>0.0</v>
      </c>
      <c r="G118" s="18">
        <v>0.0</v>
      </c>
      <c r="H118" s="16" t="s">
        <v>179</v>
      </c>
      <c r="I118" s="19">
        <f t="shared" ref="I118:J118" si="117">round(D118*$A118,0)</f>
        <v>0</v>
      </c>
      <c r="J118" s="19">
        <f t="shared" si="117"/>
        <v>0</v>
      </c>
    </row>
    <row r="119" ht="22.5" customHeight="1">
      <c r="A119" s="16">
        <v>2.0</v>
      </c>
      <c r="B119" s="16">
        <v>8.0</v>
      </c>
      <c r="C119" s="16">
        <v>0.0</v>
      </c>
      <c r="D119" s="16">
        <v>0.0</v>
      </c>
      <c r="E119" s="16">
        <v>0.0</v>
      </c>
      <c r="F119" s="16">
        <v>0.0</v>
      </c>
      <c r="G119" s="18">
        <v>0.0</v>
      </c>
      <c r="H119" s="16" t="s">
        <v>181</v>
      </c>
      <c r="I119" s="19">
        <f t="shared" ref="I119:J119" si="118">round(D119*$A119,0)</f>
        <v>0</v>
      </c>
      <c r="J119" s="19">
        <f t="shared" si="118"/>
        <v>0</v>
      </c>
    </row>
    <row r="120" ht="22.5" customHeight="1">
      <c r="A120" s="16">
        <v>4.0</v>
      </c>
      <c r="B120" s="16">
        <v>16.0</v>
      </c>
      <c r="C120" s="16">
        <v>15.0</v>
      </c>
      <c r="D120" s="16">
        <v>7.0</v>
      </c>
      <c r="E120" s="16">
        <v>0.75</v>
      </c>
      <c r="F120" s="16">
        <v>0.0</v>
      </c>
      <c r="G120" s="20">
        <v>0.667</v>
      </c>
      <c r="H120" s="16" t="s">
        <v>183</v>
      </c>
      <c r="I120" s="19">
        <f t="shared" ref="I120:J120" si="119">round(D120*$A120,0)</f>
        <v>28</v>
      </c>
      <c r="J120" s="19">
        <f t="shared" si="119"/>
        <v>3</v>
      </c>
    </row>
    <row r="121" ht="22.5" customHeight="1">
      <c r="A121" s="16">
        <v>1.0</v>
      </c>
      <c r="B121" s="16">
        <v>4.0</v>
      </c>
      <c r="C121" s="16">
        <v>3.0</v>
      </c>
      <c r="D121" s="16">
        <v>4.0</v>
      </c>
      <c r="E121" s="16">
        <v>1.0</v>
      </c>
      <c r="F121" s="16">
        <v>0.0</v>
      </c>
      <c r="G121" s="20">
        <v>0.667</v>
      </c>
      <c r="H121" s="16" t="s">
        <v>183</v>
      </c>
      <c r="I121" s="19">
        <f t="shared" ref="I121:J121" si="120">round(D121*$A121,0)</f>
        <v>4</v>
      </c>
      <c r="J121" s="19">
        <f t="shared" si="120"/>
        <v>1</v>
      </c>
    </row>
    <row r="122" ht="22.5" customHeight="1">
      <c r="A122" s="16">
        <v>1.0</v>
      </c>
      <c r="B122" s="16">
        <v>4.0</v>
      </c>
      <c r="C122" s="16">
        <v>1.0</v>
      </c>
      <c r="D122" s="16">
        <v>4.0</v>
      </c>
      <c r="E122" s="16">
        <v>0.0</v>
      </c>
      <c r="F122" s="16">
        <v>0.0</v>
      </c>
      <c r="G122" s="18">
        <v>1.0</v>
      </c>
      <c r="H122" s="16" t="s">
        <v>184</v>
      </c>
      <c r="I122" s="19">
        <f t="shared" ref="I122:J122" si="121">round(D122*$A122,0)</f>
        <v>4</v>
      </c>
      <c r="J122" s="19">
        <f t="shared" si="121"/>
        <v>0</v>
      </c>
    </row>
    <row r="123" ht="22.5" customHeight="1">
      <c r="A123" s="16">
        <v>3.0</v>
      </c>
      <c r="B123" s="16">
        <v>12.0</v>
      </c>
      <c r="C123" s="16">
        <v>0.0</v>
      </c>
      <c r="D123" s="16">
        <v>0.0</v>
      </c>
      <c r="E123" s="16">
        <v>0.0</v>
      </c>
      <c r="F123" s="16">
        <v>0.0</v>
      </c>
      <c r="G123" s="18">
        <v>0.0</v>
      </c>
      <c r="H123" s="16" t="s">
        <v>184</v>
      </c>
      <c r="I123" s="19">
        <f t="shared" ref="I123:J123" si="122">round(D123*$A123,0)</f>
        <v>0</v>
      </c>
      <c r="J123" s="19">
        <f t="shared" si="122"/>
        <v>0</v>
      </c>
    </row>
    <row r="124" ht="22.5" customHeight="1">
      <c r="A124" s="16">
        <v>1.0</v>
      </c>
      <c r="B124" s="16">
        <v>5.0</v>
      </c>
      <c r="C124" s="16">
        <v>0.0</v>
      </c>
      <c r="D124" s="16">
        <v>0.0</v>
      </c>
      <c r="E124" s="16">
        <v>0.0</v>
      </c>
      <c r="F124" s="16">
        <v>0.0</v>
      </c>
      <c r="G124" s="18">
        <v>0.0</v>
      </c>
      <c r="H124" s="16" t="s">
        <v>184</v>
      </c>
      <c r="I124" s="19">
        <f t="shared" ref="I124:J124" si="123">round(D124*$A124,0)</f>
        <v>0</v>
      </c>
      <c r="J124" s="19">
        <f t="shared" si="123"/>
        <v>0</v>
      </c>
    </row>
    <row r="125" ht="22.5" customHeight="1">
      <c r="A125" s="16">
        <v>4.0</v>
      </c>
      <c r="B125" s="16">
        <v>16.0</v>
      </c>
      <c r="C125" s="16">
        <v>8.0</v>
      </c>
      <c r="D125" s="16">
        <v>4.0</v>
      </c>
      <c r="E125" s="16">
        <v>0.5</v>
      </c>
      <c r="F125" s="16">
        <v>0.0</v>
      </c>
      <c r="G125" s="18">
        <v>0.75</v>
      </c>
      <c r="H125" s="16" t="s">
        <v>161</v>
      </c>
      <c r="I125" s="19">
        <f t="shared" ref="I125:J125" si="124">round(D125*$A125,0)</f>
        <v>16</v>
      </c>
      <c r="J125" s="19">
        <f t="shared" si="124"/>
        <v>2</v>
      </c>
    </row>
    <row r="126" ht="22.5" customHeight="1">
      <c r="A126" s="16">
        <v>1.0</v>
      </c>
      <c r="B126" s="16">
        <v>5.0</v>
      </c>
      <c r="C126" s="16">
        <v>1.0</v>
      </c>
      <c r="D126" s="16">
        <v>4.0</v>
      </c>
      <c r="E126" s="16">
        <v>0.0</v>
      </c>
      <c r="F126" s="16">
        <v>0.0</v>
      </c>
      <c r="G126" s="18">
        <v>1.0</v>
      </c>
      <c r="H126" s="16" t="s">
        <v>161</v>
      </c>
      <c r="I126" s="19">
        <f t="shared" ref="I126:J126" si="125">round(D126*$A126,0)</f>
        <v>4</v>
      </c>
      <c r="J126" s="19">
        <f t="shared" si="125"/>
        <v>0</v>
      </c>
    </row>
    <row r="127" ht="22.5" customHeight="1">
      <c r="A127" s="16">
        <v>3.0</v>
      </c>
      <c r="B127" s="16">
        <v>12.0</v>
      </c>
      <c r="C127" s="16">
        <v>7.0</v>
      </c>
      <c r="D127" s="16">
        <v>6.67</v>
      </c>
      <c r="E127" s="16">
        <v>0.33</v>
      </c>
      <c r="F127" s="16">
        <v>0.0</v>
      </c>
      <c r="G127" s="20">
        <v>0.857</v>
      </c>
      <c r="H127" s="16" t="s">
        <v>187</v>
      </c>
      <c r="I127" s="19">
        <f t="shared" ref="I127:J127" si="126">round(D127*$A127,0)</f>
        <v>20</v>
      </c>
      <c r="J127" s="19">
        <f t="shared" si="126"/>
        <v>1</v>
      </c>
    </row>
    <row r="128" ht="22.5" customHeight="1">
      <c r="A128" s="16">
        <v>5.0</v>
      </c>
      <c r="B128" s="16">
        <v>20.0</v>
      </c>
      <c r="C128" s="16">
        <v>11.0</v>
      </c>
      <c r="D128" s="16">
        <v>7.2</v>
      </c>
      <c r="E128" s="16">
        <v>0.0</v>
      </c>
      <c r="F128" s="16">
        <v>0.0</v>
      </c>
      <c r="G128" s="20">
        <v>0.818</v>
      </c>
      <c r="H128" s="16" t="s">
        <v>180</v>
      </c>
      <c r="I128" s="19">
        <f t="shared" ref="I128:J128" si="127">round(D128*$A128,0)</f>
        <v>36</v>
      </c>
      <c r="J128" s="19">
        <f t="shared" si="127"/>
        <v>0</v>
      </c>
    </row>
    <row r="129" ht="22.5" customHeight="1">
      <c r="A129" s="16">
        <v>4.0</v>
      </c>
      <c r="B129" s="16">
        <v>16.0</v>
      </c>
      <c r="C129" s="16">
        <v>0.0</v>
      </c>
      <c r="D129" s="16">
        <v>0.0</v>
      </c>
      <c r="E129" s="16">
        <v>0.0</v>
      </c>
      <c r="F129" s="16">
        <v>0.0</v>
      </c>
      <c r="G129" s="18">
        <v>0.0</v>
      </c>
      <c r="H129" s="16" t="s">
        <v>189</v>
      </c>
      <c r="I129" s="19">
        <f t="shared" ref="I129:J129" si="128">round(D129*$A129,0)</f>
        <v>0</v>
      </c>
      <c r="J129" s="19">
        <f t="shared" si="128"/>
        <v>0</v>
      </c>
    </row>
    <row r="130" ht="22.5" customHeight="1">
      <c r="A130" s="16">
        <v>5.0</v>
      </c>
      <c r="B130" s="16">
        <v>20.0</v>
      </c>
      <c r="C130" s="16">
        <v>0.0</v>
      </c>
      <c r="D130" s="16">
        <v>0.0</v>
      </c>
      <c r="E130" s="16">
        <v>0.0</v>
      </c>
      <c r="F130" s="16">
        <v>0.0</v>
      </c>
      <c r="G130" s="18">
        <v>0.0</v>
      </c>
      <c r="H130" s="16" t="s">
        <v>190</v>
      </c>
      <c r="I130" s="19">
        <f t="shared" ref="I130:J130" si="129">round(D130*$A130,0)</f>
        <v>0</v>
      </c>
      <c r="J130" s="19">
        <f t="shared" si="129"/>
        <v>0</v>
      </c>
    </row>
    <row r="131" ht="22.5" customHeight="1">
      <c r="A131" s="16">
        <v>3.0</v>
      </c>
      <c r="B131" s="16">
        <v>13.0</v>
      </c>
      <c r="C131" s="16">
        <v>0.0</v>
      </c>
      <c r="D131" s="16">
        <v>0.0</v>
      </c>
      <c r="E131" s="16">
        <v>0.0</v>
      </c>
      <c r="F131" s="16">
        <v>0.0</v>
      </c>
      <c r="G131" s="18">
        <v>0.0</v>
      </c>
      <c r="H131" s="16" t="s">
        <v>191</v>
      </c>
      <c r="I131" s="19">
        <f t="shared" ref="I131:J131" si="130">round(D131*$A131,0)</f>
        <v>0</v>
      </c>
      <c r="J131" s="19">
        <f t="shared" si="130"/>
        <v>0</v>
      </c>
    </row>
    <row r="132" ht="22.5" customHeight="1">
      <c r="A132" s="16">
        <v>1.0</v>
      </c>
      <c r="B132" s="16">
        <v>4.0</v>
      </c>
      <c r="C132" s="16">
        <v>1.0</v>
      </c>
      <c r="D132" s="16">
        <v>-4.0</v>
      </c>
      <c r="E132" s="16">
        <v>1.0</v>
      </c>
      <c r="F132" s="16">
        <v>0.0</v>
      </c>
      <c r="G132" s="18">
        <v>0.0</v>
      </c>
      <c r="H132" s="16" t="s">
        <v>191</v>
      </c>
      <c r="I132" s="19">
        <f t="shared" ref="I132:J132" si="131">round(D132*$A132,0)</f>
        <v>-4</v>
      </c>
      <c r="J132" s="19">
        <f t="shared" si="131"/>
        <v>1</v>
      </c>
    </row>
    <row r="133" ht="22.5" customHeight="1">
      <c r="A133" s="16">
        <v>2.0</v>
      </c>
      <c r="B133" s="16">
        <v>9.0</v>
      </c>
      <c r="C133" s="16">
        <v>0.0</v>
      </c>
      <c r="D133" s="16">
        <v>0.0</v>
      </c>
      <c r="E133" s="16">
        <v>0.0</v>
      </c>
      <c r="F133" s="16">
        <v>0.0</v>
      </c>
      <c r="G133" s="18">
        <v>0.0</v>
      </c>
      <c r="H133" s="16" t="s">
        <v>192</v>
      </c>
      <c r="I133" s="19">
        <f t="shared" ref="I133:J133" si="132">round(D133*$A133,0)</f>
        <v>0</v>
      </c>
      <c r="J133" s="19">
        <f t="shared" si="132"/>
        <v>0</v>
      </c>
    </row>
    <row r="134" ht="22.5" customHeight="1">
      <c r="A134" s="16">
        <v>1.0</v>
      </c>
      <c r="B134" s="16">
        <v>4.0</v>
      </c>
      <c r="C134" s="16">
        <v>0.0</v>
      </c>
      <c r="D134" s="16">
        <v>0.0</v>
      </c>
      <c r="E134" s="16">
        <v>0.0</v>
      </c>
      <c r="F134" s="16">
        <v>0.0</v>
      </c>
      <c r="G134" s="18">
        <v>0.0</v>
      </c>
      <c r="H134" s="16" t="s">
        <v>192</v>
      </c>
      <c r="I134" s="19">
        <f t="shared" ref="I134:J134" si="133">round(D134*$A134,0)</f>
        <v>0</v>
      </c>
      <c r="J134" s="19">
        <f t="shared" si="133"/>
        <v>0</v>
      </c>
    </row>
    <row r="135" ht="22.5" customHeight="1">
      <c r="A135" s="16">
        <v>1.0</v>
      </c>
      <c r="B135" s="16">
        <v>4.0</v>
      </c>
      <c r="C135" s="16">
        <v>0.0</v>
      </c>
      <c r="D135" s="16">
        <v>0.0</v>
      </c>
      <c r="E135" s="16">
        <v>0.0</v>
      </c>
      <c r="F135" s="16">
        <v>0.0</v>
      </c>
      <c r="G135" s="18">
        <v>0.0</v>
      </c>
      <c r="H135" s="16" t="s">
        <v>194</v>
      </c>
      <c r="I135" s="19">
        <f t="shared" ref="I135:J135" si="134">round(D135*$A135,0)</f>
        <v>0</v>
      </c>
      <c r="J135" s="19">
        <f t="shared" si="134"/>
        <v>0</v>
      </c>
    </row>
    <row r="136" ht="22.5" customHeight="1">
      <c r="A136" s="16">
        <v>1.0</v>
      </c>
      <c r="B136" s="16">
        <v>4.0</v>
      </c>
      <c r="C136" s="16">
        <v>0.0</v>
      </c>
      <c r="D136" s="16">
        <v>0.0</v>
      </c>
      <c r="E136" s="16">
        <v>0.0</v>
      </c>
      <c r="F136" s="16">
        <v>0.0</v>
      </c>
      <c r="G136" s="18">
        <v>0.0</v>
      </c>
      <c r="H136" s="16" t="s">
        <v>194</v>
      </c>
      <c r="I136" s="19">
        <f t="shared" ref="I136:J136" si="135">round(D136*$A136,0)</f>
        <v>0</v>
      </c>
      <c r="J136" s="19">
        <f t="shared" si="135"/>
        <v>0</v>
      </c>
    </row>
    <row r="137" ht="22.5" customHeight="1">
      <c r="A137" s="16">
        <v>1.0</v>
      </c>
      <c r="B137" s="16">
        <v>4.0</v>
      </c>
      <c r="C137" s="16">
        <v>0.0</v>
      </c>
      <c r="D137" s="16">
        <v>0.0</v>
      </c>
      <c r="E137" s="16">
        <v>0.0</v>
      </c>
      <c r="F137" s="16">
        <v>0.0</v>
      </c>
      <c r="G137" s="18">
        <v>0.0</v>
      </c>
      <c r="H137" s="16" t="s">
        <v>195</v>
      </c>
      <c r="I137" s="19">
        <f t="shared" ref="I137:J137" si="136">round(D137*$A137,0)</f>
        <v>0</v>
      </c>
      <c r="J137" s="19">
        <f t="shared" si="136"/>
        <v>0</v>
      </c>
    </row>
    <row r="138" ht="22.5" customHeight="1">
      <c r="A138" s="16">
        <v>4.0</v>
      </c>
      <c r="B138" s="16">
        <v>17.0</v>
      </c>
      <c r="C138" s="16">
        <v>0.0</v>
      </c>
      <c r="D138" s="16">
        <v>0.0</v>
      </c>
      <c r="E138" s="16">
        <v>0.0</v>
      </c>
      <c r="F138" s="16">
        <v>0.0</v>
      </c>
      <c r="G138" s="18">
        <v>0.0</v>
      </c>
      <c r="H138" s="16" t="s">
        <v>195</v>
      </c>
      <c r="I138" s="19">
        <f t="shared" ref="I138:J138" si="137">round(D138*$A138,0)</f>
        <v>0</v>
      </c>
      <c r="J138" s="19">
        <f t="shared" si="137"/>
        <v>0</v>
      </c>
    </row>
    <row r="139" ht="22.5" customHeight="1">
      <c r="A139" s="16">
        <v>4.0</v>
      </c>
      <c r="B139" s="16">
        <v>17.0</v>
      </c>
      <c r="C139" s="16">
        <v>13.0</v>
      </c>
      <c r="D139" s="16">
        <v>10.0</v>
      </c>
      <c r="E139" s="16">
        <v>0.25</v>
      </c>
      <c r="F139" s="16">
        <v>0.0</v>
      </c>
      <c r="G139" s="20">
        <v>0.846</v>
      </c>
      <c r="H139" s="16" t="s">
        <v>112</v>
      </c>
      <c r="I139" s="19">
        <f t="shared" ref="I139:J139" si="138">round(D139*$A139,0)</f>
        <v>40</v>
      </c>
      <c r="J139" s="19">
        <f t="shared" si="138"/>
        <v>1</v>
      </c>
    </row>
    <row r="140" ht="22.5" customHeight="1">
      <c r="A140" s="16">
        <v>1.0</v>
      </c>
      <c r="B140" s="16">
        <v>4.0</v>
      </c>
      <c r="C140" s="16">
        <v>1.0</v>
      </c>
      <c r="D140" s="16">
        <v>4.0</v>
      </c>
      <c r="E140" s="16">
        <v>0.0</v>
      </c>
      <c r="F140" s="16">
        <v>0.0</v>
      </c>
      <c r="G140" s="18">
        <v>1.0</v>
      </c>
      <c r="H140" s="16" t="s">
        <v>112</v>
      </c>
      <c r="I140" s="19">
        <f t="shared" ref="I140:J140" si="139">round(D140*$A140,0)</f>
        <v>4</v>
      </c>
      <c r="J140" s="19">
        <f t="shared" si="139"/>
        <v>0</v>
      </c>
    </row>
    <row r="141" ht="22.5" customHeight="1">
      <c r="A141" s="16">
        <v>1.0</v>
      </c>
      <c r="B141" s="16">
        <v>4.0</v>
      </c>
      <c r="C141" s="16">
        <v>0.0</v>
      </c>
      <c r="D141" s="16">
        <v>0.0</v>
      </c>
      <c r="E141" s="16">
        <v>0.0</v>
      </c>
      <c r="F141" s="16">
        <v>0.0</v>
      </c>
      <c r="G141" s="18">
        <v>0.0</v>
      </c>
      <c r="H141" s="16" t="s">
        <v>196</v>
      </c>
      <c r="I141" s="19">
        <f t="shared" ref="I141:J141" si="140">round(D141*$A141,0)</f>
        <v>0</v>
      </c>
      <c r="J141" s="19">
        <f t="shared" si="140"/>
        <v>0</v>
      </c>
    </row>
    <row r="142" ht="22.5" customHeight="1">
      <c r="A142" s="16">
        <v>5.0</v>
      </c>
      <c r="B142" s="16">
        <v>19.0</v>
      </c>
      <c r="C142" s="16">
        <v>10.0</v>
      </c>
      <c r="D142" s="16">
        <v>2.4</v>
      </c>
      <c r="E142" s="16">
        <v>0.0</v>
      </c>
      <c r="F142" s="16">
        <v>0.0</v>
      </c>
      <c r="G142" s="18">
        <v>0.3</v>
      </c>
      <c r="H142" s="16" t="s">
        <v>197</v>
      </c>
      <c r="I142" s="19">
        <f t="shared" ref="I142:J142" si="141">round(D142*$A142,0)</f>
        <v>12</v>
      </c>
      <c r="J142" s="19">
        <f t="shared" si="141"/>
        <v>0</v>
      </c>
    </row>
    <row r="143" ht="22.5" customHeight="1">
      <c r="A143" s="16">
        <v>2.0</v>
      </c>
      <c r="B143" s="16">
        <v>7.0</v>
      </c>
      <c r="C143" s="16">
        <v>0.0</v>
      </c>
      <c r="D143" s="16">
        <v>0.0</v>
      </c>
      <c r="E143" s="16">
        <v>0.0</v>
      </c>
      <c r="F143" s="16">
        <v>0.0</v>
      </c>
      <c r="G143" s="18">
        <v>0.0</v>
      </c>
      <c r="H143" s="16" t="s">
        <v>198</v>
      </c>
      <c r="I143" s="19">
        <f t="shared" ref="I143:J143" si="142">round(D143*$A143,0)</f>
        <v>0</v>
      </c>
      <c r="J143" s="19">
        <f t="shared" si="142"/>
        <v>0</v>
      </c>
    </row>
    <row r="144" ht="22.5" customHeight="1">
      <c r="A144" s="16">
        <v>5.0</v>
      </c>
      <c r="B144" s="16">
        <v>19.0</v>
      </c>
      <c r="C144" s="16">
        <v>1.0</v>
      </c>
      <c r="D144" s="16">
        <v>0.0</v>
      </c>
      <c r="E144" s="16">
        <v>0.0</v>
      </c>
      <c r="F144" s="16">
        <v>0.0</v>
      </c>
      <c r="G144" s="18">
        <v>0.0</v>
      </c>
      <c r="H144" s="16" t="s">
        <v>199</v>
      </c>
      <c r="I144" s="19">
        <f t="shared" ref="I144:J144" si="143">round(D144*$A144,0)</f>
        <v>0</v>
      </c>
      <c r="J144" s="19">
        <f t="shared" si="143"/>
        <v>0</v>
      </c>
    </row>
    <row r="145" ht="22.5" customHeight="1">
      <c r="A145" s="16">
        <v>3.0</v>
      </c>
      <c r="B145" s="16">
        <v>12.0</v>
      </c>
      <c r="C145" s="16">
        <v>0.0</v>
      </c>
      <c r="D145" s="16">
        <v>0.0</v>
      </c>
      <c r="E145" s="16">
        <v>0.0</v>
      </c>
      <c r="F145" s="16">
        <v>0.0</v>
      </c>
      <c r="G145" s="18">
        <v>0.0</v>
      </c>
      <c r="H145" s="16" t="s">
        <v>200</v>
      </c>
      <c r="I145" s="19">
        <f t="shared" ref="I145:J145" si="144">round(D145*$A145,0)</f>
        <v>0</v>
      </c>
      <c r="J145" s="19">
        <f t="shared" si="144"/>
        <v>0</v>
      </c>
    </row>
    <row r="146" ht="22.5" customHeight="1">
      <c r="A146" s="16">
        <v>3.0</v>
      </c>
      <c r="B146" s="16">
        <v>12.0</v>
      </c>
      <c r="C146" s="16">
        <v>1.0</v>
      </c>
      <c r="D146" s="16">
        <v>1.33</v>
      </c>
      <c r="E146" s="16">
        <v>0.0</v>
      </c>
      <c r="F146" s="16">
        <v>0.0</v>
      </c>
      <c r="G146" s="18">
        <v>1.0</v>
      </c>
      <c r="H146" s="16" t="s">
        <v>201</v>
      </c>
      <c r="I146" s="19">
        <f t="shared" ref="I146:J146" si="145">round(D146*$A146,0)</f>
        <v>4</v>
      </c>
      <c r="J146" s="19">
        <f t="shared" si="145"/>
        <v>0</v>
      </c>
    </row>
    <row r="147" ht="22.5" customHeight="1">
      <c r="A147" s="16">
        <v>5.0</v>
      </c>
      <c r="B147" s="16">
        <v>20.0</v>
      </c>
      <c r="C147" s="16">
        <v>11.0</v>
      </c>
      <c r="D147" s="16">
        <v>5.6</v>
      </c>
      <c r="E147" s="16">
        <v>0.2</v>
      </c>
      <c r="F147" s="16">
        <v>0.0</v>
      </c>
      <c r="G147" s="20">
        <v>0.727</v>
      </c>
      <c r="H147" s="16" t="s">
        <v>70</v>
      </c>
      <c r="I147" s="19">
        <f t="shared" ref="I147:J147" si="146">round(D147*$A147,0)</f>
        <v>28</v>
      </c>
      <c r="J147" s="19">
        <f t="shared" si="146"/>
        <v>1</v>
      </c>
    </row>
    <row r="148" ht="22.5" customHeight="1">
      <c r="A148" s="16">
        <v>1.0</v>
      </c>
      <c r="B148" s="16">
        <v>4.0</v>
      </c>
      <c r="C148" s="16">
        <v>0.0</v>
      </c>
      <c r="D148" s="16">
        <v>0.0</v>
      </c>
      <c r="E148" s="16">
        <v>0.0</v>
      </c>
      <c r="F148" s="16">
        <v>0.0</v>
      </c>
      <c r="G148" s="18">
        <v>0.0</v>
      </c>
      <c r="H148" s="16" t="s">
        <v>203</v>
      </c>
      <c r="I148" s="19">
        <f t="shared" ref="I148:J148" si="147">round(D148*$A148,0)</f>
        <v>0</v>
      </c>
      <c r="J148" s="19">
        <f t="shared" si="147"/>
        <v>0</v>
      </c>
    </row>
    <row r="149" ht="22.5" customHeight="1">
      <c r="A149" s="16">
        <v>2.0</v>
      </c>
      <c r="B149" s="16">
        <v>8.0</v>
      </c>
      <c r="C149" s="16">
        <v>0.0</v>
      </c>
      <c r="D149" s="16">
        <v>0.0</v>
      </c>
      <c r="E149" s="16">
        <v>0.0</v>
      </c>
      <c r="F149" s="16">
        <v>0.0</v>
      </c>
      <c r="G149" s="18">
        <v>0.0</v>
      </c>
      <c r="H149" s="16" t="s">
        <v>205</v>
      </c>
      <c r="I149" s="19">
        <f t="shared" ref="I149:J149" si="148">round(D149*$A149,0)</f>
        <v>0</v>
      </c>
      <c r="J149" s="19">
        <f t="shared" si="148"/>
        <v>0</v>
      </c>
    </row>
    <row r="150" ht="22.5" customHeight="1">
      <c r="A150" s="16">
        <v>1.0</v>
      </c>
      <c r="B150" s="16">
        <v>4.0</v>
      </c>
      <c r="C150" s="16">
        <v>0.0</v>
      </c>
      <c r="D150" s="16">
        <v>0.0</v>
      </c>
      <c r="E150" s="16">
        <v>0.0</v>
      </c>
      <c r="F150" s="16">
        <v>0.0</v>
      </c>
      <c r="G150" s="18">
        <v>0.0</v>
      </c>
      <c r="H150" s="16" t="s">
        <v>206</v>
      </c>
      <c r="I150" s="19">
        <f t="shared" ref="I150:J150" si="149">round(D150*$A150,0)</f>
        <v>0</v>
      </c>
      <c r="J150" s="19">
        <f t="shared" si="149"/>
        <v>0</v>
      </c>
    </row>
    <row r="151" ht="22.5" customHeight="1">
      <c r="A151" s="16">
        <v>5.0</v>
      </c>
      <c r="B151" s="16">
        <v>20.0</v>
      </c>
      <c r="C151" s="16">
        <v>9.0</v>
      </c>
      <c r="D151" s="16">
        <v>3.2</v>
      </c>
      <c r="E151" s="16">
        <v>0.0</v>
      </c>
      <c r="F151" s="16">
        <v>0.0</v>
      </c>
      <c r="G151" s="20">
        <v>0.444</v>
      </c>
      <c r="H151" s="16" t="s">
        <v>62</v>
      </c>
      <c r="I151" s="19">
        <f t="shared" ref="I151:J151" si="150">round(D151*$A151,0)</f>
        <v>16</v>
      </c>
      <c r="J151" s="19">
        <f t="shared" si="150"/>
        <v>0</v>
      </c>
    </row>
    <row r="152" ht="22.5" customHeight="1">
      <c r="A152" s="16">
        <v>1.0</v>
      </c>
      <c r="B152" s="16">
        <v>4.0</v>
      </c>
      <c r="C152" s="16">
        <v>0.0</v>
      </c>
      <c r="D152" s="16">
        <v>0.0</v>
      </c>
      <c r="E152" s="16">
        <v>0.0</v>
      </c>
      <c r="F152" s="16">
        <v>0.0</v>
      </c>
      <c r="G152" s="18">
        <v>0.0</v>
      </c>
      <c r="H152" s="16" t="s">
        <v>208</v>
      </c>
      <c r="I152" s="19">
        <f t="shared" ref="I152:J152" si="151">round(D152*$A152,0)</f>
        <v>0</v>
      </c>
      <c r="J152" s="19">
        <f t="shared" si="151"/>
        <v>0</v>
      </c>
    </row>
    <row r="153" ht="22.5" customHeight="1">
      <c r="A153" s="16">
        <v>5.0</v>
      </c>
      <c r="B153" s="16">
        <v>21.0</v>
      </c>
      <c r="C153" s="16">
        <v>0.0</v>
      </c>
      <c r="D153" s="16">
        <v>0.0</v>
      </c>
      <c r="E153" s="16">
        <v>0.0</v>
      </c>
      <c r="F153" s="16">
        <v>0.0</v>
      </c>
      <c r="G153" s="18">
        <v>0.0</v>
      </c>
      <c r="H153" s="16" t="s">
        <v>209</v>
      </c>
      <c r="I153" s="19">
        <f t="shared" ref="I153:J153" si="152">round(D153*$A153,0)</f>
        <v>0</v>
      </c>
      <c r="J153" s="19">
        <f t="shared" si="152"/>
        <v>0</v>
      </c>
    </row>
    <row r="154" ht="22.5" customHeight="1">
      <c r="A154" s="16">
        <v>5.0</v>
      </c>
      <c r="B154" s="16">
        <v>21.0</v>
      </c>
      <c r="C154" s="16">
        <v>1.0</v>
      </c>
      <c r="D154" s="16">
        <v>0.8</v>
      </c>
      <c r="E154" s="16">
        <v>0.0</v>
      </c>
      <c r="F154" s="16">
        <v>0.0</v>
      </c>
      <c r="G154" s="18">
        <v>1.0</v>
      </c>
      <c r="H154" s="16" t="s">
        <v>210</v>
      </c>
      <c r="I154" s="19">
        <f t="shared" ref="I154:J154" si="153">round(D154*$A154,0)</f>
        <v>4</v>
      </c>
      <c r="J154" s="19">
        <f t="shared" si="153"/>
        <v>0</v>
      </c>
    </row>
    <row r="155" ht="22.5" customHeight="1">
      <c r="A155" s="16">
        <v>5.0</v>
      </c>
      <c r="B155" s="16">
        <v>21.0</v>
      </c>
      <c r="C155" s="16">
        <v>3.0</v>
      </c>
      <c r="D155" s="16">
        <v>0.8</v>
      </c>
      <c r="E155" s="16">
        <v>0.0</v>
      </c>
      <c r="F155" s="16">
        <v>0.0</v>
      </c>
      <c r="G155" s="20">
        <v>0.333</v>
      </c>
      <c r="H155" s="16" t="s">
        <v>211</v>
      </c>
      <c r="I155" s="19">
        <f t="shared" ref="I155:J155" si="154">round(D155*$A155,0)</f>
        <v>4</v>
      </c>
      <c r="J155" s="19">
        <f t="shared" si="154"/>
        <v>0</v>
      </c>
    </row>
    <row r="156" ht="22.5" customHeight="1">
      <c r="A156" s="16">
        <v>5.0</v>
      </c>
      <c r="B156" s="16">
        <v>21.0</v>
      </c>
      <c r="C156" s="16">
        <v>4.0</v>
      </c>
      <c r="D156" s="16">
        <v>0.8</v>
      </c>
      <c r="E156" s="16">
        <v>0.0</v>
      </c>
      <c r="F156" s="16">
        <v>0.0</v>
      </c>
      <c r="G156" s="18">
        <v>0.25</v>
      </c>
      <c r="H156" s="16" t="s">
        <v>213</v>
      </c>
      <c r="I156" s="19">
        <f t="shared" ref="I156:J156" si="155">round(D156*$A156,0)</f>
        <v>4</v>
      </c>
      <c r="J156" s="19">
        <f t="shared" si="155"/>
        <v>0</v>
      </c>
    </row>
    <row r="157" ht="22.5" customHeight="1">
      <c r="A157" s="16">
        <v>1.0</v>
      </c>
      <c r="B157" s="16">
        <v>4.0</v>
      </c>
      <c r="C157" s="16">
        <v>0.0</v>
      </c>
      <c r="D157" s="16">
        <v>0.0</v>
      </c>
      <c r="E157" s="16">
        <v>0.0</v>
      </c>
      <c r="F157" s="16">
        <v>0.0</v>
      </c>
      <c r="G157" s="18">
        <v>0.0</v>
      </c>
      <c r="H157" s="16" t="s">
        <v>214</v>
      </c>
      <c r="I157" s="19">
        <f t="shared" ref="I157:J157" si="156">round(D157*$A157,0)</f>
        <v>0</v>
      </c>
      <c r="J157" s="19">
        <f t="shared" si="156"/>
        <v>0</v>
      </c>
    </row>
    <row r="158" ht="22.5" customHeight="1">
      <c r="A158" s="16">
        <v>2.0</v>
      </c>
      <c r="B158" s="16">
        <v>8.0</v>
      </c>
      <c r="C158" s="16">
        <v>0.0</v>
      </c>
      <c r="D158" s="16">
        <v>0.0</v>
      </c>
      <c r="E158" s="16">
        <v>0.0</v>
      </c>
      <c r="F158" s="16">
        <v>0.0</v>
      </c>
      <c r="G158" s="18">
        <v>0.0</v>
      </c>
      <c r="H158" s="16" t="s">
        <v>214</v>
      </c>
      <c r="I158" s="19">
        <f t="shared" ref="I158:J158" si="157">round(D158*$A158,0)</f>
        <v>0</v>
      </c>
      <c r="J158" s="19">
        <f t="shared" si="157"/>
        <v>0</v>
      </c>
    </row>
    <row r="159" ht="22.5" customHeight="1">
      <c r="A159" s="16">
        <v>1.0</v>
      </c>
      <c r="B159" s="16">
        <v>4.0</v>
      </c>
      <c r="C159" s="16">
        <v>0.0</v>
      </c>
      <c r="D159" s="16">
        <v>0.0</v>
      </c>
      <c r="E159" s="16">
        <v>0.0</v>
      </c>
      <c r="F159" s="16">
        <v>0.0</v>
      </c>
      <c r="G159" s="18">
        <v>0.0</v>
      </c>
      <c r="H159" s="16" t="s">
        <v>214</v>
      </c>
      <c r="I159" s="19">
        <f t="shared" ref="I159:J159" si="158">round(D159*$A159,0)</f>
        <v>0</v>
      </c>
      <c r="J159" s="19">
        <f t="shared" si="158"/>
        <v>0</v>
      </c>
    </row>
    <row r="160" ht="22.5" customHeight="1">
      <c r="A160" s="16">
        <v>1.0</v>
      </c>
      <c r="B160" s="16">
        <v>4.0</v>
      </c>
      <c r="C160" s="16">
        <v>0.0</v>
      </c>
      <c r="D160" s="16">
        <v>0.0</v>
      </c>
      <c r="E160" s="16">
        <v>0.0</v>
      </c>
      <c r="F160" s="16">
        <v>0.0</v>
      </c>
      <c r="G160" s="18">
        <v>0.0</v>
      </c>
      <c r="H160" s="16" t="s">
        <v>214</v>
      </c>
      <c r="I160" s="19">
        <f t="shared" ref="I160:J160" si="159">round(D160*$A160,0)</f>
        <v>0</v>
      </c>
      <c r="J160" s="19">
        <f t="shared" si="159"/>
        <v>0</v>
      </c>
    </row>
    <row r="161" ht="22.5" customHeight="1">
      <c r="A161" s="16">
        <v>2.0</v>
      </c>
      <c r="B161" s="16">
        <v>8.0</v>
      </c>
      <c r="C161" s="16">
        <v>4.0</v>
      </c>
      <c r="D161" s="16">
        <v>8.0</v>
      </c>
      <c r="E161" s="16">
        <v>0.0</v>
      </c>
      <c r="F161" s="16">
        <v>0.0</v>
      </c>
      <c r="G161" s="18">
        <v>1.0</v>
      </c>
      <c r="H161" s="16" t="s">
        <v>217</v>
      </c>
      <c r="I161" s="19">
        <f t="shared" ref="I161:J161" si="160">round(D161*$A161,0)</f>
        <v>16</v>
      </c>
      <c r="J161" s="19">
        <f t="shared" si="160"/>
        <v>0</v>
      </c>
    </row>
    <row r="162" ht="22.5" customHeight="1">
      <c r="A162" s="16">
        <v>1.0</v>
      </c>
      <c r="B162" s="16">
        <v>4.0</v>
      </c>
      <c r="C162" s="16">
        <v>1.0</v>
      </c>
      <c r="D162" s="16">
        <v>4.0</v>
      </c>
      <c r="E162" s="16">
        <v>0.0</v>
      </c>
      <c r="F162" s="16">
        <v>0.0</v>
      </c>
      <c r="G162" s="18">
        <v>1.0</v>
      </c>
      <c r="H162" s="16" t="s">
        <v>217</v>
      </c>
      <c r="I162" s="19">
        <f t="shared" ref="I162:J162" si="161">round(D162*$A162,0)</f>
        <v>4</v>
      </c>
      <c r="J162" s="19">
        <f t="shared" si="161"/>
        <v>0</v>
      </c>
    </row>
    <row r="163" ht="22.5" customHeight="1">
      <c r="A163" s="16">
        <v>3.0</v>
      </c>
      <c r="B163" s="16">
        <v>12.0</v>
      </c>
      <c r="C163" s="16">
        <v>0.0</v>
      </c>
      <c r="D163" s="16">
        <v>0.0</v>
      </c>
      <c r="E163" s="16">
        <v>0.0</v>
      </c>
      <c r="F163" s="16">
        <v>0.0</v>
      </c>
      <c r="G163" s="18">
        <v>0.0</v>
      </c>
      <c r="H163" s="16" t="s">
        <v>105</v>
      </c>
      <c r="I163" s="19">
        <f t="shared" ref="I163:J163" si="162">round(D163*$A163,0)</f>
        <v>0</v>
      </c>
      <c r="J163" s="19">
        <f t="shared" si="162"/>
        <v>0</v>
      </c>
    </row>
    <row r="164" ht="22.5" customHeight="1">
      <c r="A164" s="16">
        <v>1.0</v>
      </c>
      <c r="B164" s="16">
        <v>4.0</v>
      </c>
      <c r="C164" s="16">
        <v>0.0</v>
      </c>
      <c r="D164" s="16">
        <v>0.0</v>
      </c>
      <c r="E164" s="16">
        <v>0.0</v>
      </c>
      <c r="F164" s="16">
        <v>0.0</v>
      </c>
      <c r="G164" s="18">
        <v>0.0</v>
      </c>
      <c r="H164" s="16" t="s">
        <v>105</v>
      </c>
      <c r="I164" s="19">
        <f t="shared" ref="I164:J164" si="163">round(D164*$A164,0)</f>
        <v>0</v>
      </c>
      <c r="J164" s="19">
        <f t="shared" si="163"/>
        <v>0</v>
      </c>
    </row>
    <row r="165" ht="22.5" customHeight="1">
      <c r="A165" s="16">
        <v>1.0</v>
      </c>
      <c r="B165" s="16">
        <v>4.0</v>
      </c>
      <c r="C165" s="16">
        <v>0.0</v>
      </c>
      <c r="D165" s="16">
        <v>0.0</v>
      </c>
      <c r="E165" s="16">
        <v>0.0</v>
      </c>
      <c r="F165" s="16">
        <v>0.0</v>
      </c>
      <c r="G165" s="18">
        <v>0.0</v>
      </c>
      <c r="H165" s="16" t="s">
        <v>105</v>
      </c>
      <c r="I165" s="19">
        <f t="shared" ref="I165:J165" si="164">round(D165*$A165,0)</f>
        <v>0</v>
      </c>
      <c r="J165" s="19">
        <f t="shared" si="164"/>
        <v>0</v>
      </c>
    </row>
    <row r="166" ht="22.5" customHeight="1">
      <c r="A166" s="16">
        <v>1.0</v>
      </c>
      <c r="B166" s="16">
        <v>4.0</v>
      </c>
      <c r="C166" s="16">
        <v>0.0</v>
      </c>
      <c r="D166" s="16">
        <v>0.0</v>
      </c>
      <c r="E166" s="16">
        <v>0.0</v>
      </c>
      <c r="F166" s="16">
        <v>0.0</v>
      </c>
      <c r="G166" s="18">
        <v>0.0</v>
      </c>
      <c r="H166" s="16" t="s">
        <v>219</v>
      </c>
      <c r="I166" s="19">
        <f t="shared" ref="I166:J166" si="165">round(D166*$A166,0)</f>
        <v>0</v>
      </c>
      <c r="J166" s="19">
        <f t="shared" si="165"/>
        <v>0</v>
      </c>
    </row>
    <row r="167" ht="22.5" customHeight="1">
      <c r="A167" s="16">
        <v>2.0</v>
      </c>
      <c r="B167" s="16">
        <v>8.0</v>
      </c>
      <c r="C167" s="16">
        <v>7.0</v>
      </c>
      <c r="D167" s="16">
        <v>10.0</v>
      </c>
      <c r="E167" s="16">
        <v>0.5</v>
      </c>
      <c r="F167" s="16">
        <v>0.0</v>
      </c>
      <c r="G167" s="20">
        <v>0.857</v>
      </c>
      <c r="H167" s="16" t="s">
        <v>220</v>
      </c>
      <c r="I167" s="19">
        <f t="shared" ref="I167:J167" si="166">round(D167*$A167,0)</f>
        <v>20</v>
      </c>
      <c r="J167" s="19">
        <f t="shared" si="166"/>
        <v>1</v>
      </c>
    </row>
    <row r="168" ht="22.5" customHeight="1">
      <c r="A168" s="16">
        <v>1.0</v>
      </c>
      <c r="B168" s="16">
        <v>4.0</v>
      </c>
      <c r="C168" s="16">
        <v>1.0</v>
      </c>
      <c r="D168" s="16">
        <v>4.0</v>
      </c>
      <c r="E168" s="16">
        <v>0.0</v>
      </c>
      <c r="F168" s="16">
        <v>0.0</v>
      </c>
      <c r="G168" s="18">
        <v>1.0</v>
      </c>
      <c r="H168" s="16" t="s">
        <v>220</v>
      </c>
      <c r="I168" s="19">
        <f t="shared" ref="I168:J168" si="167">round(D168*$A168,0)</f>
        <v>4</v>
      </c>
      <c r="J168" s="19">
        <f t="shared" si="167"/>
        <v>0</v>
      </c>
    </row>
    <row r="169" ht="22.5" customHeight="1">
      <c r="A169" s="16">
        <v>1.0</v>
      </c>
      <c r="B169" s="16">
        <v>4.0</v>
      </c>
      <c r="C169" s="16">
        <v>3.0</v>
      </c>
      <c r="D169" s="16">
        <v>4.0</v>
      </c>
      <c r="E169" s="16">
        <v>1.0</v>
      </c>
      <c r="F169" s="16">
        <v>0.0</v>
      </c>
      <c r="G169" s="20">
        <v>0.667</v>
      </c>
      <c r="H169" s="16" t="s">
        <v>220</v>
      </c>
      <c r="I169" s="19">
        <f t="shared" ref="I169:J169" si="168">round(D169*$A169,0)</f>
        <v>4</v>
      </c>
      <c r="J169" s="19">
        <f t="shared" si="168"/>
        <v>1</v>
      </c>
    </row>
    <row r="170" ht="22.5" customHeight="1">
      <c r="A170" s="16">
        <v>1.0</v>
      </c>
      <c r="B170" s="16">
        <v>4.0</v>
      </c>
      <c r="C170" s="16">
        <v>1.0</v>
      </c>
      <c r="D170" s="16">
        <v>-4.0</v>
      </c>
      <c r="E170" s="16">
        <v>1.0</v>
      </c>
      <c r="F170" s="16">
        <v>0.0</v>
      </c>
      <c r="G170" s="18">
        <v>0.0</v>
      </c>
      <c r="H170" s="16" t="s">
        <v>220</v>
      </c>
      <c r="I170" s="19">
        <f t="shared" ref="I170:J170" si="169">round(D170*$A170,0)</f>
        <v>-4</v>
      </c>
      <c r="J170" s="19">
        <f t="shared" si="169"/>
        <v>1</v>
      </c>
    </row>
    <row r="171" ht="22.5" customHeight="1">
      <c r="A171" s="16">
        <v>1.0</v>
      </c>
      <c r="B171" s="16">
        <v>4.0</v>
      </c>
      <c r="C171" s="16">
        <v>2.0</v>
      </c>
      <c r="D171" s="16">
        <v>-4.0</v>
      </c>
      <c r="E171" s="16">
        <v>1.0</v>
      </c>
      <c r="F171" s="16">
        <v>0.0</v>
      </c>
      <c r="G171" s="18">
        <v>0.0</v>
      </c>
      <c r="H171" s="16" t="s">
        <v>222</v>
      </c>
      <c r="I171" s="19">
        <f t="shared" ref="I171:J171" si="170">round(D171*$A171,0)</f>
        <v>-4</v>
      </c>
      <c r="J171" s="19">
        <f t="shared" si="170"/>
        <v>1</v>
      </c>
    </row>
    <row r="172" ht="22.5" customHeight="1">
      <c r="A172" s="16">
        <v>4.0</v>
      </c>
      <c r="B172" s="16">
        <v>16.0</v>
      </c>
      <c r="C172" s="16">
        <v>3.0</v>
      </c>
      <c r="D172" s="16">
        <v>-1.0</v>
      </c>
      <c r="E172" s="16">
        <v>0.5</v>
      </c>
      <c r="F172" s="16">
        <v>0.0</v>
      </c>
      <c r="G172" s="20">
        <v>0.333</v>
      </c>
      <c r="H172" s="16" t="s">
        <v>222</v>
      </c>
      <c r="I172" s="19">
        <f t="shared" ref="I172:J172" si="171">round(D172*$A172,0)</f>
        <v>-4</v>
      </c>
      <c r="J172" s="19">
        <f t="shared" si="171"/>
        <v>2</v>
      </c>
    </row>
    <row r="173" ht="22.5" customHeight="1">
      <c r="A173" s="16">
        <v>2.0</v>
      </c>
      <c r="B173" s="16">
        <v>8.0</v>
      </c>
      <c r="C173" s="16">
        <v>0.0</v>
      </c>
      <c r="D173" s="16">
        <v>0.0</v>
      </c>
      <c r="E173" s="16">
        <v>0.0</v>
      </c>
      <c r="F173" s="16">
        <v>0.0</v>
      </c>
      <c r="G173" s="18">
        <v>0.0</v>
      </c>
      <c r="H173" s="16" t="s">
        <v>224</v>
      </c>
      <c r="I173" s="19">
        <f t="shared" ref="I173:J173" si="172">round(D173*$A173,0)</f>
        <v>0</v>
      </c>
      <c r="J173" s="19">
        <f t="shared" si="172"/>
        <v>0</v>
      </c>
    </row>
    <row r="174" ht="22.5" customHeight="1">
      <c r="A174" s="16">
        <v>5.0</v>
      </c>
      <c r="B174" s="16">
        <v>20.0</v>
      </c>
      <c r="C174" s="16">
        <v>6.0</v>
      </c>
      <c r="D174" s="16">
        <v>1.6</v>
      </c>
      <c r="E174" s="16">
        <v>0.4</v>
      </c>
      <c r="F174" s="16">
        <v>0.0</v>
      </c>
      <c r="G174" s="20">
        <v>0.667</v>
      </c>
      <c r="H174" s="16" t="s">
        <v>47</v>
      </c>
      <c r="I174" s="19">
        <f t="shared" ref="I174:J174" si="173">round(D174*$A174,0)</f>
        <v>8</v>
      </c>
      <c r="J174" s="19">
        <f t="shared" si="173"/>
        <v>2</v>
      </c>
    </row>
    <row r="175" ht="22.5" customHeight="1">
      <c r="A175" s="16">
        <v>1.0</v>
      </c>
      <c r="B175" s="16">
        <v>4.0</v>
      </c>
      <c r="C175" s="16">
        <v>0.0</v>
      </c>
      <c r="D175" s="16">
        <v>0.0</v>
      </c>
      <c r="E175" s="16">
        <v>0.0</v>
      </c>
      <c r="F175" s="16">
        <v>0.0</v>
      </c>
      <c r="G175" s="18">
        <v>0.0</v>
      </c>
      <c r="H175" s="16" t="s">
        <v>225</v>
      </c>
      <c r="I175" s="19">
        <f t="shared" ref="I175:J175" si="174">round(D175*$A175,0)</f>
        <v>0</v>
      </c>
      <c r="J175" s="19">
        <f t="shared" si="174"/>
        <v>0</v>
      </c>
    </row>
    <row r="176" ht="22.5" customHeight="1">
      <c r="A176" s="16">
        <v>1.0</v>
      </c>
      <c r="B176" s="16">
        <v>4.0</v>
      </c>
      <c r="C176" s="16">
        <v>0.0</v>
      </c>
      <c r="D176" s="16">
        <v>0.0</v>
      </c>
      <c r="E176" s="16">
        <v>0.0</v>
      </c>
      <c r="F176" s="16">
        <v>0.0</v>
      </c>
      <c r="G176" s="18">
        <v>0.0</v>
      </c>
      <c r="H176" s="16" t="s">
        <v>226</v>
      </c>
      <c r="I176" s="19">
        <f t="shared" ref="I176:J176" si="175">round(D176*$A176,0)</f>
        <v>0</v>
      </c>
      <c r="J176" s="19">
        <f t="shared" si="175"/>
        <v>0</v>
      </c>
    </row>
    <row r="177" ht="22.5" customHeight="1">
      <c r="A177" s="16">
        <v>3.0</v>
      </c>
      <c r="B177" s="16">
        <v>12.0</v>
      </c>
      <c r="C177" s="16">
        <v>0.0</v>
      </c>
      <c r="D177" s="16">
        <v>0.0</v>
      </c>
      <c r="E177" s="16">
        <v>0.0</v>
      </c>
      <c r="F177" s="16">
        <v>0.0</v>
      </c>
      <c r="G177" s="18">
        <v>0.0</v>
      </c>
      <c r="H177" s="16" t="s">
        <v>226</v>
      </c>
      <c r="I177" s="19">
        <f t="shared" ref="I177:J177" si="176">round(D177*$A177,0)</f>
        <v>0</v>
      </c>
      <c r="J177" s="19">
        <f t="shared" si="176"/>
        <v>0</v>
      </c>
    </row>
    <row r="178" ht="22.5" customHeight="1">
      <c r="A178" s="16">
        <v>1.0</v>
      </c>
      <c r="B178" s="16">
        <v>4.0</v>
      </c>
      <c r="C178" s="16">
        <v>0.0</v>
      </c>
      <c r="D178" s="16">
        <v>0.0</v>
      </c>
      <c r="E178" s="16">
        <v>0.0</v>
      </c>
      <c r="F178" s="16">
        <v>0.0</v>
      </c>
      <c r="G178" s="18">
        <v>0.0</v>
      </c>
      <c r="H178" s="16" t="s">
        <v>227</v>
      </c>
      <c r="I178" s="19">
        <f t="shared" ref="I178:J178" si="177">round(D178*$A178,0)</f>
        <v>0</v>
      </c>
      <c r="J178" s="19">
        <f t="shared" si="177"/>
        <v>0</v>
      </c>
    </row>
    <row r="179" ht="22.5" customHeight="1">
      <c r="A179" s="16">
        <v>1.0</v>
      </c>
      <c r="B179" s="16">
        <v>4.0</v>
      </c>
      <c r="C179" s="16">
        <v>0.0</v>
      </c>
      <c r="D179" s="16">
        <v>0.0</v>
      </c>
      <c r="E179" s="16">
        <v>0.0</v>
      </c>
      <c r="F179" s="16">
        <v>0.0</v>
      </c>
      <c r="G179" s="18">
        <v>0.0</v>
      </c>
      <c r="H179" s="16" t="s">
        <v>227</v>
      </c>
      <c r="I179" s="19">
        <f t="shared" ref="I179:J179" si="178">round(D179*$A179,0)</f>
        <v>0</v>
      </c>
      <c r="J179" s="19">
        <f t="shared" si="178"/>
        <v>0</v>
      </c>
    </row>
    <row r="180" ht="22.5" customHeight="1">
      <c r="A180" s="16">
        <v>3.0</v>
      </c>
      <c r="B180" s="16">
        <v>12.0</v>
      </c>
      <c r="C180" s="16">
        <v>0.0</v>
      </c>
      <c r="D180" s="16">
        <v>0.0</v>
      </c>
      <c r="E180" s="16">
        <v>0.0</v>
      </c>
      <c r="F180" s="16">
        <v>0.0</v>
      </c>
      <c r="G180" s="18">
        <v>0.0</v>
      </c>
      <c r="H180" s="16" t="s">
        <v>227</v>
      </c>
      <c r="I180" s="19">
        <f t="shared" ref="I180:J180" si="179">round(D180*$A180,0)</f>
        <v>0</v>
      </c>
      <c r="J180" s="19">
        <f t="shared" si="179"/>
        <v>0</v>
      </c>
    </row>
    <row r="181" ht="22.5" customHeight="1">
      <c r="A181" s="16">
        <v>1.0</v>
      </c>
      <c r="B181" s="16">
        <v>4.0</v>
      </c>
      <c r="C181" s="16">
        <v>0.0</v>
      </c>
      <c r="D181" s="16">
        <v>0.0</v>
      </c>
      <c r="E181" s="16">
        <v>0.0</v>
      </c>
      <c r="F181" s="16">
        <v>0.0</v>
      </c>
      <c r="G181" s="18">
        <v>0.0</v>
      </c>
      <c r="H181" s="16" t="s">
        <v>229</v>
      </c>
      <c r="I181" s="19">
        <f t="shared" ref="I181:J181" si="180">round(D181*$A181,0)</f>
        <v>0</v>
      </c>
      <c r="J181" s="19">
        <f t="shared" si="180"/>
        <v>0</v>
      </c>
    </row>
    <row r="182" ht="22.5" customHeight="1">
      <c r="A182" s="16">
        <v>1.0</v>
      </c>
      <c r="B182" s="16">
        <v>4.0</v>
      </c>
      <c r="C182" s="16">
        <v>1.0</v>
      </c>
      <c r="D182" s="16">
        <v>4.0</v>
      </c>
      <c r="E182" s="16">
        <v>0.0</v>
      </c>
      <c r="F182" s="16">
        <v>0.0</v>
      </c>
      <c r="G182" s="18">
        <v>1.0</v>
      </c>
      <c r="H182" s="16" t="s">
        <v>229</v>
      </c>
      <c r="I182" s="19">
        <f t="shared" ref="I182:J182" si="181">round(D182*$A182,0)</f>
        <v>4</v>
      </c>
      <c r="J182" s="19">
        <f t="shared" si="181"/>
        <v>0</v>
      </c>
    </row>
    <row r="183" ht="22.5" customHeight="1">
      <c r="A183" s="16">
        <v>2.0</v>
      </c>
      <c r="B183" s="16">
        <v>8.0</v>
      </c>
      <c r="C183" s="16">
        <v>3.0</v>
      </c>
      <c r="D183" s="16">
        <v>0.0</v>
      </c>
      <c r="E183" s="16">
        <v>0.5</v>
      </c>
      <c r="F183" s="16">
        <v>0.0</v>
      </c>
      <c r="G183" s="20">
        <v>0.333</v>
      </c>
      <c r="H183" s="16" t="s">
        <v>229</v>
      </c>
      <c r="I183" s="19">
        <f t="shared" ref="I183:J183" si="182">round(D183*$A183,0)</f>
        <v>0</v>
      </c>
      <c r="J183" s="19">
        <f t="shared" si="182"/>
        <v>1</v>
      </c>
    </row>
    <row r="184" ht="22.5" customHeight="1">
      <c r="A184" s="16">
        <v>1.0</v>
      </c>
      <c r="B184" s="16">
        <v>4.0</v>
      </c>
      <c r="C184" s="16">
        <v>3.0</v>
      </c>
      <c r="D184" s="16">
        <v>8.0</v>
      </c>
      <c r="E184" s="16">
        <v>0.0</v>
      </c>
      <c r="F184" s="16">
        <v>0.0</v>
      </c>
      <c r="G184" s="20">
        <v>0.667</v>
      </c>
      <c r="H184" s="16" t="s">
        <v>232</v>
      </c>
      <c r="I184" s="19">
        <f t="shared" ref="I184:J184" si="183">round(D184*$A184,0)</f>
        <v>8</v>
      </c>
      <c r="J184" s="19">
        <f t="shared" si="183"/>
        <v>0</v>
      </c>
    </row>
    <row r="185" ht="22.5" customHeight="1">
      <c r="A185" s="16">
        <v>3.0</v>
      </c>
      <c r="B185" s="16">
        <v>12.0</v>
      </c>
      <c r="C185" s="16">
        <v>3.0</v>
      </c>
      <c r="D185" s="16">
        <v>2.67</v>
      </c>
      <c r="E185" s="16">
        <v>0.0</v>
      </c>
      <c r="F185" s="16">
        <v>0.0</v>
      </c>
      <c r="G185" s="20">
        <v>0.667</v>
      </c>
      <c r="H185" s="16" t="s">
        <v>232</v>
      </c>
      <c r="I185" s="19">
        <f t="shared" ref="I185:J185" si="184">round(D185*$A185,0)</f>
        <v>8</v>
      </c>
      <c r="J185" s="19">
        <f t="shared" si="184"/>
        <v>0</v>
      </c>
    </row>
    <row r="186" ht="22.5" customHeight="1">
      <c r="A186" s="16">
        <v>1.0</v>
      </c>
      <c r="B186" s="16">
        <v>4.0</v>
      </c>
      <c r="C186" s="16">
        <v>1.0</v>
      </c>
      <c r="D186" s="16">
        <v>-4.0</v>
      </c>
      <c r="E186" s="16">
        <v>1.0</v>
      </c>
      <c r="F186" s="16">
        <v>0.0</v>
      </c>
      <c r="G186" s="18">
        <v>0.0</v>
      </c>
      <c r="H186" s="16" t="s">
        <v>232</v>
      </c>
      <c r="I186" s="19">
        <f t="shared" ref="I186:J186" si="185">round(D186*$A186,0)</f>
        <v>-4</v>
      </c>
      <c r="J186" s="19">
        <f t="shared" si="185"/>
        <v>1</v>
      </c>
    </row>
    <row r="187" ht="22.5" customHeight="1">
      <c r="A187" s="16">
        <v>1.0</v>
      </c>
      <c r="B187" s="16">
        <v>4.0</v>
      </c>
      <c r="C187" s="16">
        <v>0.0</v>
      </c>
      <c r="D187" s="16">
        <v>0.0</v>
      </c>
      <c r="E187" s="16">
        <v>0.0</v>
      </c>
      <c r="F187" s="16">
        <v>0.0</v>
      </c>
      <c r="G187" s="18">
        <v>0.0</v>
      </c>
      <c r="H187" s="16" t="s">
        <v>233</v>
      </c>
      <c r="I187" s="19">
        <f t="shared" ref="I187:J187" si="186">round(D187*$A187,0)</f>
        <v>0</v>
      </c>
      <c r="J187" s="19">
        <f t="shared" si="186"/>
        <v>0</v>
      </c>
    </row>
    <row r="188" ht="22.5" customHeight="1">
      <c r="A188" s="16">
        <v>1.0</v>
      </c>
      <c r="B188" s="16">
        <v>4.0</v>
      </c>
      <c r="C188" s="16">
        <v>0.0</v>
      </c>
      <c r="D188" s="16">
        <v>0.0</v>
      </c>
      <c r="E188" s="16">
        <v>0.0</v>
      </c>
      <c r="F188" s="16">
        <v>0.0</v>
      </c>
      <c r="G188" s="18">
        <v>0.0</v>
      </c>
      <c r="H188" s="16" t="s">
        <v>233</v>
      </c>
      <c r="I188" s="19">
        <f t="shared" ref="I188:J188" si="187">round(D188*$A188,0)</f>
        <v>0</v>
      </c>
      <c r="J188" s="19">
        <f t="shared" si="187"/>
        <v>0</v>
      </c>
    </row>
    <row r="189" ht="22.5" customHeight="1">
      <c r="A189" s="16">
        <v>1.0</v>
      </c>
      <c r="B189" s="16">
        <v>4.0</v>
      </c>
      <c r="C189" s="16">
        <v>0.0</v>
      </c>
      <c r="D189" s="16">
        <v>0.0</v>
      </c>
      <c r="E189" s="16">
        <v>0.0</v>
      </c>
      <c r="F189" s="16">
        <v>0.0</v>
      </c>
      <c r="G189" s="18">
        <v>0.0</v>
      </c>
      <c r="H189" s="16" t="s">
        <v>233</v>
      </c>
      <c r="I189" s="19">
        <f t="shared" ref="I189:J189" si="188">round(D189*$A189,0)</f>
        <v>0</v>
      </c>
      <c r="J189" s="19">
        <f t="shared" si="188"/>
        <v>0</v>
      </c>
    </row>
    <row r="190" ht="22.5" customHeight="1">
      <c r="A190" s="16">
        <v>1.0</v>
      </c>
      <c r="B190" s="16">
        <v>4.0</v>
      </c>
      <c r="C190" s="16">
        <v>0.0</v>
      </c>
      <c r="D190" s="16">
        <v>0.0</v>
      </c>
      <c r="E190" s="16">
        <v>0.0</v>
      </c>
      <c r="F190" s="16">
        <v>0.0</v>
      </c>
      <c r="G190" s="18">
        <v>0.0</v>
      </c>
      <c r="H190" s="16" t="s">
        <v>233</v>
      </c>
      <c r="I190" s="19">
        <f t="shared" ref="I190:J190" si="189">round(D190*$A190,0)</f>
        <v>0</v>
      </c>
      <c r="J190" s="19">
        <f t="shared" si="189"/>
        <v>0</v>
      </c>
    </row>
    <row r="191" ht="22.5" customHeight="1">
      <c r="A191" s="16">
        <v>2.0</v>
      </c>
      <c r="B191" s="16">
        <v>8.0</v>
      </c>
      <c r="C191" s="16">
        <v>1.0</v>
      </c>
      <c r="D191" s="16">
        <v>2.0</v>
      </c>
      <c r="E191" s="16">
        <v>0.0</v>
      </c>
      <c r="F191" s="16">
        <v>0.0</v>
      </c>
      <c r="G191" s="18">
        <v>1.0</v>
      </c>
      <c r="H191" s="16" t="s">
        <v>234</v>
      </c>
      <c r="I191" s="19">
        <f t="shared" ref="I191:J191" si="190">round(D191*$A191,0)</f>
        <v>4</v>
      </c>
      <c r="J191" s="19">
        <f t="shared" si="190"/>
        <v>0</v>
      </c>
    </row>
    <row r="192" ht="22.5" customHeight="1">
      <c r="A192" s="16">
        <v>1.0</v>
      </c>
      <c r="B192" s="16">
        <v>4.0</v>
      </c>
      <c r="C192" s="16">
        <v>0.0</v>
      </c>
      <c r="D192" s="16">
        <v>0.0</v>
      </c>
      <c r="E192" s="16">
        <v>0.0</v>
      </c>
      <c r="F192" s="16">
        <v>0.0</v>
      </c>
      <c r="G192" s="18">
        <v>0.0</v>
      </c>
      <c r="H192" s="16" t="s">
        <v>153</v>
      </c>
      <c r="I192" s="19">
        <f t="shared" ref="I192:J192" si="191">round(D192*$A192,0)</f>
        <v>0</v>
      </c>
      <c r="J192" s="19">
        <f t="shared" si="191"/>
        <v>0</v>
      </c>
    </row>
    <row r="193" ht="22.5" customHeight="1">
      <c r="A193" s="16">
        <v>4.0</v>
      </c>
      <c r="B193" s="16">
        <v>16.0</v>
      </c>
      <c r="C193" s="16">
        <v>0.0</v>
      </c>
      <c r="D193" s="16">
        <v>0.0</v>
      </c>
      <c r="E193" s="16">
        <v>0.0</v>
      </c>
      <c r="F193" s="16">
        <v>0.0</v>
      </c>
      <c r="G193" s="18">
        <v>0.0</v>
      </c>
      <c r="H193" s="16" t="s">
        <v>235</v>
      </c>
      <c r="I193" s="19">
        <f t="shared" ref="I193:J193" si="192">round(D193*$A193,0)</f>
        <v>0</v>
      </c>
      <c r="J193" s="19">
        <f t="shared" si="192"/>
        <v>0</v>
      </c>
    </row>
    <row r="194" ht="22.5" customHeight="1">
      <c r="A194" s="16">
        <v>1.0</v>
      </c>
      <c r="B194" s="16">
        <v>4.0</v>
      </c>
      <c r="C194" s="16">
        <v>2.0</v>
      </c>
      <c r="D194" s="16">
        <v>8.0</v>
      </c>
      <c r="E194" s="16">
        <v>0.0</v>
      </c>
      <c r="F194" s="16">
        <v>0.0</v>
      </c>
      <c r="G194" s="18">
        <v>1.0</v>
      </c>
      <c r="H194" s="16" t="s">
        <v>202</v>
      </c>
      <c r="I194" s="19">
        <f t="shared" ref="I194:J194" si="193">round(D194*$A194,0)</f>
        <v>8</v>
      </c>
      <c r="J194" s="19">
        <f t="shared" si="193"/>
        <v>0</v>
      </c>
    </row>
    <row r="195" ht="22.5" customHeight="1">
      <c r="A195" s="16">
        <v>4.0</v>
      </c>
      <c r="B195" s="16">
        <v>16.0</v>
      </c>
      <c r="C195" s="16">
        <v>8.0</v>
      </c>
      <c r="D195" s="16">
        <v>5.0</v>
      </c>
      <c r="E195" s="16">
        <v>0.25</v>
      </c>
      <c r="F195" s="16">
        <v>0.0</v>
      </c>
      <c r="G195" s="18">
        <v>0.75</v>
      </c>
      <c r="H195" s="16" t="s">
        <v>202</v>
      </c>
      <c r="I195" s="19">
        <f t="shared" ref="I195:J195" si="194">round(D195*$A195,0)</f>
        <v>20</v>
      </c>
      <c r="J195" s="19">
        <f t="shared" si="194"/>
        <v>1</v>
      </c>
    </row>
    <row r="196" ht="22.5" customHeight="1">
      <c r="A196" s="16">
        <v>1.0</v>
      </c>
      <c r="B196" s="16">
        <v>4.0</v>
      </c>
      <c r="C196" s="16">
        <v>0.0</v>
      </c>
      <c r="D196" s="16">
        <v>0.0</v>
      </c>
      <c r="E196" s="16">
        <v>0.0</v>
      </c>
      <c r="F196" s="16">
        <v>0.0</v>
      </c>
      <c r="G196" s="18">
        <v>0.0</v>
      </c>
      <c r="H196" s="16" t="s">
        <v>135</v>
      </c>
      <c r="I196" s="19">
        <f t="shared" ref="I196:J196" si="195">round(D196*$A196,0)</f>
        <v>0</v>
      </c>
      <c r="J196" s="19">
        <f t="shared" si="195"/>
        <v>0</v>
      </c>
    </row>
    <row r="197" ht="22.5" customHeight="1">
      <c r="A197" s="16">
        <v>3.0</v>
      </c>
      <c r="B197" s="16">
        <v>12.0</v>
      </c>
      <c r="C197" s="16">
        <v>0.0</v>
      </c>
      <c r="D197" s="16">
        <v>0.0</v>
      </c>
      <c r="E197" s="16">
        <v>0.0</v>
      </c>
      <c r="F197" s="16">
        <v>0.0</v>
      </c>
      <c r="G197" s="18">
        <v>0.0</v>
      </c>
      <c r="H197" s="16" t="s">
        <v>135</v>
      </c>
      <c r="I197" s="19">
        <f t="shared" ref="I197:J197" si="196">round(D197*$A197,0)</f>
        <v>0</v>
      </c>
      <c r="J197" s="19">
        <f t="shared" si="196"/>
        <v>0</v>
      </c>
    </row>
    <row r="198" ht="22.5" customHeight="1">
      <c r="A198" s="16">
        <v>1.0</v>
      </c>
      <c r="B198" s="16">
        <v>4.0</v>
      </c>
      <c r="C198" s="16">
        <v>0.0</v>
      </c>
      <c r="D198" s="16">
        <v>0.0</v>
      </c>
      <c r="E198" s="16">
        <v>0.0</v>
      </c>
      <c r="F198" s="16">
        <v>0.0</v>
      </c>
      <c r="G198" s="18">
        <v>0.0</v>
      </c>
      <c r="H198" s="16" t="s">
        <v>236</v>
      </c>
      <c r="I198" s="19">
        <f t="shared" ref="I198:J198" si="197">round(D198*$A198,0)</f>
        <v>0</v>
      </c>
      <c r="J198" s="19">
        <f t="shared" si="197"/>
        <v>0</v>
      </c>
    </row>
    <row r="199" ht="22.5" customHeight="1">
      <c r="A199" s="16">
        <v>1.0</v>
      </c>
      <c r="B199" s="16">
        <v>4.0</v>
      </c>
      <c r="C199" s="16">
        <v>0.0</v>
      </c>
      <c r="D199" s="16">
        <v>0.0</v>
      </c>
      <c r="E199" s="16">
        <v>0.0</v>
      </c>
      <c r="F199" s="16">
        <v>0.0</v>
      </c>
      <c r="G199" s="18">
        <v>0.0</v>
      </c>
      <c r="H199" s="16" t="s">
        <v>236</v>
      </c>
      <c r="I199" s="19">
        <f t="shared" ref="I199:J199" si="198">round(D199*$A199,0)</f>
        <v>0</v>
      </c>
      <c r="J199" s="19">
        <f t="shared" si="198"/>
        <v>0</v>
      </c>
    </row>
    <row r="200" ht="22.5" customHeight="1">
      <c r="A200" s="16">
        <v>1.0</v>
      </c>
      <c r="B200" s="16">
        <v>4.0</v>
      </c>
      <c r="C200" s="16">
        <v>1.0</v>
      </c>
      <c r="D200" s="16">
        <v>4.0</v>
      </c>
      <c r="E200" s="16">
        <v>0.0</v>
      </c>
      <c r="F200" s="16">
        <v>0.0</v>
      </c>
      <c r="G200" s="18">
        <v>1.0</v>
      </c>
      <c r="H200" s="16" t="s">
        <v>237</v>
      </c>
      <c r="I200" s="19">
        <f t="shared" ref="I200:J200" si="199">round(D200*$A200,0)</f>
        <v>4</v>
      </c>
      <c r="J200" s="19">
        <f t="shared" si="199"/>
        <v>0</v>
      </c>
    </row>
    <row r="201" ht="22.5" customHeight="1">
      <c r="A201" s="16">
        <v>5.0</v>
      </c>
      <c r="B201" s="16">
        <v>21.0</v>
      </c>
      <c r="C201" s="16">
        <v>8.0</v>
      </c>
      <c r="D201" s="16">
        <v>4.8</v>
      </c>
      <c r="E201" s="16">
        <v>0.0</v>
      </c>
      <c r="F201" s="16">
        <v>0.0</v>
      </c>
      <c r="G201" s="18">
        <v>0.75</v>
      </c>
      <c r="H201" s="16" t="s">
        <v>182</v>
      </c>
      <c r="I201" s="19">
        <f t="shared" ref="I201:J201" si="200">round(D201*$A201,0)</f>
        <v>24</v>
      </c>
      <c r="J201" s="19">
        <f t="shared" si="200"/>
        <v>0</v>
      </c>
    </row>
    <row r="202" ht="22.5" customHeight="1">
      <c r="A202" s="16">
        <v>5.0</v>
      </c>
      <c r="B202" s="16">
        <v>21.0</v>
      </c>
      <c r="C202" s="16">
        <v>2.0</v>
      </c>
      <c r="D202" s="16">
        <v>0.8</v>
      </c>
      <c r="E202" s="16">
        <v>0.0</v>
      </c>
      <c r="F202" s="16">
        <v>0.0</v>
      </c>
      <c r="G202" s="18">
        <v>0.5</v>
      </c>
      <c r="H202" s="16" t="s">
        <v>204</v>
      </c>
      <c r="I202" s="19">
        <f t="shared" ref="I202:J202" si="201">round(D202*$A202,0)</f>
        <v>4</v>
      </c>
      <c r="J202" s="19">
        <f t="shared" si="201"/>
        <v>0</v>
      </c>
    </row>
    <row r="203" ht="22.5" customHeight="1">
      <c r="A203" s="16">
        <v>3.0</v>
      </c>
      <c r="B203" s="16">
        <v>12.0</v>
      </c>
      <c r="C203" s="16">
        <v>7.0</v>
      </c>
      <c r="D203" s="16">
        <v>1.33</v>
      </c>
      <c r="E203" s="16">
        <v>0.33</v>
      </c>
      <c r="F203" s="16">
        <v>0.0</v>
      </c>
      <c r="G203" s="20">
        <v>0.286</v>
      </c>
      <c r="H203" s="16" t="s">
        <v>238</v>
      </c>
      <c r="I203" s="19">
        <f t="shared" ref="I203:J203" si="202">round(D203*$A203,0)</f>
        <v>4</v>
      </c>
      <c r="J203" s="19">
        <f t="shared" si="202"/>
        <v>1</v>
      </c>
    </row>
    <row r="204" ht="22.5" customHeight="1">
      <c r="A204" s="16">
        <v>5.0</v>
      </c>
      <c r="B204" s="16">
        <v>20.0</v>
      </c>
      <c r="C204" s="16">
        <v>1.0</v>
      </c>
      <c r="D204" s="16">
        <v>0.8</v>
      </c>
      <c r="E204" s="16">
        <v>0.0</v>
      </c>
      <c r="F204" s="16">
        <v>0.0</v>
      </c>
      <c r="G204" s="18">
        <v>1.0</v>
      </c>
      <c r="H204" s="16" t="s">
        <v>149</v>
      </c>
      <c r="I204" s="19">
        <f t="shared" ref="I204:J204" si="203">round(D204*$A204,0)</f>
        <v>4</v>
      </c>
      <c r="J204" s="19">
        <f t="shared" si="203"/>
        <v>0</v>
      </c>
    </row>
    <row r="205" ht="22.5" customHeight="1">
      <c r="A205" s="16">
        <v>3.0</v>
      </c>
      <c r="B205" s="16">
        <v>12.0</v>
      </c>
      <c r="C205" s="16">
        <v>1.0</v>
      </c>
      <c r="D205" s="16">
        <v>1.33</v>
      </c>
      <c r="E205" s="16">
        <v>0.0</v>
      </c>
      <c r="F205" s="16">
        <v>0.0</v>
      </c>
      <c r="G205" s="18">
        <v>1.0</v>
      </c>
      <c r="H205" s="16" t="s">
        <v>240</v>
      </c>
      <c r="I205" s="19">
        <f t="shared" ref="I205:J205" si="204">round(D205*$A205,0)</f>
        <v>4</v>
      </c>
      <c r="J205" s="19">
        <f t="shared" si="204"/>
        <v>0</v>
      </c>
    </row>
    <row r="206" ht="22.5" customHeight="1">
      <c r="A206" s="16">
        <v>1.0</v>
      </c>
      <c r="B206" s="16">
        <v>4.0</v>
      </c>
      <c r="C206" s="16">
        <v>0.0</v>
      </c>
      <c r="D206" s="16">
        <v>0.0</v>
      </c>
      <c r="E206" s="16">
        <v>0.0</v>
      </c>
      <c r="F206" s="16">
        <v>0.0</v>
      </c>
      <c r="G206" s="18">
        <v>0.0</v>
      </c>
      <c r="H206" s="16" t="s">
        <v>242</v>
      </c>
      <c r="I206" s="19">
        <f t="shared" ref="I206:J206" si="205">round(D206*$A206,0)</f>
        <v>0</v>
      </c>
      <c r="J206" s="19">
        <f t="shared" si="205"/>
        <v>0</v>
      </c>
    </row>
    <row r="207" ht="22.5" customHeight="1">
      <c r="A207" s="16">
        <v>1.0</v>
      </c>
      <c r="B207" s="16">
        <v>4.0</v>
      </c>
      <c r="C207" s="16">
        <v>0.0</v>
      </c>
      <c r="D207" s="16">
        <v>0.0</v>
      </c>
      <c r="E207" s="16">
        <v>0.0</v>
      </c>
      <c r="F207" s="16">
        <v>0.0</v>
      </c>
      <c r="G207" s="18">
        <v>0.0</v>
      </c>
      <c r="H207" s="16" t="s">
        <v>243</v>
      </c>
      <c r="I207" s="19">
        <f t="shared" ref="I207:J207" si="206">round(D207*$A207,0)</f>
        <v>0</v>
      </c>
      <c r="J207" s="19">
        <f t="shared" si="206"/>
        <v>0</v>
      </c>
    </row>
    <row r="208" ht="22.5" customHeight="1">
      <c r="A208" s="16">
        <v>3.0</v>
      </c>
      <c r="B208" s="16">
        <v>12.0</v>
      </c>
      <c r="C208" s="16">
        <v>7.0</v>
      </c>
      <c r="D208" s="16">
        <v>6.67</v>
      </c>
      <c r="E208" s="16">
        <v>0.33</v>
      </c>
      <c r="F208" s="16">
        <v>0.0</v>
      </c>
      <c r="G208" s="20">
        <v>0.857</v>
      </c>
      <c r="H208" s="16" t="s">
        <v>244</v>
      </c>
      <c r="I208" s="19">
        <f t="shared" ref="I208:J208" si="207">round(D208*$A208,0)</f>
        <v>20</v>
      </c>
      <c r="J208" s="19">
        <f t="shared" si="207"/>
        <v>1</v>
      </c>
    </row>
    <row r="209" ht="22.5" customHeight="1">
      <c r="A209" s="16">
        <v>2.0</v>
      </c>
      <c r="B209" s="16">
        <v>8.0</v>
      </c>
      <c r="C209" s="16">
        <v>5.0</v>
      </c>
      <c r="D209" s="16">
        <v>4.0</v>
      </c>
      <c r="E209" s="16">
        <v>0.5</v>
      </c>
      <c r="F209" s="16">
        <v>0.0</v>
      </c>
      <c r="G209" s="18">
        <v>0.6</v>
      </c>
      <c r="H209" s="16" t="s">
        <v>244</v>
      </c>
      <c r="I209" s="19">
        <f t="shared" ref="I209:J209" si="208">round(D209*$A209,0)</f>
        <v>8</v>
      </c>
      <c r="J209" s="19">
        <f t="shared" si="208"/>
        <v>1</v>
      </c>
    </row>
    <row r="210" ht="22.5" customHeight="1">
      <c r="A210" s="16">
        <v>3.0</v>
      </c>
      <c r="B210" s="16">
        <v>12.0</v>
      </c>
      <c r="C210" s="16">
        <v>1.0</v>
      </c>
      <c r="D210" s="16">
        <v>1.33</v>
      </c>
      <c r="E210" s="16">
        <v>0.0</v>
      </c>
      <c r="F210" s="16">
        <v>0.0</v>
      </c>
      <c r="G210" s="18">
        <v>1.0</v>
      </c>
      <c r="H210" s="16" t="s">
        <v>185</v>
      </c>
      <c r="I210" s="19">
        <f t="shared" ref="I210:J210" si="209">round(D210*$A210,0)</f>
        <v>4</v>
      </c>
      <c r="J210" s="19">
        <f t="shared" si="209"/>
        <v>0</v>
      </c>
    </row>
    <row r="211" ht="22.5" customHeight="1">
      <c r="A211" s="16">
        <v>2.0</v>
      </c>
      <c r="B211" s="16">
        <v>8.0</v>
      </c>
      <c r="C211" s="16">
        <v>0.0</v>
      </c>
      <c r="D211" s="16">
        <v>0.0</v>
      </c>
      <c r="E211" s="16">
        <v>0.0</v>
      </c>
      <c r="F211" s="16">
        <v>0.0</v>
      </c>
      <c r="G211" s="18">
        <v>0.0</v>
      </c>
      <c r="H211" s="16" t="s">
        <v>185</v>
      </c>
      <c r="I211" s="19">
        <f t="shared" ref="I211:J211" si="210">round(D211*$A211,0)</f>
        <v>0</v>
      </c>
      <c r="J211" s="19">
        <f t="shared" si="210"/>
        <v>0</v>
      </c>
    </row>
    <row r="212" ht="22.5" customHeight="1">
      <c r="A212" s="16">
        <v>3.0</v>
      </c>
      <c r="B212" s="16">
        <v>12.0</v>
      </c>
      <c r="C212" s="16">
        <v>0.0</v>
      </c>
      <c r="D212" s="16">
        <v>0.0</v>
      </c>
      <c r="E212" s="16">
        <v>0.0</v>
      </c>
      <c r="F212" s="16">
        <v>0.0</v>
      </c>
      <c r="G212" s="18">
        <v>0.0</v>
      </c>
      <c r="H212" s="16" t="s">
        <v>248</v>
      </c>
      <c r="I212" s="19">
        <f t="shared" ref="I212:J212" si="211">round(D212*$A212,0)</f>
        <v>0</v>
      </c>
      <c r="J212" s="19">
        <f t="shared" si="211"/>
        <v>0</v>
      </c>
    </row>
    <row r="213" ht="22.5" customHeight="1">
      <c r="A213" s="16">
        <v>2.0</v>
      </c>
      <c r="B213" s="16">
        <v>8.0</v>
      </c>
      <c r="C213" s="16">
        <v>0.0</v>
      </c>
      <c r="D213" s="16">
        <v>0.0</v>
      </c>
      <c r="E213" s="16">
        <v>0.0</v>
      </c>
      <c r="F213" s="16">
        <v>0.0</v>
      </c>
      <c r="G213" s="18">
        <v>0.0</v>
      </c>
      <c r="H213" s="16" t="s">
        <v>248</v>
      </c>
      <c r="I213" s="19">
        <f t="shared" ref="I213:J213" si="212">round(D213*$A213,0)</f>
        <v>0</v>
      </c>
      <c r="J213" s="19">
        <f t="shared" si="212"/>
        <v>0</v>
      </c>
    </row>
    <row r="214" ht="22.5" customHeight="1">
      <c r="A214" s="16">
        <v>2.0</v>
      </c>
      <c r="B214" s="16">
        <v>8.0</v>
      </c>
      <c r="C214" s="16">
        <v>0.0</v>
      </c>
      <c r="D214" s="16">
        <v>0.0</v>
      </c>
      <c r="E214" s="16">
        <v>0.0</v>
      </c>
      <c r="F214" s="16">
        <v>0.0</v>
      </c>
      <c r="G214" s="18">
        <v>0.0</v>
      </c>
      <c r="H214" s="16" t="s">
        <v>250</v>
      </c>
      <c r="I214" s="19">
        <f t="shared" ref="I214:J214" si="213">round(D214*$A214,0)</f>
        <v>0</v>
      </c>
      <c r="J214" s="19">
        <f t="shared" si="213"/>
        <v>0</v>
      </c>
    </row>
    <row r="215" ht="22.5" customHeight="1">
      <c r="A215" s="16">
        <v>1.0</v>
      </c>
      <c r="B215" s="16">
        <v>4.0</v>
      </c>
      <c r="C215" s="16">
        <v>0.0</v>
      </c>
      <c r="D215" s="16">
        <v>0.0</v>
      </c>
      <c r="E215" s="16">
        <v>0.0</v>
      </c>
      <c r="F215" s="16">
        <v>0.0</v>
      </c>
      <c r="G215" s="18">
        <v>0.0</v>
      </c>
      <c r="H215" s="16" t="s">
        <v>250</v>
      </c>
      <c r="I215" s="19">
        <f t="shared" ref="I215:J215" si="214">round(D215*$A215,0)</f>
        <v>0</v>
      </c>
      <c r="J215" s="19">
        <f t="shared" si="214"/>
        <v>0</v>
      </c>
    </row>
    <row r="216" ht="22.5" customHeight="1">
      <c r="A216" s="16">
        <v>1.0</v>
      </c>
      <c r="B216" s="16">
        <v>4.0</v>
      </c>
      <c r="C216" s="16">
        <v>0.0</v>
      </c>
      <c r="D216" s="16">
        <v>0.0</v>
      </c>
      <c r="E216" s="16">
        <v>0.0</v>
      </c>
      <c r="F216" s="16">
        <v>0.0</v>
      </c>
      <c r="G216" s="18">
        <v>0.0</v>
      </c>
      <c r="H216" s="16" t="s">
        <v>251</v>
      </c>
      <c r="I216" s="19">
        <f t="shared" ref="I216:J216" si="215">round(D216*$A216,0)</f>
        <v>0</v>
      </c>
      <c r="J216" s="19">
        <f t="shared" si="215"/>
        <v>0</v>
      </c>
    </row>
    <row r="217" ht="22.5" customHeight="1">
      <c r="A217" s="16">
        <v>1.0</v>
      </c>
      <c r="B217" s="16">
        <v>4.0</v>
      </c>
      <c r="C217" s="16">
        <v>0.0</v>
      </c>
      <c r="D217" s="16">
        <v>0.0</v>
      </c>
      <c r="E217" s="16">
        <v>0.0</v>
      </c>
      <c r="F217" s="16">
        <v>0.0</v>
      </c>
      <c r="G217" s="18">
        <v>0.0</v>
      </c>
      <c r="H217" s="16" t="s">
        <v>239</v>
      </c>
      <c r="I217" s="19">
        <f t="shared" ref="I217:J217" si="216">round(D217*$A217,0)</f>
        <v>0</v>
      </c>
      <c r="J217" s="19">
        <f t="shared" si="216"/>
        <v>0</v>
      </c>
    </row>
    <row r="218" ht="22.5" customHeight="1">
      <c r="A218" s="16">
        <v>4.0</v>
      </c>
      <c r="B218" s="16">
        <v>16.0</v>
      </c>
      <c r="C218" s="16">
        <v>1.0</v>
      </c>
      <c r="D218" s="16">
        <v>1.0</v>
      </c>
      <c r="E218" s="16">
        <v>0.0</v>
      </c>
      <c r="F218" s="16">
        <v>0.0</v>
      </c>
      <c r="G218" s="18">
        <v>1.0</v>
      </c>
      <c r="H218" s="16" t="s">
        <v>253</v>
      </c>
      <c r="I218" s="19">
        <f t="shared" ref="I218:J218" si="217">round(D218*$A218,0)</f>
        <v>4</v>
      </c>
      <c r="J218" s="19">
        <f t="shared" si="217"/>
        <v>0</v>
      </c>
    </row>
    <row r="219" ht="22.5" customHeight="1">
      <c r="A219" s="16">
        <v>1.0</v>
      </c>
      <c r="B219" s="16">
        <v>4.0</v>
      </c>
      <c r="C219" s="16">
        <v>0.0</v>
      </c>
      <c r="D219" s="16">
        <v>0.0</v>
      </c>
      <c r="E219" s="16">
        <v>0.0</v>
      </c>
      <c r="F219" s="16">
        <v>0.0</v>
      </c>
      <c r="G219" s="18">
        <v>0.0</v>
      </c>
      <c r="H219" s="16" t="s">
        <v>253</v>
      </c>
      <c r="I219" s="19">
        <f t="shared" ref="I219:J219" si="218">round(D219*$A219,0)</f>
        <v>0</v>
      </c>
      <c r="J219" s="19">
        <f t="shared" si="218"/>
        <v>0</v>
      </c>
    </row>
    <row r="220" ht="22.5" customHeight="1">
      <c r="A220" s="16">
        <v>4.0</v>
      </c>
      <c r="B220" s="16">
        <v>16.0</v>
      </c>
      <c r="C220" s="16">
        <v>0.0</v>
      </c>
      <c r="D220" s="16">
        <v>0.0</v>
      </c>
      <c r="E220" s="16">
        <v>0.0</v>
      </c>
      <c r="F220" s="16">
        <v>0.0</v>
      </c>
      <c r="G220" s="18">
        <v>0.0</v>
      </c>
      <c r="H220" s="16" t="s">
        <v>255</v>
      </c>
      <c r="I220" s="19">
        <f t="shared" ref="I220:J220" si="219">round(D220*$A220,0)</f>
        <v>0</v>
      </c>
      <c r="J220" s="19">
        <f t="shared" si="219"/>
        <v>0</v>
      </c>
    </row>
    <row r="221" ht="22.5" customHeight="1">
      <c r="A221" s="16">
        <v>1.0</v>
      </c>
      <c r="B221" s="16">
        <v>4.0</v>
      </c>
      <c r="C221" s="16">
        <v>0.0</v>
      </c>
      <c r="D221" s="16">
        <v>0.0</v>
      </c>
      <c r="E221" s="16">
        <v>0.0</v>
      </c>
      <c r="F221" s="16">
        <v>0.0</v>
      </c>
      <c r="G221" s="18">
        <v>0.0</v>
      </c>
      <c r="H221" s="16" t="s">
        <v>255</v>
      </c>
      <c r="I221" s="19">
        <f t="shared" ref="I221:J221" si="220">round(D221*$A221,0)</f>
        <v>0</v>
      </c>
      <c r="J221" s="19">
        <f t="shared" si="220"/>
        <v>0</v>
      </c>
    </row>
    <row r="222" ht="22.5" customHeight="1">
      <c r="A222" s="16">
        <v>4.0</v>
      </c>
      <c r="B222" s="16">
        <v>16.0</v>
      </c>
      <c r="C222" s="16">
        <v>13.0</v>
      </c>
      <c r="D222" s="16">
        <v>9.0</v>
      </c>
      <c r="E222" s="16">
        <v>0.25</v>
      </c>
      <c r="F222" s="16">
        <v>0.0</v>
      </c>
      <c r="G222" s="20">
        <v>0.769</v>
      </c>
      <c r="H222" s="16" t="s">
        <v>164</v>
      </c>
      <c r="I222" s="19">
        <f t="shared" ref="I222:J222" si="221">round(D222*$A222,0)</f>
        <v>36</v>
      </c>
      <c r="J222" s="19">
        <f t="shared" si="221"/>
        <v>1</v>
      </c>
    </row>
    <row r="223" ht="22.5" customHeight="1">
      <c r="A223" s="16">
        <v>1.0</v>
      </c>
      <c r="B223" s="16">
        <v>4.0</v>
      </c>
      <c r="C223" s="16">
        <v>1.0</v>
      </c>
      <c r="D223" s="16">
        <v>-4.0</v>
      </c>
      <c r="E223" s="16">
        <v>1.0</v>
      </c>
      <c r="F223" s="16">
        <v>0.0</v>
      </c>
      <c r="G223" s="18">
        <v>0.0</v>
      </c>
      <c r="H223" s="16" t="s">
        <v>164</v>
      </c>
      <c r="I223" s="19">
        <f t="shared" ref="I223:J223" si="222">round(D223*$A223,0)</f>
        <v>-4</v>
      </c>
      <c r="J223" s="19">
        <f t="shared" si="222"/>
        <v>1</v>
      </c>
    </row>
    <row r="224" ht="22.5" customHeight="1">
      <c r="A224" s="16">
        <v>1.0</v>
      </c>
      <c r="B224" s="16">
        <v>4.0</v>
      </c>
      <c r="C224" s="16">
        <v>0.0</v>
      </c>
      <c r="D224" s="16">
        <v>0.0</v>
      </c>
      <c r="E224" s="16">
        <v>0.0</v>
      </c>
      <c r="F224" s="16">
        <v>0.0</v>
      </c>
      <c r="G224" s="18">
        <v>0.0</v>
      </c>
      <c r="H224" s="16" t="s">
        <v>257</v>
      </c>
      <c r="I224" s="19">
        <f t="shared" ref="I224:J224" si="223">round(D224*$A224,0)</f>
        <v>0</v>
      </c>
      <c r="J224" s="19">
        <f t="shared" si="223"/>
        <v>0</v>
      </c>
    </row>
    <row r="225" ht="22.5" customHeight="1">
      <c r="A225" s="16">
        <v>1.0</v>
      </c>
      <c r="B225" s="16">
        <v>4.0</v>
      </c>
      <c r="C225" s="16">
        <v>0.0</v>
      </c>
      <c r="D225" s="16">
        <v>0.0</v>
      </c>
      <c r="E225" s="16">
        <v>0.0</v>
      </c>
      <c r="F225" s="16">
        <v>0.0</v>
      </c>
      <c r="G225" s="18">
        <v>0.0</v>
      </c>
      <c r="H225" s="16" t="s">
        <v>257</v>
      </c>
      <c r="I225" s="19">
        <f t="shared" ref="I225:J225" si="224">round(D225*$A225,0)</f>
        <v>0</v>
      </c>
      <c r="J225" s="19">
        <f t="shared" si="224"/>
        <v>0</v>
      </c>
    </row>
    <row r="226" ht="22.5" customHeight="1">
      <c r="A226" s="16">
        <v>2.0</v>
      </c>
      <c r="B226" s="16">
        <v>8.0</v>
      </c>
      <c r="C226" s="16">
        <v>1.0</v>
      </c>
      <c r="D226" s="16">
        <v>2.0</v>
      </c>
      <c r="E226" s="16">
        <v>0.0</v>
      </c>
      <c r="F226" s="16">
        <v>0.0</v>
      </c>
      <c r="G226" s="18">
        <v>1.0</v>
      </c>
      <c r="H226" s="16" t="s">
        <v>259</v>
      </c>
      <c r="I226" s="19">
        <f t="shared" ref="I226:J226" si="225">round(D226*$A226,0)</f>
        <v>4</v>
      </c>
      <c r="J226" s="19">
        <f t="shared" si="225"/>
        <v>0</v>
      </c>
    </row>
    <row r="227" ht="22.5" customHeight="1">
      <c r="A227" s="16">
        <v>2.0</v>
      </c>
      <c r="B227" s="16">
        <v>8.0</v>
      </c>
      <c r="C227" s="16">
        <v>0.0</v>
      </c>
      <c r="D227" s="16">
        <v>0.0</v>
      </c>
      <c r="E227" s="16">
        <v>0.0</v>
      </c>
      <c r="F227" s="16">
        <v>0.0</v>
      </c>
      <c r="G227" s="18">
        <v>0.0</v>
      </c>
      <c r="H227" s="16" t="s">
        <v>259</v>
      </c>
      <c r="I227" s="19">
        <f t="shared" ref="I227:J227" si="226">round(D227*$A227,0)</f>
        <v>0</v>
      </c>
      <c r="J227" s="19">
        <f t="shared" si="226"/>
        <v>0</v>
      </c>
    </row>
    <row r="228" ht="22.5" customHeight="1">
      <c r="A228" s="16">
        <v>2.0</v>
      </c>
      <c r="B228" s="16">
        <v>8.0</v>
      </c>
      <c r="C228" s="16">
        <v>0.0</v>
      </c>
      <c r="D228" s="16">
        <v>0.0</v>
      </c>
      <c r="E228" s="16">
        <v>0.0</v>
      </c>
      <c r="F228" s="16">
        <v>0.0</v>
      </c>
      <c r="G228" s="18">
        <v>1.0</v>
      </c>
      <c r="H228" s="16" t="s">
        <v>99</v>
      </c>
      <c r="I228" s="19">
        <f t="shared" ref="I228:J228" si="227">round(D228*$A228,0)</f>
        <v>0</v>
      </c>
      <c r="J228" s="19">
        <f t="shared" si="227"/>
        <v>0</v>
      </c>
    </row>
    <row r="229" ht="22.5" customHeight="1">
      <c r="A229" s="16">
        <v>3.0</v>
      </c>
      <c r="B229" s="16">
        <v>12.0</v>
      </c>
      <c r="C229" s="16">
        <v>0.0</v>
      </c>
      <c r="D229" s="16">
        <v>0.0</v>
      </c>
      <c r="E229" s="16">
        <v>0.0</v>
      </c>
      <c r="F229" s="16">
        <v>0.0</v>
      </c>
      <c r="G229" s="18">
        <v>0.0</v>
      </c>
      <c r="H229" s="16" t="s">
        <v>99</v>
      </c>
      <c r="I229" s="19">
        <f t="shared" ref="I229:J229" si="228">round(D229*$A229,0)</f>
        <v>0</v>
      </c>
      <c r="J229" s="19">
        <f t="shared" si="228"/>
        <v>0</v>
      </c>
    </row>
    <row r="230" ht="22.5" customHeight="1">
      <c r="A230" s="16">
        <v>1.0</v>
      </c>
      <c r="B230" s="16">
        <v>4.0</v>
      </c>
      <c r="C230" s="16">
        <v>2.0</v>
      </c>
      <c r="D230" s="16">
        <v>8.0</v>
      </c>
      <c r="E230" s="16">
        <v>0.0</v>
      </c>
      <c r="F230" s="16">
        <v>0.0</v>
      </c>
      <c r="G230" s="18">
        <v>1.0</v>
      </c>
      <c r="H230" s="16" t="s">
        <v>262</v>
      </c>
      <c r="I230" s="19">
        <f t="shared" ref="I230:J230" si="229">round(D230*$A230,0)</f>
        <v>8</v>
      </c>
      <c r="J230" s="19">
        <f t="shared" si="229"/>
        <v>0</v>
      </c>
    </row>
    <row r="231" ht="22.5" customHeight="1">
      <c r="A231" s="16">
        <v>3.0</v>
      </c>
      <c r="B231" s="16">
        <v>12.0</v>
      </c>
      <c r="C231" s="16">
        <v>7.0</v>
      </c>
      <c r="D231" s="16">
        <v>4.0</v>
      </c>
      <c r="E231" s="16">
        <v>0.33</v>
      </c>
      <c r="F231" s="16">
        <v>0.0</v>
      </c>
      <c r="G231" s="20">
        <v>0.571</v>
      </c>
      <c r="H231" s="16" t="s">
        <v>262</v>
      </c>
      <c r="I231" s="19">
        <f t="shared" ref="I231:J231" si="230">round(D231*$A231,0)</f>
        <v>12</v>
      </c>
      <c r="J231" s="19">
        <f t="shared" si="230"/>
        <v>1</v>
      </c>
    </row>
    <row r="232" ht="22.5" customHeight="1">
      <c r="A232" s="16">
        <v>1.0</v>
      </c>
      <c r="B232" s="16">
        <v>4.0</v>
      </c>
      <c r="C232" s="16">
        <v>1.0</v>
      </c>
      <c r="D232" s="16">
        <v>0.0</v>
      </c>
      <c r="E232" s="16">
        <v>0.0</v>
      </c>
      <c r="F232" s="16">
        <v>0.0</v>
      </c>
      <c r="G232" s="18">
        <v>0.0</v>
      </c>
      <c r="H232" s="16" t="s">
        <v>262</v>
      </c>
      <c r="I232" s="19">
        <f t="shared" ref="I232:J232" si="231">round(D232*$A232,0)</f>
        <v>0</v>
      </c>
      <c r="J232" s="19">
        <f t="shared" si="231"/>
        <v>0</v>
      </c>
    </row>
    <row r="233" ht="22.5" customHeight="1">
      <c r="A233" s="16">
        <v>1.0</v>
      </c>
      <c r="B233" s="16">
        <v>4.0</v>
      </c>
      <c r="C233" s="16">
        <v>0.0</v>
      </c>
      <c r="D233" s="16">
        <v>0.0</v>
      </c>
      <c r="E233" s="16">
        <v>0.0</v>
      </c>
      <c r="F233" s="16">
        <v>0.0</v>
      </c>
      <c r="G233" s="18">
        <v>0.0</v>
      </c>
      <c r="H233" s="16" t="s">
        <v>241</v>
      </c>
      <c r="I233" s="19">
        <f t="shared" ref="I233:J233" si="232">round(D233*$A233,0)</f>
        <v>0</v>
      </c>
      <c r="J233" s="19">
        <f t="shared" si="232"/>
        <v>0</v>
      </c>
    </row>
    <row r="234" ht="22.5" customHeight="1">
      <c r="A234" s="16">
        <v>1.0</v>
      </c>
      <c r="B234" s="16">
        <v>4.0</v>
      </c>
      <c r="C234" s="16">
        <v>0.0</v>
      </c>
      <c r="D234" s="16">
        <v>0.0</v>
      </c>
      <c r="E234" s="16">
        <v>0.0</v>
      </c>
      <c r="F234" s="16">
        <v>0.0</v>
      </c>
      <c r="G234" s="18">
        <v>0.0</v>
      </c>
      <c r="H234" s="16" t="s">
        <v>241</v>
      </c>
      <c r="I234" s="19">
        <f t="shared" ref="I234:J234" si="233">round(D234*$A234,0)</f>
        <v>0</v>
      </c>
      <c r="J234" s="19">
        <f t="shared" si="233"/>
        <v>0</v>
      </c>
    </row>
    <row r="235" ht="22.5" customHeight="1">
      <c r="A235" s="16">
        <v>1.0</v>
      </c>
      <c r="B235" s="16">
        <v>4.0</v>
      </c>
      <c r="C235" s="16">
        <v>0.0</v>
      </c>
      <c r="D235" s="16">
        <v>0.0</v>
      </c>
      <c r="E235" s="16">
        <v>0.0</v>
      </c>
      <c r="F235" s="16">
        <v>0.0</v>
      </c>
      <c r="G235" s="18">
        <v>0.0</v>
      </c>
      <c r="H235" s="16" t="s">
        <v>263</v>
      </c>
      <c r="I235" s="19">
        <f t="shared" ref="I235:J235" si="234">round(D235*$A235,0)</f>
        <v>0</v>
      </c>
      <c r="J235" s="19">
        <f t="shared" si="234"/>
        <v>0</v>
      </c>
    </row>
    <row r="236" ht="22.5" customHeight="1">
      <c r="A236" s="16">
        <v>2.0</v>
      </c>
      <c r="B236" s="16">
        <v>8.0</v>
      </c>
      <c r="C236" s="16">
        <v>1.0</v>
      </c>
      <c r="D236" s="16">
        <v>2.0</v>
      </c>
      <c r="E236" s="16">
        <v>0.0</v>
      </c>
      <c r="F236" s="16">
        <v>0.0</v>
      </c>
      <c r="G236" s="18">
        <v>1.0</v>
      </c>
      <c r="H236" s="16" t="s">
        <v>263</v>
      </c>
      <c r="I236" s="19">
        <f t="shared" ref="I236:J236" si="235">round(D236*$A236,0)</f>
        <v>4</v>
      </c>
      <c r="J236" s="19">
        <f t="shared" si="235"/>
        <v>0</v>
      </c>
    </row>
    <row r="237" ht="22.5" customHeight="1">
      <c r="A237" s="16">
        <v>1.0</v>
      </c>
      <c r="B237" s="16">
        <v>4.0</v>
      </c>
      <c r="C237" s="16">
        <v>0.0</v>
      </c>
      <c r="D237" s="16">
        <v>0.0</v>
      </c>
      <c r="E237" s="16">
        <v>0.0</v>
      </c>
      <c r="F237" s="16">
        <v>0.0</v>
      </c>
      <c r="G237" s="18">
        <v>0.0</v>
      </c>
      <c r="H237" s="16" t="s">
        <v>264</v>
      </c>
      <c r="I237" s="19">
        <f t="shared" ref="I237:J237" si="236">round(D237*$A237,0)</f>
        <v>0</v>
      </c>
      <c r="J237" s="19">
        <f t="shared" si="236"/>
        <v>0</v>
      </c>
    </row>
    <row r="238" ht="22.5" customHeight="1">
      <c r="A238" s="16">
        <v>3.0</v>
      </c>
      <c r="B238" s="16">
        <v>12.0</v>
      </c>
      <c r="C238" s="16">
        <v>0.0</v>
      </c>
      <c r="D238" s="16">
        <v>0.0</v>
      </c>
      <c r="E238" s="16">
        <v>0.0</v>
      </c>
      <c r="F238" s="16">
        <v>0.0</v>
      </c>
      <c r="G238" s="18">
        <v>0.0</v>
      </c>
      <c r="H238" s="16" t="s">
        <v>264</v>
      </c>
      <c r="I238" s="19">
        <f t="shared" ref="I238:J238" si="237">round(D238*$A238,0)</f>
        <v>0</v>
      </c>
      <c r="J238" s="19">
        <f t="shared" si="237"/>
        <v>0</v>
      </c>
    </row>
    <row r="239" ht="22.5" customHeight="1">
      <c r="A239" s="16">
        <v>1.0</v>
      </c>
      <c r="B239" s="16">
        <v>4.0</v>
      </c>
      <c r="C239" s="16">
        <v>1.0</v>
      </c>
      <c r="D239" s="16">
        <v>4.0</v>
      </c>
      <c r="E239" s="16">
        <v>0.0</v>
      </c>
      <c r="F239" s="16">
        <v>0.0</v>
      </c>
      <c r="G239" s="18">
        <v>1.0</v>
      </c>
      <c r="H239" s="16" t="s">
        <v>265</v>
      </c>
      <c r="I239" s="19">
        <f t="shared" ref="I239:J239" si="238">round(D239*$A239,0)</f>
        <v>4</v>
      </c>
      <c r="J239" s="19">
        <f t="shared" si="238"/>
        <v>0</v>
      </c>
    </row>
    <row r="240" ht="22.5" customHeight="1">
      <c r="A240" s="16">
        <v>4.0</v>
      </c>
      <c r="B240" s="16">
        <v>16.0</v>
      </c>
      <c r="C240" s="16">
        <v>0.0</v>
      </c>
      <c r="D240" s="16">
        <v>0.0</v>
      </c>
      <c r="E240" s="16">
        <v>0.0</v>
      </c>
      <c r="F240" s="16">
        <v>0.0</v>
      </c>
      <c r="G240" s="18">
        <v>0.0</v>
      </c>
      <c r="H240" s="16" t="s">
        <v>265</v>
      </c>
      <c r="I240" s="19">
        <f t="shared" ref="I240:J240" si="239">round(D240*$A240,0)</f>
        <v>0</v>
      </c>
      <c r="J240" s="19">
        <f t="shared" si="239"/>
        <v>0</v>
      </c>
    </row>
    <row r="241" ht="22.5" customHeight="1">
      <c r="A241" s="16">
        <v>4.0</v>
      </c>
      <c r="B241" s="16">
        <v>16.0</v>
      </c>
      <c r="C241" s="16">
        <v>0.0</v>
      </c>
      <c r="D241" s="16">
        <v>0.0</v>
      </c>
      <c r="E241" s="16">
        <v>0.0</v>
      </c>
      <c r="F241" s="16">
        <v>0.0</v>
      </c>
      <c r="G241" s="18">
        <v>0.0</v>
      </c>
      <c r="H241" s="16" t="s">
        <v>266</v>
      </c>
      <c r="I241" s="19">
        <f t="shared" ref="I241:J241" si="240">round(D241*$A241,0)</f>
        <v>0</v>
      </c>
      <c r="J241" s="19">
        <f t="shared" si="240"/>
        <v>0</v>
      </c>
    </row>
    <row r="242" ht="22.5" customHeight="1">
      <c r="A242" s="16">
        <v>1.0</v>
      </c>
      <c r="B242" s="16">
        <v>4.0</v>
      </c>
      <c r="C242" s="16">
        <v>2.0</v>
      </c>
      <c r="D242" s="16">
        <v>8.0</v>
      </c>
      <c r="E242" s="16">
        <v>0.0</v>
      </c>
      <c r="F242" s="16">
        <v>0.0</v>
      </c>
      <c r="G242" s="18">
        <v>1.0</v>
      </c>
      <c r="H242" s="16" t="s">
        <v>93</v>
      </c>
      <c r="I242" s="19">
        <f t="shared" ref="I242:J242" si="241">round(D242*$A242,0)</f>
        <v>8</v>
      </c>
      <c r="J242" s="19">
        <f t="shared" si="241"/>
        <v>0</v>
      </c>
    </row>
    <row r="243" ht="22.5" customHeight="1">
      <c r="A243" s="16">
        <v>4.0</v>
      </c>
      <c r="B243" s="16">
        <v>16.0</v>
      </c>
      <c r="C243" s="16">
        <v>4.0</v>
      </c>
      <c r="D243" s="16">
        <v>2.0</v>
      </c>
      <c r="E243" s="16">
        <v>0.0</v>
      </c>
      <c r="F243" s="16">
        <v>0.0</v>
      </c>
      <c r="G243" s="18">
        <v>0.5</v>
      </c>
      <c r="H243" s="16" t="s">
        <v>93</v>
      </c>
      <c r="I243" s="19">
        <f t="shared" ref="I243:J243" si="242">round(D243*$A243,0)</f>
        <v>8</v>
      </c>
      <c r="J243" s="19">
        <f t="shared" si="242"/>
        <v>0</v>
      </c>
    </row>
    <row r="244" ht="22.5" customHeight="1">
      <c r="A244" s="16">
        <v>1.0</v>
      </c>
      <c r="B244" s="16">
        <v>4.0</v>
      </c>
      <c r="C244" s="16">
        <v>0.0</v>
      </c>
      <c r="D244" s="16">
        <v>0.0</v>
      </c>
      <c r="E244" s="16">
        <v>0.0</v>
      </c>
      <c r="F244" s="16">
        <v>0.0</v>
      </c>
      <c r="G244" s="18">
        <v>0.0</v>
      </c>
      <c r="H244" s="16" t="s">
        <v>268</v>
      </c>
      <c r="I244" s="19">
        <f t="shared" ref="I244:J244" si="243">round(D244*$A244,0)</f>
        <v>0</v>
      </c>
      <c r="J244" s="19">
        <f t="shared" si="243"/>
        <v>0</v>
      </c>
    </row>
    <row r="245" ht="22.5" customHeight="1">
      <c r="A245" s="16">
        <v>4.0</v>
      </c>
      <c r="B245" s="16">
        <v>16.0</v>
      </c>
      <c r="C245" s="16">
        <v>5.0</v>
      </c>
      <c r="D245" s="16">
        <v>5.0</v>
      </c>
      <c r="E245" s="16">
        <v>0.0</v>
      </c>
      <c r="F245" s="16">
        <v>0.0</v>
      </c>
      <c r="G245" s="18">
        <v>1.0</v>
      </c>
      <c r="H245" s="16" t="s">
        <v>80</v>
      </c>
      <c r="I245" s="19">
        <f t="shared" ref="I245:J245" si="244">round(D245*$A245,0)</f>
        <v>20</v>
      </c>
      <c r="J245" s="19">
        <f t="shared" si="244"/>
        <v>0</v>
      </c>
    </row>
    <row r="246" ht="22.5" customHeight="1">
      <c r="A246" s="16">
        <v>3.0</v>
      </c>
      <c r="B246" s="16">
        <v>12.0</v>
      </c>
      <c r="C246" s="16">
        <v>8.0</v>
      </c>
      <c r="D246" s="16">
        <v>10.67</v>
      </c>
      <c r="E246" s="16">
        <v>0.0</v>
      </c>
      <c r="F246" s="16">
        <v>0.0</v>
      </c>
      <c r="G246" s="18">
        <v>1.0</v>
      </c>
      <c r="H246" s="16" t="s">
        <v>221</v>
      </c>
      <c r="I246" s="19">
        <f t="shared" ref="I246:J246" si="245">round(D246*$A246,0)</f>
        <v>32</v>
      </c>
      <c r="J246" s="19">
        <f t="shared" si="245"/>
        <v>0</v>
      </c>
    </row>
    <row r="247" ht="22.5" customHeight="1">
      <c r="A247" s="16">
        <v>1.0</v>
      </c>
      <c r="B247" s="16">
        <v>4.0</v>
      </c>
      <c r="C247" s="16">
        <v>0.0</v>
      </c>
      <c r="D247" s="16">
        <v>0.0</v>
      </c>
      <c r="E247" s="16">
        <v>0.0</v>
      </c>
      <c r="F247" s="16">
        <v>0.0</v>
      </c>
      <c r="G247" s="18">
        <v>0.0</v>
      </c>
      <c r="H247" s="16" t="s">
        <v>221</v>
      </c>
      <c r="I247" s="19">
        <f t="shared" ref="I247:J247" si="246">round(D247*$A247,0)</f>
        <v>0</v>
      </c>
      <c r="J247" s="19">
        <f t="shared" si="246"/>
        <v>0</v>
      </c>
    </row>
    <row r="248" ht="22.5" customHeight="1">
      <c r="A248" s="16">
        <v>1.0</v>
      </c>
      <c r="B248" s="16">
        <v>4.0</v>
      </c>
      <c r="C248" s="16">
        <v>1.0</v>
      </c>
      <c r="D248" s="16">
        <v>4.0</v>
      </c>
      <c r="E248" s="16">
        <v>0.0</v>
      </c>
      <c r="F248" s="16">
        <v>0.0</v>
      </c>
      <c r="G248" s="18">
        <v>1.0</v>
      </c>
      <c r="H248" s="16" t="s">
        <v>270</v>
      </c>
      <c r="I248" s="19">
        <f t="shared" ref="I248:J248" si="247">round(D248*$A248,0)</f>
        <v>4</v>
      </c>
      <c r="J248" s="19">
        <f t="shared" si="247"/>
        <v>0</v>
      </c>
    </row>
    <row r="249" ht="22.5" customHeight="1">
      <c r="A249" s="16">
        <v>1.0</v>
      </c>
      <c r="B249" s="16">
        <v>4.0</v>
      </c>
      <c r="C249" s="16">
        <v>0.0</v>
      </c>
      <c r="D249" s="16">
        <v>0.0</v>
      </c>
      <c r="E249" s="16">
        <v>0.0</v>
      </c>
      <c r="F249" s="16">
        <v>0.0</v>
      </c>
      <c r="G249" s="18">
        <v>0.0</v>
      </c>
      <c r="H249" s="16" t="s">
        <v>270</v>
      </c>
      <c r="I249" s="19">
        <f t="shared" ref="I249:J249" si="248">round(D249*$A249,0)</f>
        <v>0</v>
      </c>
      <c r="J249" s="19">
        <f t="shared" si="248"/>
        <v>0</v>
      </c>
    </row>
    <row r="250" ht="22.5" customHeight="1">
      <c r="A250" s="16">
        <v>1.0</v>
      </c>
      <c r="B250" s="16">
        <v>4.0</v>
      </c>
      <c r="C250" s="16">
        <v>1.0</v>
      </c>
      <c r="D250" s="16">
        <v>4.0</v>
      </c>
      <c r="E250" s="16">
        <v>0.0</v>
      </c>
      <c r="F250" s="16">
        <v>0.0</v>
      </c>
      <c r="G250" s="18">
        <v>1.0</v>
      </c>
      <c r="H250" s="16" t="s">
        <v>228</v>
      </c>
      <c r="I250" s="19">
        <f t="shared" ref="I250:J250" si="249">round(D250*$A250,0)</f>
        <v>4</v>
      </c>
      <c r="J250" s="19">
        <f t="shared" si="249"/>
        <v>0</v>
      </c>
    </row>
    <row r="251" ht="22.5" customHeight="1">
      <c r="A251" s="16">
        <v>4.0</v>
      </c>
      <c r="B251" s="16">
        <v>15.0</v>
      </c>
      <c r="C251" s="16">
        <v>4.0</v>
      </c>
      <c r="D251" s="16">
        <v>2.0</v>
      </c>
      <c r="E251" s="16">
        <v>0.0</v>
      </c>
      <c r="F251" s="16">
        <v>0.0</v>
      </c>
      <c r="G251" s="18">
        <v>0.5</v>
      </c>
      <c r="H251" s="16" t="s">
        <v>228</v>
      </c>
      <c r="I251" s="19">
        <f t="shared" ref="I251:J251" si="250">round(D251*$A251,0)</f>
        <v>8</v>
      </c>
      <c r="J251" s="19">
        <f t="shared" si="250"/>
        <v>0</v>
      </c>
    </row>
    <row r="252" ht="22.5" customHeight="1">
      <c r="A252" s="16">
        <v>1.0</v>
      </c>
      <c r="B252" s="16">
        <v>4.0</v>
      </c>
      <c r="C252" s="16">
        <v>0.0</v>
      </c>
      <c r="D252" s="16">
        <v>0.0</v>
      </c>
      <c r="E252" s="16">
        <v>0.0</v>
      </c>
      <c r="F252" s="16">
        <v>0.0</v>
      </c>
      <c r="G252" s="18">
        <v>0.0</v>
      </c>
      <c r="H252" s="16" t="s">
        <v>273</v>
      </c>
      <c r="I252" s="19">
        <f t="shared" ref="I252:J252" si="251">round(D252*$A252,0)</f>
        <v>0</v>
      </c>
      <c r="J252" s="19">
        <f t="shared" si="251"/>
        <v>0</v>
      </c>
    </row>
    <row r="253" ht="22.5" customHeight="1">
      <c r="A253" s="16">
        <v>3.0</v>
      </c>
      <c r="B253" s="16">
        <v>11.0</v>
      </c>
      <c r="C253" s="16">
        <v>2.0</v>
      </c>
      <c r="D253" s="16">
        <v>-1.33</v>
      </c>
      <c r="E253" s="16">
        <v>0.33</v>
      </c>
      <c r="F253" s="16">
        <v>0.0</v>
      </c>
      <c r="G253" s="18">
        <v>0.0</v>
      </c>
      <c r="H253" s="16" t="s">
        <v>273</v>
      </c>
      <c r="I253" s="19">
        <f t="shared" ref="I253:J253" si="252">round(D253*$A253,0)</f>
        <v>-4</v>
      </c>
      <c r="J253" s="19">
        <f t="shared" si="252"/>
        <v>1</v>
      </c>
    </row>
    <row r="254" ht="22.5" customHeight="1">
      <c r="A254" s="16">
        <v>1.0</v>
      </c>
      <c r="B254" s="16">
        <v>4.0</v>
      </c>
      <c r="C254" s="16">
        <v>0.0</v>
      </c>
      <c r="D254" s="16">
        <v>0.0</v>
      </c>
      <c r="E254" s="16">
        <v>0.0</v>
      </c>
      <c r="F254" s="16">
        <v>0.0</v>
      </c>
      <c r="G254" s="18">
        <v>0.0</v>
      </c>
      <c r="H254" s="16" t="s">
        <v>273</v>
      </c>
      <c r="I254" s="19">
        <f t="shared" ref="I254:J254" si="253">round(D254*$A254,0)</f>
        <v>0</v>
      </c>
      <c r="J254" s="19">
        <f t="shared" si="253"/>
        <v>0</v>
      </c>
    </row>
    <row r="255" ht="22.5" customHeight="1">
      <c r="A255" s="16">
        <v>3.0</v>
      </c>
      <c r="B255" s="16">
        <v>11.0</v>
      </c>
      <c r="C255" s="16">
        <v>5.0</v>
      </c>
      <c r="D255" s="16">
        <v>2.67</v>
      </c>
      <c r="E255" s="16">
        <v>0.0</v>
      </c>
      <c r="F255" s="16">
        <v>0.0</v>
      </c>
      <c r="G255" s="18">
        <v>0.4</v>
      </c>
      <c r="H255" s="16" t="s">
        <v>275</v>
      </c>
      <c r="I255" s="19">
        <f t="shared" ref="I255:J255" si="254">round(D255*$A255,0)</f>
        <v>8</v>
      </c>
      <c r="J255" s="19">
        <f t="shared" si="254"/>
        <v>0</v>
      </c>
    </row>
    <row r="256" ht="22.5" customHeight="1">
      <c r="A256" s="16">
        <v>1.0</v>
      </c>
      <c r="B256" s="16">
        <v>4.0</v>
      </c>
      <c r="C256" s="16">
        <v>0.0</v>
      </c>
      <c r="D256" s="16">
        <v>0.0</v>
      </c>
      <c r="E256" s="16">
        <v>0.0</v>
      </c>
      <c r="F256" s="16">
        <v>0.0</v>
      </c>
      <c r="G256" s="18">
        <v>0.0</v>
      </c>
      <c r="H256" s="16" t="s">
        <v>275</v>
      </c>
      <c r="I256" s="19">
        <f t="shared" ref="I256:J256" si="255">round(D256*$A256,0)</f>
        <v>0</v>
      </c>
      <c r="J256" s="19">
        <f t="shared" si="255"/>
        <v>0</v>
      </c>
    </row>
    <row r="257" ht="22.5" customHeight="1">
      <c r="A257" s="16">
        <v>2.0</v>
      </c>
      <c r="B257" s="16">
        <v>8.0</v>
      </c>
      <c r="C257" s="16">
        <v>0.0</v>
      </c>
      <c r="D257" s="16">
        <v>0.0</v>
      </c>
      <c r="E257" s="16">
        <v>0.0</v>
      </c>
      <c r="F257" s="16">
        <v>0.0</v>
      </c>
      <c r="G257" s="18">
        <v>0.0</v>
      </c>
      <c r="H257" s="16" t="s">
        <v>276</v>
      </c>
      <c r="I257" s="19">
        <f t="shared" ref="I257:J257" si="256">round(D257*$A257,0)</f>
        <v>0</v>
      </c>
      <c r="J257" s="19">
        <f t="shared" si="256"/>
        <v>0</v>
      </c>
    </row>
    <row r="258" ht="22.5" customHeight="1">
      <c r="A258" s="16">
        <v>2.0</v>
      </c>
      <c r="B258" s="16">
        <v>7.0</v>
      </c>
      <c r="C258" s="16">
        <v>0.0</v>
      </c>
      <c r="D258" s="16">
        <v>0.0</v>
      </c>
      <c r="E258" s="16">
        <v>0.0</v>
      </c>
      <c r="F258" s="16">
        <v>0.0</v>
      </c>
      <c r="G258" s="18">
        <v>0.0</v>
      </c>
      <c r="H258" s="16" t="s">
        <v>276</v>
      </c>
      <c r="I258" s="19">
        <f t="shared" ref="I258:J258" si="257">round(D258*$A258,0)</f>
        <v>0</v>
      </c>
      <c r="J258" s="19">
        <f t="shared" si="257"/>
        <v>0</v>
      </c>
    </row>
    <row r="259" ht="22.5" customHeight="1">
      <c r="A259" s="16">
        <v>4.0</v>
      </c>
      <c r="B259" s="16">
        <v>16.0</v>
      </c>
      <c r="C259" s="16">
        <v>8.0</v>
      </c>
      <c r="D259" s="16">
        <v>5.0</v>
      </c>
      <c r="E259" s="16">
        <v>0.25</v>
      </c>
      <c r="F259" s="16">
        <v>0.0</v>
      </c>
      <c r="G259" s="18">
        <v>0.75</v>
      </c>
      <c r="H259" s="16" t="s">
        <v>277</v>
      </c>
      <c r="I259" s="19">
        <f t="shared" ref="I259:J259" si="258">round(D259*$A259,0)</f>
        <v>20</v>
      </c>
      <c r="J259" s="19">
        <f t="shared" si="258"/>
        <v>1</v>
      </c>
    </row>
    <row r="260" ht="22.5" customHeight="1">
      <c r="A260" s="16">
        <v>1.0</v>
      </c>
      <c r="B260" s="16">
        <v>4.0</v>
      </c>
      <c r="C260" s="16">
        <v>0.0</v>
      </c>
      <c r="D260" s="16">
        <v>0.0</v>
      </c>
      <c r="E260" s="16">
        <v>0.0</v>
      </c>
      <c r="F260" s="16">
        <v>0.0</v>
      </c>
      <c r="G260" s="18">
        <v>0.0</v>
      </c>
      <c r="H260" s="16" t="s">
        <v>277</v>
      </c>
      <c r="I260" s="19">
        <f t="shared" ref="I260:J260" si="259">round(D260*$A260,0)</f>
        <v>0</v>
      </c>
      <c r="J260" s="19">
        <f t="shared" si="259"/>
        <v>0</v>
      </c>
    </row>
    <row r="261" ht="22.5" customHeight="1">
      <c r="A261" s="16">
        <v>1.0</v>
      </c>
      <c r="B261" s="16">
        <v>4.0</v>
      </c>
      <c r="C261" s="16">
        <v>0.0</v>
      </c>
      <c r="D261" s="16">
        <v>0.0</v>
      </c>
      <c r="E261" s="16">
        <v>0.0</v>
      </c>
      <c r="F261" s="16">
        <v>0.0</v>
      </c>
      <c r="G261" s="18">
        <v>0.0</v>
      </c>
      <c r="H261" s="16" t="s">
        <v>172</v>
      </c>
      <c r="I261" s="19">
        <f t="shared" ref="I261:J261" si="260">round(D261*$A261,0)</f>
        <v>0</v>
      </c>
      <c r="J261" s="19">
        <f t="shared" si="260"/>
        <v>0</v>
      </c>
    </row>
    <row r="262" ht="22.5" customHeight="1">
      <c r="A262" s="16">
        <v>3.0</v>
      </c>
      <c r="B262" s="16">
        <v>12.0</v>
      </c>
      <c r="C262" s="16">
        <v>0.0</v>
      </c>
      <c r="D262" s="16">
        <v>0.0</v>
      </c>
      <c r="E262" s="16">
        <v>0.0</v>
      </c>
      <c r="F262" s="16">
        <v>0.0</v>
      </c>
      <c r="G262" s="18">
        <v>0.0</v>
      </c>
      <c r="H262" s="16" t="s">
        <v>172</v>
      </c>
      <c r="I262" s="19">
        <f t="shared" ref="I262:J262" si="261">round(D262*$A262,0)</f>
        <v>0</v>
      </c>
      <c r="J262" s="19">
        <f t="shared" si="261"/>
        <v>0</v>
      </c>
    </row>
    <row r="263" ht="22.5" customHeight="1">
      <c r="A263" s="16">
        <v>1.0</v>
      </c>
      <c r="B263" s="16">
        <v>4.0</v>
      </c>
      <c r="C263" s="16">
        <v>4.0</v>
      </c>
      <c r="D263" s="16">
        <v>4.0</v>
      </c>
      <c r="E263" s="16">
        <v>1.0</v>
      </c>
      <c r="F263" s="16">
        <v>0.0</v>
      </c>
      <c r="G263" s="18">
        <v>0.5</v>
      </c>
      <c r="H263" s="16" t="s">
        <v>279</v>
      </c>
      <c r="I263" s="19">
        <f t="shared" ref="I263:J263" si="262">round(D263*$A263,0)</f>
        <v>4</v>
      </c>
      <c r="J263" s="19">
        <f t="shared" si="262"/>
        <v>1</v>
      </c>
    </row>
    <row r="264" ht="22.5" customHeight="1">
      <c r="A264" s="16">
        <v>4.0</v>
      </c>
      <c r="B264" s="16">
        <v>16.0</v>
      </c>
      <c r="C264" s="16">
        <v>1.0</v>
      </c>
      <c r="D264" s="16">
        <v>1.0</v>
      </c>
      <c r="E264" s="16">
        <v>0.0</v>
      </c>
      <c r="F264" s="16">
        <v>0.0</v>
      </c>
      <c r="G264" s="18">
        <v>1.0</v>
      </c>
      <c r="H264" s="16" t="s">
        <v>279</v>
      </c>
      <c r="I264" s="19">
        <f t="shared" ref="I264:J264" si="263">round(D264*$A264,0)</f>
        <v>4</v>
      </c>
      <c r="J264" s="19">
        <f t="shared" si="263"/>
        <v>0</v>
      </c>
    </row>
    <row r="265" ht="22.5" customHeight="1">
      <c r="A265" s="16">
        <v>1.0</v>
      </c>
      <c r="B265" s="16">
        <v>4.0</v>
      </c>
      <c r="C265" s="16">
        <v>0.0</v>
      </c>
      <c r="D265" s="16">
        <v>0.0</v>
      </c>
      <c r="E265" s="16">
        <v>0.0</v>
      </c>
      <c r="F265" s="16">
        <v>0.0</v>
      </c>
      <c r="G265" s="18">
        <v>0.0</v>
      </c>
      <c r="H265" s="16" t="s">
        <v>280</v>
      </c>
      <c r="I265" s="19">
        <f t="shared" ref="I265:J265" si="264">round(D265*$A265,0)</f>
        <v>0</v>
      </c>
      <c r="J265" s="19">
        <f t="shared" si="264"/>
        <v>0</v>
      </c>
    </row>
    <row r="266" ht="22.5" customHeight="1">
      <c r="A266" s="16">
        <v>1.0</v>
      </c>
      <c r="B266" s="16">
        <v>4.0</v>
      </c>
      <c r="C266" s="16">
        <v>0.0</v>
      </c>
      <c r="D266" s="16">
        <v>0.0</v>
      </c>
      <c r="E266" s="16">
        <v>0.0</v>
      </c>
      <c r="F266" s="16">
        <v>0.0</v>
      </c>
      <c r="G266" s="18">
        <v>0.0</v>
      </c>
      <c r="H266" s="16" t="s">
        <v>281</v>
      </c>
      <c r="I266" s="19">
        <f t="shared" ref="I266:J266" si="265">round(D266*$A266,0)</f>
        <v>0</v>
      </c>
      <c r="J266" s="19">
        <f t="shared" si="265"/>
        <v>0</v>
      </c>
    </row>
    <row r="267" ht="22.5" customHeight="1">
      <c r="A267" s="16">
        <v>4.0</v>
      </c>
      <c r="B267" s="16">
        <v>16.0</v>
      </c>
      <c r="C267" s="16">
        <v>0.0</v>
      </c>
      <c r="D267" s="16">
        <v>0.0</v>
      </c>
      <c r="E267" s="16">
        <v>0.0</v>
      </c>
      <c r="F267" s="16">
        <v>0.0</v>
      </c>
      <c r="G267" s="18">
        <v>0.0</v>
      </c>
      <c r="H267" s="16" t="s">
        <v>281</v>
      </c>
      <c r="I267" s="19">
        <f t="shared" ref="I267:J267" si="266">round(D267*$A267,0)</f>
        <v>0</v>
      </c>
      <c r="J267" s="19">
        <f t="shared" si="266"/>
        <v>0</v>
      </c>
    </row>
    <row r="268" ht="22.5" customHeight="1">
      <c r="A268" s="16">
        <v>2.0</v>
      </c>
      <c r="B268" s="16">
        <v>8.0</v>
      </c>
      <c r="C268" s="16">
        <v>0.0</v>
      </c>
      <c r="D268" s="16">
        <v>0.0</v>
      </c>
      <c r="E268" s="16">
        <v>0.0</v>
      </c>
      <c r="F268" s="16">
        <v>0.0</v>
      </c>
      <c r="G268" s="18">
        <v>0.0</v>
      </c>
      <c r="H268" s="16" t="s">
        <v>282</v>
      </c>
      <c r="I268" s="19">
        <f t="shared" ref="I268:J268" si="267">round(D268*$A268,0)</f>
        <v>0</v>
      </c>
      <c r="J268" s="19">
        <f t="shared" si="267"/>
        <v>0</v>
      </c>
    </row>
    <row r="269" ht="22.5" customHeight="1">
      <c r="A269" s="16">
        <v>1.0</v>
      </c>
      <c r="B269" s="16">
        <v>4.0</v>
      </c>
      <c r="C269" s="16">
        <v>0.0</v>
      </c>
      <c r="D269" s="16">
        <v>0.0</v>
      </c>
      <c r="E269" s="16">
        <v>0.0</v>
      </c>
      <c r="F269" s="16">
        <v>0.0</v>
      </c>
      <c r="G269" s="18">
        <v>0.0</v>
      </c>
      <c r="H269" s="16" t="s">
        <v>282</v>
      </c>
      <c r="I269" s="19">
        <f t="shared" ref="I269:J269" si="268">round(D269*$A269,0)</f>
        <v>0</v>
      </c>
      <c r="J269" s="19">
        <f t="shared" si="268"/>
        <v>0</v>
      </c>
    </row>
    <row r="270" ht="22.5" customHeight="1">
      <c r="A270" s="16">
        <v>3.0</v>
      </c>
      <c r="B270" s="16">
        <v>12.0</v>
      </c>
      <c r="C270" s="16">
        <v>0.0</v>
      </c>
      <c r="D270" s="16">
        <v>0.0</v>
      </c>
      <c r="E270" s="16">
        <v>0.0</v>
      </c>
      <c r="F270" s="16">
        <v>0.0</v>
      </c>
      <c r="G270" s="18">
        <v>0.0</v>
      </c>
      <c r="H270" s="16" t="s">
        <v>283</v>
      </c>
      <c r="I270" s="19">
        <f t="shared" ref="I270:J270" si="269">round(D270*$A270,0)</f>
        <v>0</v>
      </c>
      <c r="J270" s="19">
        <f t="shared" si="269"/>
        <v>0</v>
      </c>
    </row>
    <row r="271" ht="22.5" customHeight="1">
      <c r="A271" s="16">
        <v>1.0</v>
      </c>
      <c r="B271" s="16">
        <v>4.0</v>
      </c>
      <c r="C271" s="16">
        <v>0.0</v>
      </c>
      <c r="D271" s="16">
        <v>0.0</v>
      </c>
      <c r="E271" s="16">
        <v>0.0</v>
      </c>
      <c r="F271" s="16">
        <v>0.0</v>
      </c>
      <c r="G271" s="18">
        <v>0.0</v>
      </c>
      <c r="H271" s="16" t="s">
        <v>283</v>
      </c>
      <c r="I271" s="19">
        <f t="shared" ref="I271:J271" si="270">round(D271*$A271,0)</f>
        <v>0</v>
      </c>
      <c r="J271" s="19">
        <f t="shared" si="270"/>
        <v>0</v>
      </c>
    </row>
    <row r="272" ht="22.5" customHeight="1">
      <c r="A272" s="16">
        <v>1.0</v>
      </c>
      <c r="B272" s="16">
        <v>4.0</v>
      </c>
      <c r="C272" s="16">
        <v>0.0</v>
      </c>
      <c r="D272" s="16">
        <v>0.0</v>
      </c>
      <c r="E272" s="16">
        <v>0.0</v>
      </c>
      <c r="F272" s="16">
        <v>0.0</v>
      </c>
      <c r="G272" s="18">
        <v>0.0</v>
      </c>
      <c r="H272" s="16" t="s">
        <v>284</v>
      </c>
      <c r="I272" s="19">
        <f t="shared" ref="I272:J272" si="271">round(D272*$A272,0)</f>
        <v>0</v>
      </c>
      <c r="J272" s="19">
        <f t="shared" si="271"/>
        <v>0</v>
      </c>
    </row>
    <row r="273" ht="22.5" customHeight="1">
      <c r="A273" s="16">
        <v>1.0</v>
      </c>
      <c r="B273" s="16">
        <v>4.0</v>
      </c>
      <c r="C273" s="16">
        <v>0.0</v>
      </c>
      <c r="D273" s="16">
        <v>0.0</v>
      </c>
      <c r="E273" s="16">
        <v>0.0</v>
      </c>
      <c r="F273" s="16">
        <v>0.0</v>
      </c>
      <c r="G273" s="18">
        <v>0.0</v>
      </c>
      <c r="H273" s="16" t="s">
        <v>284</v>
      </c>
      <c r="I273" s="19">
        <f t="shared" ref="I273:J273" si="272">round(D273*$A273,0)</f>
        <v>0</v>
      </c>
      <c r="J273" s="19">
        <f t="shared" si="272"/>
        <v>0</v>
      </c>
    </row>
    <row r="274" ht="22.5" customHeight="1">
      <c r="A274" s="16">
        <v>3.0</v>
      </c>
      <c r="B274" s="16">
        <v>12.0</v>
      </c>
      <c r="C274" s="16">
        <v>11.0</v>
      </c>
      <c r="D274" s="16">
        <v>10.67</v>
      </c>
      <c r="E274" s="16">
        <v>0.33</v>
      </c>
      <c r="F274" s="16">
        <v>0.0</v>
      </c>
      <c r="G274" s="20">
        <v>0.818</v>
      </c>
      <c r="H274" s="16" t="s">
        <v>52</v>
      </c>
      <c r="I274" s="19">
        <f t="shared" ref="I274:J274" si="273">round(D274*$A274,0)</f>
        <v>32</v>
      </c>
      <c r="J274" s="19">
        <f t="shared" si="273"/>
        <v>1</v>
      </c>
    </row>
    <row r="275" ht="22.5" customHeight="1">
      <c r="A275" s="16">
        <v>1.0</v>
      </c>
      <c r="B275" s="16">
        <v>4.0</v>
      </c>
      <c r="C275" s="16">
        <v>3.0</v>
      </c>
      <c r="D275" s="16">
        <v>4.0</v>
      </c>
      <c r="E275" s="16">
        <v>1.0</v>
      </c>
      <c r="F275" s="16">
        <v>0.0</v>
      </c>
      <c r="G275" s="20">
        <v>0.667</v>
      </c>
      <c r="H275" s="16" t="s">
        <v>52</v>
      </c>
      <c r="I275" s="19">
        <f t="shared" ref="I275:J275" si="274">round(D275*$A275,0)</f>
        <v>4</v>
      </c>
      <c r="J275" s="19">
        <f t="shared" si="274"/>
        <v>1</v>
      </c>
    </row>
    <row r="276" ht="22.5" customHeight="1">
      <c r="A276" s="16">
        <v>1.0</v>
      </c>
      <c r="B276" s="16">
        <v>4.0</v>
      </c>
      <c r="C276" s="16">
        <v>2.0</v>
      </c>
      <c r="D276" s="16">
        <v>4.0</v>
      </c>
      <c r="E276" s="16">
        <v>0.0</v>
      </c>
      <c r="F276" s="16">
        <v>0.0</v>
      </c>
      <c r="G276" s="18">
        <v>0.5</v>
      </c>
      <c r="H276" s="16" t="s">
        <v>52</v>
      </c>
      <c r="I276" s="19">
        <f t="shared" ref="I276:J276" si="275">round(D276*$A276,0)</f>
        <v>4</v>
      </c>
      <c r="J276" s="19">
        <f t="shared" si="275"/>
        <v>0</v>
      </c>
    </row>
    <row r="277" ht="22.5" customHeight="1">
      <c r="A277" s="16">
        <v>1.0</v>
      </c>
      <c r="B277" s="16">
        <v>4.0</v>
      </c>
      <c r="C277" s="16">
        <v>3.0</v>
      </c>
      <c r="D277" s="16">
        <v>12.0</v>
      </c>
      <c r="E277" s="16">
        <v>0.0</v>
      </c>
      <c r="F277" s="16">
        <v>0.0</v>
      </c>
      <c r="G277" s="18">
        <v>1.0</v>
      </c>
      <c r="H277" s="16" t="s">
        <v>223</v>
      </c>
      <c r="I277" s="19">
        <f t="shared" ref="I277:J277" si="276">round(D277*$A277,0)</f>
        <v>12</v>
      </c>
      <c r="J277" s="19">
        <f t="shared" si="276"/>
        <v>0</v>
      </c>
    </row>
    <row r="278" ht="22.5" customHeight="1">
      <c r="A278" s="16">
        <v>1.0</v>
      </c>
      <c r="B278" s="16">
        <v>4.0</v>
      </c>
      <c r="C278" s="16">
        <v>2.0</v>
      </c>
      <c r="D278" s="16">
        <v>8.0</v>
      </c>
      <c r="E278" s="16">
        <v>0.0</v>
      </c>
      <c r="F278" s="16">
        <v>0.0</v>
      </c>
      <c r="G278" s="18">
        <v>1.0</v>
      </c>
      <c r="H278" s="16" t="s">
        <v>223</v>
      </c>
      <c r="I278" s="19">
        <f t="shared" ref="I278:J278" si="277">round(D278*$A278,0)</f>
        <v>8</v>
      </c>
      <c r="J278" s="19">
        <f t="shared" si="277"/>
        <v>0</v>
      </c>
    </row>
    <row r="279" ht="22.5" customHeight="1">
      <c r="A279" s="16">
        <v>1.0</v>
      </c>
      <c r="B279" s="16">
        <v>4.0</v>
      </c>
      <c r="C279" s="16">
        <v>4.0</v>
      </c>
      <c r="D279" s="16">
        <v>8.0</v>
      </c>
      <c r="E279" s="16">
        <v>1.0</v>
      </c>
      <c r="F279" s="16">
        <v>0.0</v>
      </c>
      <c r="G279" s="18">
        <v>0.75</v>
      </c>
      <c r="H279" s="16" t="s">
        <v>223</v>
      </c>
      <c r="I279" s="19">
        <f t="shared" ref="I279:J279" si="278">round(D279*$A279,0)</f>
        <v>8</v>
      </c>
      <c r="J279" s="19">
        <f t="shared" si="278"/>
        <v>1</v>
      </c>
    </row>
    <row r="280" ht="22.5" customHeight="1">
      <c r="A280" s="16">
        <v>1.0</v>
      </c>
      <c r="B280" s="16">
        <v>4.0</v>
      </c>
      <c r="C280" s="16">
        <v>3.0</v>
      </c>
      <c r="D280" s="16">
        <v>0.0</v>
      </c>
      <c r="E280" s="16">
        <v>1.0</v>
      </c>
      <c r="F280" s="16">
        <v>0.0</v>
      </c>
      <c r="G280" s="20">
        <v>0.333</v>
      </c>
      <c r="H280" s="16" t="s">
        <v>223</v>
      </c>
      <c r="I280" s="19">
        <f t="shared" ref="I280:J280" si="279">round(D280*$A280,0)</f>
        <v>0</v>
      </c>
      <c r="J280" s="19">
        <f t="shared" si="279"/>
        <v>1</v>
      </c>
    </row>
    <row r="281" ht="22.5" customHeight="1">
      <c r="A281" s="16">
        <v>1.0</v>
      </c>
      <c r="B281" s="16">
        <v>4.0</v>
      </c>
      <c r="C281" s="16">
        <v>2.0</v>
      </c>
      <c r="D281" s="16">
        <v>8.0</v>
      </c>
      <c r="E281" s="16">
        <v>0.0</v>
      </c>
      <c r="F281" s="16">
        <v>0.0</v>
      </c>
      <c r="G281" s="18">
        <v>1.0</v>
      </c>
      <c r="H281" s="16" t="s">
        <v>207</v>
      </c>
      <c r="I281" s="19">
        <f t="shared" ref="I281:J281" si="280">round(D281*$A281,0)</f>
        <v>8</v>
      </c>
      <c r="J281" s="19">
        <f t="shared" si="280"/>
        <v>0</v>
      </c>
    </row>
    <row r="282" ht="22.5" customHeight="1">
      <c r="A282" s="16">
        <v>1.0</v>
      </c>
      <c r="B282" s="16">
        <v>4.0</v>
      </c>
      <c r="C282" s="16">
        <v>0.0</v>
      </c>
      <c r="D282" s="16">
        <v>0.0</v>
      </c>
      <c r="E282" s="16">
        <v>0.0</v>
      </c>
      <c r="F282" s="16">
        <v>0.0</v>
      </c>
      <c r="G282" s="18">
        <v>0.0</v>
      </c>
      <c r="H282" s="16" t="s">
        <v>207</v>
      </c>
      <c r="I282" s="19">
        <f t="shared" ref="I282:J282" si="281">round(D282*$A282,0)</f>
        <v>0</v>
      </c>
      <c r="J282" s="19">
        <f t="shared" si="281"/>
        <v>0</v>
      </c>
    </row>
    <row r="283" ht="22.5" customHeight="1">
      <c r="A283" s="16">
        <v>2.0</v>
      </c>
      <c r="B283" s="16">
        <v>8.0</v>
      </c>
      <c r="C283" s="16">
        <v>0.0</v>
      </c>
      <c r="D283" s="16">
        <v>0.0</v>
      </c>
      <c r="E283" s="16">
        <v>0.0</v>
      </c>
      <c r="F283" s="16">
        <v>0.0</v>
      </c>
      <c r="G283" s="18">
        <v>0.0</v>
      </c>
      <c r="H283" s="16" t="s">
        <v>207</v>
      </c>
      <c r="I283" s="19">
        <f t="shared" ref="I283:J283" si="282">round(D283*$A283,0)</f>
        <v>0</v>
      </c>
      <c r="J283" s="19">
        <f t="shared" si="282"/>
        <v>0</v>
      </c>
    </row>
    <row r="284" ht="22.5" customHeight="1">
      <c r="A284" s="16">
        <v>1.0</v>
      </c>
      <c r="B284" s="16">
        <v>4.0</v>
      </c>
      <c r="C284" s="16">
        <v>0.0</v>
      </c>
      <c r="D284" s="16">
        <v>0.0</v>
      </c>
      <c r="E284" s="16">
        <v>0.0</v>
      </c>
      <c r="F284" s="16">
        <v>0.0</v>
      </c>
      <c r="G284" s="18">
        <v>0.0</v>
      </c>
      <c r="H284" s="16" t="s">
        <v>207</v>
      </c>
      <c r="I284" s="19">
        <f t="shared" ref="I284:J284" si="283">round(D284*$A284,0)</f>
        <v>0</v>
      </c>
      <c r="J284" s="19">
        <f t="shared" si="283"/>
        <v>0</v>
      </c>
    </row>
    <row r="285" ht="22.5" customHeight="1">
      <c r="A285" s="16">
        <v>1.0</v>
      </c>
      <c r="B285" s="16">
        <v>4.0</v>
      </c>
      <c r="C285" s="16">
        <v>1.0</v>
      </c>
      <c r="D285" s="16">
        <v>-4.0</v>
      </c>
      <c r="E285" s="16">
        <v>1.0</v>
      </c>
      <c r="F285" s="16">
        <v>0.0</v>
      </c>
      <c r="G285" s="18">
        <v>0.0</v>
      </c>
      <c r="H285" s="16" t="s">
        <v>288</v>
      </c>
      <c r="I285" s="19">
        <f t="shared" ref="I285:J285" si="284">round(D285*$A285,0)</f>
        <v>-4</v>
      </c>
      <c r="J285" s="19">
        <f t="shared" si="284"/>
        <v>1</v>
      </c>
    </row>
    <row r="286" ht="22.5" customHeight="1">
      <c r="A286" s="16">
        <v>1.0</v>
      </c>
      <c r="B286" s="16">
        <v>4.0</v>
      </c>
      <c r="C286" s="16">
        <v>0.0</v>
      </c>
      <c r="D286" s="16">
        <v>0.0</v>
      </c>
      <c r="E286" s="16">
        <v>0.0</v>
      </c>
      <c r="F286" s="16">
        <v>0.0</v>
      </c>
      <c r="G286" s="18">
        <v>0.0</v>
      </c>
      <c r="H286" s="16" t="s">
        <v>245</v>
      </c>
      <c r="I286" s="19">
        <f t="shared" ref="I286:J286" si="285">round(D286*$A286,0)</f>
        <v>0</v>
      </c>
      <c r="J286" s="19">
        <f t="shared" si="285"/>
        <v>0</v>
      </c>
    </row>
    <row r="287" ht="22.5" customHeight="1">
      <c r="A287" s="16">
        <v>1.0</v>
      </c>
      <c r="B287" s="16">
        <v>4.0</v>
      </c>
      <c r="C287" s="16">
        <v>0.0</v>
      </c>
      <c r="D287" s="16">
        <v>0.0</v>
      </c>
      <c r="E287" s="16">
        <v>0.0</v>
      </c>
      <c r="F287" s="16">
        <v>0.0</v>
      </c>
      <c r="G287" s="18">
        <v>0.0</v>
      </c>
      <c r="H287" s="16" t="s">
        <v>245</v>
      </c>
      <c r="I287" s="19">
        <f t="shared" ref="I287:J287" si="286">round(D287*$A287,0)</f>
        <v>0</v>
      </c>
      <c r="J287" s="19">
        <f t="shared" si="286"/>
        <v>0</v>
      </c>
    </row>
    <row r="288" ht="22.5" customHeight="1">
      <c r="A288" s="16">
        <v>1.0</v>
      </c>
      <c r="B288" s="16">
        <v>4.0</v>
      </c>
      <c r="C288" s="16">
        <v>0.0</v>
      </c>
      <c r="D288" s="16">
        <v>0.0</v>
      </c>
      <c r="E288" s="16">
        <v>0.0</v>
      </c>
      <c r="F288" s="16">
        <v>0.0</v>
      </c>
      <c r="G288" s="18">
        <v>0.0</v>
      </c>
      <c r="H288" s="16" t="s">
        <v>245</v>
      </c>
      <c r="I288" s="19">
        <f t="shared" ref="I288:J288" si="287">round(D288*$A288,0)</f>
        <v>0</v>
      </c>
      <c r="J288" s="19">
        <f t="shared" si="287"/>
        <v>0</v>
      </c>
    </row>
    <row r="289" ht="22.5" customHeight="1">
      <c r="A289" s="16">
        <v>1.0</v>
      </c>
      <c r="B289" s="16">
        <v>4.0</v>
      </c>
      <c r="C289" s="16">
        <v>1.0</v>
      </c>
      <c r="D289" s="16">
        <v>-4.0</v>
      </c>
      <c r="E289" s="16">
        <v>1.0</v>
      </c>
      <c r="F289" s="16">
        <v>0.0</v>
      </c>
      <c r="G289" s="18">
        <v>0.0</v>
      </c>
      <c r="H289" s="16" t="s">
        <v>290</v>
      </c>
      <c r="I289" s="19">
        <f t="shared" ref="I289:J289" si="288">round(D289*$A289,0)</f>
        <v>-4</v>
      </c>
      <c r="J289" s="19">
        <f t="shared" si="288"/>
        <v>1</v>
      </c>
    </row>
    <row r="290" ht="22.5" customHeight="1">
      <c r="A290" s="16">
        <v>4.0</v>
      </c>
      <c r="B290" s="16">
        <v>16.0</v>
      </c>
      <c r="C290" s="16">
        <v>0.0</v>
      </c>
      <c r="D290" s="16">
        <v>0.0</v>
      </c>
      <c r="E290" s="16">
        <v>0.0</v>
      </c>
      <c r="F290" s="16">
        <v>0.0</v>
      </c>
      <c r="G290" s="18">
        <v>0.0</v>
      </c>
      <c r="H290" s="16" t="s">
        <v>291</v>
      </c>
      <c r="I290" s="19">
        <f t="shared" ref="I290:J290" si="289">round(D290*$A290,0)</f>
        <v>0</v>
      </c>
      <c r="J290" s="19">
        <f t="shared" si="289"/>
        <v>0</v>
      </c>
    </row>
    <row r="291" ht="22.5" customHeight="1">
      <c r="A291" s="16">
        <v>5.0</v>
      </c>
      <c r="B291" s="16">
        <v>20.0</v>
      </c>
      <c r="C291" s="16">
        <v>13.0</v>
      </c>
      <c r="D291" s="16">
        <v>6.4</v>
      </c>
      <c r="E291" s="16">
        <v>0.2</v>
      </c>
      <c r="F291" s="16">
        <v>0.0</v>
      </c>
      <c r="G291" s="20">
        <v>0.692</v>
      </c>
      <c r="H291" s="16" t="s">
        <v>267</v>
      </c>
      <c r="I291" s="19">
        <f t="shared" ref="I291:J291" si="290">round(D291*$A291,0)</f>
        <v>32</v>
      </c>
      <c r="J291" s="19">
        <f t="shared" si="290"/>
        <v>1</v>
      </c>
    </row>
    <row r="292" ht="22.5" customHeight="1">
      <c r="A292" s="16">
        <v>5.0</v>
      </c>
      <c r="B292" s="16">
        <v>20.0</v>
      </c>
      <c r="C292" s="16">
        <v>0.0</v>
      </c>
      <c r="D292" s="16">
        <v>0.0</v>
      </c>
      <c r="E292" s="16">
        <v>0.0</v>
      </c>
      <c r="F292" s="16">
        <v>0.0</v>
      </c>
      <c r="G292" s="18">
        <v>0.0</v>
      </c>
      <c r="H292" s="16" t="s">
        <v>98</v>
      </c>
      <c r="I292" s="19">
        <f t="shared" ref="I292:J292" si="291">round(D292*$A292,0)</f>
        <v>0</v>
      </c>
      <c r="J292" s="19">
        <f t="shared" si="291"/>
        <v>0</v>
      </c>
    </row>
    <row r="293" ht="22.5" customHeight="1">
      <c r="A293" s="16">
        <v>1.0</v>
      </c>
      <c r="B293" s="16">
        <v>4.0</v>
      </c>
      <c r="C293" s="16">
        <v>0.0</v>
      </c>
      <c r="D293" s="16">
        <v>0.0</v>
      </c>
      <c r="E293" s="16">
        <v>0.0</v>
      </c>
      <c r="F293" s="16">
        <v>0.0</v>
      </c>
      <c r="G293" s="18">
        <v>0.0</v>
      </c>
      <c r="H293" s="16" t="s">
        <v>106</v>
      </c>
      <c r="I293" s="19">
        <f t="shared" ref="I293:J293" si="292">round(D293*$A293,0)</f>
        <v>0</v>
      </c>
      <c r="J293" s="19">
        <f t="shared" si="292"/>
        <v>0</v>
      </c>
    </row>
    <row r="294" ht="22.5" customHeight="1">
      <c r="A294" s="16">
        <v>3.0</v>
      </c>
      <c r="B294" s="16">
        <v>12.0</v>
      </c>
      <c r="C294" s="16">
        <v>0.0</v>
      </c>
      <c r="D294" s="16">
        <v>0.0</v>
      </c>
      <c r="E294" s="16">
        <v>0.0</v>
      </c>
      <c r="F294" s="16">
        <v>0.0</v>
      </c>
      <c r="G294" s="18">
        <v>0.0</v>
      </c>
      <c r="H294" s="16" t="s">
        <v>106</v>
      </c>
      <c r="I294" s="19">
        <f t="shared" ref="I294:J294" si="293">round(D294*$A294,0)</f>
        <v>0</v>
      </c>
      <c r="J294" s="19">
        <f t="shared" si="293"/>
        <v>0</v>
      </c>
    </row>
    <row r="295" ht="22.5" customHeight="1">
      <c r="A295" s="16">
        <v>1.0</v>
      </c>
      <c r="B295" s="16">
        <v>4.0</v>
      </c>
      <c r="C295" s="16">
        <v>0.0</v>
      </c>
      <c r="D295" s="16">
        <v>0.0</v>
      </c>
      <c r="E295" s="16">
        <v>0.0</v>
      </c>
      <c r="F295" s="16">
        <v>0.0</v>
      </c>
      <c r="G295" s="18">
        <v>0.0</v>
      </c>
      <c r="H295" s="16" t="s">
        <v>106</v>
      </c>
      <c r="I295" s="19">
        <f t="shared" ref="I295:J295" si="294">round(D295*$A295,0)</f>
        <v>0</v>
      </c>
      <c r="J295" s="19">
        <f t="shared" si="294"/>
        <v>0</v>
      </c>
    </row>
    <row r="296" ht="22.5" customHeight="1">
      <c r="A296" s="16">
        <v>2.0</v>
      </c>
      <c r="B296" s="16">
        <v>8.0</v>
      </c>
      <c r="C296" s="16">
        <v>0.0</v>
      </c>
      <c r="D296" s="16">
        <v>0.0</v>
      </c>
      <c r="E296" s="16">
        <v>0.0</v>
      </c>
      <c r="F296" s="16">
        <v>0.0</v>
      </c>
      <c r="G296" s="18">
        <v>0.0</v>
      </c>
      <c r="H296" s="16" t="s">
        <v>292</v>
      </c>
      <c r="I296" s="19">
        <f t="shared" ref="I296:J296" si="295">round(D296*$A296,0)</f>
        <v>0</v>
      </c>
      <c r="J296" s="19">
        <f t="shared" si="295"/>
        <v>0</v>
      </c>
    </row>
    <row r="297" ht="22.5" customHeight="1">
      <c r="A297" s="16">
        <v>1.0</v>
      </c>
      <c r="B297" s="16">
        <v>4.0</v>
      </c>
      <c r="C297" s="16">
        <v>0.0</v>
      </c>
      <c r="D297" s="16">
        <v>0.0</v>
      </c>
      <c r="E297" s="16">
        <v>0.0</v>
      </c>
      <c r="F297" s="16">
        <v>0.0</v>
      </c>
      <c r="G297" s="18">
        <v>0.0</v>
      </c>
      <c r="H297" s="16" t="s">
        <v>269</v>
      </c>
      <c r="I297" s="19">
        <f t="shared" ref="I297:J297" si="296">round(D297*$A297,0)</f>
        <v>0</v>
      </c>
      <c r="J297" s="19">
        <f t="shared" si="296"/>
        <v>0</v>
      </c>
    </row>
    <row r="298" ht="22.5" customHeight="1">
      <c r="A298" s="16">
        <v>3.0</v>
      </c>
      <c r="B298" s="16">
        <v>12.0</v>
      </c>
      <c r="C298" s="16">
        <v>0.0</v>
      </c>
      <c r="D298" s="16">
        <v>0.0</v>
      </c>
      <c r="E298" s="16">
        <v>0.0</v>
      </c>
      <c r="F298" s="16">
        <v>0.0</v>
      </c>
      <c r="G298" s="18">
        <v>0.0</v>
      </c>
      <c r="H298" s="16" t="s">
        <v>269</v>
      </c>
      <c r="I298" s="19">
        <f t="shared" ref="I298:J298" si="297">round(D298*$A298,0)</f>
        <v>0</v>
      </c>
      <c r="J298" s="19">
        <f t="shared" si="297"/>
        <v>0</v>
      </c>
    </row>
    <row r="299" ht="22.5" customHeight="1">
      <c r="A299" s="16">
        <v>1.0</v>
      </c>
      <c r="B299" s="16">
        <v>4.0</v>
      </c>
      <c r="C299" s="16">
        <v>0.0</v>
      </c>
      <c r="D299" s="16">
        <v>0.0</v>
      </c>
      <c r="E299" s="16">
        <v>0.0</v>
      </c>
      <c r="F299" s="16">
        <v>0.0</v>
      </c>
      <c r="G299" s="18">
        <v>0.0</v>
      </c>
      <c r="H299" s="16" t="s">
        <v>269</v>
      </c>
      <c r="I299" s="19">
        <f t="shared" ref="I299:J299" si="298">round(D299*$A299,0)</f>
        <v>0</v>
      </c>
      <c r="J299" s="19">
        <f t="shared" si="298"/>
        <v>0</v>
      </c>
    </row>
    <row r="300" ht="22.5" customHeight="1">
      <c r="A300" s="16">
        <v>1.0</v>
      </c>
      <c r="B300" s="16">
        <v>4.0</v>
      </c>
      <c r="C300" s="16">
        <v>2.0</v>
      </c>
      <c r="D300" s="16">
        <v>8.0</v>
      </c>
      <c r="E300" s="16">
        <v>0.0</v>
      </c>
      <c r="F300" s="16">
        <v>0.0</v>
      </c>
      <c r="G300" s="18">
        <v>1.0</v>
      </c>
      <c r="H300" s="16" t="s">
        <v>293</v>
      </c>
      <c r="I300" s="19">
        <f t="shared" ref="I300:J300" si="299">round(D300*$A300,0)</f>
        <v>8</v>
      </c>
      <c r="J300" s="19">
        <f t="shared" si="299"/>
        <v>0</v>
      </c>
    </row>
    <row r="301" ht="22.5" customHeight="1">
      <c r="A301" s="16">
        <v>1.0</v>
      </c>
      <c r="B301" s="16">
        <v>4.0</v>
      </c>
      <c r="C301" s="16">
        <v>1.0</v>
      </c>
      <c r="D301" s="16">
        <v>4.0</v>
      </c>
      <c r="E301" s="16">
        <v>0.0</v>
      </c>
      <c r="F301" s="16">
        <v>0.0</v>
      </c>
      <c r="G301" s="18">
        <v>1.0</v>
      </c>
      <c r="H301" s="16" t="s">
        <v>293</v>
      </c>
      <c r="I301" s="19">
        <f t="shared" ref="I301:J301" si="300">round(D301*$A301,0)</f>
        <v>4</v>
      </c>
      <c r="J301" s="19">
        <f t="shared" si="300"/>
        <v>0</v>
      </c>
    </row>
    <row r="302" ht="22.5" customHeight="1">
      <c r="A302" s="16">
        <v>3.0</v>
      </c>
      <c r="B302" s="16">
        <v>12.0</v>
      </c>
      <c r="C302" s="16">
        <v>7.0</v>
      </c>
      <c r="D302" s="16">
        <v>1.33</v>
      </c>
      <c r="E302" s="16">
        <v>1.0</v>
      </c>
      <c r="F302" s="16">
        <v>0.0</v>
      </c>
      <c r="G302" s="20">
        <v>0.571</v>
      </c>
      <c r="H302" s="16" t="s">
        <v>293</v>
      </c>
      <c r="I302" s="19">
        <f t="shared" ref="I302:J302" si="301">round(D302*$A302,0)</f>
        <v>4</v>
      </c>
      <c r="J302" s="19">
        <f t="shared" si="301"/>
        <v>3</v>
      </c>
    </row>
    <row r="303" ht="22.5" customHeight="1">
      <c r="A303" s="16">
        <v>5.0</v>
      </c>
      <c r="B303" s="16">
        <v>20.0</v>
      </c>
      <c r="C303" s="16">
        <v>11.0</v>
      </c>
      <c r="D303" s="16">
        <v>6.4</v>
      </c>
      <c r="E303" s="16">
        <v>0.0</v>
      </c>
      <c r="F303" s="16">
        <v>0.0</v>
      </c>
      <c r="G303" s="20">
        <v>0.727</v>
      </c>
      <c r="H303" s="16" t="s">
        <v>285</v>
      </c>
      <c r="I303" s="19">
        <f t="shared" ref="I303:J303" si="302">round(D303*$A303,0)</f>
        <v>32</v>
      </c>
      <c r="J303" s="19">
        <f t="shared" si="302"/>
        <v>0</v>
      </c>
    </row>
    <row r="304" ht="22.5" customHeight="1">
      <c r="A304" s="16">
        <v>1.0</v>
      </c>
      <c r="B304" s="16">
        <v>4.0</v>
      </c>
      <c r="C304" s="16">
        <v>0.0</v>
      </c>
      <c r="D304" s="16">
        <v>0.0</v>
      </c>
      <c r="E304" s="16">
        <v>0.0</v>
      </c>
      <c r="F304" s="16">
        <v>0.0</v>
      </c>
      <c r="G304" s="18">
        <v>0.0</v>
      </c>
      <c r="H304" s="16" t="s">
        <v>246</v>
      </c>
      <c r="I304" s="19">
        <f t="shared" ref="I304:J304" si="303">round(D304*$A304,0)</f>
        <v>0</v>
      </c>
      <c r="J304" s="19">
        <f t="shared" si="303"/>
        <v>0</v>
      </c>
    </row>
    <row r="305" ht="22.5" customHeight="1">
      <c r="A305" s="16">
        <v>4.0</v>
      </c>
      <c r="B305" s="16">
        <v>16.0</v>
      </c>
      <c r="C305" s="16">
        <v>1.0</v>
      </c>
      <c r="D305" s="16">
        <v>1.0</v>
      </c>
      <c r="E305" s="16">
        <v>0.0</v>
      </c>
      <c r="F305" s="16">
        <v>0.0</v>
      </c>
      <c r="G305" s="18">
        <v>1.0</v>
      </c>
      <c r="H305" s="16" t="s">
        <v>295</v>
      </c>
      <c r="I305" s="19">
        <f t="shared" ref="I305:J305" si="304">round(D305*$A305,0)</f>
        <v>4</v>
      </c>
      <c r="J305" s="19">
        <f t="shared" si="304"/>
        <v>0</v>
      </c>
    </row>
    <row r="306" ht="22.5" customHeight="1">
      <c r="A306" s="16">
        <v>5.0</v>
      </c>
      <c r="B306" s="16">
        <v>20.0</v>
      </c>
      <c r="C306" s="16">
        <v>1.0</v>
      </c>
      <c r="D306" s="16">
        <v>0.8</v>
      </c>
      <c r="E306" s="16">
        <v>0.0</v>
      </c>
      <c r="F306" s="16">
        <v>0.0</v>
      </c>
      <c r="G306" s="18">
        <v>1.0</v>
      </c>
      <c r="H306" s="16" t="s">
        <v>286</v>
      </c>
      <c r="I306" s="19">
        <f t="shared" ref="I306:J306" si="305">round(D306*$A306,0)</f>
        <v>4</v>
      </c>
      <c r="J306" s="19">
        <f t="shared" si="305"/>
        <v>0</v>
      </c>
    </row>
    <row r="307" ht="22.5" customHeight="1">
      <c r="A307" s="16">
        <v>5.0</v>
      </c>
      <c r="B307" s="16">
        <v>20.0</v>
      </c>
      <c r="C307" s="16">
        <v>0.0</v>
      </c>
      <c r="D307" s="16">
        <v>0.0</v>
      </c>
      <c r="E307" s="16">
        <v>0.0</v>
      </c>
      <c r="F307" s="16">
        <v>0.0</v>
      </c>
      <c r="G307" s="18">
        <v>0.0</v>
      </c>
      <c r="H307" s="16" t="s">
        <v>297</v>
      </c>
      <c r="I307" s="19">
        <f t="shared" ref="I307:J307" si="306">round(D307*$A307,0)</f>
        <v>0</v>
      </c>
      <c r="J307" s="19">
        <f t="shared" si="306"/>
        <v>0</v>
      </c>
    </row>
    <row r="308" ht="22.5" customHeight="1">
      <c r="A308" s="16">
        <v>3.0</v>
      </c>
      <c r="B308" s="16">
        <v>11.0</v>
      </c>
      <c r="C308" s="16">
        <v>0.0</v>
      </c>
      <c r="D308" s="16">
        <v>0.0</v>
      </c>
      <c r="E308" s="16">
        <v>0.0</v>
      </c>
      <c r="F308" s="16">
        <v>0.0</v>
      </c>
      <c r="G308" s="18">
        <v>0.0</v>
      </c>
      <c r="H308" s="16" t="s">
        <v>298</v>
      </c>
      <c r="I308" s="19">
        <f t="shared" ref="I308:J308" si="307">round(D308*$A308,0)</f>
        <v>0</v>
      </c>
      <c r="J308" s="19">
        <f t="shared" si="307"/>
        <v>0</v>
      </c>
    </row>
    <row r="309" ht="22.5" customHeight="1">
      <c r="A309" s="16">
        <v>4.0</v>
      </c>
      <c r="B309" s="16">
        <v>15.0</v>
      </c>
      <c r="C309" s="16">
        <v>2.0</v>
      </c>
      <c r="D309" s="16">
        <v>2.0</v>
      </c>
      <c r="E309" s="16">
        <v>0.0</v>
      </c>
      <c r="F309" s="16">
        <v>0.0</v>
      </c>
      <c r="G309" s="18">
        <v>1.0</v>
      </c>
      <c r="H309" s="16" t="s">
        <v>296</v>
      </c>
      <c r="I309" s="19">
        <f t="shared" ref="I309:J309" si="308">round(D309*$A309,0)</f>
        <v>8</v>
      </c>
      <c r="J309" s="19">
        <f t="shared" si="308"/>
        <v>0</v>
      </c>
    </row>
    <row r="310" ht="22.5" customHeight="1">
      <c r="A310" s="16">
        <v>4.0</v>
      </c>
      <c r="B310" s="16">
        <v>15.0</v>
      </c>
      <c r="C310" s="16">
        <v>0.0</v>
      </c>
      <c r="D310" s="16">
        <v>0.0</v>
      </c>
      <c r="E310" s="16">
        <v>0.0</v>
      </c>
      <c r="F310" s="16">
        <v>0.0</v>
      </c>
      <c r="G310" s="18">
        <v>0.0</v>
      </c>
      <c r="H310" s="16" t="s">
        <v>175</v>
      </c>
      <c r="I310" s="19">
        <f t="shared" ref="I310:J310" si="309">round(D310*$A310,0)</f>
        <v>0</v>
      </c>
      <c r="J310" s="19">
        <f t="shared" si="309"/>
        <v>0</v>
      </c>
    </row>
    <row r="311" ht="22.5" customHeight="1">
      <c r="A311" s="16">
        <v>4.0</v>
      </c>
      <c r="B311" s="16">
        <v>15.0</v>
      </c>
      <c r="C311" s="16">
        <v>11.0</v>
      </c>
      <c r="D311" s="16">
        <v>5.0</v>
      </c>
      <c r="E311" s="16">
        <v>0.5</v>
      </c>
      <c r="F311" s="16">
        <v>0.0</v>
      </c>
      <c r="G311" s="20">
        <v>0.636</v>
      </c>
      <c r="H311" s="16" t="s">
        <v>300</v>
      </c>
      <c r="I311" s="19">
        <f t="shared" ref="I311:J311" si="310">round(D311*$A311,0)</f>
        <v>20</v>
      </c>
      <c r="J311" s="19">
        <f t="shared" si="310"/>
        <v>2</v>
      </c>
    </row>
    <row r="312" ht="22.5" customHeight="1">
      <c r="A312" s="16">
        <v>4.0</v>
      </c>
      <c r="B312" s="16">
        <v>16.0</v>
      </c>
      <c r="C312" s="16">
        <v>0.0</v>
      </c>
      <c r="D312" s="16">
        <v>0.0</v>
      </c>
      <c r="E312" s="16">
        <v>0.0</v>
      </c>
      <c r="F312" s="16">
        <v>0.0</v>
      </c>
      <c r="G312" s="18">
        <v>0.0</v>
      </c>
      <c r="H312" s="16" t="s">
        <v>271</v>
      </c>
      <c r="I312" s="19">
        <f t="shared" ref="I312:J312" si="311">round(D312*$A312,0)</f>
        <v>0</v>
      </c>
      <c r="J312" s="19">
        <f t="shared" si="311"/>
        <v>0</v>
      </c>
    </row>
    <row r="313" ht="22.5" customHeight="1">
      <c r="A313" s="16">
        <v>1.0</v>
      </c>
      <c r="B313" s="16">
        <v>4.0</v>
      </c>
      <c r="C313" s="16">
        <v>0.0</v>
      </c>
      <c r="D313" s="16">
        <v>0.0</v>
      </c>
      <c r="E313" s="16">
        <v>0.0</v>
      </c>
      <c r="F313" s="16">
        <v>0.0</v>
      </c>
      <c r="G313" s="18">
        <v>0.0</v>
      </c>
      <c r="H313" s="16" t="s">
        <v>271</v>
      </c>
      <c r="I313" s="19">
        <f t="shared" ref="I313:J313" si="312">round(D313*$A313,0)</f>
        <v>0</v>
      </c>
      <c r="J313" s="19">
        <f t="shared" si="312"/>
        <v>0</v>
      </c>
    </row>
    <row r="314" ht="22.5" customHeight="1">
      <c r="A314" s="16">
        <v>4.0</v>
      </c>
      <c r="B314" s="16">
        <v>16.0</v>
      </c>
      <c r="C314" s="16">
        <v>2.0</v>
      </c>
      <c r="D314" s="16">
        <v>1.0</v>
      </c>
      <c r="E314" s="16">
        <v>0.0</v>
      </c>
      <c r="F314" s="16">
        <v>0.0</v>
      </c>
      <c r="G314" s="18">
        <v>0.5</v>
      </c>
      <c r="H314" s="16" t="s">
        <v>249</v>
      </c>
      <c r="I314" s="19">
        <f t="shared" ref="I314:J314" si="313">round(D314*$A314,0)</f>
        <v>4</v>
      </c>
      <c r="J314" s="19">
        <f t="shared" si="313"/>
        <v>0</v>
      </c>
    </row>
    <row r="315" ht="22.5" customHeight="1">
      <c r="A315" s="16">
        <v>1.0</v>
      </c>
      <c r="B315" s="16">
        <v>4.0</v>
      </c>
      <c r="C315" s="16">
        <v>1.0</v>
      </c>
      <c r="D315" s="16">
        <v>0.0</v>
      </c>
      <c r="E315" s="16">
        <v>0.0</v>
      </c>
      <c r="F315" s="16">
        <v>0.0</v>
      </c>
      <c r="G315" s="18">
        <v>0.0</v>
      </c>
      <c r="H315" s="16" t="s">
        <v>249</v>
      </c>
      <c r="I315" s="19">
        <f t="shared" ref="I315:J315" si="314">round(D315*$A315,0)</f>
        <v>0</v>
      </c>
      <c r="J315" s="19">
        <f t="shared" si="314"/>
        <v>0</v>
      </c>
    </row>
    <row r="316" ht="22.5" customHeight="1">
      <c r="A316" s="16">
        <v>4.0</v>
      </c>
      <c r="B316" s="16">
        <v>16.0</v>
      </c>
      <c r="C316" s="16">
        <v>5.0</v>
      </c>
      <c r="D316" s="16">
        <v>3.0</v>
      </c>
      <c r="E316" s="16">
        <v>0.25</v>
      </c>
      <c r="F316" s="16">
        <v>0.0</v>
      </c>
      <c r="G316" s="18">
        <v>0.8</v>
      </c>
      <c r="H316" s="16" t="s">
        <v>272</v>
      </c>
      <c r="I316" s="19">
        <f t="shared" ref="I316:J316" si="315">round(D316*$A316,0)</f>
        <v>12</v>
      </c>
      <c r="J316" s="19">
        <f t="shared" si="315"/>
        <v>1</v>
      </c>
    </row>
    <row r="317" ht="22.5" customHeight="1">
      <c r="A317" s="16">
        <v>1.0</v>
      </c>
      <c r="B317" s="16">
        <v>4.0</v>
      </c>
      <c r="C317" s="16">
        <v>0.0</v>
      </c>
      <c r="D317" s="16">
        <v>0.0</v>
      </c>
      <c r="E317" s="16">
        <v>0.0</v>
      </c>
      <c r="F317" s="16">
        <v>0.0</v>
      </c>
      <c r="G317" s="18">
        <v>0.0</v>
      </c>
      <c r="H317" s="16" t="s">
        <v>272</v>
      </c>
      <c r="I317" s="19">
        <f t="shared" ref="I317:J317" si="316">round(D317*$A317,0)</f>
        <v>0</v>
      </c>
      <c r="J317" s="19">
        <f t="shared" si="316"/>
        <v>0</v>
      </c>
    </row>
    <row r="318" ht="22.5" customHeight="1">
      <c r="A318" s="16">
        <v>4.0</v>
      </c>
      <c r="B318" s="16">
        <v>16.0</v>
      </c>
      <c r="C318" s="16">
        <v>7.0</v>
      </c>
      <c r="D318" s="16">
        <v>2.0</v>
      </c>
      <c r="E318" s="16">
        <v>0.0</v>
      </c>
      <c r="F318" s="16">
        <v>0.0</v>
      </c>
      <c r="G318" s="20">
        <v>0.286</v>
      </c>
      <c r="H318" s="16" t="s">
        <v>138</v>
      </c>
      <c r="I318" s="19">
        <f t="shared" ref="I318:J318" si="317">round(D318*$A318,0)</f>
        <v>8</v>
      </c>
      <c r="J318" s="19">
        <f t="shared" si="317"/>
        <v>0</v>
      </c>
    </row>
    <row r="319" ht="22.5" customHeight="1">
      <c r="A319" s="16">
        <v>1.0</v>
      </c>
      <c r="B319" s="16">
        <v>4.0</v>
      </c>
      <c r="C319" s="16">
        <v>1.0</v>
      </c>
      <c r="D319" s="16">
        <v>4.0</v>
      </c>
      <c r="E319" s="16">
        <v>0.0</v>
      </c>
      <c r="F319" s="16">
        <v>0.0</v>
      </c>
      <c r="G319" s="18">
        <v>1.0</v>
      </c>
      <c r="H319" s="16" t="s">
        <v>138</v>
      </c>
      <c r="I319" s="19">
        <f t="shared" ref="I319:J319" si="318">round(D319*$A319,0)</f>
        <v>4</v>
      </c>
      <c r="J319" s="19">
        <f t="shared" si="318"/>
        <v>0</v>
      </c>
    </row>
    <row r="320" ht="22.5" customHeight="1">
      <c r="A320" s="16">
        <v>2.0</v>
      </c>
      <c r="B320" s="16">
        <v>8.0</v>
      </c>
      <c r="C320" s="16">
        <v>0.0</v>
      </c>
      <c r="D320" s="16">
        <v>0.0</v>
      </c>
      <c r="E320" s="16">
        <v>0.0</v>
      </c>
      <c r="F320" s="16">
        <v>0.0</v>
      </c>
      <c r="G320" s="18">
        <v>0.0</v>
      </c>
      <c r="H320" s="16" t="s">
        <v>303</v>
      </c>
      <c r="I320" s="19">
        <f t="shared" ref="I320:J320" si="319">round(D320*$A320,0)</f>
        <v>0</v>
      </c>
      <c r="J320" s="19">
        <f t="shared" si="319"/>
        <v>0</v>
      </c>
    </row>
    <row r="321" ht="22.5" customHeight="1">
      <c r="A321" s="16">
        <v>4.0</v>
      </c>
      <c r="B321" s="16">
        <v>16.0</v>
      </c>
      <c r="C321" s="16">
        <v>0.0</v>
      </c>
      <c r="D321" s="16">
        <v>0.0</v>
      </c>
      <c r="E321" s="16">
        <v>0.0</v>
      </c>
      <c r="F321" s="16">
        <v>0.0</v>
      </c>
      <c r="G321" s="18">
        <v>0.0</v>
      </c>
      <c r="H321" s="16" t="s">
        <v>304</v>
      </c>
      <c r="I321" s="19">
        <f t="shared" ref="I321:J321" si="320">round(D321*$A321,0)</f>
        <v>0</v>
      </c>
      <c r="J321" s="19">
        <f t="shared" si="320"/>
        <v>0</v>
      </c>
    </row>
    <row r="322" ht="22.5" customHeight="1">
      <c r="A322" s="16">
        <v>1.0</v>
      </c>
      <c r="B322" s="16">
        <v>4.0</v>
      </c>
      <c r="C322" s="16">
        <v>0.0</v>
      </c>
      <c r="D322" s="16">
        <v>0.0</v>
      </c>
      <c r="E322" s="16">
        <v>0.0</v>
      </c>
      <c r="F322" s="16">
        <v>0.0</v>
      </c>
      <c r="G322" s="18">
        <v>0.0</v>
      </c>
      <c r="H322" s="16" t="s">
        <v>305</v>
      </c>
      <c r="I322" s="19">
        <f t="shared" ref="I322:J322" si="321">round(D322*$A322,0)</f>
        <v>0</v>
      </c>
      <c r="J322" s="19">
        <f t="shared" si="321"/>
        <v>0</v>
      </c>
    </row>
    <row r="323" ht="22.5" customHeight="1">
      <c r="A323" s="16">
        <v>1.0</v>
      </c>
      <c r="B323" s="16">
        <v>4.0</v>
      </c>
      <c r="C323" s="16">
        <v>2.0</v>
      </c>
      <c r="D323" s="16">
        <v>4.0</v>
      </c>
      <c r="E323" s="16">
        <v>0.0</v>
      </c>
      <c r="F323" s="16">
        <v>0.0</v>
      </c>
      <c r="G323" s="18">
        <v>0.5</v>
      </c>
      <c r="H323" s="16" t="s">
        <v>306</v>
      </c>
      <c r="I323" s="19">
        <f t="shared" ref="I323:J323" si="322">round(D323*$A323,0)</f>
        <v>4</v>
      </c>
      <c r="J323" s="19">
        <f t="shared" si="322"/>
        <v>0</v>
      </c>
    </row>
    <row r="324" ht="22.5" customHeight="1">
      <c r="A324" s="16">
        <v>1.0</v>
      </c>
      <c r="B324" s="16">
        <v>3.0</v>
      </c>
      <c r="C324" s="16">
        <v>1.0</v>
      </c>
      <c r="D324" s="16">
        <v>4.0</v>
      </c>
      <c r="E324" s="16">
        <v>0.0</v>
      </c>
      <c r="F324" s="16">
        <v>0.0</v>
      </c>
      <c r="G324" s="18">
        <v>1.0</v>
      </c>
      <c r="H324" s="16" t="s">
        <v>306</v>
      </c>
      <c r="I324" s="19">
        <f t="shared" ref="I324:J324" si="323">round(D324*$A324,0)</f>
        <v>4</v>
      </c>
      <c r="J324" s="19">
        <f t="shared" si="323"/>
        <v>0</v>
      </c>
    </row>
    <row r="325" ht="22.5" customHeight="1">
      <c r="A325" s="16">
        <v>1.0</v>
      </c>
      <c r="B325" s="16">
        <v>4.0</v>
      </c>
      <c r="C325" s="16">
        <v>1.0</v>
      </c>
      <c r="D325" s="16">
        <v>4.0</v>
      </c>
      <c r="E325" s="16">
        <v>0.0</v>
      </c>
      <c r="F325" s="16">
        <v>0.0</v>
      </c>
      <c r="G325" s="18">
        <v>1.0</v>
      </c>
      <c r="H325" s="16" t="s">
        <v>306</v>
      </c>
      <c r="I325" s="19">
        <f t="shared" ref="I325:J325" si="324">round(D325*$A325,0)</f>
        <v>4</v>
      </c>
      <c r="J325" s="19">
        <f t="shared" si="324"/>
        <v>0</v>
      </c>
    </row>
    <row r="326" ht="22.5" customHeight="1">
      <c r="A326" s="16">
        <v>1.0</v>
      </c>
      <c r="B326" s="16">
        <v>4.0</v>
      </c>
      <c r="C326" s="16">
        <v>1.0</v>
      </c>
      <c r="D326" s="16">
        <v>0.0</v>
      </c>
      <c r="E326" s="16">
        <v>0.0</v>
      </c>
      <c r="F326" s="16">
        <v>0.0</v>
      </c>
      <c r="G326" s="18">
        <v>0.0</v>
      </c>
      <c r="H326" s="16" t="s">
        <v>306</v>
      </c>
      <c r="I326" s="19">
        <f t="shared" ref="I326:J326" si="325">round(D326*$A326,0)</f>
        <v>0</v>
      </c>
      <c r="J326" s="19">
        <f t="shared" si="325"/>
        <v>0</v>
      </c>
    </row>
    <row r="327" ht="22.5" customHeight="1">
      <c r="A327" s="16">
        <v>1.0</v>
      </c>
      <c r="B327" s="16">
        <v>3.0</v>
      </c>
      <c r="C327" s="16">
        <v>2.0</v>
      </c>
      <c r="D327" s="16">
        <v>8.0</v>
      </c>
      <c r="E327" s="16">
        <v>0.0</v>
      </c>
      <c r="F327" s="16">
        <v>0.0</v>
      </c>
      <c r="G327" s="18">
        <v>1.0</v>
      </c>
      <c r="H327" s="16" t="s">
        <v>141</v>
      </c>
      <c r="I327" s="19">
        <f t="shared" ref="I327:J327" si="326">round(D327*$A327,0)</f>
        <v>8</v>
      </c>
      <c r="J327" s="19">
        <f t="shared" si="326"/>
        <v>0</v>
      </c>
    </row>
    <row r="328" ht="22.5" customHeight="1">
      <c r="A328" s="16">
        <v>1.0</v>
      </c>
      <c r="B328" s="16">
        <v>4.0</v>
      </c>
      <c r="C328" s="16">
        <v>1.0</v>
      </c>
      <c r="D328" s="16">
        <v>4.0</v>
      </c>
      <c r="E328" s="16">
        <v>0.0</v>
      </c>
      <c r="F328" s="16">
        <v>0.0</v>
      </c>
      <c r="G328" s="18">
        <v>1.0</v>
      </c>
      <c r="H328" s="16" t="s">
        <v>141</v>
      </c>
      <c r="I328" s="19">
        <f t="shared" ref="I328:J328" si="327">round(D328*$A328,0)</f>
        <v>4</v>
      </c>
      <c r="J328" s="19">
        <f t="shared" si="327"/>
        <v>0</v>
      </c>
    </row>
    <row r="329" ht="22.5" customHeight="1">
      <c r="A329" s="16">
        <v>1.0</v>
      </c>
      <c r="B329" s="16">
        <v>4.0</v>
      </c>
      <c r="C329" s="16">
        <v>0.0</v>
      </c>
      <c r="D329" s="16">
        <v>0.0</v>
      </c>
      <c r="E329" s="16">
        <v>0.0</v>
      </c>
      <c r="F329" s="16">
        <v>0.0</v>
      </c>
      <c r="G329" s="18">
        <v>0.0</v>
      </c>
      <c r="H329" s="16" t="s">
        <v>141</v>
      </c>
      <c r="I329" s="19">
        <f t="shared" ref="I329:J329" si="328">round(D329*$A329,0)</f>
        <v>0</v>
      </c>
      <c r="J329" s="19">
        <f t="shared" si="328"/>
        <v>0</v>
      </c>
    </row>
    <row r="330" ht="22.5" customHeight="1">
      <c r="A330" s="16">
        <v>1.0</v>
      </c>
      <c r="B330" s="16">
        <v>4.0</v>
      </c>
      <c r="C330" s="16">
        <v>0.0</v>
      </c>
      <c r="D330" s="16">
        <v>0.0</v>
      </c>
      <c r="E330" s="16">
        <v>0.0</v>
      </c>
      <c r="F330" s="16">
        <v>0.0</v>
      </c>
      <c r="G330" s="18">
        <v>0.0</v>
      </c>
      <c r="H330" s="16" t="s">
        <v>141</v>
      </c>
      <c r="I330" s="19">
        <f t="shared" ref="I330:J330" si="329">round(D330*$A330,0)</f>
        <v>0</v>
      </c>
      <c r="J330" s="19">
        <f t="shared" si="329"/>
        <v>0</v>
      </c>
    </row>
    <row r="331" ht="22.5" customHeight="1">
      <c r="A331" s="16">
        <v>1.0</v>
      </c>
      <c r="B331" s="16">
        <v>4.0</v>
      </c>
      <c r="C331" s="16">
        <v>0.0</v>
      </c>
      <c r="D331" s="16">
        <v>0.0</v>
      </c>
      <c r="E331" s="16">
        <v>0.0</v>
      </c>
      <c r="F331" s="16">
        <v>0.0</v>
      </c>
      <c r="G331" s="18">
        <v>0.0</v>
      </c>
      <c r="H331" s="16" t="s">
        <v>308</v>
      </c>
      <c r="I331" s="19">
        <f t="shared" ref="I331:J331" si="330">round(D331*$A331,0)</f>
        <v>0</v>
      </c>
      <c r="J331" s="19">
        <f t="shared" si="330"/>
        <v>0</v>
      </c>
    </row>
    <row r="332" ht="22.5" customHeight="1">
      <c r="A332" s="16">
        <v>1.0</v>
      </c>
      <c r="B332" s="16">
        <v>3.0</v>
      </c>
      <c r="C332" s="16">
        <v>0.0</v>
      </c>
      <c r="D332" s="16">
        <v>0.0</v>
      </c>
      <c r="E332" s="16">
        <v>0.0</v>
      </c>
      <c r="F332" s="16">
        <v>0.0</v>
      </c>
      <c r="G332" s="18">
        <v>0.0</v>
      </c>
      <c r="H332" s="16" t="s">
        <v>308</v>
      </c>
      <c r="I332" s="19">
        <f t="shared" ref="I332:J332" si="331">round(D332*$A332,0)</f>
        <v>0</v>
      </c>
      <c r="J332" s="19">
        <f t="shared" si="331"/>
        <v>0</v>
      </c>
    </row>
    <row r="333" ht="22.5" customHeight="1">
      <c r="A333" s="16">
        <v>1.0</v>
      </c>
      <c r="B333" s="16">
        <v>4.0</v>
      </c>
      <c r="C333" s="16">
        <v>0.0</v>
      </c>
      <c r="D333" s="16">
        <v>0.0</v>
      </c>
      <c r="E333" s="16">
        <v>0.0</v>
      </c>
      <c r="F333" s="16">
        <v>0.0</v>
      </c>
      <c r="G333" s="18">
        <v>0.0</v>
      </c>
      <c r="H333" s="16" t="s">
        <v>308</v>
      </c>
      <c r="I333" s="19">
        <f t="shared" ref="I333:J333" si="332">round(D333*$A333,0)</f>
        <v>0</v>
      </c>
      <c r="J333" s="19">
        <f t="shared" si="332"/>
        <v>0</v>
      </c>
    </row>
    <row r="334" ht="22.5" customHeight="1">
      <c r="A334" s="16">
        <v>1.0</v>
      </c>
      <c r="B334" s="16">
        <v>3.0</v>
      </c>
      <c r="C334" s="16">
        <v>0.0</v>
      </c>
      <c r="D334" s="16">
        <v>0.0</v>
      </c>
      <c r="E334" s="16">
        <v>0.0</v>
      </c>
      <c r="F334" s="16">
        <v>0.0</v>
      </c>
      <c r="G334" s="18">
        <v>0.0</v>
      </c>
      <c r="H334" s="16" t="s">
        <v>309</v>
      </c>
      <c r="I334" s="19">
        <f t="shared" ref="I334:J334" si="333">round(D334*$A334,0)</f>
        <v>0</v>
      </c>
      <c r="J334" s="19">
        <f t="shared" si="333"/>
        <v>0</v>
      </c>
    </row>
    <row r="335" ht="22.5" customHeight="1">
      <c r="A335" s="16">
        <v>1.0</v>
      </c>
      <c r="B335" s="16">
        <v>4.0</v>
      </c>
      <c r="C335" s="16">
        <v>0.0</v>
      </c>
      <c r="D335" s="16">
        <v>0.0</v>
      </c>
      <c r="E335" s="16">
        <v>0.0</v>
      </c>
      <c r="F335" s="16">
        <v>0.0</v>
      </c>
      <c r="G335" s="18">
        <v>0.0</v>
      </c>
      <c r="H335" s="16" t="s">
        <v>309</v>
      </c>
      <c r="I335" s="19">
        <f t="shared" ref="I335:J335" si="334">round(D335*$A335,0)</f>
        <v>0</v>
      </c>
      <c r="J335" s="19">
        <f t="shared" si="334"/>
        <v>0</v>
      </c>
    </row>
    <row r="336" ht="22.5" customHeight="1">
      <c r="A336" s="16">
        <v>1.0</v>
      </c>
      <c r="B336" s="16">
        <v>4.0</v>
      </c>
      <c r="C336" s="16">
        <v>0.0</v>
      </c>
      <c r="D336" s="16">
        <v>0.0</v>
      </c>
      <c r="E336" s="16">
        <v>0.0</v>
      </c>
      <c r="F336" s="16">
        <v>0.0</v>
      </c>
      <c r="G336" s="18">
        <v>0.0</v>
      </c>
      <c r="H336" s="16" t="s">
        <v>310</v>
      </c>
      <c r="I336" s="19">
        <f t="shared" ref="I336:J336" si="335">round(D336*$A336,0)</f>
        <v>0</v>
      </c>
      <c r="J336" s="19">
        <f t="shared" si="335"/>
        <v>0</v>
      </c>
    </row>
    <row r="337" ht="22.5" customHeight="1">
      <c r="A337" s="16">
        <v>1.0</v>
      </c>
      <c r="B337" s="16">
        <v>4.0</v>
      </c>
      <c r="C337" s="16">
        <v>0.0</v>
      </c>
      <c r="D337" s="16">
        <v>0.0</v>
      </c>
      <c r="E337" s="16">
        <v>0.0</v>
      </c>
      <c r="F337" s="16">
        <v>0.0</v>
      </c>
      <c r="G337" s="18">
        <v>0.0</v>
      </c>
      <c r="H337" s="16" t="s">
        <v>310</v>
      </c>
      <c r="I337" s="19">
        <f t="shared" ref="I337:J337" si="336">round(D337*$A337,0)</f>
        <v>0</v>
      </c>
      <c r="J337" s="19">
        <f t="shared" si="336"/>
        <v>0</v>
      </c>
    </row>
    <row r="338" ht="22.5" customHeight="1">
      <c r="A338" s="16">
        <v>1.0</v>
      </c>
      <c r="B338" s="16">
        <v>4.0</v>
      </c>
      <c r="C338" s="16">
        <v>0.0</v>
      </c>
      <c r="D338" s="16">
        <v>0.0</v>
      </c>
      <c r="E338" s="16">
        <v>0.0</v>
      </c>
      <c r="F338" s="16">
        <v>0.0</v>
      </c>
      <c r="G338" s="18">
        <v>0.0</v>
      </c>
      <c r="H338" s="16" t="s">
        <v>252</v>
      </c>
      <c r="I338" s="19">
        <f t="shared" ref="I338:J338" si="337">round(D338*$A338,0)</f>
        <v>0</v>
      </c>
      <c r="J338" s="19">
        <f t="shared" si="337"/>
        <v>0</v>
      </c>
    </row>
    <row r="339" ht="22.5" customHeight="1">
      <c r="A339" s="16">
        <v>2.0</v>
      </c>
      <c r="B339" s="16">
        <v>8.0</v>
      </c>
      <c r="C339" s="16">
        <v>0.0</v>
      </c>
      <c r="D339" s="16">
        <v>0.0</v>
      </c>
      <c r="E339" s="16">
        <v>0.0</v>
      </c>
      <c r="F339" s="16">
        <v>0.0</v>
      </c>
      <c r="G339" s="18">
        <v>0.0</v>
      </c>
      <c r="H339" s="16" t="s">
        <v>252</v>
      </c>
      <c r="I339" s="19">
        <f t="shared" ref="I339:J339" si="338">round(D339*$A339,0)</f>
        <v>0</v>
      </c>
      <c r="J339" s="19">
        <f t="shared" si="338"/>
        <v>0</v>
      </c>
    </row>
    <row r="340" ht="22.5" customHeight="1">
      <c r="A340" s="16">
        <v>3.0</v>
      </c>
      <c r="B340" s="16">
        <v>12.0</v>
      </c>
      <c r="C340" s="16">
        <v>0.0</v>
      </c>
      <c r="D340" s="16">
        <v>0.0</v>
      </c>
      <c r="E340" s="16">
        <v>0.0</v>
      </c>
      <c r="F340" s="16">
        <v>0.0</v>
      </c>
      <c r="G340" s="18">
        <v>0.0</v>
      </c>
      <c r="H340" s="16" t="s">
        <v>274</v>
      </c>
      <c r="I340" s="19">
        <f t="shared" ref="I340:J340" si="339">round(D340*$A340,0)</f>
        <v>0</v>
      </c>
      <c r="J340" s="19">
        <f t="shared" si="339"/>
        <v>0</v>
      </c>
    </row>
    <row r="341" ht="22.5" customHeight="1">
      <c r="A341" s="16">
        <v>2.0</v>
      </c>
      <c r="B341" s="16">
        <v>8.0</v>
      </c>
      <c r="C341" s="16">
        <v>0.0</v>
      </c>
      <c r="D341" s="16">
        <v>0.0</v>
      </c>
      <c r="E341" s="16">
        <v>0.0</v>
      </c>
      <c r="F341" s="16">
        <v>0.0</v>
      </c>
      <c r="G341" s="18">
        <v>0.0</v>
      </c>
      <c r="H341" s="16" t="s">
        <v>274</v>
      </c>
      <c r="I341" s="19">
        <f t="shared" ref="I341:J341" si="340">round(D341*$A341,0)</f>
        <v>0</v>
      </c>
      <c r="J341" s="19">
        <f t="shared" si="340"/>
        <v>0</v>
      </c>
    </row>
    <row r="342" ht="22.5" customHeight="1">
      <c r="A342" s="16">
        <v>2.0</v>
      </c>
      <c r="B342" s="16">
        <v>8.0</v>
      </c>
      <c r="C342" s="16">
        <v>7.0</v>
      </c>
      <c r="D342" s="16">
        <v>10.0</v>
      </c>
      <c r="E342" s="16">
        <v>0.5</v>
      </c>
      <c r="F342" s="16">
        <v>0.0</v>
      </c>
      <c r="G342" s="20">
        <v>0.857</v>
      </c>
      <c r="H342" s="16" t="s">
        <v>230</v>
      </c>
      <c r="I342" s="19">
        <f t="shared" ref="I342:J342" si="341">round(D342*$A342,0)</f>
        <v>20</v>
      </c>
      <c r="J342" s="19">
        <f t="shared" si="341"/>
        <v>1</v>
      </c>
    </row>
    <row r="343" ht="22.5" customHeight="1">
      <c r="A343" s="16">
        <v>3.0</v>
      </c>
      <c r="B343" s="16">
        <v>12.0</v>
      </c>
      <c r="C343" s="16">
        <v>11.0</v>
      </c>
      <c r="D343" s="16">
        <v>5.33</v>
      </c>
      <c r="E343" s="16">
        <v>1.0</v>
      </c>
      <c r="F343" s="16">
        <v>0.0</v>
      </c>
      <c r="G343" s="20">
        <v>0.636</v>
      </c>
      <c r="H343" s="16" t="s">
        <v>230</v>
      </c>
      <c r="I343" s="19">
        <f t="shared" ref="I343:J343" si="342">round(D343*$A343,0)</f>
        <v>16</v>
      </c>
      <c r="J343" s="19">
        <f t="shared" si="342"/>
        <v>3</v>
      </c>
    </row>
    <row r="344" ht="22.5" customHeight="1">
      <c r="A344" s="16">
        <v>1.0</v>
      </c>
      <c r="B344" s="16">
        <v>4.0</v>
      </c>
      <c r="C344" s="16">
        <v>0.0</v>
      </c>
      <c r="D344" s="16">
        <v>0.0</v>
      </c>
      <c r="E344" s="16">
        <v>0.0</v>
      </c>
      <c r="F344" s="16">
        <v>0.0</v>
      </c>
      <c r="G344" s="18">
        <v>0.0</v>
      </c>
      <c r="H344" s="16" t="s">
        <v>313</v>
      </c>
      <c r="I344" s="19">
        <f t="shared" ref="I344:J344" si="343">round(D344*$A344,0)</f>
        <v>0</v>
      </c>
      <c r="J344" s="19">
        <f t="shared" si="343"/>
        <v>0</v>
      </c>
    </row>
    <row r="345" ht="22.5" customHeight="1">
      <c r="A345" s="16">
        <v>1.0</v>
      </c>
      <c r="B345" s="16">
        <v>4.0</v>
      </c>
      <c r="C345" s="16">
        <v>0.0</v>
      </c>
      <c r="D345" s="16">
        <v>0.0</v>
      </c>
      <c r="E345" s="16">
        <v>0.0</v>
      </c>
      <c r="F345" s="16">
        <v>0.0</v>
      </c>
      <c r="G345" s="18">
        <v>0.0</v>
      </c>
      <c r="H345" s="16" t="s">
        <v>313</v>
      </c>
      <c r="I345" s="19">
        <f t="shared" ref="I345:J345" si="344">round(D345*$A345,0)</f>
        <v>0</v>
      </c>
      <c r="J345" s="19">
        <f t="shared" si="344"/>
        <v>0</v>
      </c>
    </row>
    <row r="346" ht="22.5" customHeight="1">
      <c r="A346" s="16">
        <v>2.0</v>
      </c>
      <c r="B346" s="16">
        <v>8.0</v>
      </c>
      <c r="C346" s="16">
        <v>0.0</v>
      </c>
      <c r="D346" s="16">
        <v>0.0</v>
      </c>
      <c r="E346" s="16">
        <v>0.0</v>
      </c>
      <c r="F346" s="16">
        <v>0.0</v>
      </c>
      <c r="G346" s="18">
        <v>0.0</v>
      </c>
      <c r="H346" s="16" t="s">
        <v>314</v>
      </c>
      <c r="I346" s="19">
        <f t="shared" ref="I346:J346" si="345">round(D346*$A346,0)</f>
        <v>0</v>
      </c>
      <c r="J346" s="19">
        <f t="shared" si="345"/>
        <v>0</v>
      </c>
    </row>
    <row r="347" ht="22.5" customHeight="1">
      <c r="A347" s="16">
        <v>1.0</v>
      </c>
      <c r="B347" s="16">
        <v>4.0</v>
      </c>
      <c r="C347" s="16">
        <v>0.0</v>
      </c>
      <c r="D347" s="16">
        <v>0.0</v>
      </c>
      <c r="E347" s="16">
        <v>0.0</v>
      </c>
      <c r="F347" s="16">
        <v>0.0</v>
      </c>
      <c r="G347" s="18">
        <v>0.0</v>
      </c>
      <c r="H347" s="16" t="s">
        <v>314</v>
      </c>
      <c r="I347" s="19">
        <f t="shared" ref="I347:J347" si="346">round(D347*$A347,0)</f>
        <v>0</v>
      </c>
      <c r="J347" s="19">
        <f t="shared" si="346"/>
        <v>0</v>
      </c>
    </row>
    <row r="348" ht="22.5" customHeight="1">
      <c r="A348" s="16">
        <v>1.0</v>
      </c>
      <c r="B348" s="16">
        <v>4.0</v>
      </c>
      <c r="C348" s="16">
        <v>1.0</v>
      </c>
      <c r="D348" s="16">
        <v>4.0</v>
      </c>
      <c r="E348" s="16">
        <v>0.0</v>
      </c>
      <c r="F348" s="16">
        <v>0.0</v>
      </c>
      <c r="G348" s="18">
        <v>1.0</v>
      </c>
      <c r="H348" s="16" t="s">
        <v>315</v>
      </c>
      <c r="I348" s="19">
        <f t="shared" ref="I348:J348" si="347">round(D348*$A348,0)</f>
        <v>4</v>
      </c>
      <c r="J348" s="19">
        <f t="shared" si="347"/>
        <v>0</v>
      </c>
    </row>
    <row r="349" ht="22.5" customHeight="1">
      <c r="A349" s="16">
        <v>3.0</v>
      </c>
      <c r="B349" s="16">
        <v>12.0</v>
      </c>
      <c r="C349" s="16">
        <v>0.0</v>
      </c>
      <c r="D349" s="16">
        <v>0.0</v>
      </c>
      <c r="E349" s="16">
        <v>0.0</v>
      </c>
      <c r="F349" s="16">
        <v>0.0</v>
      </c>
      <c r="G349" s="18">
        <v>0.0</v>
      </c>
      <c r="H349" s="16" t="s">
        <v>315</v>
      </c>
      <c r="I349" s="19">
        <f t="shared" ref="I349:J349" si="348">round(D349*$A349,0)</f>
        <v>0</v>
      </c>
      <c r="J349" s="19">
        <f t="shared" si="348"/>
        <v>0</v>
      </c>
    </row>
    <row r="350" ht="22.5" customHeight="1">
      <c r="A350" s="16">
        <v>1.0</v>
      </c>
      <c r="B350" s="16">
        <v>4.0</v>
      </c>
      <c r="C350" s="16">
        <v>0.0</v>
      </c>
      <c r="D350" s="16">
        <v>0.0</v>
      </c>
      <c r="E350" s="16">
        <v>0.0</v>
      </c>
      <c r="F350" s="16">
        <v>0.0</v>
      </c>
      <c r="G350" s="18">
        <v>0.0</v>
      </c>
      <c r="H350" s="16" t="s">
        <v>316</v>
      </c>
      <c r="I350" s="19">
        <f t="shared" ref="I350:J350" si="349">round(D350*$A350,0)</f>
        <v>0</v>
      </c>
      <c r="J350" s="19">
        <f t="shared" si="349"/>
        <v>0</v>
      </c>
    </row>
    <row r="351" ht="22.5" customHeight="1">
      <c r="A351" s="16">
        <v>3.0</v>
      </c>
      <c r="B351" s="16">
        <v>12.0</v>
      </c>
      <c r="C351" s="16">
        <v>0.0</v>
      </c>
      <c r="D351" s="16">
        <v>0.0</v>
      </c>
      <c r="E351" s="16">
        <v>0.0</v>
      </c>
      <c r="F351" s="16">
        <v>0.0</v>
      </c>
      <c r="G351" s="18">
        <v>0.0</v>
      </c>
      <c r="H351" s="16" t="s">
        <v>316</v>
      </c>
      <c r="I351" s="19">
        <f t="shared" ref="I351:J351" si="350">round(D351*$A351,0)</f>
        <v>0</v>
      </c>
      <c r="J351" s="19">
        <f t="shared" si="350"/>
        <v>0</v>
      </c>
    </row>
    <row r="352" ht="22.5" customHeight="1">
      <c r="A352" s="16">
        <v>1.0</v>
      </c>
      <c r="B352" s="16">
        <v>4.0</v>
      </c>
      <c r="C352" s="16">
        <v>1.0</v>
      </c>
      <c r="D352" s="16">
        <v>0.0</v>
      </c>
      <c r="E352" s="16">
        <v>0.0</v>
      </c>
      <c r="F352" s="16">
        <v>0.0</v>
      </c>
      <c r="G352" s="18">
        <v>0.0</v>
      </c>
      <c r="H352" s="16" t="s">
        <v>318</v>
      </c>
      <c r="I352" s="19">
        <f t="shared" ref="I352:J352" si="351">round(D352*$A352,0)</f>
        <v>0</v>
      </c>
      <c r="J352" s="19">
        <f t="shared" si="351"/>
        <v>0</v>
      </c>
    </row>
    <row r="353" ht="22.5" customHeight="1">
      <c r="A353" s="16">
        <v>1.0</v>
      </c>
      <c r="B353" s="16">
        <v>4.0</v>
      </c>
      <c r="C353" s="16">
        <v>1.0</v>
      </c>
      <c r="D353" s="16">
        <v>4.0</v>
      </c>
      <c r="E353" s="16">
        <v>0.0</v>
      </c>
      <c r="F353" s="16">
        <v>0.0</v>
      </c>
      <c r="G353" s="18">
        <v>1.0</v>
      </c>
      <c r="H353" s="16" t="s">
        <v>254</v>
      </c>
      <c r="I353" s="19">
        <f t="shared" ref="I353:J353" si="352">round(D353*$A353,0)</f>
        <v>4</v>
      </c>
      <c r="J353" s="19">
        <f t="shared" si="352"/>
        <v>0</v>
      </c>
    </row>
    <row r="354" ht="22.5" customHeight="1">
      <c r="A354" s="16">
        <v>4.0</v>
      </c>
      <c r="B354" s="16">
        <v>16.0</v>
      </c>
      <c r="C354" s="16">
        <v>3.0</v>
      </c>
      <c r="D354" s="16">
        <v>1.0</v>
      </c>
      <c r="E354" s="16">
        <v>0.0</v>
      </c>
      <c r="F354" s="16">
        <v>0.0</v>
      </c>
      <c r="G354" s="20">
        <v>0.333</v>
      </c>
      <c r="H354" s="16" t="s">
        <v>254</v>
      </c>
      <c r="I354" s="19">
        <f t="shared" ref="I354:J354" si="353">round(D354*$A354,0)</f>
        <v>4</v>
      </c>
      <c r="J354" s="19">
        <f t="shared" si="353"/>
        <v>0</v>
      </c>
    </row>
    <row r="355" ht="22.5" customHeight="1">
      <c r="A355" s="16">
        <v>1.0</v>
      </c>
      <c r="B355" s="16">
        <v>4.0</v>
      </c>
      <c r="C355" s="16">
        <v>0.0</v>
      </c>
      <c r="D355" s="16">
        <v>0.0</v>
      </c>
      <c r="E355" s="16">
        <v>0.0</v>
      </c>
      <c r="F355" s="16">
        <v>0.0</v>
      </c>
      <c r="G355" s="18">
        <v>0.0</v>
      </c>
      <c r="H355" s="16" t="s">
        <v>317</v>
      </c>
      <c r="I355" s="19">
        <f t="shared" ref="I355:J355" si="354">round(D355*$A355,0)</f>
        <v>0</v>
      </c>
      <c r="J355" s="19">
        <f t="shared" si="354"/>
        <v>0</v>
      </c>
    </row>
    <row r="356" ht="22.5" customHeight="1">
      <c r="A356" s="16">
        <v>2.0</v>
      </c>
      <c r="B356" s="16">
        <v>8.0</v>
      </c>
      <c r="C356" s="16">
        <v>0.0</v>
      </c>
      <c r="D356" s="16">
        <v>0.0</v>
      </c>
      <c r="E356" s="16">
        <v>0.0</v>
      </c>
      <c r="F356" s="16">
        <v>0.0</v>
      </c>
      <c r="G356" s="18">
        <v>0.0</v>
      </c>
      <c r="H356" s="16" t="s">
        <v>317</v>
      </c>
      <c r="I356" s="19">
        <f t="shared" ref="I356:J356" si="355">round(D356*$A356,0)</f>
        <v>0</v>
      </c>
      <c r="J356" s="19">
        <f t="shared" si="355"/>
        <v>0</v>
      </c>
    </row>
    <row r="357" ht="22.5" customHeight="1">
      <c r="A357" s="16">
        <v>1.0</v>
      </c>
      <c r="B357" s="16">
        <v>4.0</v>
      </c>
      <c r="C357" s="16">
        <v>0.0</v>
      </c>
      <c r="D357" s="16">
        <v>0.0</v>
      </c>
      <c r="E357" s="16">
        <v>0.0</v>
      </c>
      <c r="F357" s="16">
        <v>0.0</v>
      </c>
      <c r="G357" s="18">
        <v>0.0</v>
      </c>
      <c r="H357" s="16" t="s">
        <v>133</v>
      </c>
      <c r="I357" s="19">
        <f t="shared" ref="I357:J357" si="356">round(D357*$A357,0)</f>
        <v>0</v>
      </c>
      <c r="J357" s="19">
        <f t="shared" si="356"/>
        <v>0</v>
      </c>
    </row>
    <row r="358" ht="22.5" customHeight="1">
      <c r="A358" s="16">
        <v>2.0</v>
      </c>
      <c r="B358" s="16">
        <v>9.0</v>
      </c>
      <c r="C358" s="16">
        <v>1.0</v>
      </c>
      <c r="D358" s="16">
        <v>2.0</v>
      </c>
      <c r="E358" s="16">
        <v>0.0</v>
      </c>
      <c r="F358" s="16">
        <v>0.0</v>
      </c>
      <c r="G358" s="18">
        <v>1.0</v>
      </c>
      <c r="H358" s="16" t="s">
        <v>133</v>
      </c>
      <c r="I358" s="19">
        <f t="shared" ref="I358:J358" si="357">round(D358*$A358,0)</f>
        <v>4</v>
      </c>
      <c r="J358" s="19">
        <f t="shared" si="357"/>
        <v>0</v>
      </c>
    </row>
    <row r="359" ht="22.5" customHeight="1">
      <c r="A359" s="16">
        <v>1.0</v>
      </c>
      <c r="B359" s="16">
        <v>4.0</v>
      </c>
      <c r="C359" s="16">
        <v>0.0</v>
      </c>
      <c r="D359" s="16">
        <v>0.0</v>
      </c>
      <c r="E359" s="16">
        <v>0.0</v>
      </c>
      <c r="F359" s="16">
        <v>0.0</v>
      </c>
      <c r="G359" s="18">
        <v>0.0</v>
      </c>
      <c r="H359" s="16" t="s">
        <v>319</v>
      </c>
      <c r="I359" s="19">
        <f t="shared" ref="I359:J359" si="358">round(D359*$A359,0)</f>
        <v>0</v>
      </c>
      <c r="J359" s="19">
        <f t="shared" si="358"/>
        <v>0</v>
      </c>
    </row>
    <row r="360" ht="22.5" customHeight="1">
      <c r="A360" s="16">
        <v>5.0</v>
      </c>
      <c r="B360" s="16">
        <v>21.0</v>
      </c>
      <c r="C360" s="16">
        <v>14.0</v>
      </c>
      <c r="D360" s="16">
        <v>8.8</v>
      </c>
      <c r="E360" s="16">
        <v>0.0</v>
      </c>
      <c r="F360" s="16">
        <v>0.0</v>
      </c>
      <c r="G360" s="20">
        <v>0.786</v>
      </c>
      <c r="H360" s="16" t="s">
        <v>129</v>
      </c>
      <c r="I360" s="19">
        <f t="shared" ref="I360:J360" si="359">round(D360*$A360,0)</f>
        <v>44</v>
      </c>
      <c r="J360" s="19">
        <f t="shared" si="359"/>
        <v>0</v>
      </c>
    </row>
    <row r="361" ht="22.5" customHeight="1">
      <c r="A361" s="16">
        <v>2.0</v>
      </c>
      <c r="B361" s="16">
        <v>8.0</v>
      </c>
      <c r="C361" s="16">
        <v>0.0</v>
      </c>
      <c r="D361" s="16">
        <v>0.0</v>
      </c>
      <c r="E361" s="16">
        <v>0.0</v>
      </c>
      <c r="F361" s="16">
        <v>0.0</v>
      </c>
      <c r="G361" s="18">
        <v>0.0</v>
      </c>
      <c r="H361" s="16" t="s">
        <v>320</v>
      </c>
      <c r="I361" s="19">
        <f t="shared" ref="I361:J361" si="360">round(D361*$A361,0)</f>
        <v>0</v>
      </c>
      <c r="J361" s="19">
        <f t="shared" si="360"/>
        <v>0</v>
      </c>
    </row>
    <row r="362" ht="22.5" customHeight="1">
      <c r="A362" s="16">
        <v>1.0</v>
      </c>
      <c r="B362" s="16">
        <v>4.0</v>
      </c>
      <c r="C362" s="16">
        <v>0.0</v>
      </c>
      <c r="D362" s="16">
        <v>0.0</v>
      </c>
      <c r="E362" s="16">
        <v>0.0</v>
      </c>
      <c r="F362" s="16">
        <v>0.0</v>
      </c>
      <c r="G362" s="18">
        <v>0.0</v>
      </c>
      <c r="H362" s="16" t="s">
        <v>320</v>
      </c>
      <c r="I362" s="19">
        <f t="shared" ref="I362:J362" si="361">round(D362*$A362,0)</f>
        <v>0</v>
      </c>
      <c r="J362" s="19">
        <f t="shared" si="361"/>
        <v>0</v>
      </c>
    </row>
    <row r="363" ht="22.5" customHeight="1">
      <c r="A363" s="16">
        <v>2.0</v>
      </c>
      <c r="B363" s="16">
        <v>8.0</v>
      </c>
      <c r="C363" s="16">
        <v>0.0</v>
      </c>
      <c r="D363" s="16">
        <v>0.0</v>
      </c>
      <c r="E363" s="16">
        <v>0.0</v>
      </c>
      <c r="F363" s="16">
        <v>0.0</v>
      </c>
      <c r="G363" s="18">
        <v>0.0</v>
      </c>
      <c r="H363" s="16" t="s">
        <v>320</v>
      </c>
      <c r="I363" s="19">
        <f t="shared" ref="I363:J363" si="362">round(D363*$A363,0)</f>
        <v>0</v>
      </c>
      <c r="J363" s="19">
        <f t="shared" si="362"/>
        <v>0</v>
      </c>
    </row>
    <row r="364" ht="22.5" customHeight="1">
      <c r="A364" s="16">
        <v>2.0</v>
      </c>
      <c r="B364" s="16">
        <v>8.0</v>
      </c>
      <c r="C364" s="16">
        <v>6.0</v>
      </c>
      <c r="D364" s="16">
        <v>10.0</v>
      </c>
      <c r="E364" s="16">
        <v>0.0</v>
      </c>
      <c r="F364" s="16">
        <v>0.0</v>
      </c>
      <c r="G364" s="20">
        <v>0.833</v>
      </c>
      <c r="H364" s="16" t="s">
        <v>287</v>
      </c>
      <c r="I364" s="19">
        <f t="shared" ref="I364:J364" si="363">round(D364*$A364,0)</f>
        <v>20</v>
      </c>
      <c r="J364" s="19">
        <f t="shared" si="363"/>
        <v>0</v>
      </c>
    </row>
    <row r="365" ht="22.5" customHeight="1">
      <c r="A365" s="16">
        <v>2.0</v>
      </c>
      <c r="B365" s="16">
        <v>8.0</v>
      </c>
      <c r="C365" s="16">
        <v>4.0</v>
      </c>
      <c r="D365" s="16">
        <v>4.0</v>
      </c>
      <c r="E365" s="16">
        <v>0.5</v>
      </c>
      <c r="F365" s="16">
        <v>0.0</v>
      </c>
      <c r="G365" s="18">
        <v>0.75</v>
      </c>
      <c r="H365" s="16" t="s">
        <v>287</v>
      </c>
      <c r="I365" s="19">
        <f t="shared" ref="I365:J365" si="364">round(D365*$A365,0)</f>
        <v>8</v>
      </c>
      <c r="J365" s="19">
        <f t="shared" si="364"/>
        <v>1</v>
      </c>
    </row>
    <row r="366" ht="22.5" customHeight="1">
      <c r="A366" s="16">
        <v>1.0</v>
      </c>
      <c r="B366" s="16">
        <v>4.0</v>
      </c>
      <c r="C366" s="16">
        <v>2.0</v>
      </c>
      <c r="D366" s="16">
        <v>4.0</v>
      </c>
      <c r="E366" s="16">
        <v>0.0</v>
      </c>
      <c r="F366" s="16">
        <v>0.0</v>
      </c>
      <c r="G366" s="18">
        <v>0.5</v>
      </c>
      <c r="H366" s="16" t="s">
        <v>287</v>
      </c>
      <c r="I366" s="19">
        <f t="shared" ref="I366:J366" si="365">round(D366*$A366,0)</f>
        <v>4</v>
      </c>
      <c r="J366" s="19">
        <f t="shared" si="365"/>
        <v>0</v>
      </c>
    </row>
    <row r="367" ht="22.5" customHeight="1">
      <c r="A367" s="16">
        <v>2.0</v>
      </c>
      <c r="B367" s="16">
        <v>8.0</v>
      </c>
      <c r="C367" s="16">
        <v>0.0</v>
      </c>
      <c r="D367" s="16">
        <v>0.0</v>
      </c>
      <c r="E367" s="16">
        <v>0.0</v>
      </c>
      <c r="F367" s="16">
        <v>0.0</v>
      </c>
      <c r="G367" s="18">
        <v>0.0</v>
      </c>
      <c r="H367" s="16" t="s">
        <v>289</v>
      </c>
      <c r="I367" s="19">
        <f t="shared" ref="I367:J367" si="366">round(D367*$A367,0)</f>
        <v>0</v>
      </c>
      <c r="J367" s="19">
        <f t="shared" si="366"/>
        <v>0</v>
      </c>
    </row>
    <row r="368" ht="22.5" customHeight="1">
      <c r="A368" s="16">
        <v>1.0</v>
      </c>
      <c r="B368" s="16">
        <v>4.0</v>
      </c>
      <c r="C368" s="16">
        <v>0.0</v>
      </c>
      <c r="D368" s="16">
        <v>0.0</v>
      </c>
      <c r="E368" s="16">
        <v>0.0</v>
      </c>
      <c r="F368" s="16">
        <v>0.0</v>
      </c>
      <c r="G368" s="18">
        <v>0.0</v>
      </c>
      <c r="H368" s="16" t="s">
        <v>289</v>
      </c>
      <c r="I368" s="19">
        <f t="shared" ref="I368:J368" si="367">round(D368*$A368,0)</f>
        <v>0</v>
      </c>
      <c r="J368" s="19">
        <f t="shared" si="367"/>
        <v>0</v>
      </c>
    </row>
    <row r="369" ht="22.5" customHeight="1">
      <c r="A369" s="16">
        <v>2.0</v>
      </c>
      <c r="B369" s="16">
        <v>8.0</v>
      </c>
      <c r="C369" s="16">
        <v>0.0</v>
      </c>
      <c r="D369" s="16">
        <v>0.0</v>
      </c>
      <c r="E369" s="16">
        <v>0.0</v>
      </c>
      <c r="F369" s="16">
        <v>0.0</v>
      </c>
      <c r="G369" s="18">
        <v>0.0</v>
      </c>
      <c r="H369" s="16" t="s">
        <v>289</v>
      </c>
      <c r="I369" s="19">
        <f t="shared" ref="I369:J369" si="368">round(D369*$A369,0)</f>
        <v>0</v>
      </c>
      <c r="J369" s="19">
        <f t="shared" si="368"/>
        <v>0</v>
      </c>
    </row>
    <row r="370" ht="22.5" customHeight="1">
      <c r="A370" s="16">
        <v>2.0</v>
      </c>
      <c r="B370" s="16">
        <v>8.0</v>
      </c>
      <c r="C370" s="16">
        <v>3.0</v>
      </c>
      <c r="D370" s="16">
        <v>6.0</v>
      </c>
      <c r="E370" s="16">
        <v>0.0</v>
      </c>
      <c r="F370" s="16">
        <v>0.0</v>
      </c>
      <c r="G370" s="18">
        <v>1.0</v>
      </c>
      <c r="H370" s="16" t="s">
        <v>321</v>
      </c>
      <c r="I370" s="19">
        <f t="shared" ref="I370:J370" si="369">round(D370*$A370,0)</f>
        <v>12</v>
      </c>
      <c r="J370" s="19">
        <f t="shared" si="369"/>
        <v>0</v>
      </c>
    </row>
    <row r="371" ht="22.5" customHeight="1">
      <c r="A371" s="16">
        <v>1.0</v>
      </c>
      <c r="B371" s="16">
        <v>4.0</v>
      </c>
      <c r="C371" s="16">
        <v>1.0</v>
      </c>
      <c r="D371" s="16">
        <v>4.0</v>
      </c>
      <c r="E371" s="16">
        <v>0.0</v>
      </c>
      <c r="F371" s="16">
        <v>0.0</v>
      </c>
      <c r="G371" s="18">
        <v>1.0</v>
      </c>
      <c r="H371" s="16" t="s">
        <v>321</v>
      </c>
      <c r="I371" s="19">
        <f t="shared" ref="I371:J371" si="370">round(D371*$A371,0)</f>
        <v>4</v>
      </c>
      <c r="J371" s="19">
        <f t="shared" si="370"/>
        <v>0</v>
      </c>
    </row>
    <row r="372" ht="22.5" customHeight="1">
      <c r="A372" s="16">
        <v>1.0</v>
      </c>
      <c r="B372" s="16">
        <v>4.0</v>
      </c>
      <c r="C372" s="16">
        <v>1.0</v>
      </c>
      <c r="D372" s="16">
        <v>0.0</v>
      </c>
      <c r="E372" s="16">
        <v>0.0</v>
      </c>
      <c r="F372" s="16">
        <v>0.0</v>
      </c>
      <c r="G372" s="18">
        <v>0.0</v>
      </c>
      <c r="H372" s="16" t="s">
        <v>321</v>
      </c>
      <c r="I372" s="19">
        <f t="shared" ref="I372:J372" si="371">round(D372*$A372,0)</f>
        <v>0</v>
      </c>
      <c r="J372" s="19">
        <f t="shared" si="371"/>
        <v>0</v>
      </c>
    </row>
    <row r="373" ht="22.5" customHeight="1">
      <c r="A373" s="16">
        <v>2.0</v>
      </c>
      <c r="B373" s="16">
        <v>8.0</v>
      </c>
      <c r="C373" s="16">
        <v>0.0</v>
      </c>
      <c r="D373" s="16">
        <v>0.0</v>
      </c>
      <c r="E373" s="16">
        <v>0.0</v>
      </c>
      <c r="F373" s="16">
        <v>0.0</v>
      </c>
      <c r="G373" s="18">
        <v>0.0</v>
      </c>
      <c r="H373" s="16" t="s">
        <v>323</v>
      </c>
      <c r="I373" s="19">
        <f t="shared" ref="I373:J373" si="372">round(D373*$A373,0)</f>
        <v>0</v>
      </c>
      <c r="J373" s="19">
        <f t="shared" si="372"/>
        <v>0</v>
      </c>
    </row>
    <row r="374" ht="22.5" customHeight="1">
      <c r="A374" s="16">
        <v>1.0</v>
      </c>
      <c r="B374" s="16">
        <v>4.0</v>
      </c>
      <c r="C374" s="16">
        <v>0.0</v>
      </c>
      <c r="D374" s="16">
        <v>0.0</v>
      </c>
      <c r="E374" s="16">
        <v>0.0</v>
      </c>
      <c r="F374" s="16">
        <v>0.0</v>
      </c>
      <c r="G374" s="18">
        <v>0.0</v>
      </c>
      <c r="H374" s="16" t="s">
        <v>323</v>
      </c>
      <c r="I374" s="19">
        <f t="shared" ref="I374:J374" si="373">round(D374*$A374,0)</f>
        <v>0</v>
      </c>
      <c r="J374" s="19">
        <f t="shared" si="373"/>
        <v>0</v>
      </c>
    </row>
    <row r="375" ht="22.5" customHeight="1">
      <c r="A375" s="16">
        <v>2.0</v>
      </c>
      <c r="B375" s="16">
        <v>8.0</v>
      </c>
      <c r="C375" s="16">
        <v>0.0</v>
      </c>
      <c r="D375" s="16">
        <v>0.0</v>
      </c>
      <c r="E375" s="16">
        <v>0.0</v>
      </c>
      <c r="F375" s="16">
        <v>0.0</v>
      </c>
      <c r="G375" s="18">
        <v>0.0</v>
      </c>
      <c r="H375" s="16" t="s">
        <v>323</v>
      </c>
      <c r="I375" s="19">
        <f t="shared" ref="I375:J375" si="374">round(D375*$A375,0)</f>
        <v>0</v>
      </c>
      <c r="J375" s="19">
        <f t="shared" si="374"/>
        <v>0</v>
      </c>
    </row>
    <row r="376" ht="22.5" customHeight="1">
      <c r="A376" s="16">
        <v>3.0</v>
      </c>
      <c r="B376" s="16">
        <v>12.0</v>
      </c>
      <c r="C376" s="16">
        <v>0.0</v>
      </c>
      <c r="D376" s="16">
        <v>0.0</v>
      </c>
      <c r="E376" s="16">
        <v>0.0</v>
      </c>
      <c r="F376" s="16">
        <v>0.0</v>
      </c>
      <c r="G376" s="18">
        <v>0.0</v>
      </c>
      <c r="H376" s="16" t="s">
        <v>278</v>
      </c>
      <c r="I376" s="19">
        <f t="shared" ref="I376:J376" si="375">round(D376*$A376,0)</f>
        <v>0</v>
      </c>
      <c r="J376" s="19">
        <f t="shared" si="375"/>
        <v>0</v>
      </c>
    </row>
    <row r="377" ht="22.5" customHeight="1">
      <c r="A377" s="16">
        <v>1.0</v>
      </c>
      <c r="B377" s="16">
        <v>4.0</v>
      </c>
      <c r="C377" s="16">
        <v>1.0</v>
      </c>
      <c r="D377" s="16">
        <v>-4.0</v>
      </c>
      <c r="E377" s="16">
        <v>1.0</v>
      </c>
      <c r="F377" s="16">
        <v>0.0</v>
      </c>
      <c r="G377" s="18">
        <v>0.0</v>
      </c>
      <c r="H377" s="16" t="s">
        <v>278</v>
      </c>
      <c r="I377" s="19">
        <f t="shared" ref="I377:J377" si="376">round(D377*$A377,0)</f>
        <v>-4</v>
      </c>
      <c r="J377" s="19">
        <f t="shared" si="376"/>
        <v>1</v>
      </c>
    </row>
    <row r="378" ht="22.5" customHeight="1">
      <c r="A378" s="16">
        <v>4.0</v>
      </c>
      <c r="B378" s="16">
        <v>16.0</v>
      </c>
      <c r="C378" s="16">
        <v>4.0</v>
      </c>
      <c r="D378" s="16">
        <v>4.0</v>
      </c>
      <c r="E378" s="16">
        <v>0.0</v>
      </c>
      <c r="F378" s="16">
        <v>0.0</v>
      </c>
      <c r="G378" s="18">
        <v>1.0</v>
      </c>
      <c r="H378" s="16" t="s">
        <v>325</v>
      </c>
      <c r="I378" s="19">
        <f t="shared" ref="I378:J378" si="377">round(D378*$A378,0)</f>
        <v>16</v>
      </c>
      <c r="J378" s="19">
        <f t="shared" si="377"/>
        <v>0</v>
      </c>
    </row>
    <row r="379" ht="22.5" customHeight="1">
      <c r="A379" s="16">
        <v>1.0</v>
      </c>
      <c r="B379" s="16">
        <v>4.0</v>
      </c>
      <c r="C379" s="16">
        <v>0.0</v>
      </c>
      <c r="D379" s="16">
        <v>0.0</v>
      </c>
      <c r="E379" s="16">
        <v>0.0</v>
      </c>
      <c r="F379" s="16">
        <v>0.0</v>
      </c>
      <c r="G379" s="18">
        <v>0.0</v>
      </c>
      <c r="H379" s="16" t="s">
        <v>325</v>
      </c>
      <c r="I379" s="19">
        <f t="shared" ref="I379:J379" si="378">round(D379*$A379,0)</f>
        <v>0</v>
      </c>
      <c r="J379" s="19">
        <f t="shared" si="378"/>
        <v>0</v>
      </c>
    </row>
    <row r="380" ht="22.5" customHeight="1">
      <c r="A380" s="16">
        <v>2.0</v>
      </c>
      <c r="B380" s="16">
        <v>8.0</v>
      </c>
      <c r="C380" s="16">
        <v>3.0</v>
      </c>
      <c r="D380" s="16">
        <v>2.0</v>
      </c>
      <c r="E380" s="16">
        <v>0.0</v>
      </c>
      <c r="F380" s="16">
        <v>0.0</v>
      </c>
      <c r="G380" s="20">
        <v>0.333</v>
      </c>
      <c r="H380" s="16" t="s">
        <v>326</v>
      </c>
      <c r="I380" s="19">
        <f t="shared" ref="I380:J380" si="379">round(D380*$A380,0)</f>
        <v>4</v>
      </c>
      <c r="J380" s="19">
        <f t="shared" si="379"/>
        <v>0</v>
      </c>
    </row>
    <row r="381" ht="22.5" customHeight="1">
      <c r="A381" s="16">
        <v>1.0</v>
      </c>
      <c r="B381" s="16">
        <v>4.0</v>
      </c>
      <c r="C381" s="16">
        <v>2.0</v>
      </c>
      <c r="D381" s="16">
        <v>0.0</v>
      </c>
      <c r="E381" s="16">
        <v>1.0</v>
      </c>
      <c r="F381" s="16">
        <v>0.0</v>
      </c>
      <c r="G381" s="18">
        <v>0.5</v>
      </c>
      <c r="H381" s="16" t="s">
        <v>326</v>
      </c>
      <c r="I381" s="19">
        <f t="shared" ref="I381:J381" si="380">round(D381*$A381,0)</f>
        <v>0</v>
      </c>
      <c r="J381" s="19">
        <f t="shared" si="380"/>
        <v>1</v>
      </c>
    </row>
    <row r="382" ht="22.5" customHeight="1">
      <c r="A382" s="16">
        <v>4.0</v>
      </c>
      <c r="B382" s="16">
        <v>16.0</v>
      </c>
      <c r="C382" s="16">
        <v>2.0</v>
      </c>
      <c r="D382" s="16">
        <v>2.0</v>
      </c>
      <c r="E382" s="16">
        <v>0.0</v>
      </c>
      <c r="F382" s="16">
        <v>0.0</v>
      </c>
      <c r="G382" s="18">
        <v>1.0</v>
      </c>
      <c r="H382" s="16" t="s">
        <v>311</v>
      </c>
      <c r="I382" s="19">
        <f t="shared" ref="I382:J382" si="381">round(D382*$A382,0)</f>
        <v>8</v>
      </c>
      <c r="J382" s="19">
        <f t="shared" si="381"/>
        <v>0</v>
      </c>
    </row>
    <row r="383" ht="22.5" customHeight="1">
      <c r="A383" s="16">
        <v>1.0</v>
      </c>
      <c r="B383" s="16">
        <v>4.0</v>
      </c>
      <c r="C383" s="16">
        <v>0.0</v>
      </c>
      <c r="D383" s="16">
        <v>0.0</v>
      </c>
      <c r="E383" s="16">
        <v>0.0</v>
      </c>
      <c r="F383" s="16">
        <v>0.0</v>
      </c>
      <c r="G383" s="18">
        <v>0.0</v>
      </c>
      <c r="H383" s="16" t="s">
        <v>311</v>
      </c>
      <c r="I383" s="19">
        <f t="shared" ref="I383:J383" si="382">round(D383*$A383,0)</f>
        <v>0</v>
      </c>
      <c r="J383" s="19">
        <f t="shared" si="382"/>
        <v>0</v>
      </c>
    </row>
    <row r="384" ht="22.5" customHeight="1">
      <c r="A384" s="16">
        <v>3.0</v>
      </c>
      <c r="B384" s="16">
        <v>12.0</v>
      </c>
      <c r="C384" s="16">
        <v>0.0</v>
      </c>
      <c r="D384" s="16">
        <v>0.0</v>
      </c>
      <c r="E384" s="16">
        <v>0.0</v>
      </c>
      <c r="F384" s="16">
        <v>0.0</v>
      </c>
      <c r="G384" s="18">
        <v>0.0</v>
      </c>
      <c r="H384" s="16" t="s">
        <v>322</v>
      </c>
      <c r="I384" s="19">
        <f t="shared" ref="I384:J384" si="383">round(D384*$A384,0)</f>
        <v>0</v>
      </c>
      <c r="J384" s="19">
        <f t="shared" si="383"/>
        <v>0</v>
      </c>
    </row>
    <row r="385" ht="22.5" customHeight="1">
      <c r="A385" s="16">
        <v>1.0</v>
      </c>
      <c r="B385" s="16">
        <v>4.0</v>
      </c>
      <c r="C385" s="16">
        <v>0.0</v>
      </c>
      <c r="D385" s="16">
        <v>0.0</v>
      </c>
      <c r="E385" s="16">
        <v>0.0</v>
      </c>
      <c r="F385" s="16">
        <v>0.0</v>
      </c>
      <c r="G385" s="18">
        <v>0.0</v>
      </c>
      <c r="H385" s="16" t="s">
        <v>322</v>
      </c>
      <c r="I385" s="19">
        <f t="shared" ref="I385:J385" si="384">round(D385*$A385,0)</f>
        <v>0</v>
      </c>
      <c r="J385" s="19">
        <f t="shared" si="384"/>
        <v>0</v>
      </c>
    </row>
    <row r="386" ht="22.5" customHeight="1">
      <c r="A386" s="16">
        <v>3.0</v>
      </c>
      <c r="B386" s="16">
        <v>12.0</v>
      </c>
      <c r="C386" s="16">
        <v>2.0</v>
      </c>
      <c r="D386" s="16">
        <v>1.33</v>
      </c>
      <c r="E386" s="16">
        <v>0.0</v>
      </c>
      <c r="F386" s="16">
        <v>0.0</v>
      </c>
      <c r="G386" s="18">
        <v>0.5</v>
      </c>
      <c r="H386" s="16" t="s">
        <v>328</v>
      </c>
      <c r="I386" s="19">
        <f t="shared" ref="I386:J386" si="385">round(D386*$A386,0)</f>
        <v>4</v>
      </c>
      <c r="J386" s="19">
        <f t="shared" si="385"/>
        <v>0</v>
      </c>
    </row>
    <row r="387" ht="22.5" customHeight="1">
      <c r="A387" s="16">
        <v>3.0</v>
      </c>
      <c r="B387" s="16">
        <v>12.0</v>
      </c>
      <c r="C387" s="16">
        <v>2.0</v>
      </c>
      <c r="D387" s="16">
        <v>0.0</v>
      </c>
      <c r="E387" s="16">
        <v>0.0</v>
      </c>
      <c r="F387" s="16">
        <v>0.0</v>
      </c>
      <c r="G387" s="18">
        <v>0.0</v>
      </c>
      <c r="H387" s="16" t="s">
        <v>329</v>
      </c>
      <c r="I387" s="19">
        <f t="shared" ref="I387:J387" si="386">round(D387*$A387,0)</f>
        <v>0</v>
      </c>
      <c r="J387" s="19">
        <f t="shared" si="386"/>
        <v>0</v>
      </c>
    </row>
    <row r="388" ht="22.5" customHeight="1">
      <c r="A388" s="16">
        <v>1.0</v>
      </c>
      <c r="B388" s="16">
        <v>4.0</v>
      </c>
      <c r="C388" s="16">
        <v>0.0</v>
      </c>
      <c r="D388" s="16">
        <v>0.0</v>
      </c>
      <c r="E388" s="16">
        <v>0.0</v>
      </c>
      <c r="F388" s="16">
        <v>0.0</v>
      </c>
      <c r="G388" s="18">
        <v>0.0</v>
      </c>
      <c r="H388" s="16" t="s">
        <v>329</v>
      </c>
      <c r="I388" s="19">
        <f t="shared" ref="I388:J388" si="387">round(D388*$A388,0)</f>
        <v>0</v>
      </c>
      <c r="J388" s="19">
        <f t="shared" si="387"/>
        <v>0</v>
      </c>
    </row>
    <row r="389" ht="22.5" customHeight="1">
      <c r="A389" s="16">
        <v>2.0</v>
      </c>
      <c r="B389" s="16">
        <v>8.0</v>
      </c>
      <c r="C389" s="16">
        <v>1.0</v>
      </c>
      <c r="D389" s="16">
        <v>0.0</v>
      </c>
      <c r="E389" s="16">
        <v>0.0</v>
      </c>
      <c r="F389" s="16">
        <v>0.0</v>
      </c>
      <c r="G389" s="18">
        <v>0.0</v>
      </c>
      <c r="H389" s="16" t="s">
        <v>330</v>
      </c>
      <c r="I389" s="19">
        <f t="shared" ref="I389:J389" si="388">round(D389*$A389,0)</f>
        <v>0</v>
      </c>
      <c r="J389" s="19">
        <f t="shared" si="388"/>
        <v>0</v>
      </c>
    </row>
    <row r="390" ht="22.5" customHeight="1">
      <c r="A390" s="16">
        <v>3.0</v>
      </c>
      <c r="B390" s="16">
        <v>12.0</v>
      </c>
      <c r="C390" s="16">
        <v>1.0</v>
      </c>
      <c r="D390" s="16">
        <v>0.0</v>
      </c>
      <c r="E390" s="16">
        <v>0.0</v>
      </c>
      <c r="F390" s="16">
        <v>0.0</v>
      </c>
      <c r="G390" s="18">
        <v>0.0</v>
      </c>
      <c r="H390" s="16" t="s">
        <v>330</v>
      </c>
      <c r="I390" s="19">
        <f t="shared" ref="I390:J390" si="389">round(D390*$A390,0)</f>
        <v>0</v>
      </c>
      <c r="J390" s="19">
        <f t="shared" si="389"/>
        <v>0</v>
      </c>
    </row>
    <row r="391" ht="22.5" customHeight="1">
      <c r="A391" s="16">
        <v>2.0</v>
      </c>
      <c r="B391" s="16">
        <v>8.0</v>
      </c>
      <c r="C391" s="16">
        <v>2.0</v>
      </c>
      <c r="D391" s="16">
        <v>2.0</v>
      </c>
      <c r="E391" s="16">
        <v>0.0</v>
      </c>
      <c r="F391" s="16">
        <v>0.0</v>
      </c>
      <c r="G391" s="18">
        <v>0.5</v>
      </c>
      <c r="H391" s="16" t="s">
        <v>331</v>
      </c>
      <c r="I391" s="19">
        <f t="shared" ref="I391:J391" si="390">round(D391*$A391,0)</f>
        <v>4</v>
      </c>
      <c r="J391" s="19">
        <f t="shared" si="390"/>
        <v>0</v>
      </c>
    </row>
    <row r="392" ht="22.5" customHeight="1">
      <c r="A392" s="16">
        <v>2.0</v>
      </c>
      <c r="B392" s="16">
        <v>8.0</v>
      </c>
      <c r="C392" s="16">
        <v>1.0</v>
      </c>
      <c r="D392" s="16">
        <v>0.0</v>
      </c>
      <c r="E392" s="16">
        <v>0.0</v>
      </c>
      <c r="F392" s="16">
        <v>0.0</v>
      </c>
      <c r="G392" s="18">
        <v>0.0</v>
      </c>
      <c r="H392" s="16" t="s">
        <v>331</v>
      </c>
      <c r="I392" s="19">
        <f t="shared" ref="I392:J392" si="391">round(D392*$A392,0)</f>
        <v>0</v>
      </c>
      <c r="J392" s="19">
        <f t="shared" si="391"/>
        <v>0</v>
      </c>
    </row>
    <row r="393" ht="22.5" customHeight="1">
      <c r="A393" s="16">
        <v>1.0</v>
      </c>
      <c r="B393" s="16">
        <v>4.0</v>
      </c>
      <c r="C393" s="16">
        <v>0.0</v>
      </c>
      <c r="D393" s="16">
        <v>0.0</v>
      </c>
      <c r="E393" s="16">
        <v>0.0</v>
      </c>
      <c r="F393" s="16">
        <v>0.0</v>
      </c>
      <c r="G393" s="18">
        <v>0.0</v>
      </c>
      <c r="H393" s="16" t="s">
        <v>332</v>
      </c>
      <c r="I393" s="19">
        <f t="shared" ref="I393:J393" si="392">round(D393*$A393,0)</f>
        <v>0</v>
      </c>
      <c r="J393" s="19">
        <f t="shared" si="392"/>
        <v>0</v>
      </c>
    </row>
    <row r="394" ht="22.5" customHeight="1">
      <c r="A394" s="16">
        <v>1.0</v>
      </c>
      <c r="B394" s="16">
        <v>4.0</v>
      </c>
      <c r="C394" s="16">
        <v>0.0</v>
      </c>
      <c r="D394" s="16">
        <v>0.0</v>
      </c>
      <c r="E394" s="16">
        <v>0.0</v>
      </c>
      <c r="F394" s="16">
        <v>0.0</v>
      </c>
      <c r="G394" s="18">
        <v>0.0</v>
      </c>
      <c r="H394" s="16" t="s">
        <v>332</v>
      </c>
      <c r="I394" s="19">
        <f t="shared" ref="I394:J394" si="393">round(D394*$A394,0)</f>
        <v>0</v>
      </c>
      <c r="J394" s="19">
        <f t="shared" si="393"/>
        <v>0</v>
      </c>
    </row>
    <row r="395" ht="22.5" customHeight="1">
      <c r="A395" s="16">
        <v>1.0</v>
      </c>
      <c r="B395" s="16">
        <v>5.0</v>
      </c>
      <c r="C395" s="16">
        <v>1.0</v>
      </c>
      <c r="D395" s="16">
        <v>0.0</v>
      </c>
      <c r="E395" s="16">
        <v>0.0</v>
      </c>
      <c r="F395" s="16">
        <v>0.0</v>
      </c>
      <c r="G395" s="18">
        <v>0.0</v>
      </c>
      <c r="H395" s="16" t="s">
        <v>333</v>
      </c>
      <c r="I395" s="19">
        <f t="shared" ref="I395:J395" si="394">round(D395*$A395,0)</f>
        <v>0</v>
      </c>
      <c r="J395" s="19">
        <f t="shared" si="394"/>
        <v>0</v>
      </c>
    </row>
    <row r="396" ht="22.5" customHeight="1">
      <c r="A396" s="16">
        <v>3.0</v>
      </c>
      <c r="B396" s="16">
        <v>12.0</v>
      </c>
      <c r="C396" s="16">
        <v>0.0</v>
      </c>
      <c r="D396" s="16">
        <v>0.0</v>
      </c>
      <c r="E396" s="16">
        <v>0.0</v>
      </c>
      <c r="F396" s="16">
        <v>0.0</v>
      </c>
      <c r="G396" s="18">
        <v>0.0</v>
      </c>
      <c r="H396" s="16" t="s">
        <v>333</v>
      </c>
      <c r="I396" s="19">
        <f t="shared" ref="I396:J396" si="395">round(D396*$A396,0)</f>
        <v>0</v>
      </c>
      <c r="J396" s="19">
        <f t="shared" si="395"/>
        <v>0</v>
      </c>
    </row>
    <row r="397" ht="22.5" customHeight="1">
      <c r="A397" s="16">
        <v>1.0</v>
      </c>
      <c r="B397" s="16">
        <v>5.0</v>
      </c>
      <c r="C397" s="16">
        <v>1.0</v>
      </c>
      <c r="D397" s="16">
        <v>4.0</v>
      </c>
      <c r="E397" s="16">
        <v>0.0</v>
      </c>
      <c r="F397" s="16">
        <v>0.0</v>
      </c>
      <c r="G397" s="18">
        <v>1.0</v>
      </c>
      <c r="H397" s="16" t="s">
        <v>324</v>
      </c>
      <c r="I397" s="19">
        <f t="shared" ref="I397:J397" si="396">round(D397*$A397,0)</f>
        <v>4</v>
      </c>
      <c r="J397" s="19">
        <f t="shared" si="396"/>
        <v>0</v>
      </c>
    </row>
    <row r="398" ht="22.5" customHeight="1">
      <c r="A398" s="16">
        <v>3.0</v>
      </c>
      <c r="B398" s="16">
        <v>12.0</v>
      </c>
      <c r="C398" s="16">
        <v>1.0</v>
      </c>
      <c r="D398" s="16">
        <v>1.33</v>
      </c>
      <c r="E398" s="16">
        <v>0.0</v>
      </c>
      <c r="F398" s="16">
        <v>0.0</v>
      </c>
      <c r="G398" s="18">
        <v>1.0</v>
      </c>
      <c r="H398" s="16" t="s">
        <v>324</v>
      </c>
      <c r="I398" s="19">
        <f t="shared" ref="I398:J398" si="397">round(D398*$A398,0)</f>
        <v>4</v>
      </c>
      <c r="J398" s="19">
        <f t="shared" si="397"/>
        <v>0</v>
      </c>
    </row>
    <row r="399" ht="22.5" customHeight="1">
      <c r="A399" s="16">
        <v>1.0</v>
      </c>
      <c r="B399" s="16">
        <v>5.0</v>
      </c>
      <c r="C399" s="16">
        <v>2.0</v>
      </c>
      <c r="D399" s="16">
        <v>8.0</v>
      </c>
      <c r="E399" s="16">
        <v>0.0</v>
      </c>
      <c r="F399" s="16">
        <v>0.0</v>
      </c>
      <c r="G399" s="18">
        <v>1.0</v>
      </c>
      <c r="H399" s="16" t="s">
        <v>186</v>
      </c>
      <c r="I399" s="19">
        <f t="shared" ref="I399:J399" si="398">round(D399*$A399,0)</f>
        <v>8</v>
      </c>
      <c r="J399" s="19">
        <f t="shared" si="398"/>
        <v>0</v>
      </c>
    </row>
    <row r="400" ht="22.5" customHeight="1">
      <c r="A400" s="16">
        <v>4.0</v>
      </c>
      <c r="B400" s="16">
        <v>16.0</v>
      </c>
      <c r="C400" s="16">
        <v>6.0</v>
      </c>
      <c r="D400" s="16">
        <v>4.0</v>
      </c>
      <c r="E400" s="16">
        <v>0.0</v>
      </c>
      <c r="F400" s="16">
        <v>0.0</v>
      </c>
      <c r="G400" s="20">
        <v>0.667</v>
      </c>
      <c r="H400" s="16" t="s">
        <v>186</v>
      </c>
      <c r="I400" s="19">
        <f t="shared" ref="I400:J400" si="399">round(D400*$A400,0)</f>
        <v>16</v>
      </c>
      <c r="J400" s="19">
        <f t="shared" si="399"/>
        <v>0</v>
      </c>
    </row>
    <row r="401" ht="22.5" customHeight="1">
      <c r="A401" s="16">
        <v>1.0</v>
      </c>
      <c r="B401" s="16">
        <v>5.0</v>
      </c>
      <c r="C401" s="16">
        <v>0.0</v>
      </c>
      <c r="D401" s="16">
        <v>0.0</v>
      </c>
      <c r="E401" s="16">
        <v>0.0</v>
      </c>
      <c r="F401" s="16">
        <v>0.0</v>
      </c>
      <c r="G401" s="18">
        <v>0.0</v>
      </c>
      <c r="H401" s="16" t="s">
        <v>157</v>
      </c>
      <c r="I401" s="19">
        <f t="shared" ref="I401:J401" si="400">round(D401*$A401,0)</f>
        <v>0</v>
      </c>
      <c r="J401" s="19">
        <f t="shared" si="400"/>
        <v>0</v>
      </c>
    </row>
    <row r="402" ht="22.5" customHeight="1">
      <c r="A402" s="16">
        <v>4.0</v>
      </c>
      <c r="B402" s="16">
        <v>16.0</v>
      </c>
      <c r="C402" s="16">
        <v>1.0</v>
      </c>
      <c r="D402" s="16">
        <v>1.0</v>
      </c>
      <c r="E402" s="16">
        <v>0.0</v>
      </c>
      <c r="F402" s="16">
        <v>0.0</v>
      </c>
      <c r="G402" s="18">
        <v>1.0</v>
      </c>
      <c r="H402" s="16" t="s">
        <v>157</v>
      </c>
      <c r="I402" s="19">
        <f t="shared" ref="I402:J402" si="401">round(D402*$A402,0)</f>
        <v>4</v>
      </c>
      <c r="J402" s="19">
        <f t="shared" si="401"/>
        <v>0</v>
      </c>
    </row>
    <row r="403" ht="22.5" customHeight="1">
      <c r="A403" s="16">
        <v>5.0</v>
      </c>
      <c r="B403" s="16">
        <v>19.0</v>
      </c>
      <c r="C403" s="16">
        <v>0.0</v>
      </c>
      <c r="D403" s="16">
        <v>0.0</v>
      </c>
      <c r="E403" s="16">
        <v>0.0</v>
      </c>
      <c r="F403" s="16">
        <v>0.0</v>
      </c>
      <c r="G403" s="18">
        <v>0.0</v>
      </c>
      <c r="H403" s="16" t="s">
        <v>155</v>
      </c>
      <c r="I403" s="19">
        <f t="shared" ref="I403:J403" si="402">round(D403*$A403,0)</f>
        <v>0</v>
      </c>
      <c r="J403" s="19">
        <f t="shared" si="402"/>
        <v>0</v>
      </c>
    </row>
    <row r="404" ht="22.5" customHeight="1">
      <c r="A404" s="16">
        <v>5.0</v>
      </c>
      <c r="B404" s="16">
        <v>19.0</v>
      </c>
      <c r="C404" s="16">
        <v>0.0</v>
      </c>
      <c r="D404" s="16">
        <v>0.0</v>
      </c>
      <c r="E404" s="16">
        <v>0.0</v>
      </c>
      <c r="F404" s="16">
        <v>0.0</v>
      </c>
      <c r="G404" s="18">
        <v>0.0</v>
      </c>
      <c r="H404" s="16" t="s">
        <v>212</v>
      </c>
      <c r="I404" s="19">
        <f t="shared" ref="I404:J404" si="403">round(D404*$A404,0)</f>
        <v>0</v>
      </c>
      <c r="J404" s="19">
        <f t="shared" si="403"/>
        <v>0</v>
      </c>
    </row>
    <row r="405" ht="22.5" customHeight="1">
      <c r="A405" s="16">
        <v>1.0</v>
      </c>
      <c r="B405" s="16">
        <v>4.0</v>
      </c>
      <c r="C405" s="16">
        <v>1.0</v>
      </c>
      <c r="D405" s="16">
        <v>4.0</v>
      </c>
      <c r="E405" s="16">
        <v>0.0</v>
      </c>
      <c r="F405" s="16">
        <v>0.0</v>
      </c>
      <c r="G405" s="18">
        <v>1.0</v>
      </c>
      <c r="H405" s="16" t="s">
        <v>334</v>
      </c>
      <c r="I405" s="19">
        <f t="shared" ref="I405:J405" si="404">round(D405*$A405,0)</f>
        <v>4</v>
      </c>
      <c r="J405" s="19">
        <f t="shared" si="404"/>
        <v>0</v>
      </c>
    </row>
    <row r="406" ht="22.5" customHeight="1">
      <c r="A406" s="16">
        <v>5.0</v>
      </c>
      <c r="B406" s="16">
        <v>19.0</v>
      </c>
      <c r="C406" s="16">
        <v>14.0</v>
      </c>
      <c r="D406" s="16">
        <v>6.4</v>
      </c>
      <c r="E406" s="16">
        <v>0.4</v>
      </c>
      <c r="F406" s="16">
        <v>0.0</v>
      </c>
      <c r="G406" s="20">
        <v>0.714</v>
      </c>
      <c r="H406" s="16" t="s">
        <v>215</v>
      </c>
      <c r="I406" s="19">
        <f t="shared" ref="I406:J406" si="405">round(D406*$A406,0)</f>
        <v>32</v>
      </c>
      <c r="J406" s="19">
        <f t="shared" si="405"/>
        <v>2</v>
      </c>
    </row>
    <row r="407" ht="22.5" customHeight="1">
      <c r="A407" s="16">
        <v>2.0</v>
      </c>
      <c r="B407" s="16">
        <v>8.0</v>
      </c>
      <c r="C407" s="16">
        <v>7.0</v>
      </c>
      <c r="D407" s="16">
        <v>10.0</v>
      </c>
      <c r="E407" s="16">
        <v>0.5</v>
      </c>
      <c r="F407" s="16">
        <v>0.0</v>
      </c>
      <c r="G407" s="20">
        <v>0.857</v>
      </c>
      <c r="H407" s="16" t="s">
        <v>168</v>
      </c>
      <c r="I407" s="19">
        <f t="shared" ref="I407:J407" si="406">round(D407*$A407,0)</f>
        <v>20</v>
      </c>
      <c r="J407" s="19">
        <f t="shared" si="406"/>
        <v>1</v>
      </c>
    </row>
    <row r="408" ht="22.5" customHeight="1">
      <c r="A408" s="16">
        <v>3.0</v>
      </c>
      <c r="B408" s="16">
        <v>12.0</v>
      </c>
      <c r="C408" s="16">
        <v>8.0</v>
      </c>
      <c r="D408" s="16">
        <v>6.67</v>
      </c>
      <c r="E408" s="16">
        <v>0.33</v>
      </c>
      <c r="F408" s="16">
        <v>0.0</v>
      </c>
      <c r="G408" s="18">
        <v>0.75</v>
      </c>
      <c r="H408" s="16" t="s">
        <v>168</v>
      </c>
      <c r="I408" s="19">
        <f t="shared" ref="I408:J408" si="407">round(D408*$A408,0)</f>
        <v>20</v>
      </c>
      <c r="J408" s="19">
        <f t="shared" si="407"/>
        <v>1</v>
      </c>
    </row>
    <row r="409" ht="22.5" customHeight="1">
      <c r="A409" s="16">
        <v>1.0</v>
      </c>
      <c r="B409" s="16">
        <v>4.0</v>
      </c>
      <c r="C409" s="16">
        <v>0.0</v>
      </c>
      <c r="D409" s="16">
        <v>0.0</v>
      </c>
      <c r="E409" s="16">
        <v>0.0</v>
      </c>
      <c r="F409" s="16">
        <v>0.0</v>
      </c>
      <c r="G409" s="18">
        <v>0.0</v>
      </c>
      <c r="H409" s="16" t="s">
        <v>113</v>
      </c>
      <c r="I409" s="19">
        <f t="shared" ref="I409:J409" si="408">round(D409*$A409,0)</f>
        <v>0</v>
      </c>
      <c r="J409" s="19">
        <f t="shared" si="408"/>
        <v>0</v>
      </c>
    </row>
    <row r="410" ht="22.5" customHeight="1">
      <c r="A410" s="16">
        <v>1.0</v>
      </c>
      <c r="B410" s="16">
        <v>4.0</v>
      </c>
      <c r="C410" s="16">
        <v>0.0</v>
      </c>
      <c r="D410" s="16">
        <v>0.0</v>
      </c>
      <c r="E410" s="16">
        <v>0.0</v>
      </c>
      <c r="F410" s="16">
        <v>0.0</v>
      </c>
      <c r="G410" s="18">
        <v>0.0</v>
      </c>
      <c r="H410" s="16" t="s">
        <v>113</v>
      </c>
      <c r="I410" s="19">
        <f t="shared" ref="I410:J410" si="409">round(D410*$A410,0)</f>
        <v>0</v>
      </c>
      <c r="J410" s="19">
        <f t="shared" si="409"/>
        <v>0</v>
      </c>
    </row>
    <row r="411" ht="22.5" customHeight="1">
      <c r="A411" s="16">
        <v>3.0</v>
      </c>
      <c r="B411" s="16">
        <v>12.0</v>
      </c>
      <c r="C411" s="16">
        <v>0.0</v>
      </c>
      <c r="D411" s="16">
        <v>0.0</v>
      </c>
      <c r="E411" s="16">
        <v>0.0</v>
      </c>
      <c r="F411" s="16">
        <v>0.0</v>
      </c>
      <c r="G411" s="18">
        <v>0.0</v>
      </c>
      <c r="H411" s="16" t="s">
        <v>113</v>
      </c>
      <c r="I411" s="19">
        <f t="shared" ref="I411:J411" si="410">round(D411*$A411,0)</f>
        <v>0</v>
      </c>
      <c r="J411" s="19">
        <f t="shared" si="410"/>
        <v>0</v>
      </c>
    </row>
    <row r="412" ht="22.5" customHeight="1">
      <c r="A412" s="16">
        <v>1.0</v>
      </c>
      <c r="B412" s="16">
        <v>4.0</v>
      </c>
      <c r="C412" s="16">
        <v>0.0</v>
      </c>
      <c r="D412" s="16">
        <v>0.0</v>
      </c>
      <c r="E412" s="16">
        <v>0.0</v>
      </c>
      <c r="F412" s="16">
        <v>0.0</v>
      </c>
      <c r="G412" s="18">
        <v>0.0</v>
      </c>
      <c r="H412" s="16" t="s">
        <v>335</v>
      </c>
      <c r="I412" s="19">
        <f t="shared" ref="I412:J412" si="411">round(D412*$A412,0)</f>
        <v>0</v>
      </c>
      <c r="J412" s="19">
        <f t="shared" si="411"/>
        <v>0</v>
      </c>
    </row>
    <row r="413" ht="22.5" customHeight="1">
      <c r="A413" s="16">
        <v>2.0</v>
      </c>
      <c r="B413" s="16">
        <v>8.0</v>
      </c>
      <c r="C413" s="16">
        <v>0.0</v>
      </c>
      <c r="D413" s="16">
        <v>0.0</v>
      </c>
      <c r="E413" s="16">
        <v>0.0</v>
      </c>
      <c r="F413" s="16">
        <v>0.0</v>
      </c>
      <c r="G413" s="18">
        <v>0.0</v>
      </c>
      <c r="H413" s="16" t="s">
        <v>335</v>
      </c>
      <c r="I413" s="19">
        <f t="shared" ref="I413:J413" si="412">round(D413*$A413,0)</f>
        <v>0</v>
      </c>
      <c r="J413" s="19">
        <f t="shared" si="412"/>
        <v>0</v>
      </c>
    </row>
    <row r="414" ht="22.5" customHeight="1">
      <c r="A414" s="16">
        <v>1.0</v>
      </c>
      <c r="B414" s="16">
        <v>4.0</v>
      </c>
      <c r="C414" s="16">
        <v>1.0</v>
      </c>
      <c r="D414" s="16">
        <v>0.0</v>
      </c>
      <c r="E414" s="16">
        <v>0.0</v>
      </c>
      <c r="F414" s="16">
        <v>0.0</v>
      </c>
      <c r="G414" s="18">
        <v>0.0</v>
      </c>
      <c r="H414" s="16" t="s">
        <v>336</v>
      </c>
      <c r="I414" s="19">
        <f t="shared" ref="I414:J414" si="413">round(D414*$A414,0)</f>
        <v>0</v>
      </c>
      <c r="J414" s="19">
        <f t="shared" si="413"/>
        <v>0</v>
      </c>
    </row>
    <row r="415" ht="22.5" customHeight="1">
      <c r="A415" s="16">
        <v>1.0</v>
      </c>
      <c r="B415" s="16">
        <v>4.0</v>
      </c>
      <c r="C415" s="16">
        <v>1.0</v>
      </c>
      <c r="D415" s="16">
        <v>-4.0</v>
      </c>
      <c r="E415" s="16">
        <v>1.0</v>
      </c>
      <c r="F415" s="16">
        <v>0.0</v>
      </c>
      <c r="G415" s="18">
        <v>0.0</v>
      </c>
      <c r="H415" s="16" t="s">
        <v>336</v>
      </c>
      <c r="I415" s="19">
        <f t="shared" ref="I415:J415" si="414">round(D415*$A415,0)</f>
        <v>-4</v>
      </c>
      <c r="J415" s="19">
        <f t="shared" si="414"/>
        <v>1</v>
      </c>
    </row>
    <row r="416" ht="22.5" customHeight="1">
      <c r="A416" s="16">
        <v>2.0</v>
      </c>
      <c r="B416" s="16">
        <v>8.0</v>
      </c>
      <c r="C416" s="16">
        <v>0.0</v>
      </c>
      <c r="D416" s="16">
        <v>0.0</v>
      </c>
      <c r="E416" s="16">
        <v>0.0</v>
      </c>
      <c r="F416" s="16">
        <v>0.0</v>
      </c>
      <c r="G416" s="18">
        <v>0.0</v>
      </c>
      <c r="H416" s="16" t="s">
        <v>337</v>
      </c>
      <c r="I416" s="19">
        <f t="shared" ref="I416:J416" si="415">round(D416*$A416,0)</f>
        <v>0</v>
      </c>
      <c r="J416" s="19">
        <f t="shared" si="415"/>
        <v>0</v>
      </c>
    </row>
    <row r="417" ht="22.5" customHeight="1">
      <c r="A417" s="16">
        <v>3.0</v>
      </c>
      <c r="B417" s="16">
        <v>12.0</v>
      </c>
      <c r="C417" s="16">
        <v>0.0</v>
      </c>
      <c r="D417" s="16">
        <v>0.0</v>
      </c>
      <c r="E417" s="16">
        <v>0.0</v>
      </c>
      <c r="F417" s="16">
        <v>0.0</v>
      </c>
      <c r="G417" s="18">
        <v>0.0</v>
      </c>
      <c r="H417" s="16" t="s">
        <v>337</v>
      </c>
      <c r="I417" s="19">
        <f t="shared" ref="I417:J417" si="416">round(D417*$A417,0)</f>
        <v>0</v>
      </c>
      <c r="J417" s="19">
        <f t="shared" si="416"/>
        <v>0</v>
      </c>
    </row>
    <row r="418" ht="22.5" customHeight="1">
      <c r="A418" s="16">
        <v>4.0</v>
      </c>
      <c r="B418" s="16">
        <v>16.0</v>
      </c>
      <c r="C418" s="16">
        <v>1.0</v>
      </c>
      <c r="D418" s="16">
        <v>0.0</v>
      </c>
      <c r="E418" s="16">
        <v>0.0</v>
      </c>
      <c r="F418" s="16">
        <v>0.0</v>
      </c>
      <c r="G418" s="18">
        <v>0.0</v>
      </c>
      <c r="H418" s="16" t="s">
        <v>299</v>
      </c>
      <c r="I418" s="19">
        <f t="shared" ref="I418:J418" si="417">round(D418*$A418,0)</f>
        <v>0</v>
      </c>
      <c r="J418" s="19">
        <f t="shared" si="417"/>
        <v>0</v>
      </c>
    </row>
    <row r="419" ht="22.5" customHeight="1">
      <c r="A419" s="16">
        <v>1.0</v>
      </c>
      <c r="B419" s="16">
        <v>4.0</v>
      </c>
      <c r="C419" s="16">
        <v>0.0</v>
      </c>
      <c r="D419" s="16">
        <v>0.0</v>
      </c>
      <c r="E419" s="16">
        <v>0.0</v>
      </c>
      <c r="F419" s="16">
        <v>0.0</v>
      </c>
      <c r="G419" s="18">
        <v>0.0</v>
      </c>
      <c r="H419" s="16" t="s">
        <v>256</v>
      </c>
      <c r="I419" s="19">
        <f t="shared" ref="I419:J419" si="418">round(D419*$A419,0)</f>
        <v>0</v>
      </c>
      <c r="J419" s="19">
        <f t="shared" si="418"/>
        <v>0</v>
      </c>
    </row>
    <row r="420" ht="22.5" customHeight="1">
      <c r="A420" s="16">
        <v>3.0</v>
      </c>
      <c r="B420" s="16">
        <v>12.0</v>
      </c>
      <c r="C420" s="16">
        <v>8.0</v>
      </c>
      <c r="D420" s="16">
        <v>9.33</v>
      </c>
      <c r="E420" s="16">
        <v>0.0</v>
      </c>
      <c r="F420" s="16">
        <v>0.0</v>
      </c>
      <c r="G420" s="20">
        <v>0.875</v>
      </c>
      <c r="H420" s="16" t="s">
        <v>216</v>
      </c>
      <c r="I420" s="19">
        <f t="shared" ref="I420:J420" si="419">round(D420*$A420,0)</f>
        <v>28</v>
      </c>
      <c r="J420" s="19">
        <f t="shared" si="419"/>
        <v>0</v>
      </c>
    </row>
    <row r="421" ht="22.5" customHeight="1">
      <c r="A421" s="16">
        <v>1.0</v>
      </c>
      <c r="B421" s="16">
        <v>4.0</v>
      </c>
      <c r="C421" s="16">
        <v>2.0</v>
      </c>
      <c r="D421" s="16">
        <v>8.0</v>
      </c>
      <c r="E421" s="16">
        <v>0.0</v>
      </c>
      <c r="F421" s="16">
        <v>0.0</v>
      </c>
      <c r="G421" s="18">
        <v>1.0</v>
      </c>
      <c r="H421" s="16" t="s">
        <v>216</v>
      </c>
      <c r="I421" s="19">
        <f t="shared" ref="I421:J421" si="420">round(D421*$A421,0)</f>
        <v>8</v>
      </c>
      <c r="J421" s="19">
        <f t="shared" si="420"/>
        <v>0</v>
      </c>
    </row>
    <row r="422" ht="22.5" customHeight="1">
      <c r="A422" s="16">
        <v>1.0</v>
      </c>
      <c r="B422" s="16">
        <v>4.0</v>
      </c>
      <c r="C422" s="16">
        <v>3.0</v>
      </c>
      <c r="D422" s="16">
        <v>0.0</v>
      </c>
      <c r="E422" s="16">
        <v>1.0</v>
      </c>
      <c r="F422" s="16">
        <v>0.0</v>
      </c>
      <c r="G422" s="20">
        <v>0.333</v>
      </c>
      <c r="H422" s="16" t="s">
        <v>216</v>
      </c>
      <c r="I422" s="19">
        <f t="shared" ref="I422:J422" si="421">round(D422*$A422,0)</f>
        <v>0</v>
      </c>
      <c r="J422" s="19">
        <f t="shared" si="421"/>
        <v>1</v>
      </c>
    </row>
    <row r="423" ht="22.5" customHeight="1">
      <c r="A423" s="16">
        <v>1.0</v>
      </c>
      <c r="B423" s="16">
        <v>4.0</v>
      </c>
      <c r="C423" s="16">
        <v>0.0</v>
      </c>
      <c r="D423" s="16">
        <v>0.0</v>
      </c>
      <c r="E423" s="16">
        <v>0.0</v>
      </c>
      <c r="F423" s="16">
        <v>0.0</v>
      </c>
      <c r="G423" s="18">
        <v>0.0</v>
      </c>
      <c r="H423" s="16" t="s">
        <v>338</v>
      </c>
      <c r="I423" s="19">
        <f t="shared" ref="I423:J423" si="422">round(D423*$A423,0)</f>
        <v>0</v>
      </c>
      <c r="J423" s="19">
        <f t="shared" si="422"/>
        <v>0</v>
      </c>
    </row>
    <row r="424" ht="22.5" customHeight="1">
      <c r="A424" s="16">
        <v>1.0</v>
      </c>
      <c r="B424" s="16">
        <v>4.0</v>
      </c>
      <c r="C424" s="16">
        <v>0.0</v>
      </c>
      <c r="D424" s="16">
        <v>0.0</v>
      </c>
      <c r="E424" s="16">
        <v>0.0</v>
      </c>
      <c r="F424" s="16">
        <v>0.0</v>
      </c>
      <c r="G424" s="18">
        <v>0.0</v>
      </c>
      <c r="H424" s="16" t="s">
        <v>338</v>
      </c>
      <c r="I424" s="19">
        <f t="shared" ref="I424:J424" si="423">round(D424*$A424,0)</f>
        <v>0</v>
      </c>
      <c r="J424" s="19">
        <f t="shared" si="423"/>
        <v>0</v>
      </c>
    </row>
    <row r="425" ht="22.5" customHeight="1">
      <c r="A425" s="16">
        <v>1.0</v>
      </c>
      <c r="B425" s="16">
        <v>4.0</v>
      </c>
      <c r="C425" s="16">
        <v>0.0</v>
      </c>
      <c r="D425" s="16">
        <v>0.0</v>
      </c>
      <c r="E425" s="16">
        <v>0.0</v>
      </c>
      <c r="F425" s="16">
        <v>0.0</v>
      </c>
      <c r="G425" s="18">
        <v>0.0</v>
      </c>
      <c r="H425" s="16" t="s">
        <v>339</v>
      </c>
      <c r="I425" s="19">
        <f t="shared" ref="I425:J425" si="424">round(D425*$A425,0)</f>
        <v>0</v>
      </c>
      <c r="J425" s="19">
        <f t="shared" si="424"/>
        <v>0</v>
      </c>
    </row>
    <row r="426" ht="22.5" customHeight="1">
      <c r="A426" s="16">
        <v>2.0</v>
      </c>
      <c r="B426" s="16">
        <v>8.0</v>
      </c>
      <c r="C426" s="16">
        <v>7.0</v>
      </c>
      <c r="D426" s="16">
        <v>12.0</v>
      </c>
      <c r="E426" s="16">
        <v>0.0</v>
      </c>
      <c r="F426" s="16">
        <v>0.0</v>
      </c>
      <c r="G426" s="20">
        <v>0.857</v>
      </c>
      <c r="H426" s="16" t="s">
        <v>83</v>
      </c>
      <c r="I426" s="19">
        <f t="shared" ref="I426:J426" si="425">round(D426*$A426,0)</f>
        <v>24</v>
      </c>
      <c r="J426" s="19">
        <f t="shared" si="425"/>
        <v>0</v>
      </c>
    </row>
    <row r="427" ht="22.5" customHeight="1">
      <c r="A427" s="16">
        <v>1.0</v>
      </c>
      <c r="B427" s="16">
        <v>4.0</v>
      </c>
      <c r="C427" s="16">
        <v>4.0</v>
      </c>
      <c r="D427" s="16">
        <v>4.0</v>
      </c>
      <c r="E427" s="16">
        <v>1.0</v>
      </c>
      <c r="F427" s="16">
        <v>0.0</v>
      </c>
      <c r="G427" s="18">
        <v>0.5</v>
      </c>
      <c r="H427" s="16" t="s">
        <v>83</v>
      </c>
      <c r="I427" s="19">
        <f t="shared" ref="I427:J427" si="426">round(D427*$A427,0)</f>
        <v>4</v>
      </c>
      <c r="J427" s="19">
        <f t="shared" si="426"/>
        <v>1</v>
      </c>
    </row>
    <row r="428" ht="22.5" customHeight="1">
      <c r="A428" s="16">
        <v>1.0</v>
      </c>
      <c r="B428" s="16">
        <v>4.0</v>
      </c>
      <c r="C428" s="16">
        <v>0.0</v>
      </c>
      <c r="D428" s="16">
        <v>0.0</v>
      </c>
      <c r="E428" s="16">
        <v>0.0</v>
      </c>
      <c r="F428" s="16">
        <v>0.0</v>
      </c>
      <c r="G428" s="18">
        <v>0.0</v>
      </c>
      <c r="H428" s="16" t="s">
        <v>340</v>
      </c>
      <c r="I428" s="19">
        <f t="shared" ref="I428:J428" si="427">round(D428*$A428,0)</f>
        <v>0</v>
      </c>
      <c r="J428" s="19">
        <f t="shared" si="427"/>
        <v>0</v>
      </c>
    </row>
    <row r="429" ht="22.5" customHeight="1">
      <c r="A429" s="16">
        <v>1.0</v>
      </c>
      <c r="B429" s="16">
        <v>4.0</v>
      </c>
      <c r="C429" s="16">
        <v>0.0</v>
      </c>
      <c r="D429" s="16">
        <v>0.0</v>
      </c>
      <c r="E429" s="16">
        <v>0.0</v>
      </c>
      <c r="F429" s="16">
        <v>0.0</v>
      </c>
      <c r="G429" s="18">
        <v>0.0</v>
      </c>
      <c r="H429" s="16" t="s">
        <v>340</v>
      </c>
      <c r="I429" s="19">
        <f t="shared" ref="I429:J429" si="428">round(D429*$A429,0)</f>
        <v>0</v>
      </c>
      <c r="J429" s="19">
        <f t="shared" si="428"/>
        <v>0</v>
      </c>
    </row>
    <row r="430" ht="22.5" customHeight="1">
      <c r="A430" s="16">
        <v>3.0</v>
      </c>
      <c r="B430" s="16">
        <v>12.0</v>
      </c>
      <c r="C430" s="16">
        <v>1.0</v>
      </c>
      <c r="D430" s="16">
        <v>1.33</v>
      </c>
      <c r="E430" s="16">
        <v>0.0</v>
      </c>
      <c r="F430" s="16">
        <v>0.0</v>
      </c>
      <c r="G430" s="18">
        <v>1.0</v>
      </c>
      <c r="H430" s="16" t="s">
        <v>258</v>
      </c>
      <c r="I430" s="19">
        <f t="shared" ref="I430:J430" si="429">round(D430*$A430,0)</f>
        <v>4</v>
      </c>
      <c r="J430" s="19">
        <f t="shared" si="429"/>
        <v>0</v>
      </c>
    </row>
    <row r="431" ht="22.5" customHeight="1">
      <c r="A431" s="16">
        <v>1.0</v>
      </c>
      <c r="B431" s="16">
        <v>4.0</v>
      </c>
      <c r="C431" s="16">
        <v>3.0</v>
      </c>
      <c r="D431" s="16">
        <v>4.0</v>
      </c>
      <c r="E431" s="16">
        <v>1.0</v>
      </c>
      <c r="F431" s="16">
        <v>0.0</v>
      </c>
      <c r="G431" s="20">
        <v>0.667</v>
      </c>
      <c r="H431" s="16" t="s">
        <v>301</v>
      </c>
      <c r="I431" s="19">
        <f t="shared" ref="I431:J431" si="430">round(D431*$A431,0)</f>
        <v>4</v>
      </c>
      <c r="J431" s="19">
        <f t="shared" si="430"/>
        <v>1</v>
      </c>
    </row>
    <row r="432" ht="22.5" customHeight="1">
      <c r="A432" s="16">
        <v>1.0</v>
      </c>
      <c r="B432" s="16">
        <v>4.0</v>
      </c>
      <c r="C432" s="16">
        <v>2.0</v>
      </c>
      <c r="D432" s="16">
        <v>0.0</v>
      </c>
      <c r="E432" s="16">
        <v>1.0</v>
      </c>
      <c r="F432" s="16">
        <v>0.0</v>
      </c>
      <c r="G432" s="18">
        <v>0.5</v>
      </c>
      <c r="H432" s="16" t="s">
        <v>301</v>
      </c>
      <c r="I432" s="19">
        <f t="shared" ref="I432:J432" si="431">round(D432*$A432,0)</f>
        <v>0</v>
      </c>
      <c r="J432" s="19">
        <f t="shared" si="431"/>
        <v>1</v>
      </c>
    </row>
    <row r="433" ht="22.5" customHeight="1">
      <c r="A433" s="16">
        <v>2.0</v>
      </c>
      <c r="B433" s="16">
        <v>8.0</v>
      </c>
      <c r="C433" s="16">
        <v>1.0</v>
      </c>
      <c r="D433" s="16">
        <v>2.0</v>
      </c>
      <c r="E433" s="16">
        <v>0.0</v>
      </c>
      <c r="F433" s="16">
        <v>0.0</v>
      </c>
      <c r="G433" s="18">
        <v>1.0</v>
      </c>
      <c r="H433" s="16" t="s">
        <v>87</v>
      </c>
      <c r="I433" s="19">
        <f t="shared" ref="I433:J433" si="432">round(D433*$A433,0)</f>
        <v>4</v>
      </c>
      <c r="J433" s="19">
        <f t="shared" si="432"/>
        <v>0</v>
      </c>
    </row>
    <row r="434" ht="22.5" customHeight="1">
      <c r="A434" s="16">
        <v>1.0</v>
      </c>
      <c r="B434" s="16">
        <v>4.0</v>
      </c>
      <c r="C434" s="16">
        <v>0.0</v>
      </c>
      <c r="D434" s="16">
        <v>0.0</v>
      </c>
      <c r="E434" s="16">
        <v>0.0</v>
      </c>
      <c r="F434" s="16">
        <v>0.0</v>
      </c>
      <c r="G434" s="18">
        <v>0.0</v>
      </c>
      <c r="H434" s="16" t="s">
        <v>87</v>
      </c>
      <c r="I434" s="19">
        <f t="shared" ref="I434:J434" si="433">round(D434*$A434,0)</f>
        <v>0</v>
      </c>
      <c r="J434" s="19">
        <f t="shared" si="433"/>
        <v>0</v>
      </c>
    </row>
    <row r="435" ht="22.5" customHeight="1">
      <c r="A435" s="16">
        <v>1.0</v>
      </c>
      <c r="B435" s="16">
        <v>4.0</v>
      </c>
      <c r="C435" s="16">
        <v>0.0</v>
      </c>
      <c r="D435" s="16">
        <v>0.0</v>
      </c>
      <c r="E435" s="16">
        <v>0.0</v>
      </c>
      <c r="F435" s="16">
        <v>0.0</v>
      </c>
      <c r="G435" s="18">
        <v>0.0</v>
      </c>
      <c r="H435" s="16" t="s">
        <v>87</v>
      </c>
      <c r="I435" s="19">
        <f t="shared" ref="I435:J435" si="434">round(D435*$A435,0)</f>
        <v>0</v>
      </c>
      <c r="J435" s="19">
        <f t="shared" si="434"/>
        <v>0</v>
      </c>
    </row>
    <row r="436" ht="22.5" customHeight="1">
      <c r="A436" s="16">
        <v>1.0</v>
      </c>
      <c r="B436" s="16">
        <v>4.0</v>
      </c>
      <c r="C436" s="16">
        <v>0.0</v>
      </c>
      <c r="D436" s="16">
        <v>0.0</v>
      </c>
      <c r="E436" s="16">
        <v>0.0</v>
      </c>
      <c r="F436" s="16">
        <v>0.0</v>
      </c>
      <c r="G436" s="18">
        <v>0.0</v>
      </c>
      <c r="H436" s="16" t="s">
        <v>341</v>
      </c>
      <c r="I436" s="19">
        <f t="shared" ref="I436:J436" si="435">round(D436*$A436,0)</f>
        <v>0</v>
      </c>
      <c r="J436" s="19">
        <f t="shared" si="435"/>
        <v>0</v>
      </c>
    </row>
    <row r="437" ht="22.5" customHeight="1">
      <c r="A437" s="16">
        <v>1.0</v>
      </c>
      <c r="B437" s="16">
        <v>4.0</v>
      </c>
      <c r="C437" s="16">
        <v>0.0</v>
      </c>
      <c r="D437" s="16">
        <v>0.0</v>
      </c>
      <c r="E437" s="16">
        <v>0.0</v>
      </c>
      <c r="F437" s="16">
        <v>0.0</v>
      </c>
      <c r="G437" s="18">
        <v>0.0</v>
      </c>
      <c r="H437" s="16" t="s">
        <v>341</v>
      </c>
      <c r="I437" s="19">
        <f t="shared" ref="I437:J437" si="436">round(D437*$A437,0)</f>
        <v>0</v>
      </c>
      <c r="J437" s="19">
        <f t="shared" si="436"/>
        <v>0</v>
      </c>
    </row>
    <row r="438" ht="22.5" customHeight="1">
      <c r="A438" s="16">
        <v>5.0</v>
      </c>
      <c r="B438" s="16">
        <v>20.0</v>
      </c>
      <c r="C438" s="16">
        <v>11.0</v>
      </c>
      <c r="D438" s="16">
        <v>5.6</v>
      </c>
      <c r="E438" s="16">
        <v>0.2</v>
      </c>
      <c r="F438" s="16">
        <v>0.0</v>
      </c>
      <c r="G438" s="20">
        <v>0.727</v>
      </c>
      <c r="H438" s="16" t="s">
        <v>312</v>
      </c>
      <c r="I438" s="19">
        <f t="shared" ref="I438:J438" si="437">round(D438*$A438,0)</f>
        <v>28</v>
      </c>
      <c r="J438" s="19">
        <f t="shared" si="437"/>
        <v>1</v>
      </c>
    </row>
    <row r="439" ht="22.5" customHeight="1">
      <c r="A439" s="16">
        <v>1.0</v>
      </c>
      <c r="B439" s="16">
        <v>4.0</v>
      </c>
      <c r="C439" s="16">
        <v>0.0</v>
      </c>
      <c r="D439" s="16">
        <v>0.0</v>
      </c>
      <c r="E439" s="16">
        <v>0.0</v>
      </c>
      <c r="F439" s="16">
        <v>0.0</v>
      </c>
      <c r="G439" s="18">
        <v>0.0</v>
      </c>
      <c r="H439" s="16" t="s">
        <v>260</v>
      </c>
      <c r="I439" s="19">
        <f t="shared" ref="I439:J439" si="438">round(D439*$A439,0)</f>
        <v>0</v>
      </c>
      <c r="J439" s="19">
        <f t="shared" si="438"/>
        <v>0</v>
      </c>
    </row>
    <row r="440" ht="22.5" customHeight="1">
      <c r="A440" s="16">
        <v>4.0</v>
      </c>
      <c r="B440" s="16">
        <v>16.0</v>
      </c>
      <c r="C440" s="16">
        <v>0.0</v>
      </c>
      <c r="D440" s="16">
        <v>0.0</v>
      </c>
      <c r="E440" s="16">
        <v>0.0</v>
      </c>
      <c r="F440" s="16">
        <v>0.0</v>
      </c>
      <c r="G440" s="18">
        <v>0.0</v>
      </c>
      <c r="H440" s="16" t="s">
        <v>260</v>
      </c>
      <c r="I440" s="19">
        <f t="shared" ref="I440:J440" si="439">round(D440*$A440,0)</f>
        <v>0</v>
      </c>
      <c r="J440" s="19">
        <f t="shared" si="439"/>
        <v>0</v>
      </c>
    </row>
    <row r="441" ht="22.5" customHeight="1">
      <c r="A441" s="16">
        <v>4.0</v>
      </c>
      <c r="B441" s="16">
        <v>16.0</v>
      </c>
      <c r="C441" s="16">
        <v>0.0</v>
      </c>
      <c r="D441" s="16">
        <v>0.0</v>
      </c>
      <c r="E441" s="16">
        <v>0.0</v>
      </c>
      <c r="F441" s="16">
        <v>0.0</v>
      </c>
      <c r="G441" s="18">
        <v>0.0</v>
      </c>
      <c r="H441" s="16" t="s">
        <v>327</v>
      </c>
      <c r="I441" s="19">
        <f t="shared" ref="I441:J441" si="440">round(D441*$A441,0)</f>
        <v>0</v>
      </c>
      <c r="J441" s="19">
        <f t="shared" si="440"/>
        <v>0</v>
      </c>
    </row>
    <row r="442" ht="22.5" customHeight="1">
      <c r="A442" s="16">
        <v>5.0</v>
      </c>
      <c r="B442" s="16">
        <v>20.0</v>
      </c>
      <c r="C442" s="16">
        <v>2.0</v>
      </c>
      <c r="D442" s="16">
        <v>0.0</v>
      </c>
      <c r="E442" s="16">
        <v>0.2</v>
      </c>
      <c r="F442" s="16">
        <v>0.0</v>
      </c>
      <c r="G442" s="18">
        <v>0.5</v>
      </c>
      <c r="H442" s="16" t="s">
        <v>131</v>
      </c>
      <c r="I442" s="19">
        <f t="shared" ref="I442:J442" si="441">round(D442*$A442,0)</f>
        <v>0</v>
      </c>
      <c r="J442" s="19">
        <f t="shared" si="441"/>
        <v>1</v>
      </c>
    </row>
    <row r="443" ht="22.5" customHeight="1">
      <c r="A443" s="16">
        <v>2.0</v>
      </c>
      <c r="B443" s="16">
        <v>8.0</v>
      </c>
      <c r="C443" s="16">
        <v>0.0</v>
      </c>
      <c r="D443" s="16">
        <v>0.0</v>
      </c>
      <c r="E443" s="16">
        <v>0.0</v>
      </c>
      <c r="F443" s="16">
        <v>0.0</v>
      </c>
      <c r="G443" s="18">
        <v>0.0</v>
      </c>
      <c r="H443" s="16" t="s">
        <v>342</v>
      </c>
      <c r="I443" s="19">
        <f t="shared" ref="I443:J443" si="442">round(D443*$A443,0)</f>
        <v>0</v>
      </c>
      <c r="J443" s="19">
        <f t="shared" si="442"/>
        <v>0</v>
      </c>
    </row>
    <row r="444" ht="22.5" customHeight="1">
      <c r="A444" s="16">
        <v>1.0</v>
      </c>
      <c r="B444" s="16">
        <v>4.0</v>
      </c>
      <c r="C444" s="16">
        <v>1.0</v>
      </c>
      <c r="D444" s="16">
        <v>4.0</v>
      </c>
      <c r="E444" s="16">
        <v>0.0</v>
      </c>
      <c r="F444" s="16">
        <v>0.0</v>
      </c>
      <c r="G444" s="18">
        <v>1.0</v>
      </c>
      <c r="H444" s="16" t="s">
        <v>343</v>
      </c>
      <c r="I444" s="19">
        <f t="shared" ref="I444:J444" si="443">round(D444*$A444,0)</f>
        <v>4</v>
      </c>
      <c r="J444" s="19">
        <f t="shared" si="443"/>
        <v>0</v>
      </c>
    </row>
    <row r="445" ht="22.5" customHeight="1">
      <c r="A445" s="16">
        <v>4.0</v>
      </c>
      <c r="B445" s="16">
        <v>16.0</v>
      </c>
      <c r="C445" s="16">
        <v>11.0</v>
      </c>
      <c r="D445" s="16">
        <v>3.0</v>
      </c>
      <c r="E445" s="16">
        <v>0.5</v>
      </c>
      <c r="F445" s="16">
        <v>0.0</v>
      </c>
      <c r="G445" s="20">
        <v>0.455</v>
      </c>
      <c r="H445" s="16" t="s">
        <v>343</v>
      </c>
      <c r="I445" s="19">
        <f t="shared" ref="I445:J445" si="444">round(D445*$A445,0)</f>
        <v>12</v>
      </c>
      <c r="J445" s="19">
        <f t="shared" si="444"/>
        <v>2</v>
      </c>
    </row>
    <row r="446" ht="22.5" customHeight="1">
      <c r="A446" s="16">
        <v>2.0</v>
      </c>
      <c r="B446" s="16">
        <v>8.0</v>
      </c>
      <c r="C446" s="16">
        <v>0.0</v>
      </c>
      <c r="D446" s="16">
        <v>0.0</v>
      </c>
      <c r="E446" s="16">
        <v>0.0</v>
      </c>
      <c r="F446" s="16">
        <v>0.0</v>
      </c>
      <c r="G446" s="18">
        <v>0.0</v>
      </c>
      <c r="H446" s="16" t="s">
        <v>302</v>
      </c>
      <c r="I446" s="19">
        <f t="shared" ref="I446:J446" si="445">round(D446*$A446,0)</f>
        <v>0</v>
      </c>
      <c r="J446" s="19">
        <f t="shared" si="445"/>
        <v>0</v>
      </c>
    </row>
    <row r="447" ht="22.5" customHeight="1">
      <c r="A447" s="16">
        <v>5.0</v>
      </c>
      <c r="B447" s="16">
        <v>20.0</v>
      </c>
      <c r="C447" s="16">
        <v>8.0</v>
      </c>
      <c r="D447" s="16">
        <v>4.8</v>
      </c>
      <c r="E447" s="16">
        <v>0.2</v>
      </c>
      <c r="F447" s="16">
        <v>0.0</v>
      </c>
      <c r="G447" s="20">
        <v>0.875</v>
      </c>
      <c r="H447" s="16" t="s">
        <v>231</v>
      </c>
      <c r="I447" s="19">
        <f t="shared" ref="I447:J447" si="446">round(D447*$A447,0)</f>
        <v>24</v>
      </c>
      <c r="J447" s="19">
        <f t="shared" si="446"/>
        <v>1</v>
      </c>
    </row>
    <row r="448" ht="22.5" customHeight="1">
      <c r="A448" s="16">
        <v>5.0</v>
      </c>
      <c r="B448" s="16">
        <v>20.0</v>
      </c>
      <c r="C448" s="16">
        <v>8.0</v>
      </c>
      <c r="D448" s="16">
        <v>4.8</v>
      </c>
      <c r="E448" s="16">
        <v>0.2</v>
      </c>
      <c r="F448" s="16">
        <v>0.0</v>
      </c>
      <c r="G448" s="20">
        <v>0.875</v>
      </c>
      <c r="H448" s="16" t="s">
        <v>122</v>
      </c>
      <c r="I448" s="19">
        <f t="shared" ref="I448:J448" si="447">round(D448*$A448,0)</f>
        <v>24</v>
      </c>
      <c r="J448" s="19">
        <f t="shared" si="447"/>
        <v>1</v>
      </c>
    </row>
    <row r="449" ht="22.5" customHeight="1">
      <c r="A449" s="16">
        <v>3.0</v>
      </c>
      <c r="B449" s="16">
        <v>12.0</v>
      </c>
      <c r="C449" s="16">
        <v>0.0</v>
      </c>
      <c r="D449" s="16">
        <v>0.0</v>
      </c>
      <c r="E449" s="16">
        <v>0.0</v>
      </c>
      <c r="F449" s="16">
        <v>0.0</v>
      </c>
      <c r="G449" s="18">
        <v>0.0</v>
      </c>
      <c r="H449" s="16" t="s">
        <v>261</v>
      </c>
      <c r="I449" s="19">
        <f t="shared" ref="I449:J449" si="448">round(D449*$A449,0)</f>
        <v>0</v>
      </c>
      <c r="J449" s="19">
        <f t="shared" si="448"/>
        <v>0</v>
      </c>
    </row>
    <row r="450" ht="22.5" customHeight="1">
      <c r="A450" s="16">
        <v>5.0</v>
      </c>
      <c r="B450" s="16">
        <v>20.0</v>
      </c>
      <c r="C450" s="16">
        <v>0.0</v>
      </c>
      <c r="D450" s="16">
        <v>0.0</v>
      </c>
      <c r="E450" s="16">
        <v>0.0</v>
      </c>
      <c r="F450" s="16">
        <v>0.0</v>
      </c>
      <c r="G450" s="18">
        <v>0.0</v>
      </c>
      <c r="H450" s="16" t="s">
        <v>344</v>
      </c>
      <c r="I450" s="19">
        <f t="shared" ref="I450:J450" si="449">round(D450*$A450,0)</f>
        <v>0</v>
      </c>
      <c r="J450" s="19">
        <f t="shared" si="449"/>
        <v>0</v>
      </c>
    </row>
    <row r="451" ht="22.5" customHeight="1">
      <c r="A451" s="16">
        <v>4.0</v>
      </c>
      <c r="B451" s="16">
        <v>16.0</v>
      </c>
      <c r="C451" s="16">
        <v>8.0</v>
      </c>
      <c r="D451" s="16">
        <v>2.0</v>
      </c>
      <c r="E451" s="16">
        <v>0.25</v>
      </c>
      <c r="F451" s="16">
        <v>0.0</v>
      </c>
      <c r="G451" s="20">
        <v>0.375</v>
      </c>
      <c r="H451" s="16" t="s">
        <v>345</v>
      </c>
      <c r="I451" s="19">
        <f t="shared" ref="I451:J451" si="450">round(D451*$A451,0)</f>
        <v>8</v>
      </c>
      <c r="J451" s="19">
        <f t="shared" si="450"/>
        <v>1</v>
      </c>
    </row>
    <row r="452" ht="22.5" customHeight="1">
      <c r="A452" s="16">
        <v>1.0</v>
      </c>
      <c r="B452" s="16">
        <v>4.0</v>
      </c>
      <c r="C452" s="16">
        <v>2.0</v>
      </c>
      <c r="D452" s="16">
        <v>0.0</v>
      </c>
      <c r="E452" s="16">
        <v>1.0</v>
      </c>
      <c r="F452" s="16">
        <v>0.0</v>
      </c>
      <c r="G452" s="18">
        <v>0.5</v>
      </c>
      <c r="H452" s="16" t="s">
        <v>345</v>
      </c>
      <c r="I452" s="19">
        <f t="shared" ref="I452:J452" si="451">round(D452*$A452,0)</f>
        <v>0</v>
      </c>
      <c r="J452" s="19">
        <f t="shared" si="451"/>
        <v>1</v>
      </c>
    </row>
    <row r="453" ht="22.5" customHeight="1">
      <c r="A453" s="16">
        <v>4.0</v>
      </c>
      <c r="B453" s="16">
        <v>16.0</v>
      </c>
      <c r="C453" s="16">
        <v>0.0</v>
      </c>
      <c r="D453" s="16">
        <v>0.0</v>
      </c>
      <c r="E453" s="16">
        <v>0.0</v>
      </c>
      <c r="F453" s="16">
        <v>0.0</v>
      </c>
      <c r="G453" s="18">
        <v>0.0</v>
      </c>
      <c r="H453" s="16" t="s">
        <v>346</v>
      </c>
      <c r="I453" s="19">
        <f t="shared" ref="I453:J453" si="452">round(D453*$A453,0)</f>
        <v>0</v>
      </c>
      <c r="J453" s="19">
        <f t="shared" si="452"/>
        <v>0</v>
      </c>
    </row>
    <row r="454" ht="22.5" customHeight="1">
      <c r="A454" s="16">
        <v>1.0</v>
      </c>
      <c r="B454" s="16">
        <v>4.0</v>
      </c>
      <c r="C454" s="16">
        <v>0.0</v>
      </c>
      <c r="D454" s="16">
        <v>0.0</v>
      </c>
      <c r="E454" s="16">
        <v>0.0</v>
      </c>
      <c r="F454" s="16">
        <v>0.0</v>
      </c>
      <c r="G454" s="18">
        <v>0.0</v>
      </c>
      <c r="H454" s="16" t="s">
        <v>346</v>
      </c>
      <c r="I454" s="19">
        <f t="shared" ref="I454:J454" si="453">round(D454*$A454,0)</f>
        <v>0</v>
      </c>
      <c r="J454" s="19">
        <f t="shared" si="453"/>
        <v>0</v>
      </c>
    </row>
    <row r="455" ht="22.5" customHeight="1">
      <c r="A455" s="16">
        <v>1.0</v>
      </c>
      <c r="B455" s="16">
        <v>4.0</v>
      </c>
      <c r="C455" s="16">
        <v>2.0</v>
      </c>
      <c r="D455" s="16">
        <v>4.0</v>
      </c>
      <c r="E455" s="16">
        <v>0.0</v>
      </c>
      <c r="F455" s="16">
        <v>0.0</v>
      </c>
      <c r="G455" s="18">
        <v>0.5</v>
      </c>
      <c r="H455" s="16" t="s">
        <v>347</v>
      </c>
      <c r="I455" s="19">
        <f t="shared" ref="I455:J455" si="454">round(D455*$A455,0)</f>
        <v>4</v>
      </c>
      <c r="J455" s="19">
        <f t="shared" si="454"/>
        <v>0</v>
      </c>
    </row>
    <row r="456" ht="22.5" customHeight="1">
      <c r="A456" s="16">
        <v>4.0</v>
      </c>
      <c r="B456" s="16">
        <v>16.0</v>
      </c>
      <c r="C456" s="16">
        <v>1.0</v>
      </c>
      <c r="D456" s="16">
        <v>-1.0</v>
      </c>
      <c r="E456" s="16">
        <v>0.25</v>
      </c>
      <c r="F456" s="16">
        <v>0.0</v>
      </c>
      <c r="G456" s="18">
        <v>0.0</v>
      </c>
      <c r="H456" s="16" t="s">
        <v>347</v>
      </c>
      <c r="I456" s="19">
        <f t="shared" ref="I456:J456" si="455">round(D456*$A456,0)</f>
        <v>-4</v>
      </c>
      <c r="J456" s="19">
        <f t="shared" si="455"/>
        <v>1</v>
      </c>
    </row>
    <row r="457" ht="22.5" customHeight="1">
      <c r="A457" s="16">
        <v>4.0</v>
      </c>
      <c r="B457" s="16">
        <v>16.0</v>
      </c>
      <c r="C457" s="16">
        <v>0.0</v>
      </c>
      <c r="D457" s="16">
        <v>0.0</v>
      </c>
      <c r="E457" s="16">
        <v>0.0</v>
      </c>
      <c r="F457" s="16">
        <v>0.0</v>
      </c>
      <c r="G457" s="18">
        <v>0.0</v>
      </c>
      <c r="H457" s="16" t="s">
        <v>188</v>
      </c>
      <c r="I457" s="19">
        <f t="shared" ref="I457:J457" si="456">round(D457*$A457,0)</f>
        <v>0</v>
      </c>
      <c r="J457" s="19">
        <f t="shared" si="456"/>
        <v>0</v>
      </c>
    </row>
    <row r="458" ht="22.5" customHeight="1">
      <c r="A458" s="16">
        <v>1.0</v>
      </c>
      <c r="B458" s="16">
        <v>4.0</v>
      </c>
      <c r="C458" s="16">
        <v>0.0</v>
      </c>
      <c r="D458" s="16">
        <v>0.0</v>
      </c>
      <c r="E458" s="16">
        <v>0.0</v>
      </c>
      <c r="F458" s="16">
        <v>0.0</v>
      </c>
      <c r="G458" s="18">
        <v>0.0</v>
      </c>
      <c r="H458" s="16" t="s">
        <v>188</v>
      </c>
      <c r="I458" s="19">
        <f t="shared" ref="I458:J458" si="457">round(D458*$A458,0)</f>
        <v>0</v>
      </c>
      <c r="J458" s="19">
        <f t="shared" si="457"/>
        <v>0</v>
      </c>
    </row>
    <row r="459" ht="22.5" customHeight="1">
      <c r="A459" s="16">
        <v>3.0</v>
      </c>
      <c r="B459" s="16">
        <v>11.0</v>
      </c>
      <c r="C459" s="16">
        <v>0.0</v>
      </c>
      <c r="D459" s="16">
        <v>0.0</v>
      </c>
      <c r="E459" s="16">
        <v>0.0</v>
      </c>
      <c r="F459" s="16">
        <v>0.0</v>
      </c>
      <c r="G459" s="18">
        <v>0.0</v>
      </c>
      <c r="H459" s="16" t="s">
        <v>119</v>
      </c>
      <c r="I459" s="19">
        <f t="shared" ref="I459:J459" si="458">round(D459*$A459,0)</f>
        <v>0</v>
      </c>
      <c r="J459" s="19">
        <f t="shared" si="458"/>
        <v>0</v>
      </c>
    </row>
    <row r="460" ht="22.5" customHeight="1">
      <c r="A460" s="16">
        <v>3.0</v>
      </c>
      <c r="B460" s="16">
        <v>11.0</v>
      </c>
      <c r="C460" s="16">
        <v>1.0</v>
      </c>
      <c r="D460" s="16">
        <v>0.0</v>
      </c>
      <c r="E460" s="16">
        <v>0.0</v>
      </c>
      <c r="F460" s="16">
        <v>0.0</v>
      </c>
      <c r="G460" s="18">
        <v>0.0</v>
      </c>
      <c r="H460" s="16" t="s">
        <v>218</v>
      </c>
      <c r="I460" s="19">
        <f t="shared" ref="I460:J460" si="459">round(D460*$A460,0)</f>
        <v>0</v>
      </c>
      <c r="J460" s="19">
        <f t="shared" si="459"/>
        <v>0</v>
      </c>
    </row>
    <row r="461" ht="22.5" customHeight="1">
      <c r="A461" s="16">
        <v>2.0</v>
      </c>
      <c r="B461" s="16">
        <v>7.0</v>
      </c>
      <c r="C461" s="16">
        <v>3.0</v>
      </c>
      <c r="D461" s="16">
        <v>0.0</v>
      </c>
      <c r="E461" s="16">
        <v>0.0</v>
      </c>
      <c r="F461" s="16">
        <v>0.0</v>
      </c>
      <c r="G461" s="18">
        <v>0.0</v>
      </c>
      <c r="H461" s="16" t="s">
        <v>348</v>
      </c>
      <c r="I461" s="19">
        <f t="shared" ref="I461:J461" si="460">round(D461*$A461,0)</f>
        <v>0</v>
      </c>
      <c r="J461" s="19">
        <f t="shared" si="460"/>
        <v>0</v>
      </c>
    </row>
    <row r="462" ht="22.5" customHeight="1">
      <c r="A462" s="16">
        <v>3.0</v>
      </c>
      <c r="B462" s="16">
        <v>12.0</v>
      </c>
      <c r="C462" s="16">
        <v>0.0</v>
      </c>
      <c r="D462" s="16">
        <v>0.0</v>
      </c>
      <c r="E462" s="16">
        <v>0.0</v>
      </c>
      <c r="F462" s="16">
        <v>0.0</v>
      </c>
      <c r="G462" s="18">
        <v>0.0</v>
      </c>
      <c r="H462" s="16" t="s">
        <v>349</v>
      </c>
      <c r="I462" s="19">
        <f t="shared" ref="I462:J462" si="461">round(D462*$A462,0)</f>
        <v>0</v>
      </c>
      <c r="J462" s="19">
        <f t="shared" si="461"/>
        <v>0</v>
      </c>
    </row>
    <row r="463" ht="22.5" customHeight="1">
      <c r="A463" s="16">
        <v>4.0</v>
      </c>
      <c r="B463" s="16">
        <v>15.0</v>
      </c>
      <c r="C463" s="16">
        <v>0.0</v>
      </c>
      <c r="D463" s="16">
        <v>0.0</v>
      </c>
      <c r="E463" s="16">
        <v>0.0</v>
      </c>
      <c r="F463" s="16">
        <v>0.0</v>
      </c>
      <c r="G463" s="18">
        <v>0.0</v>
      </c>
      <c r="H463" s="16" t="s">
        <v>193</v>
      </c>
      <c r="I463" s="19">
        <f t="shared" ref="I463:J463" si="462">round(D463*$A463,0)</f>
        <v>0</v>
      </c>
      <c r="J463" s="19">
        <f t="shared" si="462"/>
        <v>0</v>
      </c>
    </row>
  </sheetData>
  <drawing r:id="rId1"/>
  <tableParts count="1">
    <tablePart r:id="rId3"/>
  </tableParts>
</worksheet>
</file>