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iss Groups" sheetId="1" r:id="rId5"/>
    <sheet state="visible" name="Jester Swiss" sheetId="2" r:id="rId6"/>
    <sheet state="visible" name="Kins Swiss" sheetId="3" r:id="rId7"/>
    <sheet state="visible" name="Aggregate Table" sheetId="4" r:id="rId8"/>
    <sheet state="visible" name="Advancing Teams" sheetId="5" r:id="rId9"/>
    <sheet state="visible" name="DE Bracket" sheetId="6" r:id="rId10"/>
  </sheets>
  <definedNames/>
  <calcPr/>
</workbook>
</file>

<file path=xl/sharedStrings.xml><?xml version="1.0" encoding="utf-8"?>
<sst xmlns="http://schemas.openxmlformats.org/spreadsheetml/2006/main" count="806" uniqueCount="184">
  <si>
    <t>Jester</t>
  </si>
  <si>
    <t>Team 1</t>
  </si>
  <si>
    <t>Kins</t>
  </si>
  <si>
    <t>TIMES IN CST</t>
  </si>
  <si>
    <t>Team 2</t>
  </si>
  <si>
    <t>NoHo 1</t>
  </si>
  <si>
    <t>Team</t>
  </si>
  <si>
    <t>Wins</t>
  </si>
  <si>
    <t>Draws</t>
  </si>
  <si>
    <t>Blair</t>
  </si>
  <si>
    <t>Losses</t>
  </si>
  <si>
    <t>GAME 1: 9:15 AM</t>
  </si>
  <si>
    <t>PPG</t>
  </si>
  <si>
    <t>Davidson Academy</t>
  </si>
  <si>
    <t>BISV 1</t>
  </si>
  <si>
    <t>GAME 2: 10:15 AM</t>
  </si>
  <si>
    <t>Palo Alto</t>
  </si>
  <si>
    <t>Index</t>
  </si>
  <si>
    <t>ASFA</t>
  </si>
  <si>
    <t>GAME 3: 10:55 AM</t>
  </si>
  <si>
    <t>TJ</t>
  </si>
  <si>
    <t>Rank</t>
  </si>
  <si>
    <t>WWPS 1</t>
  </si>
  <si>
    <t>GAME 4: 11:35 AM</t>
  </si>
  <si>
    <t>Galen 1</t>
  </si>
  <si>
    <t>Enloe</t>
  </si>
  <si>
    <t>SORTED -&gt;</t>
  </si>
  <si>
    <t>GAME 5: 12:25 PM</t>
  </si>
  <si>
    <t>Frazer</t>
  </si>
  <si>
    <t>University</t>
  </si>
  <si>
    <t>VMATHs</t>
  </si>
  <si>
    <t>Eastlake HS</t>
  </si>
  <si>
    <t>WWPS 2</t>
  </si>
  <si>
    <t>Synthase</t>
  </si>
  <si>
    <t>Hebron HS</t>
  </si>
  <si>
    <t>State College Area</t>
  </si>
  <si>
    <t>Bridgeland HS</t>
  </si>
  <si>
    <t>Timberline</t>
  </si>
  <si>
    <t>Research Triangle HS</t>
  </si>
  <si>
    <t>Lubbock</t>
  </si>
  <si>
    <t>Green Hope HS</t>
  </si>
  <si>
    <t>Collierville</t>
  </si>
  <si>
    <t>Camas Papermakers</t>
  </si>
  <si>
    <t>NoHo 2</t>
  </si>
  <si>
    <t>Niskayuna HS</t>
  </si>
  <si>
    <t>The Outliers</t>
  </si>
  <si>
    <t>Mira Loma HS</t>
  </si>
  <si>
    <t>College Park</t>
  </si>
  <si>
    <t>Amador Valley HS</t>
  </si>
  <si>
    <t>Lynbrook</t>
  </si>
  <si>
    <t>Vancomycin</t>
  </si>
  <si>
    <t>Arcadia 2</t>
  </si>
  <si>
    <t>Whitney Young</t>
  </si>
  <si>
    <t>Ward Melville 2</t>
  </si>
  <si>
    <t>BISV 2</t>
  </si>
  <si>
    <t>The Woodlands HS</t>
  </si>
  <si>
    <t>Arcadia 1</t>
  </si>
  <si>
    <t>Gunn Varsity</t>
  </si>
  <si>
    <t>Clements</t>
  </si>
  <si>
    <t>Dulles Dolls 2</t>
  </si>
  <si>
    <t>Princeton HS</t>
  </si>
  <si>
    <t>Galen 2</t>
  </si>
  <si>
    <t>Room 17</t>
  </si>
  <si>
    <t>OCSA</t>
  </si>
  <si>
    <t>Phoenix</t>
  </si>
  <si>
    <t>Plano West</t>
  </si>
  <si>
    <t>Friendswood</t>
  </si>
  <si>
    <t>Chattahoochee HS</t>
  </si>
  <si>
    <t>LeBroncos</t>
  </si>
  <si>
    <t>Seven Lakes</t>
  </si>
  <si>
    <t>ENHS</t>
  </si>
  <si>
    <t>The Catalysts</t>
  </si>
  <si>
    <t>Elkins HS</t>
  </si>
  <si>
    <t>Dulles Dolls 1</t>
  </si>
  <si>
    <t>Harvard-Westlake</t>
  </si>
  <si>
    <t>Clemens HS</t>
  </si>
  <si>
    <t>American Heritage Broward</t>
  </si>
  <si>
    <t>SciTech Dragons</t>
  </si>
  <si>
    <t>Naperville North</t>
  </si>
  <si>
    <t>Ward Melville 1</t>
  </si>
  <si>
    <t>Lexington</t>
  </si>
  <si>
    <t>Advancing Teams</t>
  </si>
  <si>
    <t>Room 1</t>
  </si>
  <si>
    <t>Ready for Brackets?</t>
  </si>
  <si>
    <t>TX ONLY -&gt;</t>
  </si>
  <si>
    <t>Overall Rank</t>
  </si>
  <si>
    <t>YEAH</t>
  </si>
  <si>
    <t>Team Name</t>
  </si>
  <si>
    <t>Agg. Rank</t>
  </si>
  <si>
    <t>i think</t>
  </si>
  <si>
    <t>Bridgeland</t>
  </si>
  <si>
    <t>Elkins</t>
  </si>
  <si>
    <t>Room 18</t>
  </si>
  <si>
    <t>Room 19</t>
  </si>
  <si>
    <t>The Woodlands</t>
  </si>
  <si>
    <t>Room 20</t>
  </si>
  <si>
    <t>Room 2</t>
  </si>
  <si>
    <t>Room 21</t>
  </si>
  <si>
    <t>Room 22</t>
  </si>
  <si>
    <t>Room 3</t>
  </si>
  <si>
    <t>Hebron</t>
  </si>
  <si>
    <t>Amador Valley</t>
  </si>
  <si>
    <t>Eastlake</t>
  </si>
  <si>
    <t>Room 23</t>
  </si>
  <si>
    <t>Room 4</t>
  </si>
  <si>
    <t>Room 24</t>
  </si>
  <si>
    <t>Room 5</t>
  </si>
  <si>
    <t>Room 25</t>
  </si>
  <si>
    <t>Princeton</t>
  </si>
  <si>
    <t>Room 6</t>
  </si>
  <si>
    <t>Room 26</t>
  </si>
  <si>
    <t>Room 27</t>
  </si>
  <si>
    <t>Room 7</t>
  </si>
  <si>
    <t>Chattahoochee</t>
  </si>
  <si>
    <t>Room 28</t>
  </si>
  <si>
    <t>Room 8</t>
  </si>
  <si>
    <t>Room 29</t>
  </si>
  <si>
    <t>Room 9</t>
  </si>
  <si>
    <t>Room 30</t>
  </si>
  <si>
    <t>Room 10</t>
  </si>
  <si>
    <t>Room 31</t>
  </si>
  <si>
    <t>Mira Loma</t>
  </si>
  <si>
    <t>Room 32</t>
  </si>
  <si>
    <t>Research Triangle</t>
  </si>
  <si>
    <t>Room 11</t>
  </si>
  <si>
    <t>Green Hope</t>
  </si>
  <si>
    <t>Room 12</t>
  </si>
  <si>
    <t>Niskayuna</t>
  </si>
  <si>
    <t>Room 13</t>
  </si>
  <si>
    <t>Room 14</t>
  </si>
  <si>
    <t>Room 15</t>
  </si>
  <si>
    <t>Room 16</t>
  </si>
  <si>
    <t>Credit to:</t>
  </si>
  <si>
    <t>DE1</t>
  </si>
  <si>
    <t>DE2</t>
  </si>
  <si>
    <t>DE3</t>
  </si>
  <si>
    <t>DE4</t>
  </si>
  <si>
    <t>DE5</t>
  </si>
  <si>
    <t>DE6</t>
  </si>
  <si>
    <t>DE7</t>
  </si>
  <si>
    <t>Finals 1/2</t>
  </si>
  <si>
    <t>- BSB</t>
  </si>
  <si>
    <t>Teams in Orange</t>
  </si>
  <si>
    <t>- Challonge</t>
  </si>
  <si>
    <t>G1 Room 1</t>
  </si>
  <si>
    <t>Scores in Gray</t>
  </si>
  <si>
    <t>Times in CST</t>
  </si>
  <si>
    <t>G13 Room 1</t>
  </si>
  <si>
    <t>G2 Room 2</t>
  </si>
  <si>
    <t>G23 Room 1</t>
  </si>
  <si>
    <t>G3 Room 3</t>
  </si>
  <si>
    <t>G14 Room 2</t>
  </si>
  <si>
    <t>G4 Room 4</t>
  </si>
  <si>
    <t>G28 Room 1</t>
  </si>
  <si>
    <t>G5 Room 5</t>
  </si>
  <si>
    <t>G15 Room 3</t>
  </si>
  <si>
    <t>G6 Room 6</t>
  </si>
  <si>
    <t>G24 Room 2</t>
  </si>
  <si>
    <t>G7 Room 7</t>
  </si>
  <si>
    <t>G30 + G31 Room 1</t>
  </si>
  <si>
    <t>Winner:</t>
  </si>
  <si>
    <t>G16 Room 4</t>
  </si>
  <si>
    <t>G8 Room 8</t>
  </si>
  <si>
    <t>L23</t>
  </si>
  <si>
    <t>L28</t>
  </si>
  <si>
    <t>L16</t>
  </si>
  <si>
    <t>G20 Room 1</t>
  </si>
  <si>
    <t>G25 Room 1</t>
  </si>
  <si>
    <t>G9 Room 5</t>
  </si>
  <si>
    <t>G29 Room 1</t>
  </si>
  <si>
    <t>G22 Room 3</t>
  </si>
  <si>
    <t>L15</t>
  </si>
  <si>
    <t>G19 Room 2</t>
  </si>
  <si>
    <t>G27 Room 2</t>
  </si>
  <si>
    <t>G10 Room 6</t>
  </si>
  <si>
    <t>L24</t>
  </si>
  <si>
    <t>L14</t>
  </si>
  <si>
    <t>G18 Room 3</t>
  </si>
  <si>
    <t>G26 Room 2</t>
  </si>
  <si>
    <t>G11 Room 7</t>
  </si>
  <si>
    <t>G21 Room 4</t>
  </si>
  <si>
    <t>L13</t>
  </si>
  <si>
    <t>G17 Room 4</t>
  </si>
  <si>
    <t>G12 Room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</si>
</sst>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0">
    <font>
      <sz val="10.0"/>
      <color rgb="FF000000"/>
      <name val="Arial"/>
      <scheme val="minor"/>
    </font>
    <font>
      <b/>
      <sz val="12.0"/>
      <color theme="1"/>
      <name val="Cambria Math"/>
    </font>
    <font>
      <sz val="12.0"/>
      <color theme="1"/>
      <name val="Cambria Math"/>
    </font>
    <font>
      <b/>
      <i/>
      <sz val="12.0"/>
      <color theme="1"/>
      <name val="Cambria Math"/>
    </font>
    <font>
      <b/>
      <u/>
      <sz val="12.0"/>
      <color theme="1"/>
      <name val="Cambria Math"/>
    </font>
    <font>
      <b/>
      <i/>
      <sz val="14.0"/>
      <color theme="1"/>
      <name val="Cambria Math"/>
    </font>
    <font>
      <sz val="12.0"/>
      <color rgb="FF000000"/>
      <name val="Cambria Math"/>
    </font>
    <font>
      <u/>
      <sz val="14.0"/>
      <color theme="1"/>
      <name val="Cambria Math"/>
    </font>
    <font>
      <sz val="14.0"/>
      <color theme="1"/>
      <name val="Cambria Math"/>
    </font>
    <font>
      <u/>
      <sz val="14.0"/>
      <color theme="1"/>
      <name val="Cambria Math"/>
    </font>
    <font>
      <u/>
      <sz val="12.0"/>
      <color theme="1"/>
      <name val="Cambria Math"/>
    </font>
    <font>
      <i/>
      <sz val="12.0"/>
      <color theme="1"/>
      <name val="Cambria Math"/>
    </font>
    <font>
      <u/>
      <sz val="12.0"/>
      <color rgb="FF9B3642"/>
      <name val="Cambria Math"/>
    </font>
    <font>
      <u/>
      <sz val="12.0"/>
      <color rgb="FFCC0000"/>
      <name val="Cambria Math"/>
    </font>
    <font>
      <u/>
      <sz val="12.0"/>
      <color rgb="FF6AA84F"/>
      <name val="Cambria Math"/>
    </font>
    <font>
      <u/>
      <sz val="12.0"/>
      <color rgb="FF3D85C6"/>
      <name val="Cambria Math"/>
    </font>
    <font>
      <u/>
      <sz val="12.0"/>
      <color rgb="FF5B3F86"/>
      <name val="Cambria Math"/>
    </font>
    <font>
      <u/>
      <sz val="12.0"/>
      <color rgb="FFE69138"/>
      <name val="Cambria Math"/>
    </font>
    <font>
      <u/>
      <sz val="12.0"/>
      <color rgb="FF356854"/>
      <name val="Cambria Math"/>
    </font>
    <font>
      <u/>
      <sz val="12.0"/>
      <color rgb="FF535FC1"/>
      <name val="Cambria Math"/>
    </font>
  </fonts>
  <fills count="1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B45F06"/>
        <bgColor rgb="FFB45F06"/>
      </patternFill>
    </fill>
    <fill>
      <patternFill patternType="solid">
        <fgColor rgb="FFEFEFEF"/>
        <bgColor rgb="FFEFEFE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bottom style="dotted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1" fillId="0" fontId="2" numFmtId="0" xfId="0" applyBorder="1" applyFont="1"/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6" fontId="2" numFmtId="0" xfId="0" applyAlignment="1" applyFill="1" applyFont="1">
      <alignment readingOrder="0"/>
    </xf>
    <xf borderId="0" fillId="6" fontId="2" numFmtId="0" xfId="0" applyFill="1" applyFont="1"/>
    <xf borderId="0" fillId="0" fontId="2" numFmtId="0" xfId="0" applyFont="1"/>
    <xf borderId="0" fillId="6" fontId="2" numFmtId="2" xfId="0" applyFill="1" applyFont="1" applyNumberFormat="1"/>
    <xf borderId="0" fillId="0" fontId="2" numFmtId="2" xfId="0" applyFont="1" applyNumberFormat="1"/>
    <xf borderId="0" fillId="7" fontId="2" numFmtId="0" xfId="0" applyAlignment="1" applyFill="1" applyFont="1">
      <alignment readingOrder="0"/>
    </xf>
    <xf borderId="0" fillId="7" fontId="2" numFmtId="0" xfId="0" applyFill="1" applyFont="1"/>
    <xf borderId="0" fillId="7" fontId="2" numFmtId="2" xfId="0" applyFill="1" applyFont="1" applyNumberFormat="1"/>
    <xf borderId="0" fillId="0" fontId="6" numFmtId="0" xfId="0" applyFont="1"/>
    <xf borderId="0" fillId="8" fontId="2" numFmtId="0" xfId="0" applyFill="1" applyFont="1"/>
    <xf borderId="0" fillId="8" fontId="2" numFmtId="0" xfId="0" applyAlignment="1" applyFill="1" applyFont="1">
      <alignment horizontal="right"/>
    </xf>
    <xf borderId="0" fillId="8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7" numFmtId="164" xfId="0" applyAlignment="1" applyFont="1" applyNumberForma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horizontal="right" readingOrder="0" vertical="bottom"/>
    </xf>
    <xf borderId="2" fillId="9" fontId="2" numFmtId="1" xfId="0" applyAlignment="1" applyBorder="1" applyFill="1" applyFont="1" applyNumberFormat="1">
      <alignment vertical="bottom"/>
    </xf>
    <xf borderId="2" fillId="10" fontId="2" numFmtId="0" xfId="0" applyAlignment="1" applyBorder="1" applyFill="1" applyFont="1">
      <alignment horizontal="right" readingOrder="0"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3" fillId="0" fontId="2" numFmtId="0" xfId="0" applyAlignment="1" applyBorder="1" applyFont="1">
      <alignment vertical="bottom"/>
    </xf>
    <xf borderId="2" fillId="9" fontId="2" numFmtId="1" xfId="0" applyAlignment="1" applyBorder="1" applyFill="1" applyFont="1" applyNumberForma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4" fillId="10" fontId="2" numFmtId="0" xfId="0" applyAlignment="1" applyBorder="1" applyFill="1" applyFont="1">
      <alignment horizontal="right" readingOrder="0" vertical="bottom"/>
    </xf>
    <xf borderId="0" fillId="0" fontId="13" numFmtId="0" xfId="0" applyAlignment="1" applyFont="1">
      <alignment readingOrder="0" vertical="bottom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0" fillId="0" fontId="14" numFmtId="0" xfId="0" applyAlignment="1" applyFont="1">
      <alignment readingOrder="0" vertical="bottom"/>
    </xf>
    <xf borderId="0" fillId="0" fontId="2" numFmtId="1" xfId="0" applyAlignment="1" applyFont="1" applyNumberFormat="1">
      <alignment vertical="bottom"/>
    </xf>
    <xf borderId="0" fillId="0" fontId="15" numFmtId="0" xfId="0" applyAlignment="1" applyFont="1">
      <alignment readingOrder="0" vertical="bottom"/>
    </xf>
    <xf borderId="2" fillId="11" fontId="2" numFmtId="0" xfId="0" applyAlignment="1" applyBorder="1" applyFill="1" applyFont="1">
      <alignment horizontal="right" readingOrder="0" vertical="bottom"/>
    </xf>
    <xf borderId="2" fillId="12" fontId="2" numFmtId="1" xfId="0" applyAlignment="1" applyBorder="1" applyFill="1" applyFont="1" applyNumberFormat="1">
      <alignment readingOrder="0" vertical="bottom"/>
    </xf>
    <xf borderId="2" fillId="12" fontId="2" numFmtId="1" xfId="0" applyAlignment="1" applyBorder="1" applyFill="1" applyFont="1" applyNumberFormat="1">
      <alignment vertical="bottom"/>
    </xf>
    <xf borderId="0" fillId="0" fontId="16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2" fillId="3" fontId="2" numFmtId="1" xfId="0" applyAlignment="1" applyBorder="1" applyFill="1" applyFont="1" applyNumberFormat="1">
      <alignment vertical="bottom"/>
    </xf>
    <xf borderId="2" fillId="13" fontId="2" numFmtId="0" xfId="0" applyAlignment="1" applyBorder="1" applyFill="1" applyFont="1">
      <alignment horizontal="right" readingOrder="0" vertical="bottom"/>
    </xf>
    <xf borderId="0" fillId="0" fontId="11" numFmtId="0" xfId="0" applyAlignment="1" applyFont="1">
      <alignment vertical="bottom"/>
    </xf>
    <xf borderId="2" fillId="0" fontId="2" numFmtId="0" xfId="0" applyAlignment="1" applyBorder="1" applyFont="1">
      <alignment horizontal="right"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4" fillId="13" fontId="2" numFmtId="0" xfId="0" applyAlignment="1" applyBorder="1" applyFill="1" applyFont="1">
      <alignment horizontal="right" readingOrder="0" vertical="bottom"/>
    </xf>
    <xf borderId="0" fillId="0" fontId="19" numFmtId="0" xfId="0" applyAlignment="1" applyFont="1">
      <alignment readingOrder="0" vertical="bottom"/>
    </xf>
    <xf borderId="2" fillId="3" fontId="2" numFmtId="1" xfId="0" applyAlignment="1" applyBorder="1" applyFill="1" applyFont="1" applyNumberFormat="1">
      <alignment readingOrder="0" vertical="bottom"/>
    </xf>
    <xf borderId="4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31.38"/>
  </cols>
  <sheetData>
    <row r="1">
      <c r="A1" s="1" t="s">
        <v>0</v>
      </c>
      <c r="B1" s="1" t="s">
        <v>2</v>
      </c>
      <c r="C1" s="3" t="s">
        <v>3</v>
      </c>
    </row>
    <row r="2">
      <c r="A2" s="4" t="s">
        <v>5</v>
      </c>
      <c r="B2" s="4" t="s">
        <v>9</v>
      </c>
      <c r="C2" s="5" t="s">
        <v>11</v>
      </c>
    </row>
    <row r="3">
      <c r="A3" s="4" t="s">
        <v>13</v>
      </c>
      <c r="B3" s="4" t="s">
        <v>14</v>
      </c>
      <c r="C3" s="5" t="s">
        <v>15</v>
      </c>
    </row>
    <row r="4">
      <c r="A4" s="4" t="s">
        <v>16</v>
      </c>
      <c r="B4" s="4" t="s">
        <v>18</v>
      </c>
      <c r="C4" s="5" t="s">
        <v>19</v>
      </c>
    </row>
    <row r="5">
      <c r="A5" s="4" t="s">
        <v>20</v>
      </c>
      <c r="B5" s="4" t="s">
        <v>22</v>
      </c>
      <c r="C5" s="5" t="s">
        <v>23</v>
      </c>
    </row>
    <row r="6">
      <c r="A6" s="4" t="s">
        <v>24</v>
      </c>
      <c r="B6" s="4" t="s">
        <v>25</v>
      </c>
      <c r="C6" s="5" t="s">
        <v>27</v>
      </c>
    </row>
    <row r="7">
      <c r="A7" s="4" t="s">
        <v>28</v>
      </c>
      <c r="B7" s="4" t="s">
        <v>29</v>
      </c>
      <c r="C7" s="2"/>
    </row>
    <row r="8">
      <c r="A8" s="4" t="s">
        <v>30</v>
      </c>
      <c r="B8" s="4" t="s">
        <v>31</v>
      </c>
      <c r="C8" s="2"/>
    </row>
    <row r="9">
      <c r="A9" s="4" t="s">
        <v>32</v>
      </c>
      <c r="B9" s="4" t="s">
        <v>33</v>
      </c>
      <c r="C9" s="2"/>
    </row>
    <row r="10">
      <c r="A10" s="4" t="s">
        <v>34</v>
      </c>
      <c r="B10" s="4" t="s">
        <v>35</v>
      </c>
      <c r="C10" s="2"/>
    </row>
    <row r="11">
      <c r="A11" s="4" t="s">
        <v>36</v>
      </c>
      <c r="B11" s="4" t="s">
        <v>37</v>
      </c>
      <c r="C11" s="2"/>
    </row>
    <row r="12">
      <c r="A12" s="4" t="s">
        <v>38</v>
      </c>
      <c r="B12" s="4" t="s">
        <v>39</v>
      </c>
      <c r="C12" s="2"/>
    </row>
    <row r="13">
      <c r="A13" s="4" t="s">
        <v>40</v>
      </c>
      <c r="B13" s="4" t="s">
        <v>41</v>
      </c>
      <c r="C13" s="2"/>
    </row>
    <row r="14">
      <c r="A14" s="4" t="s">
        <v>42</v>
      </c>
      <c r="B14" s="4" t="s">
        <v>43</v>
      </c>
      <c r="C14" s="2"/>
    </row>
    <row r="15">
      <c r="A15" s="4" t="s">
        <v>44</v>
      </c>
      <c r="B15" s="4" t="s">
        <v>45</v>
      </c>
      <c r="C15" s="2"/>
    </row>
    <row r="16">
      <c r="A16" s="4" t="s">
        <v>46</v>
      </c>
      <c r="B16" s="4" t="s">
        <v>47</v>
      </c>
      <c r="C16" s="2"/>
    </row>
    <row r="17">
      <c r="A17" s="4" t="s">
        <v>48</v>
      </c>
      <c r="B17" s="4" t="s">
        <v>49</v>
      </c>
      <c r="C17" s="2"/>
    </row>
    <row r="18">
      <c r="A18" s="4" t="s">
        <v>50</v>
      </c>
      <c r="B18" s="4" t="s">
        <v>51</v>
      </c>
      <c r="C18" s="2"/>
    </row>
    <row r="19">
      <c r="A19" s="4" t="s">
        <v>52</v>
      </c>
      <c r="B19" s="4" t="s">
        <v>53</v>
      </c>
      <c r="C19" s="2"/>
    </row>
    <row r="20">
      <c r="A20" s="4" t="s">
        <v>54</v>
      </c>
      <c r="B20" s="4" t="s">
        <v>55</v>
      </c>
      <c r="C20" s="2"/>
    </row>
    <row r="21">
      <c r="A21" s="4" t="s">
        <v>56</v>
      </c>
      <c r="B21" s="4" t="s">
        <v>57</v>
      </c>
      <c r="C21" s="2"/>
    </row>
    <row r="22">
      <c r="A22" s="4" t="s">
        <v>58</v>
      </c>
      <c r="B22" s="4" t="s">
        <v>59</v>
      </c>
      <c r="C22" s="2"/>
    </row>
    <row r="23">
      <c r="A23" s="4" t="s">
        <v>60</v>
      </c>
      <c r="B23" s="4" t="s">
        <v>61</v>
      </c>
      <c r="C23" s="2"/>
    </row>
    <row r="24">
      <c r="A24" s="4" t="s">
        <v>63</v>
      </c>
      <c r="B24" s="4" t="s">
        <v>64</v>
      </c>
      <c r="C24" s="2"/>
    </row>
    <row r="25">
      <c r="A25" s="4" t="s">
        <v>65</v>
      </c>
      <c r="B25" s="4" t="s">
        <v>66</v>
      </c>
      <c r="C25" s="2"/>
    </row>
    <row r="26">
      <c r="A26" s="4" t="s">
        <v>67</v>
      </c>
      <c r="B26" s="4" t="s">
        <v>68</v>
      </c>
      <c r="C26" s="2"/>
    </row>
    <row r="27">
      <c r="A27" s="4" t="s">
        <v>69</v>
      </c>
      <c r="B27" s="4" t="s">
        <v>70</v>
      </c>
      <c r="C27" s="2"/>
    </row>
    <row r="28">
      <c r="A28" s="4" t="s">
        <v>71</v>
      </c>
      <c r="B28" s="4" t="s">
        <v>72</v>
      </c>
      <c r="C28" s="2"/>
    </row>
    <row r="29">
      <c r="A29" s="4" t="s">
        <v>73</v>
      </c>
      <c r="B29" s="4" t="s">
        <v>74</v>
      </c>
      <c r="C29" s="2"/>
    </row>
    <row r="30">
      <c r="A30" s="4" t="s">
        <v>75</v>
      </c>
      <c r="B30" s="4" t="s">
        <v>76</v>
      </c>
      <c r="C30" s="2"/>
    </row>
    <row r="31">
      <c r="A31" s="4" t="s">
        <v>77</v>
      </c>
      <c r="B31" s="4" t="s">
        <v>78</v>
      </c>
      <c r="C31" s="2"/>
    </row>
    <row r="32">
      <c r="A32" s="4" t="s">
        <v>79</v>
      </c>
      <c r="B32" s="11"/>
      <c r="C32" s="2"/>
    </row>
    <row r="33">
      <c r="A33" s="4" t="s">
        <v>80</v>
      </c>
      <c r="B33" s="11"/>
      <c r="C3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4" max="4" width="23.25"/>
    <col customWidth="1" min="9" max="9" width="21.75"/>
    <col customWidth="1" min="18" max="18" width="17.88"/>
  </cols>
  <sheetData>
    <row r="1">
      <c r="A1" s="1" t="s">
        <v>1</v>
      </c>
      <c r="B1" s="2"/>
      <c r="C1" s="2"/>
      <c r="D1" s="1" t="s">
        <v>4</v>
      </c>
      <c r="E1" s="10"/>
      <c r="F1" s="2"/>
      <c r="G1" s="2"/>
      <c r="H1" s="2"/>
      <c r="I1" s="1" t="s">
        <v>6</v>
      </c>
      <c r="J1" s="1" t="s">
        <v>7</v>
      </c>
      <c r="K1" s="1" t="s">
        <v>8</v>
      </c>
      <c r="L1" s="1" t="s">
        <v>10</v>
      </c>
      <c r="M1" s="1" t="s">
        <v>12</v>
      </c>
      <c r="N1" s="1" t="s">
        <v>17</v>
      </c>
      <c r="O1" s="1" t="s">
        <v>21</v>
      </c>
      <c r="P1" s="2"/>
      <c r="Q1" s="6" t="s">
        <v>26</v>
      </c>
      <c r="R1" s="1" t="s">
        <v>6</v>
      </c>
      <c r="S1" s="1" t="s">
        <v>7</v>
      </c>
      <c r="T1" s="1" t="s">
        <v>8</v>
      </c>
      <c r="U1" s="1" t="s">
        <v>10</v>
      </c>
      <c r="V1" s="1" t="s">
        <v>12</v>
      </c>
      <c r="W1" s="1" t="s">
        <v>17</v>
      </c>
      <c r="X1" s="1" t="s">
        <v>21</v>
      </c>
      <c r="Y1" s="2"/>
      <c r="Z1" s="2"/>
      <c r="AA1" s="2"/>
    </row>
    <row r="2">
      <c r="A2" s="5" t="s">
        <v>5</v>
      </c>
      <c r="B2" s="12">
        <v>122.0</v>
      </c>
      <c r="C2" s="13">
        <v>56.0</v>
      </c>
      <c r="D2" s="5" t="s">
        <v>50</v>
      </c>
      <c r="E2" s="9" t="s">
        <v>82</v>
      </c>
      <c r="F2" s="2"/>
      <c r="G2" s="2"/>
      <c r="H2" s="2"/>
      <c r="I2" s="2" t="str">
        <f>IFERROR(__xludf.DUMMYFUNCTION("UNIQUE(FLATTEN({A2:A17,D2:D17}))"),"NoHo 1")</f>
        <v>NoHo 1</v>
      </c>
      <c r="J2" s="2">
        <f t="shared" ref="J2:J33" si="1">SUMPRODUCT(($A$2:$A$1002=I2)*($B$2:$B$1002&gt;$C$2:$C$1002))+SUMPRODUCT(($D$2:$D$1002=I2)*($C$2:$C$1002&gt;$B$2:$B$1002))</f>
        <v>5</v>
      </c>
      <c r="K2" s="2">
        <f t="shared" ref="K2:K33" si="2">SUMPRODUCT(($A$2:$A$1002=I2)*($B$2:$B$1002=$C$2:$C$1002)*ISNUMBER($B$2:$B$1002)*ISNUMBER($C$2:$C$1002))
+SUMPRODUCT(($D$2:$D$1002=I2)*($C$2:$C$1002=$B$2:$B$1002)*ISNUMBER($C$2:$C$1002)*ISNUMBER($B$2:$B$1002))</f>
        <v>0</v>
      </c>
      <c r="L2" s="2">
        <f t="shared" ref="L2:L33" si="3">SUMPRODUCT(($A$2:$A$1002=I2)*($B$2:$B$1002&lt;$C$2:$C$1002))+SUMPRODUCT(($D$2:$D$1002=I2)*($C$2:$C$1002&lt;$B$2:$B$1002))</f>
        <v>0</v>
      </c>
      <c r="M2" s="20">
        <f t="shared" ref="M2:M33" si="4">IFERROR(SUMPRODUCT(($A$2:$A$1002=I2)*$B$2:$B$1002 + ($D$2:$D$1002=I2)*$C$2:$C$1002)/SUMPRODUCT(($A$2:$A$1002=I2) + ($D$2:$D$1002=I2)),"")</f>
        <v>115.6</v>
      </c>
      <c r="N2" s="20">
        <f t="shared" ref="N2:N33" si="5">1000*(J2*2+K2)+M2</f>
        <v>10115.6</v>
      </c>
      <c r="O2" s="2">
        <f t="shared" ref="O2:O33" si="6">RANK(N2,$N$2:$N$33)</f>
        <v>1</v>
      </c>
      <c r="P2" s="2"/>
      <c r="Q2" s="2"/>
      <c r="R2" s="2" t="s">
        <v>5</v>
      </c>
      <c r="S2" s="2">
        <v>5.0</v>
      </c>
      <c r="T2" s="2">
        <v>0.0</v>
      </c>
      <c r="U2" s="2">
        <v>0.0</v>
      </c>
      <c r="V2" s="20">
        <v>115.6</v>
      </c>
      <c r="W2" s="20">
        <v>10115.6</v>
      </c>
      <c r="X2" s="2">
        <v>1.0</v>
      </c>
      <c r="Y2" s="2"/>
      <c r="Z2" s="2"/>
      <c r="AA2" s="2"/>
    </row>
    <row r="3">
      <c r="A3" s="5" t="s">
        <v>13</v>
      </c>
      <c r="B3" s="12">
        <v>126.0</v>
      </c>
      <c r="C3" s="13">
        <v>86.0</v>
      </c>
      <c r="D3" s="5" t="s">
        <v>52</v>
      </c>
      <c r="E3" s="9" t="s">
        <v>96</v>
      </c>
      <c r="F3" s="2"/>
      <c r="G3" s="2"/>
      <c r="H3" s="2"/>
      <c r="I3" s="2" t="str">
        <f>IFERROR(__xludf.DUMMYFUNCTION("""COMPUTED_VALUE"""),"Vancomycin")</f>
        <v>Vancomycin</v>
      </c>
      <c r="J3" s="2">
        <f t="shared" si="1"/>
        <v>2</v>
      </c>
      <c r="K3" s="2">
        <f t="shared" si="2"/>
        <v>0</v>
      </c>
      <c r="L3" s="2">
        <f t="shared" si="3"/>
        <v>3</v>
      </c>
      <c r="M3" s="20">
        <f t="shared" si="4"/>
        <v>33.2</v>
      </c>
      <c r="N3" s="20">
        <f t="shared" si="5"/>
        <v>4033.2</v>
      </c>
      <c r="O3" s="2">
        <f t="shared" si="6"/>
        <v>26</v>
      </c>
      <c r="P3" s="2"/>
      <c r="Q3" s="2"/>
      <c r="R3" s="2" t="s">
        <v>24</v>
      </c>
      <c r="S3" s="2">
        <v>4.0</v>
      </c>
      <c r="T3" s="2">
        <v>0.0</v>
      </c>
      <c r="U3" s="2">
        <v>1.0</v>
      </c>
      <c r="V3" s="20">
        <v>130.4</v>
      </c>
      <c r="W3" s="20">
        <v>8130.4</v>
      </c>
      <c r="X3" s="2">
        <v>2.0</v>
      </c>
      <c r="Y3" s="2"/>
      <c r="Z3" s="2"/>
      <c r="AA3" s="2"/>
    </row>
    <row r="4">
      <c r="A4" s="5" t="s">
        <v>16</v>
      </c>
      <c r="B4" s="12">
        <v>90.0</v>
      </c>
      <c r="C4" s="13">
        <v>106.0</v>
      </c>
      <c r="D4" s="5" t="s">
        <v>54</v>
      </c>
      <c r="E4" s="9" t="s">
        <v>99</v>
      </c>
      <c r="F4" s="2"/>
      <c r="G4" s="2"/>
      <c r="H4" s="2"/>
      <c r="I4" s="2" t="str">
        <f>IFERROR(__xludf.DUMMYFUNCTION("""COMPUTED_VALUE"""),"Davidson Academy")</f>
        <v>Davidson Academy</v>
      </c>
      <c r="J4" s="2">
        <f t="shared" si="1"/>
        <v>4</v>
      </c>
      <c r="K4" s="2">
        <f t="shared" si="2"/>
        <v>0</v>
      </c>
      <c r="L4" s="2">
        <f t="shared" si="3"/>
        <v>1</v>
      </c>
      <c r="M4" s="20">
        <f t="shared" si="4"/>
        <v>92.4</v>
      </c>
      <c r="N4" s="20">
        <f t="shared" si="5"/>
        <v>8092.4</v>
      </c>
      <c r="O4" s="2">
        <f t="shared" si="6"/>
        <v>5</v>
      </c>
      <c r="P4" s="2"/>
      <c r="Q4" s="2"/>
      <c r="R4" s="2" t="s">
        <v>79</v>
      </c>
      <c r="S4" s="2">
        <v>4.0</v>
      </c>
      <c r="T4" s="2">
        <v>0.0</v>
      </c>
      <c r="U4" s="2">
        <v>1.0</v>
      </c>
      <c r="V4" s="20">
        <v>98.8</v>
      </c>
      <c r="W4" s="20">
        <v>8098.8</v>
      </c>
      <c r="X4" s="2">
        <v>3.0</v>
      </c>
      <c r="Y4" s="2"/>
      <c r="Z4" s="2"/>
      <c r="AA4" s="2"/>
    </row>
    <row r="5">
      <c r="A5" s="5" t="s">
        <v>20</v>
      </c>
      <c r="B5" s="12">
        <v>132.0</v>
      </c>
      <c r="C5" s="13">
        <v>48.0</v>
      </c>
      <c r="D5" s="5" t="s">
        <v>56</v>
      </c>
      <c r="E5" s="9" t="s">
        <v>104</v>
      </c>
      <c r="F5" s="2"/>
      <c r="G5" s="2"/>
      <c r="H5" s="2"/>
      <c r="I5" s="2" t="str">
        <f>IFERROR(__xludf.DUMMYFUNCTION("""COMPUTED_VALUE"""),"Whitney Young")</f>
        <v>Whitney Young</v>
      </c>
      <c r="J5" s="2">
        <f t="shared" si="1"/>
        <v>2</v>
      </c>
      <c r="K5" s="2">
        <f t="shared" si="2"/>
        <v>0</v>
      </c>
      <c r="L5" s="2">
        <f t="shared" si="3"/>
        <v>3</v>
      </c>
      <c r="M5" s="20">
        <f t="shared" si="4"/>
        <v>64.8</v>
      </c>
      <c r="N5" s="20">
        <f t="shared" si="5"/>
        <v>4064.8</v>
      </c>
      <c r="O5" s="2">
        <f t="shared" si="6"/>
        <v>21</v>
      </c>
      <c r="P5" s="2"/>
      <c r="Q5" s="2"/>
      <c r="R5" s="2" t="s">
        <v>73</v>
      </c>
      <c r="S5" s="2">
        <v>4.0</v>
      </c>
      <c r="T5" s="2">
        <v>0.0</v>
      </c>
      <c r="U5" s="2">
        <v>1.0</v>
      </c>
      <c r="V5" s="20">
        <v>93.6</v>
      </c>
      <c r="W5" s="20">
        <v>8093.6</v>
      </c>
      <c r="X5" s="2">
        <v>4.0</v>
      </c>
      <c r="Y5" s="2"/>
      <c r="Z5" s="2"/>
      <c r="AA5" s="2"/>
    </row>
    <row r="6">
      <c r="A6" s="5" t="s">
        <v>24</v>
      </c>
      <c r="B6" s="12">
        <v>160.0</v>
      </c>
      <c r="C6" s="13">
        <v>74.0</v>
      </c>
      <c r="D6" s="5" t="s">
        <v>58</v>
      </c>
      <c r="E6" s="9" t="s">
        <v>106</v>
      </c>
      <c r="F6" s="2"/>
      <c r="G6" s="2"/>
      <c r="H6" s="2"/>
      <c r="I6" s="2" t="str">
        <f>IFERROR(__xludf.DUMMYFUNCTION("""COMPUTED_VALUE"""),"Palo Alto")</f>
        <v>Palo Alto</v>
      </c>
      <c r="J6" s="2">
        <f t="shared" si="1"/>
        <v>2</v>
      </c>
      <c r="K6" s="2">
        <f t="shared" si="2"/>
        <v>0</v>
      </c>
      <c r="L6" s="2">
        <f t="shared" si="3"/>
        <v>3</v>
      </c>
      <c r="M6" s="20">
        <f t="shared" si="4"/>
        <v>83.6</v>
      </c>
      <c r="N6" s="20">
        <f t="shared" si="5"/>
        <v>4083.6</v>
      </c>
      <c r="O6" s="2">
        <f t="shared" si="6"/>
        <v>17</v>
      </c>
      <c r="P6" s="2"/>
      <c r="Q6" s="2"/>
      <c r="R6" s="2" t="s">
        <v>13</v>
      </c>
      <c r="S6" s="2">
        <v>4.0</v>
      </c>
      <c r="T6" s="2">
        <v>0.0</v>
      </c>
      <c r="U6" s="2">
        <v>1.0</v>
      </c>
      <c r="V6" s="20">
        <v>92.4</v>
      </c>
      <c r="W6" s="20">
        <v>8092.4</v>
      </c>
      <c r="X6" s="2">
        <v>5.0</v>
      </c>
      <c r="Y6" s="2"/>
      <c r="Z6" s="2"/>
      <c r="AA6" s="2"/>
    </row>
    <row r="7">
      <c r="A7" s="5" t="s">
        <v>28</v>
      </c>
      <c r="B7" s="12">
        <v>122.0</v>
      </c>
      <c r="C7" s="13">
        <v>66.0</v>
      </c>
      <c r="D7" s="5" t="s">
        <v>108</v>
      </c>
      <c r="E7" s="9" t="s">
        <v>109</v>
      </c>
      <c r="F7" s="2"/>
      <c r="G7" s="2"/>
      <c r="H7" s="2"/>
      <c r="I7" s="2" t="str">
        <f>IFERROR(__xludf.DUMMYFUNCTION("""COMPUTED_VALUE"""),"BISV 2")</f>
        <v>BISV 2</v>
      </c>
      <c r="J7" s="2">
        <f t="shared" si="1"/>
        <v>2</v>
      </c>
      <c r="K7" s="2">
        <f t="shared" si="2"/>
        <v>0</v>
      </c>
      <c r="L7" s="2">
        <f t="shared" si="3"/>
        <v>3</v>
      </c>
      <c r="M7" s="20">
        <f t="shared" si="4"/>
        <v>42.8</v>
      </c>
      <c r="N7" s="20">
        <f t="shared" si="5"/>
        <v>4042.8</v>
      </c>
      <c r="O7" s="2">
        <f t="shared" si="6"/>
        <v>25</v>
      </c>
      <c r="P7" s="2"/>
      <c r="Q7" s="2"/>
      <c r="R7" s="2" t="s">
        <v>28</v>
      </c>
      <c r="S7" s="2">
        <v>4.0</v>
      </c>
      <c r="T7" s="2">
        <v>0.0</v>
      </c>
      <c r="U7" s="2">
        <v>1.0</v>
      </c>
      <c r="V7" s="20">
        <v>91.2</v>
      </c>
      <c r="W7" s="20">
        <v>8091.2</v>
      </c>
      <c r="X7" s="2">
        <v>6.0</v>
      </c>
      <c r="Y7" s="2"/>
      <c r="Z7" s="2"/>
      <c r="AA7" s="2"/>
    </row>
    <row r="8">
      <c r="A8" s="5" t="s">
        <v>30</v>
      </c>
      <c r="B8" s="12">
        <v>82.0</v>
      </c>
      <c r="C8" s="13">
        <v>60.0</v>
      </c>
      <c r="D8" s="5" t="s">
        <v>63</v>
      </c>
      <c r="E8" s="9" t="s">
        <v>112</v>
      </c>
      <c r="F8" s="2"/>
      <c r="G8" s="2"/>
      <c r="H8" s="2"/>
      <c r="I8" s="2" t="str">
        <f>IFERROR(__xludf.DUMMYFUNCTION("""COMPUTED_VALUE"""),"TJ")</f>
        <v>TJ</v>
      </c>
      <c r="J8" s="2">
        <f t="shared" si="1"/>
        <v>3</v>
      </c>
      <c r="K8" s="2">
        <f t="shared" si="2"/>
        <v>0</v>
      </c>
      <c r="L8" s="2">
        <f t="shared" si="3"/>
        <v>2</v>
      </c>
      <c r="M8" s="20">
        <f t="shared" si="4"/>
        <v>88</v>
      </c>
      <c r="N8" s="20">
        <f t="shared" si="5"/>
        <v>6088</v>
      </c>
      <c r="O8" s="2">
        <f t="shared" si="6"/>
        <v>10</v>
      </c>
      <c r="P8" s="2"/>
      <c r="Q8" s="2"/>
      <c r="R8" s="2" t="s">
        <v>90</v>
      </c>
      <c r="S8" s="2">
        <v>3.0</v>
      </c>
      <c r="T8" s="2">
        <v>0.0</v>
      </c>
      <c r="U8" s="2">
        <v>2.0</v>
      </c>
      <c r="V8" s="20">
        <v>106.8</v>
      </c>
      <c r="W8" s="20">
        <v>6106.8</v>
      </c>
      <c r="X8" s="2">
        <v>7.0</v>
      </c>
      <c r="Y8" s="2"/>
      <c r="Z8" s="2"/>
      <c r="AA8" s="2"/>
    </row>
    <row r="9">
      <c r="A9" s="5" t="s">
        <v>32</v>
      </c>
      <c r="B9" s="12">
        <v>74.0</v>
      </c>
      <c r="C9" s="13">
        <v>98.0</v>
      </c>
      <c r="D9" s="5" t="s">
        <v>65</v>
      </c>
      <c r="E9" s="9" t="s">
        <v>115</v>
      </c>
      <c r="F9" s="2"/>
      <c r="G9" s="2"/>
      <c r="H9" s="2"/>
      <c r="I9" s="2" t="str">
        <f>IFERROR(__xludf.DUMMYFUNCTION("""COMPUTED_VALUE"""),"Arcadia 1")</f>
        <v>Arcadia 1</v>
      </c>
      <c r="J9" s="2">
        <f t="shared" si="1"/>
        <v>3</v>
      </c>
      <c r="K9" s="2">
        <f t="shared" si="2"/>
        <v>0</v>
      </c>
      <c r="L9" s="2">
        <f t="shared" si="3"/>
        <v>2</v>
      </c>
      <c r="M9" s="20">
        <f t="shared" si="4"/>
        <v>75.2</v>
      </c>
      <c r="N9" s="20">
        <f t="shared" si="5"/>
        <v>6075.2</v>
      </c>
      <c r="O9" s="2">
        <f t="shared" si="6"/>
        <v>13</v>
      </c>
      <c r="P9" s="2"/>
      <c r="Q9" s="2"/>
      <c r="R9" s="2" t="s">
        <v>101</v>
      </c>
      <c r="S9" s="2">
        <v>3.0</v>
      </c>
      <c r="T9" s="2">
        <v>0.0</v>
      </c>
      <c r="U9" s="2">
        <v>2.0</v>
      </c>
      <c r="V9" s="20">
        <v>105.6</v>
      </c>
      <c r="W9" s="20">
        <v>6105.6</v>
      </c>
      <c r="X9" s="2">
        <v>8.0</v>
      </c>
      <c r="Y9" s="2"/>
      <c r="Z9" s="2"/>
      <c r="AA9" s="2"/>
    </row>
    <row r="10">
      <c r="A10" s="5" t="s">
        <v>100</v>
      </c>
      <c r="B10" s="12">
        <v>50.0</v>
      </c>
      <c r="C10" s="13">
        <v>110.0</v>
      </c>
      <c r="D10" s="5" t="s">
        <v>113</v>
      </c>
      <c r="E10" s="9" t="s">
        <v>117</v>
      </c>
      <c r="F10" s="2"/>
      <c r="G10" s="2"/>
      <c r="H10" s="2"/>
      <c r="I10" s="2" t="str">
        <f>IFERROR(__xludf.DUMMYFUNCTION("""COMPUTED_VALUE"""),"Galen 1")</f>
        <v>Galen 1</v>
      </c>
      <c r="J10" s="2">
        <f t="shared" si="1"/>
        <v>4</v>
      </c>
      <c r="K10" s="2">
        <f t="shared" si="2"/>
        <v>0</v>
      </c>
      <c r="L10" s="2">
        <f t="shared" si="3"/>
        <v>1</v>
      </c>
      <c r="M10" s="20">
        <f t="shared" si="4"/>
        <v>130.4</v>
      </c>
      <c r="N10" s="20">
        <f t="shared" si="5"/>
        <v>8130.4</v>
      </c>
      <c r="O10" s="2">
        <f t="shared" si="6"/>
        <v>2</v>
      </c>
      <c r="P10" s="2"/>
      <c r="Q10" s="2"/>
      <c r="R10" s="2" t="s">
        <v>58</v>
      </c>
      <c r="S10" s="2">
        <v>3.0</v>
      </c>
      <c r="T10" s="2">
        <v>0.0</v>
      </c>
      <c r="U10" s="2">
        <v>2.0</v>
      </c>
      <c r="V10" s="20">
        <v>96.0</v>
      </c>
      <c r="W10" s="20">
        <v>6096.0</v>
      </c>
      <c r="X10" s="2">
        <v>9.0</v>
      </c>
      <c r="Y10" s="2"/>
      <c r="Z10" s="2"/>
      <c r="AA10" s="2"/>
    </row>
    <row r="11">
      <c r="A11" s="5" t="s">
        <v>90</v>
      </c>
      <c r="B11" s="12">
        <v>92.0</v>
      </c>
      <c r="C11" s="13">
        <v>78.0</v>
      </c>
      <c r="D11" s="5" t="s">
        <v>69</v>
      </c>
      <c r="E11" s="9" t="s">
        <v>119</v>
      </c>
      <c r="F11" s="2"/>
      <c r="G11" s="2"/>
      <c r="H11" s="2"/>
      <c r="I11" s="2" t="str">
        <f>IFERROR(__xludf.DUMMYFUNCTION("""COMPUTED_VALUE"""),"Clements")</f>
        <v>Clements</v>
      </c>
      <c r="J11" s="2">
        <f t="shared" si="1"/>
        <v>3</v>
      </c>
      <c r="K11" s="2">
        <f t="shared" si="2"/>
        <v>0</v>
      </c>
      <c r="L11" s="2">
        <f t="shared" si="3"/>
        <v>2</v>
      </c>
      <c r="M11" s="20">
        <f t="shared" si="4"/>
        <v>96</v>
      </c>
      <c r="N11" s="20">
        <f t="shared" si="5"/>
        <v>6096</v>
      </c>
      <c r="O11" s="2">
        <f t="shared" si="6"/>
        <v>9</v>
      </c>
      <c r="P11" s="2"/>
      <c r="Q11" s="2"/>
      <c r="R11" s="2" t="s">
        <v>20</v>
      </c>
      <c r="S11" s="2">
        <v>3.0</v>
      </c>
      <c r="T11" s="2">
        <v>0.0</v>
      </c>
      <c r="U11" s="2">
        <v>2.0</v>
      </c>
      <c r="V11" s="20">
        <v>88.0</v>
      </c>
      <c r="W11" s="20">
        <v>6088.0</v>
      </c>
      <c r="X11" s="2">
        <v>10.0</v>
      </c>
      <c r="Y11" s="2"/>
      <c r="Z11" s="2"/>
      <c r="AA11" s="2"/>
    </row>
    <row r="12">
      <c r="A12" s="5" t="s">
        <v>123</v>
      </c>
      <c r="B12" s="12">
        <v>76.0</v>
      </c>
      <c r="C12" s="13">
        <v>54.0</v>
      </c>
      <c r="D12" s="5" t="s">
        <v>71</v>
      </c>
      <c r="E12" s="9" t="s">
        <v>124</v>
      </c>
      <c r="F12" s="2"/>
      <c r="G12" s="2"/>
      <c r="H12" s="2"/>
      <c r="I12" s="2" t="str">
        <f>IFERROR(__xludf.DUMMYFUNCTION("""COMPUTED_VALUE"""),"Frazer")</f>
        <v>Frazer</v>
      </c>
      <c r="J12" s="2">
        <f t="shared" si="1"/>
        <v>4</v>
      </c>
      <c r="K12" s="2">
        <f t="shared" si="2"/>
        <v>0</v>
      </c>
      <c r="L12" s="2">
        <f t="shared" si="3"/>
        <v>1</v>
      </c>
      <c r="M12" s="20">
        <f t="shared" si="4"/>
        <v>91.2</v>
      </c>
      <c r="N12" s="20">
        <f t="shared" si="5"/>
        <v>8091.2</v>
      </c>
      <c r="O12" s="2">
        <f t="shared" si="6"/>
        <v>6</v>
      </c>
      <c r="P12" s="2"/>
      <c r="Q12" s="2"/>
      <c r="R12" s="2" t="s">
        <v>75</v>
      </c>
      <c r="S12" s="2">
        <v>3.0</v>
      </c>
      <c r="T12" s="2">
        <v>0.0</v>
      </c>
      <c r="U12" s="2">
        <v>2.0</v>
      </c>
      <c r="V12" s="20">
        <v>85.6</v>
      </c>
      <c r="W12" s="20">
        <v>6085.6</v>
      </c>
      <c r="X12" s="2">
        <v>11.0</v>
      </c>
      <c r="Y12" s="2"/>
      <c r="Z12" s="2"/>
      <c r="AA12" s="2"/>
    </row>
    <row r="13">
      <c r="A13" s="5" t="s">
        <v>125</v>
      </c>
      <c r="B13" s="12">
        <v>74.0</v>
      </c>
      <c r="C13" s="13">
        <v>118.0</v>
      </c>
      <c r="D13" s="5" t="s">
        <v>73</v>
      </c>
      <c r="E13" s="9" t="s">
        <v>126</v>
      </c>
      <c r="F13" s="2"/>
      <c r="G13" s="2"/>
      <c r="H13" s="2"/>
      <c r="I13" s="2" t="str">
        <f>IFERROR(__xludf.DUMMYFUNCTION("""COMPUTED_VALUE"""),"Princeton")</f>
        <v>Princeton</v>
      </c>
      <c r="J13" s="2">
        <f t="shared" si="1"/>
        <v>1</v>
      </c>
      <c r="K13" s="2">
        <f t="shared" si="2"/>
        <v>0</v>
      </c>
      <c r="L13" s="2">
        <f t="shared" si="3"/>
        <v>4</v>
      </c>
      <c r="M13" s="20">
        <f t="shared" si="4"/>
        <v>52.4</v>
      </c>
      <c r="N13" s="20">
        <f t="shared" si="5"/>
        <v>2052.4</v>
      </c>
      <c r="O13" s="2">
        <f t="shared" si="6"/>
        <v>27</v>
      </c>
      <c r="P13" s="2"/>
      <c r="Q13" s="2"/>
      <c r="R13" s="2" t="s">
        <v>63</v>
      </c>
      <c r="S13" s="2">
        <v>3.0</v>
      </c>
      <c r="T13" s="2">
        <v>0.0</v>
      </c>
      <c r="U13" s="2">
        <v>2.0</v>
      </c>
      <c r="V13" s="20">
        <v>81.6</v>
      </c>
      <c r="W13" s="20">
        <v>6081.6</v>
      </c>
      <c r="X13" s="2">
        <v>12.0</v>
      </c>
      <c r="Y13" s="2"/>
      <c r="Z13" s="2"/>
      <c r="AA13" s="2"/>
    </row>
    <row r="14">
      <c r="A14" s="5" t="s">
        <v>42</v>
      </c>
      <c r="B14" s="12">
        <v>14.0</v>
      </c>
      <c r="C14" s="13">
        <v>124.0</v>
      </c>
      <c r="D14" s="5" t="s">
        <v>75</v>
      </c>
      <c r="E14" s="9" t="s">
        <v>128</v>
      </c>
      <c r="F14" s="2"/>
      <c r="G14" s="2"/>
      <c r="H14" s="2"/>
      <c r="I14" s="2" t="str">
        <f>IFERROR(__xludf.DUMMYFUNCTION("""COMPUTED_VALUE"""),"VMATHs")</f>
        <v>VMATHs</v>
      </c>
      <c r="J14" s="2">
        <f t="shared" si="1"/>
        <v>3</v>
      </c>
      <c r="K14" s="2">
        <f t="shared" si="2"/>
        <v>0</v>
      </c>
      <c r="L14" s="2">
        <f t="shared" si="3"/>
        <v>2</v>
      </c>
      <c r="M14" s="20">
        <f t="shared" si="4"/>
        <v>68.4</v>
      </c>
      <c r="N14" s="20">
        <f t="shared" si="5"/>
        <v>6068.4</v>
      </c>
      <c r="O14" s="2">
        <f t="shared" si="6"/>
        <v>15</v>
      </c>
      <c r="P14" s="2"/>
      <c r="Q14" s="2"/>
      <c r="R14" s="2" t="s">
        <v>56</v>
      </c>
      <c r="S14" s="2">
        <v>3.0</v>
      </c>
      <c r="T14" s="2">
        <v>0.0</v>
      </c>
      <c r="U14" s="2">
        <v>2.0</v>
      </c>
      <c r="V14" s="20">
        <v>75.2</v>
      </c>
      <c r="W14" s="20">
        <v>6075.2</v>
      </c>
      <c r="X14" s="2">
        <v>13.0</v>
      </c>
      <c r="Y14" s="2"/>
      <c r="Z14" s="2"/>
      <c r="AA14" s="2"/>
    </row>
    <row r="15">
      <c r="A15" s="5" t="s">
        <v>127</v>
      </c>
      <c r="B15" s="12">
        <v>84.0</v>
      </c>
      <c r="C15" s="13">
        <v>74.0</v>
      </c>
      <c r="D15" s="5" t="s">
        <v>77</v>
      </c>
      <c r="E15" s="9" t="s">
        <v>129</v>
      </c>
      <c r="F15" s="2"/>
      <c r="G15" s="2"/>
      <c r="H15" s="2"/>
      <c r="I15" s="2" t="str">
        <f>IFERROR(__xludf.DUMMYFUNCTION("""COMPUTED_VALUE"""),"OCSA")</f>
        <v>OCSA</v>
      </c>
      <c r="J15" s="2">
        <f t="shared" si="1"/>
        <v>3</v>
      </c>
      <c r="K15" s="2">
        <f t="shared" si="2"/>
        <v>0</v>
      </c>
      <c r="L15" s="2">
        <f t="shared" si="3"/>
        <v>2</v>
      </c>
      <c r="M15" s="20">
        <f t="shared" si="4"/>
        <v>81.6</v>
      </c>
      <c r="N15" s="20">
        <f t="shared" si="5"/>
        <v>6081.6</v>
      </c>
      <c r="O15" s="2">
        <f t="shared" si="6"/>
        <v>12</v>
      </c>
      <c r="P15" s="2"/>
      <c r="Q15" s="2"/>
      <c r="R15" s="2" t="s">
        <v>113</v>
      </c>
      <c r="S15" s="2">
        <v>3.0</v>
      </c>
      <c r="T15" s="2">
        <v>0.0</v>
      </c>
      <c r="U15" s="2">
        <v>2.0</v>
      </c>
      <c r="V15" s="20">
        <v>74.4</v>
      </c>
      <c r="W15" s="20">
        <v>6074.4</v>
      </c>
      <c r="X15" s="2">
        <v>14.0</v>
      </c>
      <c r="Y15" s="2"/>
      <c r="Z15" s="2"/>
      <c r="AA15" s="2"/>
    </row>
    <row r="16">
      <c r="A16" s="5" t="s">
        <v>121</v>
      </c>
      <c r="B16" s="12">
        <v>68.0</v>
      </c>
      <c r="C16" s="13">
        <v>116.0</v>
      </c>
      <c r="D16" s="5" t="s">
        <v>79</v>
      </c>
      <c r="E16" s="9" t="s">
        <v>130</v>
      </c>
      <c r="F16" s="2"/>
      <c r="G16" s="2"/>
      <c r="H16" s="2"/>
      <c r="I16" s="2" t="str">
        <f>IFERROR(__xludf.DUMMYFUNCTION("""COMPUTED_VALUE"""),"WWPS 2")</f>
        <v>WWPS 2</v>
      </c>
      <c r="J16" s="2">
        <f t="shared" si="1"/>
        <v>2</v>
      </c>
      <c r="K16" s="2">
        <f t="shared" si="2"/>
        <v>0</v>
      </c>
      <c r="L16" s="2">
        <f t="shared" si="3"/>
        <v>3</v>
      </c>
      <c r="M16" s="20">
        <f t="shared" si="4"/>
        <v>75.2</v>
      </c>
      <c r="N16" s="20">
        <f t="shared" si="5"/>
        <v>4075.2</v>
      </c>
      <c r="O16" s="2">
        <f t="shared" si="6"/>
        <v>18</v>
      </c>
      <c r="P16" s="2"/>
      <c r="Q16" s="2"/>
      <c r="R16" s="2" t="s">
        <v>30</v>
      </c>
      <c r="S16" s="2">
        <v>3.0</v>
      </c>
      <c r="T16" s="2">
        <v>0.0</v>
      </c>
      <c r="U16" s="2">
        <v>2.0</v>
      </c>
      <c r="V16" s="20">
        <v>68.4</v>
      </c>
      <c r="W16" s="20">
        <v>6068.4</v>
      </c>
      <c r="X16" s="2">
        <v>15.0</v>
      </c>
      <c r="Y16" s="2"/>
      <c r="Z16" s="2"/>
      <c r="AA16" s="2"/>
    </row>
    <row r="17">
      <c r="A17" s="5" t="s">
        <v>101</v>
      </c>
      <c r="B17" s="12">
        <v>138.0</v>
      </c>
      <c r="C17" s="13">
        <v>70.0</v>
      </c>
      <c r="D17" s="5" t="s">
        <v>80</v>
      </c>
      <c r="E17" s="9" t="s">
        <v>131</v>
      </c>
      <c r="F17" s="2"/>
      <c r="G17" s="2"/>
      <c r="H17" s="2"/>
      <c r="I17" s="2" t="str">
        <f>IFERROR(__xludf.DUMMYFUNCTION("""COMPUTED_VALUE"""),"Plano West")</f>
        <v>Plano West</v>
      </c>
      <c r="J17" s="2">
        <f t="shared" si="1"/>
        <v>2</v>
      </c>
      <c r="K17" s="2">
        <f t="shared" si="2"/>
        <v>0</v>
      </c>
      <c r="L17" s="2">
        <f t="shared" si="3"/>
        <v>3</v>
      </c>
      <c r="M17" s="20">
        <f t="shared" si="4"/>
        <v>70.8</v>
      </c>
      <c r="N17" s="20">
        <f t="shared" si="5"/>
        <v>4070.8</v>
      </c>
      <c r="O17" s="2">
        <f t="shared" si="6"/>
        <v>20</v>
      </c>
      <c r="P17" s="2"/>
      <c r="Q17" s="2"/>
      <c r="R17" s="2" t="s">
        <v>77</v>
      </c>
      <c r="S17" s="2">
        <v>3.0</v>
      </c>
      <c r="T17" s="2">
        <v>0.0</v>
      </c>
      <c r="U17" s="2">
        <v>2.0</v>
      </c>
      <c r="V17" s="20">
        <v>66.8</v>
      </c>
      <c r="W17" s="20">
        <v>6066.8</v>
      </c>
      <c r="X17" s="2">
        <v>16.0</v>
      </c>
      <c r="Y17" s="2"/>
      <c r="Z17" s="2"/>
      <c r="AA17" s="2"/>
    </row>
    <row r="18">
      <c r="A18" s="27"/>
      <c r="B18" s="25"/>
      <c r="C18" s="25"/>
      <c r="D18" s="25"/>
      <c r="E18" s="26"/>
      <c r="F18" s="2"/>
      <c r="G18" s="2"/>
      <c r="H18" s="2"/>
      <c r="I18" s="2" t="str">
        <f>IFERROR(__xludf.DUMMYFUNCTION("""COMPUTED_VALUE"""),"Hebron")</f>
        <v>Hebron</v>
      </c>
      <c r="J18" s="2">
        <f t="shared" si="1"/>
        <v>1</v>
      </c>
      <c r="K18" s="2">
        <f t="shared" si="2"/>
        <v>0</v>
      </c>
      <c r="L18" s="2">
        <f t="shared" si="3"/>
        <v>4</v>
      </c>
      <c r="M18" s="20">
        <f t="shared" si="4"/>
        <v>34.4</v>
      </c>
      <c r="N18" s="20">
        <f t="shared" si="5"/>
        <v>2034.4</v>
      </c>
      <c r="O18" s="2">
        <f t="shared" si="6"/>
        <v>30</v>
      </c>
      <c r="P18" s="2"/>
      <c r="Q18" s="2"/>
      <c r="R18" s="2" t="s">
        <v>16</v>
      </c>
      <c r="S18" s="2">
        <v>2.0</v>
      </c>
      <c r="T18" s="2">
        <v>0.0</v>
      </c>
      <c r="U18" s="2">
        <v>3.0</v>
      </c>
      <c r="V18" s="20">
        <v>83.6</v>
      </c>
      <c r="W18" s="20">
        <v>4083.6</v>
      </c>
      <c r="X18" s="2">
        <v>17.0</v>
      </c>
      <c r="Y18" s="2"/>
      <c r="Z18" s="2"/>
      <c r="AA18" s="2"/>
    </row>
    <row r="19">
      <c r="A19" s="27"/>
      <c r="B19" s="25"/>
      <c r="C19" s="25"/>
      <c r="D19" s="25"/>
      <c r="E19" s="26"/>
      <c r="F19" s="2"/>
      <c r="G19" s="2"/>
      <c r="H19" s="2"/>
      <c r="I19" s="2" t="str">
        <f>IFERROR(__xludf.DUMMYFUNCTION("""COMPUTED_VALUE"""),"Chattahoochee")</f>
        <v>Chattahoochee</v>
      </c>
      <c r="J19" s="2">
        <f t="shared" si="1"/>
        <v>3</v>
      </c>
      <c r="K19" s="2">
        <f t="shared" si="2"/>
        <v>0</v>
      </c>
      <c r="L19" s="2">
        <f t="shared" si="3"/>
        <v>2</v>
      </c>
      <c r="M19" s="20">
        <f t="shared" si="4"/>
        <v>74.4</v>
      </c>
      <c r="N19" s="20">
        <f t="shared" si="5"/>
        <v>6074.4</v>
      </c>
      <c r="O19" s="2">
        <f t="shared" si="6"/>
        <v>14</v>
      </c>
      <c r="P19" s="2"/>
      <c r="Q19" s="2"/>
      <c r="R19" s="2" t="s">
        <v>32</v>
      </c>
      <c r="S19" s="2">
        <v>2.0</v>
      </c>
      <c r="T19" s="2">
        <v>0.0</v>
      </c>
      <c r="U19" s="2">
        <v>3.0</v>
      </c>
      <c r="V19" s="20">
        <v>75.2</v>
      </c>
      <c r="W19" s="20">
        <v>4075.2</v>
      </c>
      <c r="X19" s="2">
        <v>18.0</v>
      </c>
      <c r="Y19" s="2"/>
      <c r="Z19" s="2"/>
      <c r="AA19" s="2"/>
    </row>
    <row r="20">
      <c r="A20" s="5" t="s">
        <v>28</v>
      </c>
      <c r="B20" s="12">
        <v>86.0</v>
      </c>
      <c r="C20" s="13">
        <v>70.0</v>
      </c>
      <c r="D20" s="5" t="s">
        <v>20</v>
      </c>
      <c r="E20" s="9" t="s">
        <v>82</v>
      </c>
      <c r="F20" s="2"/>
      <c r="G20" s="2"/>
      <c r="H20" s="2"/>
      <c r="I20" s="2" t="str">
        <f>IFERROR(__xludf.DUMMYFUNCTION("""COMPUTED_VALUE"""),"Bridgeland")</f>
        <v>Bridgeland</v>
      </c>
      <c r="J20" s="2">
        <f t="shared" si="1"/>
        <v>3</v>
      </c>
      <c r="K20" s="2">
        <f t="shared" si="2"/>
        <v>0</v>
      </c>
      <c r="L20" s="2">
        <f t="shared" si="3"/>
        <v>2</v>
      </c>
      <c r="M20" s="20">
        <f t="shared" si="4"/>
        <v>106.8</v>
      </c>
      <c r="N20" s="20">
        <f t="shared" si="5"/>
        <v>6106.8</v>
      </c>
      <c r="O20" s="2">
        <f t="shared" si="6"/>
        <v>7</v>
      </c>
      <c r="P20" s="2"/>
      <c r="Q20" s="2"/>
      <c r="R20" s="2" t="s">
        <v>121</v>
      </c>
      <c r="S20" s="2">
        <v>2.0</v>
      </c>
      <c r="T20" s="2">
        <v>0.0</v>
      </c>
      <c r="U20" s="2">
        <v>3.0</v>
      </c>
      <c r="V20" s="20">
        <v>71.6</v>
      </c>
      <c r="W20" s="20">
        <v>4071.6</v>
      </c>
      <c r="X20" s="2">
        <v>19.0</v>
      </c>
      <c r="Y20" s="2"/>
      <c r="Z20" s="2"/>
      <c r="AA20" s="2"/>
    </row>
    <row r="21">
      <c r="A21" s="5" t="s">
        <v>101</v>
      </c>
      <c r="B21" s="12">
        <v>88.0</v>
      </c>
      <c r="C21" s="13">
        <v>130.0</v>
      </c>
      <c r="D21" s="5" t="s">
        <v>5</v>
      </c>
      <c r="E21" s="9" t="s">
        <v>96</v>
      </c>
      <c r="F21" s="2"/>
      <c r="G21" s="2"/>
      <c r="H21" s="2"/>
      <c r="I21" s="2" t="str">
        <f>IFERROR(__xludf.DUMMYFUNCTION("""COMPUTED_VALUE"""),"Seven Lakes")</f>
        <v>Seven Lakes</v>
      </c>
      <c r="J21" s="2">
        <f t="shared" si="1"/>
        <v>2</v>
      </c>
      <c r="K21" s="2">
        <f t="shared" si="2"/>
        <v>0</v>
      </c>
      <c r="L21" s="2">
        <f t="shared" si="3"/>
        <v>3</v>
      </c>
      <c r="M21" s="20">
        <f t="shared" si="4"/>
        <v>63.6</v>
      </c>
      <c r="N21" s="20">
        <f t="shared" si="5"/>
        <v>4063.6</v>
      </c>
      <c r="O21" s="2">
        <f t="shared" si="6"/>
        <v>22</v>
      </c>
      <c r="P21" s="2"/>
      <c r="Q21" s="2"/>
      <c r="R21" s="2" t="s">
        <v>65</v>
      </c>
      <c r="S21" s="2">
        <v>2.0</v>
      </c>
      <c r="T21" s="2">
        <v>0.0</v>
      </c>
      <c r="U21" s="2">
        <v>3.0</v>
      </c>
      <c r="V21" s="20">
        <v>70.8</v>
      </c>
      <c r="W21" s="20">
        <v>4070.8</v>
      </c>
      <c r="X21" s="2">
        <v>20.0</v>
      </c>
      <c r="Y21" s="2"/>
      <c r="Z21" s="2"/>
      <c r="AA21" s="2"/>
    </row>
    <row r="22">
      <c r="A22" s="5" t="s">
        <v>24</v>
      </c>
      <c r="B22" s="12">
        <v>196.0</v>
      </c>
      <c r="C22" s="13">
        <v>24.0</v>
      </c>
      <c r="D22" s="5" t="s">
        <v>123</v>
      </c>
      <c r="E22" s="9" t="s">
        <v>99</v>
      </c>
      <c r="F22" s="2"/>
      <c r="G22" s="5"/>
      <c r="H22" s="2"/>
      <c r="I22" s="2" t="str">
        <f>IFERROR(__xludf.DUMMYFUNCTION("""COMPUTED_VALUE"""),"Research Triangle")</f>
        <v>Research Triangle</v>
      </c>
      <c r="J22" s="2">
        <f t="shared" si="1"/>
        <v>1</v>
      </c>
      <c r="K22" s="2">
        <f t="shared" si="2"/>
        <v>0</v>
      </c>
      <c r="L22" s="2">
        <f t="shared" si="3"/>
        <v>4</v>
      </c>
      <c r="M22" s="20">
        <f t="shared" si="4"/>
        <v>30.8</v>
      </c>
      <c r="N22" s="20">
        <f t="shared" si="5"/>
        <v>2030.8</v>
      </c>
      <c r="O22" s="2">
        <f t="shared" si="6"/>
        <v>31</v>
      </c>
      <c r="P22" s="2"/>
      <c r="Q22" s="2"/>
      <c r="R22" s="2" t="s">
        <v>52</v>
      </c>
      <c r="S22" s="2">
        <v>2.0</v>
      </c>
      <c r="T22" s="2">
        <v>0.0</v>
      </c>
      <c r="U22" s="2">
        <v>3.0</v>
      </c>
      <c r="V22" s="20">
        <v>64.8</v>
      </c>
      <c r="W22" s="20">
        <v>4064.8</v>
      </c>
      <c r="X22" s="2">
        <v>21.0</v>
      </c>
      <c r="Y22" s="2"/>
      <c r="Z22" s="2"/>
      <c r="AA22" s="2"/>
    </row>
    <row r="23">
      <c r="A23" s="5" t="s">
        <v>113</v>
      </c>
      <c r="B23" s="12">
        <v>94.0</v>
      </c>
      <c r="C23" s="13">
        <v>54.0</v>
      </c>
      <c r="D23" s="5" t="s">
        <v>65</v>
      </c>
      <c r="E23" s="9" t="s">
        <v>104</v>
      </c>
      <c r="F23" s="2"/>
      <c r="G23" s="2"/>
      <c r="H23" s="2"/>
      <c r="I23" s="2" t="str">
        <f>IFERROR(__xludf.DUMMYFUNCTION("""COMPUTED_VALUE"""),"The Catalysts")</f>
        <v>The Catalysts</v>
      </c>
      <c r="J23" s="2">
        <f t="shared" si="1"/>
        <v>1</v>
      </c>
      <c r="K23" s="2">
        <f t="shared" si="2"/>
        <v>0</v>
      </c>
      <c r="L23" s="2">
        <f t="shared" si="3"/>
        <v>4</v>
      </c>
      <c r="M23" s="20">
        <f t="shared" si="4"/>
        <v>46</v>
      </c>
      <c r="N23" s="20">
        <f t="shared" si="5"/>
        <v>2046</v>
      </c>
      <c r="O23" s="2">
        <f t="shared" si="6"/>
        <v>28</v>
      </c>
      <c r="P23" s="2"/>
      <c r="Q23" s="2"/>
      <c r="R23" s="2" t="s">
        <v>69</v>
      </c>
      <c r="S23" s="2">
        <v>2.0</v>
      </c>
      <c r="T23" s="2">
        <v>0.0</v>
      </c>
      <c r="U23" s="2">
        <v>3.0</v>
      </c>
      <c r="V23" s="20">
        <v>63.6</v>
      </c>
      <c r="W23" s="20">
        <v>4063.6</v>
      </c>
      <c r="X23" s="2">
        <v>22.0</v>
      </c>
      <c r="Y23" s="2"/>
      <c r="Z23" s="2"/>
      <c r="AA23" s="2"/>
    </row>
    <row r="24">
      <c r="A24" s="5" t="s">
        <v>73</v>
      </c>
      <c r="B24" s="12">
        <v>72.0</v>
      </c>
      <c r="C24" s="13">
        <v>144.0</v>
      </c>
      <c r="D24" s="5" t="s">
        <v>79</v>
      </c>
      <c r="E24" s="9" t="s">
        <v>106</v>
      </c>
      <c r="F24" s="2"/>
      <c r="G24" s="2"/>
      <c r="H24" s="2"/>
      <c r="I24" s="2" t="str">
        <f>IFERROR(__xludf.DUMMYFUNCTION("""COMPUTED_VALUE"""),"Green Hope")</f>
        <v>Green Hope</v>
      </c>
      <c r="J24" s="2">
        <f t="shared" si="1"/>
        <v>1</v>
      </c>
      <c r="K24" s="2">
        <f t="shared" si="2"/>
        <v>0</v>
      </c>
      <c r="L24" s="2">
        <f t="shared" si="3"/>
        <v>4</v>
      </c>
      <c r="M24" s="20">
        <f t="shared" si="4"/>
        <v>41.2</v>
      </c>
      <c r="N24" s="20">
        <f t="shared" si="5"/>
        <v>2041.2</v>
      </c>
      <c r="O24" s="2">
        <f t="shared" si="6"/>
        <v>29</v>
      </c>
      <c r="P24" s="2"/>
      <c r="Q24" s="2"/>
      <c r="R24" s="2" t="s">
        <v>80</v>
      </c>
      <c r="S24" s="2">
        <v>2.0</v>
      </c>
      <c r="T24" s="2">
        <v>0.0</v>
      </c>
      <c r="U24" s="2">
        <v>3.0</v>
      </c>
      <c r="V24" s="20">
        <v>57.2</v>
      </c>
      <c r="W24" s="20">
        <v>4057.2</v>
      </c>
      <c r="X24" s="2">
        <v>23.0</v>
      </c>
      <c r="Y24" s="2"/>
      <c r="Z24" s="2"/>
      <c r="AA24" s="2"/>
    </row>
    <row r="25">
      <c r="A25" s="5" t="s">
        <v>54</v>
      </c>
      <c r="B25" s="12">
        <v>20.0</v>
      </c>
      <c r="C25" s="13">
        <v>136.0</v>
      </c>
      <c r="D25" s="5" t="s">
        <v>13</v>
      </c>
      <c r="E25" s="9" t="s">
        <v>109</v>
      </c>
      <c r="F25" s="2"/>
      <c r="G25" s="2"/>
      <c r="H25" s="2"/>
      <c r="I25" s="2" t="str">
        <f>IFERROR(__xludf.DUMMYFUNCTION("""COMPUTED_VALUE"""),"Dulles Dolls 1")</f>
        <v>Dulles Dolls 1</v>
      </c>
      <c r="J25" s="2">
        <f t="shared" si="1"/>
        <v>4</v>
      </c>
      <c r="K25" s="2">
        <f t="shared" si="2"/>
        <v>0</v>
      </c>
      <c r="L25" s="2">
        <f t="shared" si="3"/>
        <v>1</v>
      </c>
      <c r="M25" s="20">
        <f t="shared" si="4"/>
        <v>93.6</v>
      </c>
      <c r="N25" s="20">
        <f t="shared" si="5"/>
        <v>8093.6</v>
      </c>
      <c r="O25" s="2">
        <f t="shared" si="6"/>
        <v>4</v>
      </c>
      <c r="P25" s="2"/>
      <c r="Q25" s="2"/>
      <c r="R25" s="2" t="s">
        <v>127</v>
      </c>
      <c r="S25" s="2">
        <v>2.0</v>
      </c>
      <c r="T25" s="2">
        <v>0.0</v>
      </c>
      <c r="U25" s="2">
        <v>3.0</v>
      </c>
      <c r="V25" s="20">
        <v>47.6</v>
      </c>
      <c r="W25" s="20">
        <v>4047.6</v>
      </c>
      <c r="X25" s="2">
        <v>24.0</v>
      </c>
      <c r="Y25" s="2"/>
      <c r="Z25" s="2"/>
      <c r="AA25" s="2"/>
    </row>
    <row r="26">
      <c r="A26" s="5" t="s">
        <v>90</v>
      </c>
      <c r="B26" s="12">
        <v>58.0</v>
      </c>
      <c r="C26" s="13">
        <v>104.0</v>
      </c>
      <c r="D26" s="5" t="s">
        <v>127</v>
      </c>
      <c r="E26" s="9" t="s">
        <v>112</v>
      </c>
      <c r="F26" s="2"/>
      <c r="G26" s="2"/>
      <c r="H26" s="2"/>
      <c r="I26" s="2" t="str">
        <f>IFERROR(__xludf.DUMMYFUNCTION("""COMPUTED_VALUE"""),"Camas Papermakers")</f>
        <v>Camas Papermakers</v>
      </c>
      <c r="J26" s="2">
        <f t="shared" si="1"/>
        <v>0</v>
      </c>
      <c r="K26" s="2">
        <f t="shared" si="2"/>
        <v>0</v>
      </c>
      <c r="L26" s="2">
        <f t="shared" si="3"/>
        <v>5</v>
      </c>
      <c r="M26" s="20">
        <f t="shared" si="4"/>
        <v>21.6</v>
      </c>
      <c r="N26" s="20">
        <f t="shared" si="5"/>
        <v>21.6</v>
      </c>
      <c r="O26" s="2">
        <f t="shared" si="6"/>
        <v>32</v>
      </c>
      <c r="P26" s="2"/>
      <c r="Q26" s="2"/>
      <c r="R26" s="2" t="s">
        <v>54</v>
      </c>
      <c r="S26" s="2">
        <v>2.0</v>
      </c>
      <c r="T26" s="2">
        <v>0.0</v>
      </c>
      <c r="U26" s="2">
        <v>3.0</v>
      </c>
      <c r="V26" s="20">
        <v>42.8</v>
      </c>
      <c r="W26" s="20">
        <v>4042.8</v>
      </c>
      <c r="X26" s="2">
        <v>25.0</v>
      </c>
      <c r="Y26" s="2"/>
      <c r="Z26" s="2"/>
      <c r="AA26" s="2"/>
    </row>
    <row r="27">
      <c r="A27" s="5" t="s">
        <v>75</v>
      </c>
      <c r="B27" s="12">
        <v>74.0</v>
      </c>
      <c r="C27" s="13">
        <v>78.0</v>
      </c>
      <c r="D27" s="5" t="s">
        <v>30</v>
      </c>
      <c r="E27" s="9" t="s">
        <v>115</v>
      </c>
      <c r="F27" s="2"/>
      <c r="G27" s="2"/>
      <c r="H27" s="2"/>
      <c r="I27" s="2" t="str">
        <f>IFERROR(__xludf.DUMMYFUNCTION("""COMPUTED_VALUE"""),"Clemens HS")</f>
        <v>Clemens HS</v>
      </c>
      <c r="J27" s="2">
        <f t="shared" si="1"/>
        <v>3</v>
      </c>
      <c r="K27" s="2">
        <f t="shared" si="2"/>
        <v>0</v>
      </c>
      <c r="L27" s="2">
        <f t="shared" si="3"/>
        <v>2</v>
      </c>
      <c r="M27" s="20">
        <f t="shared" si="4"/>
        <v>85.6</v>
      </c>
      <c r="N27" s="20">
        <f t="shared" si="5"/>
        <v>6085.6</v>
      </c>
      <c r="O27" s="2">
        <f t="shared" si="6"/>
        <v>11</v>
      </c>
      <c r="P27" s="2"/>
      <c r="Q27" s="2"/>
      <c r="R27" s="2" t="s">
        <v>50</v>
      </c>
      <c r="S27" s="2">
        <v>2.0</v>
      </c>
      <c r="T27" s="2">
        <v>0.0</v>
      </c>
      <c r="U27" s="2">
        <v>3.0</v>
      </c>
      <c r="V27" s="20">
        <v>33.2</v>
      </c>
      <c r="W27" s="20">
        <v>4033.2</v>
      </c>
      <c r="X27" s="2">
        <v>26.0</v>
      </c>
      <c r="Y27" s="2"/>
      <c r="Z27" s="2"/>
      <c r="AA27" s="2"/>
    </row>
    <row r="28">
      <c r="A28" s="5" t="s">
        <v>16</v>
      </c>
      <c r="B28" s="12">
        <v>114.0</v>
      </c>
      <c r="C28" s="13">
        <v>4.0</v>
      </c>
      <c r="D28" s="5" t="s">
        <v>50</v>
      </c>
      <c r="E28" s="9" t="s">
        <v>117</v>
      </c>
      <c r="F28" s="2"/>
      <c r="G28" s="2"/>
      <c r="H28" s="2"/>
      <c r="I28" s="2" t="str">
        <f>IFERROR(__xludf.DUMMYFUNCTION("""COMPUTED_VALUE"""),"Niskayuna")</f>
        <v>Niskayuna</v>
      </c>
      <c r="J28" s="2">
        <f t="shared" si="1"/>
        <v>2</v>
      </c>
      <c r="K28" s="2">
        <f t="shared" si="2"/>
        <v>0</v>
      </c>
      <c r="L28" s="2">
        <f t="shared" si="3"/>
        <v>3</v>
      </c>
      <c r="M28" s="20">
        <f t="shared" si="4"/>
        <v>47.6</v>
      </c>
      <c r="N28" s="20">
        <f t="shared" si="5"/>
        <v>4047.6</v>
      </c>
      <c r="O28" s="2">
        <f t="shared" si="6"/>
        <v>24</v>
      </c>
      <c r="P28" s="2"/>
      <c r="Q28" s="2"/>
      <c r="R28" s="2" t="s">
        <v>108</v>
      </c>
      <c r="S28" s="2">
        <v>1.0</v>
      </c>
      <c r="T28" s="2">
        <v>0.0</v>
      </c>
      <c r="U28" s="2">
        <v>4.0</v>
      </c>
      <c r="V28" s="20">
        <v>52.4</v>
      </c>
      <c r="W28" s="20">
        <v>2052.4</v>
      </c>
      <c r="X28" s="2">
        <v>27.0</v>
      </c>
      <c r="Y28" s="2"/>
      <c r="Z28" s="2"/>
      <c r="AA28" s="2"/>
    </row>
    <row r="29">
      <c r="A29" s="5" t="s">
        <v>58</v>
      </c>
      <c r="B29" s="12">
        <v>102.0</v>
      </c>
      <c r="C29" s="13">
        <v>74.0</v>
      </c>
      <c r="D29" s="5" t="s">
        <v>71</v>
      </c>
      <c r="E29" s="9" t="s">
        <v>119</v>
      </c>
      <c r="F29" s="2"/>
      <c r="G29" s="2"/>
      <c r="H29" s="2"/>
      <c r="I29" s="2" t="str">
        <f>IFERROR(__xludf.DUMMYFUNCTION("""COMPUTED_VALUE"""),"SciTech Dragons")</f>
        <v>SciTech Dragons</v>
      </c>
      <c r="J29" s="2">
        <f t="shared" si="1"/>
        <v>3</v>
      </c>
      <c r="K29" s="2">
        <f t="shared" si="2"/>
        <v>0</v>
      </c>
      <c r="L29" s="2">
        <f t="shared" si="3"/>
        <v>2</v>
      </c>
      <c r="M29" s="20">
        <f t="shared" si="4"/>
        <v>66.8</v>
      </c>
      <c r="N29" s="20">
        <f t="shared" si="5"/>
        <v>6066.8</v>
      </c>
      <c r="O29" s="2">
        <f t="shared" si="6"/>
        <v>16</v>
      </c>
      <c r="P29" s="2"/>
      <c r="Q29" s="2"/>
      <c r="R29" s="2" t="s">
        <v>71</v>
      </c>
      <c r="S29" s="2">
        <v>1.0</v>
      </c>
      <c r="T29" s="2">
        <v>0.0</v>
      </c>
      <c r="U29" s="2">
        <v>4.0</v>
      </c>
      <c r="V29" s="20">
        <v>46.0</v>
      </c>
      <c r="W29" s="20">
        <v>2046.0</v>
      </c>
      <c r="X29" s="2">
        <v>28.0</v>
      </c>
      <c r="Y29" s="2"/>
      <c r="Z29" s="2"/>
      <c r="AA29" s="2"/>
    </row>
    <row r="30">
      <c r="A30" s="5" t="s">
        <v>100</v>
      </c>
      <c r="B30" s="12">
        <v>26.0</v>
      </c>
      <c r="C30" s="13">
        <v>112.0</v>
      </c>
      <c r="D30" s="5" t="s">
        <v>121</v>
      </c>
      <c r="E30" s="9" t="s">
        <v>124</v>
      </c>
      <c r="F30" s="2"/>
      <c r="G30" s="2"/>
      <c r="H30" s="2"/>
      <c r="I30" s="2" t="str">
        <f>IFERROR(__xludf.DUMMYFUNCTION("""COMPUTED_VALUE"""),"Mira Loma")</f>
        <v>Mira Loma</v>
      </c>
      <c r="J30" s="2">
        <f t="shared" si="1"/>
        <v>2</v>
      </c>
      <c r="K30" s="2">
        <f t="shared" si="2"/>
        <v>0</v>
      </c>
      <c r="L30" s="2">
        <f t="shared" si="3"/>
        <v>3</v>
      </c>
      <c r="M30" s="20">
        <f t="shared" si="4"/>
        <v>71.6</v>
      </c>
      <c r="N30" s="20">
        <f t="shared" si="5"/>
        <v>4071.6</v>
      </c>
      <c r="O30" s="2">
        <f t="shared" si="6"/>
        <v>19</v>
      </c>
      <c r="P30" s="2"/>
      <c r="Q30" s="2"/>
      <c r="R30" s="2" t="s">
        <v>125</v>
      </c>
      <c r="S30" s="2">
        <v>1.0</v>
      </c>
      <c r="T30" s="2">
        <v>0.0</v>
      </c>
      <c r="U30" s="2">
        <v>4.0</v>
      </c>
      <c r="V30" s="20">
        <v>41.2</v>
      </c>
      <c r="W30" s="20">
        <v>2041.2</v>
      </c>
      <c r="X30" s="2">
        <v>29.0</v>
      </c>
      <c r="Y30" s="2"/>
      <c r="Z30" s="2"/>
      <c r="AA30" s="2"/>
    </row>
    <row r="31">
      <c r="A31" s="5" t="s">
        <v>69</v>
      </c>
      <c r="B31" s="12">
        <v>70.0</v>
      </c>
      <c r="C31" s="13">
        <v>110.0</v>
      </c>
      <c r="D31" s="5" t="s">
        <v>52</v>
      </c>
      <c r="E31" s="9" t="s">
        <v>126</v>
      </c>
      <c r="F31" s="2"/>
      <c r="G31" s="2"/>
      <c r="H31" s="2"/>
      <c r="I31" s="2" t="str">
        <f>IFERROR(__xludf.DUMMYFUNCTION("""COMPUTED_VALUE"""),"Ward Melville 1")</f>
        <v>Ward Melville 1</v>
      </c>
      <c r="J31" s="2">
        <f t="shared" si="1"/>
        <v>4</v>
      </c>
      <c r="K31" s="2">
        <f t="shared" si="2"/>
        <v>0</v>
      </c>
      <c r="L31" s="2">
        <f t="shared" si="3"/>
        <v>1</v>
      </c>
      <c r="M31" s="20">
        <f t="shared" si="4"/>
        <v>98.8</v>
      </c>
      <c r="N31" s="20">
        <f t="shared" si="5"/>
        <v>8098.8</v>
      </c>
      <c r="O31" s="2">
        <f t="shared" si="6"/>
        <v>3</v>
      </c>
      <c r="P31" s="2"/>
      <c r="Q31" s="2"/>
      <c r="R31" s="2" t="s">
        <v>100</v>
      </c>
      <c r="S31" s="2">
        <v>1.0</v>
      </c>
      <c r="T31" s="2">
        <v>0.0</v>
      </c>
      <c r="U31" s="2">
        <v>4.0</v>
      </c>
      <c r="V31" s="20">
        <v>34.4</v>
      </c>
      <c r="W31" s="20">
        <v>2034.4</v>
      </c>
      <c r="X31" s="2">
        <v>30.0</v>
      </c>
      <c r="Y31" s="2"/>
      <c r="Z31" s="2"/>
      <c r="AA31" s="2"/>
    </row>
    <row r="32">
      <c r="A32" s="5" t="s">
        <v>77</v>
      </c>
      <c r="B32" s="12">
        <v>112.0</v>
      </c>
      <c r="C32" s="13">
        <v>68.0</v>
      </c>
      <c r="D32" s="5" t="s">
        <v>32</v>
      </c>
      <c r="E32" s="9" t="s">
        <v>128</v>
      </c>
      <c r="F32" s="2"/>
      <c r="G32" s="2"/>
      <c r="H32" s="2"/>
      <c r="I32" s="2" t="str">
        <f>IFERROR(__xludf.DUMMYFUNCTION("""COMPUTED_VALUE"""),"Amador Valley")</f>
        <v>Amador Valley</v>
      </c>
      <c r="J32" s="2">
        <f t="shared" si="1"/>
        <v>3</v>
      </c>
      <c r="K32" s="2">
        <f t="shared" si="2"/>
        <v>0</v>
      </c>
      <c r="L32" s="2">
        <f t="shared" si="3"/>
        <v>2</v>
      </c>
      <c r="M32" s="20">
        <f t="shared" si="4"/>
        <v>105.6</v>
      </c>
      <c r="N32" s="20">
        <f t="shared" si="5"/>
        <v>6105.6</v>
      </c>
      <c r="O32" s="2">
        <f t="shared" si="6"/>
        <v>8</v>
      </c>
      <c r="P32" s="2"/>
      <c r="Q32" s="2"/>
      <c r="R32" s="2" t="s">
        <v>123</v>
      </c>
      <c r="S32" s="2">
        <v>1.0</v>
      </c>
      <c r="T32" s="2">
        <v>0.0</v>
      </c>
      <c r="U32" s="2">
        <v>4.0</v>
      </c>
      <c r="V32" s="20">
        <v>30.8</v>
      </c>
      <c r="W32" s="20">
        <v>2030.8</v>
      </c>
      <c r="X32" s="2">
        <v>31.0</v>
      </c>
      <c r="Y32" s="2"/>
      <c r="Z32" s="2"/>
      <c r="AA32" s="2"/>
    </row>
    <row r="33">
      <c r="A33" s="5" t="s">
        <v>56</v>
      </c>
      <c r="B33" s="12">
        <v>50.0</v>
      </c>
      <c r="C33" s="13">
        <v>62.0</v>
      </c>
      <c r="D33" s="5" t="s">
        <v>125</v>
      </c>
      <c r="E33" s="9" t="s">
        <v>129</v>
      </c>
      <c r="F33" s="2"/>
      <c r="G33" s="2"/>
      <c r="H33" s="2"/>
      <c r="I33" s="2" t="str">
        <f>IFERROR(__xludf.DUMMYFUNCTION("""COMPUTED_VALUE"""),"Lexington")</f>
        <v>Lexington</v>
      </c>
      <c r="J33" s="2">
        <f t="shared" si="1"/>
        <v>2</v>
      </c>
      <c r="K33" s="2">
        <f t="shared" si="2"/>
        <v>0</v>
      </c>
      <c r="L33" s="2">
        <f t="shared" si="3"/>
        <v>3</v>
      </c>
      <c r="M33" s="20">
        <f t="shared" si="4"/>
        <v>57.2</v>
      </c>
      <c r="N33" s="20">
        <f t="shared" si="5"/>
        <v>4057.2</v>
      </c>
      <c r="O33" s="2">
        <f t="shared" si="6"/>
        <v>23</v>
      </c>
      <c r="P33" s="2"/>
      <c r="Q33" s="2"/>
      <c r="R33" s="2" t="s">
        <v>42</v>
      </c>
      <c r="S33" s="2">
        <v>0.0</v>
      </c>
      <c r="T33" s="2">
        <v>0.0</v>
      </c>
      <c r="U33" s="2">
        <v>5.0</v>
      </c>
      <c r="V33" s="20">
        <v>21.6</v>
      </c>
      <c r="W33" s="20">
        <v>21.6</v>
      </c>
      <c r="X33" s="2">
        <v>32.0</v>
      </c>
      <c r="Y33" s="2"/>
      <c r="Z33" s="2"/>
      <c r="AA33" s="2"/>
    </row>
    <row r="34">
      <c r="A34" s="5" t="s">
        <v>42</v>
      </c>
      <c r="B34" s="12">
        <v>22.0</v>
      </c>
      <c r="C34" s="13">
        <v>88.0</v>
      </c>
      <c r="D34" s="5" t="s">
        <v>108</v>
      </c>
      <c r="E34" s="9" t="s">
        <v>130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5" t="s">
        <v>80</v>
      </c>
      <c r="B35" s="12">
        <v>64.0</v>
      </c>
      <c r="C35" s="13">
        <v>52.0</v>
      </c>
      <c r="D35" s="5" t="s">
        <v>63</v>
      </c>
      <c r="E35" s="9" t="s">
        <v>131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5"/>
      <c r="B36" s="25"/>
      <c r="C36" s="25"/>
      <c r="D36" s="25"/>
      <c r="E36" s="2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5"/>
      <c r="B37" s="25"/>
      <c r="C37" s="25"/>
      <c r="D37" s="25"/>
      <c r="E37" s="2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5" t="s">
        <v>28</v>
      </c>
      <c r="B38" s="12">
        <v>64.0</v>
      </c>
      <c r="C38" s="13">
        <v>78.0</v>
      </c>
      <c r="D38" s="5" t="s">
        <v>13</v>
      </c>
      <c r="E38" s="9" t="s">
        <v>82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5" t="s">
        <v>30</v>
      </c>
      <c r="B39" s="12">
        <v>84.0</v>
      </c>
      <c r="C39" s="13">
        <v>90.0</v>
      </c>
      <c r="D39" s="5" t="s">
        <v>79</v>
      </c>
      <c r="E39" s="9" t="s">
        <v>96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5" t="s">
        <v>5</v>
      </c>
      <c r="B40" s="12">
        <v>128.0</v>
      </c>
      <c r="C40" s="13">
        <v>16.0</v>
      </c>
      <c r="D40" s="5" t="s">
        <v>127</v>
      </c>
      <c r="E40" s="9" t="s">
        <v>99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5" t="s">
        <v>113</v>
      </c>
      <c r="B41" s="12">
        <v>22.0</v>
      </c>
      <c r="C41" s="13">
        <v>124.0</v>
      </c>
      <c r="D41" s="5" t="s">
        <v>24</v>
      </c>
      <c r="E41" s="9" t="s">
        <v>104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5" t="s">
        <v>77</v>
      </c>
      <c r="B42" s="12">
        <v>68.0</v>
      </c>
      <c r="C42" s="13">
        <v>36.0</v>
      </c>
      <c r="D42" s="5" t="s">
        <v>65</v>
      </c>
      <c r="E42" s="9" t="s">
        <v>106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5" t="s">
        <v>80</v>
      </c>
      <c r="B43" s="12">
        <v>46.0</v>
      </c>
      <c r="C43" s="13">
        <v>24.0</v>
      </c>
      <c r="D43" s="5" t="s">
        <v>123</v>
      </c>
      <c r="E43" s="9" t="s">
        <v>109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5" t="s">
        <v>73</v>
      </c>
      <c r="B44" s="12">
        <v>102.0</v>
      </c>
      <c r="C44" s="13">
        <v>8.0</v>
      </c>
      <c r="D44" s="5" t="s">
        <v>54</v>
      </c>
      <c r="E44" s="9" t="s">
        <v>112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5" t="s">
        <v>125</v>
      </c>
      <c r="B45" s="12">
        <v>6.0</v>
      </c>
      <c r="C45" s="13">
        <v>102.0</v>
      </c>
      <c r="D45" s="5" t="s">
        <v>75</v>
      </c>
      <c r="E45" s="9" t="s">
        <v>115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5" t="s">
        <v>16</v>
      </c>
      <c r="B46" s="12">
        <v>44.0</v>
      </c>
      <c r="C46" s="13">
        <v>122.0</v>
      </c>
      <c r="D46" s="5" t="s">
        <v>101</v>
      </c>
      <c r="E46" s="9" t="s">
        <v>117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5" t="s">
        <v>52</v>
      </c>
      <c r="B47" s="12">
        <v>24.0</v>
      </c>
      <c r="C47" s="13">
        <v>110.0</v>
      </c>
      <c r="D47" s="5" t="s">
        <v>58</v>
      </c>
      <c r="E47" s="9" t="s">
        <v>119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5" t="s">
        <v>20</v>
      </c>
      <c r="B48" s="12">
        <v>80.0</v>
      </c>
      <c r="C48" s="13">
        <v>50.0</v>
      </c>
      <c r="D48" s="5" t="s">
        <v>121</v>
      </c>
      <c r="E48" s="9" t="s">
        <v>124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5" t="s">
        <v>108</v>
      </c>
      <c r="B49" s="12">
        <v>30.0</v>
      </c>
      <c r="C49" s="13">
        <v>170.0</v>
      </c>
      <c r="D49" s="5" t="s">
        <v>90</v>
      </c>
      <c r="E49" s="9" t="s">
        <v>126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5" t="s">
        <v>50</v>
      </c>
      <c r="B50" s="12">
        <v>32.0</v>
      </c>
      <c r="C50" s="13">
        <v>118.0</v>
      </c>
      <c r="D50" s="5" t="s">
        <v>63</v>
      </c>
      <c r="E50" s="9" t="s">
        <v>128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5" t="s">
        <v>71</v>
      </c>
      <c r="B51" s="12">
        <v>14.0</v>
      </c>
      <c r="C51" s="13">
        <v>102.0</v>
      </c>
      <c r="D51" s="5" t="s">
        <v>56</v>
      </c>
      <c r="E51" s="9" t="s">
        <v>129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5" t="s">
        <v>32</v>
      </c>
      <c r="B52" s="12">
        <v>38.0</v>
      </c>
      <c r="C52" s="13">
        <v>50.0</v>
      </c>
      <c r="D52" s="5" t="s">
        <v>69</v>
      </c>
      <c r="E52" s="9" t="s">
        <v>130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5" t="s">
        <v>42</v>
      </c>
      <c r="B53" s="12">
        <v>20.0</v>
      </c>
      <c r="C53" s="13">
        <v>52.0</v>
      </c>
      <c r="D53" s="5" t="s">
        <v>100</v>
      </c>
      <c r="E53" s="9" t="s">
        <v>131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5"/>
      <c r="B54" s="25"/>
      <c r="C54" s="25"/>
      <c r="D54" s="25"/>
      <c r="E54" s="2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5"/>
      <c r="B55" s="25"/>
      <c r="C55" s="25"/>
      <c r="D55" s="25"/>
      <c r="E55" s="2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5" t="s">
        <v>24</v>
      </c>
      <c r="B56" s="12">
        <v>136.0</v>
      </c>
      <c r="C56" s="13">
        <v>74.0</v>
      </c>
      <c r="D56" s="5" t="s">
        <v>79</v>
      </c>
      <c r="E56" s="9" t="s">
        <v>82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5" t="s">
        <v>13</v>
      </c>
      <c r="B57" s="12">
        <v>64.0</v>
      </c>
      <c r="C57" s="13">
        <v>138.0</v>
      </c>
      <c r="D57" s="5" t="s">
        <v>5</v>
      </c>
      <c r="E57" s="9" t="s">
        <v>96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5" t="s">
        <v>127</v>
      </c>
      <c r="B58" s="12">
        <v>14.0</v>
      </c>
      <c r="C58" s="13">
        <v>144.0</v>
      </c>
      <c r="D58" s="5" t="s">
        <v>101</v>
      </c>
      <c r="E58" s="9" t="s">
        <v>99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5" t="s">
        <v>28</v>
      </c>
      <c r="B59" s="12">
        <v>120.0</v>
      </c>
      <c r="C59" s="13">
        <v>58.0</v>
      </c>
      <c r="D59" s="5" t="s">
        <v>30</v>
      </c>
      <c r="E59" s="9" t="s">
        <v>104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5" t="s">
        <v>113</v>
      </c>
      <c r="B60" s="12">
        <v>78.0</v>
      </c>
      <c r="C60" s="13">
        <v>96.0</v>
      </c>
      <c r="D60" s="5" t="s">
        <v>73</v>
      </c>
      <c r="E60" s="9" t="s">
        <v>106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5" t="s">
        <v>90</v>
      </c>
      <c r="B61" s="12">
        <v>70.0</v>
      </c>
      <c r="C61" s="13">
        <v>138.0</v>
      </c>
      <c r="D61" s="5" t="s">
        <v>58</v>
      </c>
      <c r="E61" s="9" t="s">
        <v>109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5" t="s">
        <v>80</v>
      </c>
      <c r="B62" s="12">
        <v>50.0</v>
      </c>
      <c r="C62" s="13">
        <v>110.0</v>
      </c>
      <c r="D62" s="5" t="s">
        <v>20</v>
      </c>
      <c r="E62" s="9" t="s">
        <v>112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5" t="s">
        <v>75</v>
      </c>
      <c r="B63" s="12">
        <v>116.0</v>
      </c>
      <c r="C63" s="13">
        <v>36.0</v>
      </c>
      <c r="D63" s="5" t="s">
        <v>77</v>
      </c>
      <c r="E63" s="9" t="s">
        <v>115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5" t="s">
        <v>54</v>
      </c>
      <c r="B64" s="12">
        <v>44.0</v>
      </c>
      <c r="C64" s="13">
        <v>92.0</v>
      </c>
      <c r="D64" s="5" t="s">
        <v>121</v>
      </c>
      <c r="E64" s="9" t="s">
        <v>117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5" t="s">
        <v>52</v>
      </c>
      <c r="B65" s="12">
        <v>90.0</v>
      </c>
      <c r="C65" s="13">
        <v>36.0</v>
      </c>
      <c r="D65" s="5" t="s">
        <v>125</v>
      </c>
      <c r="E65" s="9" t="s">
        <v>119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5" t="s">
        <v>123</v>
      </c>
      <c r="B66" s="12">
        <v>26.0</v>
      </c>
      <c r="C66" s="13">
        <v>96.0</v>
      </c>
      <c r="D66" s="5" t="s">
        <v>63</v>
      </c>
      <c r="E66" s="9" t="s">
        <v>124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5" t="s">
        <v>65</v>
      </c>
      <c r="B67" s="12">
        <v>110.0</v>
      </c>
      <c r="C67" s="13">
        <v>52.0</v>
      </c>
      <c r="D67" s="5" t="s">
        <v>108</v>
      </c>
      <c r="E67" s="9" t="s">
        <v>126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5" t="s">
        <v>56</v>
      </c>
      <c r="B68" s="12">
        <v>108.0</v>
      </c>
      <c r="C68" s="13">
        <v>32.0</v>
      </c>
      <c r="D68" s="5" t="s">
        <v>100</v>
      </c>
      <c r="E68" s="9" t="s">
        <v>128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5" t="s">
        <v>16</v>
      </c>
      <c r="B69" s="12">
        <v>156.0</v>
      </c>
      <c r="C69" s="13">
        <v>60.0</v>
      </c>
      <c r="D69" s="5" t="s">
        <v>69</v>
      </c>
      <c r="E69" s="9" t="s">
        <v>129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5" t="s">
        <v>50</v>
      </c>
      <c r="B70" s="12">
        <v>42.0</v>
      </c>
      <c r="C70" s="13">
        <v>16.0</v>
      </c>
      <c r="D70" s="5" t="s">
        <v>42</v>
      </c>
      <c r="E70" s="9" t="s">
        <v>130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5" t="s">
        <v>71</v>
      </c>
      <c r="B71" s="12">
        <v>38.0</v>
      </c>
      <c r="C71" s="13">
        <v>126.0</v>
      </c>
      <c r="D71" s="5" t="s">
        <v>32</v>
      </c>
      <c r="E71" s="9" t="s">
        <v>131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5"/>
      <c r="B72" s="25"/>
      <c r="C72" s="25"/>
      <c r="D72" s="25"/>
      <c r="E72" s="2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5"/>
      <c r="B73" s="25"/>
      <c r="C73" s="25"/>
      <c r="D73" s="25"/>
      <c r="E73" s="2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5" t="s">
        <v>24</v>
      </c>
      <c r="B74" s="12">
        <v>36.0</v>
      </c>
      <c r="C74" s="13">
        <v>60.0</v>
      </c>
      <c r="D74" s="5" t="s">
        <v>5</v>
      </c>
      <c r="E74" s="9" t="s">
        <v>82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5" t="s">
        <v>79</v>
      </c>
      <c r="B75" s="12">
        <v>70.0</v>
      </c>
      <c r="C75" s="13">
        <v>36.0</v>
      </c>
      <c r="D75" s="5" t="s">
        <v>101</v>
      </c>
      <c r="E75" s="9" t="s">
        <v>96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5" t="s">
        <v>13</v>
      </c>
      <c r="B76" s="12">
        <v>58.0</v>
      </c>
      <c r="C76" s="13">
        <v>48.0</v>
      </c>
      <c r="D76" s="5" t="s">
        <v>20</v>
      </c>
      <c r="E76" s="9" t="s">
        <v>99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5" t="s">
        <v>28</v>
      </c>
      <c r="B77" s="12">
        <v>64.0</v>
      </c>
      <c r="C77" s="13">
        <v>56.0</v>
      </c>
      <c r="D77" s="5" t="s">
        <v>58</v>
      </c>
      <c r="E77" s="9" t="s">
        <v>104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5" t="s">
        <v>73</v>
      </c>
      <c r="B78" s="12">
        <v>80.0</v>
      </c>
      <c r="C78" s="13">
        <v>12.0</v>
      </c>
      <c r="D78" s="5" t="s">
        <v>75</v>
      </c>
      <c r="E78" s="9" t="s">
        <v>106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5" t="s">
        <v>127</v>
      </c>
      <c r="B79" s="12">
        <v>20.0</v>
      </c>
      <c r="C79" s="13">
        <v>40.0</v>
      </c>
      <c r="D79" s="5" t="s">
        <v>30</v>
      </c>
      <c r="E79" s="9" t="s">
        <v>109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5" t="s">
        <v>113</v>
      </c>
      <c r="B80" s="12">
        <v>68.0</v>
      </c>
      <c r="C80" s="13">
        <v>56.0</v>
      </c>
      <c r="D80" s="5" t="s">
        <v>80</v>
      </c>
      <c r="E80" s="9" t="s">
        <v>112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5" t="s">
        <v>121</v>
      </c>
      <c r="B81" s="12">
        <v>36.0</v>
      </c>
      <c r="C81" s="13">
        <v>44.0</v>
      </c>
      <c r="D81" s="5" t="s">
        <v>77</v>
      </c>
      <c r="E81" s="9" t="s">
        <v>115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5" t="s">
        <v>52</v>
      </c>
      <c r="B82" s="12">
        <v>14.0</v>
      </c>
      <c r="C82" s="13">
        <v>144.0</v>
      </c>
      <c r="D82" s="5" t="s">
        <v>90</v>
      </c>
      <c r="E82" s="9" t="s">
        <v>117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5" t="s">
        <v>63</v>
      </c>
      <c r="B83" s="12">
        <v>82.0</v>
      </c>
      <c r="C83" s="13">
        <v>14.0</v>
      </c>
      <c r="D83" s="5" t="s">
        <v>16</v>
      </c>
      <c r="E83" s="9" t="s">
        <v>119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5" t="s">
        <v>65</v>
      </c>
      <c r="B84" s="12">
        <v>56.0</v>
      </c>
      <c r="C84" s="13">
        <v>68.0</v>
      </c>
      <c r="D84" s="5" t="s">
        <v>56</v>
      </c>
      <c r="E84" s="9" t="s">
        <v>124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5" t="s">
        <v>54</v>
      </c>
      <c r="B85" s="12">
        <v>36.0</v>
      </c>
      <c r="C85" s="13">
        <v>28.0</v>
      </c>
      <c r="D85" s="5" t="s">
        <v>125</v>
      </c>
      <c r="E85" s="9" t="s">
        <v>126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5" t="s">
        <v>123</v>
      </c>
      <c r="B86" s="12">
        <v>4.0</v>
      </c>
      <c r="C86" s="13">
        <v>32.0</v>
      </c>
      <c r="D86" s="5" t="s">
        <v>50</v>
      </c>
      <c r="E86" s="9" t="s">
        <v>128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5" t="s">
        <v>108</v>
      </c>
      <c r="B87" s="12">
        <v>26.0</v>
      </c>
      <c r="C87" s="13">
        <v>60.0</v>
      </c>
      <c r="D87" s="5" t="s">
        <v>69</v>
      </c>
      <c r="E87" s="9" t="s">
        <v>129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5" t="s">
        <v>100</v>
      </c>
      <c r="B88" s="12">
        <v>12.0</v>
      </c>
      <c r="C88" s="13">
        <v>70.0</v>
      </c>
      <c r="D88" s="5" t="s">
        <v>32</v>
      </c>
      <c r="E88" s="9" t="s">
        <v>130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5" t="s">
        <v>71</v>
      </c>
      <c r="B89" s="12">
        <v>50.0</v>
      </c>
      <c r="C89" s="13">
        <v>36.0</v>
      </c>
      <c r="D89" s="5" t="s">
        <v>42</v>
      </c>
      <c r="E89" s="9" t="s">
        <v>131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10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10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10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10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10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10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10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10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10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10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10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10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10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10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10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10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10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10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10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10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10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10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10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10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10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10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10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10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10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10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10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10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10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10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10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1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1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1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10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10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10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10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10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10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1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1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10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10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10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10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10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10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10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10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10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10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10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10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10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10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10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10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10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10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10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10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10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10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10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10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10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10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10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10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10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10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10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10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10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10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10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10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10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10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10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10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10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10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10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10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10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10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10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10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10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10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10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10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10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10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10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10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10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10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10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10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10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10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10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10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10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10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10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10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10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10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10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10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10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10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10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10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10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10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10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10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10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10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10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10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10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10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10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10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10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10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10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10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10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10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10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10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10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10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10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10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10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10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10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10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10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10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10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10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10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10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10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10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10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10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10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10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10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10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10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10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10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10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10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10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10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10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10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10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10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10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10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10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10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10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10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10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10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10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10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10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10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10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10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10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10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10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10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10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10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10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10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10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10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10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10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10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10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10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10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10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10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10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10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10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10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10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10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10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10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10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10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10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10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10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10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10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10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10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10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10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10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10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10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10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10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10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10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10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10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10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10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10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10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10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10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10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10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10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10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10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10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10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10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10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10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10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10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10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10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10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10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10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10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10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10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10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10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10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10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10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10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10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10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10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10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10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10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10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10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10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10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10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10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10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10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10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10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10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10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10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10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10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10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10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10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10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10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10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10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10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10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10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10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10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10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10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10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10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10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10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10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10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10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10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10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10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10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10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10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10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10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10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10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10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10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10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10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10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10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10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10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10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10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10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10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10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10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10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10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10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10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10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10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10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10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10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10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10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10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10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10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10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10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10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10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10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10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10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10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10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10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10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10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10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10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10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10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10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10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10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10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10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10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10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10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10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10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10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10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10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10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10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10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10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10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10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10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10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10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10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10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10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10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10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10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10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10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10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10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10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10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10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10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10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10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10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10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10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10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10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10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10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10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10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10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10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10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10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10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10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10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10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10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10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10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10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10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10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10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10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10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10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10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10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10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10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10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10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10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10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10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10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10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10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10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10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10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10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10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10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10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10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10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10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10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10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10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10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10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10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10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10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10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10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10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10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10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10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10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10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10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10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10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10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10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10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10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10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10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10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10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10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10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10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10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10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10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10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10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10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10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10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10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10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10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10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10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10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10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10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10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10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10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10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10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10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10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10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10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10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10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10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10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10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10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10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10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10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10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10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10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10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10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10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10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10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10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10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10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10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10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10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10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10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10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10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10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10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10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10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10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10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10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10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10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10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10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10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10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10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10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10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10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10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10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10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10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10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10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10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10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10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10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10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10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10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10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10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10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10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10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10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10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10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10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10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10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10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10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10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10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10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10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10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10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10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10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10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10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10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10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10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10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10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10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10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10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10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10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10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10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10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10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10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10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10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10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10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10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10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10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10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10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10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10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10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10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10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10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10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10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10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10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10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10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10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10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10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10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10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10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10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10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10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10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10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10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10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10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10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10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10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10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10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10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10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10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10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10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10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10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10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10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10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10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10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10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10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10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10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10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10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10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10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10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10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10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10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10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10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10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10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10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10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10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10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10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10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10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10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10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10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10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10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10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10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10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10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10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10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10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10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10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10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10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10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10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10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10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10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10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10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10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10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10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10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10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10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10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10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10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10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10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10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10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10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10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10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10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10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10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10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10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10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10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10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10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10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10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10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10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10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10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10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10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10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10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10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10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10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10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10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10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10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10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10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10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10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10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10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10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10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10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10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10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10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10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10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10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10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10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10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10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10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10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10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10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10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10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10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10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10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10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10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10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10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10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10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10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10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10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10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10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10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10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10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10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10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10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10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10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10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10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10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10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10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10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10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10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10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10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10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10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10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10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10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10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10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10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10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10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10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10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10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10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10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10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10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10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10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10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10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10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10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10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10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10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10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10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10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10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10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10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10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10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10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10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10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10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10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10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10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10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10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10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10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10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10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10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10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10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10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10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10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10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10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10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10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10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10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10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10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10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10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10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10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10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10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10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10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10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10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10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10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10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10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10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10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10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10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10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10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10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10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10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10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10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10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10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10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10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10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10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10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10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10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10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10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10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10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10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10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10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10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10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10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10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10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10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10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10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10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10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10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10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10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10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conditionalFormatting sqref="O2:O33">
    <cfRule type="cellIs" dxfId="0" priority="1" operator="lessThanOrEqual">
      <formula>6</formula>
    </cfRule>
  </conditionalFormatting>
  <conditionalFormatting sqref="O2:O33">
    <cfRule type="cellIs" dxfId="1" priority="2" operator="lessThanOrEqual">
      <formula>10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4" max="4" width="24.88"/>
    <col customWidth="1" min="9" max="9" width="25.38"/>
    <col customWidth="1" min="18" max="18" width="25.0"/>
  </cols>
  <sheetData>
    <row r="1">
      <c r="A1" s="1" t="s">
        <v>1</v>
      </c>
      <c r="B1" s="2"/>
      <c r="C1" s="2"/>
      <c r="D1" s="1" t="s">
        <v>4</v>
      </c>
      <c r="E1" s="2"/>
      <c r="F1" s="2"/>
      <c r="G1" s="2"/>
      <c r="H1" s="2"/>
      <c r="I1" s="1" t="s">
        <v>6</v>
      </c>
      <c r="J1" s="1" t="s">
        <v>7</v>
      </c>
      <c r="K1" s="1" t="s">
        <v>8</v>
      </c>
      <c r="L1" s="1" t="s">
        <v>10</v>
      </c>
      <c r="M1" s="1" t="s">
        <v>12</v>
      </c>
      <c r="N1" s="1" t="s">
        <v>17</v>
      </c>
      <c r="O1" s="1" t="s">
        <v>21</v>
      </c>
      <c r="P1" s="2"/>
      <c r="Q1" s="6" t="s">
        <v>26</v>
      </c>
      <c r="R1" s="1" t="s">
        <v>6</v>
      </c>
      <c r="S1" s="1" t="s">
        <v>7</v>
      </c>
      <c r="T1" s="1" t="s">
        <v>8</v>
      </c>
      <c r="U1" s="1" t="s">
        <v>10</v>
      </c>
      <c r="V1" s="1" t="s">
        <v>12</v>
      </c>
      <c r="W1" s="1" t="s">
        <v>17</v>
      </c>
      <c r="X1" s="1" t="s">
        <v>21</v>
      </c>
      <c r="Y1" s="2"/>
      <c r="Z1" s="2"/>
      <c r="AA1" s="2"/>
    </row>
    <row r="2">
      <c r="A2" s="5" t="s">
        <v>9</v>
      </c>
      <c r="B2" s="7">
        <v>58.0</v>
      </c>
      <c r="C2" s="8">
        <v>120.0</v>
      </c>
      <c r="D2" s="5" t="s">
        <v>49</v>
      </c>
      <c r="E2" s="9" t="s">
        <v>62</v>
      </c>
      <c r="F2" s="2"/>
      <c r="G2" s="2"/>
      <c r="H2" s="2"/>
      <c r="I2" s="2" t="str">
        <f>IFERROR(__xludf.DUMMYFUNCTION("UNIQUE(FLATTEN({A2:A17,D2:D17}))"),"Blair")</f>
        <v>Blair</v>
      </c>
      <c r="J2" s="2">
        <f t="shared" ref="J2:J31" si="1">SUMPRODUCT(($A$2:$A$1000=I2)*($B$2:$B$1000&gt;$C$2:$C$1000))+SUMPRODUCT(($D$2:$D$1000=I2)*($C$2:$C$1000&gt;$B$2:$B$1000))</f>
        <v>4</v>
      </c>
      <c r="K2" s="2">
        <f t="shared" ref="K2:K31" si="2">SUMPRODUCT(($A$2:$A$1002=I2)*($B$2:$B$1002=$C$2:$C$1002)*ISNUMBER($B$2:$B$1002)*ISNUMBER($C$2:$C$1002))
+SUMPRODUCT(($D$2:$D$1002=I2)*($C$2:$C$1002=$B$2:$B$1002)*ISNUMBER($C$2:$C$1002)*ISNUMBER($B$2:$B$1002))</f>
        <v>0</v>
      </c>
      <c r="L2" s="2">
        <f t="shared" ref="L2:L31" si="3">SUMPRODUCT(($A$2:$A$1000=I2)*($B$2:$B$1000&lt;$C$2:$C$1000))+SUMPRODUCT(($D$2:$D$1000=I2)*($C$2:$C$1000&lt;$B$2:$B$1000))</f>
        <v>1</v>
      </c>
      <c r="M2" s="20">
        <f t="shared" ref="M2:M31" si="4">IFERROR(SUMPRODUCT(($A$2:$A$1000=I2)*$B$2:$B$1000 + ($D$2:$D$1000=I2)*$C$2:$C$1000)/SUMPRODUCT(($A$2:$A$1000=I2) + ($D$2:$D$1000=I2)),"")</f>
        <v>120.4</v>
      </c>
      <c r="N2" s="20">
        <f t="shared" ref="N2:N31" si="5">1000*(2*J2+K2)+M2</f>
        <v>8120.4</v>
      </c>
      <c r="O2" s="2">
        <f t="shared" ref="O2:O31" si="6">RANK(N2,$N$2:$N$31)</f>
        <v>2</v>
      </c>
      <c r="P2" s="2"/>
      <c r="Q2" s="2"/>
      <c r="R2" s="2" t="s">
        <v>61</v>
      </c>
      <c r="S2" s="2">
        <v>5.0</v>
      </c>
      <c r="T2" s="2">
        <v>0.0</v>
      </c>
      <c r="U2" s="2">
        <v>0.0</v>
      </c>
      <c r="V2" s="20">
        <v>147.6</v>
      </c>
      <c r="W2" s="20">
        <v>10147.6</v>
      </c>
      <c r="X2" s="2">
        <v>1.0</v>
      </c>
      <c r="Y2" s="2"/>
      <c r="Z2" s="2"/>
      <c r="AA2" s="2"/>
    </row>
    <row r="3">
      <c r="A3" s="5" t="s">
        <v>14</v>
      </c>
      <c r="B3" s="7">
        <v>74.0</v>
      </c>
      <c r="C3" s="8">
        <v>44.0</v>
      </c>
      <c r="D3" s="5" t="s">
        <v>51</v>
      </c>
      <c r="E3" s="9" t="s">
        <v>92</v>
      </c>
      <c r="F3" s="2"/>
      <c r="G3" s="2"/>
      <c r="H3" s="2"/>
      <c r="I3" s="2" t="str">
        <f>IFERROR(__xludf.DUMMYFUNCTION("""COMPUTED_VALUE"""),"Lynbrook")</f>
        <v>Lynbrook</v>
      </c>
      <c r="J3" s="2">
        <f t="shared" si="1"/>
        <v>4</v>
      </c>
      <c r="K3" s="2">
        <f t="shared" si="2"/>
        <v>0</v>
      </c>
      <c r="L3" s="2">
        <f t="shared" si="3"/>
        <v>1</v>
      </c>
      <c r="M3" s="20">
        <f t="shared" si="4"/>
        <v>106.4</v>
      </c>
      <c r="N3" s="20">
        <f t="shared" si="5"/>
        <v>8106.4</v>
      </c>
      <c r="O3" s="2">
        <f t="shared" si="6"/>
        <v>4</v>
      </c>
      <c r="P3" s="2"/>
      <c r="Q3" s="2"/>
      <c r="R3" s="2" t="s">
        <v>9</v>
      </c>
      <c r="S3" s="2">
        <v>4.0</v>
      </c>
      <c r="T3" s="2">
        <v>0.0</v>
      </c>
      <c r="U3" s="2">
        <v>1.0</v>
      </c>
      <c r="V3" s="20">
        <v>120.4</v>
      </c>
      <c r="W3" s="20">
        <v>8120.4</v>
      </c>
      <c r="X3" s="2">
        <v>2.0</v>
      </c>
      <c r="Y3" s="2"/>
      <c r="Z3" s="2"/>
      <c r="AA3" s="2"/>
    </row>
    <row r="4">
      <c r="A4" s="5" t="s">
        <v>18</v>
      </c>
      <c r="B4" s="7">
        <v>96.0</v>
      </c>
      <c r="C4" s="8">
        <v>22.0</v>
      </c>
      <c r="D4" s="5" t="s">
        <v>53</v>
      </c>
      <c r="E4" s="9" t="s">
        <v>93</v>
      </c>
      <c r="F4" s="2"/>
      <c r="G4" s="2"/>
      <c r="H4" s="2"/>
      <c r="I4" s="2" t="str">
        <f>IFERROR(__xludf.DUMMYFUNCTION("""COMPUTED_VALUE"""),"BISV 1")</f>
        <v>BISV 1</v>
      </c>
      <c r="J4" s="2">
        <f t="shared" si="1"/>
        <v>1</v>
      </c>
      <c r="K4" s="2">
        <f t="shared" si="2"/>
        <v>0</v>
      </c>
      <c r="L4" s="2">
        <f t="shared" si="3"/>
        <v>4</v>
      </c>
      <c r="M4" s="20">
        <f t="shared" si="4"/>
        <v>36.8</v>
      </c>
      <c r="N4" s="20">
        <f t="shared" si="5"/>
        <v>2036.8</v>
      </c>
      <c r="O4" s="2">
        <f t="shared" si="6"/>
        <v>27</v>
      </c>
      <c r="P4" s="2"/>
      <c r="Q4" s="2"/>
      <c r="R4" s="2" t="s">
        <v>18</v>
      </c>
      <c r="S4" s="2">
        <v>4.0</v>
      </c>
      <c r="T4" s="2">
        <v>0.0</v>
      </c>
      <c r="U4" s="2">
        <v>1.0</v>
      </c>
      <c r="V4" s="20">
        <v>114.8</v>
      </c>
      <c r="W4" s="20">
        <v>8114.8</v>
      </c>
      <c r="X4" s="2">
        <v>3.0</v>
      </c>
      <c r="Y4" s="2"/>
      <c r="Z4" s="2"/>
      <c r="AA4" s="2"/>
    </row>
    <row r="5">
      <c r="A5" s="5" t="s">
        <v>22</v>
      </c>
      <c r="B5" s="7">
        <v>100.0</v>
      </c>
      <c r="C5" s="8">
        <v>18.0</v>
      </c>
      <c r="D5" s="5" t="s">
        <v>94</v>
      </c>
      <c r="E5" s="9" t="s">
        <v>95</v>
      </c>
      <c r="F5" s="2"/>
      <c r="G5" s="2"/>
      <c r="H5" s="2"/>
      <c r="I5" s="2" t="str">
        <f>IFERROR(__xludf.DUMMYFUNCTION("""COMPUTED_VALUE"""),"Arcadia 2")</f>
        <v>Arcadia 2</v>
      </c>
      <c r="J5" s="2">
        <f t="shared" si="1"/>
        <v>2</v>
      </c>
      <c r="K5" s="2">
        <f t="shared" si="2"/>
        <v>0</v>
      </c>
      <c r="L5" s="2">
        <f t="shared" si="3"/>
        <v>3</v>
      </c>
      <c r="M5" s="20">
        <f t="shared" si="4"/>
        <v>38</v>
      </c>
      <c r="N5" s="20">
        <f t="shared" si="5"/>
        <v>4038</v>
      </c>
      <c r="O5" s="2">
        <f t="shared" si="6"/>
        <v>22</v>
      </c>
      <c r="P5" s="2"/>
      <c r="Q5" s="2"/>
      <c r="R5" s="2" t="s">
        <v>49</v>
      </c>
      <c r="S5" s="2">
        <v>4.0</v>
      </c>
      <c r="T5" s="2">
        <v>0.0</v>
      </c>
      <c r="U5" s="2">
        <v>1.0</v>
      </c>
      <c r="V5" s="20">
        <v>106.4</v>
      </c>
      <c r="W5" s="20">
        <v>8106.4</v>
      </c>
      <c r="X5" s="2">
        <v>4.0</v>
      </c>
      <c r="Y5" s="2"/>
      <c r="Z5" s="2"/>
      <c r="AA5" s="2"/>
    </row>
    <row r="6">
      <c r="A6" s="5" t="s">
        <v>25</v>
      </c>
      <c r="B6" s="7">
        <v>58.0</v>
      </c>
      <c r="C6" s="8">
        <v>92.0</v>
      </c>
      <c r="D6" s="5" t="s">
        <v>57</v>
      </c>
      <c r="E6" s="9" t="s">
        <v>97</v>
      </c>
      <c r="F6" s="2"/>
      <c r="G6" s="2"/>
      <c r="H6" s="2"/>
      <c r="I6" s="2" t="str">
        <f>IFERROR(__xludf.DUMMYFUNCTION("""COMPUTED_VALUE"""),"ASFA")</f>
        <v>ASFA</v>
      </c>
      <c r="J6" s="2">
        <f t="shared" si="1"/>
        <v>4</v>
      </c>
      <c r="K6" s="2">
        <f t="shared" si="2"/>
        <v>0</v>
      </c>
      <c r="L6" s="2">
        <f t="shared" si="3"/>
        <v>1</v>
      </c>
      <c r="M6" s="20">
        <f t="shared" si="4"/>
        <v>114.8</v>
      </c>
      <c r="N6" s="20">
        <f t="shared" si="5"/>
        <v>8114.8</v>
      </c>
      <c r="O6" s="2">
        <f t="shared" si="6"/>
        <v>3</v>
      </c>
      <c r="P6" s="2"/>
      <c r="Q6" s="2"/>
      <c r="R6" s="2" t="s">
        <v>68</v>
      </c>
      <c r="S6" s="2">
        <v>4.0</v>
      </c>
      <c r="T6" s="2">
        <v>0.0</v>
      </c>
      <c r="U6" s="2">
        <v>1.0</v>
      </c>
      <c r="V6" s="20">
        <v>84.0</v>
      </c>
      <c r="W6" s="20">
        <v>8084.0</v>
      </c>
      <c r="X6" s="2">
        <v>5.0</v>
      </c>
      <c r="Y6" s="2"/>
      <c r="Z6" s="2"/>
      <c r="AA6" s="2"/>
    </row>
    <row r="7">
      <c r="A7" s="5" t="s">
        <v>29</v>
      </c>
      <c r="B7" s="7">
        <v>196.0</v>
      </c>
      <c r="C7" s="8">
        <v>36.0</v>
      </c>
      <c r="D7" s="5" t="s">
        <v>59</v>
      </c>
      <c r="E7" s="9" t="s">
        <v>98</v>
      </c>
      <c r="F7" s="2"/>
      <c r="G7" s="2"/>
      <c r="H7" s="2"/>
      <c r="I7" s="2" t="str">
        <f>IFERROR(__xludf.DUMMYFUNCTION("""COMPUTED_VALUE"""),"Ward Melville 2")</f>
        <v>Ward Melville 2</v>
      </c>
      <c r="J7" s="2">
        <f t="shared" si="1"/>
        <v>2</v>
      </c>
      <c r="K7" s="2">
        <f t="shared" si="2"/>
        <v>0</v>
      </c>
      <c r="L7" s="2">
        <f t="shared" si="3"/>
        <v>3</v>
      </c>
      <c r="M7" s="20">
        <f t="shared" si="4"/>
        <v>36.4</v>
      </c>
      <c r="N7" s="20">
        <f t="shared" si="5"/>
        <v>4036.4</v>
      </c>
      <c r="O7" s="2">
        <f t="shared" si="6"/>
        <v>23</v>
      </c>
      <c r="P7" s="2"/>
      <c r="Q7" s="2"/>
      <c r="R7" s="2" t="s">
        <v>22</v>
      </c>
      <c r="S7" s="2">
        <v>4.0</v>
      </c>
      <c r="T7" s="2">
        <v>0.0</v>
      </c>
      <c r="U7" s="2">
        <v>1.0</v>
      </c>
      <c r="V7" s="20">
        <v>75.2</v>
      </c>
      <c r="W7" s="20">
        <v>8075.2</v>
      </c>
      <c r="X7" s="2">
        <v>6.0</v>
      </c>
      <c r="Y7" s="2"/>
      <c r="Z7" s="2"/>
      <c r="AA7" s="2"/>
    </row>
    <row r="8">
      <c r="A8" s="5" t="s">
        <v>102</v>
      </c>
      <c r="B8" s="7">
        <v>88.0</v>
      </c>
      <c r="C8" s="8">
        <v>140.0</v>
      </c>
      <c r="D8" s="5" t="s">
        <v>61</v>
      </c>
      <c r="E8" s="9" t="s">
        <v>103</v>
      </c>
      <c r="F8" s="2"/>
      <c r="G8" s="2"/>
      <c r="H8" s="2"/>
      <c r="I8" s="2" t="str">
        <f>IFERROR(__xludf.DUMMYFUNCTION("""COMPUTED_VALUE"""),"WWPS 1")</f>
        <v>WWPS 1</v>
      </c>
      <c r="J8" s="2">
        <f t="shared" si="1"/>
        <v>4</v>
      </c>
      <c r="K8" s="2">
        <f t="shared" si="2"/>
        <v>0</v>
      </c>
      <c r="L8" s="2">
        <f t="shared" si="3"/>
        <v>1</v>
      </c>
      <c r="M8" s="20">
        <f t="shared" si="4"/>
        <v>75.2</v>
      </c>
      <c r="N8" s="20">
        <f t="shared" si="5"/>
        <v>8075.2</v>
      </c>
      <c r="O8" s="2">
        <f t="shared" si="6"/>
        <v>6</v>
      </c>
      <c r="P8" s="2"/>
      <c r="Q8" s="2"/>
      <c r="R8" s="2" t="s">
        <v>29</v>
      </c>
      <c r="S8" s="2">
        <v>3.0</v>
      </c>
      <c r="T8" s="2">
        <v>0.0</v>
      </c>
      <c r="U8" s="2">
        <v>2.0</v>
      </c>
      <c r="V8" s="20">
        <v>109.6</v>
      </c>
      <c r="W8" s="20">
        <v>6109.6</v>
      </c>
      <c r="X8" s="2">
        <v>7.0</v>
      </c>
      <c r="Y8" s="2"/>
      <c r="Z8" s="2"/>
      <c r="AA8" s="2"/>
    </row>
    <row r="9">
      <c r="A9" s="5" t="s">
        <v>33</v>
      </c>
      <c r="B9" s="7">
        <v>40.0</v>
      </c>
      <c r="C9" s="8">
        <v>40.0</v>
      </c>
      <c r="D9" s="5" t="s">
        <v>66</v>
      </c>
      <c r="E9" s="9" t="s">
        <v>105</v>
      </c>
      <c r="F9" s="2"/>
      <c r="H9" s="2"/>
      <c r="I9" s="2" t="str">
        <f>IFERROR(__xludf.DUMMYFUNCTION("""COMPUTED_VALUE"""),"The Woodlands")</f>
        <v>The Woodlands</v>
      </c>
      <c r="J9" s="2">
        <f t="shared" si="1"/>
        <v>0</v>
      </c>
      <c r="K9" s="2">
        <f t="shared" si="2"/>
        <v>0</v>
      </c>
      <c r="L9" s="2">
        <f t="shared" si="3"/>
        <v>5</v>
      </c>
      <c r="M9" s="20">
        <f t="shared" si="4"/>
        <v>17.6</v>
      </c>
      <c r="N9" s="20">
        <f t="shared" si="5"/>
        <v>17.6</v>
      </c>
      <c r="O9" s="2">
        <f t="shared" si="6"/>
        <v>30</v>
      </c>
      <c r="P9" s="2"/>
      <c r="Q9" s="2"/>
      <c r="R9" s="2" t="s">
        <v>91</v>
      </c>
      <c r="S9" s="2">
        <v>3.0</v>
      </c>
      <c r="T9" s="2">
        <v>0.0</v>
      </c>
      <c r="U9" s="2">
        <v>2.0</v>
      </c>
      <c r="V9" s="20">
        <v>96.4</v>
      </c>
      <c r="W9" s="20">
        <v>6096.4</v>
      </c>
      <c r="X9" s="2">
        <v>8.0</v>
      </c>
      <c r="Y9" s="2"/>
      <c r="Z9" s="2"/>
      <c r="AA9" s="2"/>
    </row>
    <row r="10">
      <c r="A10" s="5" t="s">
        <v>35</v>
      </c>
      <c r="B10" s="7">
        <v>114.0</v>
      </c>
      <c r="C10" s="8">
        <v>52.0</v>
      </c>
      <c r="D10" s="5" t="s">
        <v>64</v>
      </c>
      <c r="E10" s="9" t="s">
        <v>107</v>
      </c>
      <c r="F10" s="2"/>
      <c r="G10" s="2"/>
      <c r="H10" s="2"/>
      <c r="I10" s="2" t="str">
        <f>IFERROR(__xludf.DUMMYFUNCTION("""COMPUTED_VALUE"""),"Enloe")</f>
        <v>Enloe</v>
      </c>
      <c r="J10" s="2">
        <f t="shared" si="1"/>
        <v>3</v>
      </c>
      <c r="K10" s="2">
        <f t="shared" si="2"/>
        <v>0</v>
      </c>
      <c r="L10" s="2">
        <f t="shared" si="3"/>
        <v>2</v>
      </c>
      <c r="M10" s="20">
        <f t="shared" si="4"/>
        <v>93.6</v>
      </c>
      <c r="N10" s="20">
        <f t="shared" si="5"/>
        <v>6093.6</v>
      </c>
      <c r="O10" s="2">
        <f t="shared" si="6"/>
        <v>9</v>
      </c>
      <c r="P10" s="2"/>
      <c r="Q10" s="2"/>
      <c r="R10" s="2" t="s">
        <v>25</v>
      </c>
      <c r="S10" s="2">
        <v>3.0</v>
      </c>
      <c r="T10" s="2">
        <v>0.0</v>
      </c>
      <c r="U10" s="2">
        <v>2.0</v>
      </c>
      <c r="V10" s="20">
        <v>93.6</v>
      </c>
      <c r="W10" s="20">
        <v>6093.6</v>
      </c>
      <c r="X10" s="2">
        <v>9.0</v>
      </c>
      <c r="Y10" s="2"/>
      <c r="Z10" s="2"/>
      <c r="AA10" s="2"/>
    </row>
    <row r="11">
      <c r="A11" s="5" t="s">
        <v>37</v>
      </c>
      <c r="B11" s="7">
        <v>32.0</v>
      </c>
      <c r="C11" s="8">
        <v>112.0</v>
      </c>
      <c r="D11" s="5" t="s">
        <v>68</v>
      </c>
      <c r="E11" s="9" t="s">
        <v>110</v>
      </c>
      <c r="F11" s="2"/>
      <c r="G11" s="2"/>
      <c r="H11" s="2"/>
      <c r="I11" s="2" t="str">
        <f>IFERROR(__xludf.DUMMYFUNCTION("""COMPUTED_VALUE"""),"Gunn Varsity")</f>
        <v>Gunn Varsity</v>
      </c>
      <c r="J11" s="2">
        <f t="shared" si="1"/>
        <v>2</v>
      </c>
      <c r="K11" s="2">
        <f t="shared" si="2"/>
        <v>0</v>
      </c>
      <c r="L11" s="2">
        <f t="shared" si="3"/>
        <v>3</v>
      </c>
      <c r="M11" s="20">
        <f t="shared" si="4"/>
        <v>64.8</v>
      </c>
      <c r="N11" s="20">
        <f t="shared" si="5"/>
        <v>4064.8</v>
      </c>
      <c r="O11" s="2">
        <f t="shared" si="6"/>
        <v>16</v>
      </c>
      <c r="P11" s="2"/>
      <c r="Q11" s="2"/>
      <c r="R11" s="2" t="s">
        <v>39</v>
      </c>
      <c r="S11" s="2">
        <v>3.0</v>
      </c>
      <c r="T11" s="2">
        <v>0.0</v>
      </c>
      <c r="U11" s="2">
        <v>2.0</v>
      </c>
      <c r="V11" s="20">
        <v>92.4</v>
      </c>
      <c r="W11" s="20">
        <v>6092.4</v>
      </c>
      <c r="X11" s="2">
        <v>10.0</v>
      </c>
      <c r="Y11" s="2"/>
      <c r="Z11" s="2"/>
      <c r="AA11" s="2"/>
    </row>
    <row r="12">
      <c r="A12" s="5" t="s">
        <v>39</v>
      </c>
      <c r="B12" s="7">
        <v>102.0</v>
      </c>
      <c r="C12" s="8">
        <v>28.0</v>
      </c>
      <c r="D12" s="5" t="s">
        <v>70</v>
      </c>
      <c r="E12" s="9" t="s">
        <v>111</v>
      </c>
      <c r="F12" s="2"/>
      <c r="G12" s="2"/>
      <c r="H12" s="2"/>
      <c r="I12" s="2" t="str">
        <f>IFERROR(__xludf.DUMMYFUNCTION("""COMPUTED_VALUE"""),"University")</f>
        <v>University</v>
      </c>
      <c r="J12" s="2">
        <f t="shared" si="1"/>
        <v>3</v>
      </c>
      <c r="K12" s="2">
        <f t="shared" si="2"/>
        <v>0</v>
      </c>
      <c r="L12" s="2">
        <f t="shared" si="3"/>
        <v>2</v>
      </c>
      <c r="M12" s="20">
        <f t="shared" si="4"/>
        <v>109.6</v>
      </c>
      <c r="N12" s="20">
        <f t="shared" si="5"/>
        <v>6109.6</v>
      </c>
      <c r="O12" s="2">
        <f t="shared" si="6"/>
        <v>7</v>
      </c>
      <c r="P12" s="2"/>
      <c r="Q12" s="2"/>
      <c r="R12" s="2" t="s">
        <v>102</v>
      </c>
      <c r="S12" s="2">
        <v>3.0</v>
      </c>
      <c r="T12" s="2">
        <v>0.0</v>
      </c>
      <c r="U12" s="2">
        <v>2.0</v>
      </c>
      <c r="V12" s="20">
        <v>90.4</v>
      </c>
      <c r="W12" s="20">
        <v>6090.4</v>
      </c>
      <c r="X12" s="2">
        <v>11.0</v>
      </c>
      <c r="Y12" s="2"/>
      <c r="Z12" s="2"/>
      <c r="AA12" s="2"/>
    </row>
    <row r="13">
      <c r="A13" s="5" t="s">
        <v>41</v>
      </c>
      <c r="B13" s="7">
        <v>38.0</v>
      </c>
      <c r="C13" s="8">
        <v>120.0</v>
      </c>
      <c r="D13" s="5" t="s">
        <v>91</v>
      </c>
      <c r="E13" s="9" t="s">
        <v>114</v>
      </c>
      <c r="F13" s="2"/>
      <c r="G13" s="2"/>
      <c r="H13" s="2"/>
      <c r="I13" s="2" t="str">
        <f>IFERROR(__xludf.DUMMYFUNCTION("""COMPUTED_VALUE"""),"Dulles Dolls 2")</f>
        <v>Dulles Dolls 2</v>
      </c>
      <c r="J13" s="2">
        <f t="shared" si="1"/>
        <v>1</v>
      </c>
      <c r="K13" s="2">
        <f t="shared" si="2"/>
        <v>0</v>
      </c>
      <c r="L13" s="2">
        <f t="shared" si="3"/>
        <v>4</v>
      </c>
      <c r="M13" s="20">
        <f t="shared" si="4"/>
        <v>27.2</v>
      </c>
      <c r="N13" s="20">
        <f t="shared" si="5"/>
        <v>2027.2</v>
      </c>
      <c r="O13" s="2">
        <f t="shared" si="6"/>
        <v>29</v>
      </c>
      <c r="P13" s="2"/>
      <c r="Q13" s="2"/>
      <c r="R13" s="2" t="s">
        <v>41</v>
      </c>
      <c r="S13" s="2">
        <v>3.0</v>
      </c>
      <c r="T13" s="2">
        <v>0.0</v>
      </c>
      <c r="U13" s="2">
        <v>2.0</v>
      </c>
      <c r="V13" s="20">
        <v>64.4</v>
      </c>
      <c r="W13" s="20">
        <v>6064.4</v>
      </c>
      <c r="X13" s="2">
        <v>12.0</v>
      </c>
      <c r="Y13" s="2"/>
      <c r="Z13" s="2"/>
      <c r="AA13" s="2"/>
    </row>
    <row r="14">
      <c r="A14" s="5" t="s">
        <v>43</v>
      </c>
      <c r="B14" s="7">
        <v>68.0</v>
      </c>
      <c r="C14" s="8">
        <v>100.0</v>
      </c>
      <c r="D14" s="5" t="s">
        <v>74</v>
      </c>
      <c r="E14" s="9" t="s">
        <v>116</v>
      </c>
      <c r="F14" s="2"/>
      <c r="G14" s="2"/>
      <c r="H14" s="2"/>
      <c r="I14" s="2" t="str">
        <f>IFERROR(__xludf.DUMMYFUNCTION("""COMPUTED_VALUE"""),"Eastlake")</f>
        <v>Eastlake</v>
      </c>
      <c r="J14" s="2">
        <f t="shared" si="1"/>
        <v>3</v>
      </c>
      <c r="K14" s="2">
        <f t="shared" si="2"/>
        <v>0</v>
      </c>
      <c r="L14" s="2">
        <f t="shared" si="3"/>
        <v>2</v>
      </c>
      <c r="M14" s="20">
        <f t="shared" si="4"/>
        <v>90.4</v>
      </c>
      <c r="N14" s="20">
        <f t="shared" si="5"/>
        <v>6090.4</v>
      </c>
      <c r="O14" s="2">
        <f t="shared" si="6"/>
        <v>11</v>
      </c>
      <c r="P14" s="2"/>
      <c r="Q14" s="2"/>
      <c r="R14" s="2" t="s">
        <v>37</v>
      </c>
      <c r="S14" s="2">
        <v>3.0</v>
      </c>
      <c r="T14" s="2">
        <v>0.0</v>
      </c>
      <c r="U14" s="2">
        <v>2.0</v>
      </c>
      <c r="V14" s="20">
        <v>56.0</v>
      </c>
      <c r="W14" s="20">
        <v>6056.0</v>
      </c>
      <c r="X14" s="2">
        <v>13.0</v>
      </c>
      <c r="Y14" s="2"/>
      <c r="Z14" s="2"/>
      <c r="AA14" s="2"/>
    </row>
    <row r="15">
      <c r="A15" s="5" t="s">
        <v>45</v>
      </c>
      <c r="B15" s="7">
        <v>72.0</v>
      </c>
      <c r="C15" s="8">
        <v>70.0</v>
      </c>
      <c r="D15" s="5" t="s">
        <v>76</v>
      </c>
      <c r="E15" s="9" t="s">
        <v>118</v>
      </c>
      <c r="F15" s="2"/>
      <c r="G15" s="2"/>
      <c r="H15" s="2"/>
      <c r="I15" s="2" t="str">
        <f>IFERROR(__xludf.DUMMYFUNCTION("""COMPUTED_VALUE"""),"Galen 2")</f>
        <v>Galen 2</v>
      </c>
      <c r="J15" s="2">
        <f t="shared" si="1"/>
        <v>5</v>
      </c>
      <c r="K15" s="2">
        <f t="shared" si="2"/>
        <v>0</v>
      </c>
      <c r="L15" s="2">
        <f t="shared" si="3"/>
        <v>0</v>
      </c>
      <c r="M15" s="20">
        <f t="shared" si="4"/>
        <v>147.6</v>
      </c>
      <c r="N15" s="20">
        <f t="shared" si="5"/>
        <v>10147.6</v>
      </c>
      <c r="O15" s="2">
        <f t="shared" si="6"/>
        <v>1</v>
      </c>
      <c r="P15" s="2"/>
      <c r="Q15" s="2"/>
      <c r="R15" s="2" t="s">
        <v>47</v>
      </c>
      <c r="S15" s="2">
        <v>3.0</v>
      </c>
      <c r="T15" s="2">
        <v>0.0</v>
      </c>
      <c r="U15" s="2">
        <v>2.0</v>
      </c>
      <c r="V15" s="20">
        <v>46.0</v>
      </c>
      <c r="W15" s="20">
        <v>6046.0</v>
      </c>
      <c r="X15" s="2">
        <v>14.0</v>
      </c>
      <c r="Y15" s="2"/>
      <c r="Z15" s="2"/>
      <c r="AA15" s="2"/>
    </row>
    <row r="16">
      <c r="A16" s="5" t="s">
        <v>47</v>
      </c>
      <c r="B16" s="7">
        <v>66.0</v>
      </c>
      <c r="C16" s="8">
        <v>48.0</v>
      </c>
      <c r="D16" s="5" t="s">
        <v>78</v>
      </c>
      <c r="E16" s="9" t="s">
        <v>120</v>
      </c>
      <c r="F16" s="2"/>
      <c r="G16" s="2"/>
      <c r="H16" s="2"/>
      <c r="I16" s="2" t="str">
        <f>IFERROR(__xludf.DUMMYFUNCTION("""COMPUTED_VALUE"""),"Synthase")</f>
        <v>Synthase</v>
      </c>
      <c r="J16" s="2">
        <f t="shared" si="1"/>
        <v>2</v>
      </c>
      <c r="K16" s="2">
        <f t="shared" si="2"/>
        <v>1</v>
      </c>
      <c r="L16" s="2">
        <f t="shared" si="3"/>
        <v>2</v>
      </c>
      <c r="M16" s="20">
        <f t="shared" si="4"/>
        <v>42.8</v>
      </c>
      <c r="N16" s="20">
        <f t="shared" si="5"/>
        <v>5042.8</v>
      </c>
      <c r="O16" s="2">
        <f t="shared" si="6"/>
        <v>15</v>
      </c>
      <c r="P16" s="2"/>
      <c r="Q16" s="2"/>
      <c r="R16" s="2" t="s">
        <v>33</v>
      </c>
      <c r="S16" s="2">
        <v>2.0</v>
      </c>
      <c r="T16" s="2">
        <v>1.0</v>
      </c>
      <c r="U16" s="2">
        <v>2.0</v>
      </c>
      <c r="V16" s="20">
        <v>42.8</v>
      </c>
      <c r="W16" s="20">
        <v>5042.8</v>
      </c>
      <c r="X16" s="2">
        <v>15.0</v>
      </c>
      <c r="Y16" s="2"/>
      <c r="Z16" s="2"/>
      <c r="AA16" s="2"/>
    </row>
    <row r="17">
      <c r="A17" s="5"/>
      <c r="B17" s="7"/>
      <c r="C17" s="8"/>
      <c r="D17" s="5"/>
      <c r="E17" s="9" t="s">
        <v>122</v>
      </c>
      <c r="F17" s="2"/>
      <c r="G17" s="2"/>
      <c r="H17" s="2"/>
      <c r="I17" s="2" t="str">
        <f>IFERROR(__xludf.DUMMYFUNCTION("""COMPUTED_VALUE"""),"Friendswood")</f>
        <v>Friendswood</v>
      </c>
      <c r="J17" s="2">
        <f t="shared" si="1"/>
        <v>1</v>
      </c>
      <c r="K17" s="2">
        <f t="shared" si="2"/>
        <v>1</v>
      </c>
      <c r="L17" s="2">
        <f t="shared" si="3"/>
        <v>3</v>
      </c>
      <c r="M17" s="20">
        <f t="shared" si="4"/>
        <v>24.4</v>
      </c>
      <c r="N17" s="20">
        <f t="shared" si="5"/>
        <v>3024.4</v>
      </c>
      <c r="O17" s="2">
        <f t="shared" si="6"/>
        <v>25</v>
      </c>
      <c r="P17" s="2"/>
      <c r="Q17" s="2"/>
      <c r="R17" s="2" t="s">
        <v>57</v>
      </c>
      <c r="S17" s="2">
        <v>2.0</v>
      </c>
      <c r="T17" s="2">
        <v>0.0</v>
      </c>
      <c r="U17" s="2">
        <v>3.0</v>
      </c>
      <c r="V17" s="20">
        <v>64.8</v>
      </c>
      <c r="W17" s="20">
        <v>4064.8</v>
      </c>
      <c r="X17" s="2">
        <v>16.0</v>
      </c>
      <c r="Y17" s="2"/>
      <c r="Z17" s="2"/>
      <c r="AA17" s="2"/>
    </row>
    <row r="18">
      <c r="A18" s="25"/>
      <c r="B18" s="25"/>
      <c r="C18" s="25"/>
      <c r="D18" s="25"/>
      <c r="E18" s="26"/>
      <c r="F18" s="2"/>
      <c r="G18" s="2"/>
      <c r="H18" s="2"/>
      <c r="I18" s="2" t="str">
        <f>IFERROR(__xludf.DUMMYFUNCTION("""COMPUTED_VALUE"""),"State College Area")</f>
        <v>State College Area</v>
      </c>
      <c r="J18" s="2">
        <f t="shared" si="1"/>
        <v>2</v>
      </c>
      <c r="K18" s="2">
        <f t="shared" si="2"/>
        <v>0</v>
      </c>
      <c r="L18" s="2">
        <f t="shared" si="3"/>
        <v>3</v>
      </c>
      <c r="M18" s="20">
        <f t="shared" si="4"/>
        <v>47.6</v>
      </c>
      <c r="N18" s="20">
        <f t="shared" si="5"/>
        <v>4047.6</v>
      </c>
      <c r="O18" s="2">
        <f t="shared" si="6"/>
        <v>19</v>
      </c>
      <c r="P18" s="2"/>
      <c r="Q18" s="2"/>
      <c r="R18" s="2" t="s">
        <v>43</v>
      </c>
      <c r="S18" s="2">
        <v>2.0</v>
      </c>
      <c r="T18" s="2">
        <v>0.0</v>
      </c>
      <c r="U18" s="2">
        <v>3.0</v>
      </c>
      <c r="V18" s="20">
        <v>60.0</v>
      </c>
      <c r="W18" s="20">
        <v>4060.0</v>
      </c>
      <c r="X18" s="2">
        <v>17.0</v>
      </c>
      <c r="Y18" s="2"/>
      <c r="Z18" s="2"/>
      <c r="AA18" s="2"/>
    </row>
    <row r="19">
      <c r="A19" s="27"/>
      <c r="B19" s="25"/>
      <c r="C19" s="25"/>
      <c r="D19" s="25"/>
      <c r="E19" s="26"/>
      <c r="F19" s="2"/>
      <c r="G19" s="2"/>
      <c r="H19" s="2"/>
      <c r="I19" s="2" t="str">
        <f>IFERROR(__xludf.DUMMYFUNCTION("""COMPUTED_VALUE"""),"Phoenix")</f>
        <v>Phoenix</v>
      </c>
      <c r="J19" s="2">
        <f t="shared" si="1"/>
        <v>2</v>
      </c>
      <c r="K19" s="2">
        <f t="shared" si="2"/>
        <v>0</v>
      </c>
      <c r="L19" s="2">
        <f t="shared" si="3"/>
        <v>3</v>
      </c>
      <c r="M19" s="20">
        <f t="shared" si="4"/>
        <v>38.8</v>
      </c>
      <c r="N19" s="20">
        <f t="shared" si="5"/>
        <v>4038.8</v>
      </c>
      <c r="O19" s="2">
        <f t="shared" si="6"/>
        <v>21</v>
      </c>
      <c r="P19" s="2"/>
      <c r="Q19" s="2"/>
      <c r="R19" s="2" t="s">
        <v>76</v>
      </c>
      <c r="S19" s="2">
        <v>2.0</v>
      </c>
      <c r="T19" s="2">
        <v>0.0</v>
      </c>
      <c r="U19" s="2">
        <v>3.0</v>
      </c>
      <c r="V19" s="20">
        <v>57.6</v>
      </c>
      <c r="W19" s="20">
        <v>4057.6</v>
      </c>
      <c r="X19" s="2">
        <v>18.0</v>
      </c>
      <c r="Y19" s="2"/>
      <c r="Z19" s="2"/>
      <c r="AA19" s="2"/>
    </row>
    <row r="20">
      <c r="A20" s="5" t="s">
        <v>39</v>
      </c>
      <c r="B20" s="7">
        <v>104.0</v>
      </c>
      <c r="C20" s="8">
        <v>112.0</v>
      </c>
      <c r="D20" s="5" t="s">
        <v>29</v>
      </c>
      <c r="E20" s="9" t="s">
        <v>62</v>
      </c>
      <c r="F20" s="2"/>
      <c r="G20" s="2"/>
      <c r="H20" s="2"/>
      <c r="I20" s="2" t="str">
        <f>IFERROR(__xludf.DUMMYFUNCTION("""COMPUTED_VALUE"""),"Timberline")</f>
        <v>Timberline</v>
      </c>
      <c r="J20" s="2">
        <f t="shared" si="1"/>
        <v>3</v>
      </c>
      <c r="K20" s="2">
        <f t="shared" si="2"/>
        <v>0</v>
      </c>
      <c r="L20" s="2">
        <f t="shared" si="3"/>
        <v>2</v>
      </c>
      <c r="M20" s="20">
        <f t="shared" si="4"/>
        <v>56</v>
      </c>
      <c r="N20" s="20">
        <f t="shared" si="5"/>
        <v>6056</v>
      </c>
      <c r="O20" s="2">
        <f t="shared" si="6"/>
        <v>13</v>
      </c>
      <c r="P20" s="2"/>
      <c r="Q20" s="2"/>
      <c r="R20" s="2" t="s">
        <v>35</v>
      </c>
      <c r="S20" s="2">
        <v>2.0</v>
      </c>
      <c r="T20" s="2">
        <v>0.0</v>
      </c>
      <c r="U20" s="2">
        <v>3.0</v>
      </c>
      <c r="V20" s="20">
        <v>47.6</v>
      </c>
      <c r="W20" s="20">
        <v>4047.6</v>
      </c>
      <c r="X20" s="2">
        <v>19.0</v>
      </c>
      <c r="Y20" s="2"/>
      <c r="Z20" s="2"/>
      <c r="AA20" s="2"/>
    </row>
    <row r="21">
      <c r="A21" s="5" t="s">
        <v>45</v>
      </c>
      <c r="B21" s="7">
        <v>64.0</v>
      </c>
      <c r="C21" s="8">
        <v>74.0</v>
      </c>
      <c r="D21" s="5" t="s">
        <v>22</v>
      </c>
      <c r="E21" s="9" t="s">
        <v>92</v>
      </c>
      <c r="F21" s="2"/>
      <c r="G21" s="2"/>
      <c r="H21" s="2"/>
      <c r="I21" s="2" t="str">
        <f>IFERROR(__xludf.DUMMYFUNCTION("""COMPUTED_VALUE"""),"LeBroncos")</f>
        <v>LeBroncos</v>
      </c>
      <c r="J21" s="2">
        <f t="shared" si="1"/>
        <v>4</v>
      </c>
      <c r="K21" s="2">
        <f t="shared" si="2"/>
        <v>0</v>
      </c>
      <c r="L21" s="2">
        <f t="shared" si="3"/>
        <v>1</v>
      </c>
      <c r="M21" s="20">
        <f t="shared" si="4"/>
        <v>84</v>
      </c>
      <c r="N21" s="20">
        <f t="shared" si="5"/>
        <v>8084</v>
      </c>
      <c r="O21" s="2">
        <f t="shared" si="6"/>
        <v>5</v>
      </c>
      <c r="P21" s="2"/>
      <c r="Q21" s="2"/>
      <c r="R21" s="2" t="s">
        <v>74</v>
      </c>
      <c r="S21" s="2">
        <v>2.0</v>
      </c>
      <c r="T21" s="2">
        <v>0.0</v>
      </c>
      <c r="U21" s="2">
        <v>3.0</v>
      </c>
      <c r="V21" s="20">
        <v>45.6</v>
      </c>
      <c r="W21" s="20">
        <v>4045.6</v>
      </c>
      <c r="X21" s="2">
        <v>20.0</v>
      </c>
      <c r="Y21" s="2"/>
      <c r="Z21" s="2"/>
      <c r="AA21" s="2"/>
    </row>
    <row r="22">
      <c r="A22" s="5" t="s">
        <v>47</v>
      </c>
      <c r="B22" s="7">
        <v>26.0</v>
      </c>
      <c r="C22" s="8">
        <v>118.0</v>
      </c>
      <c r="D22" s="5" t="s">
        <v>18</v>
      </c>
      <c r="E22" s="9" t="s">
        <v>93</v>
      </c>
      <c r="F22" s="2"/>
      <c r="G22" s="5"/>
      <c r="H22" s="2"/>
      <c r="I22" s="2" t="str">
        <f>IFERROR(__xludf.DUMMYFUNCTION("""COMPUTED_VALUE"""),"Lubbock")</f>
        <v>Lubbock</v>
      </c>
      <c r="J22" s="2">
        <f t="shared" si="1"/>
        <v>3</v>
      </c>
      <c r="K22" s="2">
        <f t="shared" si="2"/>
        <v>0</v>
      </c>
      <c r="L22" s="2">
        <f t="shared" si="3"/>
        <v>2</v>
      </c>
      <c r="M22" s="20">
        <f t="shared" si="4"/>
        <v>92.4</v>
      </c>
      <c r="N22" s="20">
        <f t="shared" si="5"/>
        <v>6092.4</v>
      </c>
      <c r="O22" s="2">
        <f t="shared" si="6"/>
        <v>10</v>
      </c>
      <c r="P22" s="2"/>
      <c r="Q22" s="2"/>
      <c r="R22" s="2" t="s">
        <v>64</v>
      </c>
      <c r="S22" s="2">
        <v>2.0</v>
      </c>
      <c r="T22" s="2">
        <v>0.0</v>
      </c>
      <c r="U22" s="2">
        <v>3.0</v>
      </c>
      <c r="V22" s="20">
        <v>38.8</v>
      </c>
      <c r="W22" s="20">
        <v>4038.8</v>
      </c>
      <c r="X22" s="2">
        <v>21.0</v>
      </c>
      <c r="Y22" s="2"/>
      <c r="Z22" s="2"/>
      <c r="AA22" s="2"/>
    </row>
    <row r="23">
      <c r="A23" s="5" t="s">
        <v>68</v>
      </c>
      <c r="B23" s="7">
        <v>46.0</v>
      </c>
      <c r="C23" s="8">
        <v>102.0</v>
      </c>
      <c r="D23" s="5" t="s">
        <v>49</v>
      </c>
      <c r="E23" s="9" t="s">
        <v>95</v>
      </c>
      <c r="F23" s="2"/>
      <c r="G23" s="2"/>
      <c r="H23" s="2"/>
      <c r="I23" s="2" t="str">
        <f>IFERROR(__xludf.DUMMYFUNCTION("""COMPUTED_VALUE"""),"ENHS")</f>
        <v>ENHS</v>
      </c>
      <c r="J23" s="2">
        <f t="shared" si="1"/>
        <v>1</v>
      </c>
      <c r="K23" s="2">
        <f t="shared" si="2"/>
        <v>0</v>
      </c>
      <c r="L23" s="2">
        <f t="shared" si="3"/>
        <v>4</v>
      </c>
      <c r="M23" s="20">
        <f t="shared" si="4"/>
        <v>34.4</v>
      </c>
      <c r="N23" s="20">
        <f t="shared" si="5"/>
        <v>2034.4</v>
      </c>
      <c r="O23" s="2">
        <f t="shared" si="6"/>
        <v>28</v>
      </c>
      <c r="P23" s="2"/>
      <c r="Q23" s="2"/>
      <c r="R23" s="2" t="s">
        <v>51</v>
      </c>
      <c r="S23" s="2">
        <v>2.0</v>
      </c>
      <c r="T23" s="2">
        <v>0.0</v>
      </c>
      <c r="U23" s="2">
        <v>3.0</v>
      </c>
      <c r="V23" s="20">
        <v>38.0</v>
      </c>
      <c r="W23" s="20">
        <v>4038.0</v>
      </c>
      <c r="X23" s="2">
        <v>22.0</v>
      </c>
      <c r="Y23" s="2"/>
      <c r="Z23" s="2"/>
      <c r="AA23" s="2"/>
    </row>
    <row r="24">
      <c r="A24" s="5" t="s">
        <v>91</v>
      </c>
      <c r="B24" s="7">
        <v>176.0</v>
      </c>
      <c r="C24" s="8">
        <v>16.0</v>
      </c>
      <c r="D24" s="5" t="s">
        <v>74</v>
      </c>
      <c r="E24" s="9" t="s">
        <v>97</v>
      </c>
      <c r="F24" s="2"/>
      <c r="G24" s="2"/>
      <c r="H24" s="2"/>
      <c r="I24" s="2" t="str">
        <f>IFERROR(__xludf.DUMMYFUNCTION("""COMPUTED_VALUE"""),"Collierville")</f>
        <v>Collierville</v>
      </c>
      <c r="J24" s="2">
        <f t="shared" si="1"/>
        <v>3</v>
      </c>
      <c r="K24" s="2">
        <f t="shared" si="2"/>
        <v>0</v>
      </c>
      <c r="L24" s="2">
        <f t="shared" si="3"/>
        <v>2</v>
      </c>
      <c r="M24" s="20">
        <f t="shared" si="4"/>
        <v>64.4</v>
      </c>
      <c r="N24" s="20">
        <f t="shared" si="5"/>
        <v>6064.4</v>
      </c>
      <c r="O24" s="2">
        <f t="shared" si="6"/>
        <v>12</v>
      </c>
      <c r="P24" s="2"/>
      <c r="Q24" s="2"/>
      <c r="R24" s="2" t="s">
        <v>53</v>
      </c>
      <c r="S24" s="2">
        <v>2.0</v>
      </c>
      <c r="T24" s="2">
        <v>0.0</v>
      </c>
      <c r="U24" s="2">
        <v>3.0</v>
      </c>
      <c r="V24" s="20">
        <v>36.4</v>
      </c>
      <c r="W24" s="20">
        <v>4036.4</v>
      </c>
      <c r="X24" s="2">
        <v>23.0</v>
      </c>
      <c r="Y24" s="2"/>
      <c r="Z24" s="2"/>
      <c r="AA24" s="2"/>
    </row>
    <row r="25">
      <c r="A25" s="5" t="s">
        <v>61</v>
      </c>
      <c r="B25" s="7">
        <v>192.0</v>
      </c>
      <c r="C25" s="8">
        <v>70.0</v>
      </c>
      <c r="D25" s="5" t="s">
        <v>57</v>
      </c>
      <c r="E25" s="9" t="s">
        <v>98</v>
      </c>
      <c r="F25" s="2"/>
      <c r="G25" s="2"/>
      <c r="H25" s="2"/>
      <c r="I25" s="2" t="str">
        <f>IFERROR(__xludf.DUMMYFUNCTION("""COMPUTED_VALUE"""),"Elkins")</f>
        <v>Elkins</v>
      </c>
      <c r="J25" s="2">
        <f t="shared" si="1"/>
        <v>3</v>
      </c>
      <c r="K25" s="2">
        <f t="shared" si="2"/>
        <v>0</v>
      </c>
      <c r="L25" s="2">
        <f t="shared" si="3"/>
        <v>2</v>
      </c>
      <c r="M25" s="20">
        <f t="shared" si="4"/>
        <v>96.4</v>
      </c>
      <c r="N25" s="20">
        <f t="shared" si="5"/>
        <v>6096.4</v>
      </c>
      <c r="O25" s="2">
        <f t="shared" si="6"/>
        <v>8</v>
      </c>
      <c r="P25" s="2"/>
      <c r="Q25" s="2"/>
      <c r="R25" s="2" t="s">
        <v>78</v>
      </c>
      <c r="S25" s="2">
        <v>2.0</v>
      </c>
      <c r="T25" s="2">
        <v>0.0</v>
      </c>
      <c r="U25" s="2">
        <v>3.0</v>
      </c>
      <c r="V25" s="20">
        <v>32.4</v>
      </c>
      <c r="W25" s="20">
        <v>4032.4</v>
      </c>
      <c r="X25" s="2">
        <v>24.0</v>
      </c>
      <c r="Y25" s="2"/>
      <c r="Z25" s="2"/>
      <c r="AA25" s="2"/>
    </row>
    <row r="26">
      <c r="A26" s="5" t="s">
        <v>14</v>
      </c>
      <c r="B26" s="7">
        <v>32.0</v>
      </c>
      <c r="C26" s="8">
        <v>82.0</v>
      </c>
      <c r="D26" s="5" t="s">
        <v>35</v>
      </c>
      <c r="E26" s="9" t="s">
        <v>103</v>
      </c>
      <c r="F26" s="2"/>
      <c r="G26" s="2"/>
      <c r="H26" s="2"/>
      <c r="I26" s="2" t="str">
        <f>IFERROR(__xludf.DUMMYFUNCTION("""COMPUTED_VALUE"""),"NoHo 2")</f>
        <v>NoHo 2</v>
      </c>
      <c r="J26" s="2">
        <f t="shared" si="1"/>
        <v>2</v>
      </c>
      <c r="K26" s="2">
        <f t="shared" si="2"/>
        <v>0</v>
      </c>
      <c r="L26" s="2">
        <f t="shared" si="3"/>
        <v>3</v>
      </c>
      <c r="M26" s="20">
        <f t="shared" si="4"/>
        <v>60</v>
      </c>
      <c r="N26" s="20">
        <f t="shared" si="5"/>
        <v>4060</v>
      </c>
      <c r="O26" s="2">
        <f t="shared" si="6"/>
        <v>17</v>
      </c>
      <c r="P26" s="2"/>
      <c r="Q26" s="2"/>
      <c r="R26" s="2" t="s">
        <v>66</v>
      </c>
      <c r="S26" s="2">
        <v>1.0</v>
      </c>
      <c r="T26" s="2">
        <v>1.0</v>
      </c>
      <c r="U26" s="2">
        <v>3.0</v>
      </c>
      <c r="V26" s="20">
        <v>24.4</v>
      </c>
      <c r="W26" s="20">
        <v>3024.4</v>
      </c>
      <c r="X26" s="2">
        <v>25.0</v>
      </c>
      <c r="Y26" s="2"/>
      <c r="Z26" s="2"/>
      <c r="AA26" s="2"/>
    </row>
    <row r="27">
      <c r="A27" s="5" t="s">
        <v>66</v>
      </c>
      <c r="B27" s="7">
        <v>26.0</v>
      </c>
      <c r="C27" s="8">
        <v>66.0</v>
      </c>
      <c r="D27" s="5" t="s">
        <v>33</v>
      </c>
      <c r="E27" s="9" t="s">
        <v>105</v>
      </c>
      <c r="F27" s="2"/>
      <c r="G27" s="2"/>
      <c r="H27" s="2"/>
      <c r="I27" s="2" t="str">
        <f>IFERROR(__xludf.DUMMYFUNCTION("""COMPUTED_VALUE"""),"Harvard-Westlake")</f>
        <v>Harvard-Westlake</v>
      </c>
      <c r="J27" s="2">
        <f t="shared" si="1"/>
        <v>2</v>
      </c>
      <c r="K27" s="2">
        <f t="shared" si="2"/>
        <v>0</v>
      </c>
      <c r="L27" s="2">
        <f t="shared" si="3"/>
        <v>3</v>
      </c>
      <c r="M27" s="20">
        <f t="shared" si="4"/>
        <v>45.6</v>
      </c>
      <c r="N27" s="20">
        <f t="shared" si="5"/>
        <v>4045.6</v>
      </c>
      <c r="O27" s="2">
        <f t="shared" si="6"/>
        <v>20</v>
      </c>
      <c r="P27" s="2"/>
      <c r="Q27" s="2"/>
      <c r="R27" s="2" t="s">
        <v>45</v>
      </c>
      <c r="S27" s="2">
        <v>1.0</v>
      </c>
      <c r="T27" s="2">
        <v>0.0</v>
      </c>
      <c r="U27" s="2">
        <v>4.0</v>
      </c>
      <c r="V27" s="20">
        <v>47.2</v>
      </c>
      <c r="W27" s="20">
        <v>2047.2</v>
      </c>
      <c r="X27" s="2">
        <v>26.0</v>
      </c>
      <c r="Y27" s="2"/>
      <c r="Z27" s="2"/>
      <c r="AA27" s="2"/>
    </row>
    <row r="28">
      <c r="A28" s="5" t="s">
        <v>51</v>
      </c>
      <c r="B28" s="7">
        <v>40.0</v>
      </c>
      <c r="C28" s="8">
        <v>122.0</v>
      </c>
      <c r="D28" s="5" t="s">
        <v>102</v>
      </c>
      <c r="E28" s="9" t="s">
        <v>107</v>
      </c>
      <c r="F28" s="2"/>
      <c r="G28" s="2"/>
      <c r="H28" s="2"/>
      <c r="I28" s="2" t="str">
        <f>IFERROR(__xludf.DUMMYFUNCTION("""COMPUTED_VALUE"""),"The Outliers")</f>
        <v>The Outliers</v>
      </c>
      <c r="J28" s="2">
        <f t="shared" si="1"/>
        <v>1</v>
      </c>
      <c r="K28" s="2">
        <f t="shared" si="2"/>
        <v>0</v>
      </c>
      <c r="L28" s="2">
        <f t="shared" si="3"/>
        <v>4</v>
      </c>
      <c r="M28" s="20">
        <f t="shared" si="4"/>
        <v>47.2</v>
      </c>
      <c r="N28" s="20">
        <f t="shared" si="5"/>
        <v>2047.2</v>
      </c>
      <c r="O28" s="2">
        <f t="shared" si="6"/>
        <v>26</v>
      </c>
      <c r="P28" s="2"/>
      <c r="Q28" s="2"/>
      <c r="R28" s="2" t="s">
        <v>14</v>
      </c>
      <c r="S28" s="2">
        <v>1.0</v>
      </c>
      <c r="T28" s="2">
        <v>0.0</v>
      </c>
      <c r="U28" s="2">
        <v>4.0</v>
      </c>
      <c r="V28" s="20">
        <v>36.8</v>
      </c>
      <c r="W28" s="20">
        <v>2036.8</v>
      </c>
      <c r="X28" s="2">
        <v>27.0</v>
      </c>
      <c r="Y28" s="2"/>
      <c r="Z28" s="2"/>
      <c r="AA28" s="2"/>
    </row>
    <row r="29">
      <c r="A29" s="5" t="s">
        <v>41</v>
      </c>
      <c r="B29" s="7">
        <v>144.0</v>
      </c>
      <c r="C29" s="8">
        <v>2.0</v>
      </c>
      <c r="D29" s="5" t="s">
        <v>64</v>
      </c>
      <c r="E29" s="9" t="s">
        <v>110</v>
      </c>
      <c r="F29" s="2"/>
      <c r="G29" s="2"/>
      <c r="H29" s="2"/>
      <c r="I29" s="2" t="str">
        <f>IFERROR(__xludf.DUMMYFUNCTION("""COMPUTED_VALUE"""),"American Heritage Broward")</f>
        <v>American Heritage Broward</v>
      </c>
      <c r="J29" s="2">
        <f t="shared" si="1"/>
        <v>2</v>
      </c>
      <c r="K29" s="2">
        <f t="shared" si="2"/>
        <v>0</v>
      </c>
      <c r="L29" s="2">
        <f t="shared" si="3"/>
        <v>3</v>
      </c>
      <c r="M29" s="20">
        <f t="shared" si="4"/>
        <v>57.6</v>
      </c>
      <c r="N29" s="20">
        <f t="shared" si="5"/>
        <v>4057.6</v>
      </c>
      <c r="O29" s="2">
        <f t="shared" si="6"/>
        <v>18</v>
      </c>
      <c r="P29" s="2"/>
      <c r="Q29" s="2"/>
      <c r="R29" s="2" t="s">
        <v>70</v>
      </c>
      <c r="S29" s="2">
        <v>1.0</v>
      </c>
      <c r="T29" s="2">
        <v>0.0</v>
      </c>
      <c r="U29" s="2">
        <v>4.0</v>
      </c>
      <c r="V29" s="20">
        <v>34.4</v>
      </c>
      <c r="W29" s="20">
        <v>2034.4</v>
      </c>
      <c r="X29" s="2">
        <v>28.0</v>
      </c>
      <c r="Y29" s="2"/>
      <c r="Z29" s="2"/>
      <c r="AA29" s="2"/>
    </row>
    <row r="30">
      <c r="A30" s="5" t="s">
        <v>25</v>
      </c>
      <c r="B30" s="7">
        <v>148.0</v>
      </c>
      <c r="C30" s="8">
        <v>4.0</v>
      </c>
      <c r="D30" s="5" t="s">
        <v>78</v>
      </c>
      <c r="E30" s="9" t="s">
        <v>111</v>
      </c>
      <c r="F30" s="2"/>
      <c r="G30" s="2"/>
      <c r="H30" s="2"/>
      <c r="I30" s="2" t="str">
        <f>IFERROR(__xludf.DUMMYFUNCTION("""COMPUTED_VALUE"""),"College Park")</f>
        <v>College Park</v>
      </c>
      <c r="J30" s="2">
        <f t="shared" si="1"/>
        <v>3</v>
      </c>
      <c r="K30" s="2">
        <f t="shared" si="2"/>
        <v>0</v>
      </c>
      <c r="L30" s="2">
        <f t="shared" si="3"/>
        <v>2</v>
      </c>
      <c r="M30" s="20">
        <f t="shared" si="4"/>
        <v>46</v>
      </c>
      <c r="N30" s="20">
        <f t="shared" si="5"/>
        <v>6046</v>
      </c>
      <c r="O30" s="2">
        <f t="shared" si="6"/>
        <v>14</v>
      </c>
      <c r="P30" s="2"/>
      <c r="Q30" s="2"/>
      <c r="R30" s="2" t="s">
        <v>59</v>
      </c>
      <c r="S30" s="2">
        <v>1.0</v>
      </c>
      <c r="T30" s="2">
        <v>0.0</v>
      </c>
      <c r="U30" s="2">
        <v>4.0</v>
      </c>
      <c r="V30" s="20">
        <v>27.2</v>
      </c>
      <c r="W30" s="20">
        <v>2027.2</v>
      </c>
      <c r="X30" s="2">
        <v>29.0</v>
      </c>
      <c r="Y30" s="2"/>
      <c r="Z30" s="2"/>
      <c r="AA30" s="2"/>
    </row>
    <row r="31">
      <c r="A31" s="5" t="s">
        <v>76</v>
      </c>
      <c r="B31" s="7">
        <v>50.0</v>
      </c>
      <c r="C31" s="8">
        <v>116.0</v>
      </c>
      <c r="D31" s="5" t="s">
        <v>9</v>
      </c>
      <c r="E31" s="9" t="s">
        <v>114</v>
      </c>
      <c r="F31" s="2"/>
      <c r="G31" s="2"/>
      <c r="H31" s="2"/>
      <c r="I31" s="2" t="str">
        <f>IFERROR(__xludf.DUMMYFUNCTION("""COMPUTED_VALUE"""),"Naperville North")</f>
        <v>Naperville North</v>
      </c>
      <c r="J31" s="2">
        <f t="shared" si="1"/>
        <v>2</v>
      </c>
      <c r="K31" s="2">
        <f t="shared" si="2"/>
        <v>0</v>
      </c>
      <c r="L31" s="2">
        <f t="shared" si="3"/>
        <v>3</v>
      </c>
      <c r="M31" s="20">
        <f t="shared" si="4"/>
        <v>32.4</v>
      </c>
      <c r="N31" s="20">
        <f t="shared" si="5"/>
        <v>4032.4</v>
      </c>
      <c r="O31" s="2">
        <f t="shared" si="6"/>
        <v>24</v>
      </c>
      <c r="P31" s="2"/>
      <c r="Q31" s="2"/>
      <c r="R31" s="2" t="s">
        <v>94</v>
      </c>
      <c r="S31" s="2">
        <v>0.0</v>
      </c>
      <c r="T31" s="2">
        <v>0.0</v>
      </c>
      <c r="U31" s="2">
        <v>5.0</v>
      </c>
      <c r="V31" s="20">
        <v>17.6</v>
      </c>
      <c r="W31" s="20">
        <v>17.6</v>
      </c>
      <c r="X31" s="2">
        <v>30.0</v>
      </c>
      <c r="Y31" s="2"/>
      <c r="Z31" s="2"/>
      <c r="AA31" s="2"/>
    </row>
    <row r="32">
      <c r="A32" s="5" t="s">
        <v>70</v>
      </c>
      <c r="B32" s="7">
        <v>90.0</v>
      </c>
      <c r="C32" s="8">
        <v>14.0</v>
      </c>
      <c r="D32" s="5" t="s">
        <v>94</v>
      </c>
      <c r="E32" s="9" t="s">
        <v>116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5" t="s">
        <v>43</v>
      </c>
      <c r="B33" s="7">
        <v>96.0</v>
      </c>
      <c r="C33" s="8">
        <v>28.0</v>
      </c>
      <c r="D33" s="5" t="s">
        <v>53</v>
      </c>
      <c r="E33" s="9" t="s">
        <v>118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5" t="s">
        <v>59</v>
      </c>
      <c r="B34" s="7">
        <v>30.0</v>
      </c>
      <c r="C34" s="8">
        <v>64.0</v>
      </c>
      <c r="D34" s="5" t="s">
        <v>37</v>
      </c>
      <c r="E34" s="9" t="s">
        <v>120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7"/>
      <c r="C35" s="8"/>
      <c r="D35" s="2"/>
      <c r="E35" s="9" t="s">
        <v>122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5"/>
      <c r="B36" s="25"/>
      <c r="C36" s="25"/>
      <c r="D36" s="25"/>
      <c r="E36" s="2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5"/>
      <c r="B37" s="25"/>
      <c r="C37" s="25"/>
      <c r="D37" s="25"/>
      <c r="E37" s="2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5" t="s">
        <v>49</v>
      </c>
      <c r="B38" s="7">
        <v>40.0</v>
      </c>
      <c r="C38" s="8">
        <v>116.0</v>
      </c>
      <c r="D38" s="5" t="s">
        <v>18</v>
      </c>
      <c r="E38" s="9" t="s">
        <v>62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5" t="s">
        <v>91</v>
      </c>
      <c r="B39" s="7">
        <v>68.0</v>
      </c>
      <c r="C39" s="8">
        <v>50.0</v>
      </c>
      <c r="D39" s="5" t="s">
        <v>22</v>
      </c>
      <c r="E39" s="9" t="s">
        <v>92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5" t="s">
        <v>35</v>
      </c>
      <c r="B40" s="7">
        <v>32.0</v>
      </c>
      <c r="C40" s="8">
        <v>140.0</v>
      </c>
      <c r="D40" s="5" t="s">
        <v>29</v>
      </c>
      <c r="E40" s="9" t="s">
        <v>93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5" t="s">
        <v>25</v>
      </c>
      <c r="B41" s="7">
        <v>26.0</v>
      </c>
      <c r="C41" s="8">
        <v>74.0</v>
      </c>
      <c r="D41" s="5" t="s">
        <v>43</v>
      </c>
      <c r="E41" s="9" t="s">
        <v>95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5" t="s">
        <v>39</v>
      </c>
      <c r="B42" s="7">
        <v>50.0</v>
      </c>
      <c r="C42" s="8">
        <v>62.0</v>
      </c>
      <c r="D42" s="5" t="s">
        <v>41</v>
      </c>
      <c r="E42" s="9" t="s">
        <v>97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5" t="s">
        <v>68</v>
      </c>
      <c r="B43" s="7">
        <v>70.0</v>
      </c>
      <c r="C43" s="8">
        <v>56.0</v>
      </c>
      <c r="D43" s="5" t="s">
        <v>45</v>
      </c>
      <c r="E43" s="9" t="s">
        <v>98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5" t="s">
        <v>47</v>
      </c>
      <c r="B44" s="7">
        <v>66.0</v>
      </c>
      <c r="C44" s="8">
        <v>14.0</v>
      </c>
      <c r="D44" s="5" t="s">
        <v>70</v>
      </c>
      <c r="E44" s="9" t="s">
        <v>103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5" t="s">
        <v>14</v>
      </c>
      <c r="B45" s="7">
        <v>22.0</v>
      </c>
      <c r="C45" s="8">
        <v>106.0</v>
      </c>
      <c r="D45" s="5" t="s">
        <v>9</v>
      </c>
      <c r="E45" s="9" t="s">
        <v>105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5" t="s">
        <v>102</v>
      </c>
      <c r="B46" s="7">
        <v>98.0</v>
      </c>
      <c r="C46" s="8">
        <v>34.0</v>
      </c>
      <c r="D46" s="5" t="s">
        <v>37</v>
      </c>
      <c r="E46" s="9" t="s">
        <v>107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5" t="s">
        <v>57</v>
      </c>
      <c r="B47" s="7">
        <v>90.0</v>
      </c>
      <c r="C47" s="8">
        <v>22.0</v>
      </c>
      <c r="D47" s="5" t="s">
        <v>74</v>
      </c>
      <c r="E47" s="9" t="s">
        <v>110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5" t="s">
        <v>59</v>
      </c>
      <c r="B48" s="7">
        <v>22.0</v>
      </c>
      <c r="C48" s="8">
        <v>54.0</v>
      </c>
      <c r="D48" s="5" t="s">
        <v>53</v>
      </c>
      <c r="E48" s="9" t="s">
        <v>111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5" t="s">
        <v>94</v>
      </c>
      <c r="B49" s="7">
        <v>16.0</v>
      </c>
      <c r="C49" s="8">
        <v>86.0</v>
      </c>
      <c r="D49" s="5" t="s">
        <v>76</v>
      </c>
      <c r="E49" s="9" t="s">
        <v>114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5" t="s">
        <v>51</v>
      </c>
      <c r="B50" s="7">
        <v>48.0</v>
      </c>
      <c r="C50" s="8">
        <v>82.0</v>
      </c>
      <c r="D50" s="5" t="s">
        <v>78</v>
      </c>
      <c r="E50" s="9" t="s">
        <v>116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5" t="s">
        <v>61</v>
      </c>
      <c r="B51" s="7">
        <v>158.0</v>
      </c>
      <c r="C51" s="8">
        <v>18.0</v>
      </c>
      <c r="D51" s="5" t="s">
        <v>33</v>
      </c>
      <c r="E51" s="9" t="s">
        <v>118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5" t="s">
        <v>66</v>
      </c>
      <c r="B52" s="7">
        <v>34.0</v>
      </c>
      <c r="C52" s="8">
        <v>64.0</v>
      </c>
      <c r="D52" s="5" t="s">
        <v>64</v>
      </c>
      <c r="E52" s="9" t="s">
        <v>120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5"/>
      <c r="B53" s="7"/>
      <c r="C53" s="8"/>
      <c r="D53" s="5"/>
      <c r="E53" s="9" t="s">
        <v>122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5"/>
      <c r="B54" s="25"/>
      <c r="C54" s="25"/>
      <c r="D54" s="25"/>
      <c r="E54" s="2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5"/>
      <c r="B55" s="25"/>
      <c r="C55" s="25"/>
      <c r="D55" s="25"/>
      <c r="E55" s="2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5" t="s">
        <v>61</v>
      </c>
      <c r="B56" s="7">
        <v>154.0</v>
      </c>
      <c r="C56" s="8">
        <v>66.0</v>
      </c>
      <c r="D56" s="5" t="s">
        <v>91</v>
      </c>
      <c r="E56" s="9" t="s">
        <v>62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5" t="s">
        <v>18</v>
      </c>
      <c r="B57" s="7">
        <v>154.0</v>
      </c>
      <c r="C57" s="8">
        <v>66.0</v>
      </c>
      <c r="D57" s="5" t="s">
        <v>29</v>
      </c>
      <c r="E57" s="9" t="s">
        <v>92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5" t="s">
        <v>49</v>
      </c>
      <c r="B58" s="7">
        <v>190.0</v>
      </c>
      <c r="C58" s="8">
        <v>14.0</v>
      </c>
      <c r="D58" s="5" t="s">
        <v>47</v>
      </c>
      <c r="E58" s="9" t="s">
        <v>93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5" t="s">
        <v>41</v>
      </c>
      <c r="B59" s="7">
        <v>76.0</v>
      </c>
      <c r="C59" s="8">
        <v>60.0</v>
      </c>
      <c r="D59" s="5" t="s">
        <v>57</v>
      </c>
      <c r="E59" s="9" t="s">
        <v>95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5" t="s">
        <v>35</v>
      </c>
      <c r="B60" s="7">
        <v>6.0</v>
      </c>
      <c r="C60" s="8">
        <v>194.0</v>
      </c>
      <c r="D60" s="5" t="s">
        <v>9</v>
      </c>
      <c r="E60" s="9" t="s">
        <v>97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5" t="s">
        <v>102</v>
      </c>
      <c r="B61" s="7">
        <v>64.0</v>
      </c>
      <c r="C61" s="8">
        <v>144.0</v>
      </c>
      <c r="D61" s="5" t="s">
        <v>68</v>
      </c>
      <c r="E61" s="9" t="s">
        <v>98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5" t="s">
        <v>22</v>
      </c>
      <c r="B62" s="7">
        <v>118.0</v>
      </c>
      <c r="C62" s="8">
        <v>42.0</v>
      </c>
      <c r="D62" s="5" t="s">
        <v>43</v>
      </c>
      <c r="E62" s="9" t="s">
        <v>103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5" t="s">
        <v>74</v>
      </c>
      <c r="B63" s="7">
        <v>40.0</v>
      </c>
      <c r="C63" s="8">
        <v>136.0</v>
      </c>
      <c r="D63" s="5" t="s">
        <v>39</v>
      </c>
      <c r="E63" s="9" t="s">
        <v>105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5" t="s">
        <v>25</v>
      </c>
      <c r="B64" s="7">
        <v>150.0</v>
      </c>
      <c r="C64" s="8">
        <v>22.0</v>
      </c>
      <c r="D64" s="5" t="s">
        <v>45</v>
      </c>
      <c r="E64" s="9" t="s">
        <v>107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5" t="s">
        <v>53</v>
      </c>
      <c r="B65" s="7">
        <v>40.0</v>
      </c>
      <c r="C65" s="8">
        <v>46.0</v>
      </c>
      <c r="D65" s="5" t="s">
        <v>64</v>
      </c>
      <c r="E65" s="9" t="s">
        <v>110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5" t="s">
        <v>14</v>
      </c>
      <c r="B66" s="7">
        <v>36.0</v>
      </c>
      <c r="C66" s="8">
        <v>78.0</v>
      </c>
      <c r="D66" s="5" t="s">
        <v>37</v>
      </c>
      <c r="E66" s="9" t="s">
        <v>111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5" t="s">
        <v>76</v>
      </c>
      <c r="B67" s="7">
        <v>84.0</v>
      </c>
      <c r="C67" s="8">
        <v>30.0</v>
      </c>
      <c r="D67" s="5" t="s">
        <v>70</v>
      </c>
      <c r="E67" s="9" t="s">
        <v>114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5" t="s">
        <v>59</v>
      </c>
      <c r="B68" s="7">
        <v>16.0</v>
      </c>
      <c r="C68" s="8">
        <v>34.0</v>
      </c>
      <c r="D68" s="5" t="s">
        <v>51</v>
      </c>
      <c r="E68" s="9" t="s">
        <v>116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5" t="s">
        <v>33</v>
      </c>
      <c r="B69" s="7">
        <v>64.0</v>
      </c>
      <c r="C69" s="8">
        <v>18.0</v>
      </c>
      <c r="D69" s="5" t="s">
        <v>94</v>
      </c>
      <c r="E69" s="9" t="s">
        <v>118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5" t="s">
        <v>78</v>
      </c>
      <c r="B70" s="7">
        <v>16.0</v>
      </c>
      <c r="C70" s="8">
        <v>22.0</v>
      </c>
      <c r="D70" s="5" t="s">
        <v>66</v>
      </c>
      <c r="E70" s="9" t="s">
        <v>120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7"/>
      <c r="C71" s="8"/>
      <c r="D71" s="2"/>
      <c r="E71" s="9" t="s">
        <v>122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5"/>
      <c r="B72" s="25"/>
      <c r="C72" s="25"/>
      <c r="D72" s="25"/>
      <c r="E72" s="2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5"/>
      <c r="B73" s="25"/>
      <c r="C73" s="25"/>
      <c r="D73" s="25"/>
      <c r="E73" s="2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5" t="s">
        <v>61</v>
      </c>
      <c r="B74" s="7">
        <v>94.0</v>
      </c>
      <c r="C74" s="8">
        <v>90.0</v>
      </c>
      <c r="D74" s="5" t="s">
        <v>18</v>
      </c>
      <c r="E74" s="9" t="s">
        <v>62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5" t="s">
        <v>49</v>
      </c>
      <c r="B75" s="7">
        <v>80.0</v>
      </c>
      <c r="C75" s="8">
        <v>52.0</v>
      </c>
      <c r="D75" s="5" t="s">
        <v>91</v>
      </c>
      <c r="E75" s="9" t="s">
        <v>92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5" t="s">
        <v>41</v>
      </c>
      <c r="B76" s="7">
        <v>2.0</v>
      </c>
      <c r="C76" s="8">
        <v>128.0</v>
      </c>
      <c r="D76" s="5" t="s">
        <v>9</v>
      </c>
      <c r="E76" s="9" t="s">
        <v>93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5" t="s">
        <v>68</v>
      </c>
      <c r="B77" s="7">
        <v>48.0</v>
      </c>
      <c r="C77" s="8">
        <v>34.0</v>
      </c>
      <c r="D77" s="5" t="s">
        <v>29</v>
      </c>
      <c r="E77" s="9" t="s">
        <v>95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5" t="s">
        <v>102</v>
      </c>
      <c r="B78" s="7">
        <v>80.0</v>
      </c>
      <c r="C78" s="8">
        <v>12.0</v>
      </c>
      <c r="D78" s="5" t="s">
        <v>57</v>
      </c>
      <c r="E78" s="9" t="s">
        <v>97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5" t="s">
        <v>47</v>
      </c>
      <c r="B79" s="7">
        <v>58.0</v>
      </c>
      <c r="C79" s="8">
        <v>4.0</v>
      </c>
      <c r="D79" s="5" t="s">
        <v>35</v>
      </c>
      <c r="E79" s="9" t="s">
        <v>98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5" t="s">
        <v>39</v>
      </c>
      <c r="B80" s="7">
        <v>70.0</v>
      </c>
      <c r="C80" s="8">
        <v>30.0</v>
      </c>
      <c r="D80" s="5" t="s">
        <v>64</v>
      </c>
      <c r="E80" s="9" t="s">
        <v>103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5" t="s">
        <v>43</v>
      </c>
      <c r="B81" s="7">
        <v>20.0</v>
      </c>
      <c r="C81" s="8">
        <v>72.0</v>
      </c>
      <c r="D81" s="5" t="s">
        <v>37</v>
      </c>
      <c r="E81" s="9" t="s">
        <v>105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5" t="s">
        <v>25</v>
      </c>
      <c r="B82" s="7">
        <v>86.0</v>
      </c>
      <c r="C82" s="8">
        <v>-2.0</v>
      </c>
      <c r="D82" s="5" t="s">
        <v>76</v>
      </c>
      <c r="E82" s="9" t="s">
        <v>107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5" t="s">
        <v>45</v>
      </c>
      <c r="B83" s="7">
        <v>22.0</v>
      </c>
      <c r="C83" s="8">
        <v>50.0</v>
      </c>
      <c r="D83" s="5" t="s">
        <v>74</v>
      </c>
      <c r="E83" s="9" t="s">
        <v>110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5" t="s">
        <v>14</v>
      </c>
      <c r="B84" s="7">
        <v>20.0</v>
      </c>
      <c r="C84" s="8">
        <v>38.0</v>
      </c>
      <c r="D84" s="5" t="s">
        <v>53</v>
      </c>
      <c r="E84" s="9" t="s">
        <v>111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5" t="s">
        <v>78</v>
      </c>
      <c r="B85" s="7">
        <v>12.0</v>
      </c>
      <c r="C85" s="8">
        <v>10.0</v>
      </c>
      <c r="D85" s="5" t="s">
        <v>70</v>
      </c>
      <c r="E85" s="9" t="s">
        <v>114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5" t="s">
        <v>94</v>
      </c>
      <c r="B86" s="7">
        <v>22.0</v>
      </c>
      <c r="C86" s="8">
        <v>32.0</v>
      </c>
      <c r="D86" s="5" t="s">
        <v>59</v>
      </c>
      <c r="E86" s="9" t="s">
        <v>116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5" t="s">
        <v>22</v>
      </c>
      <c r="B87" s="7">
        <v>34.0</v>
      </c>
      <c r="C87" s="8">
        <v>26.0</v>
      </c>
      <c r="D87" s="5" t="s">
        <v>33</v>
      </c>
      <c r="E87" s="9" t="s">
        <v>118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5" t="s">
        <v>66</v>
      </c>
      <c r="B88" s="7">
        <v>0.0</v>
      </c>
      <c r="C88" s="8">
        <v>24.0</v>
      </c>
      <c r="D88" s="5" t="s">
        <v>51</v>
      </c>
      <c r="E88" s="9" t="s">
        <v>120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7"/>
      <c r="C89" s="8"/>
      <c r="D89" s="2"/>
      <c r="E89" s="9" t="s">
        <v>122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10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10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10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10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10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10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10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10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10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10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10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10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10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10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10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10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10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10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10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10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10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10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10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10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10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10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10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10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10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10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10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10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10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10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10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1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1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1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10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10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10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10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10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10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1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1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10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10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10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10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10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10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10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10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10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10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10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10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10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10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10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10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10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10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10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10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10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10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10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10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10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10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10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10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10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10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10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10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10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10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10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10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10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10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10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10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10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10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10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10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10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10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10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10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10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10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10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10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10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10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10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10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10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10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10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10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10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10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10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10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10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10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10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10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10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10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10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10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10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10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10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10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10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10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10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10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10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10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10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10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10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10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10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10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10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10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10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10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10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10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10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10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10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10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10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10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10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10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10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10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10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10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10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10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10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10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10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10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10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10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10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10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10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10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10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10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10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10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10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10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10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10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10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10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10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10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10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10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10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10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10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10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10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10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10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10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10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10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10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10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10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10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10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10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10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10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10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10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10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10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10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10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10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10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10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10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10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10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10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10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10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10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10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10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10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10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10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10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10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10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10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10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10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10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10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10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10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10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10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10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10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10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10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10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10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10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10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10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10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10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10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10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10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10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10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10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10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10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10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10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10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10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10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10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10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10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10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10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10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10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10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10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10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10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10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10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10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10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10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10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10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10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10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10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10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10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10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10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10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10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10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10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10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10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10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10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10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10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10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10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10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10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10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10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10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10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10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10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10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10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10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10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10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10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10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10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10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10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10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10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10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10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10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10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10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10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10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10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10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10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10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10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10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10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10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10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10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10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10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10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10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10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10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10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10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10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10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10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10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10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10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10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10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10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10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10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10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10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10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10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10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10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10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10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10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10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10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10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10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10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10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10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10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10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10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10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10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10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10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10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10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10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10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10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10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10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10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10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10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10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10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10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10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10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10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10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10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10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10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10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10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10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10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10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10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10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10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10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10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10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10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10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10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10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10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10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10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10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10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10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10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10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10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10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10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10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10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10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10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10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10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10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10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10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10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10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10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10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10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10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10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10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10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10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10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10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10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10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10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10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10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10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10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10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10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10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10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10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10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10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10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10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10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10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10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10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10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10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10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10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10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10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10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10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10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10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10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10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10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10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10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10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10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10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10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10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10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10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10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10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10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10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10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10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10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10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10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10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10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10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10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10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10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10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10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10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10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10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10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10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10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10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10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10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10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10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10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10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10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10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10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10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10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10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10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10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10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10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10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10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10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10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10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10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10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10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10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10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10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10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10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10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10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10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10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10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10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10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10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10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10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10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10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10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10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10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10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10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10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10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10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10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10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10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10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10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10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10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10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10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10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10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10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10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10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10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10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10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10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10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10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10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10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10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10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10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10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10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10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10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10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10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10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10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10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10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10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10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10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10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10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10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10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10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10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10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10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10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10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10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10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10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10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10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10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10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10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10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10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10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10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10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10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10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10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10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10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10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10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10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10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10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10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10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10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10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10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10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10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10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10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10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10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10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10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10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10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10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10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10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10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10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10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10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10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10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10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10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10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10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10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10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10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10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10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10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10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10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10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10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10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10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10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10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10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10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10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10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10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10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10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10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10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10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10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10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10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10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10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10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10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10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10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10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10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10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10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10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10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10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10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10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10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10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10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10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10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10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10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10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10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10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10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10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10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10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10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10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10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10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10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10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10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10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10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10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10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10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10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10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10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10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10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10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10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10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10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10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10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10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10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10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10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10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10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10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10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10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10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10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10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10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10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10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10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10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10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10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10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10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10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10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10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10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10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10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10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10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10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10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10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10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10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10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10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10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10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10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10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10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10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10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10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10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10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10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10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10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10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10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10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10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10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10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10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10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10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10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10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10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10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10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10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10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10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10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10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10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10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10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10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10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10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10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10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10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10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10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10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10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10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10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10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10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10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10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10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10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10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10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10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10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10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10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10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10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10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10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10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10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10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10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10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10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10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10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10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10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10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10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10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10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10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10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10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10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10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10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10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10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10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10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10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10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10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10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10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10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10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10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10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10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10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10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10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10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10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10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10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10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10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10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10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10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10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10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10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10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10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10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10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10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10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10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10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10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10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10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10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10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10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10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10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10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10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10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10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10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10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10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10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10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10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10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10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10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10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10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10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10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10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10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10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conditionalFormatting sqref="O2:O31">
    <cfRule type="cellIs" dxfId="0" priority="1" operator="lessThanOrEqual">
      <formula>6</formula>
    </cfRule>
  </conditionalFormatting>
  <conditionalFormatting sqref="O2:O31">
    <cfRule type="cellIs" dxfId="1" priority="2" operator="lessThanOrEqual">
      <formula>10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0.5"/>
    <col customWidth="1" min="10" max="10" width="5.75"/>
    <col customWidth="1" min="11" max="11" width="12.5"/>
    <col customWidth="1" min="12" max="12" width="16.13"/>
    <col customWidth="1" min="13" max="13" width="6.13"/>
    <col customWidth="1" min="14" max="14" width="6.75"/>
    <col customWidth="1" min="15" max="15" width="7.25"/>
    <col customWidth="1" min="16" max="16" width="7.5"/>
    <col customWidth="1" min="17" max="17" width="8.75"/>
  </cols>
  <sheetData>
    <row r="1">
      <c r="A1" s="1" t="s">
        <v>21</v>
      </c>
      <c r="B1" s="1" t="s">
        <v>6</v>
      </c>
      <c r="C1" s="1" t="s">
        <v>7</v>
      </c>
      <c r="D1" s="1" t="s">
        <v>8</v>
      </c>
      <c r="E1" s="1" t="s">
        <v>10</v>
      </c>
      <c r="F1" s="1" t="s">
        <v>12</v>
      </c>
      <c r="G1" s="1" t="s">
        <v>17</v>
      </c>
      <c r="H1" s="2"/>
      <c r="I1" s="1" t="s">
        <v>84</v>
      </c>
      <c r="J1" s="1" t="s">
        <v>21</v>
      </c>
      <c r="K1" s="1" t="s">
        <v>85</v>
      </c>
      <c r="L1" s="1" t="s">
        <v>6</v>
      </c>
      <c r="M1" s="1" t="s">
        <v>7</v>
      </c>
      <c r="N1" s="1" t="s">
        <v>8</v>
      </c>
      <c r="O1" s="1" t="s">
        <v>10</v>
      </c>
      <c r="P1" s="1" t="s">
        <v>12</v>
      </c>
      <c r="Q1" s="1" t="s">
        <v>17</v>
      </c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6">
        <v>1.0</v>
      </c>
      <c r="B2" s="17" t="s">
        <v>61</v>
      </c>
      <c r="C2" s="17">
        <v>5.0</v>
      </c>
      <c r="D2" s="17">
        <v>0.0</v>
      </c>
      <c r="E2" s="17">
        <v>0.0</v>
      </c>
      <c r="F2" s="19">
        <v>147.6</v>
      </c>
      <c r="G2" s="19">
        <v>10147.6</v>
      </c>
      <c r="H2" s="2"/>
      <c r="I2" s="5" t="s">
        <v>89</v>
      </c>
      <c r="J2" s="16">
        <v>1.0</v>
      </c>
      <c r="K2" s="16">
        <v>8.0</v>
      </c>
      <c r="L2" s="17" t="s">
        <v>73</v>
      </c>
      <c r="M2" s="17">
        <v>4.0</v>
      </c>
      <c r="N2" s="17">
        <v>0.0</v>
      </c>
      <c r="O2" s="17">
        <v>1.0</v>
      </c>
      <c r="P2" s="19">
        <v>93.6</v>
      </c>
      <c r="Q2" s="19">
        <v>8093.6</v>
      </c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6">
        <v>2.0</v>
      </c>
      <c r="B3" s="17" t="s">
        <v>5</v>
      </c>
      <c r="C3" s="17">
        <v>5.0</v>
      </c>
      <c r="D3" s="17">
        <v>0.0</v>
      </c>
      <c r="E3" s="17">
        <v>0.0</v>
      </c>
      <c r="F3" s="19">
        <v>115.6</v>
      </c>
      <c r="G3" s="19">
        <v>10115.6</v>
      </c>
      <c r="H3" s="2"/>
      <c r="I3" s="2"/>
      <c r="J3" s="21">
        <v>2.0</v>
      </c>
      <c r="K3" s="21">
        <v>14.0</v>
      </c>
      <c r="L3" s="22" t="s">
        <v>90</v>
      </c>
      <c r="M3" s="22">
        <v>3.0</v>
      </c>
      <c r="N3" s="22">
        <v>0.0</v>
      </c>
      <c r="O3" s="22">
        <v>2.0</v>
      </c>
      <c r="P3" s="23">
        <v>106.8</v>
      </c>
      <c r="Q3" s="23">
        <v>6106.8</v>
      </c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6">
        <v>3.0</v>
      </c>
      <c r="B4" s="17" t="s">
        <v>24</v>
      </c>
      <c r="C4" s="17">
        <v>4.0</v>
      </c>
      <c r="D4" s="17">
        <v>0.0</v>
      </c>
      <c r="E4" s="17">
        <v>1.0</v>
      </c>
      <c r="F4" s="19">
        <v>130.4</v>
      </c>
      <c r="G4" s="19">
        <v>8130.4</v>
      </c>
      <c r="H4" s="2"/>
      <c r="I4" s="2"/>
      <c r="J4" s="21">
        <v>3.0</v>
      </c>
      <c r="K4" s="21">
        <v>16.0</v>
      </c>
      <c r="L4" s="22" t="s">
        <v>91</v>
      </c>
      <c r="M4" s="22">
        <v>3.0</v>
      </c>
      <c r="N4" s="22">
        <v>0.0</v>
      </c>
      <c r="O4" s="22">
        <v>2.0</v>
      </c>
      <c r="P4" s="23">
        <v>96.4</v>
      </c>
      <c r="Q4" s="23">
        <v>6096.4</v>
      </c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6">
        <v>4.0</v>
      </c>
      <c r="B5" s="17" t="s">
        <v>9</v>
      </c>
      <c r="C5" s="17">
        <v>4.0</v>
      </c>
      <c r="D5" s="17">
        <v>0.0</v>
      </c>
      <c r="E5" s="17">
        <v>1.0</v>
      </c>
      <c r="F5" s="19">
        <v>120.4</v>
      </c>
      <c r="G5" s="19">
        <v>8120.4</v>
      </c>
      <c r="H5" s="2"/>
      <c r="I5" s="2"/>
      <c r="J5" s="5">
        <v>4.0</v>
      </c>
      <c r="K5" s="5">
        <v>17.0</v>
      </c>
      <c r="L5" s="2" t="s">
        <v>58</v>
      </c>
      <c r="M5" s="2">
        <v>3.0</v>
      </c>
      <c r="N5" s="2">
        <v>0.0</v>
      </c>
      <c r="O5" s="2">
        <v>2.0</v>
      </c>
      <c r="P5" s="20">
        <v>96.0</v>
      </c>
      <c r="Q5" s="20">
        <v>6096.0</v>
      </c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6">
        <v>5.0</v>
      </c>
      <c r="B6" s="17" t="s">
        <v>18</v>
      </c>
      <c r="C6" s="17">
        <v>4.0</v>
      </c>
      <c r="D6" s="17">
        <v>0.0</v>
      </c>
      <c r="E6" s="17">
        <v>1.0</v>
      </c>
      <c r="F6" s="19">
        <v>114.8</v>
      </c>
      <c r="G6" s="19">
        <v>8114.8</v>
      </c>
      <c r="H6" s="2"/>
      <c r="I6" s="2"/>
      <c r="J6" s="5">
        <v>5.0</v>
      </c>
      <c r="K6" s="5">
        <v>19.0</v>
      </c>
      <c r="L6" s="2" t="s">
        <v>39</v>
      </c>
      <c r="M6" s="2">
        <v>3.0</v>
      </c>
      <c r="N6" s="2">
        <v>0.0</v>
      </c>
      <c r="O6" s="2">
        <v>2.0</v>
      </c>
      <c r="P6" s="20">
        <v>92.4</v>
      </c>
      <c r="Q6" s="20">
        <v>6092.4</v>
      </c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6">
        <v>6.0</v>
      </c>
      <c r="B7" s="17" t="s">
        <v>49</v>
      </c>
      <c r="C7" s="17">
        <v>4.0</v>
      </c>
      <c r="D7" s="17">
        <v>0.0</v>
      </c>
      <c r="E7" s="17">
        <v>1.0</v>
      </c>
      <c r="F7" s="19">
        <v>106.4</v>
      </c>
      <c r="G7" s="19">
        <v>8106.4</v>
      </c>
      <c r="H7" s="2"/>
      <c r="I7" s="2"/>
      <c r="J7" s="5">
        <v>6.0</v>
      </c>
      <c r="K7" s="5">
        <v>27.0</v>
      </c>
      <c r="L7" s="2" t="s">
        <v>77</v>
      </c>
      <c r="M7" s="2">
        <v>3.0</v>
      </c>
      <c r="N7" s="2">
        <v>0.0</v>
      </c>
      <c r="O7" s="2">
        <v>2.0</v>
      </c>
      <c r="P7" s="20">
        <v>66.8</v>
      </c>
      <c r="Q7" s="20">
        <v>6066.8</v>
      </c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6">
        <v>7.0</v>
      </c>
      <c r="B8" s="17" t="s">
        <v>79</v>
      </c>
      <c r="C8" s="17">
        <v>4.0</v>
      </c>
      <c r="D8" s="17">
        <v>0.0</v>
      </c>
      <c r="E8" s="17">
        <v>1.0</v>
      </c>
      <c r="F8" s="19">
        <v>98.8</v>
      </c>
      <c r="G8" s="19">
        <v>8098.8</v>
      </c>
      <c r="H8" s="2"/>
      <c r="I8" s="2"/>
      <c r="J8" s="5">
        <v>7.0</v>
      </c>
      <c r="K8" s="5">
        <v>30.0</v>
      </c>
      <c r="L8" s="2" t="s">
        <v>47</v>
      </c>
      <c r="M8" s="2">
        <v>3.0</v>
      </c>
      <c r="N8" s="2">
        <v>0.0</v>
      </c>
      <c r="O8" s="2">
        <v>2.0</v>
      </c>
      <c r="P8" s="20">
        <v>46.0</v>
      </c>
      <c r="Q8" s="20">
        <v>6046.0</v>
      </c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6">
        <v>8.0</v>
      </c>
      <c r="B9" s="17" t="s">
        <v>73</v>
      </c>
      <c r="C9" s="17">
        <v>4.0</v>
      </c>
      <c r="D9" s="17">
        <v>0.0</v>
      </c>
      <c r="E9" s="17">
        <v>1.0</v>
      </c>
      <c r="F9" s="19">
        <v>93.6</v>
      </c>
      <c r="G9" s="19">
        <v>8093.6</v>
      </c>
      <c r="H9" s="2"/>
      <c r="I9" s="2"/>
      <c r="J9" s="5">
        <v>8.0</v>
      </c>
      <c r="K9" s="5">
        <v>31.0</v>
      </c>
      <c r="L9" s="2" t="s">
        <v>33</v>
      </c>
      <c r="M9" s="2">
        <v>2.0</v>
      </c>
      <c r="N9" s="2">
        <v>1.0</v>
      </c>
      <c r="O9" s="2">
        <v>2.0</v>
      </c>
      <c r="P9" s="20">
        <v>42.8</v>
      </c>
      <c r="Q9" s="20">
        <v>5042.8</v>
      </c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6">
        <v>9.0</v>
      </c>
      <c r="B10" s="17" t="s">
        <v>13</v>
      </c>
      <c r="C10" s="17">
        <v>4.0</v>
      </c>
      <c r="D10" s="17">
        <v>0.0</v>
      </c>
      <c r="E10" s="17">
        <v>1.0</v>
      </c>
      <c r="F10" s="19">
        <v>92.4</v>
      </c>
      <c r="G10" s="19">
        <v>8092.4</v>
      </c>
      <c r="H10" s="2"/>
      <c r="I10" s="2"/>
      <c r="J10" s="5">
        <v>9.0</v>
      </c>
      <c r="K10" s="5">
        <v>35.0</v>
      </c>
      <c r="L10" s="2" t="s">
        <v>65</v>
      </c>
      <c r="M10" s="2">
        <v>2.0</v>
      </c>
      <c r="N10" s="2">
        <v>0.0</v>
      </c>
      <c r="O10" s="2">
        <v>3.0</v>
      </c>
      <c r="P10" s="20">
        <v>70.8</v>
      </c>
      <c r="Q10" s="20">
        <v>4070.8</v>
      </c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6">
        <v>10.0</v>
      </c>
      <c r="B11" s="17" t="s">
        <v>28</v>
      </c>
      <c r="C11" s="17">
        <v>4.0</v>
      </c>
      <c r="D11" s="17">
        <v>0.0</v>
      </c>
      <c r="E11" s="17">
        <v>1.0</v>
      </c>
      <c r="F11" s="19">
        <v>91.2</v>
      </c>
      <c r="G11" s="19">
        <v>8091.2</v>
      </c>
      <c r="H11" s="2"/>
      <c r="I11" s="2"/>
      <c r="J11" s="5">
        <v>10.0</v>
      </c>
      <c r="K11" s="5">
        <v>38.0</v>
      </c>
      <c r="L11" s="2" t="s">
        <v>69</v>
      </c>
      <c r="M11" s="2">
        <v>2.0</v>
      </c>
      <c r="N11" s="2">
        <v>0.0</v>
      </c>
      <c r="O11" s="2">
        <v>3.0</v>
      </c>
      <c r="P11" s="20">
        <v>63.6</v>
      </c>
      <c r="Q11" s="20">
        <v>4063.6</v>
      </c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6">
        <v>11.0</v>
      </c>
      <c r="B12" s="17" t="s">
        <v>68</v>
      </c>
      <c r="C12" s="17">
        <v>4.0</v>
      </c>
      <c r="D12" s="17">
        <v>0.0</v>
      </c>
      <c r="E12" s="17">
        <v>1.0</v>
      </c>
      <c r="F12" s="19">
        <v>84.0</v>
      </c>
      <c r="G12" s="19">
        <v>8084.0</v>
      </c>
      <c r="H12" s="2"/>
      <c r="I12" s="2"/>
      <c r="J12" s="5">
        <v>11.0</v>
      </c>
      <c r="K12" s="5">
        <v>51.0</v>
      </c>
      <c r="L12" s="2" t="s">
        <v>66</v>
      </c>
      <c r="M12" s="2">
        <v>1.0</v>
      </c>
      <c r="N12" s="2">
        <v>1.0</v>
      </c>
      <c r="O12" s="2">
        <v>3.0</v>
      </c>
      <c r="P12" s="20">
        <v>24.4</v>
      </c>
      <c r="Q12" s="20">
        <v>3024.4</v>
      </c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6">
        <v>12.0</v>
      </c>
      <c r="B13" s="17" t="s">
        <v>22</v>
      </c>
      <c r="C13" s="17">
        <v>4.0</v>
      </c>
      <c r="D13" s="17">
        <v>0.0</v>
      </c>
      <c r="E13" s="17">
        <v>1.0</v>
      </c>
      <c r="F13" s="19">
        <v>75.2</v>
      </c>
      <c r="G13" s="19">
        <v>8075.2</v>
      </c>
      <c r="H13" s="2"/>
      <c r="I13" s="2"/>
      <c r="J13" s="5">
        <v>12.0</v>
      </c>
      <c r="K13" s="5">
        <v>53.0</v>
      </c>
      <c r="L13" s="2" t="s">
        <v>45</v>
      </c>
      <c r="M13" s="2">
        <v>1.0</v>
      </c>
      <c r="N13" s="2">
        <v>0.0</v>
      </c>
      <c r="O13" s="2">
        <v>4.0</v>
      </c>
      <c r="P13" s="20">
        <v>47.2</v>
      </c>
      <c r="Q13" s="20">
        <v>2047.2</v>
      </c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1">
        <v>13.0</v>
      </c>
      <c r="B14" s="22" t="s">
        <v>29</v>
      </c>
      <c r="C14" s="22">
        <v>3.0</v>
      </c>
      <c r="D14" s="22">
        <v>0.0</v>
      </c>
      <c r="E14" s="22">
        <v>2.0</v>
      </c>
      <c r="F14" s="23">
        <v>109.6</v>
      </c>
      <c r="G14" s="23">
        <v>6109.6</v>
      </c>
      <c r="H14" s="2"/>
      <c r="I14" s="2"/>
      <c r="J14" s="5">
        <v>13.0</v>
      </c>
      <c r="K14" s="5">
        <v>54.0</v>
      </c>
      <c r="L14" s="2" t="s">
        <v>71</v>
      </c>
      <c r="M14" s="2">
        <v>1.0</v>
      </c>
      <c r="N14" s="2">
        <v>0.0</v>
      </c>
      <c r="O14" s="2">
        <v>4.0</v>
      </c>
      <c r="P14" s="20">
        <v>46.0</v>
      </c>
      <c r="Q14" s="20">
        <v>2046.0</v>
      </c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1">
        <v>14.0</v>
      </c>
      <c r="B15" s="22" t="s">
        <v>90</v>
      </c>
      <c r="C15" s="22">
        <v>3.0</v>
      </c>
      <c r="D15" s="22">
        <v>0.0</v>
      </c>
      <c r="E15" s="22">
        <v>2.0</v>
      </c>
      <c r="F15" s="23">
        <v>106.8</v>
      </c>
      <c r="G15" s="23">
        <v>6106.8</v>
      </c>
      <c r="H15" s="2"/>
      <c r="I15" s="2"/>
      <c r="J15" s="5">
        <v>14.0</v>
      </c>
      <c r="K15" s="5">
        <v>57.0</v>
      </c>
      <c r="L15" s="2" t="s">
        <v>100</v>
      </c>
      <c r="M15" s="2">
        <v>1.0</v>
      </c>
      <c r="N15" s="2">
        <v>0.0</v>
      </c>
      <c r="O15" s="2">
        <v>4.0</v>
      </c>
      <c r="P15" s="20">
        <v>34.4</v>
      </c>
      <c r="Q15" s="20">
        <v>2034.4</v>
      </c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1">
        <v>15.0</v>
      </c>
      <c r="B16" s="22" t="s">
        <v>101</v>
      </c>
      <c r="C16" s="22">
        <v>3.0</v>
      </c>
      <c r="D16" s="22">
        <v>0.0</v>
      </c>
      <c r="E16" s="22">
        <v>2.0</v>
      </c>
      <c r="F16" s="23">
        <v>105.6</v>
      </c>
      <c r="G16" s="23">
        <v>6105.6</v>
      </c>
      <c r="H16" s="2"/>
      <c r="I16" s="2"/>
      <c r="J16" s="5">
        <v>15.0</v>
      </c>
      <c r="K16" s="5">
        <v>58.0</v>
      </c>
      <c r="L16" s="2" t="s">
        <v>70</v>
      </c>
      <c r="M16" s="2">
        <v>1.0</v>
      </c>
      <c r="N16" s="2">
        <v>0.0</v>
      </c>
      <c r="O16" s="2">
        <v>4.0</v>
      </c>
      <c r="P16" s="20">
        <v>34.4</v>
      </c>
      <c r="Q16" s="20">
        <v>2034.4</v>
      </c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1">
        <v>16.0</v>
      </c>
      <c r="B17" s="22" t="s">
        <v>91</v>
      </c>
      <c r="C17" s="22">
        <v>3.0</v>
      </c>
      <c r="D17" s="22">
        <v>0.0</v>
      </c>
      <c r="E17" s="22">
        <v>2.0</v>
      </c>
      <c r="F17" s="23">
        <v>96.4</v>
      </c>
      <c r="G17" s="23">
        <v>6096.4</v>
      </c>
      <c r="H17" s="2"/>
      <c r="I17" s="2"/>
      <c r="J17" s="5">
        <v>16.0</v>
      </c>
      <c r="K17" s="5">
        <v>60.0</v>
      </c>
      <c r="L17" s="2" t="s">
        <v>59</v>
      </c>
      <c r="M17" s="2">
        <v>1.0</v>
      </c>
      <c r="N17" s="2">
        <v>0.0</v>
      </c>
      <c r="O17" s="2">
        <v>4.0</v>
      </c>
      <c r="P17" s="20">
        <v>27.2</v>
      </c>
      <c r="Q17" s="20">
        <v>2027.2</v>
      </c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">
        <v>17.0</v>
      </c>
      <c r="B18" s="2" t="s">
        <v>58</v>
      </c>
      <c r="C18" s="2">
        <v>3.0</v>
      </c>
      <c r="D18" s="2">
        <v>0.0</v>
      </c>
      <c r="E18" s="2">
        <v>2.0</v>
      </c>
      <c r="F18" s="20">
        <v>96.0</v>
      </c>
      <c r="G18" s="20">
        <v>6096.0</v>
      </c>
      <c r="H18" s="2"/>
      <c r="I18" s="2"/>
      <c r="J18" s="5">
        <v>17.0</v>
      </c>
      <c r="K18" s="5">
        <v>62.0</v>
      </c>
      <c r="L18" s="2" t="s">
        <v>94</v>
      </c>
      <c r="M18" s="2">
        <v>0.0</v>
      </c>
      <c r="N18" s="2">
        <v>0.0</v>
      </c>
      <c r="O18" s="2">
        <v>5.0</v>
      </c>
      <c r="P18" s="20">
        <v>17.6</v>
      </c>
      <c r="Q18" s="20">
        <v>17.6</v>
      </c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">
        <v>18.0</v>
      </c>
      <c r="B19" s="2" t="s">
        <v>25</v>
      </c>
      <c r="C19" s="2">
        <v>3.0</v>
      </c>
      <c r="D19" s="2">
        <v>0.0</v>
      </c>
      <c r="E19" s="2">
        <v>2.0</v>
      </c>
      <c r="F19" s="20">
        <v>93.6</v>
      </c>
      <c r="G19" s="20">
        <v>6093.6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">
        <v>19.0</v>
      </c>
      <c r="B20" s="2" t="s">
        <v>39</v>
      </c>
      <c r="C20" s="2">
        <v>3.0</v>
      </c>
      <c r="D20" s="2">
        <v>0.0</v>
      </c>
      <c r="E20" s="2">
        <v>2.0</v>
      </c>
      <c r="F20" s="20">
        <v>92.4</v>
      </c>
      <c r="G20" s="20">
        <v>6092.4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">
        <v>20.0</v>
      </c>
      <c r="B21" s="2" t="s">
        <v>102</v>
      </c>
      <c r="C21" s="2">
        <v>3.0</v>
      </c>
      <c r="D21" s="2">
        <v>0.0</v>
      </c>
      <c r="E21" s="2">
        <v>2.0</v>
      </c>
      <c r="F21" s="20">
        <v>90.4</v>
      </c>
      <c r="G21" s="20">
        <v>6090.4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">
        <v>21.0</v>
      </c>
      <c r="B22" s="2" t="s">
        <v>20</v>
      </c>
      <c r="C22" s="2">
        <v>3.0</v>
      </c>
      <c r="D22" s="2">
        <v>0.0</v>
      </c>
      <c r="E22" s="2">
        <v>2.0</v>
      </c>
      <c r="F22" s="20">
        <v>88.0</v>
      </c>
      <c r="G22" s="20">
        <v>6088.0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">
        <v>22.0</v>
      </c>
      <c r="B23" s="2" t="s">
        <v>75</v>
      </c>
      <c r="C23" s="2">
        <v>3.0</v>
      </c>
      <c r="D23" s="2">
        <v>0.0</v>
      </c>
      <c r="E23" s="2">
        <v>2.0</v>
      </c>
      <c r="F23" s="20">
        <v>85.6</v>
      </c>
      <c r="G23" s="20">
        <v>6085.6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">
        <v>23.0</v>
      </c>
      <c r="B24" s="2" t="s">
        <v>63</v>
      </c>
      <c r="C24" s="2">
        <v>3.0</v>
      </c>
      <c r="D24" s="2">
        <v>0.0</v>
      </c>
      <c r="E24" s="2">
        <v>2.0</v>
      </c>
      <c r="F24" s="20">
        <v>81.6</v>
      </c>
      <c r="G24" s="20">
        <v>6081.6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">
        <v>24.0</v>
      </c>
      <c r="B25" s="2" t="s">
        <v>56</v>
      </c>
      <c r="C25" s="2">
        <v>3.0</v>
      </c>
      <c r="D25" s="2">
        <v>0.0</v>
      </c>
      <c r="E25" s="2">
        <v>2.0</v>
      </c>
      <c r="F25" s="20">
        <v>75.2</v>
      </c>
      <c r="G25" s="20">
        <v>6075.2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">
        <v>25.0</v>
      </c>
      <c r="B26" s="2" t="s">
        <v>113</v>
      </c>
      <c r="C26" s="2">
        <v>3.0</v>
      </c>
      <c r="D26" s="2">
        <v>0.0</v>
      </c>
      <c r="E26" s="2">
        <v>2.0</v>
      </c>
      <c r="F26" s="20">
        <v>74.4</v>
      </c>
      <c r="G26" s="20">
        <v>6074.4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">
        <v>26.0</v>
      </c>
      <c r="B27" s="2" t="s">
        <v>30</v>
      </c>
      <c r="C27" s="2">
        <v>3.0</v>
      </c>
      <c r="D27" s="2">
        <v>0.0</v>
      </c>
      <c r="E27" s="2">
        <v>2.0</v>
      </c>
      <c r="F27" s="20">
        <v>68.4</v>
      </c>
      <c r="G27" s="20">
        <v>6068.4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">
        <v>27.0</v>
      </c>
      <c r="B28" s="2" t="s">
        <v>77</v>
      </c>
      <c r="C28" s="2">
        <v>3.0</v>
      </c>
      <c r="D28" s="2">
        <v>0.0</v>
      </c>
      <c r="E28" s="2">
        <v>2.0</v>
      </c>
      <c r="F28" s="20">
        <v>66.8</v>
      </c>
      <c r="G28" s="20">
        <v>6066.8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">
        <v>28.0</v>
      </c>
      <c r="B29" s="2" t="s">
        <v>41</v>
      </c>
      <c r="C29" s="2">
        <v>3.0</v>
      </c>
      <c r="D29" s="2">
        <v>0.0</v>
      </c>
      <c r="E29" s="2">
        <v>2.0</v>
      </c>
      <c r="F29" s="20">
        <v>64.4</v>
      </c>
      <c r="G29" s="20">
        <v>6064.4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">
        <v>29.0</v>
      </c>
      <c r="B30" s="2" t="s">
        <v>37</v>
      </c>
      <c r="C30" s="2">
        <v>3.0</v>
      </c>
      <c r="D30" s="2">
        <v>0.0</v>
      </c>
      <c r="E30" s="2">
        <v>2.0</v>
      </c>
      <c r="F30" s="20">
        <v>56.0</v>
      </c>
      <c r="G30" s="20">
        <v>6056.0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">
        <v>30.0</v>
      </c>
      <c r="B31" s="2" t="s">
        <v>47</v>
      </c>
      <c r="C31" s="2">
        <v>3.0</v>
      </c>
      <c r="D31" s="2">
        <v>0.0</v>
      </c>
      <c r="E31" s="2">
        <v>2.0</v>
      </c>
      <c r="F31" s="20">
        <v>46.0</v>
      </c>
      <c r="G31" s="20">
        <v>6046.0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5">
        <v>31.0</v>
      </c>
      <c r="B32" s="2" t="s">
        <v>33</v>
      </c>
      <c r="C32" s="2">
        <v>2.0</v>
      </c>
      <c r="D32" s="2">
        <v>1.0</v>
      </c>
      <c r="E32" s="2">
        <v>2.0</v>
      </c>
      <c r="F32" s="20">
        <v>42.8</v>
      </c>
      <c r="G32" s="20">
        <v>5042.8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5">
        <v>32.0</v>
      </c>
      <c r="B33" s="2" t="s">
        <v>16</v>
      </c>
      <c r="C33" s="2">
        <v>2.0</v>
      </c>
      <c r="D33" s="2">
        <v>0.0</v>
      </c>
      <c r="E33" s="2">
        <v>3.0</v>
      </c>
      <c r="F33" s="20">
        <v>83.6</v>
      </c>
      <c r="G33" s="20">
        <v>4083.6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5">
        <v>33.0</v>
      </c>
      <c r="B34" s="2" t="s">
        <v>32</v>
      </c>
      <c r="C34" s="2">
        <v>2.0</v>
      </c>
      <c r="D34" s="2">
        <v>0.0</v>
      </c>
      <c r="E34" s="2">
        <v>3.0</v>
      </c>
      <c r="F34" s="20">
        <v>75.2</v>
      </c>
      <c r="G34" s="20">
        <v>4075.2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5">
        <v>34.0</v>
      </c>
      <c r="B35" s="2" t="s">
        <v>121</v>
      </c>
      <c r="C35" s="2">
        <v>2.0</v>
      </c>
      <c r="D35" s="2">
        <v>0.0</v>
      </c>
      <c r="E35" s="2">
        <v>3.0</v>
      </c>
      <c r="F35" s="20">
        <v>71.6</v>
      </c>
      <c r="G35" s="20">
        <v>4071.6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5">
        <v>35.0</v>
      </c>
      <c r="B36" s="2" t="s">
        <v>65</v>
      </c>
      <c r="C36" s="2">
        <v>2.0</v>
      </c>
      <c r="D36" s="2">
        <v>0.0</v>
      </c>
      <c r="E36" s="2">
        <v>3.0</v>
      </c>
      <c r="F36" s="20">
        <v>70.8</v>
      </c>
      <c r="G36" s="20">
        <v>4070.8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5">
        <v>36.0</v>
      </c>
      <c r="B37" s="2" t="s">
        <v>52</v>
      </c>
      <c r="C37" s="2">
        <v>2.0</v>
      </c>
      <c r="D37" s="2">
        <v>0.0</v>
      </c>
      <c r="E37" s="2">
        <v>3.0</v>
      </c>
      <c r="F37" s="20">
        <v>64.8</v>
      </c>
      <c r="G37" s="20">
        <v>4064.8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5">
        <v>37.0</v>
      </c>
      <c r="B38" s="2" t="s">
        <v>57</v>
      </c>
      <c r="C38" s="2">
        <v>2.0</v>
      </c>
      <c r="D38" s="2">
        <v>0.0</v>
      </c>
      <c r="E38" s="2">
        <v>3.0</v>
      </c>
      <c r="F38" s="20">
        <v>64.8</v>
      </c>
      <c r="G38" s="20">
        <v>4064.8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5">
        <v>38.0</v>
      </c>
      <c r="B39" s="2" t="s">
        <v>69</v>
      </c>
      <c r="C39" s="2">
        <v>2.0</v>
      </c>
      <c r="D39" s="2">
        <v>0.0</v>
      </c>
      <c r="E39" s="2">
        <v>3.0</v>
      </c>
      <c r="F39" s="20">
        <v>63.6</v>
      </c>
      <c r="G39" s="20">
        <v>4063.6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5">
        <v>39.0</v>
      </c>
      <c r="B40" s="2" t="s">
        <v>43</v>
      </c>
      <c r="C40" s="2">
        <v>2.0</v>
      </c>
      <c r="D40" s="2">
        <v>0.0</v>
      </c>
      <c r="E40" s="2">
        <v>3.0</v>
      </c>
      <c r="F40" s="20">
        <v>60.0</v>
      </c>
      <c r="G40" s="20">
        <v>4060.0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5">
        <v>40.0</v>
      </c>
      <c r="B41" s="2" t="s">
        <v>76</v>
      </c>
      <c r="C41" s="2">
        <v>2.0</v>
      </c>
      <c r="D41" s="2">
        <v>0.0</v>
      </c>
      <c r="E41" s="2">
        <v>3.0</v>
      </c>
      <c r="F41" s="20">
        <v>57.6</v>
      </c>
      <c r="G41" s="20">
        <v>4057.6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5">
        <v>41.0</v>
      </c>
      <c r="B42" s="2" t="s">
        <v>80</v>
      </c>
      <c r="C42" s="2">
        <v>2.0</v>
      </c>
      <c r="D42" s="2">
        <v>0.0</v>
      </c>
      <c r="E42" s="2">
        <v>3.0</v>
      </c>
      <c r="F42" s="20">
        <v>57.2</v>
      </c>
      <c r="G42" s="20">
        <v>4057.2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5">
        <v>42.0</v>
      </c>
      <c r="B43" s="2" t="s">
        <v>127</v>
      </c>
      <c r="C43" s="2">
        <v>2.0</v>
      </c>
      <c r="D43" s="2">
        <v>0.0</v>
      </c>
      <c r="E43" s="2">
        <v>3.0</v>
      </c>
      <c r="F43" s="20">
        <v>47.6</v>
      </c>
      <c r="G43" s="20">
        <v>4047.6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5">
        <v>43.0</v>
      </c>
      <c r="B44" s="2" t="s">
        <v>35</v>
      </c>
      <c r="C44" s="2">
        <v>2.0</v>
      </c>
      <c r="D44" s="2">
        <v>0.0</v>
      </c>
      <c r="E44" s="2">
        <v>3.0</v>
      </c>
      <c r="F44" s="20">
        <v>47.6</v>
      </c>
      <c r="G44" s="20">
        <v>4047.6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5">
        <v>44.0</v>
      </c>
      <c r="B45" s="2" t="s">
        <v>74</v>
      </c>
      <c r="C45" s="2">
        <v>2.0</v>
      </c>
      <c r="D45" s="2">
        <v>0.0</v>
      </c>
      <c r="E45" s="2">
        <v>3.0</v>
      </c>
      <c r="F45" s="20">
        <v>45.6</v>
      </c>
      <c r="G45" s="20">
        <v>4045.6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5">
        <v>45.0</v>
      </c>
      <c r="B46" s="2" t="s">
        <v>54</v>
      </c>
      <c r="C46" s="2">
        <v>2.0</v>
      </c>
      <c r="D46" s="2">
        <v>0.0</v>
      </c>
      <c r="E46" s="2">
        <v>3.0</v>
      </c>
      <c r="F46" s="20">
        <v>42.8</v>
      </c>
      <c r="G46" s="20">
        <v>4042.8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5">
        <v>46.0</v>
      </c>
      <c r="B47" s="2" t="s">
        <v>64</v>
      </c>
      <c r="C47" s="2">
        <v>2.0</v>
      </c>
      <c r="D47" s="2">
        <v>0.0</v>
      </c>
      <c r="E47" s="2">
        <v>3.0</v>
      </c>
      <c r="F47" s="20">
        <v>38.8</v>
      </c>
      <c r="G47" s="20">
        <v>4038.8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5">
        <v>47.0</v>
      </c>
      <c r="B48" s="2" t="s">
        <v>51</v>
      </c>
      <c r="C48" s="2">
        <v>2.0</v>
      </c>
      <c r="D48" s="2">
        <v>0.0</v>
      </c>
      <c r="E48" s="2">
        <v>3.0</v>
      </c>
      <c r="F48" s="20">
        <v>38.0</v>
      </c>
      <c r="G48" s="20">
        <v>4038.0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5">
        <v>48.0</v>
      </c>
      <c r="B49" s="2" t="s">
        <v>53</v>
      </c>
      <c r="C49" s="2">
        <v>2.0</v>
      </c>
      <c r="D49" s="2">
        <v>0.0</v>
      </c>
      <c r="E49" s="2">
        <v>3.0</v>
      </c>
      <c r="F49" s="20">
        <v>36.4</v>
      </c>
      <c r="G49" s="20">
        <v>4036.4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5">
        <v>49.0</v>
      </c>
      <c r="B50" s="2" t="s">
        <v>50</v>
      </c>
      <c r="C50" s="2">
        <v>2.0</v>
      </c>
      <c r="D50" s="2">
        <v>0.0</v>
      </c>
      <c r="E50" s="2">
        <v>3.0</v>
      </c>
      <c r="F50" s="20">
        <v>33.2</v>
      </c>
      <c r="G50" s="20">
        <v>4033.2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5">
        <v>50.0</v>
      </c>
      <c r="B51" s="2" t="s">
        <v>78</v>
      </c>
      <c r="C51" s="2">
        <v>2.0</v>
      </c>
      <c r="D51" s="2">
        <v>0.0</v>
      </c>
      <c r="E51" s="2">
        <v>3.0</v>
      </c>
      <c r="F51" s="20">
        <v>32.4</v>
      </c>
      <c r="G51" s="20">
        <v>4032.4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5">
        <v>51.0</v>
      </c>
      <c r="B52" s="2" t="s">
        <v>66</v>
      </c>
      <c r="C52" s="2">
        <v>1.0</v>
      </c>
      <c r="D52" s="2">
        <v>1.0</v>
      </c>
      <c r="E52" s="2">
        <v>3.0</v>
      </c>
      <c r="F52" s="20">
        <v>24.4</v>
      </c>
      <c r="G52" s="20">
        <v>3024.4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5">
        <v>52.0</v>
      </c>
      <c r="B53" s="2" t="s">
        <v>108</v>
      </c>
      <c r="C53" s="2">
        <v>1.0</v>
      </c>
      <c r="D53" s="2">
        <v>0.0</v>
      </c>
      <c r="E53" s="2">
        <v>4.0</v>
      </c>
      <c r="F53" s="20">
        <v>52.4</v>
      </c>
      <c r="G53" s="20">
        <v>2052.4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5">
        <v>53.0</v>
      </c>
      <c r="B54" s="2" t="s">
        <v>45</v>
      </c>
      <c r="C54" s="2">
        <v>1.0</v>
      </c>
      <c r="D54" s="2">
        <v>0.0</v>
      </c>
      <c r="E54" s="2">
        <v>4.0</v>
      </c>
      <c r="F54" s="20">
        <v>47.2</v>
      </c>
      <c r="G54" s="20">
        <v>2047.2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5">
        <v>54.0</v>
      </c>
      <c r="B55" s="2" t="s">
        <v>71</v>
      </c>
      <c r="C55" s="2">
        <v>1.0</v>
      </c>
      <c r="D55" s="2">
        <v>0.0</v>
      </c>
      <c r="E55" s="2">
        <v>4.0</v>
      </c>
      <c r="F55" s="20">
        <v>46.0</v>
      </c>
      <c r="G55" s="20">
        <v>2046.0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5">
        <v>55.0</v>
      </c>
      <c r="B56" s="2" t="s">
        <v>125</v>
      </c>
      <c r="C56" s="2">
        <v>1.0</v>
      </c>
      <c r="D56" s="2">
        <v>0.0</v>
      </c>
      <c r="E56" s="2">
        <v>4.0</v>
      </c>
      <c r="F56" s="20">
        <v>41.2</v>
      </c>
      <c r="G56" s="20">
        <v>2041.2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5">
        <v>56.0</v>
      </c>
      <c r="B57" s="2" t="s">
        <v>14</v>
      </c>
      <c r="C57" s="2">
        <v>1.0</v>
      </c>
      <c r="D57" s="2">
        <v>0.0</v>
      </c>
      <c r="E57" s="2">
        <v>4.0</v>
      </c>
      <c r="F57" s="20">
        <v>36.8</v>
      </c>
      <c r="G57" s="20">
        <v>2036.8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5">
        <v>57.0</v>
      </c>
      <c r="B58" s="2" t="s">
        <v>100</v>
      </c>
      <c r="C58" s="2">
        <v>1.0</v>
      </c>
      <c r="D58" s="2">
        <v>0.0</v>
      </c>
      <c r="E58" s="2">
        <v>4.0</v>
      </c>
      <c r="F58" s="20">
        <v>34.4</v>
      </c>
      <c r="G58" s="20">
        <v>2034.4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5">
        <v>58.0</v>
      </c>
      <c r="B59" s="2" t="s">
        <v>70</v>
      </c>
      <c r="C59" s="2">
        <v>1.0</v>
      </c>
      <c r="D59" s="2">
        <v>0.0</v>
      </c>
      <c r="E59" s="2">
        <v>4.0</v>
      </c>
      <c r="F59" s="20">
        <v>34.4</v>
      </c>
      <c r="G59" s="20">
        <v>2034.4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5">
        <v>59.0</v>
      </c>
      <c r="B60" s="2" t="s">
        <v>123</v>
      </c>
      <c r="C60" s="2">
        <v>1.0</v>
      </c>
      <c r="D60" s="2">
        <v>0.0</v>
      </c>
      <c r="E60" s="2">
        <v>4.0</v>
      </c>
      <c r="F60" s="20">
        <v>30.8</v>
      </c>
      <c r="G60" s="20">
        <v>2030.8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5">
        <v>60.0</v>
      </c>
      <c r="B61" s="2" t="s">
        <v>59</v>
      </c>
      <c r="C61" s="2">
        <v>1.0</v>
      </c>
      <c r="D61" s="2">
        <v>0.0</v>
      </c>
      <c r="E61" s="2">
        <v>4.0</v>
      </c>
      <c r="F61" s="20">
        <v>27.2</v>
      </c>
      <c r="G61" s="20">
        <v>2027.2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5">
        <v>61.0</v>
      </c>
      <c r="B62" s="2" t="s">
        <v>42</v>
      </c>
      <c r="C62" s="2">
        <v>0.0</v>
      </c>
      <c r="D62" s="2">
        <v>0.0</v>
      </c>
      <c r="E62" s="2">
        <v>5.0</v>
      </c>
      <c r="F62" s="20">
        <v>21.6</v>
      </c>
      <c r="G62" s="20">
        <v>21.6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5">
        <v>62.0</v>
      </c>
      <c r="B63" s="2" t="s">
        <v>94</v>
      </c>
      <c r="C63" s="2">
        <v>0.0</v>
      </c>
      <c r="D63" s="2">
        <v>0.0</v>
      </c>
      <c r="E63" s="2">
        <v>5.0</v>
      </c>
      <c r="F63" s="20">
        <v>17.6</v>
      </c>
      <c r="G63" s="20">
        <v>17.6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3" max="3" width="14.0"/>
    <col customWidth="1" min="5" max="5" width="23.25"/>
  </cols>
  <sheetData>
    <row r="1">
      <c r="A1" s="14" t="s">
        <v>81</v>
      </c>
      <c r="C1" s="5"/>
      <c r="D1" s="2"/>
      <c r="E1" s="15" t="s">
        <v>83</v>
      </c>
      <c r="G1" s="5" t="s">
        <v>86</v>
      </c>
      <c r="H1" s="2"/>
      <c r="I1" s="2"/>
      <c r="J1" s="2"/>
      <c r="K1" s="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" t="s">
        <v>87</v>
      </c>
      <c r="B2" s="1" t="s">
        <v>17</v>
      </c>
      <c r="C2" s="5" t="s">
        <v>88</v>
      </c>
      <c r="D2" s="2"/>
      <c r="H2" s="5"/>
      <c r="I2" s="5"/>
      <c r="J2" s="2"/>
      <c r="K2" s="5"/>
      <c r="L2" s="5"/>
      <c r="M2" s="5"/>
      <c r="N2" s="5"/>
      <c r="O2" s="5"/>
      <c r="P2" s="2"/>
      <c r="Q2" s="2"/>
      <c r="R2" s="2"/>
      <c r="S2" s="2"/>
      <c r="T2" s="2"/>
      <c r="U2" s="2"/>
      <c r="V2" s="2"/>
      <c r="W2" s="2"/>
      <c r="X2" s="2"/>
    </row>
    <row r="3">
      <c r="A3" s="18" t="s">
        <v>61</v>
      </c>
      <c r="B3" s="20">
        <v>10147.6</v>
      </c>
      <c r="C3" s="18">
        <f t="array" ref="C3">IF($G$1="no",0,RANK(B3,$B$3:$B$18))</f>
        <v>1</v>
      </c>
      <c r="D3" s="2"/>
      <c r="E3" s="5"/>
      <c r="F3" s="5"/>
      <c r="G3" s="5"/>
      <c r="H3" s="5"/>
      <c r="I3" s="5"/>
      <c r="J3" s="2"/>
      <c r="K3" s="5"/>
      <c r="L3" s="5"/>
      <c r="M3" s="5"/>
      <c r="N3" s="5"/>
      <c r="O3" s="5"/>
      <c r="P3" s="2"/>
      <c r="Q3" s="2"/>
      <c r="R3" s="2"/>
      <c r="S3" s="2"/>
      <c r="T3" s="2"/>
      <c r="U3" s="2"/>
      <c r="V3" s="2"/>
      <c r="W3" s="2"/>
      <c r="X3" s="2"/>
    </row>
    <row r="4">
      <c r="A4" s="18" t="s">
        <v>5</v>
      </c>
      <c r="B4" s="20">
        <v>10115.6</v>
      </c>
      <c r="C4" s="18">
        <f t="array" ref="C4">IF($G$1="no",0,RANK(B4,$B$3:$B$18))</f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 t="s">
        <v>24</v>
      </c>
      <c r="B5" s="20">
        <v>8130.4</v>
      </c>
      <c r="C5" s="18">
        <f t="array" ref="C5">IF($G$1="no",0,RANK(B5,$B$3:$B$18))</f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4" t="s">
        <v>9</v>
      </c>
      <c r="B6" s="20">
        <v>8120.4</v>
      </c>
      <c r="C6" s="18">
        <f t="array" ref="C6">IF($G$1="no",0,RANK(B6,$B$3:$B$18))</f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5" t="s">
        <v>18</v>
      </c>
      <c r="B7" s="20">
        <v>8114.8</v>
      </c>
      <c r="C7" s="18">
        <f t="array" ref="C7">IF($G$1="no",0,RANK(B7,$B$3:$B$18))</f>
        <v>5</v>
      </c>
      <c r="D7" s="2"/>
      <c r="E7" s="2"/>
      <c r="F7" s="2"/>
      <c r="G7" s="2"/>
      <c r="H7" s="2"/>
      <c r="I7" s="2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8" t="s">
        <v>49</v>
      </c>
      <c r="B8" s="20">
        <v>8106.4</v>
      </c>
      <c r="C8" s="18">
        <f t="array" ref="C8">IF($G$1="no",0,RANK(B8,$B$3:$B$18))</f>
        <v>6</v>
      </c>
      <c r="D8" s="2"/>
      <c r="E8" s="5"/>
      <c r="F8" s="2"/>
      <c r="G8" s="2"/>
      <c r="H8" s="18"/>
      <c r="I8" s="20"/>
      <c r="J8" s="2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8" t="s">
        <v>79</v>
      </c>
      <c r="B9" s="20">
        <v>8098.8</v>
      </c>
      <c r="C9" s="18">
        <f t="array" ref="C9">IF($G$1="no",0,RANK(B9,$B$3:$B$18))</f>
        <v>7</v>
      </c>
      <c r="D9" s="2"/>
      <c r="E9" s="5"/>
      <c r="F9" s="5"/>
      <c r="G9" s="5"/>
      <c r="H9" s="2"/>
      <c r="I9" s="20"/>
      <c r="J9" s="2"/>
      <c r="K9" s="5"/>
      <c r="L9" s="5"/>
      <c r="M9" s="5"/>
      <c r="N9" s="5"/>
      <c r="O9" s="5"/>
      <c r="P9" s="2"/>
      <c r="Q9" s="2"/>
      <c r="R9" s="2"/>
      <c r="S9" s="2"/>
      <c r="T9" s="2"/>
      <c r="U9" s="2"/>
      <c r="V9" s="2"/>
      <c r="W9" s="2"/>
      <c r="X9" s="2"/>
    </row>
    <row r="10">
      <c r="A10" s="18" t="s">
        <v>73</v>
      </c>
      <c r="B10" s="20">
        <v>8093.6</v>
      </c>
      <c r="C10" s="18">
        <f t="array" ref="C10">IF($G$1="no",0,RANK(B10,$B$3:$B$18))</f>
        <v>8</v>
      </c>
      <c r="D10" s="2"/>
      <c r="E10" s="5"/>
      <c r="F10" s="2"/>
      <c r="G10" s="2"/>
      <c r="H10" s="2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8" t="s">
        <v>13</v>
      </c>
      <c r="B11" s="20">
        <v>8092.4</v>
      </c>
      <c r="C11" s="18">
        <f t="array" ref="C11">IF($G$1="no",0,RANK(B11,$B$3:$B$18))</f>
        <v>9</v>
      </c>
      <c r="D11" s="2"/>
      <c r="E11" s="5"/>
      <c r="F11" s="2"/>
      <c r="G11" s="2"/>
      <c r="H11" s="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 t="s">
        <v>28</v>
      </c>
      <c r="B12" s="20">
        <v>8091.2</v>
      </c>
      <c r="C12" s="18">
        <f t="array" ref="C12">IF($G$1="no",0,RANK(B12,$B$3:$B$18))</f>
        <v>10</v>
      </c>
      <c r="D12" s="2"/>
      <c r="E12" s="5"/>
      <c r="F12" s="2"/>
      <c r="G12" s="2"/>
      <c r="H12" s="2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8" t="s">
        <v>68</v>
      </c>
      <c r="B13" s="20">
        <v>8084.0</v>
      </c>
      <c r="C13" s="18">
        <f t="array" ref="C13">IF($G$1="no",0,RANK(B13,$B$3:$B$18))</f>
        <v>11</v>
      </c>
      <c r="D13" s="2"/>
      <c r="E13" s="5"/>
      <c r="F13" s="2"/>
      <c r="G13" s="2"/>
      <c r="H13" s="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18" t="s">
        <v>22</v>
      </c>
      <c r="B14" s="20">
        <v>8075.2</v>
      </c>
      <c r="C14" s="18">
        <f t="array" ref="C14">IF($G$1="no",0,RANK(B14,$B$3:$B$18))</f>
        <v>12</v>
      </c>
      <c r="D14" s="2"/>
      <c r="E14" s="5"/>
      <c r="F14" s="2"/>
      <c r="G14" s="2"/>
      <c r="H14" s="2"/>
      <c r="I14" s="20"/>
      <c r="J14" s="2"/>
      <c r="K14" s="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 t="s">
        <v>29</v>
      </c>
      <c r="B15" s="20">
        <v>6109.6</v>
      </c>
      <c r="C15" s="18">
        <f t="array" ref="C15">IF($G$1="no",0,RANK(B15,$B$3:$B$18))</f>
        <v>13</v>
      </c>
      <c r="D15" s="2"/>
      <c r="E15" s="5"/>
      <c r="F15" s="5"/>
      <c r="G15" s="5"/>
      <c r="H15" s="5"/>
      <c r="I15" s="5"/>
      <c r="J15" s="2"/>
      <c r="K15" s="5"/>
      <c r="L15" s="5"/>
      <c r="M15" s="5"/>
      <c r="N15" s="5"/>
      <c r="O15" s="5"/>
      <c r="P15" s="2"/>
      <c r="Q15" s="2"/>
      <c r="R15" s="2"/>
      <c r="S15" s="2"/>
      <c r="T15" s="2"/>
      <c r="U15" s="2"/>
      <c r="V15" s="2"/>
      <c r="W15" s="2"/>
      <c r="X15" s="2"/>
    </row>
    <row r="16">
      <c r="A16" s="18" t="s">
        <v>90</v>
      </c>
      <c r="B16" s="20">
        <v>6106.8</v>
      </c>
      <c r="C16" s="18">
        <f t="array" ref="C16">IF($G$1="no",0,RANK(B16,$B$3:$B$18))</f>
        <v>14</v>
      </c>
      <c r="D16" s="2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 t="s">
        <v>101</v>
      </c>
      <c r="B17" s="20">
        <v>6105.6</v>
      </c>
      <c r="C17" s="18">
        <f t="array" ref="C17">IF($G$1="no",0,RANK(B17,$B$3:$B$18))</f>
        <v>15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 t="s">
        <v>91</v>
      </c>
      <c r="B18" s="20">
        <v>6096.4</v>
      </c>
      <c r="C18" s="18">
        <f t="array" ref="C18">IF($G$1="no",0,RANK(B18,$B$3:$B$18))</f>
        <v>16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1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18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1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1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1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1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1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1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1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1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1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1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1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18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1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1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18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18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18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1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18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18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1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18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18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18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18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18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18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18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18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1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18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1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18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18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18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18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18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18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18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18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18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mergeCells count="2">
    <mergeCell ref="A1:B1"/>
    <mergeCell ref="E1:F1"/>
  </mergeCells>
  <dataValidations>
    <dataValidation type="list" allowBlank="1" showErrorMessage="1" sqref="G1">
      <formula1>"YEAH,no"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2.0"/>
    <col customWidth="1" min="4" max="4" width="6.38"/>
    <col customWidth="1" min="5" max="5" width="22.0"/>
    <col customWidth="1" min="6" max="7" width="6.38"/>
    <col customWidth="1" min="8" max="8" width="22.0"/>
    <col customWidth="1" min="9" max="9" width="6.38"/>
    <col customWidth="1" min="10" max="10" width="22.0"/>
    <col customWidth="1" min="11" max="11" width="6.38"/>
    <col customWidth="1" min="12" max="12" width="22.0"/>
    <col customWidth="1" min="13" max="13" width="6.38"/>
    <col customWidth="1" min="14" max="14" width="22.0"/>
    <col customWidth="1" min="15" max="15" width="6.38"/>
    <col customWidth="1" min="16" max="16" width="22.0"/>
    <col customWidth="1" min="17" max="17" width="6.38"/>
    <col customWidth="1" min="18" max="18" width="23.75"/>
    <col customWidth="1" min="19" max="19" width="6.38"/>
    <col customWidth="1" min="21" max="21" width="6.38"/>
    <col customWidth="1" min="23" max="23" width="22.0"/>
  </cols>
  <sheetData>
    <row r="1">
      <c r="A1" s="28" t="s">
        <v>132</v>
      </c>
      <c r="B1" s="29"/>
      <c r="C1" s="30">
        <v>0.5659722222222222</v>
      </c>
      <c r="D1" s="31"/>
      <c r="E1" s="30">
        <v>0.5902777777777778</v>
      </c>
      <c r="F1" s="31"/>
      <c r="G1" s="31"/>
      <c r="H1" s="30">
        <v>0.6180555555555556</v>
      </c>
      <c r="I1" s="31"/>
      <c r="J1" s="30">
        <v>0.6597222222222222</v>
      </c>
      <c r="K1" s="31"/>
      <c r="L1" s="30">
        <v>0.6875</v>
      </c>
      <c r="M1" s="31"/>
      <c r="N1" s="30">
        <v>0.7118055555555556</v>
      </c>
      <c r="O1" s="31"/>
      <c r="P1" s="30">
        <v>0.7395833333333334</v>
      </c>
      <c r="Q1" s="32"/>
      <c r="R1" s="30">
        <v>0.7708333333333334</v>
      </c>
      <c r="S1" s="33"/>
      <c r="T1" s="33"/>
      <c r="U1" s="33"/>
      <c r="V1" s="33"/>
      <c r="W1" s="33"/>
      <c r="X1" s="29"/>
      <c r="Y1" s="29"/>
      <c r="Z1" s="29"/>
      <c r="AA1" s="29"/>
    </row>
    <row r="2">
      <c r="A2" s="34"/>
      <c r="B2" s="35"/>
      <c r="C2" s="36" t="s">
        <v>133</v>
      </c>
      <c r="D2" s="36"/>
      <c r="E2" s="36" t="s">
        <v>134</v>
      </c>
      <c r="F2" s="36"/>
      <c r="G2" s="36"/>
      <c r="H2" s="36" t="s">
        <v>135</v>
      </c>
      <c r="I2" s="36"/>
      <c r="J2" s="36" t="s">
        <v>136</v>
      </c>
      <c r="K2" s="36"/>
      <c r="L2" s="36" t="s">
        <v>137</v>
      </c>
      <c r="M2" s="36"/>
      <c r="N2" s="36" t="s">
        <v>138</v>
      </c>
      <c r="O2" s="36"/>
      <c r="P2" s="36" t="s">
        <v>139</v>
      </c>
      <c r="Q2" s="36"/>
      <c r="R2" s="36" t="s">
        <v>140</v>
      </c>
      <c r="S2" s="36"/>
      <c r="T2" s="36"/>
      <c r="U2" s="33"/>
      <c r="V2" s="33"/>
      <c r="W2" s="33"/>
      <c r="X2" s="29"/>
      <c r="Y2" s="29"/>
      <c r="Z2" s="29"/>
      <c r="AA2" s="29"/>
    </row>
    <row r="3">
      <c r="A3" s="34" t="s">
        <v>141</v>
      </c>
      <c r="B3" s="35">
        <v>1.0</v>
      </c>
      <c r="C3" s="37" t="str">
        <f>IFERROR(__xludf.DUMMYFUNCTION("IFERROR(INDEX(FILTER('Advancing Teams'!$A$3:$A$18,'Advancing Teams'!$C$3:$C$18 = B3),1))"),"Galen 2")</f>
        <v>Galen 2</v>
      </c>
      <c r="D3" s="38">
        <v>130.0</v>
      </c>
      <c r="E3" s="29"/>
      <c r="F3" s="29"/>
      <c r="G3" s="29"/>
      <c r="H3" s="39" t="s">
        <v>142</v>
      </c>
      <c r="I3" s="29"/>
      <c r="J3" s="29"/>
      <c r="K3" s="29"/>
      <c r="L3" s="29"/>
      <c r="M3" s="29"/>
      <c r="N3" s="29"/>
      <c r="O3" s="29"/>
      <c r="P3" s="33"/>
      <c r="Q3" s="33"/>
      <c r="R3" s="33"/>
      <c r="S3" s="33"/>
      <c r="T3" s="33"/>
      <c r="U3" s="33"/>
      <c r="V3" s="33"/>
      <c r="W3" s="33"/>
      <c r="X3" s="29"/>
      <c r="Y3" s="29"/>
      <c r="Z3" s="29"/>
      <c r="AA3" s="29"/>
    </row>
    <row r="4">
      <c r="A4" s="34" t="s">
        <v>143</v>
      </c>
      <c r="B4" s="29"/>
      <c r="C4" s="40" t="s">
        <v>144</v>
      </c>
      <c r="D4" s="41"/>
      <c r="E4" s="42" t="str">
        <f>IF(D3="","",IF(D3 &gt; D5, C3, C5))</f>
        <v>Galen 2</v>
      </c>
      <c r="F4" s="38">
        <v>124.0</v>
      </c>
      <c r="G4" s="43"/>
      <c r="H4" s="39" t="s">
        <v>145</v>
      </c>
      <c r="I4" s="29"/>
      <c r="J4" s="29"/>
      <c r="K4" s="29"/>
      <c r="L4" s="29"/>
      <c r="M4" s="29"/>
      <c r="N4" s="29"/>
      <c r="O4" s="29"/>
      <c r="P4" s="33"/>
      <c r="Q4" s="33"/>
      <c r="R4" s="33"/>
      <c r="S4" s="33"/>
      <c r="T4" s="33"/>
      <c r="U4" s="33"/>
      <c r="V4" s="33"/>
      <c r="W4" s="33"/>
      <c r="X4" s="29"/>
      <c r="Y4" s="29"/>
      <c r="Z4" s="29"/>
      <c r="AA4" s="29"/>
    </row>
    <row r="5">
      <c r="A5" s="44"/>
      <c r="B5" s="35">
        <v>16.0</v>
      </c>
      <c r="C5" s="37" t="str">
        <f>IFERROR(__xludf.DUMMYFUNCTION("IFERROR(INDEX(FILTER('Advancing Teams'!$A$3:$A$18,'Advancing Teams'!$C$3:$C$18 = B5),1))"),"Elkins")</f>
        <v>Elkins</v>
      </c>
      <c r="D5" s="45">
        <v>70.0</v>
      </c>
      <c r="E5" s="29"/>
      <c r="F5" s="41"/>
      <c r="H5" s="29"/>
      <c r="I5" s="29"/>
      <c r="J5" s="29"/>
      <c r="K5" s="29"/>
      <c r="L5" s="29"/>
      <c r="M5" s="29"/>
      <c r="N5" s="29"/>
      <c r="O5" s="29"/>
      <c r="P5" s="33"/>
      <c r="Q5" s="33"/>
      <c r="R5" s="33"/>
      <c r="S5" s="33"/>
      <c r="T5" s="33"/>
      <c r="U5" s="33"/>
      <c r="V5" s="33"/>
      <c r="W5" s="33"/>
      <c r="X5" s="29"/>
      <c r="Y5" s="29"/>
      <c r="Z5" s="29"/>
      <c r="AA5" s="29"/>
    </row>
    <row r="6">
      <c r="A6" s="39" t="s">
        <v>146</v>
      </c>
      <c r="B6" s="29"/>
      <c r="C6" s="29"/>
      <c r="D6" s="29"/>
      <c r="E6" s="46" t="s">
        <v>147</v>
      </c>
      <c r="F6" s="41"/>
      <c r="G6" s="47"/>
      <c r="H6" s="47"/>
      <c r="I6" s="48"/>
      <c r="J6" s="37" t="str">
        <f>IF(F4="","",IF(F4 &gt; F8, E4, E8))</f>
        <v>Galen 2</v>
      </c>
      <c r="K6" s="38">
        <v>30.0</v>
      </c>
      <c r="L6" s="29"/>
      <c r="M6" s="29"/>
      <c r="N6" s="29"/>
      <c r="O6" s="29"/>
      <c r="P6" s="33"/>
      <c r="Q6" s="33"/>
      <c r="R6" s="33"/>
      <c r="S6" s="33"/>
      <c r="T6" s="33"/>
      <c r="U6" s="33"/>
      <c r="V6" s="33"/>
      <c r="W6" s="33"/>
      <c r="X6" s="29"/>
      <c r="Y6" s="29"/>
      <c r="Z6" s="29"/>
      <c r="AA6" s="29"/>
    </row>
    <row r="7">
      <c r="A7" s="29"/>
      <c r="B7" s="35">
        <v>8.0</v>
      </c>
      <c r="C7" s="37" t="str">
        <f>IFERROR(__xludf.DUMMYFUNCTION("IFERROR(INDEX(FILTER('Advancing Teams'!$A$3:$A$18,'Advancing Teams'!$C$3:$C$18 = B7),1))"),"Dulles Dolls 1")</f>
        <v>Dulles Dolls 1</v>
      </c>
      <c r="D7" s="38">
        <v>110.0</v>
      </c>
      <c r="E7" s="29"/>
      <c r="F7" s="41"/>
      <c r="H7" s="29"/>
      <c r="I7" s="29"/>
      <c r="J7" s="29"/>
      <c r="K7" s="41"/>
      <c r="L7" s="29"/>
      <c r="M7" s="29"/>
      <c r="N7" s="29"/>
      <c r="O7" s="29"/>
      <c r="P7" s="33"/>
      <c r="Q7" s="33"/>
      <c r="R7" s="33"/>
      <c r="S7" s="33"/>
      <c r="T7" s="33"/>
      <c r="U7" s="33"/>
      <c r="V7" s="33"/>
      <c r="W7" s="33"/>
      <c r="X7" s="29"/>
      <c r="Y7" s="29"/>
      <c r="Z7" s="29"/>
      <c r="AA7" s="29"/>
    </row>
    <row r="8">
      <c r="A8" s="29"/>
      <c r="B8" s="29"/>
      <c r="C8" s="40" t="s">
        <v>148</v>
      </c>
      <c r="D8" s="41"/>
      <c r="E8" s="42" t="str">
        <f>IF(D7="","",IF(D7 &gt; D9, C7, C9))</f>
        <v>Dulles Dolls 1</v>
      </c>
      <c r="F8" s="45">
        <v>0.0</v>
      </c>
      <c r="H8" s="29"/>
      <c r="I8" s="29"/>
      <c r="J8" s="29"/>
      <c r="K8" s="41"/>
      <c r="L8" s="29"/>
      <c r="M8" s="29"/>
      <c r="N8" s="29"/>
      <c r="O8" s="29"/>
      <c r="P8" s="33"/>
      <c r="Q8" s="33"/>
      <c r="R8" s="33"/>
      <c r="S8" s="33"/>
      <c r="T8" s="33"/>
      <c r="U8" s="33"/>
      <c r="V8" s="33"/>
      <c r="W8" s="33"/>
      <c r="X8" s="29"/>
      <c r="Y8" s="29"/>
      <c r="Z8" s="29"/>
      <c r="AA8" s="29"/>
    </row>
    <row r="9">
      <c r="A9" s="29"/>
      <c r="B9" s="35">
        <v>9.0</v>
      </c>
      <c r="C9" s="37" t="str">
        <f>IFERROR(__xludf.DUMMYFUNCTION("IFERROR(INDEX(FILTER('Advancing Teams'!$A$3:$A$18,'Advancing Teams'!$C$3:$C$18 = B9),1))"),"Davidson Academy")</f>
        <v>Davidson Academy</v>
      </c>
      <c r="D9" s="45">
        <v>66.0</v>
      </c>
      <c r="E9" s="29"/>
      <c r="F9" s="29"/>
      <c r="H9" s="29"/>
      <c r="I9" s="29"/>
      <c r="J9" s="29"/>
      <c r="K9" s="41"/>
      <c r="L9" s="29"/>
      <c r="M9" s="29"/>
      <c r="N9" s="29"/>
      <c r="O9" s="29"/>
      <c r="P9" s="33"/>
      <c r="Q9" s="33"/>
      <c r="R9" s="33"/>
      <c r="S9" s="33"/>
      <c r="T9" s="33"/>
      <c r="U9" s="33"/>
      <c r="V9" s="33"/>
      <c r="W9" s="33"/>
      <c r="X9" s="29"/>
      <c r="Y9" s="29"/>
      <c r="Z9" s="29"/>
      <c r="AA9" s="29"/>
    </row>
    <row r="10">
      <c r="A10" s="29"/>
      <c r="B10" s="29"/>
      <c r="C10" s="29"/>
      <c r="D10" s="29"/>
      <c r="E10" s="29"/>
      <c r="F10" s="29"/>
      <c r="H10" s="29"/>
      <c r="I10" s="29"/>
      <c r="J10" s="49" t="s">
        <v>149</v>
      </c>
      <c r="K10" s="41"/>
      <c r="L10" s="47"/>
      <c r="M10" s="48"/>
      <c r="N10" s="37" t="str">
        <f>IF(K6="","",IF(K6&gt;K14,J6,J14))</f>
        <v>ASFA</v>
      </c>
      <c r="O10" s="38">
        <v>32.0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9"/>
      <c r="B11" s="35">
        <v>5.0</v>
      </c>
      <c r="C11" s="37" t="str">
        <f>IFERROR(__xludf.DUMMYFUNCTION("IFERROR(INDEX(FILTER('Advancing Teams'!$A$3:$A$18,'Advancing Teams'!$C$3:$C$18 = B11),1))"),"ASFA")</f>
        <v>ASFA</v>
      </c>
      <c r="D11" s="38">
        <v>100.0</v>
      </c>
      <c r="E11" s="29"/>
      <c r="F11" s="29"/>
      <c r="H11" s="29"/>
      <c r="I11" s="29"/>
      <c r="J11" s="29"/>
      <c r="K11" s="41"/>
      <c r="L11" s="29"/>
      <c r="M11" s="29"/>
      <c r="N11" s="29"/>
      <c r="O11" s="41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9"/>
      <c r="B12" s="29"/>
      <c r="C12" s="40" t="s">
        <v>150</v>
      </c>
      <c r="D12" s="41"/>
      <c r="E12" s="42" t="str">
        <f>IF(D11="","",IF(D11 &gt; D13, C11, C13))</f>
        <v>ASFA</v>
      </c>
      <c r="F12" s="38">
        <v>58.0</v>
      </c>
      <c r="H12" s="29"/>
      <c r="I12" s="29"/>
      <c r="J12" s="29"/>
      <c r="K12" s="41"/>
      <c r="L12" s="29"/>
      <c r="M12" s="29"/>
      <c r="N12" s="29"/>
      <c r="O12" s="41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9"/>
      <c r="B13" s="35">
        <v>12.0</v>
      </c>
      <c r="C13" s="37" t="str">
        <f>IFERROR(__xludf.DUMMYFUNCTION("IFERROR(INDEX(FILTER('Advancing Teams'!$A$3:$A$18,'Advancing Teams'!$C$3:$C$18 = B13),1))"),"WWPS 1")</f>
        <v>WWPS 1</v>
      </c>
      <c r="D13" s="45">
        <v>70.0</v>
      </c>
      <c r="E13" s="29"/>
      <c r="F13" s="41"/>
      <c r="H13" s="29"/>
      <c r="I13" s="29"/>
      <c r="J13" s="29"/>
      <c r="K13" s="41"/>
      <c r="L13" s="29"/>
      <c r="M13" s="29"/>
      <c r="N13" s="29"/>
      <c r="O13" s="41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29"/>
      <c r="C14" s="29"/>
      <c r="D14" s="29"/>
      <c r="E14" s="46" t="s">
        <v>151</v>
      </c>
      <c r="F14" s="41"/>
      <c r="G14" s="47"/>
      <c r="H14" s="47"/>
      <c r="I14" s="48"/>
      <c r="J14" s="37" t="str">
        <f>IF(F12="","",IF(F12 &gt; F16, E12, E16))</f>
        <v>ASFA</v>
      </c>
      <c r="K14" s="45">
        <v>114.0</v>
      </c>
      <c r="L14" s="29"/>
      <c r="M14" s="29"/>
      <c r="N14" s="29"/>
      <c r="O14" s="41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35">
        <v>13.0</v>
      </c>
      <c r="C15" s="37" t="str">
        <f>IFERROR(__xludf.DUMMYFUNCTION("IFERROR(INDEX(FILTER('Advancing Teams'!$A$3:$A$18,'Advancing Teams'!$C$3:$C$18 = B15),1))"),"University")</f>
        <v>University</v>
      </c>
      <c r="D15" s="38">
        <v>68.0</v>
      </c>
      <c r="E15" s="29"/>
      <c r="F15" s="41"/>
      <c r="H15" s="29"/>
      <c r="I15" s="29"/>
      <c r="J15" s="29"/>
      <c r="K15" s="29"/>
      <c r="L15" s="29"/>
      <c r="M15" s="29"/>
      <c r="N15" s="29"/>
      <c r="O15" s="41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29"/>
      <c r="C16" s="40" t="s">
        <v>152</v>
      </c>
      <c r="D16" s="41"/>
      <c r="E16" s="42" t="str">
        <f>IF(D15="","",IF(D15 &gt; D17, C15, C17))</f>
        <v>Blair</v>
      </c>
      <c r="F16" s="45">
        <v>42.0</v>
      </c>
      <c r="H16" s="29"/>
      <c r="I16" s="29"/>
      <c r="J16" s="29"/>
      <c r="K16" s="29"/>
      <c r="L16" s="29"/>
      <c r="M16" s="29"/>
      <c r="N16" s="29"/>
      <c r="O16" s="41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35">
        <v>4.0</v>
      </c>
      <c r="C17" s="37" t="str">
        <f>IFERROR(__xludf.DUMMYFUNCTION("IFERROR(INDEX(FILTER('Advancing Teams'!$A$3:$A$18,'Advancing Teams'!$C$3:$C$18 = B17),1))"),"Blair")</f>
        <v>Blair</v>
      </c>
      <c r="D17" s="45">
        <v>158.0</v>
      </c>
      <c r="E17" s="29"/>
      <c r="F17" s="29"/>
      <c r="H17" s="29"/>
      <c r="I17" s="29"/>
      <c r="J17" s="29"/>
      <c r="K17" s="29"/>
      <c r="L17" s="29"/>
      <c r="M17" s="29"/>
      <c r="N17" s="29"/>
      <c r="O17" s="41"/>
      <c r="P17" s="29"/>
      <c r="Q17" s="29"/>
      <c r="R17" s="50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29"/>
      <c r="C18" s="29"/>
      <c r="D18" s="29"/>
      <c r="E18" s="29"/>
      <c r="F18" s="29"/>
      <c r="H18" s="29"/>
      <c r="I18" s="29"/>
      <c r="J18" s="29"/>
      <c r="K18" s="29"/>
      <c r="L18" s="29"/>
      <c r="M18" s="29"/>
      <c r="N18" s="51" t="s">
        <v>153</v>
      </c>
      <c r="O18" s="41"/>
      <c r="P18" s="47"/>
      <c r="Q18" s="48"/>
      <c r="R18" s="42" t="str">
        <f>IF(O10="","",IF(O10&gt;O26,N10,N26))</f>
        <v>Ward Melville 1</v>
      </c>
      <c r="S18" s="38">
        <v>44.0</v>
      </c>
      <c r="T18" s="52">
        <v>84.0</v>
      </c>
      <c r="U18" s="29"/>
      <c r="V18" s="29"/>
      <c r="W18" s="29"/>
      <c r="X18" s="29"/>
      <c r="Y18" s="29"/>
      <c r="Z18" s="29"/>
      <c r="AA18" s="29"/>
    </row>
    <row r="19">
      <c r="A19" s="29"/>
      <c r="B19" s="35">
        <v>3.0</v>
      </c>
      <c r="C19" s="37" t="str">
        <f>IFERROR(__xludf.DUMMYFUNCTION("IFERROR(INDEX(FILTER('Advancing Teams'!$A$3:$A$18,'Advancing Teams'!$C$3:$C$18 = B19),1))"),"Galen 1")</f>
        <v>Galen 1</v>
      </c>
      <c r="D19" s="38">
        <v>94.0</v>
      </c>
      <c r="E19" s="29"/>
      <c r="F19" s="29"/>
      <c r="H19" s="29"/>
      <c r="I19" s="29"/>
      <c r="J19" s="29"/>
      <c r="K19" s="29"/>
      <c r="L19" s="29"/>
      <c r="M19" s="29"/>
      <c r="N19" s="29"/>
      <c r="O19" s="41"/>
      <c r="P19" s="29"/>
      <c r="Q19" s="29"/>
      <c r="R19" s="29"/>
      <c r="S19" s="41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29"/>
      <c r="C20" s="40" t="s">
        <v>154</v>
      </c>
      <c r="D20" s="41"/>
      <c r="E20" s="53" t="str">
        <f>IF(D19="","",IF(D19 &gt; D21, C19, C21))</f>
        <v>Bridgeland</v>
      </c>
      <c r="F20" s="38">
        <v>128.0</v>
      </c>
      <c r="H20" s="29"/>
      <c r="I20" s="29"/>
      <c r="J20" s="29"/>
      <c r="K20" s="29"/>
      <c r="L20" s="29"/>
      <c r="M20" s="29"/>
      <c r="N20" s="29"/>
      <c r="O20" s="41"/>
      <c r="P20" s="29"/>
      <c r="Q20" s="29"/>
      <c r="R20" s="29"/>
      <c r="S20" s="41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35">
        <v>14.0</v>
      </c>
      <c r="C21" s="54" t="str">
        <f>IFERROR(__xludf.DUMMYFUNCTION("IFERROR(INDEX(FILTER('Advancing Teams'!$A$3:$A$18,'Advancing Teams'!$C$3:$C$18 = B21),1))"),"Bridgeland")</f>
        <v>Bridgeland</v>
      </c>
      <c r="D21" s="45">
        <v>112.0</v>
      </c>
      <c r="E21" s="29"/>
      <c r="F21" s="41"/>
      <c r="H21" s="29"/>
      <c r="I21" s="29"/>
      <c r="J21" s="29"/>
      <c r="K21" s="29"/>
      <c r="L21" s="29"/>
      <c r="M21" s="29"/>
      <c r="N21" s="29"/>
      <c r="O21" s="41"/>
      <c r="P21" s="29"/>
      <c r="Q21" s="29"/>
      <c r="R21" s="29"/>
      <c r="S21" s="41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29"/>
      <c r="D22" s="29"/>
      <c r="E22" s="46" t="s">
        <v>155</v>
      </c>
      <c r="F22" s="41"/>
      <c r="G22" s="47"/>
      <c r="H22" s="47"/>
      <c r="I22" s="48"/>
      <c r="J22" s="54" t="str">
        <f>IF(F20="","",IF(F20 &gt; F24, E20, E24))</f>
        <v>Bridgeland</v>
      </c>
      <c r="K22" s="38">
        <v>78.0</v>
      </c>
      <c r="L22" s="29"/>
      <c r="M22" s="29"/>
      <c r="N22" s="29"/>
      <c r="O22" s="41"/>
      <c r="P22" s="29"/>
      <c r="Q22" s="29"/>
      <c r="R22" s="29"/>
      <c r="S22" s="41"/>
      <c r="T22" s="29"/>
      <c r="U22" s="29"/>
      <c r="V22" s="29"/>
      <c r="W22" s="29"/>
      <c r="X22" s="44"/>
      <c r="Y22" s="44"/>
      <c r="Z22" s="29"/>
      <c r="AA22" s="29"/>
    </row>
    <row r="23">
      <c r="A23" s="29"/>
      <c r="B23" s="35">
        <v>6.0</v>
      </c>
      <c r="C23" s="37" t="str">
        <f>IFERROR(__xludf.DUMMYFUNCTION("IFERROR(INDEX(FILTER('Advancing Teams'!$A$3:$A$18,'Advancing Teams'!$C$3:$C$18 = B23),1))"),"Lynbrook")</f>
        <v>Lynbrook</v>
      </c>
      <c r="D23" s="38">
        <v>88.0</v>
      </c>
      <c r="E23" s="29"/>
      <c r="F23" s="41"/>
      <c r="H23" s="29"/>
      <c r="I23" s="29"/>
      <c r="J23" s="29"/>
      <c r="K23" s="41"/>
      <c r="L23" s="29"/>
      <c r="M23" s="29"/>
      <c r="N23" s="29"/>
      <c r="O23" s="41"/>
      <c r="P23" s="29"/>
      <c r="Q23" s="29"/>
      <c r="R23" s="29"/>
      <c r="S23" s="41"/>
      <c r="T23" s="29"/>
      <c r="U23" s="29"/>
      <c r="V23" s="29"/>
      <c r="W23" s="29"/>
      <c r="X23" s="44"/>
      <c r="Y23" s="44"/>
      <c r="Z23" s="29"/>
      <c r="AA23" s="29"/>
    </row>
    <row r="24">
      <c r="A24" s="29"/>
      <c r="B24" s="29"/>
      <c r="C24" s="40" t="s">
        <v>156</v>
      </c>
      <c r="D24" s="41"/>
      <c r="E24" s="42" t="str">
        <f>IF(D23="","",IF(D23 &gt; D25, C23, C25))</f>
        <v>Lynbrook</v>
      </c>
      <c r="F24" s="45">
        <v>66.0</v>
      </c>
      <c r="H24" s="29"/>
      <c r="I24" s="29"/>
      <c r="J24" s="29"/>
      <c r="K24" s="41"/>
      <c r="L24" s="29"/>
      <c r="M24" s="29"/>
      <c r="N24" s="29"/>
      <c r="O24" s="41"/>
      <c r="P24" s="29"/>
      <c r="Q24" s="29"/>
      <c r="R24" s="29"/>
      <c r="S24" s="41"/>
      <c r="T24" s="29"/>
      <c r="U24" s="29"/>
      <c r="V24" s="29"/>
      <c r="W24" s="29"/>
      <c r="X24" s="44"/>
      <c r="Y24" s="44"/>
      <c r="Z24" s="29"/>
      <c r="AA24" s="29"/>
    </row>
    <row r="25">
      <c r="A25" s="29"/>
      <c r="B25" s="35">
        <v>11.0</v>
      </c>
      <c r="C25" s="37" t="str">
        <f>IFERROR(__xludf.DUMMYFUNCTION("IFERROR(INDEX(FILTER('Advancing Teams'!$A$3:$A$18,'Advancing Teams'!$C$3:$C$18 = B25),1))"),"LeBroncos")</f>
        <v>LeBroncos</v>
      </c>
      <c r="D25" s="45">
        <v>56.0</v>
      </c>
      <c r="E25" s="29"/>
      <c r="F25" s="29"/>
      <c r="H25" s="29"/>
      <c r="I25" s="29"/>
      <c r="J25" s="29"/>
      <c r="K25" s="41"/>
      <c r="L25" s="29"/>
      <c r="M25" s="29"/>
      <c r="N25" s="29"/>
      <c r="O25" s="41"/>
      <c r="P25" s="29"/>
      <c r="Q25" s="29"/>
      <c r="R25" s="29"/>
      <c r="S25" s="41"/>
      <c r="T25" s="29"/>
      <c r="U25" s="29"/>
      <c r="V25" s="29"/>
      <c r="W25" s="29"/>
      <c r="X25" s="44"/>
      <c r="Y25" s="44"/>
      <c r="Z25" s="29"/>
      <c r="AA25" s="29"/>
    </row>
    <row r="26">
      <c r="A26" s="29"/>
      <c r="B26" s="29"/>
      <c r="C26" s="29"/>
      <c r="D26" s="29"/>
      <c r="E26" s="29"/>
      <c r="F26" s="29"/>
      <c r="H26" s="29"/>
      <c r="I26" s="29"/>
      <c r="J26" s="49" t="s">
        <v>157</v>
      </c>
      <c r="K26" s="41"/>
      <c r="L26" s="47"/>
      <c r="M26" s="48"/>
      <c r="N26" s="37" t="str">
        <f>IF(K22="","",IF(K22&gt;K30,J22,J30))</f>
        <v>Ward Melville 1</v>
      </c>
      <c r="O26" s="45">
        <v>64.0</v>
      </c>
      <c r="P26" s="29"/>
      <c r="Q26" s="29"/>
      <c r="R26" s="29"/>
      <c r="S26" s="41"/>
      <c r="T26" s="29"/>
      <c r="U26" s="29"/>
      <c r="V26" s="29"/>
      <c r="W26" s="29"/>
      <c r="X26" s="44"/>
      <c r="Y26" s="44"/>
      <c r="Z26" s="29"/>
      <c r="AA26" s="29"/>
    </row>
    <row r="27">
      <c r="A27" s="29"/>
      <c r="B27" s="35">
        <v>7.0</v>
      </c>
      <c r="C27" s="37" t="str">
        <f>IFERROR(__xludf.DUMMYFUNCTION("IFERROR(INDEX(FILTER('Advancing Teams'!$A$3:$A$18,'Advancing Teams'!$C$3:$C$18 = B27),1))"),"Ward Melville 1")</f>
        <v>Ward Melville 1</v>
      </c>
      <c r="D27" s="38">
        <v>134.0</v>
      </c>
      <c r="E27" s="29"/>
      <c r="F27" s="29"/>
      <c r="H27" s="29"/>
      <c r="I27" s="29"/>
      <c r="J27" s="29"/>
      <c r="K27" s="41"/>
      <c r="L27" s="29"/>
      <c r="M27" s="29"/>
      <c r="N27" s="29"/>
      <c r="O27" s="29"/>
      <c r="P27" s="29"/>
      <c r="Q27" s="29"/>
      <c r="R27" s="29"/>
      <c r="S27" s="41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40" t="s">
        <v>158</v>
      </c>
      <c r="D28" s="41"/>
      <c r="E28" s="42" t="str">
        <f>IF(D27="","",IF(D27 &gt; D29, C27, C29))</f>
        <v>Ward Melville 1</v>
      </c>
      <c r="F28" s="38">
        <v>102.0</v>
      </c>
      <c r="H28" s="29"/>
      <c r="I28" s="29"/>
      <c r="J28" s="29"/>
      <c r="K28" s="41"/>
      <c r="L28" s="29"/>
      <c r="M28" s="29"/>
      <c r="N28" s="29"/>
      <c r="O28" s="29"/>
      <c r="P28" s="29"/>
      <c r="Q28" s="29"/>
      <c r="R28" s="55" t="s">
        <v>159</v>
      </c>
      <c r="S28" s="41"/>
      <c r="T28" s="50"/>
      <c r="U28" s="43"/>
      <c r="V28" s="56" t="s">
        <v>160</v>
      </c>
      <c r="W28" s="50" t="str">
        <f>IF(S18="", "Undecided", IF(S18&gt;S38, R18, IF(T18="", "Undecided", IF(T18&gt;T38, R18, R38))))</f>
        <v>Ward Melville 1</v>
      </c>
      <c r="X28" s="29"/>
      <c r="Y28" s="29"/>
      <c r="Z28" s="29"/>
      <c r="AA28" s="29"/>
    </row>
    <row r="29">
      <c r="A29" s="29"/>
      <c r="B29" s="35">
        <v>10.0</v>
      </c>
      <c r="C29" s="37" t="str">
        <f>IFERROR(__xludf.DUMMYFUNCTION("IFERROR(INDEX(FILTER('Advancing Teams'!$A$3:$A$18,'Advancing Teams'!$C$3:$C$18 = B29),1))"),"Frazer")</f>
        <v>Frazer</v>
      </c>
      <c r="D29" s="45">
        <v>4.0</v>
      </c>
      <c r="E29" s="29"/>
      <c r="F29" s="41"/>
      <c r="H29" s="29"/>
      <c r="I29" s="29"/>
      <c r="J29" s="29"/>
      <c r="K29" s="41"/>
      <c r="L29" s="29"/>
      <c r="M29" s="29"/>
      <c r="N29" s="29"/>
      <c r="O29" s="29"/>
      <c r="P29" s="29"/>
      <c r="Q29" s="29"/>
      <c r="R29" s="29"/>
      <c r="S29" s="41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29"/>
      <c r="D30" s="29"/>
      <c r="E30" s="46" t="s">
        <v>161</v>
      </c>
      <c r="F30" s="41"/>
      <c r="G30" s="47"/>
      <c r="H30" s="47"/>
      <c r="I30" s="48"/>
      <c r="J30" s="37" t="str">
        <f>IF(F28="","",IF(F28 &gt; F32, E28, E32))</f>
        <v>Ward Melville 1</v>
      </c>
      <c r="K30" s="45">
        <v>114.0</v>
      </c>
      <c r="L30" s="29"/>
      <c r="M30" s="29"/>
      <c r="N30" s="29"/>
      <c r="O30" s="29"/>
      <c r="P30" s="29"/>
      <c r="Q30" s="29"/>
      <c r="R30" s="29"/>
      <c r="S30" s="41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35">
        <v>15.0</v>
      </c>
      <c r="C31" s="37" t="str">
        <f>IFERROR(__xludf.DUMMYFUNCTION("IFERROR(INDEX(FILTER('Advancing Teams'!$A$3:$A$18,'Advancing Teams'!$C$3:$C$18 = B31),1))"),"Amador Valley")</f>
        <v>Amador Valley</v>
      </c>
      <c r="D31" s="38">
        <v>116.0</v>
      </c>
      <c r="E31" s="29"/>
      <c r="F31" s="41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41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40" t="s">
        <v>162</v>
      </c>
      <c r="D32" s="41"/>
      <c r="E32" s="42" t="str">
        <f>IF(D31="","",IF(D31 &gt; D33, C31, C33))</f>
        <v>NoHo 1</v>
      </c>
      <c r="F32" s="45">
        <v>38.0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41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35">
        <v>2.0</v>
      </c>
      <c r="C33" s="37" t="str">
        <f>IFERROR(__xludf.DUMMYFUNCTION("IFERROR(INDEX(FILTER('Advancing Teams'!$A$3:$A$18,'Advancing Teams'!$C$3:$C$18 = B33),1))"),"NoHo 1")</f>
        <v>NoHo 1</v>
      </c>
      <c r="D33" s="45">
        <v>130.0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41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"/>
      <c r="M34" s="2"/>
      <c r="N34" s="2"/>
      <c r="O34" s="2"/>
      <c r="P34" s="2"/>
      <c r="Q34" s="2"/>
      <c r="R34" s="29"/>
      <c r="S34" s="41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29"/>
      <c r="D35" s="2"/>
      <c r="E35" s="2"/>
      <c r="F35" s="2"/>
      <c r="G35" s="2"/>
      <c r="H35" s="2"/>
      <c r="I35" s="2"/>
      <c r="J35" s="2"/>
      <c r="K35" s="57" t="s">
        <v>163</v>
      </c>
      <c r="L35" s="58" t="str">
        <f>IF(K6="","",IF(K6&lt;K14,J6,J14))</f>
        <v>Galen 2</v>
      </c>
      <c r="M35" s="59">
        <v>28.0</v>
      </c>
      <c r="N35" s="29"/>
      <c r="O35" s="39" t="s">
        <v>164</v>
      </c>
      <c r="P35" s="58" t="str">
        <f>IF(O10="","",IF(O10&lt;O26,N10,N26))</f>
        <v>ASFA</v>
      </c>
      <c r="Q35" s="59">
        <v>40.0</v>
      </c>
      <c r="R35" s="2"/>
      <c r="S35" s="41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/>
      <c r="C36" s="29"/>
      <c r="D36" s="29"/>
      <c r="E36" s="29"/>
      <c r="F36" s="39"/>
      <c r="G36" s="39" t="s">
        <v>165</v>
      </c>
      <c r="H36" s="58" t="str">
        <f>IF(F28="","",IF(F28&lt;F32,E28,E32))</f>
        <v>NoHo 1</v>
      </c>
      <c r="I36" s="59">
        <v>76.0</v>
      </c>
      <c r="J36" s="29"/>
      <c r="K36" s="29"/>
      <c r="L36" s="29"/>
      <c r="M36" s="41"/>
      <c r="N36" s="29"/>
      <c r="O36" s="29"/>
      <c r="P36" s="29"/>
      <c r="Q36" s="41"/>
      <c r="R36" s="29"/>
      <c r="S36" s="41"/>
      <c r="T36" s="29"/>
      <c r="U36" s="29"/>
      <c r="V36" s="29"/>
      <c r="W36" s="29"/>
      <c r="X36" s="29"/>
      <c r="Y36" s="29"/>
      <c r="Z36" s="29"/>
      <c r="AA36" s="29"/>
    </row>
    <row r="37">
      <c r="A37" s="29"/>
      <c r="B37" s="29"/>
      <c r="C37" s="29"/>
      <c r="D37" s="60"/>
      <c r="E37" s="58" t="str">
        <f>IF(D3="","",IF(D3&lt;D5,C3,C5))</f>
        <v>Elkins</v>
      </c>
      <c r="F37" s="59">
        <v>70.0</v>
      </c>
      <c r="G37" s="61"/>
      <c r="H37" s="62" t="s">
        <v>166</v>
      </c>
      <c r="I37" s="41"/>
      <c r="J37" s="58" t="str">
        <f>IF(I36="","",IF(I36&gt;I38,H36,H38))</f>
        <v>NoHo 1</v>
      </c>
      <c r="K37" s="59">
        <v>76.0</v>
      </c>
      <c r="L37" s="63" t="s">
        <v>167</v>
      </c>
      <c r="M37" s="41"/>
      <c r="N37" s="58" t="str">
        <f>IF(M35="","",IF(M35&gt;M39,L35,L39))</f>
        <v>NoHo 1</v>
      </c>
      <c r="O37" s="59">
        <v>64.0</v>
      </c>
      <c r="P37" s="29"/>
      <c r="Q37" s="41"/>
      <c r="R37" s="29"/>
      <c r="S37" s="41"/>
      <c r="U37" s="29"/>
      <c r="V37" s="29"/>
      <c r="W37" s="29"/>
      <c r="X37" s="29"/>
      <c r="Y37" s="29"/>
      <c r="Z37" s="29"/>
      <c r="AA37" s="29"/>
    </row>
    <row r="38">
      <c r="A38" s="29"/>
      <c r="B38" s="29"/>
      <c r="C38" s="29"/>
      <c r="D38" s="60"/>
      <c r="E38" s="46" t="s">
        <v>168</v>
      </c>
      <c r="F38" s="29"/>
      <c r="G38" s="41"/>
      <c r="H38" s="58" t="str">
        <f>IF(F37="","",IF(F37&gt;F39,E37,E39))</f>
        <v>Davidson Academy</v>
      </c>
      <c r="I38" s="64">
        <v>28.0</v>
      </c>
      <c r="J38" s="29"/>
      <c r="K38" s="41"/>
      <c r="L38" s="29"/>
      <c r="M38" s="41"/>
      <c r="N38" s="29"/>
      <c r="O38" s="41"/>
      <c r="P38" s="65" t="s">
        <v>169</v>
      </c>
      <c r="Q38" s="41"/>
      <c r="R38" s="66" t="str">
        <f>IF(Q35="","",IF(Q35&gt;Q41,P35,P41))</f>
        <v>Amador Valley</v>
      </c>
      <c r="S38" s="64">
        <v>58.0</v>
      </c>
      <c r="T38" s="52">
        <v>-2.0</v>
      </c>
      <c r="U38" s="29"/>
      <c r="V38" s="29"/>
      <c r="W38" s="29"/>
      <c r="X38" s="29"/>
      <c r="Y38" s="29"/>
      <c r="Z38" s="29"/>
      <c r="AA38" s="29"/>
    </row>
    <row r="39">
      <c r="A39" s="29"/>
      <c r="B39" s="29"/>
      <c r="C39" s="29"/>
      <c r="D39" s="60"/>
      <c r="E39" s="58" t="str">
        <f>IF(D7="","",IF(D7&lt;D9,C7,C9))</f>
        <v>Davidson Academy</v>
      </c>
      <c r="F39" s="59">
        <v>88.0</v>
      </c>
      <c r="G39" s="67"/>
      <c r="H39" s="29"/>
      <c r="I39" s="29"/>
      <c r="J39" s="49" t="s">
        <v>170</v>
      </c>
      <c r="K39" s="41"/>
      <c r="L39" s="58" t="str">
        <f>IF(K37="","",IF(K37&gt;K41,J37,J41))</f>
        <v>NoHo 1</v>
      </c>
      <c r="M39" s="64">
        <v>66.0</v>
      </c>
      <c r="N39" s="29"/>
      <c r="O39" s="41"/>
      <c r="P39" s="29"/>
      <c r="Q39" s="41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9"/>
      <c r="B40" s="29"/>
      <c r="C40" s="29"/>
      <c r="D40" s="60"/>
      <c r="E40" s="29"/>
      <c r="F40" s="39"/>
      <c r="G40" s="39" t="s">
        <v>171</v>
      </c>
      <c r="H40" s="58" t="str">
        <f>IF(F20="","",IF(F20&lt;F24,E20,E24))</f>
        <v>Lynbrook</v>
      </c>
      <c r="I40" s="59">
        <v>60.0</v>
      </c>
      <c r="J40" s="29"/>
      <c r="K40" s="41"/>
      <c r="L40" s="29"/>
      <c r="M40" s="29"/>
      <c r="N40" s="29"/>
      <c r="O40" s="41"/>
      <c r="P40" s="29"/>
      <c r="Q40" s="41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9"/>
      <c r="B41" s="29"/>
      <c r="C41" s="29"/>
      <c r="D41" s="60"/>
      <c r="E41" s="58" t="str">
        <f>IF(D11="","",IF(D11&lt;D13,C11,C13))</f>
        <v>WWPS 1</v>
      </c>
      <c r="F41" s="59">
        <v>18.0</v>
      </c>
      <c r="G41" s="61"/>
      <c r="H41" s="62" t="s">
        <v>172</v>
      </c>
      <c r="I41" s="41"/>
      <c r="J41" s="58" t="str">
        <f>IF(I40="","",IF(I40&gt;I42,H40,H42))</f>
        <v>University</v>
      </c>
      <c r="K41" s="64">
        <v>70.0</v>
      </c>
      <c r="L41" s="29"/>
      <c r="M41" s="29"/>
      <c r="N41" s="51" t="s">
        <v>173</v>
      </c>
      <c r="O41" s="41"/>
      <c r="P41" s="58" t="str">
        <f>IF(O37="","",IF(O37&gt;O45,N37,N45))</f>
        <v>Amador Valley</v>
      </c>
      <c r="Q41" s="64">
        <v>64.0</v>
      </c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9"/>
      <c r="B42" s="29"/>
      <c r="C42" s="29"/>
      <c r="D42" s="60"/>
      <c r="E42" s="46" t="s">
        <v>174</v>
      </c>
      <c r="F42" s="29"/>
      <c r="G42" s="41"/>
      <c r="H42" s="58" t="str">
        <f>IF(F41="","",IF(F41&gt;F43,E41,E43))</f>
        <v>University</v>
      </c>
      <c r="I42" s="64">
        <v>102.0</v>
      </c>
      <c r="J42" s="29"/>
      <c r="K42" s="29"/>
      <c r="L42" s="29"/>
      <c r="M42" s="29"/>
      <c r="N42" s="29"/>
      <c r="O42" s="41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29"/>
      <c r="B43" s="29"/>
      <c r="C43" s="29"/>
      <c r="D43" s="60"/>
      <c r="E43" s="58" t="str">
        <f>IF(D15="","",IF(D15&lt;D17,C15,C17))</f>
        <v>University</v>
      </c>
      <c r="F43" s="59">
        <v>72.0</v>
      </c>
      <c r="G43" s="67"/>
      <c r="H43" s="29"/>
      <c r="I43" s="29"/>
      <c r="J43" s="29"/>
      <c r="K43" s="39" t="s">
        <v>175</v>
      </c>
      <c r="L43" s="54" t="str">
        <f>IF(K22="","",IF(K22&lt;K30,J22,J30))</f>
        <v>Bridgeland</v>
      </c>
      <c r="M43" s="59">
        <v>0.0</v>
      </c>
      <c r="N43" s="29"/>
      <c r="O43" s="41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/>
      <c r="C44" s="29"/>
      <c r="D44" s="60"/>
      <c r="E44" s="29"/>
      <c r="F44" s="39"/>
      <c r="G44" s="39" t="s">
        <v>176</v>
      </c>
      <c r="H44" s="58" t="str">
        <f>IF(F12="","",IF(F12&lt;D16,E12,E16))</f>
        <v>Blair</v>
      </c>
      <c r="I44" s="59">
        <v>86.0</v>
      </c>
      <c r="J44" s="29"/>
      <c r="K44" s="29"/>
      <c r="L44" s="29"/>
      <c r="M44" s="41"/>
      <c r="N44" s="29"/>
      <c r="O44" s="41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29"/>
      <c r="D45" s="60"/>
      <c r="E45" s="58" t="str">
        <f>IF(D19="","",IF(D19&lt;D21,C19,C21))</f>
        <v>Galen 1</v>
      </c>
      <c r="F45" s="59">
        <v>128.0</v>
      </c>
      <c r="G45" s="61"/>
      <c r="H45" s="62" t="s">
        <v>177</v>
      </c>
      <c r="I45" s="41"/>
      <c r="J45" s="58" t="str">
        <f>IF(I44="","",IF(I44&gt;I46,H44,H46))</f>
        <v>Blair</v>
      </c>
      <c r="K45" s="59">
        <v>54.0</v>
      </c>
      <c r="L45" s="63" t="s">
        <v>178</v>
      </c>
      <c r="M45" s="41"/>
      <c r="N45" s="58" t="str">
        <f>IF(M43="","",IF(M43&gt;M47,L43,L47))</f>
        <v>Amador Valley</v>
      </c>
      <c r="O45" s="64">
        <v>74.0</v>
      </c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/>
      <c r="C46" s="29"/>
      <c r="D46" s="60"/>
      <c r="E46" s="46" t="s">
        <v>179</v>
      </c>
      <c r="F46" s="29"/>
      <c r="G46" s="41"/>
      <c r="H46" s="58" t="str">
        <f>IF(F45="","",IF(F45&gt;F47,E45,E47))</f>
        <v>Galen 1</v>
      </c>
      <c r="I46" s="64">
        <v>64.0</v>
      </c>
      <c r="J46" s="29"/>
      <c r="K46" s="41"/>
      <c r="L46" s="29"/>
      <c r="M46" s="41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29"/>
      <c r="B47" s="29"/>
      <c r="C47" s="29"/>
      <c r="D47" s="60"/>
      <c r="E47" s="58" t="str">
        <f>IF(D23="","",IF(D23&lt;D25,C23,C25))</f>
        <v>LeBroncos</v>
      </c>
      <c r="F47" s="59">
        <v>4.0</v>
      </c>
      <c r="G47" s="67"/>
      <c r="H47" s="29"/>
      <c r="I47" s="29"/>
      <c r="J47" s="49" t="s">
        <v>180</v>
      </c>
      <c r="K47" s="41"/>
      <c r="L47" s="58" t="str">
        <f>IF(K45="","",IF(K45&gt;K49,J45,J49))</f>
        <v>Amador Valley</v>
      </c>
      <c r="M47" s="64">
        <v>38.0</v>
      </c>
      <c r="N47" s="29"/>
      <c r="O47" s="29"/>
      <c r="P47" s="29"/>
      <c r="Q47" s="29"/>
      <c r="R47" s="29"/>
      <c r="S47" s="29"/>
      <c r="T47" s="50"/>
      <c r="U47" s="43"/>
      <c r="V47" s="29"/>
      <c r="W47" s="29"/>
      <c r="X47" s="29"/>
      <c r="Y47" s="29"/>
      <c r="Z47" s="29"/>
      <c r="AA47" s="29"/>
    </row>
    <row r="48">
      <c r="A48" s="29"/>
      <c r="B48" s="29"/>
      <c r="C48" s="29"/>
      <c r="D48" s="60"/>
      <c r="E48" s="29"/>
      <c r="F48" s="39"/>
      <c r="G48" s="39" t="s">
        <v>181</v>
      </c>
      <c r="H48" s="58" t="str">
        <f>IF(F4="","",IF(F4&lt;D8,E4,E8))</f>
        <v>Dulles Dolls 1</v>
      </c>
      <c r="I48" s="59">
        <v>20.0</v>
      </c>
      <c r="J48" s="29"/>
      <c r="K48" s="41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29"/>
      <c r="B49" s="29"/>
      <c r="C49" s="29"/>
      <c r="D49" s="60"/>
      <c r="E49" s="58" t="str">
        <f>IF(D27="","",IF(D27&lt;D29,C27,C29))</f>
        <v>Frazer</v>
      </c>
      <c r="F49" s="59">
        <v>34.0</v>
      </c>
      <c r="G49" s="61"/>
      <c r="H49" s="62" t="s">
        <v>182</v>
      </c>
      <c r="I49" s="41"/>
      <c r="J49" s="58" t="str">
        <f>IF(I48="","",IF(I48&gt;I50,H48,H50))</f>
        <v>Amador Valley</v>
      </c>
      <c r="K49" s="64">
        <v>82.0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29"/>
      <c r="B50" s="29"/>
      <c r="C50" s="29"/>
      <c r="D50" s="60"/>
      <c r="E50" s="46" t="s">
        <v>183</v>
      </c>
      <c r="F50" s="29"/>
      <c r="G50" s="41"/>
      <c r="H50" s="58" t="str">
        <f>IF(F49="","",IF(F49&gt;F51,E49,E51))</f>
        <v>Amador Valley</v>
      </c>
      <c r="I50" s="64">
        <v>92.0</v>
      </c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29"/>
      <c r="B51" s="29"/>
      <c r="C51" s="29"/>
      <c r="D51" s="60"/>
      <c r="E51" s="58" t="str">
        <f>IF(D31="","",IF(D31&lt;D33,C31,C33))</f>
        <v>Amador Valley</v>
      </c>
      <c r="F51" s="59">
        <v>106.0</v>
      </c>
      <c r="G51" s="67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conditionalFormatting sqref="W28">
    <cfRule type="notContainsText" dxfId="2" priority="1" operator="notContains" text="Undecided">
      <formula>ISERROR(SEARCH(("Undecided"),(W28)))</formula>
    </cfRule>
  </conditionalFormatting>
  <drawing r:id="rId1"/>
</worksheet>
</file>