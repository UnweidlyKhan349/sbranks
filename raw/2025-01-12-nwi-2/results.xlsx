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oms" sheetId="1" r:id="rId5"/>
    <sheet state="visible" name="Teams" sheetId="2" r:id="rId6"/>
    <sheet state="visible" name="Bracket" sheetId="3" r:id="rId7"/>
    <sheet state="visible" name="RR Scores" sheetId="4" r:id="rId8"/>
  </sheets>
  <definedNames/>
  <calcPr/>
</workbook>
</file>

<file path=xl/sharedStrings.xml><?xml version="1.0" encoding="utf-8"?>
<sst xmlns="http://schemas.openxmlformats.org/spreadsheetml/2006/main" count="78" uniqueCount="40">
  <si>
    <t>DE1</t>
  </si>
  <si>
    <t>DE2</t>
  </si>
  <si>
    <t>DE3</t>
  </si>
  <si>
    <t>DE4</t>
  </si>
  <si>
    <t>DE5</t>
  </si>
  <si>
    <t>DE6</t>
  </si>
  <si>
    <t>FINALS</t>
  </si>
  <si>
    <t>John Hopkins</t>
  </si>
  <si>
    <t>Room 1</t>
  </si>
  <si>
    <t>Iolani A</t>
  </si>
  <si>
    <t>Dulles</t>
  </si>
  <si>
    <t>Room 2</t>
  </si>
  <si>
    <t>Green Hope A</t>
  </si>
  <si>
    <t>WINNERS</t>
  </si>
  <si>
    <t>Stage 1</t>
  </si>
  <si>
    <t>Lynbrook</t>
  </si>
  <si>
    <t>Room 3</t>
  </si>
  <si>
    <t>Lexington</t>
  </si>
  <si>
    <t>Orange County</t>
  </si>
  <si>
    <t>Room 4</t>
  </si>
  <si>
    <t>CCA A</t>
  </si>
  <si>
    <t>L Room 4</t>
  </si>
  <si>
    <t>Palo Alto A</t>
  </si>
  <si>
    <t>Palo Alto</t>
  </si>
  <si>
    <t>Room 5</t>
  </si>
  <si>
    <t>Basis McLean A</t>
  </si>
  <si>
    <t>L Room 3</t>
  </si>
  <si>
    <t>WWPS</t>
  </si>
  <si>
    <t>Stage 2</t>
  </si>
  <si>
    <t>Room 6</t>
  </si>
  <si>
    <t>Buchholz</t>
  </si>
  <si>
    <t>LOSERS</t>
  </si>
  <si>
    <t>L Room 2</t>
  </si>
  <si>
    <t>Frazer A</t>
  </si>
  <si>
    <t>James Clemens</t>
  </si>
  <si>
    <t>Room 7</t>
  </si>
  <si>
    <t>L Room 1</t>
  </si>
  <si>
    <t>TJHSST A</t>
  </si>
  <si>
    <t>Room 8</t>
  </si>
  <si>
    <t>ASFA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</si>
</sst>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  <scheme val="minor"/>
    </font>
    <font/>
    <font>
      <sz val="33.0"/>
      <color theme="1"/>
      <name val="Arial"/>
      <scheme val="minor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8D9FF"/>
        <bgColor rgb="FF98D9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Font="1"/>
    <xf borderId="1" fillId="0" fontId="1" numFmtId="0" xfId="0" applyAlignment="1" applyBorder="1" applyFont="1">
      <alignment horizontal="center"/>
    </xf>
    <xf borderId="2" fillId="0" fontId="4" numFmtId="0" xfId="0" applyBorder="1" applyFont="1"/>
    <xf borderId="0" fillId="0" fontId="5" numFmtId="0" xfId="0" applyAlignment="1" applyFont="1">
      <alignment horizontal="center"/>
    </xf>
    <xf borderId="0" fillId="0" fontId="2" numFmtId="0" xfId="0" applyAlignment="1" applyFont="1">
      <alignment horizontal="right" vertical="bottom"/>
    </xf>
    <xf borderId="3" fillId="3" fontId="6" numFmtId="0" xfId="0" applyAlignment="1" applyBorder="1" applyFill="1" applyFont="1">
      <alignment readingOrder="0" vertical="bottom"/>
    </xf>
    <xf borderId="0" fillId="4" fontId="2" numFmtId="0" xfId="0" applyAlignment="1" applyFill="1" applyFont="1">
      <alignment readingOrder="0" vertical="bottom"/>
    </xf>
    <xf borderId="0" fillId="0" fontId="1" numFmtId="0" xfId="0" applyAlignment="1" applyFont="1">
      <alignment textRotation="90"/>
    </xf>
    <xf borderId="4" fillId="0" fontId="1" numFmtId="0" xfId="0" applyBorder="1" applyFont="1"/>
    <xf borderId="5" fillId="0" fontId="1" numFmtId="0" xfId="0" applyBorder="1" applyFont="1"/>
    <xf borderId="0" fillId="0" fontId="6" numFmtId="0" xfId="0" applyAlignment="1" applyFont="1">
      <alignment horizontal="center" vertical="bottom"/>
    </xf>
    <xf borderId="2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3" fillId="3" fontId="2" numFmtId="0" xfId="0" applyAlignment="1" applyBorder="1" applyFill="1" applyFont="1">
      <alignment readingOrder="0" vertical="bottom"/>
    </xf>
    <xf borderId="0" fillId="5" fontId="1" numFmtId="0" xfId="0" applyFill="1" applyFont="1"/>
    <xf borderId="6" fillId="4" fontId="2" numFmtId="0" xfId="0" applyAlignment="1" applyBorder="1" applyFill="1" applyFont="1">
      <alignment readingOrder="0" vertical="bottom"/>
    </xf>
    <xf borderId="7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8" fillId="0" fontId="1" numFmtId="0" xfId="0" applyBorder="1" applyFont="1"/>
    <xf borderId="6" fillId="0" fontId="1" numFmtId="0" xfId="0" applyBorder="1" applyFont="1"/>
    <xf borderId="3" fillId="4" fontId="2" numFmtId="0" xfId="0" applyAlignment="1" applyBorder="1" applyFill="1" applyFont="1">
      <alignment vertical="bottom"/>
    </xf>
    <xf borderId="0" fillId="3" fontId="2" numFmtId="0" xfId="0" applyAlignment="1" applyFill="1" applyFont="1">
      <alignment readingOrder="0" vertical="bottom"/>
    </xf>
    <xf borderId="0" fillId="4" fontId="2" numFmtId="0" xfId="0" applyAlignment="1" applyFill="1" applyFont="1">
      <alignment vertical="bottom"/>
    </xf>
    <xf borderId="7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3" fillId="4" fontId="2" numFmtId="0" xfId="0" applyAlignment="1" applyBorder="1" applyFill="1" applyFont="1">
      <alignment readingOrder="0" vertical="bottom"/>
    </xf>
    <xf borderId="3" fillId="3" fontId="2" numFmtId="0" xfId="0" applyAlignment="1" applyBorder="1" applyFill="1" applyFont="1">
      <alignment vertical="bottom"/>
    </xf>
    <xf borderId="6" fillId="4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3" max="3" width="57.25"/>
    <col customWidth="1" min="4" max="4" width="58.25"/>
  </cols>
  <sheetData>
    <row r="1">
      <c r="A1" s="2" t="str">
        <f>IFERROR(__xludf.DUMMYFUNCTION("importRange(""https://docs.google.com/spreadsheets/d/12njYFKwcoSn9-JKfJWa-xlUkB1LS6S8QBvuYQIpwIC4/edit?resourcekey=&amp;pli=1&amp;gid=1486611768#gid=1486611768"",""Rooms!A1:D17"")"),"Room Name")</f>
        <v>Room Name</v>
      </c>
      <c r="B1" s="2" t="str">
        <f>IFERROR(__xludf.DUMMYFUNCTION("""COMPUTED_VALUE"""),"RR1")</f>
        <v>RR1</v>
      </c>
      <c r="C1" s="2" t="str">
        <f>IFERROR(__xludf.DUMMYFUNCTION("""COMPUTED_VALUE"""),"RR2")</f>
        <v>RR2</v>
      </c>
      <c r="D1" s="2" t="str">
        <f>IFERROR(__xludf.DUMMYFUNCTION("""COMPUTED_VALUE"""),"RR3")</f>
        <v>RR3</v>
      </c>
    </row>
    <row r="2">
      <c r="A2" s="1" t="str">
        <f>IFERROR(__xludf.DUMMYFUNCTION("""COMPUTED_VALUE"""),"Bronny 1")</f>
        <v>Bronny 1</v>
      </c>
      <c r="B2" s="1" t="str">
        <f>IFERROR(__xludf.DUMMYFUNCTION("""COMPUTED_VALUE"""),"Basis Independent McLean A vs IMSA A")</f>
        <v>Basis Independent McLean A vs IMSA A</v>
      </c>
      <c r="C2" s="1" t="str">
        <f>IFERROR(__xludf.DUMMYFUNCTION("""COMPUTED_VALUE"""),"Basis Independent McLean A vs Iolani A")</f>
        <v>Basis Independent McLean A vs Iolani A</v>
      </c>
      <c r="D2" s="1" t="str">
        <f>IFERROR(__xludf.DUMMYFUNCTION("""COMPUTED_VALUE"""),"IMSA A vs Iolani A")</f>
        <v>IMSA A vs Iolani A</v>
      </c>
    </row>
    <row r="3">
      <c r="A3" s="1" t="str">
        <f>IFERROR(__xludf.DUMMYFUNCTION("""COMPUTED_VALUE"""),"Bronny 2")</f>
        <v>Bronny 2</v>
      </c>
      <c r="B3" s="1" t="str">
        <f>IFERROR(__xludf.DUMMYFUNCTION("""COMPUTED_VALUE"""),"Iolani A BYE")</f>
        <v>Iolani A BYE</v>
      </c>
      <c r="C3" s="1" t="str">
        <f>IFERROR(__xludf.DUMMYFUNCTION("""COMPUTED_VALUE"""),"IMSA A BYE")</f>
        <v>IMSA A BYE</v>
      </c>
      <c r="D3" s="1" t="str">
        <f>IFERROR(__xludf.DUMMYFUNCTION("""COMPUTED_VALUE"""),"Basis Independent McLean A BYE")</f>
        <v>Basis Independent McLean A BYE</v>
      </c>
    </row>
    <row r="4">
      <c r="A4" s="1" t="str">
        <f>IFERROR(__xludf.DUMMYFUNCTION("""COMPUTED_VALUE"""),"Curry 1")</f>
        <v>Curry 1</v>
      </c>
      <c r="B4" s="1" t="str">
        <f>IFERROR(__xludf.DUMMYFUNCTION("""COMPUTED_VALUE"""),"James Clemens High School vs Frazer A")</f>
        <v>James Clemens High School vs Frazer A</v>
      </c>
      <c r="C4" s="1" t="str">
        <f>IFERROR(__xludf.DUMMYFUNCTION("""COMPUTED_VALUE"""),"James Clemens High School vs Clements A")</f>
        <v>James Clemens High School vs Clements A</v>
      </c>
      <c r="D4" s="1" t="str">
        <f>IFERROR(__xludf.DUMMYFUNCTION("""COMPUTED_VALUE"""),"James Clemens High School vs Lynbrook")</f>
        <v>James Clemens High School vs Lynbrook</v>
      </c>
    </row>
    <row r="5">
      <c r="A5" s="1" t="str">
        <f>IFERROR(__xludf.DUMMYFUNCTION("""COMPUTED_VALUE"""),"Curry 2")</f>
        <v>Curry 2</v>
      </c>
      <c r="B5" s="1" t="str">
        <f>IFERROR(__xludf.DUMMYFUNCTION("""COMPUTED_VALUE"""),"Clements A vs Lynbrook")</f>
        <v>Clements A vs Lynbrook</v>
      </c>
      <c r="C5" s="1" t="str">
        <f>IFERROR(__xludf.DUMMYFUNCTION("""COMPUTED_VALUE"""),"Frazer A vs Lynbrook")</f>
        <v>Frazer A vs Lynbrook</v>
      </c>
      <c r="D5" s="1" t="str">
        <f>IFERROR(__xludf.DUMMYFUNCTION("""COMPUTED_VALUE"""),"Frazer A vs Clements A")</f>
        <v>Frazer A vs Clements A</v>
      </c>
    </row>
    <row r="6">
      <c r="A6" s="1" t="str">
        <f>IFERROR(__xludf.DUMMYFUNCTION("""COMPUTED_VALUE"""),"Giannis 1")</f>
        <v>Giannis 1</v>
      </c>
      <c r="B6" s="1" t="str">
        <f>IFERROR(__xludf.DUMMYFUNCTION("""COMPUTED_VALUE"""),"Buchholz vs Cupertino B")</f>
        <v>Buchholz vs Cupertino B</v>
      </c>
      <c r="C6" s="1" t="str">
        <f>IFERROR(__xludf.DUMMYFUNCTION("""COMPUTED_VALUE"""),"Buchholz vs Dulles")</f>
        <v>Buchholz vs Dulles</v>
      </c>
      <c r="D6" s="1" t="str">
        <f>IFERROR(__xludf.DUMMYFUNCTION("""COMPUTED_VALUE"""),"Buchholz vs Basis Independent McLean B")</f>
        <v>Buchholz vs Basis Independent McLean B</v>
      </c>
    </row>
    <row r="7">
      <c r="A7" s="1" t="str">
        <f>IFERROR(__xludf.DUMMYFUNCTION("""COMPUTED_VALUE"""),"Giannis 2")</f>
        <v>Giannis 2</v>
      </c>
      <c r="B7" s="1" t="str">
        <f>IFERROR(__xludf.DUMMYFUNCTION("""COMPUTED_VALUE"""),"Dulles vs Basis Independent McLean B")</f>
        <v>Dulles vs Basis Independent McLean B</v>
      </c>
      <c r="C7" s="1" t="str">
        <f>IFERROR(__xludf.DUMMYFUNCTION("""COMPUTED_VALUE"""),"Cupertino B vs Basis Independent McLean B")</f>
        <v>Cupertino B vs Basis Independent McLean B</v>
      </c>
      <c r="D7" s="1" t="str">
        <f>IFERROR(__xludf.DUMMYFUNCTION("""COMPUTED_VALUE"""),"Cupertino B vs Dulles")</f>
        <v>Cupertino B vs Dulles</v>
      </c>
    </row>
    <row r="8">
      <c r="A8" s="1" t="str">
        <f>IFERROR(__xludf.DUMMYFUNCTION("""COMPUTED_VALUE"""),"Lebron 1")</f>
        <v>Lebron 1</v>
      </c>
      <c r="B8" s="1" t="str">
        <f>IFERROR(__xludf.DUMMYFUNCTION("""COMPUTED_VALUE"""),"Green Hope High School B v s ASFA B")</f>
        <v>Green Hope High School B v s ASFA B</v>
      </c>
      <c r="C8" s="1" t="str">
        <f>IFERROR(__xludf.DUMMYFUNCTION("""COMPUTED_VALUE"""),"Green Hope High School B vs Orange County School of the Arts")</f>
        <v>Green Hope High School B vs Orange County School of the Arts</v>
      </c>
      <c r="D8" s="1" t="str">
        <f>IFERROR(__xludf.DUMMYFUNCTION("""COMPUTED_VALUE"""),"Green Hope High School B vs Bethlehem ")</f>
        <v>Green Hope High School B vs Bethlehem </v>
      </c>
    </row>
    <row r="9">
      <c r="A9" s="1" t="str">
        <f>IFERROR(__xludf.DUMMYFUNCTION("""COMPUTED_VALUE"""),"Lebron 2")</f>
        <v>Lebron 2</v>
      </c>
      <c r="B9" s="1" t="str">
        <f>IFERROR(__xludf.DUMMYFUNCTION("""COMPUTED_VALUE"""),"Orange County School of the Arts vs Bethlehem ")</f>
        <v>Orange County School of the Arts vs Bethlehem </v>
      </c>
      <c r="C9" s="1" t="str">
        <f>IFERROR(__xludf.DUMMYFUNCTION("""COMPUTED_VALUE"""),"ASFA B vs Bethlehem ")</f>
        <v>ASFA B vs Bethlehem </v>
      </c>
      <c r="D9" s="1" t="str">
        <f>IFERROR(__xludf.DUMMYFUNCTION("""COMPUTED_VALUE"""),"ASFA B vs Orange County School of the Arts")</f>
        <v>ASFA B vs Orange County School of the Arts</v>
      </c>
    </row>
    <row r="10">
      <c r="A10" s="1" t="str">
        <f>IFERROR(__xludf.DUMMYFUNCTION("""COMPUTED_VALUE"""),"Kobe 1")</f>
        <v>Kobe 1</v>
      </c>
      <c r="B10" s="1" t="str">
        <f>IFERROR(__xludf.DUMMYFUNCTION("""COMPUTED_VALUE"""),"Palo Alto B vs Lexington High School")</f>
        <v>Palo Alto B vs Lexington High School</v>
      </c>
      <c r="C10" s="1" t="str">
        <f>IFERROR(__xludf.DUMMYFUNCTION("""COMPUTED_VALUE"""),"Palo Alto B vs West Windsor Plainsboro High School South")</f>
        <v>Palo Alto B vs West Windsor Plainsboro High School South</v>
      </c>
      <c r="D10" s="1" t="str">
        <f>IFERROR(__xludf.DUMMYFUNCTION("""COMPUTED_VALUE"""),"Palo Alto B vs ASFA A")</f>
        <v>Palo Alto B vs ASFA A</v>
      </c>
    </row>
    <row r="11">
      <c r="A11" s="1" t="str">
        <f>IFERROR(__xludf.DUMMYFUNCTION("""COMPUTED_VALUE"""),"Kobe 2")</f>
        <v>Kobe 2</v>
      </c>
      <c r="B11" s="1" t="str">
        <f>IFERROR(__xludf.DUMMYFUNCTION("""COMPUTED_VALUE"""),"West Windsor Plainsboro High School South vs ASFA A")</f>
        <v>West Windsor Plainsboro High School South vs ASFA A</v>
      </c>
      <c r="C11" s="1" t="str">
        <f>IFERROR(__xludf.DUMMYFUNCTION("""COMPUTED_VALUE"""),"Lexington High School vs ASFA A")</f>
        <v>Lexington High School vs ASFA A</v>
      </c>
      <c r="D11" s="1" t="str">
        <f>IFERROR(__xludf.DUMMYFUNCTION("""COMPUTED_VALUE"""),"Lexington High School vs West Windsor Plainsboro High School South")</f>
        <v>Lexington High School vs West Windsor Plainsboro High School South</v>
      </c>
    </row>
    <row r="12">
      <c r="A12" s="1" t="str">
        <f>IFERROR(__xludf.DUMMYFUNCTION("""COMPUTED_VALUE"""),"MJ 1")</f>
        <v>MJ 1</v>
      </c>
      <c r="B12" s="1" t="str">
        <f>IFERROR(__xludf.DUMMYFUNCTION("""COMPUTED_VALUE"""),"CCA A vs CCA B")</f>
        <v>CCA A vs CCA B</v>
      </c>
      <c r="C12" s="1" t="str">
        <f>IFERROR(__xludf.DUMMYFUNCTION("""COMPUTED_VALUE"""),"CCA A vs Iolani B")</f>
        <v>CCA A vs Iolani B</v>
      </c>
      <c r="D12" s="1" t="str">
        <f>IFERROR(__xludf.DUMMYFUNCTION("""COMPUTED_VALUE"""),"Iolani B vs CCA B")</f>
        <v>Iolani B vs CCA B</v>
      </c>
    </row>
    <row r="13">
      <c r="A13" s="1" t="str">
        <f>IFERROR(__xludf.DUMMYFUNCTION("""COMPUTED_VALUE"""),"MJ 2")</f>
        <v>MJ 2</v>
      </c>
      <c r="B13" s="1" t="str">
        <f>IFERROR(__xludf.DUMMYFUNCTION("""COMPUTED_VALUE"""),"Iolani B BYE")</f>
        <v>Iolani B BYE</v>
      </c>
      <c r="C13" s="1" t="str">
        <f>IFERROR(__xludf.DUMMYFUNCTION("""COMPUTED_VALUE"""),"CCA B BYE")</f>
        <v>CCA B BYE</v>
      </c>
      <c r="D13" s="1" t="str">
        <f>IFERROR(__xludf.DUMMYFUNCTION("""COMPUTED_VALUE"""),"CCA A BYE")</f>
        <v>CCA A BYE</v>
      </c>
    </row>
    <row r="14">
      <c r="A14" s="1" t="str">
        <f>IFERROR(__xludf.DUMMYFUNCTION("""COMPUTED_VALUE"""),"Shaq 1")</f>
        <v>Shaq 1</v>
      </c>
      <c r="B14" s="1" t="str">
        <f>IFERROR(__xludf.DUMMYFUNCTION("""COMPUTED_VALUE"""),"Clements B vs Palo Alto A")</f>
        <v>Clements B vs Palo Alto A</v>
      </c>
      <c r="C14" s="1" t="str">
        <f>IFERROR(__xludf.DUMMYFUNCTION("""COMPUTED_VALUE"""),"Clements B vs IMSA B")</f>
        <v>Clements B vs IMSA B</v>
      </c>
      <c r="D14" s="1" t="str">
        <f>IFERROR(__xludf.DUMMYFUNCTION("""COMPUTED_VALUE"""),"Clements B vs Green Hope High School A")</f>
        <v>Clements B vs Green Hope High School A</v>
      </c>
    </row>
    <row r="15">
      <c r="A15" s="1" t="str">
        <f>IFERROR(__xludf.DUMMYFUNCTION("""COMPUTED_VALUE"""),"Shaq 2")</f>
        <v>Shaq 2</v>
      </c>
      <c r="B15" s="1" t="str">
        <f>IFERROR(__xludf.DUMMYFUNCTION("""COMPUTED_VALUE"""),"IMSA B vs Green Hope High School A")</f>
        <v>IMSA B vs Green Hope High School A</v>
      </c>
      <c r="C15" s="1" t="str">
        <f>IFERROR(__xludf.DUMMYFUNCTION("""COMPUTED_VALUE"""),"Palo Alto A vs Green Hope High School A")</f>
        <v>Palo Alto A vs Green Hope High School A</v>
      </c>
      <c r="D15" s="1" t="str">
        <f>IFERROR(__xludf.DUMMYFUNCTION("""COMPUTED_VALUE"""),"Palo Alto A vs IMSA B")</f>
        <v>Palo Alto A vs IMSA B</v>
      </c>
    </row>
    <row r="16">
      <c r="A16" s="1" t="str">
        <f>IFERROR(__xludf.DUMMYFUNCTION("""COMPUTED_VALUE"""),"Thanasis 1")</f>
        <v>Thanasis 1</v>
      </c>
      <c r="B16" s="1" t="str">
        <f>IFERROR(__xludf.DUMMYFUNCTION("""COMPUTED_VALUE"""),"John Hopkins High School vs Frazer B")</f>
        <v>John Hopkins High School vs Frazer B</v>
      </c>
      <c r="C16" s="1" t="str">
        <f>IFERROR(__xludf.DUMMYFUNCTION("""COMPUTED_VALUE"""),"John Hopkins High School vs TJHSST A")</f>
        <v>John Hopkins High School vs TJHSST A</v>
      </c>
      <c r="D16" s="1" t="str">
        <f>IFERROR(__xludf.DUMMYFUNCTION("""COMPUTED_VALUE"""),"John Hopkins High School vs Brooklyn Tech A")</f>
        <v>John Hopkins High School vs Brooklyn Tech A</v>
      </c>
    </row>
    <row r="17">
      <c r="A17" s="1" t="str">
        <f>IFERROR(__xludf.DUMMYFUNCTION("""COMPUTED_VALUE"""),"Thanasis 2")</f>
        <v>Thanasis 2</v>
      </c>
      <c r="B17" s="1" t="str">
        <f>IFERROR(__xludf.DUMMYFUNCTION("""COMPUTED_VALUE"""),"TJHSST A vs Brooklyn Tech A")</f>
        <v>TJHSST A vs Brooklyn Tech A</v>
      </c>
      <c r="C17" s="1" t="str">
        <f>IFERROR(__xludf.DUMMYFUNCTION("""COMPUTED_VALUE"""),"Frazer B vs Brooklyn Tech A")</f>
        <v>Frazer B vs Brooklyn Tech A</v>
      </c>
      <c r="D17" s="1" t="str">
        <f>IFERROR(__xludf.DUMMYFUNCTION("""COMPUTED_VALUE"""),"Frazer B vs TJHSST A")</f>
        <v>Frazer B vs TJHSST A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IFERROR(__xludf.DUMMYFUNCTION("importRange(""https://docs.google.com/spreadsheets/d/12njYFKwcoSn9-JKfJWa-xlUkB1LS6S8QBvuYQIpwIC4/edit?resourcekey=&amp;pli=1&amp;gid=1486611768#gid=1486611768"",""Teams!A1:M56"")"),"Bronny")</f>
        <v>Bronny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5"/>
      <c r="B2" s="6" t="str">
        <f>IFERROR(__xludf.DUMMYFUNCTION("""COMPUTED_VALUE"""),"Basis Independent McLean A ")</f>
        <v>Basis Independent McLean A </v>
      </c>
      <c r="C2" s="7"/>
      <c r="D2" s="1"/>
      <c r="E2" s="6" t="str">
        <f>IFERROR(__xludf.DUMMYFUNCTION("""COMPUTED_VALUE"""),"Iolani A")</f>
        <v>Iolani A</v>
      </c>
      <c r="F2" s="7"/>
      <c r="G2" s="1"/>
      <c r="H2" s="6" t="str">
        <f>IFERROR(__xludf.DUMMYFUNCTION("""COMPUTED_VALUE"""),"IMSA A ")</f>
        <v>IMSA A </v>
      </c>
      <c r="I2" s="7"/>
      <c r="J2" s="1"/>
      <c r="K2" s="6" t="str">
        <f>IFERROR(__xludf.DUMMYFUNCTION("""COMPUTED_VALUE"""),"BYE")</f>
        <v>BYE</v>
      </c>
      <c r="L2" s="7"/>
      <c r="M2" s="1"/>
    </row>
    <row r="3">
      <c r="A3" s="1"/>
      <c r="B3" s="13" t="str">
        <f>IFERROR(__xludf.DUMMYFUNCTION("""COMPUTED_VALUE"""),"Phoenix Do")</f>
        <v>Phoenix Do</v>
      </c>
      <c r="C3" s="14" t="str">
        <f>IFERROR(__xludf.DUMMYFUNCTION("""COMPUTED_VALUE"""),"PD11")</f>
        <v>PD11</v>
      </c>
      <c r="D3" s="1"/>
      <c r="E3" s="13" t="str">
        <f>IFERROR(__xludf.DUMMYFUNCTION("""COMPUTED_VALUE"""),"Ryan Eto")</f>
        <v>Ryan Eto</v>
      </c>
      <c r="F3" s="14" t="str">
        <f>IFERROR(__xludf.DUMMYFUNCTION("""COMPUTED_VALUE"""),"RE12")</f>
        <v>RE12</v>
      </c>
      <c r="G3" s="1"/>
      <c r="H3" s="13" t="str">
        <f>IFERROR(__xludf.DUMMYFUNCTION("""COMPUTED_VALUE"""),"Ian Chung")</f>
        <v>Ian Chung</v>
      </c>
      <c r="I3" s="14" t="str">
        <f>IFERROR(__xludf.DUMMYFUNCTION("""COMPUTED_VALUE"""),"IC13")</f>
        <v>IC13</v>
      </c>
      <c r="J3" s="1"/>
      <c r="K3" s="13"/>
      <c r="L3" s="14"/>
      <c r="M3" s="1"/>
    </row>
    <row r="4">
      <c r="A4" s="1"/>
      <c r="B4" s="13" t="str">
        <f>IFERROR(__xludf.DUMMYFUNCTION("""COMPUTED_VALUE"""),"Caden Zhang")</f>
        <v>Caden Zhang</v>
      </c>
      <c r="C4" s="14" t="str">
        <f>IFERROR(__xludf.DUMMYFUNCTION("""COMPUTED_VALUE"""),"CZ11")</f>
        <v>CZ11</v>
      </c>
      <c r="D4" s="1"/>
      <c r="E4" s="13" t="str">
        <f>IFERROR(__xludf.DUMMYFUNCTION("""COMPUTED_VALUE"""),"Owen Banks")</f>
        <v>Owen Banks</v>
      </c>
      <c r="F4" s="14" t="str">
        <f>IFERROR(__xludf.DUMMYFUNCTION("""COMPUTED_VALUE"""),"OB12")</f>
        <v>OB12</v>
      </c>
      <c r="G4" s="1"/>
      <c r="H4" s="13" t="str">
        <f>IFERROR(__xludf.DUMMYFUNCTION("""COMPUTED_VALUE"""),"Roy Wang")</f>
        <v>Roy Wang</v>
      </c>
      <c r="I4" s="14" t="str">
        <f>IFERROR(__xludf.DUMMYFUNCTION("""COMPUTED_VALUE"""),"RW13")</f>
        <v>RW13</v>
      </c>
      <c r="J4" s="1"/>
      <c r="K4" s="13"/>
      <c r="L4" s="14"/>
      <c r="M4" s="1"/>
    </row>
    <row r="5">
      <c r="A5" s="1"/>
      <c r="B5" s="13" t="str">
        <f>IFERROR(__xludf.DUMMYFUNCTION("""COMPUTED_VALUE"""),"Ian Wang")</f>
        <v>Ian Wang</v>
      </c>
      <c r="C5" s="14" t="str">
        <f>IFERROR(__xludf.DUMMYFUNCTION("""COMPUTED_VALUE"""),"IW11")</f>
        <v>IW11</v>
      </c>
      <c r="D5" s="1"/>
      <c r="E5" s="13" t="str">
        <f>IFERROR(__xludf.DUMMYFUNCTION("""COMPUTED_VALUE"""),"Keene Koide")</f>
        <v>Keene Koide</v>
      </c>
      <c r="F5" s="14" t="str">
        <f>IFERROR(__xludf.DUMMYFUNCTION("""COMPUTED_VALUE"""),"KK12")</f>
        <v>KK12</v>
      </c>
      <c r="G5" s="1"/>
      <c r="H5" s="13" t="str">
        <f>IFERROR(__xludf.DUMMYFUNCTION("""COMPUTED_VALUE"""),"Tony Han")</f>
        <v>Tony Han</v>
      </c>
      <c r="I5" s="14" t="str">
        <f>IFERROR(__xludf.DUMMYFUNCTION("""COMPUTED_VALUE"""),"TH13")</f>
        <v>TH13</v>
      </c>
      <c r="J5" s="1"/>
      <c r="K5" s="13"/>
      <c r="L5" s="14"/>
      <c r="M5" s="1"/>
    </row>
    <row r="6">
      <c r="A6" s="1"/>
      <c r="B6" s="13" t="str">
        <f>IFERROR(__xludf.DUMMYFUNCTION("""COMPUTED_VALUE"""),"Sumer Chaudhary")</f>
        <v>Sumer Chaudhary</v>
      </c>
      <c r="C6" s="14" t="str">
        <f>IFERROR(__xludf.DUMMYFUNCTION("""COMPUTED_VALUE"""),"SC11")</f>
        <v>SC11</v>
      </c>
      <c r="D6" s="1"/>
      <c r="E6" s="13" t="str">
        <f>IFERROR(__xludf.DUMMYFUNCTION("""COMPUTED_VALUE"""),"Min Shin")</f>
        <v>Min Shin</v>
      </c>
      <c r="F6" s="14" t="str">
        <f>IFERROR(__xludf.DUMMYFUNCTION("""COMPUTED_VALUE"""),"MS12")</f>
        <v>MS12</v>
      </c>
      <c r="G6" s="1"/>
      <c r="H6" s="13" t="str">
        <f>IFERROR(__xludf.DUMMYFUNCTION("""COMPUTED_VALUE"""),"Arun Muthukkumar")</f>
        <v>Arun Muthukkumar</v>
      </c>
      <c r="I6" s="14" t="str">
        <f>IFERROR(__xludf.DUMMYFUNCTION("""COMPUTED_VALUE"""),"AM13")</f>
        <v>AM13</v>
      </c>
      <c r="J6" s="1"/>
      <c r="K6" s="13"/>
      <c r="L6" s="14"/>
      <c r="M6" s="1"/>
    </row>
    <row r="7">
      <c r="A7" s="1"/>
      <c r="B7" s="26"/>
      <c r="C7" s="27"/>
      <c r="D7" s="1"/>
      <c r="E7" s="26"/>
      <c r="F7" s="27"/>
      <c r="G7" s="1"/>
      <c r="H7" s="26" t="str">
        <f>IFERROR(__xludf.DUMMYFUNCTION("""COMPUTED_VALUE"""),"Jeev Hora")</f>
        <v>Jeev Hora</v>
      </c>
      <c r="I7" s="27" t="str">
        <f>IFERROR(__xludf.DUMMYFUNCTION("""COMPUTED_VALUE"""),"JH13")</f>
        <v>JH13</v>
      </c>
      <c r="J7" s="1"/>
      <c r="K7" s="26"/>
      <c r="L7" s="27"/>
      <c r="M7" s="1"/>
    </row>
    <row r="8">
      <c r="A8" s="1" t="str">
        <f>IFERROR(__xludf.DUMMYFUNCTION("""COMPUTED_VALUE"""),"Curry")</f>
        <v>Curry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>
      <c r="A9" s="1"/>
      <c r="B9" s="6" t="str">
        <f>IFERROR(__xludf.DUMMYFUNCTION("""COMPUTED_VALUE"""),"James Clemens High School")</f>
        <v>James Clemens High School</v>
      </c>
      <c r="C9" s="7"/>
      <c r="D9" s="1"/>
      <c r="E9" s="6" t="str">
        <f>IFERROR(__xludf.DUMMYFUNCTION("""COMPUTED_VALUE"""),"Frazer A ")</f>
        <v>Frazer A </v>
      </c>
      <c r="F9" s="7"/>
      <c r="G9" s="1"/>
      <c r="H9" s="6" t="str">
        <f>IFERROR(__xludf.DUMMYFUNCTION("""COMPUTED_VALUE"""),"Clements A ")</f>
        <v>Clements A </v>
      </c>
      <c r="I9" s="7"/>
      <c r="J9" s="1"/>
      <c r="K9" s="6" t="str">
        <f>IFERROR(__xludf.DUMMYFUNCTION("""COMPUTED_VALUE"""),"Lynbrook ")</f>
        <v>Lynbrook </v>
      </c>
      <c r="L9" s="7"/>
      <c r="M9" s="1"/>
    </row>
    <row r="10">
      <c r="A10" s="1"/>
      <c r="B10" s="13" t="str">
        <f>IFERROR(__xludf.DUMMYFUNCTION("""COMPUTED_VALUE"""),"Praneel Avula")</f>
        <v>Praneel Avula</v>
      </c>
      <c r="C10" s="14" t="str">
        <f>IFERROR(__xludf.DUMMYFUNCTION("""COMPUTED_VALUE"""),"PA21")</f>
        <v>PA21</v>
      </c>
      <c r="D10" s="1"/>
      <c r="E10" s="13" t="str">
        <f>IFERROR(__xludf.DUMMYFUNCTION("""COMPUTED_VALUE"""),"Michael Wei")</f>
        <v>Michael Wei</v>
      </c>
      <c r="F10" s="14" t="str">
        <f>IFERROR(__xludf.DUMMYFUNCTION("""COMPUTED_VALUE"""),"MW22")</f>
        <v>MW22</v>
      </c>
      <c r="G10" s="1"/>
      <c r="H10" s="13" t="str">
        <f>IFERROR(__xludf.DUMMYFUNCTION("""COMPUTED_VALUE"""),"Yale Zhang")</f>
        <v>Yale Zhang</v>
      </c>
      <c r="I10" s="14" t="str">
        <f>IFERROR(__xludf.DUMMYFUNCTION("""COMPUTED_VALUE"""),"YZ23")</f>
        <v>YZ23</v>
      </c>
      <c r="J10" s="1"/>
      <c r="K10" s="13" t="str">
        <f>IFERROR(__xludf.DUMMYFUNCTION("""COMPUTED_VALUE"""),"Sohil")</f>
        <v>Sohil</v>
      </c>
      <c r="L10" s="14" t="str">
        <f>IFERROR(__xludf.DUMMYFUNCTION("""COMPUTED_VALUE"""),"So24")</f>
        <v>So24</v>
      </c>
      <c r="M10" s="1"/>
    </row>
    <row r="11">
      <c r="A11" s="1"/>
      <c r="B11" s="13" t="str">
        <f>IFERROR(__xludf.DUMMYFUNCTION("""COMPUTED_VALUE"""),"Eric Wu")</f>
        <v>Eric Wu</v>
      </c>
      <c r="C11" s="14" t="str">
        <f>IFERROR(__xludf.DUMMYFUNCTION("""COMPUTED_VALUE"""),"EW21")</f>
        <v>EW21</v>
      </c>
      <c r="D11" s="1"/>
      <c r="E11" s="13" t="str">
        <f>IFERROR(__xludf.DUMMYFUNCTION("""COMPUTED_VALUE"""),"Ajay Sawant")</f>
        <v>Ajay Sawant</v>
      </c>
      <c r="F11" s="14" t="str">
        <f>IFERROR(__xludf.DUMMYFUNCTION("""COMPUTED_VALUE"""),"AS22")</f>
        <v>AS22</v>
      </c>
      <c r="G11" s="1"/>
      <c r="H11" s="13" t="str">
        <f>IFERROR(__xludf.DUMMYFUNCTION("""COMPUTED_VALUE"""),"Alexander Fernandez")</f>
        <v>Alexander Fernandez</v>
      </c>
      <c r="I11" s="14" t="str">
        <f>IFERROR(__xludf.DUMMYFUNCTION("""COMPUTED_VALUE"""),"AF23")</f>
        <v>AF23</v>
      </c>
      <c r="J11" s="1"/>
      <c r="K11" s="13" t="str">
        <f>IFERROR(__xludf.DUMMYFUNCTION("""COMPUTED_VALUE"""),"Jianyu")</f>
        <v>Jianyu</v>
      </c>
      <c r="L11" s="14" t="str">
        <f>IFERROR(__xludf.DUMMYFUNCTION("""COMPUTED_VALUE"""),"J24")</f>
        <v>J24</v>
      </c>
      <c r="M11" s="1"/>
    </row>
    <row r="12">
      <c r="A12" s="1"/>
      <c r="B12" s="13" t="str">
        <f>IFERROR(__xludf.DUMMYFUNCTION("""COMPUTED_VALUE"""),"Joel Yang")</f>
        <v>Joel Yang</v>
      </c>
      <c r="C12" s="14" t="str">
        <f>IFERROR(__xludf.DUMMYFUNCTION("""COMPUTED_VALUE"""),"JY21")</f>
        <v>JY21</v>
      </c>
      <c r="D12" s="1"/>
      <c r="E12" s="13" t="str">
        <f>IFERROR(__xludf.DUMMYFUNCTION("""COMPUTED_VALUE"""),"Jimmy Jiang")</f>
        <v>Jimmy Jiang</v>
      </c>
      <c r="F12" s="14" t="str">
        <f>IFERROR(__xludf.DUMMYFUNCTION("""COMPUTED_VALUE"""),"JJ22")</f>
        <v>JJ22</v>
      </c>
      <c r="G12" s="1"/>
      <c r="H12" s="13" t="str">
        <f>IFERROR(__xludf.DUMMYFUNCTION("""COMPUTED_VALUE"""),"Shreyas Chittoor")</f>
        <v>Shreyas Chittoor</v>
      </c>
      <c r="I12" s="14" t="str">
        <f>IFERROR(__xludf.DUMMYFUNCTION("""COMPUTED_VALUE"""),"SC23")</f>
        <v>SC23</v>
      </c>
      <c r="J12" s="1"/>
      <c r="K12" s="13" t="str">
        <f>IFERROR(__xludf.DUMMYFUNCTION("""COMPUTED_VALUE"""),"Selena")</f>
        <v>Selena</v>
      </c>
      <c r="L12" s="14" t="str">
        <f>IFERROR(__xludf.DUMMYFUNCTION("""COMPUTED_VALUE"""),"Se24")</f>
        <v>Se24</v>
      </c>
      <c r="M12" s="1"/>
    </row>
    <row r="13">
      <c r="A13" s="1"/>
      <c r="B13" s="13" t="str">
        <f>IFERROR(__xludf.DUMMYFUNCTION("""COMPUTED_VALUE"""),"Neyan Sezhian")</f>
        <v>Neyan Sezhian</v>
      </c>
      <c r="C13" s="14" t="str">
        <f>IFERROR(__xludf.DUMMYFUNCTION("""COMPUTED_VALUE"""),"NS21")</f>
        <v>NS21</v>
      </c>
      <c r="D13" s="1"/>
      <c r="E13" s="13" t="str">
        <f>IFERROR(__xludf.DUMMYFUNCTION("""COMPUTED_VALUE"""),"Abhiram Pothuri")</f>
        <v>Abhiram Pothuri</v>
      </c>
      <c r="F13" s="14" t="str">
        <f>IFERROR(__xludf.DUMMYFUNCTION("""COMPUTED_VALUE"""),"Ab22")</f>
        <v>Ab22</v>
      </c>
      <c r="G13" s="1"/>
      <c r="H13" s="13" t="str">
        <f>IFERROR(__xludf.DUMMYFUNCTION("""COMPUTED_VALUE"""),"Alexander Sun")</f>
        <v>Alexander Sun</v>
      </c>
      <c r="I13" s="14" t="str">
        <f>IFERROR(__xludf.DUMMYFUNCTION("""COMPUTED_VALUE"""),"AS23")</f>
        <v>AS23</v>
      </c>
      <c r="J13" s="1"/>
      <c r="K13" s="13" t="str">
        <f>IFERROR(__xludf.DUMMYFUNCTION("""COMPUTED_VALUE"""),"Ian")</f>
        <v>Ian</v>
      </c>
      <c r="L13" s="14" t="str">
        <f>IFERROR(__xludf.DUMMYFUNCTION("""COMPUTED_VALUE"""),"I24")</f>
        <v>I24</v>
      </c>
      <c r="M13" s="1"/>
    </row>
    <row r="14">
      <c r="A14" s="1"/>
      <c r="B14" s="26" t="str">
        <f>IFERROR(__xludf.DUMMYFUNCTION("""COMPUTED_VALUE"""),"Heidi Leonard")</f>
        <v>Heidi Leonard</v>
      </c>
      <c r="C14" s="27" t="str">
        <f>IFERROR(__xludf.DUMMYFUNCTION("""COMPUTED_VALUE"""),"HL21")</f>
        <v>HL21</v>
      </c>
      <c r="D14" s="1"/>
      <c r="E14" s="26"/>
      <c r="F14" s="27"/>
      <c r="G14" s="1"/>
      <c r="H14" s="26" t="str">
        <f>IFERROR(__xludf.DUMMYFUNCTION("""COMPUTED_VALUE"""),"Eric Zang")</f>
        <v>Eric Zang</v>
      </c>
      <c r="I14" s="27" t="str">
        <f>IFERROR(__xludf.DUMMYFUNCTION("""COMPUTED_VALUE"""),"EZ23")</f>
        <v>EZ23</v>
      </c>
      <c r="J14" s="1"/>
      <c r="K14" s="26"/>
      <c r="L14" s="27"/>
      <c r="M14" s="1"/>
    </row>
    <row r="15">
      <c r="A15" s="1" t="str">
        <f>IFERROR(__xludf.DUMMYFUNCTION("""COMPUTED_VALUE"""),"Giannis")</f>
        <v>Giannis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>
      <c r="A16" s="1"/>
      <c r="B16" s="6" t="str">
        <f>IFERROR(__xludf.DUMMYFUNCTION("""COMPUTED_VALUE"""),"Buchholz Coca-Cola")</f>
        <v>Buchholz Coca-Cola</v>
      </c>
      <c r="C16" s="7"/>
      <c r="D16" s="1"/>
      <c r="E16" s="6" t="str">
        <f>IFERROR(__xludf.DUMMYFUNCTION("""COMPUTED_VALUE"""),"Cupertino B")</f>
        <v>Cupertino B</v>
      </c>
      <c r="F16" s="7"/>
      <c r="G16" s="1"/>
      <c r="H16" s="6" t="str">
        <f>IFERROR(__xludf.DUMMYFUNCTION("""COMPUTED_VALUE"""),"Dulles")</f>
        <v>Dulles</v>
      </c>
      <c r="I16" s="7"/>
      <c r="J16" s="1"/>
      <c r="K16" s="6" t="str">
        <f>IFERROR(__xludf.DUMMYFUNCTION("""COMPUTED_VALUE"""),"Basis Independent McLean B")</f>
        <v>Basis Independent McLean B</v>
      </c>
      <c r="L16" s="7"/>
      <c r="M16" s="1"/>
    </row>
    <row r="17">
      <c r="A17" s="1"/>
      <c r="B17" s="13" t="str">
        <f>IFERROR(__xludf.DUMMYFUNCTION("""COMPUTED_VALUE"""),"Eddie Yuan")</f>
        <v>Eddie Yuan</v>
      </c>
      <c r="C17" s="14" t="str">
        <f>IFERROR(__xludf.DUMMYFUNCTION("""COMPUTED_VALUE"""),"EY31")</f>
        <v>EY31</v>
      </c>
      <c r="D17" s="1"/>
      <c r="E17" s="13" t="str">
        <f>IFERROR(__xludf.DUMMYFUNCTION("""COMPUTED_VALUE"""),"Ethan")</f>
        <v>Ethan</v>
      </c>
      <c r="F17" s="14" t="str">
        <f>IFERROR(__xludf.DUMMYFUNCTION("""COMPUTED_VALUE"""),"E32")</f>
        <v>E32</v>
      </c>
      <c r="G17" s="1"/>
      <c r="H17" s="13" t="str">
        <f>IFERROR(__xludf.DUMMYFUNCTION("""COMPUTED_VALUE"""),"Ronuk")</f>
        <v>Ronuk</v>
      </c>
      <c r="I17" s="14" t="str">
        <f>IFERROR(__xludf.DUMMYFUNCTION("""COMPUTED_VALUE"""),"R33")</f>
        <v>R33</v>
      </c>
      <c r="J17" s="1"/>
      <c r="K17" s="13" t="str">
        <f>IFERROR(__xludf.DUMMYFUNCTION("""COMPUTED_VALUE"""),"Neel Jain")</f>
        <v>Neel Jain</v>
      </c>
      <c r="L17" s="14" t="str">
        <f>IFERROR(__xludf.DUMMYFUNCTION("""COMPUTED_VALUE"""),"NJ34")</f>
        <v>NJ34</v>
      </c>
      <c r="M17" s="1"/>
    </row>
    <row r="18">
      <c r="A18" s="1"/>
      <c r="B18" s="13" t="str">
        <f>IFERROR(__xludf.DUMMYFUNCTION("""COMPUTED_VALUE"""),"Pranay Goatyokta")</f>
        <v>Pranay Goatyokta</v>
      </c>
      <c r="C18" s="14" t="str">
        <f>IFERROR(__xludf.DUMMYFUNCTION("""COMPUTED_VALUE"""),"PG31")</f>
        <v>PG31</v>
      </c>
      <c r="D18" s="1"/>
      <c r="E18" s="13" t="str">
        <f>IFERROR(__xludf.DUMMYFUNCTION("""COMPUTED_VALUE"""),"Matthew")</f>
        <v>Matthew</v>
      </c>
      <c r="F18" s="14" t="str">
        <f>IFERROR(__xludf.DUMMYFUNCTION("""COMPUTED_VALUE"""),"M32")</f>
        <v>M32</v>
      </c>
      <c r="G18" s="1"/>
      <c r="H18" s="13" t="str">
        <f>IFERROR(__xludf.DUMMYFUNCTION("""COMPUTED_VALUE"""),"Aditya")</f>
        <v>Aditya</v>
      </c>
      <c r="I18" s="14" t="str">
        <f>IFERROR(__xludf.DUMMYFUNCTION("""COMPUTED_VALUE"""),"A33")</f>
        <v>A33</v>
      </c>
      <c r="J18" s="1"/>
      <c r="K18" s="13" t="str">
        <f>IFERROR(__xludf.DUMMYFUNCTION("""COMPUTED_VALUE"""),"Evelyn Zheng")</f>
        <v>Evelyn Zheng</v>
      </c>
      <c r="L18" s="14" t="str">
        <f>IFERROR(__xludf.DUMMYFUNCTION("""COMPUTED_VALUE"""),"EZ34")</f>
        <v>EZ34</v>
      </c>
      <c r="M18" s="1"/>
    </row>
    <row r="19">
      <c r="A19" s="1"/>
      <c r="B19" s="13" t="str">
        <f>IFERROR(__xludf.DUMMYFUNCTION("""COMPUTED_VALUE"""),"Vincent Nguyen")</f>
        <v>Vincent Nguyen</v>
      </c>
      <c r="C19" s="14" t="str">
        <f>IFERROR(__xludf.DUMMYFUNCTION("""COMPUTED_VALUE"""),"VN31")</f>
        <v>VN31</v>
      </c>
      <c r="D19" s="1"/>
      <c r="E19" s="13" t="str">
        <f>IFERROR(__xludf.DUMMYFUNCTION("""COMPUTED_VALUE"""),"Kira")</f>
        <v>Kira</v>
      </c>
      <c r="F19" s="14" t="str">
        <f>IFERROR(__xludf.DUMMYFUNCTION("""COMPUTED_VALUE"""),"K32")</f>
        <v>K32</v>
      </c>
      <c r="G19" s="1"/>
      <c r="H19" s="13" t="str">
        <f>IFERROR(__xludf.DUMMYFUNCTION("""COMPUTED_VALUE"""),"Shlok")</f>
        <v>Shlok</v>
      </c>
      <c r="I19" s="14" t="str">
        <f>IFERROR(__xludf.DUMMYFUNCTION("""COMPUTED_VALUE"""),"Sh33")</f>
        <v>Sh33</v>
      </c>
      <c r="J19" s="1"/>
      <c r="K19" s="13" t="str">
        <f>IFERROR(__xludf.DUMMYFUNCTION("""COMPUTED_VALUE"""),"Harry Xu")</f>
        <v>Harry Xu</v>
      </c>
      <c r="L19" s="14" t="str">
        <f>IFERROR(__xludf.DUMMYFUNCTION("""COMPUTED_VALUE"""),"HX34")</f>
        <v>HX34</v>
      </c>
      <c r="M19" s="1"/>
    </row>
    <row r="20">
      <c r="A20" s="1"/>
      <c r="B20" s="13" t="str">
        <f>IFERROR(__xludf.DUMMYFUNCTION("""COMPUTED_VALUE"""),"Isa Vora")</f>
        <v>Isa Vora</v>
      </c>
      <c r="C20" s="14" t="str">
        <f>IFERROR(__xludf.DUMMYFUNCTION("""COMPUTED_VALUE"""),"IV31")</f>
        <v>IV31</v>
      </c>
      <c r="D20" s="1"/>
      <c r="E20" s="13" t="str">
        <f>IFERROR(__xludf.DUMMYFUNCTION("""COMPUTED_VALUE"""),"Namita")</f>
        <v>Namita</v>
      </c>
      <c r="F20" s="14" t="str">
        <f>IFERROR(__xludf.DUMMYFUNCTION("""COMPUTED_VALUE"""),"N32")</f>
        <v>N32</v>
      </c>
      <c r="G20" s="1"/>
      <c r="H20" s="13" t="str">
        <f>IFERROR(__xludf.DUMMYFUNCTION("""COMPUTED_VALUE"""),"Mahith")</f>
        <v>Mahith</v>
      </c>
      <c r="I20" s="14" t="str">
        <f>IFERROR(__xludf.DUMMYFUNCTION("""COMPUTED_VALUE"""),"M33")</f>
        <v>M33</v>
      </c>
      <c r="J20" s="1"/>
      <c r="K20" s="13" t="str">
        <f>IFERROR(__xludf.DUMMYFUNCTION("""COMPUTED_VALUE"""),"Ryan Xu")</f>
        <v>Ryan Xu</v>
      </c>
      <c r="L20" s="14" t="str">
        <f>IFERROR(__xludf.DUMMYFUNCTION("""COMPUTED_VALUE"""),"RX34")</f>
        <v>RX34</v>
      </c>
      <c r="M20" s="1"/>
    </row>
    <row r="21">
      <c r="A21" s="1"/>
      <c r="B21" s="26" t="str">
        <f>IFERROR(__xludf.DUMMYFUNCTION("""COMPUTED_VALUE"""),"Luke Geitner")</f>
        <v>Luke Geitner</v>
      </c>
      <c r="C21" s="27" t="str">
        <f>IFERROR(__xludf.DUMMYFUNCTION("""COMPUTED_VALUE"""),"LG31")</f>
        <v>LG31</v>
      </c>
      <c r="D21" s="1"/>
      <c r="E21" s="26" t="str">
        <f>IFERROR(__xludf.DUMMYFUNCTION("""COMPUTED_VALUE"""),"Brandon")</f>
        <v>Brandon</v>
      </c>
      <c r="F21" s="27" t="str">
        <f>IFERROR(__xludf.DUMMYFUNCTION("""COMPUTED_VALUE"""),"B32")</f>
        <v>B32</v>
      </c>
      <c r="G21" s="1"/>
      <c r="H21" s="26" t="str">
        <f>IFERROR(__xludf.DUMMYFUNCTION("""COMPUTED_VALUE"""),"Steve")</f>
        <v>Steve</v>
      </c>
      <c r="I21" s="27" t="str">
        <f>IFERROR(__xludf.DUMMYFUNCTION("""COMPUTED_VALUE"""),"St33")</f>
        <v>St33</v>
      </c>
      <c r="J21" s="1"/>
      <c r="K21" s="26" t="str">
        <f>IFERROR(__xludf.DUMMYFUNCTION("""COMPUTED_VALUE"""),"Shaurya Thakker")</f>
        <v>Shaurya Thakker</v>
      </c>
      <c r="L21" s="27" t="str">
        <f>IFERROR(__xludf.DUMMYFUNCTION("""COMPUTED_VALUE"""),"ST34")</f>
        <v>ST34</v>
      </c>
      <c r="M21" s="1"/>
    </row>
    <row r="22">
      <c r="A22" s="1" t="str">
        <f>IFERROR(__xludf.DUMMYFUNCTION("""COMPUTED_VALUE"""),"Lebron")</f>
        <v>Lebron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>
      <c r="A23" s="1"/>
      <c r="B23" s="6" t="str">
        <f>IFERROR(__xludf.DUMMYFUNCTION("""COMPUTED_VALUE"""),"Green Hope High School B")</f>
        <v>Green Hope High School B</v>
      </c>
      <c r="C23" s="7"/>
      <c r="D23" s="1"/>
      <c r="E23" s="6" t="str">
        <f>IFERROR(__xludf.DUMMYFUNCTION("""COMPUTED_VALUE"""),"ASFA B")</f>
        <v>ASFA B</v>
      </c>
      <c r="F23" s="7"/>
      <c r="G23" s="1"/>
      <c r="H23" s="6" t="str">
        <f>IFERROR(__xludf.DUMMYFUNCTION("""COMPUTED_VALUE"""),"Orange County School of the Arts ")</f>
        <v>Orange County School of the Arts </v>
      </c>
      <c r="I23" s="7"/>
      <c r="J23" s="1"/>
      <c r="K23" s="6" t="str">
        <f>IFERROR(__xludf.DUMMYFUNCTION("""COMPUTED_VALUE"""),"Bethlehem A ")</f>
        <v>Bethlehem A </v>
      </c>
      <c r="L23" s="7"/>
      <c r="M23" s="1"/>
    </row>
    <row r="24">
      <c r="A24" s="1"/>
      <c r="B24" s="13" t="str">
        <f>IFERROR(__xludf.DUMMYFUNCTION("""COMPUTED_VALUE"""),"Kevin Zhang")</f>
        <v>Kevin Zhang</v>
      </c>
      <c r="C24" s="14" t="str">
        <f>IFERROR(__xludf.DUMMYFUNCTION("""COMPUTED_VALUE"""),"KZ41")</f>
        <v>KZ41</v>
      </c>
      <c r="D24" s="1"/>
      <c r="E24" s="13" t="str">
        <f>IFERROR(__xludf.DUMMYFUNCTION("""COMPUTED_VALUE"""),"Akhil Batchu")</f>
        <v>Akhil Batchu</v>
      </c>
      <c r="F24" s="14" t="str">
        <f>IFERROR(__xludf.DUMMYFUNCTION("""COMPUTED_VALUE"""),"AB42")</f>
        <v>AB42</v>
      </c>
      <c r="G24" s="1"/>
      <c r="H24" s="13" t="str">
        <f>IFERROR(__xludf.DUMMYFUNCTION("""COMPUTED_VALUE"""),"James Conroy")</f>
        <v>James Conroy</v>
      </c>
      <c r="I24" s="14" t="str">
        <f>IFERROR(__xludf.DUMMYFUNCTION("""COMPUTED_VALUE"""),"JC43")</f>
        <v>JC43</v>
      </c>
      <c r="J24" s="1"/>
      <c r="K24" s="13" t="str">
        <f>IFERROR(__xludf.DUMMYFUNCTION("""COMPUTED_VALUE"""),"Kevin Wang")</f>
        <v>Kevin Wang</v>
      </c>
      <c r="L24" s="14" t="str">
        <f>IFERROR(__xludf.DUMMYFUNCTION("""COMPUTED_VALUE"""),"KW44")</f>
        <v>KW44</v>
      </c>
      <c r="M24" s="1"/>
    </row>
    <row r="25">
      <c r="A25" s="1"/>
      <c r="B25" s="13" t="str">
        <f>IFERROR(__xludf.DUMMYFUNCTION("""COMPUTED_VALUE"""),"Shu Lan")</f>
        <v>Shu Lan</v>
      </c>
      <c r="C25" s="14" t="str">
        <f>IFERROR(__xludf.DUMMYFUNCTION("""COMPUTED_VALUE"""),"SL41")</f>
        <v>SL41</v>
      </c>
      <c r="D25" s="1"/>
      <c r="E25" s="13" t="str">
        <f>IFERROR(__xludf.DUMMYFUNCTION("""COMPUTED_VALUE"""),"Michael Mazur")</f>
        <v>Michael Mazur</v>
      </c>
      <c r="F25" s="14" t="str">
        <f>IFERROR(__xludf.DUMMYFUNCTION("""COMPUTED_VALUE"""),"MM42")</f>
        <v>MM42</v>
      </c>
      <c r="G25" s="1"/>
      <c r="H25" s="13" t="str">
        <f>IFERROR(__xludf.DUMMYFUNCTION("""COMPUTED_VALUE"""),"Dane Bergman")</f>
        <v>Dane Bergman</v>
      </c>
      <c r="I25" s="14" t="str">
        <f>IFERROR(__xludf.DUMMYFUNCTION("""COMPUTED_VALUE"""),"DB43")</f>
        <v>DB43</v>
      </c>
      <c r="J25" s="1"/>
      <c r="K25" s="13" t="str">
        <f>IFERROR(__xludf.DUMMYFUNCTION("""COMPUTED_VALUE"""),"Aiden McGuiness")</f>
        <v>Aiden McGuiness</v>
      </c>
      <c r="L25" s="14" t="str">
        <f>IFERROR(__xludf.DUMMYFUNCTION("""COMPUTED_VALUE"""),"AM44")</f>
        <v>AM44</v>
      </c>
      <c r="M25" s="1"/>
    </row>
    <row r="26">
      <c r="A26" s="1"/>
      <c r="B26" s="13" t="str">
        <f>IFERROR(__xludf.DUMMYFUNCTION("""COMPUTED_VALUE"""),"Matthew Jeon")</f>
        <v>Matthew Jeon</v>
      </c>
      <c r="C26" s="14" t="str">
        <f>IFERROR(__xludf.DUMMYFUNCTION("""COMPUTED_VALUE"""),"MJ41")</f>
        <v>MJ41</v>
      </c>
      <c r="D26" s="1"/>
      <c r="E26" s="13" t="str">
        <f>IFERROR(__xludf.DUMMYFUNCTION("""COMPUTED_VALUE"""),"Alex Zhu")</f>
        <v>Alex Zhu</v>
      </c>
      <c r="F26" s="14" t="str">
        <f>IFERROR(__xludf.DUMMYFUNCTION("""COMPUTED_VALUE"""),"AZ42")</f>
        <v>AZ42</v>
      </c>
      <c r="G26" s="1"/>
      <c r="H26" s="13" t="str">
        <f>IFERROR(__xludf.DUMMYFUNCTION("""COMPUTED_VALUE"""),"Olivia Song")</f>
        <v>Olivia Song</v>
      </c>
      <c r="I26" s="14" t="str">
        <f>IFERROR(__xludf.DUMMYFUNCTION("""COMPUTED_VALUE"""),"OS43")</f>
        <v>OS43</v>
      </c>
      <c r="J26" s="1"/>
      <c r="K26" s="13" t="str">
        <f>IFERROR(__xludf.DUMMYFUNCTION("""COMPUTED_VALUE"""),"Aadi Ojha")</f>
        <v>Aadi Ojha</v>
      </c>
      <c r="L26" s="14" t="str">
        <f>IFERROR(__xludf.DUMMYFUNCTION("""COMPUTED_VALUE"""),"AO44")</f>
        <v>AO44</v>
      </c>
      <c r="M26" s="1"/>
    </row>
    <row r="27">
      <c r="A27" s="1"/>
      <c r="B27" s="13" t="str">
        <f>IFERROR(__xludf.DUMMYFUNCTION("""COMPUTED_VALUE"""),"Shriyans Dwivedi")</f>
        <v>Shriyans Dwivedi</v>
      </c>
      <c r="C27" s="14" t="str">
        <f>IFERROR(__xludf.DUMMYFUNCTION("""COMPUTED_VALUE"""),"SD41")</f>
        <v>SD41</v>
      </c>
      <c r="D27" s="1"/>
      <c r="E27" s="13" t="str">
        <f>IFERROR(__xludf.DUMMYFUNCTION("""COMPUTED_VALUE"""),"Raymond L")</f>
        <v>Raymond L</v>
      </c>
      <c r="F27" s="14" t="str">
        <f>IFERROR(__xludf.DUMMYFUNCTION("""COMPUTED_VALUE"""),"RL42")</f>
        <v>RL42</v>
      </c>
      <c r="G27" s="1"/>
      <c r="H27" s="13" t="str">
        <f>IFERROR(__xludf.DUMMYFUNCTION("""COMPUTED_VALUE"""),"Elena Huang")</f>
        <v>Elena Huang</v>
      </c>
      <c r="I27" s="14" t="str">
        <f>IFERROR(__xludf.DUMMYFUNCTION("""COMPUTED_VALUE"""),"EH43")</f>
        <v>EH43</v>
      </c>
      <c r="J27" s="1"/>
      <c r="K27" s="13" t="str">
        <f>IFERROR(__xludf.DUMMYFUNCTION("""COMPUTED_VALUE"""),"Armen Amirbekian")</f>
        <v>Armen Amirbekian</v>
      </c>
      <c r="L27" s="14" t="str">
        <f>IFERROR(__xludf.DUMMYFUNCTION("""COMPUTED_VALUE"""),"AA44")</f>
        <v>AA44</v>
      </c>
      <c r="M27" s="1"/>
    </row>
    <row r="28">
      <c r="A28" s="1"/>
      <c r="B28" s="26" t="str">
        <f>IFERROR(__xludf.DUMMYFUNCTION("""COMPUTED_VALUE"""),"Ryan Miller")</f>
        <v>Ryan Miller</v>
      </c>
      <c r="C28" s="27" t="str">
        <f>IFERROR(__xludf.DUMMYFUNCTION("""COMPUTED_VALUE"""),"RM41")</f>
        <v>RM41</v>
      </c>
      <c r="D28" s="1"/>
      <c r="E28" s="26" t="str">
        <f>IFERROR(__xludf.DUMMYFUNCTION("""COMPUTED_VALUE"""),"Advik S")</f>
        <v>Advik S</v>
      </c>
      <c r="F28" s="27" t="str">
        <f>IFERROR(__xludf.DUMMYFUNCTION("""COMPUTED_VALUE"""),"AS42")</f>
        <v>AS42</v>
      </c>
      <c r="G28" s="1"/>
      <c r="H28" s="26" t="str">
        <f>IFERROR(__xludf.DUMMYFUNCTION("""COMPUTED_VALUE"""),"Hyojoon Kim")</f>
        <v>Hyojoon Kim</v>
      </c>
      <c r="I28" s="27" t="str">
        <f>IFERROR(__xludf.DUMMYFUNCTION("""COMPUTED_VALUE"""),"HK43")</f>
        <v>HK43</v>
      </c>
      <c r="J28" s="1"/>
      <c r="K28" s="26" t="str">
        <f>IFERROR(__xludf.DUMMYFUNCTION("""COMPUTED_VALUE"""),"Ian Jin")</f>
        <v>Ian Jin</v>
      </c>
      <c r="L28" s="27" t="str">
        <f>IFERROR(__xludf.DUMMYFUNCTION("""COMPUTED_VALUE"""),"IJ44")</f>
        <v>IJ44</v>
      </c>
      <c r="M28" s="1"/>
    </row>
    <row r="29">
      <c r="A29" s="1" t="str">
        <f>IFERROR(__xludf.DUMMYFUNCTION("""COMPUTED_VALUE"""),"Kobe")</f>
        <v>Kobe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>
      <c r="A30" s="1"/>
      <c r="B30" s="6" t="str">
        <f>IFERROR(__xludf.DUMMYFUNCTION("""COMPUTED_VALUE"""),"Palo Alto B")</f>
        <v>Palo Alto B</v>
      </c>
      <c r="C30" s="7"/>
      <c r="D30" s="1"/>
      <c r="E30" s="6" t="str">
        <f>IFERROR(__xludf.DUMMYFUNCTION("""COMPUTED_VALUE"""),"Lexington High School")</f>
        <v>Lexington High School</v>
      </c>
      <c r="F30" s="7"/>
      <c r="G30" s="1"/>
      <c r="H30" s="6" t="str">
        <f>IFERROR(__xludf.DUMMYFUNCTION("""COMPUTED_VALUE"""),"West Windsor Plainsboro High School South")</f>
        <v>West Windsor Plainsboro High School South</v>
      </c>
      <c r="I30" s="7"/>
      <c r="J30" s="1"/>
      <c r="K30" s="6" t="str">
        <f>IFERROR(__xludf.DUMMYFUNCTION("""COMPUTED_VALUE"""),"ASFA A")</f>
        <v>ASFA A</v>
      </c>
      <c r="L30" s="7"/>
      <c r="M30" s="1"/>
    </row>
    <row r="31">
      <c r="A31" s="1"/>
      <c r="B31" s="13" t="str">
        <f>IFERROR(__xludf.DUMMYFUNCTION("""COMPUTED_VALUE"""),"Jeremy")</f>
        <v>Jeremy</v>
      </c>
      <c r="C31" s="14" t="str">
        <f>IFERROR(__xludf.DUMMYFUNCTION("""COMPUTED_VALUE"""),"Je51")</f>
        <v>Je51</v>
      </c>
      <c r="D31" s="1"/>
      <c r="E31" s="13" t="str">
        <f>IFERROR(__xludf.DUMMYFUNCTION("""COMPUTED_VALUE"""),"Rahib Hyder")</f>
        <v>Rahib Hyder</v>
      </c>
      <c r="F31" s="14" t="str">
        <f>IFERROR(__xludf.DUMMYFUNCTION("""COMPUTED_VALUE"""),"RH52")</f>
        <v>RH52</v>
      </c>
      <c r="G31" s="1"/>
      <c r="H31" s="13" t="str">
        <f>IFERROR(__xludf.DUMMYFUNCTION("""COMPUTED_VALUE"""),"Sanjay Oruganti")</f>
        <v>Sanjay Oruganti</v>
      </c>
      <c r="I31" s="14" t="str">
        <f>IFERROR(__xludf.DUMMYFUNCTION("""COMPUTED_VALUE"""),"SO53")</f>
        <v>SO53</v>
      </c>
      <c r="J31" s="1"/>
      <c r="K31" s="13" t="str">
        <f>IFERROR(__xludf.DUMMYFUNCTION("""COMPUTED_VALUE"""),"McNair Shah")</f>
        <v>McNair Shah</v>
      </c>
      <c r="L31" s="14" t="str">
        <f>IFERROR(__xludf.DUMMYFUNCTION("""COMPUTED_VALUE"""),"MS54")</f>
        <v>MS54</v>
      </c>
      <c r="M31" s="1"/>
    </row>
    <row r="32">
      <c r="A32" s="1"/>
      <c r="B32" s="13" t="str">
        <f>IFERROR(__xludf.DUMMYFUNCTION("""COMPUTED_VALUE"""),"Jonathan")</f>
        <v>Jonathan</v>
      </c>
      <c r="C32" s="14" t="str">
        <f>IFERROR(__xludf.DUMMYFUNCTION("""COMPUTED_VALUE"""),"Jo51")</f>
        <v>Jo51</v>
      </c>
      <c r="D32" s="1"/>
      <c r="E32" s="13" t="str">
        <f>IFERROR(__xludf.DUMMYFUNCTION("""COMPUTED_VALUE"""),"Allen Fei")</f>
        <v>Allen Fei</v>
      </c>
      <c r="F32" s="14" t="str">
        <f>IFERROR(__xludf.DUMMYFUNCTION("""COMPUTED_VALUE"""),"AF52")</f>
        <v>AF52</v>
      </c>
      <c r="G32" s="1"/>
      <c r="H32" s="13" t="str">
        <f>IFERROR(__xludf.DUMMYFUNCTION("""COMPUTED_VALUE"""),"Arjun Deshpande")</f>
        <v>Arjun Deshpande</v>
      </c>
      <c r="I32" s="14" t="str">
        <f>IFERROR(__xludf.DUMMYFUNCTION("""COMPUTED_VALUE"""),"AD53")</f>
        <v>AD53</v>
      </c>
      <c r="J32" s="1"/>
      <c r="K32" s="13" t="str">
        <f>IFERROR(__xludf.DUMMYFUNCTION("""COMPUTED_VALUE"""),"William Peng")</f>
        <v>William Peng</v>
      </c>
      <c r="L32" s="14" t="str">
        <f>IFERROR(__xludf.DUMMYFUNCTION("""COMPUTED_VALUE"""),"WP54")</f>
        <v>WP54</v>
      </c>
      <c r="M32" s="1"/>
    </row>
    <row r="33">
      <c r="A33" s="1"/>
      <c r="B33" s="13" t="str">
        <f>IFERROR(__xludf.DUMMYFUNCTION("""COMPUTED_VALUE"""),"Rasia")</f>
        <v>Rasia</v>
      </c>
      <c r="C33" s="14" t="str">
        <f>IFERROR(__xludf.DUMMYFUNCTION("""COMPUTED_VALUE"""),"R51")</f>
        <v>R51</v>
      </c>
      <c r="D33" s="1"/>
      <c r="E33" s="13" t="str">
        <f>IFERROR(__xludf.DUMMYFUNCTION("""COMPUTED_VALUE"""),"William Jung")</f>
        <v>William Jung</v>
      </c>
      <c r="F33" s="14" t="str">
        <f>IFERROR(__xludf.DUMMYFUNCTION("""COMPUTED_VALUE"""),"WJ52")</f>
        <v>WJ52</v>
      </c>
      <c r="G33" s="1"/>
      <c r="H33" s="13" t="str">
        <f>IFERROR(__xludf.DUMMYFUNCTION("""COMPUTED_VALUE"""),"Kedar Mahshabde")</f>
        <v>Kedar Mahshabde</v>
      </c>
      <c r="I33" s="14" t="str">
        <f>IFERROR(__xludf.DUMMYFUNCTION("""COMPUTED_VALUE"""),"KM53")</f>
        <v>KM53</v>
      </c>
      <c r="J33" s="1"/>
      <c r="K33" s="13" t="str">
        <f>IFERROR(__xludf.DUMMYFUNCTION("""COMPUTED_VALUE"""),"Albert Chen")</f>
        <v>Albert Chen</v>
      </c>
      <c r="L33" s="14" t="str">
        <f>IFERROR(__xludf.DUMMYFUNCTION("""COMPUTED_VALUE"""),"AC54")</f>
        <v>AC54</v>
      </c>
      <c r="M33" s="1"/>
    </row>
    <row r="34">
      <c r="A34" s="1"/>
      <c r="B34" s="13" t="str">
        <f>IFERROR(__xludf.DUMMYFUNCTION("""COMPUTED_VALUE"""),"Inhoo")</f>
        <v>Inhoo</v>
      </c>
      <c r="C34" s="14" t="str">
        <f>IFERROR(__xludf.DUMMYFUNCTION("""COMPUTED_VALUE"""),"I51")</f>
        <v>I51</v>
      </c>
      <c r="D34" s="1"/>
      <c r="E34" s="13" t="str">
        <f>IFERROR(__xludf.DUMMYFUNCTION("""COMPUTED_VALUE"""),"Owen Jiang")</f>
        <v>Owen Jiang</v>
      </c>
      <c r="F34" s="14" t="str">
        <f>IFERROR(__xludf.DUMMYFUNCTION("""COMPUTED_VALUE"""),"OJ52")</f>
        <v>OJ52</v>
      </c>
      <c r="G34" s="1"/>
      <c r="H34" s="13" t="str">
        <f>IFERROR(__xludf.DUMMYFUNCTION("""COMPUTED_VALUE"""),"Jason Mak")</f>
        <v>Jason Mak</v>
      </c>
      <c r="I34" s="14" t="str">
        <f>IFERROR(__xludf.DUMMYFUNCTION("""COMPUTED_VALUE"""),"JM53")</f>
        <v>JM53</v>
      </c>
      <c r="J34" s="1"/>
      <c r="K34" s="13" t="str">
        <f>IFERROR(__xludf.DUMMYFUNCTION("""COMPUTED_VALUE"""),"Clark Baty")</f>
        <v>Clark Baty</v>
      </c>
      <c r="L34" s="14" t="str">
        <f>IFERROR(__xludf.DUMMYFUNCTION("""COMPUTED_VALUE"""),"CB54")</f>
        <v>CB54</v>
      </c>
      <c r="M34" s="1"/>
    </row>
    <row r="35">
      <c r="A35" s="1"/>
      <c r="B35" s="26" t="str">
        <f>IFERROR(__xludf.DUMMYFUNCTION("""COMPUTED_VALUE"""),"Aryav")</f>
        <v>Aryav</v>
      </c>
      <c r="C35" s="27" t="str">
        <f>IFERROR(__xludf.DUMMYFUNCTION("""COMPUTED_VALUE"""),"A51")</f>
        <v>A51</v>
      </c>
      <c r="D35" s="1"/>
      <c r="E35" s="26" t="str">
        <f>IFERROR(__xludf.DUMMYFUNCTION("""COMPUTED_VALUE"""),"Jerry Xu")</f>
        <v>Jerry Xu</v>
      </c>
      <c r="F35" s="27" t="str">
        <f>IFERROR(__xludf.DUMMYFUNCTION("""COMPUTED_VALUE"""),"JX52")</f>
        <v>JX52</v>
      </c>
      <c r="G35" s="1"/>
      <c r="H35" s="26" t="str">
        <f>IFERROR(__xludf.DUMMYFUNCTION("""COMPUTED_VALUE"""),"Likhith Malipati")</f>
        <v>Likhith Malipati</v>
      </c>
      <c r="I35" s="27" t="str">
        <f>IFERROR(__xludf.DUMMYFUNCTION("""COMPUTED_VALUE"""),"LM53")</f>
        <v>LM53</v>
      </c>
      <c r="J35" s="1"/>
      <c r="K35" s="26"/>
      <c r="L35" s="27"/>
      <c r="M35" s="1"/>
    </row>
    <row r="36">
      <c r="A36" s="1" t="str">
        <f>IFERROR(__xludf.DUMMYFUNCTION("""COMPUTED_VALUE"""),"MJ")</f>
        <v>MJ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>
      <c r="A37" s="1"/>
      <c r="B37" s="6" t="str">
        <f>IFERROR(__xludf.DUMMYFUNCTION("""COMPUTED_VALUE"""),"CCA A ")</f>
        <v>CCA A </v>
      </c>
      <c r="C37" s="7"/>
      <c r="D37" s="1"/>
      <c r="E37" s="6" t="str">
        <f>IFERROR(__xludf.DUMMYFUNCTION("""COMPUTED_VALUE"""),"BYE")</f>
        <v>BYE</v>
      </c>
      <c r="F37" s="7"/>
      <c r="G37" s="1"/>
      <c r="H37" s="6" t="str">
        <f>IFERROR(__xludf.DUMMYFUNCTION("""COMPUTED_VALUE"""),"Iolani B")</f>
        <v>Iolani B</v>
      </c>
      <c r="I37" s="7"/>
      <c r="J37" s="1"/>
      <c r="K37" s="6" t="str">
        <f>IFERROR(__xludf.DUMMYFUNCTION("""COMPUTED_VALUE"""),"CCA B ")</f>
        <v>CCA B </v>
      </c>
      <c r="L37" s="7"/>
      <c r="M37" s="1"/>
    </row>
    <row r="38">
      <c r="A38" s="1"/>
      <c r="B38" s="13" t="str">
        <f>IFERROR(__xludf.DUMMYFUNCTION("""COMPUTED_VALUE"""),"Flora J")</f>
        <v>Flora J</v>
      </c>
      <c r="C38" s="14" t="str">
        <f>IFERROR(__xludf.DUMMYFUNCTION("""COMPUTED_VALUE"""),"FJ61")</f>
        <v>FJ61</v>
      </c>
      <c r="D38" s="1"/>
      <c r="E38" s="13"/>
      <c r="F38" s="14"/>
      <c r="G38" s="1"/>
      <c r="H38" s="13" t="str">
        <f>IFERROR(__xludf.DUMMYFUNCTION("""COMPUTED_VALUE"""),"Hong Jim Kwak")</f>
        <v>Hong Jim Kwak</v>
      </c>
      <c r="I38" s="14" t="str">
        <f>IFERROR(__xludf.DUMMYFUNCTION("""COMPUTED_VALUE"""),"HJK63")</f>
        <v>HJK63</v>
      </c>
      <c r="J38" s="1"/>
      <c r="K38" s="13" t="str">
        <f>IFERROR(__xludf.DUMMYFUNCTION("""COMPUTED_VALUE"""),"Ishank K")</f>
        <v>Ishank K</v>
      </c>
      <c r="L38" s="14" t="str">
        <f>IFERROR(__xludf.DUMMYFUNCTION("""COMPUTED_VALUE"""),"IK64")</f>
        <v>IK64</v>
      </c>
      <c r="M38" s="1"/>
    </row>
    <row r="39">
      <c r="A39" s="1"/>
      <c r="B39" s="13" t="str">
        <f>IFERROR(__xludf.DUMMYFUNCTION("""COMPUTED_VALUE"""),"Sean Y")</f>
        <v>Sean Y</v>
      </c>
      <c r="C39" s="14" t="str">
        <f>IFERROR(__xludf.DUMMYFUNCTION("""COMPUTED_VALUE"""),"SY61")</f>
        <v>SY61</v>
      </c>
      <c r="D39" s="1"/>
      <c r="E39" s="13"/>
      <c r="F39" s="14"/>
      <c r="G39" s="1"/>
      <c r="H39" s="13" t="str">
        <f>IFERROR(__xludf.DUMMYFUNCTION("""COMPUTED_VALUE"""),"Daniel York")</f>
        <v>Daniel York</v>
      </c>
      <c r="I39" s="14" t="str">
        <f>IFERROR(__xludf.DUMMYFUNCTION("""COMPUTED_VALUE"""),"DY63")</f>
        <v>DY63</v>
      </c>
      <c r="J39" s="1"/>
      <c r="K39" s="13" t="str">
        <f>IFERROR(__xludf.DUMMYFUNCTION("""COMPUTED_VALUE"""),"Jason Y")</f>
        <v>Jason Y</v>
      </c>
      <c r="L39" s="14" t="str">
        <f>IFERROR(__xludf.DUMMYFUNCTION("""COMPUTED_VALUE"""),"JY64")</f>
        <v>JY64</v>
      </c>
      <c r="M39" s="1"/>
    </row>
    <row r="40">
      <c r="A40" s="1"/>
      <c r="B40" s="13" t="str">
        <f>IFERROR(__xludf.DUMMYFUNCTION("""COMPUTED_VALUE"""),"Austin X")</f>
        <v>Austin X</v>
      </c>
      <c r="C40" s="14" t="str">
        <f>IFERROR(__xludf.DUMMYFUNCTION("""COMPUTED_VALUE"""),"AX61")</f>
        <v>AX61</v>
      </c>
      <c r="D40" s="1"/>
      <c r="E40" s="13"/>
      <c r="F40" s="14"/>
      <c r="G40" s="1"/>
      <c r="H40" s="13" t="str">
        <f>IFERROR(__xludf.DUMMYFUNCTION("""COMPUTED_VALUE"""),"Donavan Hu")</f>
        <v>Donavan Hu</v>
      </c>
      <c r="I40" s="14" t="str">
        <f>IFERROR(__xludf.DUMMYFUNCTION("""COMPUTED_VALUE"""),"DH63")</f>
        <v>DH63</v>
      </c>
      <c r="J40" s="1"/>
      <c r="K40" s="13" t="str">
        <f>IFERROR(__xludf.DUMMYFUNCTION("""COMPUTED_VALUE"""),"Shail B")</f>
        <v>Shail B</v>
      </c>
      <c r="L40" s="14" t="str">
        <f>IFERROR(__xludf.DUMMYFUNCTION("""COMPUTED_VALUE"""),"SB64")</f>
        <v>SB64</v>
      </c>
      <c r="M40" s="1"/>
    </row>
    <row r="41">
      <c r="A41" s="1"/>
      <c r="B41" s="13" t="str">
        <f>IFERROR(__xludf.DUMMYFUNCTION("""COMPUTED_VALUE"""),"Haiyue M")</f>
        <v>Haiyue M</v>
      </c>
      <c r="C41" s="14" t="str">
        <f>IFERROR(__xludf.DUMMYFUNCTION("""COMPUTED_VALUE"""),"HM61")</f>
        <v>HM61</v>
      </c>
      <c r="D41" s="1"/>
      <c r="E41" s="13"/>
      <c r="F41" s="14"/>
      <c r="G41" s="1"/>
      <c r="H41" s="13" t="str">
        <f>IFERROR(__xludf.DUMMYFUNCTION("""COMPUTED_VALUE"""),"Alex Cao")</f>
        <v>Alex Cao</v>
      </c>
      <c r="I41" s="14" t="str">
        <f>IFERROR(__xludf.DUMMYFUNCTION("""COMPUTED_VALUE"""),"AC63")</f>
        <v>AC63</v>
      </c>
      <c r="J41" s="1"/>
      <c r="K41" s="13" t="str">
        <f>IFERROR(__xludf.DUMMYFUNCTION("""COMPUTED_VALUE"""),"Larry W")</f>
        <v>Larry W</v>
      </c>
      <c r="L41" s="14" t="str">
        <f>IFERROR(__xludf.DUMMYFUNCTION("""COMPUTED_VALUE"""),"LW64")</f>
        <v>LW64</v>
      </c>
      <c r="M41" s="1"/>
    </row>
    <row r="42">
      <c r="A42" s="1"/>
      <c r="B42" s="26"/>
      <c r="C42" s="27"/>
      <c r="D42" s="1"/>
      <c r="E42" s="26"/>
      <c r="F42" s="27"/>
      <c r="G42" s="1"/>
      <c r="H42" s="26" t="str">
        <f>IFERROR(__xludf.DUMMYFUNCTION("""COMPUTED_VALUE"""),"Haro Greene")</f>
        <v>Haro Greene</v>
      </c>
      <c r="I42" s="27" t="str">
        <f>IFERROR(__xludf.DUMMYFUNCTION("""COMPUTED_VALUE"""),"HG63")</f>
        <v>HG63</v>
      </c>
      <c r="J42" s="1"/>
      <c r="K42" s="26"/>
      <c r="L42" s="27"/>
      <c r="M42" s="1"/>
    </row>
    <row r="43">
      <c r="A43" s="1" t="str">
        <f>IFERROR(__xludf.DUMMYFUNCTION("""COMPUTED_VALUE"""),"Shaq")</f>
        <v>Shaq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>
      <c r="A44" s="1"/>
      <c r="B44" s="6" t="str">
        <f>IFERROR(__xludf.DUMMYFUNCTION("""COMPUTED_VALUE"""),"Clements B ")</f>
        <v>Clements B </v>
      </c>
      <c r="C44" s="7"/>
      <c r="D44" s="1"/>
      <c r="E44" s="6" t="str">
        <f>IFERROR(__xludf.DUMMYFUNCTION("""COMPUTED_VALUE"""),"Palo Alto A ")</f>
        <v>Palo Alto A </v>
      </c>
      <c r="F44" s="7"/>
      <c r="G44" s="1"/>
      <c r="H44" s="6" t="str">
        <f>IFERROR(__xludf.DUMMYFUNCTION("""COMPUTED_VALUE"""),"IMSA B")</f>
        <v>IMSA B</v>
      </c>
      <c r="I44" s="7"/>
      <c r="J44" s="1"/>
      <c r="K44" s="6" t="str">
        <f>IFERROR(__xludf.DUMMYFUNCTION("""COMPUTED_VALUE"""),"Green Hope High School A")</f>
        <v>Green Hope High School A</v>
      </c>
      <c r="L44" s="7"/>
      <c r="M44" s="1"/>
    </row>
    <row r="45">
      <c r="A45" s="1"/>
      <c r="B45" s="13" t="str">
        <f>IFERROR(__xludf.DUMMYFUNCTION("""COMPUTED_VALUE"""),"Nikhil Chowdhary")</f>
        <v>Nikhil Chowdhary</v>
      </c>
      <c r="C45" s="14" t="str">
        <f>IFERROR(__xludf.DUMMYFUNCTION("""COMPUTED_VALUE"""),"NC71")</f>
        <v>NC71</v>
      </c>
      <c r="D45" s="1"/>
      <c r="E45" s="13" t="str">
        <f>IFERROR(__xludf.DUMMYFUNCTION("""COMPUTED_VALUE"""),"Forrest")</f>
        <v>Forrest</v>
      </c>
      <c r="F45" s="14" t="str">
        <f>IFERROR(__xludf.DUMMYFUNCTION("""COMPUTED_VALUE"""),"F72")</f>
        <v>F72</v>
      </c>
      <c r="G45" s="1"/>
      <c r="H45" s="13" t="str">
        <f>IFERROR(__xludf.DUMMYFUNCTION("""COMPUTED_VALUE"""),"Dylan Xianto")</f>
        <v>Dylan Xianto</v>
      </c>
      <c r="I45" s="14" t="str">
        <f>IFERROR(__xludf.DUMMYFUNCTION("""COMPUTED_VALUE"""),"DX73")</f>
        <v>DX73</v>
      </c>
      <c r="J45" s="1"/>
      <c r="K45" s="13" t="str">
        <f>IFERROR(__xludf.DUMMYFUNCTION("""COMPUTED_VALUE"""),"Aaron Z")</f>
        <v>Aaron Z</v>
      </c>
      <c r="L45" s="14" t="str">
        <f>IFERROR(__xludf.DUMMYFUNCTION("""COMPUTED_VALUE"""),"AZ74")</f>
        <v>AZ74</v>
      </c>
      <c r="M45" s="1"/>
    </row>
    <row r="46">
      <c r="A46" s="1"/>
      <c r="B46" s="13" t="str">
        <f>IFERROR(__xludf.DUMMYFUNCTION("""COMPUTED_VALUE"""),"Mia Li")</f>
        <v>Mia Li</v>
      </c>
      <c r="C46" s="14" t="str">
        <f>IFERROR(__xludf.DUMMYFUNCTION("""COMPUTED_VALUE"""),"ML71")</f>
        <v>ML71</v>
      </c>
      <c r="D46" s="1"/>
      <c r="E46" s="13" t="str">
        <f>IFERROR(__xludf.DUMMYFUNCTION("""COMPUTED_VALUE"""),"Andrew")</f>
        <v>Andrew</v>
      </c>
      <c r="F46" s="14" t="str">
        <f>IFERROR(__xludf.DUMMYFUNCTION("""COMPUTED_VALUE"""),"A72")</f>
        <v>A72</v>
      </c>
      <c r="G46" s="1"/>
      <c r="H46" s="13" t="str">
        <f>IFERROR(__xludf.DUMMYFUNCTION("""COMPUTED_VALUE"""),"Shrikar Dulam")</f>
        <v>Shrikar Dulam</v>
      </c>
      <c r="I46" s="14" t="str">
        <f>IFERROR(__xludf.DUMMYFUNCTION("""COMPUTED_VALUE"""),"SD73")</f>
        <v>SD73</v>
      </c>
      <c r="J46" s="1"/>
      <c r="K46" s="13" t="str">
        <f>IFERROR(__xludf.DUMMYFUNCTION("""COMPUTED_VALUE"""),"Ishan B")</f>
        <v>Ishan B</v>
      </c>
      <c r="L46" s="14" t="str">
        <f>IFERROR(__xludf.DUMMYFUNCTION("""COMPUTED_VALUE"""),"IB74")</f>
        <v>IB74</v>
      </c>
      <c r="M46" s="1"/>
    </row>
    <row r="47">
      <c r="A47" s="1"/>
      <c r="B47" s="13" t="str">
        <f>IFERROR(__xludf.DUMMYFUNCTION("""COMPUTED_VALUE"""),"Edward Jun")</f>
        <v>Edward Jun</v>
      </c>
      <c r="C47" s="14" t="str">
        <f>IFERROR(__xludf.DUMMYFUNCTION("""COMPUTED_VALUE"""),"EJ71")</f>
        <v>EJ71</v>
      </c>
      <c r="D47" s="1"/>
      <c r="E47" s="13" t="str">
        <f>IFERROR(__xludf.DUMMYFUNCTION("""COMPUTED_VALUE"""),"Nathan")</f>
        <v>Nathan</v>
      </c>
      <c r="F47" s="14" t="str">
        <f>IFERROR(__xludf.DUMMYFUNCTION("""COMPUTED_VALUE"""),"N72")</f>
        <v>N72</v>
      </c>
      <c r="G47" s="1"/>
      <c r="H47" s="13" t="str">
        <f>IFERROR(__xludf.DUMMYFUNCTION("""COMPUTED_VALUE"""),"Abhinav Anne")</f>
        <v>Abhinav Anne</v>
      </c>
      <c r="I47" s="14" t="str">
        <f>IFERROR(__xludf.DUMMYFUNCTION("""COMPUTED_VALUE"""),"AA73")</f>
        <v>AA73</v>
      </c>
      <c r="J47" s="1"/>
      <c r="K47" s="13" t="str">
        <f>IFERROR(__xludf.DUMMYFUNCTION("""COMPUTED_VALUE"""),"Aubrey B")</f>
        <v>Aubrey B</v>
      </c>
      <c r="L47" s="14" t="str">
        <f>IFERROR(__xludf.DUMMYFUNCTION("""COMPUTED_VALUE"""),"AB74")</f>
        <v>AB74</v>
      </c>
      <c r="M47" s="1"/>
    </row>
    <row r="48">
      <c r="A48" s="1"/>
      <c r="B48" s="13" t="str">
        <f>IFERROR(__xludf.DUMMYFUNCTION("""COMPUTED_VALUE"""),"Matthew Chen")</f>
        <v>Matthew Chen</v>
      </c>
      <c r="C48" s="14" t="str">
        <f>IFERROR(__xludf.DUMMYFUNCTION("""COMPUTED_VALUE"""),"MC71")</f>
        <v>MC71</v>
      </c>
      <c r="D48" s="1"/>
      <c r="E48" s="13" t="str">
        <f>IFERROR(__xludf.DUMMYFUNCTION("""COMPUTED_VALUE"""),"Kevin")</f>
        <v>Kevin</v>
      </c>
      <c r="F48" s="14" t="str">
        <f>IFERROR(__xludf.DUMMYFUNCTION("""COMPUTED_VALUE"""),"K72")</f>
        <v>K72</v>
      </c>
      <c r="G48" s="1"/>
      <c r="H48" s="13" t="str">
        <f>IFERROR(__xludf.DUMMYFUNCTION("""COMPUTED_VALUE"""),"Shihan Cheng")</f>
        <v>Shihan Cheng</v>
      </c>
      <c r="I48" s="14" t="str">
        <f>IFERROR(__xludf.DUMMYFUNCTION("""COMPUTED_VALUE"""),"SC73")</f>
        <v>SC73</v>
      </c>
      <c r="J48" s="1"/>
      <c r="K48" s="13" t="str">
        <f>IFERROR(__xludf.DUMMYFUNCTION("""COMPUTED_VALUE"""),"Ibrohim N")</f>
        <v>Ibrohim N</v>
      </c>
      <c r="L48" s="14" t="str">
        <f>IFERROR(__xludf.DUMMYFUNCTION("""COMPUTED_VALUE"""),"IN74")</f>
        <v>IN74</v>
      </c>
      <c r="M48" s="1"/>
    </row>
    <row r="49">
      <c r="A49" s="1"/>
      <c r="B49" s="26" t="str">
        <f>IFERROR(__xludf.DUMMYFUNCTION("""COMPUTED_VALUE"""),"Ryan Soliman")</f>
        <v>Ryan Soliman</v>
      </c>
      <c r="C49" s="27" t="str">
        <f>IFERROR(__xludf.DUMMYFUNCTION("""COMPUTED_VALUE"""),"RS71")</f>
        <v>RS71</v>
      </c>
      <c r="D49" s="1"/>
      <c r="E49" s="26" t="str">
        <f>IFERROR(__xludf.DUMMYFUNCTION("""COMPUTED_VALUE"""),"Claire")</f>
        <v>Claire</v>
      </c>
      <c r="F49" s="27" t="str">
        <f>IFERROR(__xludf.DUMMYFUNCTION("""COMPUTED_VALUE"""),"C72")</f>
        <v>C72</v>
      </c>
      <c r="G49" s="1"/>
      <c r="H49" s="26" t="str">
        <f>IFERROR(__xludf.DUMMYFUNCTION("""COMPUTED_VALUE"""),"Siddharth Karutur")</f>
        <v>Siddharth Karutur</v>
      </c>
      <c r="I49" s="27" t="str">
        <f>IFERROR(__xludf.DUMMYFUNCTION("""COMPUTED_VALUE"""),"SK73")</f>
        <v>SK73</v>
      </c>
      <c r="J49" s="1"/>
      <c r="K49" s="26" t="str">
        <f>IFERROR(__xludf.DUMMYFUNCTION("""COMPUTED_VALUE"""),"Tanush H")</f>
        <v>Tanush H</v>
      </c>
      <c r="L49" s="27" t="str">
        <f>IFERROR(__xludf.DUMMYFUNCTION("""COMPUTED_VALUE"""),"TH74")</f>
        <v>TH74</v>
      </c>
      <c r="M49" s="1"/>
    </row>
    <row r="50">
      <c r="A50" s="1" t="str">
        <f>IFERROR(__xludf.DUMMYFUNCTION("""COMPUTED_VALUE"""),"Thanasis")</f>
        <v>Thanasis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>
      <c r="A51" s="1"/>
      <c r="B51" s="6" t="str">
        <f>IFERROR(__xludf.DUMMYFUNCTION("""COMPUTED_VALUE"""),"John Hopkins High School")</f>
        <v>John Hopkins High School</v>
      </c>
      <c r="C51" s="7"/>
      <c r="D51" s="1"/>
      <c r="E51" s="6" t="str">
        <f>IFERROR(__xludf.DUMMYFUNCTION("""COMPUTED_VALUE"""),"Frazer B")</f>
        <v>Frazer B</v>
      </c>
      <c r="F51" s="7"/>
      <c r="G51" s="1"/>
      <c r="H51" s="6" t="str">
        <f>IFERROR(__xludf.DUMMYFUNCTION("""COMPUTED_VALUE"""),"TJHSST A")</f>
        <v>TJHSST A</v>
      </c>
      <c r="I51" s="7"/>
      <c r="J51" s="1"/>
      <c r="K51" s="6" t="str">
        <f>IFERROR(__xludf.DUMMYFUNCTION("""COMPUTED_VALUE"""),"Brooklyn Tech A ")</f>
        <v>Brooklyn Tech A </v>
      </c>
      <c r="L51" s="7"/>
      <c r="M51" s="1"/>
    </row>
    <row r="52">
      <c r="A52" s="1"/>
      <c r="B52" s="13" t="str">
        <f>IFERROR(__xludf.DUMMYFUNCTION("""COMPUTED_VALUE"""),"Rohan Garg")</f>
        <v>Rohan Garg</v>
      </c>
      <c r="C52" s="14" t="str">
        <f>IFERROR(__xludf.DUMMYFUNCTION("""COMPUTED_VALUE"""),"RG81")</f>
        <v>RG81</v>
      </c>
      <c r="D52" s="1"/>
      <c r="E52" s="13" t="str">
        <f>IFERROR(__xludf.DUMMYFUNCTION("""COMPUTED_VALUE"""),"George Paret")</f>
        <v>George Paret</v>
      </c>
      <c r="F52" s="14" t="str">
        <f>IFERROR(__xludf.DUMMYFUNCTION("""COMPUTED_VALUE"""),"GP82")</f>
        <v>GP82</v>
      </c>
      <c r="G52" s="1"/>
      <c r="H52" s="13" t="str">
        <f>IFERROR(__xludf.DUMMYFUNCTION("""COMPUTED_VALUE"""),"Aaryan Sumesh")</f>
        <v>Aaryan Sumesh</v>
      </c>
      <c r="I52" s="14" t="str">
        <f>IFERROR(__xludf.DUMMYFUNCTION("""COMPUTED_VALUE"""),"AS83")</f>
        <v>AS83</v>
      </c>
      <c r="J52" s="1"/>
      <c r="K52" s="13" t="str">
        <f>IFERROR(__xludf.DUMMYFUNCTION("""COMPUTED_VALUE"""),"Nevena Glisic")</f>
        <v>Nevena Glisic</v>
      </c>
      <c r="L52" s="14" t="str">
        <f>IFERROR(__xludf.DUMMYFUNCTION("""COMPUTED_VALUE"""),"NG84")</f>
        <v>NG84</v>
      </c>
      <c r="M52" s="1"/>
    </row>
    <row r="53">
      <c r="A53" s="1"/>
      <c r="B53" s="13" t="str">
        <f>IFERROR(__xludf.DUMMYFUNCTION("""COMPUTED_VALUE"""),"Edwin He")</f>
        <v>Edwin He</v>
      </c>
      <c r="C53" s="14" t="str">
        <f>IFERROR(__xludf.DUMMYFUNCTION("""COMPUTED_VALUE"""),"EH81")</f>
        <v>EH81</v>
      </c>
      <c r="D53" s="1"/>
      <c r="E53" s="13" t="str">
        <f>IFERROR(__xludf.DUMMYFUNCTION("""COMPUTED_VALUE"""),"Anish Patel")</f>
        <v>Anish Patel</v>
      </c>
      <c r="F53" s="14" t="str">
        <f>IFERROR(__xludf.DUMMYFUNCTION("""COMPUTED_VALUE"""),"AP82")</f>
        <v>AP82</v>
      </c>
      <c r="G53" s="1"/>
      <c r="H53" s="13" t="str">
        <f>IFERROR(__xludf.DUMMYFUNCTION("""COMPUTED_VALUE"""),"Eshaan Sombhatta")</f>
        <v>Eshaan Sombhatta</v>
      </c>
      <c r="I53" s="14" t="str">
        <f>IFERROR(__xludf.DUMMYFUNCTION("""COMPUTED_VALUE"""),"ES83")</f>
        <v>ES83</v>
      </c>
      <c r="J53" s="1"/>
      <c r="K53" s="13" t="str">
        <f>IFERROR(__xludf.DUMMYFUNCTION("""COMPUTED_VALUE"""),"Asher Shmidov")</f>
        <v>Asher Shmidov</v>
      </c>
      <c r="L53" s="14" t="str">
        <f>IFERROR(__xludf.DUMMYFUNCTION("""COMPUTED_VALUE"""),"AS84")</f>
        <v>AS84</v>
      </c>
      <c r="M53" s="1"/>
    </row>
    <row r="54">
      <c r="A54" s="1"/>
      <c r="B54" s="13" t="str">
        <f>IFERROR(__xludf.DUMMYFUNCTION("""COMPUTED_VALUE"""),"Daniel Lu")</f>
        <v>Daniel Lu</v>
      </c>
      <c r="C54" s="14" t="str">
        <f>IFERROR(__xludf.DUMMYFUNCTION("""COMPUTED_VALUE"""),"DL81")</f>
        <v>DL81</v>
      </c>
      <c r="D54" s="1"/>
      <c r="E54" s="13" t="str">
        <f>IFERROR(__xludf.DUMMYFUNCTION("""COMPUTED_VALUE"""),"Gavin Xie")</f>
        <v>Gavin Xie</v>
      </c>
      <c r="F54" s="14" t="str">
        <f>IFERROR(__xludf.DUMMYFUNCTION("""COMPUTED_VALUE"""),"GX82")</f>
        <v>GX82</v>
      </c>
      <c r="G54" s="1"/>
      <c r="H54" s="13" t="str">
        <f>IFERROR(__xludf.DUMMYFUNCTION("""COMPUTED_VALUE"""),"Rishbah K")</f>
        <v>Rishbah K</v>
      </c>
      <c r="I54" s="14" t="str">
        <f>IFERROR(__xludf.DUMMYFUNCTION("""COMPUTED_VALUE"""),"RK83")</f>
        <v>RK83</v>
      </c>
      <c r="J54" s="1"/>
      <c r="K54" s="13" t="str">
        <f>IFERROR(__xludf.DUMMYFUNCTION("""COMPUTED_VALUE"""),"Emma Leung")</f>
        <v>Emma Leung</v>
      </c>
      <c r="L54" s="14" t="str">
        <f>IFERROR(__xludf.DUMMYFUNCTION("""COMPUTED_VALUE"""),"EL84")</f>
        <v>EL84</v>
      </c>
      <c r="M54" s="1"/>
    </row>
    <row r="55">
      <c r="A55" s="1"/>
      <c r="B55" s="13" t="str">
        <f>IFERROR(__xludf.DUMMYFUNCTION("""COMPUTED_VALUE"""),"Richard Hao")</f>
        <v>Richard Hao</v>
      </c>
      <c r="C55" s="14" t="str">
        <f>IFERROR(__xludf.DUMMYFUNCTION("""COMPUTED_VALUE"""),"RH81")</f>
        <v>RH81</v>
      </c>
      <c r="D55" s="1"/>
      <c r="E55" s="13" t="str">
        <f>IFERROR(__xludf.DUMMYFUNCTION("""COMPUTED_VALUE"""),"Eric Li")</f>
        <v>Eric Li</v>
      </c>
      <c r="F55" s="14" t="str">
        <f>IFERROR(__xludf.DUMMYFUNCTION("""COMPUTED_VALUE"""),"EL82")</f>
        <v>EL82</v>
      </c>
      <c r="G55" s="1"/>
      <c r="H55" s="13" t="str">
        <f>IFERROR(__xludf.DUMMYFUNCTION("""COMPUTED_VALUE"""),"Sophia G")</f>
        <v>Sophia G</v>
      </c>
      <c r="I55" s="14" t="str">
        <f>IFERROR(__xludf.DUMMYFUNCTION("""COMPUTED_VALUE"""),"SG83")</f>
        <v>SG83</v>
      </c>
      <c r="J55" s="1"/>
      <c r="K55" s="13" t="str">
        <f>IFERROR(__xludf.DUMMYFUNCTION("""COMPUTED_VALUE"""),"Adeeb Mohammed")</f>
        <v>Adeeb Mohammed</v>
      </c>
      <c r="L55" s="14" t="str">
        <f>IFERROR(__xludf.DUMMYFUNCTION("""COMPUTED_VALUE"""),"AM84")</f>
        <v>AM84</v>
      </c>
      <c r="M55" s="1"/>
    </row>
    <row r="56">
      <c r="A56" s="1"/>
      <c r="B56" s="26" t="str">
        <f>IFERROR(__xludf.DUMMYFUNCTION("""COMPUTED_VALUE"""),"Advai Srinivasan")</f>
        <v>Advai Srinivasan</v>
      </c>
      <c r="C56" s="27" t="str">
        <f>IFERROR(__xludf.DUMMYFUNCTION("""COMPUTED_VALUE"""),"AS81")</f>
        <v>AS81</v>
      </c>
      <c r="D56" s="1"/>
      <c r="E56" s="26"/>
      <c r="F56" s="27"/>
      <c r="G56" s="1"/>
      <c r="H56" s="26" t="str">
        <f>IFERROR(__xludf.DUMMYFUNCTION("""COMPUTED_VALUE"""),"Patrick S")</f>
        <v>Patrick S</v>
      </c>
      <c r="I56" s="27" t="str">
        <f>IFERROR(__xludf.DUMMYFUNCTION("""COMPUTED_VALUE"""),"PS83")</f>
        <v>PS83</v>
      </c>
      <c r="J56" s="1"/>
      <c r="K56" s="26" t="str">
        <f>IFERROR(__xludf.DUMMYFUNCTION("""COMPUTED_VALUE"""),"Eric Vogel")</f>
        <v>Eric Vogel</v>
      </c>
      <c r="L56" s="27" t="str">
        <f>IFERROR(__xludf.DUMMYFUNCTION("""COMPUTED_VALUE"""),"EV84")</f>
        <v>EV84</v>
      </c>
      <c r="M56" s="1"/>
    </row>
  </sheetData>
  <mergeCells count="32">
    <mergeCell ref="B2:C2"/>
    <mergeCell ref="E2:F2"/>
    <mergeCell ref="H2:I2"/>
    <mergeCell ref="K2:L2"/>
    <mergeCell ref="E9:F9"/>
    <mergeCell ref="H9:I9"/>
    <mergeCell ref="K9:L9"/>
    <mergeCell ref="H23:I23"/>
    <mergeCell ref="K23:L23"/>
    <mergeCell ref="B9:C9"/>
    <mergeCell ref="B16:C16"/>
    <mergeCell ref="E16:F16"/>
    <mergeCell ref="H16:I16"/>
    <mergeCell ref="K16:L16"/>
    <mergeCell ref="B23:C23"/>
    <mergeCell ref="E23:F23"/>
    <mergeCell ref="B30:C30"/>
    <mergeCell ref="E30:F30"/>
    <mergeCell ref="H30:I30"/>
    <mergeCell ref="K30:L30"/>
    <mergeCell ref="E37:F37"/>
    <mergeCell ref="H37:I37"/>
    <mergeCell ref="K37:L37"/>
    <mergeCell ref="H51:I51"/>
    <mergeCell ref="K51:L51"/>
    <mergeCell ref="B37:C37"/>
    <mergeCell ref="B44:C44"/>
    <mergeCell ref="E44:F44"/>
    <mergeCell ref="H44:I44"/>
    <mergeCell ref="K44:L44"/>
    <mergeCell ref="B51:C51"/>
    <mergeCell ref="E51:F5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4" t="s">
        <v>0</v>
      </c>
      <c r="C1" s="3"/>
      <c r="D1" s="3"/>
      <c r="E1" s="3"/>
      <c r="F1" s="4" t="s">
        <v>1</v>
      </c>
      <c r="G1" s="3"/>
      <c r="H1" s="3"/>
      <c r="I1" s="4" t="s">
        <v>2</v>
      </c>
      <c r="J1" s="3"/>
      <c r="K1" s="3"/>
      <c r="L1" s="4" t="s">
        <v>3</v>
      </c>
      <c r="M1" s="3"/>
      <c r="N1" s="4" t="s">
        <v>4</v>
      </c>
      <c r="O1" s="3"/>
      <c r="P1" s="4" t="s">
        <v>5</v>
      </c>
      <c r="Q1" s="3"/>
      <c r="R1" s="4" t="s">
        <v>6</v>
      </c>
      <c r="S1" s="3"/>
      <c r="T1" s="3"/>
    </row>
    <row r="2">
      <c r="A2" s="9">
        <v>1.0</v>
      </c>
      <c r="B2" s="10" t="s">
        <v>7</v>
      </c>
      <c r="C2" s="11">
        <v>96.0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3"/>
      <c r="B3" s="15" t="s">
        <v>8</v>
      </c>
      <c r="C3" s="16"/>
      <c r="D3" s="17"/>
      <c r="E3" s="18"/>
      <c r="F3" s="18"/>
      <c r="G3" s="18"/>
      <c r="H3" s="18"/>
      <c r="I3" s="19" t="s">
        <v>7</v>
      </c>
      <c r="J3" s="11">
        <v>116.0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9">
        <v>8.0</v>
      </c>
      <c r="B4" s="10" t="s">
        <v>9</v>
      </c>
      <c r="C4" s="21">
        <v>56.0</v>
      </c>
      <c r="D4" s="3"/>
      <c r="E4" s="3"/>
      <c r="F4" s="22"/>
      <c r="G4" s="3"/>
      <c r="H4" s="3"/>
      <c r="I4" s="3"/>
      <c r="J4" s="23"/>
      <c r="K4" s="3"/>
      <c r="L4" s="3"/>
      <c r="M4" s="3"/>
      <c r="N4" s="3"/>
      <c r="O4" s="3"/>
      <c r="P4" s="3"/>
      <c r="Q4" s="3"/>
      <c r="R4" s="3"/>
      <c r="S4" s="3"/>
      <c r="T4" s="3"/>
    </row>
    <row r="5">
      <c r="A5" s="3"/>
      <c r="B5" s="24"/>
      <c r="C5" s="3"/>
      <c r="D5" s="3"/>
      <c r="E5" s="3"/>
      <c r="F5" s="3"/>
      <c r="G5" s="3"/>
      <c r="H5" s="3"/>
      <c r="I5" s="4" t="s">
        <v>8</v>
      </c>
      <c r="J5" s="25"/>
      <c r="K5" s="18"/>
      <c r="L5" s="18"/>
      <c r="M5" s="18"/>
      <c r="N5" s="19" t="s">
        <v>7</v>
      </c>
      <c r="O5" s="11">
        <v>80.0</v>
      </c>
      <c r="P5" s="3"/>
      <c r="Q5" s="3"/>
      <c r="R5" s="3"/>
      <c r="S5" s="3"/>
      <c r="T5" s="3"/>
    </row>
    <row r="6">
      <c r="A6" s="9">
        <v>4.0</v>
      </c>
      <c r="B6" s="10" t="s">
        <v>10</v>
      </c>
      <c r="C6" s="11">
        <v>68.0</v>
      </c>
      <c r="D6" s="3"/>
      <c r="E6" s="3"/>
      <c r="F6" s="3"/>
      <c r="G6" s="3"/>
      <c r="H6" s="3"/>
      <c r="I6" s="3"/>
      <c r="J6" s="25"/>
      <c r="K6" s="3"/>
      <c r="L6" s="3"/>
      <c r="M6" s="3"/>
      <c r="N6" s="3"/>
      <c r="O6" s="23"/>
      <c r="P6" s="3"/>
      <c r="Q6" s="3"/>
      <c r="R6" s="3"/>
      <c r="S6" s="3"/>
      <c r="T6" s="3"/>
    </row>
    <row r="7">
      <c r="A7" s="3"/>
      <c r="B7" s="4" t="s">
        <v>11</v>
      </c>
      <c r="C7" s="23"/>
      <c r="D7" s="18"/>
      <c r="E7" s="18"/>
      <c r="F7" s="18"/>
      <c r="G7" s="18"/>
      <c r="H7" s="18"/>
      <c r="I7" s="10" t="s">
        <v>10</v>
      </c>
      <c r="J7" s="21">
        <v>36.0</v>
      </c>
      <c r="K7" s="3"/>
      <c r="L7" s="3"/>
      <c r="M7" s="3"/>
      <c r="N7" s="3"/>
      <c r="O7" s="25"/>
      <c r="P7" s="3"/>
      <c r="Q7" s="3"/>
      <c r="R7" s="3"/>
      <c r="S7" s="3"/>
      <c r="T7" s="3"/>
    </row>
    <row r="8">
      <c r="A8" s="9">
        <v>5.0</v>
      </c>
      <c r="B8" s="10" t="s">
        <v>12</v>
      </c>
      <c r="C8" s="21">
        <v>28.0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25"/>
      <c r="P8" s="3"/>
      <c r="Q8" s="3"/>
      <c r="R8" s="3"/>
      <c r="S8" s="3"/>
      <c r="T8" s="3"/>
    </row>
    <row r="9">
      <c r="A9" s="3" t="s">
        <v>13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 t="s">
        <v>14</v>
      </c>
      <c r="O9" s="25"/>
      <c r="P9" s="18"/>
      <c r="Q9" s="18"/>
      <c r="R9" s="19" t="s">
        <v>7</v>
      </c>
      <c r="S9" s="28"/>
      <c r="T9" s="3"/>
    </row>
    <row r="10">
      <c r="A10" s="9">
        <v>2.0</v>
      </c>
      <c r="B10" s="19" t="s">
        <v>15</v>
      </c>
      <c r="C10" s="11">
        <v>78.0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25"/>
      <c r="P10" s="3"/>
      <c r="Q10" s="3"/>
      <c r="R10" s="3"/>
      <c r="S10" s="25"/>
      <c r="T10" s="3"/>
    </row>
    <row r="11">
      <c r="A11" s="3"/>
      <c r="B11" s="4" t="s">
        <v>16</v>
      </c>
      <c r="C11" s="23"/>
      <c r="D11" s="18"/>
      <c r="E11" s="18"/>
      <c r="F11" s="18"/>
      <c r="G11" s="18"/>
      <c r="H11" s="18"/>
      <c r="I11" s="19" t="s">
        <v>15</v>
      </c>
      <c r="J11" s="11">
        <v>118.0</v>
      </c>
      <c r="K11" s="3"/>
      <c r="L11" s="3"/>
      <c r="M11" s="3"/>
      <c r="N11" s="3"/>
      <c r="O11" s="25"/>
      <c r="P11" s="3"/>
      <c r="Q11" s="3"/>
      <c r="R11" s="3"/>
      <c r="S11" s="25"/>
      <c r="T11" s="3"/>
    </row>
    <row r="12">
      <c r="A12" s="9">
        <v>7.0</v>
      </c>
      <c r="B12" s="19" t="s">
        <v>17</v>
      </c>
      <c r="C12" s="21">
        <v>46.0</v>
      </c>
      <c r="D12" s="3"/>
      <c r="E12" s="3"/>
      <c r="F12" s="22"/>
      <c r="G12" s="3"/>
      <c r="H12" s="3"/>
      <c r="I12" s="3"/>
      <c r="J12" s="23"/>
      <c r="K12" s="3"/>
      <c r="L12" s="3"/>
      <c r="M12" s="3"/>
      <c r="N12" s="3"/>
      <c r="O12" s="25"/>
      <c r="P12" s="3"/>
      <c r="Q12" s="3"/>
      <c r="R12" s="3"/>
      <c r="S12" s="25"/>
      <c r="T12" s="3"/>
    </row>
    <row r="13">
      <c r="A13" s="3"/>
      <c r="B13" s="3"/>
      <c r="C13" s="3"/>
      <c r="D13" s="3"/>
      <c r="E13" s="3"/>
      <c r="F13" s="3"/>
      <c r="G13" s="3"/>
      <c r="H13" s="3"/>
      <c r="I13" s="4" t="s">
        <v>11</v>
      </c>
      <c r="J13" s="25"/>
      <c r="K13" s="18"/>
      <c r="L13" s="18"/>
      <c r="M13" s="18"/>
      <c r="N13" s="19" t="s">
        <v>15</v>
      </c>
      <c r="O13" s="21">
        <v>74.0</v>
      </c>
      <c r="P13" s="3"/>
      <c r="Q13" s="3"/>
      <c r="R13" s="3"/>
      <c r="S13" s="25"/>
      <c r="T13" s="3"/>
    </row>
    <row r="14">
      <c r="A14" s="9">
        <v>3.0</v>
      </c>
      <c r="B14" s="19" t="s">
        <v>18</v>
      </c>
      <c r="C14" s="11">
        <v>22.0</v>
      </c>
      <c r="D14" s="3"/>
      <c r="E14" s="3"/>
      <c r="F14" s="3"/>
      <c r="G14" s="3"/>
      <c r="H14" s="3"/>
      <c r="I14" s="3"/>
      <c r="J14" s="25"/>
      <c r="K14" s="3"/>
      <c r="L14" s="3"/>
      <c r="M14" s="3"/>
      <c r="N14" s="3"/>
      <c r="O14" s="3"/>
      <c r="P14" s="3"/>
      <c r="Q14" s="3"/>
      <c r="R14" s="4" t="s">
        <v>14</v>
      </c>
      <c r="S14" s="25"/>
      <c r="T14" s="18"/>
    </row>
    <row r="15">
      <c r="A15" s="3"/>
      <c r="B15" s="4" t="s">
        <v>19</v>
      </c>
      <c r="C15" s="23"/>
      <c r="D15" s="18"/>
      <c r="E15" s="18"/>
      <c r="F15" s="18"/>
      <c r="G15" s="18"/>
      <c r="H15" s="18"/>
      <c r="I15" s="19" t="s">
        <v>20</v>
      </c>
      <c r="J15" s="21">
        <v>46.0</v>
      </c>
      <c r="K15" s="3"/>
      <c r="L15" s="3"/>
      <c r="M15" s="3"/>
      <c r="N15" s="3"/>
      <c r="O15" s="3"/>
      <c r="P15" s="29" t="s">
        <v>15</v>
      </c>
      <c r="Q15" s="30"/>
      <c r="R15" s="3"/>
      <c r="S15" s="25"/>
      <c r="T15" s="3"/>
    </row>
    <row r="16">
      <c r="A16" s="9">
        <v>6.0</v>
      </c>
      <c r="B16" s="19" t="s">
        <v>20</v>
      </c>
      <c r="C16" s="21">
        <v>114.0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22"/>
      <c r="Q16" s="23"/>
      <c r="R16" s="3"/>
      <c r="S16" s="25"/>
      <c r="T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29" t="s">
        <v>10</v>
      </c>
      <c r="M17" s="11">
        <v>66.0</v>
      </c>
      <c r="N17" s="3"/>
      <c r="O17" s="3"/>
      <c r="P17" s="3"/>
      <c r="Q17" s="25"/>
      <c r="R17" s="3"/>
      <c r="S17" s="25"/>
      <c r="T17" s="3"/>
    </row>
    <row r="18">
      <c r="A18" s="3"/>
      <c r="B18" s="3"/>
      <c r="C18" s="3"/>
      <c r="D18" s="3"/>
      <c r="E18" s="3" t="s">
        <v>21</v>
      </c>
      <c r="F18" s="29" t="s">
        <v>18</v>
      </c>
      <c r="G18" s="11">
        <v>30.0</v>
      </c>
      <c r="H18" s="3"/>
      <c r="I18" s="3"/>
      <c r="J18" s="3"/>
      <c r="K18" s="3"/>
      <c r="L18" s="22"/>
      <c r="M18" s="23"/>
      <c r="N18" s="3"/>
      <c r="O18" s="3"/>
      <c r="P18" s="3"/>
      <c r="Q18" s="25"/>
      <c r="R18" s="3"/>
      <c r="S18" s="25"/>
      <c r="T18" s="3"/>
    </row>
    <row r="19">
      <c r="A19" s="9">
        <v>9.0</v>
      </c>
      <c r="B19" s="29" t="s">
        <v>22</v>
      </c>
      <c r="C19" s="11">
        <v>88.0</v>
      </c>
      <c r="D19" s="3"/>
      <c r="E19" s="3"/>
      <c r="F19" s="31" t="s">
        <v>8</v>
      </c>
      <c r="G19" s="23"/>
      <c r="H19" s="18"/>
      <c r="I19" s="19" t="s">
        <v>23</v>
      </c>
      <c r="J19" s="11">
        <v>50.0</v>
      </c>
      <c r="K19" s="3"/>
      <c r="L19" s="32" t="s">
        <v>8</v>
      </c>
      <c r="M19" s="25"/>
      <c r="N19" s="19" t="s">
        <v>17</v>
      </c>
      <c r="O19" s="33">
        <v>68.0</v>
      </c>
      <c r="P19" s="4" t="s">
        <v>14</v>
      </c>
      <c r="Q19" s="25"/>
      <c r="R19" s="34"/>
      <c r="S19" s="35"/>
      <c r="T19" s="3"/>
    </row>
    <row r="20">
      <c r="A20" s="3"/>
      <c r="B20" s="31" t="s">
        <v>24</v>
      </c>
      <c r="C20" s="23"/>
      <c r="D20" s="18"/>
      <c r="E20" s="18"/>
      <c r="F20" s="19" t="s">
        <v>23</v>
      </c>
      <c r="G20" s="21">
        <v>90.0</v>
      </c>
      <c r="H20" s="3"/>
      <c r="I20" s="3"/>
      <c r="J20" s="23"/>
      <c r="K20" s="3"/>
      <c r="L20" s="3"/>
      <c r="M20" s="25"/>
      <c r="N20" s="3"/>
      <c r="O20" s="25"/>
      <c r="P20" s="3"/>
      <c r="Q20" s="25"/>
      <c r="R20" s="3"/>
      <c r="S20" s="3"/>
      <c r="T20" s="3"/>
    </row>
    <row r="21">
      <c r="A21" s="9">
        <v>16.0</v>
      </c>
      <c r="B21" s="19" t="s">
        <v>25</v>
      </c>
      <c r="C21" s="21">
        <v>28.0</v>
      </c>
      <c r="D21" s="3"/>
      <c r="E21" s="3"/>
      <c r="F21" s="3"/>
      <c r="G21" s="3"/>
      <c r="H21" s="3"/>
      <c r="I21" s="32" t="s">
        <v>16</v>
      </c>
      <c r="J21" s="25"/>
      <c r="K21" s="18"/>
      <c r="L21" s="19" t="s">
        <v>17</v>
      </c>
      <c r="M21" s="21">
        <v>92.0</v>
      </c>
      <c r="N21" s="3"/>
      <c r="O21" s="25"/>
      <c r="P21" s="3"/>
      <c r="Q21" s="25"/>
      <c r="R21" s="3"/>
      <c r="S21" s="3"/>
      <c r="T21" s="3"/>
    </row>
    <row r="22">
      <c r="A22" s="3"/>
      <c r="B22" s="3"/>
      <c r="C22" s="3"/>
      <c r="D22" s="3"/>
      <c r="E22" s="3" t="s">
        <v>26</v>
      </c>
      <c r="F22" s="19" t="s">
        <v>17</v>
      </c>
      <c r="G22" s="11">
        <v>92.0</v>
      </c>
      <c r="H22" s="3"/>
      <c r="I22" s="3"/>
      <c r="J22" s="25"/>
      <c r="K22" s="3"/>
      <c r="L22" s="3"/>
      <c r="M22" s="3"/>
      <c r="N22" s="3"/>
      <c r="O22" s="25"/>
      <c r="P22" s="3"/>
      <c r="Q22" s="25"/>
      <c r="R22" s="3"/>
      <c r="S22" s="3"/>
      <c r="T22" s="3"/>
    </row>
    <row r="23">
      <c r="A23" s="9">
        <v>12.0</v>
      </c>
      <c r="B23" s="29" t="s">
        <v>27</v>
      </c>
      <c r="C23" s="11">
        <v>50.0</v>
      </c>
      <c r="D23" s="3"/>
      <c r="E23" s="3"/>
      <c r="F23" s="31" t="s">
        <v>11</v>
      </c>
      <c r="G23" s="23"/>
      <c r="H23" s="18"/>
      <c r="I23" s="19" t="s">
        <v>17</v>
      </c>
      <c r="J23" s="21">
        <v>70.0</v>
      </c>
      <c r="K23" s="3"/>
      <c r="L23" s="3"/>
      <c r="M23" s="3"/>
      <c r="N23" s="4" t="s">
        <v>28</v>
      </c>
      <c r="O23" s="25"/>
      <c r="P23" s="19" t="s">
        <v>17</v>
      </c>
      <c r="Q23" s="35"/>
      <c r="R23" s="3"/>
      <c r="S23" s="3"/>
      <c r="T23" s="3"/>
    </row>
    <row r="24">
      <c r="A24" s="3"/>
      <c r="B24" s="31" t="s">
        <v>29</v>
      </c>
      <c r="C24" s="23"/>
      <c r="D24" s="18"/>
      <c r="E24" s="18"/>
      <c r="F24" s="19" t="s">
        <v>27</v>
      </c>
      <c r="G24" s="21">
        <v>50.0</v>
      </c>
      <c r="H24" s="3"/>
      <c r="I24" s="3"/>
      <c r="J24" s="3"/>
      <c r="K24" s="3"/>
      <c r="L24" s="3"/>
      <c r="M24" s="3"/>
      <c r="N24" s="3"/>
      <c r="O24" s="25"/>
      <c r="P24" s="3"/>
      <c r="Q24" s="3"/>
      <c r="R24" s="3"/>
      <c r="S24" s="3"/>
      <c r="T24" s="3"/>
    </row>
    <row r="25">
      <c r="A25" s="9">
        <v>13.0</v>
      </c>
      <c r="B25" s="19" t="s">
        <v>30</v>
      </c>
      <c r="C25" s="21">
        <v>20.0</v>
      </c>
      <c r="D25" s="3"/>
      <c r="E25" s="3"/>
      <c r="F25" s="3"/>
      <c r="G25" s="3"/>
      <c r="H25" s="3"/>
      <c r="I25" s="3"/>
      <c r="J25" s="3"/>
      <c r="K25" s="3"/>
      <c r="L25" s="29" t="s">
        <v>20</v>
      </c>
      <c r="M25" s="11">
        <v>102.0</v>
      </c>
      <c r="N25" s="3"/>
      <c r="O25" s="25"/>
      <c r="P25" s="3"/>
      <c r="Q25" s="3"/>
      <c r="R25" s="3"/>
      <c r="S25" s="3"/>
      <c r="T25" s="3"/>
    </row>
    <row r="26">
      <c r="A26" s="3" t="s">
        <v>31</v>
      </c>
      <c r="B26" s="3"/>
      <c r="C26" s="3"/>
      <c r="D26" s="3"/>
      <c r="E26" s="3" t="s">
        <v>32</v>
      </c>
      <c r="F26" s="10" t="s">
        <v>12</v>
      </c>
      <c r="G26" s="11">
        <v>18.0</v>
      </c>
      <c r="H26" s="3"/>
      <c r="I26" s="3"/>
      <c r="J26" s="3"/>
      <c r="K26" s="3"/>
      <c r="L26" s="22"/>
      <c r="M26" s="23"/>
      <c r="N26" s="3"/>
      <c r="O26" s="25"/>
      <c r="P26" s="3"/>
      <c r="Q26" s="3"/>
      <c r="R26" s="3"/>
      <c r="S26" s="3"/>
      <c r="T26" s="3"/>
    </row>
    <row r="27">
      <c r="A27" s="9">
        <v>10.0</v>
      </c>
      <c r="B27" s="29" t="s">
        <v>33</v>
      </c>
      <c r="C27" s="11">
        <v>44.0</v>
      </c>
      <c r="D27" s="3"/>
      <c r="E27" s="3"/>
      <c r="F27" s="31" t="s">
        <v>16</v>
      </c>
      <c r="G27" s="23"/>
      <c r="H27" s="18"/>
      <c r="I27" s="19" t="s">
        <v>34</v>
      </c>
      <c r="J27" s="11">
        <v>76.0</v>
      </c>
      <c r="K27" s="3"/>
      <c r="L27" s="32" t="s">
        <v>11</v>
      </c>
      <c r="M27" s="25"/>
      <c r="N27" s="19" t="s">
        <v>20</v>
      </c>
      <c r="O27" s="21">
        <v>64.0</v>
      </c>
      <c r="P27" s="3"/>
      <c r="Q27" s="3"/>
      <c r="R27" s="3"/>
      <c r="S27" s="3"/>
      <c r="T27" s="3"/>
    </row>
    <row r="28">
      <c r="A28" s="3"/>
      <c r="B28" s="31" t="s">
        <v>35</v>
      </c>
      <c r="C28" s="23"/>
      <c r="D28" s="18"/>
      <c r="E28" s="18"/>
      <c r="F28" s="19" t="s">
        <v>34</v>
      </c>
      <c r="G28" s="21">
        <v>116.0</v>
      </c>
      <c r="H28" s="3"/>
      <c r="I28" s="3"/>
      <c r="J28" s="23"/>
      <c r="K28" s="3"/>
      <c r="L28" s="3"/>
      <c r="M28" s="25"/>
      <c r="N28" s="3"/>
      <c r="O28" s="3"/>
      <c r="P28" s="3"/>
      <c r="Q28" s="3"/>
      <c r="R28" s="3"/>
      <c r="S28" s="3"/>
      <c r="T28" s="3"/>
    </row>
    <row r="29">
      <c r="A29" s="9">
        <v>15.0</v>
      </c>
      <c r="B29" s="19" t="s">
        <v>34</v>
      </c>
      <c r="C29" s="21">
        <v>50.0</v>
      </c>
      <c r="D29" s="3"/>
      <c r="E29" s="3"/>
      <c r="F29" s="3"/>
      <c r="G29" s="3"/>
      <c r="H29" s="3"/>
      <c r="I29" s="32" t="s">
        <v>19</v>
      </c>
      <c r="J29" s="25"/>
      <c r="K29" s="18"/>
      <c r="L29" s="19" t="s">
        <v>9</v>
      </c>
      <c r="M29" s="21">
        <v>52.0</v>
      </c>
      <c r="N29" s="3"/>
      <c r="O29" s="3"/>
      <c r="P29" s="3"/>
      <c r="Q29" s="3"/>
      <c r="R29" s="3"/>
      <c r="S29" s="3"/>
      <c r="T29" s="3"/>
    </row>
    <row r="30">
      <c r="A30" s="3"/>
      <c r="B30" s="3"/>
      <c r="C30" s="3"/>
      <c r="D30" s="3"/>
      <c r="E30" s="3" t="s">
        <v>36</v>
      </c>
      <c r="F30" s="29" t="s">
        <v>9</v>
      </c>
      <c r="G30" s="11">
        <v>102.0</v>
      </c>
      <c r="H30" s="3"/>
      <c r="I30" s="3"/>
      <c r="J30" s="25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9">
        <v>11.0</v>
      </c>
      <c r="B31" s="29" t="s">
        <v>37</v>
      </c>
      <c r="C31" s="11">
        <v>74.0</v>
      </c>
      <c r="D31" s="3"/>
      <c r="E31" s="3"/>
      <c r="F31" s="31" t="s">
        <v>19</v>
      </c>
      <c r="G31" s="23"/>
      <c r="H31" s="18"/>
      <c r="I31" s="19" t="s">
        <v>9</v>
      </c>
      <c r="J31" s="21">
        <v>110.0</v>
      </c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31" t="s">
        <v>38</v>
      </c>
      <c r="C32" s="23"/>
      <c r="D32" s="18"/>
      <c r="E32" s="18"/>
      <c r="F32" s="19" t="s">
        <v>37</v>
      </c>
      <c r="G32" s="21">
        <v>32.0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9">
        <v>14.0</v>
      </c>
      <c r="B33" s="19" t="s">
        <v>39</v>
      </c>
      <c r="C33" s="21">
        <v>42.0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5" width="3.88"/>
    <col customWidth="1" min="6" max="6" width="5.13"/>
    <col customWidth="1" min="7" max="7" width="3.88"/>
    <col customWidth="1" min="9" max="9" width="19.88"/>
    <col customWidth="1" min="10" max="13" width="3.88"/>
    <col customWidth="1" min="14" max="14" width="5.13"/>
    <col customWidth="1" min="15" max="15" width="3.88"/>
  </cols>
  <sheetData>
    <row r="1">
      <c r="A1" s="8" t="str">
        <f>IFERROR(__xludf.DUMMYFUNCTION("IMPORTRANGE(""12njYFKwcoSn9-JKfJWa-xlUkB1LS6S8QBvuYQIpwIC4"", ""Round Robin!B12:Q54"")"),"Bronny")</f>
        <v>Bronny</v>
      </c>
      <c r="H1" s="1"/>
      <c r="I1" s="8" t="str">
        <f>IFERROR(__xludf.DUMMYFUNCTION("""COMPUTED_VALUE"""),"Curry")</f>
        <v>Curry</v>
      </c>
      <c r="P1" s="1"/>
    </row>
    <row r="2">
      <c r="H2" s="1"/>
      <c r="P2" s="1"/>
    </row>
    <row r="3">
      <c r="H3" s="1"/>
      <c r="P3" s="1"/>
    </row>
    <row r="4" ht="34.5" customHeight="1">
      <c r="A4" s="1"/>
      <c r="B4" s="12" t="str">
        <f>IFERROR(__xludf.DUMMYFUNCTION("""COMPUTED_VALUE"""),"Basis McLean A")</f>
        <v>Basis McLean A</v>
      </c>
      <c r="C4" s="12" t="str">
        <f>IFERROR(__xludf.DUMMYFUNCTION("""COMPUTED_VALUE"""),"Iolani A")</f>
        <v>Iolani A</v>
      </c>
      <c r="D4" s="12" t="str">
        <f>IFERROR(__xludf.DUMMYFUNCTION("""COMPUTED_VALUE"""),"IMSA A")</f>
        <v>IMSA A</v>
      </c>
      <c r="E4" s="12"/>
      <c r="F4" s="12" t="str">
        <f>IFERROR(__xludf.DUMMYFUNCTION("""COMPUTED_VALUE"""),"PPG")</f>
        <v>PPG</v>
      </c>
      <c r="G4" s="12" t="str">
        <f>IFERROR(__xludf.DUMMYFUNCTION("""COMPUTED_VALUE"""),"Points")</f>
        <v>Points</v>
      </c>
      <c r="H4" s="1"/>
      <c r="I4" s="1"/>
      <c r="J4" s="12" t="str">
        <f>IFERROR(__xludf.DUMMYFUNCTION("""COMPUTED_VALUE"""),"James Clemens")</f>
        <v>James Clemens</v>
      </c>
      <c r="K4" s="12" t="str">
        <f>IFERROR(__xludf.DUMMYFUNCTION("""COMPUTED_VALUE"""),"Frazer A")</f>
        <v>Frazer A</v>
      </c>
      <c r="L4" s="12" t="str">
        <f>IFERROR(__xludf.DUMMYFUNCTION("""COMPUTED_VALUE"""),"Clements A")</f>
        <v>Clements A</v>
      </c>
      <c r="M4" s="12" t="str">
        <f>IFERROR(__xludf.DUMMYFUNCTION("""COMPUTED_VALUE"""),"Lynbrook")</f>
        <v>Lynbrook</v>
      </c>
      <c r="N4" s="12" t="str">
        <f>IFERROR(__xludf.DUMMYFUNCTION("""COMPUTED_VALUE"""),"PPG")</f>
        <v>PPG</v>
      </c>
      <c r="O4" s="1" t="str">
        <f>IFERROR(__xludf.DUMMYFUNCTION("""COMPUTED_VALUE"""),"Points")</f>
        <v>Points</v>
      </c>
      <c r="P4" s="1"/>
    </row>
    <row r="5" ht="34.5" customHeight="1">
      <c r="A5" s="1"/>
      <c r="H5" s="1"/>
      <c r="I5" s="1"/>
      <c r="O5" s="1"/>
      <c r="P5" s="1"/>
    </row>
    <row r="6" ht="34.5" customHeight="1">
      <c r="A6" s="1"/>
      <c r="H6" s="1"/>
      <c r="I6" s="1"/>
      <c r="O6" s="1"/>
      <c r="P6" s="1"/>
    </row>
    <row r="7">
      <c r="A7" s="1" t="str">
        <f>IFERROR(__xludf.DUMMYFUNCTION("""COMPUTED_VALUE"""),"Basis McLean A")</f>
        <v>Basis McLean A</v>
      </c>
      <c r="B7" s="20"/>
      <c r="C7" s="1">
        <f>IFERROR(__xludf.DUMMYFUNCTION("""COMPUTED_VALUE"""),60.0)</f>
        <v>60</v>
      </c>
      <c r="D7" s="1">
        <f>IFERROR(__xludf.DUMMYFUNCTION("""COMPUTED_VALUE"""),110.0)</f>
        <v>110</v>
      </c>
      <c r="E7" s="1"/>
      <c r="F7" s="1">
        <f>IFERROR(__xludf.DUMMYFUNCTION("""COMPUTED_VALUE"""),85.0)</f>
        <v>85</v>
      </c>
      <c r="G7" s="1">
        <f>IFERROR(__xludf.DUMMYFUNCTION("""COMPUTED_VALUE"""),2.0)</f>
        <v>2</v>
      </c>
      <c r="H7" s="1" t="str">
        <f>IFERROR(__xludf.DUMMYFUNCTION("""COMPUTED_VALUE"""),"W: 1 T: 0 L: 1")</f>
        <v>W: 1 T: 0 L: 1</v>
      </c>
      <c r="I7" s="1" t="str">
        <f>IFERROR(__xludf.DUMMYFUNCTION("""COMPUTED_VALUE"""),"James Clemens")</f>
        <v>James Clemens</v>
      </c>
      <c r="J7" s="20"/>
      <c r="K7" s="1">
        <f>IFERROR(__xludf.DUMMYFUNCTION("""COMPUTED_VALUE"""),78.0)</f>
        <v>78</v>
      </c>
      <c r="L7" s="1">
        <f>IFERROR(__xludf.DUMMYFUNCTION("""COMPUTED_VALUE"""),124.0)</f>
        <v>124</v>
      </c>
      <c r="M7" s="1">
        <f>IFERROR(__xludf.DUMMYFUNCTION("""COMPUTED_VALUE"""),60.0)</f>
        <v>60</v>
      </c>
      <c r="N7" s="1">
        <f>IFERROR(__xludf.DUMMYFUNCTION("""COMPUTED_VALUE"""),87.33)</f>
        <v>87.33</v>
      </c>
      <c r="O7" s="1">
        <f>IFERROR(__xludf.DUMMYFUNCTION("""COMPUTED_VALUE"""),2.0)</f>
        <v>2</v>
      </c>
      <c r="P7" s="1" t="str">
        <f>IFERROR(__xludf.DUMMYFUNCTION("""COMPUTED_VALUE"""),"W: 1 T: 0 L: 2")</f>
        <v>W: 1 T: 0 L: 2</v>
      </c>
    </row>
    <row r="8">
      <c r="A8" s="1" t="str">
        <f>IFERROR(__xludf.DUMMYFUNCTION("""COMPUTED_VALUE"""),"Iolani A")</f>
        <v>Iolani A</v>
      </c>
      <c r="B8" s="1">
        <f>IFERROR(__xludf.DUMMYFUNCTION("""COMPUTED_VALUE"""),76.0)</f>
        <v>76</v>
      </c>
      <c r="C8" s="20"/>
      <c r="D8" s="1">
        <f>IFERROR(__xludf.DUMMYFUNCTION("""COMPUTED_VALUE"""),68.0)</f>
        <v>68</v>
      </c>
      <c r="E8" s="1"/>
      <c r="F8" s="1">
        <f>IFERROR(__xludf.DUMMYFUNCTION("""COMPUTED_VALUE"""),72.0)</f>
        <v>72</v>
      </c>
      <c r="G8" s="1">
        <f>IFERROR(__xludf.DUMMYFUNCTION("""COMPUTED_VALUE"""),4.0)</f>
        <v>4</v>
      </c>
      <c r="H8" s="1" t="str">
        <f>IFERROR(__xludf.DUMMYFUNCTION("""COMPUTED_VALUE"""),"W: 2 T: 0 L: 0")</f>
        <v>W: 2 T: 0 L: 0</v>
      </c>
      <c r="I8" s="1" t="str">
        <f>IFERROR(__xludf.DUMMYFUNCTION("""COMPUTED_VALUE"""),"Frazer A")</f>
        <v>Frazer A</v>
      </c>
      <c r="J8" s="1">
        <f>IFERROR(__xludf.DUMMYFUNCTION("""COMPUTED_VALUE"""),130.0)</f>
        <v>130</v>
      </c>
      <c r="K8" s="20"/>
      <c r="L8" s="1">
        <f>IFERROR(__xludf.DUMMYFUNCTION("""COMPUTED_VALUE"""),72.0)</f>
        <v>72</v>
      </c>
      <c r="M8" s="1">
        <f>IFERROR(__xludf.DUMMYFUNCTION("""COMPUTED_VALUE"""),86.0)</f>
        <v>86</v>
      </c>
      <c r="N8" s="1">
        <f>IFERROR(__xludf.DUMMYFUNCTION("""COMPUTED_VALUE"""),96.0)</f>
        <v>96</v>
      </c>
      <c r="O8" s="1">
        <f>IFERROR(__xludf.DUMMYFUNCTION("""COMPUTED_VALUE"""),4.0)</f>
        <v>4</v>
      </c>
      <c r="P8" s="1" t="str">
        <f>IFERROR(__xludf.DUMMYFUNCTION("""COMPUTED_VALUE"""),"W: 2 T: 0 L: 1")</f>
        <v>W: 2 T: 0 L: 1</v>
      </c>
    </row>
    <row r="9">
      <c r="A9" s="1" t="str">
        <f>IFERROR(__xludf.DUMMYFUNCTION("""COMPUTED_VALUE"""),"IMSA A")</f>
        <v>IMSA A</v>
      </c>
      <c r="B9" s="1">
        <f>IFERROR(__xludf.DUMMYFUNCTION("""COMPUTED_VALUE"""),82.0)</f>
        <v>82</v>
      </c>
      <c r="C9" s="1">
        <f>IFERROR(__xludf.DUMMYFUNCTION("""COMPUTED_VALUE"""),38.0)</f>
        <v>38</v>
      </c>
      <c r="D9" s="20"/>
      <c r="E9" s="1"/>
      <c r="F9" s="1">
        <f>IFERROR(__xludf.DUMMYFUNCTION("""COMPUTED_VALUE"""),60.0)</f>
        <v>60</v>
      </c>
      <c r="G9" s="1">
        <f>IFERROR(__xludf.DUMMYFUNCTION("""COMPUTED_VALUE"""),0.0)</f>
        <v>0</v>
      </c>
      <c r="H9" s="1" t="str">
        <f>IFERROR(__xludf.DUMMYFUNCTION("""COMPUTED_VALUE"""),"W: 0 T: 0 L: 2")</f>
        <v>W: 0 T: 0 L: 2</v>
      </c>
      <c r="I9" s="1" t="str">
        <f>IFERROR(__xludf.DUMMYFUNCTION("""COMPUTED_VALUE"""),"Clements A")</f>
        <v>Clements A</v>
      </c>
      <c r="J9" s="1">
        <f>IFERROR(__xludf.DUMMYFUNCTION("""COMPUTED_VALUE"""),60.0)</f>
        <v>60</v>
      </c>
      <c r="K9" s="1">
        <f>IFERROR(__xludf.DUMMYFUNCTION("""COMPUTED_VALUE"""),30.0)</f>
        <v>30</v>
      </c>
      <c r="L9" s="20"/>
      <c r="M9" s="1">
        <f>IFERROR(__xludf.DUMMYFUNCTION("""COMPUTED_VALUE"""),44.0)</f>
        <v>44</v>
      </c>
      <c r="N9" s="1">
        <f>IFERROR(__xludf.DUMMYFUNCTION("""COMPUTED_VALUE"""),44.67)</f>
        <v>44.67</v>
      </c>
      <c r="O9" s="1">
        <f>IFERROR(__xludf.DUMMYFUNCTION("""COMPUTED_VALUE"""),0.0)</f>
        <v>0</v>
      </c>
      <c r="P9" s="1" t="str">
        <f>IFERROR(__xludf.DUMMYFUNCTION("""COMPUTED_VALUE"""),"W: 0 T: 0 L: 3")</f>
        <v>W: 0 T: 0 L: 3</v>
      </c>
    </row>
    <row r="10">
      <c r="A10" s="1"/>
      <c r="B10" s="1"/>
      <c r="C10" s="1"/>
      <c r="D10" s="1"/>
      <c r="E10" s="1"/>
      <c r="F10" s="1"/>
      <c r="G10" s="1"/>
      <c r="H10" s="1"/>
      <c r="I10" s="1" t="str">
        <f>IFERROR(__xludf.DUMMYFUNCTION("""COMPUTED_VALUE"""),"Lynbrook")</f>
        <v>Lynbrook</v>
      </c>
      <c r="J10" s="1">
        <f>IFERROR(__xludf.DUMMYFUNCTION("""COMPUTED_VALUE"""),86.0)</f>
        <v>86</v>
      </c>
      <c r="K10" s="1">
        <f>IFERROR(__xludf.DUMMYFUNCTION("""COMPUTED_VALUE"""),108.0)</f>
        <v>108</v>
      </c>
      <c r="L10" s="1">
        <f>IFERROR(__xludf.DUMMYFUNCTION("""COMPUTED_VALUE"""),178.0)</f>
        <v>178</v>
      </c>
      <c r="M10" s="20"/>
      <c r="N10" s="1">
        <f>IFERROR(__xludf.DUMMYFUNCTION("""COMPUTED_VALUE"""),124.0)</f>
        <v>124</v>
      </c>
      <c r="O10" s="1">
        <f>IFERROR(__xludf.DUMMYFUNCTION("""COMPUTED_VALUE"""),6.0)</f>
        <v>6</v>
      </c>
      <c r="P10" s="1" t="str">
        <f>IFERROR(__xludf.DUMMYFUNCTION("""COMPUTED_VALUE"""),"W: 3 T: 0 L: 0")</f>
        <v>W: 3 T: 0 L: 0</v>
      </c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>
      <c r="A12" s="8" t="str">
        <f>IFERROR(__xludf.DUMMYFUNCTION("""COMPUTED_VALUE"""),"Giannis")</f>
        <v>Giannis</v>
      </c>
      <c r="G12" s="1"/>
      <c r="H12" s="1"/>
      <c r="I12" s="8" t="str">
        <f>IFERROR(__xludf.DUMMYFUNCTION("""COMPUTED_VALUE"""),"LeBron")</f>
        <v>LeBron</v>
      </c>
      <c r="P12" s="1"/>
    </row>
    <row r="13">
      <c r="G13" s="1"/>
      <c r="H13" s="1"/>
      <c r="P13" s="1"/>
    </row>
    <row r="14">
      <c r="G14" s="1"/>
      <c r="H14" s="1"/>
      <c r="P14" s="1"/>
    </row>
    <row r="15" ht="34.5" customHeight="1">
      <c r="A15" s="1"/>
      <c r="B15" s="12" t="str">
        <f>IFERROR(__xludf.DUMMYFUNCTION("""COMPUTED_VALUE"""),"Buchholz")</f>
        <v>Buchholz</v>
      </c>
      <c r="C15" s="12" t="str">
        <f>IFERROR(__xludf.DUMMYFUNCTION("""COMPUTED_VALUE"""),"Cupertino B")</f>
        <v>Cupertino B</v>
      </c>
      <c r="D15" s="12" t="str">
        <f>IFERROR(__xludf.DUMMYFUNCTION("""COMPUTED_VALUE"""),"Dulles")</f>
        <v>Dulles</v>
      </c>
      <c r="E15" s="12" t="str">
        <f>IFERROR(__xludf.DUMMYFUNCTION("""COMPUTED_VALUE"""),"Basis McLean B")</f>
        <v>Basis McLean B</v>
      </c>
      <c r="F15" s="12" t="str">
        <f>IFERROR(__xludf.DUMMYFUNCTION("""COMPUTED_VALUE"""),"PPG")</f>
        <v>PPG</v>
      </c>
      <c r="G15" s="12" t="str">
        <f>IFERROR(__xludf.DUMMYFUNCTION("""COMPUTED_VALUE"""),"Points")</f>
        <v>Points</v>
      </c>
      <c r="H15" s="1"/>
      <c r="I15" s="1"/>
      <c r="J15" s="12" t="str">
        <f>IFERROR(__xludf.DUMMYFUNCTION("""COMPUTED_VALUE"""),"Green Hope B")</f>
        <v>Green Hope B</v>
      </c>
      <c r="K15" s="12" t="str">
        <f>IFERROR(__xludf.DUMMYFUNCTION("""COMPUTED_VALUE"""),"ASFA B")</f>
        <v>ASFA B</v>
      </c>
      <c r="L15" s="12" t="str">
        <f>IFERROR(__xludf.DUMMYFUNCTION("""COMPUTED_VALUE"""),"Orange County")</f>
        <v>Orange County</v>
      </c>
      <c r="M15" s="12" t="str">
        <f>IFERROR(__xludf.DUMMYFUNCTION("""COMPUTED_VALUE"""),"Bethlehem")</f>
        <v>Bethlehem</v>
      </c>
      <c r="N15" s="12" t="str">
        <f>IFERROR(__xludf.DUMMYFUNCTION("""COMPUTED_VALUE"""),"PPG")</f>
        <v>PPG</v>
      </c>
      <c r="O15" s="12" t="str">
        <f>IFERROR(__xludf.DUMMYFUNCTION("""COMPUTED_VALUE"""),"Points")</f>
        <v>Points</v>
      </c>
      <c r="P15" s="1"/>
    </row>
    <row r="16" ht="34.5" customHeight="1">
      <c r="A16" s="1"/>
      <c r="H16" s="1"/>
      <c r="I16" s="1"/>
      <c r="P16" s="1"/>
    </row>
    <row r="17" ht="34.5" customHeight="1">
      <c r="A17" s="1"/>
      <c r="H17" s="1"/>
      <c r="I17" s="1"/>
      <c r="P17" s="1"/>
    </row>
    <row r="18">
      <c r="A18" s="1" t="str">
        <f>IFERROR(__xludf.DUMMYFUNCTION("""COMPUTED_VALUE"""),"Buchholz")</f>
        <v>Buchholz</v>
      </c>
      <c r="B18" s="20"/>
      <c r="C18" s="1">
        <f>IFERROR(__xludf.DUMMYFUNCTION("""COMPUTED_VALUE"""),124.0)</f>
        <v>124</v>
      </c>
      <c r="D18" s="1">
        <f>IFERROR(__xludf.DUMMYFUNCTION("""COMPUTED_VALUE"""),42.0)</f>
        <v>42</v>
      </c>
      <c r="E18" s="1">
        <f>IFERROR(__xludf.DUMMYFUNCTION("""COMPUTED_VALUE"""),34.0)</f>
        <v>34</v>
      </c>
      <c r="F18" s="1">
        <f>IFERROR(__xludf.DUMMYFUNCTION("""COMPUTED_VALUE"""),66.67)</f>
        <v>66.67</v>
      </c>
      <c r="G18" s="1">
        <f>IFERROR(__xludf.DUMMYFUNCTION("""COMPUTED_VALUE"""),4.0)</f>
        <v>4</v>
      </c>
      <c r="H18" s="1" t="str">
        <f>IFERROR(__xludf.DUMMYFUNCTION("""COMPUTED_VALUE"""),"W: 2 T: 0 L: 1")</f>
        <v>W: 2 T: 0 L: 1</v>
      </c>
      <c r="I18" s="1" t="str">
        <f>IFERROR(__xludf.DUMMYFUNCTION("""COMPUTED_VALUE"""),"Green Hope B")</f>
        <v>Green Hope B</v>
      </c>
      <c r="J18" s="20"/>
      <c r="K18" s="1">
        <f>IFERROR(__xludf.DUMMYFUNCTION("""COMPUTED_VALUE"""),38.0)</f>
        <v>38</v>
      </c>
      <c r="L18" s="1">
        <f>IFERROR(__xludf.DUMMYFUNCTION("""COMPUTED_VALUE"""),54.0)</f>
        <v>54</v>
      </c>
      <c r="M18" s="1">
        <f>IFERROR(__xludf.DUMMYFUNCTION("""COMPUTED_VALUE"""),64.0)</f>
        <v>64</v>
      </c>
      <c r="N18" s="1">
        <f>IFERROR(__xludf.DUMMYFUNCTION("""COMPUTED_VALUE"""),52.0)</f>
        <v>52</v>
      </c>
      <c r="O18" s="1">
        <f>IFERROR(__xludf.DUMMYFUNCTION("""COMPUTED_VALUE"""),2.0)</f>
        <v>2</v>
      </c>
      <c r="P18" s="1" t="str">
        <f>IFERROR(__xludf.DUMMYFUNCTION("""COMPUTED_VALUE"""),"W: 1 T: 0 L: 2")</f>
        <v>W: 1 T: 0 L: 2</v>
      </c>
    </row>
    <row r="19">
      <c r="A19" s="1" t="str">
        <f>IFERROR(__xludf.DUMMYFUNCTION("""COMPUTED_VALUE"""),"Cupertino B")</f>
        <v>Cupertino B</v>
      </c>
      <c r="B19" s="1">
        <f>IFERROR(__xludf.DUMMYFUNCTION("""COMPUTED_VALUE"""),68.0)</f>
        <v>68</v>
      </c>
      <c r="C19" s="20"/>
      <c r="D19" s="1">
        <f>IFERROR(__xludf.DUMMYFUNCTION("""COMPUTED_VALUE"""),18.0)</f>
        <v>18</v>
      </c>
      <c r="E19" s="1">
        <f>IFERROR(__xludf.DUMMYFUNCTION("""COMPUTED_VALUE"""),68.0)</f>
        <v>68</v>
      </c>
      <c r="F19" s="1">
        <f>IFERROR(__xludf.DUMMYFUNCTION("""COMPUTED_VALUE"""),51.33)</f>
        <v>51.33</v>
      </c>
      <c r="G19" s="1">
        <f>IFERROR(__xludf.DUMMYFUNCTION("""COMPUTED_VALUE"""),2.0)</f>
        <v>2</v>
      </c>
      <c r="H19" s="1" t="str">
        <f>IFERROR(__xludf.DUMMYFUNCTION("""COMPUTED_VALUE"""),"W: 1 T: 0 L: 2")</f>
        <v>W: 1 T: 0 L: 2</v>
      </c>
      <c r="I19" s="1" t="str">
        <f>IFERROR(__xludf.DUMMYFUNCTION("""COMPUTED_VALUE"""),"ASFA B")</f>
        <v>ASFA B</v>
      </c>
      <c r="J19" s="1">
        <f>IFERROR(__xludf.DUMMYFUNCTION("""COMPUTED_VALUE"""),84.0)</f>
        <v>84</v>
      </c>
      <c r="K19" s="20"/>
      <c r="L19" s="1">
        <f>IFERROR(__xludf.DUMMYFUNCTION("""COMPUTED_VALUE"""),2.0)</f>
        <v>2</v>
      </c>
      <c r="M19" s="1">
        <f>IFERROR(__xludf.DUMMYFUNCTION("""COMPUTED_VALUE"""),114.0)</f>
        <v>114</v>
      </c>
      <c r="N19" s="1">
        <f>IFERROR(__xludf.DUMMYFUNCTION("""COMPUTED_VALUE"""),66.67)</f>
        <v>66.67</v>
      </c>
      <c r="O19" s="1">
        <f>IFERROR(__xludf.DUMMYFUNCTION("""COMPUTED_VALUE"""),4.0)</f>
        <v>4</v>
      </c>
      <c r="P19" s="1" t="str">
        <f>IFERROR(__xludf.DUMMYFUNCTION("""COMPUTED_VALUE"""),"W: 2 T: 0 L: 1")</f>
        <v>W: 2 T: 0 L: 1</v>
      </c>
    </row>
    <row r="20">
      <c r="A20" s="1" t="str">
        <f>IFERROR(__xludf.DUMMYFUNCTION("""COMPUTED_VALUE"""),"Dulles")</f>
        <v>Dulles</v>
      </c>
      <c r="B20" s="1">
        <f>IFERROR(__xludf.DUMMYFUNCTION("""COMPUTED_VALUE"""),76.0)</f>
        <v>76</v>
      </c>
      <c r="C20" s="1">
        <f>IFERROR(__xludf.DUMMYFUNCTION("""COMPUTED_VALUE"""),70.0)</f>
        <v>70</v>
      </c>
      <c r="D20" s="20"/>
      <c r="E20" s="1">
        <f>IFERROR(__xludf.DUMMYFUNCTION("""COMPUTED_VALUE"""),130.0)</f>
        <v>130</v>
      </c>
      <c r="F20" s="1">
        <f>IFERROR(__xludf.DUMMYFUNCTION("""COMPUTED_VALUE"""),92.0)</f>
        <v>92</v>
      </c>
      <c r="G20" s="1">
        <f>IFERROR(__xludf.DUMMYFUNCTION("""COMPUTED_VALUE"""),6.0)</f>
        <v>6</v>
      </c>
      <c r="H20" s="1" t="str">
        <f>IFERROR(__xludf.DUMMYFUNCTION("""COMPUTED_VALUE"""),"W: 3 T: 0 L: 0")</f>
        <v>W: 3 T: 0 L: 0</v>
      </c>
      <c r="I20" s="1" t="str">
        <f>IFERROR(__xludf.DUMMYFUNCTION("""COMPUTED_VALUE"""),"Orange County")</f>
        <v>Orange County</v>
      </c>
      <c r="J20" s="1">
        <f>IFERROR(__xludf.DUMMYFUNCTION("""COMPUTED_VALUE"""),90.0)</f>
        <v>90</v>
      </c>
      <c r="K20" s="1">
        <f>IFERROR(__xludf.DUMMYFUNCTION("""COMPUTED_VALUE"""),110.0)</f>
        <v>110</v>
      </c>
      <c r="L20" s="20"/>
      <c r="M20" s="1">
        <f>IFERROR(__xludf.DUMMYFUNCTION("""COMPUTED_VALUE"""),110.0)</f>
        <v>110</v>
      </c>
      <c r="N20" s="1">
        <f>IFERROR(__xludf.DUMMYFUNCTION("""COMPUTED_VALUE"""),103.33)</f>
        <v>103.33</v>
      </c>
      <c r="O20" s="1">
        <f>IFERROR(__xludf.DUMMYFUNCTION("""COMPUTED_VALUE"""),6.0)</f>
        <v>6</v>
      </c>
      <c r="P20" s="1" t="str">
        <f>IFERROR(__xludf.DUMMYFUNCTION("""COMPUTED_VALUE"""),"W: 3 T: 0 L: 0")</f>
        <v>W: 3 T: 0 L: 0</v>
      </c>
    </row>
    <row r="21">
      <c r="A21" s="1" t="str">
        <f>IFERROR(__xludf.DUMMYFUNCTION("""COMPUTED_VALUE"""),"Basis McLean B")</f>
        <v>Basis McLean B</v>
      </c>
      <c r="B21" s="1">
        <f>IFERROR(__xludf.DUMMYFUNCTION("""COMPUTED_VALUE"""),12.0)</f>
        <v>12</v>
      </c>
      <c r="C21" s="1">
        <f>IFERROR(__xludf.DUMMYFUNCTION("""COMPUTED_VALUE"""),26.0)</f>
        <v>26</v>
      </c>
      <c r="D21" s="1">
        <f>IFERROR(__xludf.DUMMYFUNCTION("""COMPUTED_VALUE"""),18.0)</f>
        <v>18</v>
      </c>
      <c r="E21" s="20"/>
      <c r="F21" s="1">
        <f>IFERROR(__xludf.DUMMYFUNCTION("""COMPUTED_VALUE"""),18.67)</f>
        <v>18.67</v>
      </c>
      <c r="G21" s="1">
        <f>IFERROR(__xludf.DUMMYFUNCTION("""COMPUTED_VALUE"""),0.0)</f>
        <v>0</v>
      </c>
      <c r="H21" s="1" t="str">
        <f>IFERROR(__xludf.DUMMYFUNCTION("""COMPUTED_VALUE"""),"W: 0 T: 0 L: 3")</f>
        <v>W: 0 T: 0 L: 3</v>
      </c>
      <c r="I21" s="1" t="str">
        <f>IFERROR(__xludf.DUMMYFUNCTION("""COMPUTED_VALUE"""),"Bethlehem")</f>
        <v>Bethlehem</v>
      </c>
      <c r="J21" s="1">
        <f>IFERROR(__xludf.DUMMYFUNCTION("""COMPUTED_VALUE"""),34.0)</f>
        <v>34</v>
      </c>
      <c r="K21" s="1">
        <f>IFERROR(__xludf.DUMMYFUNCTION("""COMPUTED_VALUE"""),4.0)</f>
        <v>4</v>
      </c>
      <c r="L21" s="1">
        <f>IFERROR(__xludf.DUMMYFUNCTION("""COMPUTED_VALUE"""),72.0)</f>
        <v>72</v>
      </c>
      <c r="M21" s="20"/>
      <c r="N21" s="1">
        <f>IFERROR(__xludf.DUMMYFUNCTION("""COMPUTED_VALUE"""),36.67)</f>
        <v>36.67</v>
      </c>
      <c r="O21" s="1">
        <f>IFERROR(__xludf.DUMMYFUNCTION("""COMPUTED_VALUE"""),0.0)</f>
        <v>0</v>
      </c>
      <c r="P21" s="1" t="str">
        <f>IFERROR(__xludf.DUMMYFUNCTION("""COMPUTED_VALUE"""),"W: 0 T: 0 L: 3")</f>
        <v>W: 0 T: 0 L: 3</v>
      </c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>
      <c r="A23" s="8" t="str">
        <f>IFERROR(__xludf.DUMMYFUNCTION("""COMPUTED_VALUE"""),"Kobe")</f>
        <v>Kobe</v>
      </c>
      <c r="H23" s="1"/>
      <c r="I23" s="8" t="str">
        <f>IFERROR(__xludf.DUMMYFUNCTION("""COMPUTED_VALUE"""),"MJ")</f>
        <v>MJ</v>
      </c>
      <c r="P23" s="1"/>
    </row>
    <row r="24">
      <c r="H24" s="1"/>
      <c r="P24" s="1"/>
    </row>
    <row r="25">
      <c r="H25" s="1"/>
      <c r="P25" s="1"/>
    </row>
    <row r="26" ht="34.5" customHeight="1">
      <c r="A26" s="1"/>
      <c r="B26" s="12" t="str">
        <f>IFERROR(__xludf.DUMMYFUNCTION("""COMPUTED_VALUE"""),"Palo Alto B")</f>
        <v>Palo Alto B</v>
      </c>
      <c r="C26" s="12" t="str">
        <f>IFERROR(__xludf.DUMMYFUNCTION("""COMPUTED_VALUE"""),"Lexington")</f>
        <v>Lexington</v>
      </c>
      <c r="D26" s="12" t="str">
        <f>IFERROR(__xludf.DUMMYFUNCTION("""COMPUTED_VALUE"""),"West Windsor Plainsboro South")</f>
        <v>West Windsor Plainsboro South</v>
      </c>
      <c r="E26" s="12" t="str">
        <f>IFERROR(__xludf.DUMMYFUNCTION("""COMPUTED_VALUE"""),"ASFA A")</f>
        <v>ASFA A</v>
      </c>
      <c r="F26" s="12" t="str">
        <f>IFERROR(__xludf.DUMMYFUNCTION("""COMPUTED_VALUE"""),"PPG")</f>
        <v>PPG</v>
      </c>
      <c r="G26" s="12" t="str">
        <f>IFERROR(__xludf.DUMMYFUNCTION("""COMPUTED_VALUE"""),"Points")</f>
        <v>Points</v>
      </c>
      <c r="H26" s="1"/>
      <c r="I26" s="1"/>
      <c r="J26" s="12" t="str">
        <f>IFERROR(__xludf.DUMMYFUNCTION("""COMPUTED_VALUE"""),"CCA A")</f>
        <v>CCA A</v>
      </c>
      <c r="K26" s="12" t="str">
        <f>IFERROR(__xludf.DUMMYFUNCTION("""COMPUTED_VALUE"""),"Iolani B")</f>
        <v>Iolani B</v>
      </c>
      <c r="L26" s="12" t="str">
        <f>IFERROR(__xludf.DUMMYFUNCTION("""COMPUTED_VALUE"""),"CCA B")</f>
        <v>CCA B</v>
      </c>
      <c r="M26" s="12"/>
      <c r="N26" s="12" t="str">
        <f>IFERROR(__xludf.DUMMYFUNCTION("""COMPUTED_VALUE"""),"PPG")</f>
        <v>PPG</v>
      </c>
      <c r="O26" s="12" t="str">
        <f>IFERROR(__xludf.DUMMYFUNCTION("""COMPUTED_VALUE"""),"Points")</f>
        <v>Points</v>
      </c>
      <c r="P26" s="1"/>
    </row>
    <row r="27" ht="34.5" customHeight="1">
      <c r="A27" s="1"/>
      <c r="H27" s="1"/>
      <c r="I27" s="1"/>
      <c r="P27" s="1"/>
    </row>
    <row r="28" ht="34.5" customHeight="1">
      <c r="A28" s="1"/>
      <c r="H28" s="1"/>
      <c r="I28" s="1"/>
      <c r="P28" s="1"/>
    </row>
    <row r="29" ht="15.75" customHeight="1">
      <c r="A29" s="1" t="str">
        <f>IFERROR(__xludf.DUMMYFUNCTION("""COMPUTED_VALUE"""),"Palo Alto B")</f>
        <v>Palo Alto B</v>
      </c>
      <c r="B29" s="20"/>
      <c r="C29" s="1">
        <f>IFERROR(__xludf.DUMMYFUNCTION("""COMPUTED_VALUE"""),86.0)</f>
        <v>86</v>
      </c>
      <c r="D29" s="1">
        <f>IFERROR(__xludf.DUMMYFUNCTION("""COMPUTED_VALUE"""),54.0)</f>
        <v>54</v>
      </c>
      <c r="E29" s="1">
        <f>IFERROR(__xludf.DUMMYFUNCTION("""COMPUTED_VALUE"""),16.0)</f>
        <v>16</v>
      </c>
      <c r="F29" s="1">
        <f>IFERROR(__xludf.DUMMYFUNCTION("""COMPUTED_VALUE"""),52.0)</f>
        <v>52</v>
      </c>
      <c r="G29" s="1">
        <f>IFERROR(__xludf.DUMMYFUNCTION("""COMPUTED_VALUE"""),0.0)</f>
        <v>0</v>
      </c>
      <c r="H29" s="1" t="str">
        <f>IFERROR(__xludf.DUMMYFUNCTION("""COMPUTED_VALUE"""),"W: 0 T: 0 L: 3")</f>
        <v>W: 0 T: 0 L: 3</v>
      </c>
      <c r="I29" s="1" t="str">
        <f>IFERROR(__xludf.DUMMYFUNCTION("""COMPUTED_VALUE"""),"CCA A")</f>
        <v>CCA A</v>
      </c>
      <c r="J29" s="20"/>
      <c r="K29" s="1">
        <f>IFERROR(__xludf.DUMMYFUNCTION("""COMPUTED_VALUE"""),130.0)</f>
        <v>130</v>
      </c>
      <c r="L29" s="1">
        <f>IFERROR(__xludf.DUMMYFUNCTION("""COMPUTED_VALUE"""),80.0)</f>
        <v>80</v>
      </c>
      <c r="M29" s="1"/>
      <c r="N29" s="1">
        <f>IFERROR(__xludf.DUMMYFUNCTION("""COMPUTED_VALUE"""),105.0)</f>
        <v>105</v>
      </c>
      <c r="O29" s="1">
        <f>IFERROR(__xludf.DUMMYFUNCTION("""COMPUTED_VALUE"""),4.0)</f>
        <v>4</v>
      </c>
      <c r="P29" s="1" t="str">
        <f>IFERROR(__xludf.DUMMYFUNCTION("""COMPUTED_VALUE"""),"W: 2 T: 0 L: 0")</f>
        <v>W: 2 T: 0 L: 0</v>
      </c>
    </row>
    <row r="30">
      <c r="A30" s="1" t="str">
        <f>IFERROR(__xludf.DUMMYFUNCTION("""COMPUTED_VALUE"""),"Lexington")</f>
        <v>Lexington</v>
      </c>
      <c r="B30" s="1">
        <f>IFERROR(__xludf.DUMMYFUNCTION("""COMPUTED_VALUE"""),110.0)</f>
        <v>110</v>
      </c>
      <c r="C30" s="20"/>
      <c r="D30" s="1">
        <f>IFERROR(__xludf.DUMMYFUNCTION("""COMPUTED_VALUE"""),82.0)</f>
        <v>82</v>
      </c>
      <c r="E30" s="1">
        <f>IFERROR(__xludf.DUMMYFUNCTION("""COMPUTED_VALUE"""),104.0)</f>
        <v>104</v>
      </c>
      <c r="F30" s="1">
        <f>IFERROR(__xludf.DUMMYFUNCTION("""COMPUTED_VALUE"""),98.67)</f>
        <v>98.67</v>
      </c>
      <c r="G30" s="1">
        <f>IFERROR(__xludf.DUMMYFUNCTION("""COMPUTED_VALUE"""),4.0)</f>
        <v>4</v>
      </c>
      <c r="H30" s="1" t="str">
        <f>IFERROR(__xludf.DUMMYFUNCTION("""COMPUTED_VALUE"""),"W: 2 T: 0 L: 1")</f>
        <v>W: 2 T: 0 L: 1</v>
      </c>
      <c r="I30" s="1" t="str">
        <f>IFERROR(__xludf.DUMMYFUNCTION("""COMPUTED_VALUE"""),"Iolani B")</f>
        <v>Iolani B</v>
      </c>
      <c r="J30" s="1">
        <f>IFERROR(__xludf.DUMMYFUNCTION("""COMPUTED_VALUE"""),14.0)</f>
        <v>14</v>
      </c>
      <c r="K30" s="20"/>
      <c r="L30" s="1">
        <f>IFERROR(__xludf.DUMMYFUNCTION("""COMPUTED_VALUE"""),40.0)</f>
        <v>40</v>
      </c>
      <c r="M30" s="1"/>
      <c r="N30" s="1">
        <f>IFERROR(__xludf.DUMMYFUNCTION("""COMPUTED_VALUE"""),27.0)</f>
        <v>27</v>
      </c>
      <c r="O30" s="1">
        <f>IFERROR(__xludf.DUMMYFUNCTION("""COMPUTED_VALUE"""),0.0)</f>
        <v>0</v>
      </c>
      <c r="P30" s="1" t="str">
        <f>IFERROR(__xludf.DUMMYFUNCTION("""COMPUTED_VALUE"""),"W: 0 T: 0 L: 2")</f>
        <v>W: 0 T: 0 L: 2</v>
      </c>
    </row>
    <row r="31">
      <c r="A31" s="1" t="str">
        <f>IFERROR(__xludf.DUMMYFUNCTION("""COMPUTED_VALUE"""),"West Windsor Plainsboro South")</f>
        <v>West Windsor Plainsboro South</v>
      </c>
      <c r="B31" s="1">
        <f>IFERROR(__xludf.DUMMYFUNCTION("""COMPUTED_VALUE"""),120.0)</f>
        <v>120</v>
      </c>
      <c r="C31" s="1">
        <f>IFERROR(__xludf.DUMMYFUNCTION("""COMPUTED_VALUE"""),84.0)</f>
        <v>84</v>
      </c>
      <c r="D31" s="20"/>
      <c r="E31" s="1">
        <f>IFERROR(__xludf.DUMMYFUNCTION("""COMPUTED_VALUE"""),48.0)</f>
        <v>48</v>
      </c>
      <c r="F31" s="1">
        <f>IFERROR(__xludf.DUMMYFUNCTION("""COMPUTED_VALUE"""),84.0)</f>
        <v>84</v>
      </c>
      <c r="G31" s="1">
        <f>IFERROR(__xludf.DUMMYFUNCTION("""COMPUTED_VALUE"""),4.0)</f>
        <v>4</v>
      </c>
      <c r="H31" s="1" t="str">
        <f>IFERROR(__xludf.DUMMYFUNCTION("""COMPUTED_VALUE"""),"W: 2 T: 0 L: 1")</f>
        <v>W: 2 T: 0 L: 1</v>
      </c>
      <c r="I31" s="1" t="str">
        <f>IFERROR(__xludf.DUMMYFUNCTION("""COMPUTED_VALUE"""),"CCA B")</f>
        <v>CCA B</v>
      </c>
      <c r="J31" s="1">
        <f>IFERROR(__xludf.DUMMYFUNCTION("""COMPUTED_VALUE"""),56.0)</f>
        <v>56</v>
      </c>
      <c r="K31" s="1">
        <f>IFERROR(__xludf.DUMMYFUNCTION("""COMPUTED_VALUE"""),64.0)</f>
        <v>64</v>
      </c>
      <c r="L31" s="20"/>
      <c r="M31" s="1"/>
      <c r="N31" s="1">
        <f>IFERROR(__xludf.DUMMYFUNCTION("""COMPUTED_VALUE"""),60.0)</f>
        <v>60</v>
      </c>
      <c r="O31" s="1">
        <f>IFERROR(__xludf.DUMMYFUNCTION("""COMPUTED_VALUE"""),2.0)</f>
        <v>2</v>
      </c>
      <c r="P31" s="1" t="str">
        <f>IFERROR(__xludf.DUMMYFUNCTION("""COMPUTED_VALUE"""),"W: 1 T: 0 L: 1")</f>
        <v>W: 1 T: 0 L: 1</v>
      </c>
    </row>
    <row r="32">
      <c r="A32" s="1" t="str">
        <f>IFERROR(__xludf.DUMMYFUNCTION("""COMPUTED_VALUE"""),"ASFA A")</f>
        <v>ASFA A</v>
      </c>
      <c r="B32" s="1">
        <f>IFERROR(__xludf.DUMMYFUNCTION("""COMPUTED_VALUE"""),46.0)</f>
        <v>46</v>
      </c>
      <c r="C32" s="1">
        <f>IFERROR(__xludf.DUMMYFUNCTION("""COMPUTED_VALUE"""),58.0)</f>
        <v>58</v>
      </c>
      <c r="D32" s="1">
        <f>IFERROR(__xludf.DUMMYFUNCTION("""COMPUTED_VALUE"""),70.0)</f>
        <v>70</v>
      </c>
      <c r="E32" s="20"/>
      <c r="F32" s="1">
        <f>IFERROR(__xludf.DUMMYFUNCTION("""COMPUTED_VALUE"""),58.0)</f>
        <v>58</v>
      </c>
      <c r="G32" s="1">
        <f>IFERROR(__xludf.DUMMYFUNCTION("""COMPUTED_VALUE"""),4.0)</f>
        <v>4</v>
      </c>
      <c r="H32" s="1" t="str">
        <f>IFERROR(__xludf.DUMMYFUNCTION("""COMPUTED_VALUE"""),"W: 2 T: 0 L: 1")</f>
        <v>W: 2 T: 0 L: 1</v>
      </c>
      <c r="I32" s="1"/>
      <c r="J32" s="1"/>
      <c r="K32" s="1"/>
      <c r="L32" s="1"/>
      <c r="M32" s="1"/>
      <c r="N32" s="1"/>
      <c r="O32" s="1"/>
      <c r="P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>
      <c r="A34" s="8" t="str">
        <f>IFERROR(__xludf.DUMMYFUNCTION("""COMPUTED_VALUE"""),"Shaq")</f>
        <v>Shaq</v>
      </c>
      <c r="H34" s="1"/>
      <c r="I34" s="8" t="str">
        <f>IFERROR(__xludf.DUMMYFUNCTION("""COMPUTED_VALUE"""),"Thanasis")</f>
        <v>Thanasis</v>
      </c>
      <c r="P34" s="1"/>
    </row>
    <row r="35">
      <c r="H35" s="1"/>
      <c r="P35" s="1"/>
    </row>
    <row r="36">
      <c r="H36" s="1"/>
      <c r="P36" s="1"/>
    </row>
    <row r="37" ht="34.5" customHeight="1">
      <c r="A37" s="1"/>
      <c r="B37" s="12" t="str">
        <f>IFERROR(__xludf.DUMMYFUNCTION("""COMPUTED_VALUE"""),"Clements B")</f>
        <v>Clements B</v>
      </c>
      <c r="C37" s="12" t="str">
        <f>IFERROR(__xludf.DUMMYFUNCTION("""COMPUTED_VALUE"""),"Palo Alto A")</f>
        <v>Palo Alto A</v>
      </c>
      <c r="D37" s="12" t="str">
        <f>IFERROR(__xludf.DUMMYFUNCTION("""COMPUTED_VALUE"""),"IMSA B")</f>
        <v>IMSA B</v>
      </c>
      <c r="E37" s="12" t="str">
        <f>IFERROR(__xludf.DUMMYFUNCTION("""COMPUTED_VALUE"""),"Green Hope A")</f>
        <v>Green Hope A</v>
      </c>
      <c r="F37" s="12" t="str">
        <f>IFERROR(__xludf.DUMMYFUNCTION("""COMPUTED_VALUE"""),"PPG")</f>
        <v>PPG</v>
      </c>
      <c r="G37" s="12" t="str">
        <f>IFERROR(__xludf.DUMMYFUNCTION("""COMPUTED_VALUE"""),"Points")</f>
        <v>Points</v>
      </c>
      <c r="H37" s="1"/>
      <c r="I37" s="1"/>
      <c r="J37" s="12" t="str">
        <f>IFERROR(__xludf.DUMMYFUNCTION("""COMPUTED_VALUE"""),"John Hopkins")</f>
        <v>John Hopkins</v>
      </c>
      <c r="K37" s="12" t="str">
        <f>IFERROR(__xludf.DUMMYFUNCTION("""COMPUTED_VALUE"""),"Frazer B")</f>
        <v>Frazer B</v>
      </c>
      <c r="L37" s="12" t="str">
        <f>IFERROR(__xludf.DUMMYFUNCTION("""COMPUTED_VALUE"""),"TJHSST A")</f>
        <v>TJHSST A</v>
      </c>
      <c r="M37" s="12" t="str">
        <f>IFERROR(__xludf.DUMMYFUNCTION("""COMPUTED_VALUE"""),"Brooklyn Tech A")</f>
        <v>Brooklyn Tech A</v>
      </c>
      <c r="N37" s="12" t="str">
        <f>IFERROR(__xludf.DUMMYFUNCTION("""COMPUTED_VALUE"""),"PPG")</f>
        <v>PPG</v>
      </c>
      <c r="O37" s="12" t="str">
        <f>IFERROR(__xludf.DUMMYFUNCTION("""COMPUTED_VALUE"""),"Points")</f>
        <v>Points</v>
      </c>
      <c r="P37" s="1"/>
    </row>
    <row r="38" ht="34.5" customHeight="1">
      <c r="A38" s="1"/>
      <c r="H38" s="1"/>
      <c r="I38" s="1"/>
      <c r="P38" s="1"/>
    </row>
    <row r="39" ht="34.5" customHeight="1">
      <c r="A39" s="1"/>
      <c r="H39" s="1"/>
      <c r="I39" s="1"/>
      <c r="P39" s="1"/>
    </row>
    <row r="40">
      <c r="A40" s="1" t="str">
        <f>IFERROR(__xludf.DUMMYFUNCTION("""COMPUTED_VALUE"""),"Clements B")</f>
        <v>Clements B</v>
      </c>
      <c r="B40" s="20"/>
      <c r="C40" s="1">
        <f>IFERROR(__xludf.DUMMYFUNCTION("""COMPUTED_VALUE"""),42.0)</f>
        <v>42</v>
      </c>
      <c r="D40" s="1">
        <f>IFERROR(__xludf.DUMMYFUNCTION("""COMPUTED_VALUE"""),74.0)</f>
        <v>74</v>
      </c>
      <c r="E40" s="1">
        <f>IFERROR(__xludf.DUMMYFUNCTION("""COMPUTED_VALUE"""),42.0)</f>
        <v>42</v>
      </c>
      <c r="F40" s="1">
        <f>IFERROR(__xludf.DUMMYFUNCTION("""COMPUTED_VALUE"""),52.67)</f>
        <v>52.67</v>
      </c>
      <c r="G40" s="1">
        <f>IFERROR(__xludf.DUMMYFUNCTION("""COMPUTED_VALUE"""),2.0)</f>
        <v>2</v>
      </c>
      <c r="H40" s="1" t="str">
        <f>IFERROR(__xludf.DUMMYFUNCTION("""COMPUTED_VALUE"""),"W: 1 T: 0 L: 2")</f>
        <v>W: 1 T: 0 L: 2</v>
      </c>
      <c r="I40" s="1" t="str">
        <f>IFERROR(__xludf.DUMMYFUNCTION("""COMPUTED_VALUE"""),"John Hopkins")</f>
        <v>John Hopkins</v>
      </c>
      <c r="J40" s="20"/>
      <c r="K40" s="1">
        <f>IFERROR(__xludf.DUMMYFUNCTION("""COMPUTED_VALUE"""),138.0)</f>
        <v>138</v>
      </c>
      <c r="L40" s="1">
        <f>IFERROR(__xludf.DUMMYFUNCTION("""COMPUTED_VALUE"""),136.0)</f>
        <v>136</v>
      </c>
      <c r="M40" s="1">
        <f>IFERROR(__xludf.DUMMYFUNCTION("""COMPUTED_VALUE"""),118.0)</f>
        <v>118</v>
      </c>
      <c r="N40" s="1">
        <f>IFERROR(__xludf.DUMMYFUNCTION("""COMPUTED_VALUE"""),130.67)</f>
        <v>130.67</v>
      </c>
      <c r="O40" s="1">
        <f>IFERROR(__xludf.DUMMYFUNCTION("""COMPUTED_VALUE"""),6.0)</f>
        <v>6</v>
      </c>
      <c r="P40" s="1" t="str">
        <f>IFERROR(__xludf.DUMMYFUNCTION("""COMPUTED_VALUE"""),"W: 3 T: 0 L: 0")</f>
        <v>W: 3 T: 0 L: 0</v>
      </c>
    </row>
    <row r="41">
      <c r="A41" s="1" t="str">
        <f>IFERROR(__xludf.DUMMYFUNCTION("""COMPUTED_VALUE"""),"Palo Alto A")</f>
        <v>Palo Alto A</v>
      </c>
      <c r="B41" s="1">
        <f>IFERROR(__xludf.DUMMYFUNCTION("""COMPUTED_VALUE"""),172.0)</f>
        <v>172</v>
      </c>
      <c r="C41" s="20"/>
      <c r="D41" s="1">
        <f>IFERROR(__xludf.DUMMYFUNCTION("""COMPUTED_VALUE"""),80.0)</f>
        <v>80</v>
      </c>
      <c r="E41" s="1">
        <f>IFERROR(__xludf.DUMMYFUNCTION("""COMPUTED_VALUE"""),98.0)</f>
        <v>98</v>
      </c>
      <c r="F41" s="1">
        <f>IFERROR(__xludf.DUMMYFUNCTION("""COMPUTED_VALUE"""),116.67)</f>
        <v>116.67</v>
      </c>
      <c r="G41" s="1">
        <f>IFERROR(__xludf.DUMMYFUNCTION("""COMPUTED_VALUE"""),4.0)</f>
        <v>4</v>
      </c>
      <c r="H41" s="1" t="str">
        <f>IFERROR(__xludf.DUMMYFUNCTION("""COMPUTED_VALUE"""),"W: 2 T: 0 L: 1")</f>
        <v>W: 2 T: 0 L: 1</v>
      </c>
      <c r="I41" s="1" t="str">
        <f>IFERROR(__xludf.DUMMYFUNCTION("""COMPUTED_VALUE"""),"Frazer B")</f>
        <v>Frazer B</v>
      </c>
      <c r="J41" s="1">
        <f>IFERROR(__xludf.DUMMYFUNCTION("""COMPUTED_VALUE"""),46.0)</f>
        <v>46</v>
      </c>
      <c r="K41" s="20"/>
      <c r="L41" s="1">
        <f>IFERROR(__xludf.DUMMYFUNCTION("""COMPUTED_VALUE"""),12.0)</f>
        <v>12</v>
      </c>
      <c r="M41" s="1">
        <f>IFERROR(__xludf.DUMMYFUNCTION("""COMPUTED_VALUE"""),84.0)</f>
        <v>84</v>
      </c>
      <c r="N41" s="1">
        <f>IFERROR(__xludf.DUMMYFUNCTION("""COMPUTED_VALUE"""),47.33)</f>
        <v>47.33</v>
      </c>
      <c r="O41" s="1">
        <f>IFERROR(__xludf.DUMMYFUNCTION("""COMPUTED_VALUE"""),2.0)</f>
        <v>2</v>
      </c>
      <c r="P41" s="1" t="str">
        <f>IFERROR(__xludf.DUMMYFUNCTION("""COMPUTED_VALUE"""),"W: 1 T: 0 L: 2")</f>
        <v>W: 1 T: 0 L: 2</v>
      </c>
    </row>
    <row r="42">
      <c r="A42" s="1" t="str">
        <f>IFERROR(__xludf.DUMMYFUNCTION("""COMPUTED_VALUE"""),"IMSA B")</f>
        <v>IMSA B</v>
      </c>
      <c r="B42" s="1">
        <f>IFERROR(__xludf.DUMMYFUNCTION("""COMPUTED_VALUE"""),26.0)</f>
        <v>26</v>
      </c>
      <c r="C42" s="1">
        <f>IFERROR(__xludf.DUMMYFUNCTION("""COMPUTED_VALUE"""),4.0)</f>
        <v>4</v>
      </c>
      <c r="D42" s="20"/>
      <c r="E42" s="1">
        <f>IFERROR(__xludf.DUMMYFUNCTION("""COMPUTED_VALUE"""),80.0)</f>
        <v>80</v>
      </c>
      <c r="F42" s="1">
        <f>IFERROR(__xludf.DUMMYFUNCTION("""COMPUTED_VALUE"""),36.67)</f>
        <v>36.67</v>
      </c>
      <c r="G42" s="1">
        <f>IFERROR(__xludf.DUMMYFUNCTION("""COMPUTED_VALUE"""),0.0)</f>
        <v>0</v>
      </c>
      <c r="H42" s="1" t="str">
        <f>IFERROR(__xludf.DUMMYFUNCTION("""COMPUTED_VALUE"""),"W: 0 T: 0 L: 3")</f>
        <v>W: 0 T: 0 L: 3</v>
      </c>
      <c r="I42" s="1" t="str">
        <f>IFERROR(__xludf.DUMMYFUNCTION("""COMPUTED_VALUE"""),"TJHSST A")</f>
        <v>TJHSST A</v>
      </c>
      <c r="J42" s="1">
        <f>IFERROR(__xludf.DUMMYFUNCTION("""COMPUTED_VALUE"""),40.0)</f>
        <v>40</v>
      </c>
      <c r="K42" s="1">
        <f>IFERROR(__xludf.DUMMYFUNCTION("""COMPUTED_VALUE"""),82.0)</f>
        <v>82</v>
      </c>
      <c r="L42" s="20"/>
      <c r="M42" s="1">
        <f>IFERROR(__xludf.DUMMYFUNCTION("""COMPUTED_VALUE"""),132.0)</f>
        <v>132</v>
      </c>
      <c r="N42" s="1">
        <f>IFERROR(__xludf.DUMMYFUNCTION("""COMPUTED_VALUE"""),84.67)</f>
        <v>84.67</v>
      </c>
      <c r="O42" s="1">
        <f>IFERROR(__xludf.DUMMYFUNCTION("""COMPUTED_VALUE"""),4.0)</f>
        <v>4</v>
      </c>
      <c r="P42" s="1" t="str">
        <f>IFERROR(__xludf.DUMMYFUNCTION("""COMPUTED_VALUE"""),"W: 2 T: 0 L: 1")</f>
        <v>W: 2 T: 0 L: 1</v>
      </c>
    </row>
    <row r="43">
      <c r="A43" s="1" t="str">
        <f>IFERROR(__xludf.DUMMYFUNCTION("""COMPUTED_VALUE"""),"Green Hope A")</f>
        <v>Green Hope A</v>
      </c>
      <c r="B43" s="1">
        <f>IFERROR(__xludf.DUMMYFUNCTION("""COMPUTED_VALUE"""),68.0)</f>
        <v>68</v>
      </c>
      <c r="C43" s="1">
        <f>IFERROR(__xludf.DUMMYFUNCTION("""COMPUTED_VALUE"""),110.0)</f>
        <v>110</v>
      </c>
      <c r="D43" s="1">
        <f>IFERROR(__xludf.DUMMYFUNCTION("""COMPUTED_VALUE"""),96.0)</f>
        <v>96</v>
      </c>
      <c r="E43" s="20"/>
      <c r="F43" s="1">
        <f>IFERROR(__xludf.DUMMYFUNCTION("""COMPUTED_VALUE"""),91.33)</f>
        <v>91.33</v>
      </c>
      <c r="G43" s="1">
        <f>IFERROR(__xludf.DUMMYFUNCTION("""COMPUTED_VALUE"""),6.0)</f>
        <v>6</v>
      </c>
      <c r="H43" s="1" t="str">
        <f>IFERROR(__xludf.DUMMYFUNCTION("""COMPUTED_VALUE"""),"W: 3 T: 0 L: 0")</f>
        <v>W: 3 T: 0 L: 0</v>
      </c>
      <c r="I43" s="1" t="str">
        <f>IFERROR(__xludf.DUMMYFUNCTION("""COMPUTED_VALUE"""),"Brooklyn Tech A")</f>
        <v>Brooklyn Tech A</v>
      </c>
      <c r="J43" s="1">
        <f>IFERROR(__xludf.DUMMYFUNCTION("""COMPUTED_VALUE"""),4.0)</f>
        <v>4</v>
      </c>
      <c r="K43" s="1">
        <f>IFERROR(__xludf.DUMMYFUNCTION("""COMPUTED_VALUE"""),36.0)</f>
        <v>36</v>
      </c>
      <c r="L43" s="1">
        <f>IFERROR(__xludf.DUMMYFUNCTION("""COMPUTED_VALUE"""),30.0)</f>
        <v>30</v>
      </c>
      <c r="M43" s="20"/>
      <c r="N43" s="1">
        <f>IFERROR(__xludf.DUMMYFUNCTION("""COMPUTED_VALUE"""),23.33)</f>
        <v>23.33</v>
      </c>
      <c r="O43" s="1">
        <f>IFERROR(__xludf.DUMMYFUNCTION("""COMPUTED_VALUE"""),0.0)</f>
        <v>0</v>
      </c>
      <c r="P43" s="1" t="str">
        <f>IFERROR(__xludf.DUMMYFUNCTION("""COMPUTED_VALUE"""),"W: 0 T: 0 L: 3")</f>
        <v>W: 0 T: 0 L: 3</v>
      </c>
    </row>
    <row r="47">
      <c r="I47" s="20"/>
    </row>
  </sheetData>
  <mergeCells count="55">
    <mergeCell ref="O26:O28"/>
    <mergeCell ref="I34:O36"/>
    <mergeCell ref="J37:J39"/>
    <mergeCell ref="K37:K39"/>
    <mergeCell ref="L37:L39"/>
    <mergeCell ref="M37:M39"/>
    <mergeCell ref="N37:N39"/>
    <mergeCell ref="O37:O39"/>
    <mergeCell ref="F26:F28"/>
    <mergeCell ref="G26:G28"/>
    <mergeCell ref="J26:J28"/>
    <mergeCell ref="K26:K28"/>
    <mergeCell ref="L26:L28"/>
    <mergeCell ref="M26:M28"/>
    <mergeCell ref="N26:N28"/>
    <mergeCell ref="B26:B28"/>
    <mergeCell ref="B37:B39"/>
    <mergeCell ref="C37:C39"/>
    <mergeCell ref="D37:D39"/>
    <mergeCell ref="E37:E39"/>
    <mergeCell ref="F37:F39"/>
    <mergeCell ref="G37:G39"/>
    <mergeCell ref="E15:E17"/>
    <mergeCell ref="F15:F17"/>
    <mergeCell ref="A23:G25"/>
    <mergeCell ref="C26:C28"/>
    <mergeCell ref="D26:D28"/>
    <mergeCell ref="E26:E28"/>
    <mergeCell ref="A34:G36"/>
    <mergeCell ref="K4:K6"/>
    <mergeCell ref="L4:L6"/>
    <mergeCell ref="M4:M6"/>
    <mergeCell ref="N4:N6"/>
    <mergeCell ref="A1:G3"/>
    <mergeCell ref="I1:O3"/>
    <mergeCell ref="B4:B6"/>
    <mergeCell ref="C4:C6"/>
    <mergeCell ref="D4:D6"/>
    <mergeCell ref="E4:E6"/>
    <mergeCell ref="F4:F6"/>
    <mergeCell ref="G15:G17"/>
    <mergeCell ref="J15:J17"/>
    <mergeCell ref="K15:K17"/>
    <mergeCell ref="L15:L17"/>
    <mergeCell ref="M15:M17"/>
    <mergeCell ref="N15:N17"/>
    <mergeCell ref="I23:O25"/>
    <mergeCell ref="G4:G6"/>
    <mergeCell ref="J4:J6"/>
    <mergeCell ref="A12:F14"/>
    <mergeCell ref="I12:O14"/>
    <mergeCell ref="B15:B17"/>
    <mergeCell ref="C15:C17"/>
    <mergeCell ref="D15:D17"/>
    <mergeCell ref="O15:O17"/>
  </mergeCells>
  <drawing r:id="rId1"/>
</worksheet>
</file>