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anced DE" sheetId="1" r:id="rId5"/>
    <sheet state="visible" name="Novice SE" sheetId="2" r:id="rId6"/>
    <sheet state="visible" name="Seeding" sheetId="3" r:id="rId7"/>
    <sheet state="visible" name="RR Results (Novice)" sheetId="4" r:id="rId8"/>
    <sheet state="visible" name="RR Results (Adv)" sheetId="5" r:id="rId9"/>
    <sheet state="visible" name="RR Schedule (Novice)" sheetId="6" r:id="rId10"/>
    <sheet state="visible" name="RR Schedule (Adv)" sheetId="7" r:id="rId11"/>
    <sheet state="hidden" name="SE Bracket (Alt)" sheetId="8" r:id="rId12"/>
    <sheet state="visible" name="RR Crosstables (Novice)" sheetId="9" r:id="rId13"/>
    <sheet state="visible" name="RR Crosstables (Adv)" sheetId="10" r:id="rId14"/>
  </sheets>
  <definedNames/>
  <calcPr/>
</workbook>
</file>

<file path=xl/sharedStrings.xml><?xml version="1.0" encoding="utf-8"?>
<sst xmlns="http://schemas.openxmlformats.org/spreadsheetml/2006/main" count="1628" uniqueCount="212">
  <si>
    <t>Advanced DE</t>
  </si>
  <si>
    <t>DE 1: 9-9:30 PDT</t>
  </si>
  <si>
    <t>DE 2: 9:30-10 PDT</t>
  </si>
  <si>
    <t>DE 3: 10-10:30 PDT</t>
  </si>
  <si>
    <t>DE 4: 10:45-11:15 PDT</t>
  </si>
  <si>
    <t>DE 5: 11:15-11:45 PDT</t>
  </si>
  <si>
    <t>DE 6: 11:45-12:15 PDT</t>
  </si>
  <si>
    <t>DE 7: 12:30-1 PDT</t>
  </si>
  <si>
    <t>DE 8: 1-1:30 PDT</t>
  </si>
  <si>
    <t>DE 9: 1:30-2 PDT</t>
  </si>
  <si>
    <t>DE 10: 2-2:30 PDT</t>
  </si>
  <si>
    <t>DE 11: 2:30-3 PDT</t>
  </si>
  <si>
    <t xml:space="preserve">                           BYE</t>
  </si>
  <si>
    <t xml:space="preserve">BYE    </t>
  </si>
  <si>
    <t>Akhil B</t>
  </si>
  <si>
    <t>58+T</t>
  </si>
  <si>
    <t>Rohan B</t>
  </si>
  <si>
    <t>Kensuke O</t>
  </si>
  <si>
    <t>Jason Y</t>
  </si>
  <si>
    <t xml:space="preserve">   Novice SE</t>
  </si>
  <si>
    <t>SE 1: 9-9:30 PDT</t>
  </si>
  <si>
    <t>SE 2: 9:30-10 PDT</t>
  </si>
  <si>
    <t>SE 3: 10-10:30 PDT</t>
  </si>
  <si>
    <t>SE 4: 10:45-11:15 PDT</t>
  </si>
  <si>
    <t>Mihin B</t>
  </si>
  <si>
    <t>Chris W</t>
  </si>
  <si>
    <t>Mila H</t>
  </si>
  <si>
    <t>Jabez Z</t>
  </si>
  <si>
    <t>Timothy Y</t>
  </si>
  <si>
    <t>Sarabhesh S</t>
  </si>
  <si>
    <t>Achuth V</t>
  </si>
  <si>
    <t>Caroline H</t>
  </si>
  <si>
    <t>Dennis J</t>
  </si>
  <si>
    <t>Catherine D</t>
  </si>
  <si>
    <t>Jack W</t>
  </si>
  <si>
    <t>Monish S</t>
  </si>
  <si>
    <t>62+T</t>
  </si>
  <si>
    <t>Nathaniel O</t>
  </si>
  <si>
    <t>Sriman D</t>
  </si>
  <si>
    <t>Shannon I</t>
  </si>
  <si>
    <t>Maneesh G</t>
  </si>
  <si>
    <t>Advanced</t>
  </si>
  <si>
    <t>Novice</t>
  </si>
  <si>
    <t>Seed</t>
  </si>
  <si>
    <t>Name</t>
  </si>
  <si>
    <t>Ziang Z</t>
  </si>
  <si>
    <t>Alex L</t>
  </si>
  <si>
    <t>Camille P</t>
  </si>
  <si>
    <t>Peter B</t>
  </si>
  <si>
    <t>Ishaan K</t>
  </si>
  <si>
    <t>Suzuko O</t>
  </si>
  <si>
    <t>Bryce T</t>
  </si>
  <si>
    <t>Praneel A</t>
  </si>
  <si>
    <t>Varyan J</t>
  </si>
  <si>
    <t>Ian C</t>
  </si>
  <si>
    <t>Travis D</t>
  </si>
  <si>
    <t>Alex Z</t>
  </si>
  <si>
    <t>Advai S</t>
  </si>
  <si>
    <t>Darius S</t>
  </si>
  <si>
    <t>Abhiraam G</t>
  </si>
  <si>
    <t>Kevin F</t>
  </si>
  <si>
    <t>Akshay R</t>
  </si>
  <si>
    <t>Luyao Y</t>
  </si>
  <si>
    <t>Henry L</t>
  </si>
  <si>
    <t>Baljeet C</t>
  </si>
  <si>
    <t>RR Results (Novice)</t>
  </si>
  <si>
    <t>Albite</t>
  </si>
  <si>
    <t>Anorthite</t>
  </si>
  <si>
    <t>RR1</t>
  </si>
  <si>
    <t>RR2</t>
  </si>
  <si>
    <t>RR3</t>
  </si>
  <si>
    <t>RR4</t>
  </si>
  <si>
    <t>RR5</t>
  </si>
  <si>
    <t>RR6</t>
  </si>
  <si>
    <t>RR7</t>
  </si>
  <si>
    <t>Total</t>
  </si>
  <si>
    <t>Pts</t>
  </si>
  <si>
    <t>R</t>
  </si>
  <si>
    <t>T</t>
  </si>
  <si>
    <t>L</t>
  </si>
  <si>
    <t>W</t>
  </si>
  <si>
    <t>RR Results (Advanced)</t>
  </si>
  <si>
    <t>Almandine</t>
  </si>
  <si>
    <t>Andradite</t>
  </si>
  <si>
    <t>Edwin H</t>
  </si>
  <si>
    <t>Birdie L</t>
  </si>
  <si>
    <t>Shreehan P</t>
  </si>
  <si>
    <t>Shashank V</t>
  </si>
  <si>
    <t>Shubam V</t>
  </si>
  <si>
    <t>Adam N</t>
  </si>
  <si>
    <t>Azim F</t>
  </si>
  <si>
    <t>Nimit A</t>
  </si>
  <si>
    <t>Pyrope</t>
  </si>
  <si>
    <t>Grossular</t>
  </si>
  <si>
    <t>Shaleen B</t>
  </si>
  <si>
    <t>Jack G</t>
  </si>
  <si>
    <t>Shreyas E</t>
  </si>
  <si>
    <t>Mary P</t>
  </si>
  <si>
    <t>Daniel Y</t>
  </si>
  <si>
    <t>Sudhanva B</t>
  </si>
  <si>
    <t>Arnav H</t>
  </si>
  <si>
    <t>Andrew F</t>
  </si>
  <si>
    <t>Spessartine</t>
  </si>
  <si>
    <t>Uvarovite</t>
  </si>
  <si>
    <t>Aastik B</t>
  </si>
  <si>
    <t>Ryan E</t>
  </si>
  <si>
    <t>Isaiah S</t>
  </si>
  <si>
    <t>Joey L</t>
  </si>
  <si>
    <t>Taran J</t>
  </si>
  <si>
    <t>Gautam G</t>
  </si>
  <si>
    <t>Kian D</t>
  </si>
  <si>
    <t>Daniel J</t>
  </si>
  <si>
    <t>RR Schedule (Novice)</t>
  </si>
  <si>
    <t>Discord</t>
  </si>
  <si>
    <r>
      <rPr>
        <rFont val="Source Sans Pro"/>
        <b/>
        <color theme="1"/>
        <sz val="15.0"/>
      </rPr>
      <t xml:space="preserve">RR 1: </t>
    </r>
    <r>
      <rPr>
        <rFont val="Source Sans Pro"/>
        <b val="0"/>
        <color theme="1"/>
        <sz val="15.0"/>
      </rPr>
      <t>7/20-7/22</t>
    </r>
    <r>
      <rPr>
        <rFont val="Source Sans Pro"/>
        <b/>
        <color theme="1"/>
        <sz val="15.0"/>
      </rPr>
      <t xml:space="preserve">               RR 2: </t>
    </r>
    <r>
      <rPr>
        <rFont val="Source Sans Pro"/>
        <b val="0"/>
        <color theme="1"/>
        <sz val="15.0"/>
      </rPr>
      <t>7/23-7/25</t>
    </r>
    <r>
      <rPr>
        <rFont val="Source Sans Pro"/>
        <b/>
        <color theme="1"/>
        <sz val="15.0"/>
      </rPr>
      <t xml:space="preserve">               RR 3: </t>
    </r>
    <r>
      <rPr>
        <rFont val="Source Sans Pro"/>
        <b val="0"/>
        <color theme="1"/>
        <sz val="15.0"/>
      </rPr>
      <t>7/26-7/28</t>
    </r>
    <r>
      <rPr>
        <rFont val="Source Sans Pro"/>
        <b/>
        <color theme="1"/>
        <sz val="15.0"/>
      </rPr>
      <t xml:space="preserve">               RR 4: </t>
    </r>
    <r>
      <rPr>
        <rFont val="Source Sans Pro"/>
        <b val="0"/>
        <color theme="1"/>
        <sz val="15.0"/>
      </rPr>
      <t>7/29-7/31</t>
    </r>
    <r>
      <rPr>
        <rFont val="Source Sans Pro"/>
        <b/>
        <color theme="1"/>
        <sz val="15.0"/>
      </rPr>
      <t xml:space="preserve">               RR 5: </t>
    </r>
    <r>
      <rPr>
        <rFont val="Source Sans Pro"/>
        <b val="0"/>
        <color theme="1"/>
        <sz val="15.0"/>
      </rPr>
      <t>8/1-8/3</t>
    </r>
    <r>
      <rPr>
        <rFont val="Source Sans Pro"/>
        <b/>
        <color theme="1"/>
        <sz val="15.0"/>
      </rPr>
      <t xml:space="preserve">               RR 6: </t>
    </r>
    <r>
      <rPr>
        <rFont val="Source Sans Pro"/>
        <b val="0"/>
        <color theme="1"/>
        <sz val="15.0"/>
      </rPr>
      <t>8/4-8/6</t>
    </r>
    <r>
      <rPr>
        <rFont val="Source Sans Pro"/>
        <b/>
        <color theme="1"/>
        <sz val="15.0"/>
      </rPr>
      <t xml:space="preserve">               RR 7: </t>
    </r>
    <r>
      <rPr>
        <rFont val="Source Sans Pro"/>
        <b val="0"/>
        <color theme="1"/>
        <sz val="15.0"/>
      </rPr>
      <t>8/7-8/9</t>
    </r>
  </si>
  <si>
    <t>Username</t>
  </si>
  <si>
    <t>eco_5</t>
  </si>
  <si>
    <t>Albite (7)</t>
  </si>
  <si>
    <t>Anorthite (8)</t>
  </si>
  <si>
    <t>coconut102</t>
  </si>
  <si>
    <t xml:space="preserve">vexaddict_52655 </t>
  </si>
  <si>
    <t>7/20-7/22</t>
  </si>
  <si>
    <t>7/23-7/25</t>
  </si>
  <si>
    <t>7/26-7/28</t>
  </si>
  <si>
    <t>7/29-7/31</t>
  </si>
  <si>
    <t>8/1-8/3</t>
  </si>
  <si>
    <t>8/4-8/6</t>
  </si>
  <si>
    <t>8/7-8/9</t>
  </si>
  <si>
    <t>timmy.yu.123</t>
  </si>
  <si>
    <t>mila.n.pusheen</t>
  </si>
  <si>
    <t>Voidless_psycho</t>
  </si>
  <si>
    <t>ukraine7776</t>
  </si>
  <si>
    <t>COPPERCEREAL</t>
  </si>
  <si>
    <t>.orca.whale.</t>
  </si>
  <si>
    <t>karasuno0766</t>
  </si>
  <si>
    <t>shamp0</t>
  </si>
  <si>
    <t>KINGRel</t>
  </si>
  <si>
    <t>Giannis</t>
  </si>
  <si>
    <t>sellmeperson</t>
  </si>
  <si>
    <t>alkalint</t>
  </si>
  <si>
    <t>Sr¡m@η!</t>
  </si>
  <si>
    <t>RR Schedule (Advanced)</t>
  </si>
  <si>
    <r>
      <rPr>
        <rFont val="Source Sans Pro"/>
        <b/>
        <color theme="1"/>
        <sz val="15.0"/>
      </rPr>
      <t xml:space="preserve">RR 1: </t>
    </r>
    <r>
      <rPr>
        <rFont val="Source Sans Pro"/>
        <b val="0"/>
        <color theme="1"/>
        <sz val="15.0"/>
      </rPr>
      <t>7/20-7/22</t>
    </r>
    <r>
      <rPr>
        <rFont val="Source Sans Pro"/>
        <b/>
        <color theme="1"/>
        <sz val="15.0"/>
      </rPr>
      <t xml:space="preserve">               RR 2: </t>
    </r>
    <r>
      <rPr>
        <rFont val="Source Sans Pro"/>
        <b val="0"/>
        <color theme="1"/>
        <sz val="15.0"/>
      </rPr>
      <t>7/23-7/25</t>
    </r>
    <r>
      <rPr>
        <rFont val="Source Sans Pro"/>
        <b/>
        <color theme="1"/>
        <sz val="15.0"/>
      </rPr>
      <t xml:space="preserve">               RR 3: </t>
    </r>
    <r>
      <rPr>
        <rFont val="Source Sans Pro"/>
        <b val="0"/>
        <color theme="1"/>
        <sz val="15.0"/>
      </rPr>
      <t>7/26-7/28</t>
    </r>
    <r>
      <rPr>
        <rFont val="Source Sans Pro"/>
        <b/>
        <color theme="1"/>
        <sz val="15.0"/>
      </rPr>
      <t xml:space="preserve">               RR 4: </t>
    </r>
    <r>
      <rPr>
        <rFont val="Source Sans Pro"/>
        <b val="0"/>
        <color theme="1"/>
        <sz val="15.0"/>
      </rPr>
      <t>7/29-7/31</t>
    </r>
    <r>
      <rPr>
        <rFont val="Source Sans Pro"/>
        <b/>
        <color theme="1"/>
        <sz val="15.0"/>
      </rPr>
      <t xml:space="preserve">               RR 5: </t>
    </r>
    <r>
      <rPr>
        <rFont val="Source Sans Pro"/>
        <b val="0"/>
        <color theme="1"/>
        <sz val="15.0"/>
      </rPr>
      <t>8/1-8/3</t>
    </r>
    <r>
      <rPr>
        <rFont val="Source Sans Pro"/>
        <b/>
        <color theme="1"/>
        <sz val="15.0"/>
      </rPr>
      <t xml:space="preserve">               RR 6: </t>
    </r>
    <r>
      <rPr>
        <rFont val="Source Sans Pro"/>
        <b val="0"/>
        <color theme="1"/>
        <sz val="15.0"/>
      </rPr>
      <t>8/4-8/6</t>
    </r>
    <r>
      <rPr>
        <rFont val="Source Sans Pro"/>
        <b/>
        <color theme="1"/>
        <sz val="15.0"/>
      </rPr>
      <t xml:space="preserve">               RR 7: </t>
    </r>
    <r>
      <rPr>
        <rFont val="Source Sans Pro"/>
        <b val="0"/>
        <color theme="1"/>
        <sz val="15.0"/>
      </rPr>
      <t>8/7-8/9</t>
    </r>
  </si>
  <si>
    <t>thecryolite</t>
  </si>
  <si>
    <t>Almandine (1)</t>
  </si>
  <si>
    <t>Andradite (2)</t>
  </si>
  <si>
    <t>bdcl</t>
  </si>
  <si>
    <t>abat48</t>
  </si>
  <si>
    <t>draoethar</t>
  </si>
  <si>
    <t>GRB5128</t>
  </si>
  <si>
    <t>TheHyades</t>
  </si>
  <si>
    <t>The Shubaminator</t>
  </si>
  <si>
    <t>memyselfandi22</t>
  </si>
  <si>
    <t>shaulaz</t>
  </si>
  <si>
    <t>alpha_zom</t>
  </si>
  <si>
    <t>3neks</t>
  </si>
  <si>
    <t>hellcat4024</t>
  </si>
  <si>
    <t>Pyrope (3)</t>
  </si>
  <si>
    <t>Grossular (4)</t>
  </si>
  <si>
    <t>vorixx9850</t>
  </si>
  <si>
    <t>labrador1te</t>
  </si>
  <si>
    <t>coffeesmile1117</t>
  </si>
  <si>
    <t>nimit_agrawal_17406</t>
  </si>
  <si>
    <t>deasert_willow</t>
  </si>
  <si>
    <t>groundbreaker36</t>
  </si>
  <si>
    <t>Dwaii</t>
  </si>
  <si>
    <t>varnite</t>
  </si>
  <si>
    <t>mareeeena</t>
  </si>
  <si>
    <t>caravan._.</t>
  </si>
  <si>
    <t>supernova2011</t>
  </si>
  <si>
    <t>Spessartine (5)</t>
  </si>
  <si>
    <t>Uvarovite (6)</t>
  </si>
  <si>
    <t>ajrspeculator_30045</t>
  </si>
  <si>
    <t>_en2k</t>
  </si>
  <si>
    <t>actuallyadumbperson</t>
  </si>
  <si>
    <t>shreyase39</t>
  </si>
  <si>
    <t>baljeetoff</t>
  </si>
  <si>
    <t>abacus14</t>
  </si>
  <si>
    <t>sudbelur</t>
  </si>
  <si>
    <t>optil</t>
  </si>
  <si>
    <t>Spahgooti</t>
  </si>
  <si>
    <t>thepleiadess.</t>
  </si>
  <si>
    <t>sio2.cgp</t>
  </si>
  <si>
    <t>so.what.if.</t>
  </si>
  <si>
    <t>Travis_842</t>
  </si>
  <si>
    <t>iaaiahfishy</t>
  </si>
  <si>
    <t>taran0737</t>
  </si>
  <si>
    <t>pine2359</t>
  </si>
  <si>
    <t>.anglesey</t>
  </si>
  <si>
    <t>unweidlykhan349</t>
  </si>
  <si>
    <t>ic8300</t>
  </si>
  <si>
    <t>stitch2506</t>
  </si>
  <si>
    <t>quasarnymph9</t>
  </si>
  <si>
    <t>i_study_rocks</t>
  </si>
  <si>
    <t>d4rk_kn1ght52</t>
  </si>
  <si>
    <t>Darius D</t>
  </si>
  <si>
    <t>darisan3141</t>
  </si>
  <si>
    <t>daimen1859</t>
  </si>
  <si>
    <t>Waitlist:</t>
  </si>
  <si>
    <t>Kiefer C</t>
  </si>
  <si>
    <t>Eric L</t>
  </si>
  <si>
    <t>Harry G</t>
  </si>
  <si>
    <t>Ryan K</t>
  </si>
  <si>
    <t>SE Bracket</t>
  </si>
  <si>
    <t>2024 Earth and Space Scrimmage</t>
  </si>
  <si>
    <r>
      <rPr>
        <rFont val="Source Sans Pro"/>
        <b/>
        <color theme="1"/>
        <sz val="15.0"/>
      </rPr>
      <t>SE1</t>
    </r>
    <r>
      <rPr>
        <rFont val="Source Sans Pro"/>
        <b val="0"/>
        <color theme="1"/>
        <sz val="15.0"/>
      </rPr>
      <t>: Time</t>
    </r>
  </si>
  <si>
    <r>
      <rPr>
        <rFont val="Source Sans Pro"/>
        <b/>
        <color theme="1"/>
        <sz val="15.0"/>
      </rPr>
      <t>SE2</t>
    </r>
    <r>
      <rPr>
        <rFont val="Source Sans Pro"/>
        <b val="0"/>
        <color theme="1"/>
        <sz val="15.0"/>
      </rPr>
      <t>: Time</t>
    </r>
  </si>
  <si>
    <r>
      <rPr>
        <rFont val="Source Sans Pro"/>
        <b/>
        <color theme="1"/>
        <sz val="15.0"/>
      </rPr>
      <t>SE3</t>
    </r>
    <r>
      <rPr>
        <rFont val="Source Sans Pro"/>
        <b val="0"/>
        <color theme="1"/>
        <sz val="15.0"/>
      </rPr>
      <t>: Time</t>
    </r>
  </si>
  <si>
    <r>
      <rPr>
        <rFont val="Source Sans Pro"/>
        <b/>
        <color theme="1"/>
        <sz val="15.0"/>
      </rPr>
      <t>SE4</t>
    </r>
    <r>
      <rPr>
        <rFont val="Source Sans Pro"/>
        <b val="0"/>
        <color theme="1"/>
        <sz val="15.0"/>
      </rPr>
      <t>: Time</t>
    </r>
  </si>
  <si>
    <t>Player</t>
  </si>
  <si>
    <t>RR Crosstables (Novice)</t>
  </si>
  <si>
    <t>RR Crosstables (Advanced)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</si>
</sst>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, yy"/>
  </numFmts>
  <fonts count="19">
    <font>
      <sz val="10.0"/>
      <color rgb="FF000000"/>
      <name val="Arial"/>
      <scheme val="minor"/>
    </font>
    <font>
      <b/>
      <sz val="36.0"/>
      <color rgb="FFF3F3F3"/>
      <name val="Source Sans Pro"/>
    </font>
    <font>
      <b/>
      <sz val="15.0"/>
      <color theme="1"/>
      <name val="Source Sans Pro"/>
    </font>
    <font/>
    <font>
      <sz val="11.0"/>
      <color theme="1"/>
      <name val="Source Sans Pro"/>
    </font>
    <font>
      <b/>
      <sz val="11.0"/>
      <color rgb="FFEFEFEF"/>
      <name val="Source Sans Pro"/>
    </font>
    <font>
      <b/>
      <sz val="11.0"/>
      <color theme="1"/>
      <name val="Source Sans Pro"/>
    </font>
    <font>
      <b/>
      <sz val="11.0"/>
      <color rgb="FF000000"/>
      <name val="Source Sans Pro"/>
    </font>
    <font>
      <color theme="1"/>
      <name val="Arial"/>
      <scheme val="minor"/>
    </font>
    <font>
      <b/>
      <sz val="13.0"/>
      <color rgb="FFEFEFEF"/>
      <name val="Source Sans Pro"/>
    </font>
    <font>
      <color theme="1"/>
      <name val="Arial"/>
    </font>
    <font>
      <b/>
      <sz val="11.0"/>
      <color rgb="FFFFFFFF"/>
      <name val="Source Sans Pro"/>
    </font>
    <font>
      <color theme="1"/>
      <name val="Source Sans Pro"/>
    </font>
    <font>
      <sz val="11.0"/>
      <color rgb="FF000000"/>
      <name val="Source Sans Pro"/>
    </font>
    <font>
      <sz val="11.0"/>
      <color theme="1"/>
      <name val="Arial"/>
    </font>
    <font>
      <b/>
      <i/>
      <sz val="11.0"/>
      <color theme="1"/>
      <name val="Source Sans Pro"/>
    </font>
    <font>
      <b/>
      <sz val="15.0"/>
      <color rgb="FF000000"/>
      <name val="Source Sans Pro"/>
    </font>
    <font>
      <i/>
      <sz val="11.0"/>
      <color rgb="FF000000"/>
      <name val="Source Sans Pro"/>
    </font>
    <font>
      <b/>
      <sz val="13.0"/>
      <color theme="1"/>
      <name val="Source Sans Pro"/>
    </font>
  </fonts>
  <fills count="10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2342FF"/>
        <bgColor rgb="FF2342FF"/>
      </patternFill>
    </fill>
    <fill>
      <patternFill patternType="solid">
        <fgColor rgb="FF5569FF"/>
        <bgColor rgb="FF5569FF"/>
      </patternFill>
    </fill>
    <fill>
      <patternFill patternType="solid">
        <fgColor rgb="FFFFF9A8"/>
        <bgColor rgb="FFFFF9A8"/>
      </patternFill>
    </fill>
  </fills>
  <borders count="41">
    <border/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bottom style="medium">
        <color rgb="FFFBBC04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FBBC04"/>
      </top>
    </border>
    <border>
      <right style="medium">
        <color rgb="FFFBBC04"/>
      </right>
      <top style="medium">
        <color rgb="FFFBBC04"/>
      </top>
    </border>
    <border>
      <right style="medium">
        <color rgb="FFFBBC04"/>
      </right>
    </border>
    <border>
      <right style="medium">
        <color rgb="FFFBBC04"/>
      </right>
      <bottom style="medium">
        <color rgb="FFFBBC04"/>
      </bottom>
    </border>
    <border>
      <right style="medium">
        <color rgb="FFFF0000"/>
      </righ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top style="medium">
        <color rgb="FF5569FF"/>
      </top>
    </border>
    <border>
      <right style="medium">
        <color rgb="FF5569FF"/>
      </right>
      <top style="medium">
        <color rgb="FF5569FF"/>
      </top>
    </border>
    <border>
      <bottom style="medium">
        <color rgb="FF5569FF"/>
      </bottom>
    </border>
    <border>
      <right style="medium">
        <color rgb="FF5569FF"/>
      </right>
      <bottom style="medium">
        <color rgb="FF5569FF"/>
      </bottom>
    </border>
    <border>
      <right style="medium">
        <color rgb="FF5569FF"/>
      </right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Border="1" applyFont="1"/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4" fillId="3" fontId="5" numFmtId="0" xfId="0" applyAlignment="1" applyBorder="1" applyFill="1" applyFont="1">
      <alignment horizontal="center" readingOrder="0" textRotation="0" vertical="center"/>
    </xf>
    <xf borderId="5" fillId="0" fontId="4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6" fillId="0" fontId="7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vertical="center"/>
    </xf>
    <xf borderId="8" fillId="0" fontId="3" numFmtId="0" xfId="0" applyBorder="1" applyFont="1"/>
    <xf borderId="9" fillId="0" fontId="4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9" fillId="0" fontId="4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left" readingOrder="0" vertical="center"/>
    </xf>
    <xf borderId="5" fillId="0" fontId="4" numFmtId="0" xfId="0" applyAlignment="1" applyBorder="1" applyFont="1">
      <alignment horizontal="center" vertical="center"/>
    </xf>
    <xf borderId="0" fillId="0" fontId="4" numFmtId="164" xfId="0" applyAlignment="1" applyFont="1" applyNumberFormat="1">
      <alignment horizontal="center" readingOrder="0" vertical="center"/>
    </xf>
    <xf borderId="9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0" fillId="0" fontId="4" numFmtId="164" xfId="0" applyAlignment="1" applyFont="1" applyNumberFormat="1">
      <alignment vertical="center"/>
    </xf>
    <xf borderId="7" fillId="0" fontId="4" numFmtId="0" xfId="0" applyAlignment="1" applyBorder="1" applyFont="1">
      <alignment horizontal="right" readingOrder="0" vertical="center"/>
    </xf>
    <xf borderId="12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horizontal="center" readingOrder="0" textRotation="0" vertical="center"/>
    </xf>
    <xf borderId="0" fillId="0" fontId="6" numFmtId="0" xfId="0" applyAlignment="1" applyFon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0" fillId="4" fontId="6" numFmtId="0" xfId="0" applyAlignment="1" applyFill="1" applyFont="1">
      <alignment horizontal="center" readingOrder="0" vertical="center"/>
    </xf>
    <xf borderId="0" fillId="4" fontId="4" numFmtId="0" xfId="0" applyAlignment="1" applyFill="1" applyFont="1">
      <alignment vertical="center"/>
    </xf>
    <xf borderId="5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4" fillId="3" fontId="9" numFmtId="0" xfId="0" applyAlignment="1" applyBorder="1" applyFill="1" applyFont="1">
      <alignment horizontal="center" readingOrder="0" textRotation="0" vertical="center"/>
    </xf>
    <xf borderId="7" fillId="0" fontId="10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10" numFmtId="0" xfId="0" applyAlignment="1" applyFont="1">
      <alignment vertical="center"/>
    </xf>
    <xf borderId="11" fillId="0" fontId="10" numFmtId="0" xfId="0" applyAlignment="1" applyBorder="1" applyFont="1">
      <alignment vertical="center"/>
    </xf>
    <xf borderId="12" fillId="0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7" fillId="0" fontId="10" numFmtId="0" xfId="0" applyAlignment="1" applyBorder="1" applyFont="1">
      <alignment vertical="center"/>
    </xf>
    <xf borderId="13" fillId="0" fontId="10" numFmtId="0" xfId="0" applyAlignment="1" applyBorder="1" applyFont="1">
      <alignment vertical="center"/>
    </xf>
    <xf borderId="14" fillId="0" fontId="10" numFmtId="0" xfId="0" applyAlignment="1" applyBorder="1" applyFont="1">
      <alignment vertical="center"/>
    </xf>
    <xf borderId="13" fillId="0" fontId="10" numFmtId="0" xfId="0" applyAlignment="1" applyBorder="1" applyFont="1">
      <alignment vertical="center"/>
    </xf>
    <xf borderId="0" fillId="0" fontId="10" numFmtId="164" xfId="0" applyAlignment="1" applyFont="1" applyNumberFormat="1">
      <alignment vertical="center"/>
    </xf>
    <xf borderId="0" fillId="0" fontId="8" numFmtId="0" xfId="0" applyFont="1"/>
    <xf borderId="12" fillId="0" fontId="10" numFmtId="0" xfId="0" applyAlignment="1" applyBorder="1" applyFont="1">
      <alignment vertical="center"/>
    </xf>
    <xf borderId="14" fillId="0" fontId="10" numFmtId="0" xfId="0" applyAlignment="1" applyBorder="1" applyFont="1">
      <alignment vertical="center"/>
    </xf>
    <xf borderId="16" fillId="2" fontId="11" numFmtId="0" xfId="0" applyAlignment="1" applyBorder="1" applyFill="1" applyFont="1">
      <alignment horizontal="center" readingOrder="0"/>
    </xf>
    <xf borderId="17" fillId="0" fontId="3" numFmtId="0" xfId="0" applyBorder="1" applyFont="1"/>
    <xf borderId="18" fillId="2" fontId="11" numFmtId="0" xfId="0" applyAlignment="1" applyBorder="1" applyFill="1" applyFont="1">
      <alignment horizontal="center" readingOrder="0"/>
    </xf>
    <xf borderId="19" fillId="2" fontId="11" numFmtId="0" xfId="0" applyAlignment="1" applyBorder="1" applyFill="1" applyFont="1">
      <alignment horizontal="center" readingOrder="0"/>
    </xf>
    <xf borderId="20" fillId="2" fontId="11" numFmtId="0" xfId="0" applyAlignment="1" applyBorder="1" applyFill="1" applyFont="1">
      <alignment horizontal="center" readingOrder="0"/>
    </xf>
    <xf borderId="21" fillId="0" fontId="4" numFmtId="0" xfId="0" applyAlignment="1" applyBorder="1" applyFont="1">
      <alignment horizontal="center" readingOrder="0"/>
    </xf>
    <xf borderId="22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2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22" fillId="0" fontId="4" numFmtId="0" xfId="0" applyAlignment="1" applyBorder="1" applyFont="1">
      <alignment horizontal="center"/>
    </xf>
    <xf borderId="23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 readingOrder="0"/>
    </xf>
    <xf borderId="9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0" fillId="3" fontId="1" numFmtId="0" xfId="0" applyAlignment="1" applyFill="1" applyFont="1">
      <alignment horizontal="center" readingOrder="0" vertical="center"/>
    </xf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Font="1"/>
    <xf borderId="2" fillId="3" fontId="9" numFmtId="0" xfId="0" applyAlignment="1" applyBorder="1" applyFill="1" applyFont="1">
      <alignment horizontal="center" readingOrder="0" vertical="bottom"/>
    </xf>
    <xf borderId="24" fillId="0" fontId="12" numFmtId="0" xfId="0" applyBorder="1" applyFont="1"/>
    <xf borderId="25" fillId="5" fontId="7" numFmtId="0" xfId="0" applyAlignment="1" applyBorder="1" applyFill="1" applyFont="1">
      <alignment horizontal="center" readingOrder="0" vertical="bottom"/>
    </xf>
    <xf borderId="26" fillId="0" fontId="6" numFmtId="0" xfId="0" applyAlignment="1" applyBorder="1" applyFont="1">
      <alignment horizontal="center" readingOrder="0" vertical="bottom"/>
    </xf>
    <xf borderId="26" fillId="0" fontId="3" numFmtId="0" xfId="0" applyBorder="1" applyFont="1"/>
    <xf borderId="27" fillId="0" fontId="6" numFmtId="0" xfId="0" applyAlignment="1" applyBorder="1" applyFont="1">
      <alignment horizontal="center" readingOrder="0" vertical="bottom"/>
    </xf>
    <xf borderId="25" fillId="0" fontId="3" numFmtId="0" xfId="0" applyBorder="1" applyFont="1"/>
    <xf borderId="26" fillId="0" fontId="6" numFmtId="0" xfId="0" applyAlignment="1" applyBorder="1" applyFont="1">
      <alignment horizontal="center" readingOrder="0"/>
    </xf>
    <xf borderId="25" fillId="0" fontId="6" numFmtId="0" xfId="0" applyAlignment="1" applyBorder="1" applyFont="1">
      <alignment horizontal="center" readingOrder="0"/>
    </xf>
    <xf borderId="28" fillId="0" fontId="6" numFmtId="0" xfId="0" applyAlignment="1" applyBorder="1" applyFont="1">
      <alignment horizontal="center" readingOrder="0"/>
    </xf>
    <xf borderId="29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30" fillId="0" fontId="4" numFmtId="0" xfId="0" applyAlignment="1" applyBorder="1" applyFont="1">
      <alignment horizontal="center" readingOrder="0" vertical="bottom"/>
    </xf>
    <xf borderId="29" fillId="0" fontId="4" numFmtId="0" xfId="0" applyAlignment="1" applyBorder="1" applyFont="1">
      <alignment horizontal="center" readingOrder="0" vertical="bottom"/>
    </xf>
    <xf borderId="29" fillId="0" fontId="4" numFmtId="0" xfId="0" applyAlignment="1" applyBorder="1" applyFont="1">
      <alignment horizontal="center" readingOrder="0"/>
    </xf>
    <xf borderId="22" fillId="0" fontId="6" numFmtId="0" xfId="0" applyAlignment="1" applyBorder="1" applyFont="1">
      <alignment horizontal="center" readingOrder="0"/>
    </xf>
    <xf borderId="24" fillId="0" fontId="12" numFmtId="0" xfId="0" applyAlignment="1" applyBorder="1" applyFont="1">
      <alignment horizontal="center"/>
    </xf>
    <xf borderId="0" fillId="0" fontId="4" numFmtId="0" xfId="0" applyAlignment="1" applyFont="1">
      <alignment horizontal="center" readingOrder="0" vertical="bottom"/>
    </xf>
    <xf borderId="31" fillId="4" fontId="4" numFmtId="0" xfId="0" applyAlignment="1" applyBorder="1" applyFill="1" applyFont="1">
      <alignment horizontal="center" vertical="bottom"/>
    </xf>
    <xf borderId="9" fillId="0" fontId="4" numFmtId="0" xfId="0" applyAlignment="1" applyBorder="1" applyFont="1">
      <alignment horizontal="center" readingOrder="0" vertical="bottom"/>
    </xf>
    <xf borderId="32" fillId="0" fontId="4" numFmtId="0" xfId="0" applyAlignment="1" applyBorder="1" applyFont="1">
      <alignment horizontal="center" readingOrder="0" vertical="bottom"/>
    </xf>
    <xf borderId="31" fillId="0" fontId="4" numFmtId="0" xfId="0" applyAlignment="1" applyBorder="1" applyFont="1">
      <alignment horizontal="center" readingOrder="0" vertical="bottom"/>
    </xf>
    <xf borderId="9" fillId="0" fontId="4" numFmtId="0" xfId="0" applyAlignment="1" applyBorder="1" applyFont="1">
      <alignment horizontal="center" readingOrder="0"/>
    </xf>
    <xf borderId="31" fillId="0" fontId="4" numFmtId="0" xfId="0" applyAlignment="1" applyBorder="1" applyFont="1">
      <alignment horizontal="center" readingOrder="0"/>
    </xf>
    <xf borderId="10" fillId="0" fontId="6" numFmtId="0" xfId="0" applyAlignment="1" applyBorder="1" applyFont="1">
      <alignment horizontal="center" readingOrder="0"/>
    </xf>
    <xf borderId="24" fillId="0" fontId="12" numFmtId="0" xfId="0" applyAlignment="1" applyBorder="1" applyFont="1">
      <alignment horizontal="center" readingOrder="0"/>
    </xf>
    <xf borderId="31" fillId="4" fontId="4" numFmtId="0" xfId="0" applyAlignment="1" applyBorder="1" applyFill="1" applyFont="1">
      <alignment horizontal="center" readingOrder="0" vertical="bottom"/>
    </xf>
    <xf borderId="24" fillId="0" fontId="12" numFmtId="0" xfId="0" applyAlignment="1" applyBorder="1" applyFont="1">
      <alignment readingOrder="0"/>
    </xf>
    <xf borderId="33" fillId="0" fontId="4" numFmtId="0" xfId="0" applyAlignment="1" applyBorder="1" applyFont="1">
      <alignment horizontal="center" readingOrder="0" vertical="bottom"/>
    </xf>
    <xf borderId="0" fillId="3" fontId="1" numFmtId="0" xfId="0" applyAlignment="1" applyFill="1" applyFont="1">
      <alignment horizontal="center" readingOrder="0"/>
    </xf>
    <xf borderId="0" fillId="3" fontId="10" numFmtId="0" xfId="0" applyFill="1" applyFont="1"/>
    <xf borderId="21" fillId="3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10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21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3" fontId="9" numFmtId="0" xfId="0" applyAlignment="1" applyBorder="1" applyFill="1" applyFont="1">
      <alignment horizontal="center" vertical="bottom"/>
    </xf>
    <xf borderId="21" fillId="0" fontId="10" numFmtId="0" xfId="0" applyAlignment="1" applyBorder="1" applyFont="1">
      <alignment vertical="bottom"/>
    </xf>
    <xf borderId="26" fillId="0" fontId="4" numFmtId="0" xfId="0" applyAlignment="1" applyBorder="1" applyFont="1">
      <alignment horizontal="center" vertical="bottom"/>
    </xf>
    <xf borderId="26" fillId="0" fontId="4" numFmtId="0" xfId="0" applyAlignment="1" applyBorder="1" applyFont="1">
      <alignment horizontal="center" readingOrder="0" vertical="bottom"/>
    </xf>
    <xf borderId="28" fillId="0" fontId="4" numFmtId="0" xfId="0" applyAlignment="1" applyBorder="1" applyFont="1">
      <alignment horizontal="center" vertical="bottom"/>
    </xf>
    <xf borderId="28" fillId="0" fontId="4" numFmtId="0" xfId="0" applyAlignment="1" applyBorder="1" applyFont="1">
      <alignment horizontal="center" readingOrder="0" vertical="bottom"/>
    </xf>
    <xf borderId="0" fillId="3" fontId="10" numFmtId="0" xfId="0" applyAlignment="1" applyFill="1" applyFont="1">
      <alignment vertical="bottom"/>
    </xf>
    <xf borderId="0" fillId="0" fontId="4" numFmtId="0" xfId="0" applyAlignment="1" applyFont="1">
      <alignment horizontal="center" vertical="bottom"/>
    </xf>
    <xf borderId="22" fillId="0" fontId="4" numFmtId="0" xfId="0" applyAlignment="1" applyBorder="1" applyFont="1">
      <alignment horizontal="center" vertical="bottom"/>
    </xf>
    <xf borderId="33" fillId="0" fontId="4" numFmtId="0" xfId="0" applyAlignment="1" applyBorder="1" applyFont="1">
      <alignment horizontal="center" vertical="bottom"/>
    </xf>
    <xf borderId="21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21" fillId="6" fontId="4" numFmtId="0" xfId="0" applyAlignment="1" applyBorder="1" applyFill="1" applyFont="1">
      <alignment shrinkToFit="0" vertical="bottom" wrapText="0"/>
    </xf>
    <xf borderId="0" fillId="6" fontId="4" numFmtId="0" xfId="0" applyAlignment="1" applyFill="1" applyFont="1">
      <alignment shrinkToFit="0" vertical="bottom" wrapText="0"/>
    </xf>
    <xf borderId="34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0" fillId="3" fontId="10" numFmtId="0" xfId="0" applyAlignment="1" applyBorder="1" applyFill="1" applyFont="1">
      <alignment vertical="bottom"/>
    </xf>
    <xf borderId="19" fillId="0" fontId="10" numFmtId="0" xfId="0" applyAlignment="1" applyBorder="1" applyFont="1">
      <alignment vertical="bottom"/>
    </xf>
    <xf borderId="35" fillId="0" fontId="10" numFmtId="0" xfId="0" applyAlignment="1" applyBorder="1" applyFont="1">
      <alignment vertical="bottom"/>
    </xf>
    <xf borderId="23" fillId="0" fontId="10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vertical="bottom"/>
    </xf>
    <xf borderId="0" fillId="0" fontId="1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 vertical="bottom"/>
    </xf>
    <xf borderId="21" fillId="6" fontId="4" numFmtId="0" xfId="0" applyAlignment="1" applyBorder="1" applyFill="1" applyFont="1">
      <alignment readingOrder="0" shrinkToFit="0" vertical="bottom" wrapText="0"/>
    </xf>
    <xf borderId="0" fillId="6" fontId="4" numFmtId="0" xfId="0" applyAlignment="1" applyFill="1" applyFont="1">
      <alignment readingOrder="0" shrinkToFit="0" vertical="bottom" wrapText="0"/>
    </xf>
    <xf borderId="34" fillId="0" fontId="4" numFmtId="0" xfId="0" applyAlignment="1" applyBorder="1" applyFont="1">
      <alignment horizontal="center" readingOrder="0" vertical="bottom"/>
    </xf>
    <xf borderId="28" fillId="0" fontId="10" numFmtId="0" xfId="0" applyAlignment="1" applyBorder="1" applyFont="1">
      <alignment readingOrder="0" vertical="bottom"/>
    </xf>
    <xf borderId="0" fillId="0" fontId="14" numFmtId="0" xfId="0" applyAlignment="1" applyFont="1">
      <alignment horizontal="center" vertical="bottom"/>
    </xf>
    <xf borderId="0" fillId="4" fontId="13" numFmtId="0" xfId="0" applyAlignment="1" applyFill="1" applyFont="1">
      <alignment horizontal="left" shrinkToFit="0" vertical="bottom" wrapText="0"/>
    </xf>
    <xf borderId="21" fillId="6" fontId="4" numFmtId="0" xfId="0" applyAlignment="1" applyBorder="1" applyFill="1" applyFont="1">
      <alignment readingOrder="0" vertical="bottom"/>
    </xf>
    <xf borderId="0" fillId="6" fontId="4" numFmtId="0" xfId="0" applyAlignment="1" applyFill="1" applyFont="1">
      <alignment readingOrder="0" vertical="bottom"/>
    </xf>
    <xf borderId="0" fillId="0" fontId="15" numFmtId="0" xfId="0" applyAlignment="1" applyFont="1">
      <alignment horizontal="center" readingOrder="0" vertical="bottom"/>
    </xf>
    <xf borderId="0" fillId="4" fontId="16" numFmtId="0" xfId="0" applyAlignment="1" applyFill="1" applyFont="1">
      <alignment horizontal="center" readingOrder="0" shrinkToFit="0" vertical="bottom" wrapText="0"/>
    </xf>
    <xf borderId="0" fillId="4" fontId="17" numFmtId="0" xfId="0" applyAlignment="1" applyFill="1" applyFont="1">
      <alignment horizontal="left" readingOrder="0" shrinkToFit="0" vertical="bottom" wrapText="0"/>
    </xf>
    <xf borderId="0" fillId="7" fontId="1" numFmtId="0" xfId="0" applyAlignment="1" applyFill="1" applyFont="1">
      <alignment horizontal="center" readingOrder="0" textRotation="90" vertical="center"/>
    </xf>
    <xf borderId="0" fillId="7" fontId="1" numFmtId="0" xfId="0" applyAlignment="1" applyFill="1" applyFont="1">
      <alignment horizontal="center"/>
    </xf>
    <xf borderId="2" fillId="0" fontId="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/>
    </xf>
    <xf borderId="4" fillId="8" fontId="9" numFmtId="0" xfId="0" applyAlignment="1" applyBorder="1" applyFill="1" applyFont="1">
      <alignment horizontal="center" readingOrder="0" textRotation="0" vertical="center"/>
    </xf>
    <xf borderId="5" fillId="0" fontId="4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36" fillId="0" fontId="4" numFmtId="0" xfId="0" applyAlignment="1" applyBorder="1" applyFont="1">
      <alignment horizontal="center"/>
    </xf>
    <xf borderId="37" fillId="0" fontId="4" numFmtId="0" xfId="0" applyAlignment="1" applyBorder="1" applyFont="1">
      <alignment horizontal="center"/>
    </xf>
    <xf borderId="38" fillId="0" fontId="4" numFmtId="0" xfId="0" applyAlignment="1" applyBorder="1" applyFont="1">
      <alignment horizontal="center"/>
    </xf>
    <xf borderId="39" fillId="0" fontId="4" numFmtId="0" xfId="0" applyAlignment="1" applyBorder="1" applyFont="1">
      <alignment horizontal="center"/>
    </xf>
    <xf borderId="40" fillId="0" fontId="4" numFmtId="0" xfId="0" applyAlignment="1" applyBorder="1" applyFont="1">
      <alignment horizontal="center"/>
    </xf>
    <xf borderId="40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18" numFmtId="0" xfId="0" applyAlignment="1" applyFont="1">
      <alignment horizontal="center" readingOrder="0" textRotation="0" vertical="center"/>
    </xf>
    <xf borderId="0" fillId="0" fontId="6" numFmtId="0" xfId="0" applyAlignment="1" applyFont="1">
      <alignment horizontal="center" readingOrder="0"/>
    </xf>
    <xf borderId="40" fillId="0" fontId="18" numFmtId="0" xfId="0" applyAlignment="1" applyBorder="1" applyFont="1">
      <alignment horizontal="center" readingOrder="0" textRotation="0" vertical="center"/>
    </xf>
    <xf borderId="38" fillId="0" fontId="4" numFmtId="0" xfId="0" applyAlignment="1" applyBorder="1" applyFont="1">
      <alignment horizontal="center" readingOrder="0"/>
    </xf>
    <xf borderId="39" fillId="0" fontId="4" numFmtId="0" xfId="0" applyAlignment="1" applyBorder="1" applyFont="1">
      <alignment horizontal="center" readingOrder="0"/>
    </xf>
    <xf borderId="0" fillId="3" fontId="4" numFmtId="0" xfId="0" applyAlignment="1" applyFill="1" applyFont="1">
      <alignment horizontal="center" vertical="center"/>
    </xf>
    <xf borderId="0" fillId="9" fontId="4" numFmtId="0" xfId="0" applyAlignment="1" applyFill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22" fillId="9" fontId="4" numFmtId="0" xfId="0" applyAlignment="1" applyBorder="1" applyFill="1" applyFont="1">
      <alignment horizontal="center" vertical="center"/>
    </xf>
    <xf borderId="9" fillId="9" fontId="4" numFmtId="0" xfId="0" applyAlignment="1" applyBorder="1" applyFill="1" applyFont="1">
      <alignment horizontal="center" vertical="center"/>
    </xf>
    <xf borderId="10" fillId="3" fontId="4" numFmtId="0" xfId="0" applyAlignment="1" applyBorder="1" applyFill="1" applyFont="1">
      <alignment horizontal="center" vertical="center"/>
    </xf>
    <xf borderId="25" fillId="0" fontId="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9">
    <dxf>
      <font>
        <color rgb="FF999999"/>
      </font>
      <fill>
        <patternFill patternType="none"/>
      </fill>
      <border/>
    </dxf>
    <dxf>
      <font>
        <color rgb="FFD9D9D9"/>
      </font>
      <fill>
        <patternFill patternType="none"/>
      </fill>
      <border/>
    </dxf>
    <dxf>
      <font>
        <b/>
      </font>
      <fill>
        <patternFill patternType="solid">
          <fgColor rgb="FFC5FFB1"/>
          <bgColor rgb="FFC5FFB1"/>
        </patternFill>
      </fill>
      <border/>
    </dxf>
    <dxf>
      <font>
        <b/>
      </font>
      <fill>
        <patternFill patternType="solid">
          <fgColor rgb="FFFFC6C6"/>
          <bgColor rgb="FFFFC6C6"/>
        </patternFill>
      </fill>
      <border/>
    </dxf>
    <dxf>
      <font>
        <b/>
        <color rgb="FF000000"/>
      </font>
      <fill>
        <patternFill patternType="solid">
          <fgColor rgb="FFFFF9A8"/>
          <bgColor rgb="FFFFF9A8"/>
        </patternFill>
      </fill>
      <border/>
    </dxf>
    <dxf>
      <font>
        <b/>
      </font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C5FFB1"/>
          <bgColor rgb="FFC5FFB1"/>
        </patternFill>
      </fill>
      <border/>
    </dxf>
    <dxf>
      <font/>
      <fill>
        <patternFill patternType="solid">
          <fgColor rgb="FFFFC6C6"/>
          <bgColor rgb="FFFFC6C6"/>
        </patternFill>
      </fill>
      <border/>
    </dxf>
    <dxf>
      <font/>
      <fill>
        <patternFill patternType="solid">
          <fgColor rgb="FFFFF9A8"/>
          <bgColor rgb="FFFFF9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2.63"/>
    <col customWidth="1" min="3" max="3" width="5.13"/>
    <col customWidth="1" min="4" max="4" width="8.88"/>
    <col customWidth="1" min="5" max="5" width="3.25"/>
    <col customWidth="1" min="6" max="6" width="12.63"/>
    <col customWidth="1" min="7" max="7" width="5.13"/>
    <col customWidth="1" min="8" max="8" width="8.88"/>
    <col customWidth="1" min="9" max="9" width="3.25"/>
    <col customWidth="1" min="10" max="10" width="12.63"/>
    <col customWidth="1" min="11" max="11" width="5.13"/>
    <col customWidth="1" min="12" max="12" width="8.88"/>
    <col customWidth="1" min="13" max="13" width="3.25"/>
    <col customWidth="1" min="14" max="14" width="12.63"/>
    <col customWidth="1" min="15" max="15" width="5.13"/>
    <col customWidth="1" min="16" max="16" width="8.88"/>
    <col customWidth="1" min="17" max="17" width="3.25"/>
    <col customWidth="1" min="18" max="18" width="12.63"/>
    <col customWidth="1" min="19" max="19" width="5.13"/>
    <col customWidth="1" min="20" max="20" width="8.88"/>
    <col customWidth="1" min="21" max="21" width="3.25"/>
    <col customWidth="1" min="22" max="22" width="12.63"/>
    <col customWidth="1" min="23" max="23" width="5.13"/>
    <col customWidth="1" min="24" max="24" width="8.88"/>
    <col customWidth="1" min="25" max="25" width="3.25"/>
    <col customWidth="1" min="26" max="26" width="12.63"/>
    <col customWidth="1" min="27" max="27" width="5.13"/>
    <col customWidth="1" min="28" max="28" width="8.88"/>
    <col customWidth="1" min="29" max="29" width="3.25"/>
    <col customWidth="1" min="30" max="30" width="12.63"/>
    <col customWidth="1" min="31" max="31" width="5.13"/>
    <col customWidth="1" min="32" max="32" width="8.88"/>
    <col customWidth="1" min="33" max="33" width="3.25"/>
    <col customWidth="1" min="34" max="34" width="12.63"/>
    <col customWidth="1" min="35" max="35" width="5.13"/>
    <col customWidth="1" min="36" max="36" width="8.88"/>
    <col customWidth="1" min="37" max="37" width="3.25"/>
    <col customWidth="1" min="38" max="38" width="12.63"/>
    <col customWidth="1" min="39" max="39" width="5.13"/>
    <col customWidth="1" min="40" max="40" width="8.88"/>
    <col customWidth="1" min="41" max="41" width="3.25"/>
    <col customWidth="1" min="42" max="42" width="12.63"/>
    <col customWidth="1" min="43" max="43" width="5.13"/>
    <col customWidth="1" min="44" max="44" width="8.88"/>
  </cols>
  <sheetData>
    <row r="1" ht="48.75" customHeight="1">
      <c r="A1" s="1" t="s">
        <v>0</v>
      </c>
    </row>
    <row r="2">
      <c r="A2" s="2" t="s">
        <v>1</v>
      </c>
      <c r="B2" s="3"/>
      <c r="C2" s="3"/>
      <c r="D2" s="3"/>
      <c r="E2" s="4" t="s">
        <v>2</v>
      </c>
      <c r="F2" s="3"/>
      <c r="G2" s="3"/>
      <c r="H2" s="5"/>
      <c r="I2" s="4" t="s">
        <v>3</v>
      </c>
      <c r="J2" s="3"/>
      <c r="K2" s="3"/>
      <c r="L2" s="5"/>
      <c r="M2" s="4" t="s">
        <v>4</v>
      </c>
      <c r="N2" s="3"/>
      <c r="O2" s="3"/>
      <c r="P2" s="5"/>
      <c r="Q2" s="4" t="s">
        <v>5</v>
      </c>
      <c r="R2" s="3"/>
      <c r="S2" s="3"/>
      <c r="T2" s="5"/>
      <c r="U2" s="4" t="s">
        <v>6</v>
      </c>
      <c r="V2" s="3"/>
      <c r="W2" s="3"/>
      <c r="X2" s="5"/>
      <c r="Y2" s="4" t="s">
        <v>7</v>
      </c>
      <c r="Z2" s="3"/>
      <c r="AA2" s="3"/>
      <c r="AB2" s="5"/>
      <c r="AC2" s="4" t="s">
        <v>8</v>
      </c>
      <c r="AD2" s="3"/>
      <c r="AE2" s="3"/>
      <c r="AF2" s="5"/>
      <c r="AG2" s="4" t="s">
        <v>9</v>
      </c>
      <c r="AH2" s="3"/>
      <c r="AI2" s="3"/>
      <c r="AJ2" s="5"/>
      <c r="AK2" s="4" t="s">
        <v>10</v>
      </c>
      <c r="AL2" s="3"/>
      <c r="AM2" s="3"/>
      <c r="AN2" s="5"/>
      <c r="AO2" s="4" t="s">
        <v>11</v>
      </c>
      <c r="AP2" s="3"/>
      <c r="AQ2" s="3"/>
      <c r="AR2" s="5"/>
    </row>
    <row r="3">
      <c r="A3" s="6"/>
      <c r="B3" s="6"/>
      <c r="C3" s="6"/>
      <c r="D3" s="7"/>
      <c r="E3" s="6"/>
      <c r="F3" s="6"/>
      <c r="G3" s="6"/>
      <c r="H3" s="8"/>
      <c r="I3" s="8"/>
      <c r="J3" s="8"/>
      <c r="K3" s="8"/>
      <c r="L3" s="8"/>
      <c r="M3" s="8"/>
      <c r="N3" s="6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7"/>
      <c r="AB3" s="6"/>
      <c r="AC3" s="6"/>
      <c r="AD3" s="6"/>
      <c r="AE3" s="6"/>
      <c r="AF3" s="7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>
      <c r="A4" s="7"/>
      <c r="B4" s="6"/>
      <c r="C4" s="6"/>
      <c r="D4" s="8"/>
      <c r="E4" s="9">
        <v>9.0</v>
      </c>
      <c r="F4" s="10" t="str">
        <f>Seeding!B3</f>
        <v>Rohan B</v>
      </c>
      <c r="G4" s="11">
        <v>90.0</v>
      </c>
      <c r="H4" s="12"/>
      <c r="I4" s="12"/>
      <c r="J4" s="13"/>
      <c r="K4" s="13"/>
      <c r="L4" s="13"/>
      <c r="M4" s="13"/>
      <c r="N4" s="14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8"/>
      <c r="AC4" s="8"/>
      <c r="AD4" s="8"/>
      <c r="AE4" s="8"/>
      <c r="AF4" s="7"/>
      <c r="AG4" s="6"/>
      <c r="AH4" s="7"/>
      <c r="AI4" s="8"/>
      <c r="AJ4" s="8"/>
      <c r="AK4" s="8"/>
      <c r="AL4" s="8"/>
      <c r="AM4" s="8"/>
      <c r="AN4" s="8"/>
      <c r="AO4" s="8"/>
      <c r="AP4" s="8"/>
      <c r="AQ4" s="8"/>
      <c r="AR4" s="8"/>
    </row>
    <row r="5">
      <c r="A5" s="9">
        <v>1.0</v>
      </c>
      <c r="B5" s="10" t="str">
        <f>Seeding!B19</f>
        <v>Darius S</v>
      </c>
      <c r="C5" s="15">
        <v>0.0</v>
      </c>
      <c r="D5" s="16"/>
      <c r="E5" s="17"/>
      <c r="F5" s="18" t="str">
        <f>IFS(C5&gt;C6,B5,C5&lt;C6,B6,TRUE,)</f>
        <v>Advai S</v>
      </c>
      <c r="G5" s="19">
        <v>44.0</v>
      </c>
      <c r="H5" s="20"/>
      <c r="I5" s="21"/>
      <c r="J5" s="13"/>
      <c r="K5" s="13"/>
      <c r="L5" s="13"/>
      <c r="M5" s="13"/>
      <c r="N5" s="14"/>
      <c r="O5" s="13"/>
      <c r="P5" s="8"/>
      <c r="Q5" s="13"/>
      <c r="R5" s="13"/>
      <c r="S5" s="13"/>
      <c r="T5" s="8"/>
      <c r="U5" s="13"/>
      <c r="V5" s="13"/>
      <c r="W5" s="13"/>
      <c r="X5" s="8"/>
      <c r="Y5" s="13"/>
      <c r="Z5" s="13"/>
      <c r="AA5" s="13"/>
      <c r="AB5" s="8"/>
      <c r="AC5" s="8"/>
      <c r="AD5" s="8"/>
      <c r="AE5" s="8"/>
      <c r="AF5" s="7"/>
      <c r="AG5" s="6"/>
      <c r="AH5" s="6"/>
      <c r="AI5" s="8"/>
      <c r="AJ5" s="8"/>
      <c r="AK5" s="8"/>
      <c r="AL5" s="8"/>
      <c r="AM5" s="8"/>
      <c r="AN5" s="8"/>
      <c r="AO5" s="8"/>
      <c r="AP5" s="8"/>
      <c r="AQ5" s="8"/>
      <c r="AR5" s="8"/>
    </row>
    <row r="6">
      <c r="A6" s="17"/>
      <c r="B6" s="22" t="str">
        <f>Seeding!B18</f>
        <v>Advai S</v>
      </c>
      <c r="C6" s="19">
        <v>72.0</v>
      </c>
      <c r="D6" s="8"/>
      <c r="E6" s="8"/>
      <c r="F6" s="8"/>
      <c r="G6" s="8"/>
      <c r="H6" s="8"/>
      <c r="I6" s="23"/>
      <c r="J6" s="24" t="s">
        <v>12</v>
      </c>
      <c r="K6" s="16"/>
      <c r="L6" s="16"/>
      <c r="M6" s="9">
        <v>25.0</v>
      </c>
      <c r="N6" s="25" t="str">
        <f>IFS(G4&gt;G5,F4,G4&lt;G5,F5,TRUE,)</f>
        <v>Rohan B</v>
      </c>
      <c r="O6" s="11">
        <v>38.0</v>
      </c>
      <c r="P6" s="16"/>
      <c r="Q6" s="16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26"/>
      <c r="AG6" s="6"/>
      <c r="AH6" s="6"/>
      <c r="AI6" s="8"/>
      <c r="AJ6" s="8"/>
      <c r="AK6" s="8"/>
      <c r="AL6" s="8"/>
      <c r="AM6" s="8"/>
      <c r="AN6" s="8"/>
      <c r="AO6" s="8"/>
      <c r="AP6" s="8"/>
      <c r="AQ6" s="8"/>
      <c r="AR6" s="8"/>
    </row>
    <row r="7">
      <c r="A7" s="7"/>
      <c r="B7" s="6"/>
      <c r="C7" s="6"/>
      <c r="D7" s="8"/>
      <c r="E7" s="8"/>
      <c r="F7" s="8"/>
      <c r="G7" s="8"/>
      <c r="H7" s="8"/>
      <c r="I7" s="23"/>
      <c r="J7" s="20"/>
      <c r="K7" s="20"/>
      <c r="L7" s="20"/>
      <c r="M7" s="17"/>
      <c r="N7" s="27" t="str">
        <f>IFS(G8&gt;G9,F8,G8&lt;G9,F9,TRUE,)</f>
        <v>Kensuke O</v>
      </c>
      <c r="O7" s="19">
        <v>82.0</v>
      </c>
      <c r="P7" s="8"/>
      <c r="Q7" s="23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7"/>
      <c r="AG7" s="7"/>
      <c r="AH7" s="7"/>
      <c r="AI7" s="13"/>
      <c r="AJ7" s="13"/>
      <c r="AK7" s="13"/>
      <c r="AL7" s="13"/>
      <c r="AM7" s="13"/>
      <c r="AN7" s="13"/>
      <c r="AO7" s="13"/>
      <c r="AP7" s="13"/>
      <c r="AQ7" s="13"/>
      <c r="AR7" s="13"/>
    </row>
    <row r="8">
      <c r="A8" s="7"/>
      <c r="B8" s="6"/>
      <c r="C8" s="6"/>
      <c r="D8" s="8"/>
      <c r="E8" s="9">
        <v>10.0</v>
      </c>
      <c r="F8" s="10" t="str">
        <f>Seeding!B10</f>
        <v>Kensuke O</v>
      </c>
      <c r="G8" s="11">
        <v>128.0</v>
      </c>
      <c r="H8" s="12"/>
      <c r="I8" s="28"/>
      <c r="J8" s="13"/>
      <c r="K8" s="13"/>
      <c r="L8" s="13"/>
      <c r="M8" s="13"/>
      <c r="N8" s="14"/>
      <c r="O8" s="13"/>
      <c r="P8" s="13"/>
      <c r="Q8" s="29"/>
      <c r="R8" s="13"/>
      <c r="S8" s="13"/>
      <c r="T8" s="13"/>
      <c r="U8" s="13"/>
      <c r="V8" s="13"/>
      <c r="W8" s="13"/>
      <c r="X8" s="30"/>
      <c r="Y8" s="13"/>
      <c r="Z8" s="13"/>
      <c r="AA8" s="13"/>
      <c r="AB8" s="8"/>
      <c r="AC8" s="8"/>
      <c r="AD8" s="8"/>
      <c r="AE8" s="8"/>
      <c r="AF8" s="6"/>
      <c r="AG8" s="6"/>
      <c r="AH8" s="6"/>
      <c r="AI8" s="8"/>
      <c r="AJ8" s="8"/>
      <c r="AK8" s="8"/>
      <c r="AL8" s="8"/>
      <c r="AM8" s="8"/>
      <c r="AN8" s="8"/>
      <c r="AO8" s="8"/>
      <c r="AP8" s="8"/>
      <c r="AQ8" s="8"/>
      <c r="AR8" s="8"/>
    </row>
    <row r="9">
      <c r="A9" s="9">
        <v>2.0</v>
      </c>
      <c r="B9" s="10" t="str">
        <f>Seeding!B11</f>
        <v>Bryce T</v>
      </c>
      <c r="C9" s="15">
        <v>4.0</v>
      </c>
      <c r="D9" s="16"/>
      <c r="E9" s="17"/>
      <c r="F9" s="18" t="str">
        <f>IFS(C9&gt;C10,B9,C9&lt;C10,B10,TRUE,)</f>
        <v>Baljeet C</v>
      </c>
      <c r="G9" s="19">
        <v>32.0</v>
      </c>
      <c r="H9" s="8"/>
      <c r="I9" s="13"/>
      <c r="J9" s="13"/>
      <c r="K9" s="13"/>
      <c r="L9" s="13"/>
      <c r="M9" s="13"/>
      <c r="N9" s="14"/>
      <c r="O9" s="13"/>
      <c r="P9" s="8"/>
      <c r="Q9" s="29"/>
      <c r="R9" s="13"/>
      <c r="S9" s="13"/>
      <c r="T9" s="8"/>
      <c r="U9" s="13"/>
      <c r="V9" s="13"/>
      <c r="W9" s="13"/>
      <c r="X9" s="8"/>
      <c r="Y9" s="13"/>
      <c r="Z9" s="13"/>
      <c r="AA9" s="13"/>
      <c r="AB9" s="8"/>
      <c r="AC9" s="8"/>
      <c r="AD9" s="8"/>
      <c r="AE9" s="8"/>
      <c r="AF9" s="6"/>
      <c r="AG9" s="6"/>
      <c r="AH9" s="6"/>
      <c r="AI9" s="8"/>
      <c r="AJ9" s="8"/>
      <c r="AK9" s="8"/>
      <c r="AL9" s="8"/>
      <c r="AM9" s="8"/>
      <c r="AN9" s="8"/>
      <c r="AO9" s="8"/>
      <c r="AP9" s="8"/>
      <c r="AQ9" s="8"/>
      <c r="AR9" s="8"/>
    </row>
    <row r="10">
      <c r="A10" s="17"/>
      <c r="B10" s="22" t="str">
        <f>Seeding!B26</f>
        <v>Baljeet C</v>
      </c>
      <c r="C10" s="19">
        <v>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6"/>
      <c r="O10" s="8"/>
      <c r="P10" s="8"/>
      <c r="Q10" s="23"/>
      <c r="R10" s="24" t="s">
        <v>12</v>
      </c>
      <c r="S10" s="16"/>
      <c r="T10" s="16"/>
      <c r="U10" s="9">
        <v>37.0</v>
      </c>
      <c r="V10" s="25" t="str">
        <f>IFS(O6&gt;O7,N6,O6&lt;O7,N7,TRUE,)</f>
        <v>Kensuke O</v>
      </c>
      <c r="W10" s="11">
        <v>42.0</v>
      </c>
      <c r="X10" s="16"/>
      <c r="Y10" s="16"/>
      <c r="Z10" s="31" t="s">
        <v>13</v>
      </c>
      <c r="AA10" s="16"/>
      <c r="AB10" s="16"/>
      <c r="AC10" s="16"/>
      <c r="AD10" s="8"/>
      <c r="AE10" s="8"/>
      <c r="AF10" s="6"/>
      <c r="AG10" s="6"/>
      <c r="AH10" s="6"/>
      <c r="AI10" s="8"/>
      <c r="AJ10" s="8"/>
      <c r="AK10" s="8"/>
      <c r="AL10" s="8"/>
      <c r="AM10" s="8"/>
      <c r="AN10" s="8"/>
      <c r="AO10" s="8"/>
      <c r="AP10" s="8"/>
      <c r="AQ10" s="8"/>
      <c r="AR10" s="8"/>
    </row>
    <row r="11">
      <c r="A11" s="7"/>
      <c r="B11" s="6"/>
      <c r="C11" s="6"/>
      <c r="D11" s="8"/>
      <c r="E11" s="8"/>
      <c r="F11" s="8"/>
      <c r="G11" s="8"/>
      <c r="H11" s="8"/>
      <c r="I11" s="8"/>
      <c r="J11" s="8"/>
      <c r="K11" s="8"/>
      <c r="L11" s="8"/>
      <c r="M11" s="8"/>
      <c r="N11" s="6"/>
      <c r="O11" s="8"/>
      <c r="P11" s="8"/>
      <c r="Q11" s="23"/>
      <c r="R11" s="8"/>
      <c r="S11" s="8"/>
      <c r="T11" s="8"/>
      <c r="U11" s="17"/>
      <c r="V11" s="27" t="str">
        <f>IFS(O14&gt;O15,N14,O14&lt;O15,N15,TRUE,)</f>
        <v>Peter B</v>
      </c>
      <c r="W11" s="19">
        <v>12.0</v>
      </c>
      <c r="X11" s="20"/>
      <c r="Y11" s="20"/>
      <c r="Z11" s="20"/>
      <c r="AA11" s="20"/>
      <c r="AB11" s="20"/>
      <c r="AC11" s="32"/>
      <c r="AD11" s="8"/>
      <c r="AE11" s="8"/>
      <c r="AF11" s="6"/>
      <c r="AG11" s="6"/>
      <c r="AH11" s="6"/>
      <c r="AI11" s="13"/>
      <c r="AJ11" s="8"/>
      <c r="AK11" s="8"/>
      <c r="AL11" s="8"/>
      <c r="AM11" s="8"/>
      <c r="AN11" s="8"/>
      <c r="AO11" s="8"/>
      <c r="AP11" s="8"/>
      <c r="AQ11" s="8"/>
      <c r="AR11" s="8"/>
    </row>
    <row r="12">
      <c r="A12" s="7"/>
      <c r="B12" s="6"/>
      <c r="C12" s="6"/>
      <c r="D12" s="8"/>
      <c r="E12" s="9">
        <v>11.0</v>
      </c>
      <c r="F12" s="10" t="str">
        <f>Seeding!B7</f>
        <v>Peter B</v>
      </c>
      <c r="G12" s="11">
        <v>130.0</v>
      </c>
      <c r="H12" s="12"/>
      <c r="I12" s="12"/>
      <c r="J12" s="13"/>
      <c r="K12" s="13"/>
      <c r="L12" s="13"/>
      <c r="M12" s="13"/>
      <c r="N12" s="14"/>
      <c r="O12" s="13"/>
      <c r="P12" s="13"/>
      <c r="Q12" s="29"/>
      <c r="R12" s="13"/>
      <c r="S12" s="13"/>
      <c r="T12" s="13"/>
      <c r="U12" s="13"/>
      <c r="V12" s="14"/>
      <c r="W12" s="13"/>
      <c r="X12" s="13"/>
      <c r="Y12" s="13"/>
      <c r="Z12" s="13"/>
      <c r="AA12" s="13"/>
      <c r="AB12" s="8"/>
      <c r="AC12" s="23"/>
      <c r="AD12" s="8"/>
      <c r="AE12" s="8"/>
      <c r="AF12" s="6"/>
      <c r="AG12" s="6"/>
      <c r="AH12" s="6"/>
      <c r="AI12" s="8"/>
      <c r="AJ12" s="8"/>
      <c r="AK12" s="8"/>
      <c r="AL12" s="8"/>
      <c r="AM12" s="8"/>
      <c r="AN12" s="8"/>
      <c r="AO12" s="8"/>
      <c r="AP12" s="8"/>
      <c r="AQ12" s="8"/>
      <c r="AR12" s="8"/>
    </row>
    <row r="13">
      <c r="A13" s="9">
        <v>3.0</v>
      </c>
      <c r="B13" s="10" t="str">
        <f>Seeding!B23</f>
        <v>Akshay R</v>
      </c>
      <c r="C13" s="15">
        <v>22.0</v>
      </c>
      <c r="D13" s="16"/>
      <c r="E13" s="17"/>
      <c r="F13" s="18" t="str">
        <f>IFS(C13&gt;C14,B13,C13&lt;C14,B14,TRUE,)</f>
        <v>Ian C</v>
      </c>
      <c r="G13" s="19">
        <v>32.0</v>
      </c>
      <c r="H13" s="20"/>
      <c r="I13" s="21"/>
      <c r="J13" s="13"/>
      <c r="K13" s="13"/>
      <c r="L13" s="13"/>
      <c r="M13" s="13"/>
      <c r="N13" s="14"/>
      <c r="O13" s="13"/>
      <c r="P13" s="8"/>
      <c r="Q13" s="29"/>
      <c r="R13" s="13"/>
      <c r="S13" s="13"/>
      <c r="T13" s="8"/>
      <c r="U13" s="13"/>
      <c r="V13" s="14"/>
      <c r="W13" s="13"/>
      <c r="X13" s="8"/>
      <c r="Y13" s="13"/>
      <c r="Z13" s="13"/>
      <c r="AA13" s="13"/>
      <c r="AB13" s="8"/>
      <c r="AC13" s="23"/>
      <c r="AD13" s="8"/>
      <c r="AE13" s="8"/>
      <c r="AF13" s="6"/>
      <c r="AG13" s="6"/>
      <c r="AH13" s="6"/>
      <c r="AI13" s="8"/>
      <c r="AJ13" s="8"/>
      <c r="AK13" s="8"/>
      <c r="AL13" s="8"/>
      <c r="AM13" s="8"/>
      <c r="AN13" s="8"/>
      <c r="AO13" s="8"/>
      <c r="AP13" s="8"/>
      <c r="AQ13" s="8"/>
      <c r="AR13" s="8"/>
    </row>
    <row r="14">
      <c r="A14" s="17"/>
      <c r="B14" s="22" t="str">
        <f>Seeding!B14</f>
        <v>Ian C</v>
      </c>
      <c r="C14" s="19">
        <v>78.0</v>
      </c>
      <c r="D14" s="8"/>
      <c r="E14" s="8"/>
      <c r="F14" s="8"/>
      <c r="G14" s="8"/>
      <c r="H14" s="8"/>
      <c r="I14" s="23"/>
      <c r="J14" s="24" t="s">
        <v>12</v>
      </c>
      <c r="K14" s="16"/>
      <c r="L14" s="16"/>
      <c r="M14" s="9">
        <v>26.0</v>
      </c>
      <c r="N14" s="25" t="str">
        <f>IFS(G12&gt;G13,F12,G12&lt;G13,F13,TRUE,)</f>
        <v>Peter B</v>
      </c>
      <c r="O14" s="11">
        <v>76.0</v>
      </c>
      <c r="P14" s="16"/>
      <c r="Q14" s="33"/>
      <c r="R14" s="8"/>
      <c r="S14" s="8"/>
      <c r="T14" s="8"/>
      <c r="U14" s="8"/>
      <c r="V14" s="6"/>
      <c r="W14" s="8"/>
      <c r="X14" s="8"/>
      <c r="Y14" s="8"/>
      <c r="Z14" s="8"/>
      <c r="AA14" s="8"/>
      <c r="AB14" s="8"/>
      <c r="AC14" s="23"/>
      <c r="AD14" s="8"/>
      <c r="AE14" s="8"/>
      <c r="AF14" s="6"/>
      <c r="AG14" s="6"/>
      <c r="AH14" s="6"/>
      <c r="AI14" s="8"/>
      <c r="AJ14" s="8"/>
      <c r="AK14" s="8"/>
      <c r="AL14" s="8"/>
      <c r="AM14" s="8"/>
      <c r="AN14" s="8"/>
      <c r="AO14" s="8"/>
      <c r="AP14" s="8"/>
      <c r="AQ14" s="8"/>
      <c r="AR14" s="8"/>
    </row>
    <row r="15">
      <c r="A15" s="7"/>
      <c r="B15" s="6"/>
      <c r="C15" s="6"/>
      <c r="D15" s="8"/>
      <c r="E15" s="8"/>
      <c r="F15" s="8"/>
      <c r="G15" s="8"/>
      <c r="H15" s="8"/>
      <c r="I15" s="23"/>
      <c r="J15" s="20"/>
      <c r="K15" s="20"/>
      <c r="L15" s="20"/>
      <c r="M15" s="17"/>
      <c r="N15" s="27" t="str">
        <f>IFS(G16&gt;G17,F16,G16&lt;G17,F17,TRUE,)</f>
        <v>Akhil B</v>
      </c>
      <c r="O15" s="19">
        <v>46.0</v>
      </c>
      <c r="P15" s="34"/>
      <c r="Q15" s="8"/>
      <c r="R15" s="8"/>
      <c r="S15" s="8"/>
      <c r="T15" s="8"/>
      <c r="U15" s="8"/>
      <c r="V15" s="6"/>
      <c r="W15" s="8"/>
      <c r="X15" s="8"/>
      <c r="Y15" s="8"/>
      <c r="Z15" s="8"/>
      <c r="AA15" s="8"/>
      <c r="AB15" s="8"/>
      <c r="AC15" s="23"/>
      <c r="AD15" s="8"/>
      <c r="AE15" s="8"/>
      <c r="AF15" s="6"/>
      <c r="AG15" s="6"/>
      <c r="AH15" s="6"/>
      <c r="AI15" s="8"/>
      <c r="AJ15" s="8"/>
      <c r="AK15" s="8"/>
      <c r="AL15" s="8"/>
      <c r="AM15" s="8"/>
      <c r="AN15" s="8"/>
      <c r="AO15" s="8"/>
      <c r="AP15" s="8"/>
      <c r="AQ15" s="13"/>
      <c r="AR15" s="8"/>
    </row>
    <row r="16">
      <c r="A16" s="7"/>
      <c r="B16" s="6"/>
      <c r="C16" s="6"/>
      <c r="D16" s="8"/>
      <c r="E16" s="9">
        <v>12.0</v>
      </c>
      <c r="F16" s="10" t="str">
        <f>Seeding!B6</f>
        <v>Camille P</v>
      </c>
      <c r="G16" s="11">
        <v>6.0</v>
      </c>
      <c r="H16" s="12"/>
      <c r="I16" s="28"/>
      <c r="J16" s="13"/>
      <c r="K16" s="13"/>
      <c r="L16" s="13"/>
      <c r="M16" s="13"/>
      <c r="N16" s="14"/>
      <c r="O16" s="13"/>
      <c r="P16" s="13"/>
      <c r="Q16" s="13"/>
      <c r="R16" s="13"/>
      <c r="S16" s="13"/>
      <c r="T16" s="13"/>
      <c r="U16" s="13"/>
      <c r="V16" s="14"/>
      <c r="W16" s="13"/>
      <c r="X16" s="13"/>
      <c r="Y16" s="13"/>
      <c r="Z16" s="13"/>
      <c r="AA16" s="13"/>
      <c r="AB16" s="8"/>
      <c r="AC16" s="23"/>
      <c r="AD16" s="8"/>
      <c r="AE16" s="8"/>
      <c r="AF16" s="6"/>
      <c r="AG16" s="6"/>
      <c r="AH16" s="6"/>
      <c r="AI16" s="8"/>
      <c r="AJ16" s="8"/>
      <c r="AK16" s="8"/>
      <c r="AL16" s="8"/>
      <c r="AM16" s="8"/>
      <c r="AN16" s="8"/>
      <c r="AO16" s="8"/>
      <c r="AP16" s="8"/>
      <c r="AQ16" s="8"/>
      <c r="AR16" s="8"/>
    </row>
    <row r="17">
      <c r="A17" s="9">
        <v>4.0</v>
      </c>
      <c r="B17" s="10" t="str">
        <f>Seeding!B15</f>
        <v>Akhil B</v>
      </c>
      <c r="C17" s="15">
        <v>92.0</v>
      </c>
      <c r="D17" s="16"/>
      <c r="E17" s="17"/>
      <c r="F17" s="22" t="s">
        <v>14</v>
      </c>
      <c r="G17" s="19">
        <v>56.0</v>
      </c>
      <c r="H17" s="8"/>
      <c r="I17" s="13"/>
      <c r="J17" s="13"/>
      <c r="K17" s="13"/>
      <c r="L17" s="13"/>
      <c r="M17" s="13"/>
      <c r="N17" s="14"/>
      <c r="O17" s="13"/>
      <c r="P17" s="8"/>
      <c r="Q17" s="13"/>
      <c r="R17" s="13"/>
      <c r="S17" s="13"/>
      <c r="T17" s="8"/>
      <c r="U17" s="13"/>
      <c r="V17" s="14"/>
      <c r="W17" s="13"/>
      <c r="X17" s="8"/>
      <c r="Y17" s="13"/>
      <c r="Z17" s="13"/>
      <c r="AA17" s="13"/>
      <c r="AB17" s="8"/>
      <c r="AC17" s="23"/>
      <c r="AD17" s="8"/>
      <c r="AE17" s="8"/>
      <c r="AF17" s="6"/>
      <c r="AG17" s="6"/>
      <c r="AH17" s="6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>
      <c r="A18" s="17"/>
      <c r="B18" s="22" t="str">
        <f>Seeding!B22</f>
        <v>Jason Y</v>
      </c>
      <c r="C18" s="19">
        <v>46.0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6"/>
      <c r="O18" s="8"/>
      <c r="P18" s="8"/>
      <c r="Q18" s="8"/>
      <c r="R18" s="8"/>
      <c r="S18" s="8"/>
      <c r="T18" s="8"/>
      <c r="U18" s="8"/>
      <c r="V18" s="6"/>
      <c r="W18" s="8"/>
      <c r="X18" s="8"/>
      <c r="Y18" s="8"/>
      <c r="Z18" s="8"/>
      <c r="AA18" s="8"/>
      <c r="AB18" s="8"/>
      <c r="AC18" s="9">
        <v>43.0</v>
      </c>
      <c r="AD18" s="25" t="str">
        <f>IFS(W10&gt;W11,V10,W10&lt;W11,V11,TRUE,)</f>
        <v>Kensuke O</v>
      </c>
      <c r="AE18" s="11">
        <v>36.0</v>
      </c>
      <c r="AF18" s="8"/>
      <c r="AG18" s="8"/>
      <c r="AH18" s="31" t="s">
        <v>13</v>
      </c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>
      <c r="A19" s="35"/>
      <c r="B19" s="7"/>
      <c r="C19" s="36"/>
      <c r="D19" s="8"/>
      <c r="E19" s="8"/>
      <c r="F19" s="8"/>
      <c r="G19" s="8"/>
      <c r="H19" s="8"/>
      <c r="I19" s="8"/>
      <c r="J19" s="8"/>
      <c r="K19" s="8"/>
      <c r="L19" s="8"/>
      <c r="M19" s="8"/>
      <c r="N19" s="6"/>
      <c r="O19" s="8"/>
      <c r="P19" s="8"/>
      <c r="Q19" s="8"/>
      <c r="R19" s="8"/>
      <c r="S19" s="8"/>
      <c r="T19" s="8"/>
      <c r="U19" s="8"/>
      <c r="V19" s="6"/>
      <c r="W19" s="8"/>
      <c r="X19" s="8"/>
      <c r="Y19" s="8"/>
      <c r="Z19" s="8"/>
      <c r="AA19" s="8"/>
      <c r="AB19" s="8"/>
      <c r="AC19" s="17"/>
      <c r="AD19" s="27" t="str">
        <f>IFS(W26&gt;W27,V26,W26&lt;W27,V27,TRUE,)</f>
        <v>Ziang Z</v>
      </c>
      <c r="AE19" s="19">
        <v>30.0</v>
      </c>
      <c r="AF19" s="20"/>
      <c r="AG19" s="20"/>
      <c r="AH19" s="20"/>
      <c r="AI19" s="20"/>
      <c r="AJ19" s="20"/>
      <c r="AK19" s="32"/>
      <c r="AL19" s="8"/>
      <c r="AM19" s="8"/>
      <c r="AN19" s="8"/>
      <c r="AO19" s="8"/>
      <c r="AP19" s="8"/>
      <c r="AQ19" s="8"/>
      <c r="AR19" s="8"/>
    </row>
    <row r="20">
      <c r="A20" s="7"/>
      <c r="B20" s="6"/>
      <c r="C20" s="6"/>
      <c r="D20" s="8"/>
      <c r="E20" s="9">
        <v>13.0</v>
      </c>
      <c r="F20" s="10" t="str">
        <f>Seeding!B5</f>
        <v>Alex L</v>
      </c>
      <c r="G20" s="11">
        <v>58.0</v>
      </c>
      <c r="H20" s="12"/>
      <c r="I20" s="12"/>
      <c r="J20" s="13"/>
      <c r="K20" s="13"/>
      <c r="L20" s="13"/>
      <c r="M20" s="13"/>
      <c r="N20" s="6"/>
      <c r="O20" s="13"/>
      <c r="P20" s="13"/>
      <c r="Q20" s="8"/>
      <c r="R20" s="8"/>
      <c r="S20" s="13"/>
      <c r="T20" s="13"/>
      <c r="U20" s="8"/>
      <c r="V20" s="6"/>
      <c r="W20" s="13"/>
      <c r="X20" s="13"/>
      <c r="Y20" s="13"/>
      <c r="Z20" s="8"/>
      <c r="AA20" s="8"/>
      <c r="AB20" s="8"/>
      <c r="AC20" s="23"/>
      <c r="AD20" s="8"/>
      <c r="AE20" s="8"/>
      <c r="AF20" s="8"/>
      <c r="AG20" s="8"/>
      <c r="AH20" s="8"/>
      <c r="AI20" s="8"/>
      <c r="AJ20" s="8"/>
      <c r="AK20" s="23"/>
      <c r="AL20" s="8"/>
      <c r="AM20" s="8"/>
      <c r="AN20" s="8"/>
      <c r="AO20" s="8"/>
      <c r="AP20" s="8"/>
      <c r="AQ20" s="8"/>
      <c r="AR20" s="8"/>
    </row>
    <row r="21">
      <c r="A21" s="9">
        <v>5.0</v>
      </c>
      <c r="B21" s="10" t="str">
        <f>Seeding!B21</f>
        <v>Kevin F</v>
      </c>
      <c r="C21" s="15">
        <v>66.0</v>
      </c>
      <c r="D21" s="16"/>
      <c r="E21" s="17"/>
      <c r="F21" s="18" t="str">
        <f>IFS(C21&gt;C22,B21,C21&lt;C22,B22,TRUE,)</f>
        <v>Travis D</v>
      </c>
      <c r="G21" s="19" t="s">
        <v>15</v>
      </c>
      <c r="H21" s="20"/>
      <c r="I21" s="21"/>
      <c r="J21" s="13"/>
      <c r="K21" s="13"/>
      <c r="L21" s="13"/>
      <c r="M21" s="13"/>
      <c r="N21" s="6"/>
      <c r="O21" s="8"/>
      <c r="P21" s="8"/>
      <c r="Q21" s="8"/>
      <c r="R21" s="8"/>
      <c r="S21" s="8"/>
      <c r="T21" s="8"/>
      <c r="U21" s="8"/>
      <c r="V21" s="6"/>
      <c r="W21" s="8"/>
      <c r="X21" s="8"/>
      <c r="Y21" s="13"/>
      <c r="Z21" s="8"/>
      <c r="AA21" s="8"/>
      <c r="AB21" s="8"/>
      <c r="AC21" s="23"/>
      <c r="AD21" s="8"/>
      <c r="AE21" s="8"/>
      <c r="AF21" s="8"/>
      <c r="AG21" s="8"/>
      <c r="AH21" s="8"/>
      <c r="AI21" s="8"/>
      <c r="AJ21" s="8"/>
      <c r="AK21" s="23"/>
      <c r="AL21" s="8"/>
      <c r="AM21" s="8"/>
      <c r="AN21" s="8"/>
      <c r="AO21" s="8"/>
      <c r="AP21" s="8"/>
      <c r="AQ21" s="8"/>
      <c r="AR21" s="8"/>
    </row>
    <row r="22">
      <c r="A22" s="17"/>
      <c r="B22" s="22" t="str">
        <f>Seeding!B16</f>
        <v>Travis D</v>
      </c>
      <c r="C22" s="19">
        <v>74.0</v>
      </c>
      <c r="D22" s="8"/>
      <c r="E22" s="8"/>
      <c r="F22" s="8"/>
      <c r="G22" s="8"/>
      <c r="H22" s="8"/>
      <c r="I22" s="23"/>
      <c r="J22" s="24" t="s">
        <v>12</v>
      </c>
      <c r="K22" s="16"/>
      <c r="L22" s="16"/>
      <c r="M22" s="9">
        <v>27.0</v>
      </c>
      <c r="N22" s="25" t="str">
        <f>IFS(G20&gt;G21,F20,G20&lt;G21,F21,TRUE,)</f>
        <v>Travis D</v>
      </c>
      <c r="O22" s="11">
        <v>4.0</v>
      </c>
      <c r="P22" s="16"/>
      <c r="Q22" s="16"/>
      <c r="R22" s="8"/>
      <c r="S22" s="8"/>
      <c r="T22" s="8"/>
      <c r="U22" s="8"/>
      <c r="V22" s="6"/>
      <c r="W22" s="8"/>
      <c r="X22" s="8"/>
      <c r="Y22" s="8"/>
      <c r="Z22" s="8"/>
      <c r="AA22" s="8"/>
      <c r="AB22" s="8"/>
      <c r="AC22" s="23"/>
      <c r="AD22" s="8"/>
      <c r="AE22" s="13"/>
      <c r="AF22" s="13"/>
      <c r="AG22" s="13"/>
      <c r="AH22" s="8"/>
      <c r="AI22" s="8"/>
      <c r="AJ22" s="8"/>
      <c r="AK22" s="23"/>
      <c r="AL22" s="8"/>
      <c r="AM22" s="8"/>
      <c r="AN22" s="8"/>
      <c r="AO22" s="8"/>
      <c r="AP22" s="8"/>
      <c r="AQ22" s="8"/>
      <c r="AR22" s="8"/>
    </row>
    <row r="23">
      <c r="A23" s="7"/>
      <c r="B23" s="6"/>
      <c r="C23" s="6"/>
      <c r="D23" s="8"/>
      <c r="E23" s="8"/>
      <c r="F23" s="8"/>
      <c r="G23" s="8"/>
      <c r="H23" s="8"/>
      <c r="I23" s="23"/>
      <c r="J23" s="20"/>
      <c r="K23" s="20"/>
      <c r="L23" s="20"/>
      <c r="M23" s="17"/>
      <c r="N23" s="27" t="str">
        <f>IFS(G24&gt;G25,F24,G24&lt;G25,F25,TRUE,)</f>
        <v>Varyan J</v>
      </c>
      <c r="O23" s="19">
        <v>70.0</v>
      </c>
      <c r="P23" s="8"/>
      <c r="Q23" s="23"/>
      <c r="R23" s="8"/>
      <c r="S23" s="8"/>
      <c r="T23" s="8"/>
      <c r="U23" s="8"/>
      <c r="V23" s="6"/>
      <c r="W23" s="8"/>
      <c r="X23" s="8"/>
      <c r="Y23" s="13"/>
      <c r="Z23" s="13"/>
      <c r="AA23" s="13"/>
      <c r="AB23" s="8"/>
      <c r="AC23" s="29"/>
      <c r="AD23" s="8"/>
      <c r="AE23" s="8"/>
      <c r="AF23" s="8"/>
      <c r="AG23" s="13"/>
      <c r="AH23" s="8"/>
      <c r="AI23" s="8"/>
      <c r="AJ23" s="8"/>
      <c r="AK23" s="23"/>
      <c r="AL23" s="8"/>
      <c r="AM23" s="8"/>
      <c r="AN23" s="8"/>
      <c r="AO23" s="8"/>
      <c r="AP23" s="8"/>
      <c r="AQ23" s="8"/>
      <c r="AR23" s="8"/>
    </row>
    <row r="24">
      <c r="A24" s="7"/>
      <c r="B24" s="6"/>
      <c r="C24" s="6"/>
      <c r="D24" s="8"/>
      <c r="E24" s="9">
        <v>14.0</v>
      </c>
      <c r="F24" s="10" t="str">
        <f>Seeding!B8</f>
        <v>Ishaan K</v>
      </c>
      <c r="G24" s="11">
        <v>44.0</v>
      </c>
      <c r="H24" s="12"/>
      <c r="I24" s="28"/>
      <c r="J24" s="13"/>
      <c r="K24" s="13"/>
      <c r="L24" s="13"/>
      <c r="M24" s="13"/>
      <c r="N24" s="6"/>
      <c r="O24" s="8"/>
      <c r="P24" s="13"/>
      <c r="Q24" s="29"/>
      <c r="R24" s="13"/>
      <c r="S24" s="13"/>
      <c r="T24" s="13"/>
      <c r="U24" s="8"/>
      <c r="V24" s="6"/>
      <c r="W24" s="8"/>
      <c r="X24" s="8"/>
      <c r="Y24" s="13"/>
      <c r="Z24" s="13"/>
      <c r="AA24" s="13"/>
      <c r="AB24" s="8"/>
      <c r="AC24" s="29"/>
      <c r="AD24" s="8"/>
      <c r="AE24" s="8"/>
      <c r="AF24" s="8"/>
      <c r="AG24" s="8"/>
      <c r="AH24" s="8"/>
      <c r="AI24" s="8"/>
      <c r="AJ24" s="8"/>
      <c r="AK24" s="23"/>
      <c r="AL24" s="8"/>
      <c r="AM24" s="8"/>
      <c r="AN24" s="8"/>
      <c r="AO24" s="8"/>
      <c r="AP24" s="8"/>
      <c r="AQ24" s="8"/>
      <c r="AR24" s="8"/>
    </row>
    <row r="25">
      <c r="A25" s="9">
        <v>6.0</v>
      </c>
      <c r="B25" s="10" t="str">
        <f>Seeding!B13</f>
        <v>Varyan J</v>
      </c>
      <c r="C25" s="15">
        <v>126.0</v>
      </c>
      <c r="D25" s="16"/>
      <c r="E25" s="17"/>
      <c r="F25" s="18" t="str">
        <f>IFS(C25&gt;C26,B25,C25&lt;C26,B26,TRUE,)</f>
        <v>Varyan J</v>
      </c>
      <c r="G25" s="19">
        <v>70.0</v>
      </c>
      <c r="H25" s="8"/>
      <c r="I25" s="13"/>
      <c r="J25" s="13"/>
      <c r="K25" s="13"/>
      <c r="L25" s="13"/>
      <c r="M25" s="13"/>
      <c r="N25" s="6"/>
      <c r="O25" s="8"/>
      <c r="P25" s="8"/>
      <c r="Q25" s="29"/>
      <c r="R25" s="13"/>
      <c r="S25" s="13"/>
      <c r="T25" s="8"/>
      <c r="U25" s="8"/>
      <c r="V25" s="6"/>
      <c r="W25" s="8"/>
      <c r="X25" s="8"/>
      <c r="Y25" s="8"/>
      <c r="Z25" s="8"/>
      <c r="AA25" s="8"/>
      <c r="AB25" s="8"/>
      <c r="AC25" s="23"/>
      <c r="AD25" s="8"/>
      <c r="AE25" s="8"/>
      <c r="AF25" s="8"/>
      <c r="AG25" s="13"/>
      <c r="AH25" s="13"/>
      <c r="AI25" s="13"/>
      <c r="AJ25" s="8"/>
      <c r="AK25" s="23"/>
      <c r="AL25" s="8"/>
      <c r="AM25" s="8"/>
      <c r="AN25" s="8"/>
      <c r="AO25" s="8"/>
      <c r="AP25" s="8"/>
      <c r="AQ25" s="8"/>
      <c r="AR25" s="8"/>
    </row>
    <row r="26">
      <c r="A26" s="17"/>
      <c r="B26" s="22" t="str">
        <f>Seeding!B24</f>
        <v>Luyao Y</v>
      </c>
      <c r="C26" s="19">
        <v>-8.0</v>
      </c>
      <c r="D26" s="8"/>
      <c r="E26" s="8"/>
      <c r="F26" s="8"/>
      <c r="G26" s="8"/>
      <c r="H26" s="13"/>
      <c r="I26" s="13"/>
      <c r="J26" s="13"/>
      <c r="K26" s="13"/>
      <c r="L26" s="13"/>
      <c r="M26" s="13"/>
      <c r="N26" s="14"/>
      <c r="O26" s="13"/>
      <c r="P26" s="8"/>
      <c r="Q26" s="23"/>
      <c r="R26" s="24" t="s">
        <v>12</v>
      </c>
      <c r="S26" s="16"/>
      <c r="T26" s="16"/>
      <c r="U26" s="9">
        <v>38.0</v>
      </c>
      <c r="V26" s="25" t="str">
        <f>IFS(O22&gt;O23,N22,O22&lt;O23,N23,TRUE,)</f>
        <v>Varyan J</v>
      </c>
      <c r="W26" s="11">
        <v>16.0</v>
      </c>
      <c r="X26" s="12"/>
      <c r="Y26" s="12"/>
      <c r="Z26" s="31" t="s">
        <v>13</v>
      </c>
      <c r="AA26" s="16"/>
      <c r="AB26" s="16"/>
      <c r="AC26" s="33"/>
      <c r="AD26" s="8"/>
      <c r="AE26" s="8"/>
      <c r="AF26" s="8"/>
      <c r="AG26" s="13"/>
      <c r="AH26" s="13"/>
      <c r="AI26" s="13"/>
      <c r="AJ26" s="8"/>
      <c r="AK26" s="29"/>
      <c r="AL26" s="8"/>
      <c r="AM26" s="8"/>
      <c r="AN26" s="8"/>
      <c r="AO26" s="8"/>
      <c r="AP26" s="8"/>
      <c r="AQ26" s="8"/>
      <c r="AR26" s="8"/>
    </row>
    <row r="27">
      <c r="A27" s="7"/>
      <c r="B27" s="6"/>
      <c r="C27" s="6"/>
      <c r="D27" s="8"/>
      <c r="E27" s="8"/>
      <c r="F27" s="8"/>
      <c r="G27" s="8"/>
      <c r="H27" s="8"/>
      <c r="I27" s="13"/>
      <c r="J27" s="13"/>
      <c r="K27" s="13"/>
      <c r="L27" s="13"/>
      <c r="M27" s="13"/>
      <c r="N27" s="14"/>
      <c r="O27" s="13"/>
      <c r="P27" s="8"/>
      <c r="Q27" s="23"/>
      <c r="R27" s="8"/>
      <c r="S27" s="8"/>
      <c r="T27" s="8"/>
      <c r="U27" s="17"/>
      <c r="V27" s="27" t="str">
        <f>IFS(O30&gt;O31,N30,O30&lt;O31,N31,TRUE,)</f>
        <v>Ziang Z</v>
      </c>
      <c r="W27" s="19">
        <v>54.0</v>
      </c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23"/>
      <c r="AL27" s="8"/>
      <c r="AM27" s="8"/>
      <c r="AN27" s="8"/>
      <c r="AO27" s="8"/>
      <c r="AP27" s="8"/>
      <c r="AQ27" s="8"/>
      <c r="AR27" s="8"/>
    </row>
    <row r="28">
      <c r="A28" s="7"/>
      <c r="B28" s="6"/>
      <c r="C28" s="6"/>
      <c r="D28" s="8"/>
      <c r="E28" s="9">
        <v>15.0</v>
      </c>
      <c r="F28" s="10" t="str">
        <f>Seeding!B9</f>
        <v>Suzuko O</v>
      </c>
      <c r="G28" s="11">
        <v>80.0</v>
      </c>
      <c r="H28" s="12"/>
      <c r="I28" s="12"/>
      <c r="J28" s="13"/>
      <c r="K28" s="13"/>
      <c r="L28" s="13"/>
      <c r="M28" s="13"/>
      <c r="N28" s="6"/>
      <c r="O28" s="8"/>
      <c r="P28" s="13"/>
      <c r="Q28" s="29"/>
      <c r="R28" s="13"/>
      <c r="S28" s="13"/>
      <c r="T28" s="13"/>
      <c r="U28" s="8"/>
      <c r="V28" s="6"/>
      <c r="W28" s="8"/>
      <c r="X28" s="8"/>
      <c r="Y28" s="8"/>
      <c r="Z28" s="8"/>
      <c r="AA28" s="8"/>
      <c r="AB28" s="8"/>
      <c r="AC28" s="13"/>
      <c r="AD28" s="13"/>
      <c r="AE28" s="13"/>
      <c r="AF28" s="13"/>
      <c r="AG28" s="13"/>
      <c r="AH28" s="8"/>
      <c r="AI28" s="8"/>
      <c r="AJ28" s="8"/>
      <c r="AK28" s="23"/>
      <c r="AL28" s="8"/>
      <c r="AM28" s="8"/>
      <c r="AN28" s="8"/>
      <c r="AO28" s="8"/>
      <c r="AP28" s="8"/>
      <c r="AQ28" s="8"/>
      <c r="AR28" s="8"/>
    </row>
    <row r="29">
      <c r="A29" s="9">
        <v>7.0</v>
      </c>
      <c r="B29" s="10" t="str">
        <f>Seeding!B25</f>
        <v>Henry L</v>
      </c>
      <c r="C29" s="15">
        <v>40.0</v>
      </c>
      <c r="D29" s="16"/>
      <c r="E29" s="17"/>
      <c r="F29" s="18" t="str">
        <f>IFS(C29&gt;C30,B29,C29&lt;C30,B30,TRUE,)</f>
        <v>Praneel A</v>
      </c>
      <c r="G29" s="19">
        <v>14.0</v>
      </c>
      <c r="H29" s="20"/>
      <c r="I29" s="21"/>
      <c r="J29" s="13"/>
      <c r="K29" s="13"/>
      <c r="L29" s="13"/>
      <c r="M29" s="13"/>
      <c r="N29" s="6"/>
      <c r="O29" s="8"/>
      <c r="P29" s="8"/>
      <c r="Q29" s="29"/>
      <c r="R29" s="13"/>
      <c r="S29" s="13"/>
      <c r="T29" s="8"/>
      <c r="U29" s="8"/>
      <c r="V29" s="6"/>
      <c r="W29" s="8"/>
      <c r="X29" s="8"/>
      <c r="Y29" s="8"/>
      <c r="Z29" s="8"/>
      <c r="AA29" s="8"/>
      <c r="AB29" s="8"/>
      <c r="AC29" s="13"/>
      <c r="AD29" s="13"/>
      <c r="AE29" s="13"/>
      <c r="AF29" s="8"/>
      <c r="AG29" s="8"/>
      <c r="AH29" s="8"/>
      <c r="AI29" s="8"/>
      <c r="AJ29" s="8"/>
      <c r="AK29" s="23"/>
      <c r="AL29" s="8"/>
      <c r="AM29" s="8"/>
      <c r="AN29" s="8"/>
      <c r="AO29" s="8"/>
      <c r="AP29" s="8"/>
      <c r="AQ29" s="8"/>
      <c r="AR29" s="8"/>
    </row>
    <row r="30">
      <c r="A30" s="17"/>
      <c r="B30" s="22" t="str">
        <f>Seeding!B12</f>
        <v>Praneel A</v>
      </c>
      <c r="C30" s="19">
        <v>96.0</v>
      </c>
      <c r="D30" s="8"/>
      <c r="E30" s="8"/>
      <c r="F30" s="8"/>
      <c r="G30" s="8"/>
      <c r="H30" s="8"/>
      <c r="I30" s="23"/>
      <c r="J30" s="24" t="s">
        <v>12</v>
      </c>
      <c r="K30" s="16"/>
      <c r="L30" s="16"/>
      <c r="M30" s="9">
        <v>28.0</v>
      </c>
      <c r="N30" s="25" t="str">
        <f>IFS(G28&gt;G29,F28,G28&lt;G29,F29,TRUE,)</f>
        <v>Suzuko O</v>
      </c>
      <c r="O30" s="11">
        <v>66.0</v>
      </c>
      <c r="P30" s="16"/>
      <c r="Q30" s="33"/>
      <c r="R30" s="8"/>
      <c r="S30" s="8"/>
      <c r="T30" s="8"/>
      <c r="U30" s="8"/>
      <c r="V30" s="6"/>
      <c r="W30" s="13"/>
      <c r="X30" s="13"/>
      <c r="Y30" s="13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23"/>
      <c r="AL30" s="8"/>
      <c r="AM30" s="13"/>
      <c r="AN30" s="8"/>
      <c r="AO30" s="8"/>
      <c r="AP30" s="8"/>
      <c r="AQ30" s="8"/>
      <c r="AR30" s="8"/>
    </row>
    <row r="31">
      <c r="A31" s="7"/>
      <c r="B31" s="6"/>
      <c r="C31" s="6"/>
      <c r="D31" s="8"/>
      <c r="E31" s="8"/>
      <c r="F31" s="8"/>
      <c r="G31" s="8"/>
      <c r="H31" s="8"/>
      <c r="I31" s="23"/>
      <c r="J31" s="20"/>
      <c r="K31" s="20"/>
      <c r="L31" s="20"/>
      <c r="M31" s="17"/>
      <c r="N31" s="27" t="str">
        <f>IFS(G32&gt;G33,F32,G32&lt;G33,F33,TRUE,)</f>
        <v>Ziang Z</v>
      </c>
      <c r="O31" s="19">
        <v>90.0</v>
      </c>
      <c r="P31" s="8"/>
      <c r="Q31" s="8"/>
      <c r="R31" s="8"/>
      <c r="S31" s="8"/>
      <c r="T31" s="8"/>
      <c r="U31" s="8"/>
      <c r="V31" s="6"/>
      <c r="W31" s="8"/>
      <c r="X31" s="8"/>
      <c r="Y31" s="13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23"/>
      <c r="AL31" s="8"/>
      <c r="AM31" s="8"/>
      <c r="AN31" s="8"/>
      <c r="AO31" s="8"/>
      <c r="AP31" s="8"/>
      <c r="AQ31" s="8"/>
      <c r="AR31" s="8"/>
    </row>
    <row r="32">
      <c r="A32" s="7"/>
      <c r="B32" s="6"/>
      <c r="C32" s="6"/>
      <c r="D32" s="8"/>
      <c r="E32" s="9">
        <v>16.0</v>
      </c>
      <c r="F32" s="10" t="str">
        <f>Seeding!B4</f>
        <v>Ziang Z</v>
      </c>
      <c r="G32" s="11">
        <v>104.0</v>
      </c>
      <c r="H32" s="12"/>
      <c r="I32" s="28"/>
      <c r="J32" s="13"/>
      <c r="K32" s="13"/>
      <c r="L32" s="13"/>
      <c r="M32" s="13"/>
      <c r="N32" s="6"/>
      <c r="O32" s="8"/>
      <c r="P32" s="8"/>
      <c r="Q32" s="8"/>
      <c r="R32" s="8"/>
      <c r="S32" s="8"/>
      <c r="T32" s="8"/>
      <c r="U32" s="8"/>
      <c r="V32" s="6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9">
        <v>46.0</v>
      </c>
      <c r="AL32" s="25" t="str">
        <f>IFS(AE18&gt;AE19,AD18,AE18&lt;AE19,AD19,TRUE,)</f>
        <v>Kensuke O</v>
      </c>
      <c r="AM32" s="11">
        <v>16.0</v>
      </c>
      <c r="AN32" s="8"/>
      <c r="AO32" s="9">
        <v>47.0</v>
      </c>
      <c r="AP32" s="25" t="s">
        <v>16</v>
      </c>
      <c r="AQ32" s="11">
        <v>10.0</v>
      </c>
      <c r="AR32" s="13"/>
    </row>
    <row r="33">
      <c r="A33" s="9">
        <v>8.0</v>
      </c>
      <c r="B33" s="10" t="str">
        <f>Seeding!B17</f>
        <v>Alex Z</v>
      </c>
      <c r="C33" s="15">
        <v>0.0</v>
      </c>
      <c r="D33" s="16"/>
      <c r="E33" s="17"/>
      <c r="F33" s="18" t="str">
        <f>IFS(C33&gt;C34,B33,C33&lt;C34,B34,TRUE,)</f>
        <v>Abhiraam G</v>
      </c>
      <c r="G33" s="19">
        <v>-36.0</v>
      </c>
      <c r="H33" s="8"/>
      <c r="I33" s="13"/>
      <c r="J33" s="13"/>
      <c r="K33" s="13"/>
      <c r="L33" s="13"/>
      <c r="M33" s="13"/>
      <c r="N33" s="6"/>
      <c r="O33" s="8"/>
      <c r="P33" s="8"/>
      <c r="Q33" s="8"/>
      <c r="R33" s="8"/>
      <c r="S33" s="8"/>
      <c r="T33" s="8"/>
      <c r="U33" s="8"/>
      <c r="V33" s="6"/>
      <c r="W33" s="8"/>
      <c r="X33" s="8"/>
      <c r="Y33" s="13"/>
      <c r="Z33" s="13"/>
      <c r="AA33" s="13"/>
      <c r="AB33" s="8"/>
      <c r="AC33" s="8"/>
      <c r="AD33" s="8"/>
      <c r="AE33" s="8"/>
      <c r="AF33" s="8"/>
      <c r="AG33" s="8"/>
      <c r="AH33" s="8"/>
      <c r="AI33" s="8"/>
      <c r="AJ33" s="8"/>
      <c r="AK33" s="17"/>
      <c r="AL33" s="27" t="str">
        <f>IFS(AI47&gt;AI48,AH47,AI47&lt;AI48,AH48,TRUE,)</f>
        <v>Rohan B</v>
      </c>
      <c r="AM33" s="19">
        <v>24.0</v>
      </c>
      <c r="AN33" s="20"/>
      <c r="AO33" s="17"/>
      <c r="AP33" s="27" t="s">
        <v>17</v>
      </c>
      <c r="AQ33" s="19">
        <v>2.0</v>
      </c>
      <c r="AR33" s="8"/>
    </row>
    <row r="34">
      <c r="A34" s="17"/>
      <c r="B34" s="22" t="str">
        <f>Seeding!B20</f>
        <v>Abhiraam G</v>
      </c>
      <c r="C34" s="19">
        <v>36.0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6"/>
      <c r="O34" s="12"/>
      <c r="P34" s="16"/>
      <c r="Q34" s="12"/>
      <c r="R34" s="13"/>
      <c r="S34" s="8"/>
      <c r="T34" s="8"/>
      <c r="U34" s="13"/>
      <c r="V34" s="14"/>
      <c r="W34" s="13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29"/>
      <c r="AL34" s="13"/>
      <c r="AM34" s="13"/>
      <c r="AN34" s="8"/>
      <c r="AO34" s="8"/>
      <c r="AP34" s="8"/>
      <c r="AQ34" s="8"/>
      <c r="AR34" s="8"/>
    </row>
    <row r="35">
      <c r="A35" s="35"/>
      <c r="B35" s="37"/>
      <c r="C35" s="38"/>
      <c r="D35" s="8"/>
      <c r="E35" s="8"/>
      <c r="F35" s="8"/>
      <c r="G35" s="8"/>
      <c r="H35" s="8"/>
      <c r="I35" s="8"/>
      <c r="J35" s="8"/>
      <c r="K35" s="8"/>
      <c r="L35" s="8"/>
      <c r="M35" s="8"/>
      <c r="N35" s="6"/>
      <c r="O35" s="13"/>
      <c r="P35" s="8"/>
      <c r="Q35" s="29"/>
      <c r="R35" s="13"/>
      <c r="S35" s="8"/>
      <c r="T35" s="8"/>
      <c r="U35" s="8"/>
      <c r="V35" s="6"/>
      <c r="W35" s="8"/>
      <c r="X35" s="8"/>
      <c r="Y35" s="8"/>
      <c r="Z35" s="8"/>
      <c r="AA35" s="39"/>
      <c r="AB35" s="8"/>
      <c r="AC35" s="8"/>
      <c r="AD35" s="8"/>
      <c r="AE35" s="8"/>
      <c r="AF35" s="8"/>
      <c r="AG35" s="8"/>
      <c r="AH35" s="8"/>
      <c r="AI35" s="8"/>
      <c r="AJ35" s="8"/>
      <c r="AK35" s="23"/>
      <c r="AL35" s="8"/>
      <c r="AM35" s="8"/>
      <c r="AN35" s="8"/>
      <c r="AO35" s="8"/>
      <c r="AP35" s="8"/>
      <c r="AQ35" s="8"/>
      <c r="AR35" s="8"/>
    </row>
    <row r="36">
      <c r="A36" s="35"/>
      <c r="B36" s="37"/>
      <c r="C36" s="38"/>
      <c r="D36" s="8"/>
      <c r="E36" s="8"/>
      <c r="F36" s="8"/>
      <c r="G36" s="8"/>
      <c r="H36" s="8"/>
      <c r="I36" s="8"/>
      <c r="J36" s="8"/>
      <c r="K36" s="8"/>
      <c r="L36" s="8"/>
      <c r="M36" s="8"/>
      <c r="N36" s="6"/>
      <c r="O36" s="13"/>
      <c r="P36" s="8"/>
      <c r="Q36" s="29"/>
      <c r="R36" s="13"/>
      <c r="S36" s="8"/>
      <c r="T36" s="8"/>
      <c r="U36" s="8"/>
      <c r="V36" s="6"/>
      <c r="W36" s="12"/>
      <c r="X36" s="16"/>
      <c r="Y36" s="12"/>
      <c r="Z36" s="13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23"/>
      <c r="AL36" s="8"/>
      <c r="AM36" s="8"/>
      <c r="AN36" s="8"/>
      <c r="AO36" s="8"/>
      <c r="AP36" s="8"/>
      <c r="AQ36" s="8"/>
      <c r="AR36" s="8"/>
    </row>
    <row r="37">
      <c r="A37" s="35"/>
      <c r="B37" s="37"/>
      <c r="C37" s="38"/>
      <c r="D37" s="8"/>
      <c r="E37" s="8"/>
      <c r="F37" s="8"/>
      <c r="G37" s="8"/>
      <c r="H37" s="8"/>
      <c r="I37" s="8"/>
      <c r="J37" s="8"/>
      <c r="K37" s="8"/>
      <c r="L37" s="8"/>
      <c r="M37" s="8"/>
      <c r="N37" s="6"/>
      <c r="O37" s="8"/>
      <c r="P37" s="8"/>
      <c r="Q37" s="9">
        <v>33.0</v>
      </c>
      <c r="R37" s="40" t="str">
        <f>IFS(O6&gt;O7,N7,O6&lt;O7,N6,TRUE,)</f>
        <v>Rohan B</v>
      </c>
      <c r="S37" s="11">
        <v>90.0</v>
      </c>
      <c r="T37" s="16"/>
      <c r="U37" s="16"/>
      <c r="V37" s="6"/>
      <c r="W37" s="13"/>
      <c r="X37" s="8"/>
      <c r="Y37" s="29"/>
      <c r="Z37" s="13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23"/>
      <c r="AL37" s="8"/>
      <c r="AM37" s="8"/>
      <c r="AN37" s="8"/>
      <c r="AO37" s="8"/>
      <c r="AP37" s="8"/>
      <c r="AQ37" s="8"/>
      <c r="AR37" s="8"/>
    </row>
    <row r="38">
      <c r="A38" s="35"/>
      <c r="B38" s="37"/>
      <c r="C38" s="38"/>
      <c r="D38" s="8"/>
      <c r="E38" s="13"/>
      <c r="F38" s="13"/>
      <c r="G38" s="13"/>
      <c r="H38" s="8"/>
      <c r="I38" s="9">
        <v>17.0</v>
      </c>
      <c r="J38" s="40" t="str">
        <f>IFS(C5&gt;C6,B6,C5&lt;C6,B5,TRUE,)</f>
        <v>Darius S</v>
      </c>
      <c r="K38" s="11">
        <v>72.0</v>
      </c>
      <c r="L38" s="12"/>
      <c r="M38" s="12"/>
      <c r="N38" s="6"/>
      <c r="O38" s="8"/>
      <c r="P38" s="8"/>
      <c r="Q38" s="17"/>
      <c r="R38" s="27" t="str">
        <f>IFS(O40&gt;O41,N40,O40&lt;O41,N41,TRUE,)</f>
        <v>Darius S</v>
      </c>
      <c r="S38" s="19">
        <v>2.0</v>
      </c>
      <c r="T38" s="8"/>
      <c r="U38" s="29"/>
      <c r="V38" s="6"/>
      <c r="W38" s="13"/>
      <c r="X38" s="8"/>
      <c r="Y38" s="29"/>
      <c r="Z38" s="13"/>
      <c r="AA38" s="8"/>
      <c r="AB38" s="8"/>
      <c r="AC38" s="8"/>
      <c r="AD38" s="8"/>
      <c r="AE38" s="8"/>
      <c r="AF38" s="8"/>
      <c r="AG38" s="13"/>
      <c r="AH38" s="13"/>
      <c r="AI38" s="13"/>
      <c r="AJ38" s="13"/>
      <c r="AK38" s="29"/>
      <c r="AL38" s="8"/>
      <c r="AM38" s="8"/>
      <c r="AN38" s="8"/>
      <c r="AO38" s="8"/>
      <c r="AP38" s="8"/>
      <c r="AQ38" s="8"/>
      <c r="AR38" s="8"/>
    </row>
    <row r="39">
      <c r="A39" s="35"/>
      <c r="B39" s="37"/>
      <c r="C39" s="38"/>
      <c r="D39" s="8"/>
      <c r="E39" s="13"/>
      <c r="F39" s="13"/>
      <c r="G39" s="13"/>
      <c r="H39" s="8"/>
      <c r="I39" s="17"/>
      <c r="J39" s="27" t="str">
        <f>IFS(G32&gt;G33,F33,G32&lt;G33,F32,TRUE,)</f>
        <v>Abhiraam G</v>
      </c>
      <c r="K39" s="19">
        <v>0.0</v>
      </c>
      <c r="L39" s="20"/>
      <c r="M39" s="21"/>
      <c r="N39" s="6"/>
      <c r="O39" s="8"/>
      <c r="P39" s="8"/>
      <c r="Q39" s="23"/>
      <c r="R39" s="6"/>
      <c r="S39" s="8"/>
      <c r="T39" s="8"/>
      <c r="U39" s="23"/>
      <c r="V39" s="6"/>
      <c r="W39" s="8"/>
      <c r="X39" s="8"/>
      <c r="Y39" s="9">
        <v>41.0</v>
      </c>
      <c r="Z39" s="40" t="str">
        <f>IFS(W26&gt;W27,V27,W26&lt;W27,V26,TRUE,)</f>
        <v>Varyan J</v>
      </c>
      <c r="AA39" s="11">
        <v>8.0</v>
      </c>
      <c r="AB39" s="8"/>
      <c r="AC39" s="8"/>
      <c r="AD39" s="8"/>
      <c r="AE39" s="8"/>
      <c r="AF39" s="8"/>
      <c r="AG39" s="13"/>
      <c r="AH39" s="13"/>
      <c r="AI39" s="13"/>
      <c r="AJ39" s="8"/>
      <c r="AK39" s="23"/>
      <c r="AL39" s="8"/>
      <c r="AM39" s="8"/>
      <c r="AN39" s="8"/>
      <c r="AO39" s="8"/>
      <c r="AP39" s="8"/>
      <c r="AQ39" s="8"/>
      <c r="AR39" s="8"/>
    </row>
    <row r="40">
      <c r="A40" s="35"/>
      <c r="B40" s="37"/>
      <c r="C40" s="38"/>
      <c r="D40" s="8"/>
      <c r="E40" s="8"/>
      <c r="F40" s="8"/>
      <c r="G40" s="8"/>
      <c r="H40" s="8"/>
      <c r="I40" s="8"/>
      <c r="J40" s="8"/>
      <c r="K40" s="8"/>
      <c r="L40" s="8"/>
      <c r="M40" s="9">
        <v>29.0</v>
      </c>
      <c r="N40" s="25" t="str">
        <f>IFS(K38&gt;K39,J38,K38&lt;K39,J39,TRUE,)</f>
        <v>Darius S</v>
      </c>
      <c r="O40" s="11">
        <v>18.0</v>
      </c>
      <c r="P40" s="16"/>
      <c r="Q40" s="33"/>
      <c r="R40" s="6"/>
      <c r="S40" s="8"/>
      <c r="T40" s="8"/>
      <c r="U40" s="23"/>
      <c r="V40" s="6"/>
      <c r="W40" s="8"/>
      <c r="X40" s="8"/>
      <c r="Y40" s="17"/>
      <c r="Z40" s="27" t="str">
        <f>IFS(W42&gt;W43,V42,W42&lt;W43,V43,TRUE,)</f>
        <v>Rohan B</v>
      </c>
      <c r="AA40" s="19">
        <v>40.0</v>
      </c>
      <c r="AB40" s="20"/>
      <c r="AC40" s="32"/>
      <c r="AD40" s="8"/>
      <c r="AE40" s="8"/>
      <c r="AF40" s="8"/>
      <c r="AG40" s="8"/>
      <c r="AH40" s="8"/>
      <c r="AI40" s="8"/>
      <c r="AJ40" s="8"/>
      <c r="AK40" s="23"/>
      <c r="AL40" s="8"/>
      <c r="AM40" s="8"/>
      <c r="AN40" s="8"/>
      <c r="AO40" s="8"/>
      <c r="AP40" s="8"/>
      <c r="AQ40" s="8"/>
      <c r="AR40" s="8"/>
    </row>
    <row r="41">
      <c r="A41" s="35"/>
      <c r="B41" s="37"/>
      <c r="C41" s="38"/>
      <c r="D41" s="8"/>
      <c r="E41" s="8"/>
      <c r="F41" s="8"/>
      <c r="G41" s="8"/>
      <c r="H41" s="8"/>
      <c r="I41" s="8"/>
      <c r="J41" s="8"/>
      <c r="K41" s="8"/>
      <c r="L41" s="8"/>
      <c r="M41" s="17"/>
      <c r="N41" s="27" t="str">
        <f>IFS(K42&gt;K43,J42,K42&lt;K43,J43,TRUE,)</f>
        <v>Praneel A</v>
      </c>
      <c r="O41" s="19">
        <v>12.0</v>
      </c>
      <c r="P41" s="8"/>
      <c r="Q41" s="8"/>
      <c r="R41" s="6"/>
      <c r="S41" s="8"/>
      <c r="T41" s="8"/>
      <c r="U41" s="23"/>
      <c r="V41" s="6"/>
      <c r="W41" s="8"/>
      <c r="X41" s="8"/>
      <c r="Y41" s="23"/>
      <c r="Z41" s="8"/>
      <c r="AA41" s="8"/>
      <c r="AB41" s="8"/>
      <c r="AC41" s="23"/>
      <c r="AD41" s="8"/>
      <c r="AE41" s="8"/>
      <c r="AF41" s="8"/>
      <c r="AG41" s="8"/>
      <c r="AH41" s="8"/>
      <c r="AI41" s="8"/>
      <c r="AJ41" s="8"/>
      <c r="AK41" s="23"/>
      <c r="AL41" s="8"/>
      <c r="AM41" s="8"/>
      <c r="AN41" s="8"/>
      <c r="AO41" s="8"/>
      <c r="AP41" s="8"/>
      <c r="AQ41" s="8"/>
      <c r="AR41" s="8"/>
    </row>
    <row r="42">
      <c r="A42" s="35"/>
      <c r="B42" s="7"/>
      <c r="C42" s="36"/>
      <c r="D42" s="8"/>
      <c r="E42" s="8"/>
      <c r="F42" s="8"/>
      <c r="G42" s="8"/>
      <c r="H42" s="8"/>
      <c r="I42" s="9">
        <v>18.0</v>
      </c>
      <c r="J42" s="40" t="str">
        <f>IFS(C9&gt;C10,B10,C9&lt;C10,B9,TRUE,)</f>
        <v>Bryce T</v>
      </c>
      <c r="K42" s="11">
        <v>26.0</v>
      </c>
      <c r="L42" s="12"/>
      <c r="M42" s="28"/>
      <c r="N42" s="6"/>
      <c r="O42" s="8"/>
      <c r="P42" s="8"/>
      <c r="Q42" s="8"/>
      <c r="R42" s="6"/>
      <c r="S42" s="8"/>
      <c r="T42" s="8"/>
      <c r="U42" s="9">
        <v>39.0</v>
      </c>
      <c r="V42" s="25" t="str">
        <f>IFS(S37&gt;S38,R37,S37&lt;S38,R38,TRUE,)</f>
        <v>Rohan B</v>
      </c>
      <c r="W42" s="11">
        <v>62.0</v>
      </c>
      <c r="X42" s="16"/>
      <c r="Y42" s="33"/>
      <c r="Z42" s="8"/>
      <c r="AA42" s="8"/>
      <c r="AB42" s="8"/>
      <c r="AC42" s="23"/>
      <c r="AD42" s="8"/>
      <c r="AE42" s="8"/>
      <c r="AF42" s="8"/>
      <c r="AG42" s="8"/>
      <c r="AH42" s="8"/>
      <c r="AI42" s="8"/>
      <c r="AJ42" s="8"/>
      <c r="AK42" s="23"/>
      <c r="AL42" s="8"/>
      <c r="AM42" s="8"/>
      <c r="AN42" s="8"/>
      <c r="AO42" s="8"/>
      <c r="AP42" s="8"/>
      <c r="AQ42" s="8"/>
      <c r="AR42" s="8"/>
    </row>
    <row r="43">
      <c r="A43" s="35"/>
      <c r="B43" s="7"/>
      <c r="C43" s="36"/>
      <c r="D43" s="8"/>
      <c r="E43" s="8"/>
      <c r="F43" s="8"/>
      <c r="G43" s="8"/>
      <c r="H43" s="8"/>
      <c r="I43" s="17"/>
      <c r="J43" s="27" t="str">
        <f>IFS(G28&gt;G29,F29,G28&lt;G29,F28,TRUE,)</f>
        <v>Praneel A</v>
      </c>
      <c r="K43" s="19">
        <v>94.0</v>
      </c>
      <c r="L43" s="8"/>
      <c r="M43" s="13"/>
      <c r="N43" s="6"/>
      <c r="O43" s="8"/>
      <c r="P43" s="8"/>
      <c r="Q43" s="8"/>
      <c r="R43" s="6"/>
      <c r="S43" s="8"/>
      <c r="T43" s="8"/>
      <c r="U43" s="17"/>
      <c r="V43" s="27" t="str">
        <f>IFS(S47&gt;S48,R47,S47&lt;S48,R48,TRUE,)</f>
        <v>Akhil B</v>
      </c>
      <c r="W43" s="19">
        <v>58.0</v>
      </c>
      <c r="X43" s="8"/>
      <c r="Y43" s="8"/>
      <c r="Z43" s="8"/>
      <c r="AA43" s="8"/>
      <c r="AB43" s="8"/>
      <c r="AC43" s="23"/>
      <c r="AD43" s="8"/>
      <c r="AE43" s="8"/>
      <c r="AF43" s="8"/>
      <c r="AG43" s="8"/>
      <c r="AH43" s="8"/>
      <c r="AI43" s="8"/>
      <c r="AJ43" s="8"/>
      <c r="AK43" s="23"/>
      <c r="AL43" s="8"/>
      <c r="AM43" s="8"/>
      <c r="AN43" s="8"/>
      <c r="AO43" s="8"/>
      <c r="AP43" s="8"/>
      <c r="AQ43" s="8"/>
      <c r="AR43" s="8"/>
    </row>
    <row r="44">
      <c r="A44" s="35"/>
      <c r="B44" s="7"/>
      <c r="C44" s="36"/>
      <c r="D44" s="8"/>
      <c r="E44" s="8"/>
      <c r="F44" s="8"/>
      <c r="G44" s="8"/>
      <c r="H44" s="8"/>
      <c r="I44" s="8"/>
      <c r="J44" s="8"/>
      <c r="K44" s="8"/>
      <c r="L44" s="8"/>
      <c r="M44" s="8"/>
      <c r="N44" s="6"/>
      <c r="O44" s="12"/>
      <c r="P44" s="16"/>
      <c r="Q44" s="12"/>
      <c r="R44" s="14"/>
      <c r="S44" s="13"/>
      <c r="T44" s="8"/>
      <c r="U44" s="23"/>
      <c r="V44" s="6"/>
      <c r="W44" s="8"/>
      <c r="X44" s="8"/>
      <c r="Y44" s="8"/>
      <c r="Z44" s="8"/>
      <c r="AA44" s="8"/>
      <c r="AB44" s="8"/>
      <c r="AC44" s="23"/>
      <c r="AD44" s="8"/>
      <c r="AE44" s="12"/>
      <c r="AF44" s="16"/>
      <c r="AG44" s="12"/>
      <c r="AH44" s="13"/>
      <c r="AI44" s="8"/>
      <c r="AJ44" s="8"/>
      <c r="AK44" s="23"/>
      <c r="AL44" s="8"/>
      <c r="AM44" s="8"/>
      <c r="AN44" s="8"/>
      <c r="AO44" s="8"/>
      <c r="AP44" s="8"/>
      <c r="AQ44" s="8"/>
      <c r="AR44" s="8"/>
    </row>
    <row r="45">
      <c r="A45" s="35"/>
      <c r="B45" s="7"/>
      <c r="C45" s="36"/>
      <c r="D45" s="8"/>
      <c r="E45" s="8"/>
      <c r="F45" s="8"/>
      <c r="G45" s="8"/>
      <c r="H45" s="8"/>
      <c r="I45" s="8"/>
      <c r="J45" s="8"/>
      <c r="K45" s="8"/>
      <c r="L45" s="8"/>
      <c r="M45" s="8"/>
      <c r="N45" s="6"/>
      <c r="O45" s="13"/>
      <c r="P45" s="8"/>
      <c r="Q45" s="29"/>
      <c r="R45" s="14"/>
      <c r="S45" s="8"/>
      <c r="T45" s="8"/>
      <c r="U45" s="23"/>
      <c r="V45" s="6"/>
      <c r="W45" s="8"/>
      <c r="X45" s="8"/>
      <c r="Y45" s="8"/>
      <c r="Z45" s="8"/>
      <c r="AA45" s="8"/>
      <c r="AB45" s="8"/>
      <c r="AC45" s="23"/>
      <c r="AD45" s="8"/>
      <c r="AE45" s="13"/>
      <c r="AF45" s="8"/>
      <c r="AG45" s="29"/>
      <c r="AH45" s="13"/>
      <c r="AI45" s="8"/>
      <c r="AJ45" s="8"/>
      <c r="AK45" s="23"/>
      <c r="AL45" s="8"/>
      <c r="AM45" s="8"/>
      <c r="AN45" s="8"/>
      <c r="AO45" s="8"/>
      <c r="AP45" s="8"/>
      <c r="AQ45" s="8"/>
      <c r="AR45" s="8"/>
    </row>
    <row r="46">
      <c r="A46" s="35"/>
      <c r="B46" s="7"/>
      <c r="C46" s="36"/>
      <c r="D46" s="8"/>
      <c r="E46" s="8"/>
      <c r="F46" s="8"/>
      <c r="G46" s="8"/>
      <c r="H46" s="8"/>
      <c r="I46" s="8"/>
      <c r="J46" s="8"/>
      <c r="K46" s="8"/>
      <c r="L46" s="8"/>
      <c r="M46" s="8"/>
      <c r="N46" s="6"/>
      <c r="O46" s="13"/>
      <c r="P46" s="8"/>
      <c r="Q46" s="29"/>
      <c r="R46" s="14"/>
      <c r="S46" s="8"/>
      <c r="T46" s="8"/>
      <c r="U46" s="23"/>
      <c r="V46" s="6"/>
      <c r="W46" s="8"/>
      <c r="X46" s="8"/>
      <c r="Y46" s="8"/>
      <c r="Z46" s="8"/>
      <c r="AA46" s="13"/>
      <c r="AB46" s="13"/>
      <c r="AC46" s="29"/>
      <c r="AD46" s="8"/>
      <c r="AE46" s="13"/>
      <c r="AF46" s="8"/>
      <c r="AG46" s="29"/>
      <c r="AH46" s="13"/>
      <c r="AI46" s="8"/>
      <c r="AJ46" s="8"/>
      <c r="AK46" s="23"/>
      <c r="AL46" s="8"/>
      <c r="AM46" s="8"/>
      <c r="AN46" s="8"/>
      <c r="AO46" s="8"/>
      <c r="AP46" s="8"/>
      <c r="AQ46" s="8"/>
      <c r="AR46" s="8"/>
    </row>
    <row r="47">
      <c r="A47" s="35"/>
      <c r="B47" s="7"/>
      <c r="C47" s="36"/>
      <c r="D47" s="8"/>
      <c r="E47" s="8"/>
      <c r="F47" s="8"/>
      <c r="G47" s="8"/>
      <c r="H47" s="8"/>
      <c r="I47" s="8"/>
      <c r="J47" s="8"/>
      <c r="K47" s="8"/>
      <c r="L47" s="8"/>
      <c r="M47" s="8"/>
      <c r="N47" s="6"/>
      <c r="O47" s="8"/>
      <c r="P47" s="8"/>
      <c r="Q47" s="9">
        <v>34.0</v>
      </c>
      <c r="R47" s="40" t="str">
        <f>IFS(O14&gt;O15,N15,O14&lt;O15,N14,TRUE,)</f>
        <v>Akhil B</v>
      </c>
      <c r="S47" s="11">
        <v>34.0</v>
      </c>
      <c r="T47" s="16"/>
      <c r="U47" s="33"/>
      <c r="V47" s="6"/>
      <c r="W47" s="13"/>
      <c r="X47" s="8"/>
      <c r="Y47" s="13"/>
      <c r="Z47" s="8"/>
      <c r="AA47" s="8"/>
      <c r="AB47" s="8"/>
      <c r="AC47" s="29"/>
      <c r="AD47" s="8"/>
      <c r="AE47" s="8"/>
      <c r="AF47" s="8"/>
      <c r="AG47" s="9">
        <v>45.0</v>
      </c>
      <c r="AH47" s="40" t="str">
        <f>IFS(AE18&gt;AE19,AD19,AE18&lt;AE19,AD18,TRUE,)</f>
        <v>Ziang Z</v>
      </c>
      <c r="AI47" s="11">
        <v>14.0</v>
      </c>
      <c r="AJ47" s="16"/>
      <c r="AK47" s="33"/>
      <c r="AL47" s="8"/>
      <c r="AM47" s="8"/>
      <c r="AN47" s="8"/>
      <c r="AO47" s="8"/>
      <c r="AP47" s="8"/>
      <c r="AQ47" s="8"/>
      <c r="AR47" s="8"/>
    </row>
    <row r="48">
      <c r="A48" s="35"/>
      <c r="B48" s="7"/>
      <c r="C48" s="36"/>
      <c r="D48" s="8"/>
      <c r="E48" s="8"/>
      <c r="F48" s="8"/>
      <c r="G48" s="8"/>
      <c r="H48" s="8"/>
      <c r="I48" s="9">
        <v>19.0</v>
      </c>
      <c r="J48" s="40" t="str">
        <f>IFS(C13&gt;C14,B14,C13&lt;C14,B13,TRUE,)</f>
        <v>Akshay R</v>
      </c>
      <c r="K48" s="11">
        <v>40.0</v>
      </c>
      <c r="L48" s="12"/>
      <c r="M48" s="12"/>
      <c r="N48" s="6"/>
      <c r="O48" s="8"/>
      <c r="P48" s="8"/>
      <c r="Q48" s="17"/>
      <c r="R48" s="27" t="str">
        <f>IFS(O50&gt;O51,N50,O50&lt;O51,N51,TRUE,)</f>
        <v>Ishaan K</v>
      </c>
      <c r="S48" s="19">
        <v>14.0</v>
      </c>
      <c r="T48" s="8"/>
      <c r="U48" s="8"/>
      <c r="V48" s="6"/>
      <c r="W48" s="13"/>
      <c r="X48" s="8"/>
      <c r="Y48" s="13"/>
      <c r="Z48" s="8"/>
      <c r="AA48" s="8"/>
      <c r="AB48" s="8"/>
      <c r="AC48" s="23"/>
      <c r="AD48" s="8"/>
      <c r="AE48" s="8"/>
      <c r="AF48" s="8"/>
      <c r="AG48" s="17"/>
      <c r="AH48" s="27" t="str">
        <f>IFS(AE50&gt;AE51,AD50,AE50&lt;AE51,AD51,TRUE,)</f>
        <v>Rohan B</v>
      </c>
      <c r="AI48" s="19">
        <v>42.0</v>
      </c>
      <c r="AJ48" s="8"/>
      <c r="AK48" s="8"/>
      <c r="AL48" s="8"/>
      <c r="AM48" s="8"/>
      <c r="AN48" s="8"/>
      <c r="AO48" s="8"/>
      <c r="AP48" s="8"/>
      <c r="AQ48" s="8"/>
      <c r="AR48" s="8"/>
    </row>
    <row r="49">
      <c r="A49" s="35"/>
      <c r="B49" s="7"/>
      <c r="C49" s="36"/>
      <c r="D49" s="8"/>
      <c r="E49" s="8"/>
      <c r="F49" s="8"/>
      <c r="G49" s="8"/>
      <c r="H49" s="8"/>
      <c r="I49" s="17"/>
      <c r="J49" s="27" t="str">
        <f>IFS(G24&gt;G25,F25,G24&lt;G25,F24,TRUE,)</f>
        <v>Ishaan K</v>
      </c>
      <c r="K49" s="19">
        <v>62.0</v>
      </c>
      <c r="L49" s="20"/>
      <c r="M49" s="21"/>
      <c r="N49" s="6"/>
      <c r="O49" s="8"/>
      <c r="P49" s="8"/>
      <c r="Q49" s="23"/>
      <c r="R49" s="6"/>
      <c r="S49" s="8"/>
      <c r="T49" s="8"/>
      <c r="U49" s="8"/>
      <c r="V49" s="6"/>
      <c r="W49" s="8"/>
      <c r="X49" s="8"/>
      <c r="Y49" s="8"/>
      <c r="Z49" s="8"/>
      <c r="AA49" s="8"/>
      <c r="AB49" s="8"/>
      <c r="AC49" s="29"/>
      <c r="AD49" s="13"/>
      <c r="AE49" s="13"/>
      <c r="AF49" s="8"/>
      <c r="AG49" s="23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</row>
    <row r="50">
      <c r="A50" s="35"/>
      <c r="B50" s="7"/>
      <c r="C50" s="36"/>
      <c r="D50" s="8"/>
      <c r="E50" s="8"/>
      <c r="F50" s="8"/>
      <c r="G50" s="8"/>
      <c r="H50" s="8"/>
      <c r="I50" s="8"/>
      <c r="J50" s="8"/>
      <c r="K50" s="8"/>
      <c r="L50" s="8"/>
      <c r="M50" s="9">
        <v>30.0</v>
      </c>
      <c r="N50" s="25" t="str">
        <f>IFS(K48&gt;K49,J48,K48&lt;K49,J49,TRUE,)</f>
        <v>Ishaan K</v>
      </c>
      <c r="O50" s="11">
        <v>58.0</v>
      </c>
      <c r="P50" s="16"/>
      <c r="Q50" s="33"/>
      <c r="R50" s="6"/>
      <c r="S50" s="13"/>
      <c r="T50" s="13"/>
      <c r="U50" s="13"/>
      <c r="V50" s="6"/>
      <c r="W50" s="8"/>
      <c r="X50" s="8"/>
      <c r="Y50" s="8"/>
      <c r="Z50" s="8"/>
      <c r="AA50" s="8"/>
      <c r="AB50" s="41"/>
      <c r="AC50" s="9">
        <v>44.0</v>
      </c>
      <c r="AD50" s="25" t="str">
        <f>IFS(AA39&gt;AA40,Z39,AA39&lt;AA40,Z40,TRUE,)</f>
        <v>Rohan B</v>
      </c>
      <c r="AE50" s="11">
        <v>4.0</v>
      </c>
      <c r="AF50" s="16"/>
      <c r="AG50" s="33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</row>
    <row r="51">
      <c r="A51" s="35"/>
      <c r="B51" s="7"/>
      <c r="C51" s="36"/>
      <c r="D51" s="8"/>
      <c r="E51" s="8"/>
      <c r="F51" s="8"/>
      <c r="G51" s="8"/>
      <c r="H51" s="8"/>
      <c r="I51" s="8"/>
      <c r="J51" s="8"/>
      <c r="K51" s="8"/>
      <c r="L51" s="8"/>
      <c r="M51" s="17"/>
      <c r="N51" s="27" t="str">
        <f>IFS(K52&gt;K53,J52,K52&lt;K53,J53,TRUE,)</f>
        <v>Alex L</v>
      </c>
      <c r="O51" s="19">
        <v>42.0</v>
      </c>
      <c r="P51" s="8"/>
      <c r="Q51" s="8"/>
      <c r="R51" s="6"/>
      <c r="S51" s="13"/>
      <c r="T51" s="8"/>
      <c r="U51" s="8"/>
      <c r="V51" s="6"/>
      <c r="W51" s="8"/>
      <c r="X51" s="8"/>
      <c r="Y51" s="8"/>
      <c r="Z51" s="8"/>
      <c r="AA51" s="8"/>
      <c r="AB51" s="41"/>
      <c r="AC51" s="17"/>
      <c r="AD51" s="27" t="str">
        <f>IFS(AA59&gt;AA60,Z59,AA59&lt;AA60,Z60,TRUE,)</f>
        <v>Peter B</v>
      </c>
      <c r="AE51" s="19">
        <v>0.0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</row>
    <row r="52">
      <c r="A52" s="35"/>
      <c r="B52" s="7"/>
      <c r="C52" s="36"/>
      <c r="D52" s="8"/>
      <c r="E52" s="8"/>
      <c r="F52" s="8"/>
      <c r="G52" s="8"/>
      <c r="H52" s="8"/>
      <c r="I52" s="9">
        <v>20.0</v>
      </c>
      <c r="J52" s="40" t="s">
        <v>18</v>
      </c>
      <c r="K52" s="11">
        <v>38.0</v>
      </c>
      <c r="L52" s="12"/>
      <c r="M52" s="28"/>
      <c r="N52" s="6"/>
      <c r="O52" s="8"/>
      <c r="P52" s="8"/>
      <c r="Q52" s="8"/>
      <c r="R52" s="6"/>
      <c r="S52" s="8"/>
      <c r="T52" s="8"/>
      <c r="U52" s="8"/>
      <c r="V52" s="6"/>
      <c r="W52" s="8"/>
      <c r="X52" s="8"/>
      <c r="Y52" s="13"/>
      <c r="Z52" s="13"/>
      <c r="AA52" s="13"/>
      <c r="AB52" s="13"/>
      <c r="AC52" s="29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</row>
    <row r="53">
      <c r="A53" s="35"/>
      <c r="B53" s="7"/>
      <c r="C53" s="36"/>
      <c r="D53" s="8"/>
      <c r="E53" s="8"/>
      <c r="F53" s="8"/>
      <c r="G53" s="8"/>
      <c r="H53" s="8"/>
      <c r="I53" s="17"/>
      <c r="J53" s="27" t="str">
        <f>IFS(G20&gt;G21,F21,G20&lt;G21,F20,TRUE,)</f>
        <v>Alex L</v>
      </c>
      <c r="K53" s="19">
        <v>76.0</v>
      </c>
      <c r="L53" s="8"/>
      <c r="M53" s="13"/>
      <c r="N53" s="6"/>
      <c r="O53" s="8"/>
      <c r="P53" s="8"/>
      <c r="Q53" s="8"/>
      <c r="R53" s="6"/>
      <c r="S53" s="8"/>
      <c r="T53" s="8"/>
      <c r="U53" s="8"/>
      <c r="V53" s="6"/>
      <c r="W53" s="8"/>
      <c r="X53" s="8"/>
      <c r="Y53" s="13"/>
      <c r="Z53" s="13"/>
      <c r="AA53" s="13"/>
      <c r="AB53" s="8"/>
      <c r="AC53" s="23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</row>
    <row r="54">
      <c r="A54" s="35"/>
      <c r="B54" s="7"/>
      <c r="C54" s="36"/>
      <c r="D54" s="8"/>
      <c r="E54" s="8"/>
      <c r="F54" s="8"/>
      <c r="G54" s="8"/>
      <c r="H54" s="8"/>
      <c r="I54" s="8"/>
      <c r="J54" s="8"/>
      <c r="K54" s="8"/>
      <c r="L54" s="8"/>
      <c r="M54" s="8"/>
      <c r="N54" s="6"/>
      <c r="O54" s="12"/>
      <c r="P54" s="16"/>
      <c r="Q54" s="12"/>
      <c r="R54" s="14"/>
      <c r="S54" s="8"/>
      <c r="T54" s="8"/>
      <c r="U54" s="8"/>
      <c r="V54" s="6"/>
      <c r="W54" s="8"/>
      <c r="X54" s="8"/>
      <c r="Y54" s="8"/>
      <c r="Z54" s="8"/>
      <c r="AA54" s="8"/>
      <c r="AB54" s="8"/>
      <c r="AC54" s="23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</row>
    <row r="55">
      <c r="A55" s="35"/>
      <c r="B55" s="7"/>
      <c r="C55" s="36"/>
      <c r="D55" s="8"/>
      <c r="E55" s="8"/>
      <c r="F55" s="8"/>
      <c r="G55" s="8"/>
      <c r="H55" s="8"/>
      <c r="I55" s="8"/>
      <c r="J55" s="8"/>
      <c r="K55" s="8"/>
      <c r="L55" s="8"/>
      <c r="M55" s="8"/>
      <c r="N55" s="6"/>
      <c r="O55" s="13"/>
      <c r="P55" s="8"/>
      <c r="Q55" s="29"/>
      <c r="R55" s="14"/>
      <c r="S55" s="8"/>
      <c r="T55" s="8"/>
      <c r="U55" s="13"/>
      <c r="V55" s="14"/>
      <c r="W55" s="13"/>
      <c r="X55" s="8"/>
      <c r="Y55" s="13"/>
      <c r="Z55" s="8"/>
      <c r="AA55" s="8"/>
      <c r="AB55" s="8"/>
      <c r="AC55" s="23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</row>
    <row r="56">
      <c r="A56" s="35"/>
      <c r="B56" s="7"/>
      <c r="C56" s="36"/>
      <c r="D56" s="8"/>
      <c r="E56" s="8"/>
      <c r="F56" s="8"/>
      <c r="G56" s="8"/>
      <c r="H56" s="8"/>
      <c r="I56" s="8"/>
      <c r="J56" s="8"/>
      <c r="K56" s="8"/>
      <c r="L56" s="8"/>
      <c r="M56" s="8"/>
      <c r="N56" s="6"/>
      <c r="O56" s="13"/>
      <c r="P56" s="8"/>
      <c r="Q56" s="29"/>
      <c r="R56" s="14"/>
      <c r="S56" s="8"/>
      <c r="T56" s="8"/>
      <c r="U56" s="13"/>
      <c r="V56" s="14"/>
      <c r="W56" s="12"/>
      <c r="X56" s="16"/>
      <c r="Y56" s="12"/>
      <c r="Z56" s="13"/>
      <c r="AA56" s="8"/>
      <c r="AB56" s="8"/>
      <c r="AC56" s="23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</row>
    <row r="57">
      <c r="A57" s="35"/>
      <c r="B57" s="7"/>
      <c r="C57" s="36"/>
      <c r="D57" s="8"/>
      <c r="E57" s="8"/>
      <c r="F57" s="8"/>
      <c r="G57" s="8"/>
      <c r="H57" s="8"/>
      <c r="I57" s="8"/>
      <c r="J57" s="8"/>
      <c r="K57" s="8"/>
      <c r="L57" s="8"/>
      <c r="M57" s="8"/>
      <c r="N57" s="6"/>
      <c r="O57" s="8"/>
      <c r="P57" s="8"/>
      <c r="Q57" s="9">
        <v>35.0</v>
      </c>
      <c r="R57" s="40" t="str">
        <f>IFS(O22&gt;O23,N23,O22&lt;O23,N22,TRUE,)</f>
        <v>Travis D</v>
      </c>
      <c r="S57" s="11">
        <v>16.0</v>
      </c>
      <c r="T57" s="16"/>
      <c r="U57" s="16"/>
      <c r="V57" s="6"/>
      <c r="W57" s="13"/>
      <c r="X57" s="8"/>
      <c r="Y57" s="29"/>
      <c r="Z57" s="13"/>
      <c r="AA57" s="8"/>
      <c r="AB57" s="8"/>
      <c r="AC57" s="23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</row>
    <row r="58">
      <c r="A58" s="35"/>
      <c r="B58" s="7"/>
      <c r="C58" s="36"/>
      <c r="D58" s="8"/>
      <c r="E58" s="8"/>
      <c r="F58" s="8"/>
      <c r="G58" s="8"/>
      <c r="H58" s="8"/>
      <c r="I58" s="9">
        <v>21.0</v>
      </c>
      <c r="J58" s="40" t="str">
        <f>IFS(C21&gt;C22,B22,C21&lt;C22,B21,TRUE,)</f>
        <v>Kevin F</v>
      </c>
      <c r="K58" s="11">
        <v>44.0</v>
      </c>
      <c r="L58" s="12"/>
      <c r="M58" s="12"/>
      <c r="N58" s="14"/>
      <c r="O58" s="13"/>
      <c r="P58" s="13"/>
      <c r="Q58" s="17"/>
      <c r="R58" s="27" t="str">
        <f>IFS(O60&gt;O61,N60,O60&lt;O61,N61,TRUE,)</f>
        <v>Camille P</v>
      </c>
      <c r="S58" s="19">
        <v>90.0</v>
      </c>
      <c r="T58" s="8"/>
      <c r="U58" s="29"/>
      <c r="V58" s="6"/>
      <c r="W58" s="13"/>
      <c r="X58" s="8"/>
      <c r="Y58" s="29"/>
      <c r="Z58" s="13"/>
      <c r="AA58" s="8"/>
      <c r="AB58" s="8"/>
      <c r="AC58" s="23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</row>
    <row r="59">
      <c r="A59" s="35"/>
      <c r="B59" s="7"/>
      <c r="C59" s="36"/>
      <c r="D59" s="8"/>
      <c r="E59" s="8"/>
      <c r="F59" s="8"/>
      <c r="G59" s="8"/>
      <c r="H59" s="8"/>
      <c r="I59" s="17"/>
      <c r="J59" s="27" t="str">
        <f>IFS(G16&gt;G17,F17,G16&lt;G17,F16,TRUE,)</f>
        <v>Camille P</v>
      </c>
      <c r="K59" s="19">
        <v>62.0</v>
      </c>
      <c r="L59" s="20"/>
      <c r="M59" s="21"/>
      <c r="N59" s="14"/>
      <c r="O59" s="13"/>
      <c r="P59" s="8"/>
      <c r="Q59" s="23"/>
      <c r="R59" s="6"/>
      <c r="S59" s="13"/>
      <c r="T59" s="8"/>
      <c r="U59" s="23"/>
      <c r="V59" s="6"/>
      <c r="W59" s="8"/>
      <c r="X59" s="8"/>
      <c r="Y59" s="9">
        <v>42.0</v>
      </c>
      <c r="Z59" s="40" t="str">
        <f>IFS(W10&gt;W11,V11,W10&lt;W11,V10,TRUE,)</f>
        <v>Peter B</v>
      </c>
      <c r="AA59" s="11">
        <v>68.0</v>
      </c>
      <c r="AB59" s="16"/>
      <c r="AC59" s="33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</row>
    <row r="60">
      <c r="A60" s="35"/>
      <c r="B60" s="7"/>
      <c r="C60" s="36"/>
      <c r="D60" s="8"/>
      <c r="E60" s="8"/>
      <c r="F60" s="8"/>
      <c r="G60" s="8"/>
      <c r="H60" s="8"/>
      <c r="I60" s="8"/>
      <c r="J60" s="8"/>
      <c r="K60" s="8"/>
      <c r="L60" s="8"/>
      <c r="M60" s="9">
        <v>31.0</v>
      </c>
      <c r="N60" s="25" t="str">
        <f>IFS(K58&gt;K59,J58,K58&lt;K59,J59,TRUE,)</f>
        <v>Camille P</v>
      </c>
      <c r="O60" s="11">
        <v>78.0</v>
      </c>
      <c r="P60" s="16"/>
      <c r="Q60" s="33"/>
      <c r="R60" s="6"/>
      <c r="S60" s="13"/>
      <c r="T60" s="8"/>
      <c r="U60" s="23"/>
      <c r="V60" s="6"/>
      <c r="W60" s="8"/>
      <c r="X60" s="8"/>
      <c r="Y60" s="17"/>
      <c r="Z60" s="27" t="str">
        <f>IFS(W62&gt;W63,V62,W62&lt;W63,V63,TRUE,)</f>
        <v>Suzuko O</v>
      </c>
      <c r="AA60" s="19">
        <v>0.0</v>
      </c>
      <c r="AB60" s="20"/>
      <c r="AC60" s="20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</row>
    <row r="61">
      <c r="A61" s="35"/>
      <c r="B61" s="7"/>
      <c r="C61" s="36"/>
      <c r="D61" s="8"/>
      <c r="E61" s="8"/>
      <c r="F61" s="8"/>
      <c r="G61" s="8"/>
      <c r="H61" s="8"/>
      <c r="I61" s="8"/>
      <c r="J61" s="8"/>
      <c r="K61" s="8"/>
      <c r="L61" s="8"/>
      <c r="M61" s="17"/>
      <c r="N61" s="27" t="str">
        <f>IFS(K62&gt;K63,J62,K62&lt;K63,J63,TRUE,)</f>
        <v>Luyao Y</v>
      </c>
      <c r="O61" s="19">
        <v>42.0</v>
      </c>
      <c r="P61" s="8"/>
      <c r="Q61" s="8"/>
      <c r="R61" s="6"/>
      <c r="S61" s="13"/>
      <c r="T61" s="8"/>
      <c r="U61" s="23"/>
      <c r="V61" s="6"/>
      <c r="W61" s="8"/>
      <c r="X61" s="8"/>
      <c r="Y61" s="23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6"/>
      <c r="AP61" s="6"/>
      <c r="AQ61" s="6"/>
      <c r="AR61" s="6"/>
    </row>
    <row r="62">
      <c r="A62" s="8"/>
      <c r="B62" s="8"/>
      <c r="C62" s="8"/>
      <c r="D62" s="8"/>
      <c r="E62" s="8"/>
      <c r="F62" s="8"/>
      <c r="G62" s="8"/>
      <c r="H62" s="8"/>
      <c r="I62" s="9">
        <v>22.0</v>
      </c>
      <c r="J62" s="40" t="str">
        <f>IFS(C25&gt;C26,B26,C25&lt;C26,B25,TRUE,)</f>
        <v>Luyao Y</v>
      </c>
      <c r="K62" s="11">
        <v>56.0</v>
      </c>
      <c r="L62" s="12"/>
      <c r="M62" s="28"/>
      <c r="N62" s="14"/>
      <c r="O62" s="13"/>
      <c r="P62" s="8"/>
      <c r="Q62" s="13"/>
      <c r="R62" s="14"/>
      <c r="S62" s="13"/>
      <c r="T62" s="8"/>
      <c r="U62" s="9">
        <v>40.0</v>
      </c>
      <c r="V62" s="25" t="str">
        <f>IFS(S57&gt;S58,R57,S57&lt;S58,R58,TRUE,)</f>
        <v>Camille P</v>
      </c>
      <c r="W62" s="11">
        <v>22.0</v>
      </c>
      <c r="X62" s="16"/>
      <c r="Y62" s="33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6"/>
      <c r="AP62" s="6"/>
      <c r="AQ62" s="6"/>
      <c r="AR62" s="6"/>
    </row>
    <row r="63">
      <c r="A63" s="8"/>
      <c r="B63" s="8"/>
      <c r="C63" s="8"/>
      <c r="D63" s="8"/>
      <c r="E63" s="8"/>
      <c r="F63" s="8"/>
      <c r="G63" s="8"/>
      <c r="H63" s="8"/>
      <c r="I63" s="17"/>
      <c r="J63" s="27" t="str">
        <f>IFS(G12&gt;G13,F13,G12&lt;G13,F12,TRUE,)</f>
        <v>Ian C</v>
      </c>
      <c r="K63" s="19">
        <v>42.0</v>
      </c>
      <c r="L63" s="8"/>
      <c r="M63" s="13"/>
      <c r="N63" s="14"/>
      <c r="O63" s="13"/>
      <c r="P63" s="8"/>
      <c r="Q63" s="13"/>
      <c r="R63" s="14"/>
      <c r="S63" s="13"/>
      <c r="T63" s="8"/>
      <c r="U63" s="17"/>
      <c r="V63" s="27" t="str">
        <f>IFS(S67&gt;S68,R67,S67&lt;S68,R68,TRUE,)</f>
        <v>Suzuko O</v>
      </c>
      <c r="W63" s="19">
        <v>82.0</v>
      </c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6"/>
      <c r="AP63" s="6"/>
      <c r="AQ63" s="6"/>
      <c r="AR63" s="6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13"/>
      <c r="N64" s="14"/>
      <c r="O64" s="12"/>
      <c r="P64" s="16"/>
      <c r="Q64" s="12"/>
      <c r="R64" s="14"/>
      <c r="S64" s="13"/>
      <c r="T64" s="8"/>
      <c r="U64" s="23"/>
      <c r="V64" s="8"/>
      <c r="W64" s="8"/>
      <c r="X64" s="8"/>
      <c r="Y64" s="8"/>
      <c r="Z64" s="8"/>
      <c r="AA64" s="39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6"/>
      <c r="AP64" s="6"/>
      <c r="AQ64" s="6"/>
      <c r="AR64" s="6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13"/>
      <c r="N65" s="14"/>
      <c r="O65" s="13"/>
      <c r="P65" s="8"/>
      <c r="Q65" s="29"/>
      <c r="R65" s="14"/>
      <c r="S65" s="13"/>
      <c r="T65" s="8"/>
      <c r="U65" s="23"/>
      <c r="V65" s="8"/>
      <c r="W65" s="8"/>
      <c r="X65" s="8"/>
      <c r="Y65" s="8"/>
      <c r="Z65" s="8"/>
      <c r="AA65" s="39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6"/>
      <c r="AP65" s="6"/>
      <c r="AQ65" s="6"/>
      <c r="AR65" s="6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13"/>
      <c r="N66" s="14"/>
      <c r="O66" s="13"/>
      <c r="P66" s="8"/>
      <c r="Q66" s="29"/>
      <c r="R66" s="14"/>
      <c r="S66" s="13"/>
      <c r="T66" s="8"/>
      <c r="U66" s="23"/>
      <c r="V66" s="8"/>
      <c r="W66" s="8"/>
      <c r="X66" s="8"/>
      <c r="Y66" s="8"/>
      <c r="Z66" s="8"/>
      <c r="AA66" s="39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6"/>
      <c r="AP66" s="6"/>
      <c r="AQ66" s="6"/>
      <c r="AR66" s="6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13"/>
      <c r="N67" s="14"/>
      <c r="O67" s="13"/>
      <c r="P67" s="8"/>
      <c r="Q67" s="9">
        <v>36.0</v>
      </c>
      <c r="R67" s="40" t="str">
        <f>IFS(O30&gt;O31,N31,O30&lt;O31,N30,TRUE,)</f>
        <v>Suzuko O</v>
      </c>
      <c r="S67" s="11">
        <v>4.0</v>
      </c>
      <c r="T67" s="16"/>
      <c r="U67" s="33"/>
      <c r="V67" s="8"/>
      <c r="W67" s="8"/>
      <c r="X67" s="8"/>
      <c r="Y67" s="8"/>
      <c r="Z67" s="8"/>
      <c r="AA67" s="39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6"/>
      <c r="AP67" s="6"/>
      <c r="AQ67" s="6"/>
      <c r="AR67" s="6"/>
    </row>
    <row r="68">
      <c r="A68" s="8"/>
      <c r="B68" s="8"/>
      <c r="C68" s="8"/>
      <c r="D68" s="8"/>
      <c r="E68" s="8"/>
      <c r="F68" s="8"/>
      <c r="G68" s="8"/>
      <c r="H68" s="8"/>
      <c r="I68" s="9">
        <v>23.0</v>
      </c>
      <c r="J68" s="40" t="str">
        <f>IFS(C29&gt;C30,B30,C29&lt;C30,B29,TRUE,)</f>
        <v>Henry L</v>
      </c>
      <c r="K68" s="11">
        <v>36.0</v>
      </c>
      <c r="L68" s="12"/>
      <c r="M68" s="12"/>
      <c r="N68" s="14"/>
      <c r="O68" s="13"/>
      <c r="P68" s="8"/>
      <c r="Q68" s="17"/>
      <c r="R68" s="27" t="str">
        <f>IFS(O70&gt;O71,N70,O70&lt;O71,N71,TRUE,)</f>
        <v>Alex Z</v>
      </c>
      <c r="S68" s="19">
        <v>0.0</v>
      </c>
      <c r="T68" s="8"/>
      <c r="U68" s="8"/>
      <c r="V68" s="8"/>
      <c r="W68" s="8"/>
      <c r="X68" s="8"/>
      <c r="Y68" s="8"/>
      <c r="Z68" s="8"/>
      <c r="AA68" s="39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6"/>
      <c r="AP68" s="6"/>
      <c r="AQ68" s="6"/>
      <c r="AR68" s="6"/>
    </row>
    <row r="69">
      <c r="A69" s="8"/>
      <c r="B69" s="8"/>
      <c r="C69" s="8"/>
      <c r="D69" s="8"/>
      <c r="E69" s="8"/>
      <c r="F69" s="8"/>
      <c r="G69" s="8"/>
      <c r="H69" s="8"/>
      <c r="I69" s="17"/>
      <c r="J69" s="27" t="str">
        <f>IFS(G8&gt;G9,F9,G8&lt;G9,F8,TRUE,)</f>
        <v>Baljeet C</v>
      </c>
      <c r="K69" s="19">
        <v>38.0</v>
      </c>
      <c r="L69" s="20"/>
      <c r="M69" s="21"/>
      <c r="N69" s="14"/>
      <c r="O69" s="13"/>
      <c r="P69" s="8"/>
      <c r="Q69" s="29"/>
      <c r="R69" s="13"/>
      <c r="S69" s="13"/>
      <c r="T69" s="8"/>
      <c r="U69" s="8"/>
      <c r="V69" s="8"/>
      <c r="W69" s="8"/>
      <c r="X69" s="8"/>
      <c r="Y69" s="8"/>
      <c r="Z69" s="8"/>
      <c r="AA69" s="39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6"/>
      <c r="AP69" s="6"/>
      <c r="AQ69" s="6"/>
      <c r="AR69" s="6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9">
        <v>32.0</v>
      </c>
      <c r="N70" s="25" t="str">
        <f>IFS(K68&gt;K69,J68,K68&lt;K69,J69,TRUE,)</f>
        <v>Baljeet C</v>
      </c>
      <c r="O70" s="11">
        <v>18.0</v>
      </c>
      <c r="P70" s="12"/>
      <c r="Q70" s="28"/>
      <c r="R70" s="13"/>
      <c r="S70" s="13"/>
      <c r="T70" s="8"/>
      <c r="U70" s="8"/>
      <c r="V70" s="8"/>
      <c r="W70" s="8"/>
      <c r="X70" s="8"/>
      <c r="Y70" s="8"/>
      <c r="Z70" s="8"/>
      <c r="AA70" s="39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6"/>
      <c r="AP70" s="6"/>
      <c r="AQ70" s="6"/>
      <c r="AR70" s="6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7"/>
      <c r="N71" s="27" t="str">
        <f>IFS(K72&gt;K73,J72,K72&lt;K73,J73,TRUE,)</f>
        <v>Alex Z</v>
      </c>
      <c r="O71" s="19">
        <v>50.0</v>
      </c>
      <c r="P71" s="8"/>
      <c r="Q71" s="13"/>
      <c r="R71" s="13"/>
      <c r="S71" s="13"/>
      <c r="T71" s="8"/>
      <c r="U71" s="8"/>
      <c r="V71" s="8"/>
      <c r="W71" s="8"/>
      <c r="X71" s="8"/>
      <c r="Y71" s="8"/>
      <c r="Z71" s="8"/>
      <c r="AA71" s="39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6"/>
      <c r="AP71" s="6"/>
      <c r="AQ71" s="6"/>
      <c r="AR71" s="6"/>
    </row>
    <row r="72">
      <c r="A72" s="8"/>
      <c r="B72" s="8"/>
      <c r="C72" s="8"/>
      <c r="D72" s="8"/>
      <c r="E72" s="8"/>
      <c r="F72" s="8"/>
      <c r="G72" s="8"/>
      <c r="H72" s="8"/>
      <c r="I72" s="9">
        <v>24.0</v>
      </c>
      <c r="J72" s="40" t="str">
        <f>IFS(C33&gt;C34,B34,C33&lt;C34,B33,TRUE,)</f>
        <v>Alex Z</v>
      </c>
      <c r="K72" s="11">
        <v>96.0</v>
      </c>
      <c r="L72" s="12"/>
      <c r="M72" s="28"/>
      <c r="N72" s="14"/>
      <c r="O72" s="13"/>
      <c r="P72" s="8"/>
      <c r="Q72" s="13"/>
      <c r="R72" s="13"/>
      <c r="S72" s="13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6"/>
      <c r="AP72" s="6"/>
      <c r="AQ72" s="6"/>
      <c r="AR72" s="6"/>
    </row>
    <row r="73">
      <c r="A73" s="8"/>
      <c r="B73" s="8"/>
      <c r="C73" s="8"/>
      <c r="D73" s="8"/>
      <c r="E73" s="8"/>
      <c r="F73" s="8"/>
      <c r="G73" s="8"/>
      <c r="H73" s="8"/>
      <c r="I73" s="17"/>
      <c r="J73" s="27" t="str">
        <f>IFS(G4&gt;G5,F5,G4&lt;G5,F4,TRUE,)</f>
        <v>Advai S</v>
      </c>
      <c r="K73" s="19">
        <v>46.0</v>
      </c>
      <c r="L73" s="8"/>
      <c r="M73" s="13"/>
      <c r="N73" s="14"/>
      <c r="O73" s="13"/>
      <c r="P73" s="8"/>
      <c r="Q73" s="13"/>
      <c r="R73" s="13"/>
      <c r="S73" s="13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6"/>
      <c r="AP73" s="6"/>
      <c r="AQ73" s="6"/>
      <c r="AR73" s="6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13"/>
      <c r="N74" s="13"/>
      <c r="O74" s="13"/>
      <c r="P74" s="8"/>
      <c r="Q74" s="13"/>
      <c r="R74" s="13"/>
      <c r="S74" s="13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6"/>
      <c r="AP74" s="6"/>
      <c r="AQ74" s="6"/>
      <c r="AR74" s="6"/>
    </row>
  </sheetData>
  <mergeCells count="59">
    <mergeCell ref="M30:M31"/>
    <mergeCell ref="M40:M41"/>
    <mergeCell ref="I42:I43"/>
    <mergeCell ref="Q47:Q48"/>
    <mergeCell ref="I48:I49"/>
    <mergeCell ref="M50:M51"/>
    <mergeCell ref="Q57:Q58"/>
    <mergeCell ref="M60:M61"/>
    <mergeCell ref="M70:M71"/>
    <mergeCell ref="I72:I73"/>
    <mergeCell ref="I52:I53"/>
    <mergeCell ref="I58:I59"/>
    <mergeCell ref="Y59:Y60"/>
    <mergeCell ref="I62:I63"/>
    <mergeCell ref="U62:U63"/>
    <mergeCell ref="Q67:Q68"/>
    <mergeCell ref="I68:I69"/>
    <mergeCell ref="AG2:AJ2"/>
    <mergeCell ref="AK2:AN2"/>
    <mergeCell ref="A1:AR1"/>
    <mergeCell ref="A2:D2"/>
    <mergeCell ref="E2:H2"/>
    <mergeCell ref="I2:L2"/>
    <mergeCell ref="M2:P2"/>
    <mergeCell ref="Q2:T2"/>
    <mergeCell ref="U2:X2"/>
    <mergeCell ref="AO2:AR2"/>
    <mergeCell ref="Y2:AB2"/>
    <mergeCell ref="AC2:AF2"/>
    <mergeCell ref="E4:E5"/>
    <mergeCell ref="A5:A6"/>
    <mergeCell ref="M6:M7"/>
    <mergeCell ref="A9:A10"/>
    <mergeCell ref="U10:U11"/>
    <mergeCell ref="A17:A18"/>
    <mergeCell ref="A21:A22"/>
    <mergeCell ref="E24:E25"/>
    <mergeCell ref="A25:A26"/>
    <mergeCell ref="E28:E29"/>
    <mergeCell ref="A29:A30"/>
    <mergeCell ref="E32:E33"/>
    <mergeCell ref="A33:A34"/>
    <mergeCell ref="E8:E9"/>
    <mergeCell ref="E12:E13"/>
    <mergeCell ref="A13:A14"/>
    <mergeCell ref="M14:M15"/>
    <mergeCell ref="E16:E17"/>
    <mergeCell ref="AC18:AC19"/>
    <mergeCell ref="E20:E21"/>
    <mergeCell ref="AK32:AK33"/>
    <mergeCell ref="AG47:AG48"/>
    <mergeCell ref="AC50:AC51"/>
    <mergeCell ref="M22:M23"/>
    <mergeCell ref="U26:U27"/>
    <mergeCell ref="AO32:AO33"/>
    <mergeCell ref="Q37:Q38"/>
    <mergeCell ref="I38:I39"/>
    <mergeCell ref="Y39:Y40"/>
    <mergeCell ref="U42:U43"/>
  </mergeCells>
  <conditionalFormatting sqref="A1:C74 D1:D41 E1:E5 F1:G33 H1:V2 W1:Y30 Z1:Z19 AA1:AC30 AD1:AD17 AE1:AH19 AI1:AR3 I5 Q5 U5 E7:E9 I9 Q9 U9 E11:E13 I13:M13 Q13 U13 E15:E17 I17:M17 Q17 U17 E19:E33 AD19 AO19 I21 U24 I25 Q25 Z26 AG26 I27:M27 Q27 I29 Q29 I33 U34 E39 M39 M43 M49 E51 M53 Y53 U56 E59 M59 AJ61:AR74 M63 M67 M69 Q71 M73">
    <cfRule type="containsText" dxfId="0" priority="1" operator="containsText" text="Player">
      <formula>NOT(ISERROR(SEARCH(("Player"),(A1))))</formula>
    </cfRule>
  </conditionalFormatting>
  <conditionalFormatting sqref="A1:C74 D1:D41 E1:E5 F1:G33 H1:V2 W1:Y30 Z1:Z19 AA1:AC30 AD1:AD17 AE1:AH19 AI1:AR3 I5 Q5 U5 E7:E9 I9 Q9 U9 E11:E13 I13:M13 Q13 U13 E15:E17 I17:M17 Q17 U17 E19:E33 AD19 AO19 I21 U24 I25 Q25 Z26 AG26 I27:M27 Q27 I29 Q29 I33 U34 E39 M39 M43 M49 E51 M53 Y53 U56 E59 M59 AJ61:AR74 M63 M67 M69 Q71 M73">
    <cfRule type="containsText" dxfId="0" priority="2" operator="containsText" text="Pts">
      <formula>NOT(ISERROR(SEARCH(("Pts"),(A1))))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2.63"/>
    <col customWidth="1" min="3" max="3" width="5.13"/>
    <col customWidth="1" min="4" max="4" width="8.88"/>
    <col customWidth="1" min="5" max="5" width="3.25"/>
    <col customWidth="1" min="6" max="6" width="12.63"/>
    <col customWidth="1" min="7" max="7" width="5.13"/>
    <col customWidth="1" min="8" max="8" width="8.88"/>
    <col customWidth="1" min="9" max="9" width="3.25"/>
    <col customWidth="1" min="10" max="10" width="12.63"/>
    <col customWidth="1" min="11" max="11" width="5.13"/>
    <col customWidth="1" min="12" max="12" width="8.88"/>
    <col customWidth="1" min="13" max="13" width="3.25"/>
    <col customWidth="1" min="14" max="14" width="12.63"/>
    <col customWidth="1" min="15" max="15" width="5.13"/>
    <col customWidth="1" min="16" max="16" width="8.88"/>
  </cols>
  <sheetData>
    <row r="1" ht="48.75" customHeight="1">
      <c r="A1" s="1"/>
      <c r="B1" s="1"/>
      <c r="C1" s="1"/>
      <c r="D1" s="1"/>
      <c r="E1" s="1"/>
      <c r="F1" s="1"/>
      <c r="G1" s="1"/>
      <c r="H1" s="1" t="s">
        <v>19</v>
      </c>
      <c r="I1" s="1"/>
      <c r="J1" s="1"/>
      <c r="K1" s="1"/>
      <c r="L1" s="1"/>
      <c r="M1" s="1"/>
      <c r="N1" s="1"/>
      <c r="O1" s="1"/>
      <c r="P1" s="1"/>
    </row>
    <row r="2">
      <c r="A2" s="2" t="s">
        <v>20</v>
      </c>
      <c r="B2" s="3"/>
      <c r="C2" s="3"/>
      <c r="D2" s="3"/>
      <c r="E2" s="4" t="s">
        <v>21</v>
      </c>
      <c r="F2" s="3"/>
      <c r="G2" s="3"/>
      <c r="H2" s="5"/>
      <c r="I2" s="4" t="s">
        <v>22</v>
      </c>
      <c r="J2" s="3"/>
      <c r="K2" s="3"/>
      <c r="L2" s="5"/>
      <c r="M2" s="4" t="s">
        <v>23</v>
      </c>
      <c r="N2" s="3"/>
      <c r="O2" s="3"/>
      <c r="P2" s="5"/>
    </row>
    <row r="3">
      <c r="A3" s="6"/>
      <c r="B3" s="6"/>
      <c r="C3" s="6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>
      <c r="A4" s="43">
        <v>1.0</v>
      </c>
      <c r="B4" s="10" t="s">
        <v>24</v>
      </c>
      <c r="C4" s="11">
        <v>0.0</v>
      </c>
      <c r="D4" s="44"/>
      <c r="E4" s="44"/>
      <c r="F4" s="45"/>
      <c r="G4" s="45"/>
      <c r="H4" s="45"/>
      <c r="I4" s="45"/>
      <c r="J4" s="46"/>
      <c r="K4" s="46"/>
      <c r="L4" s="46"/>
      <c r="M4" s="46"/>
      <c r="N4" s="46"/>
      <c r="O4" s="46"/>
      <c r="P4" s="46"/>
    </row>
    <row r="5">
      <c r="A5" s="17"/>
      <c r="B5" s="22" t="s">
        <v>25</v>
      </c>
      <c r="C5" s="19">
        <v>4.0</v>
      </c>
      <c r="D5" s="47"/>
      <c r="E5" s="48"/>
      <c r="F5" s="45"/>
      <c r="G5" s="45"/>
      <c r="H5" s="45"/>
      <c r="I5" s="45"/>
      <c r="J5" s="46"/>
      <c r="K5" s="46"/>
      <c r="L5" s="49"/>
      <c r="M5" s="46"/>
      <c r="N5" s="46"/>
      <c r="O5" s="46"/>
      <c r="P5" s="49"/>
    </row>
    <row r="6">
      <c r="A6" s="49"/>
      <c r="B6" s="49"/>
      <c r="C6" s="49"/>
      <c r="D6" s="49"/>
      <c r="E6" s="43">
        <v>9.0</v>
      </c>
      <c r="F6" s="25" t="str">
        <f>IFS(C4&gt;C5,B4,C4&lt;C5,B5,TRUE,)</f>
        <v>Chris W</v>
      </c>
      <c r="G6" s="11">
        <v>66.0</v>
      </c>
      <c r="H6" s="50"/>
      <c r="I6" s="50"/>
      <c r="J6" s="49"/>
      <c r="K6" s="49"/>
      <c r="L6" s="49"/>
      <c r="M6" s="49"/>
      <c r="N6" s="49"/>
      <c r="O6" s="49"/>
      <c r="P6" s="49"/>
    </row>
    <row r="7">
      <c r="A7" s="49"/>
      <c r="B7" s="49"/>
      <c r="C7" s="49"/>
      <c r="D7" s="49"/>
      <c r="E7" s="17"/>
      <c r="F7" s="27" t="str">
        <f>IFS(C8&gt;C9,B8,C8&lt;C9,B9,TRUE,)</f>
        <v>Mila H</v>
      </c>
      <c r="G7" s="19">
        <v>6.0</v>
      </c>
      <c r="H7" s="49"/>
      <c r="I7" s="51"/>
      <c r="J7" s="49"/>
      <c r="K7" s="49"/>
      <c r="L7" s="49"/>
      <c r="M7" s="49"/>
      <c r="N7" s="49"/>
      <c r="O7" s="49"/>
      <c r="P7" s="49"/>
    </row>
    <row r="8">
      <c r="A8" s="43">
        <v>2.0</v>
      </c>
      <c r="B8" s="10" t="s">
        <v>26</v>
      </c>
      <c r="C8" s="11">
        <v>4.0</v>
      </c>
      <c r="D8" s="44"/>
      <c r="E8" s="52"/>
      <c r="F8" s="45"/>
      <c r="G8" s="45"/>
      <c r="H8" s="45"/>
      <c r="I8" s="53"/>
      <c r="J8" s="46"/>
      <c r="K8" s="46"/>
      <c r="L8" s="54"/>
      <c r="M8" s="46"/>
      <c r="N8" s="46"/>
      <c r="O8" s="46"/>
      <c r="P8" s="49"/>
    </row>
    <row r="9">
      <c r="A9" s="17"/>
      <c r="B9" s="22" t="s">
        <v>27</v>
      </c>
      <c r="C9" s="19">
        <v>0.0</v>
      </c>
      <c r="D9" s="49"/>
      <c r="E9" s="46"/>
      <c r="F9" s="45"/>
      <c r="G9" s="45"/>
      <c r="H9" s="45"/>
      <c r="I9" s="53"/>
      <c r="J9" s="46"/>
      <c r="K9" s="46"/>
      <c r="L9" s="49"/>
      <c r="M9" s="46"/>
      <c r="N9" s="46"/>
      <c r="O9" s="46"/>
      <c r="P9" s="49"/>
    </row>
    <row r="10">
      <c r="A10" s="49"/>
      <c r="B10" s="49"/>
      <c r="C10" s="49"/>
      <c r="D10" s="49"/>
      <c r="E10" s="49"/>
      <c r="F10" s="49"/>
      <c r="G10" s="49"/>
      <c r="H10" s="49"/>
      <c r="I10" s="43">
        <v>13.0</v>
      </c>
      <c r="J10" s="25" t="str">
        <f>IFS(G6&gt;G7,F6,G6&lt;G7,F7,TRUE,)</f>
        <v>Chris W</v>
      </c>
      <c r="K10" s="11">
        <v>18.0</v>
      </c>
      <c r="L10" s="50"/>
      <c r="M10" s="16"/>
      <c r="N10" s="55"/>
    </row>
    <row r="11">
      <c r="A11" s="49"/>
      <c r="B11" s="49"/>
      <c r="C11" s="49"/>
      <c r="D11" s="49"/>
      <c r="E11" s="49"/>
      <c r="F11" s="49"/>
      <c r="G11" s="49"/>
      <c r="H11" s="49"/>
      <c r="I11" s="17"/>
      <c r="J11" s="27" t="str">
        <f>IFS(G14&gt;G15,F14,G14&lt;G15,F15,TRUE,)</f>
        <v>Achuth V</v>
      </c>
      <c r="K11" s="19">
        <v>32.0</v>
      </c>
      <c r="L11" s="47"/>
      <c r="M11" s="56"/>
    </row>
    <row r="12">
      <c r="A12" s="43">
        <v>3.0</v>
      </c>
      <c r="B12" s="10" t="s">
        <v>28</v>
      </c>
      <c r="C12" s="11">
        <v>56.0</v>
      </c>
      <c r="D12" s="44"/>
      <c r="E12" s="44"/>
      <c r="F12" s="45"/>
      <c r="G12" s="45"/>
      <c r="H12" s="45"/>
      <c r="I12" s="53"/>
      <c r="J12" s="46"/>
      <c r="K12" s="46"/>
      <c r="L12" s="46"/>
      <c r="M12" s="53"/>
      <c r="N12" s="55"/>
      <c r="O12" s="55"/>
    </row>
    <row r="13">
      <c r="A13" s="17"/>
      <c r="B13" s="22" t="s">
        <v>29</v>
      </c>
      <c r="C13" s="19">
        <v>50.0</v>
      </c>
      <c r="D13" s="47"/>
      <c r="E13" s="48"/>
      <c r="F13" s="45"/>
      <c r="G13" s="45"/>
      <c r="H13" s="45"/>
      <c r="I13" s="53"/>
      <c r="J13" s="46"/>
      <c r="K13" s="46"/>
      <c r="L13" s="49"/>
      <c r="M13" s="53"/>
      <c r="N13" s="46"/>
      <c r="O13" s="46"/>
      <c r="P13" s="49"/>
    </row>
    <row r="14">
      <c r="A14" s="49"/>
      <c r="B14" s="49"/>
      <c r="C14" s="49"/>
      <c r="D14" s="49"/>
      <c r="E14" s="43">
        <v>10.0</v>
      </c>
      <c r="F14" s="25" t="str">
        <f>IFS(C12&gt;C13,B12,C12&lt;C13,B13,TRUE,)</f>
        <v>Timothy Y</v>
      </c>
      <c r="G14" s="11">
        <v>6.0</v>
      </c>
      <c r="H14" s="50"/>
      <c r="I14" s="57"/>
      <c r="J14" s="49"/>
      <c r="K14" s="49"/>
      <c r="L14" s="49"/>
      <c r="M14" s="51"/>
      <c r="N14" s="49"/>
      <c r="O14" s="49"/>
      <c r="P14" s="49"/>
    </row>
    <row r="15">
      <c r="A15" s="49"/>
      <c r="B15" s="49"/>
      <c r="C15" s="49"/>
      <c r="D15" s="49"/>
      <c r="E15" s="17"/>
      <c r="F15" s="27" t="str">
        <f>IFS(C16&gt;C17,B16,C16&lt;C17,B17,TRUE,)</f>
        <v>Achuth V</v>
      </c>
      <c r="G15" s="19">
        <v>84.0</v>
      </c>
      <c r="H15" s="49"/>
      <c r="I15" s="49"/>
      <c r="J15" s="49"/>
      <c r="K15" s="49"/>
      <c r="L15" s="49"/>
      <c r="M15" s="51"/>
      <c r="N15" s="49"/>
      <c r="O15" s="49"/>
      <c r="P15" s="49"/>
    </row>
    <row r="16">
      <c r="A16" s="43">
        <v>4.0</v>
      </c>
      <c r="B16" s="10" t="s">
        <v>30</v>
      </c>
      <c r="C16" s="11">
        <v>54.0</v>
      </c>
      <c r="D16" s="44"/>
      <c r="E16" s="52"/>
      <c r="F16" s="45"/>
      <c r="G16" s="45"/>
      <c r="H16" s="45"/>
      <c r="I16" s="45"/>
      <c r="J16" s="46"/>
      <c r="K16" s="46"/>
      <c r="L16" s="46"/>
      <c r="M16" s="53"/>
      <c r="N16" s="46"/>
      <c r="O16" s="46"/>
      <c r="P16" s="46"/>
    </row>
    <row r="17">
      <c r="A17" s="17"/>
      <c r="B17" s="22" t="s">
        <v>31</v>
      </c>
      <c r="C17" s="19">
        <v>0.0</v>
      </c>
      <c r="D17" s="49"/>
      <c r="E17" s="46"/>
      <c r="F17" s="45"/>
      <c r="G17" s="45"/>
      <c r="H17" s="45"/>
      <c r="I17" s="45"/>
      <c r="J17" s="46"/>
      <c r="K17" s="46"/>
      <c r="L17" s="49"/>
      <c r="M17" s="53"/>
      <c r="N17" s="46"/>
      <c r="O17" s="46"/>
      <c r="P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3">
        <v>15.0</v>
      </c>
      <c r="N18" s="25" t="str">
        <f>IFS(K10&gt;K11,J10,K10&lt;K11,J11,TRUE,)</f>
        <v>Achuth V</v>
      </c>
      <c r="O18" s="11">
        <v>12.0</v>
      </c>
      <c r="P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17"/>
      <c r="N19" s="27" t="str">
        <f>IFS(K26&gt;K27,J26,K26&lt;K27,J27,TRUE,)</f>
        <v>Shannon I</v>
      </c>
      <c r="O19" s="19">
        <v>38.0</v>
      </c>
      <c r="P19" s="49"/>
    </row>
    <row r="20">
      <c r="A20" s="43">
        <v>5.0</v>
      </c>
      <c r="B20" s="10" t="s">
        <v>32</v>
      </c>
      <c r="C20" s="11">
        <v>124.0</v>
      </c>
      <c r="D20" s="44"/>
      <c r="E20" s="44"/>
      <c r="F20" s="45"/>
      <c r="G20" s="45"/>
      <c r="H20" s="45"/>
      <c r="I20" s="45"/>
      <c r="J20" s="49"/>
      <c r="K20" s="46"/>
      <c r="L20" s="46"/>
      <c r="M20" s="51"/>
      <c r="N20" s="49"/>
      <c r="O20" s="46"/>
      <c r="P20" s="46"/>
    </row>
    <row r="21">
      <c r="A21" s="17"/>
      <c r="B21" s="22" t="s">
        <v>33</v>
      </c>
      <c r="C21" s="19">
        <v>22.0</v>
      </c>
      <c r="D21" s="47"/>
      <c r="E21" s="48"/>
      <c r="F21" s="45"/>
      <c r="G21" s="45"/>
      <c r="H21" s="45"/>
      <c r="I21" s="45"/>
      <c r="J21" s="49"/>
      <c r="K21" s="49"/>
      <c r="L21" s="49"/>
      <c r="M21" s="51"/>
      <c r="N21" s="49"/>
      <c r="O21" s="49"/>
      <c r="P21" s="49"/>
    </row>
    <row r="22">
      <c r="A22" s="49"/>
      <c r="B22" s="49"/>
      <c r="C22" s="49"/>
      <c r="D22" s="49"/>
      <c r="E22" s="43">
        <v>11.0</v>
      </c>
      <c r="F22" s="25" t="str">
        <f>IFS(C20&gt;C21,B20,C20&lt;C21,B21,TRUE,)</f>
        <v>Dennis J</v>
      </c>
      <c r="G22" s="11">
        <v>48.0</v>
      </c>
      <c r="H22" s="50"/>
      <c r="I22" s="50"/>
      <c r="J22" s="49"/>
      <c r="K22" s="49"/>
      <c r="L22" s="49"/>
      <c r="M22" s="51"/>
      <c r="N22" s="49"/>
      <c r="O22" s="49"/>
      <c r="P22" s="49"/>
    </row>
    <row r="23">
      <c r="A23" s="49"/>
      <c r="B23" s="49"/>
      <c r="C23" s="49"/>
      <c r="D23" s="49"/>
      <c r="E23" s="17"/>
      <c r="F23" s="27" t="str">
        <f>IFS(C24&gt;C25,B24,C24&lt;C25,B25,TRUE,)</f>
        <v>Monish S</v>
      </c>
      <c r="G23" s="19">
        <v>46.0</v>
      </c>
      <c r="H23" s="49"/>
      <c r="I23" s="51"/>
      <c r="J23" s="49"/>
      <c r="K23" s="49"/>
      <c r="L23" s="49"/>
      <c r="M23" s="51"/>
      <c r="N23" s="49"/>
      <c r="O23" s="49"/>
      <c r="P23" s="49"/>
    </row>
    <row r="24">
      <c r="A24" s="43">
        <v>6.0</v>
      </c>
      <c r="B24" s="10" t="s">
        <v>34</v>
      </c>
      <c r="C24" s="11">
        <v>52.0</v>
      </c>
      <c r="D24" s="44"/>
      <c r="E24" s="52"/>
      <c r="F24" s="45"/>
      <c r="G24" s="45"/>
      <c r="H24" s="45"/>
      <c r="I24" s="51"/>
      <c r="J24" s="49"/>
      <c r="K24" s="49"/>
      <c r="L24" s="49"/>
      <c r="M24" s="53"/>
      <c r="N24" s="46"/>
      <c r="O24" s="46"/>
      <c r="P24" s="49"/>
    </row>
    <row r="25">
      <c r="A25" s="17"/>
      <c r="B25" s="22" t="s">
        <v>35</v>
      </c>
      <c r="C25" s="19">
        <v>56.0</v>
      </c>
      <c r="D25" s="49"/>
      <c r="E25" s="46"/>
      <c r="F25" s="45"/>
      <c r="G25" s="45"/>
      <c r="H25" s="45"/>
      <c r="I25" s="51"/>
      <c r="J25" s="49"/>
      <c r="K25" s="49"/>
      <c r="L25" s="49"/>
      <c r="M25" s="51"/>
      <c r="N25" s="49"/>
      <c r="O25" s="49"/>
      <c r="P25" s="49"/>
    </row>
    <row r="26">
      <c r="A26" s="49"/>
      <c r="B26" s="49"/>
      <c r="C26" s="49"/>
      <c r="D26" s="46"/>
      <c r="E26" s="46"/>
      <c r="F26" s="46"/>
      <c r="G26" s="46"/>
      <c r="H26" s="46"/>
      <c r="I26" s="43">
        <v>14.0</v>
      </c>
      <c r="J26" s="25" t="str">
        <f>IFS(G22&gt;G23,F22,G22&lt;G23,F23,TRUE,)</f>
        <v>Dennis J</v>
      </c>
      <c r="K26" s="11">
        <v>62.0</v>
      </c>
      <c r="L26" s="44"/>
      <c r="M26" s="28"/>
      <c r="N26" s="55"/>
    </row>
    <row r="27">
      <c r="A27" s="49"/>
      <c r="B27" s="49"/>
      <c r="C27" s="49"/>
      <c r="D27" s="49"/>
      <c r="E27" s="46"/>
      <c r="F27" s="46"/>
      <c r="G27" s="46"/>
      <c r="H27" s="46"/>
      <c r="I27" s="17"/>
      <c r="J27" s="27" t="str">
        <f>IFS(G30&gt;G31,F30,G30&lt;G31,F31,TRUE,)</f>
        <v>Shannon I</v>
      </c>
      <c r="K27" s="19" t="s">
        <v>36</v>
      </c>
      <c r="L27" s="49"/>
      <c r="M27" s="49"/>
    </row>
    <row r="28">
      <c r="A28" s="43">
        <v>7.0</v>
      </c>
      <c r="B28" s="10" t="s">
        <v>37</v>
      </c>
      <c r="C28" s="11">
        <v>0.0</v>
      </c>
      <c r="D28" s="44"/>
      <c r="E28" s="44"/>
      <c r="F28" s="45"/>
      <c r="G28" s="45"/>
      <c r="H28" s="45"/>
      <c r="I28" s="51"/>
      <c r="J28" s="49"/>
      <c r="K28" s="49"/>
      <c r="L28" s="49"/>
      <c r="M28" s="49"/>
      <c r="N28" s="49"/>
      <c r="O28" s="49"/>
      <c r="P28" s="49"/>
    </row>
    <row r="29">
      <c r="A29" s="17"/>
      <c r="B29" s="22" t="s">
        <v>38</v>
      </c>
      <c r="C29" s="19">
        <v>82.0</v>
      </c>
      <c r="D29" s="47"/>
      <c r="E29" s="48"/>
      <c r="F29" s="45"/>
      <c r="G29" s="45"/>
      <c r="H29" s="45"/>
      <c r="I29" s="51"/>
      <c r="J29" s="49"/>
      <c r="K29" s="49"/>
      <c r="L29" s="49"/>
      <c r="M29" s="49"/>
      <c r="N29" s="49"/>
      <c r="O29" s="49"/>
      <c r="P29" s="49"/>
    </row>
    <row r="30">
      <c r="A30" s="49"/>
      <c r="B30" s="49"/>
      <c r="C30" s="49"/>
      <c r="D30" s="49"/>
      <c r="E30" s="43">
        <v>12.0</v>
      </c>
      <c r="F30" s="25" t="str">
        <f>IFS(C28&gt;C29,B28,C28&lt;C29,B29,TRUE,)</f>
        <v>Sriman D</v>
      </c>
      <c r="G30" s="11">
        <v>2.0</v>
      </c>
      <c r="H30" s="50"/>
      <c r="I30" s="57"/>
      <c r="J30" s="49"/>
      <c r="K30" s="49"/>
      <c r="L30" s="49"/>
      <c r="M30" s="49"/>
      <c r="N30" s="49"/>
      <c r="O30" s="46"/>
      <c r="P30" s="46"/>
    </row>
    <row r="31">
      <c r="A31" s="49"/>
      <c r="B31" s="49"/>
      <c r="C31" s="49"/>
      <c r="D31" s="49"/>
      <c r="E31" s="17"/>
      <c r="F31" s="22" t="s">
        <v>39</v>
      </c>
      <c r="G31" s="19">
        <v>78.0</v>
      </c>
      <c r="H31" s="49"/>
      <c r="I31" s="49"/>
      <c r="J31" s="49"/>
      <c r="K31" s="49"/>
      <c r="L31" s="49"/>
      <c r="M31" s="49"/>
      <c r="N31" s="49"/>
      <c r="O31" s="49"/>
      <c r="P31" s="49"/>
    </row>
    <row r="32">
      <c r="A32" s="43">
        <v>8.0</v>
      </c>
      <c r="B32" s="10" t="s">
        <v>39</v>
      </c>
      <c r="C32" s="11">
        <v>124.0</v>
      </c>
      <c r="D32" s="44"/>
      <c r="E32" s="52"/>
      <c r="F32" s="45"/>
      <c r="G32" s="45"/>
      <c r="H32" s="45"/>
      <c r="I32" s="45"/>
      <c r="J32" s="49"/>
      <c r="K32" s="49"/>
      <c r="L32" s="49"/>
      <c r="M32" s="49"/>
      <c r="N32" s="49"/>
      <c r="O32" s="49"/>
      <c r="P32" s="49"/>
    </row>
    <row r="33">
      <c r="A33" s="17"/>
      <c r="B33" s="22" t="s">
        <v>40</v>
      </c>
      <c r="C33" s="19">
        <v>14.0</v>
      </c>
      <c r="D33" s="49"/>
      <c r="E33" s="46"/>
      <c r="F33" s="45"/>
      <c r="G33" s="45"/>
      <c r="H33" s="45"/>
      <c r="I33" s="45"/>
      <c r="J33" s="49"/>
      <c r="K33" s="49"/>
      <c r="L33" s="49"/>
      <c r="M33" s="49"/>
      <c r="N33" s="49"/>
      <c r="O33" s="49"/>
      <c r="P33" s="49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55"/>
      <c r="M34" s="55"/>
      <c r="N34" s="46"/>
      <c r="O34" s="42"/>
      <c r="P34" s="42"/>
    </row>
  </sheetData>
  <mergeCells count="19">
    <mergeCell ref="A2:D2"/>
    <mergeCell ref="E2:H2"/>
    <mergeCell ref="I2:L2"/>
    <mergeCell ref="M2:P2"/>
    <mergeCell ref="A4:A5"/>
    <mergeCell ref="E6:E7"/>
    <mergeCell ref="I10:I11"/>
    <mergeCell ref="E22:E23"/>
    <mergeCell ref="I26:I27"/>
    <mergeCell ref="A28:A29"/>
    <mergeCell ref="E30:E31"/>
    <mergeCell ref="A32:A33"/>
    <mergeCell ref="A8:A9"/>
    <mergeCell ref="A12:A13"/>
    <mergeCell ref="E14:E15"/>
    <mergeCell ref="A16:A17"/>
    <mergeCell ref="M18:M19"/>
    <mergeCell ref="A20:A21"/>
    <mergeCell ref="A24:A25"/>
  </mergeCells>
  <conditionalFormatting sqref="A1:D34 E1:E5 F1:G33 H1:P2 I5 M5 O6:P9 E8:E9 K8:M13 N8:N9 I9 J10:J11 E11:E13 H13:J13 N13 O13:P15 E16:E17 H17:M17 N18:O19 E19:E33 I21 O22:P25 I24:I25 K24:M29 J26:J27 H27 O28:P30 I29 I33">
    <cfRule type="containsText" dxfId="0" priority="1" operator="containsText" text="Player">
      <formula>NOT(ISERROR(SEARCH(("Player"),(A1))))</formula>
    </cfRule>
  </conditionalFormatting>
  <conditionalFormatting sqref="A1:D34 E1:E5 F1:G33 H1:P2 I5 M5 O6:P9 E8:E9 K8:M13 N8:N9 I9 J10:J11 E11:E13 H13:J13 N13 O13:P15 E16:E17 H17:M17 N18:O19 E19:E33 I21 O22:P25 I24:I25 K24:M29 J26:J27 H27 O28:P30 I29 I33">
    <cfRule type="containsText" dxfId="0" priority="2" operator="containsText" text="Pts">
      <formula>NOT(ISERROR(SEARCH(("Pts"),(A1))))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8" t="s">
        <v>41</v>
      </c>
      <c r="B1" s="59"/>
      <c r="C1" s="60" t="s">
        <v>42</v>
      </c>
      <c r="D1" s="59"/>
    </row>
    <row r="2">
      <c r="A2" s="61" t="s">
        <v>43</v>
      </c>
      <c r="B2" s="62" t="s">
        <v>44</v>
      </c>
      <c r="C2" s="61" t="s">
        <v>43</v>
      </c>
      <c r="D2" s="62" t="s">
        <v>44</v>
      </c>
    </row>
    <row r="3">
      <c r="A3" s="63">
        <v>1.0</v>
      </c>
      <c r="B3" s="64" t="s">
        <v>16</v>
      </c>
      <c r="C3" s="65">
        <v>1.0</v>
      </c>
      <c r="D3" s="64" t="s">
        <v>24</v>
      </c>
    </row>
    <row r="4">
      <c r="A4" s="66">
        <v>2.0</v>
      </c>
      <c r="B4" s="64" t="s">
        <v>45</v>
      </c>
      <c r="C4" s="67">
        <v>2.0</v>
      </c>
      <c r="D4" s="64" t="s">
        <v>39</v>
      </c>
    </row>
    <row r="5">
      <c r="A5" s="66">
        <v>3.0</v>
      </c>
      <c r="B5" s="64" t="s">
        <v>46</v>
      </c>
      <c r="C5" s="67">
        <v>3.0</v>
      </c>
      <c r="D5" s="64" t="s">
        <v>34</v>
      </c>
    </row>
    <row r="6">
      <c r="A6" s="66">
        <v>4.0</v>
      </c>
      <c r="B6" s="64" t="s">
        <v>47</v>
      </c>
      <c r="C6" s="67">
        <v>4.0</v>
      </c>
      <c r="D6" s="64" t="s">
        <v>30</v>
      </c>
    </row>
    <row r="7">
      <c r="A7" s="66">
        <v>5.0</v>
      </c>
      <c r="B7" s="64" t="s">
        <v>48</v>
      </c>
      <c r="C7" s="67">
        <v>5.0</v>
      </c>
      <c r="D7" s="64" t="s">
        <v>28</v>
      </c>
    </row>
    <row r="8">
      <c r="A8" s="66">
        <v>6.0</v>
      </c>
      <c r="B8" s="64" t="s">
        <v>49</v>
      </c>
      <c r="C8" s="67">
        <v>6.0</v>
      </c>
      <c r="D8" s="64" t="s">
        <v>32</v>
      </c>
    </row>
    <row r="9">
      <c r="A9" s="66">
        <v>7.0</v>
      </c>
      <c r="B9" s="64" t="s">
        <v>50</v>
      </c>
      <c r="C9" s="67">
        <v>7.0</v>
      </c>
      <c r="D9" s="64" t="s">
        <v>37</v>
      </c>
    </row>
    <row r="10">
      <c r="A10" s="66">
        <v>8.0</v>
      </c>
      <c r="B10" s="64" t="s">
        <v>17</v>
      </c>
      <c r="C10" s="67">
        <v>8.0</v>
      </c>
      <c r="D10" s="64" t="s">
        <v>26</v>
      </c>
    </row>
    <row r="11">
      <c r="A11" s="66">
        <v>9.0</v>
      </c>
      <c r="B11" s="64" t="s">
        <v>51</v>
      </c>
      <c r="C11" s="67">
        <v>9.0</v>
      </c>
      <c r="D11" s="64" t="s">
        <v>27</v>
      </c>
    </row>
    <row r="12">
      <c r="A12" s="66">
        <v>10.0</v>
      </c>
      <c r="B12" s="64" t="s">
        <v>52</v>
      </c>
      <c r="C12" s="67">
        <v>10.0</v>
      </c>
      <c r="D12" s="64" t="s">
        <v>38</v>
      </c>
    </row>
    <row r="13">
      <c r="A13" s="66">
        <v>11.0</v>
      </c>
      <c r="B13" s="64" t="s">
        <v>53</v>
      </c>
      <c r="C13" s="67">
        <v>11.0</v>
      </c>
      <c r="D13" s="64" t="s">
        <v>33</v>
      </c>
    </row>
    <row r="14">
      <c r="A14" s="66">
        <v>12.0</v>
      </c>
      <c r="B14" s="64" t="s">
        <v>54</v>
      </c>
      <c r="C14" s="67">
        <v>12.0</v>
      </c>
      <c r="D14" s="64" t="s">
        <v>29</v>
      </c>
    </row>
    <row r="15">
      <c r="A15" s="66">
        <v>13.0</v>
      </c>
      <c r="B15" s="64" t="s">
        <v>14</v>
      </c>
      <c r="C15" s="67">
        <v>13.0</v>
      </c>
      <c r="D15" s="64" t="s">
        <v>31</v>
      </c>
    </row>
    <row r="16">
      <c r="A16" s="66">
        <v>14.0</v>
      </c>
      <c r="B16" s="64" t="s">
        <v>55</v>
      </c>
      <c r="C16" s="67">
        <v>14.0</v>
      </c>
      <c r="D16" s="64" t="s">
        <v>35</v>
      </c>
    </row>
    <row r="17">
      <c r="A17" s="66">
        <v>15.0</v>
      </c>
      <c r="B17" s="64" t="s">
        <v>56</v>
      </c>
      <c r="C17" s="67">
        <v>15.0</v>
      </c>
      <c r="D17" s="64" t="s">
        <v>40</v>
      </c>
    </row>
    <row r="18">
      <c r="A18" s="66">
        <v>16.0</v>
      </c>
      <c r="B18" s="64" t="s">
        <v>57</v>
      </c>
      <c r="C18" s="67">
        <v>16.0</v>
      </c>
      <c r="D18" s="64" t="s">
        <v>25</v>
      </c>
    </row>
    <row r="19">
      <c r="A19" s="66">
        <v>17.0</v>
      </c>
      <c r="B19" s="64" t="s">
        <v>58</v>
      </c>
      <c r="C19" s="67"/>
      <c r="D19" s="68"/>
    </row>
    <row r="20">
      <c r="A20" s="66">
        <v>18.0</v>
      </c>
      <c r="B20" s="64" t="s">
        <v>59</v>
      </c>
      <c r="C20" s="67"/>
      <c r="D20" s="68"/>
    </row>
    <row r="21">
      <c r="A21" s="66">
        <v>19.0</v>
      </c>
      <c r="B21" s="64" t="s">
        <v>60</v>
      </c>
      <c r="C21" s="67"/>
      <c r="D21" s="68"/>
    </row>
    <row r="22">
      <c r="A22" s="66">
        <v>20.0</v>
      </c>
      <c r="B22" s="64" t="s">
        <v>18</v>
      </c>
      <c r="C22" s="67"/>
      <c r="D22" s="68"/>
    </row>
    <row r="23">
      <c r="A23" s="66">
        <v>21.0</v>
      </c>
      <c r="B23" s="64" t="s">
        <v>61</v>
      </c>
      <c r="C23" s="67"/>
      <c r="D23" s="68"/>
    </row>
    <row r="24">
      <c r="A24" s="66">
        <v>22.0</v>
      </c>
      <c r="B24" s="64" t="s">
        <v>62</v>
      </c>
      <c r="C24" s="67"/>
      <c r="D24" s="68"/>
    </row>
    <row r="25">
      <c r="A25" s="66">
        <v>23.0</v>
      </c>
      <c r="B25" s="64" t="s">
        <v>63</v>
      </c>
      <c r="C25" s="67"/>
      <c r="D25" s="68"/>
    </row>
    <row r="26">
      <c r="A26" s="69">
        <v>24.0</v>
      </c>
      <c r="B26" s="70" t="s">
        <v>64</v>
      </c>
      <c r="C26" s="71"/>
      <c r="D26" s="72"/>
    </row>
  </sheetData>
  <mergeCells count="2">
    <mergeCell ref="A1:B1"/>
    <mergeCell ref="C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38"/>
    <col customWidth="1" min="2" max="2" width="3.25"/>
    <col customWidth="1" min="3" max="3" width="5.13"/>
    <col customWidth="1" min="4" max="4" width="3.25"/>
    <col customWidth="1" min="5" max="5" width="5.13"/>
    <col customWidth="1" min="6" max="6" width="3.25"/>
    <col customWidth="1" min="7" max="7" width="5.13"/>
    <col customWidth="1" min="8" max="8" width="3.25"/>
    <col customWidth="1" min="9" max="9" width="5.13"/>
    <col customWidth="1" min="10" max="10" width="3.25"/>
    <col customWidth="1" min="11" max="11" width="5.13"/>
    <col customWidth="1" min="12" max="12" width="3.25"/>
    <col customWidth="1" min="13" max="13" width="5.13"/>
    <col customWidth="1" min="14" max="14" width="3.25"/>
    <col customWidth="1" min="15" max="16" width="5.13"/>
    <col customWidth="1" min="17" max="18" width="3.88"/>
    <col customWidth="1" min="19" max="19" width="7.0"/>
    <col customWidth="1" min="20" max="20" width="12.38"/>
    <col customWidth="1" min="21" max="21" width="3.25"/>
    <col customWidth="1" min="22" max="22" width="5.13"/>
    <col customWidth="1" min="23" max="23" width="3.25"/>
    <col customWidth="1" min="24" max="24" width="5.13"/>
    <col customWidth="1" min="25" max="25" width="3.25"/>
    <col customWidth="1" min="26" max="26" width="5.13"/>
    <col customWidth="1" min="27" max="27" width="3.25"/>
    <col customWidth="1" min="28" max="28" width="5.13"/>
    <col customWidth="1" min="29" max="29" width="3.25"/>
    <col customWidth="1" min="30" max="30" width="5.13"/>
    <col customWidth="1" min="31" max="31" width="3.25"/>
    <col customWidth="1" min="32" max="32" width="5.13"/>
    <col customWidth="1" min="33" max="33" width="3.25"/>
    <col customWidth="1" min="34" max="35" width="5.13"/>
    <col customWidth="1" min="36" max="37" width="3.88"/>
  </cols>
  <sheetData>
    <row r="1" ht="48.75" customHeight="1">
      <c r="A1" s="73" t="s">
        <v>65</v>
      </c>
    </row>
    <row r="2">
      <c r="A2" s="74"/>
      <c r="B2" s="75"/>
      <c r="C2" s="75"/>
      <c r="D2" s="75"/>
      <c r="E2" s="75"/>
      <c r="F2" s="75"/>
      <c r="G2" s="75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</row>
    <row r="3">
      <c r="A3" s="77" t="s">
        <v>66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5"/>
      <c r="S3" s="78"/>
      <c r="T3" s="77" t="s">
        <v>67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5"/>
    </row>
    <row r="4">
      <c r="A4" s="79">
        <f> SUM(P5:P12)</f>
        <v>1950</v>
      </c>
      <c r="B4" s="80" t="s">
        <v>68</v>
      </c>
      <c r="C4" s="81"/>
      <c r="D4" s="82" t="s">
        <v>69</v>
      </c>
      <c r="E4" s="83"/>
      <c r="F4" s="80" t="s">
        <v>70</v>
      </c>
      <c r="G4" s="81"/>
      <c r="H4" s="82" t="s">
        <v>71</v>
      </c>
      <c r="I4" s="83"/>
      <c r="J4" s="80" t="s">
        <v>72</v>
      </c>
      <c r="K4" s="83"/>
      <c r="L4" s="80" t="s">
        <v>73</v>
      </c>
      <c r="M4" s="83"/>
      <c r="N4" s="80" t="s">
        <v>74</v>
      </c>
      <c r="O4" s="83"/>
      <c r="P4" s="84" t="s">
        <v>75</v>
      </c>
      <c r="Q4" s="85" t="s">
        <v>76</v>
      </c>
      <c r="R4" s="86" t="s">
        <v>77</v>
      </c>
      <c r="S4" s="78"/>
      <c r="T4" s="79">
        <f> SUM(AI5:AI12)</f>
        <v>1698</v>
      </c>
      <c r="U4" s="80" t="s">
        <v>68</v>
      </c>
      <c r="V4" s="81"/>
      <c r="W4" s="82" t="s">
        <v>69</v>
      </c>
      <c r="X4" s="83"/>
      <c r="Y4" s="80" t="s">
        <v>70</v>
      </c>
      <c r="Z4" s="81"/>
      <c r="AA4" s="82" t="s">
        <v>71</v>
      </c>
      <c r="AB4" s="83"/>
      <c r="AC4" s="80" t="s">
        <v>72</v>
      </c>
      <c r="AD4" s="83"/>
      <c r="AE4" s="80" t="s">
        <v>73</v>
      </c>
      <c r="AF4" s="83"/>
      <c r="AG4" s="80" t="s">
        <v>74</v>
      </c>
      <c r="AH4" s="83"/>
      <c r="AI4" s="84" t="s">
        <v>75</v>
      </c>
      <c r="AJ4" s="85" t="s">
        <v>76</v>
      </c>
      <c r="AK4" s="86" t="s">
        <v>77</v>
      </c>
    </row>
    <row r="5">
      <c r="A5" s="87" t="s">
        <v>33</v>
      </c>
      <c r="B5" s="88" t="s">
        <v>78</v>
      </c>
      <c r="C5" s="88">
        <v>28.0</v>
      </c>
      <c r="D5" s="89" t="s">
        <v>79</v>
      </c>
      <c r="E5" s="90">
        <v>10.0</v>
      </c>
      <c r="F5" s="89" t="s">
        <v>79</v>
      </c>
      <c r="G5" s="88">
        <v>28.0</v>
      </c>
      <c r="H5" s="89" t="s">
        <v>80</v>
      </c>
      <c r="I5" s="90">
        <v>36.0</v>
      </c>
      <c r="J5" s="89" t="s">
        <v>80</v>
      </c>
      <c r="K5" s="90">
        <v>62.0</v>
      </c>
      <c r="L5" s="88" t="s">
        <v>79</v>
      </c>
      <c r="M5" s="90">
        <v>26.0</v>
      </c>
      <c r="N5" s="88" t="s">
        <v>79</v>
      </c>
      <c r="O5" s="90">
        <v>28.0</v>
      </c>
      <c r="P5" s="65">
        <f t="shared" ref="P5:P12" si="1"> SUM(C5 + E5 + G5 + I5 + K5 + M5 + O5)</f>
        <v>218</v>
      </c>
      <c r="Q5" s="91">
        <f t="shared" ref="Q5:Q12" si="2">2*countif(B5:O5,"W")+countif(B5:O5,"T")</f>
        <v>5</v>
      </c>
      <c r="R5" s="92">
        <v>6.0</v>
      </c>
      <c r="S5" s="93"/>
      <c r="T5" s="87" t="s">
        <v>25</v>
      </c>
      <c r="U5" s="88" t="s">
        <v>79</v>
      </c>
      <c r="V5" s="88">
        <v>-2.0</v>
      </c>
      <c r="W5" s="89" t="s">
        <v>79</v>
      </c>
      <c r="X5" s="90">
        <v>0.0</v>
      </c>
      <c r="Y5" s="89" t="s">
        <v>79</v>
      </c>
      <c r="Z5" s="88">
        <v>24.0</v>
      </c>
      <c r="AA5" s="89" t="s">
        <v>79</v>
      </c>
      <c r="AB5" s="90">
        <v>2.0</v>
      </c>
      <c r="AC5" s="89" t="s">
        <v>79</v>
      </c>
      <c r="AD5" s="90">
        <v>40.0</v>
      </c>
      <c r="AE5" s="88" t="s">
        <v>79</v>
      </c>
      <c r="AF5" s="90">
        <v>34.0</v>
      </c>
      <c r="AG5" s="88" t="s">
        <v>79</v>
      </c>
      <c r="AH5" s="90">
        <v>22.0</v>
      </c>
      <c r="AI5" s="65">
        <f t="shared" ref="AI5:AI12" si="3"> SUM(V5 + X5 + Z5 + AB5 + AD5 + AF5 + AH5)</f>
        <v>120</v>
      </c>
      <c r="AJ5" s="91">
        <f t="shared" ref="AJ5:AJ12" si="4">2*countif(U5:AH5,"W")+countif(U5:AH5,"T")</f>
        <v>0</v>
      </c>
      <c r="AK5" s="92">
        <v>8.0</v>
      </c>
    </row>
    <row r="6">
      <c r="A6" s="87" t="s">
        <v>31</v>
      </c>
      <c r="B6" s="94" t="s">
        <v>78</v>
      </c>
      <c r="C6" s="88">
        <v>28.0</v>
      </c>
      <c r="D6" s="89" t="s">
        <v>79</v>
      </c>
      <c r="E6" s="90">
        <v>18.0</v>
      </c>
      <c r="F6" s="89" t="s">
        <v>79</v>
      </c>
      <c r="G6" s="88">
        <v>8.0</v>
      </c>
      <c r="H6" s="89" t="s">
        <v>79</v>
      </c>
      <c r="I6" s="90">
        <v>8.0</v>
      </c>
      <c r="J6" s="89" t="s">
        <v>78</v>
      </c>
      <c r="K6" s="90">
        <v>34.0</v>
      </c>
      <c r="L6" s="88" t="s">
        <v>79</v>
      </c>
      <c r="M6" s="90">
        <v>18.0</v>
      </c>
      <c r="N6" s="88" t="s">
        <v>79</v>
      </c>
      <c r="O6" s="90">
        <v>22.0</v>
      </c>
      <c r="P6" s="65">
        <f t="shared" si="1"/>
        <v>136</v>
      </c>
      <c r="Q6" s="91">
        <f t="shared" si="2"/>
        <v>2</v>
      </c>
      <c r="R6" s="92">
        <v>7.0</v>
      </c>
      <c r="S6" s="93"/>
      <c r="T6" s="87" t="s">
        <v>29</v>
      </c>
      <c r="U6" s="88" t="s">
        <v>80</v>
      </c>
      <c r="V6" s="88">
        <v>32.0</v>
      </c>
      <c r="W6" s="89" t="s">
        <v>79</v>
      </c>
      <c r="X6" s="90">
        <v>16.0</v>
      </c>
      <c r="Y6" s="89" t="s">
        <v>79</v>
      </c>
      <c r="Z6" s="88">
        <v>6.0</v>
      </c>
      <c r="AA6" s="89" t="s">
        <v>80</v>
      </c>
      <c r="AB6" s="90">
        <v>24.0</v>
      </c>
      <c r="AC6" s="89" t="s">
        <v>79</v>
      </c>
      <c r="AD6" s="90">
        <v>14.0</v>
      </c>
      <c r="AE6" s="88" t="s">
        <v>79</v>
      </c>
      <c r="AF6" s="90">
        <v>18.0</v>
      </c>
      <c r="AG6" s="88" t="s">
        <v>79</v>
      </c>
      <c r="AH6" s="90">
        <v>32.0</v>
      </c>
      <c r="AI6" s="65">
        <f t="shared" si="3"/>
        <v>142</v>
      </c>
      <c r="AJ6" s="91">
        <f t="shared" si="4"/>
        <v>4</v>
      </c>
      <c r="AK6" s="92">
        <v>6.0</v>
      </c>
    </row>
    <row r="7">
      <c r="A7" s="87" t="s">
        <v>24</v>
      </c>
      <c r="B7" s="88" t="s">
        <v>80</v>
      </c>
      <c r="C7" s="88">
        <v>66.0</v>
      </c>
      <c r="D7" s="89" t="s">
        <v>80</v>
      </c>
      <c r="E7" s="90">
        <v>68.0</v>
      </c>
      <c r="F7" s="89" t="s">
        <v>80</v>
      </c>
      <c r="G7" s="88">
        <v>78.0</v>
      </c>
      <c r="H7" s="89" t="s">
        <v>78</v>
      </c>
      <c r="I7" s="90">
        <v>48.0</v>
      </c>
      <c r="J7" s="89" t="s">
        <v>80</v>
      </c>
      <c r="K7" s="90">
        <v>60.0</v>
      </c>
      <c r="L7" s="88" t="s">
        <v>80</v>
      </c>
      <c r="M7" s="90">
        <v>86.0</v>
      </c>
      <c r="N7" s="88" t="s">
        <v>80</v>
      </c>
      <c r="O7" s="90">
        <v>56.0</v>
      </c>
      <c r="P7" s="65">
        <f t="shared" si="1"/>
        <v>462</v>
      </c>
      <c r="Q7" s="91">
        <f t="shared" si="2"/>
        <v>13</v>
      </c>
      <c r="R7" s="92">
        <v>1.0</v>
      </c>
      <c r="S7" s="93"/>
      <c r="T7" s="87" t="s">
        <v>39</v>
      </c>
      <c r="U7" s="88" t="s">
        <v>80</v>
      </c>
      <c r="V7" s="88">
        <v>46.0</v>
      </c>
      <c r="W7" s="89" t="s">
        <v>80</v>
      </c>
      <c r="X7" s="90">
        <v>62.0</v>
      </c>
      <c r="Y7" s="89" t="s">
        <v>80</v>
      </c>
      <c r="Z7" s="88">
        <v>54.0</v>
      </c>
      <c r="AA7" s="89" t="s">
        <v>80</v>
      </c>
      <c r="AB7" s="90">
        <v>58.0</v>
      </c>
      <c r="AC7" s="89" t="s">
        <v>79</v>
      </c>
      <c r="AD7" s="90">
        <v>30.0</v>
      </c>
      <c r="AE7" s="88" t="s">
        <v>80</v>
      </c>
      <c r="AF7" s="90">
        <v>46.0</v>
      </c>
      <c r="AG7" s="88" t="s">
        <v>80</v>
      </c>
      <c r="AH7" s="90">
        <v>44.0</v>
      </c>
      <c r="AI7" s="65">
        <f t="shared" si="3"/>
        <v>340</v>
      </c>
      <c r="AJ7" s="91">
        <f t="shared" si="4"/>
        <v>12</v>
      </c>
      <c r="AK7" s="92">
        <v>1.0</v>
      </c>
    </row>
    <row r="8">
      <c r="A8" s="87" t="s">
        <v>28</v>
      </c>
      <c r="B8" s="88" t="s">
        <v>80</v>
      </c>
      <c r="C8" s="88">
        <v>50.0</v>
      </c>
      <c r="D8" s="89" t="s">
        <v>80</v>
      </c>
      <c r="E8" s="90">
        <v>52.0</v>
      </c>
      <c r="F8" s="89" t="s">
        <v>80</v>
      </c>
      <c r="G8" s="88">
        <v>34.0</v>
      </c>
      <c r="H8" s="89" t="s">
        <v>80</v>
      </c>
      <c r="I8" s="90">
        <v>52.0</v>
      </c>
      <c r="J8" s="89" t="s">
        <v>79</v>
      </c>
      <c r="K8" s="90">
        <v>24.0</v>
      </c>
      <c r="L8" s="88" t="s">
        <v>79</v>
      </c>
      <c r="M8" s="90">
        <v>26.0</v>
      </c>
      <c r="N8" s="88" t="s">
        <v>79</v>
      </c>
      <c r="O8" s="90">
        <v>8.0</v>
      </c>
      <c r="P8" s="65">
        <f t="shared" si="1"/>
        <v>246</v>
      </c>
      <c r="Q8" s="91">
        <f t="shared" si="2"/>
        <v>8</v>
      </c>
      <c r="R8" s="92">
        <v>3.0</v>
      </c>
      <c r="S8" s="93"/>
      <c r="T8" s="87" t="s">
        <v>35</v>
      </c>
      <c r="U8" s="88" t="s">
        <v>79</v>
      </c>
      <c r="V8" s="88">
        <v>6.0</v>
      </c>
      <c r="W8" s="89" t="s">
        <v>79</v>
      </c>
      <c r="X8" s="90">
        <v>12.0</v>
      </c>
      <c r="Y8" s="89" t="s">
        <v>80</v>
      </c>
      <c r="Z8" s="88">
        <v>40.0</v>
      </c>
      <c r="AA8" s="89" t="s">
        <v>79</v>
      </c>
      <c r="AB8" s="90">
        <v>8.0</v>
      </c>
      <c r="AC8" s="89" t="s">
        <v>80</v>
      </c>
      <c r="AD8" s="90">
        <v>46.0</v>
      </c>
      <c r="AE8" s="88" t="s">
        <v>79</v>
      </c>
      <c r="AF8" s="90">
        <v>8.0</v>
      </c>
      <c r="AG8" s="88" t="s">
        <v>79</v>
      </c>
      <c r="AH8" s="90">
        <v>0.0</v>
      </c>
      <c r="AI8" s="65">
        <f t="shared" si="3"/>
        <v>120</v>
      </c>
      <c r="AJ8" s="91">
        <f t="shared" si="4"/>
        <v>4</v>
      </c>
      <c r="AK8" s="92">
        <v>7.0</v>
      </c>
    </row>
    <row r="9">
      <c r="A9" s="87" t="s">
        <v>26</v>
      </c>
      <c r="B9" s="88" t="s">
        <v>79</v>
      </c>
      <c r="C9" s="88">
        <v>20.0</v>
      </c>
      <c r="D9" s="89" t="s">
        <v>80</v>
      </c>
      <c r="E9" s="90">
        <v>50.0</v>
      </c>
      <c r="F9" s="89" t="s">
        <v>80</v>
      </c>
      <c r="G9" s="88">
        <v>48.0</v>
      </c>
      <c r="H9" s="89" t="s">
        <v>79</v>
      </c>
      <c r="I9" s="90">
        <v>26.0</v>
      </c>
      <c r="J9" s="89" t="s">
        <v>78</v>
      </c>
      <c r="K9" s="90">
        <v>34.0</v>
      </c>
      <c r="L9" s="88" t="s">
        <v>79</v>
      </c>
      <c r="M9" s="90">
        <v>-4.0</v>
      </c>
      <c r="N9" s="88" t="s">
        <v>80</v>
      </c>
      <c r="O9" s="90">
        <v>30.0</v>
      </c>
      <c r="P9" s="65">
        <f t="shared" si="1"/>
        <v>204</v>
      </c>
      <c r="Q9" s="91">
        <f t="shared" si="2"/>
        <v>7</v>
      </c>
      <c r="R9" s="92">
        <v>4.0</v>
      </c>
      <c r="S9" s="93"/>
      <c r="T9" s="87" t="s">
        <v>30</v>
      </c>
      <c r="U9" s="88" t="s">
        <v>80</v>
      </c>
      <c r="V9" s="88">
        <v>20.0</v>
      </c>
      <c r="W9" s="89" t="s">
        <v>80</v>
      </c>
      <c r="X9" s="90">
        <v>44.0</v>
      </c>
      <c r="Y9" s="89" t="s">
        <v>80</v>
      </c>
      <c r="Z9" s="88">
        <v>56.0</v>
      </c>
      <c r="AA9" s="89" t="s">
        <v>80</v>
      </c>
      <c r="AB9" s="90">
        <v>18.0</v>
      </c>
      <c r="AC9" s="89" t="s">
        <v>80</v>
      </c>
      <c r="AD9" s="90">
        <v>48.0</v>
      </c>
      <c r="AE9" s="88" t="s">
        <v>79</v>
      </c>
      <c r="AF9" s="90">
        <v>42.0</v>
      </c>
      <c r="AG9" s="88" t="s">
        <v>80</v>
      </c>
      <c r="AH9" s="90">
        <v>16.0</v>
      </c>
      <c r="AI9" s="65">
        <f t="shared" si="3"/>
        <v>244</v>
      </c>
      <c r="AJ9" s="91">
        <f t="shared" si="4"/>
        <v>12</v>
      </c>
      <c r="AK9" s="92">
        <v>2.0</v>
      </c>
    </row>
    <row r="10">
      <c r="A10" s="87" t="s">
        <v>40</v>
      </c>
      <c r="B10" s="88" t="s">
        <v>79</v>
      </c>
      <c r="C10" s="88">
        <v>14.0</v>
      </c>
      <c r="D10" s="89" t="s">
        <v>79</v>
      </c>
      <c r="E10" s="90">
        <v>38.0</v>
      </c>
      <c r="F10" s="89" t="s">
        <v>79</v>
      </c>
      <c r="G10" s="88">
        <v>8.0</v>
      </c>
      <c r="H10" s="89" t="s">
        <v>79</v>
      </c>
      <c r="I10" s="90">
        <v>12.0</v>
      </c>
      <c r="J10" s="89" t="s">
        <v>79</v>
      </c>
      <c r="K10" s="90">
        <v>12.0</v>
      </c>
      <c r="L10" s="88" t="s">
        <v>80</v>
      </c>
      <c r="M10" s="90">
        <v>42.0</v>
      </c>
      <c r="N10" s="88" t="s">
        <v>79</v>
      </c>
      <c r="O10" s="90">
        <v>4.0</v>
      </c>
      <c r="P10" s="65">
        <f t="shared" si="1"/>
        <v>130</v>
      </c>
      <c r="Q10" s="91">
        <f t="shared" si="2"/>
        <v>2</v>
      </c>
      <c r="R10" s="92">
        <v>8.0</v>
      </c>
      <c r="S10" s="93"/>
      <c r="T10" s="87" t="s">
        <v>32</v>
      </c>
      <c r="U10" s="88" t="s">
        <v>80</v>
      </c>
      <c r="V10" s="88">
        <v>36.0</v>
      </c>
      <c r="W10" s="89" t="s">
        <v>79</v>
      </c>
      <c r="X10" s="90">
        <v>30.0</v>
      </c>
      <c r="Y10" s="89" t="s">
        <v>79</v>
      </c>
      <c r="Z10" s="88">
        <v>32.0</v>
      </c>
      <c r="AA10" s="89" t="s">
        <v>80</v>
      </c>
      <c r="AB10" s="90">
        <v>30.0</v>
      </c>
      <c r="AC10" s="89" t="s">
        <v>80</v>
      </c>
      <c r="AD10" s="90">
        <v>44.0</v>
      </c>
      <c r="AE10" s="88" t="s">
        <v>80</v>
      </c>
      <c r="AF10" s="90">
        <v>72.0</v>
      </c>
      <c r="AG10" s="88" t="s">
        <v>79</v>
      </c>
      <c r="AH10" s="90">
        <v>26.0</v>
      </c>
      <c r="AI10" s="65">
        <f t="shared" si="3"/>
        <v>270</v>
      </c>
      <c r="AJ10" s="91">
        <f t="shared" si="4"/>
        <v>8</v>
      </c>
      <c r="AK10" s="92">
        <v>3.0</v>
      </c>
    </row>
    <row r="11">
      <c r="A11" s="90" t="s">
        <v>27</v>
      </c>
      <c r="B11" s="88" t="s">
        <v>79</v>
      </c>
      <c r="C11" s="88">
        <v>8.0</v>
      </c>
      <c r="D11" s="89" t="s">
        <v>79</v>
      </c>
      <c r="E11" s="90">
        <v>30.0</v>
      </c>
      <c r="F11" s="89" t="s">
        <v>79</v>
      </c>
      <c r="G11" s="88">
        <v>38.0</v>
      </c>
      <c r="H11" s="89" t="s">
        <v>80</v>
      </c>
      <c r="I11" s="90">
        <v>52.0</v>
      </c>
      <c r="J11" s="89" t="s">
        <v>79</v>
      </c>
      <c r="K11" s="90">
        <v>12.0</v>
      </c>
      <c r="L11" s="88" t="s">
        <v>80</v>
      </c>
      <c r="M11" s="90">
        <v>38.0</v>
      </c>
      <c r="N11" s="88" t="s">
        <v>80</v>
      </c>
      <c r="O11" s="90">
        <v>34.0</v>
      </c>
      <c r="P11" s="65">
        <f t="shared" si="1"/>
        <v>212</v>
      </c>
      <c r="Q11" s="91">
        <f t="shared" si="2"/>
        <v>6</v>
      </c>
      <c r="R11" s="92">
        <v>5.0</v>
      </c>
      <c r="S11" s="93"/>
      <c r="T11" s="87" t="s">
        <v>37</v>
      </c>
      <c r="U11" s="88" t="s">
        <v>79</v>
      </c>
      <c r="V11" s="88">
        <v>20.0</v>
      </c>
      <c r="W11" s="89" t="s">
        <v>80</v>
      </c>
      <c r="X11" s="90">
        <v>58.0</v>
      </c>
      <c r="Y11" s="89" t="s">
        <v>79</v>
      </c>
      <c r="Z11" s="88">
        <v>18.0</v>
      </c>
      <c r="AA11" s="89" t="s">
        <v>79</v>
      </c>
      <c r="AB11" s="90">
        <v>28.0</v>
      </c>
      <c r="AC11" s="89" t="s">
        <v>80</v>
      </c>
      <c r="AD11" s="90">
        <v>50.0</v>
      </c>
      <c r="AE11" s="88" t="s">
        <v>80</v>
      </c>
      <c r="AF11" s="90">
        <v>36.0</v>
      </c>
      <c r="AG11" s="88" t="s">
        <v>80</v>
      </c>
      <c r="AH11" s="90">
        <v>42.0</v>
      </c>
      <c r="AI11" s="65">
        <f t="shared" si="3"/>
        <v>252</v>
      </c>
      <c r="AJ11" s="91">
        <f t="shared" si="4"/>
        <v>8</v>
      </c>
      <c r="AK11" s="92">
        <v>4.0</v>
      </c>
    </row>
    <row r="12">
      <c r="A12" s="95" t="s">
        <v>34</v>
      </c>
      <c r="B12" s="96" t="s">
        <v>80</v>
      </c>
      <c r="C12" s="96">
        <v>40.0</v>
      </c>
      <c r="D12" s="97" t="s">
        <v>80</v>
      </c>
      <c r="E12" s="98">
        <v>46.0</v>
      </c>
      <c r="F12" s="97" t="s">
        <v>80</v>
      </c>
      <c r="G12" s="96">
        <v>72.0</v>
      </c>
      <c r="H12" s="97" t="s">
        <v>78</v>
      </c>
      <c r="I12" s="98">
        <v>48.0</v>
      </c>
      <c r="J12" s="97" t="s">
        <v>80</v>
      </c>
      <c r="K12" s="98">
        <v>56.0</v>
      </c>
      <c r="L12" s="96" t="s">
        <v>80</v>
      </c>
      <c r="M12" s="98">
        <v>46.0</v>
      </c>
      <c r="N12" s="96" t="s">
        <v>80</v>
      </c>
      <c r="O12" s="98">
        <v>34.0</v>
      </c>
      <c r="P12" s="99">
        <f t="shared" si="1"/>
        <v>342</v>
      </c>
      <c r="Q12" s="100">
        <f t="shared" si="2"/>
        <v>13</v>
      </c>
      <c r="R12" s="101">
        <v>2.0</v>
      </c>
      <c r="S12" s="102"/>
      <c r="T12" s="95" t="s">
        <v>38</v>
      </c>
      <c r="U12" s="96" t="s">
        <v>79</v>
      </c>
      <c r="V12" s="96">
        <v>8.0</v>
      </c>
      <c r="W12" s="97" t="s">
        <v>80</v>
      </c>
      <c r="X12" s="98">
        <v>64.0</v>
      </c>
      <c r="Y12" s="97" t="s">
        <v>80</v>
      </c>
      <c r="Z12" s="96">
        <v>48.0</v>
      </c>
      <c r="AA12" s="97" t="s">
        <v>79</v>
      </c>
      <c r="AB12" s="98">
        <v>4.0</v>
      </c>
      <c r="AC12" s="97" t="s">
        <v>79</v>
      </c>
      <c r="AD12" s="98">
        <v>24.0</v>
      </c>
      <c r="AE12" s="96" t="s">
        <v>80</v>
      </c>
      <c r="AF12" s="98">
        <v>32.0</v>
      </c>
      <c r="AG12" s="96" t="s">
        <v>80</v>
      </c>
      <c r="AH12" s="98">
        <v>30.0</v>
      </c>
      <c r="AI12" s="99">
        <f t="shared" si="3"/>
        <v>210</v>
      </c>
      <c r="AJ12" s="100">
        <f t="shared" si="4"/>
        <v>8</v>
      </c>
      <c r="AK12" s="101">
        <v>5.0</v>
      </c>
    </row>
    <row r="13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</row>
  </sheetData>
  <mergeCells count="17">
    <mergeCell ref="J4:K4"/>
    <mergeCell ref="L4:M4"/>
    <mergeCell ref="N4:O4"/>
    <mergeCell ref="U4:V4"/>
    <mergeCell ref="W4:X4"/>
    <mergeCell ref="Y4:Z4"/>
    <mergeCell ref="AA4:AB4"/>
    <mergeCell ref="AC4:AD4"/>
    <mergeCell ref="AE4:AF4"/>
    <mergeCell ref="AG4:AH4"/>
    <mergeCell ref="A1:AK1"/>
    <mergeCell ref="A3:R3"/>
    <mergeCell ref="T3:AK3"/>
    <mergeCell ref="B4:C4"/>
    <mergeCell ref="D4:E4"/>
    <mergeCell ref="F4:G4"/>
    <mergeCell ref="H4:I4"/>
  </mergeCells>
  <conditionalFormatting sqref="A1:R2 S1:S13 T1:AK2 A4:R13 T4:AK13">
    <cfRule type="cellIs" dxfId="1" priority="1" operator="equal">
      <formula>"WL"</formula>
    </cfRule>
  </conditionalFormatting>
  <conditionalFormatting sqref="A2:R2 S2:S13 T2:AK2 A4:R13 T4:AK13">
    <cfRule type="cellIs" dxfId="2" priority="2" operator="equal">
      <formula>"W"</formula>
    </cfRule>
  </conditionalFormatting>
  <conditionalFormatting sqref="A2:R2 S2:S13 T2:AK2 A4:R13 T4:AK13">
    <cfRule type="cellIs" dxfId="3" priority="3" operator="equal">
      <formula>"L"</formula>
    </cfRule>
  </conditionalFormatting>
  <conditionalFormatting sqref="A2:R2 S2:S13 T2:AK2 A4:R13 T4:AK13">
    <cfRule type="cellIs" dxfId="4" priority="4" operator="equal">
      <formula>"T"</formula>
    </cfRule>
  </conditionalFormatting>
  <conditionalFormatting sqref="A1:R2 S1:S13 T1:AK2 A4:R13 T4:AK13">
    <cfRule type="cellIs" dxfId="5" priority="5" operator="equal">
      <formula>"F"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38"/>
    <col customWidth="1" min="2" max="2" width="3.25"/>
    <col customWidth="1" min="3" max="3" width="5.13"/>
    <col customWidth="1" min="4" max="4" width="3.25"/>
    <col customWidth="1" min="5" max="5" width="5.13"/>
    <col customWidth="1" min="6" max="6" width="3.25"/>
    <col customWidth="1" min="7" max="7" width="5.13"/>
    <col customWidth="1" min="8" max="8" width="3.25"/>
    <col customWidth="1" min="9" max="9" width="5.13"/>
    <col customWidth="1" min="10" max="10" width="3.25"/>
    <col customWidth="1" min="11" max="11" width="5.13"/>
    <col customWidth="1" min="12" max="12" width="3.25"/>
    <col customWidth="1" min="13" max="13" width="5.13"/>
    <col customWidth="1" min="14" max="14" width="3.25"/>
    <col customWidth="1" min="15" max="16" width="5.13"/>
    <col customWidth="1" min="17" max="18" width="3.88"/>
    <col customWidth="1" min="19" max="19" width="7.0"/>
    <col customWidth="1" min="20" max="20" width="12.38"/>
    <col customWidth="1" min="21" max="21" width="3.25"/>
    <col customWidth="1" min="22" max="22" width="5.13"/>
    <col customWidth="1" min="23" max="23" width="3.25"/>
    <col customWidth="1" min="24" max="24" width="5.13"/>
    <col customWidth="1" min="25" max="25" width="3.25"/>
    <col customWidth="1" min="26" max="26" width="5.13"/>
    <col customWidth="1" min="27" max="27" width="3.25"/>
    <col customWidth="1" min="28" max="28" width="5.13"/>
    <col customWidth="1" min="29" max="29" width="3.25"/>
    <col customWidth="1" min="30" max="30" width="5.13"/>
    <col customWidth="1" min="31" max="31" width="3.25"/>
    <col customWidth="1" min="32" max="32" width="5.13"/>
    <col customWidth="1" min="33" max="33" width="3.25"/>
    <col customWidth="1" min="34" max="35" width="5.13"/>
    <col customWidth="1" min="36" max="37" width="3.88"/>
  </cols>
  <sheetData>
    <row r="1" ht="48.75" customHeight="1">
      <c r="A1" s="73" t="s">
        <v>81</v>
      </c>
    </row>
    <row r="2">
      <c r="A2" s="74"/>
      <c r="B2" s="75"/>
      <c r="C2" s="75"/>
      <c r="D2" s="75"/>
      <c r="E2" s="75"/>
      <c r="F2" s="75"/>
      <c r="G2" s="75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</row>
    <row r="3">
      <c r="A3" s="77" t="s">
        <v>82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5"/>
      <c r="S3" s="78"/>
      <c r="T3" s="77" t="s">
        <v>83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5"/>
    </row>
    <row r="4">
      <c r="A4" s="79">
        <f> SUM(P5:P12)</f>
        <v>1664</v>
      </c>
      <c r="B4" s="80" t="s">
        <v>68</v>
      </c>
      <c r="C4" s="81"/>
      <c r="D4" s="82" t="s">
        <v>69</v>
      </c>
      <c r="E4" s="83"/>
      <c r="F4" s="80" t="s">
        <v>70</v>
      </c>
      <c r="G4" s="81"/>
      <c r="H4" s="82" t="s">
        <v>71</v>
      </c>
      <c r="I4" s="83"/>
      <c r="J4" s="80" t="s">
        <v>72</v>
      </c>
      <c r="K4" s="83"/>
      <c r="L4" s="80" t="s">
        <v>73</v>
      </c>
      <c r="M4" s="83"/>
      <c r="N4" s="80" t="s">
        <v>74</v>
      </c>
      <c r="O4" s="83"/>
      <c r="P4" s="84" t="s">
        <v>75</v>
      </c>
      <c r="Q4" s="85" t="s">
        <v>76</v>
      </c>
      <c r="R4" s="86" t="s">
        <v>77</v>
      </c>
      <c r="S4" s="78"/>
      <c r="T4" s="79">
        <f> SUM(AI5:AI12)</f>
        <v>1618</v>
      </c>
      <c r="U4" s="80" t="s">
        <v>68</v>
      </c>
      <c r="V4" s="81"/>
      <c r="W4" s="82" t="s">
        <v>69</v>
      </c>
      <c r="X4" s="83"/>
      <c r="Y4" s="80" t="s">
        <v>70</v>
      </c>
      <c r="Z4" s="81"/>
      <c r="AA4" s="82" t="s">
        <v>71</v>
      </c>
      <c r="AB4" s="83"/>
      <c r="AC4" s="80" t="s">
        <v>72</v>
      </c>
      <c r="AD4" s="83"/>
      <c r="AE4" s="80" t="s">
        <v>73</v>
      </c>
      <c r="AF4" s="83"/>
      <c r="AG4" s="80" t="s">
        <v>74</v>
      </c>
      <c r="AH4" s="83"/>
      <c r="AI4" s="84" t="s">
        <v>75</v>
      </c>
      <c r="AJ4" s="85" t="s">
        <v>76</v>
      </c>
      <c r="AK4" s="86" t="s">
        <v>77</v>
      </c>
    </row>
    <row r="5">
      <c r="A5" s="90" t="s">
        <v>48</v>
      </c>
      <c r="B5" s="88" t="s">
        <v>80</v>
      </c>
      <c r="C5" s="88">
        <v>74.0</v>
      </c>
      <c r="D5" s="89" t="s">
        <v>80</v>
      </c>
      <c r="E5" s="90">
        <v>52.0</v>
      </c>
      <c r="F5" s="89" t="s">
        <v>80</v>
      </c>
      <c r="G5" s="88">
        <v>54.0</v>
      </c>
      <c r="H5" s="89" t="s">
        <v>80</v>
      </c>
      <c r="I5" s="90">
        <v>54.0</v>
      </c>
      <c r="J5" s="89" t="s">
        <v>80</v>
      </c>
      <c r="K5" s="90">
        <v>26.0</v>
      </c>
      <c r="L5" s="88" t="s">
        <v>80</v>
      </c>
      <c r="M5" s="90">
        <v>30.0</v>
      </c>
      <c r="N5" s="88" t="s">
        <v>80</v>
      </c>
      <c r="O5" s="90">
        <v>50.0</v>
      </c>
      <c r="P5" s="65">
        <f t="shared" ref="P5:P12" si="1"> SUM(C5 + E5 + G5 + I5 + K5 + M5 + O5)</f>
        <v>340</v>
      </c>
      <c r="Q5" s="91">
        <f t="shared" ref="Q5:Q12" si="2">2*countif(B5:O5,"W")+countif(B5:O5,"T")</f>
        <v>14</v>
      </c>
      <c r="R5" s="92">
        <v>1.0</v>
      </c>
      <c r="S5" s="93"/>
      <c r="T5" s="90" t="s">
        <v>56</v>
      </c>
      <c r="U5" s="88" t="s">
        <v>80</v>
      </c>
      <c r="V5" s="88">
        <v>46.0</v>
      </c>
      <c r="W5" s="89" t="s">
        <v>79</v>
      </c>
      <c r="X5" s="90">
        <v>16.0</v>
      </c>
      <c r="Y5" s="89" t="s">
        <v>79</v>
      </c>
      <c r="Z5" s="88">
        <v>26.0</v>
      </c>
      <c r="AA5" s="89" t="s">
        <v>79</v>
      </c>
      <c r="AB5" s="90">
        <v>42.0</v>
      </c>
      <c r="AC5" s="89" t="s">
        <v>80</v>
      </c>
      <c r="AD5" s="90">
        <v>44.0</v>
      </c>
      <c r="AE5" s="88" t="s">
        <v>80</v>
      </c>
      <c r="AF5" s="90">
        <v>14.0</v>
      </c>
      <c r="AG5" s="88" t="s">
        <v>80</v>
      </c>
      <c r="AH5" s="90">
        <v>44.0</v>
      </c>
      <c r="AI5" s="65">
        <f t="shared" ref="AI5:AI12" si="3"> SUM(V5 + X5 + Z5 + AB5 + AD5 + AF5 + AH5)</f>
        <v>232</v>
      </c>
      <c r="AJ5" s="91">
        <f t="shared" ref="AJ5:AJ12" si="4">2*countif(U5:AH5,"W")+countif(U5:AH5,"T")</f>
        <v>8</v>
      </c>
      <c r="AK5" s="92">
        <v>3.0</v>
      </c>
    </row>
    <row r="6">
      <c r="A6" s="90" t="s">
        <v>18</v>
      </c>
      <c r="B6" s="88" t="s">
        <v>79</v>
      </c>
      <c r="C6" s="88">
        <v>12.0</v>
      </c>
      <c r="D6" s="89" t="s">
        <v>80</v>
      </c>
      <c r="E6" s="90">
        <v>32.0</v>
      </c>
      <c r="F6" s="89" t="s">
        <v>79</v>
      </c>
      <c r="G6" s="88">
        <v>18.0</v>
      </c>
      <c r="H6" s="89" t="s">
        <v>80</v>
      </c>
      <c r="I6" s="90">
        <v>42.0</v>
      </c>
      <c r="J6" s="89" t="s">
        <v>79</v>
      </c>
      <c r="K6" s="90">
        <v>38.0</v>
      </c>
      <c r="L6" s="88" t="s">
        <v>80</v>
      </c>
      <c r="M6" s="90">
        <v>48.0</v>
      </c>
      <c r="N6" s="88" t="s">
        <v>80</v>
      </c>
      <c r="O6" s="90">
        <v>42.0</v>
      </c>
      <c r="P6" s="65">
        <f t="shared" si="1"/>
        <v>232</v>
      </c>
      <c r="Q6" s="91">
        <f t="shared" si="2"/>
        <v>8</v>
      </c>
      <c r="R6" s="92">
        <v>4.0</v>
      </c>
      <c r="S6" s="93"/>
      <c r="T6" s="90" t="s">
        <v>60</v>
      </c>
      <c r="U6" s="88" t="s">
        <v>79</v>
      </c>
      <c r="V6" s="88">
        <v>32.0</v>
      </c>
      <c r="W6" s="89" t="s">
        <v>80</v>
      </c>
      <c r="X6" s="90">
        <v>50.0</v>
      </c>
      <c r="Y6" s="89" t="s">
        <v>79</v>
      </c>
      <c r="Z6" s="88">
        <v>34.0</v>
      </c>
      <c r="AA6" s="89" t="s">
        <v>79</v>
      </c>
      <c r="AB6" s="90">
        <v>14.0</v>
      </c>
      <c r="AC6" s="89" t="s">
        <v>80</v>
      </c>
      <c r="AD6" s="90">
        <v>58.0</v>
      </c>
      <c r="AE6" s="88" t="s">
        <v>79</v>
      </c>
      <c r="AF6" s="90">
        <v>22.0</v>
      </c>
      <c r="AG6" s="88" t="s">
        <v>80</v>
      </c>
      <c r="AH6" s="90">
        <v>48.0</v>
      </c>
      <c r="AI6" s="65">
        <f t="shared" si="3"/>
        <v>258</v>
      </c>
      <c r="AJ6" s="91">
        <f t="shared" si="4"/>
        <v>6</v>
      </c>
      <c r="AK6" s="92">
        <v>4.0</v>
      </c>
    </row>
    <row r="7">
      <c r="A7" s="90" t="s">
        <v>14</v>
      </c>
      <c r="B7" s="88" t="s">
        <v>80</v>
      </c>
      <c r="C7" s="88">
        <v>68.0</v>
      </c>
      <c r="D7" s="89" t="s">
        <v>79</v>
      </c>
      <c r="E7" s="90">
        <v>38.0</v>
      </c>
      <c r="F7" s="89" t="s">
        <v>80</v>
      </c>
      <c r="G7" s="88">
        <v>60.0</v>
      </c>
      <c r="H7" s="89" t="s">
        <v>80</v>
      </c>
      <c r="I7" s="90">
        <v>60.0</v>
      </c>
      <c r="J7" s="89" t="s">
        <v>80</v>
      </c>
      <c r="K7" s="90">
        <v>42.0</v>
      </c>
      <c r="L7" s="88" t="s">
        <v>79</v>
      </c>
      <c r="M7" s="90">
        <v>30.0</v>
      </c>
      <c r="N7" s="88" t="s">
        <v>79</v>
      </c>
      <c r="O7" s="90">
        <v>18.0</v>
      </c>
      <c r="P7" s="65">
        <f t="shared" si="1"/>
        <v>316</v>
      </c>
      <c r="Q7" s="91">
        <f t="shared" si="2"/>
        <v>8</v>
      </c>
      <c r="R7" s="92">
        <v>3.0</v>
      </c>
      <c r="S7" s="93"/>
      <c r="T7" s="90" t="s">
        <v>17</v>
      </c>
      <c r="U7" s="88" t="s">
        <v>80</v>
      </c>
      <c r="V7" s="88">
        <v>70.0</v>
      </c>
      <c r="W7" s="89" t="s">
        <v>80</v>
      </c>
      <c r="X7" s="90">
        <v>40.0</v>
      </c>
      <c r="Y7" s="89" t="s">
        <v>80</v>
      </c>
      <c r="Z7" s="88">
        <v>36.0</v>
      </c>
      <c r="AA7" s="89" t="s">
        <v>80</v>
      </c>
      <c r="AB7" s="90">
        <v>44.0</v>
      </c>
      <c r="AC7" s="89" t="s">
        <v>79</v>
      </c>
      <c r="AD7" s="90">
        <v>24.0</v>
      </c>
      <c r="AE7" s="88" t="s">
        <v>80</v>
      </c>
      <c r="AF7" s="90">
        <v>70.0</v>
      </c>
      <c r="AG7" s="88" t="s">
        <v>80</v>
      </c>
      <c r="AH7" s="90">
        <v>30.0</v>
      </c>
      <c r="AI7" s="65">
        <f t="shared" si="3"/>
        <v>314</v>
      </c>
      <c r="AJ7" s="91">
        <f t="shared" si="4"/>
        <v>12</v>
      </c>
      <c r="AK7" s="92">
        <v>2.0</v>
      </c>
    </row>
    <row r="8">
      <c r="A8" s="90" t="s">
        <v>84</v>
      </c>
      <c r="B8" s="88" t="s">
        <v>79</v>
      </c>
      <c r="C8" s="88">
        <v>12.0</v>
      </c>
      <c r="D8" s="89" t="s">
        <v>79</v>
      </c>
      <c r="E8" s="90">
        <v>28.0</v>
      </c>
      <c r="F8" s="89" t="s">
        <v>79</v>
      </c>
      <c r="G8" s="88">
        <v>24.0</v>
      </c>
      <c r="H8" s="89" t="s">
        <v>79</v>
      </c>
      <c r="I8" s="90">
        <v>22.0</v>
      </c>
      <c r="J8" s="89" t="s">
        <v>79</v>
      </c>
      <c r="K8" s="90">
        <v>18.0</v>
      </c>
      <c r="L8" s="88" t="s">
        <v>80</v>
      </c>
      <c r="M8" s="90">
        <v>30.0</v>
      </c>
      <c r="N8" s="88" t="s">
        <v>79</v>
      </c>
      <c r="O8" s="90">
        <v>22.0</v>
      </c>
      <c r="P8" s="65">
        <f t="shared" si="1"/>
        <v>156</v>
      </c>
      <c r="Q8" s="91">
        <f t="shared" si="2"/>
        <v>2</v>
      </c>
      <c r="R8" s="92">
        <v>7.0</v>
      </c>
      <c r="S8" s="93"/>
      <c r="T8" s="90" t="s">
        <v>49</v>
      </c>
      <c r="U8" s="88" t="s">
        <v>80</v>
      </c>
      <c r="V8" s="88">
        <v>64.0</v>
      </c>
      <c r="W8" s="89" t="s">
        <v>79</v>
      </c>
      <c r="X8" s="90">
        <v>4.0</v>
      </c>
      <c r="Y8" s="89" t="s">
        <v>80</v>
      </c>
      <c r="Z8" s="88">
        <v>50.0</v>
      </c>
      <c r="AA8" s="89" t="s">
        <v>80</v>
      </c>
      <c r="AB8" s="90">
        <v>46.0</v>
      </c>
      <c r="AC8" s="89" t="s">
        <v>80</v>
      </c>
      <c r="AD8" s="90">
        <v>34.0</v>
      </c>
      <c r="AE8" s="88" t="s">
        <v>80</v>
      </c>
      <c r="AF8" s="90">
        <v>98.0</v>
      </c>
      <c r="AG8" s="88" t="s">
        <v>80</v>
      </c>
      <c r="AH8" s="90">
        <v>50.0</v>
      </c>
      <c r="AI8" s="65">
        <f t="shared" si="3"/>
        <v>346</v>
      </c>
      <c r="AJ8" s="91">
        <f t="shared" si="4"/>
        <v>12</v>
      </c>
      <c r="AK8" s="92">
        <v>1.0</v>
      </c>
    </row>
    <row r="9">
      <c r="A9" s="90" t="s">
        <v>52</v>
      </c>
      <c r="B9" s="88" t="s">
        <v>80</v>
      </c>
      <c r="C9" s="88">
        <v>62.0</v>
      </c>
      <c r="D9" s="89" t="s">
        <v>80</v>
      </c>
      <c r="E9" s="90">
        <v>34.0</v>
      </c>
      <c r="F9" s="89" t="s">
        <v>80</v>
      </c>
      <c r="G9" s="88">
        <v>40.0</v>
      </c>
      <c r="H9" s="89" t="s">
        <v>79</v>
      </c>
      <c r="I9" s="90">
        <v>30.0</v>
      </c>
      <c r="J9" s="89" t="s">
        <v>80</v>
      </c>
      <c r="K9" s="90">
        <v>40.0</v>
      </c>
      <c r="L9" s="88" t="s">
        <v>80</v>
      </c>
      <c r="M9" s="90">
        <v>48.0</v>
      </c>
      <c r="N9" s="88" t="s">
        <v>80</v>
      </c>
      <c r="O9" s="90">
        <v>34.0</v>
      </c>
      <c r="P9" s="65">
        <f t="shared" si="1"/>
        <v>288</v>
      </c>
      <c r="Q9" s="91">
        <f t="shared" si="2"/>
        <v>12</v>
      </c>
      <c r="R9" s="92">
        <v>2.0</v>
      </c>
      <c r="S9" s="93"/>
      <c r="T9" s="90" t="s">
        <v>85</v>
      </c>
      <c r="U9" s="88" t="s">
        <v>80</v>
      </c>
      <c r="V9" s="88">
        <v>34.0</v>
      </c>
      <c r="W9" s="89" t="s">
        <v>79</v>
      </c>
      <c r="X9" s="90">
        <v>18.0</v>
      </c>
      <c r="Y9" s="89" t="s">
        <v>80</v>
      </c>
      <c r="Z9" s="88">
        <v>42.0</v>
      </c>
      <c r="AA9" s="89" t="s">
        <v>80</v>
      </c>
      <c r="AB9" s="90">
        <v>48.0</v>
      </c>
      <c r="AC9" s="89" t="s">
        <v>79</v>
      </c>
      <c r="AD9" s="90">
        <v>10.0</v>
      </c>
      <c r="AE9" s="88" t="s">
        <v>79</v>
      </c>
      <c r="AF9" s="90">
        <v>-6.0</v>
      </c>
      <c r="AG9" s="88" t="s">
        <v>79</v>
      </c>
      <c r="AH9" s="90">
        <v>2.0</v>
      </c>
      <c r="AI9" s="65">
        <f t="shared" si="3"/>
        <v>148</v>
      </c>
      <c r="AJ9" s="91">
        <f t="shared" si="4"/>
        <v>6</v>
      </c>
      <c r="AK9" s="92">
        <v>5.0</v>
      </c>
    </row>
    <row r="10">
      <c r="A10" s="90" t="s">
        <v>86</v>
      </c>
      <c r="B10" s="88" t="s">
        <v>80</v>
      </c>
      <c r="C10" s="88">
        <v>30.0</v>
      </c>
      <c r="D10" s="89" t="s">
        <v>79</v>
      </c>
      <c r="E10" s="90">
        <v>6.0</v>
      </c>
      <c r="F10" s="89" t="s">
        <v>80</v>
      </c>
      <c r="G10" s="88">
        <v>16.0</v>
      </c>
      <c r="H10" s="89" t="s">
        <v>78</v>
      </c>
      <c r="I10" s="90">
        <v>12.0</v>
      </c>
      <c r="J10" s="89" t="s">
        <v>79</v>
      </c>
      <c r="K10" s="90">
        <v>24.0</v>
      </c>
      <c r="L10" s="88" t="s">
        <v>79</v>
      </c>
      <c r="M10" s="90">
        <v>16.0</v>
      </c>
      <c r="N10" s="88" t="s">
        <v>80</v>
      </c>
      <c r="O10" s="90">
        <v>28.0</v>
      </c>
      <c r="P10" s="65">
        <f t="shared" si="1"/>
        <v>132</v>
      </c>
      <c r="Q10" s="91">
        <f t="shared" si="2"/>
        <v>7</v>
      </c>
      <c r="R10" s="92">
        <v>5.0</v>
      </c>
      <c r="S10" s="93"/>
      <c r="T10" s="90" t="s">
        <v>87</v>
      </c>
      <c r="U10" s="88" t="s">
        <v>79</v>
      </c>
      <c r="V10" s="88">
        <v>14.0</v>
      </c>
      <c r="W10" s="89" t="s">
        <v>80</v>
      </c>
      <c r="X10" s="90">
        <v>20.0</v>
      </c>
      <c r="Y10" s="89" t="s">
        <v>80</v>
      </c>
      <c r="Z10" s="88">
        <v>24.0</v>
      </c>
      <c r="AA10" s="89" t="s">
        <v>79</v>
      </c>
      <c r="AB10" s="90">
        <v>20.0</v>
      </c>
      <c r="AC10" s="89" t="s">
        <v>79</v>
      </c>
      <c r="AD10" s="90">
        <v>14.0</v>
      </c>
      <c r="AE10" s="88" t="s">
        <v>80</v>
      </c>
      <c r="AF10" s="90">
        <v>34.0</v>
      </c>
      <c r="AG10" s="88" t="s">
        <v>79</v>
      </c>
      <c r="AH10" s="90">
        <v>2.0</v>
      </c>
      <c r="AI10" s="65">
        <f t="shared" si="3"/>
        <v>128</v>
      </c>
      <c r="AJ10" s="91">
        <f t="shared" si="4"/>
        <v>6</v>
      </c>
      <c r="AK10" s="92">
        <v>6.0</v>
      </c>
    </row>
    <row r="11">
      <c r="A11" s="90" t="s">
        <v>88</v>
      </c>
      <c r="B11" s="88" t="s">
        <v>79</v>
      </c>
      <c r="C11" s="88">
        <v>20.0</v>
      </c>
      <c r="D11" s="89" t="s">
        <v>80</v>
      </c>
      <c r="E11" s="90">
        <v>40.0</v>
      </c>
      <c r="F11" s="89" t="s">
        <v>79</v>
      </c>
      <c r="G11" s="88">
        <v>20.0</v>
      </c>
      <c r="H11" s="89" t="s">
        <v>78</v>
      </c>
      <c r="I11" s="90">
        <v>12.0</v>
      </c>
      <c r="J11" s="89" t="s">
        <v>78</v>
      </c>
      <c r="K11" s="90">
        <v>18.0</v>
      </c>
      <c r="L11" s="88" t="s">
        <v>79</v>
      </c>
      <c r="M11" s="90">
        <v>10.0</v>
      </c>
      <c r="N11" s="88" t="s">
        <v>79</v>
      </c>
      <c r="O11" s="90">
        <v>18.0</v>
      </c>
      <c r="P11" s="65">
        <f t="shared" si="1"/>
        <v>138</v>
      </c>
      <c r="Q11" s="91">
        <f t="shared" si="2"/>
        <v>4</v>
      </c>
      <c r="R11" s="92">
        <v>6.0</v>
      </c>
      <c r="S11" s="93"/>
      <c r="T11" s="90" t="s">
        <v>89</v>
      </c>
      <c r="U11" s="88" t="s">
        <v>79</v>
      </c>
      <c r="V11" s="88">
        <v>10.0</v>
      </c>
      <c r="W11" s="89" t="s">
        <v>80</v>
      </c>
      <c r="X11" s="90">
        <v>8.0</v>
      </c>
      <c r="Y11" s="89" t="s">
        <v>79</v>
      </c>
      <c r="Z11" s="88">
        <v>12.0</v>
      </c>
      <c r="AA11" s="89" t="s">
        <v>80</v>
      </c>
      <c r="AB11" s="90">
        <v>30.0</v>
      </c>
      <c r="AC11" s="94" t="s">
        <v>78</v>
      </c>
      <c r="AD11" s="90">
        <v>20.0</v>
      </c>
      <c r="AE11" s="88" t="s">
        <v>79</v>
      </c>
      <c r="AF11" s="90">
        <v>12.0</v>
      </c>
      <c r="AG11" s="88" t="s">
        <v>79</v>
      </c>
      <c r="AH11" s="90">
        <v>-8.0</v>
      </c>
      <c r="AI11" s="65">
        <f t="shared" si="3"/>
        <v>84</v>
      </c>
      <c r="AJ11" s="91">
        <f t="shared" si="4"/>
        <v>5</v>
      </c>
      <c r="AK11" s="92">
        <v>7.0</v>
      </c>
    </row>
    <row r="12">
      <c r="A12" s="103" t="s">
        <v>90</v>
      </c>
      <c r="B12" s="96" t="s">
        <v>79</v>
      </c>
      <c r="C12" s="96">
        <v>18.0</v>
      </c>
      <c r="D12" s="97" t="s">
        <v>79</v>
      </c>
      <c r="E12" s="98">
        <v>22.0</v>
      </c>
      <c r="F12" s="97" t="s">
        <v>79</v>
      </c>
      <c r="G12" s="96">
        <v>12.0</v>
      </c>
      <c r="H12" s="97" t="s">
        <v>79</v>
      </c>
      <c r="I12" s="98">
        <v>2.0</v>
      </c>
      <c r="J12" s="97" t="s">
        <v>78</v>
      </c>
      <c r="K12" s="98">
        <v>18.0</v>
      </c>
      <c r="L12" s="96" t="s">
        <v>79</v>
      </c>
      <c r="M12" s="98">
        <v>2.0</v>
      </c>
      <c r="N12" s="96" t="s">
        <v>79</v>
      </c>
      <c r="O12" s="98">
        <v>-12.0</v>
      </c>
      <c r="P12" s="99">
        <f t="shared" si="1"/>
        <v>62</v>
      </c>
      <c r="Q12" s="100">
        <f t="shared" si="2"/>
        <v>1</v>
      </c>
      <c r="R12" s="101">
        <v>8.0</v>
      </c>
      <c r="S12" s="102"/>
      <c r="T12" s="103" t="s">
        <v>91</v>
      </c>
      <c r="U12" s="96" t="s">
        <v>79</v>
      </c>
      <c r="V12" s="96">
        <v>28.0</v>
      </c>
      <c r="W12" s="97" t="s">
        <v>79</v>
      </c>
      <c r="X12" s="98">
        <v>20.0</v>
      </c>
      <c r="Y12" s="97" t="s">
        <v>79</v>
      </c>
      <c r="Z12" s="96">
        <v>20.0</v>
      </c>
      <c r="AA12" s="97" t="s">
        <v>79</v>
      </c>
      <c r="AB12" s="98">
        <v>24.0</v>
      </c>
      <c r="AC12" s="97" t="s">
        <v>78</v>
      </c>
      <c r="AD12" s="98">
        <v>20.0</v>
      </c>
      <c r="AE12" s="96" t="s">
        <v>79</v>
      </c>
      <c r="AF12" s="98">
        <v>-6.0</v>
      </c>
      <c r="AG12" s="96" t="s">
        <v>79</v>
      </c>
      <c r="AH12" s="98">
        <v>2.0</v>
      </c>
      <c r="AI12" s="99">
        <f t="shared" si="3"/>
        <v>108</v>
      </c>
      <c r="AJ12" s="100">
        <f t="shared" si="4"/>
        <v>1</v>
      </c>
      <c r="AK12" s="101">
        <v>8.0</v>
      </c>
    </row>
    <row r="13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</row>
    <row r="14">
      <c r="A14" s="77" t="s">
        <v>92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5"/>
      <c r="S14" s="78"/>
      <c r="T14" s="77" t="s">
        <v>93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5"/>
    </row>
    <row r="15">
      <c r="A15" s="79">
        <f> SUM(P16:P23)</f>
        <v>1622</v>
      </c>
      <c r="B15" s="80" t="s">
        <v>68</v>
      </c>
      <c r="C15" s="81"/>
      <c r="D15" s="82" t="s">
        <v>69</v>
      </c>
      <c r="E15" s="83"/>
      <c r="F15" s="80" t="s">
        <v>70</v>
      </c>
      <c r="G15" s="81"/>
      <c r="H15" s="82" t="s">
        <v>71</v>
      </c>
      <c r="I15" s="83"/>
      <c r="J15" s="80" t="s">
        <v>72</v>
      </c>
      <c r="K15" s="83"/>
      <c r="L15" s="80" t="s">
        <v>73</v>
      </c>
      <c r="M15" s="83"/>
      <c r="N15" s="80" t="s">
        <v>74</v>
      </c>
      <c r="O15" s="83"/>
      <c r="P15" s="84" t="s">
        <v>75</v>
      </c>
      <c r="Q15" s="85" t="s">
        <v>76</v>
      </c>
      <c r="R15" s="86" t="s">
        <v>77</v>
      </c>
      <c r="S15" s="78"/>
      <c r="T15" s="79">
        <f> SUM(AI16:AI23)</f>
        <v>1728</v>
      </c>
      <c r="U15" s="80" t="s">
        <v>68</v>
      </c>
      <c r="V15" s="81"/>
      <c r="W15" s="82" t="s">
        <v>69</v>
      </c>
      <c r="X15" s="83"/>
      <c r="Y15" s="80" t="s">
        <v>70</v>
      </c>
      <c r="Z15" s="81"/>
      <c r="AA15" s="82" t="s">
        <v>71</v>
      </c>
      <c r="AB15" s="83"/>
      <c r="AC15" s="80" t="s">
        <v>72</v>
      </c>
      <c r="AD15" s="83"/>
      <c r="AE15" s="80" t="s">
        <v>73</v>
      </c>
      <c r="AF15" s="83"/>
      <c r="AG15" s="80" t="s">
        <v>74</v>
      </c>
      <c r="AH15" s="83"/>
      <c r="AI15" s="84" t="s">
        <v>75</v>
      </c>
      <c r="AJ15" s="85" t="s">
        <v>76</v>
      </c>
      <c r="AK15" s="86" t="s">
        <v>77</v>
      </c>
    </row>
    <row r="16">
      <c r="A16" s="90" t="s">
        <v>45</v>
      </c>
      <c r="B16" s="88" t="s">
        <v>80</v>
      </c>
      <c r="C16" s="88">
        <v>68.0</v>
      </c>
      <c r="D16" s="89" t="s">
        <v>80</v>
      </c>
      <c r="E16" s="90">
        <v>56.0</v>
      </c>
      <c r="F16" s="94" t="s">
        <v>78</v>
      </c>
      <c r="G16" s="88">
        <v>28.0</v>
      </c>
      <c r="H16" s="89" t="s">
        <v>80</v>
      </c>
      <c r="I16" s="90">
        <v>66.0</v>
      </c>
      <c r="J16" s="89" t="s">
        <v>80</v>
      </c>
      <c r="K16" s="90">
        <v>68.0</v>
      </c>
      <c r="L16" s="88" t="s">
        <v>80</v>
      </c>
      <c r="M16" s="90">
        <v>66.0</v>
      </c>
      <c r="N16" s="88" t="s">
        <v>80</v>
      </c>
      <c r="O16" s="90">
        <v>50.0</v>
      </c>
      <c r="P16" s="65">
        <f t="shared" ref="P16:P23" si="5"> SUM(C16 + E16 + G16 + I16 + K16 + M16 + O16)</f>
        <v>402</v>
      </c>
      <c r="Q16" s="91">
        <f t="shared" ref="Q16:Q23" si="6">2*countif(B16:O16,"W")+countif(B16:O16,"T")</f>
        <v>13</v>
      </c>
      <c r="R16" s="92">
        <v>1.0</v>
      </c>
      <c r="S16" s="104"/>
      <c r="T16" s="90" t="s">
        <v>51</v>
      </c>
      <c r="U16" s="88" t="s">
        <v>80</v>
      </c>
      <c r="V16" s="88">
        <v>54.0</v>
      </c>
      <c r="W16" s="89" t="s">
        <v>80</v>
      </c>
      <c r="X16" s="90">
        <v>36.0</v>
      </c>
      <c r="Y16" s="89" t="s">
        <v>80</v>
      </c>
      <c r="Z16" s="88">
        <v>84.0</v>
      </c>
      <c r="AA16" s="89" t="s">
        <v>80</v>
      </c>
      <c r="AB16" s="90">
        <v>40.0</v>
      </c>
      <c r="AC16" s="89" t="s">
        <v>80</v>
      </c>
      <c r="AD16" s="90">
        <v>44.0</v>
      </c>
      <c r="AE16" s="88" t="s">
        <v>79</v>
      </c>
      <c r="AF16" s="90">
        <v>2.0</v>
      </c>
      <c r="AG16" s="88" t="s">
        <v>79</v>
      </c>
      <c r="AH16" s="90">
        <v>24.0</v>
      </c>
      <c r="AI16" s="65">
        <f t="shared" ref="AI16:AI23" si="7"> SUM(V16 + X16 + Z16 + AB16 + AD16 + AF16 + AH16)</f>
        <v>284</v>
      </c>
      <c r="AJ16" s="91">
        <f t="shared" ref="AJ16:AJ23" si="8">2*countif(U16:AH16,"W")+countif(U16:AH16,"T")</f>
        <v>10</v>
      </c>
      <c r="AK16" s="92">
        <v>2.0</v>
      </c>
    </row>
    <row r="17">
      <c r="A17" s="90" t="s">
        <v>94</v>
      </c>
      <c r="B17" s="88" t="s">
        <v>79</v>
      </c>
      <c r="C17" s="88">
        <v>20.0</v>
      </c>
      <c r="D17" s="89" t="s">
        <v>79</v>
      </c>
      <c r="E17" s="90">
        <v>12.0</v>
      </c>
      <c r="F17" s="89" t="s">
        <v>79</v>
      </c>
      <c r="G17" s="88">
        <v>20.0</v>
      </c>
      <c r="H17" s="89" t="s">
        <v>79</v>
      </c>
      <c r="I17" s="90">
        <v>24.0</v>
      </c>
      <c r="J17" s="89" t="s">
        <v>80</v>
      </c>
      <c r="K17" s="90">
        <v>36.0</v>
      </c>
      <c r="L17" s="88" t="s">
        <v>79</v>
      </c>
      <c r="M17" s="90">
        <v>10.0</v>
      </c>
      <c r="N17" s="88" t="s">
        <v>79</v>
      </c>
      <c r="O17" s="90">
        <v>28.0</v>
      </c>
      <c r="P17" s="65">
        <f t="shared" si="5"/>
        <v>150</v>
      </c>
      <c r="Q17" s="91">
        <f t="shared" si="6"/>
        <v>2</v>
      </c>
      <c r="R17" s="92">
        <v>7.0</v>
      </c>
      <c r="S17" s="78"/>
      <c r="T17" s="90" t="s">
        <v>95</v>
      </c>
      <c r="U17" s="88" t="s">
        <v>79</v>
      </c>
      <c r="V17" s="88">
        <v>20.0</v>
      </c>
      <c r="W17" s="89" t="s">
        <v>79</v>
      </c>
      <c r="X17" s="90">
        <v>26.0</v>
      </c>
      <c r="Y17" s="89" t="s">
        <v>79</v>
      </c>
      <c r="Z17" s="88">
        <v>4.0</v>
      </c>
      <c r="AA17" s="89" t="s">
        <v>79</v>
      </c>
      <c r="AB17" s="90">
        <v>38.0</v>
      </c>
      <c r="AC17" s="89" t="s">
        <v>79</v>
      </c>
      <c r="AD17" s="90">
        <v>12.0</v>
      </c>
      <c r="AE17" s="88" t="s">
        <v>80</v>
      </c>
      <c r="AF17" s="90">
        <v>48.0</v>
      </c>
      <c r="AG17" s="88" t="s">
        <v>79</v>
      </c>
      <c r="AH17" s="90">
        <v>20.0</v>
      </c>
      <c r="AI17" s="65">
        <f t="shared" si="7"/>
        <v>168</v>
      </c>
      <c r="AJ17" s="91">
        <f t="shared" si="8"/>
        <v>2</v>
      </c>
      <c r="AK17" s="92">
        <v>7.0</v>
      </c>
    </row>
    <row r="18">
      <c r="A18" s="90" t="s">
        <v>57</v>
      </c>
      <c r="B18" s="88" t="s">
        <v>80</v>
      </c>
      <c r="C18" s="88">
        <v>78.0</v>
      </c>
      <c r="D18" s="89" t="s">
        <v>79</v>
      </c>
      <c r="E18" s="90">
        <v>20.0</v>
      </c>
      <c r="F18" s="89" t="s">
        <v>80</v>
      </c>
      <c r="G18" s="88">
        <v>30.0</v>
      </c>
      <c r="H18" s="89" t="s">
        <v>79</v>
      </c>
      <c r="I18" s="90">
        <v>12.0</v>
      </c>
      <c r="J18" s="89" t="s">
        <v>79</v>
      </c>
      <c r="K18" s="90">
        <v>6.0</v>
      </c>
      <c r="L18" s="88" t="s">
        <v>80</v>
      </c>
      <c r="M18" s="90">
        <v>36.0</v>
      </c>
      <c r="N18" s="88" t="s">
        <v>80</v>
      </c>
      <c r="O18" s="90">
        <v>48.0</v>
      </c>
      <c r="P18" s="65">
        <f t="shared" si="5"/>
        <v>230</v>
      </c>
      <c r="Q18" s="91">
        <f t="shared" si="6"/>
        <v>8</v>
      </c>
      <c r="R18" s="92">
        <v>3.0</v>
      </c>
      <c r="S18" s="78"/>
      <c r="T18" s="90" t="s">
        <v>96</v>
      </c>
      <c r="U18" s="88" t="s">
        <v>80</v>
      </c>
      <c r="V18" s="88">
        <v>56.0</v>
      </c>
      <c r="W18" s="89" t="s">
        <v>79</v>
      </c>
      <c r="X18" s="90">
        <v>28.0</v>
      </c>
      <c r="Y18" s="89" t="s">
        <v>80</v>
      </c>
      <c r="Z18" s="88">
        <v>58.0</v>
      </c>
      <c r="AA18" s="89" t="s">
        <v>80</v>
      </c>
      <c r="AB18" s="90">
        <v>48.0</v>
      </c>
      <c r="AC18" s="89" t="s">
        <v>80</v>
      </c>
      <c r="AD18" s="90">
        <v>34.0</v>
      </c>
      <c r="AE18" s="88" t="s">
        <v>79</v>
      </c>
      <c r="AF18" s="90">
        <v>2.0</v>
      </c>
      <c r="AG18" s="88" t="s">
        <v>80</v>
      </c>
      <c r="AH18" s="90">
        <v>52.0</v>
      </c>
      <c r="AI18" s="65">
        <f t="shared" si="7"/>
        <v>278</v>
      </c>
      <c r="AJ18" s="91">
        <f t="shared" si="8"/>
        <v>10</v>
      </c>
      <c r="AK18" s="92">
        <v>3.0</v>
      </c>
    </row>
    <row r="19">
      <c r="A19" s="90" t="s">
        <v>53</v>
      </c>
      <c r="B19" s="88" t="s">
        <v>80</v>
      </c>
      <c r="C19" s="88">
        <v>44.0</v>
      </c>
      <c r="D19" s="89" t="s">
        <v>80</v>
      </c>
      <c r="E19" s="90">
        <v>38.0</v>
      </c>
      <c r="F19" s="94" t="s">
        <v>78</v>
      </c>
      <c r="G19" s="88">
        <v>28.0</v>
      </c>
      <c r="H19" s="89" t="s">
        <v>80</v>
      </c>
      <c r="I19" s="90">
        <v>52.0</v>
      </c>
      <c r="J19" s="89" t="s">
        <v>80</v>
      </c>
      <c r="K19" s="90">
        <v>52.0</v>
      </c>
      <c r="L19" s="88" t="s">
        <v>80</v>
      </c>
      <c r="M19" s="90">
        <v>36.0</v>
      </c>
      <c r="N19" s="88" t="s">
        <v>79</v>
      </c>
      <c r="O19" s="90">
        <v>14.0</v>
      </c>
      <c r="P19" s="65">
        <f t="shared" si="5"/>
        <v>264</v>
      </c>
      <c r="Q19" s="91">
        <f t="shared" si="6"/>
        <v>11</v>
      </c>
      <c r="R19" s="92">
        <v>2.0</v>
      </c>
      <c r="S19" s="78"/>
      <c r="T19" s="90" t="s">
        <v>64</v>
      </c>
      <c r="U19" s="88" t="s">
        <v>80</v>
      </c>
      <c r="V19" s="88">
        <v>50.0</v>
      </c>
      <c r="W19" s="89" t="s">
        <v>79</v>
      </c>
      <c r="X19" s="90">
        <v>26.0</v>
      </c>
      <c r="Y19" s="89" t="s">
        <v>79</v>
      </c>
      <c r="Z19" s="88">
        <v>8.0</v>
      </c>
      <c r="AA19" s="89" t="s">
        <v>80</v>
      </c>
      <c r="AB19" s="90">
        <v>42.0</v>
      </c>
      <c r="AC19" s="89" t="s">
        <v>79</v>
      </c>
      <c r="AD19" s="90">
        <v>16.0</v>
      </c>
      <c r="AE19" s="88" t="s">
        <v>79</v>
      </c>
      <c r="AF19" s="90">
        <v>30.0</v>
      </c>
      <c r="AG19" s="88" t="s">
        <v>79</v>
      </c>
      <c r="AH19" s="90">
        <v>16.0</v>
      </c>
      <c r="AI19" s="65">
        <f t="shared" si="7"/>
        <v>188</v>
      </c>
      <c r="AJ19" s="91">
        <f t="shared" si="8"/>
        <v>4</v>
      </c>
      <c r="AK19" s="92">
        <v>6.0</v>
      </c>
    </row>
    <row r="20">
      <c r="A20" s="90" t="s">
        <v>97</v>
      </c>
      <c r="B20" s="88" t="s">
        <v>79</v>
      </c>
      <c r="C20" s="88">
        <v>16.0</v>
      </c>
      <c r="D20" s="89" t="s">
        <v>80</v>
      </c>
      <c r="E20" s="90">
        <v>32.0</v>
      </c>
      <c r="F20" s="89" t="s">
        <v>80</v>
      </c>
      <c r="G20" s="88">
        <v>36.0</v>
      </c>
      <c r="H20" s="89" t="s">
        <v>79</v>
      </c>
      <c r="I20" s="90">
        <v>30.0</v>
      </c>
      <c r="J20" s="89" t="s">
        <v>79</v>
      </c>
      <c r="K20" s="90">
        <v>14.0</v>
      </c>
      <c r="L20" s="88" t="s">
        <v>79</v>
      </c>
      <c r="M20" s="90">
        <v>30.0</v>
      </c>
      <c r="N20" s="88" t="s">
        <v>80</v>
      </c>
      <c r="O20" s="90">
        <v>22.0</v>
      </c>
      <c r="P20" s="65">
        <f t="shared" si="5"/>
        <v>180</v>
      </c>
      <c r="Q20" s="91">
        <f t="shared" si="6"/>
        <v>6</v>
      </c>
      <c r="R20" s="92">
        <v>5.0</v>
      </c>
      <c r="S20" s="78"/>
      <c r="T20" s="90" t="s">
        <v>46</v>
      </c>
      <c r="U20" s="88" t="s">
        <v>80</v>
      </c>
      <c r="V20" s="88">
        <v>66.0</v>
      </c>
      <c r="W20" s="89" t="s">
        <v>80</v>
      </c>
      <c r="X20" s="90">
        <v>58.0</v>
      </c>
      <c r="Y20" s="89" t="s">
        <v>80</v>
      </c>
      <c r="Z20" s="88">
        <v>72.0</v>
      </c>
      <c r="AA20" s="89" t="s">
        <v>79</v>
      </c>
      <c r="AB20" s="90">
        <v>8.0</v>
      </c>
      <c r="AC20" s="89" t="s">
        <v>80</v>
      </c>
      <c r="AD20" s="90">
        <v>46.0</v>
      </c>
      <c r="AE20" s="88" t="s">
        <v>80</v>
      </c>
      <c r="AF20" s="90">
        <v>42.0</v>
      </c>
      <c r="AG20" s="88" t="s">
        <v>80</v>
      </c>
      <c r="AH20" s="90">
        <v>66.0</v>
      </c>
      <c r="AI20" s="65">
        <f t="shared" si="7"/>
        <v>358</v>
      </c>
      <c r="AJ20" s="91">
        <f t="shared" si="8"/>
        <v>12</v>
      </c>
      <c r="AK20" s="92">
        <v>1.0</v>
      </c>
    </row>
    <row r="21">
      <c r="A21" s="90" t="s">
        <v>98</v>
      </c>
      <c r="B21" s="88" t="s">
        <v>79</v>
      </c>
      <c r="C21" s="88">
        <v>18.0</v>
      </c>
      <c r="D21" s="89" t="s">
        <v>79</v>
      </c>
      <c r="E21" s="90">
        <v>20.0</v>
      </c>
      <c r="F21" s="89" t="s">
        <v>79</v>
      </c>
      <c r="G21" s="88">
        <v>6.0</v>
      </c>
      <c r="H21" s="89" t="s">
        <v>79</v>
      </c>
      <c r="I21" s="90">
        <v>-12.0</v>
      </c>
      <c r="J21" s="89" t="s">
        <v>79</v>
      </c>
      <c r="K21" s="90">
        <v>-4.0</v>
      </c>
      <c r="L21" s="88" t="s">
        <v>80</v>
      </c>
      <c r="M21" s="90">
        <v>24.0</v>
      </c>
      <c r="N21" s="88" t="s">
        <v>79</v>
      </c>
      <c r="O21" s="90">
        <v>6.0</v>
      </c>
      <c r="P21" s="65">
        <f t="shared" si="5"/>
        <v>58</v>
      </c>
      <c r="Q21" s="91">
        <f t="shared" si="6"/>
        <v>2</v>
      </c>
      <c r="R21" s="92">
        <v>8.0</v>
      </c>
      <c r="S21" s="78"/>
      <c r="T21" s="90" t="s">
        <v>99</v>
      </c>
      <c r="U21" s="88" t="s">
        <v>79</v>
      </c>
      <c r="V21" s="88">
        <v>16.0</v>
      </c>
      <c r="W21" s="89" t="s">
        <v>79</v>
      </c>
      <c r="X21" s="90">
        <v>4.0</v>
      </c>
      <c r="Y21" s="89" t="s">
        <v>79</v>
      </c>
      <c r="Z21" s="88">
        <v>26.0</v>
      </c>
      <c r="AA21" s="89" t="s">
        <v>79</v>
      </c>
      <c r="AB21" s="90">
        <v>18.0</v>
      </c>
      <c r="AC21" s="89" t="s">
        <v>79</v>
      </c>
      <c r="AD21" s="90">
        <v>4.0</v>
      </c>
      <c r="AE21" s="88" t="s">
        <v>79</v>
      </c>
      <c r="AF21" s="90">
        <v>14.0</v>
      </c>
      <c r="AG21" s="88" t="s">
        <v>79</v>
      </c>
      <c r="AH21" s="90">
        <v>0.0</v>
      </c>
      <c r="AI21" s="65">
        <f t="shared" si="7"/>
        <v>82</v>
      </c>
      <c r="AJ21" s="91">
        <f t="shared" si="8"/>
        <v>0</v>
      </c>
      <c r="AK21" s="92">
        <v>8.0</v>
      </c>
    </row>
    <row r="22">
      <c r="A22" s="90" t="s">
        <v>100</v>
      </c>
      <c r="B22" s="88" t="s">
        <v>79</v>
      </c>
      <c r="C22" s="88">
        <v>6.0</v>
      </c>
      <c r="D22" s="89" t="s">
        <v>79</v>
      </c>
      <c r="E22" s="90">
        <v>28.0</v>
      </c>
      <c r="F22" s="89" t="s">
        <v>79</v>
      </c>
      <c r="G22" s="88">
        <v>2.0</v>
      </c>
      <c r="H22" s="89" t="s">
        <v>80</v>
      </c>
      <c r="I22" s="90">
        <v>44.0</v>
      </c>
      <c r="J22" s="89" t="s">
        <v>80</v>
      </c>
      <c r="K22" s="90">
        <v>34.0</v>
      </c>
      <c r="L22" s="88" t="s">
        <v>79</v>
      </c>
      <c r="M22" s="90">
        <v>10.0</v>
      </c>
      <c r="N22" s="88" t="s">
        <v>80</v>
      </c>
      <c r="O22" s="90">
        <v>38.0</v>
      </c>
      <c r="P22" s="65">
        <f t="shared" si="5"/>
        <v>162</v>
      </c>
      <c r="Q22" s="91">
        <f t="shared" si="6"/>
        <v>6</v>
      </c>
      <c r="R22" s="92">
        <v>6.0</v>
      </c>
      <c r="S22" s="76"/>
      <c r="T22" s="105" t="s">
        <v>62</v>
      </c>
      <c r="U22" s="88" t="s">
        <v>79</v>
      </c>
      <c r="V22" s="88">
        <v>18.0</v>
      </c>
      <c r="W22" s="89" t="s">
        <v>80</v>
      </c>
      <c r="X22" s="90">
        <v>44.0</v>
      </c>
      <c r="Y22" s="89" t="s">
        <v>79</v>
      </c>
      <c r="Z22" s="88">
        <v>12.0</v>
      </c>
      <c r="AA22" s="89" t="s">
        <v>80</v>
      </c>
      <c r="AB22" s="90">
        <v>38.0</v>
      </c>
      <c r="AC22" s="89" t="s">
        <v>79</v>
      </c>
      <c r="AD22" s="90">
        <v>12.0</v>
      </c>
      <c r="AE22" s="88" t="s">
        <v>80</v>
      </c>
      <c r="AF22" s="90">
        <v>14.0</v>
      </c>
      <c r="AG22" s="88" t="s">
        <v>80</v>
      </c>
      <c r="AH22" s="90">
        <v>26.0</v>
      </c>
      <c r="AI22" s="65">
        <f t="shared" si="7"/>
        <v>164</v>
      </c>
      <c r="AJ22" s="91">
        <f t="shared" si="8"/>
        <v>8</v>
      </c>
      <c r="AK22" s="92">
        <v>5.0</v>
      </c>
    </row>
    <row r="23">
      <c r="A23" s="103" t="s">
        <v>61</v>
      </c>
      <c r="B23" s="96" t="s">
        <v>80</v>
      </c>
      <c r="C23" s="96">
        <v>38.0</v>
      </c>
      <c r="D23" s="97" t="s">
        <v>80</v>
      </c>
      <c r="E23" s="98">
        <v>44.0</v>
      </c>
      <c r="F23" s="96" t="s">
        <v>80</v>
      </c>
      <c r="G23" s="96">
        <v>20.0</v>
      </c>
      <c r="H23" s="97" t="s">
        <v>80</v>
      </c>
      <c r="I23" s="98">
        <v>50.0</v>
      </c>
      <c r="J23" s="97" t="s">
        <v>79</v>
      </c>
      <c r="K23" s="98">
        <v>26.0</v>
      </c>
      <c r="L23" s="96" t="s">
        <v>79</v>
      </c>
      <c r="M23" s="98">
        <v>10.0</v>
      </c>
      <c r="N23" s="96" t="s">
        <v>79</v>
      </c>
      <c r="O23" s="98">
        <v>-12.0</v>
      </c>
      <c r="P23" s="99">
        <f t="shared" si="5"/>
        <v>176</v>
      </c>
      <c r="Q23" s="100">
        <f t="shared" si="6"/>
        <v>8</v>
      </c>
      <c r="R23" s="101">
        <v>4.0</v>
      </c>
      <c r="S23" s="78"/>
      <c r="T23" s="103" t="s">
        <v>101</v>
      </c>
      <c r="U23" s="96" t="s">
        <v>79</v>
      </c>
      <c r="V23" s="96">
        <v>-4.0</v>
      </c>
      <c r="W23" s="97" t="s">
        <v>80</v>
      </c>
      <c r="X23" s="98">
        <v>40.0</v>
      </c>
      <c r="Y23" s="97" t="s">
        <v>80</v>
      </c>
      <c r="Z23" s="96">
        <v>28.0</v>
      </c>
      <c r="AA23" s="97" t="s">
        <v>79</v>
      </c>
      <c r="AB23" s="98">
        <v>24.0</v>
      </c>
      <c r="AC23" s="97" t="s">
        <v>80</v>
      </c>
      <c r="AD23" s="98">
        <v>50.0</v>
      </c>
      <c r="AE23" s="96" t="s">
        <v>80</v>
      </c>
      <c r="AF23" s="98">
        <v>36.0</v>
      </c>
      <c r="AG23" s="96" t="s">
        <v>80</v>
      </c>
      <c r="AH23" s="98">
        <v>32.0</v>
      </c>
      <c r="AI23" s="99">
        <f t="shared" si="7"/>
        <v>206</v>
      </c>
      <c r="AJ23" s="100">
        <f t="shared" si="8"/>
        <v>10</v>
      </c>
      <c r="AK23" s="101">
        <v>4.0</v>
      </c>
    </row>
    <row r="24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</row>
    <row r="25">
      <c r="A25" s="77" t="s">
        <v>102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5"/>
      <c r="S25" s="78"/>
      <c r="T25" s="77" t="s">
        <v>103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5"/>
    </row>
    <row r="26">
      <c r="A26" s="79">
        <f> SUM(P27:P34)</f>
        <v>1830</v>
      </c>
      <c r="B26" s="80" t="s">
        <v>68</v>
      </c>
      <c r="C26" s="81"/>
      <c r="D26" s="82" t="s">
        <v>69</v>
      </c>
      <c r="E26" s="83"/>
      <c r="F26" s="80" t="s">
        <v>70</v>
      </c>
      <c r="G26" s="81"/>
      <c r="H26" s="82" t="s">
        <v>71</v>
      </c>
      <c r="I26" s="83"/>
      <c r="J26" s="80" t="s">
        <v>72</v>
      </c>
      <c r="K26" s="83"/>
      <c r="L26" s="80" t="s">
        <v>73</v>
      </c>
      <c r="M26" s="83"/>
      <c r="N26" s="80" t="s">
        <v>74</v>
      </c>
      <c r="O26" s="83"/>
      <c r="P26" s="84" t="s">
        <v>75</v>
      </c>
      <c r="Q26" s="85" t="s">
        <v>76</v>
      </c>
      <c r="R26" s="86" t="s">
        <v>77</v>
      </c>
      <c r="S26" s="78"/>
      <c r="T26" s="79">
        <f> SUM(AI27:AI34)</f>
        <v>1836</v>
      </c>
      <c r="U26" s="80" t="s">
        <v>68</v>
      </c>
      <c r="V26" s="81"/>
      <c r="W26" s="82" t="s">
        <v>69</v>
      </c>
      <c r="X26" s="83"/>
      <c r="Y26" s="80" t="s">
        <v>70</v>
      </c>
      <c r="Z26" s="81"/>
      <c r="AA26" s="82" t="s">
        <v>71</v>
      </c>
      <c r="AB26" s="83"/>
      <c r="AC26" s="80" t="s">
        <v>72</v>
      </c>
      <c r="AD26" s="83"/>
      <c r="AE26" s="80" t="s">
        <v>73</v>
      </c>
      <c r="AF26" s="83"/>
      <c r="AG26" s="80" t="s">
        <v>74</v>
      </c>
      <c r="AH26" s="83"/>
      <c r="AI26" s="84" t="s">
        <v>75</v>
      </c>
      <c r="AJ26" s="85" t="s">
        <v>76</v>
      </c>
      <c r="AK26" s="86" t="s">
        <v>77</v>
      </c>
    </row>
    <row r="27">
      <c r="A27" s="90" t="s">
        <v>104</v>
      </c>
      <c r="B27" s="88" t="s">
        <v>79</v>
      </c>
      <c r="C27" s="88">
        <v>32.0</v>
      </c>
      <c r="D27" s="89" t="s">
        <v>79</v>
      </c>
      <c r="E27" s="90">
        <v>8.0</v>
      </c>
      <c r="F27" s="89" t="s">
        <v>79</v>
      </c>
      <c r="G27" s="88">
        <v>22.0</v>
      </c>
      <c r="H27" s="89" t="s">
        <v>79</v>
      </c>
      <c r="I27" s="90">
        <v>24.0</v>
      </c>
      <c r="J27" s="89" t="s">
        <v>80</v>
      </c>
      <c r="K27" s="90">
        <v>24.0</v>
      </c>
      <c r="L27" s="88" t="s">
        <v>79</v>
      </c>
      <c r="M27" s="90">
        <v>8.0</v>
      </c>
      <c r="N27" s="88" t="s">
        <v>79</v>
      </c>
      <c r="O27" s="90">
        <v>36.0</v>
      </c>
      <c r="P27" s="65">
        <f t="shared" ref="P27:P34" si="9"> SUM(C27 + E27 + G27 + I27 + K27 + M27 + O27)</f>
        <v>154</v>
      </c>
      <c r="Q27" s="91">
        <f t="shared" ref="Q27:Q34" si="10">2*countif(B27:O27,"W")+countif(B27:O27,"T")</f>
        <v>2</v>
      </c>
      <c r="R27" s="92">
        <v>7.0</v>
      </c>
      <c r="S27" s="78"/>
      <c r="T27" s="90" t="s">
        <v>63</v>
      </c>
      <c r="U27" s="88" t="s">
        <v>79</v>
      </c>
      <c r="V27" s="88">
        <v>20.0</v>
      </c>
      <c r="W27" s="89" t="s">
        <v>80</v>
      </c>
      <c r="X27" s="90">
        <v>46.0</v>
      </c>
      <c r="Y27" s="89" t="s">
        <v>79</v>
      </c>
      <c r="Z27" s="88">
        <v>14.0</v>
      </c>
      <c r="AA27" s="89" t="s">
        <v>79</v>
      </c>
      <c r="AB27" s="90">
        <v>24.0</v>
      </c>
      <c r="AC27" s="89" t="s">
        <v>78</v>
      </c>
      <c r="AD27" s="90">
        <v>22.0</v>
      </c>
      <c r="AE27" s="88" t="s">
        <v>79</v>
      </c>
      <c r="AF27" s="90">
        <v>16.0</v>
      </c>
      <c r="AG27" s="88" t="s">
        <v>80</v>
      </c>
      <c r="AH27" s="90">
        <v>62.0</v>
      </c>
      <c r="AI27" s="65">
        <f t="shared" ref="AI27:AI34" si="11"> SUM(V27 + X27 + Z27 + AB27 + AD27 + AF27 + AH27)</f>
        <v>204</v>
      </c>
      <c r="AJ27" s="91">
        <f t="shared" ref="AJ27:AJ34" si="12">2*countif(U27:AH27,"W")+countif(U27:AH27,"T")</f>
        <v>5</v>
      </c>
      <c r="AK27" s="92">
        <v>6.0</v>
      </c>
    </row>
    <row r="28">
      <c r="A28" s="90" t="s">
        <v>47</v>
      </c>
      <c r="B28" s="88" t="s">
        <v>80</v>
      </c>
      <c r="C28" s="88">
        <v>40.0</v>
      </c>
      <c r="D28" s="89" t="s">
        <v>80</v>
      </c>
      <c r="E28" s="90">
        <v>48.0</v>
      </c>
      <c r="F28" s="89" t="s">
        <v>80</v>
      </c>
      <c r="G28" s="88">
        <v>42.0</v>
      </c>
      <c r="H28" s="89" t="s">
        <v>80</v>
      </c>
      <c r="I28" s="90">
        <v>40.0</v>
      </c>
      <c r="J28" s="89" t="s">
        <v>80</v>
      </c>
      <c r="K28" s="90">
        <v>38.0</v>
      </c>
      <c r="L28" s="88" t="s">
        <v>80</v>
      </c>
      <c r="M28" s="90">
        <v>46.0</v>
      </c>
      <c r="N28" s="88" t="s">
        <v>80</v>
      </c>
      <c r="O28" s="90">
        <v>60.0</v>
      </c>
      <c r="P28" s="65">
        <f t="shared" si="9"/>
        <v>314</v>
      </c>
      <c r="Q28" s="91">
        <f t="shared" si="10"/>
        <v>14</v>
      </c>
      <c r="R28" s="92">
        <v>1.0</v>
      </c>
      <c r="S28" s="78"/>
      <c r="T28" s="90" t="s">
        <v>54</v>
      </c>
      <c r="U28" s="88" t="s">
        <v>80</v>
      </c>
      <c r="V28" s="88">
        <v>28.0</v>
      </c>
      <c r="W28" s="89" t="s">
        <v>80</v>
      </c>
      <c r="X28" s="90">
        <v>40.0</v>
      </c>
      <c r="Y28" s="89" t="s">
        <v>79</v>
      </c>
      <c r="Z28" s="88">
        <v>18.0</v>
      </c>
      <c r="AA28" s="89" t="s">
        <v>79</v>
      </c>
      <c r="AB28" s="90">
        <v>28.0</v>
      </c>
      <c r="AC28" s="89" t="s">
        <v>80</v>
      </c>
      <c r="AD28" s="90">
        <v>28.0</v>
      </c>
      <c r="AE28" s="88" t="s">
        <v>78</v>
      </c>
      <c r="AF28" s="90">
        <v>28.0</v>
      </c>
      <c r="AG28" s="88" t="s">
        <v>80</v>
      </c>
      <c r="AH28" s="90">
        <v>34.0</v>
      </c>
      <c r="AI28" s="65">
        <f t="shared" si="11"/>
        <v>204</v>
      </c>
      <c r="AJ28" s="91">
        <f t="shared" si="12"/>
        <v>9</v>
      </c>
      <c r="AK28" s="92">
        <v>2.0</v>
      </c>
    </row>
    <row r="29">
      <c r="A29" s="90" t="s">
        <v>50</v>
      </c>
      <c r="B29" s="88" t="s">
        <v>80</v>
      </c>
      <c r="C29" s="88">
        <v>38.0</v>
      </c>
      <c r="D29" s="89" t="s">
        <v>80</v>
      </c>
      <c r="E29" s="90">
        <v>64.0</v>
      </c>
      <c r="F29" s="89" t="s">
        <v>79</v>
      </c>
      <c r="G29" s="88">
        <v>32.0</v>
      </c>
      <c r="H29" s="89" t="s">
        <v>80</v>
      </c>
      <c r="I29" s="90">
        <v>52.0</v>
      </c>
      <c r="J29" s="89" t="s">
        <v>80</v>
      </c>
      <c r="K29" s="90">
        <v>30.0</v>
      </c>
      <c r="L29" s="88" t="s">
        <v>80</v>
      </c>
      <c r="M29" s="90">
        <v>66.0</v>
      </c>
      <c r="N29" s="88" t="s">
        <v>80</v>
      </c>
      <c r="O29" s="90">
        <v>36.0</v>
      </c>
      <c r="P29" s="65">
        <f t="shared" si="9"/>
        <v>318</v>
      </c>
      <c r="Q29" s="91">
        <f t="shared" si="10"/>
        <v>12</v>
      </c>
      <c r="R29" s="92">
        <v>2.0</v>
      </c>
      <c r="S29" s="104"/>
      <c r="T29" s="90" t="s">
        <v>105</v>
      </c>
      <c r="U29" s="88" t="s">
        <v>79</v>
      </c>
      <c r="V29" s="88">
        <v>42.0</v>
      </c>
      <c r="W29" s="89" t="s">
        <v>79</v>
      </c>
      <c r="X29" s="90">
        <v>40.0</v>
      </c>
      <c r="Y29" s="89" t="s">
        <v>80</v>
      </c>
      <c r="Z29" s="88">
        <v>48.0</v>
      </c>
      <c r="AA29" s="89" t="s">
        <v>80</v>
      </c>
      <c r="AB29" s="90">
        <v>34.0</v>
      </c>
      <c r="AC29" s="89" t="s">
        <v>79</v>
      </c>
      <c r="AD29" s="90">
        <v>42.0</v>
      </c>
      <c r="AE29" s="88" t="s">
        <v>80</v>
      </c>
      <c r="AF29" s="90">
        <v>40.0</v>
      </c>
      <c r="AG29" s="88" t="s">
        <v>80</v>
      </c>
      <c r="AH29" s="90">
        <v>58.0</v>
      </c>
      <c r="AI29" s="65">
        <f t="shared" si="11"/>
        <v>304</v>
      </c>
      <c r="AJ29" s="91">
        <f t="shared" si="12"/>
        <v>8</v>
      </c>
      <c r="AK29" s="92">
        <v>3.0</v>
      </c>
    </row>
    <row r="30">
      <c r="A30" s="90" t="s">
        <v>55</v>
      </c>
      <c r="B30" s="88" t="s">
        <v>80</v>
      </c>
      <c r="C30" s="88">
        <v>66.0</v>
      </c>
      <c r="D30" s="89" t="s">
        <v>80</v>
      </c>
      <c r="E30" s="90">
        <v>48.0</v>
      </c>
      <c r="F30" s="89" t="s">
        <v>80</v>
      </c>
      <c r="G30" s="88">
        <v>56.0</v>
      </c>
      <c r="H30" s="89" t="s">
        <v>79</v>
      </c>
      <c r="I30" s="90">
        <v>38.0</v>
      </c>
      <c r="J30" s="89" t="s">
        <v>79</v>
      </c>
      <c r="K30" s="90">
        <v>20.0</v>
      </c>
      <c r="L30" s="88" t="s">
        <v>79</v>
      </c>
      <c r="M30" s="90">
        <v>10.0</v>
      </c>
      <c r="N30" s="88" t="s">
        <v>80</v>
      </c>
      <c r="O30" s="90">
        <v>44.0</v>
      </c>
      <c r="P30" s="65">
        <f t="shared" si="9"/>
        <v>282</v>
      </c>
      <c r="Q30" s="91">
        <f t="shared" si="10"/>
        <v>8</v>
      </c>
      <c r="R30" s="92">
        <v>3.0</v>
      </c>
      <c r="S30" s="78"/>
      <c r="T30" s="90" t="s">
        <v>16</v>
      </c>
      <c r="U30" s="88" t="s">
        <v>80</v>
      </c>
      <c r="V30" s="88">
        <v>80.0</v>
      </c>
      <c r="W30" s="89" t="s">
        <v>80</v>
      </c>
      <c r="X30" s="90">
        <v>58.0</v>
      </c>
      <c r="Y30" s="89" t="s">
        <v>80</v>
      </c>
      <c r="Z30" s="88">
        <v>70.0</v>
      </c>
      <c r="AA30" s="89" t="s">
        <v>80</v>
      </c>
      <c r="AB30" s="90">
        <v>62.0</v>
      </c>
      <c r="AC30" s="89" t="s">
        <v>80</v>
      </c>
      <c r="AD30" s="90">
        <v>44.0</v>
      </c>
      <c r="AE30" s="88" t="s">
        <v>80</v>
      </c>
      <c r="AF30" s="90">
        <v>42.0</v>
      </c>
      <c r="AG30" s="88" t="s">
        <v>80</v>
      </c>
      <c r="AH30" s="90">
        <v>52.0</v>
      </c>
      <c r="AI30" s="65">
        <f t="shared" si="11"/>
        <v>408</v>
      </c>
      <c r="AJ30" s="91">
        <f t="shared" si="12"/>
        <v>14</v>
      </c>
      <c r="AK30" s="92">
        <v>1.0</v>
      </c>
    </row>
    <row r="31">
      <c r="A31" s="90" t="s">
        <v>106</v>
      </c>
      <c r="B31" s="88" t="s">
        <v>80</v>
      </c>
      <c r="C31" s="88">
        <v>54.0</v>
      </c>
      <c r="D31" s="89" t="s">
        <v>80</v>
      </c>
      <c r="E31" s="90">
        <v>46.0</v>
      </c>
      <c r="F31" s="89" t="s">
        <v>79</v>
      </c>
      <c r="G31" s="88">
        <v>36.0</v>
      </c>
      <c r="H31" s="89" t="s">
        <v>80</v>
      </c>
      <c r="I31" s="90">
        <v>46.0</v>
      </c>
      <c r="J31" s="89" t="s">
        <v>79</v>
      </c>
      <c r="K31" s="90">
        <v>36.0</v>
      </c>
      <c r="L31" s="88" t="s">
        <v>79</v>
      </c>
      <c r="M31" s="90">
        <v>16.0</v>
      </c>
      <c r="N31" s="88" t="s">
        <v>79</v>
      </c>
      <c r="O31" s="90">
        <v>24.0</v>
      </c>
      <c r="P31" s="65">
        <f t="shared" si="9"/>
        <v>258</v>
      </c>
      <c r="Q31" s="91">
        <f t="shared" si="10"/>
        <v>6</v>
      </c>
      <c r="R31" s="92">
        <v>5.0</v>
      </c>
      <c r="S31" s="76"/>
      <c r="T31" s="105" t="s">
        <v>107</v>
      </c>
      <c r="U31" s="88" t="s">
        <v>80</v>
      </c>
      <c r="V31" s="88">
        <v>50.0</v>
      </c>
      <c r="W31" s="89" t="s">
        <v>80</v>
      </c>
      <c r="X31" s="90">
        <v>56.0</v>
      </c>
      <c r="Y31" s="89" t="s">
        <v>79</v>
      </c>
      <c r="Z31" s="88">
        <v>26.0</v>
      </c>
      <c r="AA31" s="89" t="s">
        <v>80</v>
      </c>
      <c r="AB31" s="90">
        <v>42.0</v>
      </c>
      <c r="AC31" s="89" t="s">
        <v>79</v>
      </c>
      <c r="AD31" s="90">
        <v>0.0</v>
      </c>
      <c r="AE31" s="88" t="s">
        <v>79</v>
      </c>
      <c r="AF31" s="90">
        <v>30.0</v>
      </c>
      <c r="AG31" s="88" t="s">
        <v>79</v>
      </c>
      <c r="AH31" s="90">
        <v>24.0</v>
      </c>
      <c r="AI31" s="65">
        <f t="shared" si="11"/>
        <v>228</v>
      </c>
      <c r="AJ31" s="91">
        <f t="shared" si="12"/>
        <v>6</v>
      </c>
      <c r="AK31" s="92">
        <v>5.0</v>
      </c>
    </row>
    <row r="32">
      <c r="A32" s="90" t="s">
        <v>108</v>
      </c>
      <c r="B32" s="88" t="s">
        <v>79</v>
      </c>
      <c r="C32" s="88">
        <v>12.0</v>
      </c>
      <c r="D32" s="89" t="s">
        <v>79</v>
      </c>
      <c r="E32" s="90">
        <v>12.0</v>
      </c>
      <c r="F32" s="89" t="s">
        <v>79</v>
      </c>
      <c r="G32" s="88">
        <v>16.0</v>
      </c>
      <c r="H32" s="89" t="s">
        <v>79</v>
      </c>
      <c r="I32" s="90">
        <v>10.0</v>
      </c>
      <c r="J32" s="89" t="s">
        <v>79</v>
      </c>
      <c r="K32" s="90">
        <v>12.0</v>
      </c>
      <c r="L32" s="89" t="s">
        <v>79</v>
      </c>
      <c r="M32" s="90">
        <v>12.0</v>
      </c>
      <c r="N32" s="89" t="s">
        <v>79</v>
      </c>
      <c r="O32" s="90">
        <v>12.0</v>
      </c>
      <c r="P32" s="65">
        <f t="shared" si="9"/>
        <v>86</v>
      </c>
      <c r="Q32" s="91">
        <f t="shared" si="10"/>
        <v>0</v>
      </c>
      <c r="R32" s="92">
        <v>8.0</v>
      </c>
      <c r="S32" s="78"/>
      <c r="T32" s="90" t="s">
        <v>109</v>
      </c>
      <c r="U32" s="88" t="s">
        <v>79</v>
      </c>
      <c r="V32" s="88">
        <v>8.0</v>
      </c>
      <c r="W32" s="89" t="s">
        <v>79</v>
      </c>
      <c r="X32" s="90">
        <v>4.0</v>
      </c>
      <c r="Y32" s="89" t="s">
        <v>79</v>
      </c>
      <c r="Z32" s="88">
        <v>28.0</v>
      </c>
      <c r="AA32" s="89" t="s">
        <v>79</v>
      </c>
      <c r="AB32" s="90">
        <v>8.0</v>
      </c>
      <c r="AC32" s="89" t="s">
        <v>78</v>
      </c>
      <c r="AD32" s="90">
        <v>22.0</v>
      </c>
      <c r="AE32" s="88" t="s">
        <v>78</v>
      </c>
      <c r="AF32" s="90">
        <v>28.0</v>
      </c>
      <c r="AG32" s="88" t="s">
        <v>79</v>
      </c>
      <c r="AH32" s="90">
        <v>0.0</v>
      </c>
      <c r="AI32" s="65">
        <f t="shared" si="11"/>
        <v>98</v>
      </c>
      <c r="AJ32" s="91">
        <f t="shared" si="12"/>
        <v>2</v>
      </c>
      <c r="AK32" s="92">
        <v>8.0</v>
      </c>
    </row>
    <row r="33">
      <c r="A33" s="90" t="s">
        <v>110</v>
      </c>
      <c r="B33" s="88" t="s">
        <v>79</v>
      </c>
      <c r="C33" s="88">
        <v>30.0</v>
      </c>
      <c r="D33" s="89" t="s">
        <v>79</v>
      </c>
      <c r="E33" s="90">
        <v>14.0</v>
      </c>
      <c r="F33" s="89" t="s">
        <v>80</v>
      </c>
      <c r="G33" s="88">
        <v>38.0</v>
      </c>
      <c r="H33" s="89" t="s">
        <v>80</v>
      </c>
      <c r="I33" s="90">
        <v>32.0</v>
      </c>
      <c r="J33" s="89" t="s">
        <v>79</v>
      </c>
      <c r="K33" s="90">
        <v>18.0</v>
      </c>
      <c r="L33" s="88" t="s">
        <v>80</v>
      </c>
      <c r="M33" s="90">
        <v>38.0</v>
      </c>
      <c r="N33" s="88" t="s">
        <v>79</v>
      </c>
      <c r="O33" s="90">
        <v>14.0</v>
      </c>
      <c r="P33" s="65">
        <f t="shared" si="9"/>
        <v>184</v>
      </c>
      <c r="Q33" s="91">
        <f t="shared" si="10"/>
        <v>6</v>
      </c>
      <c r="R33" s="92">
        <v>6.0</v>
      </c>
      <c r="S33" s="78"/>
      <c r="T33" s="90" t="s">
        <v>58</v>
      </c>
      <c r="U33" s="88" t="s">
        <v>80</v>
      </c>
      <c r="V33" s="88">
        <v>54.0</v>
      </c>
      <c r="W33" s="89" t="s">
        <v>79</v>
      </c>
      <c r="X33" s="90">
        <v>8.0</v>
      </c>
      <c r="Y33" s="89" t="s">
        <v>80</v>
      </c>
      <c r="Z33" s="88">
        <v>34.0</v>
      </c>
      <c r="AA33" s="89" t="s">
        <v>80</v>
      </c>
      <c r="AB33" s="90">
        <v>44.0</v>
      </c>
      <c r="AC33" s="89" t="s">
        <v>79</v>
      </c>
      <c r="AD33" s="90">
        <v>30.0</v>
      </c>
      <c r="AE33" s="88" t="s">
        <v>80</v>
      </c>
      <c r="AF33" s="90">
        <v>50.0</v>
      </c>
      <c r="AG33" s="88" t="s">
        <v>79</v>
      </c>
      <c r="AH33" s="90">
        <v>18.0</v>
      </c>
      <c r="AI33" s="65">
        <f t="shared" si="11"/>
        <v>238</v>
      </c>
      <c r="AJ33" s="91">
        <f t="shared" si="12"/>
        <v>8</v>
      </c>
      <c r="AK33" s="92">
        <v>4.0</v>
      </c>
    </row>
    <row r="34">
      <c r="A34" s="103" t="s">
        <v>59</v>
      </c>
      <c r="B34" s="96" t="s">
        <v>79</v>
      </c>
      <c r="C34" s="96">
        <v>40.0</v>
      </c>
      <c r="D34" s="97" t="s">
        <v>79</v>
      </c>
      <c r="E34" s="98">
        <v>26.0</v>
      </c>
      <c r="F34" s="97" t="s">
        <v>80</v>
      </c>
      <c r="G34" s="96">
        <v>32.0</v>
      </c>
      <c r="H34" s="97" t="s">
        <v>79</v>
      </c>
      <c r="I34" s="98">
        <v>18.0</v>
      </c>
      <c r="J34" s="97" t="s">
        <v>80</v>
      </c>
      <c r="K34" s="98">
        <v>32.0</v>
      </c>
      <c r="L34" s="96" t="s">
        <v>80</v>
      </c>
      <c r="M34" s="98">
        <v>38.0</v>
      </c>
      <c r="N34" s="96" t="s">
        <v>80</v>
      </c>
      <c r="O34" s="98">
        <v>48.0</v>
      </c>
      <c r="P34" s="99">
        <f t="shared" si="9"/>
        <v>234</v>
      </c>
      <c r="Q34" s="100">
        <f t="shared" si="10"/>
        <v>8</v>
      </c>
      <c r="R34" s="101">
        <v>4.0</v>
      </c>
      <c r="S34" s="78"/>
      <c r="T34" s="103" t="s">
        <v>111</v>
      </c>
      <c r="U34" s="96" t="s">
        <v>79</v>
      </c>
      <c r="V34" s="96">
        <v>22.0</v>
      </c>
      <c r="W34" s="97" t="s">
        <v>79</v>
      </c>
      <c r="X34" s="98">
        <v>16.0</v>
      </c>
      <c r="Y34" s="97" t="s">
        <v>80</v>
      </c>
      <c r="Z34" s="96">
        <v>30.0</v>
      </c>
      <c r="AA34" s="97" t="s">
        <v>79</v>
      </c>
      <c r="AB34" s="98">
        <v>30.0</v>
      </c>
      <c r="AC34" s="97" t="s">
        <v>80</v>
      </c>
      <c r="AD34" s="98">
        <v>34.0</v>
      </c>
      <c r="AE34" s="96" t="s">
        <v>79</v>
      </c>
      <c r="AF34" s="98">
        <v>10.0</v>
      </c>
      <c r="AG34" s="96" t="s">
        <v>79</v>
      </c>
      <c r="AH34" s="98">
        <v>10.0</v>
      </c>
      <c r="AI34" s="99">
        <f t="shared" si="11"/>
        <v>152</v>
      </c>
      <c r="AJ34" s="100">
        <f t="shared" si="12"/>
        <v>4</v>
      </c>
      <c r="AK34" s="101">
        <v>7.0</v>
      </c>
    </row>
  </sheetData>
  <mergeCells count="49">
    <mergeCell ref="J4:K4"/>
    <mergeCell ref="L4:M4"/>
    <mergeCell ref="A14:R14"/>
    <mergeCell ref="B15:C15"/>
    <mergeCell ref="D15:E15"/>
    <mergeCell ref="F15:G15"/>
    <mergeCell ref="H15:I15"/>
    <mergeCell ref="L26:M26"/>
    <mergeCell ref="N26:O26"/>
    <mergeCell ref="N15:O15"/>
    <mergeCell ref="A25:R25"/>
    <mergeCell ref="B26:C26"/>
    <mergeCell ref="D26:E26"/>
    <mergeCell ref="F26:G26"/>
    <mergeCell ref="H26:I26"/>
    <mergeCell ref="J26:K26"/>
    <mergeCell ref="N4:O4"/>
    <mergeCell ref="U4:V4"/>
    <mergeCell ref="W4:X4"/>
    <mergeCell ref="Y4:Z4"/>
    <mergeCell ref="AA4:AB4"/>
    <mergeCell ref="AC4:AD4"/>
    <mergeCell ref="AE4:AF4"/>
    <mergeCell ref="AG4:AH4"/>
    <mergeCell ref="T14:AK14"/>
    <mergeCell ref="A1:AK1"/>
    <mergeCell ref="A3:R3"/>
    <mergeCell ref="T3:AK3"/>
    <mergeCell ref="B4:C4"/>
    <mergeCell ref="D4:E4"/>
    <mergeCell ref="F4:G4"/>
    <mergeCell ref="H4:I4"/>
    <mergeCell ref="J15:K15"/>
    <mergeCell ref="L15:M15"/>
    <mergeCell ref="U15:V15"/>
    <mergeCell ref="W15:X15"/>
    <mergeCell ref="Y15:Z15"/>
    <mergeCell ref="AA15:AB15"/>
    <mergeCell ref="AC15:AD15"/>
    <mergeCell ref="AC26:AD26"/>
    <mergeCell ref="AE26:AF26"/>
    <mergeCell ref="AE15:AF15"/>
    <mergeCell ref="AG15:AH15"/>
    <mergeCell ref="T25:AK25"/>
    <mergeCell ref="U26:V26"/>
    <mergeCell ref="W26:X26"/>
    <mergeCell ref="Y26:Z26"/>
    <mergeCell ref="AA26:AB26"/>
    <mergeCell ref="AG26:AH26"/>
  </mergeCells>
  <conditionalFormatting sqref="A1:A2 B1:R13 S1:S23 T1:AK2 A4:A13 T4:AK13 A15:B23 C15:C34 D15:D23 E15:E34 F15:F23 G15:G34 H15:H23 I15:I34 J15:J23 K15:O34 P15:R23 T15:U23 V15:V34 W15:W23 X15:X34 Y15:Y23 Z15:Z34 AA15:AA23 AB15:AB34 AC15:AC23 AD15:AD34 AE15:AK23 A25:B34 D25:D34 F25:F34 H25:H34 J25:J34 P25:U34 W25:W34 Y25:Y34 AA25:AA34 AC25:AC34 AE25:AK34">
    <cfRule type="cellIs" dxfId="1" priority="1" operator="equal">
      <formula>"WL"</formula>
    </cfRule>
  </conditionalFormatting>
  <conditionalFormatting sqref="A2 B2:R13 S2:S23 T2:AK2 A4:A13 T4:AK13 A15:B23 C15:C34 D15:D23 E15:E34 F15:F23 G15:G34 H15:H23 I15:I34 J15:J23 K15:O34 P15:R23 T15:U23 V15:V34 W15:W23 X15:X34 Y15:Y23 Z15:Z34 AA15:AA23 AB15:AB34 AC15:AC23 AD15:AD34 AE15:AK23 A25:B34 D25:D34 F25:F34 H25:H34 J25:J34 P25:U34 W25:W34 Y25:Y34 AA25:AA34 AC25:AC34 AE25:AK34">
    <cfRule type="cellIs" dxfId="2" priority="2" operator="equal">
      <formula>"W"</formula>
    </cfRule>
  </conditionalFormatting>
  <conditionalFormatting sqref="A2 B2:R13 S2:S23 T2:AK2 A4:A13 T4:AK13 A15:B23 C15:C34 D15:D23 E15:E34 F15:F23 G15:G34 H15:H23 I15:I34 J15:J23 K15:O34 P15:R23 T15:U23 V15:V34 W15:W23 X15:X34 Y15:Y23 Z15:Z34 AA15:AA23 AB15:AB34 AC15:AC23 AD15:AD34 AE15:AK23 A25:B34 D25:D34 F25:F34 H25:H34 J25:J34 P25:U34 W25:W34 Y25:Y34 AA25:AA34 AC25:AC34 AE25:AK34">
    <cfRule type="cellIs" dxfId="3" priority="3" operator="equal">
      <formula>"L"</formula>
    </cfRule>
  </conditionalFormatting>
  <conditionalFormatting sqref="A2 B2:R13 S2:S23 T2:AK2 A4:A13 T4:AK13 A15:B23 C15:C34 D15:D23 E15:E34 F15:F23 G15:G34 H15:H23 I15:I34 J15:J23 K15:O34 P15:R23 T15:U23 V15:V34 W15:W23 X15:X34 Y15:Y23 Z15:Z34 AA15:AA23 AB15:AB34 AC15:AC23 AD15:AD34 AE15:AK23 A25:B34 D25:D34 F25:F34 H25:H34 J25:J34 P25:U34 W25:W34 Y25:Y34 AA25:AA34 AC25:AC34 AE25:AK34">
    <cfRule type="cellIs" dxfId="4" priority="4" operator="equal">
      <formula>"T"</formula>
    </cfRule>
  </conditionalFormatting>
  <conditionalFormatting sqref="A1:A2 B1:R13 S1:S23 T1:AK2 A4:A13 T4:AK13 A15:B23 C15:C34 D15:D23 E15:E34 F15:F23 G15:G34 H15:H23 I15:I34 J15:J23 K15:O34 P15:R23 T15:U23 V15:V34 W15:W23 X15:X34 Y15:Y23 Z15:Z34 AA15:AA23 AB15:AB34 AC15:AC23 AD15:AD34 AE15:AK23 A25:B34 D25:D34 F25:F34 H25:H34 J25:J34 P25:U34 W25:W34 Y25:Y34 AA25:AA34 AC25:AC34 AE25:AK34">
    <cfRule type="cellIs" dxfId="5" priority="5" operator="equal">
      <formula>"F"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10" width="8.88"/>
    <col customWidth="1" min="11" max="11" width="11.38"/>
    <col customWidth="1" min="12" max="19" width="8.88"/>
    <col customWidth="1" min="20" max="20" width="7.0"/>
    <col customWidth="1" min="21" max="21" width="13.5"/>
    <col customWidth="1" min="22" max="22" width="18.38"/>
  </cols>
  <sheetData>
    <row r="1" ht="48.75" customHeight="1">
      <c r="A1" s="106" t="s">
        <v>112</v>
      </c>
      <c r="S1" s="107"/>
      <c r="T1" s="107"/>
      <c r="U1" s="108" t="s">
        <v>113</v>
      </c>
    </row>
    <row r="2">
      <c r="A2" s="109" t="s">
        <v>114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110"/>
      <c r="U2" s="111" t="s">
        <v>44</v>
      </c>
      <c r="V2" s="109" t="s">
        <v>115</v>
      </c>
    </row>
    <row r="3" ht="19.5" customHeight="1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3"/>
      <c r="Q3" s="113"/>
      <c r="R3" s="113"/>
      <c r="S3" s="113"/>
      <c r="T3" s="113"/>
      <c r="U3" s="114" t="s">
        <v>33</v>
      </c>
      <c r="V3" s="115" t="s">
        <v>116</v>
      </c>
    </row>
    <row r="4" ht="19.5" customHeight="1">
      <c r="A4" s="116" t="s">
        <v>117</v>
      </c>
      <c r="B4" s="3"/>
      <c r="C4" s="3"/>
      <c r="D4" s="3"/>
      <c r="E4" s="3"/>
      <c r="F4" s="3"/>
      <c r="G4" s="3"/>
      <c r="H4" s="3"/>
      <c r="I4" s="5"/>
      <c r="J4" s="113"/>
      <c r="K4" s="116" t="s">
        <v>118</v>
      </c>
      <c r="L4" s="3"/>
      <c r="M4" s="3"/>
      <c r="N4" s="3"/>
      <c r="O4" s="3"/>
      <c r="P4" s="3"/>
      <c r="Q4" s="3"/>
      <c r="R4" s="3"/>
      <c r="S4" s="5"/>
      <c r="T4" s="113"/>
      <c r="U4" s="114" t="s">
        <v>31</v>
      </c>
      <c r="V4" s="115" t="s">
        <v>119</v>
      </c>
    </row>
    <row r="5" ht="19.5" customHeight="1">
      <c r="A5" s="117"/>
      <c r="B5" s="118" t="s">
        <v>33</v>
      </c>
      <c r="C5" s="118" t="s">
        <v>31</v>
      </c>
      <c r="D5" s="118" t="s">
        <v>24</v>
      </c>
      <c r="E5" s="118" t="s">
        <v>28</v>
      </c>
      <c r="F5" s="118" t="s">
        <v>26</v>
      </c>
      <c r="G5" s="118" t="s">
        <v>40</v>
      </c>
      <c r="H5" s="119" t="s">
        <v>27</v>
      </c>
      <c r="I5" s="120" t="s">
        <v>34</v>
      </c>
      <c r="J5" s="113"/>
      <c r="K5" s="117"/>
      <c r="L5" s="118" t="s">
        <v>25</v>
      </c>
      <c r="M5" s="118" t="s">
        <v>29</v>
      </c>
      <c r="N5" s="118" t="s">
        <v>39</v>
      </c>
      <c r="O5" s="118" t="s">
        <v>35</v>
      </c>
      <c r="P5" s="118" t="s">
        <v>30</v>
      </c>
      <c r="Q5" s="118" t="s">
        <v>32</v>
      </c>
      <c r="R5" s="118" t="s">
        <v>37</v>
      </c>
      <c r="S5" s="121" t="s">
        <v>38</v>
      </c>
      <c r="T5" s="113"/>
      <c r="U5" s="114" t="s">
        <v>24</v>
      </c>
      <c r="V5" s="115" t="s">
        <v>120</v>
      </c>
    </row>
    <row r="6" ht="19.5" customHeight="1">
      <c r="A6" s="87" t="s">
        <v>33</v>
      </c>
      <c r="B6" s="122"/>
      <c r="C6" s="123" t="s">
        <v>121</v>
      </c>
      <c r="D6" s="123" t="s">
        <v>122</v>
      </c>
      <c r="E6" s="123" t="s">
        <v>123</v>
      </c>
      <c r="F6" s="123" t="s">
        <v>124</v>
      </c>
      <c r="G6" s="123" t="s">
        <v>125</v>
      </c>
      <c r="H6" s="123" t="s">
        <v>126</v>
      </c>
      <c r="I6" s="124" t="s">
        <v>127</v>
      </c>
      <c r="J6" s="112"/>
      <c r="K6" s="125" t="s">
        <v>25</v>
      </c>
      <c r="L6" s="122"/>
      <c r="M6" s="123" t="s">
        <v>121</v>
      </c>
      <c r="N6" s="123" t="s">
        <v>122</v>
      </c>
      <c r="O6" s="123" t="s">
        <v>123</v>
      </c>
      <c r="P6" s="123" t="s">
        <v>124</v>
      </c>
      <c r="Q6" s="123" t="s">
        <v>125</v>
      </c>
      <c r="R6" s="123" t="s">
        <v>126</v>
      </c>
      <c r="S6" s="124" t="s">
        <v>127</v>
      </c>
      <c r="T6" s="113"/>
      <c r="U6" s="114" t="s">
        <v>28</v>
      </c>
      <c r="V6" s="115" t="s">
        <v>128</v>
      </c>
    </row>
    <row r="7" ht="19.5" customHeight="1">
      <c r="A7" s="87" t="s">
        <v>31</v>
      </c>
      <c r="B7" s="123" t="s">
        <v>121</v>
      </c>
      <c r="C7" s="122"/>
      <c r="D7" s="123" t="s">
        <v>123</v>
      </c>
      <c r="E7" s="123" t="s">
        <v>124</v>
      </c>
      <c r="F7" s="123" t="s">
        <v>125</v>
      </c>
      <c r="G7" s="123" t="s">
        <v>126</v>
      </c>
      <c r="H7" s="123" t="s">
        <v>127</v>
      </c>
      <c r="I7" s="124" t="s">
        <v>122</v>
      </c>
      <c r="J7" s="113"/>
      <c r="K7" s="125" t="s">
        <v>29</v>
      </c>
      <c r="L7" s="123" t="s">
        <v>121</v>
      </c>
      <c r="M7" s="122"/>
      <c r="N7" s="113" t="s">
        <v>123</v>
      </c>
      <c r="O7" s="113" t="s">
        <v>124</v>
      </c>
      <c r="P7" s="123" t="s">
        <v>125</v>
      </c>
      <c r="Q7" s="123" t="s">
        <v>126</v>
      </c>
      <c r="R7" s="123" t="s">
        <v>127</v>
      </c>
      <c r="S7" s="124" t="s">
        <v>122</v>
      </c>
      <c r="T7" s="113"/>
      <c r="U7" s="114" t="s">
        <v>26</v>
      </c>
      <c r="V7" s="115" t="s">
        <v>129</v>
      </c>
    </row>
    <row r="8" ht="19.5" customHeight="1">
      <c r="A8" s="87" t="s">
        <v>24</v>
      </c>
      <c r="B8" s="123" t="s">
        <v>122</v>
      </c>
      <c r="C8" s="123" t="s">
        <v>123</v>
      </c>
      <c r="D8" s="122"/>
      <c r="E8" s="123" t="s">
        <v>125</v>
      </c>
      <c r="F8" s="123" t="s">
        <v>126</v>
      </c>
      <c r="G8" s="123" t="s">
        <v>127</v>
      </c>
      <c r="H8" s="123" t="s">
        <v>121</v>
      </c>
      <c r="I8" s="124" t="s">
        <v>124</v>
      </c>
      <c r="J8" s="113"/>
      <c r="K8" s="125" t="s">
        <v>39</v>
      </c>
      <c r="L8" s="123" t="s">
        <v>122</v>
      </c>
      <c r="M8" s="113" t="s">
        <v>123</v>
      </c>
      <c r="N8" s="122"/>
      <c r="O8" s="113" t="s">
        <v>125</v>
      </c>
      <c r="P8" s="123" t="s">
        <v>126</v>
      </c>
      <c r="Q8" s="123" t="s">
        <v>127</v>
      </c>
      <c r="R8" s="123" t="s">
        <v>121</v>
      </c>
      <c r="S8" s="124" t="s">
        <v>124</v>
      </c>
      <c r="T8" s="113"/>
      <c r="U8" s="114" t="s">
        <v>40</v>
      </c>
      <c r="V8" s="115" t="s">
        <v>130</v>
      </c>
    </row>
    <row r="9" ht="19.5" customHeight="1">
      <c r="A9" s="87" t="s">
        <v>28</v>
      </c>
      <c r="B9" s="123" t="s">
        <v>123</v>
      </c>
      <c r="C9" s="123" t="s">
        <v>124</v>
      </c>
      <c r="D9" s="123" t="s">
        <v>125</v>
      </c>
      <c r="E9" s="122"/>
      <c r="F9" s="123" t="s">
        <v>127</v>
      </c>
      <c r="G9" s="123" t="s">
        <v>121</v>
      </c>
      <c r="H9" s="123" t="s">
        <v>122</v>
      </c>
      <c r="I9" s="124" t="s">
        <v>126</v>
      </c>
      <c r="J9" s="113"/>
      <c r="K9" s="125" t="s">
        <v>35</v>
      </c>
      <c r="L9" s="123" t="s">
        <v>123</v>
      </c>
      <c r="M9" s="113" t="s">
        <v>124</v>
      </c>
      <c r="N9" s="113" t="s">
        <v>125</v>
      </c>
      <c r="O9" s="122"/>
      <c r="P9" s="123" t="s">
        <v>127</v>
      </c>
      <c r="Q9" s="123" t="s">
        <v>121</v>
      </c>
      <c r="R9" s="123" t="s">
        <v>122</v>
      </c>
      <c r="S9" s="124" t="s">
        <v>126</v>
      </c>
      <c r="T9" s="113"/>
      <c r="U9" s="126" t="s">
        <v>27</v>
      </c>
      <c r="V9" s="127" t="s">
        <v>131</v>
      </c>
    </row>
    <row r="10" ht="19.5" customHeight="1">
      <c r="A10" s="87" t="s">
        <v>26</v>
      </c>
      <c r="B10" s="123" t="s">
        <v>124</v>
      </c>
      <c r="C10" s="123" t="s">
        <v>125</v>
      </c>
      <c r="D10" s="123" t="s">
        <v>126</v>
      </c>
      <c r="E10" s="123" t="s">
        <v>127</v>
      </c>
      <c r="F10" s="122"/>
      <c r="G10" s="123" t="s">
        <v>122</v>
      </c>
      <c r="H10" s="123" t="s">
        <v>123</v>
      </c>
      <c r="I10" s="124" t="s">
        <v>121</v>
      </c>
      <c r="J10" s="113"/>
      <c r="K10" s="125" t="s">
        <v>30</v>
      </c>
      <c r="L10" s="123" t="s">
        <v>124</v>
      </c>
      <c r="M10" s="123" t="s">
        <v>125</v>
      </c>
      <c r="N10" s="123" t="s">
        <v>126</v>
      </c>
      <c r="O10" s="123" t="s">
        <v>127</v>
      </c>
      <c r="P10" s="122"/>
      <c r="Q10" s="123" t="s">
        <v>122</v>
      </c>
      <c r="R10" s="123" t="s">
        <v>123</v>
      </c>
      <c r="S10" s="124" t="s">
        <v>121</v>
      </c>
      <c r="T10" s="113"/>
      <c r="U10" s="114" t="s">
        <v>34</v>
      </c>
      <c r="V10" s="115" t="s">
        <v>132</v>
      </c>
    </row>
    <row r="11" ht="19.5" customHeight="1">
      <c r="A11" s="87" t="s">
        <v>40</v>
      </c>
      <c r="B11" s="123" t="s">
        <v>125</v>
      </c>
      <c r="C11" s="123" t="s">
        <v>126</v>
      </c>
      <c r="D11" s="123" t="s">
        <v>127</v>
      </c>
      <c r="E11" s="123" t="s">
        <v>121</v>
      </c>
      <c r="F11" s="123" t="s">
        <v>122</v>
      </c>
      <c r="G11" s="122"/>
      <c r="H11" s="123" t="s">
        <v>124</v>
      </c>
      <c r="I11" s="124" t="s">
        <v>123</v>
      </c>
      <c r="J11" s="113"/>
      <c r="K11" s="125" t="s">
        <v>32</v>
      </c>
      <c r="L11" s="123" t="s">
        <v>125</v>
      </c>
      <c r="M11" s="123" t="s">
        <v>126</v>
      </c>
      <c r="N11" s="123" t="s">
        <v>127</v>
      </c>
      <c r="O11" s="123" t="s">
        <v>121</v>
      </c>
      <c r="P11" s="123" t="s">
        <v>122</v>
      </c>
      <c r="Q11" s="122"/>
      <c r="R11" s="123" t="s">
        <v>124</v>
      </c>
      <c r="S11" s="124" t="s">
        <v>123</v>
      </c>
      <c r="T11" s="113"/>
      <c r="U11" s="128" t="s">
        <v>25</v>
      </c>
      <c r="V11" s="129" t="s">
        <v>133</v>
      </c>
    </row>
    <row r="12" ht="19.5" customHeight="1">
      <c r="A12" s="90" t="s">
        <v>27</v>
      </c>
      <c r="B12" s="123" t="s">
        <v>126</v>
      </c>
      <c r="C12" s="123" t="s">
        <v>127</v>
      </c>
      <c r="D12" s="123" t="s">
        <v>121</v>
      </c>
      <c r="E12" s="123" t="s">
        <v>122</v>
      </c>
      <c r="F12" s="123" t="s">
        <v>123</v>
      </c>
      <c r="G12" s="123" t="s">
        <v>124</v>
      </c>
      <c r="H12" s="122"/>
      <c r="I12" s="124" t="s">
        <v>125</v>
      </c>
      <c r="J12" s="112"/>
      <c r="K12" s="125" t="s">
        <v>37</v>
      </c>
      <c r="L12" s="123" t="s">
        <v>126</v>
      </c>
      <c r="M12" s="123" t="s">
        <v>127</v>
      </c>
      <c r="N12" s="123" t="s">
        <v>121</v>
      </c>
      <c r="O12" s="123" t="s">
        <v>122</v>
      </c>
      <c r="P12" s="123" t="s">
        <v>123</v>
      </c>
      <c r="Q12" s="123" t="s">
        <v>124</v>
      </c>
      <c r="R12" s="122"/>
      <c r="S12" s="124" t="s">
        <v>125</v>
      </c>
      <c r="T12" s="113"/>
      <c r="U12" s="128" t="s">
        <v>29</v>
      </c>
      <c r="V12" s="129" t="s">
        <v>134</v>
      </c>
    </row>
    <row r="13" ht="19.5" customHeight="1">
      <c r="A13" s="130" t="s">
        <v>34</v>
      </c>
      <c r="B13" s="131" t="s">
        <v>127</v>
      </c>
      <c r="C13" s="131" t="s">
        <v>122</v>
      </c>
      <c r="D13" s="131" t="s">
        <v>124</v>
      </c>
      <c r="E13" s="131" t="s">
        <v>126</v>
      </c>
      <c r="F13" s="131" t="s">
        <v>121</v>
      </c>
      <c r="G13" s="131" t="s">
        <v>123</v>
      </c>
      <c r="H13" s="131" t="s">
        <v>125</v>
      </c>
      <c r="I13" s="132"/>
      <c r="J13" s="113"/>
      <c r="K13" s="130" t="s">
        <v>38</v>
      </c>
      <c r="L13" s="131" t="s">
        <v>127</v>
      </c>
      <c r="M13" s="131" t="s">
        <v>122</v>
      </c>
      <c r="N13" s="131" t="s">
        <v>124</v>
      </c>
      <c r="O13" s="131" t="s">
        <v>126</v>
      </c>
      <c r="P13" s="131" t="s">
        <v>121</v>
      </c>
      <c r="Q13" s="131" t="s">
        <v>123</v>
      </c>
      <c r="R13" s="131" t="s">
        <v>125</v>
      </c>
      <c r="S13" s="132"/>
      <c r="T13" s="113"/>
      <c r="U13" s="128" t="s">
        <v>39</v>
      </c>
      <c r="V13" s="129" t="s">
        <v>135</v>
      </c>
    </row>
    <row r="14" ht="19.5" customHeight="1">
      <c r="A14" s="112"/>
      <c r="B14" s="113"/>
      <c r="C14" s="113"/>
      <c r="D14" s="113"/>
      <c r="E14" s="113"/>
      <c r="F14" s="113"/>
      <c r="G14" s="113"/>
      <c r="H14" s="112"/>
      <c r="I14" s="112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28" t="s">
        <v>35</v>
      </c>
      <c r="V14" s="129" t="s">
        <v>136</v>
      </c>
    </row>
    <row r="15" ht="19.5" customHeight="1">
      <c r="A15" s="113"/>
      <c r="B15" s="113"/>
      <c r="C15" s="113"/>
      <c r="D15" s="113"/>
      <c r="E15" s="113"/>
      <c r="F15" s="113"/>
      <c r="G15" s="113"/>
      <c r="H15" s="113"/>
      <c r="I15" s="113"/>
      <c r="J15" s="112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28" t="s">
        <v>30</v>
      </c>
      <c r="V15" s="129" t="s">
        <v>137</v>
      </c>
    </row>
    <row r="16" ht="19.5" customHeight="1">
      <c r="A16" s="112"/>
      <c r="B16" s="113"/>
      <c r="C16" s="113"/>
      <c r="D16" s="113"/>
      <c r="E16" s="113"/>
      <c r="F16" s="113"/>
      <c r="G16" s="113"/>
      <c r="H16" s="113"/>
      <c r="I16" s="113"/>
      <c r="J16" s="112"/>
      <c r="K16" s="112"/>
      <c r="M16" s="113"/>
      <c r="N16" s="113"/>
      <c r="P16" s="113"/>
      <c r="Q16" s="113"/>
      <c r="R16" s="113"/>
      <c r="S16" s="113"/>
      <c r="T16" s="113"/>
      <c r="U16" s="128" t="s">
        <v>32</v>
      </c>
      <c r="V16" s="129" t="s">
        <v>138</v>
      </c>
    </row>
    <row r="17" ht="19.5" customHeight="1">
      <c r="A17" s="113"/>
      <c r="B17" s="112"/>
      <c r="C17" s="113"/>
      <c r="D17" s="113"/>
      <c r="E17" s="113"/>
      <c r="F17" s="113"/>
      <c r="G17" s="113"/>
      <c r="H17" s="113"/>
      <c r="I17" s="113"/>
      <c r="J17" s="112"/>
      <c r="K17" s="113"/>
      <c r="L17" s="112"/>
      <c r="M17" s="113"/>
      <c r="N17" s="113"/>
      <c r="O17" s="113"/>
      <c r="P17" s="113"/>
      <c r="Q17" s="113"/>
      <c r="R17" s="113"/>
      <c r="S17" s="113"/>
      <c r="T17" s="113"/>
      <c r="U17" s="128" t="s">
        <v>37</v>
      </c>
      <c r="V17" s="129" t="s">
        <v>139</v>
      </c>
    </row>
    <row r="18" ht="19.5" customHeight="1">
      <c r="A18" s="113"/>
      <c r="B18" s="113"/>
      <c r="C18" s="112"/>
      <c r="D18" s="112"/>
      <c r="E18" s="112"/>
      <c r="F18" s="113"/>
      <c r="G18" s="113"/>
      <c r="H18" s="113"/>
      <c r="I18" s="113"/>
      <c r="J18" s="112"/>
      <c r="K18" s="113"/>
      <c r="L18" s="113"/>
      <c r="M18" s="112"/>
      <c r="N18" s="112"/>
      <c r="O18" s="112"/>
      <c r="P18" s="113"/>
      <c r="Q18" s="113"/>
      <c r="R18" s="113"/>
      <c r="S18" s="113"/>
      <c r="T18" s="113"/>
      <c r="U18" s="128" t="s">
        <v>38</v>
      </c>
      <c r="V18" s="129" t="s">
        <v>140</v>
      </c>
    </row>
    <row r="19" ht="19.5" customHeight="1">
      <c r="A19" s="113"/>
      <c r="B19" s="113"/>
      <c r="C19" s="112"/>
      <c r="D19" s="112"/>
      <c r="E19" s="112"/>
      <c r="F19" s="113"/>
      <c r="G19" s="113"/>
      <c r="H19" s="113"/>
      <c r="I19" s="113"/>
      <c r="J19" s="112"/>
      <c r="K19" s="113"/>
      <c r="L19" s="113"/>
      <c r="M19" s="112"/>
      <c r="N19" s="112"/>
      <c r="O19" s="112"/>
      <c r="P19" s="113"/>
      <c r="Q19" s="113"/>
      <c r="R19" s="113"/>
      <c r="S19" s="113"/>
      <c r="T19" s="113"/>
      <c r="U19" s="133"/>
      <c r="V19" s="134"/>
    </row>
    <row r="20" ht="19.5" customHeight="1">
      <c r="A20" s="113"/>
      <c r="B20" s="113"/>
      <c r="C20" s="112"/>
      <c r="D20" s="112"/>
      <c r="E20" s="112"/>
      <c r="F20" s="113"/>
      <c r="G20" s="113"/>
      <c r="H20" s="113"/>
      <c r="I20" s="113"/>
      <c r="J20" s="112"/>
      <c r="K20" s="113"/>
      <c r="L20" s="113"/>
      <c r="M20" s="112"/>
      <c r="N20" s="112"/>
      <c r="O20" s="112"/>
      <c r="P20" s="113"/>
      <c r="Q20" s="113"/>
      <c r="R20" s="113"/>
      <c r="S20" s="113"/>
      <c r="T20" s="113"/>
      <c r="U20" s="135"/>
      <c r="V20" s="136"/>
    </row>
  </sheetData>
  <mergeCells count="5">
    <mergeCell ref="A1:R1"/>
    <mergeCell ref="U1:V1"/>
    <mergeCell ref="A2:S2"/>
    <mergeCell ref="A4:I4"/>
    <mergeCell ref="K4:S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10" width="8.88"/>
    <col customWidth="1" min="11" max="11" width="11.38"/>
    <col customWidth="1" min="12" max="19" width="8.88"/>
    <col customWidth="1" min="20" max="20" width="7.0"/>
    <col customWidth="1" min="21" max="21" width="13.5"/>
    <col customWidth="1" min="22" max="22" width="18.38"/>
  </cols>
  <sheetData>
    <row r="1" ht="48.75" customHeight="1">
      <c r="A1" s="1" t="s">
        <v>141</v>
      </c>
      <c r="S1" s="1"/>
      <c r="T1" s="1"/>
      <c r="U1" s="108" t="s">
        <v>113</v>
      </c>
    </row>
    <row r="2">
      <c r="A2" s="137" t="s">
        <v>142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137"/>
      <c r="U2" s="111" t="s">
        <v>44</v>
      </c>
      <c r="V2" s="109" t="s">
        <v>115</v>
      </c>
    </row>
    <row r="3" ht="19.5" customHeight="1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9"/>
      <c r="Q3" s="139"/>
      <c r="R3" s="139"/>
      <c r="S3" s="139"/>
      <c r="T3" s="139"/>
      <c r="U3" s="126" t="s">
        <v>48</v>
      </c>
      <c r="V3" s="127" t="s">
        <v>143</v>
      </c>
    </row>
    <row r="4" ht="19.5" customHeight="1">
      <c r="A4" s="77" t="s">
        <v>144</v>
      </c>
      <c r="B4" s="3"/>
      <c r="C4" s="3"/>
      <c r="D4" s="3"/>
      <c r="E4" s="3"/>
      <c r="F4" s="3"/>
      <c r="G4" s="3"/>
      <c r="H4" s="3"/>
      <c r="I4" s="5"/>
      <c r="J4" s="113"/>
      <c r="K4" s="77" t="s">
        <v>145</v>
      </c>
      <c r="L4" s="3"/>
      <c r="M4" s="3"/>
      <c r="N4" s="3"/>
      <c r="O4" s="3"/>
      <c r="P4" s="3"/>
      <c r="Q4" s="3"/>
      <c r="R4" s="3"/>
      <c r="S4" s="5"/>
      <c r="T4" s="55"/>
      <c r="U4" s="126" t="s">
        <v>18</v>
      </c>
      <c r="V4" s="127" t="s">
        <v>146</v>
      </c>
    </row>
    <row r="5" ht="19.5" customHeight="1">
      <c r="A5" s="117"/>
      <c r="B5" s="119" t="s">
        <v>48</v>
      </c>
      <c r="C5" s="119" t="s">
        <v>18</v>
      </c>
      <c r="D5" s="119" t="s">
        <v>14</v>
      </c>
      <c r="E5" s="119" t="s">
        <v>84</v>
      </c>
      <c r="F5" s="119" t="s">
        <v>52</v>
      </c>
      <c r="G5" s="119" t="s">
        <v>86</v>
      </c>
      <c r="H5" s="119" t="s">
        <v>88</v>
      </c>
      <c r="I5" s="121" t="s">
        <v>90</v>
      </c>
      <c r="J5" s="113"/>
      <c r="K5" s="117"/>
      <c r="L5" s="119" t="s">
        <v>56</v>
      </c>
      <c r="M5" s="119" t="s">
        <v>60</v>
      </c>
      <c r="N5" s="119" t="s">
        <v>17</v>
      </c>
      <c r="O5" s="119" t="s">
        <v>49</v>
      </c>
      <c r="P5" s="119" t="s">
        <v>85</v>
      </c>
      <c r="Q5" s="119" t="s">
        <v>87</v>
      </c>
      <c r="R5" s="119" t="s">
        <v>89</v>
      </c>
      <c r="S5" s="121" t="s">
        <v>91</v>
      </c>
      <c r="T5" s="55"/>
      <c r="U5" s="126" t="s">
        <v>14</v>
      </c>
      <c r="V5" s="127" t="s">
        <v>147</v>
      </c>
    </row>
    <row r="6" ht="19.5" customHeight="1">
      <c r="A6" s="90" t="s">
        <v>48</v>
      </c>
      <c r="B6" s="122"/>
      <c r="C6" s="123" t="s">
        <v>121</v>
      </c>
      <c r="D6" s="123" t="s">
        <v>122</v>
      </c>
      <c r="E6" s="123" t="s">
        <v>123</v>
      </c>
      <c r="F6" s="123" t="s">
        <v>124</v>
      </c>
      <c r="G6" s="123" t="s">
        <v>125</v>
      </c>
      <c r="H6" s="123" t="s">
        <v>126</v>
      </c>
      <c r="I6" s="124" t="s">
        <v>127</v>
      </c>
      <c r="J6" s="112"/>
      <c r="K6" s="105" t="s">
        <v>56</v>
      </c>
      <c r="L6" s="122"/>
      <c r="M6" s="123" t="s">
        <v>121</v>
      </c>
      <c r="N6" s="123" t="s">
        <v>122</v>
      </c>
      <c r="O6" s="123" t="s">
        <v>123</v>
      </c>
      <c r="P6" s="123" t="s">
        <v>124</v>
      </c>
      <c r="Q6" s="123" t="s">
        <v>125</v>
      </c>
      <c r="R6" s="123" t="s">
        <v>126</v>
      </c>
      <c r="S6" s="124" t="s">
        <v>127</v>
      </c>
      <c r="T6" s="55"/>
      <c r="U6" s="126" t="s">
        <v>84</v>
      </c>
      <c r="V6" s="127" t="s">
        <v>148</v>
      </c>
    </row>
    <row r="7" ht="19.5" customHeight="1">
      <c r="A7" s="90" t="s">
        <v>18</v>
      </c>
      <c r="B7" s="123" t="s">
        <v>121</v>
      </c>
      <c r="C7" s="122"/>
      <c r="D7" s="140" t="s">
        <v>123</v>
      </c>
      <c r="E7" s="140" t="s">
        <v>124</v>
      </c>
      <c r="F7" s="123" t="s">
        <v>125</v>
      </c>
      <c r="G7" s="123" t="s">
        <v>126</v>
      </c>
      <c r="H7" s="123" t="s">
        <v>127</v>
      </c>
      <c r="I7" s="124" t="s">
        <v>122</v>
      </c>
      <c r="J7" s="113"/>
      <c r="K7" s="105" t="s">
        <v>60</v>
      </c>
      <c r="L7" s="123" t="s">
        <v>121</v>
      </c>
      <c r="M7" s="122"/>
      <c r="N7" s="140" t="s">
        <v>123</v>
      </c>
      <c r="O7" s="140" t="s">
        <v>124</v>
      </c>
      <c r="P7" s="123" t="s">
        <v>125</v>
      </c>
      <c r="Q7" s="123" t="s">
        <v>126</v>
      </c>
      <c r="R7" s="123" t="s">
        <v>127</v>
      </c>
      <c r="S7" s="124" t="s">
        <v>122</v>
      </c>
      <c r="T7" s="55"/>
      <c r="U7" s="126" t="s">
        <v>52</v>
      </c>
      <c r="V7" s="127" t="s">
        <v>149</v>
      </c>
    </row>
    <row r="8" ht="19.5" customHeight="1">
      <c r="A8" s="90" t="s">
        <v>14</v>
      </c>
      <c r="B8" s="123" t="s">
        <v>122</v>
      </c>
      <c r="C8" s="140" t="s">
        <v>123</v>
      </c>
      <c r="D8" s="122"/>
      <c r="E8" s="140" t="s">
        <v>125</v>
      </c>
      <c r="F8" s="123" t="s">
        <v>126</v>
      </c>
      <c r="G8" s="123" t="s">
        <v>127</v>
      </c>
      <c r="H8" s="123" t="s">
        <v>121</v>
      </c>
      <c r="I8" s="124" t="s">
        <v>124</v>
      </c>
      <c r="J8" s="113"/>
      <c r="K8" s="105" t="s">
        <v>17</v>
      </c>
      <c r="L8" s="123" t="s">
        <v>122</v>
      </c>
      <c r="M8" s="140" t="s">
        <v>123</v>
      </c>
      <c r="N8" s="122"/>
      <c r="O8" s="140" t="s">
        <v>125</v>
      </c>
      <c r="P8" s="123" t="s">
        <v>126</v>
      </c>
      <c r="Q8" s="123" t="s">
        <v>127</v>
      </c>
      <c r="R8" s="123" t="s">
        <v>121</v>
      </c>
      <c r="S8" s="124" t="s">
        <v>124</v>
      </c>
      <c r="T8" s="55"/>
      <c r="U8" s="126" t="s">
        <v>86</v>
      </c>
      <c r="V8" s="127" t="s">
        <v>150</v>
      </c>
    </row>
    <row r="9" ht="19.5" customHeight="1">
      <c r="A9" s="90" t="s">
        <v>84</v>
      </c>
      <c r="B9" s="123" t="s">
        <v>123</v>
      </c>
      <c r="C9" s="140" t="s">
        <v>124</v>
      </c>
      <c r="D9" s="140" t="s">
        <v>125</v>
      </c>
      <c r="E9" s="122"/>
      <c r="F9" s="123" t="s">
        <v>127</v>
      </c>
      <c r="G9" s="123" t="s">
        <v>121</v>
      </c>
      <c r="H9" s="123" t="s">
        <v>122</v>
      </c>
      <c r="I9" s="124" t="s">
        <v>126</v>
      </c>
      <c r="J9" s="113"/>
      <c r="K9" s="105" t="s">
        <v>49</v>
      </c>
      <c r="L9" s="123" t="s">
        <v>123</v>
      </c>
      <c r="M9" s="140" t="s">
        <v>124</v>
      </c>
      <c r="N9" s="140" t="s">
        <v>125</v>
      </c>
      <c r="O9" s="122"/>
      <c r="P9" s="123" t="s">
        <v>127</v>
      </c>
      <c r="Q9" s="123" t="s">
        <v>121</v>
      </c>
      <c r="R9" s="123" t="s">
        <v>122</v>
      </c>
      <c r="S9" s="124" t="s">
        <v>126</v>
      </c>
      <c r="T9" s="55"/>
      <c r="U9" s="126" t="s">
        <v>88</v>
      </c>
      <c r="V9" s="127" t="s">
        <v>151</v>
      </c>
    </row>
    <row r="10" ht="19.5" customHeight="1">
      <c r="A10" s="90" t="s">
        <v>52</v>
      </c>
      <c r="B10" s="123" t="s">
        <v>124</v>
      </c>
      <c r="C10" s="123" t="s">
        <v>125</v>
      </c>
      <c r="D10" s="123" t="s">
        <v>126</v>
      </c>
      <c r="E10" s="123" t="s">
        <v>127</v>
      </c>
      <c r="F10" s="122"/>
      <c r="G10" s="123" t="s">
        <v>122</v>
      </c>
      <c r="H10" s="123" t="s">
        <v>123</v>
      </c>
      <c r="I10" s="124" t="s">
        <v>121</v>
      </c>
      <c r="J10" s="113"/>
      <c r="K10" s="105" t="s">
        <v>85</v>
      </c>
      <c r="L10" s="123" t="s">
        <v>124</v>
      </c>
      <c r="M10" s="123" t="s">
        <v>125</v>
      </c>
      <c r="N10" s="123" t="s">
        <v>126</v>
      </c>
      <c r="O10" s="123" t="s">
        <v>127</v>
      </c>
      <c r="P10" s="122"/>
      <c r="Q10" s="123" t="s">
        <v>122</v>
      </c>
      <c r="R10" s="123" t="s">
        <v>123</v>
      </c>
      <c r="S10" s="124" t="s">
        <v>121</v>
      </c>
      <c r="T10" s="55"/>
      <c r="U10" s="126" t="s">
        <v>90</v>
      </c>
      <c r="V10" s="127" t="s">
        <v>152</v>
      </c>
    </row>
    <row r="11" ht="19.5" customHeight="1">
      <c r="A11" s="90" t="s">
        <v>86</v>
      </c>
      <c r="B11" s="123" t="s">
        <v>125</v>
      </c>
      <c r="C11" s="123" t="s">
        <v>126</v>
      </c>
      <c r="D11" s="123" t="s">
        <v>127</v>
      </c>
      <c r="E11" s="123" t="s">
        <v>121</v>
      </c>
      <c r="F11" s="123" t="s">
        <v>122</v>
      </c>
      <c r="G11" s="122"/>
      <c r="H11" s="123" t="s">
        <v>124</v>
      </c>
      <c r="I11" s="124" t="s">
        <v>123</v>
      </c>
      <c r="J11" s="113"/>
      <c r="K11" s="105" t="s">
        <v>87</v>
      </c>
      <c r="L11" s="123" t="s">
        <v>125</v>
      </c>
      <c r="M11" s="123" t="s">
        <v>126</v>
      </c>
      <c r="N11" s="123" t="s">
        <v>127</v>
      </c>
      <c r="O11" s="123" t="s">
        <v>121</v>
      </c>
      <c r="P11" s="123" t="s">
        <v>122</v>
      </c>
      <c r="Q11" s="122"/>
      <c r="R11" s="123" t="s">
        <v>124</v>
      </c>
      <c r="S11" s="124" t="s">
        <v>123</v>
      </c>
      <c r="T11" s="55"/>
      <c r="U11" s="141" t="s">
        <v>56</v>
      </c>
      <c r="V11" s="142" t="s">
        <v>153</v>
      </c>
    </row>
    <row r="12" ht="19.5" customHeight="1">
      <c r="A12" s="90" t="s">
        <v>88</v>
      </c>
      <c r="B12" s="123" t="s">
        <v>126</v>
      </c>
      <c r="C12" s="123" t="s">
        <v>127</v>
      </c>
      <c r="D12" s="123" t="s">
        <v>121</v>
      </c>
      <c r="E12" s="123" t="s">
        <v>122</v>
      </c>
      <c r="F12" s="123" t="s">
        <v>123</v>
      </c>
      <c r="G12" s="123" t="s">
        <v>124</v>
      </c>
      <c r="H12" s="122"/>
      <c r="I12" s="124" t="s">
        <v>125</v>
      </c>
      <c r="J12" s="112"/>
      <c r="K12" s="105" t="s">
        <v>89</v>
      </c>
      <c r="L12" s="123" t="s">
        <v>126</v>
      </c>
      <c r="M12" s="123" t="s">
        <v>127</v>
      </c>
      <c r="N12" s="123" t="s">
        <v>121</v>
      </c>
      <c r="O12" s="123" t="s">
        <v>122</v>
      </c>
      <c r="P12" s="123" t="s">
        <v>123</v>
      </c>
      <c r="Q12" s="123" t="s">
        <v>124</v>
      </c>
      <c r="R12" s="122"/>
      <c r="S12" s="124" t="s">
        <v>125</v>
      </c>
      <c r="T12" s="55"/>
      <c r="U12" s="141" t="s">
        <v>60</v>
      </c>
      <c r="V12" s="142" t="s">
        <v>154</v>
      </c>
    </row>
    <row r="13" ht="19.5" customHeight="1">
      <c r="A13" s="143" t="s">
        <v>90</v>
      </c>
      <c r="B13" s="131" t="s">
        <v>127</v>
      </c>
      <c r="C13" s="131" t="s">
        <v>122</v>
      </c>
      <c r="D13" s="131" t="s">
        <v>124</v>
      </c>
      <c r="E13" s="131" t="s">
        <v>126</v>
      </c>
      <c r="F13" s="131" t="s">
        <v>121</v>
      </c>
      <c r="G13" s="131" t="s">
        <v>123</v>
      </c>
      <c r="H13" s="131" t="s">
        <v>125</v>
      </c>
      <c r="I13" s="132"/>
      <c r="J13" s="113"/>
      <c r="K13" s="143" t="s">
        <v>91</v>
      </c>
      <c r="L13" s="131" t="s">
        <v>127</v>
      </c>
      <c r="M13" s="131" t="s">
        <v>122</v>
      </c>
      <c r="N13" s="131" t="s">
        <v>124</v>
      </c>
      <c r="O13" s="131" t="s">
        <v>126</v>
      </c>
      <c r="P13" s="131" t="s">
        <v>121</v>
      </c>
      <c r="Q13" s="131" t="s">
        <v>123</v>
      </c>
      <c r="R13" s="131" t="s">
        <v>125</v>
      </c>
      <c r="S13" s="132"/>
      <c r="T13" s="55"/>
      <c r="U13" s="141" t="s">
        <v>17</v>
      </c>
      <c r="V13" s="142" t="s">
        <v>155</v>
      </c>
    </row>
    <row r="14" ht="19.5" customHeight="1">
      <c r="A14" s="112"/>
      <c r="B14" s="113"/>
      <c r="C14" s="113"/>
      <c r="D14" s="113"/>
      <c r="E14" s="113"/>
      <c r="F14" s="113"/>
      <c r="G14" s="113"/>
      <c r="H14" s="112"/>
      <c r="I14" s="112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55"/>
      <c r="U14" s="141" t="s">
        <v>49</v>
      </c>
      <c r="V14" s="142" t="s">
        <v>156</v>
      </c>
    </row>
    <row r="15" ht="19.5" customHeight="1">
      <c r="A15" s="77" t="s">
        <v>157</v>
      </c>
      <c r="B15" s="3"/>
      <c r="C15" s="3"/>
      <c r="D15" s="3"/>
      <c r="E15" s="3"/>
      <c r="F15" s="3"/>
      <c r="G15" s="3"/>
      <c r="H15" s="3"/>
      <c r="I15" s="5"/>
      <c r="J15" s="112"/>
      <c r="K15" s="77" t="s">
        <v>158</v>
      </c>
      <c r="L15" s="3"/>
      <c r="M15" s="3"/>
      <c r="N15" s="3"/>
      <c r="O15" s="3"/>
      <c r="P15" s="3"/>
      <c r="Q15" s="3"/>
      <c r="R15" s="3"/>
      <c r="S15" s="5"/>
      <c r="T15" s="55"/>
      <c r="U15" s="141" t="s">
        <v>85</v>
      </c>
      <c r="V15" s="142" t="s">
        <v>159</v>
      </c>
    </row>
    <row r="16" ht="19.5" customHeight="1">
      <c r="A16" s="117"/>
      <c r="B16" s="119" t="s">
        <v>45</v>
      </c>
      <c r="C16" s="119" t="s">
        <v>94</v>
      </c>
      <c r="D16" s="119" t="s">
        <v>57</v>
      </c>
      <c r="E16" s="119" t="s">
        <v>53</v>
      </c>
      <c r="F16" s="119" t="s">
        <v>97</v>
      </c>
      <c r="G16" s="119" t="s">
        <v>98</v>
      </c>
      <c r="H16" s="119" t="s">
        <v>100</v>
      </c>
      <c r="I16" s="121" t="s">
        <v>61</v>
      </c>
      <c r="J16" s="113"/>
      <c r="K16" s="117"/>
      <c r="L16" s="119" t="s">
        <v>51</v>
      </c>
      <c r="M16" s="119" t="s">
        <v>95</v>
      </c>
      <c r="N16" s="119" t="s">
        <v>96</v>
      </c>
      <c r="O16" s="119" t="s">
        <v>64</v>
      </c>
      <c r="P16" s="119" t="s">
        <v>46</v>
      </c>
      <c r="Q16" s="119" t="s">
        <v>99</v>
      </c>
      <c r="R16" s="119" t="s">
        <v>62</v>
      </c>
      <c r="S16" s="121" t="s">
        <v>101</v>
      </c>
      <c r="T16" s="55"/>
      <c r="U16" s="141" t="s">
        <v>87</v>
      </c>
      <c r="V16" s="142" t="s">
        <v>160</v>
      </c>
    </row>
    <row r="17" ht="19.5" customHeight="1">
      <c r="A17" s="90" t="s">
        <v>45</v>
      </c>
      <c r="B17" s="122"/>
      <c r="C17" s="123" t="s">
        <v>121</v>
      </c>
      <c r="D17" s="123" t="s">
        <v>122</v>
      </c>
      <c r="E17" s="123" t="s">
        <v>123</v>
      </c>
      <c r="F17" s="123" t="s">
        <v>124</v>
      </c>
      <c r="G17" s="123" t="s">
        <v>125</v>
      </c>
      <c r="H17" s="123" t="s">
        <v>126</v>
      </c>
      <c r="I17" s="124" t="s">
        <v>127</v>
      </c>
      <c r="J17" s="113"/>
      <c r="K17" s="105" t="s">
        <v>51</v>
      </c>
      <c r="L17" s="122"/>
      <c r="M17" s="123" t="s">
        <v>121</v>
      </c>
      <c r="N17" s="123" t="s">
        <v>122</v>
      </c>
      <c r="O17" s="123" t="s">
        <v>123</v>
      </c>
      <c r="P17" s="123" t="s">
        <v>124</v>
      </c>
      <c r="Q17" s="123" t="s">
        <v>125</v>
      </c>
      <c r="R17" s="123" t="s">
        <v>126</v>
      </c>
      <c r="S17" s="124" t="s">
        <v>127</v>
      </c>
      <c r="T17" s="55"/>
      <c r="U17" s="141" t="s">
        <v>89</v>
      </c>
      <c r="V17" s="142" t="s">
        <v>161</v>
      </c>
    </row>
    <row r="18" ht="19.5" customHeight="1">
      <c r="A18" s="90" t="s">
        <v>94</v>
      </c>
      <c r="B18" s="123" t="s">
        <v>121</v>
      </c>
      <c r="C18" s="122"/>
      <c r="D18" s="140" t="s">
        <v>123</v>
      </c>
      <c r="E18" s="140" t="s">
        <v>124</v>
      </c>
      <c r="F18" s="123" t="s">
        <v>125</v>
      </c>
      <c r="G18" s="123" t="s">
        <v>126</v>
      </c>
      <c r="H18" s="123" t="s">
        <v>127</v>
      </c>
      <c r="I18" s="124" t="s">
        <v>122</v>
      </c>
      <c r="J18" s="113"/>
      <c r="K18" s="105" t="s">
        <v>95</v>
      </c>
      <c r="L18" s="123" t="s">
        <v>121</v>
      </c>
      <c r="M18" s="122"/>
      <c r="N18" s="140" t="s">
        <v>123</v>
      </c>
      <c r="O18" s="140" t="s">
        <v>124</v>
      </c>
      <c r="P18" s="123" t="s">
        <v>125</v>
      </c>
      <c r="Q18" s="123" t="s">
        <v>126</v>
      </c>
      <c r="R18" s="123" t="s">
        <v>127</v>
      </c>
      <c r="S18" s="124" t="s">
        <v>122</v>
      </c>
      <c r="T18" s="55"/>
      <c r="U18" s="141" t="s">
        <v>91</v>
      </c>
      <c r="V18" s="142" t="s">
        <v>162</v>
      </c>
    </row>
    <row r="19" ht="19.5" customHeight="1">
      <c r="A19" s="90" t="s">
        <v>57</v>
      </c>
      <c r="B19" s="123" t="s">
        <v>122</v>
      </c>
      <c r="C19" s="140" t="s">
        <v>123</v>
      </c>
      <c r="D19" s="122"/>
      <c r="E19" s="140" t="s">
        <v>125</v>
      </c>
      <c r="F19" s="123" t="s">
        <v>126</v>
      </c>
      <c r="G19" s="123" t="s">
        <v>127</v>
      </c>
      <c r="H19" s="123" t="s">
        <v>121</v>
      </c>
      <c r="I19" s="124" t="s">
        <v>124</v>
      </c>
      <c r="J19" s="113"/>
      <c r="K19" s="105" t="s">
        <v>96</v>
      </c>
      <c r="L19" s="123" t="s">
        <v>122</v>
      </c>
      <c r="M19" s="140" t="s">
        <v>123</v>
      </c>
      <c r="N19" s="122"/>
      <c r="O19" s="140" t="s">
        <v>125</v>
      </c>
      <c r="P19" s="123" t="s">
        <v>126</v>
      </c>
      <c r="Q19" s="123" t="s">
        <v>127</v>
      </c>
      <c r="R19" s="123" t="s">
        <v>121</v>
      </c>
      <c r="S19" s="124" t="s">
        <v>124</v>
      </c>
      <c r="T19" s="55"/>
      <c r="U19" s="126" t="s">
        <v>45</v>
      </c>
      <c r="V19" s="127" t="s">
        <v>163</v>
      </c>
    </row>
    <row r="20" ht="19.5" customHeight="1">
      <c r="A20" s="90" t="s">
        <v>53</v>
      </c>
      <c r="B20" s="123" t="s">
        <v>123</v>
      </c>
      <c r="C20" s="140" t="s">
        <v>124</v>
      </c>
      <c r="D20" s="140" t="s">
        <v>125</v>
      </c>
      <c r="E20" s="122"/>
      <c r="F20" s="123" t="s">
        <v>127</v>
      </c>
      <c r="G20" s="123" t="s">
        <v>121</v>
      </c>
      <c r="H20" s="123" t="s">
        <v>122</v>
      </c>
      <c r="I20" s="124" t="s">
        <v>126</v>
      </c>
      <c r="J20" s="113"/>
      <c r="K20" s="105" t="s">
        <v>64</v>
      </c>
      <c r="L20" s="123" t="s">
        <v>123</v>
      </c>
      <c r="M20" s="140" t="s">
        <v>124</v>
      </c>
      <c r="N20" s="140" t="s">
        <v>125</v>
      </c>
      <c r="O20" s="122"/>
      <c r="P20" s="123" t="s">
        <v>127</v>
      </c>
      <c r="Q20" s="123" t="s">
        <v>121</v>
      </c>
      <c r="R20" s="123" t="s">
        <v>122</v>
      </c>
      <c r="S20" s="124" t="s">
        <v>126</v>
      </c>
      <c r="T20" s="55"/>
      <c r="U20" s="126" t="s">
        <v>94</v>
      </c>
      <c r="V20" s="127" t="s">
        <v>164</v>
      </c>
    </row>
    <row r="21" ht="19.5" customHeight="1">
      <c r="A21" s="90" t="s">
        <v>97</v>
      </c>
      <c r="B21" s="123" t="s">
        <v>124</v>
      </c>
      <c r="C21" s="123" t="s">
        <v>125</v>
      </c>
      <c r="D21" s="123" t="s">
        <v>126</v>
      </c>
      <c r="E21" s="123" t="s">
        <v>127</v>
      </c>
      <c r="F21" s="122"/>
      <c r="G21" s="123" t="s">
        <v>122</v>
      </c>
      <c r="H21" s="123" t="s">
        <v>123</v>
      </c>
      <c r="I21" s="124" t="s">
        <v>121</v>
      </c>
      <c r="J21" s="112"/>
      <c r="K21" s="105" t="s">
        <v>46</v>
      </c>
      <c r="L21" s="123" t="s">
        <v>124</v>
      </c>
      <c r="M21" s="123" t="s">
        <v>125</v>
      </c>
      <c r="N21" s="123" t="s">
        <v>126</v>
      </c>
      <c r="O21" s="123" t="s">
        <v>127</v>
      </c>
      <c r="P21" s="122"/>
      <c r="Q21" s="123" t="s">
        <v>122</v>
      </c>
      <c r="R21" s="123" t="s">
        <v>123</v>
      </c>
      <c r="S21" s="124" t="s">
        <v>121</v>
      </c>
      <c r="T21" s="55"/>
      <c r="U21" s="126" t="s">
        <v>57</v>
      </c>
      <c r="V21" s="127" t="s">
        <v>165</v>
      </c>
    </row>
    <row r="22" ht="19.5" customHeight="1">
      <c r="A22" s="90" t="s">
        <v>98</v>
      </c>
      <c r="B22" s="123" t="s">
        <v>125</v>
      </c>
      <c r="C22" s="123" t="s">
        <v>126</v>
      </c>
      <c r="D22" s="123" t="s">
        <v>127</v>
      </c>
      <c r="E22" s="123" t="s">
        <v>121</v>
      </c>
      <c r="F22" s="123" t="s">
        <v>122</v>
      </c>
      <c r="G22" s="122"/>
      <c r="H22" s="123" t="s">
        <v>124</v>
      </c>
      <c r="I22" s="124" t="s">
        <v>123</v>
      </c>
      <c r="J22" s="113"/>
      <c r="K22" s="105" t="s">
        <v>99</v>
      </c>
      <c r="L22" s="123" t="s">
        <v>125</v>
      </c>
      <c r="M22" s="123" t="s">
        <v>126</v>
      </c>
      <c r="N22" s="123" t="s">
        <v>127</v>
      </c>
      <c r="O22" s="123" t="s">
        <v>121</v>
      </c>
      <c r="P22" s="123" t="s">
        <v>122</v>
      </c>
      <c r="Q22" s="122"/>
      <c r="R22" s="123" t="s">
        <v>124</v>
      </c>
      <c r="S22" s="124" t="s">
        <v>123</v>
      </c>
      <c r="T22" s="55"/>
      <c r="U22" s="126" t="s">
        <v>53</v>
      </c>
      <c r="V22" s="127" t="s">
        <v>166</v>
      </c>
    </row>
    <row r="23" ht="19.5" customHeight="1">
      <c r="A23" s="90" t="s">
        <v>100</v>
      </c>
      <c r="B23" s="123" t="s">
        <v>126</v>
      </c>
      <c r="C23" s="123" t="s">
        <v>127</v>
      </c>
      <c r="D23" s="123" t="s">
        <v>121</v>
      </c>
      <c r="E23" s="123" t="s">
        <v>122</v>
      </c>
      <c r="F23" s="123" t="s">
        <v>123</v>
      </c>
      <c r="G23" s="123" t="s">
        <v>124</v>
      </c>
      <c r="H23" s="122"/>
      <c r="I23" s="124" t="s">
        <v>125</v>
      </c>
      <c r="J23" s="113"/>
      <c r="K23" s="105" t="s">
        <v>62</v>
      </c>
      <c r="L23" s="123" t="s">
        <v>126</v>
      </c>
      <c r="M23" s="123" t="s">
        <v>127</v>
      </c>
      <c r="N23" s="123" t="s">
        <v>121</v>
      </c>
      <c r="O23" s="123" t="s">
        <v>122</v>
      </c>
      <c r="P23" s="123" t="s">
        <v>123</v>
      </c>
      <c r="Q23" s="123" t="s">
        <v>124</v>
      </c>
      <c r="R23" s="122"/>
      <c r="S23" s="124" t="s">
        <v>125</v>
      </c>
      <c r="T23" s="55"/>
      <c r="U23" s="126" t="s">
        <v>97</v>
      </c>
      <c r="V23" s="127" t="s">
        <v>167</v>
      </c>
    </row>
    <row r="24" ht="19.5" customHeight="1">
      <c r="A24" s="143" t="s">
        <v>61</v>
      </c>
      <c r="B24" s="131" t="s">
        <v>127</v>
      </c>
      <c r="C24" s="131" t="s">
        <v>122</v>
      </c>
      <c r="D24" s="131" t="s">
        <v>124</v>
      </c>
      <c r="E24" s="131" t="s">
        <v>126</v>
      </c>
      <c r="F24" s="131" t="s">
        <v>121</v>
      </c>
      <c r="G24" s="131" t="s">
        <v>123</v>
      </c>
      <c r="H24" s="131" t="s">
        <v>125</v>
      </c>
      <c r="I24" s="132"/>
      <c r="J24" s="112"/>
      <c r="K24" s="143" t="s">
        <v>101</v>
      </c>
      <c r="L24" s="131" t="s">
        <v>127</v>
      </c>
      <c r="M24" s="131" t="s">
        <v>122</v>
      </c>
      <c r="N24" s="131" t="s">
        <v>124</v>
      </c>
      <c r="O24" s="131" t="s">
        <v>126</v>
      </c>
      <c r="P24" s="131" t="s">
        <v>121</v>
      </c>
      <c r="Q24" s="131" t="s">
        <v>123</v>
      </c>
      <c r="R24" s="131" t="s">
        <v>125</v>
      </c>
      <c r="S24" s="132"/>
      <c r="T24" s="55"/>
      <c r="U24" s="126" t="s">
        <v>98</v>
      </c>
      <c r="V24" s="127" t="s">
        <v>168</v>
      </c>
    </row>
    <row r="25" ht="19.5" customHeight="1">
      <c r="A25" s="113"/>
      <c r="B25" s="113"/>
      <c r="C25" s="112"/>
      <c r="D25" s="113"/>
      <c r="E25" s="113"/>
      <c r="F25" s="113"/>
      <c r="G25" s="113"/>
      <c r="H25" s="112"/>
      <c r="I25" s="113"/>
      <c r="J25" s="113"/>
      <c r="K25" s="112"/>
      <c r="L25" s="113"/>
      <c r="M25" s="113"/>
      <c r="N25" s="113"/>
      <c r="O25" s="113"/>
      <c r="P25" s="113"/>
      <c r="Q25" s="113"/>
      <c r="R25" s="113"/>
      <c r="S25" s="113"/>
      <c r="T25" s="55"/>
      <c r="U25" s="126" t="s">
        <v>100</v>
      </c>
      <c r="V25" s="127" t="s">
        <v>169</v>
      </c>
    </row>
    <row r="26" ht="19.5" customHeight="1">
      <c r="A26" s="77" t="s">
        <v>170</v>
      </c>
      <c r="B26" s="3"/>
      <c r="C26" s="3"/>
      <c r="D26" s="3"/>
      <c r="E26" s="3"/>
      <c r="F26" s="3"/>
      <c r="G26" s="3"/>
      <c r="H26" s="3"/>
      <c r="I26" s="5"/>
      <c r="J26" s="113"/>
      <c r="K26" s="77" t="s">
        <v>171</v>
      </c>
      <c r="L26" s="3"/>
      <c r="M26" s="3"/>
      <c r="N26" s="3"/>
      <c r="O26" s="3"/>
      <c r="P26" s="3"/>
      <c r="Q26" s="3"/>
      <c r="R26" s="3"/>
      <c r="S26" s="5"/>
      <c r="T26" s="55"/>
      <c r="U26" s="126" t="s">
        <v>61</v>
      </c>
      <c r="V26" s="127" t="s">
        <v>172</v>
      </c>
    </row>
    <row r="27" ht="19.5" customHeight="1">
      <c r="A27" s="117"/>
      <c r="B27" s="119" t="s">
        <v>104</v>
      </c>
      <c r="C27" s="119" t="s">
        <v>47</v>
      </c>
      <c r="D27" s="119" t="s">
        <v>50</v>
      </c>
      <c r="E27" s="119" t="s">
        <v>55</v>
      </c>
      <c r="F27" s="119" t="s">
        <v>106</v>
      </c>
      <c r="G27" s="119" t="s">
        <v>108</v>
      </c>
      <c r="H27" s="119" t="s">
        <v>110</v>
      </c>
      <c r="I27" s="121" t="s">
        <v>59</v>
      </c>
      <c r="J27" s="113"/>
      <c r="K27" s="117"/>
      <c r="L27" s="119" t="s">
        <v>63</v>
      </c>
      <c r="M27" s="119" t="s">
        <v>54</v>
      </c>
      <c r="N27" s="119" t="s">
        <v>105</v>
      </c>
      <c r="O27" s="119" t="s">
        <v>16</v>
      </c>
      <c r="P27" s="119" t="s">
        <v>107</v>
      </c>
      <c r="Q27" s="119" t="s">
        <v>109</v>
      </c>
      <c r="R27" s="119" t="s">
        <v>58</v>
      </c>
      <c r="S27" s="144" t="s">
        <v>111</v>
      </c>
      <c r="T27" s="55"/>
      <c r="U27" s="141" t="s">
        <v>51</v>
      </c>
      <c r="V27" s="142" t="s">
        <v>173</v>
      </c>
    </row>
    <row r="28" ht="19.5" customHeight="1">
      <c r="A28" s="90" t="s">
        <v>104</v>
      </c>
      <c r="B28" s="122"/>
      <c r="C28" s="123" t="s">
        <v>121</v>
      </c>
      <c r="D28" s="123" t="s">
        <v>122</v>
      </c>
      <c r="E28" s="123" t="s">
        <v>123</v>
      </c>
      <c r="F28" s="123" t="s">
        <v>124</v>
      </c>
      <c r="G28" s="123" t="s">
        <v>125</v>
      </c>
      <c r="H28" s="123" t="s">
        <v>126</v>
      </c>
      <c r="I28" s="124" t="s">
        <v>127</v>
      </c>
      <c r="J28" s="113"/>
      <c r="K28" s="105" t="s">
        <v>63</v>
      </c>
      <c r="L28" s="122"/>
      <c r="M28" s="123" t="s">
        <v>121</v>
      </c>
      <c r="N28" s="123" t="s">
        <v>122</v>
      </c>
      <c r="O28" s="123" t="s">
        <v>123</v>
      </c>
      <c r="P28" s="123" t="s">
        <v>124</v>
      </c>
      <c r="Q28" s="123" t="s">
        <v>125</v>
      </c>
      <c r="R28" s="123" t="s">
        <v>126</v>
      </c>
      <c r="S28" s="124" t="s">
        <v>127</v>
      </c>
      <c r="T28" s="55"/>
      <c r="U28" s="141" t="s">
        <v>95</v>
      </c>
      <c r="V28" s="142" t="s">
        <v>174</v>
      </c>
    </row>
    <row r="29" ht="19.5" customHeight="1">
      <c r="A29" s="90" t="s">
        <v>47</v>
      </c>
      <c r="B29" s="123" t="s">
        <v>121</v>
      </c>
      <c r="C29" s="122"/>
      <c r="D29" s="140" t="s">
        <v>123</v>
      </c>
      <c r="E29" s="140" t="s">
        <v>124</v>
      </c>
      <c r="F29" s="123" t="s">
        <v>125</v>
      </c>
      <c r="G29" s="123" t="s">
        <v>126</v>
      </c>
      <c r="H29" s="123" t="s">
        <v>127</v>
      </c>
      <c r="I29" s="124" t="s">
        <v>122</v>
      </c>
      <c r="J29" s="113"/>
      <c r="K29" s="105" t="s">
        <v>54</v>
      </c>
      <c r="L29" s="123" t="s">
        <v>121</v>
      </c>
      <c r="M29" s="122"/>
      <c r="N29" s="140" t="s">
        <v>123</v>
      </c>
      <c r="O29" s="140" t="s">
        <v>124</v>
      </c>
      <c r="P29" s="123" t="s">
        <v>125</v>
      </c>
      <c r="Q29" s="123" t="s">
        <v>126</v>
      </c>
      <c r="R29" s="123" t="s">
        <v>127</v>
      </c>
      <c r="S29" s="124" t="s">
        <v>122</v>
      </c>
      <c r="T29" s="55"/>
      <c r="U29" s="141" t="s">
        <v>96</v>
      </c>
      <c r="V29" s="142" t="s">
        <v>175</v>
      </c>
    </row>
    <row r="30" ht="19.5" customHeight="1">
      <c r="A30" s="90" t="s">
        <v>50</v>
      </c>
      <c r="B30" s="123" t="s">
        <v>122</v>
      </c>
      <c r="C30" s="140" t="s">
        <v>123</v>
      </c>
      <c r="D30" s="122"/>
      <c r="E30" s="140" t="s">
        <v>125</v>
      </c>
      <c r="F30" s="123" t="s">
        <v>126</v>
      </c>
      <c r="G30" s="123" t="s">
        <v>127</v>
      </c>
      <c r="H30" s="123" t="s">
        <v>121</v>
      </c>
      <c r="I30" s="124" t="s">
        <v>124</v>
      </c>
      <c r="J30" s="112"/>
      <c r="K30" s="105" t="s">
        <v>105</v>
      </c>
      <c r="L30" s="123" t="s">
        <v>122</v>
      </c>
      <c r="M30" s="140" t="s">
        <v>123</v>
      </c>
      <c r="N30" s="122"/>
      <c r="O30" s="140" t="s">
        <v>125</v>
      </c>
      <c r="P30" s="123" t="s">
        <v>126</v>
      </c>
      <c r="Q30" s="123" t="s">
        <v>127</v>
      </c>
      <c r="R30" s="123" t="s">
        <v>121</v>
      </c>
      <c r="S30" s="124" t="s">
        <v>124</v>
      </c>
      <c r="T30" s="55"/>
      <c r="U30" s="141" t="s">
        <v>64</v>
      </c>
      <c r="V30" s="142" t="s">
        <v>176</v>
      </c>
    </row>
    <row r="31" ht="19.5" customHeight="1">
      <c r="A31" s="90" t="s">
        <v>55</v>
      </c>
      <c r="B31" s="123" t="s">
        <v>123</v>
      </c>
      <c r="C31" s="140" t="s">
        <v>124</v>
      </c>
      <c r="D31" s="140" t="s">
        <v>125</v>
      </c>
      <c r="E31" s="122"/>
      <c r="F31" s="123" t="s">
        <v>127</v>
      </c>
      <c r="G31" s="123" t="s">
        <v>121</v>
      </c>
      <c r="H31" s="123" t="s">
        <v>122</v>
      </c>
      <c r="I31" s="124" t="s">
        <v>126</v>
      </c>
      <c r="J31" s="113"/>
      <c r="K31" s="105" t="s">
        <v>16</v>
      </c>
      <c r="L31" s="123" t="s">
        <v>123</v>
      </c>
      <c r="M31" s="140" t="s">
        <v>124</v>
      </c>
      <c r="N31" s="140" t="s">
        <v>125</v>
      </c>
      <c r="O31" s="122"/>
      <c r="P31" s="123" t="s">
        <v>127</v>
      </c>
      <c r="Q31" s="123" t="s">
        <v>121</v>
      </c>
      <c r="R31" s="123" t="s">
        <v>122</v>
      </c>
      <c r="S31" s="124" t="s">
        <v>126</v>
      </c>
      <c r="T31" s="55"/>
      <c r="U31" s="141" t="s">
        <v>46</v>
      </c>
      <c r="V31" s="142" t="s">
        <v>177</v>
      </c>
    </row>
    <row r="32" ht="19.5" customHeight="1">
      <c r="A32" s="90" t="s">
        <v>106</v>
      </c>
      <c r="B32" s="123" t="s">
        <v>124</v>
      </c>
      <c r="C32" s="123" t="s">
        <v>125</v>
      </c>
      <c r="D32" s="123" t="s">
        <v>126</v>
      </c>
      <c r="E32" s="123" t="s">
        <v>127</v>
      </c>
      <c r="F32" s="122"/>
      <c r="G32" s="123" t="s">
        <v>122</v>
      </c>
      <c r="H32" s="123" t="s">
        <v>123</v>
      </c>
      <c r="I32" s="124" t="s">
        <v>121</v>
      </c>
      <c r="J32" s="113"/>
      <c r="K32" s="105" t="s">
        <v>107</v>
      </c>
      <c r="L32" s="123" t="s">
        <v>124</v>
      </c>
      <c r="M32" s="123" t="s">
        <v>125</v>
      </c>
      <c r="N32" s="123" t="s">
        <v>126</v>
      </c>
      <c r="O32" s="123" t="s">
        <v>127</v>
      </c>
      <c r="P32" s="122"/>
      <c r="Q32" s="123" t="s">
        <v>122</v>
      </c>
      <c r="R32" s="123" t="s">
        <v>123</v>
      </c>
      <c r="S32" s="124" t="s">
        <v>121</v>
      </c>
      <c r="T32" s="55"/>
      <c r="U32" s="141" t="s">
        <v>99</v>
      </c>
      <c r="V32" s="142" t="s">
        <v>178</v>
      </c>
    </row>
    <row r="33" ht="19.5" customHeight="1">
      <c r="A33" s="90" t="s">
        <v>108</v>
      </c>
      <c r="B33" s="123" t="s">
        <v>125</v>
      </c>
      <c r="C33" s="123" t="s">
        <v>126</v>
      </c>
      <c r="D33" s="123" t="s">
        <v>127</v>
      </c>
      <c r="E33" s="123" t="s">
        <v>121</v>
      </c>
      <c r="F33" s="123" t="s">
        <v>122</v>
      </c>
      <c r="G33" s="122"/>
      <c r="H33" s="123" t="s">
        <v>124</v>
      </c>
      <c r="I33" s="124" t="s">
        <v>123</v>
      </c>
      <c r="J33" s="112"/>
      <c r="K33" s="105" t="s">
        <v>109</v>
      </c>
      <c r="L33" s="123" t="s">
        <v>125</v>
      </c>
      <c r="M33" s="123" t="s">
        <v>126</v>
      </c>
      <c r="N33" s="123" t="s">
        <v>127</v>
      </c>
      <c r="O33" s="123" t="s">
        <v>121</v>
      </c>
      <c r="P33" s="123" t="s">
        <v>122</v>
      </c>
      <c r="Q33" s="122"/>
      <c r="R33" s="123" t="s">
        <v>124</v>
      </c>
      <c r="S33" s="124" t="s">
        <v>123</v>
      </c>
      <c r="T33" s="55"/>
      <c r="U33" s="141" t="s">
        <v>62</v>
      </c>
      <c r="V33" s="142" t="s">
        <v>179</v>
      </c>
    </row>
    <row r="34" ht="19.5" customHeight="1">
      <c r="A34" s="90" t="s">
        <v>110</v>
      </c>
      <c r="B34" s="123" t="s">
        <v>126</v>
      </c>
      <c r="C34" s="123" t="s">
        <v>127</v>
      </c>
      <c r="D34" s="123" t="s">
        <v>121</v>
      </c>
      <c r="E34" s="123" t="s">
        <v>122</v>
      </c>
      <c r="F34" s="123" t="s">
        <v>123</v>
      </c>
      <c r="G34" s="123" t="s">
        <v>124</v>
      </c>
      <c r="H34" s="122"/>
      <c r="I34" s="124" t="s">
        <v>125</v>
      </c>
      <c r="J34" s="113"/>
      <c r="K34" s="105" t="s">
        <v>58</v>
      </c>
      <c r="L34" s="123" t="s">
        <v>126</v>
      </c>
      <c r="M34" s="123" t="s">
        <v>127</v>
      </c>
      <c r="N34" s="123" t="s">
        <v>121</v>
      </c>
      <c r="O34" s="123" t="s">
        <v>122</v>
      </c>
      <c r="P34" s="123" t="s">
        <v>123</v>
      </c>
      <c r="Q34" s="123" t="s">
        <v>124</v>
      </c>
      <c r="R34" s="122"/>
      <c r="S34" s="124" t="s">
        <v>125</v>
      </c>
      <c r="T34" s="55"/>
      <c r="U34" s="141" t="s">
        <v>101</v>
      </c>
      <c r="V34" s="142" t="s">
        <v>180</v>
      </c>
    </row>
    <row r="35" ht="19.5" customHeight="1">
      <c r="A35" s="143" t="s">
        <v>59</v>
      </c>
      <c r="B35" s="131" t="s">
        <v>127</v>
      </c>
      <c r="C35" s="131" t="s">
        <v>122</v>
      </c>
      <c r="D35" s="131" t="s">
        <v>124</v>
      </c>
      <c r="E35" s="131" t="s">
        <v>126</v>
      </c>
      <c r="F35" s="131" t="s">
        <v>121</v>
      </c>
      <c r="G35" s="131" t="s">
        <v>123</v>
      </c>
      <c r="H35" s="131" t="s">
        <v>125</v>
      </c>
      <c r="I35" s="132"/>
      <c r="J35" s="113"/>
      <c r="K35" s="143" t="s">
        <v>111</v>
      </c>
      <c r="L35" s="131" t="s">
        <v>127</v>
      </c>
      <c r="M35" s="131" t="s">
        <v>122</v>
      </c>
      <c r="N35" s="131" t="s">
        <v>124</v>
      </c>
      <c r="O35" s="131" t="s">
        <v>126</v>
      </c>
      <c r="P35" s="131" t="s">
        <v>121</v>
      </c>
      <c r="Q35" s="131" t="s">
        <v>123</v>
      </c>
      <c r="R35" s="131" t="s">
        <v>125</v>
      </c>
      <c r="S35" s="132"/>
      <c r="T35" s="55"/>
      <c r="U35" s="126" t="s">
        <v>104</v>
      </c>
      <c r="V35" s="127" t="s">
        <v>181</v>
      </c>
    </row>
    <row r="36" ht="19.5" customHeight="1">
      <c r="A36" s="55"/>
      <c r="B36" s="55"/>
      <c r="C36" s="55"/>
      <c r="D36" s="55"/>
      <c r="F36" s="55"/>
      <c r="G36" s="55"/>
      <c r="I36" s="55"/>
      <c r="J36" s="55"/>
      <c r="K36" s="55"/>
      <c r="L36" s="55"/>
      <c r="N36" s="55"/>
      <c r="O36" s="55"/>
      <c r="P36" s="55"/>
      <c r="Q36" s="55"/>
      <c r="R36" s="55"/>
      <c r="S36" s="55"/>
      <c r="T36" s="55"/>
      <c r="U36" s="126" t="s">
        <v>47</v>
      </c>
      <c r="V36" s="127" t="s">
        <v>182</v>
      </c>
    </row>
    <row r="37" ht="19.5" customHeight="1">
      <c r="A37" s="55"/>
      <c r="B37" s="55"/>
      <c r="C37" s="55"/>
      <c r="D37" s="55"/>
      <c r="E37" s="55"/>
      <c r="G37" s="55"/>
      <c r="I37" s="55"/>
      <c r="J37" s="55"/>
      <c r="K37" s="55"/>
      <c r="L37" s="55"/>
      <c r="M37" s="55"/>
      <c r="O37" s="55"/>
      <c r="P37" s="55"/>
      <c r="Q37" s="55"/>
      <c r="R37" s="55"/>
      <c r="S37" s="55"/>
      <c r="T37" s="55"/>
      <c r="U37" s="126" t="s">
        <v>50</v>
      </c>
      <c r="V37" s="127" t="s">
        <v>183</v>
      </c>
    </row>
    <row r="38" ht="19.5" customHeight="1">
      <c r="A38" s="55"/>
      <c r="B38" s="55"/>
      <c r="C38" s="55"/>
      <c r="D38" s="55"/>
      <c r="E38" s="55"/>
      <c r="F38" s="55"/>
      <c r="I38" s="55"/>
      <c r="J38" s="55"/>
      <c r="K38" s="55"/>
      <c r="L38" s="55"/>
      <c r="M38" s="55"/>
      <c r="N38" s="55"/>
      <c r="P38" s="55"/>
      <c r="Q38" s="55"/>
      <c r="R38" s="55"/>
      <c r="S38" s="55"/>
      <c r="T38" s="55"/>
      <c r="U38" s="126" t="s">
        <v>55</v>
      </c>
      <c r="V38" s="127" t="s">
        <v>184</v>
      </c>
    </row>
    <row r="39" ht="19.5" customHeight="1">
      <c r="A39" s="88"/>
      <c r="B39" s="88"/>
      <c r="C39" s="88"/>
      <c r="D39" s="88"/>
      <c r="E39" s="88"/>
      <c r="F39" s="88"/>
      <c r="G39" s="145"/>
      <c r="H39" s="145"/>
      <c r="I39" s="88"/>
      <c r="J39" s="140"/>
      <c r="K39" s="140"/>
      <c r="L39" s="140"/>
      <c r="M39" s="140"/>
      <c r="P39" s="55"/>
      <c r="Q39" s="55"/>
      <c r="R39" s="55"/>
      <c r="S39" s="55"/>
      <c r="T39" s="55"/>
      <c r="U39" s="126" t="s">
        <v>106</v>
      </c>
      <c r="V39" s="127" t="s">
        <v>185</v>
      </c>
    </row>
    <row r="40" ht="19.5" customHeight="1">
      <c r="A40" s="88"/>
      <c r="B40" s="88"/>
      <c r="C40" s="88"/>
      <c r="D40" s="88"/>
      <c r="E40" s="88"/>
      <c r="F40" s="88"/>
      <c r="G40" s="145"/>
      <c r="H40" s="145"/>
      <c r="I40" s="88"/>
      <c r="J40" s="140"/>
      <c r="K40" s="140"/>
      <c r="L40" s="140"/>
      <c r="M40" s="140"/>
      <c r="P40" s="55"/>
      <c r="Q40" s="55"/>
      <c r="R40" s="55"/>
      <c r="S40" s="55"/>
      <c r="T40" s="55"/>
      <c r="U40" s="126" t="s">
        <v>108</v>
      </c>
      <c r="V40" s="127" t="s">
        <v>186</v>
      </c>
    </row>
    <row r="41" ht="19.5" customHeight="1">
      <c r="A41" s="88"/>
      <c r="B41" s="88"/>
      <c r="C41" s="88"/>
      <c r="D41" s="88"/>
      <c r="E41" s="88"/>
      <c r="F41" s="88"/>
      <c r="G41" s="145"/>
      <c r="H41" s="145"/>
      <c r="I41" s="88"/>
      <c r="J41" s="140"/>
      <c r="K41" s="140"/>
      <c r="L41" s="140"/>
      <c r="M41" s="140"/>
      <c r="P41" s="55"/>
      <c r="Q41" s="55"/>
      <c r="R41" s="55"/>
      <c r="S41" s="55"/>
      <c r="T41" s="55"/>
      <c r="U41" s="126" t="s">
        <v>110</v>
      </c>
      <c r="V41" s="127" t="s">
        <v>187</v>
      </c>
    </row>
    <row r="42" ht="19.5" customHeight="1">
      <c r="A42" s="88"/>
      <c r="B42" s="88"/>
      <c r="C42" s="88"/>
      <c r="D42" s="88"/>
      <c r="E42" s="88"/>
      <c r="F42" s="88"/>
      <c r="G42" s="145"/>
      <c r="H42" s="145"/>
      <c r="I42" s="88"/>
      <c r="J42" s="140"/>
      <c r="K42" s="140"/>
      <c r="L42" s="140"/>
      <c r="M42" s="140"/>
      <c r="P42" s="55"/>
      <c r="Q42" s="55"/>
      <c r="R42" s="55"/>
      <c r="S42" s="55"/>
      <c r="T42" s="55"/>
      <c r="U42" s="126" t="s">
        <v>59</v>
      </c>
      <c r="V42" s="127" t="s">
        <v>188</v>
      </c>
    </row>
    <row r="43" ht="19.5" customHeight="1">
      <c r="A43" s="88"/>
      <c r="B43" s="88"/>
      <c r="C43" s="88"/>
      <c r="D43" s="88"/>
      <c r="E43" s="88"/>
      <c r="F43" s="88"/>
      <c r="G43" s="145"/>
      <c r="H43" s="145"/>
      <c r="I43" s="88"/>
      <c r="J43" s="140"/>
      <c r="K43" s="140"/>
      <c r="L43" s="140"/>
      <c r="M43" s="140"/>
      <c r="P43" s="55"/>
      <c r="Q43" s="55"/>
      <c r="R43" s="55"/>
      <c r="S43" s="55"/>
      <c r="T43" s="55"/>
      <c r="U43" s="141" t="s">
        <v>63</v>
      </c>
      <c r="V43" s="142" t="s">
        <v>189</v>
      </c>
    </row>
    <row r="44" ht="19.5" customHeight="1">
      <c r="A44" s="88"/>
      <c r="B44" s="88"/>
      <c r="C44" s="88"/>
      <c r="D44" s="88"/>
      <c r="E44" s="88"/>
      <c r="F44" s="88"/>
      <c r="G44" s="145"/>
      <c r="H44" s="145"/>
      <c r="I44" s="88"/>
      <c r="J44" s="140"/>
      <c r="K44" s="140"/>
      <c r="L44" s="140"/>
      <c r="M44" s="140"/>
      <c r="N44" s="140"/>
      <c r="O44" s="145"/>
      <c r="P44" s="146"/>
      <c r="Q44" s="146"/>
      <c r="R44" s="146"/>
      <c r="S44" s="146"/>
      <c r="T44" s="146"/>
      <c r="U44" s="141" t="s">
        <v>54</v>
      </c>
      <c r="V44" s="142" t="s">
        <v>190</v>
      </c>
    </row>
    <row r="45" ht="19.5" customHeight="1">
      <c r="A45" s="88"/>
      <c r="B45" s="88"/>
      <c r="C45" s="88"/>
      <c r="D45" s="88"/>
      <c r="E45" s="88"/>
      <c r="F45" s="88"/>
      <c r="G45" s="145"/>
      <c r="H45" s="145"/>
      <c r="I45" s="88"/>
      <c r="J45" s="140"/>
      <c r="K45" s="140"/>
      <c r="L45" s="140"/>
      <c r="M45" s="140"/>
      <c r="N45" s="140"/>
      <c r="O45" s="145"/>
      <c r="P45" s="146"/>
      <c r="Q45" s="146"/>
      <c r="R45" s="146"/>
      <c r="S45" s="146"/>
      <c r="T45" s="146"/>
      <c r="U45" s="141" t="s">
        <v>105</v>
      </c>
      <c r="V45" s="142" t="s">
        <v>191</v>
      </c>
    </row>
    <row r="46" ht="19.5" customHeight="1">
      <c r="A46" s="88"/>
      <c r="B46" s="88"/>
      <c r="C46" s="88"/>
      <c r="D46" s="88"/>
      <c r="E46" s="88"/>
      <c r="F46" s="88"/>
      <c r="G46" s="145"/>
      <c r="H46" s="145"/>
      <c r="I46" s="88"/>
      <c r="J46" s="140"/>
      <c r="K46" s="140"/>
      <c r="L46" s="140"/>
      <c r="M46" s="140"/>
      <c r="N46" s="140"/>
      <c r="O46" s="145"/>
      <c r="P46" s="146"/>
      <c r="Q46" s="146"/>
      <c r="R46" s="146"/>
      <c r="S46" s="146"/>
      <c r="T46" s="146"/>
      <c r="U46" s="141" t="s">
        <v>16</v>
      </c>
      <c r="V46" s="142" t="s">
        <v>192</v>
      </c>
    </row>
    <row r="47" ht="19.5" customHeight="1">
      <c r="A47" s="88"/>
      <c r="B47" s="88"/>
      <c r="C47" s="88"/>
      <c r="D47" s="88"/>
      <c r="E47" s="88"/>
      <c r="F47" s="88"/>
      <c r="G47" s="145"/>
      <c r="H47" s="145"/>
      <c r="I47" s="88"/>
      <c r="J47" s="140"/>
      <c r="K47" s="140"/>
      <c r="L47" s="140"/>
      <c r="M47" s="140"/>
      <c r="N47" s="140"/>
      <c r="O47" s="145"/>
      <c r="P47" s="146"/>
      <c r="Q47" s="146"/>
      <c r="R47" s="146"/>
      <c r="S47" s="146"/>
      <c r="T47" s="146"/>
      <c r="U47" s="141" t="s">
        <v>107</v>
      </c>
      <c r="V47" s="142" t="s">
        <v>193</v>
      </c>
    </row>
    <row r="48" ht="19.5" customHeight="1">
      <c r="A48" s="88"/>
      <c r="B48" s="88"/>
      <c r="C48" s="88"/>
      <c r="D48" s="88"/>
      <c r="E48" s="88"/>
      <c r="F48" s="88"/>
      <c r="G48" s="145"/>
      <c r="H48" s="145"/>
      <c r="I48" s="88"/>
      <c r="J48" s="140"/>
      <c r="K48" s="140"/>
      <c r="L48" s="140"/>
      <c r="M48" s="140"/>
      <c r="N48" s="140"/>
      <c r="O48" s="145"/>
      <c r="P48" s="146"/>
      <c r="Q48" s="146"/>
      <c r="R48" s="146"/>
      <c r="S48" s="146"/>
      <c r="T48" s="146"/>
      <c r="U48" s="141" t="s">
        <v>109</v>
      </c>
      <c r="V48" s="142" t="s">
        <v>194</v>
      </c>
    </row>
    <row r="49" ht="19.5" customHeight="1">
      <c r="A49" s="88"/>
      <c r="B49" s="88"/>
      <c r="C49" s="88"/>
      <c r="D49" s="88"/>
      <c r="E49" s="88"/>
      <c r="F49" s="88"/>
      <c r="G49" s="145"/>
      <c r="H49" s="145"/>
      <c r="I49" s="88"/>
      <c r="J49" s="140"/>
      <c r="K49" s="140"/>
      <c r="L49" s="140"/>
      <c r="M49" s="140"/>
      <c r="N49" s="140"/>
      <c r="O49" s="145"/>
      <c r="P49" s="146"/>
      <c r="Q49" s="146"/>
      <c r="R49" s="146"/>
      <c r="S49" s="146"/>
      <c r="T49" s="146"/>
      <c r="U49" s="141" t="s">
        <v>195</v>
      </c>
      <c r="V49" s="142" t="s">
        <v>196</v>
      </c>
    </row>
    <row r="50" ht="19.5" customHeight="1">
      <c r="A50" s="88"/>
      <c r="B50" s="88"/>
      <c r="C50" s="88"/>
      <c r="D50" s="88"/>
      <c r="E50" s="88"/>
      <c r="F50" s="88"/>
      <c r="G50" s="145"/>
      <c r="H50" s="145"/>
      <c r="I50" s="88"/>
      <c r="J50" s="140"/>
      <c r="K50" s="140"/>
      <c r="L50" s="140"/>
      <c r="M50" s="140"/>
      <c r="N50" s="140"/>
      <c r="O50" s="145"/>
      <c r="P50" s="146"/>
      <c r="Q50" s="146"/>
      <c r="R50" s="146"/>
      <c r="S50" s="146"/>
      <c r="T50" s="146"/>
      <c r="U50" s="147" t="s">
        <v>111</v>
      </c>
      <c r="V50" s="148" t="s">
        <v>197</v>
      </c>
    </row>
    <row r="51" ht="19.5" customHeight="1">
      <c r="A51" s="88"/>
      <c r="B51" s="88"/>
      <c r="C51" s="88"/>
      <c r="D51" s="88"/>
      <c r="E51" s="88"/>
      <c r="F51" s="88"/>
      <c r="G51" s="145"/>
      <c r="H51" s="145"/>
      <c r="I51" s="88"/>
      <c r="J51" s="140"/>
      <c r="K51" s="140"/>
      <c r="L51" s="140"/>
      <c r="M51" s="140"/>
      <c r="N51" s="140"/>
      <c r="O51" s="149"/>
      <c r="P51" s="150"/>
      <c r="Q51" s="150"/>
      <c r="R51" s="150"/>
      <c r="S51" s="150"/>
      <c r="T51" s="150"/>
      <c r="U51" s="126" t="s">
        <v>198</v>
      </c>
      <c r="V51" s="127"/>
    </row>
    <row r="52" ht="19.5" customHeight="1">
      <c r="A52" s="88"/>
      <c r="B52" s="88"/>
      <c r="C52" s="88"/>
      <c r="D52" s="88"/>
      <c r="E52" s="88"/>
      <c r="F52" s="88"/>
      <c r="G52" s="145"/>
      <c r="H52" s="145"/>
      <c r="I52" s="88"/>
      <c r="J52" s="140"/>
      <c r="K52" s="140"/>
      <c r="L52" s="140"/>
      <c r="M52" s="140"/>
      <c r="N52" s="140"/>
      <c r="O52" s="149"/>
      <c r="P52" s="151"/>
      <c r="Q52" s="151"/>
      <c r="R52" s="151"/>
      <c r="S52" s="151"/>
      <c r="T52" s="151"/>
      <c r="U52" s="126" t="s">
        <v>199</v>
      </c>
      <c r="V52" s="127"/>
    </row>
    <row r="53" ht="19.5" customHeight="1">
      <c r="A53" s="88"/>
      <c r="B53" s="88"/>
      <c r="C53" s="88"/>
      <c r="D53" s="88"/>
      <c r="E53" s="88"/>
      <c r="F53" s="88"/>
      <c r="G53" s="145"/>
      <c r="H53" s="145"/>
      <c r="I53" s="88"/>
      <c r="J53" s="140"/>
      <c r="K53" s="140"/>
      <c r="L53" s="140"/>
      <c r="M53" s="140"/>
      <c r="N53" s="140"/>
      <c r="O53" s="149"/>
      <c r="P53" s="151"/>
      <c r="Q53" s="151"/>
      <c r="R53" s="151"/>
      <c r="S53" s="151"/>
      <c r="T53" s="151"/>
      <c r="U53" s="126" t="s">
        <v>200</v>
      </c>
      <c r="V53" s="127"/>
    </row>
    <row r="54" ht="19.5" customHeight="1">
      <c r="A54" s="88"/>
      <c r="B54" s="88"/>
      <c r="C54" s="88"/>
      <c r="D54" s="88"/>
      <c r="E54" s="88"/>
      <c r="F54" s="88"/>
      <c r="G54" s="145"/>
      <c r="H54" s="145"/>
      <c r="I54" s="88"/>
      <c r="J54" s="140"/>
      <c r="K54" s="140"/>
      <c r="L54" s="140"/>
      <c r="M54" s="140"/>
      <c r="N54" s="140"/>
      <c r="O54" s="145"/>
      <c r="P54" s="151"/>
      <c r="Q54" s="151"/>
      <c r="R54" s="151"/>
      <c r="S54" s="151"/>
      <c r="T54" s="151"/>
      <c r="U54" s="126" t="s">
        <v>201</v>
      </c>
      <c r="V54" s="127"/>
    </row>
    <row r="55" ht="19.5" customHeight="1">
      <c r="A55" s="88"/>
      <c r="B55" s="88"/>
      <c r="C55" s="88"/>
      <c r="D55" s="88"/>
      <c r="E55" s="88"/>
      <c r="F55" s="88"/>
      <c r="G55" s="145"/>
      <c r="H55" s="145"/>
      <c r="I55" s="88"/>
      <c r="J55" s="140"/>
      <c r="K55" s="140"/>
      <c r="L55" s="140"/>
      <c r="M55" s="140"/>
      <c r="N55" s="140"/>
      <c r="O55" s="145"/>
      <c r="P55" s="151"/>
      <c r="Q55" s="151"/>
      <c r="R55" s="151"/>
      <c r="S55" s="151"/>
      <c r="T55" s="151"/>
      <c r="U55" s="126" t="s">
        <v>202</v>
      </c>
      <c r="V55" s="127"/>
    </row>
  </sheetData>
  <mergeCells count="9">
    <mergeCell ref="A26:I26"/>
    <mergeCell ref="K26:S26"/>
    <mergeCell ref="A1:R1"/>
    <mergeCell ref="U1:V1"/>
    <mergeCell ref="A2:S2"/>
    <mergeCell ref="A4:I4"/>
    <mergeCell ref="K4:S4"/>
    <mergeCell ref="A15:I15"/>
    <mergeCell ref="K15:S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25"/>
    <col customWidth="1" min="2" max="2" width="3.25"/>
    <col customWidth="1" min="3" max="3" width="12.63"/>
    <col customWidth="1" min="4" max="4" width="5.13"/>
    <col customWidth="1" min="5" max="5" width="8.88"/>
    <col customWidth="1" min="6" max="6" width="3.25"/>
    <col customWidth="1" min="7" max="7" width="12.63"/>
    <col customWidth="1" min="8" max="8" width="5.13"/>
    <col customWidth="1" min="9" max="9" width="8.88"/>
    <col customWidth="1" min="10" max="10" width="3.25"/>
    <col customWidth="1" min="11" max="11" width="12.63"/>
    <col customWidth="1" min="12" max="12" width="5.13"/>
    <col customWidth="1" min="13" max="13" width="8.88"/>
    <col customWidth="1" min="14" max="14" width="3.25"/>
    <col customWidth="1" min="15" max="15" width="12.63"/>
    <col customWidth="1" min="16" max="16" width="5.13"/>
  </cols>
  <sheetData>
    <row r="1" ht="48.75" customHeight="1">
      <c r="A1" s="152"/>
      <c r="B1" s="153" t="s">
        <v>203</v>
      </c>
    </row>
    <row r="2">
      <c r="A2" s="152" t="s">
        <v>204</v>
      </c>
      <c r="B2" s="154" t="s">
        <v>205</v>
      </c>
      <c r="C2" s="3"/>
      <c r="D2" s="5"/>
      <c r="E2" s="155"/>
      <c r="F2" s="154" t="s">
        <v>206</v>
      </c>
      <c r="G2" s="3"/>
      <c r="H2" s="5"/>
      <c r="I2" s="155"/>
      <c r="J2" s="154" t="s">
        <v>207</v>
      </c>
      <c r="K2" s="3"/>
      <c r="L2" s="5"/>
      <c r="M2" s="155"/>
      <c r="N2" s="154" t="s">
        <v>208</v>
      </c>
      <c r="O2" s="3"/>
      <c r="P2" s="5"/>
    </row>
    <row r="3">
      <c r="B3" s="67"/>
      <c r="C3" s="67"/>
      <c r="D3" s="67"/>
      <c r="E3" s="65"/>
      <c r="F3" s="67"/>
      <c r="G3" s="67"/>
      <c r="H3" s="67"/>
      <c r="I3" s="65"/>
      <c r="J3" s="67"/>
      <c r="K3" s="67"/>
      <c r="L3" s="67"/>
      <c r="M3" s="65"/>
      <c r="N3" s="67"/>
      <c r="O3" s="67"/>
      <c r="P3" s="67"/>
    </row>
    <row r="4">
      <c r="B4" s="156">
        <v>1.0</v>
      </c>
      <c r="C4" s="157" t="s">
        <v>209</v>
      </c>
      <c r="D4" s="158" t="s">
        <v>76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>
      <c r="B5" s="17"/>
      <c r="C5" s="99" t="s">
        <v>209</v>
      </c>
      <c r="D5" s="101" t="s">
        <v>76</v>
      </c>
      <c r="E5" s="159"/>
      <c r="F5" s="160"/>
      <c r="G5" s="67"/>
      <c r="H5" s="67"/>
      <c r="I5" s="67"/>
      <c r="J5" s="67"/>
      <c r="K5" s="67"/>
      <c r="L5" s="67"/>
      <c r="M5" s="67"/>
      <c r="N5" s="67"/>
      <c r="O5" s="67"/>
      <c r="P5" s="67"/>
    </row>
    <row r="6">
      <c r="B6" s="65"/>
      <c r="C6" s="67"/>
      <c r="D6" s="67"/>
      <c r="E6" s="67"/>
      <c r="F6" s="156">
        <v>9.0</v>
      </c>
      <c r="G6" s="157" t="s">
        <v>209</v>
      </c>
      <c r="H6" s="158" t="s">
        <v>76</v>
      </c>
      <c r="I6" s="67"/>
      <c r="J6" s="67"/>
      <c r="K6" s="67"/>
      <c r="L6" s="67"/>
      <c r="M6" s="67"/>
      <c r="N6" s="67"/>
      <c r="O6" s="67"/>
      <c r="P6" s="67"/>
    </row>
    <row r="7">
      <c r="B7" s="65"/>
      <c r="C7" s="67"/>
      <c r="D7" s="67"/>
      <c r="E7" s="67"/>
      <c r="F7" s="17"/>
      <c r="G7" s="99" t="s">
        <v>209</v>
      </c>
      <c r="H7" s="101" t="s">
        <v>76</v>
      </c>
      <c r="I7" s="159"/>
      <c r="J7" s="160"/>
      <c r="K7" s="67"/>
      <c r="L7" s="67"/>
      <c r="M7" s="67"/>
      <c r="N7" s="67"/>
      <c r="O7" s="67"/>
      <c r="P7" s="67"/>
    </row>
    <row r="8">
      <c r="B8" s="156">
        <v>2.0</v>
      </c>
      <c r="C8" s="157" t="s">
        <v>209</v>
      </c>
      <c r="D8" s="158" t="s">
        <v>76</v>
      </c>
      <c r="E8" s="161"/>
      <c r="F8" s="162"/>
      <c r="G8" s="67"/>
      <c r="H8" s="67"/>
      <c r="I8" s="67"/>
      <c r="J8" s="163"/>
      <c r="K8" s="67"/>
      <c r="L8" s="67"/>
      <c r="M8" s="67"/>
      <c r="N8" s="67"/>
      <c r="O8" s="67"/>
      <c r="P8" s="67"/>
    </row>
    <row r="9">
      <c r="B9" s="17"/>
      <c r="C9" s="99" t="s">
        <v>209</v>
      </c>
      <c r="D9" s="101" t="s">
        <v>76</v>
      </c>
      <c r="E9" s="67"/>
      <c r="F9" s="67"/>
      <c r="G9" s="67"/>
      <c r="H9" s="67"/>
      <c r="I9" s="67"/>
      <c r="J9" s="164"/>
      <c r="K9" s="165"/>
      <c r="L9" s="165"/>
      <c r="M9" s="65"/>
      <c r="N9" s="65"/>
      <c r="O9" s="65"/>
      <c r="P9" s="65"/>
    </row>
    <row r="10">
      <c r="B10" s="65"/>
      <c r="C10" s="67"/>
      <c r="D10" s="67"/>
      <c r="E10" s="67"/>
      <c r="F10" s="166"/>
      <c r="G10" s="65"/>
      <c r="H10" s="167"/>
      <c r="I10" s="67"/>
      <c r="J10" s="156">
        <v>13.0</v>
      </c>
      <c r="K10" s="157" t="s">
        <v>209</v>
      </c>
      <c r="L10" s="158" t="s">
        <v>76</v>
      </c>
      <c r="M10" s="65"/>
      <c r="N10" s="65"/>
      <c r="O10" s="65"/>
      <c r="P10" s="65"/>
    </row>
    <row r="11">
      <c r="B11" s="65"/>
      <c r="C11" s="67"/>
      <c r="D11" s="67"/>
      <c r="E11" s="67"/>
      <c r="F11" s="166"/>
      <c r="G11" s="65"/>
      <c r="H11" s="167"/>
      <c r="I11" s="67"/>
      <c r="J11" s="17"/>
      <c r="K11" s="99" t="s">
        <v>209</v>
      </c>
      <c r="L11" s="101" t="s">
        <v>76</v>
      </c>
      <c r="M11" s="159"/>
      <c r="N11" s="160"/>
      <c r="O11" s="67"/>
      <c r="P11" s="67"/>
    </row>
    <row r="12">
      <c r="B12" s="156">
        <v>3.0</v>
      </c>
      <c r="C12" s="157" t="s">
        <v>209</v>
      </c>
      <c r="D12" s="158" t="s">
        <v>76</v>
      </c>
      <c r="E12" s="67"/>
      <c r="F12" s="67"/>
      <c r="G12" s="67"/>
      <c r="H12" s="67"/>
      <c r="I12" s="67"/>
      <c r="J12" s="168"/>
      <c r="K12" s="65"/>
      <c r="L12" s="167"/>
      <c r="M12" s="67"/>
      <c r="N12" s="163"/>
      <c r="O12" s="67"/>
      <c r="P12" s="67"/>
    </row>
    <row r="13">
      <c r="B13" s="17"/>
      <c r="C13" s="99" t="s">
        <v>209</v>
      </c>
      <c r="D13" s="101" t="s">
        <v>76</v>
      </c>
      <c r="E13" s="159"/>
      <c r="F13" s="160"/>
      <c r="G13" s="67"/>
      <c r="H13" s="67"/>
      <c r="I13" s="67"/>
      <c r="J13" s="163"/>
      <c r="K13" s="67"/>
      <c r="L13" s="67"/>
      <c r="M13" s="67"/>
      <c r="N13" s="163"/>
      <c r="O13" s="67"/>
      <c r="P13" s="67"/>
    </row>
    <row r="14">
      <c r="B14" s="65"/>
      <c r="C14" s="67"/>
      <c r="D14" s="67"/>
      <c r="E14" s="67"/>
      <c r="F14" s="156">
        <v>10.0</v>
      </c>
      <c r="G14" s="157" t="s">
        <v>209</v>
      </c>
      <c r="H14" s="158" t="s">
        <v>76</v>
      </c>
      <c r="I14" s="161"/>
      <c r="J14" s="162"/>
      <c r="K14" s="67"/>
      <c r="L14" s="67"/>
      <c r="M14" s="67"/>
      <c r="N14" s="163"/>
      <c r="O14" s="67"/>
      <c r="P14" s="67"/>
    </row>
    <row r="15">
      <c r="B15" s="65"/>
      <c r="C15" s="67"/>
      <c r="D15" s="67"/>
      <c r="E15" s="67"/>
      <c r="F15" s="17"/>
      <c r="G15" s="99" t="s">
        <v>209</v>
      </c>
      <c r="H15" s="101" t="s">
        <v>76</v>
      </c>
      <c r="I15" s="67"/>
      <c r="J15" s="67"/>
      <c r="K15" s="67"/>
      <c r="L15" s="67"/>
      <c r="M15" s="67"/>
      <c r="N15" s="163"/>
      <c r="O15" s="67"/>
      <c r="P15" s="67"/>
    </row>
    <row r="16">
      <c r="B16" s="156">
        <v>4.0</v>
      </c>
      <c r="C16" s="157" t="s">
        <v>209</v>
      </c>
      <c r="D16" s="158" t="s">
        <v>76</v>
      </c>
      <c r="E16" s="161"/>
      <c r="F16" s="162"/>
      <c r="G16" s="67"/>
      <c r="H16" s="67"/>
      <c r="I16" s="67"/>
      <c r="J16" s="67"/>
      <c r="K16" s="67"/>
      <c r="L16" s="67"/>
      <c r="M16" s="67"/>
      <c r="N16" s="163"/>
      <c r="O16" s="67"/>
      <c r="P16" s="67"/>
    </row>
    <row r="17">
      <c r="B17" s="17"/>
      <c r="C17" s="99" t="s">
        <v>209</v>
      </c>
      <c r="D17" s="101" t="s">
        <v>76</v>
      </c>
      <c r="E17" s="67"/>
      <c r="F17" s="67"/>
      <c r="G17" s="67"/>
      <c r="H17" s="67"/>
      <c r="I17" s="67"/>
      <c r="J17" s="67"/>
      <c r="K17" s="67"/>
      <c r="L17" s="67"/>
      <c r="M17" s="67"/>
      <c r="N17" s="163"/>
      <c r="O17" s="67"/>
      <c r="P17" s="67"/>
    </row>
    <row r="18">
      <c r="B18" s="65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156">
        <v>15.0</v>
      </c>
      <c r="O18" s="157" t="s">
        <v>209</v>
      </c>
      <c r="P18" s="158" t="s">
        <v>76</v>
      </c>
    </row>
    <row r="19">
      <c r="B19" s="65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17"/>
      <c r="O19" s="99" t="s">
        <v>209</v>
      </c>
      <c r="P19" s="101" t="s">
        <v>76</v>
      </c>
    </row>
    <row r="20">
      <c r="B20" s="156">
        <v>5.0</v>
      </c>
      <c r="C20" s="157" t="s">
        <v>209</v>
      </c>
      <c r="D20" s="158" t="s">
        <v>76</v>
      </c>
      <c r="E20" s="67"/>
      <c r="F20" s="67"/>
      <c r="G20" s="67"/>
      <c r="H20" s="67"/>
      <c r="I20" s="67"/>
      <c r="J20" s="67"/>
      <c r="K20" s="67"/>
      <c r="L20" s="67"/>
      <c r="M20" s="67"/>
      <c r="N20" s="163"/>
      <c r="O20" s="67"/>
      <c r="P20" s="67"/>
    </row>
    <row r="21">
      <c r="B21" s="17"/>
      <c r="C21" s="99" t="s">
        <v>209</v>
      </c>
      <c r="D21" s="101" t="s">
        <v>76</v>
      </c>
      <c r="E21" s="159"/>
      <c r="F21" s="160"/>
      <c r="G21" s="67"/>
      <c r="H21" s="67"/>
      <c r="I21" s="67"/>
      <c r="J21" s="67"/>
      <c r="K21" s="67"/>
      <c r="L21" s="67"/>
      <c r="M21" s="67"/>
      <c r="N21" s="163"/>
      <c r="O21" s="67"/>
      <c r="P21" s="67"/>
    </row>
    <row r="22">
      <c r="B22" s="65"/>
      <c r="C22" s="67"/>
      <c r="D22" s="67"/>
      <c r="E22" s="67"/>
      <c r="F22" s="156">
        <v>11.0</v>
      </c>
      <c r="G22" s="157" t="s">
        <v>209</v>
      </c>
      <c r="H22" s="158" t="s">
        <v>76</v>
      </c>
      <c r="I22" s="67"/>
      <c r="J22" s="67"/>
      <c r="K22" s="67"/>
      <c r="L22" s="67"/>
      <c r="M22" s="67"/>
      <c r="N22" s="163"/>
      <c r="O22" s="67"/>
      <c r="P22" s="67"/>
    </row>
    <row r="23">
      <c r="B23" s="65"/>
      <c r="C23" s="67"/>
      <c r="D23" s="67"/>
      <c r="E23" s="67"/>
      <c r="F23" s="17"/>
      <c r="G23" s="99" t="s">
        <v>209</v>
      </c>
      <c r="H23" s="101" t="s">
        <v>76</v>
      </c>
      <c r="I23" s="159"/>
      <c r="J23" s="160"/>
      <c r="K23" s="67"/>
      <c r="L23" s="67"/>
      <c r="M23" s="67"/>
      <c r="N23" s="163"/>
      <c r="O23" s="67"/>
      <c r="P23" s="67"/>
    </row>
    <row r="24">
      <c r="B24" s="156">
        <v>6.0</v>
      </c>
      <c r="C24" s="157" t="s">
        <v>209</v>
      </c>
      <c r="D24" s="158" t="s">
        <v>76</v>
      </c>
      <c r="E24" s="161"/>
      <c r="F24" s="162"/>
      <c r="G24" s="67"/>
      <c r="H24" s="67"/>
      <c r="I24" s="67"/>
      <c r="J24" s="163"/>
      <c r="K24" s="67"/>
      <c r="L24" s="67"/>
      <c r="M24" s="67"/>
      <c r="N24" s="163"/>
      <c r="O24" s="67"/>
      <c r="P24" s="67"/>
    </row>
    <row r="25">
      <c r="B25" s="17"/>
      <c r="C25" s="99" t="s">
        <v>209</v>
      </c>
      <c r="D25" s="101" t="s">
        <v>76</v>
      </c>
      <c r="E25" s="67"/>
      <c r="F25" s="67"/>
      <c r="G25" s="67"/>
      <c r="H25" s="67"/>
      <c r="I25" s="67"/>
      <c r="J25" s="163"/>
      <c r="K25" s="67"/>
      <c r="L25" s="67"/>
      <c r="M25" s="67"/>
      <c r="N25" s="163"/>
      <c r="O25" s="67"/>
      <c r="P25" s="67"/>
    </row>
    <row r="26">
      <c r="B26" s="65"/>
      <c r="C26" s="67"/>
      <c r="D26" s="67"/>
      <c r="E26" s="67"/>
      <c r="F26" s="67"/>
      <c r="G26" s="67"/>
      <c r="H26" s="67"/>
      <c r="I26" s="67"/>
      <c r="J26" s="156">
        <v>14.0</v>
      </c>
      <c r="K26" s="157" t="s">
        <v>209</v>
      </c>
      <c r="L26" s="158" t="s">
        <v>76</v>
      </c>
      <c r="M26" s="169"/>
      <c r="N26" s="170"/>
      <c r="O26" s="65"/>
      <c r="P26" s="65"/>
    </row>
    <row r="27">
      <c r="B27" s="65"/>
      <c r="C27" s="67"/>
      <c r="D27" s="67"/>
      <c r="E27" s="67"/>
      <c r="F27" s="67"/>
      <c r="G27" s="67"/>
      <c r="H27" s="67"/>
      <c r="I27" s="67"/>
      <c r="J27" s="17"/>
      <c r="K27" s="99" t="s">
        <v>209</v>
      </c>
      <c r="L27" s="101" t="s">
        <v>76</v>
      </c>
      <c r="M27" s="65"/>
      <c r="N27" s="65"/>
      <c r="O27" s="65"/>
      <c r="P27" s="65"/>
    </row>
    <row r="28">
      <c r="B28" s="156">
        <v>7.0</v>
      </c>
      <c r="C28" s="157" t="s">
        <v>209</v>
      </c>
      <c r="D28" s="158" t="s">
        <v>76</v>
      </c>
      <c r="E28" s="67"/>
      <c r="F28" s="67"/>
      <c r="G28" s="67"/>
      <c r="H28" s="67"/>
      <c r="I28" s="67"/>
      <c r="J28" s="163"/>
      <c r="K28" s="67"/>
      <c r="L28" s="67"/>
      <c r="M28" s="67"/>
      <c r="N28" s="67"/>
      <c r="O28" s="67"/>
      <c r="P28" s="67"/>
    </row>
    <row r="29">
      <c r="B29" s="17"/>
      <c r="C29" s="99" t="s">
        <v>209</v>
      </c>
      <c r="D29" s="101" t="s">
        <v>76</v>
      </c>
      <c r="E29" s="159"/>
      <c r="F29" s="160"/>
      <c r="G29" s="67"/>
      <c r="H29" s="67"/>
      <c r="I29" s="67"/>
      <c r="J29" s="163"/>
      <c r="K29" s="67"/>
      <c r="L29" s="67"/>
      <c r="M29" s="67"/>
      <c r="N29" s="67"/>
      <c r="O29" s="67"/>
      <c r="P29" s="67"/>
    </row>
    <row r="30">
      <c r="B30" s="65"/>
      <c r="C30" s="67"/>
      <c r="D30" s="67"/>
      <c r="E30" s="67"/>
      <c r="F30" s="156">
        <v>12.0</v>
      </c>
      <c r="G30" s="157" t="s">
        <v>209</v>
      </c>
      <c r="H30" s="158" t="s">
        <v>76</v>
      </c>
      <c r="I30" s="161"/>
      <c r="J30" s="162"/>
      <c r="K30" s="67"/>
      <c r="L30" s="67"/>
      <c r="M30" s="67"/>
      <c r="N30" s="67"/>
      <c r="O30" s="67"/>
      <c r="P30" s="67"/>
    </row>
    <row r="31">
      <c r="B31" s="65"/>
      <c r="C31" s="67"/>
      <c r="D31" s="67"/>
      <c r="E31" s="67"/>
      <c r="F31" s="17"/>
      <c r="G31" s="99" t="s">
        <v>209</v>
      </c>
      <c r="H31" s="101" t="s">
        <v>76</v>
      </c>
      <c r="I31" s="67"/>
      <c r="J31" s="67"/>
      <c r="K31" s="67"/>
      <c r="L31" s="67"/>
      <c r="M31" s="67"/>
      <c r="N31" s="67"/>
      <c r="O31" s="67"/>
      <c r="P31" s="67"/>
    </row>
    <row r="32">
      <c r="B32" s="156">
        <v>8.0</v>
      </c>
      <c r="C32" s="157" t="s">
        <v>209</v>
      </c>
      <c r="D32" s="158" t="s">
        <v>76</v>
      </c>
      <c r="E32" s="161"/>
      <c r="F32" s="162"/>
      <c r="G32" s="67"/>
      <c r="H32" s="67"/>
      <c r="I32" s="67"/>
      <c r="J32" s="67"/>
      <c r="K32" s="67"/>
      <c r="L32" s="67"/>
      <c r="M32" s="67"/>
      <c r="N32" s="67"/>
      <c r="O32" s="67"/>
      <c r="P32" s="67"/>
    </row>
    <row r="33">
      <c r="B33" s="17"/>
      <c r="C33" s="99" t="s">
        <v>209</v>
      </c>
      <c r="D33" s="101" t="s">
        <v>76</v>
      </c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</row>
  </sheetData>
  <mergeCells count="21">
    <mergeCell ref="B4:B5"/>
    <mergeCell ref="B8:B9"/>
    <mergeCell ref="F14:F15"/>
    <mergeCell ref="F22:F23"/>
    <mergeCell ref="J26:J27"/>
    <mergeCell ref="F30:F31"/>
    <mergeCell ref="A2:A33"/>
    <mergeCell ref="B12:B13"/>
    <mergeCell ref="B16:B17"/>
    <mergeCell ref="B20:B21"/>
    <mergeCell ref="B24:B25"/>
    <mergeCell ref="B28:B29"/>
    <mergeCell ref="B32:B33"/>
    <mergeCell ref="B1:P1"/>
    <mergeCell ref="B2:D2"/>
    <mergeCell ref="F2:H2"/>
    <mergeCell ref="J2:L2"/>
    <mergeCell ref="N2:P2"/>
    <mergeCell ref="F6:F7"/>
    <mergeCell ref="J10:J11"/>
    <mergeCell ref="N18:N1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10" width="8.88"/>
    <col customWidth="1" min="11" max="11" width="11.38"/>
    <col customWidth="1" min="12" max="19" width="8.88"/>
    <col customWidth="1" min="20" max="20" width="7.0"/>
  </cols>
  <sheetData>
    <row r="1" ht="48.75" customHeight="1">
      <c r="A1" s="106" t="s">
        <v>210</v>
      </c>
      <c r="S1" s="107"/>
      <c r="T1" s="107"/>
    </row>
    <row r="2" ht="19.5" customHeight="1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  <c r="Q2" s="113"/>
      <c r="R2" s="113"/>
      <c r="S2" s="113"/>
      <c r="T2" s="113"/>
    </row>
    <row r="3" ht="19.5" customHeight="1">
      <c r="A3" s="77" t="s">
        <v>66</v>
      </c>
      <c r="B3" s="3"/>
      <c r="C3" s="3"/>
      <c r="D3" s="3"/>
      <c r="E3" s="3"/>
      <c r="F3" s="3"/>
      <c r="G3" s="3"/>
      <c r="H3" s="3"/>
      <c r="I3" s="5"/>
      <c r="J3" s="113"/>
      <c r="K3" s="77" t="s">
        <v>67</v>
      </c>
      <c r="L3" s="3"/>
      <c r="M3" s="3"/>
      <c r="N3" s="3"/>
      <c r="O3" s="3"/>
      <c r="P3" s="3"/>
      <c r="Q3" s="3"/>
      <c r="R3" s="3"/>
      <c r="S3" s="5"/>
      <c r="T3" s="113"/>
    </row>
    <row r="4" ht="19.5" customHeight="1">
      <c r="A4" s="117"/>
      <c r="B4" s="118" t="s">
        <v>33</v>
      </c>
      <c r="C4" s="118" t="s">
        <v>31</v>
      </c>
      <c r="D4" s="118" t="s">
        <v>24</v>
      </c>
      <c r="E4" s="118" t="s">
        <v>28</v>
      </c>
      <c r="F4" s="118" t="s">
        <v>26</v>
      </c>
      <c r="G4" s="118" t="s">
        <v>40</v>
      </c>
      <c r="H4" s="119" t="s">
        <v>27</v>
      </c>
      <c r="I4" s="120" t="s">
        <v>34</v>
      </c>
      <c r="J4" s="113"/>
      <c r="K4" s="117"/>
      <c r="L4" s="118" t="s">
        <v>25</v>
      </c>
      <c r="M4" s="118" t="s">
        <v>29</v>
      </c>
      <c r="N4" s="118" t="s">
        <v>39</v>
      </c>
      <c r="O4" s="118" t="s">
        <v>35</v>
      </c>
      <c r="P4" s="118" t="s">
        <v>30</v>
      </c>
      <c r="Q4" s="118" t="s">
        <v>32</v>
      </c>
      <c r="R4" s="118" t="s">
        <v>37</v>
      </c>
      <c r="S4" s="121" t="s">
        <v>38</v>
      </c>
      <c r="T4" s="113"/>
    </row>
    <row r="5" ht="19.5" customHeight="1">
      <c r="A5" s="87" t="s">
        <v>33</v>
      </c>
      <c r="B5" s="171" t="str">
        <f t="array" ref="B5">IF('RR Schedule (Novice)'!B6="","",LET(nm,'RR Results (Novice)'!$A:$A,g,'RR Results (Novice)'!$B:$O,n,MATCH('RR Schedule (Novice)'!B6,{"7/20-7/22";"7/23-7/25";"7/26-7/28";"7/29-7/31";"8/1-8/3";"8/4-8/6";"8/7-8/9"},0),me,MATCH($A5,nm,0),IF(COUNT(INDEX(g,me,2*n))=1,INDEX(g,me,2*n),"")))</f>
        <v/>
      </c>
      <c r="C5" s="172">
        <f t="array" ref="C5">IF('RR Schedule (Novice)'!C6="","",LET(nm,'RR Results (Novice)'!$A:$A,g,'RR Results (Novice)'!$B:$O,n,MATCH('RR Schedule (Novice)'!C6,{"7/20-7/22";"7/23-7/25";"7/26-7/28";"7/29-7/31";"8/1-8/3";"8/4-8/6";"8/7-8/9"},0),me,MATCH($A5,nm,0),IF(COUNT(INDEX(g,me,2*n))=1,INDEX(g,me,2*n),"")))</f>
        <v>28</v>
      </c>
      <c r="D5" s="6">
        <f t="array" ref="D5">IF('RR Schedule (Novice)'!D6="","",LET(nm,'RR Results (Novice)'!$A:$A,g,'RR Results (Novice)'!$B:$O,n,MATCH('RR Schedule (Novice)'!D6,{"7/20-7/22";"7/23-7/25";"7/26-7/28";"7/29-7/31";"8/1-8/3";"8/4-8/6";"8/7-8/9"},0),me,MATCH($A5,nm,0),IF(COUNT(INDEX(g,me,2*n))=1,INDEX(g,me,2*n),"")))</f>
        <v>10</v>
      </c>
      <c r="E5" s="6">
        <f t="array" ref="E5">IF('RR Schedule (Novice)'!E6="","",LET(nm,'RR Results (Novice)'!$A:$A,g,'RR Results (Novice)'!$B:$O,n,MATCH('RR Schedule (Novice)'!E6,{"7/20-7/22";"7/23-7/25";"7/26-7/28";"7/29-7/31";"8/1-8/3";"8/4-8/6";"8/7-8/9"},0),me,MATCH($A5,nm,0),IF(COUNT(INDEX(g,me,2*n))=1,INDEX(g,me,2*n),"")))</f>
        <v>28</v>
      </c>
      <c r="F5" s="6">
        <f t="array" ref="F5">IF('RR Schedule (Novice)'!F6="","",LET(nm,'RR Results (Novice)'!$A:$A,g,'RR Results (Novice)'!$B:$O,n,MATCH('RR Schedule (Novice)'!F6,{"7/20-7/22";"7/23-7/25";"7/26-7/28";"7/29-7/31";"8/1-8/3";"8/4-8/6";"8/7-8/9"},0),me,MATCH($A5,nm,0),IF(COUNT(INDEX(g,me,2*n))=1,INDEX(g,me,2*n),"")))</f>
        <v>36</v>
      </c>
      <c r="G5" s="6">
        <f t="array" ref="G5">IF('RR Schedule (Novice)'!G6="","",LET(nm,'RR Results (Novice)'!$A:$A,g,'RR Results (Novice)'!$B:$O,n,MATCH('RR Schedule (Novice)'!G6,{"7/20-7/22";"7/23-7/25";"7/26-7/28";"7/29-7/31";"8/1-8/3";"8/4-8/6";"8/7-8/9"},0),me,MATCH($A5,nm,0),IF(COUNT(INDEX(g,me,2*n))=1,INDEX(g,me,2*n),"")))</f>
        <v>62</v>
      </c>
      <c r="H5" s="6">
        <f t="array" ref="H5">IF('RR Schedule (Novice)'!H6="","",LET(nm,'RR Results (Novice)'!$A:$A,g,'RR Results (Novice)'!$B:$O,n,MATCH('RR Schedule (Novice)'!H6,{"7/20-7/22";"7/23-7/25";"7/26-7/28";"7/29-7/31";"8/1-8/3";"8/4-8/6";"8/7-8/9"},0),me,MATCH($A5,nm,0),IF(COUNT(INDEX(g,me,2*n))=1,INDEX(g,me,2*n),"")))</f>
        <v>26</v>
      </c>
      <c r="I5" s="173">
        <f t="array" ref="I5">IF('RR Schedule (Novice)'!I6="","",LET(nm,'RR Results (Novice)'!$A:$A,g,'RR Results (Novice)'!$B:$O,n,MATCH('RR Schedule (Novice)'!I6,{"7/20-7/22";"7/23-7/25";"7/26-7/28";"7/29-7/31";"8/1-8/3";"8/4-8/6";"8/7-8/9"},0),me,MATCH($A5,nm,0),IF(COUNT(INDEX(g,me,2*n))=1,INDEX(g,me,2*n),"")))</f>
        <v>28</v>
      </c>
      <c r="J5" s="112"/>
      <c r="K5" s="125" t="s">
        <v>25</v>
      </c>
      <c r="L5" s="171" t="str">
        <f t="array" ref="L5">IF('RR Schedule (Novice)'!L6="","",LET(nm,'RR Results (Novice)'!$T:$T,g,'RR Results (Novice)'!$U:$AH,n,MATCH('RR Schedule (Novice)'!L6,{"7/20-7/22";"7/23-7/25";"7/26-7/28";"7/29-7/31";"8/1-8/3";"8/4-8/6";"8/7-8/9"},0),me,MATCH($K5,nm,0),IF(COUNT(INDEX(g,me,2*n))=1,INDEX(g,me,2*n),"")))</f>
        <v/>
      </c>
      <c r="M5" s="6">
        <f t="array" ref="M5">IF('RR Schedule (Novice)'!M6="","",LET(nm,'RR Results (Novice)'!$T:$T,g,'RR Results (Novice)'!$U:$AH,n,MATCH('RR Schedule (Novice)'!M6,{"7/20-7/22";"7/23-7/25";"7/26-7/28";"7/29-7/31";"8/1-8/3";"8/4-8/6";"8/7-8/9"},0),me,MATCH($K5,nm,0),IF(COUNT(INDEX(g,me,2*n))=1,INDEX(g,me,2*n),"")))</f>
        <v>-2</v>
      </c>
      <c r="N5" s="6">
        <f t="array" ref="N5">IF('RR Schedule (Novice)'!N6="","",LET(nm,'RR Results (Novice)'!$T:$T,g,'RR Results (Novice)'!$U:$AH,n,MATCH('RR Schedule (Novice)'!N6,{"7/20-7/22";"7/23-7/25";"7/26-7/28";"7/29-7/31";"8/1-8/3";"8/4-8/6";"8/7-8/9"},0),me,MATCH($K5,nm,0),IF(COUNT(INDEX(g,me,2*n))=1,INDEX(g,me,2*n),"")))</f>
        <v>0</v>
      </c>
      <c r="O5" s="6">
        <f t="array" ref="O5">IF('RR Schedule (Novice)'!O6="","",LET(nm,'RR Results (Novice)'!$T:$T,g,'RR Results (Novice)'!$U:$AH,n,MATCH('RR Schedule (Novice)'!O6,{"7/20-7/22";"7/23-7/25";"7/26-7/28";"7/29-7/31";"8/1-8/3";"8/4-8/6";"8/7-8/9"},0),me,MATCH($K5,nm,0),IF(COUNT(INDEX(g,me,2*n))=1,INDEX(g,me,2*n),"")))</f>
        <v>24</v>
      </c>
      <c r="P5" s="6">
        <f t="array" ref="P5">IF('RR Schedule (Novice)'!P6="","",LET(nm,'RR Results (Novice)'!$T:$T,g,'RR Results (Novice)'!$U:$AH,n,MATCH('RR Schedule (Novice)'!P6,{"7/20-7/22";"7/23-7/25";"7/26-7/28";"7/29-7/31";"8/1-8/3";"8/4-8/6";"8/7-8/9"},0),me,MATCH($K5,nm,0),IF(COUNT(INDEX(g,me,2*n))=1,INDEX(g,me,2*n),"")))</f>
        <v>2</v>
      </c>
      <c r="Q5" s="6">
        <f t="array" ref="Q5">IF('RR Schedule (Novice)'!Q6="","",LET(nm,'RR Results (Novice)'!$T:$T,g,'RR Results (Novice)'!$U:$AH,n,MATCH('RR Schedule (Novice)'!Q6,{"7/20-7/22";"7/23-7/25";"7/26-7/28";"7/29-7/31";"8/1-8/3";"8/4-8/6";"8/7-8/9"},0),me,MATCH($K5,nm,0),IF(COUNT(INDEX(g,me,2*n))=1,INDEX(g,me,2*n),"")))</f>
        <v>40</v>
      </c>
      <c r="R5" s="6">
        <f t="array" ref="R5">IF('RR Schedule (Novice)'!R6="","",LET(nm,'RR Results (Novice)'!$T:$T,g,'RR Results (Novice)'!$U:$AH,n,MATCH('RR Schedule (Novice)'!R6,{"7/20-7/22";"7/23-7/25";"7/26-7/28";"7/29-7/31";"8/1-8/3";"8/4-8/6";"8/7-8/9"},0),me,MATCH($K5,nm,0),IF(COUNT(INDEX(g,me,2*n))=1,INDEX(g,me,2*n),"")))</f>
        <v>34</v>
      </c>
      <c r="S5" s="173">
        <f t="array" ref="S5">IF('RR Schedule (Novice)'!S6="","",LET(nm,'RR Results (Novice)'!$T:$T,g,'RR Results (Novice)'!$U:$AH,n,MATCH('RR Schedule (Novice)'!S6,{"7/20-7/22";"7/23-7/25";"7/26-7/28";"7/29-7/31";"8/1-8/3";"8/4-8/6";"8/7-8/9"},0),me,MATCH($K5,nm,0),IF(COUNT(INDEX(g,me,2*n))=1,INDEX(g,me,2*n),"")))</f>
        <v>22</v>
      </c>
      <c r="T5" s="113"/>
    </row>
    <row r="6" ht="19.5" customHeight="1">
      <c r="A6" s="87" t="s">
        <v>31</v>
      </c>
      <c r="B6" s="172">
        <f t="array" ref="B6">IF('RR Schedule (Novice)'!B7="","",LET(nm,'RR Results (Novice)'!$A:$A,g,'RR Results (Novice)'!$B:$O,n,MATCH('RR Schedule (Novice)'!B7,{"7/20-7/22";"7/23-7/25";"7/26-7/28";"7/29-7/31";"8/1-8/3";"8/4-8/6";"8/7-8/9"},0),me,MATCH($A6,nm,0),IF(COUNT(INDEX(g,me,2*n))=1,INDEX(g,me,2*n),"")))</f>
        <v>28</v>
      </c>
      <c r="C6" s="171" t="str">
        <f t="array" ref="C6">IF('RR Schedule (Novice)'!C7="","",LET(nm,'RR Results (Novice)'!$A:$A,g,'RR Results (Novice)'!$B:$O,n,MATCH('RR Schedule (Novice)'!C7,{"7/20-7/22";"7/23-7/25";"7/26-7/28";"7/29-7/31";"8/1-8/3";"8/4-8/6";"8/7-8/9"},0),me,MATCH($A6,nm,0),IF(COUNT(INDEX(g,me,2*n))=1,INDEX(g,me,2*n),"")))</f>
        <v/>
      </c>
      <c r="D6" s="6">
        <f t="array" ref="D6">IF('RR Schedule (Novice)'!D7="","",LET(nm,'RR Results (Novice)'!$A:$A,g,'RR Results (Novice)'!$B:$O,n,MATCH('RR Schedule (Novice)'!D7,{"7/20-7/22";"7/23-7/25";"7/26-7/28";"7/29-7/31";"8/1-8/3";"8/4-8/6";"8/7-8/9"},0),me,MATCH($A6,nm,0),IF(COUNT(INDEX(g,me,2*n))=1,INDEX(g,me,2*n),"")))</f>
        <v>8</v>
      </c>
      <c r="E6" s="6">
        <f t="array" ref="E6">IF('RR Schedule (Novice)'!E7="","",LET(nm,'RR Results (Novice)'!$A:$A,g,'RR Results (Novice)'!$B:$O,n,MATCH('RR Schedule (Novice)'!E7,{"7/20-7/22";"7/23-7/25";"7/26-7/28";"7/29-7/31";"8/1-8/3";"8/4-8/6";"8/7-8/9"},0),me,MATCH($A6,nm,0),IF(COUNT(INDEX(g,me,2*n))=1,INDEX(g,me,2*n),"")))</f>
        <v>8</v>
      </c>
      <c r="F6" s="172">
        <f t="array" ref="F6">IF('RR Schedule (Novice)'!F7="","",LET(nm,'RR Results (Novice)'!$A:$A,g,'RR Results (Novice)'!$B:$O,n,MATCH('RR Schedule (Novice)'!F7,{"7/20-7/22";"7/23-7/25";"7/26-7/28";"7/29-7/31";"8/1-8/3";"8/4-8/6";"8/7-8/9"},0),me,MATCH($A6,nm,0),IF(COUNT(INDEX(g,me,2*n))=1,INDEX(g,me,2*n),"")))</f>
        <v>34</v>
      </c>
      <c r="G6" s="6">
        <f t="array" ref="G6">IF('RR Schedule (Novice)'!G7="","",LET(nm,'RR Results (Novice)'!$A:$A,g,'RR Results (Novice)'!$B:$O,n,MATCH('RR Schedule (Novice)'!G7,{"7/20-7/22";"7/23-7/25";"7/26-7/28";"7/29-7/31";"8/1-8/3";"8/4-8/6";"8/7-8/9"},0),me,MATCH($A6,nm,0),IF(COUNT(INDEX(g,me,2*n))=1,INDEX(g,me,2*n),"")))</f>
        <v>18</v>
      </c>
      <c r="H6" s="6">
        <f t="array" ref="H6">IF('RR Schedule (Novice)'!H7="","",LET(nm,'RR Results (Novice)'!$A:$A,g,'RR Results (Novice)'!$B:$O,n,MATCH('RR Schedule (Novice)'!H7,{"7/20-7/22";"7/23-7/25";"7/26-7/28";"7/29-7/31";"8/1-8/3";"8/4-8/6";"8/7-8/9"},0),me,MATCH($A6,nm,0),IF(COUNT(INDEX(g,me,2*n))=1,INDEX(g,me,2*n),"")))</f>
        <v>22</v>
      </c>
      <c r="I6" s="173">
        <f t="array" ref="I6">IF('RR Schedule (Novice)'!I7="","",LET(nm,'RR Results (Novice)'!$A:$A,g,'RR Results (Novice)'!$B:$O,n,MATCH('RR Schedule (Novice)'!I7,{"7/20-7/22";"7/23-7/25";"7/26-7/28";"7/29-7/31";"8/1-8/3";"8/4-8/6";"8/7-8/9"},0),me,MATCH($A6,nm,0),IF(COUNT(INDEX(g,me,2*n))=1,INDEX(g,me,2*n),"")))</f>
        <v>18</v>
      </c>
      <c r="J6" s="113"/>
      <c r="K6" s="125" t="s">
        <v>29</v>
      </c>
      <c r="L6" s="6">
        <f t="array" ref="L6">IF('RR Schedule (Novice)'!L7="","",LET(nm,'RR Results (Novice)'!$T:$T,g,'RR Results (Novice)'!$U:$AH,n,MATCH('RR Schedule (Novice)'!L7,{"7/20-7/22";"7/23-7/25";"7/26-7/28";"7/29-7/31";"8/1-8/3";"8/4-8/6";"8/7-8/9"},0),me,MATCH($K6,nm,0),IF(COUNT(INDEX(g,me,2*n))=1,INDEX(g,me,2*n),"")))</f>
        <v>32</v>
      </c>
      <c r="M6" s="171" t="str">
        <f t="array" ref="M6">IF('RR Schedule (Novice)'!M7="","",LET(nm,'RR Results (Novice)'!$T:$T,g,'RR Results (Novice)'!$U:$AH,n,MATCH('RR Schedule (Novice)'!M7,{"7/20-7/22";"7/23-7/25";"7/26-7/28";"7/29-7/31";"8/1-8/3";"8/4-8/6";"8/7-8/9"},0),me,MATCH($K6,nm,0),IF(COUNT(INDEX(g,me,2*n))=1,INDEX(g,me,2*n),"")))</f>
        <v/>
      </c>
      <c r="N6" s="6">
        <f t="array" ref="N6">IF('RR Schedule (Novice)'!N7="","",LET(nm,'RR Results (Novice)'!$T:$T,g,'RR Results (Novice)'!$U:$AH,n,MATCH('RR Schedule (Novice)'!N7,{"7/20-7/22";"7/23-7/25";"7/26-7/28";"7/29-7/31";"8/1-8/3";"8/4-8/6";"8/7-8/9"},0),me,MATCH($K6,nm,0),IF(COUNT(INDEX(g,me,2*n))=1,INDEX(g,me,2*n),"")))</f>
        <v>6</v>
      </c>
      <c r="O6" s="6">
        <f t="array" ref="O6">IF('RR Schedule (Novice)'!O7="","",LET(nm,'RR Results (Novice)'!$T:$T,g,'RR Results (Novice)'!$U:$AH,n,MATCH('RR Schedule (Novice)'!O7,{"7/20-7/22";"7/23-7/25";"7/26-7/28";"7/29-7/31";"8/1-8/3";"8/4-8/6";"8/7-8/9"},0),me,MATCH($K6,nm,0),IF(COUNT(INDEX(g,me,2*n))=1,INDEX(g,me,2*n),"")))</f>
        <v>24</v>
      </c>
      <c r="P6" s="6">
        <f t="array" ref="P6">IF('RR Schedule (Novice)'!P7="","",LET(nm,'RR Results (Novice)'!$T:$T,g,'RR Results (Novice)'!$U:$AH,n,MATCH('RR Schedule (Novice)'!P7,{"7/20-7/22";"7/23-7/25";"7/26-7/28";"7/29-7/31";"8/1-8/3";"8/4-8/6";"8/7-8/9"},0),me,MATCH($K6,nm,0),IF(COUNT(INDEX(g,me,2*n))=1,INDEX(g,me,2*n),"")))</f>
        <v>14</v>
      </c>
      <c r="Q6" s="6">
        <f t="array" ref="Q6">IF('RR Schedule (Novice)'!Q7="","",LET(nm,'RR Results (Novice)'!$T:$T,g,'RR Results (Novice)'!$U:$AH,n,MATCH('RR Schedule (Novice)'!Q7,{"7/20-7/22";"7/23-7/25";"7/26-7/28";"7/29-7/31";"8/1-8/3";"8/4-8/6";"8/7-8/9"},0),me,MATCH($K6,nm,0),IF(COUNT(INDEX(g,me,2*n))=1,INDEX(g,me,2*n),"")))</f>
        <v>18</v>
      </c>
      <c r="R6" s="6">
        <f t="array" ref="R6">IF('RR Schedule (Novice)'!R7="","",LET(nm,'RR Results (Novice)'!$T:$T,g,'RR Results (Novice)'!$U:$AH,n,MATCH('RR Schedule (Novice)'!R7,{"7/20-7/22";"7/23-7/25";"7/26-7/28";"7/29-7/31";"8/1-8/3";"8/4-8/6";"8/7-8/9"},0),me,MATCH($K6,nm,0),IF(COUNT(INDEX(g,me,2*n))=1,INDEX(g,me,2*n),"")))</f>
        <v>32</v>
      </c>
      <c r="S6" s="173">
        <f t="array" ref="S6">IF('RR Schedule (Novice)'!S7="","",LET(nm,'RR Results (Novice)'!$T:$T,g,'RR Results (Novice)'!$U:$AH,n,MATCH('RR Schedule (Novice)'!S7,{"7/20-7/22";"7/23-7/25";"7/26-7/28";"7/29-7/31";"8/1-8/3";"8/4-8/6";"8/7-8/9"},0),me,MATCH($K6,nm,0),IF(COUNT(INDEX(g,me,2*n))=1,INDEX(g,me,2*n),"")))</f>
        <v>16</v>
      </c>
      <c r="T6" s="113"/>
    </row>
    <row r="7" ht="19.5" customHeight="1">
      <c r="A7" s="87" t="s">
        <v>24</v>
      </c>
      <c r="B7" s="6">
        <f t="array" ref="B7">IF('RR Schedule (Novice)'!B8="","",LET(nm,'RR Results (Novice)'!$A:$A,g,'RR Results (Novice)'!$B:$O,n,MATCH('RR Schedule (Novice)'!B8,{"7/20-7/22";"7/23-7/25";"7/26-7/28";"7/29-7/31";"8/1-8/3";"8/4-8/6";"8/7-8/9"},0),me,MATCH($A7,nm,0),IF(COUNT(INDEX(g,me,2*n))=1,INDEX(g,me,2*n),"")))</f>
        <v>68</v>
      </c>
      <c r="C7" s="6">
        <f t="array" ref="C7">IF('RR Schedule (Novice)'!C8="","",LET(nm,'RR Results (Novice)'!$A:$A,g,'RR Results (Novice)'!$B:$O,n,MATCH('RR Schedule (Novice)'!C8,{"7/20-7/22";"7/23-7/25";"7/26-7/28";"7/29-7/31";"8/1-8/3";"8/4-8/6";"8/7-8/9"},0),me,MATCH($A7,nm,0),IF(COUNT(INDEX(g,me,2*n))=1,INDEX(g,me,2*n),"")))</f>
        <v>78</v>
      </c>
      <c r="D7" s="171" t="str">
        <f t="array" ref="D7">IF('RR Schedule (Novice)'!D8="","",LET(nm,'RR Results (Novice)'!$A:$A,g,'RR Results (Novice)'!$B:$O,n,MATCH('RR Schedule (Novice)'!D8,{"7/20-7/22";"7/23-7/25";"7/26-7/28";"7/29-7/31";"8/1-8/3";"8/4-8/6";"8/7-8/9"},0),me,MATCH($A7,nm,0),IF(COUNT(INDEX(g,me,2*n))=1,INDEX(g,me,2*n),"")))</f>
        <v/>
      </c>
      <c r="E7" s="6">
        <f t="array" ref="E7">IF('RR Schedule (Novice)'!E8="","",LET(nm,'RR Results (Novice)'!$A:$A,g,'RR Results (Novice)'!$B:$O,n,MATCH('RR Schedule (Novice)'!E8,{"7/20-7/22";"7/23-7/25";"7/26-7/28";"7/29-7/31";"8/1-8/3";"8/4-8/6";"8/7-8/9"},0),me,MATCH($A7,nm,0),IF(COUNT(INDEX(g,me,2*n))=1,INDEX(g,me,2*n),"")))</f>
        <v>60</v>
      </c>
      <c r="F7" s="6">
        <f t="array" ref="F7">IF('RR Schedule (Novice)'!F8="","",LET(nm,'RR Results (Novice)'!$A:$A,g,'RR Results (Novice)'!$B:$O,n,MATCH('RR Schedule (Novice)'!F8,{"7/20-7/22";"7/23-7/25";"7/26-7/28";"7/29-7/31";"8/1-8/3";"8/4-8/6";"8/7-8/9"},0),me,MATCH($A7,nm,0),IF(COUNT(INDEX(g,me,2*n))=1,INDEX(g,me,2*n),"")))</f>
        <v>86</v>
      </c>
      <c r="G7" s="6">
        <f t="array" ref="G7">IF('RR Schedule (Novice)'!G8="","",LET(nm,'RR Results (Novice)'!$A:$A,g,'RR Results (Novice)'!$B:$O,n,MATCH('RR Schedule (Novice)'!G8,{"7/20-7/22";"7/23-7/25";"7/26-7/28";"7/29-7/31";"8/1-8/3";"8/4-8/6";"8/7-8/9"},0),me,MATCH($A7,nm,0),IF(COUNT(INDEX(g,me,2*n))=1,INDEX(g,me,2*n),"")))</f>
        <v>56</v>
      </c>
      <c r="H7" s="6">
        <f t="array" ref="H7">IF('RR Schedule (Novice)'!H8="","",LET(nm,'RR Results (Novice)'!$A:$A,g,'RR Results (Novice)'!$B:$O,n,MATCH('RR Schedule (Novice)'!H8,{"7/20-7/22";"7/23-7/25";"7/26-7/28";"7/29-7/31";"8/1-8/3";"8/4-8/6";"8/7-8/9"},0),me,MATCH($A7,nm,0),IF(COUNT(INDEX(g,me,2*n))=1,INDEX(g,me,2*n),"")))</f>
        <v>66</v>
      </c>
      <c r="I7" s="174">
        <f t="array" ref="I7">IF('RR Schedule (Novice)'!I8="","",LET(nm,'RR Results (Novice)'!$A:$A,g,'RR Results (Novice)'!$B:$O,n,MATCH('RR Schedule (Novice)'!I8,{"7/20-7/22";"7/23-7/25";"7/26-7/28";"7/29-7/31";"8/1-8/3";"8/4-8/6";"8/7-8/9"},0),me,MATCH($A7,nm,0),IF(COUNT(INDEX(g,me,2*n))=1,INDEX(g,me,2*n),"")))</f>
        <v>48</v>
      </c>
      <c r="J7" s="113"/>
      <c r="K7" s="125" t="s">
        <v>39</v>
      </c>
      <c r="L7" s="6">
        <f t="array" ref="L7">IF('RR Schedule (Novice)'!L8="","",LET(nm,'RR Results (Novice)'!$T:$T,g,'RR Results (Novice)'!$U:$AH,n,MATCH('RR Schedule (Novice)'!L8,{"7/20-7/22";"7/23-7/25";"7/26-7/28";"7/29-7/31";"8/1-8/3";"8/4-8/6";"8/7-8/9"},0),me,MATCH($K7,nm,0),IF(COUNT(INDEX(g,me,2*n))=1,INDEX(g,me,2*n),"")))</f>
        <v>62</v>
      </c>
      <c r="M7" s="6">
        <f t="array" ref="M7">IF('RR Schedule (Novice)'!M8="","",LET(nm,'RR Results (Novice)'!$T:$T,g,'RR Results (Novice)'!$U:$AH,n,MATCH('RR Schedule (Novice)'!M8,{"7/20-7/22";"7/23-7/25";"7/26-7/28";"7/29-7/31";"8/1-8/3";"8/4-8/6";"8/7-8/9"},0),me,MATCH($K7,nm,0),IF(COUNT(INDEX(g,me,2*n))=1,INDEX(g,me,2*n),"")))</f>
        <v>54</v>
      </c>
      <c r="N7" s="171" t="str">
        <f t="array" ref="N7">IF('RR Schedule (Novice)'!N8="","",LET(nm,'RR Results (Novice)'!$T:$T,g,'RR Results (Novice)'!$U:$AH,n,MATCH('RR Schedule (Novice)'!N8,{"7/20-7/22";"7/23-7/25";"7/26-7/28";"7/29-7/31";"8/1-8/3";"8/4-8/6";"8/7-8/9"},0),me,MATCH($K7,nm,0),IF(COUNT(INDEX(g,me,2*n))=1,INDEX(g,me,2*n),"")))</f>
        <v/>
      </c>
      <c r="O7" s="6">
        <f t="array" ref="O7">IF('RR Schedule (Novice)'!O8="","",LET(nm,'RR Results (Novice)'!$T:$T,g,'RR Results (Novice)'!$U:$AH,n,MATCH('RR Schedule (Novice)'!O8,{"7/20-7/22";"7/23-7/25";"7/26-7/28";"7/29-7/31";"8/1-8/3";"8/4-8/6";"8/7-8/9"},0),me,MATCH($K7,nm,0),IF(COUNT(INDEX(g,me,2*n))=1,INDEX(g,me,2*n),"")))</f>
        <v>30</v>
      </c>
      <c r="P7" s="6">
        <f t="array" ref="P7">IF('RR Schedule (Novice)'!P8="","",LET(nm,'RR Results (Novice)'!$T:$T,g,'RR Results (Novice)'!$U:$AH,n,MATCH('RR Schedule (Novice)'!P8,{"7/20-7/22";"7/23-7/25";"7/26-7/28";"7/29-7/31";"8/1-8/3";"8/4-8/6";"8/7-8/9"},0),me,MATCH($K7,nm,0),IF(COUNT(INDEX(g,me,2*n))=1,INDEX(g,me,2*n),"")))</f>
        <v>46</v>
      </c>
      <c r="Q7" s="6">
        <f t="array" ref="Q7">IF('RR Schedule (Novice)'!Q8="","",LET(nm,'RR Results (Novice)'!$T:$T,g,'RR Results (Novice)'!$U:$AH,n,MATCH('RR Schedule (Novice)'!Q8,{"7/20-7/22";"7/23-7/25";"7/26-7/28";"7/29-7/31";"8/1-8/3";"8/4-8/6";"8/7-8/9"},0),me,MATCH($K7,nm,0),IF(COUNT(INDEX(g,me,2*n))=1,INDEX(g,me,2*n),"")))</f>
        <v>44</v>
      </c>
      <c r="R7" s="6">
        <f t="array" ref="R7">IF('RR Schedule (Novice)'!R8="","",LET(nm,'RR Results (Novice)'!$T:$T,g,'RR Results (Novice)'!$U:$AH,n,MATCH('RR Schedule (Novice)'!R8,{"7/20-7/22";"7/23-7/25";"7/26-7/28";"7/29-7/31";"8/1-8/3";"8/4-8/6";"8/7-8/9"},0),me,MATCH($K7,nm,0),IF(COUNT(INDEX(g,me,2*n))=1,INDEX(g,me,2*n),"")))</f>
        <v>46</v>
      </c>
      <c r="S7" s="173">
        <f t="array" ref="S7">IF('RR Schedule (Novice)'!S8="","",LET(nm,'RR Results (Novice)'!$T:$T,g,'RR Results (Novice)'!$U:$AH,n,MATCH('RR Schedule (Novice)'!S8,{"7/20-7/22";"7/23-7/25";"7/26-7/28";"7/29-7/31";"8/1-8/3";"8/4-8/6";"8/7-8/9"},0),me,MATCH($K7,nm,0),IF(COUNT(INDEX(g,me,2*n))=1,INDEX(g,me,2*n),"")))</f>
        <v>58</v>
      </c>
      <c r="T7" s="113"/>
    </row>
    <row r="8" ht="19.5" customHeight="1">
      <c r="A8" s="87" t="s">
        <v>28</v>
      </c>
      <c r="B8" s="6">
        <f t="array" ref="B8">IF('RR Schedule (Novice)'!B9="","",LET(nm,'RR Results (Novice)'!$A:$A,g,'RR Results (Novice)'!$B:$O,n,MATCH('RR Schedule (Novice)'!B9,{"7/20-7/22";"7/23-7/25";"7/26-7/28";"7/29-7/31";"8/1-8/3";"8/4-8/6";"8/7-8/9"},0),me,MATCH($A8,nm,0),IF(COUNT(INDEX(g,me,2*n))=1,INDEX(g,me,2*n),"")))</f>
        <v>34</v>
      </c>
      <c r="C8" s="6">
        <f t="array" ref="C8">IF('RR Schedule (Novice)'!C9="","",LET(nm,'RR Results (Novice)'!$A:$A,g,'RR Results (Novice)'!$B:$O,n,MATCH('RR Schedule (Novice)'!C9,{"7/20-7/22";"7/23-7/25";"7/26-7/28";"7/29-7/31";"8/1-8/3";"8/4-8/6";"8/7-8/9"},0),me,MATCH($A8,nm,0),IF(COUNT(INDEX(g,me,2*n))=1,INDEX(g,me,2*n),"")))</f>
        <v>52</v>
      </c>
      <c r="D8" s="6">
        <f t="array" ref="D8">IF('RR Schedule (Novice)'!D9="","",LET(nm,'RR Results (Novice)'!$A:$A,g,'RR Results (Novice)'!$B:$O,n,MATCH('RR Schedule (Novice)'!D9,{"7/20-7/22";"7/23-7/25";"7/26-7/28";"7/29-7/31";"8/1-8/3";"8/4-8/6";"8/7-8/9"},0),me,MATCH($A8,nm,0),IF(COUNT(INDEX(g,me,2*n))=1,INDEX(g,me,2*n),"")))</f>
        <v>24</v>
      </c>
      <c r="E8" s="171" t="str">
        <f t="array" ref="E8">IF('RR Schedule (Novice)'!E9="","",LET(nm,'RR Results (Novice)'!$A:$A,g,'RR Results (Novice)'!$B:$O,n,MATCH('RR Schedule (Novice)'!E9,{"7/20-7/22";"7/23-7/25";"7/26-7/28";"7/29-7/31";"8/1-8/3";"8/4-8/6";"8/7-8/9"},0),me,MATCH($A8,nm,0),IF(COUNT(INDEX(g,me,2*n))=1,INDEX(g,me,2*n),"")))</f>
        <v/>
      </c>
      <c r="F8" s="6">
        <f t="array" ref="F8">IF('RR Schedule (Novice)'!F9="","",LET(nm,'RR Results (Novice)'!$A:$A,g,'RR Results (Novice)'!$B:$O,n,MATCH('RR Schedule (Novice)'!F9,{"7/20-7/22";"7/23-7/25";"7/26-7/28";"7/29-7/31";"8/1-8/3";"8/4-8/6";"8/7-8/9"},0),me,MATCH($A8,nm,0),IF(COUNT(INDEX(g,me,2*n))=1,INDEX(g,me,2*n),"")))</f>
        <v>8</v>
      </c>
      <c r="G8" s="6">
        <f t="array" ref="G8">IF('RR Schedule (Novice)'!G9="","",LET(nm,'RR Results (Novice)'!$A:$A,g,'RR Results (Novice)'!$B:$O,n,MATCH('RR Schedule (Novice)'!G9,{"7/20-7/22";"7/23-7/25";"7/26-7/28";"7/29-7/31";"8/1-8/3";"8/4-8/6";"8/7-8/9"},0),me,MATCH($A8,nm,0),IF(COUNT(INDEX(g,me,2*n))=1,INDEX(g,me,2*n),"")))</f>
        <v>50</v>
      </c>
      <c r="H8" s="6">
        <f t="array" ref="H8">IF('RR Schedule (Novice)'!H9="","",LET(nm,'RR Results (Novice)'!$A:$A,g,'RR Results (Novice)'!$B:$O,n,MATCH('RR Schedule (Novice)'!H9,{"7/20-7/22";"7/23-7/25";"7/26-7/28";"7/29-7/31";"8/1-8/3";"8/4-8/6";"8/7-8/9"},0),me,MATCH($A8,nm,0),IF(COUNT(INDEX(g,me,2*n))=1,INDEX(g,me,2*n),"")))</f>
        <v>52</v>
      </c>
      <c r="I8" s="173">
        <f t="array" ref="I8">IF('RR Schedule (Novice)'!I9="","",LET(nm,'RR Results (Novice)'!$A:$A,g,'RR Results (Novice)'!$B:$O,n,MATCH('RR Schedule (Novice)'!I9,{"7/20-7/22";"7/23-7/25";"7/26-7/28";"7/29-7/31";"8/1-8/3";"8/4-8/6";"8/7-8/9"},0),me,MATCH($A8,nm,0),IF(COUNT(INDEX(g,me,2*n))=1,INDEX(g,me,2*n),"")))</f>
        <v>26</v>
      </c>
      <c r="J8" s="113"/>
      <c r="K8" s="125" t="s">
        <v>35</v>
      </c>
      <c r="L8" s="6">
        <f t="array" ref="L8">IF('RR Schedule (Novice)'!L9="","",LET(nm,'RR Results (Novice)'!$T:$T,g,'RR Results (Novice)'!$U:$AH,n,MATCH('RR Schedule (Novice)'!L9,{"7/20-7/22";"7/23-7/25";"7/26-7/28";"7/29-7/31";"8/1-8/3";"8/4-8/6";"8/7-8/9"},0),me,MATCH($K8,nm,0),IF(COUNT(INDEX(g,me,2*n))=1,INDEX(g,me,2*n),"")))</f>
        <v>40</v>
      </c>
      <c r="M8" s="6">
        <f t="array" ref="M8">IF('RR Schedule (Novice)'!M9="","",LET(nm,'RR Results (Novice)'!$T:$T,g,'RR Results (Novice)'!$U:$AH,n,MATCH('RR Schedule (Novice)'!M9,{"7/20-7/22";"7/23-7/25";"7/26-7/28";"7/29-7/31";"8/1-8/3";"8/4-8/6";"8/7-8/9"},0),me,MATCH($K8,nm,0),IF(COUNT(INDEX(g,me,2*n))=1,INDEX(g,me,2*n),"")))</f>
        <v>8</v>
      </c>
      <c r="N8" s="6">
        <f t="array" ref="N8">IF('RR Schedule (Novice)'!N9="","",LET(nm,'RR Results (Novice)'!$T:$T,g,'RR Results (Novice)'!$U:$AH,n,MATCH('RR Schedule (Novice)'!N9,{"7/20-7/22";"7/23-7/25";"7/26-7/28";"7/29-7/31";"8/1-8/3";"8/4-8/6";"8/7-8/9"},0),me,MATCH($K8,nm,0),IF(COUNT(INDEX(g,me,2*n))=1,INDEX(g,me,2*n),"")))</f>
        <v>46</v>
      </c>
      <c r="O8" s="171" t="str">
        <f t="array" ref="O8">IF('RR Schedule (Novice)'!O9="","",LET(nm,'RR Results (Novice)'!$T:$T,g,'RR Results (Novice)'!$U:$AH,n,MATCH('RR Schedule (Novice)'!O9,{"7/20-7/22";"7/23-7/25";"7/26-7/28";"7/29-7/31";"8/1-8/3";"8/4-8/6";"8/7-8/9"},0),me,MATCH($K8,nm,0),IF(COUNT(INDEX(g,me,2*n))=1,INDEX(g,me,2*n),"")))</f>
        <v/>
      </c>
      <c r="P8" s="6">
        <f t="array" ref="P8">IF('RR Schedule (Novice)'!P9="","",LET(nm,'RR Results (Novice)'!$T:$T,g,'RR Results (Novice)'!$U:$AH,n,MATCH('RR Schedule (Novice)'!P9,{"7/20-7/22";"7/23-7/25";"7/26-7/28";"7/29-7/31";"8/1-8/3";"8/4-8/6";"8/7-8/9"},0),me,MATCH($K8,nm,0),IF(COUNT(INDEX(g,me,2*n))=1,INDEX(g,me,2*n),"")))</f>
        <v>0</v>
      </c>
      <c r="Q8" s="6">
        <f t="array" ref="Q8">IF('RR Schedule (Novice)'!Q9="","",LET(nm,'RR Results (Novice)'!$T:$T,g,'RR Results (Novice)'!$U:$AH,n,MATCH('RR Schedule (Novice)'!Q9,{"7/20-7/22";"7/23-7/25";"7/26-7/28";"7/29-7/31";"8/1-8/3";"8/4-8/6";"8/7-8/9"},0),me,MATCH($K8,nm,0),IF(COUNT(INDEX(g,me,2*n))=1,INDEX(g,me,2*n),"")))</f>
        <v>6</v>
      </c>
      <c r="R8" s="6">
        <f t="array" ref="R8">IF('RR Schedule (Novice)'!R9="","",LET(nm,'RR Results (Novice)'!$T:$T,g,'RR Results (Novice)'!$U:$AH,n,MATCH('RR Schedule (Novice)'!R9,{"7/20-7/22";"7/23-7/25";"7/26-7/28";"7/29-7/31";"8/1-8/3";"8/4-8/6";"8/7-8/9"},0),me,MATCH($K8,nm,0),IF(COUNT(INDEX(g,me,2*n))=1,INDEX(g,me,2*n),"")))</f>
        <v>12</v>
      </c>
      <c r="S8" s="173">
        <f t="array" ref="S8">IF('RR Schedule (Novice)'!S9="","",LET(nm,'RR Results (Novice)'!$T:$T,g,'RR Results (Novice)'!$U:$AH,n,MATCH('RR Schedule (Novice)'!S9,{"7/20-7/22";"7/23-7/25";"7/26-7/28";"7/29-7/31";"8/1-8/3";"8/4-8/6";"8/7-8/9"},0),me,MATCH($K8,nm,0),IF(COUNT(INDEX(g,me,2*n))=1,INDEX(g,me,2*n),"")))</f>
        <v>8</v>
      </c>
      <c r="T8" s="113"/>
    </row>
    <row r="9" ht="19.5" customHeight="1">
      <c r="A9" s="87" t="s">
        <v>26</v>
      </c>
      <c r="B9" s="6">
        <f t="array" ref="B9">IF('RR Schedule (Novice)'!B10="","",LET(nm,'RR Results (Novice)'!$A:$A,g,'RR Results (Novice)'!$B:$O,n,MATCH('RR Schedule (Novice)'!B10,{"7/20-7/22";"7/23-7/25";"7/26-7/28";"7/29-7/31";"8/1-8/3";"8/4-8/6";"8/7-8/9"},0),me,MATCH($A9,nm,0),IF(COUNT(INDEX(g,me,2*n))=1,INDEX(g,me,2*n),"")))</f>
        <v>26</v>
      </c>
      <c r="C9" s="172">
        <f t="array" ref="C9">IF('RR Schedule (Novice)'!C10="","",LET(nm,'RR Results (Novice)'!$A:$A,g,'RR Results (Novice)'!$B:$O,n,MATCH('RR Schedule (Novice)'!C10,{"7/20-7/22";"7/23-7/25";"7/26-7/28";"7/29-7/31";"8/1-8/3";"8/4-8/6";"8/7-8/9"},0),me,MATCH($A9,nm,0),IF(COUNT(INDEX(g,me,2*n))=1,INDEX(g,me,2*n),"")))</f>
        <v>34</v>
      </c>
      <c r="D9" s="6">
        <f t="array" ref="D9">IF('RR Schedule (Novice)'!D10="","",LET(nm,'RR Results (Novice)'!$A:$A,g,'RR Results (Novice)'!$B:$O,n,MATCH('RR Schedule (Novice)'!D10,{"7/20-7/22";"7/23-7/25";"7/26-7/28";"7/29-7/31";"8/1-8/3";"8/4-8/6";"8/7-8/9"},0),me,MATCH($A9,nm,0),IF(COUNT(INDEX(g,me,2*n))=1,INDEX(g,me,2*n),"")))</f>
        <v>-4</v>
      </c>
      <c r="E9" s="6">
        <f t="array" ref="E9">IF('RR Schedule (Novice)'!E10="","",LET(nm,'RR Results (Novice)'!$A:$A,g,'RR Results (Novice)'!$B:$O,n,MATCH('RR Schedule (Novice)'!E10,{"7/20-7/22";"7/23-7/25";"7/26-7/28";"7/29-7/31";"8/1-8/3";"8/4-8/6";"8/7-8/9"},0),me,MATCH($A9,nm,0),IF(COUNT(INDEX(g,me,2*n))=1,INDEX(g,me,2*n),"")))</f>
        <v>30</v>
      </c>
      <c r="F9" s="171" t="str">
        <f t="array" ref="F9">IF('RR Schedule (Novice)'!F10="","",LET(nm,'RR Results (Novice)'!$A:$A,g,'RR Results (Novice)'!$B:$O,n,MATCH('RR Schedule (Novice)'!F10,{"7/20-7/22";"7/23-7/25";"7/26-7/28";"7/29-7/31";"8/1-8/3";"8/4-8/6";"8/7-8/9"},0),me,MATCH($A9,nm,0),IF(COUNT(INDEX(g,me,2*n))=1,INDEX(g,me,2*n),"")))</f>
        <v/>
      </c>
      <c r="G9" s="6">
        <f t="array" ref="G9">IF('RR Schedule (Novice)'!G10="","",LET(nm,'RR Results (Novice)'!$A:$A,g,'RR Results (Novice)'!$B:$O,n,MATCH('RR Schedule (Novice)'!G10,{"7/20-7/22";"7/23-7/25";"7/26-7/28";"7/29-7/31";"8/1-8/3";"8/4-8/6";"8/7-8/9"},0),me,MATCH($A9,nm,0),IF(COUNT(INDEX(g,me,2*n))=1,INDEX(g,me,2*n),"")))</f>
        <v>50</v>
      </c>
      <c r="H9" s="6">
        <f t="array" ref="H9">IF('RR Schedule (Novice)'!H10="","",LET(nm,'RR Results (Novice)'!$A:$A,g,'RR Results (Novice)'!$B:$O,n,MATCH('RR Schedule (Novice)'!H10,{"7/20-7/22";"7/23-7/25";"7/26-7/28";"7/29-7/31";"8/1-8/3";"8/4-8/6";"8/7-8/9"},0),me,MATCH($A9,nm,0),IF(COUNT(INDEX(g,me,2*n))=1,INDEX(g,me,2*n),"")))</f>
        <v>48</v>
      </c>
      <c r="I9" s="173">
        <f t="array" ref="I9">IF('RR Schedule (Novice)'!I10="","",LET(nm,'RR Results (Novice)'!$A:$A,g,'RR Results (Novice)'!$B:$O,n,MATCH('RR Schedule (Novice)'!I10,{"7/20-7/22";"7/23-7/25";"7/26-7/28";"7/29-7/31";"8/1-8/3";"8/4-8/6";"8/7-8/9"},0),me,MATCH($A9,nm,0),IF(COUNT(INDEX(g,me,2*n))=1,INDEX(g,me,2*n),"")))</f>
        <v>20</v>
      </c>
      <c r="J9" s="113"/>
      <c r="K9" s="125" t="s">
        <v>30</v>
      </c>
      <c r="L9" s="6">
        <f t="array" ref="L9">IF('RR Schedule (Novice)'!L10="","",LET(nm,'RR Results (Novice)'!$T:$T,g,'RR Results (Novice)'!$U:$AH,n,MATCH('RR Schedule (Novice)'!L10,{"7/20-7/22";"7/23-7/25";"7/26-7/28";"7/29-7/31";"8/1-8/3";"8/4-8/6";"8/7-8/9"},0),me,MATCH($K9,nm,0),IF(COUNT(INDEX(g,me,2*n))=1,INDEX(g,me,2*n),"")))</f>
        <v>18</v>
      </c>
      <c r="M9" s="6">
        <f t="array" ref="M9">IF('RR Schedule (Novice)'!M10="","",LET(nm,'RR Results (Novice)'!$T:$T,g,'RR Results (Novice)'!$U:$AH,n,MATCH('RR Schedule (Novice)'!M10,{"7/20-7/22";"7/23-7/25";"7/26-7/28";"7/29-7/31";"8/1-8/3";"8/4-8/6";"8/7-8/9"},0),me,MATCH($K9,nm,0),IF(COUNT(INDEX(g,me,2*n))=1,INDEX(g,me,2*n),"")))</f>
        <v>48</v>
      </c>
      <c r="N9" s="6">
        <f t="array" ref="N9">IF('RR Schedule (Novice)'!N10="","",LET(nm,'RR Results (Novice)'!$T:$T,g,'RR Results (Novice)'!$U:$AH,n,MATCH('RR Schedule (Novice)'!N10,{"7/20-7/22";"7/23-7/25";"7/26-7/28";"7/29-7/31";"8/1-8/3";"8/4-8/6";"8/7-8/9"},0),me,MATCH($K9,nm,0),IF(COUNT(INDEX(g,me,2*n))=1,INDEX(g,me,2*n),"")))</f>
        <v>42</v>
      </c>
      <c r="O9" s="6">
        <f t="array" ref="O9">IF('RR Schedule (Novice)'!O10="","",LET(nm,'RR Results (Novice)'!$T:$T,g,'RR Results (Novice)'!$U:$AH,n,MATCH('RR Schedule (Novice)'!O10,{"7/20-7/22";"7/23-7/25";"7/26-7/28";"7/29-7/31";"8/1-8/3";"8/4-8/6";"8/7-8/9"},0),me,MATCH($K9,nm,0),IF(COUNT(INDEX(g,me,2*n))=1,INDEX(g,me,2*n),"")))</f>
        <v>16</v>
      </c>
      <c r="P9" s="171" t="str">
        <f t="array" ref="P9">IF('RR Schedule (Novice)'!P10="","",LET(nm,'RR Results (Novice)'!$T:$T,g,'RR Results (Novice)'!$U:$AH,n,MATCH('RR Schedule (Novice)'!P10,{"7/20-7/22";"7/23-7/25";"7/26-7/28";"7/29-7/31";"8/1-8/3";"8/4-8/6";"8/7-8/9"},0),me,MATCH($K9,nm,0),IF(COUNT(INDEX(g,me,2*n))=1,INDEX(g,me,2*n),"")))</f>
        <v/>
      </c>
      <c r="Q9" s="6">
        <f t="array" ref="Q9">IF('RR Schedule (Novice)'!Q10="","",LET(nm,'RR Results (Novice)'!$T:$T,g,'RR Results (Novice)'!$U:$AH,n,MATCH('RR Schedule (Novice)'!Q10,{"7/20-7/22";"7/23-7/25";"7/26-7/28";"7/29-7/31";"8/1-8/3";"8/4-8/6";"8/7-8/9"},0),me,MATCH($K9,nm,0),IF(COUNT(INDEX(g,me,2*n))=1,INDEX(g,me,2*n),"")))</f>
        <v>44</v>
      </c>
      <c r="R9" s="6">
        <f t="array" ref="R9">IF('RR Schedule (Novice)'!R10="","",LET(nm,'RR Results (Novice)'!$T:$T,g,'RR Results (Novice)'!$U:$AH,n,MATCH('RR Schedule (Novice)'!R10,{"7/20-7/22";"7/23-7/25";"7/26-7/28";"7/29-7/31";"8/1-8/3";"8/4-8/6";"8/7-8/9"},0),me,MATCH($K9,nm,0),IF(COUNT(INDEX(g,me,2*n))=1,INDEX(g,me,2*n),"")))</f>
        <v>56</v>
      </c>
      <c r="S9" s="173">
        <f t="array" ref="S9">IF('RR Schedule (Novice)'!S10="","",LET(nm,'RR Results (Novice)'!$T:$T,g,'RR Results (Novice)'!$U:$AH,n,MATCH('RR Schedule (Novice)'!S10,{"7/20-7/22";"7/23-7/25";"7/26-7/28";"7/29-7/31";"8/1-8/3";"8/4-8/6";"8/7-8/9"},0),me,MATCH($K9,nm,0),IF(COUNT(INDEX(g,me,2*n))=1,INDEX(g,me,2*n),"")))</f>
        <v>20</v>
      </c>
      <c r="T9" s="113"/>
    </row>
    <row r="10" ht="19.5" customHeight="1">
      <c r="A10" s="87" t="s">
        <v>40</v>
      </c>
      <c r="B10" s="6">
        <f t="array" ref="B10">IF('RR Schedule (Novice)'!B11="","",LET(nm,'RR Results (Novice)'!$A:$A,g,'RR Results (Novice)'!$B:$O,n,MATCH('RR Schedule (Novice)'!B11,{"7/20-7/22";"7/23-7/25";"7/26-7/28";"7/29-7/31";"8/1-8/3";"8/4-8/6";"8/7-8/9"},0),me,MATCH($A10,nm,0),IF(COUNT(INDEX(g,me,2*n))=1,INDEX(g,me,2*n),"")))</f>
        <v>12</v>
      </c>
      <c r="C10" s="6">
        <f t="array" ref="C10">IF('RR Schedule (Novice)'!C11="","",LET(nm,'RR Results (Novice)'!$A:$A,g,'RR Results (Novice)'!$B:$O,n,MATCH('RR Schedule (Novice)'!C11,{"7/20-7/22";"7/23-7/25";"7/26-7/28";"7/29-7/31";"8/1-8/3";"8/4-8/6";"8/7-8/9"},0),me,MATCH($A10,nm,0),IF(COUNT(INDEX(g,me,2*n))=1,INDEX(g,me,2*n),"")))</f>
        <v>42</v>
      </c>
      <c r="D10" s="6">
        <f t="array" ref="D10">IF('RR Schedule (Novice)'!D11="","",LET(nm,'RR Results (Novice)'!$A:$A,g,'RR Results (Novice)'!$B:$O,n,MATCH('RR Schedule (Novice)'!D11,{"7/20-7/22";"7/23-7/25";"7/26-7/28";"7/29-7/31";"8/1-8/3";"8/4-8/6";"8/7-8/9"},0),me,MATCH($A10,nm,0),IF(COUNT(INDEX(g,me,2*n))=1,INDEX(g,me,2*n),"")))</f>
        <v>4</v>
      </c>
      <c r="E10" s="6">
        <f t="array" ref="E10">IF('RR Schedule (Novice)'!E11="","",LET(nm,'RR Results (Novice)'!$A:$A,g,'RR Results (Novice)'!$B:$O,n,MATCH('RR Schedule (Novice)'!E11,{"7/20-7/22";"7/23-7/25";"7/26-7/28";"7/29-7/31";"8/1-8/3";"8/4-8/6";"8/7-8/9"},0),me,MATCH($A10,nm,0),IF(COUNT(INDEX(g,me,2*n))=1,INDEX(g,me,2*n),"")))</f>
        <v>14</v>
      </c>
      <c r="F10" s="6">
        <f t="array" ref="F10">IF('RR Schedule (Novice)'!F11="","",LET(nm,'RR Results (Novice)'!$A:$A,g,'RR Results (Novice)'!$B:$O,n,MATCH('RR Schedule (Novice)'!F11,{"7/20-7/22";"7/23-7/25";"7/26-7/28";"7/29-7/31";"8/1-8/3";"8/4-8/6";"8/7-8/9"},0),me,MATCH($A10,nm,0),IF(COUNT(INDEX(g,me,2*n))=1,INDEX(g,me,2*n),"")))</f>
        <v>38</v>
      </c>
      <c r="G10" s="171" t="str">
        <f t="array" ref="G10">IF('RR Schedule (Novice)'!G11="","",LET(nm,'RR Results (Novice)'!$A:$A,g,'RR Results (Novice)'!$B:$O,n,MATCH('RR Schedule (Novice)'!G11,{"7/20-7/22";"7/23-7/25";"7/26-7/28";"7/29-7/31";"8/1-8/3";"8/4-8/6";"8/7-8/9"},0),me,MATCH($A10,nm,0),IF(COUNT(INDEX(g,me,2*n))=1,INDEX(g,me,2*n),"")))</f>
        <v/>
      </c>
      <c r="H10" s="6">
        <f t="array" ref="H10">IF('RR Schedule (Novice)'!H11="","",LET(nm,'RR Results (Novice)'!$A:$A,g,'RR Results (Novice)'!$B:$O,n,MATCH('RR Schedule (Novice)'!H11,{"7/20-7/22";"7/23-7/25";"7/26-7/28";"7/29-7/31";"8/1-8/3";"8/4-8/6";"8/7-8/9"},0),me,MATCH($A10,nm,0),IF(COUNT(INDEX(g,me,2*n))=1,INDEX(g,me,2*n),"")))</f>
        <v>12</v>
      </c>
      <c r="I10" s="173">
        <f t="array" ref="I10">IF('RR Schedule (Novice)'!I11="","",LET(nm,'RR Results (Novice)'!$A:$A,g,'RR Results (Novice)'!$B:$O,n,MATCH('RR Schedule (Novice)'!I11,{"7/20-7/22";"7/23-7/25";"7/26-7/28";"7/29-7/31";"8/1-8/3";"8/4-8/6";"8/7-8/9"},0),me,MATCH($A10,nm,0),IF(COUNT(INDEX(g,me,2*n))=1,INDEX(g,me,2*n),"")))</f>
        <v>8</v>
      </c>
      <c r="J10" s="113"/>
      <c r="K10" s="125" t="s">
        <v>32</v>
      </c>
      <c r="L10" s="6">
        <f t="array" ref="L10">IF('RR Schedule (Novice)'!L11="","",LET(nm,'RR Results (Novice)'!$T:$T,g,'RR Results (Novice)'!$U:$AH,n,MATCH('RR Schedule (Novice)'!L11,{"7/20-7/22";"7/23-7/25";"7/26-7/28";"7/29-7/31";"8/1-8/3";"8/4-8/6";"8/7-8/9"},0),me,MATCH($K10,nm,0),IF(COUNT(INDEX(g,me,2*n))=1,INDEX(g,me,2*n),"")))</f>
        <v>44</v>
      </c>
      <c r="M10" s="6">
        <f t="array" ref="M10">IF('RR Schedule (Novice)'!M11="","",LET(nm,'RR Results (Novice)'!$T:$T,g,'RR Results (Novice)'!$U:$AH,n,MATCH('RR Schedule (Novice)'!M11,{"7/20-7/22";"7/23-7/25";"7/26-7/28";"7/29-7/31";"8/1-8/3";"8/4-8/6";"8/7-8/9"},0),me,MATCH($K10,nm,0),IF(COUNT(INDEX(g,me,2*n))=1,INDEX(g,me,2*n),"")))</f>
        <v>72</v>
      </c>
      <c r="N10" s="6">
        <f t="array" ref="N10">IF('RR Schedule (Novice)'!N11="","",LET(nm,'RR Results (Novice)'!$T:$T,g,'RR Results (Novice)'!$U:$AH,n,MATCH('RR Schedule (Novice)'!N11,{"7/20-7/22";"7/23-7/25";"7/26-7/28";"7/29-7/31";"8/1-8/3";"8/4-8/6";"8/7-8/9"},0),me,MATCH($K10,nm,0),IF(COUNT(INDEX(g,me,2*n))=1,INDEX(g,me,2*n),"")))</f>
        <v>26</v>
      </c>
      <c r="O10" s="6">
        <f t="array" ref="O10">IF('RR Schedule (Novice)'!O11="","",LET(nm,'RR Results (Novice)'!$T:$T,g,'RR Results (Novice)'!$U:$AH,n,MATCH('RR Schedule (Novice)'!O11,{"7/20-7/22";"7/23-7/25";"7/26-7/28";"7/29-7/31";"8/1-8/3";"8/4-8/6";"8/7-8/9"},0),me,MATCH($K10,nm,0),IF(COUNT(INDEX(g,me,2*n))=1,INDEX(g,me,2*n),"")))</f>
        <v>36</v>
      </c>
      <c r="P10" s="6">
        <f t="array" ref="P10">IF('RR Schedule (Novice)'!P11="","",LET(nm,'RR Results (Novice)'!$T:$T,g,'RR Results (Novice)'!$U:$AH,n,MATCH('RR Schedule (Novice)'!P11,{"7/20-7/22";"7/23-7/25";"7/26-7/28";"7/29-7/31";"8/1-8/3";"8/4-8/6";"8/7-8/9"},0),me,MATCH($K10,nm,0),IF(COUNT(INDEX(g,me,2*n))=1,INDEX(g,me,2*n),"")))</f>
        <v>30</v>
      </c>
      <c r="Q10" s="171" t="str">
        <f t="array" ref="Q10">IF('RR Schedule (Novice)'!Q11="","",LET(nm,'RR Results (Novice)'!$T:$T,g,'RR Results (Novice)'!$U:$AH,n,MATCH('RR Schedule (Novice)'!Q11,{"7/20-7/22";"7/23-7/25";"7/26-7/28";"7/29-7/31";"8/1-8/3";"8/4-8/6";"8/7-8/9"},0),me,MATCH($K10,nm,0),IF(COUNT(INDEX(g,me,2*n))=1,INDEX(g,me,2*n),"")))</f>
        <v/>
      </c>
      <c r="R10" s="6">
        <f t="array" ref="R10">IF('RR Schedule (Novice)'!R11="","",LET(nm,'RR Results (Novice)'!$T:$T,g,'RR Results (Novice)'!$U:$AH,n,MATCH('RR Schedule (Novice)'!R11,{"7/20-7/22";"7/23-7/25";"7/26-7/28";"7/29-7/31";"8/1-8/3";"8/4-8/6";"8/7-8/9"},0),me,MATCH($K10,nm,0),IF(COUNT(INDEX(g,me,2*n))=1,INDEX(g,me,2*n),"")))</f>
        <v>30</v>
      </c>
      <c r="S10" s="173">
        <f t="array" ref="S10">IF('RR Schedule (Novice)'!S11="","",LET(nm,'RR Results (Novice)'!$T:$T,g,'RR Results (Novice)'!$U:$AH,n,MATCH('RR Schedule (Novice)'!S11,{"7/20-7/22";"7/23-7/25";"7/26-7/28";"7/29-7/31";"8/1-8/3";"8/4-8/6";"8/7-8/9"},0),me,MATCH($K10,nm,0),IF(COUNT(INDEX(g,me,2*n))=1,INDEX(g,me,2*n),"")))</f>
        <v>32</v>
      </c>
      <c r="T10" s="113"/>
    </row>
    <row r="11" ht="19.5" customHeight="1">
      <c r="A11" s="90" t="s">
        <v>27</v>
      </c>
      <c r="B11" s="6">
        <f t="array" ref="B11">IF('RR Schedule (Novice)'!B12="","",LET(nm,'RR Results (Novice)'!$A:$A,g,'RR Results (Novice)'!$B:$O,n,MATCH('RR Schedule (Novice)'!B12,{"7/20-7/22";"7/23-7/25";"7/26-7/28";"7/29-7/31";"8/1-8/3";"8/4-8/6";"8/7-8/9"},0),me,MATCH($A11,nm,0),IF(COUNT(INDEX(g,me,2*n))=1,INDEX(g,me,2*n),"")))</f>
        <v>38</v>
      </c>
      <c r="C11" s="6">
        <f t="array" ref="C11">IF('RR Schedule (Novice)'!C12="","",LET(nm,'RR Results (Novice)'!$A:$A,g,'RR Results (Novice)'!$B:$O,n,MATCH('RR Schedule (Novice)'!C12,{"7/20-7/22";"7/23-7/25";"7/26-7/28";"7/29-7/31";"8/1-8/3";"8/4-8/6";"8/7-8/9"},0),me,MATCH($A11,nm,0),IF(COUNT(INDEX(g,me,2*n))=1,INDEX(g,me,2*n),"")))</f>
        <v>34</v>
      </c>
      <c r="D11" s="6">
        <f t="array" ref="D11">IF('RR Schedule (Novice)'!D12="","",LET(nm,'RR Results (Novice)'!$A:$A,g,'RR Results (Novice)'!$B:$O,n,MATCH('RR Schedule (Novice)'!D12,{"7/20-7/22";"7/23-7/25";"7/26-7/28";"7/29-7/31";"8/1-8/3";"8/4-8/6";"8/7-8/9"},0),me,MATCH($A11,nm,0),IF(COUNT(INDEX(g,me,2*n))=1,INDEX(g,me,2*n),"")))</f>
        <v>8</v>
      </c>
      <c r="E11" s="6">
        <f t="array" ref="E11">IF('RR Schedule (Novice)'!E12="","",LET(nm,'RR Results (Novice)'!$A:$A,g,'RR Results (Novice)'!$B:$O,n,MATCH('RR Schedule (Novice)'!E12,{"7/20-7/22";"7/23-7/25";"7/26-7/28";"7/29-7/31";"8/1-8/3";"8/4-8/6";"8/7-8/9"},0),me,MATCH($A11,nm,0),IF(COUNT(INDEX(g,me,2*n))=1,INDEX(g,me,2*n),"")))</f>
        <v>30</v>
      </c>
      <c r="F11" s="6">
        <f t="array" ref="F11">IF('RR Schedule (Novice)'!F12="","",LET(nm,'RR Results (Novice)'!$A:$A,g,'RR Results (Novice)'!$B:$O,n,MATCH('RR Schedule (Novice)'!F12,{"7/20-7/22";"7/23-7/25";"7/26-7/28";"7/29-7/31";"8/1-8/3";"8/4-8/6";"8/7-8/9"},0),me,MATCH($A11,nm,0),IF(COUNT(INDEX(g,me,2*n))=1,INDEX(g,me,2*n),"")))</f>
        <v>38</v>
      </c>
      <c r="G11" s="6">
        <f t="array" ref="G11">IF('RR Schedule (Novice)'!G12="","",LET(nm,'RR Results (Novice)'!$A:$A,g,'RR Results (Novice)'!$B:$O,n,MATCH('RR Schedule (Novice)'!G12,{"7/20-7/22";"7/23-7/25";"7/26-7/28";"7/29-7/31";"8/1-8/3";"8/4-8/6";"8/7-8/9"},0),me,MATCH($A11,nm,0),IF(COUNT(INDEX(g,me,2*n))=1,INDEX(g,me,2*n),"")))</f>
        <v>52</v>
      </c>
      <c r="H11" s="171" t="str">
        <f t="array" ref="H11">IF('RR Schedule (Novice)'!H12="","",LET(nm,'RR Results (Novice)'!$A:$A,g,'RR Results (Novice)'!$B:$O,n,MATCH('RR Schedule (Novice)'!H12,{"7/20-7/22";"7/23-7/25";"7/26-7/28";"7/29-7/31";"8/1-8/3";"8/4-8/6";"8/7-8/9"},0),me,MATCH($A11,nm,0),IF(COUNT(INDEX(g,me,2*n))=1,INDEX(g,me,2*n),"")))</f>
        <v/>
      </c>
      <c r="I11" s="173">
        <f t="array" ref="I11">IF('RR Schedule (Novice)'!I12="","",LET(nm,'RR Results (Novice)'!$A:$A,g,'RR Results (Novice)'!$B:$O,n,MATCH('RR Schedule (Novice)'!I12,{"7/20-7/22";"7/23-7/25";"7/26-7/28";"7/29-7/31";"8/1-8/3";"8/4-8/6";"8/7-8/9"},0),me,MATCH($A11,nm,0),IF(COUNT(INDEX(g,me,2*n))=1,INDEX(g,me,2*n),"")))</f>
        <v>12</v>
      </c>
      <c r="J11" s="112"/>
      <c r="K11" s="125" t="s">
        <v>37</v>
      </c>
      <c r="L11" s="6">
        <f t="array" ref="L11">IF('RR Schedule (Novice)'!L12="","",LET(nm,'RR Results (Novice)'!$T:$T,g,'RR Results (Novice)'!$U:$AH,n,MATCH('RR Schedule (Novice)'!L12,{"7/20-7/22";"7/23-7/25";"7/26-7/28";"7/29-7/31";"8/1-8/3";"8/4-8/6";"8/7-8/9"},0),me,MATCH($K11,nm,0),IF(COUNT(INDEX(g,me,2*n))=1,INDEX(g,me,2*n),"")))</f>
        <v>36</v>
      </c>
      <c r="M11" s="6">
        <f t="array" ref="M11">IF('RR Schedule (Novice)'!M12="","",LET(nm,'RR Results (Novice)'!$T:$T,g,'RR Results (Novice)'!$U:$AH,n,MATCH('RR Schedule (Novice)'!M12,{"7/20-7/22";"7/23-7/25";"7/26-7/28";"7/29-7/31";"8/1-8/3";"8/4-8/6";"8/7-8/9"},0),me,MATCH($K11,nm,0),IF(COUNT(INDEX(g,me,2*n))=1,INDEX(g,me,2*n),"")))</f>
        <v>42</v>
      </c>
      <c r="N11" s="6">
        <f t="array" ref="N11">IF('RR Schedule (Novice)'!N12="","",LET(nm,'RR Results (Novice)'!$T:$T,g,'RR Results (Novice)'!$U:$AH,n,MATCH('RR Schedule (Novice)'!N12,{"7/20-7/22";"7/23-7/25";"7/26-7/28";"7/29-7/31";"8/1-8/3";"8/4-8/6";"8/7-8/9"},0),me,MATCH($K11,nm,0),IF(COUNT(INDEX(g,me,2*n))=1,INDEX(g,me,2*n),"")))</f>
        <v>20</v>
      </c>
      <c r="O11" s="6">
        <f t="array" ref="O11">IF('RR Schedule (Novice)'!O12="","",LET(nm,'RR Results (Novice)'!$T:$T,g,'RR Results (Novice)'!$U:$AH,n,MATCH('RR Schedule (Novice)'!O12,{"7/20-7/22";"7/23-7/25";"7/26-7/28";"7/29-7/31";"8/1-8/3";"8/4-8/6";"8/7-8/9"},0),me,MATCH($K11,nm,0),IF(COUNT(INDEX(g,me,2*n))=1,INDEX(g,me,2*n),"")))</f>
        <v>58</v>
      </c>
      <c r="P11" s="6">
        <f t="array" ref="P11">IF('RR Schedule (Novice)'!P12="","",LET(nm,'RR Results (Novice)'!$T:$T,g,'RR Results (Novice)'!$U:$AH,n,MATCH('RR Schedule (Novice)'!P12,{"7/20-7/22";"7/23-7/25";"7/26-7/28";"7/29-7/31";"8/1-8/3";"8/4-8/6";"8/7-8/9"},0),me,MATCH($K11,nm,0),IF(COUNT(INDEX(g,me,2*n))=1,INDEX(g,me,2*n),"")))</f>
        <v>18</v>
      </c>
      <c r="Q11" s="6">
        <f t="array" ref="Q11">IF('RR Schedule (Novice)'!Q12="","",LET(nm,'RR Results (Novice)'!$T:$T,g,'RR Results (Novice)'!$U:$AH,n,MATCH('RR Schedule (Novice)'!Q12,{"7/20-7/22";"7/23-7/25";"7/26-7/28";"7/29-7/31";"8/1-8/3";"8/4-8/6";"8/7-8/9"},0),me,MATCH($K11,nm,0),IF(COUNT(INDEX(g,me,2*n))=1,INDEX(g,me,2*n),"")))</f>
        <v>28</v>
      </c>
      <c r="R11" s="171" t="str">
        <f t="array" ref="R11">IF('RR Schedule (Novice)'!R12="","",LET(nm,'RR Results (Novice)'!$T:$T,g,'RR Results (Novice)'!$U:$AH,n,MATCH('RR Schedule (Novice)'!R12,{"7/20-7/22";"7/23-7/25";"7/26-7/28";"7/29-7/31";"8/1-8/3";"8/4-8/6";"8/7-8/9"},0),me,MATCH($K11,nm,0),IF(COUNT(INDEX(g,me,2*n))=1,INDEX(g,me,2*n),"")))</f>
        <v/>
      </c>
      <c r="S11" s="173">
        <f t="array" ref="S11">IF('RR Schedule (Novice)'!S12="","",LET(nm,'RR Results (Novice)'!$T:$T,g,'RR Results (Novice)'!$U:$AH,n,MATCH('RR Schedule (Novice)'!S12,{"7/20-7/22";"7/23-7/25";"7/26-7/28";"7/29-7/31";"8/1-8/3";"8/4-8/6";"8/7-8/9"},0),me,MATCH($K11,nm,0),IF(COUNT(INDEX(g,me,2*n))=1,INDEX(g,me,2*n),"")))</f>
        <v>50</v>
      </c>
      <c r="T11" s="113"/>
    </row>
    <row r="12" ht="19.5" customHeight="1">
      <c r="A12" s="130" t="s">
        <v>34</v>
      </c>
      <c r="B12" s="27">
        <f t="array" ref="B12">IF('RR Schedule (Novice)'!B13="","",LET(nm,'RR Results (Novice)'!$A:$A,g,'RR Results (Novice)'!$B:$O,n,MATCH('RR Schedule (Novice)'!B13,{"7/20-7/22";"7/23-7/25";"7/26-7/28";"7/29-7/31";"8/1-8/3";"8/4-8/6";"8/7-8/9"},0),me,MATCH($A12,nm,0),IF(COUNT(INDEX(g,me,2*n))=1,INDEX(g,me,2*n),"")))</f>
        <v>34</v>
      </c>
      <c r="C12" s="27">
        <f t="array" ref="C12">IF('RR Schedule (Novice)'!C13="","",LET(nm,'RR Results (Novice)'!$A:$A,g,'RR Results (Novice)'!$B:$O,n,MATCH('RR Schedule (Novice)'!C13,{"7/20-7/22";"7/23-7/25";"7/26-7/28";"7/29-7/31";"8/1-8/3";"8/4-8/6";"8/7-8/9"},0),me,MATCH($A12,nm,0),IF(COUNT(INDEX(g,me,2*n))=1,INDEX(g,me,2*n),"")))</f>
        <v>46</v>
      </c>
      <c r="D12" s="175">
        <f t="array" ref="D12">IF('RR Schedule (Novice)'!D13="","",LET(nm,'RR Results (Novice)'!$A:$A,g,'RR Results (Novice)'!$B:$O,n,MATCH('RR Schedule (Novice)'!D13,{"7/20-7/22";"7/23-7/25";"7/26-7/28";"7/29-7/31";"8/1-8/3";"8/4-8/6";"8/7-8/9"},0),me,MATCH($A12,nm,0),IF(COUNT(INDEX(g,me,2*n))=1,INDEX(g,me,2*n),"")))</f>
        <v>48</v>
      </c>
      <c r="E12" s="27">
        <f t="array" ref="E12">IF('RR Schedule (Novice)'!E13="","",LET(nm,'RR Results (Novice)'!$A:$A,g,'RR Results (Novice)'!$B:$O,n,MATCH('RR Schedule (Novice)'!E13,{"7/20-7/22";"7/23-7/25";"7/26-7/28";"7/29-7/31";"8/1-8/3";"8/4-8/6";"8/7-8/9"},0),me,MATCH($A12,nm,0),IF(COUNT(INDEX(g,me,2*n))=1,INDEX(g,me,2*n),"")))</f>
        <v>46</v>
      </c>
      <c r="F12" s="27">
        <f t="array" ref="F12">IF('RR Schedule (Novice)'!F13="","",LET(nm,'RR Results (Novice)'!$A:$A,g,'RR Results (Novice)'!$B:$O,n,MATCH('RR Schedule (Novice)'!F13,{"7/20-7/22";"7/23-7/25";"7/26-7/28";"7/29-7/31";"8/1-8/3";"8/4-8/6";"8/7-8/9"},0),me,MATCH($A12,nm,0),IF(COUNT(INDEX(g,me,2*n))=1,INDEX(g,me,2*n),"")))</f>
        <v>40</v>
      </c>
      <c r="G12" s="27">
        <f t="array" ref="G12">IF('RR Schedule (Novice)'!G13="","",LET(nm,'RR Results (Novice)'!$A:$A,g,'RR Results (Novice)'!$B:$O,n,MATCH('RR Schedule (Novice)'!G13,{"7/20-7/22";"7/23-7/25";"7/26-7/28";"7/29-7/31";"8/1-8/3";"8/4-8/6";"8/7-8/9"},0),me,MATCH($A12,nm,0),IF(COUNT(INDEX(g,me,2*n))=1,INDEX(g,me,2*n),"")))</f>
        <v>72</v>
      </c>
      <c r="H12" s="27">
        <f t="array" ref="H12">IF('RR Schedule (Novice)'!H13="","",LET(nm,'RR Results (Novice)'!$A:$A,g,'RR Results (Novice)'!$B:$O,n,MATCH('RR Schedule (Novice)'!H13,{"7/20-7/22";"7/23-7/25";"7/26-7/28";"7/29-7/31";"8/1-8/3";"8/4-8/6";"8/7-8/9"},0),me,MATCH($A12,nm,0),IF(COUNT(INDEX(g,me,2*n))=1,INDEX(g,me,2*n),"")))</f>
        <v>56</v>
      </c>
      <c r="I12" s="176" t="str">
        <f t="array" ref="I12">IF('RR Schedule (Novice)'!I13="","",LET(nm,'RR Results (Novice)'!$A:$A,g,'RR Results (Novice)'!$B:$O,n,MATCH('RR Schedule (Novice)'!I13,{"7/20-7/22";"7/23-7/25";"7/26-7/28";"7/29-7/31";"8/1-8/3";"8/4-8/6";"8/7-8/9"},0),me,MATCH($A12,nm,0),IF(COUNT(INDEX(g,me,2*n))=1,INDEX(g,me,2*n),"")))</f>
        <v/>
      </c>
      <c r="J12" s="113"/>
      <c r="K12" s="130" t="s">
        <v>38</v>
      </c>
      <c r="L12" s="27">
        <f t="array" ref="L12">IF('RR Schedule (Novice)'!L13="","",LET(nm,'RR Results (Novice)'!$T:$T,g,'RR Results (Novice)'!$U:$AH,n,MATCH('RR Schedule (Novice)'!L13,{"7/20-7/22";"7/23-7/25";"7/26-7/28";"7/29-7/31";"8/1-8/3";"8/4-8/6";"8/7-8/9"},0),me,MATCH($K12,nm,0),IF(COUNT(INDEX(g,me,2*n))=1,INDEX(g,me,2*n),"")))</f>
        <v>30</v>
      </c>
      <c r="M12" s="27">
        <f t="array" ref="M12">IF('RR Schedule (Novice)'!M13="","",LET(nm,'RR Results (Novice)'!$T:$T,g,'RR Results (Novice)'!$U:$AH,n,MATCH('RR Schedule (Novice)'!M13,{"7/20-7/22";"7/23-7/25";"7/26-7/28";"7/29-7/31";"8/1-8/3";"8/4-8/6";"8/7-8/9"},0),me,MATCH($K12,nm,0),IF(COUNT(INDEX(g,me,2*n))=1,INDEX(g,me,2*n),"")))</f>
        <v>64</v>
      </c>
      <c r="N12" s="27">
        <f t="array" ref="N12">IF('RR Schedule (Novice)'!N13="","",LET(nm,'RR Results (Novice)'!$T:$T,g,'RR Results (Novice)'!$U:$AH,n,MATCH('RR Schedule (Novice)'!N13,{"7/20-7/22";"7/23-7/25";"7/26-7/28";"7/29-7/31";"8/1-8/3";"8/4-8/6";"8/7-8/9"},0),me,MATCH($K12,nm,0),IF(COUNT(INDEX(g,me,2*n))=1,INDEX(g,me,2*n),"")))</f>
        <v>4</v>
      </c>
      <c r="O12" s="27">
        <f t="array" ref="O12">IF('RR Schedule (Novice)'!O13="","",LET(nm,'RR Results (Novice)'!$T:$T,g,'RR Results (Novice)'!$U:$AH,n,MATCH('RR Schedule (Novice)'!O13,{"7/20-7/22";"7/23-7/25";"7/26-7/28";"7/29-7/31";"8/1-8/3";"8/4-8/6";"8/7-8/9"},0),me,MATCH($K12,nm,0),IF(COUNT(INDEX(g,me,2*n))=1,INDEX(g,me,2*n),"")))</f>
        <v>32</v>
      </c>
      <c r="P12" s="27">
        <f t="array" ref="P12">IF('RR Schedule (Novice)'!P13="","",LET(nm,'RR Results (Novice)'!$T:$T,g,'RR Results (Novice)'!$U:$AH,n,MATCH('RR Schedule (Novice)'!P13,{"7/20-7/22";"7/23-7/25";"7/26-7/28";"7/29-7/31";"8/1-8/3";"8/4-8/6";"8/7-8/9"},0),me,MATCH($K12,nm,0),IF(COUNT(INDEX(g,me,2*n))=1,INDEX(g,me,2*n),"")))</f>
        <v>8</v>
      </c>
      <c r="Q12" s="27">
        <f t="array" ref="Q12">IF('RR Schedule (Novice)'!Q13="","",LET(nm,'RR Results (Novice)'!$T:$T,g,'RR Results (Novice)'!$U:$AH,n,MATCH('RR Schedule (Novice)'!Q13,{"7/20-7/22";"7/23-7/25";"7/26-7/28";"7/29-7/31";"8/1-8/3";"8/4-8/6";"8/7-8/9"},0),me,MATCH($K12,nm,0),IF(COUNT(INDEX(g,me,2*n))=1,INDEX(g,me,2*n),"")))</f>
        <v>48</v>
      </c>
      <c r="R12" s="27">
        <f t="array" ref="R12">IF('RR Schedule (Novice)'!R13="","",LET(nm,'RR Results (Novice)'!$T:$T,g,'RR Results (Novice)'!$U:$AH,n,MATCH('RR Schedule (Novice)'!R13,{"7/20-7/22";"7/23-7/25";"7/26-7/28";"7/29-7/31";"8/1-8/3";"8/4-8/6";"8/7-8/9"},0),me,MATCH($K12,nm,0),IF(COUNT(INDEX(g,me,2*n))=1,INDEX(g,me,2*n),"")))</f>
        <v>24</v>
      </c>
      <c r="S12" s="176" t="str">
        <f t="array" ref="S12">IF('RR Schedule (Novice)'!S13="","",LET(nm,'RR Results (Novice)'!$T:$T,g,'RR Results (Novice)'!$U:$AH,n,MATCH('RR Schedule (Novice)'!S13,{"7/20-7/22";"7/23-7/25";"7/26-7/28";"7/29-7/31";"8/1-8/3";"8/4-8/6";"8/7-8/9"},0),me,MATCH($K12,nm,0),IF(COUNT(INDEX(g,me,2*n))=1,INDEX(g,me,2*n),"")))</f>
        <v/>
      </c>
      <c r="T12" s="113"/>
    </row>
    <row r="13" ht="19.5" customHeight="1">
      <c r="A13" s="112"/>
      <c r="B13" s="113"/>
      <c r="C13" s="113"/>
      <c r="D13" s="113"/>
      <c r="E13" s="113"/>
      <c r="F13" s="113"/>
      <c r="G13" s="113"/>
      <c r="H13" s="112"/>
      <c r="I13" s="112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</row>
    <row r="14" ht="19.5" customHeight="1">
      <c r="A14" s="113"/>
      <c r="B14" s="113"/>
      <c r="C14" s="113"/>
      <c r="D14" s="113"/>
      <c r="E14" s="113"/>
      <c r="F14" s="113"/>
      <c r="G14" s="113"/>
      <c r="H14" s="113"/>
      <c r="I14" s="113"/>
      <c r="J14" s="112"/>
      <c r="K14" s="113"/>
      <c r="L14" s="113"/>
      <c r="M14" s="113"/>
      <c r="N14" s="113"/>
      <c r="O14" s="113"/>
      <c r="P14" s="113"/>
      <c r="Q14" s="113"/>
      <c r="R14" s="113"/>
      <c r="S14" s="113"/>
      <c r="T14" s="113"/>
    </row>
    <row r="15" ht="19.5" customHeight="1">
      <c r="A15" s="112"/>
      <c r="B15" s="113"/>
      <c r="C15" s="113"/>
      <c r="D15" s="113"/>
      <c r="E15" s="113"/>
      <c r="F15" s="113"/>
      <c r="G15" s="113"/>
      <c r="H15" s="113"/>
      <c r="I15" s="113"/>
      <c r="J15" s="112"/>
      <c r="K15" s="112"/>
      <c r="M15" s="113"/>
      <c r="N15" s="113"/>
      <c r="P15" s="113"/>
      <c r="Q15" s="113"/>
      <c r="R15" s="113"/>
      <c r="S15" s="113"/>
      <c r="T15" s="113"/>
    </row>
    <row r="16" ht="19.5" customHeight="1">
      <c r="A16" s="113"/>
      <c r="B16" s="112"/>
      <c r="C16" s="113"/>
      <c r="D16" s="113"/>
      <c r="E16" s="113"/>
      <c r="F16" s="113"/>
      <c r="G16" s="113"/>
      <c r="H16" s="113"/>
      <c r="I16" s="113"/>
      <c r="J16" s="112"/>
      <c r="K16" s="113"/>
      <c r="L16" s="112"/>
      <c r="M16" s="113"/>
      <c r="N16" s="113"/>
      <c r="O16" s="113"/>
      <c r="P16" s="113"/>
      <c r="Q16" s="113"/>
      <c r="R16" s="113"/>
      <c r="S16" s="113"/>
      <c r="T16" s="113"/>
    </row>
    <row r="17" ht="19.5" customHeight="1">
      <c r="A17" s="113"/>
      <c r="B17" s="113"/>
      <c r="C17" s="112"/>
      <c r="D17" s="112"/>
      <c r="E17" s="112"/>
      <c r="F17" s="113"/>
      <c r="G17" s="113"/>
      <c r="H17" s="113"/>
      <c r="I17" s="113"/>
      <c r="J17" s="112"/>
      <c r="K17" s="113"/>
      <c r="L17" s="113"/>
      <c r="M17" s="112"/>
      <c r="N17" s="112"/>
      <c r="O17" s="112"/>
      <c r="P17" s="113"/>
      <c r="Q17" s="113"/>
      <c r="R17" s="113"/>
      <c r="S17" s="113"/>
      <c r="T17" s="113"/>
    </row>
    <row r="18" ht="19.5" customHeight="1">
      <c r="A18" s="113"/>
      <c r="B18" s="113"/>
      <c r="C18" s="112"/>
      <c r="D18" s="112"/>
      <c r="E18" s="112"/>
      <c r="F18" s="113"/>
      <c r="G18" s="113"/>
      <c r="H18" s="113"/>
      <c r="I18" s="113"/>
      <c r="J18" s="112"/>
      <c r="K18" s="113"/>
      <c r="L18" s="113"/>
      <c r="M18" s="112"/>
      <c r="N18" s="112"/>
      <c r="O18" s="112"/>
      <c r="P18" s="113"/>
      <c r="Q18" s="113"/>
      <c r="R18" s="113"/>
      <c r="S18" s="113"/>
      <c r="T18" s="113"/>
    </row>
    <row r="19" ht="19.5" customHeight="1">
      <c r="A19" s="113"/>
      <c r="B19" s="113"/>
      <c r="C19" s="112"/>
      <c r="D19" s="112"/>
      <c r="E19" s="112"/>
      <c r="F19" s="113"/>
      <c r="G19" s="113"/>
      <c r="H19" s="113"/>
      <c r="I19" s="113"/>
      <c r="J19" s="112"/>
      <c r="K19" s="113"/>
      <c r="L19" s="113"/>
      <c r="M19" s="112"/>
      <c r="N19" s="112"/>
      <c r="O19" s="112"/>
      <c r="P19" s="113"/>
      <c r="Q19" s="113"/>
      <c r="R19" s="113"/>
      <c r="S19" s="113"/>
      <c r="T19" s="113"/>
    </row>
  </sheetData>
  <mergeCells count="3">
    <mergeCell ref="A1:R1"/>
    <mergeCell ref="A3:I3"/>
    <mergeCell ref="K3:S3"/>
  </mergeCells>
  <conditionalFormatting sqref="B5:I12">
    <cfRule type="expression" dxfId="6" priority="1">
      <formula>B5 &gt; INDIRECT(ADDRESS(COLUMN(B5) + 3, ROW(B5) - 3))</formula>
    </cfRule>
  </conditionalFormatting>
  <conditionalFormatting sqref="B5:I12">
    <cfRule type="expression" dxfId="7" priority="2">
      <formula>B5 &lt; INDIRECT(ADDRESS(COLUMN(B5) + 3, ROW(B5) - 3))</formula>
    </cfRule>
  </conditionalFormatting>
  <conditionalFormatting sqref="B5:I12">
    <cfRule type="expression" dxfId="8" priority="3">
      <formula>"AND(EXACT(B5, INDIRECT(ADDRESS(COLUMN(B5) + 3, ROW(B5) - 3)))), NOT(EMPTY()))"</formula>
    </cfRule>
  </conditionalFormatting>
  <conditionalFormatting sqref="L5:S12">
    <cfRule type="expression" dxfId="6" priority="4">
      <formula>L5 &gt; INDIRECT(ADDRESS(COLUMN(L5) - 7, ROW(L5) + 7))</formula>
    </cfRule>
  </conditionalFormatting>
  <conditionalFormatting sqref="L5:S12">
    <cfRule type="expression" dxfId="7" priority="5">
      <formula>L5 &lt; INDIRECT(ADDRESS(COLUMN(L5) - 7, ROW(L5) + 7))</formula>
    </cfRule>
  </conditionalFormatting>
  <conditionalFormatting sqref="L5:S12">
    <cfRule type="expression" dxfId="8" priority="6">
      <formula>AND(NOT(EMPTY()), L5 = INDIRECT(ADDRESS(COLUMN(L5) - 7, ROW(L5) + 7)))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10" width="8.88"/>
    <col customWidth="1" min="11" max="11" width="11.38"/>
    <col customWidth="1" min="12" max="19" width="8.88"/>
    <col customWidth="1" min="20" max="20" width="7.0"/>
  </cols>
  <sheetData>
    <row r="1" ht="48.75" customHeight="1">
      <c r="A1" s="106" t="s">
        <v>211</v>
      </c>
      <c r="S1" s="1"/>
      <c r="T1" s="1"/>
    </row>
    <row r="2" ht="19.5" customHeight="1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9"/>
      <c r="Q2" s="139"/>
      <c r="R2" s="139"/>
      <c r="S2" s="139"/>
      <c r="T2" s="139"/>
    </row>
    <row r="3" ht="19.5" customHeight="1">
      <c r="A3" s="77" t="s">
        <v>82</v>
      </c>
      <c r="B3" s="3"/>
      <c r="C3" s="3"/>
      <c r="D3" s="3"/>
      <c r="E3" s="3"/>
      <c r="F3" s="3"/>
      <c r="G3" s="3"/>
      <c r="H3" s="3"/>
      <c r="I3" s="5"/>
      <c r="J3" s="113"/>
      <c r="K3" s="77" t="s">
        <v>83</v>
      </c>
      <c r="L3" s="3"/>
      <c r="M3" s="3"/>
      <c r="N3" s="3"/>
      <c r="O3" s="3"/>
      <c r="P3" s="3"/>
      <c r="Q3" s="3"/>
      <c r="R3" s="3"/>
      <c r="S3" s="5"/>
      <c r="T3" s="55"/>
    </row>
    <row r="4" ht="19.5" customHeight="1">
      <c r="A4" s="117"/>
      <c r="B4" s="119" t="s">
        <v>48</v>
      </c>
      <c r="C4" s="119" t="s">
        <v>18</v>
      </c>
      <c r="D4" s="119" t="s">
        <v>14</v>
      </c>
      <c r="E4" s="119" t="s">
        <v>84</v>
      </c>
      <c r="F4" s="119" t="s">
        <v>52</v>
      </c>
      <c r="G4" s="119" t="s">
        <v>86</v>
      </c>
      <c r="H4" s="119" t="s">
        <v>88</v>
      </c>
      <c r="I4" s="121" t="s">
        <v>90</v>
      </c>
      <c r="J4" s="113"/>
      <c r="K4" s="117"/>
      <c r="L4" s="119" t="s">
        <v>56</v>
      </c>
      <c r="M4" s="119" t="s">
        <v>60</v>
      </c>
      <c r="N4" s="119" t="s">
        <v>17</v>
      </c>
      <c r="O4" s="119" t="s">
        <v>49</v>
      </c>
      <c r="P4" s="119" t="s">
        <v>85</v>
      </c>
      <c r="Q4" s="119" t="s">
        <v>87</v>
      </c>
      <c r="R4" s="119" t="s">
        <v>89</v>
      </c>
      <c r="S4" s="121" t="s">
        <v>91</v>
      </c>
      <c r="T4" s="55"/>
    </row>
    <row r="5" ht="19.5" customHeight="1">
      <c r="A5" s="90" t="s">
        <v>48</v>
      </c>
      <c r="B5" s="171" t="str">
        <f t="array" ref="B5">IF('RR Schedule (Adv)'!B6="","",LET(nm,'RR Results (Adv)'!$A:$A,g,'RR Results (Adv)'!$B:$O,n,MATCH('RR Schedule (Adv)'!B6,{"7/20-7/22";"7/23-7/25";"7/26-7/28";"7/29-7/31";"8/1-8/3";"8/4-8/6";"8/7-8/9"},0),me,MATCH($A5,nm,0),IF(COUNT(INDEX(g,me,2*n))=1,INDEX(g,me,2*n),"")))</f>
        <v/>
      </c>
      <c r="C5" s="6">
        <f t="array" ref="C5">IF('RR Schedule (Adv)'!C6="","",LET(nm,'RR Results (Adv)'!$A:$A,g,'RR Results (Adv)'!$B:$O,n,MATCH('RR Schedule (Adv)'!C6,{"7/20-7/22";"7/23-7/25";"7/26-7/28";"7/29-7/31";"8/1-8/3";"8/4-8/6";"8/7-8/9"},0),me,MATCH($A5,nm,0),IF(COUNT(INDEX(g,me,2*n))=1,INDEX(g,me,2*n),"")))</f>
        <v>74</v>
      </c>
      <c r="D5" s="6">
        <f t="array" ref="D5">IF('RR Schedule (Adv)'!D6="","",LET(nm,'RR Results (Adv)'!$A:$A,g,'RR Results (Adv)'!$B:$O,n,MATCH('RR Schedule (Adv)'!D6,{"7/20-7/22";"7/23-7/25";"7/26-7/28";"7/29-7/31";"8/1-8/3";"8/4-8/6";"8/7-8/9"},0),me,MATCH($A5,nm,0),IF(COUNT(INDEX(g,me,2*n))=1,INDEX(g,me,2*n),"")))</f>
        <v>52</v>
      </c>
      <c r="E5" s="6">
        <f t="array" ref="E5">IF('RR Schedule (Adv)'!E6="","",LET(nm,'RR Results (Adv)'!$A:$A,g,'RR Results (Adv)'!$B:$O,n,MATCH('RR Schedule (Adv)'!E6,{"7/20-7/22";"7/23-7/25";"7/26-7/28";"7/29-7/31";"8/1-8/3";"8/4-8/6";"8/7-8/9"},0),me,MATCH($A5,nm,0),IF(COUNT(INDEX(g,me,2*n))=1,INDEX(g,me,2*n),"")))</f>
        <v>54</v>
      </c>
      <c r="F5" s="6">
        <f t="array" ref="F5">IF('RR Schedule (Adv)'!F6="","",LET(nm,'RR Results (Adv)'!$A:$A,g,'RR Results (Adv)'!$B:$O,n,MATCH('RR Schedule (Adv)'!F6,{"7/20-7/22";"7/23-7/25";"7/26-7/28";"7/29-7/31";"8/1-8/3";"8/4-8/6";"8/7-8/9"},0),me,MATCH($A5,nm,0),IF(COUNT(INDEX(g,me,2*n))=1,INDEX(g,me,2*n),"")))</f>
        <v>54</v>
      </c>
      <c r="G5" s="6">
        <f t="array" ref="G5">IF('RR Schedule (Adv)'!G6="","",LET(nm,'RR Results (Adv)'!$A:$A,g,'RR Results (Adv)'!$B:$O,n,MATCH('RR Schedule (Adv)'!G6,{"7/20-7/22";"7/23-7/25";"7/26-7/28";"7/29-7/31";"8/1-8/3";"8/4-8/6";"8/7-8/9"},0),me,MATCH($A5,nm,0),IF(COUNT(INDEX(g,me,2*n))=1,INDEX(g,me,2*n),"")))</f>
        <v>26</v>
      </c>
      <c r="H5" s="6">
        <f t="array" ref="H5">IF('RR Schedule (Adv)'!H6="","",LET(nm,'RR Results (Adv)'!$A:$A,g,'RR Results (Adv)'!$B:$O,n,MATCH('RR Schedule (Adv)'!H6,{"7/20-7/22";"7/23-7/25";"7/26-7/28";"7/29-7/31";"8/1-8/3";"8/4-8/6";"8/7-8/9"},0),me,MATCH($A5,nm,0),IF(COUNT(INDEX(g,me,2*n))=1,INDEX(g,me,2*n),"")))</f>
        <v>30</v>
      </c>
      <c r="I5" s="173">
        <f t="array" ref="I5">IF('RR Schedule (Adv)'!I6="","",LET(nm,'RR Results (Adv)'!$A:$A,g,'RR Results (Adv)'!$B:$O,n,MATCH('RR Schedule (Adv)'!I6,{"7/20-7/22";"7/23-7/25";"7/26-7/28";"7/29-7/31";"8/1-8/3";"8/4-8/6";"8/7-8/9"},0),me,MATCH($A5,nm,0),IF(COUNT(INDEX(g,me,2*n))=1,INDEX(g,me,2*n),"")))</f>
        <v>50</v>
      </c>
      <c r="J5" s="112"/>
      <c r="K5" s="105" t="s">
        <v>56</v>
      </c>
      <c r="L5" s="171" t="str">
        <f t="array" ref="L5">IF('RR Schedule (Adv)'!L6="","",LET(nm,'RR Results (Adv)'!$T:$T,g,'RR Results (Adv)'!$U:$AH,n,MATCH('RR Schedule (Adv)'!L6,{"7/20-7/22";"7/23-7/25";"7/26-7/28";"7/29-7/31";"8/1-8/3";"8/4-8/6";"8/7-8/9"},0),me,MATCH($K5,nm,0),IF(COUNT(INDEX(g,me,2*n))=1,INDEX(g,me,2*n),"")))</f>
        <v/>
      </c>
      <c r="M5" s="6">
        <f t="array" ref="M5">IF('RR Schedule (Adv)'!M6="","",LET(nm,'RR Results (Adv)'!$T:$T,g,'RR Results (Adv)'!$U:$AH,n,MATCH('RR Schedule (Adv)'!M6,{"7/20-7/22";"7/23-7/25";"7/26-7/28";"7/29-7/31";"8/1-8/3";"8/4-8/6";"8/7-8/9"},0),me,MATCH($K5,nm,0),IF(COUNT(INDEX(g,me,2*n))=1,INDEX(g,me,2*n),"")))</f>
        <v>46</v>
      </c>
      <c r="N5" s="6">
        <f t="array" ref="N5">IF('RR Schedule (Adv)'!N6="","",LET(nm,'RR Results (Adv)'!$T:$T,g,'RR Results (Adv)'!$U:$AH,n,MATCH('RR Schedule (Adv)'!N6,{"7/20-7/22";"7/23-7/25";"7/26-7/28";"7/29-7/31";"8/1-8/3";"8/4-8/6";"8/7-8/9"},0),me,MATCH($K5,nm,0),IF(COUNT(INDEX(g,me,2*n))=1,INDEX(g,me,2*n),"")))</f>
        <v>16</v>
      </c>
      <c r="O5" s="6">
        <f t="array" ref="O5">IF('RR Schedule (Adv)'!O6="","",LET(nm,'RR Results (Adv)'!$T:$T,g,'RR Results (Adv)'!$U:$AH,n,MATCH('RR Schedule (Adv)'!O6,{"7/20-7/22";"7/23-7/25";"7/26-7/28";"7/29-7/31";"8/1-8/3";"8/4-8/6";"8/7-8/9"},0),me,MATCH($K5,nm,0),IF(COUNT(INDEX(g,me,2*n))=1,INDEX(g,me,2*n),"")))</f>
        <v>26</v>
      </c>
      <c r="P5" s="6">
        <f t="array" ref="P5">IF('RR Schedule (Adv)'!P6="","",LET(nm,'RR Results (Adv)'!$T:$T,g,'RR Results (Adv)'!$U:$AH,n,MATCH('RR Schedule (Adv)'!P6,{"7/20-7/22";"7/23-7/25";"7/26-7/28";"7/29-7/31";"8/1-8/3";"8/4-8/6";"8/7-8/9"},0),me,MATCH($K5,nm,0),IF(COUNT(INDEX(g,me,2*n))=1,INDEX(g,me,2*n),"")))</f>
        <v>42</v>
      </c>
      <c r="Q5" s="6">
        <f t="array" ref="Q5">IF('RR Schedule (Adv)'!Q6="","",LET(nm,'RR Results (Adv)'!$T:$T,g,'RR Results (Adv)'!$U:$AH,n,MATCH('RR Schedule (Adv)'!Q6,{"7/20-7/22";"7/23-7/25";"7/26-7/28";"7/29-7/31";"8/1-8/3";"8/4-8/6";"8/7-8/9"},0),me,MATCH($K5,nm,0),IF(COUNT(INDEX(g,me,2*n))=1,INDEX(g,me,2*n),"")))</f>
        <v>44</v>
      </c>
      <c r="R5" s="6">
        <f t="array" ref="R5">IF('RR Schedule (Adv)'!R6="","",LET(nm,'RR Results (Adv)'!$T:$T,g,'RR Results (Adv)'!$U:$AH,n,MATCH('RR Schedule (Adv)'!R6,{"7/20-7/22";"7/23-7/25";"7/26-7/28";"7/29-7/31";"8/1-8/3";"8/4-8/6";"8/7-8/9"},0),me,MATCH($K5,nm,0),IF(COUNT(INDEX(g,me,2*n))=1,INDEX(g,me,2*n),"")))</f>
        <v>14</v>
      </c>
      <c r="S5" s="173">
        <f t="array" ref="S5">IF('RR Schedule (Adv)'!S6="","",LET(nm,'RR Results (Adv)'!$T:$T,g,'RR Results (Adv)'!$U:$AH,n,MATCH('RR Schedule (Adv)'!S6,{"7/20-7/22";"7/23-7/25";"7/26-7/28";"7/29-7/31";"8/1-8/3";"8/4-8/6";"8/7-8/9"},0),me,MATCH($K5,nm,0),IF(COUNT(INDEX(g,me,2*n))=1,INDEX(g,me,2*n),"")))</f>
        <v>44</v>
      </c>
      <c r="T5" s="55"/>
    </row>
    <row r="6" ht="19.5" customHeight="1">
      <c r="A6" s="90" t="s">
        <v>18</v>
      </c>
      <c r="B6" s="6">
        <f t="array" ref="B6">IF('RR Schedule (Adv)'!B7="","",LET(nm,'RR Results (Adv)'!$A:$A,g,'RR Results (Adv)'!$B:$O,n,MATCH('RR Schedule (Adv)'!B7,{"7/20-7/22";"7/23-7/25";"7/26-7/28";"7/29-7/31";"8/1-8/3";"8/4-8/6";"8/7-8/9"},0),me,MATCH($A6,nm,0),IF(COUNT(INDEX(g,me,2*n))=1,INDEX(g,me,2*n),"")))</f>
        <v>12</v>
      </c>
      <c r="C6" s="171" t="str">
        <f t="array" ref="C6">IF('RR Schedule (Adv)'!C7="","",LET(nm,'RR Results (Adv)'!$A:$A,g,'RR Results (Adv)'!$B:$O,n,MATCH('RR Schedule (Adv)'!C7,{"7/20-7/22";"7/23-7/25";"7/26-7/28";"7/29-7/31";"8/1-8/3";"8/4-8/6";"8/7-8/9"},0),me,MATCH($A6,nm,0),IF(COUNT(INDEX(g,me,2*n))=1,INDEX(g,me,2*n),"")))</f>
        <v/>
      </c>
      <c r="D6" s="6">
        <f t="array" ref="D6">IF('RR Schedule (Adv)'!D7="","",LET(nm,'RR Results (Adv)'!$A:$A,g,'RR Results (Adv)'!$B:$O,n,MATCH('RR Schedule (Adv)'!D7,{"7/20-7/22";"7/23-7/25";"7/26-7/28";"7/29-7/31";"8/1-8/3";"8/4-8/6";"8/7-8/9"},0),me,MATCH($A6,nm,0),IF(COUNT(INDEX(g,me,2*n))=1,INDEX(g,me,2*n),"")))</f>
        <v>18</v>
      </c>
      <c r="E6" s="6">
        <f t="array" ref="E6">IF('RR Schedule (Adv)'!E7="","",LET(nm,'RR Results (Adv)'!$A:$A,g,'RR Results (Adv)'!$B:$O,n,MATCH('RR Schedule (Adv)'!E7,{"7/20-7/22";"7/23-7/25";"7/26-7/28";"7/29-7/31";"8/1-8/3";"8/4-8/6";"8/7-8/9"},0),me,MATCH($A6,nm,0),IF(COUNT(INDEX(g,me,2*n))=1,INDEX(g,me,2*n),"")))</f>
        <v>42</v>
      </c>
      <c r="F6" s="6">
        <f t="array" ref="F6">IF('RR Schedule (Adv)'!F7="","",LET(nm,'RR Results (Adv)'!$A:$A,g,'RR Results (Adv)'!$B:$O,n,MATCH('RR Schedule (Adv)'!F7,{"7/20-7/22";"7/23-7/25";"7/26-7/28";"7/29-7/31";"8/1-8/3";"8/4-8/6";"8/7-8/9"},0),me,MATCH($A6,nm,0),IF(COUNT(INDEX(g,me,2*n))=1,INDEX(g,me,2*n),"")))</f>
        <v>38</v>
      </c>
      <c r="G6" s="6">
        <f t="array" ref="G6">IF('RR Schedule (Adv)'!G7="","",LET(nm,'RR Results (Adv)'!$A:$A,g,'RR Results (Adv)'!$B:$O,n,MATCH('RR Schedule (Adv)'!G7,{"7/20-7/22";"7/23-7/25";"7/26-7/28";"7/29-7/31";"8/1-8/3";"8/4-8/6";"8/7-8/9"},0),me,MATCH($A6,nm,0),IF(COUNT(INDEX(g,me,2*n))=1,INDEX(g,me,2*n),"")))</f>
        <v>48</v>
      </c>
      <c r="H6" s="6">
        <f t="array" ref="H6">IF('RR Schedule (Adv)'!H7="","",LET(nm,'RR Results (Adv)'!$A:$A,g,'RR Results (Adv)'!$B:$O,n,MATCH('RR Schedule (Adv)'!H7,{"7/20-7/22";"7/23-7/25";"7/26-7/28";"7/29-7/31";"8/1-8/3";"8/4-8/6";"8/7-8/9"},0),me,MATCH($A6,nm,0),IF(COUNT(INDEX(g,me,2*n))=1,INDEX(g,me,2*n),"")))</f>
        <v>42</v>
      </c>
      <c r="I6" s="173">
        <f t="array" ref="I6">IF('RR Schedule (Adv)'!I7="","",LET(nm,'RR Results (Adv)'!$A:$A,g,'RR Results (Adv)'!$B:$O,n,MATCH('RR Schedule (Adv)'!I7,{"7/20-7/22";"7/23-7/25";"7/26-7/28";"7/29-7/31";"8/1-8/3";"8/4-8/6";"8/7-8/9"},0),me,MATCH($A6,nm,0),IF(COUNT(INDEX(g,me,2*n))=1,INDEX(g,me,2*n),"")))</f>
        <v>32</v>
      </c>
      <c r="J6" s="113"/>
      <c r="K6" s="105" t="s">
        <v>60</v>
      </c>
      <c r="L6" s="6">
        <f t="array" ref="L6">IF('RR Schedule (Adv)'!L7="","",LET(nm,'RR Results (Adv)'!$T:$T,g,'RR Results (Adv)'!$U:$AH,n,MATCH('RR Schedule (Adv)'!L7,{"7/20-7/22";"7/23-7/25";"7/26-7/28";"7/29-7/31";"8/1-8/3";"8/4-8/6";"8/7-8/9"},0),me,MATCH($K6,nm,0),IF(COUNT(INDEX(g,me,2*n))=1,INDEX(g,me,2*n),"")))</f>
        <v>32</v>
      </c>
      <c r="M6" s="171" t="str">
        <f t="array" ref="M6">IF('RR Schedule (Adv)'!M7="","",LET(nm,'RR Results (Adv)'!$T:$T,g,'RR Results (Adv)'!$U:$AH,n,MATCH('RR Schedule (Adv)'!M7,{"7/20-7/22";"7/23-7/25";"7/26-7/28";"7/29-7/31";"8/1-8/3";"8/4-8/6";"8/7-8/9"},0),me,MATCH($K6,nm,0),IF(COUNT(INDEX(g,me,2*n))=1,INDEX(g,me,2*n),"")))</f>
        <v/>
      </c>
      <c r="N6" s="6">
        <f t="array" ref="N6">IF('RR Schedule (Adv)'!N7="","",LET(nm,'RR Results (Adv)'!$T:$T,g,'RR Results (Adv)'!$U:$AH,n,MATCH('RR Schedule (Adv)'!N7,{"7/20-7/22";"7/23-7/25";"7/26-7/28";"7/29-7/31";"8/1-8/3";"8/4-8/6";"8/7-8/9"},0),me,MATCH($K6,nm,0),IF(COUNT(INDEX(g,me,2*n))=1,INDEX(g,me,2*n),"")))</f>
        <v>34</v>
      </c>
      <c r="O6" s="6">
        <f t="array" ref="O6">IF('RR Schedule (Adv)'!O7="","",LET(nm,'RR Results (Adv)'!$T:$T,g,'RR Results (Adv)'!$U:$AH,n,MATCH('RR Schedule (Adv)'!O7,{"7/20-7/22";"7/23-7/25";"7/26-7/28";"7/29-7/31";"8/1-8/3";"8/4-8/6";"8/7-8/9"},0),me,MATCH($K6,nm,0),IF(COUNT(INDEX(g,me,2*n))=1,INDEX(g,me,2*n),"")))</f>
        <v>14</v>
      </c>
      <c r="P6" s="6">
        <f t="array" ref="P6">IF('RR Schedule (Adv)'!P7="","",LET(nm,'RR Results (Adv)'!$T:$T,g,'RR Results (Adv)'!$U:$AH,n,MATCH('RR Schedule (Adv)'!P7,{"7/20-7/22";"7/23-7/25";"7/26-7/28";"7/29-7/31";"8/1-8/3";"8/4-8/6";"8/7-8/9"},0),me,MATCH($K6,nm,0),IF(COUNT(INDEX(g,me,2*n))=1,INDEX(g,me,2*n),"")))</f>
        <v>58</v>
      </c>
      <c r="Q6" s="6">
        <f t="array" ref="Q6">IF('RR Schedule (Adv)'!Q7="","",LET(nm,'RR Results (Adv)'!$T:$T,g,'RR Results (Adv)'!$U:$AH,n,MATCH('RR Schedule (Adv)'!Q7,{"7/20-7/22";"7/23-7/25";"7/26-7/28";"7/29-7/31";"8/1-8/3";"8/4-8/6";"8/7-8/9"},0),me,MATCH($K6,nm,0),IF(COUNT(INDEX(g,me,2*n))=1,INDEX(g,me,2*n),"")))</f>
        <v>22</v>
      </c>
      <c r="R6" s="6">
        <f t="array" ref="R6">IF('RR Schedule (Adv)'!R7="","",LET(nm,'RR Results (Adv)'!$T:$T,g,'RR Results (Adv)'!$U:$AH,n,MATCH('RR Schedule (Adv)'!R7,{"7/20-7/22";"7/23-7/25";"7/26-7/28";"7/29-7/31";"8/1-8/3";"8/4-8/6";"8/7-8/9"},0),me,MATCH($K6,nm,0),IF(COUNT(INDEX(g,me,2*n))=1,INDEX(g,me,2*n),"")))</f>
        <v>48</v>
      </c>
      <c r="S6" s="173">
        <f t="array" ref="S6">IF('RR Schedule (Adv)'!S7="","",LET(nm,'RR Results (Adv)'!$T:$T,g,'RR Results (Adv)'!$U:$AH,n,MATCH('RR Schedule (Adv)'!S7,{"7/20-7/22";"7/23-7/25";"7/26-7/28";"7/29-7/31";"8/1-8/3";"8/4-8/6";"8/7-8/9"},0),me,MATCH($K6,nm,0),IF(COUNT(INDEX(g,me,2*n))=1,INDEX(g,me,2*n),"")))</f>
        <v>50</v>
      </c>
      <c r="T6" s="55"/>
    </row>
    <row r="7" ht="19.5" customHeight="1">
      <c r="A7" s="90" t="s">
        <v>14</v>
      </c>
      <c r="B7" s="6">
        <f t="array" ref="B7">IF('RR Schedule (Adv)'!B8="","",LET(nm,'RR Results (Adv)'!$A:$A,g,'RR Results (Adv)'!$B:$O,n,MATCH('RR Schedule (Adv)'!B8,{"7/20-7/22";"7/23-7/25";"7/26-7/28";"7/29-7/31";"8/1-8/3";"8/4-8/6";"8/7-8/9"},0),me,MATCH($A7,nm,0),IF(COUNT(INDEX(g,me,2*n))=1,INDEX(g,me,2*n),"")))</f>
        <v>38</v>
      </c>
      <c r="C7" s="6">
        <f t="array" ref="C7">IF('RR Schedule (Adv)'!C8="","",LET(nm,'RR Results (Adv)'!$A:$A,g,'RR Results (Adv)'!$B:$O,n,MATCH('RR Schedule (Adv)'!C8,{"7/20-7/22";"7/23-7/25";"7/26-7/28";"7/29-7/31";"8/1-8/3";"8/4-8/6";"8/7-8/9"},0),me,MATCH($A7,nm,0),IF(COUNT(INDEX(g,me,2*n))=1,INDEX(g,me,2*n),"")))</f>
        <v>60</v>
      </c>
      <c r="D7" s="171" t="str">
        <f t="array" ref="D7">IF('RR Schedule (Adv)'!D8="","",LET(nm,'RR Results (Adv)'!$A:$A,g,'RR Results (Adv)'!$B:$O,n,MATCH('RR Schedule (Adv)'!D8,{"7/20-7/22";"7/23-7/25";"7/26-7/28";"7/29-7/31";"8/1-8/3";"8/4-8/6";"8/7-8/9"},0),me,MATCH($A7,nm,0),IF(COUNT(INDEX(g,me,2*n))=1,INDEX(g,me,2*n),"")))</f>
        <v/>
      </c>
      <c r="E7" s="6">
        <f t="array" ref="E7">IF('RR Schedule (Adv)'!E8="","",LET(nm,'RR Results (Adv)'!$A:$A,g,'RR Results (Adv)'!$B:$O,n,MATCH('RR Schedule (Adv)'!E8,{"7/20-7/22";"7/23-7/25";"7/26-7/28";"7/29-7/31";"8/1-8/3";"8/4-8/6";"8/7-8/9"},0),me,MATCH($A7,nm,0),IF(COUNT(INDEX(g,me,2*n))=1,INDEX(g,me,2*n),"")))</f>
        <v>42</v>
      </c>
      <c r="F7" s="6">
        <f t="array" ref="F7">IF('RR Schedule (Adv)'!F8="","",LET(nm,'RR Results (Adv)'!$A:$A,g,'RR Results (Adv)'!$B:$O,n,MATCH('RR Schedule (Adv)'!F8,{"7/20-7/22";"7/23-7/25";"7/26-7/28";"7/29-7/31";"8/1-8/3";"8/4-8/6";"8/7-8/9"},0),me,MATCH($A7,nm,0),IF(COUNT(INDEX(g,me,2*n))=1,INDEX(g,me,2*n),"")))</f>
        <v>30</v>
      </c>
      <c r="G7" s="6">
        <f t="array" ref="G7">IF('RR Schedule (Adv)'!G8="","",LET(nm,'RR Results (Adv)'!$A:$A,g,'RR Results (Adv)'!$B:$O,n,MATCH('RR Schedule (Adv)'!G8,{"7/20-7/22";"7/23-7/25";"7/26-7/28";"7/29-7/31";"8/1-8/3";"8/4-8/6";"8/7-8/9"},0),me,MATCH($A7,nm,0),IF(COUNT(INDEX(g,me,2*n))=1,INDEX(g,me,2*n),"")))</f>
        <v>18</v>
      </c>
      <c r="H7" s="6">
        <f t="array" ref="H7">IF('RR Schedule (Adv)'!H8="","",LET(nm,'RR Results (Adv)'!$A:$A,g,'RR Results (Adv)'!$B:$O,n,MATCH('RR Schedule (Adv)'!H8,{"7/20-7/22";"7/23-7/25";"7/26-7/28";"7/29-7/31";"8/1-8/3";"8/4-8/6";"8/7-8/9"},0),me,MATCH($A7,nm,0),IF(COUNT(INDEX(g,me,2*n))=1,INDEX(g,me,2*n),"")))</f>
        <v>68</v>
      </c>
      <c r="I7" s="173">
        <f t="array" ref="I7">IF('RR Schedule (Adv)'!I8="","",LET(nm,'RR Results (Adv)'!$A:$A,g,'RR Results (Adv)'!$B:$O,n,MATCH('RR Schedule (Adv)'!I8,{"7/20-7/22";"7/23-7/25";"7/26-7/28";"7/29-7/31";"8/1-8/3";"8/4-8/6";"8/7-8/9"},0),me,MATCH($A7,nm,0),IF(COUNT(INDEX(g,me,2*n))=1,INDEX(g,me,2*n),"")))</f>
        <v>60</v>
      </c>
      <c r="J7" s="113"/>
      <c r="K7" s="105" t="s">
        <v>17</v>
      </c>
      <c r="L7" s="6">
        <f t="array" ref="L7">IF('RR Schedule (Adv)'!L8="","",LET(nm,'RR Results (Adv)'!$T:$T,g,'RR Results (Adv)'!$U:$AH,n,MATCH('RR Schedule (Adv)'!L8,{"7/20-7/22";"7/23-7/25";"7/26-7/28";"7/29-7/31";"8/1-8/3";"8/4-8/6";"8/7-8/9"},0),me,MATCH($K7,nm,0),IF(COUNT(INDEX(g,me,2*n))=1,INDEX(g,me,2*n),"")))</f>
        <v>40</v>
      </c>
      <c r="M7" s="6">
        <f t="array" ref="M7">IF('RR Schedule (Adv)'!M8="","",LET(nm,'RR Results (Adv)'!$T:$T,g,'RR Results (Adv)'!$U:$AH,n,MATCH('RR Schedule (Adv)'!M8,{"7/20-7/22";"7/23-7/25";"7/26-7/28";"7/29-7/31";"8/1-8/3";"8/4-8/6";"8/7-8/9"},0),me,MATCH($K7,nm,0),IF(COUNT(INDEX(g,me,2*n))=1,INDEX(g,me,2*n),"")))</f>
        <v>36</v>
      </c>
      <c r="N7" s="171" t="str">
        <f t="array" ref="N7">IF('RR Schedule (Adv)'!N8="","",LET(nm,'RR Results (Adv)'!$T:$T,g,'RR Results (Adv)'!$U:$AH,n,MATCH('RR Schedule (Adv)'!N8,{"7/20-7/22";"7/23-7/25";"7/26-7/28";"7/29-7/31";"8/1-8/3";"8/4-8/6";"8/7-8/9"},0),me,MATCH($K7,nm,0),IF(COUNT(INDEX(g,me,2*n))=1,INDEX(g,me,2*n),"")))</f>
        <v/>
      </c>
      <c r="O7" s="6">
        <f t="array" ref="O7">IF('RR Schedule (Adv)'!O8="","",LET(nm,'RR Results (Adv)'!$T:$T,g,'RR Results (Adv)'!$U:$AH,n,MATCH('RR Schedule (Adv)'!O8,{"7/20-7/22";"7/23-7/25";"7/26-7/28";"7/29-7/31";"8/1-8/3";"8/4-8/6";"8/7-8/9"},0),me,MATCH($K7,nm,0),IF(COUNT(INDEX(g,me,2*n))=1,INDEX(g,me,2*n),"")))</f>
        <v>24</v>
      </c>
      <c r="P7" s="6">
        <f t="array" ref="P7">IF('RR Schedule (Adv)'!P8="","",LET(nm,'RR Results (Adv)'!$T:$T,g,'RR Results (Adv)'!$U:$AH,n,MATCH('RR Schedule (Adv)'!P8,{"7/20-7/22";"7/23-7/25";"7/26-7/28";"7/29-7/31";"8/1-8/3";"8/4-8/6";"8/7-8/9"},0),me,MATCH($K7,nm,0),IF(COUNT(INDEX(g,me,2*n))=1,INDEX(g,me,2*n),"")))</f>
        <v>70</v>
      </c>
      <c r="Q7" s="6">
        <f t="array" ref="Q7">IF('RR Schedule (Adv)'!Q8="","",LET(nm,'RR Results (Adv)'!$T:$T,g,'RR Results (Adv)'!$U:$AH,n,MATCH('RR Schedule (Adv)'!Q8,{"7/20-7/22";"7/23-7/25";"7/26-7/28";"7/29-7/31";"8/1-8/3";"8/4-8/6";"8/7-8/9"},0),me,MATCH($K7,nm,0),IF(COUNT(INDEX(g,me,2*n))=1,INDEX(g,me,2*n),"")))</f>
        <v>30</v>
      </c>
      <c r="R7" s="6">
        <f t="array" ref="R7">IF('RR Schedule (Adv)'!R8="","",LET(nm,'RR Results (Adv)'!$T:$T,g,'RR Results (Adv)'!$U:$AH,n,MATCH('RR Schedule (Adv)'!R8,{"7/20-7/22";"7/23-7/25";"7/26-7/28";"7/29-7/31";"8/1-8/3";"8/4-8/6";"8/7-8/9"},0),me,MATCH($K7,nm,0),IF(COUNT(INDEX(g,me,2*n))=1,INDEX(g,me,2*n),"")))</f>
        <v>70</v>
      </c>
      <c r="S7" s="173">
        <f t="array" ref="S7">IF('RR Schedule (Adv)'!S8="","",LET(nm,'RR Results (Adv)'!$T:$T,g,'RR Results (Adv)'!$U:$AH,n,MATCH('RR Schedule (Adv)'!S8,{"7/20-7/22";"7/23-7/25";"7/26-7/28";"7/29-7/31";"8/1-8/3";"8/4-8/6";"8/7-8/9"},0),me,MATCH($K7,nm,0),IF(COUNT(INDEX(g,me,2*n))=1,INDEX(g,me,2*n),"")))</f>
        <v>44</v>
      </c>
      <c r="T7" s="55"/>
    </row>
    <row r="8" ht="19.5" customHeight="1">
      <c r="A8" s="90" t="s">
        <v>84</v>
      </c>
      <c r="B8" s="6">
        <f t="array" ref="B8">IF('RR Schedule (Adv)'!B9="","",LET(nm,'RR Results (Adv)'!$A:$A,g,'RR Results (Adv)'!$B:$O,n,MATCH('RR Schedule (Adv)'!B9,{"7/20-7/22";"7/23-7/25";"7/26-7/28";"7/29-7/31";"8/1-8/3";"8/4-8/6";"8/7-8/9"},0),me,MATCH($A8,nm,0),IF(COUNT(INDEX(g,me,2*n))=1,INDEX(g,me,2*n),"")))</f>
        <v>24</v>
      </c>
      <c r="C8" s="6">
        <f t="array" ref="C8">IF('RR Schedule (Adv)'!C9="","",LET(nm,'RR Results (Adv)'!$A:$A,g,'RR Results (Adv)'!$B:$O,n,MATCH('RR Schedule (Adv)'!C9,{"7/20-7/22";"7/23-7/25";"7/26-7/28";"7/29-7/31";"8/1-8/3";"8/4-8/6";"8/7-8/9"},0),me,MATCH($A8,nm,0),IF(COUNT(INDEX(g,me,2*n))=1,INDEX(g,me,2*n),"")))</f>
        <v>22</v>
      </c>
      <c r="D8" s="6">
        <f t="array" ref="D8">IF('RR Schedule (Adv)'!D9="","",LET(nm,'RR Results (Adv)'!$A:$A,g,'RR Results (Adv)'!$B:$O,n,MATCH('RR Schedule (Adv)'!D9,{"7/20-7/22";"7/23-7/25";"7/26-7/28";"7/29-7/31";"8/1-8/3";"8/4-8/6";"8/7-8/9"},0),me,MATCH($A8,nm,0),IF(COUNT(INDEX(g,me,2*n))=1,INDEX(g,me,2*n),"")))</f>
        <v>18</v>
      </c>
      <c r="E8" s="171" t="str">
        <f t="array" ref="E8">IF('RR Schedule (Adv)'!E9="","",LET(nm,'RR Results (Adv)'!$A:$A,g,'RR Results (Adv)'!$B:$O,n,MATCH('RR Schedule (Adv)'!E9,{"7/20-7/22";"7/23-7/25";"7/26-7/28";"7/29-7/31";"8/1-8/3";"8/4-8/6";"8/7-8/9"},0),me,MATCH($A8,nm,0),IF(COUNT(INDEX(g,me,2*n))=1,INDEX(g,me,2*n),"")))</f>
        <v/>
      </c>
      <c r="F8" s="6">
        <f t="array" ref="F8">IF('RR Schedule (Adv)'!F9="","",LET(nm,'RR Results (Adv)'!$A:$A,g,'RR Results (Adv)'!$B:$O,n,MATCH('RR Schedule (Adv)'!F9,{"7/20-7/22";"7/23-7/25";"7/26-7/28";"7/29-7/31";"8/1-8/3";"8/4-8/6";"8/7-8/9"},0),me,MATCH($A8,nm,0),IF(COUNT(INDEX(g,me,2*n))=1,INDEX(g,me,2*n),"")))</f>
        <v>22</v>
      </c>
      <c r="G8" s="6">
        <f t="array" ref="G8">IF('RR Schedule (Adv)'!G9="","",LET(nm,'RR Results (Adv)'!$A:$A,g,'RR Results (Adv)'!$B:$O,n,MATCH('RR Schedule (Adv)'!G9,{"7/20-7/22";"7/23-7/25";"7/26-7/28";"7/29-7/31";"8/1-8/3";"8/4-8/6";"8/7-8/9"},0),me,MATCH($A8,nm,0),IF(COUNT(INDEX(g,me,2*n))=1,INDEX(g,me,2*n),"")))</f>
        <v>12</v>
      </c>
      <c r="H8" s="7">
        <v>28.0</v>
      </c>
      <c r="I8" s="173">
        <f t="array" ref="I8">IF('RR Schedule (Adv)'!I9="","",LET(nm,'RR Results (Adv)'!$A:$A,g,'RR Results (Adv)'!$B:$O,n,MATCH('RR Schedule (Adv)'!I9,{"7/20-7/22";"7/23-7/25";"7/26-7/28";"7/29-7/31";"8/1-8/3";"8/4-8/6";"8/7-8/9"},0),me,MATCH($A8,nm,0),IF(COUNT(INDEX(g,me,2*n))=1,INDEX(g,me,2*n),"")))</f>
        <v>30</v>
      </c>
      <c r="J8" s="113"/>
      <c r="K8" s="105" t="s">
        <v>49</v>
      </c>
      <c r="L8" s="6">
        <f t="array" ref="L8">IF('RR Schedule (Adv)'!L9="","",LET(nm,'RR Results (Adv)'!$T:$T,g,'RR Results (Adv)'!$U:$AH,n,MATCH('RR Schedule (Adv)'!L9,{"7/20-7/22";"7/23-7/25";"7/26-7/28";"7/29-7/31";"8/1-8/3";"8/4-8/6";"8/7-8/9"},0),me,MATCH($K8,nm,0),IF(COUNT(INDEX(g,me,2*n))=1,INDEX(g,me,2*n),"")))</f>
        <v>50</v>
      </c>
      <c r="M8" s="6">
        <f t="array" ref="M8">IF('RR Schedule (Adv)'!M9="","",LET(nm,'RR Results (Adv)'!$T:$T,g,'RR Results (Adv)'!$U:$AH,n,MATCH('RR Schedule (Adv)'!M9,{"7/20-7/22";"7/23-7/25";"7/26-7/28";"7/29-7/31";"8/1-8/3";"8/4-8/6";"8/7-8/9"},0),me,MATCH($K8,nm,0),IF(COUNT(INDEX(g,me,2*n))=1,INDEX(g,me,2*n),"")))</f>
        <v>46</v>
      </c>
      <c r="N8" s="6">
        <f t="array" ref="N8">IF('RR Schedule (Adv)'!N9="","",LET(nm,'RR Results (Adv)'!$T:$T,g,'RR Results (Adv)'!$U:$AH,n,MATCH('RR Schedule (Adv)'!N9,{"7/20-7/22";"7/23-7/25";"7/26-7/28";"7/29-7/31";"8/1-8/3";"8/4-8/6";"8/7-8/9"},0),me,MATCH($K8,nm,0),IF(COUNT(INDEX(g,me,2*n))=1,INDEX(g,me,2*n),"")))</f>
        <v>34</v>
      </c>
      <c r="O8" s="171" t="str">
        <f t="array" ref="O8">IF('RR Schedule (Adv)'!O9="","",LET(nm,'RR Results (Adv)'!$T:$T,g,'RR Results (Adv)'!$U:$AH,n,MATCH('RR Schedule (Adv)'!O9,{"7/20-7/22";"7/23-7/25";"7/26-7/28";"7/29-7/31";"8/1-8/3";"8/4-8/6";"8/7-8/9"},0),me,MATCH($K8,nm,0),IF(COUNT(INDEX(g,me,2*n))=1,INDEX(g,me,2*n),"")))</f>
        <v/>
      </c>
      <c r="P8" s="6">
        <f t="array" ref="P8">IF('RR Schedule (Adv)'!P9="","",LET(nm,'RR Results (Adv)'!$T:$T,g,'RR Results (Adv)'!$U:$AH,n,MATCH('RR Schedule (Adv)'!P9,{"7/20-7/22";"7/23-7/25";"7/26-7/28";"7/29-7/31";"8/1-8/3";"8/4-8/6";"8/7-8/9"},0),me,MATCH($K8,nm,0),IF(COUNT(INDEX(g,me,2*n))=1,INDEX(g,me,2*n),"")))</f>
        <v>50</v>
      </c>
      <c r="Q8" s="6">
        <f t="array" ref="Q8">IF('RR Schedule (Adv)'!Q9="","",LET(nm,'RR Results (Adv)'!$T:$T,g,'RR Results (Adv)'!$U:$AH,n,MATCH('RR Schedule (Adv)'!Q9,{"7/20-7/22";"7/23-7/25";"7/26-7/28";"7/29-7/31";"8/1-8/3";"8/4-8/6";"8/7-8/9"},0),me,MATCH($K8,nm,0),IF(COUNT(INDEX(g,me,2*n))=1,INDEX(g,me,2*n),"")))</f>
        <v>64</v>
      </c>
      <c r="R8" s="6">
        <f t="array" ref="R8">IF('RR Schedule (Adv)'!R9="","",LET(nm,'RR Results (Adv)'!$T:$T,g,'RR Results (Adv)'!$U:$AH,n,MATCH('RR Schedule (Adv)'!R9,{"7/20-7/22";"7/23-7/25";"7/26-7/28";"7/29-7/31";"8/1-8/3";"8/4-8/6";"8/7-8/9"},0),me,MATCH($K8,nm,0),IF(COUNT(INDEX(g,me,2*n))=1,INDEX(g,me,2*n),"")))</f>
        <v>4</v>
      </c>
      <c r="S8" s="173">
        <f t="array" ref="S8">IF('RR Schedule (Adv)'!S9="","",LET(nm,'RR Results (Adv)'!$T:$T,g,'RR Results (Adv)'!$U:$AH,n,MATCH('RR Schedule (Adv)'!S9,{"7/20-7/22";"7/23-7/25";"7/26-7/28";"7/29-7/31";"8/1-8/3";"8/4-8/6";"8/7-8/9"},0),me,MATCH($K8,nm,0),IF(COUNT(INDEX(g,me,2*n))=1,INDEX(g,me,2*n),"")))</f>
        <v>98</v>
      </c>
      <c r="T8" s="55"/>
    </row>
    <row r="9" ht="19.5" customHeight="1">
      <c r="A9" s="90" t="s">
        <v>52</v>
      </c>
      <c r="B9" s="6">
        <f t="array" ref="B9">IF('RR Schedule (Adv)'!B10="","",LET(nm,'RR Results (Adv)'!$A:$A,g,'RR Results (Adv)'!$B:$O,n,MATCH('RR Schedule (Adv)'!B10,{"7/20-7/22";"7/23-7/25";"7/26-7/28";"7/29-7/31";"8/1-8/3";"8/4-8/6";"8/7-8/9"},0),me,MATCH($A9,nm,0),IF(COUNT(INDEX(g,me,2*n))=1,INDEX(g,me,2*n),"")))</f>
        <v>30</v>
      </c>
      <c r="C9" s="6">
        <f t="array" ref="C9">IF('RR Schedule (Adv)'!C10="","",LET(nm,'RR Results (Adv)'!$A:$A,g,'RR Results (Adv)'!$B:$O,n,MATCH('RR Schedule (Adv)'!C10,{"7/20-7/22";"7/23-7/25";"7/26-7/28";"7/29-7/31";"8/1-8/3";"8/4-8/6";"8/7-8/9"},0),me,MATCH($A9,nm,0),IF(COUNT(INDEX(g,me,2*n))=1,INDEX(g,me,2*n),"")))</f>
        <v>40</v>
      </c>
      <c r="D9" s="6">
        <f t="array" ref="D9">IF('RR Schedule (Adv)'!D10="","",LET(nm,'RR Results (Adv)'!$A:$A,g,'RR Results (Adv)'!$B:$O,n,MATCH('RR Schedule (Adv)'!D10,{"7/20-7/22";"7/23-7/25";"7/26-7/28";"7/29-7/31";"8/1-8/3";"8/4-8/6";"8/7-8/9"},0),me,MATCH($A9,nm,0),IF(COUNT(INDEX(g,me,2*n))=1,INDEX(g,me,2*n),"")))</f>
        <v>48</v>
      </c>
      <c r="E9" s="6">
        <f t="array" ref="E9">IF('RR Schedule (Adv)'!E10="","",LET(nm,'RR Results (Adv)'!$A:$A,g,'RR Results (Adv)'!$B:$O,n,MATCH('RR Schedule (Adv)'!E10,{"7/20-7/22";"7/23-7/25";"7/26-7/28";"7/29-7/31";"8/1-8/3";"8/4-8/6";"8/7-8/9"},0),me,MATCH($A9,nm,0),IF(COUNT(INDEX(g,me,2*n))=1,INDEX(g,me,2*n),"")))</f>
        <v>34</v>
      </c>
      <c r="F9" s="171" t="str">
        <f t="array" ref="F9">IF('RR Schedule (Adv)'!F10="","",LET(nm,'RR Results (Adv)'!$A:$A,g,'RR Results (Adv)'!$B:$O,n,MATCH('RR Schedule (Adv)'!F10,{"7/20-7/22";"7/23-7/25";"7/26-7/28";"7/29-7/31";"8/1-8/3";"8/4-8/6";"8/7-8/9"},0),me,MATCH($A9,nm,0),IF(COUNT(INDEX(g,me,2*n))=1,INDEX(g,me,2*n),"")))</f>
        <v/>
      </c>
      <c r="G9" s="6">
        <f t="array" ref="G9">IF('RR Schedule (Adv)'!G10="","",LET(nm,'RR Results (Adv)'!$A:$A,g,'RR Results (Adv)'!$B:$O,n,MATCH('RR Schedule (Adv)'!G10,{"7/20-7/22";"7/23-7/25";"7/26-7/28";"7/29-7/31";"8/1-8/3";"8/4-8/6";"8/7-8/9"},0),me,MATCH($A9,nm,0),IF(COUNT(INDEX(g,me,2*n))=1,INDEX(g,me,2*n),"")))</f>
        <v>34</v>
      </c>
      <c r="H9" s="6">
        <f t="array" ref="H9">IF('RR Schedule (Adv)'!H10="","",LET(nm,'RR Results (Adv)'!$A:$A,g,'RR Results (Adv)'!$B:$O,n,MATCH('RR Schedule (Adv)'!H10,{"7/20-7/22";"7/23-7/25";"7/26-7/28";"7/29-7/31";"8/1-8/3";"8/4-8/6";"8/7-8/9"},0),me,MATCH($A9,nm,0),IF(COUNT(INDEX(g,me,2*n))=1,INDEX(g,me,2*n),"")))</f>
        <v>40</v>
      </c>
      <c r="I9" s="173">
        <f t="array" ref="I9">IF('RR Schedule (Adv)'!I10="","",LET(nm,'RR Results (Adv)'!$A:$A,g,'RR Results (Adv)'!$B:$O,n,MATCH('RR Schedule (Adv)'!I10,{"7/20-7/22";"7/23-7/25";"7/26-7/28";"7/29-7/31";"8/1-8/3";"8/4-8/6";"8/7-8/9"},0),me,MATCH($A9,nm,0),IF(COUNT(INDEX(g,me,2*n))=1,INDEX(g,me,2*n),"")))</f>
        <v>62</v>
      </c>
      <c r="J9" s="113"/>
      <c r="K9" s="105" t="s">
        <v>85</v>
      </c>
      <c r="L9" s="6">
        <f t="array" ref="L9">IF('RR Schedule (Adv)'!L10="","",LET(nm,'RR Results (Adv)'!$T:$T,g,'RR Results (Adv)'!$U:$AH,n,MATCH('RR Schedule (Adv)'!L10,{"7/20-7/22";"7/23-7/25";"7/26-7/28";"7/29-7/31";"8/1-8/3";"8/4-8/6";"8/7-8/9"},0),me,MATCH($K9,nm,0),IF(COUNT(INDEX(g,me,2*n))=1,INDEX(g,me,2*n),"")))</f>
        <v>48</v>
      </c>
      <c r="M9" s="6">
        <f t="array" ref="M9">IF('RR Schedule (Adv)'!M10="","",LET(nm,'RR Results (Adv)'!$T:$T,g,'RR Results (Adv)'!$U:$AH,n,MATCH('RR Schedule (Adv)'!M10,{"7/20-7/22";"7/23-7/25";"7/26-7/28";"7/29-7/31";"8/1-8/3";"8/4-8/6";"8/7-8/9"},0),me,MATCH($K9,nm,0),IF(COUNT(INDEX(g,me,2*n))=1,INDEX(g,me,2*n),"")))</f>
        <v>10</v>
      </c>
      <c r="N9" s="6">
        <f t="array" ref="N9">IF('RR Schedule (Adv)'!N10="","",LET(nm,'RR Results (Adv)'!$T:$T,g,'RR Results (Adv)'!$U:$AH,n,MATCH('RR Schedule (Adv)'!N10,{"7/20-7/22";"7/23-7/25";"7/26-7/28";"7/29-7/31";"8/1-8/3";"8/4-8/6";"8/7-8/9"},0),me,MATCH($K9,nm,0),IF(COUNT(INDEX(g,me,2*n))=1,INDEX(g,me,2*n),"")))</f>
        <v>-6</v>
      </c>
      <c r="O9" s="6">
        <f t="array" ref="O9">IF('RR Schedule (Adv)'!O10="","",LET(nm,'RR Results (Adv)'!$T:$T,g,'RR Results (Adv)'!$U:$AH,n,MATCH('RR Schedule (Adv)'!O10,{"7/20-7/22";"7/23-7/25";"7/26-7/28";"7/29-7/31";"8/1-8/3";"8/4-8/6";"8/7-8/9"},0),me,MATCH($K9,nm,0),IF(COUNT(INDEX(g,me,2*n))=1,INDEX(g,me,2*n),"")))</f>
        <v>2</v>
      </c>
      <c r="P9" s="171" t="str">
        <f t="array" ref="P9">IF('RR Schedule (Adv)'!P10="","",LET(nm,'RR Results (Adv)'!$T:$T,g,'RR Results (Adv)'!$U:$AH,n,MATCH('RR Schedule (Adv)'!P10,{"7/20-7/22";"7/23-7/25";"7/26-7/28";"7/29-7/31";"8/1-8/3";"8/4-8/6";"8/7-8/9"},0),me,MATCH($K9,nm,0),IF(COUNT(INDEX(g,me,2*n))=1,INDEX(g,me,2*n),"")))</f>
        <v/>
      </c>
      <c r="Q9" s="6">
        <f t="array" ref="Q9">IF('RR Schedule (Adv)'!Q10="","",LET(nm,'RR Results (Adv)'!$T:$T,g,'RR Results (Adv)'!$U:$AH,n,MATCH('RR Schedule (Adv)'!Q10,{"7/20-7/22";"7/23-7/25";"7/26-7/28";"7/29-7/31";"8/1-8/3";"8/4-8/6";"8/7-8/9"},0),me,MATCH($K9,nm,0),IF(COUNT(INDEX(g,me,2*n))=1,INDEX(g,me,2*n),"")))</f>
        <v>18</v>
      </c>
      <c r="R9" s="6">
        <f t="array" ref="R9">IF('RR Schedule (Adv)'!R10="","",LET(nm,'RR Results (Adv)'!$T:$T,g,'RR Results (Adv)'!$U:$AH,n,MATCH('RR Schedule (Adv)'!R10,{"7/20-7/22";"7/23-7/25";"7/26-7/28";"7/29-7/31";"8/1-8/3";"8/4-8/6";"8/7-8/9"},0),me,MATCH($K9,nm,0),IF(COUNT(INDEX(g,me,2*n))=1,INDEX(g,me,2*n),"")))</f>
        <v>42</v>
      </c>
      <c r="S9" s="173">
        <f t="array" ref="S9">IF('RR Schedule (Adv)'!S10="","",LET(nm,'RR Results (Adv)'!$T:$T,g,'RR Results (Adv)'!$U:$AH,n,MATCH('RR Schedule (Adv)'!S10,{"7/20-7/22";"7/23-7/25";"7/26-7/28";"7/29-7/31";"8/1-8/3";"8/4-8/6";"8/7-8/9"},0),me,MATCH($K9,nm,0),IF(COUNT(INDEX(g,me,2*n))=1,INDEX(g,me,2*n),"")))</f>
        <v>34</v>
      </c>
      <c r="T9" s="55"/>
    </row>
    <row r="10" ht="19.5" customHeight="1">
      <c r="A10" s="90" t="s">
        <v>86</v>
      </c>
      <c r="B10" s="6">
        <f t="array" ref="B10">IF('RR Schedule (Adv)'!B11="","",LET(nm,'RR Results (Adv)'!$A:$A,g,'RR Results (Adv)'!$B:$O,n,MATCH('RR Schedule (Adv)'!B11,{"7/20-7/22";"7/23-7/25";"7/26-7/28";"7/29-7/31";"8/1-8/3";"8/4-8/6";"8/7-8/9"},0),me,MATCH($A10,nm,0),IF(COUNT(INDEX(g,me,2*n))=1,INDEX(g,me,2*n),"")))</f>
        <v>24</v>
      </c>
      <c r="C10" s="6">
        <f t="array" ref="C10">IF('RR Schedule (Adv)'!C11="","",LET(nm,'RR Results (Adv)'!$A:$A,g,'RR Results (Adv)'!$B:$O,n,MATCH('RR Schedule (Adv)'!C11,{"7/20-7/22";"7/23-7/25";"7/26-7/28";"7/29-7/31";"8/1-8/3";"8/4-8/6";"8/7-8/9"},0),me,MATCH($A10,nm,0),IF(COUNT(INDEX(g,me,2*n))=1,INDEX(g,me,2*n),"")))</f>
        <v>16</v>
      </c>
      <c r="D10" s="6">
        <f t="array" ref="D10">IF('RR Schedule (Adv)'!D11="","",LET(nm,'RR Results (Adv)'!$A:$A,g,'RR Results (Adv)'!$B:$O,n,MATCH('RR Schedule (Adv)'!D11,{"7/20-7/22";"7/23-7/25";"7/26-7/28";"7/29-7/31";"8/1-8/3";"8/4-8/6";"8/7-8/9"},0),me,MATCH($A10,nm,0),IF(COUNT(INDEX(g,me,2*n))=1,INDEX(g,me,2*n),"")))</f>
        <v>28</v>
      </c>
      <c r="E10" s="6">
        <f t="array" ref="E10">IF('RR Schedule (Adv)'!E11="","",LET(nm,'RR Results (Adv)'!$A:$A,g,'RR Results (Adv)'!$B:$O,n,MATCH('RR Schedule (Adv)'!E11,{"7/20-7/22";"7/23-7/25";"7/26-7/28";"7/29-7/31";"8/1-8/3";"8/4-8/6";"8/7-8/9"},0),me,MATCH($A10,nm,0),IF(COUNT(INDEX(g,me,2*n))=1,INDEX(g,me,2*n),"")))</f>
        <v>30</v>
      </c>
      <c r="F10" s="6">
        <f t="array" ref="F10">IF('RR Schedule (Adv)'!F11="","",LET(nm,'RR Results (Adv)'!$A:$A,g,'RR Results (Adv)'!$B:$O,n,MATCH('RR Schedule (Adv)'!F11,{"7/20-7/22";"7/23-7/25";"7/26-7/28";"7/29-7/31";"8/1-8/3";"8/4-8/6";"8/7-8/9"},0),me,MATCH($A10,nm,0),IF(COUNT(INDEX(g,me,2*n))=1,INDEX(g,me,2*n),"")))</f>
        <v>6</v>
      </c>
      <c r="G10" s="171" t="str">
        <f t="array" ref="G10">IF('RR Schedule (Adv)'!G11="","",LET(nm,'RR Results (Adv)'!$A:$A,g,'RR Results (Adv)'!$B:$O,n,MATCH('RR Schedule (Adv)'!G11,{"7/20-7/22";"7/23-7/25";"7/26-7/28";"7/29-7/31";"8/1-8/3";"8/4-8/6";"8/7-8/9"},0),me,MATCH($A10,nm,0),IF(COUNT(INDEX(g,me,2*n))=1,INDEX(g,me,2*n),"")))</f>
        <v/>
      </c>
      <c r="H10" s="172">
        <f t="array" ref="H10">IF('RR Schedule (Adv)'!H11="","",LET(nm,'RR Results (Adv)'!$A:$A,g,'RR Results (Adv)'!$B:$O,n,MATCH('RR Schedule (Adv)'!H11,{"7/20-7/22";"7/23-7/25";"7/26-7/28";"7/29-7/31";"8/1-8/3";"8/4-8/6";"8/7-8/9"},0),me,MATCH($A10,nm,0),IF(COUNT(INDEX(g,me,2*n))=1,INDEX(g,me,2*n),"")))</f>
        <v>12</v>
      </c>
      <c r="I10" s="173">
        <f t="array" ref="I10">IF('RR Schedule (Adv)'!I11="","",LET(nm,'RR Results (Adv)'!$A:$A,g,'RR Results (Adv)'!$B:$O,n,MATCH('RR Schedule (Adv)'!I11,{"7/20-7/22";"7/23-7/25";"7/26-7/28";"7/29-7/31";"8/1-8/3";"8/4-8/6";"8/7-8/9"},0),me,MATCH($A10,nm,0),IF(COUNT(INDEX(g,me,2*n))=1,INDEX(g,me,2*n),"")))</f>
        <v>16</v>
      </c>
      <c r="J10" s="113"/>
      <c r="K10" s="105" t="s">
        <v>87</v>
      </c>
      <c r="L10" s="6">
        <f t="array" ref="L10">IF('RR Schedule (Adv)'!L11="","",LET(nm,'RR Results (Adv)'!$T:$T,g,'RR Results (Adv)'!$U:$AH,n,MATCH('RR Schedule (Adv)'!L11,{"7/20-7/22";"7/23-7/25";"7/26-7/28";"7/29-7/31";"8/1-8/3";"8/4-8/6";"8/7-8/9"},0),me,MATCH($K10,nm,0),IF(COUNT(INDEX(g,me,2*n))=1,INDEX(g,me,2*n),"")))</f>
        <v>14</v>
      </c>
      <c r="M10" s="6">
        <f t="array" ref="M10">IF('RR Schedule (Adv)'!M11="","",LET(nm,'RR Results (Adv)'!$T:$T,g,'RR Results (Adv)'!$U:$AH,n,MATCH('RR Schedule (Adv)'!M11,{"7/20-7/22";"7/23-7/25";"7/26-7/28";"7/29-7/31";"8/1-8/3";"8/4-8/6";"8/7-8/9"},0),me,MATCH($K10,nm,0),IF(COUNT(INDEX(g,me,2*n))=1,INDEX(g,me,2*n),"")))</f>
        <v>34</v>
      </c>
      <c r="N10" s="6">
        <f t="array" ref="N10">IF('RR Schedule (Adv)'!N11="","",LET(nm,'RR Results (Adv)'!$T:$T,g,'RR Results (Adv)'!$U:$AH,n,MATCH('RR Schedule (Adv)'!N11,{"7/20-7/22";"7/23-7/25";"7/26-7/28";"7/29-7/31";"8/1-8/3";"8/4-8/6";"8/7-8/9"},0),me,MATCH($K10,nm,0),IF(COUNT(INDEX(g,me,2*n))=1,INDEX(g,me,2*n),"")))</f>
        <v>2</v>
      </c>
      <c r="O10" s="6">
        <f t="array" ref="O10">IF('RR Schedule (Adv)'!O11="","",LET(nm,'RR Results (Adv)'!$T:$T,g,'RR Results (Adv)'!$U:$AH,n,MATCH('RR Schedule (Adv)'!O11,{"7/20-7/22";"7/23-7/25";"7/26-7/28";"7/29-7/31";"8/1-8/3";"8/4-8/6";"8/7-8/9"},0),me,MATCH($K10,nm,0),IF(COUNT(INDEX(g,me,2*n))=1,INDEX(g,me,2*n),"")))</f>
        <v>14</v>
      </c>
      <c r="P10" s="6">
        <f t="array" ref="P10">IF('RR Schedule (Adv)'!P11="","",LET(nm,'RR Results (Adv)'!$T:$T,g,'RR Results (Adv)'!$U:$AH,n,MATCH('RR Schedule (Adv)'!P11,{"7/20-7/22";"7/23-7/25";"7/26-7/28";"7/29-7/31";"8/1-8/3";"8/4-8/6";"8/7-8/9"},0),me,MATCH($K10,nm,0),IF(COUNT(INDEX(g,me,2*n))=1,INDEX(g,me,2*n),"")))</f>
        <v>20</v>
      </c>
      <c r="Q10" s="171" t="str">
        <f t="array" ref="Q10">IF('RR Schedule (Adv)'!Q11="","",LET(nm,'RR Results (Adv)'!$T:$T,g,'RR Results (Adv)'!$U:$AH,n,MATCH('RR Schedule (Adv)'!Q11,{"7/20-7/22";"7/23-7/25";"7/26-7/28";"7/29-7/31";"8/1-8/3";"8/4-8/6";"8/7-8/9"},0),me,MATCH($K10,nm,0),IF(COUNT(INDEX(g,me,2*n))=1,INDEX(g,me,2*n),"")))</f>
        <v/>
      </c>
      <c r="R10" s="6">
        <f t="array" ref="R10">IF('RR Schedule (Adv)'!R11="","",LET(nm,'RR Results (Adv)'!$T:$T,g,'RR Results (Adv)'!$U:$AH,n,MATCH('RR Schedule (Adv)'!R11,{"7/20-7/22";"7/23-7/25";"7/26-7/28";"7/29-7/31";"8/1-8/3";"8/4-8/6";"8/7-8/9"},0),me,MATCH($K10,nm,0),IF(COUNT(INDEX(g,me,2*n))=1,INDEX(g,me,2*n),"")))</f>
        <v>20</v>
      </c>
      <c r="S10" s="173">
        <f t="array" ref="S10">IF('RR Schedule (Adv)'!S11="","",LET(nm,'RR Results (Adv)'!$T:$T,g,'RR Results (Adv)'!$U:$AH,n,MATCH('RR Schedule (Adv)'!S11,{"7/20-7/22";"7/23-7/25";"7/26-7/28";"7/29-7/31";"8/1-8/3";"8/4-8/6";"8/7-8/9"},0),me,MATCH($K10,nm,0),IF(COUNT(INDEX(g,me,2*n))=1,INDEX(g,me,2*n),"")))</f>
        <v>24</v>
      </c>
      <c r="T10" s="55"/>
    </row>
    <row r="11" ht="19.5" customHeight="1">
      <c r="A11" s="90" t="s">
        <v>88</v>
      </c>
      <c r="B11" s="6">
        <f t="array" ref="B11">IF('RR Schedule (Adv)'!B12="","",LET(nm,'RR Results (Adv)'!$A:$A,g,'RR Results (Adv)'!$B:$O,n,MATCH('RR Schedule (Adv)'!B12,{"7/20-7/22";"7/23-7/25";"7/26-7/28";"7/29-7/31";"8/1-8/3";"8/4-8/6";"8/7-8/9"},0),me,MATCH($A11,nm,0),IF(COUNT(INDEX(g,me,2*n))=1,INDEX(g,me,2*n),"")))</f>
        <v>10</v>
      </c>
      <c r="C11" s="6">
        <f t="array" ref="C11">IF('RR Schedule (Adv)'!C12="","",LET(nm,'RR Results (Adv)'!$A:$A,g,'RR Results (Adv)'!$B:$O,n,MATCH('RR Schedule (Adv)'!C12,{"7/20-7/22";"7/23-7/25";"7/26-7/28";"7/29-7/31";"8/1-8/3";"8/4-8/6";"8/7-8/9"},0),me,MATCH($A11,nm,0),IF(COUNT(INDEX(g,me,2*n))=1,INDEX(g,me,2*n),"")))</f>
        <v>18</v>
      </c>
      <c r="D11" s="6">
        <f t="array" ref="D11">IF('RR Schedule (Adv)'!D12="","",LET(nm,'RR Results (Adv)'!$A:$A,g,'RR Results (Adv)'!$B:$O,n,MATCH('RR Schedule (Adv)'!D12,{"7/20-7/22";"7/23-7/25";"7/26-7/28";"7/29-7/31";"8/1-8/3";"8/4-8/6";"8/7-8/9"},0),me,MATCH($A11,nm,0),IF(COUNT(INDEX(g,me,2*n))=1,INDEX(g,me,2*n),"")))</f>
        <v>20</v>
      </c>
      <c r="E11" s="6">
        <f t="array" ref="E11">IF('RR Schedule (Adv)'!E12="","",LET(nm,'RR Results (Adv)'!$A:$A,g,'RR Results (Adv)'!$B:$O,n,MATCH('RR Schedule (Adv)'!E12,{"7/20-7/22";"7/23-7/25";"7/26-7/28";"7/29-7/31";"8/1-8/3";"8/4-8/6";"8/7-8/9"},0),me,MATCH($A11,nm,0),IF(COUNT(INDEX(g,me,2*n))=1,INDEX(g,me,2*n),"")))</f>
        <v>40</v>
      </c>
      <c r="F11" s="6">
        <f t="array" ref="F11">IF('RR Schedule (Adv)'!F12="","",LET(nm,'RR Results (Adv)'!$A:$A,g,'RR Results (Adv)'!$B:$O,n,MATCH('RR Schedule (Adv)'!F12,{"7/20-7/22";"7/23-7/25";"7/26-7/28";"7/29-7/31";"8/1-8/3";"8/4-8/6";"8/7-8/9"},0),me,MATCH($A11,nm,0),IF(COUNT(INDEX(g,me,2*n))=1,INDEX(g,me,2*n),"")))</f>
        <v>20</v>
      </c>
      <c r="G11" s="172">
        <f t="array" ref="G11">IF('RR Schedule (Adv)'!G12="","",LET(nm,'RR Results (Adv)'!$A:$A,g,'RR Results (Adv)'!$B:$O,n,MATCH('RR Schedule (Adv)'!G12,{"7/20-7/22";"7/23-7/25";"7/26-7/28";"7/29-7/31";"8/1-8/3";"8/4-8/6";"8/7-8/9"},0),me,MATCH($A11,nm,0),IF(COUNT(INDEX(g,me,2*n))=1,INDEX(g,me,2*n),"")))</f>
        <v>12</v>
      </c>
      <c r="H11" s="171" t="str">
        <f t="array" ref="H11">IF('RR Schedule (Adv)'!H12="","",LET(nm,'RR Results (Adv)'!$A:$A,g,'RR Results (Adv)'!$B:$O,n,MATCH('RR Schedule (Adv)'!H12,{"7/20-7/22";"7/23-7/25";"7/26-7/28";"7/29-7/31";"8/1-8/3";"8/4-8/6";"8/7-8/9"},0),me,MATCH($A11,nm,0),IF(COUNT(INDEX(g,me,2*n))=1,INDEX(g,me,2*n),"")))</f>
        <v/>
      </c>
      <c r="I11" s="174">
        <f t="array" ref="I11">IF('RR Schedule (Adv)'!I12="","",LET(nm,'RR Results (Adv)'!$A:$A,g,'RR Results (Adv)'!$B:$O,n,MATCH('RR Schedule (Adv)'!I12,{"7/20-7/22";"7/23-7/25";"7/26-7/28";"7/29-7/31";"8/1-8/3";"8/4-8/6";"8/7-8/9"},0),me,MATCH($A11,nm,0),IF(COUNT(INDEX(g,me,2*n))=1,INDEX(g,me,2*n),"")))</f>
        <v>18</v>
      </c>
      <c r="J11" s="112"/>
      <c r="K11" s="105" t="s">
        <v>89</v>
      </c>
      <c r="L11" s="6">
        <f t="array" ref="L11">IF('RR Schedule (Adv)'!L12="","",LET(nm,'RR Results (Adv)'!$T:$T,g,'RR Results (Adv)'!$U:$AH,n,MATCH('RR Schedule (Adv)'!L12,{"7/20-7/22";"7/23-7/25";"7/26-7/28";"7/29-7/31";"8/1-8/3";"8/4-8/6";"8/7-8/9"},0),me,MATCH($K11,nm,0),IF(COUNT(INDEX(g,me,2*n))=1,INDEX(g,me,2*n),"")))</f>
        <v>12</v>
      </c>
      <c r="M11" s="6">
        <f t="array" ref="M11">IF('RR Schedule (Adv)'!M12="","",LET(nm,'RR Results (Adv)'!$T:$T,g,'RR Results (Adv)'!$U:$AH,n,MATCH('RR Schedule (Adv)'!M12,{"7/20-7/22";"7/23-7/25";"7/26-7/28";"7/29-7/31";"8/1-8/3";"8/4-8/6";"8/7-8/9"},0),me,MATCH($K11,nm,0),IF(COUNT(INDEX(g,me,2*n))=1,INDEX(g,me,2*n),"")))</f>
        <v>-8</v>
      </c>
      <c r="N11" s="6">
        <f t="array" ref="N11">IF('RR Schedule (Adv)'!N12="","",LET(nm,'RR Results (Adv)'!$T:$T,g,'RR Results (Adv)'!$U:$AH,n,MATCH('RR Schedule (Adv)'!N12,{"7/20-7/22";"7/23-7/25";"7/26-7/28";"7/29-7/31";"8/1-8/3";"8/4-8/6";"8/7-8/9"},0),me,MATCH($K11,nm,0),IF(COUNT(INDEX(g,me,2*n))=1,INDEX(g,me,2*n),"")))</f>
        <v>10</v>
      </c>
      <c r="O11" s="6">
        <f t="array" ref="O11">IF('RR Schedule (Adv)'!O12="","",LET(nm,'RR Results (Adv)'!$T:$T,g,'RR Results (Adv)'!$U:$AH,n,MATCH('RR Schedule (Adv)'!O12,{"7/20-7/22";"7/23-7/25";"7/26-7/28";"7/29-7/31";"8/1-8/3";"8/4-8/6";"8/7-8/9"},0),me,MATCH($K11,nm,0),IF(COUNT(INDEX(g,me,2*n))=1,INDEX(g,me,2*n),"")))</f>
        <v>8</v>
      </c>
      <c r="P11" s="6">
        <f t="array" ref="P11">IF('RR Schedule (Adv)'!P12="","",LET(nm,'RR Results (Adv)'!$T:$T,g,'RR Results (Adv)'!$U:$AH,n,MATCH('RR Schedule (Adv)'!P12,{"7/20-7/22";"7/23-7/25";"7/26-7/28";"7/29-7/31";"8/1-8/3";"8/4-8/6";"8/7-8/9"},0),me,MATCH($K11,nm,0),IF(COUNT(INDEX(g,me,2*n))=1,INDEX(g,me,2*n),"")))</f>
        <v>12</v>
      </c>
      <c r="Q11" s="6">
        <f t="array" ref="Q11">IF('RR Schedule (Adv)'!Q12="","",LET(nm,'RR Results (Adv)'!$T:$T,g,'RR Results (Adv)'!$U:$AH,n,MATCH('RR Schedule (Adv)'!Q12,{"7/20-7/22";"7/23-7/25";"7/26-7/28";"7/29-7/31";"8/1-8/3";"8/4-8/6";"8/7-8/9"},0),me,MATCH($K11,nm,0),IF(COUNT(INDEX(g,me,2*n))=1,INDEX(g,me,2*n),"")))</f>
        <v>30</v>
      </c>
      <c r="R11" s="171" t="str">
        <f t="array" ref="R11">IF('RR Schedule (Adv)'!R12="","",LET(nm,'RR Results (Adv)'!$T:$T,g,'RR Results (Adv)'!$U:$AH,n,MATCH('RR Schedule (Adv)'!R12,{"7/20-7/22";"7/23-7/25";"7/26-7/28";"7/29-7/31";"8/1-8/3";"8/4-8/6";"8/7-8/9"},0),me,MATCH($K11,nm,0),IF(COUNT(INDEX(g,me,2*n))=1,INDEX(g,me,2*n),"")))</f>
        <v/>
      </c>
      <c r="S11" s="174">
        <f t="array" ref="S11">IF('RR Schedule (Adv)'!S12="","",LET(nm,'RR Results (Adv)'!$T:$T,g,'RR Results (Adv)'!$U:$AH,n,MATCH('RR Schedule (Adv)'!S12,{"7/20-7/22";"7/23-7/25";"7/26-7/28";"7/29-7/31";"8/1-8/3";"8/4-8/6";"8/7-8/9"},0),me,MATCH($K11,nm,0),IF(COUNT(INDEX(g,me,2*n))=1,INDEX(g,me,2*n),"")))</f>
        <v>20</v>
      </c>
      <c r="T11" s="55"/>
    </row>
    <row r="12" ht="19.5" customHeight="1">
      <c r="A12" s="143" t="s">
        <v>90</v>
      </c>
      <c r="B12" s="27">
        <f t="array" ref="B12">IF('RR Schedule (Adv)'!B13="","",LET(nm,'RR Results (Adv)'!$A:$A,g,'RR Results (Adv)'!$B:$O,n,MATCH('RR Schedule (Adv)'!B13,{"7/20-7/22";"7/23-7/25";"7/26-7/28";"7/29-7/31";"8/1-8/3";"8/4-8/6";"8/7-8/9"},0),me,MATCH($A12,nm,0),IF(COUNT(INDEX(g,me,2*n))=1,INDEX(g,me,2*n),"")))</f>
        <v>-12</v>
      </c>
      <c r="C12" s="27">
        <f t="array" ref="C12">IF('RR Schedule (Adv)'!C13="","",LET(nm,'RR Results (Adv)'!$A:$A,g,'RR Results (Adv)'!$B:$O,n,MATCH('RR Schedule (Adv)'!C13,{"7/20-7/22";"7/23-7/25";"7/26-7/28";"7/29-7/31";"8/1-8/3";"8/4-8/6";"8/7-8/9"},0),me,MATCH($A12,nm,0),IF(COUNT(INDEX(g,me,2*n))=1,INDEX(g,me,2*n),"")))</f>
        <v>22</v>
      </c>
      <c r="D12" s="27">
        <f t="array" ref="D12">IF('RR Schedule (Adv)'!D13="","",LET(nm,'RR Results (Adv)'!$A:$A,g,'RR Results (Adv)'!$B:$O,n,MATCH('RR Schedule (Adv)'!D13,{"7/20-7/22";"7/23-7/25";"7/26-7/28";"7/29-7/31";"8/1-8/3";"8/4-8/6";"8/7-8/9"},0),me,MATCH($A12,nm,0),IF(COUNT(INDEX(g,me,2*n))=1,INDEX(g,me,2*n),"")))</f>
        <v>2</v>
      </c>
      <c r="E12" s="27">
        <f t="array" ref="E12">IF('RR Schedule (Adv)'!E13="","",LET(nm,'RR Results (Adv)'!$A:$A,g,'RR Results (Adv)'!$B:$O,n,MATCH('RR Schedule (Adv)'!E13,{"7/20-7/22";"7/23-7/25";"7/26-7/28";"7/29-7/31";"8/1-8/3";"8/4-8/6";"8/7-8/9"},0),me,MATCH($A12,nm,0),IF(COUNT(INDEX(g,me,2*n))=1,INDEX(g,me,2*n),"")))</f>
        <v>2</v>
      </c>
      <c r="F12" s="27">
        <f t="array" ref="F12">IF('RR Schedule (Adv)'!F13="","",LET(nm,'RR Results (Adv)'!$A:$A,g,'RR Results (Adv)'!$B:$O,n,MATCH('RR Schedule (Adv)'!F13,{"7/20-7/22";"7/23-7/25";"7/26-7/28";"7/29-7/31";"8/1-8/3";"8/4-8/6";"8/7-8/9"},0),me,MATCH($A12,nm,0),IF(COUNT(INDEX(g,me,2*n))=1,INDEX(g,me,2*n),"")))</f>
        <v>18</v>
      </c>
      <c r="G12" s="27">
        <f t="array" ref="G12">IF('RR Schedule (Adv)'!G13="","",LET(nm,'RR Results (Adv)'!$A:$A,g,'RR Results (Adv)'!$B:$O,n,MATCH('RR Schedule (Adv)'!G13,{"7/20-7/22";"7/23-7/25";"7/26-7/28";"7/29-7/31";"8/1-8/3";"8/4-8/6";"8/7-8/9"},0),me,MATCH($A12,nm,0),IF(COUNT(INDEX(g,me,2*n))=1,INDEX(g,me,2*n),"")))</f>
        <v>12</v>
      </c>
      <c r="H12" s="175">
        <f t="array" ref="H12">IF('RR Schedule (Adv)'!H13="","",LET(nm,'RR Results (Adv)'!$A:$A,g,'RR Results (Adv)'!$B:$O,n,MATCH('RR Schedule (Adv)'!H13,{"7/20-7/22";"7/23-7/25";"7/26-7/28";"7/29-7/31";"8/1-8/3";"8/4-8/6";"8/7-8/9"},0),me,MATCH($A12,nm,0),IF(COUNT(INDEX(g,me,2*n))=1,INDEX(g,me,2*n),"")))</f>
        <v>18</v>
      </c>
      <c r="I12" s="176" t="str">
        <f t="array" ref="I12">IF('RR Schedule (Adv)'!I13="","",LET(nm,'RR Results (Adv)'!$A:$A,g,'RR Results (Adv)'!$B:$O,n,MATCH('RR Schedule (Adv)'!I13,{"7/20-7/22";"7/23-7/25";"7/26-7/28";"7/29-7/31";"8/1-8/3";"8/4-8/6";"8/7-8/9"},0),me,MATCH($A12,nm,0),IF(COUNT(INDEX(g,me,2*n))=1,INDEX(g,me,2*n),"")))</f>
        <v/>
      </c>
      <c r="J12" s="113"/>
      <c r="K12" s="143" t="s">
        <v>91</v>
      </c>
      <c r="L12" s="27">
        <f t="array" ref="L12">IF('RR Schedule (Adv)'!L13="","",LET(nm,'RR Results (Adv)'!$T:$T,g,'RR Results (Adv)'!$U:$AH,n,MATCH('RR Schedule (Adv)'!L13,{"7/20-7/22";"7/23-7/25";"7/26-7/28";"7/29-7/31";"8/1-8/3";"8/4-8/6";"8/7-8/9"},0),me,MATCH($K12,nm,0),IF(COUNT(INDEX(g,me,2*n))=1,INDEX(g,me,2*n),"")))</f>
        <v>2</v>
      </c>
      <c r="M12" s="27">
        <f t="array" ref="M12">IF('RR Schedule (Adv)'!M13="","",LET(nm,'RR Results (Adv)'!$T:$T,g,'RR Results (Adv)'!$U:$AH,n,MATCH('RR Schedule (Adv)'!M13,{"7/20-7/22";"7/23-7/25";"7/26-7/28";"7/29-7/31";"8/1-8/3";"8/4-8/6";"8/7-8/9"},0),me,MATCH($K12,nm,0),IF(COUNT(INDEX(g,me,2*n))=1,INDEX(g,me,2*n),"")))</f>
        <v>20</v>
      </c>
      <c r="N12" s="27">
        <f t="array" ref="N12">IF('RR Schedule (Adv)'!N13="","",LET(nm,'RR Results (Adv)'!$T:$T,g,'RR Results (Adv)'!$U:$AH,n,MATCH('RR Schedule (Adv)'!N13,{"7/20-7/22";"7/23-7/25";"7/26-7/28";"7/29-7/31";"8/1-8/3";"8/4-8/6";"8/7-8/9"},0),me,MATCH($K12,nm,0),IF(COUNT(INDEX(g,me,2*n))=1,INDEX(g,me,2*n),"")))</f>
        <v>24</v>
      </c>
      <c r="O12" s="27">
        <f t="array" ref="O12">IF('RR Schedule (Adv)'!O13="","",LET(nm,'RR Results (Adv)'!$T:$T,g,'RR Results (Adv)'!$U:$AH,n,MATCH('RR Schedule (Adv)'!O13,{"7/20-7/22";"7/23-7/25";"7/26-7/28";"7/29-7/31";"8/1-8/3";"8/4-8/6";"8/7-8/9"},0),me,MATCH($K12,nm,0),IF(COUNT(INDEX(g,me,2*n))=1,INDEX(g,me,2*n),"")))</f>
        <v>-6</v>
      </c>
      <c r="P12" s="27">
        <f t="array" ref="P12">IF('RR Schedule (Adv)'!P13="","",LET(nm,'RR Results (Adv)'!$T:$T,g,'RR Results (Adv)'!$U:$AH,n,MATCH('RR Schedule (Adv)'!P13,{"7/20-7/22";"7/23-7/25";"7/26-7/28";"7/29-7/31";"8/1-8/3";"8/4-8/6";"8/7-8/9"},0),me,MATCH($K12,nm,0),IF(COUNT(INDEX(g,me,2*n))=1,INDEX(g,me,2*n),"")))</f>
        <v>28</v>
      </c>
      <c r="Q12" s="27">
        <f t="array" ref="Q12">IF('RR Schedule (Adv)'!Q13="","",LET(nm,'RR Results (Adv)'!$T:$T,g,'RR Results (Adv)'!$U:$AH,n,MATCH('RR Schedule (Adv)'!Q13,{"7/20-7/22";"7/23-7/25";"7/26-7/28";"7/29-7/31";"8/1-8/3";"8/4-8/6";"8/7-8/9"},0),me,MATCH($K12,nm,0),IF(COUNT(INDEX(g,me,2*n))=1,INDEX(g,me,2*n),"")))</f>
        <v>20</v>
      </c>
      <c r="R12" s="175">
        <f t="array" ref="R12">IF('RR Schedule (Adv)'!R13="","",LET(nm,'RR Results (Adv)'!$T:$T,g,'RR Results (Adv)'!$U:$AH,n,MATCH('RR Schedule (Adv)'!R13,{"7/20-7/22";"7/23-7/25";"7/26-7/28";"7/29-7/31";"8/1-8/3";"8/4-8/6";"8/7-8/9"},0),me,MATCH($K12,nm,0),IF(COUNT(INDEX(g,me,2*n))=1,INDEX(g,me,2*n),"")))</f>
        <v>20</v>
      </c>
      <c r="S12" s="176" t="str">
        <f t="array" ref="S12">IF('RR Schedule (Adv)'!S13="","",LET(nm,'RR Results (Adv)'!$T:$T,g,'RR Results (Adv)'!$U:$AH,n,MATCH('RR Schedule (Adv)'!S13,{"7/20-7/22";"7/23-7/25";"7/26-7/28";"7/29-7/31";"8/1-8/3";"8/4-8/6";"8/7-8/9"},0),me,MATCH($K12,nm,0),IF(COUNT(INDEX(g,me,2*n))=1,INDEX(g,me,2*n),"")))</f>
        <v/>
      </c>
      <c r="T12" s="55"/>
    </row>
    <row r="13" ht="19.5" customHeight="1">
      <c r="A13" s="112"/>
      <c r="B13" s="113"/>
      <c r="C13" s="113"/>
      <c r="D13" s="113"/>
      <c r="E13" s="113"/>
      <c r="F13" s="113"/>
      <c r="G13" s="113"/>
      <c r="H13" s="112"/>
      <c r="I13" s="112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55"/>
    </row>
    <row r="14" ht="19.5" customHeight="1">
      <c r="A14" s="77" t="s">
        <v>92</v>
      </c>
      <c r="B14" s="3"/>
      <c r="C14" s="3"/>
      <c r="D14" s="3"/>
      <c r="E14" s="3"/>
      <c r="F14" s="3"/>
      <c r="G14" s="3"/>
      <c r="H14" s="3"/>
      <c r="I14" s="5"/>
      <c r="J14" s="112"/>
      <c r="K14" s="77" t="s">
        <v>93</v>
      </c>
      <c r="L14" s="3"/>
      <c r="M14" s="3"/>
      <c r="N14" s="3"/>
      <c r="O14" s="3"/>
      <c r="P14" s="3"/>
      <c r="Q14" s="3"/>
      <c r="R14" s="3"/>
      <c r="S14" s="5"/>
      <c r="T14" s="55"/>
    </row>
    <row r="15" ht="19.5" customHeight="1">
      <c r="A15" s="117"/>
      <c r="B15" s="119" t="s">
        <v>45</v>
      </c>
      <c r="C15" s="119" t="s">
        <v>94</v>
      </c>
      <c r="D15" s="119" t="s">
        <v>57</v>
      </c>
      <c r="E15" s="119" t="s">
        <v>53</v>
      </c>
      <c r="F15" s="119" t="s">
        <v>97</v>
      </c>
      <c r="G15" s="119" t="s">
        <v>98</v>
      </c>
      <c r="H15" s="119" t="s">
        <v>100</v>
      </c>
      <c r="I15" s="121" t="s">
        <v>61</v>
      </c>
      <c r="J15" s="113"/>
      <c r="K15" s="117"/>
      <c r="L15" s="119" t="s">
        <v>51</v>
      </c>
      <c r="M15" s="119" t="s">
        <v>95</v>
      </c>
      <c r="N15" s="119" t="s">
        <v>96</v>
      </c>
      <c r="O15" s="119" t="s">
        <v>64</v>
      </c>
      <c r="P15" s="119" t="s">
        <v>46</v>
      </c>
      <c r="Q15" s="119" t="s">
        <v>99</v>
      </c>
      <c r="R15" s="119" t="s">
        <v>62</v>
      </c>
      <c r="S15" s="121" t="s">
        <v>101</v>
      </c>
      <c r="T15" s="55"/>
    </row>
    <row r="16" ht="19.5" customHeight="1">
      <c r="A16" s="90" t="s">
        <v>45</v>
      </c>
      <c r="B16" s="171" t="str">
        <f t="array" ref="B16">IF('RR Schedule (Adv)'!B17="","",LET(nm,'RR Results (Adv)'!$A:$A,g,'RR Results (Adv)'!$B:$O,n,MATCH('RR Schedule (Adv)'!B17,{"7/20-7/22";"7/23-7/25";"7/26-7/28";"7/29-7/31";"8/1-8/3";"8/4-8/6";"8/7-8/9"},0),me,MATCH($A16,nm,0),IF(COUNT(INDEX(g,me,2*n))=1,INDEX(g,me,2*n),"")))</f>
        <v/>
      </c>
      <c r="C16" s="6">
        <f t="array" ref="C16">IF('RR Schedule (Adv)'!C17="","",LET(nm,'RR Results (Adv)'!$A:$A,g,'RR Results (Adv)'!$B:$O,n,MATCH('RR Schedule (Adv)'!C17,{"7/20-7/22";"7/23-7/25";"7/26-7/28";"7/29-7/31";"8/1-8/3";"8/4-8/6";"8/7-8/9"},0),me,MATCH($A16,nm,0),IF(COUNT(INDEX(g,me,2*n))=1,INDEX(g,me,2*n),"")))</f>
        <v>68</v>
      </c>
      <c r="D16" s="6">
        <f t="array" ref="D16">IF('RR Schedule (Adv)'!D17="","",LET(nm,'RR Results (Adv)'!$A:$A,g,'RR Results (Adv)'!$B:$O,n,MATCH('RR Schedule (Adv)'!D17,{"7/20-7/22";"7/23-7/25";"7/26-7/28";"7/29-7/31";"8/1-8/3";"8/4-8/6";"8/7-8/9"},0),me,MATCH($A16,nm,0),IF(COUNT(INDEX(g,me,2*n))=1,INDEX(g,me,2*n),"")))</f>
        <v>56</v>
      </c>
      <c r="E16" s="172">
        <f t="array" ref="E16">IF('RR Schedule (Adv)'!E17="","",LET(nm,'RR Results (Adv)'!$A:$A,g,'RR Results (Adv)'!$B:$O,n,MATCH('RR Schedule (Adv)'!E17,{"7/20-7/22";"7/23-7/25";"7/26-7/28";"7/29-7/31";"8/1-8/3";"8/4-8/6";"8/7-8/9"},0),me,MATCH($A16,nm,0),IF(COUNT(INDEX(g,me,2*n))=1,INDEX(g,me,2*n),"")))</f>
        <v>28</v>
      </c>
      <c r="F16" s="6">
        <f t="array" ref="F16">IF('RR Schedule (Adv)'!F17="","",LET(nm,'RR Results (Adv)'!$A:$A,g,'RR Results (Adv)'!$B:$O,n,MATCH('RR Schedule (Adv)'!F17,{"7/20-7/22";"7/23-7/25";"7/26-7/28";"7/29-7/31";"8/1-8/3";"8/4-8/6";"8/7-8/9"},0),me,MATCH($A16,nm,0),IF(COUNT(INDEX(g,me,2*n))=1,INDEX(g,me,2*n),"")))</f>
        <v>66</v>
      </c>
      <c r="G16" s="6">
        <f t="array" ref="G16">IF('RR Schedule (Adv)'!G17="","",LET(nm,'RR Results (Adv)'!$A:$A,g,'RR Results (Adv)'!$B:$O,n,MATCH('RR Schedule (Adv)'!G17,{"7/20-7/22";"7/23-7/25";"7/26-7/28";"7/29-7/31";"8/1-8/3";"8/4-8/6";"8/7-8/9"},0),me,MATCH($A16,nm,0),IF(COUNT(INDEX(g,me,2*n))=1,INDEX(g,me,2*n),"")))</f>
        <v>68</v>
      </c>
      <c r="H16" s="6">
        <f t="array" ref="H16">IF('RR Schedule (Adv)'!H17="","",LET(nm,'RR Results (Adv)'!$A:$A,g,'RR Results (Adv)'!$B:$O,n,MATCH('RR Schedule (Adv)'!H17,{"7/20-7/22";"7/23-7/25";"7/26-7/28";"7/29-7/31";"8/1-8/3";"8/4-8/6";"8/7-8/9"},0),me,MATCH($A16,nm,0),IF(COUNT(INDEX(g,me,2*n))=1,INDEX(g,me,2*n),"")))</f>
        <v>66</v>
      </c>
      <c r="I16" s="173">
        <f t="array" ref="I16">IF('RR Schedule (Adv)'!I17="","",LET(nm,'RR Results (Adv)'!$A:$A,g,'RR Results (Adv)'!$B:$O,n,MATCH('RR Schedule (Adv)'!I17,{"7/20-7/22";"7/23-7/25";"7/26-7/28";"7/29-7/31";"8/1-8/3";"8/4-8/6";"8/7-8/9"},0),me,MATCH($A16,nm,0),IF(COUNT(INDEX(g,me,2*n))=1,INDEX(g,me,2*n),"")))</f>
        <v>50</v>
      </c>
      <c r="J16" s="113"/>
      <c r="K16" s="105" t="s">
        <v>51</v>
      </c>
      <c r="L16" s="171" t="str">
        <f t="array" ref="L16">IF('RR Schedule (Adv)'!L17="","",LET(nm,'RR Results (Adv)'!$T:$T,g,'RR Results (Adv)'!$U:$AH,n,MATCH('RR Schedule (Adv)'!L17,{"7/20-7/22";"7/23-7/25";"7/26-7/28";"7/29-7/31";"8/1-8/3";"8/4-8/6";"8/7-8/9"},0),me,MATCH($K16,nm,0),IF(COUNT(INDEX(g,me,2*n))=1,INDEX(g,me,2*n),"")))</f>
        <v/>
      </c>
      <c r="M16" s="6">
        <f t="array" ref="M16">IF('RR Schedule (Adv)'!M17="","",LET(nm,'RR Results (Adv)'!$T:$T,g,'RR Results (Adv)'!$U:$AH,n,MATCH('RR Schedule (Adv)'!M17,{"7/20-7/22";"7/23-7/25";"7/26-7/28";"7/29-7/31";"8/1-8/3";"8/4-8/6";"8/7-8/9"},0),me,MATCH($K16,nm,0),IF(COUNT(INDEX(g,me,2*n))=1,INDEX(g,me,2*n),"")))</f>
        <v>54</v>
      </c>
      <c r="N16" s="6">
        <f t="array" ref="N16">IF('RR Schedule (Adv)'!N17="","",LET(nm,'RR Results (Adv)'!$T:$T,g,'RR Results (Adv)'!$U:$AH,n,MATCH('RR Schedule (Adv)'!N17,{"7/20-7/22";"7/23-7/25";"7/26-7/28";"7/29-7/31";"8/1-8/3";"8/4-8/6";"8/7-8/9"},0),me,MATCH($K16,nm,0),IF(COUNT(INDEX(g,me,2*n))=1,INDEX(g,me,2*n),"")))</f>
        <v>36</v>
      </c>
      <c r="O16" s="6">
        <f t="array" ref="O16">IF('RR Schedule (Adv)'!O17="","",LET(nm,'RR Results (Adv)'!$T:$T,g,'RR Results (Adv)'!$U:$AH,n,MATCH('RR Schedule (Adv)'!O17,{"7/20-7/22";"7/23-7/25";"7/26-7/28";"7/29-7/31";"8/1-8/3";"8/4-8/6";"8/7-8/9"},0),me,MATCH($K16,nm,0),IF(COUNT(INDEX(g,me,2*n))=1,INDEX(g,me,2*n),"")))</f>
        <v>84</v>
      </c>
      <c r="P16" s="6">
        <f t="array" ref="P16">IF('RR Schedule (Adv)'!P17="","",LET(nm,'RR Results (Adv)'!$T:$T,g,'RR Results (Adv)'!$U:$AH,n,MATCH('RR Schedule (Adv)'!P17,{"7/20-7/22";"7/23-7/25";"7/26-7/28";"7/29-7/31";"8/1-8/3";"8/4-8/6";"8/7-8/9"},0),me,MATCH($K16,nm,0),IF(COUNT(INDEX(g,me,2*n))=1,INDEX(g,me,2*n),"")))</f>
        <v>40</v>
      </c>
      <c r="Q16" s="6">
        <f t="array" ref="Q16">IF('RR Schedule (Adv)'!Q17="","",LET(nm,'RR Results (Adv)'!$T:$T,g,'RR Results (Adv)'!$U:$AH,n,MATCH('RR Schedule (Adv)'!Q17,{"7/20-7/22";"7/23-7/25";"7/26-7/28";"7/29-7/31";"8/1-8/3";"8/4-8/6";"8/7-8/9"},0),me,MATCH($K16,nm,0),IF(COUNT(INDEX(g,me,2*n))=1,INDEX(g,me,2*n),"")))</f>
        <v>44</v>
      </c>
      <c r="R16" s="6">
        <f t="array" ref="R16">IF('RR Schedule (Adv)'!R17="","",LET(nm,'RR Results (Adv)'!$T:$T,g,'RR Results (Adv)'!$U:$AH,n,MATCH('RR Schedule (Adv)'!R17,{"7/20-7/22";"7/23-7/25";"7/26-7/28";"7/29-7/31";"8/1-8/3";"8/4-8/6";"8/7-8/9"},0),me,MATCH($K16,nm,0),IF(COUNT(INDEX(g,me,2*n))=1,INDEX(g,me,2*n),"")))</f>
        <v>2</v>
      </c>
      <c r="S16" s="173">
        <f t="array" ref="S16">IF('RR Schedule (Adv)'!S17="","",LET(nm,'RR Results (Adv)'!$T:$T,g,'RR Results (Adv)'!$U:$AH,n,MATCH('RR Schedule (Adv)'!S17,{"7/20-7/22";"7/23-7/25";"7/26-7/28";"7/29-7/31";"8/1-8/3";"8/4-8/6";"8/7-8/9"},0),me,MATCH($K16,nm,0),IF(COUNT(INDEX(g,me,2*n))=1,INDEX(g,me,2*n),"")))</f>
        <v>24</v>
      </c>
      <c r="T16" s="55"/>
    </row>
    <row r="17" ht="19.5" customHeight="1">
      <c r="A17" s="90" t="s">
        <v>94</v>
      </c>
      <c r="B17" s="6">
        <f t="array" ref="B17">IF('RR Schedule (Adv)'!B18="","",LET(nm,'RR Results (Adv)'!$A:$A,g,'RR Results (Adv)'!$B:$O,n,MATCH('RR Schedule (Adv)'!B18,{"7/20-7/22";"7/23-7/25";"7/26-7/28";"7/29-7/31";"8/1-8/3";"8/4-8/6";"8/7-8/9"},0),me,MATCH($A17,nm,0),IF(COUNT(INDEX(g,me,2*n))=1,INDEX(g,me,2*n),"")))</f>
        <v>20</v>
      </c>
      <c r="C17" s="171" t="str">
        <f t="array" ref="C17">IF('RR Schedule (Adv)'!C18="","",LET(nm,'RR Results (Adv)'!$A:$A,g,'RR Results (Adv)'!$B:$O,n,MATCH('RR Schedule (Adv)'!C18,{"7/20-7/22";"7/23-7/25";"7/26-7/28";"7/29-7/31";"8/1-8/3";"8/4-8/6";"8/7-8/9"},0),me,MATCH($A17,nm,0),IF(COUNT(INDEX(g,me,2*n))=1,INDEX(g,me,2*n),"")))</f>
        <v/>
      </c>
      <c r="D17" s="6">
        <f t="array" ref="D17">IF('RR Schedule (Adv)'!D18="","",LET(nm,'RR Results (Adv)'!$A:$A,g,'RR Results (Adv)'!$B:$O,n,MATCH('RR Schedule (Adv)'!D18,{"7/20-7/22";"7/23-7/25";"7/26-7/28";"7/29-7/31";"8/1-8/3";"8/4-8/6";"8/7-8/9"},0),me,MATCH($A17,nm,0),IF(COUNT(INDEX(g,me,2*n))=1,INDEX(g,me,2*n),"")))</f>
        <v>20</v>
      </c>
      <c r="E17" s="6">
        <f t="array" ref="E17">IF('RR Schedule (Adv)'!E18="","",LET(nm,'RR Results (Adv)'!$A:$A,g,'RR Results (Adv)'!$B:$O,n,MATCH('RR Schedule (Adv)'!E18,{"7/20-7/22";"7/23-7/25";"7/26-7/28";"7/29-7/31";"8/1-8/3";"8/4-8/6";"8/7-8/9"},0),me,MATCH($A17,nm,0),IF(COUNT(INDEX(g,me,2*n))=1,INDEX(g,me,2*n),"")))</f>
        <v>24</v>
      </c>
      <c r="F17" s="6">
        <f t="array" ref="F17">IF('RR Schedule (Adv)'!F18="","",LET(nm,'RR Results (Adv)'!$A:$A,g,'RR Results (Adv)'!$B:$O,n,MATCH('RR Schedule (Adv)'!F18,{"7/20-7/22";"7/23-7/25";"7/26-7/28";"7/29-7/31";"8/1-8/3";"8/4-8/6";"8/7-8/9"},0),me,MATCH($A17,nm,0),IF(COUNT(INDEX(g,me,2*n))=1,INDEX(g,me,2*n),"")))</f>
        <v>36</v>
      </c>
      <c r="G17" s="6">
        <f t="array" ref="G17">IF('RR Schedule (Adv)'!G18="","",LET(nm,'RR Results (Adv)'!$A:$A,g,'RR Results (Adv)'!$B:$O,n,MATCH('RR Schedule (Adv)'!G18,{"7/20-7/22";"7/23-7/25";"7/26-7/28";"7/29-7/31";"8/1-8/3";"8/4-8/6";"8/7-8/9"},0),me,MATCH($A17,nm,0),IF(COUNT(INDEX(g,me,2*n))=1,INDEX(g,me,2*n),"")))</f>
        <v>10</v>
      </c>
      <c r="H17" s="6">
        <f t="array" ref="H17">IF('RR Schedule (Adv)'!H18="","",LET(nm,'RR Results (Adv)'!$A:$A,g,'RR Results (Adv)'!$B:$O,n,MATCH('RR Schedule (Adv)'!H18,{"7/20-7/22";"7/23-7/25";"7/26-7/28";"7/29-7/31";"8/1-8/3";"8/4-8/6";"8/7-8/9"},0),me,MATCH($A17,nm,0),IF(COUNT(INDEX(g,me,2*n))=1,INDEX(g,me,2*n),"")))</f>
        <v>28</v>
      </c>
      <c r="I17" s="173">
        <f t="array" ref="I17">IF('RR Schedule (Adv)'!I18="","",LET(nm,'RR Results (Adv)'!$A:$A,g,'RR Results (Adv)'!$B:$O,n,MATCH('RR Schedule (Adv)'!I18,{"7/20-7/22";"7/23-7/25";"7/26-7/28";"7/29-7/31";"8/1-8/3";"8/4-8/6";"8/7-8/9"},0),me,MATCH($A17,nm,0),IF(COUNT(INDEX(g,me,2*n))=1,INDEX(g,me,2*n),"")))</f>
        <v>12</v>
      </c>
      <c r="J17" s="113"/>
      <c r="K17" s="105" t="s">
        <v>95</v>
      </c>
      <c r="L17" s="6">
        <f t="array" ref="L17">IF('RR Schedule (Adv)'!L18="","",LET(nm,'RR Results (Adv)'!$T:$T,g,'RR Results (Adv)'!$U:$AH,n,MATCH('RR Schedule (Adv)'!L18,{"7/20-7/22";"7/23-7/25";"7/26-7/28";"7/29-7/31";"8/1-8/3";"8/4-8/6";"8/7-8/9"},0),me,MATCH($K17,nm,0),IF(COUNT(INDEX(g,me,2*n))=1,INDEX(g,me,2*n),"")))</f>
        <v>20</v>
      </c>
      <c r="M17" s="171" t="str">
        <f t="array" ref="M17">IF('RR Schedule (Adv)'!M18="","",LET(nm,'RR Results (Adv)'!$T:$T,g,'RR Results (Adv)'!$U:$AH,n,MATCH('RR Schedule (Adv)'!M18,{"7/20-7/22";"7/23-7/25";"7/26-7/28";"7/29-7/31";"8/1-8/3";"8/4-8/6";"8/7-8/9"},0),me,MATCH($K17,nm,0),IF(COUNT(INDEX(g,me,2*n))=1,INDEX(g,me,2*n),"")))</f>
        <v/>
      </c>
      <c r="N17" s="6">
        <f t="array" ref="N17">IF('RR Schedule (Adv)'!N18="","",LET(nm,'RR Results (Adv)'!$T:$T,g,'RR Results (Adv)'!$U:$AH,n,MATCH('RR Schedule (Adv)'!N18,{"7/20-7/22";"7/23-7/25";"7/26-7/28";"7/29-7/31";"8/1-8/3";"8/4-8/6";"8/7-8/9"},0),me,MATCH($K17,nm,0),IF(COUNT(INDEX(g,me,2*n))=1,INDEX(g,me,2*n),"")))</f>
        <v>4</v>
      </c>
      <c r="O17" s="6">
        <f t="array" ref="O17">IF('RR Schedule (Adv)'!O18="","",LET(nm,'RR Results (Adv)'!$T:$T,g,'RR Results (Adv)'!$U:$AH,n,MATCH('RR Schedule (Adv)'!O18,{"7/20-7/22";"7/23-7/25";"7/26-7/28";"7/29-7/31";"8/1-8/3";"8/4-8/6";"8/7-8/9"},0),me,MATCH($K17,nm,0),IF(COUNT(INDEX(g,me,2*n))=1,INDEX(g,me,2*n),"")))</f>
        <v>38</v>
      </c>
      <c r="P17" s="6">
        <f t="array" ref="P17">IF('RR Schedule (Adv)'!P18="","",LET(nm,'RR Results (Adv)'!$T:$T,g,'RR Results (Adv)'!$U:$AH,n,MATCH('RR Schedule (Adv)'!P18,{"7/20-7/22";"7/23-7/25";"7/26-7/28";"7/29-7/31";"8/1-8/3";"8/4-8/6";"8/7-8/9"},0),me,MATCH($K17,nm,0),IF(COUNT(INDEX(g,me,2*n))=1,INDEX(g,me,2*n),"")))</f>
        <v>12</v>
      </c>
      <c r="Q17" s="6">
        <f t="array" ref="Q17">IF('RR Schedule (Adv)'!Q18="","",LET(nm,'RR Results (Adv)'!$T:$T,g,'RR Results (Adv)'!$U:$AH,n,MATCH('RR Schedule (Adv)'!Q18,{"7/20-7/22";"7/23-7/25";"7/26-7/28";"7/29-7/31";"8/1-8/3";"8/4-8/6";"8/7-8/9"},0),me,MATCH($K17,nm,0),IF(COUNT(INDEX(g,me,2*n))=1,INDEX(g,me,2*n),"")))</f>
        <v>48</v>
      </c>
      <c r="R17" s="6">
        <f t="array" ref="R17">IF('RR Schedule (Adv)'!R18="","",LET(nm,'RR Results (Adv)'!$T:$T,g,'RR Results (Adv)'!$U:$AH,n,MATCH('RR Schedule (Adv)'!R18,{"7/20-7/22";"7/23-7/25";"7/26-7/28";"7/29-7/31";"8/1-8/3";"8/4-8/6";"8/7-8/9"},0),me,MATCH($K17,nm,0),IF(COUNT(INDEX(g,me,2*n))=1,INDEX(g,me,2*n),"")))</f>
        <v>20</v>
      </c>
      <c r="S17" s="173">
        <f t="array" ref="S17">IF('RR Schedule (Adv)'!S18="","",LET(nm,'RR Results (Adv)'!$T:$T,g,'RR Results (Adv)'!$U:$AH,n,MATCH('RR Schedule (Adv)'!S18,{"7/20-7/22";"7/23-7/25";"7/26-7/28";"7/29-7/31";"8/1-8/3";"8/4-8/6";"8/7-8/9"},0),me,MATCH($K17,nm,0),IF(COUNT(INDEX(g,me,2*n))=1,INDEX(g,me,2*n),"")))</f>
        <v>26</v>
      </c>
      <c r="T17" s="55"/>
    </row>
    <row r="18" ht="19.5" customHeight="1">
      <c r="A18" s="90" t="s">
        <v>57</v>
      </c>
      <c r="B18" s="6">
        <f t="array" ref="B18">IF('RR Schedule (Adv)'!B19="","",LET(nm,'RR Results (Adv)'!$A:$A,g,'RR Results (Adv)'!$B:$O,n,MATCH('RR Schedule (Adv)'!B19,{"7/20-7/22";"7/23-7/25";"7/26-7/28";"7/29-7/31";"8/1-8/3";"8/4-8/6";"8/7-8/9"},0),me,MATCH($A18,nm,0),IF(COUNT(INDEX(g,me,2*n))=1,INDEX(g,me,2*n),"")))</f>
        <v>20</v>
      </c>
      <c r="C18" s="6">
        <f t="array" ref="C18">IF('RR Schedule (Adv)'!C19="","",LET(nm,'RR Results (Adv)'!$A:$A,g,'RR Results (Adv)'!$B:$O,n,MATCH('RR Schedule (Adv)'!C19,{"7/20-7/22";"7/23-7/25";"7/26-7/28";"7/29-7/31";"8/1-8/3";"8/4-8/6";"8/7-8/9"},0),me,MATCH($A18,nm,0),IF(COUNT(INDEX(g,me,2*n))=1,INDEX(g,me,2*n),"")))</f>
        <v>30</v>
      </c>
      <c r="D18" s="171" t="str">
        <f t="array" ref="D18">IF('RR Schedule (Adv)'!D19="","",LET(nm,'RR Results (Adv)'!$A:$A,g,'RR Results (Adv)'!$B:$O,n,MATCH('RR Schedule (Adv)'!D19,{"7/20-7/22";"7/23-7/25";"7/26-7/28";"7/29-7/31";"8/1-8/3";"8/4-8/6";"8/7-8/9"},0),me,MATCH($A18,nm,0),IF(COUNT(INDEX(g,me,2*n))=1,INDEX(g,me,2*n),"")))</f>
        <v/>
      </c>
      <c r="E18" s="6">
        <f t="array" ref="E18">IF('RR Schedule (Adv)'!E19="","",LET(nm,'RR Results (Adv)'!$A:$A,g,'RR Results (Adv)'!$B:$O,n,MATCH('RR Schedule (Adv)'!E19,{"7/20-7/22";"7/23-7/25";"7/26-7/28";"7/29-7/31";"8/1-8/3";"8/4-8/6";"8/7-8/9"},0),me,MATCH($A18,nm,0),IF(COUNT(INDEX(g,me,2*n))=1,INDEX(g,me,2*n),"")))</f>
        <v>6</v>
      </c>
      <c r="F18" s="6">
        <f t="array" ref="F18">IF('RR Schedule (Adv)'!F19="","",LET(nm,'RR Results (Adv)'!$A:$A,g,'RR Results (Adv)'!$B:$O,n,MATCH('RR Schedule (Adv)'!F19,{"7/20-7/22";"7/23-7/25";"7/26-7/28";"7/29-7/31";"8/1-8/3";"8/4-8/6";"8/7-8/9"},0),me,MATCH($A18,nm,0),IF(COUNT(INDEX(g,me,2*n))=1,INDEX(g,me,2*n),"")))</f>
        <v>36</v>
      </c>
      <c r="G18" s="6">
        <f t="array" ref="G18">IF('RR Schedule (Adv)'!G19="","",LET(nm,'RR Results (Adv)'!$A:$A,g,'RR Results (Adv)'!$B:$O,n,MATCH('RR Schedule (Adv)'!G19,{"7/20-7/22";"7/23-7/25";"7/26-7/28";"7/29-7/31";"8/1-8/3";"8/4-8/6";"8/7-8/9"},0),me,MATCH($A18,nm,0),IF(COUNT(INDEX(g,me,2*n))=1,INDEX(g,me,2*n),"")))</f>
        <v>48</v>
      </c>
      <c r="H18" s="6">
        <f t="array" ref="H18">IF('RR Schedule (Adv)'!H19="","",LET(nm,'RR Results (Adv)'!$A:$A,g,'RR Results (Adv)'!$B:$O,n,MATCH('RR Schedule (Adv)'!H19,{"7/20-7/22";"7/23-7/25";"7/26-7/28";"7/29-7/31";"8/1-8/3";"8/4-8/6";"8/7-8/9"},0),me,MATCH($A18,nm,0),IF(COUNT(INDEX(g,me,2*n))=1,INDEX(g,me,2*n),"")))</f>
        <v>78</v>
      </c>
      <c r="I18" s="173">
        <f t="array" ref="I18">IF('RR Schedule (Adv)'!I19="","",LET(nm,'RR Results (Adv)'!$A:$A,g,'RR Results (Adv)'!$B:$O,n,MATCH('RR Schedule (Adv)'!I19,{"7/20-7/22";"7/23-7/25";"7/26-7/28";"7/29-7/31";"8/1-8/3";"8/4-8/6";"8/7-8/9"},0),me,MATCH($A18,nm,0),IF(COUNT(INDEX(g,me,2*n))=1,INDEX(g,me,2*n),"")))</f>
        <v>12</v>
      </c>
      <c r="J18" s="113"/>
      <c r="K18" s="105" t="s">
        <v>96</v>
      </c>
      <c r="L18" s="6">
        <f t="array" ref="L18">IF('RR Schedule (Adv)'!L19="","",LET(nm,'RR Results (Adv)'!$T:$T,g,'RR Results (Adv)'!$U:$AH,n,MATCH('RR Schedule (Adv)'!L19,{"7/20-7/22";"7/23-7/25";"7/26-7/28";"7/29-7/31";"8/1-8/3";"8/4-8/6";"8/7-8/9"},0),me,MATCH($K18,nm,0),IF(COUNT(INDEX(g,me,2*n))=1,INDEX(g,me,2*n),"")))</f>
        <v>28</v>
      </c>
      <c r="M18" s="6">
        <f t="array" ref="M18">IF('RR Schedule (Adv)'!M19="","",LET(nm,'RR Results (Adv)'!$T:$T,g,'RR Results (Adv)'!$U:$AH,n,MATCH('RR Schedule (Adv)'!M19,{"7/20-7/22";"7/23-7/25";"7/26-7/28";"7/29-7/31";"8/1-8/3";"8/4-8/6";"8/7-8/9"},0),me,MATCH($K18,nm,0),IF(COUNT(INDEX(g,me,2*n))=1,INDEX(g,me,2*n),"")))</f>
        <v>58</v>
      </c>
      <c r="N18" s="171" t="str">
        <f t="array" ref="N18">IF('RR Schedule (Adv)'!N19="","",LET(nm,'RR Results (Adv)'!$T:$T,g,'RR Results (Adv)'!$U:$AH,n,MATCH('RR Schedule (Adv)'!N19,{"7/20-7/22";"7/23-7/25";"7/26-7/28";"7/29-7/31";"8/1-8/3";"8/4-8/6";"8/7-8/9"},0),me,MATCH($K18,nm,0),IF(COUNT(INDEX(g,me,2*n))=1,INDEX(g,me,2*n),"")))</f>
        <v/>
      </c>
      <c r="O18" s="6">
        <f t="array" ref="O18">IF('RR Schedule (Adv)'!O19="","",LET(nm,'RR Results (Adv)'!$T:$T,g,'RR Results (Adv)'!$U:$AH,n,MATCH('RR Schedule (Adv)'!O19,{"7/20-7/22";"7/23-7/25";"7/26-7/28";"7/29-7/31";"8/1-8/3";"8/4-8/6";"8/7-8/9"},0),me,MATCH($K18,nm,0),IF(COUNT(INDEX(g,me,2*n))=1,INDEX(g,me,2*n),"")))</f>
        <v>34</v>
      </c>
      <c r="P18" s="6">
        <f t="array" ref="P18">IF('RR Schedule (Adv)'!P19="","",LET(nm,'RR Results (Adv)'!$T:$T,g,'RR Results (Adv)'!$U:$AH,n,MATCH('RR Schedule (Adv)'!P19,{"7/20-7/22";"7/23-7/25";"7/26-7/28";"7/29-7/31";"8/1-8/3";"8/4-8/6";"8/7-8/9"},0),me,MATCH($K18,nm,0),IF(COUNT(INDEX(g,me,2*n))=1,INDEX(g,me,2*n),"")))</f>
        <v>2</v>
      </c>
      <c r="Q18" s="6">
        <f t="array" ref="Q18">IF('RR Schedule (Adv)'!Q19="","",LET(nm,'RR Results (Adv)'!$T:$T,g,'RR Results (Adv)'!$U:$AH,n,MATCH('RR Schedule (Adv)'!Q19,{"7/20-7/22";"7/23-7/25";"7/26-7/28";"7/29-7/31";"8/1-8/3";"8/4-8/6";"8/7-8/9"},0),me,MATCH($K18,nm,0),IF(COUNT(INDEX(g,me,2*n))=1,INDEX(g,me,2*n),"")))</f>
        <v>52</v>
      </c>
      <c r="R18" s="6">
        <f t="array" ref="R18">IF('RR Schedule (Adv)'!R19="","",LET(nm,'RR Results (Adv)'!$T:$T,g,'RR Results (Adv)'!$U:$AH,n,MATCH('RR Schedule (Adv)'!R19,{"7/20-7/22";"7/23-7/25";"7/26-7/28";"7/29-7/31";"8/1-8/3";"8/4-8/6";"8/7-8/9"},0),me,MATCH($K18,nm,0),IF(COUNT(INDEX(g,me,2*n))=1,INDEX(g,me,2*n),"")))</f>
        <v>56</v>
      </c>
      <c r="S18" s="173">
        <f t="array" ref="S18">IF('RR Schedule (Adv)'!S19="","",LET(nm,'RR Results (Adv)'!$T:$T,g,'RR Results (Adv)'!$U:$AH,n,MATCH('RR Schedule (Adv)'!S19,{"7/20-7/22";"7/23-7/25";"7/26-7/28";"7/29-7/31";"8/1-8/3";"8/4-8/6";"8/7-8/9"},0),me,MATCH($K18,nm,0),IF(COUNT(INDEX(g,me,2*n))=1,INDEX(g,me,2*n),"")))</f>
        <v>48</v>
      </c>
      <c r="T18" s="55"/>
    </row>
    <row r="19" ht="19.5" customHeight="1">
      <c r="A19" s="90" t="s">
        <v>53</v>
      </c>
      <c r="B19" s="172">
        <f t="array" ref="B19">IF('RR Schedule (Adv)'!B20="","",LET(nm,'RR Results (Adv)'!$A:$A,g,'RR Results (Adv)'!$B:$O,n,MATCH('RR Schedule (Adv)'!B20,{"7/20-7/22";"7/23-7/25";"7/26-7/28";"7/29-7/31";"8/1-8/3";"8/4-8/6";"8/7-8/9"},0),me,MATCH($A19,nm,0),IF(COUNT(INDEX(g,me,2*n))=1,INDEX(g,me,2*n),"")))</f>
        <v>28</v>
      </c>
      <c r="C19" s="6">
        <f t="array" ref="C19">IF('RR Schedule (Adv)'!C20="","",LET(nm,'RR Results (Adv)'!$A:$A,g,'RR Results (Adv)'!$B:$O,n,MATCH('RR Schedule (Adv)'!C20,{"7/20-7/22";"7/23-7/25";"7/26-7/28";"7/29-7/31";"8/1-8/3";"8/4-8/6";"8/7-8/9"},0),me,MATCH($A19,nm,0),IF(COUNT(INDEX(g,me,2*n))=1,INDEX(g,me,2*n),"")))</f>
        <v>52</v>
      </c>
      <c r="D19" s="6">
        <f t="array" ref="D19">IF('RR Schedule (Adv)'!D20="","",LET(nm,'RR Results (Adv)'!$A:$A,g,'RR Results (Adv)'!$B:$O,n,MATCH('RR Schedule (Adv)'!D20,{"7/20-7/22";"7/23-7/25";"7/26-7/28";"7/29-7/31";"8/1-8/3";"8/4-8/6";"8/7-8/9"},0),me,MATCH($A19,nm,0),IF(COUNT(INDEX(g,me,2*n))=1,INDEX(g,me,2*n),"")))</f>
        <v>52</v>
      </c>
      <c r="E19" s="171" t="str">
        <f t="array" ref="E19">IF('RR Schedule (Adv)'!E20="","",LET(nm,'RR Results (Adv)'!$A:$A,g,'RR Results (Adv)'!$B:$O,n,MATCH('RR Schedule (Adv)'!E20,{"7/20-7/22";"7/23-7/25";"7/26-7/28";"7/29-7/31";"8/1-8/3";"8/4-8/6";"8/7-8/9"},0),me,MATCH($A19,nm,0),IF(COUNT(INDEX(g,me,2*n))=1,INDEX(g,me,2*n),"")))</f>
        <v/>
      </c>
      <c r="F19" s="6">
        <f t="array" ref="F19">IF('RR Schedule (Adv)'!F20="","",LET(nm,'RR Results (Adv)'!$A:$A,g,'RR Results (Adv)'!$B:$O,n,MATCH('RR Schedule (Adv)'!F20,{"7/20-7/22";"7/23-7/25";"7/26-7/28";"7/29-7/31";"8/1-8/3";"8/4-8/6";"8/7-8/9"},0),me,MATCH($A19,nm,0),IF(COUNT(INDEX(g,me,2*n))=1,INDEX(g,me,2*n),"")))</f>
        <v>14</v>
      </c>
      <c r="G19" s="6">
        <f t="array" ref="G19">IF('RR Schedule (Adv)'!G20="","",LET(nm,'RR Results (Adv)'!$A:$A,g,'RR Results (Adv)'!$B:$O,n,MATCH('RR Schedule (Adv)'!G20,{"7/20-7/22";"7/23-7/25";"7/26-7/28";"7/29-7/31";"8/1-8/3";"8/4-8/6";"8/7-8/9"},0),me,MATCH($A19,nm,0),IF(COUNT(INDEX(g,me,2*n))=1,INDEX(g,me,2*n),"")))</f>
        <v>44</v>
      </c>
      <c r="H19" s="6">
        <f t="array" ref="H19">IF('RR Schedule (Adv)'!H20="","",LET(nm,'RR Results (Adv)'!$A:$A,g,'RR Results (Adv)'!$B:$O,n,MATCH('RR Schedule (Adv)'!H20,{"7/20-7/22";"7/23-7/25";"7/26-7/28";"7/29-7/31";"8/1-8/3";"8/4-8/6";"8/7-8/9"},0),me,MATCH($A19,nm,0),IF(COUNT(INDEX(g,me,2*n))=1,INDEX(g,me,2*n),"")))</f>
        <v>38</v>
      </c>
      <c r="I19" s="173">
        <f t="array" ref="I19">IF('RR Schedule (Adv)'!I20="","",LET(nm,'RR Results (Adv)'!$A:$A,g,'RR Results (Adv)'!$B:$O,n,MATCH('RR Schedule (Adv)'!I20,{"7/20-7/22";"7/23-7/25";"7/26-7/28";"7/29-7/31";"8/1-8/3";"8/4-8/6";"8/7-8/9"},0),me,MATCH($A19,nm,0),IF(COUNT(INDEX(g,me,2*n))=1,INDEX(g,me,2*n),"")))</f>
        <v>36</v>
      </c>
      <c r="J19" s="113"/>
      <c r="K19" s="105" t="s">
        <v>64</v>
      </c>
      <c r="L19" s="6">
        <f t="array" ref="L19">IF('RR Schedule (Adv)'!L20="","",LET(nm,'RR Results (Adv)'!$T:$T,g,'RR Results (Adv)'!$U:$AH,n,MATCH('RR Schedule (Adv)'!L20,{"7/20-7/22";"7/23-7/25";"7/26-7/28";"7/29-7/31";"8/1-8/3";"8/4-8/6";"8/7-8/9"},0),me,MATCH($K19,nm,0),IF(COUNT(INDEX(g,me,2*n))=1,INDEX(g,me,2*n),"")))</f>
        <v>8</v>
      </c>
      <c r="M19" s="6">
        <f t="array" ref="M19">IF('RR Schedule (Adv)'!M20="","",LET(nm,'RR Results (Adv)'!$T:$T,g,'RR Results (Adv)'!$U:$AH,n,MATCH('RR Schedule (Adv)'!M20,{"7/20-7/22";"7/23-7/25";"7/26-7/28";"7/29-7/31";"8/1-8/3";"8/4-8/6";"8/7-8/9"},0),me,MATCH($K19,nm,0),IF(COUNT(INDEX(g,me,2*n))=1,INDEX(g,me,2*n),"")))</f>
        <v>42</v>
      </c>
      <c r="N19" s="6">
        <f t="array" ref="N19">IF('RR Schedule (Adv)'!N20="","",LET(nm,'RR Results (Adv)'!$T:$T,g,'RR Results (Adv)'!$U:$AH,n,MATCH('RR Schedule (Adv)'!N20,{"7/20-7/22";"7/23-7/25";"7/26-7/28";"7/29-7/31";"8/1-8/3";"8/4-8/6";"8/7-8/9"},0),me,MATCH($K19,nm,0),IF(COUNT(INDEX(g,me,2*n))=1,INDEX(g,me,2*n),"")))</f>
        <v>16</v>
      </c>
      <c r="O19" s="171" t="str">
        <f t="array" ref="O19">IF('RR Schedule (Adv)'!O20="","",LET(nm,'RR Results (Adv)'!$T:$T,g,'RR Results (Adv)'!$U:$AH,n,MATCH('RR Schedule (Adv)'!O20,{"7/20-7/22";"7/23-7/25";"7/26-7/28";"7/29-7/31";"8/1-8/3";"8/4-8/6";"8/7-8/9"},0),me,MATCH($K19,nm,0),IF(COUNT(INDEX(g,me,2*n))=1,INDEX(g,me,2*n),"")))</f>
        <v/>
      </c>
      <c r="P19" s="6">
        <f t="array" ref="P19">IF('RR Schedule (Adv)'!P20="","",LET(nm,'RR Results (Adv)'!$T:$T,g,'RR Results (Adv)'!$U:$AH,n,MATCH('RR Schedule (Adv)'!P20,{"7/20-7/22";"7/23-7/25";"7/26-7/28";"7/29-7/31";"8/1-8/3";"8/4-8/6";"8/7-8/9"},0),me,MATCH($K19,nm,0),IF(COUNT(INDEX(g,me,2*n))=1,INDEX(g,me,2*n),"")))</f>
        <v>16</v>
      </c>
      <c r="Q19" s="6">
        <f t="array" ref="Q19">IF('RR Schedule (Adv)'!Q20="","",LET(nm,'RR Results (Adv)'!$T:$T,g,'RR Results (Adv)'!$U:$AH,n,MATCH('RR Schedule (Adv)'!Q20,{"7/20-7/22";"7/23-7/25";"7/26-7/28";"7/29-7/31";"8/1-8/3";"8/4-8/6";"8/7-8/9"},0),me,MATCH($K19,nm,0),IF(COUNT(INDEX(g,me,2*n))=1,INDEX(g,me,2*n),"")))</f>
        <v>50</v>
      </c>
      <c r="R19" s="6">
        <f t="array" ref="R19">IF('RR Schedule (Adv)'!R20="","",LET(nm,'RR Results (Adv)'!$T:$T,g,'RR Results (Adv)'!$U:$AH,n,MATCH('RR Schedule (Adv)'!R20,{"7/20-7/22";"7/23-7/25";"7/26-7/28";"7/29-7/31";"8/1-8/3";"8/4-8/6";"8/7-8/9"},0),me,MATCH($K19,nm,0),IF(COUNT(INDEX(g,me,2*n))=1,INDEX(g,me,2*n),"")))</f>
        <v>26</v>
      </c>
      <c r="S19" s="173">
        <f t="array" ref="S19">IF('RR Schedule (Adv)'!S20="","",LET(nm,'RR Results (Adv)'!$T:$T,g,'RR Results (Adv)'!$U:$AH,n,MATCH('RR Schedule (Adv)'!S20,{"7/20-7/22";"7/23-7/25";"7/26-7/28";"7/29-7/31";"8/1-8/3";"8/4-8/6";"8/7-8/9"},0),me,MATCH($K19,nm,0),IF(COUNT(INDEX(g,me,2*n))=1,INDEX(g,me,2*n),"")))</f>
        <v>30</v>
      </c>
      <c r="T19" s="55"/>
    </row>
    <row r="20" ht="19.5" customHeight="1">
      <c r="A20" s="90" t="s">
        <v>97</v>
      </c>
      <c r="B20" s="6">
        <f t="array" ref="B20">IF('RR Schedule (Adv)'!B21="","",LET(nm,'RR Results (Adv)'!$A:$A,g,'RR Results (Adv)'!$B:$O,n,MATCH('RR Schedule (Adv)'!B21,{"7/20-7/22";"7/23-7/25";"7/26-7/28";"7/29-7/31";"8/1-8/3";"8/4-8/6";"8/7-8/9"},0),me,MATCH($A20,nm,0),IF(COUNT(INDEX(g,me,2*n))=1,INDEX(g,me,2*n),"")))</f>
        <v>30</v>
      </c>
      <c r="C20" s="6">
        <f t="array" ref="C20">IF('RR Schedule (Adv)'!C21="","",LET(nm,'RR Results (Adv)'!$A:$A,g,'RR Results (Adv)'!$B:$O,n,MATCH('RR Schedule (Adv)'!C21,{"7/20-7/22";"7/23-7/25";"7/26-7/28";"7/29-7/31";"8/1-8/3";"8/4-8/6";"8/7-8/9"},0),me,MATCH($A20,nm,0),IF(COUNT(INDEX(g,me,2*n))=1,INDEX(g,me,2*n),"")))</f>
        <v>14</v>
      </c>
      <c r="D20" s="6">
        <f t="array" ref="D20">IF('RR Schedule (Adv)'!D21="","",LET(nm,'RR Results (Adv)'!$A:$A,g,'RR Results (Adv)'!$B:$O,n,MATCH('RR Schedule (Adv)'!D21,{"7/20-7/22";"7/23-7/25";"7/26-7/28";"7/29-7/31";"8/1-8/3";"8/4-8/6";"8/7-8/9"},0),me,MATCH($A20,nm,0),IF(COUNT(INDEX(g,me,2*n))=1,INDEX(g,me,2*n),"")))</f>
        <v>30</v>
      </c>
      <c r="E20" s="6">
        <f t="array" ref="E20">IF('RR Schedule (Adv)'!E21="","",LET(nm,'RR Results (Adv)'!$A:$A,g,'RR Results (Adv)'!$B:$O,n,MATCH('RR Schedule (Adv)'!E21,{"7/20-7/22";"7/23-7/25";"7/26-7/28";"7/29-7/31";"8/1-8/3";"8/4-8/6";"8/7-8/9"},0),me,MATCH($A20,nm,0),IF(COUNT(INDEX(g,me,2*n))=1,INDEX(g,me,2*n),"")))</f>
        <v>22</v>
      </c>
      <c r="F20" s="171" t="str">
        <f t="array" ref="F20">IF('RR Schedule (Adv)'!F21="","",LET(nm,'RR Results (Adv)'!$A:$A,g,'RR Results (Adv)'!$B:$O,n,MATCH('RR Schedule (Adv)'!F21,{"7/20-7/22";"7/23-7/25";"7/26-7/28";"7/29-7/31";"8/1-8/3";"8/4-8/6";"8/7-8/9"},0),me,MATCH($A20,nm,0),IF(COUNT(INDEX(g,me,2*n))=1,INDEX(g,me,2*n),"")))</f>
        <v/>
      </c>
      <c r="G20" s="6">
        <f t="array" ref="G20">IF('RR Schedule (Adv)'!G21="","",LET(nm,'RR Results (Adv)'!$A:$A,g,'RR Results (Adv)'!$B:$O,n,MATCH('RR Schedule (Adv)'!G21,{"7/20-7/22";"7/23-7/25";"7/26-7/28";"7/29-7/31";"8/1-8/3";"8/4-8/6";"8/7-8/9"},0),me,MATCH($A20,nm,0),IF(COUNT(INDEX(g,me,2*n))=1,INDEX(g,me,2*n),"")))</f>
        <v>32</v>
      </c>
      <c r="H20" s="6">
        <f t="array" ref="H20">IF('RR Schedule (Adv)'!H21="","",LET(nm,'RR Results (Adv)'!$A:$A,g,'RR Results (Adv)'!$B:$O,n,MATCH('RR Schedule (Adv)'!H21,{"7/20-7/22";"7/23-7/25";"7/26-7/28";"7/29-7/31";"8/1-8/3";"8/4-8/6";"8/7-8/9"},0),me,MATCH($A20,nm,0),IF(COUNT(INDEX(g,me,2*n))=1,INDEX(g,me,2*n),"")))</f>
        <v>36</v>
      </c>
      <c r="I20" s="173">
        <f t="array" ref="I20">IF('RR Schedule (Adv)'!I21="","",LET(nm,'RR Results (Adv)'!$A:$A,g,'RR Results (Adv)'!$B:$O,n,MATCH('RR Schedule (Adv)'!I21,{"7/20-7/22";"7/23-7/25";"7/26-7/28";"7/29-7/31";"8/1-8/3";"8/4-8/6";"8/7-8/9"},0),me,MATCH($A20,nm,0),IF(COUNT(INDEX(g,me,2*n))=1,INDEX(g,me,2*n),"")))</f>
        <v>16</v>
      </c>
      <c r="J20" s="112"/>
      <c r="K20" s="105" t="s">
        <v>46</v>
      </c>
      <c r="L20" s="6">
        <f t="array" ref="L20">IF('RR Schedule (Adv)'!L21="","",LET(nm,'RR Results (Adv)'!$T:$T,g,'RR Results (Adv)'!$U:$AH,n,MATCH('RR Schedule (Adv)'!L21,{"7/20-7/22";"7/23-7/25";"7/26-7/28";"7/29-7/31";"8/1-8/3";"8/4-8/6";"8/7-8/9"},0),me,MATCH($K20,nm,0),IF(COUNT(INDEX(g,me,2*n))=1,INDEX(g,me,2*n),"")))</f>
        <v>8</v>
      </c>
      <c r="M20" s="6">
        <f t="array" ref="M20">IF('RR Schedule (Adv)'!M21="","",LET(nm,'RR Results (Adv)'!$T:$T,g,'RR Results (Adv)'!$U:$AH,n,MATCH('RR Schedule (Adv)'!M21,{"7/20-7/22";"7/23-7/25";"7/26-7/28";"7/29-7/31";"8/1-8/3";"8/4-8/6";"8/7-8/9"},0),me,MATCH($K20,nm,0),IF(COUNT(INDEX(g,me,2*n))=1,INDEX(g,me,2*n),"")))</f>
        <v>46</v>
      </c>
      <c r="N20" s="6">
        <f t="array" ref="N20">IF('RR Schedule (Adv)'!N21="","",LET(nm,'RR Results (Adv)'!$T:$T,g,'RR Results (Adv)'!$U:$AH,n,MATCH('RR Schedule (Adv)'!N21,{"7/20-7/22";"7/23-7/25";"7/26-7/28";"7/29-7/31";"8/1-8/3";"8/4-8/6";"8/7-8/9"},0),me,MATCH($K20,nm,0),IF(COUNT(INDEX(g,me,2*n))=1,INDEX(g,me,2*n),"")))</f>
        <v>42</v>
      </c>
      <c r="O20" s="6">
        <f t="array" ref="O20">IF('RR Schedule (Adv)'!O21="","",LET(nm,'RR Results (Adv)'!$T:$T,g,'RR Results (Adv)'!$U:$AH,n,MATCH('RR Schedule (Adv)'!O21,{"7/20-7/22";"7/23-7/25";"7/26-7/28";"7/29-7/31";"8/1-8/3";"8/4-8/6";"8/7-8/9"},0),me,MATCH($K20,nm,0),IF(COUNT(INDEX(g,me,2*n))=1,INDEX(g,me,2*n),"")))</f>
        <v>66</v>
      </c>
      <c r="P20" s="171" t="str">
        <f t="array" ref="P20">IF('RR Schedule (Adv)'!P21="","",LET(nm,'RR Results (Adv)'!$T:$T,g,'RR Results (Adv)'!$U:$AH,n,MATCH('RR Schedule (Adv)'!P21,{"7/20-7/22";"7/23-7/25";"7/26-7/28";"7/29-7/31";"8/1-8/3";"8/4-8/6";"8/7-8/9"},0),me,MATCH($K20,nm,0),IF(COUNT(INDEX(g,me,2*n))=1,INDEX(g,me,2*n),"")))</f>
        <v/>
      </c>
      <c r="Q20" s="6">
        <f t="array" ref="Q20">IF('RR Schedule (Adv)'!Q21="","",LET(nm,'RR Results (Adv)'!$T:$T,g,'RR Results (Adv)'!$U:$AH,n,MATCH('RR Schedule (Adv)'!Q21,{"7/20-7/22";"7/23-7/25";"7/26-7/28";"7/29-7/31";"8/1-8/3";"8/4-8/6";"8/7-8/9"},0),me,MATCH($K20,nm,0),IF(COUNT(INDEX(g,me,2*n))=1,INDEX(g,me,2*n),"")))</f>
        <v>58</v>
      </c>
      <c r="R20" s="6">
        <f t="array" ref="R20">IF('RR Schedule (Adv)'!R21="","",LET(nm,'RR Results (Adv)'!$T:$T,g,'RR Results (Adv)'!$U:$AH,n,MATCH('RR Schedule (Adv)'!R21,{"7/20-7/22";"7/23-7/25";"7/26-7/28";"7/29-7/31";"8/1-8/3";"8/4-8/6";"8/7-8/9"},0),me,MATCH($K20,nm,0),IF(COUNT(INDEX(g,me,2*n))=1,INDEX(g,me,2*n),"")))</f>
        <v>72</v>
      </c>
      <c r="S20" s="173">
        <f t="array" ref="S20">IF('RR Schedule (Adv)'!S21="","",LET(nm,'RR Results (Adv)'!$T:$T,g,'RR Results (Adv)'!$U:$AH,n,MATCH('RR Schedule (Adv)'!S21,{"7/20-7/22";"7/23-7/25";"7/26-7/28";"7/29-7/31";"8/1-8/3";"8/4-8/6";"8/7-8/9"},0),me,MATCH($K20,nm,0),IF(COUNT(INDEX(g,me,2*n))=1,INDEX(g,me,2*n),"")))</f>
        <v>66</v>
      </c>
      <c r="T20" s="55"/>
    </row>
    <row r="21" ht="19.5" customHeight="1">
      <c r="A21" s="90" t="s">
        <v>98</v>
      </c>
      <c r="B21" s="6">
        <f t="array" ref="B21">IF('RR Schedule (Adv)'!B22="","",LET(nm,'RR Results (Adv)'!$A:$A,g,'RR Results (Adv)'!$B:$O,n,MATCH('RR Schedule (Adv)'!B22,{"7/20-7/22";"7/23-7/25";"7/26-7/28";"7/29-7/31";"8/1-8/3";"8/4-8/6";"8/7-8/9"},0),me,MATCH($A21,nm,0),IF(COUNT(INDEX(g,me,2*n))=1,INDEX(g,me,2*n),"")))</f>
        <v>-4</v>
      </c>
      <c r="C21" s="6">
        <f t="array" ref="C21">IF('RR Schedule (Adv)'!C22="","",LET(nm,'RR Results (Adv)'!$A:$A,g,'RR Results (Adv)'!$B:$O,n,MATCH('RR Schedule (Adv)'!C22,{"7/20-7/22";"7/23-7/25";"7/26-7/28";"7/29-7/31";"8/1-8/3";"8/4-8/6";"8/7-8/9"},0),me,MATCH($A21,nm,0),IF(COUNT(INDEX(g,me,2*n))=1,INDEX(g,me,2*n),"")))</f>
        <v>24</v>
      </c>
      <c r="D21" s="6">
        <f t="array" ref="D21">IF('RR Schedule (Adv)'!D22="","",LET(nm,'RR Results (Adv)'!$A:$A,g,'RR Results (Adv)'!$B:$O,n,MATCH('RR Schedule (Adv)'!D22,{"7/20-7/22";"7/23-7/25";"7/26-7/28";"7/29-7/31";"8/1-8/3";"8/4-8/6";"8/7-8/9"},0),me,MATCH($A21,nm,0),IF(COUNT(INDEX(g,me,2*n))=1,INDEX(g,me,2*n),"")))</f>
        <v>6</v>
      </c>
      <c r="E21" s="6">
        <f t="array" ref="E21">IF('RR Schedule (Adv)'!E22="","",LET(nm,'RR Results (Adv)'!$A:$A,g,'RR Results (Adv)'!$B:$O,n,MATCH('RR Schedule (Adv)'!E22,{"7/20-7/22";"7/23-7/25";"7/26-7/28";"7/29-7/31";"8/1-8/3";"8/4-8/6";"8/7-8/9"},0),me,MATCH($A21,nm,0),IF(COUNT(INDEX(g,me,2*n))=1,INDEX(g,me,2*n),"")))</f>
        <v>18</v>
      </c>
      <c r="F21" s="6">
        <f t="array" ref="F21">IF('RR Schedule (Adv)'!F22="","",LET(nm,'RR Results (Adv)'!$A:$A,g,'RR Results (Adv)'!$B:$O,n,MATCH('RR Schedule (Adv)'!F22,{"7/20-7/22";"7/23-7/25";"7/26-7/28";"7/29-7/31";"8/1-8/3";"8/4-8/6";"8/7-8/9"},0),me,MATCH($A21,nm,0),IF(COUNT(INDEX(g,me,2*n))=1,INDEX(g,me,2*n),"")))</f>
        <v>20</v>
      </c>
      <c r="G21" s="171" t="str">
        <f t="array" ref="G21">IF('RR Schedule (Adv)'!G22="","",LET(nm,'RR Results (Adv)'!$A:$A,g,'RR Results (Adv)'!$B:$O,n,MATCH('RR Schedule (Adv)'!G22,{"7/20-7/22";"7/23-7/25";"7/26-7/28";"7/29-7/31";"8/1-8/3";"8/4-8/6";"8/7-8/9"},0),me,MATCH($A21,nm,0),IF(COUNT(INDEX(g,me,2*n))=1,INDEX(g,me,2*n),"")))</f>
        <v/>
      </c>
      <c r="H21" s="6">
        <f t="array" ref="H21">IF('RR Schedule (Adv)'!H22="","",LET(nm,'RR Results (Adv)'!$A:$A,g,'RR Results (Adv)'!$B:$O,n,MATCH('RR Schedule (Adv)'!H22,{"7/20-7/22";"7/23-7/25";"7/26-7/28";"7/29-7/31";"8/1-8/3";"8/4-8/6";"8/7-8/9"},0),me,MATCH($A21,nm,0),IF(COUNT(INDEX(g,me,2*n))=1,INDEX(g,me,2*n),"")))</f>
        <v>-12</v>
      </c>
      <c r="I21" s="173">
        <f t="array" ref="I21">IF('RR Schedule (Adv)'!I22="","",LET(nm,'RR Results (Adv)'!$A:$A,g,'RR Results (Adv)'!$B:$O,n,MATCH('RR Schedule (Adv)'!I22,{"7/20-7/22";"7/23-7/25";"7/26-7/28";"7/29-7/31";"8/1-8/3";"8/4-8/6";"8/7-8/9"},0),me,MATCH($A21,nm,0),IF(COUNT(INDEX(g,me,2*n))=1,INDEX(g,me,2*n),"")))</f>
        <v>6</v>
      </c>
      <c r="J21" s="113"/>
      <c r="K21" s="105" t="s">
        <v>99</v>
      </c>
      <c r="L21" s="6">
        <f t="array" ref="L21">IF('RR Schedule (Adv)'!L22="","",LET(nm,'RR Results (Adv)'!$T:$T,g,'RR Results (Adv)'!$U:$AH,n,MATCH('RR Schedule (Adv)'!L22,{"7/20-7/22";"7/23-7/25";"7/26-7/28";"7/29-7/31";"8/1-8/3";"8/4-8/6";"8/7-8/9"},0),me,MATCH($K21,nm,0),IF(COUNT(INDEX(g,me,2*n))=1,INDEX(g,me,2*n),"")))</f>
        <v>4</v>
      </c>
      <c r="M21" s="6">
        <f t="array" ref="M21">IF('RR Schedule (Adv)'!M22="","",LET(nm,'RR Results (Adv)'!$T:$T,g,'RR Results (Adv)'!$U:$AH,n,MATCH('RR Schedule (Adv)'!M22,{"7/20-7/22";"7/23-7/25";"7/26-7/28";"7/29-7/31";"8/1-8/3";"8/4-8/6";"8/7-8/9"},0),me,MATCH($K21,nm,0),IF(COUNT(INDEX(g,me,2*n))=1,INDEX(g,me,2*n),"")))</f>
        <v>14</v>
      </c>
      <c r="N21" s="6">
        <f t="array" ref="N21">IF('RR Schedule (Adv)'!N22="","",LET(nm,'RR Results (Adv)'!$T:$T,g,'RR Results (Adv)'!$U:$AH,n,MATCH('RR Schedule (Adv)'!N22,{"7/20-7/22";"7/23-7/25";"7/26-7/28";"7/29-7/31";"8/1-8/3";"8/4-8/6";"8/7-8/9"},0),me,MATCH($K21,nm,0),IF(COUNT(INDEX(g,me,2*n))=1,INDEX(g,me,2*n),"")))</f>
        <v>0</v>
      </c>
      <c r="O21" s="6">
        <f t="array" ref="O21">IF('RR Schedule (Adv)'!O22="","",LET(nm,'RR Results (Adv)'!$T:$T,g,'RR Results (Adv)'!$U:$AH,n,MATCH('RR Schedule (Adv)'!O22,{"7/20-7/22";"7/23-7/25";"7/26-7/28";"7/29-7/31";"8/1-8/3";"8/4-8/6";"8/7-8/9"},0),me,MATCH($K21,nm,0),IF(COUNT(INDEX(g,me,2*n))=1,INDEX(g,me,2*n),"")))</f>
        <v>16</v>
      </c>
      <c r="P21" s="6">
        <f t="array" ref="P21">IF('RR Schedule (Adv)'!P22="","",LET(nm,'RR Results (Adv)'!$T:$T,g,'RR Results (Adv)'!$U:$AH,n,MATCH('RR Schedule (Adv)'!P22,{"7/20-7/22";"7/23-7/25";"7/26-7/28";"7/29-7/31";"8/1-8/3";"8/4-8/6";"8/7-8/9"},0),me,MATCH($K21,nm,0),IF(COUNT(INDEX(g,me,2*n))=1,INDEX(g,me,2*n),"")))</f>
        <v>4</v>
      </c>
      <c r="Q21" s="171" t="str">
        <f t="array" ref="Q21">IF('RR Schedule (Adv)'!Q22="","",LET(nm,'RR Results (Adv)'!$T:$T,g,'RR Results (Adv)'!$U:$AH,n,MATCH('RR Schedule (Adv)'!Q22,{"7/20-7/22";"7/23-7/25";"7/26-7/28";"7/29-7/31";"8/1-8/3";"8/4-8/6";"8/7-8/9"},0),me,MATCH($K21,nm,0),IF(COUNT(INDEX(g,me,2*n))=1,INDEX(g,me,2*n),"")))</f>
        <v/>
      </c>
      <c r="R21" s="6">
        <f t="array" ref="R21">IF('RR Schedule (Adv)'!R22="","",LET(nm,'RR Results (Adv)'!$T:$T,g,'RR Results (Adv)'!$U:$AH,n,MATCH('RR Schedule (Adv)'!R22,{"7/20-7/22";"7/23-7/25";"7/26-7/28";"7/29-7/31";"8/1-8/3";"8/4-8/6";"8/7-8/9"},0),me,MATCH($K21,nm,0),IF(COUNT(INDEX(g,me,2*n))=1,INDEX(g,me,2*n),"")))</f>
        <v>18</v>
      </c>
      <c r="S21" s="173">
        <f t="array" ref="S21">IF('RR Schedule (Adv)'!S22="","",LET(nm,'RR Results (Adv)'!$T:$T,g,'RR Results (Adv)'!$U:$AH,n,MATCH('RR Schedule (Adv)'!S22,{"7/20-7/22";"7/23-7/25";"7/26-7/28";"7/29-7/31";"8/1-8/3";"8/4-8/6";"8/7-8/9"},0),me,MATCH($K21,nm,0),IF(COUNT(INDEX(g,me,2*n))=1,INDEX(g,me,2*n),"")))</f>
        <v>26</v>
      </c>
      <c r="T21" s="55"/>
    </row>
    <row r="22" ht="19.5" customHeight="1">
      <c r="A22" s="90" t="s">
        <v>100</v>
      </c>
      <c r="B22" s="6">
        <f t="array" ref="B22">IF('RR Schedule (Adv)'!B23="","",LET(nm,'RR Results (Adv)'!$A:$A,g,'RR Results (Adv)'!$B:$O,n,MATCH('RR Schedule (Adv)'!B23,{"7/20-7/22";"7/23-7/25";"7/26-7/28";"7/29-7/31";"8/1-8/3";"8/4-8/6";"8/7-8/9"},0),me,MATCH($A22,nm,0),IF(COUNT(INDEX(g,me,2*n))=1,INDEX(g,me,2*n),"")))</f>
        <v>10</v>
      </c>
      <c r="C22" s="6">
        <f t="array" ref="C22">IF('RR Schedule (Adv)'!C23="","",LET(nm,'RR Results (Adv)'!$A:$A,g,'RR Results (Adv)'!$B:$O,n,MATCH('RR Schedule (Adv)'!C23,{"7/20-7/22";"7/23-7/25";"7/26-7/28";"7/29-7/31";"8/1-8/3";"8/4-8/6";"8/7-8/9"},0),me,MATCH($A22,nm,0),IF(COUNT(INDEX(g,me,2*n))=1,INDEX(g,me,2*n),"")))</f>
        <v>38</v>
      </c>
      <c r="D22" s="6">
        <f t="array" ref="D22">IF('RR Schedule (Adv)'!D23="","",LET(nm,'RR Results (Adv)'!$A:$A,g,'RR Results (Adv)'!$B:$O,n,MATCH('RR Schedule (Adv)'!D23,{"7/20-7/22";"7/23-7/25";"7/26-7/28";"7/29-7/31";"8/1-8/3";"8/4-8/6";"8/7-8/9"},0),me,MATCH($A22,nm,0),IF(COUNT(INDEX(g,me,2*n))=1,INDEX(g,me,2*n),"")))</f>
        <v>6</v>
      </c>
      <c r="E22" s="6">
        <f t="array" ref="E22">IF('RR Schedule (Adv)'!E23="","",LET(nm,'RR Results (Adv)'!$A:$A,g,'RR Results (Adv)'!$B:$O,n,MATCH('RR Schedule (Adv)'!E23,{"7/20-7/22";"7/23-7/25";"7/26-7/28";"7/29-7/31";"8/1-8/3";"8/4-8/6";"8/7-8/9"},0),me,MATCH($A22,nm,0),IF(COUNT(INDEX(g,me,2*n))=1,INDEX(g,me,2*n),"")))</f>
        <v>28</v>
      </c>
      <c r="F22" s="6">
        <f t="array" ref="F22">IF('RR Schedule (Adv)'!F23="","",LET(nm,'RR Results (Adv)'!$A:$A,g,'RR Results (Adv)'!$B:$O,n,MATCH('RR Schedule (Adv)'!F23,{"7/20-7/22";"7/23-7/25";"7/26-7/28";"7/29-7/31";"8/1-8/3";"8/4-8/6";"8/7-8/9"},0),me,MATCH($A22,nm,0),IF(COUNT(INDEX(g,me,2*n))=1,INDEX(g,me,2*n),"")))</f>
        <v>2</v>
      </c>
      <c r="G22" s="6">
        <f t="array" ref="G22">IF('RR Schedule (Adv)'!G23="","",LET(nm,'RR Results (Adv)'!$A:$A,g,'RR Results (Adv)'!$B:$O,n,MATCH('RR Schedule (Adv)'!G23,{"7/20-7/22";"7/23-7/25";"7/26-7/28";"7/29-7/31";"8/1-8/3";"8/4-8/6";"8/7-8/9"},0),me,MATCH($A22,nm,0),IF(COUNT(INDEX(g,me,2*n))=1,INDEX(g,me,2*n),"")))</f>
        <v>44</v>
      </c>
      <c r="H22" s="171" t="str">
        <f t="array" ref="H22">IF('RR Schedule (Adv)'!H23="","",LET(nm,'RR Results (Adv)'!$A:$A,g,'RR Results (Adv)'!$B:$O,n,MATCH('RR Schedule (Adv)'!H23,{"7/20-7/22";"7/23-7/25";"7/26-7/28";"7/29-7/31";"8/1-8/3";"8/4-8/6";"8/7-8/9"},0),me,MATCH($A22,nm,0),IF(COUNT(INDEX(g,me,2*n))=1,INDEX(g,me,2*n),"")))</f>
        <v/>
      </c>
      <c r="I22" s="173">
        <f t="array" ref="I22">IF('RR Schedule (Adv)'!I23="","",LET(nm,'RR Results (Adv)'!$A:$A,g,'RR Results (Adv)'!$B:$O,n,MATCH('RR Schedule (Adv)'!I23,{"7/20-7/22";"7/23-7/25";"7/26-7/28";"7/29-7/31";"8/1-8/3";"8/4-8/6";"8/7-8/9"},0),me,MATCH($A22,nm,0),IF(COUNT(INDEX(g,me,2*n))=1,INDEX(g,me,2*n),"")))</f>
        <v>34</v>
      </c>
      <c r="J22" s="113"/>
      <c r="K22" s="105" t="s">
        <v>62</v>
      </c>
      <c r="L22" s="6">
        <f t="array" ref="L22">IF('RR Schedule (Adv)'!L23="","",LET(nm,'RR Results (Adv)'!$T:$T,g,'RR Results (Adv)'!$U:$AH,n,MATCH('RR Schedule (Adv)'!L23,{"7/20-7/22";"7/23-7/25";"7/26-7/28";"7/29-7/31";"8/1-8/3";"8/4-8/6";"8/7-8/9"},0),me,MATCH($K22,nm,0),IF(COUNT(INDEX(g,me,2*n))=1,INDEX(g,me,2*n),"")))</f>
        <v>14</v>
      </c>
      <c r="M22" s="6">
        <f t="array" ref="M22">IF('RR Schedule (Adv)'!M23="","",LET(nm,'RR Results (Adv)'!$T:$T,g,'RR Results (Adv)'!$U:$AH,n,MATCH('RR Schedule (Adv)'!M23,{"7/20-7/22";"7/23-7/25";"7/26-7/28";"7/29-7/31";"8/1-8/3";"8/4-8/6";"8/7-8/9"},0),me,MATCH($K22,nm,0),IF(COUNT(INDEX(g,me,2*n))=1,INDEX(g,me,2*n),"")))</f>
        <v>26</v>
      </c>
      <c r="N22" s="6">
        <f t="array" ref="N22">IF('RR Schedule (Adv)'!N23="","",LET(nm,'RR Results (Adv)'!$T:$T,g,'RR Results (Adv)'!$U:$AH,n,MATCH('RR Schedule (Adv)'!N23,{"7/20-7/22";"7/23-7/25";"7/26-7/28";"7/29-7/31";"8/1-8/3";"8/4-8/6";"8/7-8/9"},0),me,MATCH($K22,nm,0),IF(COUNT(INDEX(g,me,2*n))=1,INDEX(g,me,2*n),"")))</f>
        <v>18</v>
      </c>
      <c r="O22" s="6">
        <f t="array" ref="O22">IF('RR Schedule (Adv)'!O23="","",LET(nm,'RR Results (Adv)'!$T:$T,g,'RR Results (Adv)'!$U:$AH,n,MATCH('RR Schedule (Adv)'!O23,{"7/20-7/22";"7/23-7/25";"7/26-7/28";"7/29-7/31";"8/1-8/3";"8/4-8/6";"8/7-8/9"},0),me,MATCH($K22,nm,0),IF(COUNT(INDEX(g,me,2*n))=1,INDEX(g,me,2*n),"")))</f>
        <v>44</v>
      </c>
      <c r="P22" s="6">
        <f t="array" ref="P22">IF('RR Schedule (Adv)'!P23="","",LET(nm,'RR Results (Adv)'!$T:$T,g,'RR Results (Adv)'!$U:$AH,n,MATCH('RR Schedule (Adv)'!P23,{"7/20-7/22";"7/23-7/25";"7/26-7/28";"7/29-7/31";"8/1-8/3";"8/4-8/6";"8/7-8/9"},0),me,MATCH($K22,nm,0),IF(COUNT(INDEX(g,me,2*n))=1,INDEX(g,me,2*n),"")))</f>
        <v>12</v>
      </c>
      <c r="Q22" s="6">
        <f t="array" ref="Q22">IF('RR Schedule (Adv)'!Q23="","",LET(nm,'RR Results (Adv)'!$T:$T,g,'RR Results (Adv)'!$U:$AH,n,MATCH('RR Schedule (Adv)'!Q23,{"7/20-7/22";"7/23-7/25";"7/26-7/28";"7/29-7/31";"8/1-8/3";"8/4-8/6";"8/7-8/9"},0),me,MATCH($K22,nm,0),IF(COUNT(INDEX(g,me,2*n))=1,INDEX(g,me,2*n),"")))</f>
        <v>38</v>
      </c>
      <c r="R22" s="171" t="str">
        <f t="array" ref="R22">IF('RR Schedule (Adv)'!R23="","",LET(nm,'RR Results (Adv)'!$T:$T,g,'RR Results (Adv)'!$U:$AH,n,MATCH('RR Schedule (Adv)'!R23,{"7/20-7/22";"7/23-7/25";"7/26-7/28";"7/29-7/31";"8/1-8/3";"8/4-8/6";"8/7-8/9"},0),me,MATCH($K22,nm,0),IF(COUNT(INDEX(g,me,2*n))=1,INDEX(g,me,2*n),"")))</f>
        <v/>
      </c>
      <c r="S22" s="173">
        <f t="array" ref="S22">IF('RR Schedule (Adv)'!S23="","",LET(nm,'RR Results (Adv)'!$T:$T,g,'RR Results (Adv)'!$U:$AH,n,MATCH('RR Schedule (Adv)'!S23,{"7/20-7/22";"7/23-7/25";"7/26-7/28";"7/29-7/31";"8/1-8/3";"8/4-8/6";"8/7-8/9"},0),me,MATCH($K22,nm,0),IF(COUNT(INDEX(g,me,2*n))=1,INDEX(g,me,2*n),"")))</f>
        <v>12</v>
      </c>
      <c r="T22" s="55"/>
    </row>
    <row r="23" ht="19.5" customHeight="1">
      <c r="A23" s="143" t="s">
        <v>61</v>
      </c>
      <c r="B23" s="27">
        <f t="array" ref="B23">IF('RR Schedule (Adv)'!B24="","",LET(nm,'RR Results (Adv)'!$A:$A,g,'RR Results (Adv)'!$B:$O,n,MATCH('RR Schedule (Adv)'!B24,{"7/20-7/22";"7/23-7/25";"7/26-7/28";"7/29-7/31";"8/1-8/3";"8/4-8/6";"8/7-8/9"},0),me,MATCH($A23,nm,0),IF(COUNT(INDEX(g,me,2*n))=1,INDEX(g,me,2*n),"")))</f>
        <v>-12</v>
      </c>
      <c r="C23" s="27">
        <f t="array" ref="C23">IF('RR Schedule (Adv)'!C24="","",LET(nm,'RR Results (Adv)'!$A:$A,g,'RR Results (Adv)'!$B:$O,n,MATCH('RR Schedule (Adv)'!C24,{"7/20-7/22";"7/23-7/25";"7/26-7/28";"7/29-7/31";"8/1-8/3";"8/4-8/6";"8/7-8/9"},0),me,MATCH($A23,nm,0),IF(COUNT(INDEX(g,me,2*n))=1,INDEX(g,me,2*n),"")))</f>
        <v>44</v>
      </c>
      <c r="D23" s="27">
        <f t="array" ref="D23">IF('RR Schedule (Adv)'!D24="","",LET(nm,'RR Results (Adv)'!$A:$A,g,'RR Results (Adv)'!$B:$O,n,MATCH('RR Schedule (Adv)'!D24,{"7/20-7/22";"7/23-7/25";"7/26-7/28";"7/29-7/31";"8/1-8/3";"8/4-8/6";"8/7-8/9"},0),me,MATCH($A23,nm,0),IF(COUNT(INDEX(g,me,2*n))=1,INDEX(g,me,2*n),"")))</f>
        <v>50</v>
      </c>
      <c r="E23" s="27">
        <f t="array" ref="E23">IF('RR Schedule (Adv)'!E24="","",LET(nm,'RR Results (Adv)'!$A:$A,g,'RR Results (Adv)'!$B:$O,n,MATCH('RR Schedule (Adv)'!E24,{"7/20-7/22";"7/23-7/25";"7/26-7/28";"7/29-7/31";"8/1-8/3";"8/4-8/6";"8/7-8/9"},0),me,MATCH($A23,nm,0),IF(COUNT(INDEX(g,me,2*n))=1,INDEX(g,me,2*n),"")))</f>
        <v>10</v>
      </c>
      <c r="F23" s="27">
        <f t="array" ref="F23">IF('RR Schedule (Adv)'!F24="","",LET(nm,'RR Results (Adv)'!$A:$A,g,'RR Results (Adv)'!$B:$O,n,MATCH('RR Schedule (Adv)'!F24,{"7/20-7/22";"7/23-7/25";"7/26-7/28";"7/29-7/31";"8/1-8/3";"8/4-8/6";"8/7-8/9"},0),me,MATCH($A23,nm,0),IF(COUNT(INDEX(g,me,2*n))=1,INDEX(g,me,2*n),"")))</f>
        <v>38</v>
      </c>
      <c r="G23" s="27">
        <f t="array" ref="G23">IF('RR Schedule (Adv)'!G24="","",LET(nm,'RR Results (Adv)'!$A:$A,g,'RR Results (Adv)'!$B:$O,n,MATCH('RR Schedule (Adv)'!G24,{"7/20-7/22";"7/23-7/25";"7/26-7/28";"7/29-7/31";"8/1-8/3";"8/4-8/6";"8/7-8/9"},0),me,MATCH($A23,nm,0),IF(COUNT(INDEX(g,me,2*n))=1,INDEX(g,me,2*n),"")))</f>
        <v>20</v>
      </c>
      <c r="H23" s="27">
        <f t="array" ref="H23">IF('RR Schedule (Adv)'!H24="","",LET(nm,'RR Results (Adv)'!$A:$A,g,'RR Results (Adv)'!$B:$O,n,MATCH('RR Schedule (Adv)'!H24,{"7/20-7/22";"7/23-7/25";"7/26-7/28";"7/29-7/31";"8/1-8/3";"8/4-8/6";"8/7-8/9"},0),me,MATCH($A23,nm,0),IF(COUNT(INDEX(g,me,2*n))=1,INDEX(g,me,2*n),"")))</f>
        <v>26</v>
      </c>
      <c r="I23" s="176" t="str">
        <f t="array" ref="I23">IF('RR Schedule (Adv)'!I24="","",LET(nm,'RR Results (Adv)'!$A:$A,g,'RR Results (Adv)'!$B:$O,n,MATCH('RR Schedule (Adv)'!I24,{"7/20-7/22";"7/23-7/25";"7/26-7/28";"7/29-7/31";"8/1-8/3";"8/4-8/6";"8/7-8/9"},0),me,MATCH($A23,nm,0),IF(COUNT(INDEX(g,me,2*n))=1,INDEX(g,me,2*n),"")))</f>
        <v/>
      </c>
      <c r="J23" s="112"/>
      <c r="K23" s="143" t="s">
        <v>101</v>
      </c>
      <c r="L23" s="27">
        <f t="array" ref="L23">IF('RR Schedule (Adv)'!L24="","",LET(nm,'RR Results (Adv)'!$T:$T,g,'RR Results (Adv)'!$U:$AH,n,MATCH('RR Schedule (Adv)'!L24,{"7/20-7/22";"7/23-7/25";"7/26-7/28";"7/29-7/31";"8/1-8/3";"8/4-8/6";"8/7-8/9"},0),me,MATCH($K23,nm,0),IF(COUNT(INDEX(g,me,2*n))=1,INDEX(g,me,2*n),"")))</f>
        <v>32</v>
      </c>
      <c r="M23" s="27">
        <f t="array" ref="M23">IF('RR Schedule (Adv)'!M24="","",LET(nm,'RR Results (Adv)'!$T:$T,g,'RR Results (Adv)'!$U:$AH,n,MATCH('RR Schedule (Adv)'!M24,{"7/20-7/22";"7/23-7/25";"7/26-7/28";"7/29-7/31";"8/1-8/3";"8/4-8/6";"8/7-8/9"},0),me,MATCH($K23,nm,0),IF(COUNT(INDEX(g,me,2*n))=1,INDEX(g,me,2*n),"")))</f>
        <v>40</v>
      </c>
      <c r="N23" s="27">
        <f t="array" ref="N23">IF('RR Schedule (Adv)'!N24="","",LET(nm,'RR Results (Adv)'!$T:$T,g,'RR Results (Adv)'!$U:$AH,n,MATCH('RR Schedule (Adv)'!N24,{"7/20-7/22";"7/23-7/25";"7/26-7/28";"7/29-7/31";"8/1-8/3";"8/4-8/6";"8/7-8/9"},0),me,MATCH($K23,nm,0),IF(COUNT(INDEX(g,me,2*n))=1,INDEX(g,me,2*n),"")))</f>
        <v>24</v>
      </c>
      <c r="O23" s="27">
        <f t="array" ref="O23">IF('RR Schedule (Adv)'!O24="","",LET(nm,'RR Results (Adv)'!$T:$T,g,'RR Results (Adv)'!$U:$AH,n,MATCH('RR Schedule (Adv)'!O24,{"7/20-7/22";"7/23-7/25";"7/26-7/28";"7/29-7/31";"8/1-8/3";"8/4-8/6";"8/7-8/9"},0),me,MATCH($K23,nm,0),IF(COUNT(INDEX(g,me,2*n))=1,INDEX(g,me,2*n),"")))</f>
        <v>36</v>
      </c>
      <c r="P23" s="27">
        <f t="array" ref="P23">IF('RR Schedule (Adv)'!P24="","",LET(nm,'RR Results (Adv)'!$T:$T,g,'RR Results (Adv)'!$U:$AH,n,MATCH('RR Schedule (Adv)'!P24,{"7/20-7/22";"7/23-7/25";"7/26-7/28";"7/29-7/31";"8/1-8/3";"8/4-8/6";"8/7-8/9"},0),me,MATCH($K23,nm,0),IF(COUNT(INDEX(g,me,2*n))=1,INDEX(g,me,2*n),"")))</f>
        <v>-4</v>
      </c>
      <c r="Q23" s="27">
        <f t="array" ref="Q23">IF('RR Schedule (Adv)'!Q24="","",LET(nm,'RR Results (Adv)'!$T:$T,g,'RR Results (Adv)'!$U:$AH,n,MATCH('RR Schedule (Adv)'!Q24,{"7/20-7/22";"7/23-7/25";"7/26-7/28";"7/29-7/31";"8/1-8/3";"8/4-8/6";"8/7-8/9"},0),me,MATCH($K23,nm,0),IF(COUNT(INDEX(g,me,2*n))=1,INDEX(g,me,2*n),"")))</f>
        <v>28</v>
      </c>
      <c r="R23" s="27">
        <f t="array" ref="R23">IF('RR Schedule (Adv)'!R24="","",LET(nm,'RR Results (Adv)'!$T:$T,g,'RR Results (Adv)'!$U:$AH,n,MATCH('RR Schedule (Adv)'!R24,{"7/20-7/22";"7/23-7/25";"7/26-7/28";"7/29-7/31";"8/1-8/3";"8/4-8/6";"8/7-8/9"},0),me,MATCH($K23,nm,0),IF(COUNT(INDEX(g,me,2*n))=1,INDEX(g,me,2*n),"")))</f>
        <v>50</v>
      </c>
      <c r="S23" s="176" t="str">
        <f t="array" ref="S23">IF('RR Schedule (Adv)'!S24="","",LET(nm,'RR Results (Adv)'!$T:$T,g,'RR Results (Adv)'!$U:$AH,n,MATCH('RR Schedule (Adv)'!S24,{"7/20-7/22";"7/23-7/25";"7/26-7/28";"7/29-7/31";"8/1-8/3";"8/4-8/6";"8/7-8/9"},0),me,MATCH($K23,nm,0),IF(COUNT(INDEX(g,me,2*n))=1,INDEX(g,me,2*n),"")))</f>
        <v/>
      </c>
      <c r="T23" s="55"/>
    </row>
    <row r="24" ht="19.5" customHeight="1">
      <c r="A24" s="113"/>
      <c r="B24" s="113"/>
      <c r="C24" s="112"/>
      <c r="D24" s="113"/>
      <c r="E24" s="113"/>
      <c r="F24" s="113"/>
      <c r="G24" s="113"/>
      <c r="H24" s="112"/>
      <c r="I24" s="113"/>
      <c r="J24" s="113"/>
      <c r="K24" s="112"/>
      <c r="L24" s="113"/>
      <c r="M24" s="113"/>
      <c r="N24" s="113"/>
      <c r="O24" s="113"/>
      <c r="P24" s="113"/>
      <c r="Q24" s="113"/>
      <c r="R24" s="113"/>
      <c r="S24" s="113"/>
      <c r="T24" s="55"/>
    </row>
    <row r="25" ht="19.5" customHeight="1">
      <c r="A25" s="77" t="s">
        <v>102</v>
      </c>
      <c r="B25" s="3"/>
      <c r="C25" s="3"/>
      <c r="D25" s="3"/>
      <c r="E25" s="3"/>
      <c r="F25" s="3"/>
      <c r="G25" s="3"/>
      <c r="H25" s="3"/>
      <c r="I25" s="5"/>
      <c r="J25" s="113"/>
      <c r="K25" s="77" t="s">
        <v>103</v>
      </c>
      <c r="L25" s="3"/>
      <c r="M25" s="3"/>
      <c r="N25" s="3"/>
      <c r="O25" s="3"/>
      <c r="P25" s="3"/>
      <c r="Q25" s="3"/>
      <c r="R25" s="3"/>
      <c r="S25" s="5"/>
      <c r="T25" s="55"/>
    </row>
    <row r="26" ht="19.5" customHeight="1">
      <c r="A26" s="117"/>
      <c r="B26" s="119" t="s">
        <v>104</v>
      </c>
      <c r="C26" s="119" t="s">
        <v>47</v>
      </c>
      <c r="D26" s="119" t="s">
        <v>50</v>
      </c>
      <c r="E26" s="119" t="s">
        <v>55</v>
      </c>
      <c r="F26" s="119" t="s">
        <v>106</v>
      </c>
      <c r="G26" s="119" t="s">
        <v>108</v>
      </c>
      <c r="H26" s="119" t="s">
        <v>110</v>
      </c>
      <c r="I26" s="177" t="s">
        <v>59</v>
      </c>
      <c r="J26" s="113"/>
      <c r="K26" s="117"/>
      <c r="L26" s="119" t="s">
        <v>63</v>
      </c>
      <c r="M26" s="119" t="s">
        <v>54</v>
      </c>
      <c r="N26" s="119" t="s">
        <v>105</v>
      </c>
      <c r="O26" s="119" t="s">
        <v>16</v>
      </c>
      <c r="P26" s="119" t="s">
        <v>107</v>
      </c>
      <c r="Q26" s="119" t="s">
        <v>109</v>
      </c>
      <c r="R26" s="119" t="s">
        <v>58</v>
      </c>
      <c r="S26" s="121" t="s">
        <v>111</v>
      </c>
      <c r="T26" s="55"/>
    </row>
    <row r="27" ht="19.5" customHeight="1">
      <c r="A27" s="90" t="s">
        <v>104</v>
      </c>
      <c r="B27" s="171" t="str">
        <f t="array" ref="B27">IF('RR Schedule (Adv)'!B28="","",LET(nm,'RR Results (Adv)'!$A:$A,g,'RR Results (Adv)'!$B:$O,n,MATCH('RR Schedule (Adv)'!B28,{"7/20-7/22";"7/23-7/25";"7/26-7/28";"7/29-7/31";"8/1-8/3";"8/4-8/6";"8/7-8/9"},0),me,MATCH($A27,nm,0),IF(COUNT(INDEX(g,me,2*n))=1,INDEX(g,me,2*n),"")))</f>
        <v/>
      </c>
      <c r="C27" s="6">
        <f t="array" ref="C27">IF('RR Schedule (Adv)'!C28="","",LET(nm,'RR Results (Adv)'!$A:$A,g,'RR Results (Adv)'!$B:$O,n,MATCH('RR Schedule (Adv)'!C28,{"7/20-7/22";"7/23-7/25";"7/26-7/28";"7/29-7/31";"8/1-8/3";"8/4-8/6";"8/7-8/9"},0),me,MATCH($A27,nm,0),IF(COUNT(INDEX(g,me,2*n))=1,INDEX(g,me,2*n),"")))</f>
        <v>32</v>
      </c>
      <c r="D27" s="6">
        <f t="array" ref="D27">IF('RR Schedule (Adv)'!D28="","",LET(nm,'RR Results (Adv)'!$A:$A,g,'RR Results (Adv)'!$B:$O,n,MATCH('RR Schedule (Adv)'!D28,{"7/20-7/22";"7/23-7/25";"7/26-7/28";"7/29-7/31";"8/1-8/3";"8/4-8/6";"8/7-8/9"},0),me,MATCH($A27,nm,0),IF(COUNT(INDEX(g,me,2*n))=1,INDEX(g,me,2*n),"")))</f>
        <v>8</v>
      </c>
      <c r="E27" s="6">
        <f t="array" ref="E27">IF('RR Schedule (Adv)'!E28="","",LET(nm,'RR Results (Adv)'!$A:$A,g,'RR Results (Adv)'!$B:$O,n,MATCH('RR Schedule (Adv)'!E28,{"7/20-7/22";"7/23-7/25";"7/26-7/28";"7/29-7/31";"8/1-8/3";"8/4-8/6";"8/7-8/9"},0),me,MATCH($A27,nm,0),IF(COUNT(INDEX(g,me,2*n))=1,INDEX(g,me,2*n),"")))</f>
        <v>22</v>
      </c>
      <c r="F27" s="6">
        <f t="array" ref="F27">IF('RR Schedule (Adv)'!F28="","",LET(nm,'RR Results (Adv)'!$A:$A,g,'RR Results (Adv)'!$B:$O,n,MATCH('RR Schedule (Adv)'!F28,{"7/20-7/22";"7/23-7/25";"7/26-7/28";"7/29-7/31";"8/1-8/3";"8/4-8/6";"8/7-8/9"},0),me,MATCH($A27,nm,0),IF(COUNT(INDEX(g,me,2*n))=1,INDEX(g,me,2*n),"")))</f>
        <v>24</v>
      </c>
      <c r="G27" s="6">
        <f t="array" ref="G27">IF('RR Schedule (Adv)'!G28="","",LET(nm,'RR Results (Adv)'!$A:$A,g,'RR Results (Adv)'!$B:$O,n,MATCH('RR Schedule (Adv)'!G28,{"7/20-7/22";"7/23-7/25";"7/26-7/28";"7/29-7/31";"8/1-8/3";"8/4-8/6";"8/7-8/9"},0),me,MATCH($A27,nm,0),IF(COUNT(INDEX(g,me,2*n))=1,INDEX(g,me,2*n),"")))</f>
        <v>24</v>
      </c>
      <c r="H27" s="6">
        <f t="array" ref="H27">IF('RR Schedule (Adv)'!H28="","",LET(nm,'RR Results (Adv)'!$A:$A,g,'RR Results (Adv)'!$B:$O,n,MATCH('RR Schedule (Adv)'!H28,{"7/20-7/22";"7/23-7/25";"7/26-7/28";"7/29-7/31";"8/1-8/3";"8/4-8/6";"8/7-8/9"},0),me,MATCH($A27,nm,0),IF(COUNT(INDEX(g,me,2*n))=1,INDEX(g,me,2*n),"")))</f>
        <v>8</v>
      </c>
      <c r="I27" s="173">
        <f t="array" ref="I27">IF('RR Schedule (Adv)'!I28="","",LET(nm,'RR Results (Adv)'!$A:$A,g,'RR Results (Adv)'!$B:$O,n,MATCH('RR Schedule (Adv)'!I28,{"7/20-7/22";"7/23-7/25";"7/26-7/28";"7/29-7/31";"8/1-8/3";"8/4-8/6";"8/7-8/9"},0),me,MATCH($A27,nm,0),IF(COUNT(INDEX(g,me,2*n))=1,INDEX(g,me,2*n),"")))</f>
        <v>36</v>
      </c>
      <c r="J27" s="113"/>
      <c r="K27" s="105" t="s">
        <v>63</v>
      </c>
      <c r="L27" s="171" t="str">
        <f t="array" ref="L27">IF('RR Schedule (Adv)'!L28="","",LET(nm,'RR Results (Adv)'!$T:$T,g,'RR Results (Adv)'!$U:$AH,n,MATCH('RR Schedule (Adv)'!L28,{"7/20-7/22";"7/23-7/25";"7/26-7/28";"7/29-7/31";"8/1-8/3";"8/4-8/6";"8/7-8/9"},0),me,MATCH($K27,nm,0),IF(COUNT(INDEX(g,me,2*n))=1,INDEX(g,me,2*n),"")))</f>
        <v/>
      </c>
      <c r="M27" s="6">
        <f t="array" ref="M27">IF('RR Schedule (Adv)'!M28="","",LET(nm,'RR Results (Adv)'!$T:$T,g,'RR Results (Adv)'!$U:$AH,n,MATCH('RR Schedule (Adv)'!M28,{"7/20-7/22";"7/23-7/25";"7/26-7/28";"7/29-7/31";"8/1-8/3";"8/4-8/6";"8/7-8/9"},0),me,MATCH($K27,nm,0),IF(COUNT(INDEX(g,me,2*n))=1,INDEX(g,me,2*n),"")))</f>
        <v>20</v>
      </c>
      <c r="N27" s="6">
        <f t="array" ref="N27">IF('RR Schedule (Adv)'!N28="","",LET(nm,'RR Results (Adv)'!$T:$T,g,'RR Results (Adv)'!$U:$AH,n,MATCH('RR Schedule (Adv)'!N28,{"7/20-7/22";"7/23-7/25";"7/26-7/28";"7/29-7/31";"8/1-8/3";"8/4-8/6";"8/7-8/9"},0),me,MATCH($K27,nm,0),IF(COUNT(INDEX(g,me,2*n))=1,INDEX(g,me,2*n),"")))</f>
        <v>46</v>
      </c>
      <c r="O27" s="6">
        <f t="array" ref="O27">IF('RR Schedule (Adv)'!O28="","",LET(nm,'RR Results (Adv)'!$T:$T,g,'RR Results (Adv)'!$U:$AH,n,MATCH('RR Schedule (Adv)'!O28,{"7/20-7/22";"7/23-7/25";"7/26-7/28";"7/29-7/31";"8/1-8/3";"8/4-8/6";"8/7-8/9"},0),me,MATCH($K27,nm,0),IF(COUNT(INDEX(g,me,2*n))=1,INDEX(g,me,2*n),"")))</f>
        <v>14</v>
      </c>
      <c r="P27" s="6">
        <f t="array" ref="P27">IF('RR Schedule (Adv)'!P28="","",LET(nm,'RR Results (Adv)'!$T:$T,g,'RR Results (Adv)'!$U:$AH,n,MATCH('RR Schedule (Adv)'!P28,{"7/20-7/22";"7/23-7/25";"7/26-7/28";"7/29-7/31";"8/1-8/3";"8/4-8/6";"8/7-8/9"},0),me,MATCH($K27,nm,0),IF(COUNT(INDEX(g,me,2*n))=1,INDEX(g,me,2*n),"")))</f>
        <v>24</v>
      </c>
      <c r="Q27" s="172">
        <f t="array" ref="Q27">IF('RR Schedule (Adv)'!Q28="","",LET(nm,'RR Results (Adv)'!$T:$T,g,'RR Results (Adv)'!$U:$AH,n,MATCH('RR Schedule (Adv)'!Q28,{"7/20-7/22";"7/23-7/25";"7/26-7/28";"7/29-7/31";"8/1-8/3";"8/4-8/6";"8/7-8/9"},0),me,MATCH($K27,nm,0),IF(COUNT(INDEX(g,me,2*n))=1,INDEX(g,me,2*n),"")))</f>
        <v>22</v>
      </c>
      <c r="R27" s="6">
        <f t="array" ref="R27">IF('RR Schedule (Adv)'!R28="","",LET(nm,'RR Results (Adv)'!$T:$T,g,'RR Results (Adv)'!$U:$AH,n,MATCH('RR Schedule (Adv)'!R28,{"7/20-7/22";"7/23-7/25";"7/26-7/28";"7/29-7/31";"8/1-8/3";"8/4-8/6";"8/7-8/9"},0),me,MATCH($K27,nm,0),IF(COUNT(INDEX(g,me,2*n))=1,INDEX(g,me,2*n),"")))</f>
        <v>16</v>
      </c>
      <c r="S27" s="173">
        <f t="array" ref="S27">IF('RR Schedule (Adv)'!S28="","",LET(nm,'RR Results (Adv)'!$T:$T,g,'RR Results (Adv)'!$U:$AH,n,MATCH('RR Schedule (Adv)'!S28,{"7/20-7/22";"7/23-7/25";"7/26-7/28";"7/29-7/31";"8/1-8/3";"8/4-8/6";"8/7-8/9"},0),me,MATCH($K27,nm,0),IF(COUNT(INDEX(g,me,2*n))=1,INDEX(g,me,2*n),"")))</f>
        <v>62</v>
      </c>
      <c r="T27" s="55"/>
    </row>
    <row r="28" ht="19.5" customHeight="1">
      <c r="A28" s="90" t="s">
        <v>47</v>
      </c>
      <c r="B28" s="6">
        <f t="array" ref="B28">IF('RR Schedule (Adv)'!B29="","",LET(nm,'RR Results (Adv)'!$A:$A,g,'RR Results (Adv)'!$B:$O,n,MATCH('RR Schedule (Adv)'!B29,{"7/20-7/22";"7/23-7/25";"7/26-7/28";"7/29-7/31";"8/1-8/3";"8/4-8/6";"8/7-8/9"},0),me,MATCH($A28,nm,0),IF(COUNT(INDEX(g,me,2*n))=1,INDEX(g,me,2*n),"")))</f>
        <v>40</v>
      </c>
      <c r="C28" s="171" t="str">
        <f t="array" ref="C28">IF('RR Schedule (Adv)'!C29="","",LET(nm,'RR Results (Adv)'!$A:$A,g,'RR Results (Adv)'!$B:$O,n,MATCH('RR Schedule (Adv)'!C29,{"7/20-7/22";"7/23-7/25";"7/26-7/28";"7/29-7/31";"8/1-8/3";"8/4-8/6";"8/7-8/9"},0),me,MATCH($A28,nm,0),IF(COUNT(INDEX(g,me,2*n))=1,INDEX(g,me,2*n),"")))</f>
        <v/>
      </c>
      <c r="D28" s="6">
        <f t="array" ref="D28">IF('RR Schedule (Adv)'!D29="","",LET(nm,'RR Results (Adv)'!$A:$A,g,'RR Results (Adv)'!$B:$O,n,MATCH('RR Schedule (Adv)'!D29,{"7/20-7/22";"7/23-7/25";"7/26-7/28";"7/29-7/31";"8/1-8/3";"8/4-8/6";"8/7-8/9"},0),me,MATCH($A28,nm,0),IF(COUNT(INDEX(g,me,2*n))=1,INDEX(g,me,2*n),"")))</f>
        <v>42</v>
      </c>
      <c r="E28" s="6">
        <f t="array" ref="E28">IF('RR Schedule (Adv)'!E29="","",LET(nm,'RR Results (Adv)'!$A:$A,g,'RR Results (Adv)'!$B:$O,n,MATCH('RR Schedule (Adv)'!E29,{"7/20-7/22";"7/23-7/25";"7/26-7/28";"7/29-7/31";"8/1-8/3";"8/4-8/6";"8/7-8/9"},0),me,MATCH($A28,nm,0),IF(COUNT(INDEX(g,me,2*n))=1,INDEX(g,me,2*n),"")))</f>
        <v>40</v>
      </c>
      <c r="F28" s="6">
        <f t="array" ref="F28">IF('RR Schedule (Adv)'!F29="","",LET(nm,'RR Results (Adv)'!$A:$A,g,'RR Results (Adv)'!$B:$O,n,MATCH('RR Schedule (Adv)'!F29,{"7/20-7/22";"7/23-7/25";"7/26-7/28";"7/29-7/31";"8/1-8/3";"8/4-8/6";"8/7-8/9"},0),me,MATCH($A28,nm,0),IF(COUNT(INDEX(g,me,2*n))=1,INDEX(g,me,2*n),"")))</f>
        <v>38</v>
      </c>
      <c r="G28" s="6">
        <f t="array" ref="G28">IF('RR Schedule (Adv)'!G29="","",LET(nm,'RR Results (Adv)'!$A:$A,g,'RR Results (Adv)'!$B:$O,n,MATCH('RR Schedule (Adv)'!G29,{"7/20-7/22";"7/23-7/25";"7/26-7/28";"7/29-7/31";"8/1-8/3";"8/4-8/6";"8/7-8/9"},0),me,MATCH($A28,nm,0),IF(COUNT(INDEX(g,me,2*n))=1,INDEX(g,me,2*n),"")))</f>
        <v>46</v>
      </c>
      <c r="H28" s="6">
        <f t="array" ref="H28">IF('RR Schedule (Adv)'!H29="","",LET(nm,'RR Results (Adv)'!$A:$A,g,'RR Results (Adv)'!$B:$O,n,MATCH('RR Schedule (Adv)'!H29,{"7/20-7/22";"7/23-7/25";"7/26-7/28";"7/29-7/31";"8/1-8/3";"8/4-8/6";"8/7-8/9"},0),me,MATCH($A28,nm,0),IF(COUNT(INDEX(g,me,2*n))=1,INDEX(g,me,2*n),"")))</f>
        <v>60</v>
      </c>
      <c r="I28" s="173">
        <f t="array" ref="I28">IF('RR Schedule (Adv)'!I29="","",LET(nm,'RR Results (Adv)'!$A:$A,g,'RR Results (Adv)'!$B:$O,n,MATCH('RR Schedule (Adv)'!I29,{"7/20-7/22";"7/23-7/25";"7/26-7/28";"7/29-7/31";"8/1-8/3";"8/4-8/6";"8/7-8/9"},0),me,MATCH($A28,nm,0),IF(COUNT(INDEX(g,me,2*n))=1,INDEX(g,me,2*n),"")))</f>
        <v>48</v>
      </c>
      <c r="J28" s="113"/>
      <c r="K28" s="105" t="s">
        <v>54</v>
      </c>
      <c r="L28" s="6">
        <f t="array" ref="L28">IF('RR Schedule (Adv)'!L29="","",LET(nm,'RR Results (Adv)'!$T:$T,g,'RR Results (Adv)'!$U:$AH,n,MATCH('RR Schedule (Adv)'!L29,{"7/20-7/22";"7/23-7/25";"7/26-7/28";"7/29-7/31";"8/1-8/3";"8/4-8/6";"8/7-8/9"},0),me,MATCH($K28,nm,0),IF(COUNT(INDEX(g,me,2*n))=1,INDEX(g,me,2*n),"")))</f>
        <v>28</v>
      </c>
      <c r="M28" s="171" t="str">
        <f t="array" ref="M28">IF('RR Schedule (Adv)'!M29="","",LET(nm,'RR Results (Adv)'!$T:$T,g,'RR Results (Adv)'!$U:$AH,n,MATCH('RR Schedule (Adv)'!M29,{"7/20-7/22";"7/23-7/25";"7/26-7/28";"7/29-7/31";"8/1-8/3";"8/4-8/6";"8/7-8/9"},0),me,MATCH($K28,nm,0),IF(COUNT(INDEX(g,me,2*n))=1,INDEX(g,me,2*n),"")))</f>
        <v/>
      </c>
      <c r="N28" s="6">
        <f t="array" ref="N28">IF('RR Schedule (Adv)'!N29="","",LET(nm,'RR Results (Adv)'!$T:$T,g,'RR Results (Adv)'!$U:$AH,n,MATCH('RR Schedule (Adv)'!N29,{"7/20-7/22";"7/23-7/25";"7/26-7/28";"7/29-7/31";"8/1-8/3";"8/4-8/6";"8/7-8/9"},0),me,MATCH($K28,nm,0),IF(COUNT(INDEX(g,me,2*n))=1,INDEX(g,me,2*n),"")))</f>
        <v>18</v>
      </c>
      <c r="O28" s="6">
        <f t="array" ref="O28">IF('RR Schedule (Adv)'!O29="","",LET(nm,'RR Results (Adv)'!$T:$T,g,'RR Results (Adv)'!$U:$AH,n,MATCH('RR Schedule (Adv)'!O29,{"7/20-7/22";"7/23-7/25";"7/26-7/28";"7/29-7/31";"8/1-8/3";"8/4-8/6";"8/7-8/9"},0),me,MATCH($K28,nm,0),IF(COUNT(INDEX(g,me,2*n))=1,INDEX(g,me,2*n),"")))</f>
        <v>28</v>
      </c>
      <c r="P28" s="6">
        <f t="array" ref="P28">IF('RR Schedule (Adv)'!P29="","",LET(nm,'RR Results (Adv)'!$T:$T,g,'RR Results (Adv)'!$U:$AH,n,MATCH('RR Schedule (Adv)'!P29,{"7/20-7/22";"7/23-7/25";"7/26-7/28";"7/29-7/31";"8/1-8/3";"8/4-8/6";"8/7-8/9"},0),me,MATCH($K28,nm,0),IF(COUNT(INDEX(g,me,2*n))=1,INDEX(g,me,2*n),"")))</f>
        <v>28</v>
      </c>
      <c r="Q28" s="172">
        <f t="array" ref="Q28">IF('RR Schedule (Adv)'!Q29="","",LET(nm,'RR Results (Adv)'!$T:$T,g,'RR Results (Adv)'!$U:$AH,n,MATCH('RR Schedule (Adv)'!Q29,{"7/20-7/22";"7/23-7/25";"7/26-7/28";"7/29-7/31";"8/1-8/3";"8/4-8/6";"8/7-8/9"},0),me,MATCH($K28,nm,0),IF(COUNT(INDEX(g,me,2*n))=1,INDEX(g,me,2*n),"")))</f>
        <v>28</v>
      </c>
      <c r="R28" s="6">
        <f t="array" ref="R28">IF('RR Schedule (Adv)'!R29="","",LET(nm,'RR Results (Adv)'!$T:$T,g,'RR Results (Adv)'!$U:$AH,n,MATCH('RR Schedule (Adv)'!R29,{"7/20-7/22";"7/23-7/25";"7/26-7/28";"7/29-7/31";"8/1-8/3";"8/4-8/6";"8/7-8/9"},0),me,MATCH($K28,nm,0),IF(COUNT(INDEX(g,me,2*n))=1,INDEX(g,me,2*n),"")))</f>
        <v>34</v>
      </c>
      <c r="S28" s="173">
        <f t="array" ref="S28">IF('RR Schedule (Adv)'!S29="","",LET(nm,'RR Results (Adv)'!$T:$T,g,'RR Results (Adv)'!$U:$AH,n,MATCH('RR Schedule (Adv)'!S29,{"7/20-7/22";"7/23-7/25";"7/26-7/28";"7/29-7/31";"8/1-8/3";"8/4-8/6";"8/7-8/9"},0),me,MATCH($K28,nm,0),IF(COUNT(INDEX(g,me,2*n))=1,INDEX(g,me,2*n),"")))</f>
        <v>40</v>
      </c>
      <c r="T28" s="55"/>
    </row>
    <row r="29" ht="19.5" customHeight="1">
      <c r="A29" s="90" t="s">
        <v>50</v>
      </c>
      <c r="B29" s="6">
        <f t="array" ref="B29">IF('RR Schedule (Adv)'!B30="","",LET(nm,'RR Results (Adv)'!$A:$A,g,'RR Results (Adv)'!$B:$O,n,MATCH('RR Schedule (Adv)'!B30,{"7/20-7/22";"7/23-7/25";"7/26-7/28";"7/29-7/31";"8/1-8/3";"8/4-8/6";"8/7-8/9"},0),me,MATCH($A29,nm,0),IF(COUNT(INDEX(g,me,2*n))=1,INDEX(g,me,2*n),"")))</f>
        <v>64</v>
      </c>
      <c r="C29" s="6">
        <f t="array" ref="C29">IF('RR Schedule (Adv)'!C30="","",LET(nm,'RR Results (Adv)'!$A:$A,g,'RR Results (Adv)'!$B:$O,n,MATCH('RR Schedule (Adv)'!C30,{"7/20-7/22";"7/23-7/25";"7/26-7/28";"7/29-7/31";"8/1-8/3";"8/4-8/6";"8/7-8/9"},0),me,MATCH($A29,nm,0),IF(COUNT(INDEX(g,me,2*n))=1,INDEX(g,me,2*n),"")))</f>
        <v>32</v>
      </c>
      <c r="D29" s="171" t="str">
        <f t="array" ref="D29">IF('RR Schedule (Adv)'!D30="","",LET(nm,'RR Results (Adv)'!$A:$A,g,'RR Results (Adv)'!$B:$O,n,MATCH('RR Schedule (Adv)'!D30,{"7/20-7/22";"7/23-7/25";"7/26-7/28";"7/29-7/31";"8/1-8/3";"8/4-8/6";"8/7-8/9"},0),me,MATCH($A29,nm,0),IF(COUNT(INDEX(g,me,2*n))=1,INDEX(g,me,2*n),"")))</f>
        <v/>
      </c>
      <c r="E29" s="6">
        <f t="array" ref="E29">IF('RR Schedule (Adv)'!E30="","",LET(nm,'RR Results (Adv)'!$A:$A,g,'RR Results (Adv)'!$B:$O,n,MATCH('RR Schedule (Adv)'!E30,{"7/20-7/22";"7/23-7/25";"7/26-7/28";"7/29-7/31";"8/1-8/3";"8/4-8/6";"8/7-8/9"},0),me,MATCH($A29,nm,0),IF(COUNT(INDEX(g,me,2*n))=1,INDEX(g,me,2*n),"")))</f>
        <v>30</v>
      </c>
      <c r="F29" s="6">
        <f t="array" ref="F29">IF('RR Schedule (Adv)'!F30="","",LET(nm,'RR Results (Adv)'!$A:$A,g,'RR Results (Adv)'!$B:$O,n,MATCH('RR Schedule (Adv)'!F30,{"7/20-7/22";"7/23-7/25";"7/26-7/28";"7/29-7/31";"8/1-8/3";"8/4-8/6";"8/7-8/9"},0),me,MATCH($A29,nm,0),IF(COUNT(INDEX(g,me,2*n))=1,INDEX(g,me,2*n),"")))</f>
        <v>66</v>
      </c>
      <c r="G29" s="6">
        <f t="array" ref="G29">IF('RR Schedule (Adv)'!G30="","",LET(nm,'RR Results (Adv)'!$A:$A,g,'RR Results (Adv)'!$B:$O,n,MATCH('RR Schedule (Adv)'!G30,{"7/20-7/22";"7/23-7/25";"7/26-7/28";"7/29-7/31";"8/1-8/3";"8/4-8/6";"8/7-8/9"},0),me,MATCH($A29,nm,0),IF(COUNT(INDEX(g,me,2*n))=1,INDEX(g,me,2*n),"")))</f>
        <v>36</v>
      </c>
      <c r="H29" s="6">
        <f t="array" ref="H29">IF('RR Schedule (Adv)'!H30="","",LET(nm,'RR Results (Adv)'!$A:$A,g,'RR Results (Adv)'!$B:$O,n,MATCH('RR Schedule (Adv)'!H30,{"7/20-7/22";"7/23-7/25";"7/26-7/28";"7/29-7/31";"8/1-8/3";"8/4-8/6";"8/7-8/9"},0),me,MATCH($A29,nm,0),IF(COUNT(INDEX(g,me,2*n))=1,INDEX(g,me,2*n),"")))</f>
        <v>38</v>
      </c>
      <c r="I29" s="173">
        <f t="array" ref="I29">IF('RR Schedule (Adv)'!I30="","",LET(nm,'RR Results (Adv)'!$A:$A,g,'RR Results (Adv)'!$B:$O,n,MATCH('RR Schedule (Adv)'!I30,{"7/20-7/22";"7/23-7/25";"7/26-7/28";"7/29-7/31";"8/1-8/3";"8/4-8/6";"8/7-8/9"},0),me,MATCH($A29,nm,0),IF(COUNT(INDEX(g,me,2*n))=1,INDEX(g,me,2*n),"")))</f>
        <v>52</v>
      </c>
      <c r="J29" s="112"/>
      <c r="K29" s="105" t="s">
        <v>105</v>
      </c>
      <c r="L29" s="6">
        <f t="array" ref="L29">IF('RR Schedule (Adv)'!L30="","",LET(nm,'RR Results (Adv)'!$T:$T,g,'RR Results (Adv)'!$U:$AH,n,MATCH('RR Schedule (Adv)'!L30,{"7/20-7/22";"7/23-7/25";"7/26-7/28";"7/29-7/31";"8/1-8/3";"8/4-8/6";"8/7-8/9"},0),me,MATCH($K29,nm,0),IF(COUNT(INDEX(g,me,2*n))=1,INDEX(g,me,2*n),"")))</f>
        <v>40</v>
      </c>
      <c r="M29" s="6">
        <f t="array" ref="M29">IF('RR Schedule (Adv)'!M30="","",LET(nm,'RR Results (Adv)'!$T:$T,g,'RR Results (Adv)'!$U:$AH,n,MATCH('RR Schedule (Adv)'!M30,{"7/20-7/22";"7/23-7/25";"7/26-7/28";"7/29-7/31";"8/1-8/3";"8/4-8/6";"8/7-8/9"},0),me,MATCH($K29,nm,0),IF(COUNT(INDEX(g,me,2*n))=1,INDEX(g,me,2*n),"")))</f>
        <v>48</v>
      </c>
      <c r="N29" s="171" t="str">
        <f t="array" ref="N29">IF('RR Schedule (Adv)'!N30="","",LET(nm,'RR Results (Adv)'!$T:$T,g,'RR Results (Adv)'!$U:$AH,n,MATCH('RR Schedule (Adv)'!N30,{"7/20-7/22";"7/23-7/25";"7/26-7/28";"7/29-7/31";"8/1-8/3";"8/4-8/6";"8/7-8/9"},0),me,MATCH($K29,nm,0),IF(COUNT(INDEX(g,me,2*n))=1,INDEX(g,me,2*n),"")))</f>
        <v/>
      </c>
      <c r="O29" s="6">
        <f t="array" ref="O29">IF('RR Schedule (Adv)'!O30="","",LET(nm,'RR Results (Adv)'!$T:$T,g,'RR Results (Adv)'!$U:$AH,n,MATCH('RR Schedule (Adv)'!O30,{"7/20-7/22";"7/23-7/25";"7/26-7/28";"7/29-7/31";"8/1-8/3";"8/4-8/6";"8/7-8/9"},0),me,MATCH($K29,nm,0),IF(COUNT(INDEX(g,me,2*n))=1,INDEX(g,me,2*n),"")))</f>
        <v>42</v>
      </c>
      <c r="P29" s="6">
        <f t="array" ref="P29">IF('RR Schedule (Adv)'!P30="","",LET(nm,'RR Results (Adv)'!$T:$T,g,'RR Results (Adv)'!$U:$AH,n,MATCH('RR Schedule (Adv)'!P30,{"7/20-7/22";"7/23-7/25";"7/26-7/28";"7/29-7/31";"8/1-8/3";"8/4-8/6";"8/7-8/9"},0),me,MATCH($K29,nm,0),IF(COUNT(INDEX(g,me,2*n))=1,INDEX(g,me,2*n),"")))</f>
        <v>40</v>
      </c>
      <c r="Q29" s="6">
        <f t="array" ref="Q29">IF('RR Schedule (Adv)'!Q30="","",LET(nm,'RR Results (Adv)'!$T:$T,g,'RR Results (Adv)'!$U:$AH,n,MATCH('RR Schedule (Adv)'!Q30,{"7/20-7/22";"7/23-7/25";"7/26-7/28";"7/29-7/31";"8/1-8/3";"8/4-8/6";"8/7-8/9"},0),me,MATCH($K29,nm,0),IF(COUNT(INDEX(g,me,2*n))=1,INDEX(g,me,2*n),"")))</f>
        <v>58</v>
      </c>
      <c r="R29" s="6">
        <f t="array" ref="R29">IF('RR Schedule (Adv)'!R30="","",LET(nm,'RR Results (Adv)'!$T:$T,g,'RR Results (Adv)'!$U:$AH,n,MATCH('RR Schedule (Adv)'!R30,{"7/20-7/22";"7/23-7/25";"7/26-7/28";"7/29-7/31";"8/1-8/3";"8/4-8/6";"8/7-8/9"},0),me,MATCH($K29,nm,0),IF(COUNT(INDEX(g,me,2*n))=1,INDEX(g,me,2*n),"")))</f>
        <v>42</v>
      </c>
      <c r="S29" s="173">
        <f t="array" ref="S29">IF('RR Schedule (Adv)'!S30="","",LET(nm,'RR Results (Adv)'!$T:$T,g,'RR Results (Adv)'!$U:$AH,n,MATCH('RR Schedule (Adv)'!S30,{"7/20-7/22";"7/23-7/25";"7/26-7/28";"7/29-7/31";"8/1-8/3";"8/4-8/6";"8/7-8/9"},0),me,MATCH($K29,nm,0),IF(COUNT(INDEX(g,me,2*n))=1,INDEX(g,me,2*n),"")))</f>
        <v>34</v>
      </c>
      <c r="T29" s="55"/>
    </row>
    <row r="30" ht="19.5" customHeight="1">
      <c r="A30" s="90" t="s">
        <v>55</v>
      </c>
      <c r="B30" s="6">
        <f t="array" ref="B30">IF('RR Schedule (Adv)'!B31="","",LET(nm,'RR Results (Adv)'!$A:$A,g,'RR Results (Adv)'!$B:$O,n,MATCH('RR Schedule (Adv)'!B31,{"7/20-7/22";"7/23-7/25";"7/26-7/28";"7/29-7/31";"8/1-8/3";"8/4-8/6";"8/7-8/9"},0),me,MATCH($A30,nm,0),IF(COUNT(INDEX(g,me,2*n))=1,INDEX(g,me,2*n),"")))</f>
        <v>56</v>
      </c>
      <c r="C30" s="6">
        <f t="array" ref="C30">IF('RR Schedule (Adv)'!C31="","",LET(nm,'RR Results (Adv)'!$A:$A,g,'RR Results (Adv)'!$B:$O,n,MATCH('RR Schedule (Adv)'!C31,{"7/20-7/22";"7/23-7/25";"7/26-7/28";"7/29-7/31";"8/1-8/3";"8/4-8/6";"8/7-8/9"},0),me,MATCH($A30,nm,0),IF(COUNT(INDEX(g,me,2*n))=1,INDEX(g,me,2*n),"")))</f>
        <v>38</v>
      </c>
      <c r="D30" s="6">
        <f t="array" ref="D30">IF('RR Schedule (Adv)'!D31="","",LET(nm,'RR Results (Adv)'!$A:$A,g,'RR Results (Adv)'!$B:$O,n,MATCH('RR Schedule (Adv)'!D31,{"7/20-7/22";"7/23-7/25";"7/26-7/28";"7/29-7/31";"8/1-8/3";"8/4-8/6";"8/7-8/9"},0),me,MATCH($A30,nm,0),IF(COUNT(INDEX(g,me,2*n))=1,INDEX(g,me,2*n),"")))</f>
        <v>20</v>
      </c>
      <c r="E30" s="171" t="str">
        <f t="array" ref="E30">IF('RR Schedule (Adv)'!E31="","",LET(nm,'RR Results (Adv)'!$A:$A,g,'RR Results (Adv)'!$B:$O,n,MATCH('RR Schedule (Adv)'!E31,{"7/20-7/22";"7/23-7/25";"7/26-7/28";"7/29-7/31";"8/1-8/3";"8/4-8/6";"8/7-8/9"},0),me,MATCH($A30,nm,0),IF(COUNT(INDEX(g,me,2*n))=1,INDEX(g,me,2*n),"")))</f>
        <v/>
      </c>
      <c r="F30" s="6">
        <f t="array" ref="F30">IF('RR Schedule (Adv)'!F31="","",LET(nm,'RR Results (Adv)'!$A:$A,g,'RR Results (Adv)'!$B:$O,n,MATCH('RR Schedule (Adv)'!F31,{"7/20-7/22";"7/23-7/25";"7/26-7/28";"7/29-7/31";"8/1-8/3";"8/4-8/6";"8/7-8/9"},0),me,MATCH($A30,nm,0),IF(COUNT(INDEX(g,me,2*n))=1,INDEX(g,me,2*n),"")))</f>
        <v>44</v>
      </c>
      <c r="G30" s="6">
        <f t="array" ref="G30">IF('RR Schedule (Adv)'!G31="","",LET(nm,'RR Results (Adv)'!$A:$A,g,'RR Results (Adv)'!$B:$O,n,MATCH('RR Schedule (Adv)'!G31,{"7/20-7/22";"7/23-7/25";"7/26-7/28";"7/29-7/31";"8/1-8/3";"8/4-8/6";"8/7-8/9"},0),me,MATCH($A30,nm,0),IF(COUNT(INDEX(g,me,2*n))=1,INDEX(g,me,2*n),"")))</f>
        <v>66</v>
      </c>
      <c r="H30" s="6">
        <f t="array" ref="H30">IF('RR Schedule (Adv)'!H31="","",LET(nm,'RR Results (Adv)'!$A:$A,g,'RR Results (Adv)'!$B:$O,n,MATCH('RR Schedule (Adv)'!H31,{"7/20-7/22";"7/23-7/25";"7/26-7/28";"7/29-7/31";"8/1-8/3";"8/4-8/6";"8/7-8/9"},0),me,MATCH($A30,nm,0),IF(COUNT(INDEX(g,me,2*n))=1,INDEX(g,me,2*n),"")))</f>
        <v>48</v>
      </c>
      <c r="I30" s="173">
        <f t="array" ref="I30">IF('RR Schedule (Adv)'!I31="","",LET(nm,'RR Results (Adv)'!$A:$A,g,'RR Results (Adv)'!$B:$O,n,MATCH('RR Schedule (Adv)'!I31,{"7/20-7/22";"7/23-7/25";"7/26-7/28";"7/29-7/31";"8/1-8/3";"8/4-8/6";"8/7-8/9"},0),me,MATCH($A30,nm,0),IF(COUNT(INDEX(g,me,2*n))=1,INDEX(g,me,2*n),"")))</f>
        <v>10</v>
      </c>
      <c r="J30" s="113"/>
      <c r="K30" s="105" t="s">
        <v>16</v>
      </c>
      <c r="L30" s="6">
        <f t="array" ref="L30">IF('RR Schedule (Adv)'!L31="","",LET(nm,'RR Results (Adv)'!$T:$T,g,'RR Results (Adv)'!$U:$AH,n,MATCH('RR Schedule (Adv)'!L31,{"7/20-7/22";"7/23-7/25";"7/26-7/28";"7/29-7/31";"8/1-8/3";"8/4-8/6";"8/7-8/9"},0),me,MATCH($K30,nm,0),IF(COUNT(INDEX(g,me,2*n))=1,INDEX(g,me,2*n),"")))</f>
        <v>70</v>
      </c>
      <c r="M30" s="6">
        <f t="array" ref="M30">IF('RR Schedule (Adv)'!M31="","",LET(nm,'RR Results (Adv)'!$T:$T,g,'RR Results (Adv)'!$U:$AH,n,MATCH('RR Schedule (Adv)'!M31,{"7/20-7/22";"7/23-7/25";"7/26-7/28";"7/29-7/31";"8/1-8/3";"8/4-8/6";"8/7-8/9"},0),me,MATCH($K30,nm,0),IF(COUNT(INDEX(g,me,2*n))=1,INDEX(g,me,2*n),"")))</f>
        <v>62</v>
      </c>
      <c r="N30" s="6">
        <f t="array" ref="N30">IF('RR Schedule (Adv)'!N31="","",LET(nm,'RR Results (Adv)'!$T:$T,g,'RR Results (Adv)'!$U:$AH,n,MATCH('RR Schedule (Adv)'!N31,{"7/20-7/22";"7/23-7/25";"7/26-7/28";"7/29-7/31";"8/1-8/3";"8/4-8/6";"8/7-8/9"},0),me,MATCH($K30,nm,0),IF(COUNT(INDEX(g,me,2*n))=1,INDEX(g,me,2*n),"")))</f>
        <v>44</v>
      </c>
      <c r="O30" s="171" t="str">
        <f t="array" ref="O30">IF('RR Schedule (Adv)'!O31="","",LET(nm,'RR Results (Adv)'!$T:$T,g,'RR Results (Adv)'!$U:$AH,n,MATCH('RR Schedule (Adv)'!O31,{"7/20-7/22";"7/23-7/25";"7/26-7/28";"7/29-7/31";"8/1-8/3";"8/4-8/6";"8/7-8/9"},0),me,MATCH($K30,nm,0),IF(COUNT(INDEX(g,me,2*n))=1,INDEX(g,me,2*n),"")))</f>
        <v/>
      </c>
      <c r="P30" s="6">
        <f t="array" ref="P30">IF('RR Schedule (Adv)'!P31="","",LET(nm,'RR Results (Adv)'!$T:$T,g,'RR Results (Adv)'!$U:$AH,n,MATCH('RR Schedule (Adv)'!P31,{"7/20-7/22";"7/23-7/25";"7/26-7/28";"7/29-7/31";"8/1-8/3";"8/4-8/6";"8/7-8/9"},0),me,MATCH($K30,nm,0),IF(COUNT(INDEX(g,me,2*n))=1,INDEX(g,me,2*n),"")))</f>
        <v>52</v>
      </c>
      <c r="Q30" s="6">
        <f t="array" ref="Q30">IF('RR Schedule (Adv)'!Q31="","",LET(nm,'RR Results (Adv)'!$T:$T,g,'RR Results (Adv)'!$U:$AH,n,MATCH('RR Schedule (Adv)'!Q31,{"7/20-7/22";"7/23-7/25";"7/26-7/28";"7/29-7/31";"8/1-8/3";"8/4-8/6";"8/7-8/9"},0),me,MATCH($K30,nm,0),IF(COUNT(INDEX(g,me,2*n))=1,INDEX(g,me,2*n),"")))</f>
        <v>80</v>
      </c>
      <c r="R30" s="6">
        <f t="array" ref="R30">IF('RR Schedule (Adv)'!R31="","",LET(nm,'RR Results (Adv)'!$T:$T,g,'RR Results (Adv)'!$U:$AH,n,MATCH('RR Schedule (Adv)'!R31,{"7/20-7/22";"7/23-7/25";"7/26-7/28";"7/29-7/31";"8/1-8/3";"8/4-8/6";"8/7-8/9"},0),me,MATCH($K30,nm,0),IF(COUNT(INDEX(g,me,2*n))=1,INDEX(g,me,2*n),"")))</f>
        <v>58</v>
      </c>
      <c r="S30" s="173">
        <f t="array" ref="S30">IF('RR Schedule (Adv)'!S31="","",LET(nm,'RR Results (Adv)'!$T:$T,g,'RR Results (Adv)'!$U:$AH,n,MATCH('RR Schedule (Adv)'!S31,{"7/20-7/22";"7/23-7/25";"7/26-7/28";"7/29-7/31";"8/1-8/3";"8/4-8/6";"8/7-8/9"},0),me,MATCH($K30,nm,0),IF(COUNT(INDEX(g,me,2*n))=1,INDEX(g,me,2*n),"")))</f>
        <v>42</v>
      </c>
      <c r="T30" s="55"/>
    </row>
    <row r="31" ht="19.5" customHeight="1">
      <c r="A31" s="90" t="s">
        <v>106</v>
      </c>
      <c r="B31" s="6">
        <f t="array" ref="B31">IF('RR Schedule (Adv)'!B32="","",LET(nm,'RR Results (Adv)'!$A:$A,g,'RR Results (Adv)'!$B:$O,n,MATCH('RR Schedule (Adv)'!B32,{"7/20-7/22";"7/23-7/25";"7/26-7/28";"7/29-7/31";"8/1-8/3";"8/4-8/6";"8/7-8/9"},0),me,MATCH($A31,nm,0),IF(COUNT(INDEX(g,me,2*n))=1,INDEX(g,me,2*n),"")))</f>
        <v>46</v>
      </c>
      <c r="C31" s="6">
        <f t="array" ref="C31">IF('RR Schedule (Adv)'!C32="","",LET(nm,'RR Results (Adv)'!$A:$A,g,'RR Results (Adv)'!$B:$O,n,MATCH('RR Schedule (Adv)'!C32,{"7/20-7/22";"7/23-7/25";"7/26-7/28";"7/29-7/31";"8/1-8/3";"8/4-8/6";"8/7-8/9"},0),me,MATCH($A31,nm,0),IF(COUNT(INDEX(g,me,2*n))=1,INDEX(g,me,2*n),"")))</f>
        <v>36</v>
      </c>
      <c r="D31" s="6">
        <f t="array" ref="D31">IF('RR Schedule (Adv)'!D32="","",LET(nm,'RR Results (Adv)'!$A:$A,g,'RR Results (Adv)'!$B:$O,n,MATCH('RR Schedule (Adv)'!D32,{"7/20-7/22";"7/23-7/25";"7/26-7/28";"7/29-7/31";"8/1-8/3";"8/4-8/6";"8/7-8/9"},0),me,MATCH($A31,nm,0),IF(COUNT(INDEX(g,me,2*n))=1,INDEX(g,me,2*n),"")))</f>
        <v>16</v>
      </c>
      <c r="E31" s="6">
        <f t="array" ref="E31">IF('RR Schedule (Adv)'!E32="","",LET(nm,'RR Results (Adv)'!$A:$A,g,'RR Results (Adv)'!$B:$O,n,MATCH('RR Schedule (Adv)'!E32,{"7/20-7/22";"7/23-7/25";"7/26-7/28";"7/29-7/31";"8/1-8/3";"8/4-8/6";"8/7-8/9"},0),me,MATCH($A31,nm,0),IF(COUNT(INDEX(g,me,2*n))=1,INDEX(g,me,2*n),"")))</f>
        <v>24</v>
      </c>
      <c r="F31" s="171" t="str">
        <f t="array" ref="F31">IF('RR Schedule (Adv)'!F32="","",LET(nm,'RR Results (Adv)'!$A:$A,g,'RR Results (Adv)'!$B:$O,n,MATCH('RR Schedule (Adv)'!F32,{"7/20-7/22";"7/23-7/25";"7/26-7/28";"7/29-7/31";"8/1-8/3";"8/4-8/6";"8/7-8/9"},0),me,MATCH($A31,nm,0),IF(COUNT(INDEX(g,me,2*n))=1,INDEX(g,me,2*n),"")))</f>
        <v/>
      </c>
      <c r="G31" s="6">
        <f t="array" ref="G31">IF('RR Schedule (Adv)'!G32="","",LET(nm,'RR Results (Adv)'!$A:$A,g,'RR Results (Adv)'!$B:$O,n,MATCH('RR Schedule (Adv)'!G32,{"7/20-7/22";"7/23-7/25";"7/26-7/28";"7/29-7/31";"8/1-8/3";"8/4-8/6";"8/7-8/9"},0),me,MATCH($A31,nm,0),IF(COUNT(INDEX(g,me,2*n))=1,INDEX(g,me,2*n),"")))</f>
        <v>46</v>
      </c>
      <c r="H31" s="6">
        <f t="array" ref="H31">IF('RR Schedule (Adv)'!H32="","",LET(nm,'RR Results (Adv)'!$A:$A,g,'RR Results (Adv)'!$B:$O,n,MATCH('RR Schedule (Adv)'!H32,{"7/20-7/22";"7/23-7/25";"7/26-7/28";"7/29-7/31";"8/1-8/3";"8/4-8/6";"8/7-8/9"},0),me,MATCH($A31,nm,0),IF(COUNT(INDEX(g,me,2*n))=1,INDEX(g,me,2*n),"")))</f>
        <v>36</v>
      </c>
      <c r="I31" s="173">
        <f t="array" ref="I31">IF('RR Schedule (Adv)'!I32="","",LET(nm,'RR Results (Adv)'!$A:$A,g,'RR Results (Adv)'!$B:$O,n,MATCH('RR Schedule (Adv)'!I32,{"7/20-7/22";"7/23-7/25";"7/26-7/28";"7/29-7/31";"8/1-8/3";"8/4-8/6";"8/7-8/9"},0),me,MATCH($A31,nm,0),IF(COUNT(INDEX(g,me,2*n))=1,INDEX(g,me,2*n),"")))</f>
        <v>54</v>
      </c>
      <c r="J31" s="113"/>
      <c r="K31" s="105" t="s">
        <v>107</v>
      </c>
      <c r="L31" s="6">
        <f t="array" ref="L31">IF('RR Schedule (Adv)'!L32="","",LET(nm,'RR Results (Adv)'!$T:$T,g,'RR Results (Adv)'!$U:$AH,n,MATCH('RR Schedule (Adv)'!L32,{"7/20-7/22";"7/23-7/25";"7/26-7/28";"7/29-7/31";"8/1-8/3";"8/4-8/6";"8/7-8/9"},0),me,MATCH($K31,nm,0),IF(COUNT(INDEX(g,me,2*n))=1,INDEX(g,me,2*n),"")))</f>
        <v>42</v>
      </c>
      <c r="M31" s="6">
        <f t="array" ref="M31">IF('RR Schedule (Adv)'!M32="","",LET(nm,'RR Results (Adv)'!$T:$T,g,'RR Results (Adv)'!$U:$AH,n,MATCH('RR Schedule (Adv)'!M32,{"7/20-7/22";"7/23-7/25";"7/26-7/28";"7/29-7/31";"8/1-8/3";"8/4-8/6";"8/7-8/9"},0),me,MATCH($K31,nm,0),IF(COUNT(INDEX(g,me,2*n))=1,INDEX(g,me,2*n),"")))</f>
        <v>0</v>
      </c>
      <c r="N31" s="6">
        <f t="array" ref="N31">IF('RR Schedule (Adv)'!N32="","",LET(nm,'RR Results (Adv)'!$T:$T,g,'RR Results (Adv)'!$U:$AH,n,MATCH('RR Schedule (Adv)'!N32,{"7/20-7/22";"7/23-7/25";"7/26-7/28";"7/29-7/31";"8/1-8/3";"8/4-8/6";"8/7-8/9"},0),me,MATCH($K31,nm,0),IF(COUNT(INDEX(g,me,2*n))=1,INDEX(g,me,2*n),"")))</f>
        <v>30</v>
      </c>
      <c r="O31" s="6">
        <f t="array" ref="O31">IF('RR Schedule (Adv)'!O32="","",LET(nm,'RR Results (Adv)'!$T:$T,g,'RR Results (Adv)'!$U:$AH,n,MATCH('RR Schedule (Adv)'!O32,{"7/20-7/22";"7/23-7/25";"7/26-7/28";"7/29-7/31";"8/1-8/3";"8/4-8/6";"8/7-8/9"},0),me,MATCH($K31,nm,0),IF(COUNT(INDEX(g,me,2*n))=1,INDEX(g,me,2*n),"")))</f>
        <v>24</v>
      </c>
      <c r="P31" s="171" t="str">
        <f t="array" ref="P31">IF('RR Schedule (Adv)'!P32="","",LET(nm,'RR Results (Adv)'!$T:$T,g,'RR Results (Adv)'!$U:$AH,n,MATCH('RR Schedule (Adv)'!P32,{"7/20-7/22";"7/23-7/25";"7/26-7/28";"7/29-7/31";"8/1-8/3";"8/4-8/6";"8/7-8/9"},0),me,MATCH($K31,nm,0),IF(COUNT(INDEX(g,me,2*n))=1,INDEX(g,me,2*n),"")))</f>
        <v/>
      </c>
      <c r="Q31" s="6">
        <f t="array" ref="Q31">IF('RR Schedule (Adv)'!Q32="","",LET(nm,'RR Results (Adv)'!$T:$T,g,'RR Results (Adv)'!$U:$AH,n,MATCH('RR Schedule (Adv)'!Q32,{"7/20-7/22";"7/23-7/25";"7/26-7/28";"7/29-7/31";"8/1-8/3";"8/4-8/6";"8/7-8/9"},0),me,MATCH($K31,nm,0),IF(COUNT(INDEX(g,me,2*n))=1,INDEX(g,me,2*n),"")))</f>
        <v>56</v>
      </c>
      <c r="R31" s="6">
        <f t="array" ref="R31">IF('RR Schedule (Adv)'!R32="","",LET(nm,'RR Results (Adv)'!$T:$T,g,'RR Results (Adv)'!$U:$AH,n,MATCH('RR Schedule (Adv)'!R32,{"7/20-7/22";"7/23-7/25";"7/26-7/28";"7/29-7/31";"8/1-8/3";"8/4-8/6";"8/7-8/9"},0),me,MATCH($K31,nm,0),IF(COUNT(INDEX(g,me,2*n))=1,INDEX(g,me,2*n),"")))</f>
        <v>26</v>
      </c>
      <c r="S31" s="173">
        <f t="array" ref="S31">IF('RR Schedule (Adv)'!S32="","",LET(nm,'RR Results (Adv)'!$T:$T,g,'RR Results (Adv)'!$U:$AH,n,MATCH('RR Schedule (Adv)'!S32,{"7/20-7/22";"7/23-7/25";"7/26-7/28";"7/29-7/31";"8/1-8/3";"8/4-8/6";"8/7-8/9"},0),me,MATCH($K31,nm,0),IF(COUNT(INDEX(g,me,2*n))=1,INDEX(g,me,2*n),"")))</f>
        <v>50</v>
      </c>
      <c r="T31" s="55"/>
    </row>
    <row r="32" ht="19.5" customHeight="1">
      <c r="A32" s="90" t="s">
        <v>108</v>
      </c>
      <c r="B32" s="6">
        <f t="array" ref="B32">IF('RR Schedule (Adv)'!B33="","",LET(nm,'RR Results (Adv)'!$A:$A,g,'RR Results (Adv)'!$B:$O,n,MATCH('RR Schedule (Adv)'!B33,{"7/20-7/22";"7/23-7/25";"7/26-7/28";"7/29-7/31";"8/1-8/3";"8/4-8/6";"8/7-8/9"},0),me,MATCH($A32,nm,0),IF(COUNT(INDEX(g,me,2*n))=1,INDEX(g,me,2*n),"")))</f>
        <v>12</v>
      </c>
      <c r="C32" s="6">
        <f t="array" ref="C32">IF('RR Schedule (Adv)'!C33="","",LET(nm,'RR Results (Adv)'!$A:$A,g,'RR Results (Adv)'!$B:$O,n,MATCH('RR Schedule (Adv)'!C33,{"7/20-7/22";"7/23-7/25";"7/26-7/28";"7/29-7/31";"8/1-8/3";"8/4-8/6";"8/7-8/9"},0),me,MATCH($A32,nm,0),IF(COUNT(INDEX(g,me,2*n))=1,INDEX(g,me,2*n),"")))</f>
        <v>12</v>
      </c>
      <c r="D32" s="6">
        <f t="array" ref="D32">IF('RR Schedule (Adv)'!D33="","",LET(nm,'RR Results (Adv)'!$A:$A,g,'RR Results (Adv)'!$B:$O,n,MATCH('RR Schedule (Adv)'!D33,{"7/20-7/22";"7/23-7/25";"7/26-7/28";"7/29-7/31";"8/1-8/3";"8/4-8/6";"8/7-8/9"},0),me,MATCH($A32,nm,0),IF(COUNT(INDEX(g,me,2*n))=1,INDEX(g,me,2*n),"")))</f>
        <v>12</v>
      </c>
      <c r="E32" s="6">
        <f t="array" ref="E32">IF('RR Schedule (Adv)'!E33="","",LET(nm,'RR Results (Adv)'!$A:$A,g,'RR Results (Adv)'!$B:$O,n,MATCH('RR Schedule (Adv)'!E33,{"7/20-7/22";"7/23-7/25";"7/26-7/28";"7/29-7/31";"8/1-8/3";"8/4-8/6";"8/7-8/9"},0),me,MATCH($A32,nm,0),IF(COUNT(INDEX(g,me,2*n))=1,INDEX(g,me,2*n),"")))</f>
        <v>12</v>
      </c>
      <c r="F32" s="6">
        <f t="array" ref="F32">IF('RR Schedule (Adv)'!F33="","",LET(nm,'RR Results (Adv)'!$A:$A,g,'RR Results (Adv)'!$B:$O,n,MATCH('RR Schedule (Adv)'!F33,{"7/20-7/22";"7/23-7/25";"7/26-7/28";"7/29-7/31";"8/1-8/3";"8/4-8/6";"8/7-8/9"},0),me,MATCH($A32,nm,0),IF(COUNT(INDEX(g,me,2*n))=1,INDEX(g,me,2*n),"")))</f>
        <v>12</v>
      </c>
      <c r="G32" s="171" t="str">
        <f t="array" ref="G32">IF('RR Schedule (Adv)'!G33="","",LET(nm,'RR Results (Adv)'!$A:$A,g,'RR Results (Adv)'!$B:$O,n,MATCH('RR Schedule (Adv)'!G33,{"7/20-7/22";"7/23-7/25";"7/26-7/28";"7/29-7/31";"8/1-8/3";"8/4-8/6";"8/7-8/9"},0),me,MATCH($A32,nm,0),IF(COUNT(INDEX(g,me,2*n))=1,INDEX(g,me,2*n),"")))</f>
        <v/>
      </c>
      <c r="H32" s="6">
        <f t="array" ref="H32">IF('RR Schedule (Adv)'!H33="","",LET(nm,'RR Results (Adv)'!$A:$A,g,'RR Results (Adv)'!$B:$O,n,MATCH('RR Schedule (Adv)'!H33,{"7/20-7/22";"7/23-7/25";"7/26-7/28";"7/29-7/31";"8/1-8/3";"8/4-8/6";"8/7-8/9"},0),me,MATCH($A32,nm,0),IF(COUNT(INDEX(g,me,2*n))=1,INDEX(g,me,2*n),"")))</f>
        <v>10</v>
      </c>
      <c r="I32" s="173">
        <f t="array" ref="I32">IF('RR Schedule (Adv)'!I33="","",LET(nm,'RR Results (Adv)'!$A:$A,g,'RR Results (Adv)'!$B:$O,n,MATCH('RR Schedule (Adv)'!I33,{"7/20-7/22";"7/23-7/25";"7/26-7/28";"7/29-7/31";"8/1-8/3";"8/4-8/6";"8/7-8/9"},0),me,MATCH($A32,nm,0),IF(COUNT(INDEX(g,me,2*n))=1,INDEX(g,me,2*n),"")))</f>
        <v>16</v>
      </c>
      <c r="J32" s="112"/>
      <c r="K32" s="105" t="s">
        <v>109</v>
      </c>
      <c r="L32" s="172">
        <f t="array" ref="L32">IF('RR Schedule (Adv)'!L33="","",LET(nm,'RR Results (Adv)'!$T:$T,g,'RR Results (Adv)'!$U:$AH,n,MATCH('RR Schedule (Adv)'!L33,{"7/20-7/22";"7/23-7/25";"7/26-7/28";"7/29-7/31";"8/1-8/3";"8/4-8/6";"8/7-8/9"},0),me,MATCH($K32,nm,0),IF(COUNT(INDEX(g,me,2*n))=1,INDEX(g,me,2*n),"")))</f>
        <v>22</v>
      </c>
      <c r="M32" s="172">
        <f t="array" ref="M32">IF('RR Schedule (Adv)'!M33="","",LET(nm,'RR Results (Adv)'!$T:$T,g,'RR Results (Adv)'!$U:$AH,n,MATCH('RR Schedule (Adv)'!M33,{"7/20-7/22";"7/23-7/25";"7/26-7/28";"7/29-7/31";"8/1-8/3";"8/4-8/6";"8/7-8/9"},0),me,MATCH($K32,nm,0),IF(COUNT(INDEX(g,me,2*n))=1,INDEX(g,me,2*n),"")))</f>
        <v>28</v>
      </c>
      <c r="N32" s="6">
        <f t="array" ref="N32">IF('RR Schedule (Adv)'!N33="","",LET(nm,'RR Results (Adv)'!$T:$T,g,'RR Results (Adv)'!$U:$AH,n,MATCH('RR Schedule (Adv)'!N33,{"7/20-7/22";"7/23-7/25";"7/26-7/28";"7/29-7/31";"8/1-8/3";"8/4-8/6";"8/7-8/9"},0),me,MATCH($K32,nm,0),IF(COUNT(INDEX(g,me,2*n))=1,INDEX(g,me,2*n),"")))</f>
        <v>0</v>
      </c>
      <c r="O32" s="6">
        <f t="array" ref="O32">IF('RR Schedule (Adv)'!O33="","",LET(nm,'RR Results (Adv)'!$T:$T,g,'RR Results (Adv)'!$U:$AH,n,MATCH('RR Schedule (Adv)'!O33,{"7/20-7/22";"7/23-7/25";"7/26-7/28";"7/29-7/31";"8/1-8/3";"8/4-8/6";"8/7-8/9"},0),me,MATCH($K32,nm,0),IF(COUNT(INDEX(g,me,2*n))=1,INDEX(g,me,2*n),"")))</f>
        <v>8</v>
      </c>
      <c r="P32" s="6">
        <f t="array" ref="P32">IF('RR Schedule (Adv)'!P33="","",LET(nm,'RR Results (Adv)'!$T:$T,g,'RR Results (Adv)'!$U:$AH,n,MATCH('RR Schedule (Adv)'!P33,{"7/20-7/22";"7/23-7/25";"7/26-7/28";"7/29-7/31";"8/1-8/3";"8/4-8/6";"8/7-8/9"},0),me,MATCH($K32,nm,0),IF(COUNT(INDEX(g,me,2*n))=1,INDEX(g,me,2*n),"")))</f>
        <v>4</v>
      </c>
      <c r="Q32" s="171" t="str">
        <f t="array" ref="Q32">IF('RR Schedule (Adv)'!Q33="","",LET(nm,'RR Results (Adv)'!$T:$T,g,'RR Results (Adv)'!$U:$AH,n,MATCH('RR Schedule (Adv)'!Q33,{"7/20-7/22";"7/23-7/25";"7/26-7/28";"7/29-7/31";"8/1-8/3";"8/4-8/6";"8/7-8/9"},0),me,MATCH($K32,nm,0),IF(COUNT(INDEX(g,me,2*n))=1,INDEX(g,me,2*n),"")))</f>
        <v/>
      </c>
      <c r="R32" s="6">
        <f t="array" ref="R32">IF('RR Schedule (Adv)'!R33="","",LET(nm,'RR Results (Adv)'!$T:$T,g,'RR Results (Adv)'!$U:$AH,n,MATCH('RR Schedule (Adv)'!R33,{"7/20-7/22";"7/23-7/25";"7/26-7/28";"7/29-7/31";"8/1-8/3";"8/4-8/6";"8/7-8/9"},0),me,MATCH($K32,nm,0),IF(COUNT(INDEX(g,me,2*n))=1,INDEX(g,me,2*n),"")))</f>
        <v>8</v>
      </c>
      <c r="S32" s="173">
        <f t="array" ref="S32">IF('RR Schedule (Adv)'!S33="","",LET(nm,'RR Results (Adv)'!$T:$T,g,'RR Results (Adv)'!$U:$AH,n,MATCH('RR Schedule (Adv)'!S33,{"7/20-7/22";"7/23-7/25";"7/26-7/28";"7/29-7/31";"8/1-8/3";"8/4-8/6";"8/7-8/9"},0),me,MATCH($K32,nm,0),IF(COUNT(INDEX(g,me,2*n))=1,INDEX(g,me,2*n),"")))</f>
        <v>28</v>
      </c>
      <c r="T32" s="55"/>
    </row>
    <row r="33" ht="19.5" customHeight="1">
      <c r="A33" s="90" t="s">
        <v>110</v>
      </c>
      <c r="B33" s="6">
        <f t="array" ref="B33">IF('RR Schedule (Adv)'!B34="","",LET(nm,'RR Results (Adv)'!$A:$A,g,'RR Results (Adv)'!$B:$O,n,MATCH('RR Schedule (Adv)'!B34,{"7/20-7/22";"7/23-7/25";"7/26-7/28";"7/29-7/31";"8/1-8/3";"8/4-8/6";"8/7-8/9"},0),me,MATCH($A33,nm,0),IF(COUNT(INDEX(g,me,2*n))=1,INDEX(g,me,2*n),"")))</f>
        <v>38</v>
      </c>
      <c r="C33" s="6">
        <f t="array" ref="C33">IF('RR Schedule (Adv)'!C34="","",LET(nm,'RR Results (Adv)'!$A:$A,g,'RR Results (Adv)'!$B:$O,n,MATCH('RR Schedule (Adv)'!C34,{"7/20-7/22";"7/23-7/25";"7/26-7/28";"7/29-7/31";"8/1-8/3";"8/4-8/6";"8/7-8/9"},0),me,MATCH($A33,nm,0),IF(COUNT(INDEX(g,me,2*n))=1,INDEX(g,me,2*n),"")))</f>
        <v>14</v>
      </c>
      <c r="D33" s="6">
        <f t="array" ref="D33">IF('RR Schedule (Adv)'!D34="","",LET(nm,'RR Results (Adv)'!$A:$A,g,'RR Results (Adv)'!$B:$O,n,MATCH('RR Schedule (Adv)'!D34,{"7/20-7/22";"7/23-7/25";"7/26-7/28";"7/29-7/31";"8/1-8/3";"8/4-8/6";"8/7-8/9"},0),me,MATCH($A33,nm,0),IF(COUNT(INDEX(g,me,2*n))=1,INDEX(g,me,2*n),"")))</f>
        <v>30</v>
      </c>
      <c r="E33" s="6">
        <f t="array" ref="E33">IF('RR Schedule (Adv)'!E34="","",LET(nm,'RR Results (Adv)'!$A:$A,g,'RR Results (Adv)'!$B:$O,n,MATCH('RR Schedule (Adv)'!E34,{"7/20-7/22";"7/23-7/25";"7/26-7/28";"7/29-7/31";"8/1-8/3";"8/4-8/6";"8/7-8/9"},0),me,MATCH($A33,nm,0),IF(COUNT(INDEX(g,me,2*n))=1,INDEX(g,me,2*n),"")))</f>
        <v>14</v>
      </c>
      <c r="F33" s="6">
        <f t="array" ref="F33">IF('RR Schedule (Adv)'!F34="","",LET(nm,'RR Results (Adv)'!$A:$A,g,'RR Results (Adv)'!$B:$O,n,MATCH('RR Schedule (Adv)'!F34,{"7/20-7/22";"7/23-7/25";"7/26-7/28";"7/29-7/31";"8/1-8/3";"8/4-8/6";"8/7-8/9"},0),me,MATCH($A33,nm,0),IF(COUNT(INDEX(g,me,2*n))=1,INDEX(g,me,2*n),"")))</f>
        <v>38</v>
      </c>
      <c r="G33" s="6">
        <f t="array" ref="G33">IF('RR Schedule (Adv)'!G34="","",LET(nm,'RR Results (Adv)'!$A:$A,g,'RR Results (Adv)'!$B:$O,n,MATCH('RR Schedule (Adv)'!G34,{"7/20-7/22";"7/23-7/25";"7/26-7/28";"7/29-7/31";"8/1-8/3";"8/4-8/6";"8/7-8/9"},0),me,MATCH($A33,nm,0),IF(COUNT(INDEX(g,me,2*n))=1,INDEX(g,me,2*n),"")))</f>
        <v>32</v>
      </c>
      <c r="H33" s="171" t="str">
        <f t="array" ref="H33">IF('RR Schedule (Adv)'!H34="","",LET(nm,'RR Results (Adv)'!$A:$A,g,'RR Results (Adv)'!$B:$O,n,MATCH('RR Schedule (Adv)'!H34,{"7/20-7/22";"7/23-7/25";"7/26-7/28";"7/29-7/31";"8/1-8/3";"8/4-8/6";"8/7-8/9"},0),me,MATCH($A33,nm,0),IF(COUNT(INDEX(g,me,2*n))=1,INDEX(g,me,2*n),"")))</f>
        <v/>
      </c>
      <c r="I33" s="173">
        <f t="array" ref="I33">IF('RR Schedule (Adv)'!I34="","",LET(nm,'RR Results (Adv)'!$A:$A,g,'RR Results (Adv)'!$B:$O,n,MATCH('RR Schedule (Adv)'!I34,{"7/20-7/22";"7/23-7/25";"7/26-7/28";"7/29-7/31";"8/1-8/3";"8/4-8/6";"8/7-8/9"},0),me,MATCH($A33,nm,0),IF(COUNT(INDEX(g,me,2*n))=1,INDEX(g,me,2*n),"")))</f>
        <v>18</v>
      </c>
      <c r="J33" s="113"/>
      <c r="K33" s="105" t="s">
        <v>58</v>
      </c>
      <c r="L33" s="6">
        <f t="array" ref="L33">IF('RR Schedule (Adv)'!L34="","",LET(nm,'RR Results (Adv)'!$T:$T,g,'RR Results (Adv)'!$U:$AH,n,MATCH('RR Schedule (Adv)'!L34,{"7/20-7/22";"7/23-7/25";"7/26-7/28";"7/29-7/31";"8/1-8/3";"8/4-8/6";"8/7-8/9"},0),me,MATCH($K33,nm,0),IF(COUNT(INDEX(g,me,2*n))=1,INDEX(g,me,2*n),"")))</f>
        <v>50</v>
      </c>
      <c r="M33" s="6">
        <f t="array" ref="M33">IF('RR Schedule (Adv)'!M34="","",LET(nm,'RR Results (Adv)'!$T:$T,g,'RR Results (Adv)'!$U:$AH,n,MATCH('RR Schedule (Adv)'!M34,{"7/20-7/22";"7/23-7/25";"7/26-7/28";"7/29-7/31";"8/1-8/3";"8/4-8/6";"8/7-8/9"},0),me,MATCH($K33,nm,0),IF(COUNT(INDEX(g,me,2*n))=1,INDEX(g,me,2*n),"")))</f>
        <v>18</v>
      </c>
      <c r="N33" s="6">
        <f t="array" ref="N33">IF('RR Schedule (Adv)'!N34="","",LET(nm,'RR Results (Adv)'!$T:$T,g,'RR Results (Adv)'!$U:$AH,n,MATCH('RR Schedule (Adv)'!N34,{"7/20-7/22";"7/23-7/25";"7/26-7/28";"7/29-7/31";"8/1-8/3";"8/4-8/6";"8/7-8/9"},0),me,MATCH($K33,nm,0),IF(COUNT(INDEX(g,me,2*n))=1,INDEX(g,me,2*n),"")))</f>
        <v>54</v>
      </c>
      <c r="O33" s="6">
        <f t="array" ref="O33">IF('RR Schedule (Adv)'!O34="","",LET(nm,'RR Results (Adv)'!$T:$T,g,'RR Results (Adv)'!$U:$AH,n,MATCH('RR Schedule (Adv)'!O34,{"7/20-7/22";"7/23-7/25";"7/26-7/28";"7/29-7/31";"8/1-8/3";"8/4-8/6";"8/7-8/9"},0),me,MATCH($K33,nm,0),IF(COUNT(INDEX(g,me,2*n))=1,INDEX(g,me,2*n),"")))</f>
        <v>8</v>
      </c>
      <c r="P33" s="6">
        <f t="array" ref="P33">IF('RR Schedule (Adv)'!P34="","",LET(nm,'RR Results (Adv)'!$T:$T,g,'RR Results (Adv)'!$U:$AH,n,MATCH('RR Schedule (Adv)'!P34,{"7/20-7/22";"7/23-7/25";"7/26-7/28";"7/29-7/31";"8/1-8/3";"8/4-8/6";"8/7-8/9"},0),me,MATCH($K33,nm,0),IF(COUNT(INDEX(g,me,2*n))=1,INDEX(g,me,2*n),"")))</f>
        <v>34</v>
      </c>
      <c r="Q33" s="6">
        <f t="array" ref="Q33">IF('RR Schedule (Adv)'!Q34="","",LET(nm,'RR Results (Adv)'!$T:$T,g,'RR Results (Adv)'!$U:$AH,n,MATCH('RR Schedule (Adv)'!Q34,{"7/20-7/22";"7/23-7/25";"7/26-7/28";"7/29-7/31";"8/1-8/3";"8/4-8/6";"8/7-8/9"},0),me,MATCH($K33,nm,0),IF(COUNT(INDEX(g,me,2*n))=1,INDEX(g,me,2*n),"")))</f>
        <v>44</v>
      </c>
      <c r="R33" s="171" t="str">
        <f t="array" ref="R33">IF('RR Schedule (Adv)'!R34="","",LET(nm,'RR Results (Adv)'!$T:$T,g,'RR Results (Adv)'!$U:$AH,n,MATCH('RR Schedule (Adv)'!R34,{"7/20-7/22";"7/23-7/25";"7/26-7/28";"7/29-7/31";"8/1-8/3";"8/4-8/6";"8/7-8/9"},0),me,MATCH($K33,nm,0),IF(COUNT(INDEX(g,me,2*n))=1,INDEX(g,me,2*n),"")))</f>
        <v/>
      </c>
      <c r="S33" s="173">
        <f t="array" ref="S33">IF('RR Schedule (Adv)'!S34="","",LET(nm,'RR Results (Adv)'!$T:$T,g,'RR Results (Adv)'!$U:$AH,n,MATCH('RR Schedule (Adv)'!S34,{"7/20-7/22";"7/23-7/25";"7/26-7/28";"7/29-7/31";"8/1-8/3";"8/4-8/6";"8/7-8/9"},0),me,MATCH($K33,nm,0),IF(COUNT(INDEX(g,me,2*n))=1,INDEX(g,me,2*n),"")))</f>
        <v>30</v>
      </c>
      <c r="T33" s="55"/>
    </row>
    <row r="34" ht="19.5" customHeight="1">
      <c r="A34" s="143" t="s">
        <v>59</v>
      </c>
      <c r="B34" s="27">
        <f t="array" ref="B34">IF('RR Schedule (Adv)'!B35="","",LET(nm,'RR Results (Adv)'!$A:$A,g,'RR Results (Adv)'!$B:$O,n,MATCH('RR Schedule (Adv)'!B35,{"7/20-7/22";"7/23-7/25";"7/26-7/28";"7/29-7/31";"8/1-8/3";"8/4-8/6";"8/7-8/9"},0),me,MATCH($A34,nm,0),IF(COUNT(INDEX(g,me,2*n))=1,INDEX(g,me,2*n),"")))</f>
        <v>48</v>
      </c>
      <c r="C34" s="27">
        <f t="array" ref="C34">IF('RR Schedule (Adv)'!C35="","",LET(nm,'RR Results (Adv)'!$A:$A,g,'RR Results (Adv)'!$B:$O,n,MATCH('RR Schedule (Adv)'!C35,{"7/20-7/22";"7/23-7/25";"7/26-7/28";"7/29-7/31";"8/1-8/3";"8/4-8/6";"8/7-8/9"},0),me,MATCH($A34,nm,0),IF(COUNT(INDEX(g,me,2*n))=1,INDEX(g,me,2*n),"")))</f>
        <v>26</v>
      </c>
      <c r="D34" s="27">
        <f t="array" ref="D34">IF('RR Schedule (Adv)'!D35="","",LET(nm,'RR Results (Adv)'!$A:$A,g,'RR Results (Adv)'!$B:$O,n,MATCH('RR Schedule (Adv)'!D35,{"7/20-7/22";"7/23-7/25";"7/26-7/28";"7/29-7/31";"8/1-8/3";"8/4-8/6";"8/7-8/9"},0),me,MATCH($A34,nm,0),IF(COUNT(INDEX(g,me,2*n))=1,INDEX(g,me,2*n),"")))</f>
        <v>18</v>
      </c>
      <c r="E34" s="27">
        <f t="array" ref="E34">IF('RR Schedule (Adv)'!E35="","",LET(nm,'RR Results (Adv)'!$A:$A,g,'RR Results (Adv)'!$B:$O,n,MATCH('RR Schedule (Adv)'!E35,{"7/20-7/22";"7/23-7/25";"7/26-7/28";"7/29-7/31";"8/1-8/3";"8/4-8/6";"8/7-8/9"},0),me,MATCH($A34,nm,0),IF(COUNT(INDEX(g,me,2*n))=1,INDEX(g,me,2*n),"")))</f>
        <v>38</v>
      </c>
      <c r="F34" s="27">
        <f t="array" ref="F34">IF('RR Schedule (Adv)'!F35="","",LET(nm,'RR Results (Adv)'!$A:$A,g,'RR Results (Adv)'!$B:$O,n,MATCH('RR Schedule (Adv)'!F35,{"7/20-7/22";"7/23-7/25";"7/26-7/28";"7/29-7/31";"8/1-8/3";"8/4-8/6";"8/7-8/9"},0),me,MATCH($A34,nm,0),IF(COUNT(INDEX(g,me,2*n))=1,INDEX(g,me,2*n),"")))</f>
        <v>40</v>
      </c>
      <c r="G34" s="27">
        <f t="array" ref="G34">IF('RR Schedule (Adv)'!G35="","",LET(nm,'RR Results (Adv)'!$A:$A,g,'RR Results (Adv)'!$B:$O,n,MATCH('RR Schedule (Adv)'!G35,{"7/20-7/22";"7/23-7/25";"7/26-7/28";"7/29-7/31";"8/1-8/3";"8/4-8/6";"8/7-8/9"},0),me,MATCH($A34,nm,0),IF(COUNT(INDEX(g,me,2*n))=1,INDEX(g,me,2*n),"")))</f>
        <v>32</v>
      </c>
      <c r="H34" s="27">
        <f t="array" ref="H34">IF('RR Schedule (Adv)'!H35="","",LET(nm,'RR Results (Adv)'!$A:$A,g,'RR Results (Adv)'!$B:$O,n,MATCH('RR Schedule (Adv)'!H35,{"7/20-7/22";"7/23-7/25";"7/26-7/28";"7/29-7/31";"8/1-8/3";"8/4-8/6";"8/7-8/9"},0),me,MATCH($A34,nm,0),IF(COUNT(INDEX(g,me,2*n))=1,INDEX(g,me,2*n),"")))</f>
        <v>32</v>
      </c>
      <c r="I34" s="176" t="str">
        <f t="array" ref="I34">IF('RR Schedule (Adv)'!I35="","",LET(nm,'RR Results (Adv)'!$A:$A,g,'RR Results (Adv)'!$B:$O,n,MATCH('RR Schedule (Adv)'!I35,{"7/20-7/22";"7/23-7/25";"7/26-7/28";"7/29-7/31";"8/1-8/3";"8/4-8/6";"8/7-8/9"},0),me,MATCH($A34,nm,0),IF(COUNT(INDEX(g,me,2*n))=1,INDEX(g,me,2*n),"")))</f>
        <v/>
      </c>
      <c r="J34" s="113"/>
      <c r="K34" s="143" t="s">
        <v>111</v>
      </c>
      <c r="L34" s="27">
        <f t="array" ref="L34">IF('RR Schedule (Adv)'!L35="","",LET(nm,'RR Results (Adv)'!$T:$T,g,'RR Results (Adv)'!$U:$AH,n,MATCH('RR Schedule (Adv)'!L35,{"7/20-7/22";"7/23-7/25";"7/26-7/28";"7/29-7/31";"8/1-8/3";"8/4-8/6";"8/7-8/9"},0),me,MATCH($K34,nm,0),IF(COUNT(INDEX(g,me,2*n))=1,INDEX(g,me,2*n),"")))</f>
        <v>10</v>
      </c>
      <c r="M34" s="27">
        <f t="array" ref="M34">IF('RR Schedule (Adv)'!M35="","",LET(nm,'RR Results (Adv)'!$T:$T,g,'RR Results (Adv)'!$U:$AH,n,MATCH('RR Schedule (Adv)'!M35,{"7/20-7/22";"7/23-7/25";"7/26-7/28";"7/29-7/31";"8/1-8/3";"8/4-8/6";"8/7-8/9"},0),me,MATCH($K34,nm,0),IF(COUNT(INDEX(g,me,2*n))=1,INDEX(g,me,2*n),"")))</f>
        <v>16</v>
      </c>
      <c r="N34" s="27">
        <f t="array" ref="N34">IF('RR Schedule (Adv)'!N35="","",LET(nm,'RR Results (Adv)'!$T:$T,g,'RR Results (Adv)'!$U:$AH,n,MATCH('RR Schedule (Adv)'!N35,{"7/20-7/22";"7/23-7/25";"7/26-7/28";"7/29-7/31";"8/1-8/3";"8/4-8/6";"8/7-8/9"},0),me,MATCH($K34,nm,0),IF(COUNT(INDEX(g,me,2*n))=1,INDEX(g,me,2*n),"")))</f>
        <v>30</v>
      </c>
      <c r="O34" s="27">
        <f t="array" ref="O34">IF('RR Schedule (Adv)'!O35="","",LET(nm,'RR Results (Adv)'!$T:$T,g,'RR Results (Adv)'!$U:$AH,n,MATCH('RR Schedule (Adv)'!O35,{"7/20-7/22";"7/23-7/25";"7/26-7/28";"7/29-7/31";"8/1-8/3";"8/4-8/6";"8/7-8/9"},0),me,MATCH($K34,nm,0),IF(COUNT(INDEX(g,me,2*n))=1,INDEX(g,me,2*n),"")))</f>
        <v>10</v>
      </c>
      <c r="P34" s="27">
        <f t="array" ref="P34">IF('RR Schedule (Adv)'!P35="","",LET(nm,'RR Results (Adv)'!$T:$T,g,'RR Results (Adv)'!$U:$AH,n,MATCH('RR Schedule (Adv)'!P35,{"7/20-7/22";"7/23-7/25";"7/26-7/28";"7/29-7/31";"8/1-8/3";"8/4-8/6";"8/7-8/9"},0),me,MATCH($K34,nm,0),IF(COUNT(INDEX(g,me,2*n))=1,INDEX(g,me,2*n),"")))</f>
        <v>22</v>
      </c>
      <c r="Q34" s="27">
        <f t="array" ref="Q34">IF('RR Schedule (Adv)'!Q35="","",LET(nm,'RR Results (Adv)'!$T:$T,g,'RR Results (Adv)'!$U:$AH,n,MATCH('RR Schedule (Adv)'!Q35,{"7/20-7/22";"7/23-7/25";"7/26-7/28";"7/29-7/31";"8/1-8/3";"8/4-8/6";"8/7-8/9"},0),me,MATCH($K34,nm,0),IF(COUNT(INDEX(g,me,2*n))=1,INDEX(g,me,2*n),"")))</f>
        <v>30</v>
      </c>
      <c r="R34" s="27">
        <f t="array" ref="R34">IF('RR Schedule (Adv)'!R35="","",LET(nm,'RR Results (Adv)'!$T:$T,g,'RR Results (Adv)'!$U:$AH,n,MATCH('RR Schedule (Adv)'!R35,{"7/20-7/22";"7/23-7/25";"7/26-7/28";"7/29-7/31";"8/1-8/3";"8/4-8/6";"8/7-8/9"},0),me,MATCH($K34,nm,0),IF(COUNT(INDEX(g,me,2*n))=1,INDEX(g,me,2*n),"")))</f>
        <v>34</v>
      </c>
      <c r="S34" s="176" t="str">
        <f t="array" ref="S34">IF('RR Schedule (Adv)'!S35="","",LET(nm,'RR Results (Adv)'!$T:$T,g,'RR Results (Adv)'!$U:$AH,n,MATCH('RR Schedule (Adv)'!S35,{"7/20-7/22";"7/23-7/25";"7/26-7/28";"7/29-7/31";"8/1-8/3";"8/4-8/6";"8/7-8/9"},0),me,MATCH($K34,nm,0),IF(COUNT(INDEX(g,me,2*n))=1,INDEX(g,me,2*n),"")))</f>
        <v/>
      </c>
      <c r="T34" s="55"/>
    </row>
    <row r="35" ht="19.5" customHeight="1">
      <c r="A35" s="55"/>
      <c r="B35" s="55"/>
      <c r="C35" s="55"/>
      <c r="D35" s="55"/>
      <c r="F35" s="55"/>
      <c r="G35" s="55"/>
      <c r="I35" s="55"/>
      <c r="J35" s="55"/>
      <c r="K35" s="55"/>
      <c r="L35" s="55"/>
      <c r="N35" s="55"/>
      <c r="O35" s="55"/>
      <c r="P35" s="55"/>
      <c r="Q35" s="55"/>
      <c r="R35" s="55"/>
      <c r="S35" s="55"/>
      <c r="T35" s="55"/>
    </row>
    <row r="36" ht="19.5" customHeight="1">
      <c r="A36" s="55"/>
      <c r="B36" s="55"/>
      <c r="C36" s="55"/>
      <c r="D36" s="55"/>
      <c r="E36" s="55"/>
      <c r="G36" s="55"/>
      <c r="I36" s="55"/>
      <c r="J36" s="55"/>
      <c r="K36" s="55"/>
      <c r="L36" s="55"/>
      <c r="M36" s="55"/>
      <c r="O36" s="55"/>
      <c r="P36" s="55"/>
      <c r="Q36" s="55"/>
      <c r="R36" s="55"/>
      <c r="S36" s="55"/>
      <c r="T36" s="55"/>
    </row>
    <row r="37" ht="19.5" customHeight="1">
      <c r="A37" s="55"/>
      <c r="B37" s="55"/>
      <c r="C37" s="55"/>
      <c r="D37" s="55"/>
      <c r="E37" s="55"/>
      <c r="F37" s="55"/>
      <c r="J37" s="55"/>
      <c r="K37" s="55"/>
      <c r="L37" s="55"/>
      <c r="M37" s="55"/>
      <c r="N37" s="55"/>
      <c r="P37" s="55"/>
      <c r="Q37" s="55"/>
      <c r="R37" s="55"/>
      <c r="S37" s="55"/>
      <c r="T37" s="55"/>
    </row>
    <row r="38" ht="19.5" customHeight="1">
      <c r="A38" s="88"/>
      <c r="B38" s="88"/>
      <c r="C38" s="88"/>
      <c r="D38" s="88"/>
      <c r="E38" s="88"/>
      <c r="F38" s="88"/>
      <c r="G38" s="145"/>
      <c r="H38" s="145"/>
      <c r="I38" s="88"/>
      <c r="J38" s="140"/>
      <c r="K38" s="140"/>
      <c r="L38" s="140"/>
      <c r="M38" s="140"/>
      <c r="P38" s="55"/>
      <c r="Q38" s="55"/>
      <c r="R38" s="55"/>
      <c r="S38" s="55"/>
      <c r="T38" s="55"/>
    </row>
    <row r="39" ht="19.5" customHeight="1">
      <c r="A39" s="88"/>
      <c r="B39" s="88"/>
      <c r="C39" s="88"/>
      <c r="D39" s="88"/>
      <c r="E39" s="88"/>
      <c r="F39" s="88"/>
      <c r="G39" s="145"/>
      <c r="H39" s="145"/>
      <c r="I39" s="88"/>
      <c r="J39" s="140"/>
      <c r="K39" s="140"/>
      <c r="L39" s="140"/>
      <c r="M39" s="140"/>
      <c r="P39" s="55"/>
      <c r="Q39" s="55"/>
      <c r="R39" s="55"/>
      <c r="S39" s="55"/>
      <c r="T39" s="55"/>
    </row>
    <row r="40" ht="19.5" customHeight="1">
      <c r="A40" s="88"/>
      <c r="B40" s="88"/>
      <c r="C40" s="88"/>
      <c r="D40" s="88"/>
      <c r="E40" s="88"/>
      <c r="F40" s="88"/>
      <c r="G40" s="145"/>
      <c r="H40" s="145"/>
      <c r="I40" s="88"/>
      <c r="J40" s="140"/>
      <c r="K40" s="140"/>
      <c r="L40" s="140"/>
      <c r="M40" s="140"/>
      <c r="P40" s="55"/>
      <c r="Q40" s="55"/>
      <c r="R40" s="55"/>
      <c r="S40" s="55"/>
      <c r="T40" s="55"/>
    </row>
    <row r="41" ht="19.5" customHeight="1">
      <c r="A41" s="88"/>
      <c r="B41" s="88"/>
      <c r="C41" s="88"/>
      <c r="D41" s="88"/>
      <c r="E41" s="88"/>
      <c r="F41" s="88"/>
      <c r="G41" s="145"/>
      <c r="H41" s="145"/>
      <c r="I41" s="88"/>
      <c r="J41" s="140"/>
      <c r="K41" s="140"/>
      <c r="L41" s="140"/>
      <c r="M41" s="140"/>
      <c r="P41" s="55"/>
      <c r="Q41" s="55"/>
      <c r="R41" s="55"/>
      <c r="S41" s="55"/>
      <c r="T41" s="55"/>
    </row>
    <row r="42" ht="19.5" customHeight="1">
      <c r="A42" s="88"/>
      <c r="B42" s="88"/>
      <c r="C42" s="88"/>
      <c r="D42" s="88"/>
      <c r="E42" s="88"/>
      <c r="F42" s="88"/>
      <c r="G42" s="145"/>
      <c r="H42" s="145"/>
      <c r="I42" s="88"/>
      <c r="J42" s="140"/>
      <c r="K42" s="140"/>
      <c r="L42" s="140"/>
      <c r="M42" s="140"/>
      <c r="P42" s="55"/>
      <c r="Q42" s="55"/>
      <c r="R42" s="55"/>
      <c r="S42" s="55"/>
      <c r="T42" s="55"/>
    </row>
    <row r="43" ht="19.5" customHeight="1">
      <c r="A43" s="88"/>
      <c r="B43" s="88"/>
      <c r="C43" s="88"/>
      <c r="D43" s="88"/>
      <c r="E43" s="88"/>
      <c r="F43" s="88"/>
      <c r="G43" s="145"/>
      <c r="H43" s="145"/>
      <c r="I43" s="88"/>
      <c r="J43" s="140"/>
      <c r="K43" s="140"/>
      <c r="L43" s="140"/>
      <c r="M43" s="140"/>
      <c r="N43" s="140"/>
      <c r="O43" s="145"/>
      <c r="P43" s="146"/>
      <c r="Q43" s="146"/>
      <c r="R43" s="146"/>
      <c r="S43" s="146"/>
      <c r="T43" s="146"/>
    </row>
    <row r="44" ht="19.5" customHeight="1">
      <c r="A44" s="88"/>
      <c r="B44" s="88"/>
      <c r="C44" s="88"/>
      <c r="D44" s="88"/>
      <c r="E44" s="88"/>
      <c r="F44" s="88"/>
      <c r="G44" s="145"/>
      <c r="H44" s="145"/>
      <c r="I44" s="88"/>
      <c r="J44" s="140"/>
      <c r="K44" s="140"/>
      <c r="L44" s="140"/>
      <c r="M44" s="140"/>
      <c r="N44" s="140"/>
      <c r="O44" s="145"/>
      <c r="P44" s="146"/>
      <c r="Q44" s="146"/>
      <c r="R44" s="146"/>
      <c r="S44" s="146"/>
      <c r="T44" s="146"/>
    </row>
    <row r="45" ht="19.5" customHeight="1">
      <c r="A45" s="88"/>
      <c r="B45" s="88"/>
      <c r="C45" s="88"/>
      <c r="D45" s="88"/>
      <c r="E45" s="88"/>
      <c r="F45" s="88"/>
      <c r="G45" s="145"/>
      <c r="H45" s="145"/>
      <c r="I45" s="88"/>
      <c r="J45" s="140"/>
      <c r="K45" s="140"/>
      <c r="L45" s="140"/>
      <c r="M45" s="140"/>
      <c r="N45" s="140"/>
      <c r="O45" s="145"/>
      <c r="P45" s="146"/>
      <c r="Q45" s="146"/>
      <c r="R45" s="146"/>
      <c r="S45" s="146"/>
      <c r="T45" s="146"/>
    </row>
    <row r="46" ht="19.5" customHeight="1">
      <c r="A46" s="88"/>
      <c r="B46" s="88"/>
      <c r="C46" s="88"/>
      <c r="D46" s="88"/>
      <c r="E46" s="88"/>
      <c r="F46" s="88"/>
      <c r="G46" s="145"/>
      <c r="H46" s="145"/>
      <c r="I46" s="88"/>
      <c r="J46" s="140"/>
      <c r="K46" s="140"/>
      <c r="L46" s="140"/>
      <c r="M46" s="140"/>
      <c r="N46" s="140"/>
      <c r="O46" s="145"/>
      <c r="P46" s="146"/>
      <c r="Q46" s="146"/>
      <c r="R46" s="146"/>
      <c r="S46" s="146"/>
      <c r="T46" s="146"/>
    </row>
    <row r="47" ht="19.5" customHeight="1">
      <c r="A47" s="88"/>
      <c r="B47" s="88"/>
      <c r="C47" s="88"/>
      <c r="D47" s="88"/>
      <c r="E47" s="88"/>
      <c r="F47" s="88"/>
      <c r="G47" s="145"/>
      <c r="H47" s="145"/>
      <c r="I47" s="88"/>
      <c r="J47" s="140"/>
      <c r="K47" s="140"/>
      <c r="L47" s="140"/>
      <c r="M47" s="140"/>
      <c r="N47" s="140"/>
      <c r="O47" s="145"/>
      <c r="P47" s="146"/>
      <c r="Q47" s="146"/>
      <c r="R47" s="146"/>
      <c r="S47" s="146"/>
      <c r="T47" s="146"/>
    </row>
    <row r="48" ht="19.5" customHeight="1">
      <c r="A48" s="88"/>
      <c r="B48" s="88"/>
      <c r="C48" s="88"/>
      <c r="D48" s="88"/>
      <c r="E48" s="88"/>
      <c r="F48" s="88"/>
      <c r="G48" s="145"/>
      <c r="H48" s="145"/>
      <c r="I48" s="88"/>
      <c r="J48" s="140"/>
      <c r="K48" s="140"/>
      <c r="L48" s="140"/>
      <c r="M48" s="140"/>
      <c r="N48" s="140"/>
      <c r="O48" s="145"/>
      <c r="P48" s="146"/>
      <c r="Q48" s="146"/>
      <c r="R48" s="146"/>
      <c r="S48" s="146"/>
      <c r="T48" s="146"/>
    </row>
    <row r="49" ht="19.5" customHeight="1">
      <c r="A49" s="88"/>
      <c r="B49" s="88"/>
      <c r="C49" s="88"/>
      <c r="D49" s="88"/>
      <c r="E49" s="88"/>
      <c r="F49" s="88"/>
      <c r="G49" s="145"/>
      <c r="H49" s="145"/>
      <c r="I49" s="88"/>
      <c r="J49" s="140"/>
      <c r="K49" s="140"/>
      <c r="L49" s="140"/>
      <c r="M49" s="140"/>
      <c r="N49" s="140"/>
      <c r="O49" s="145"/>
      <c r="P49" s="146"/>
      <c r="Q49" s="146"/>
      <c r="R49" s="146"/>
      <c r="S49" s="146"/>
      <c r="T49" s="146"/>
    </row>
    <row r="50" ht="19.5" customHeight="1">
      <c r="A50" s="88"/>
      <c r="B50" s="88"/>
      <c r="C50" s="88"/>
      <c r="D50" s="88"/>
      <c r="E50" s="88"/>
      <c r="F50" s="88"/>
      <c r="G50" s="145"/>
      <c r="H50" s="145"/>
      <c r="I50" s="88"/>
      <c r="J50" s="140"/>
      <c r="K50" s="140"/>
      <c r="L50" s="140"/>
      <c r="M50" s="140"/>
      <c r="N50" s="140"/>
      <c r="O50" s="149"/>
      <c r="P50" s="150"/>
      <c r="Q50" s="150"/>
      <c r="R50" s="150"/>
      <c r="S50" s="150"/>
      <c r="T50" s="150"/>
    </row>
    <row r="51" ht="19.5" customHeight="1">
      <c r="A51" s="88"/>
      <c r="B51" s="88"/>
      <c r="C51" s="88"/>
      <c r="D51" s="88"/>
      <c r="E51" s="88"/>
      <c r="F51" s="88"/>
      <c r="G51" s="145"/>
      <c r="H51" s="145"/>
      <c r="I51" s="88"/>
      <c r="J51" s="140"/>
      <c r="K51" s="140"/>
      <c r="L51" s="140"/>
      <c r="M51" s="140"/>
      <c r="N51" s="140"/>
      <c r="O51" s="149"/>
      <c r="P51" s="151"/>
      <c r="Q51" s="151"/>
      <c r="R51" s="151"/>
      <c r="S51" s="151"/>
      <c r="T51" s="151"/>
    </row>
    <row r="52" ht="19.5" customHeight="1">
      <c r="A52" s="88"/>
      <c r="B52" s="88"/>
      <c r="C52" s="88"/>
      <c r="D52" s="88"/>
      <c r="E52" s="88"/>
      <c r="F52" s="88"/>
      <c r="G52" s="145"/>
      <c r="H52" s="145"/>
      <c r="I52" s="88"/>
      <c r="J52" s="140"/>
      <c r="K52" s="140"/>
      <c r="L52" s="140"/>
      <c r="M52" s="140"/>
      <c r="N52" s="140"/>
      <c r="O52" s="149"/>
      <c r="P52" s="151"/>
      <c r="Q52" s="151"/>
      <c r="R52" s="151"/>
      <c r="S52" s="151"/>
      <c r="T52" s="151"/>
    </row>
    <row r="53" ht="19.5" customHeight="1">
      <c r="A53" s="88"/>
      <c r="B53" s="88"/>
      <c r="C53" s="88"/>
      <c r="D53" s="88"/>
      <c r="E53" s="88"/>
      <c r="F53" s="88"/>
      <c r="G53" s="145"/>
      <c r="H53" s="145"/>
      <c r="I53" s="88"/>
      <c r="J53" s="140"/>
      <c r="K53" s="140"/>
      <c r="L53" s="140"/>
      <c r="M53" s="140"/>
      <c r="N53" s="140"/>
      <c r="O53" s="145"/>
      <c r="P53" s="151"/>
      <c r="Q53" s="151"/>
      <c r="R53" s="151"/>
      <c r="S53" s="151"/>
      <c r="T53" s="151"/>
    </row>
    <row r="54" ht="19.5" customHeight="1">
      <c r="A54" s="88"/>
      <c r="B54" s="88"/>
      <c r="C54" s="88"/>
      <c r="D54" s="88"/>
      <c r="E54" s="88"/>
      <c r="F54" s="88"/>
      <c r="G54" s="145"/>
      <c r="H54" s="145"/>
      <c r="I54" s="88"/>
      <c r="J54" s="140"/>
      <c r="K54" s="140"/>
      <c r="L54" s="140"/>
      <c r="M54" s="140"/>
      <c r="N54" s="140"/>
      <c r="O54" s="145"/>
      <c r="P54" s="151"/>
      <c r="Q54" s="151"/>
      <c r="R54" s="151"/>
      <c r="S54" s="151"/>
      <c r="T54" s="151"/>
    </row>
  </sheetData>
  <mergeCells count="7">
    <mergeCell ref="A1:R1"/>
    <mergeCell ref="A3:I3"/>
    <mergeCell ref="K3:S3"/>
    <mergeCell ref="A14:I14"/>
    <mergeCell ref="K14:S14"/>
    <mergeCell ref="A25:I25"/>
    <mergeCell ref="K25:S25"/>
  </mergeCells>
  <conditionalFormatting sqref="B5:I12">
    <cfRule type="expression" dxfId="6" priority="1">
      <formula>B5 &gt; INDIRECT(ADDRESS(COLUMN(B5) + 3, ROW(B5) - 3))</formula>
    </cfRule>
  </conditionalFormatting>
  <conditionalFormatting sqref="B5:I12">
    <cfRule type="expression" dxfId="7" priority="2">
      <formula>B5 &lt; INDIRECT(ADDRESS(COLUMN(B5) + 3, ROW(B5) - 3))</formula>
    </cfRule>
  </conditionalFormatting>
  <conditionalFormatting sqref="B5:I12">
    <cfRule type="expression" dxfId="8" priority="3">
      <formula>"AND(B5 = INDIRECT(ADDRESS(COLUMN(B5) + 3, ROW(B5) - 3))), NOT(EMPTY()))"</formula>
    </cfRule>
  </conditionalFormatting>
  <conditionalFormatting sqref="B16:I23">
    <cfRule type="expression" dxfId="6" priority="4">
      <formula>B16 &gt; INDIRECT(ADDRESS(COLUMN(B16) + 14, ROW(B16) - 14))</formula>
    </cfRule>
  </conditionalFormatting>
  <conditionalFormatting sqref="B16:I23">
    <cfRule type="expression" dxfId="7" priority="5">
      <formula>B16 &lt; INDIRECT(ADDRESS(COLUMN(B16) + 14, ROW(B16) - 14))</formula>
    </cfRule>
  </conditionalFormatting>
  <conditionalFormatting sqref="B16:I23">
    <cfRule type="expression" dxfId="8" priority="6">
      <formula>AND(NOT(EMPTY()), B16 = INDIRECT(ADDRESS(COLUMN(B16) + 14, ROW(B16) - 14)))</formula>
    </cfRule>
  </conditionalFormatting>
  <conditionalFormatting sqref="B27:I34">
    <cfRule type="expression" dxfId="6" priority="7">
      <formula>B27 &gt; INDIRECT(ADDRESS(COLUMN(B27) + 25, ROW(B27) - 25))</formula>
    </cfRule>
  </conditionalFormatting>
  <conditionalFormatting sqref="B27:I34">
    <cfRule type="expression" dxfId="7" priority="8">
      <formula>B27 &lt; INDIRECT(ADDRESS(COLUMN(B27) + 25, ROW(B27) - 25))</formula>
    </cfRule>
  </conditionalFormatting>
  <conditionalFormatting sqref="B27:I34">
    <cfRule type="expression" dxfId="8" priority="9">
      <formula>AND(NOT(EMPTY()), B27 = INDIRECT(ADDRESS(COLUMN(B27) + 25, ROW(B27) - 25)))</formula>
    </cfRule>
  </conditionalFormatting>
  <conditionalFormatting sqref="L5:S12">
    <cfRule type="expression" dxfId="6" priority="10">
      <formula>L5 &gt; INDIRECT(ADDRESS(COLUMN(L5) - 7, ROW(L5) + 7))</formula>
    </cfRule>
  </conditionalFormatting>
  <conditionalFormatting sqref="L5:S12">
    <cfRule type="expression" dxfId="7" priority="11">
      <formula>L5 &lt; INDIRECT(ADDRESS(COLUMN(L5) - 7, ROW(L5) + 7))</formula>
    </cfRule>
  </conditionalFormatting>
  <conditionalFormatting sqref="L5:S12">
    <cfRule type="expression" dxfId="8" priority="12">
      <formula>AND(NOT(EMPTY()), L5 = INDIRECT(ADDRESS(COLUMN(L5) - 7, ROW(L5) + 7)))</formula>
    </cfRule>
  </conditionalFormatting>
  <conditionalFormatting sqref="L16:S23">
    <cfRule type="expression" dxfId="6" priority="13">
      <formula>L16 &gt; INDIRECT(ADDRESS(COLUMN(L16) + 4, ROW(L16) - 4))</formula>
    </cfRule>
  </conditionalFormatting>
  <conditionalFormatting sqref="L16:S23">
    <cfRule type="expression" dxfId="7" priority="14">
      <formula>L16 &lt; INDIRECT(ADDRESS(COLUMN(L16) + 4, ROW(L16) - 4))</formula>
    </cfRule>
  </conditionalFormatting>
  <conditionalFormatting sqref="L16:S23">
    <cfRule type="expression" dxfId="8" priority="15">
      <formula>AND(NOT(EMPTY()), L16 = INDIRECT(ADDRESS(COLUMN(L16) + 4, ROW(L16) - 4)))</formula>
    </cfRule>
  </conditionalFormatting>
  <conditionalFormatting sqref="L27:S34">
    <cfRule type="expression" dxfId="6" priority="16">
      <formula>L27 &gt; INDIRECT(ADDRESS(COLUMN(L27) + 15, ROW(L27) - 15))</formula>
    </cfRule>
  </conditionalFormatting>
  <conditionalFormatting sqref="L27:S34">
    <cfRule type="expression" dxfId="7" priority="17">
      <formula>L27 &lt; INDIRECT(ADDRESS(COLUMN(L27) + 15, ROW(L27) - 15))</formula>
    </cfRule>
  </conditionalFormatting>
  <conditionalFormatting sqref="L27:S34">
    <cfRule type="expression" dxfId="8" priority="18">
      <formula>AND(NOT(EMPTY()), L27 = INDIRECT(ADDRESS(COLUMN(L27) + 15, ROW(L27) - 15)))</formula>
    </cfRule>
  </conditionalFormatting>
  <drawing r:id="rId1"/>
</worksheet>
</file>