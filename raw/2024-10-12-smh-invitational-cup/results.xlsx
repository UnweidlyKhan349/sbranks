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ament Schedule" sheetId="1" r:id="rId5"/>
    <sheet state="visible" name="Round Robin Groups" sheetId="2" r:id="rId6"/>
    <sheet state="visible" name="Round Robin Scoring" sheetId="3" r:id="rId7"/>
    <sheet state="visible" name="DE Seeding" sheetId="4" r:id="rId8"/>
    <sheet state="visible" name="Double Elimination Bracket" sheetId="5" r:id="rId9"/>
    <sheet state="visible" name="Individual Biology Stats" sheetId="6" r:id="rId10"/>
    <sheet state="visible" name="Individual Chemistry Stats" sheetId="7" r:id="rId11"/>
    <sheet state="visible" name="Individual Physics Stats" sheetId="8" r:id="rId12"/>
    <sheet state="visible" name="Individual Earth and Space Stat" sheetId="9" r:id="rId13"/>
    <sheet state="visible" name="Individual Math Stats" sheetId="10" r:id="rId14"/>
    <sheet state="visible" name="Individual Overall Stats" sheetId="11" r:id="rId15"/>
    <sheet state="visible" name="Team Biology Stats" sheetId="12" r:id="rId16"/>
    <sheet state="visible" name="Team Chemistry Stats" sheetId="13" r:id="rId17"/>
    <sheet state="visible" name="Team Physics Stats" sheetId="14" r:id="rId18"/>
    <sheet state="visible" name="Team ESS Stats" sheetId="15" r:id="rId19"/>
    <sheet state="visible" name="Team Math Stats" sheetId="16" r:id="rId20"/>
    <sheet state="visible" name="Team Overall Stats" sheetId="17" r:id="rId21"/>
    <sheet state="hidden" name="Performance Distribution Graphs" sheetId="18" r:id="rId22"/>
  </sheets>
  <definedNames/>
  <calcPr/>
</workbook>
</file>

<file path=xl/sharedStrings.xml><?xml version="1.0" encoding="utf-8"?>
<sst xmlns="http://schemas.openxmlformats.org/spreadsheetml/2006/main" count="2083" uniqueCount="477">
  <si>
    <t>Team Rank</t>
  </si>
  <si>
    <t>Team Name</t>
  </si>
  <si>
    <t>Group</t>
  </si>
  <si>
    <t>Championship Points</t>
  </si>
  <si>
    <t>Raw Points</t>
  </si>
  <si>
    <t>Round Scores (in no particular order)</t>
  </si>
  <si>
    <t>Montgomery Blair 1</t>
  </si>
  <si>
    <t>Round Robin Scoring</t>
  </si>
  <si>
    <t>SMH Invitational Cup - October 12, 2024</t>
  </si>
  <si>
    <t>Field and Round Robin Groups</t>
  </si>
  <si>
    <t>champagne</t>
  </si>
  <si>
    <t>Schedule</t>
  </si>
  <si>
    <t>Round Robin Pairings</t>
  </si>
  <si>
    <t>all listed times are in pacific time (PT), public spectators will be permitted after and including DE4</t>
  </si>
  <si>
    <t>all listed times are in pacific time (PT)</t>
  </si>
  <si>
    <t>Albatross</t>
  </si>
  <si>
    <t>Bottle</t>
  </si>
  <si>
    <t>Start Time</t>
  </si>
  <si>
    <t>Champagne</t>
  </si>
  <si>
    <t>End Time</t>
  </si>
  <si>
    <t>Description</t>
  </si>
  <si>
    <t>Daylight</t>
  </si>
  <si>
    <t>a1</t>
  </si>
  <si>
    <t>Clovis North</t>
  </si>
  <si>
    <t>Room 1</t>
  </si>
  <si>
    <t>b1</t>
  </si>
  <si>
    <t>California</t>
  </si>
  <si>
    <t>Room 2</t>
  </si>
  <si>
    <t>c1</t>
  </si>
  <si>
    <t>Room 3</t>
  </si>
  <si>
    <t>'Iolani</t>
  </si>
  <si>
    <t>d1</t>
  </si>
  <si>
    <t>Middleton 2</t>
  </si>
  <si>
    <t>a2</t>
  </si>
  <si>
    <t>Palo Alto</t>
  </si>
  <si>
    <t>b2</t>
  </si>
  <si>
    <t>ASFA</t>
  </si>
  <si>
    <t>c2</t>
  </si>
  <si>
    <t>Oak Avenue 2</t>
  </si>
  <si>
    <t>d2</t>
  </si>
  <si>
    <t>Opening + Round Robin 1</t>
  </si>
  <si>
    <t>Lynbrook 1</t>
  </si>
  <si>
    <t>a3</t>
  </si>
  <si>
    <t>Tokay</t>
  </si>
  <si>
    <t>b3</t>
  </si>
  <si>
    <t>Middleton 1</t>
  </si>
  <si>
    <t>c3</t>
  </si>
  <si>
    <t>Amador Valley</t>
  </si>
  <si>
    <t>d3</t>
  </si>
  <si>
    <t>Collierville 2</t>
  </si>
  <si>
    <t>RR1</t>
  </si>
  <si>
    <t>a4</t>
  </si>
  <si>
    <t>WWPS 1</t>
  </si>
  <si>
    <t>b4</t>
  </si>
  <si>
    <t>Collierville 1</t>
  </si>
  <si>
    <t>c4</t>
  </si>
  <si>
    <t>Arcadia</t>
  </si>
  <si>
    <t>d4</t>
  </si>
  <si>
    <t>Whitney Young</t>
  </si>
  <si>
    <t>a5</t>
  </si>
  <si>
    <t>Saratoga</t>
  </si>
  <si>
    <t>b5</t>
  </si>
  <si>
    <t>TJHSST 1</t>
  </si>
  <si>
    <t>c5</t>
  </si>
  <si>
    <t>Clements</t>
  </si>
  <si>
    <t>Temple City</t>
  </si>
  <si>
    <t>d5</t>
  </si>
  <si>
    <t>Centennial</t>
  </si>
  <si>
    <t>a6</t>
  </si>
  <si>
    <t>Round Robin 2</t>
  </si>
  <si>
    <t>CCA 2</t>
  </si>
  <si>
    <t>b6</t>
  </si>
  <si>
    <t>goldrush</t>
  </si>
  <si>
    <t>Madison West 2</t>
  </si>
  <si>
    <t>c6</t>
  </si>
  <si>
    <t>RR2</t>
  </si>
  <si>
    <t>d6</t>
  </si>
  <si>
    <t>Foothill</t>
  </si>
  <si>
    <t>Round Robin 3</t>
  </si>
  <si>
    <t>RR3</t>
  </si>
  <si>
    <t>Round Robin 4</t>
  </si>
  <si>
    <t>RR4</t>
  </si>
  <si>
    <t>Round Robin 5</t>
  </si>
  <si>
    <t>Exile</t>
  </si>
  <si>
    <t>RR5</t>
  </si>
  <si>
    <t>Fiction</t>
  </si>
  <si>
    <t>Goldrush</t>
  </si>
  <si>
    <t>Lunch Break</t>
  </si>
  <si>
    <t xml:space="preserve">For example, in RR3, the fourth team in each division (e.g. Albatross-4) would play in Room 2 against the fifth team in each division (e.g. Albatross-5). </t>
  </si>
  <si>
    <t>Happiness</t>
  </si>
  <si>
    <t>Halftime Show</t>
  </si>
  <si>
    <t>bottle</t>
  </si>
  <si>
    <t>e1</t>
  </si>
  <si>
    <t>Stuyvesant</t>
  </si>
  <si>
    <t>f1</t>
  </si>
  <si>
    <t>CCA 1</t>
  </si>
  <si>
    <t>Double Elimination 1</t>
  </si>
  <si>
    <t>g1</t>
  </si>
  <si>
    <t>Madison West 1</t>
  </si>
  <si>
    <t>h1</t>
  </si>
  <si>
    <t>Choate Rosemary Hall</t>
  </si>
  <si>
    <t>e2</t>
  </si>
  <si>
    <t>Lynbrook 2</t>
  </si>
  <si>
    <t>f2</t>
  </si>
  <si>
    <t>Frazer 2</t>
  </si>
  <si>
    <t>g2</t>
  </si>
  <si>
    <t>MSJ 2</t>
  </si>
  <si>
    <t>h2</t>
  </si>
  <si>
    <t>Niskayuna</t>
  </si>
  <si>
    <t>e3</t>
  </si>
  <si>
    <t>Frazer 1</t>
  </si>
  <si>
    <t>f3</t>
  </si>
  <si>
    <t>Wayzata</t>
  </si>
  <si>
    <t>g3</t>
  </si>
  <si>
    <t>WWPN</t>
  </si>
  <si>
    <t>h3</t>
  </si>
  <si>
    <t>TJHSST 2</t>
  </si>
  <si>
    <t>e4</t>
  </si>
  <si>
    <t>MSJ 1</t>
  </si>
  <si>
    <t>f4</t>
  </si>
  <si>
    <t>Harvard Westlake</t>
  </si>
  <si>
    <t>g4</t>
  </si>
  <si>
    <t>WWPS 2</t>
  </si>
  <si>
    <t>h4</t>
  </si>
  <si>
    <t>Hawken</t>
  </si>
  <si>
    <t>e5</t>
  </si>
  <si>
    <t>Princeton Unified</t>
  </si>
  <si>
    <t>f5</t>
  </si>
  <si>
    <t>Hunter College</t>
  </si>
  <si>
    <t>g5</t>
  </si>
  <si>
    <t>h5</t>
  </si>
  <si>
    <t>Ward Melville</t>
  </si>
  <si>
    <t>e6</t>
  </si>
  <si>
    <t>Montgomery Blair 2</t>
  </si>
  <si>
    <t>f6</t>
  </si>
  <si>
    <t>Granada Hills</t>
  </si>
  <si>
    <t>Double Elimination 2</t>
  </si>
  <si>
    <t>g6</t>
  </si>
  <si>
    <t>Oak Avenue 1</t>
  </si>
  <si>
    <t>h6</t>
  </si>
  <si>
    <t>Lexington</t>
  </si>
  <si>
    <t>Important Links</t>
  </si>
  <si>
    <t>Double Elimination 3</t>
  </si>
  <si>
    <t>fiction</t>
  </si>
  <si>
    <t>Snack Break</t>
  </si>
  <si>
    <t>Madison W 2</t>
  </si>
  <si>
    <t>Discord server:</t>
  </si>
  <si>
    <t>https://discord.gg/N87yVFa3vM</t>
  </si>
  <si>
    <t>happiness</t>
  </si>
  <si>
    <t>daylight</t>
  </si>
  <si>
    <t>DE1</t>
  </si>
  <si>
    <t xml:space="preserve">Double Elimination 4 </t>
  </si>
  <si>
    <t>Official website:</t>
  </si>
  <si>
    <t>DE2</t>
  </si>
  <si>
    <t>https://dannyridel44.wixsite.com/smh-2024</t>
  </si>
  <si>
    <t>DE3</t>
  </si>
  <si>
    <t>DE4</t>
  </si>
  <si>
    <t>DE5</t>
  </si>
  <si>
    <t>DE6</t>
  </si>
  <si>
    <t>FINALS BO3</t>
  </si>
  <si>
    <t>12:40-13:15 PT</t>
  </si>
  <si>
    <t>Double Elimination 5</t>
  </si>
  <si>
    <t>13:15-13:50 PT</t>
  </si>
  <si>
    <t>Information document:</t>
  </si>
  <si>
    <t>exile</t>
  </si>
  <si>
    <t>13:50-14:25 PT</t>
  </si>
  <si>
    <t>https://docs.google.com/document/d/1Glpvea5UVq7E2TDXlD65gUDJf5jy65dNA2VTv9YnCy0/edit</t>
  </si>
  <si>
    <t>14:45-15:15 PT</t>
  </si>
  <si>
    <t>15:15-15:45 PT</t>
  </si>
  <si>
    <t>15:45-16:15 PT</t>
  </si>
  <si>
    <t>16:15-17:15 PT</t>
  </si>
  <si>
    <t xml:space="preserve">1st: </t>
  </si>
  <si>
    <t>2nd:</t>
  </si>
  <si>
    <t>Double Elimination 6 / Semifinals</t>
  </si>
  <si>
    <t xml:space="preserve">Double Elimination 7 / Grand Final </t>
  </si>
  <si>
    <t>Boss Fight</t>
  </si>
  <si>
    <t>Packets:</t>
  </si>
  <si>
    <t>https://drive.google.com/drive/folders/1fTrzbuWpyHYsNQ-5-Bk_B6v_tF5dz4Az</t>
  </si>
  <si>
    <t xml:space="preserve">3rd: </t>
  </si>
  <si>
    <t>Albatross-1</t>
  </si>
  <si>
    <t>4th:</t>
  </si>
  <si>
    <t>Blair 1</t>
  </si>
  <si>
    <t>5-6th:</t>
  </si>
  <si>
    <t>Clements, Middleton 1</t>
  </si>
  <si>
    <t>Closing Ceremony</t>
  </si>
  <si>
    <t>Albatross-2</t>
  </si>
  <si>
    <t>Cornelia Street</t>
  </si>
  <si>
    <t>Mods</t>
  </si>
  <si>
    <t>Bottle-1</t>
  </si>
  <si>
    <t>name</t>
  </si>
  <si>
    <t>Anurag S</t>
  </si>
  <si>
    <t>Games Played</t>
  </si>
  <si>
    <t>albatross</t>
  </si>
  <si>
    <t>Tossups Heard</t>
  </si>
  <si>
    <t>Buzzes</t>
  </si>
  <si>
    <t>Points</t>
  </si>
  <si>
    <t>PP4TUH</t>
  </si>
  <si>
    <t>Negs</t>
  </si>
  <si>
    <t>Negs/4TUH</t>
  </si>
  <si>
    <t>Bottle-2</t>
  </si>
  <si>
    <t>Accuracy</t>
  </si>
  <si>
    <t>LC-1</t>
  </si>
  <si>
    <t>Princeton</t>
  </si>
  <si>
    <t>Blair 2</t>
  </si>
  <si>
    <t>d2 selena y [d2 lynbrook 1]</t>
  </si>
  <si>
    <t>LA-1</t>
  </si>
  <si>
    <t>LB-2</t>
  </si>
  <si>
    <t>H-W</t>
  </si>
  <si>
    <t>Hunter</t>
  </si>
  <si>
    <t>Champagne-1</t>
  </si>
  <si>
    <t>LB-1</t>
  </si>
  <si>
    <t>Scott Street</t>
  </si>
  <si>
    <t>Champagne-2</t>
  </si>
  <si>
    <t>LA-2</t>
  </si>
  <si>
    <t>Daylight-1</t>
  </si>
  <si>
    <t>g3 krutharth v [g3 wwpn]</t>
  </si>
  <si>
    <t>Daylight-2</t>
  </si>
  <si>
    <t>Madison W 1</t>
  </si>
  <si>
    <t>a4 arjun d [a4 wwps 1]</t>
  </si>
  <si>
    <t>Choate</t>
  </si>
  <si>
    <t>c6 kian d [c6 blair 1]</t>
  </si>
  <si>
    <t>b1 lucas c [b1 california]</t>
  </si>
  <si>
    <t>b3 owen w [b3 middleton 1]</t>
  </si>
  <si>
    <t>f4 olivia s [f4 harvard westlake]</t>
  </si>
  <si>
    <t>h5 anna x [h5 ward melville]</t>
  </si>
  <si>
    <t>f1 sean y [f1 cca 1]</t>
  </si>
  <si>
    <t>b3 harry j [b3 middleton 1]</t>
  </si>
  <si>
    <t>d5 matthew y [d5 centennial]</t>
  </si>
  <si>
    <t>e6 meghna s [e6 montgomery blair 2]</t>
  </si>
  <si>
    <t>c4 avani a [c4 arcadia]</t>
  </si>
  <si>
    <t>h5 harry g [h5 ward melville]</t>
  </si>
  <si>
    <t>e2 sophia f [e2 lynbrook 2]</t>
  </si>
  <si>
    <t>g5 yale z [g5 clements]</t>
  </si>
  <si>
    <t>f6 kaiyo i [f6 granada]</t>
  </si>
  <si>
    <t>h3 aaryan s [h3 tjhsst 2]</t>
  </si>
  <si>
    <t>a4 sanjay o [a4 wwps 1]</t>
  </si>
  <si>
    <t>e1 philip z [e1 stuyvesant]</t>
  </si>
  <si>
    <t>g2 arnav g [g2 msj 2]</t>
  </si>
  <si>
    <t>g2 aravind m [g2 msj 2]</t>
  </si>
  <si>
    <t>e4 theenash s [e4 msj 1]</t>
  </si>
  <si>
    <t>c6 yunyi l [c6 blair 1]</t>
  </si>
  <si>
    <t>c5 jason l [c5 temple city]</t>
  </si>
  <si>
    <t>a2 forrest c [a2 palo alto]</t>
  </si>
  <si>
    <t>h2 daniel y [h2 niskayuna]</t>
  </si>
  <si>
    <t>f3 kevin q [f3 wayzata]</t>
  </si>
  <si>
    <t>b4 rehan k [b4 collierville 1]</t>
  </si>
  <si>
    <t>d6 athithan e [d6 foothill]</t>
  </si>
  <si>
    <t>a3 alexis e [a3 tokay]</t>
  </si>
  <si>
    <t>a1 renard w [a1 clovis north]</t>
  </si>
  <si>
    <t>h6 william j [h6 lexington]</t>
  </si>
  <si>
    <t>g5 alexander f [g5 clements]</t>
  </si>
  <si>
    <t>d6 bhagirath(buggy) b [d6 foothill]</t>
  </si>
  <si>
    <t>e3 jimmy j [e3 frazer 1]</t>
  </si>
  <si>
    <t>d4 andrew k [d4 whitney young]</t>
  </si>
  <si>
    <t>c1 ryan e [c1 iolani]</t>
  </si>
  <si>
    <t>c3 aarav j [c3 amador valley]</t>
  </si>
  <si>
    <t>f6 bianca g [f6 granada]</t>
  </si>
  <si>
    <t>b5 rishabh k [b5 tjhsst 1]</t>
  </si>
  <si>
    <t>b2 akhil b [b2 asfa]</t>
  </si>
  <si>
    <t>a6 jason y [a6 cca 2]</t>
  </si>
  <si>
    <t>c4 herrick w [c4 arcadia]</t>
  </si>
  <si>
    <t>b5 sophia g [b5 tjhsst 1]</t>
  </si>
  <si>
    <t>c4 ethan w [c4 arcadia]</t>
  </si>
  <si>
    <t>c1 min s [c1 iolani]</t>
  </si>
  <si>
    <t>a6 ishank k [a6 cca 2]</t>
  </si>
  <si>
    <t>a5 alex g [a5 saratoga]</t>
  </si>
  <si>
    <t>a1 justin d [a1 clovis north]</t>
  </si>
  <si>
    <t>a5 arjun k [a5 saratoga]</t>
  </si>
  <si>
    <t>d1 li y [d1 middleton 2]</t>
  </si>
  <si>
    <t>h4 daniel x [h4 hawken]</t>
  </si>
  <si>
    <t>a4 jason m [a4 wwps 1]</t>
  </si>
  <si>
    <t>h2 mihir k [h2 niskayuna]</t>
  </si>
  <si>
    <t>c5 ethan d [c5 temple city]</t>
  </si>
  <si>
    <t>f2 anish p [f2 frazer 2]</t>
  </si>
  <si>
    <t>e5 josh s [e5 princeton unified]</t>
  </si>
  <si>
    <t>e2 alex m [e2 lynbrook 2]</t>
  </si>
  <si>
    <t>f1 austin x [f1 cca 1]</t>
  </si>
  <si>
    <t>h3 eshaan s [h3 tjhsst 2]</t>
  </si>
  <si>
    <t>e5 gavin m [e5 princeton unified]</t>
  </si>
  <si>
    <t>d2 sohil r [d2 lynbrook 1]</t>
  </si>
  <si>
    <t>g5 matthew c [g5 clements]</t>
  </si>
  <si>
    <t>b5 patrick s [b5 tjhsst 1]</t>
  </si>
  <si>
    <t>h6 shreyas e [h6 lexington]</t>
  </si>
  <si>
    <t>a6 haiyue m [a6 cca 2]</t>
  </si>
  <si>
    <t>g1 rohan a [g1 madison west 1]</t>
  </si>
  <si>
    <t>h1 alex y [h1 choate]</t>
  </si>
  <si>
    <t>e4 rutvik a [e4 msj 1]</t>
  </si>
  <si>
    <t>a1 ethan w [a1 clovis north]</t>
  </si>
  <si>
    <t>b1 gleb m [b1 california]</t>
  </si>
  <si>
    <t>g4 rishi p [g4 wwps 2]</t>
  </si>
  <si>
    <t>b4 shreyansh a [b4 collierville 1]</t>
  </si>
  <si>
    <t>f2 anthony l [f2 frazer 2]</t>
  </si>
  <si>
    <t>g4 bhavesh d [g4 wwps 2]</t>
  </si>
  <si>
    <t>e2 ameyaa r [e2 lynbrook 2]</t>
  </si>
  <si>
    <t>b6 chandrima s [b6 madison west 2]</t>
  </si>
  <si>
    <t>h6 owen j [h6 lexington]</t>
  </si>
  <si>
    <t>a5 max r [a5 saratoga]</t>
  </si>
  <si>
    <t>f3 warren w [f3 wayzata]</t>
  </si>
  <si>
    <t>g6 bryce t [g6 oak avenue 1]</t>
  </si>
  <si>
    <t>e5 ivy h [e5 princeton unified]</t>
  </si>
  <si>
    <t>g3 aprameya t [g3 wwpn]</t>
  </si>
  <si>
    <t>d3 bethany c [d3 collierville 2]</t>
  </si>
  <si>
    <t>b4 kal k [b4 collierville 1]</t>
  </si>
  <si>
    <t>b4 sumin y [b4 collierville 1]</t>
  </si>
  <si>
    <t>e3 george p [e3 frazer 1]</t>
  </si>
  <si>
    <t>d3 ishan a [d3 collierville 2]</t>
  </si>
  <si>
    <t>e1 daniel p [e1 stuyvesant]</t>
  </si>
  <si>
    <t>d6 brandon k [d6 foothill]</t>
  </si>
  <si>
    <t>e1 ian s [e1 stuyvesant]</t>
  </si>
  <si>
    <t>e5 felicity n [e5 princeton unified]</t>
  </si>
  <si>
    <t>f5 camille p [f5 hunter]</t>
  </si>
  <si>
    <t>f6 adam n [f6 granada]</t>
  </si>
  <si>
    <t>f2 westin m [f2 frazer 2]</t>
  </si>
  <si>
    <t>c3 helaina h [c3 amador valley]</t>
  </si>
  <si>
    <t>f5 andres f [f5 hunter]</t>
  </si>
  <si>
    <t>g4 divit m [g4 wwps 2]</t>
  </si>
  <si>
    <t>g2 ishaan k [g2 msj 2]</t>
  </si>
  <si>
    <t>d5 ryan c [d5 centennial]</t>
  </si>
  <si>
    <t>e4 roshan a [e4 msj 1]</t>
  </si>
  <si>
    <t>f2 adityaa r [f2 frazer 2]</t>
  </si>
  <si>
    <t>c1 arabella t [c1 iolani]</t>
  </si>
  <si>
    <t>g6 edward s [g6 oak avenue 1]</t>
  </si>
  <si>
    <t>f5 gabe f [f5 hunter]</t>
  </si>
  <si>
    <t>c2 xiulin g [c2 oak avenue 2]</t>
  </si>
  <si>
    <t>a2 kevin p [a2 palo alto]</t>
  </si>
  <si>
    <t>b2 albert c [b2 asfa]</t>
  </si>
  <si>
    <t>e6 lucas k [e6 montgomery blair 2]</t>
  </si>
  <si>
    <t>g4 darkness s [g4 wwps 2]</t>
  </si>
  <si>
    <t>d5 yi-sali [d5 centennial]</t>
  </si>
  <si>
    <t>e4 anish a [e4 msj 1]</t>
  </si>
  <si>
    <t>g1 alex l [g1 madison west 1]</t>
  </si>
  <si>
    <t>e6 chris w [e6 montgomery blair 2]</t>
  </si>
  <si>
    <t>d6 jake n [d6 foothill]</t>
  </si>
  <si>
    <t>f6 will k [f6 granada]</t>
  </si>
  <si>
    <t>h1 arjun r [h1 choate]</t>
  </si>
  <si>
    <t>f4 hugh c [f4 harvard westlake]</t>
  </si>
  <si>
    <t>h3 avnith v [h3 tjhsst 2]</t>
  </si>
  <si>
    <t>d3 sai v [d3 collierville 2]</t>
  </si>
  <si>
    <t>h4 devesh m [h4 hawken]</t>
  </si>
  <si>
    <t>h6 damon g [h6 lexington]</t>
  </si>
  <si>
    <t>b2 mcnair s [b2 asfa]</t>
  </si>
  <si>
    <t>a2 andrew w [a2 palo alto]</t>
  </si>
  <si>
    <t>dc26djh5rg [a4 wwps 1]</t>
  </si>
  <si>
    <t>b1 gabe s [b1 california]</t>
  </si>
  <si>
    <t>b6 jiyoon c [b6 madison west 2]</t>
  </si>
  <si>
    <t>c6 evan z [c6 blair 1]</t>
  </si>
  <si>
    <t>c1 emma c [c1 iolani]</t>
  </si>
  <si>
    <t>c4 kevin w [c4 arcadia]</t>
  </si>
  <si>
    <t>e3 gavin x [e3 frazer 1]</t>
  </si>
  <si>
    <t>e3 eric l [e3 frazer 1]</t>
  </si>
  <si>
    <t>h4 matthew c [h4 hawken]</t>
  </si>
  <si>
    <t>c2 jayden w [c2 oak avenue 2]</t>
  </si>
  <si>
    <t>f3 yan-ru c [f3 wayzata]</t>
  </si>
  <si>
    <t>f4 troy g [f4 harvard westlake]</t>
  </si>
  <si>
    <t>g1 bryant y [g1 madison west 1]</t>
  </si>
  <si>
    <t>g4 aarush p [g4 wwps 2]</t>
  </si>
  <si>
    <t>e1 julien d [e1 stuyvesant]</t>
  </si>
  <si>
    <t>h4 liyang h [h4 hawken]</t>
  </si>
  <si>
    <t>a2 rasia y [a2 palo alto]</t>
  </si>
  <si>
    <t>c1 hong jin k [c1 iolani]</t>
  </si>
  <si>
    <t>b5 lucas w [b5 tjhsst 1]</t>
  </si>
  <si>
    <t>c5 tiger w [c5 temple city]</t>
  </si>
  <si>
    <t>e4 jeffrey l [e4 msj 1]</t>
  </si>
  <si>
    <t>f1 kaden w [f1 cca 1]</t>
  </si>
  <si>
    <t>c6 katherine w [c6 blair 1]</t>
  </si>
  <si>
    <t>a6 alex d [a6 cca 2]</t>
  </si>
  <si>
    <t>d4 shirley r [d4 whitney young]</t>
  </si>
  <si>
    <t>b6 kaylee l [b6 madison west 2]</t>
  </si>
  <si>
    <t>f5 ethan g [f5 hunter]</t>
  </si>
  <si>
    <t>c2 zechariah f [c2 oak avenue 2]</t>
  </si>
  <si>
    <t>h1 maddy o [h1 choate]</t>
  </si>
  <si>
    <t>a5 quinn g [a5 saratoga]</t>
  </si>
  <si>
    <t>a1 aatish e [a1 clovis north]</t>
  </si>
  <si>
    <t>c5 eddie w [c5 temple city]</t>
  </si>
  <si>
    <t>g1 eli l [g1 madison west 1]</t>
  </si>
  <si>
    <t>d3 bhavya d [d3 collierville 2]</t>
  </si>
  <si>
    <t>a5 warren c [a5 saratoga]</t>
  </si>
  <si>
    <t>a1 kinnoree p [a1 clovis north]</t>
  </si>
  <si>
    <t>d4 brennan t [d4 whitney young]</t>
  </si>
  <si>
    <t>e1 christian k [e1 stuyvesant]</t>
  </si>
  <si>
    <t>d5 rohan s [d5 centennial]</t>
  </si>
  <si>
    <t>a3 kate l [a3 tokay]</t>
  </si>
  <si>
    <t>d6 shashank v [d6 foothill]</t>
  </si>
  <si>
    <t>a4 likhith m [a4 wwps 1]</t>
  </si>
  <si>
    <t>b3 aditya b [b3 middleton 1]</t>
  </si>
  <si>
    <t>b3 vaidya s [b3 middleton 1]</t>
  </si>
  <si>
    <t>g2 hank s [g2 msj 2]</t>
  </si>
  <si>
    <t>b6 anmy t [b6 madison west 2]</t>
  </si>
  <si>
    <t>g5 alex s [g5 clements]</t>
  </si>
  <si>
    <t>c2 laura r [c2 oak avenue 2]</t>
  </si>
  <si>
    <t>g6 eugene t [g6 oak avenue 1]</t>
  </si>
  <si>
    <t>c3 devna b [c3 amador valley]</t>
  </si>
  <si>
    <t>c3 samarth j [c3 amador valley]</t>
  </si>
  <si>
    <t>c4 maxwell k [c4 arcadia]</t>
  </si>
  <si>
    <t>c5 rylan c [c5 temple city]</t>
  </si>
  <si>
    <t>c6 jason y [c6 blair 1]</t>
  </si>
  <si>
    <t>d2 ian c [d2 lynbrook 1]</t>
  </si>
  <si>
    <t>d3 angeline c [d3 collierville 2]</t>
  </si>
  <si>
    <t>d4 david c [d4 whitney young]</t>
  </si>
  <si>
    <t>d4 michael m [d4 whitney young]</t>
  </si>
  <si>
    <t>d5 m wafiqah [d5 centennial]</t>
  </si>
  <si>
    <t>h2 tejas j [h2 niskayuna]</t>
  </si>
  <si>
    <t>e2 kush g [e2 lynbrook 2]</t>
  </si>
  <si>
    <t>e3 abhiram p [e3 frazer 1]</t>
  </si>
  <si>
    <t>E4 Rutvik Arora [e4 msj 1]</t>
  </si>
  <si>
    <t>e6 bill q [e6 montgomery blair 2]</t>
  </si>
  <si>
    <t>f1 flora j [f1 cca 1]</t>
  </si>
  <si>
    <t>f2 jaganesh r [f2 frazer 2]</t>
  </si>
  <si>
    <t>f3 luyao y [f3 wayzata]</t>
  </si>
  <si>
    <t>f3 sophie c [f3 wayzata]</t>
  </si>
  <si>
    <t>f4 lisa c [f4 harvard westlake]</t>
  </si>
  <si>
    <t>g6 bailey c [g6 oak avenue 1]</t>
  </si>
  <si>
    <t>g6 darius s [g6 oak avenue 1]</t>
  </si>
  <si>
    <t>h1 edward j [h1 choate]</t>
  </si>
  <si>
    <t>h1 hridaan m [h1 choate]</t>
  </si>
  <si>
    <t>h2 alex p [h2 niskayuna]</t>
  </si>
  <si>
    <t>h2 arjun r [h2 niskayuna]</t>
  </si>
  <si>
    <t>h5 gunes s [h5 ward melville]</t>
  </si>
  <si>
    <t>h5 jason y [h5 ward melville]</t>
  </si>
  <si>
    <t>mysterious centennial player [d5 centennial]</t>
  </si>
  <si>
    <t>mysterious whitney young player [d4 whitney young]</t>
  </si>
  <si>
    <t>PPG</t>
  </si>
  <si>
    <t>NPG</t>
  </si>
  <si>
    <t>d5 m wafiqah  [d5 centennial]</t>
  </si>
  <si>
    <t>d6 brandon k  [d6 foothill]</t>
  </si>
  <si>
    <t>gamesPlayed</t>
  </si>
  <si>
    <t>TUs Heard</t>
  </si>
  <si>
    <t>Bonus/Game</t>
  </si>
  <si>
    <t>Buzzing Accuracy</t>
  </si>
  <si>
    <t>d2 lynbrook 1</t>
  </si>
  <si>
    <t>g3 wwpn</t>
  </si>
  <si>
    <t>a4 wwps 1</t>
  </si>
  <si>
    <t>c6 blair 1</t>
  </si>
  <si>
    <t>f1 cca 1</t>
  </si>
  <si>
    <t>h3 tjhsst 2</t>
  </si>
  <si>
    <t>b3 middleton 1</t>
  </si>
  <si>
    <t>g2 msj 2</t>
  </si>
  <si>
    <t>h2 niskayuna</t>
  </si>
  <si>
    <t>f4 harvard westlake</t>
  </si>
  <si>
    <t>g5 clements</t>
  </si>
  <si>
    <t>h6 lexington</t>
  </si>
  <si>
    <t>d5 centennial</t>
  </si>
  <si>
    <t>b5 tjhsst 1</t>
  </si>
  <si>
    <t>e1 stuyvesant</t>
  </si>
  <si>
    <t>e4 msj 1</t>
  </si>
  <si>
    <t>b1 california</t>
  </si>
  <si>
    <t>c4 arcadia</t>
  </si>
  <si>
    <t>e6 montgomery blair 2</t>
  </si>
  <si>
    <t>a5 saratoga</t>
  </si>
  <si>
    <t>a1 clovis north</t>
  </si>
  <si>
    <t>f6 granada</t>
  </si>
  <si>
    <t>h5 ward melville</t>
  </si>
  <si>
    <t>f3 wayzata</t>
  </si>
  <si>
    <t>b2 asfa</t>
  </si>
  <si>
    <t>b4 collierville 1</t>
  </si>
  <si>
    <t>a2 palo alto</t>
  </si>
  <si>
    <t>c5 temple city</t>
  </si>
  <si>
    <t>d6 foothill</t>
  </si>
  <si>
    <t>c1 iolani</t>
  </si>
  <si>
    <t>g1 madison west 1</t>
  </si>
  <si>
    <t>a6 cca 2</t>
  </si>
  <si>
    <t>h4 hawken</t>
  </si>
  <si>
    <t>e2 lynbrook 2</t>
  </si>
  <si>
    <t>a3 tokay</t>
  </si>
  <si>
    <t>e3 frazer 1</t>
  </si>
  <si>
    <t>e5 princeton unified</t>
  </si>
  <si>
    <t>g4 wwps 2</t>
  </si>
  <si>
    <t>d4 whitney young</t>
  </si>
  <si>
    <t>c3 amador valley</t>
  </si>
  <si>
    <t>d3 collierville 2</t>
  </si>
  <si>
    <t>d1 middleton 2</t>
  </si>
  <si>
    <t>f2 frazer 2</t>
  </si>
  <si>
    <t>f5 hunter</t>
  </si>
  <si>
    <t>b6 madison west 2</t>
  </si>
  <si>
    <t>g6 oak avenue 1</t>
  </si>
  <si>
    <t>c2 oak avenue 2</t>
  </si>
  <si>
    <t>h1 choate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</si>
</sst>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1">
    <font>
      <sz val="10.0"/>
      <color rgb="FF000000"/>
      <name val="Arial"/>
      <scheme val="minor"/>
    </font>
    <font>
      <sz val="12.0"/>
      <color theme="1"/>
      <name val="Titillium Web"/>
    </font>
    <font>
      <color theme="1"/>
      <name val="Titillium Web"/>
    </font>
    <font>
      <color theme="1"/>
      <name val="Arial"/>
      <scheme val="minor"/>
    </font>
    <font>
      <sz val="50.0"/>
      <color theme="1"/>
      <name val="Titillium Web"/>
    </font>
    <font>
      <sz val="15.0"/>
      <color theme="1"/>
      <name val="Titillium Web"/>
    </font>
    <font>
      <sz val="36.0"/>
      <color theme="1"/>
      <name val="Titillium Web"/>
    </font>
    <font>
      <sz val="14.0"/>
      <color theme="1"/>
      <name val="Arial"/>
      <scheme val="minor"/>
    </font>
    <font>
      <sz val="14.0"/>
      <color theme="1"/>
      <name val="Titillium Web"/>
    </font>
    <font>
      <b/>
      <sz val="13.0"/>
      <color theme="1"/>
      <name val="Titillium Web"/>
    </font>
    <font>
      <b/>
      <sz val="15.0"/>
      <color theme="1"/>
      <name val="Titillium Web"/>
    </font>
    <font>
      <color theme="1"/>
      <name val="Arial"/>
    </font>
    <font/>
    <font>
      <sz val="13.0"/>
      <color theme="1"/>
      <name val="Titillium Web"/>
    </font>
    <font>
      <sz val="13.0"/>
      <color rgb="FF000000"/>
      <name val="Titillium Web"/>
    </font>
    <font>
      <sz val="12.0"/>
      <color theme="1"/>
      <name val="&quot;Titillium Web&quot;"/>
    </font>
    <font>
      <u/>
      <sz val="13.0"/>
      <color rgb="FF1155CC"/>
      <name val="Titillium Web"/>
    </font>
    <font>
      <b/>
      <i/>
      <sz val="12.0"/>
      <color theme="1"/>
      <name val="Titillium Web"/>
    </font>
    <font>
      <u/>
      <sz val="13.0"/>
      <color rgb="FF1155CC"/>
      <name val="Titillium Web"/>
    </font>
    <font>
      <b/>
      <sz val="12.0"/>
      <color theme="1"/>
      <name val="Titillium Web"/>
    </font>
    <font>
      <u/>
      <sz val="13.0"/>
      <color rgb="FF0000FF"/>
      <name val="Titillium Web"/>
    </font>
    <font>
      <b/>
      <sz val="13.0"/>
      <color rgb="FF000000"/>
      <name val="IM Fell DW Pica"/>
    </font>
    <font>
      <b/>
      <sz val="13.0"/>
      <color rgb="FFCCCCCC"/>
      <name val="IM Fell DW Pica"/>
    </font>
    <font>
      <b/>
      <sz val="13.0"/>
      <color theme="1"/>
      <name val="IM Fell DW Pica"/>
    </font>
    <font>
      <sz val="12.0"/>
      <color rgb="FF000000"/>
      <name val="Titillium Web"/>
    </font>
    <font>
      <sz val="12.0"/>
      <color rgb="FFCCCCCC"/>
      <name val="Titillium Web"/>
    </font>
    <font>
      <sz val="12.0"/>
      <color theme="1"/>
      <name val="IM Fell DW Pica"/>
    </font>
    <font>
      <sz val="12.0"/>
      <color rgb="FFB7B7B7"/>
      <name val="IM Fell DW Pica"/>
    </font>
    <font>
      <sz val="12.0"/>
      <color rgb="FF666666"/>
      <name val="IM Fell DW Pica"/>
    </font>
    <font>
      <sz val="12.0"/>
      <color rgb="FFB7B7B7"/>
      <name val="Titillium Web"/>
    </font>
    <font>
      <sz val="12.0"/>
      <color rgb="FF666666"/>
      <name val="Titillium Web"/>
    </font>
  </fonts>
  <fills count="17">
    <fill>
      <patternFill patternType="none"/>
    </fill>
    <fill>
      <patternFill patternType="lightGray"/>
    </fill>
    <fill>
      <patternFill patternType="solid">
        <fgColor rgb="FF5687AF"/>
        <bgColor rgb="FF5687AF"/>
      </patternFill>
    </fill>
    <fill>
      <patternFill patternType="solid">
        <fgColor rgb="FFD9EAD3"/>
        <bgColor rgb="FFD9EAD3"/>
      </patternFill>
    </fill>
    <fill>
      <patternFill patternType="solid">
        <fgColor rgb="FFE8F1F8"/>
        <bgColor rgb="FFE8F1F8"/>
      </patternFill>
    </fill>
    <fill>
      <patternFill patternType="solid">
        <fgColor rgb="FFE0D9D7"/>
        <bgColor rgb="FFE0D9D7"/>
      </patternFill>
    </fill>
    <fill>
      <patternFill patternType="solid">
        <fgColor rgb="FFFFFFFF"/>
        <bgColor rgb="FFFFFFFF"/>
      </patternFill>
    </fill>
    <fill>
      <patternFill patternType="solid">
        <fgColor rgb="FFEDD3CD"/>
        <bgColor rgb="FFEDD3CD"/>
      </patternFill>
    </fill>
    <fill>
      <patternFill patternType="solid">
        <fgColor rgb="FFC7BB89"/>
        <bgColor rgb="FFC7BB89"/>
      </patternFill>
    </fill>
    <fill>
      <patternFill patternType="solid">
        <fgColor rgb="FFEBBED3"/>
        <bgColor rgb="FFEBBED3"/>
      </patternFill>
    </fill>
    <fill>
      <patternFill patternType="solid">
        <fgColor rgb="FFEBEBEB"/>
        <bgColor rgb="FFEBEBEB"/>
      </patternFill>
    </fill>
    <fill>
      <patternFill patternType="solid">
        <fgColor rgb="FFC1DBED"/>
        <bgColor rgb="FFC1DBED"/>
      </patternFill>
    </fill>
    <fill>
      <patternFill patternType="solid">
        <fgColor rgb="FFDED48F"/>
        <bgColor rgb="FFDED48F"/>
      </patternFill>
    </fill>
    <fill>
      <patternFill patternType="solid">
        <fgColor rgb="FFC0DFAC"/>
        <bgColor rgb="FFC0DFAC"/>
      </patternFill>
    </fill>
    <fill>
      <patternFill patternType="solid">
        <fgColor rgb="FFE7F1F9"/>
        <bgColor rgb="FFE7F1F9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tted">
        <color rgb="FF000000"/>
      </bottom>
    </border>
    <border>
      <right style="dotted">
        <color rgb="FF000000"/>
      </right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2" numFmtId="0" xfId="0" applyFill="1" applyFont="1"/>
    <xf borderId="0" fillId="0" fontId="1" numFmtId="0" xfId="0" applyFont="1"/>
    <xf borderId="0" fillId="2" fontId="2" numFmtId="0" xfId="0" applyAlignment="1" applyFill="1" applyFont="1">
      <alignment horizontal="center"/>
    </xf>
    <xf borderId="0" fillId="2" fontId="3" numFmtId="0" xfId="0" applyFill="1" applyFont="1"/>
    <xf borderId="0" fillId="3" fontId="1" numFmtId="0" xfId="0" applyAlignment="1" applyFill="1" applyFont="1">
      <alignment horizontal="center" readingOrder="0" vertical="bottom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2" fontId="7" numFmtId="0" xfId="0" applyFill="1" applyFont="1"/>
    <xf borderId="0" fillId="2" fontId="1" numFmtId="0" xfId="0" applyFill="1" applyFont="1"/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2" fontId="8" numFmtId="0" xfId="0" applyFill="1" applyFont="1"/>
    <xf borderId="0" fillId="5" fontId="10" numFmtId="0" xfId="0" applyAlignment="1" applyFill="1" applyFont="1">
      <alignment horizontal="center" readingOrder="0"/>
    </xf>
    <xf borderId="0" fillId="6" fontId="11" numFmtId="0" xfId="0" applyAlignment="1" applyFill="1" applyFont="1">
      <alignment vertical="bottom"/>
    </xf>
    <xf borderId="0" fillId="0" fontId="10" numFmtId="0" xfId="0" applyAlignment="1" applyFont="1">
      <alignment horizontal="center" readingOrder="0"/>
    </xf>
    <xf borderId="0" fillId="0" fontId="1" numFmtId="0" xfId="0" applyAlignment="1" applyFont="1">
      <alignment vertical="bottom"/>
    </xf>
    <xf borderId="0" fillId="4" fontId="10" numFmtId="0" xfId="0" applyAlignment="1" applyFill="1" applyFont="1">
      <alignment horizontal="center" readingOrder="0"/>
    </xf>
    <xf borderId="0" fillId="7" fontId="10" numFmtId="0" xfId="0" applyAlignment="1" applyFill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2" fillId="5" fontId="9" numFmtId="0" xfId="0" applyAlignment="1" applyBorder="1" applyFill="1" applyFont="1">
      <alignment horizontal="center" readingOrder="0"/>
    </xf>
    <xf borderId="0" fillId="9" fontId="10" numFmtId="0" xfId="0" applyAlignment="1" applyFill="1" applyFont="1">
      <alignment horizontal="center" readingOrder="0"/>
    </xf>
    <xf borderId="3" fillId="0" fontId="9" numFmtId="0" xfId="0" applyAlignment="1" applyBorder="1" applyFont="1">
      <alignment horizontal="center" vertical="bottom"/>
    </xf>
    <xf borderId="4" fillId="0" fontId="12" numFmtId="0" xfId="0" applyBorder="1" applyFont="1"/>
    <xf borderId="0" fillId="4" fontId="13" numFmtId="0" xfId="0" applyAlignment="1" applyFill="1" applyFont="1">
      <alignment horizontal="center" readingOrder="0"/>
    </xf>
    <xf borderId="1" fillId="6" fontId="11" numFmtId="164" xfId="0" applyAlignment="1" applyBorder="1" applyFill="1" applyFont="1" applyNumberFormat="1">
      <alignment vertical="bottom"/>
    </xf>
    <xf borderId="0" fillId="4" fontId="13" numFmtId="0" xfId="0" applyAlignment="1" applyFill="1" applyFont="1">
      <alignment horizontal="center" vertical="bottom"/>
    </xf>
    <xf borderId="5" fillId="0" fontId="12" numFmtId="0" xfId="0" applyBorder="1" applyFont="1"/>
    <xf borderId="0" fillId="0" fontId="13" numFmtId="0" xfId="0" applyAlignment="1" applyFont="1">
      <alignment horizontal="center" readingOrder="0"/>
    </xf>
    <xf borderId="1" fillId="0" fontId="13" numFmtId="164" xfId="0" applyAlignment="1" applyBorder="1" applyFont="1" applyNumberFormat="1">
      <alignment vertical="bottom"/>
    </xf>
    <xf quotePrefix="1" borderId="0" fillId="4" fontId="13" numFmtId="0" xfId="0" applyAlignment="1" applyFill="1" applyFont="1">
      <alignment horizontal="center" readingOrder="0"/>
    </xf>
    <xf borderId="2" fillId="7" fontId="9" numFmtId="0" xfId="0" applyAlignment="1" applyBorder="1" applyFill="1" applyFont="1">
      <alignment horizontal="center" readingOrder="0" vertical="bottom"/>
    </xf>
    <xf borderId="0" fillId="0" fontId="13" numFmtId="20" xfId="0" applyAlignment="1" applyFont="1" applyNumberFormat="1">
      <alignment readingOrder="0"/>
    </xf>
    <xf borderId="0" fillId="0" fontId="13" numFmtId="0" xfId="0" applyAlignment="1" applyFont="1">
      <alignment readingOrder="0"/>
    </xf>
    <xf borderId="6" fillId="0" fontId="13" numFmtId="20" xfId="0" applyAlignment="1" applyBorder="1" applyFont="1" applyNumberFormat="1">
      <alignment horizontal="right" vertical="bottom"/>
    </xf>
    <xf borderId="0" fillId="6" fontId="13" numFmtId="164" xfId="0" applyAlignment="1" applyFill="1" applyFont="1" applyNumberFormat="1">
      <alignment horizontal="center" vertical="bottom"/>
    </xf>
    <xf borderId="0" fillId="0" fontId="13" numFmtId="164" xfId="0" applyAlignment="1" applyFont="1" applyNumberFormat="1">
      <alignment horizontal="right" vertical="bottom"/>
    </xf>
    <xf borderId="0" fillId="6" fontId="14" numFmtId="0" xfId="0" applyAlignment="1" applyFill="1" applyFont="1">
      <alignment horizontal="left" readingOrder="0"/>
    </xf>
    <xf borderId="0" fillId="10" fontId="10" numFmtId="0" xfId="0" applyAlignment="1" applyFill="1" applyFont="1">
      <alignment horizontal="center" readingOrder="0"/>
    </xf>
    <xf borderId="0" fillId="0" fontId="13" numFmtId="0" xfId="0" applyFont="1"/>
    <xf borderId="0" fillId="11" fontId="10" numFmtId="0" xfId="0" applyAlignment="1" applyFill="1" applyFont="1">
      <alignment horizontal="center" readingOrder="0"/>
    </xf>
    <xf borderId="7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shrinkToFit="0" vertical="bottom" wrapText="1"/>
    </xf>
    <xf borderId="2" fillId="0" fontId="1" numFmtId="0" xfId="0" applyAlignment="1" applyBorder="1" applyFont="1">
      <alignment horizontal="center"/>
    </xf>
    <xf borderId="0" fillId="12" fontId="10" numFmtId="0" xfId="0" applyAlignment="1" applyFill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13" fontId="10" numFmtId="0" xfId="0" applyAlignment="1" applyFill="1" applyFont="1">
      <alignment horizontal="center" readingOrder="0"/>
    </xf>
    <xf borderId="4" fillId="0" fontId="1" numFmtId="0" xfId="0" applyAlignment="1" applyBorder="1" applyFont="1">
      <alignment horizontal="center"/>
    </xf>
    <xf borderId="0" fillId="2" fontId="15" numFmtId="0" xfId="0" applyAlignment="1" applyFill="1" applyFont="1">
      <alignment vertical="bottom"/>
    </xf>
    <xf borderId="5" fillId="0" fontId="1" numFmtId="0" xfId="0" applyAlignment="1" applyBorder="1" applyFont="1">
      <alignment horizontal="center" readingOrder="0"/>
    </xf>
    <xf borderId="0" fillId="2" fontId="15" numFmtId="164" xfId="0" applyAlignment="1" applyFill="1" applyFont="1" applyNumberFormat="1">
      <alignment horizontal="right" readingOrder="0" vertical="bottom"/>
    </xf>
    <xf borderId="8" fillId="0" fontId="1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4" fillId="0" fontId="1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5" fillId="0" fontId="1" numFmtId="0" xfId="0" applyAlignment="1" applyBorder="1" applyFont="1">
      <alignment horizontal="center" readingOrder="0" vertical="bottom"/>
    </xf>
    <xf borderId="0" fillId="2" fontId="1" numFmtId="0" xfId="0" applyAlignment="1" applyFill="1" applyFont="1">
      <alignment horizontal="center"/>
    </xf>
    <xf borderId="0" fillId="0" fontId="13" numFmtId="0" xfId="0" applyAlignment="1" applyFont="1">
      <alignment vertical="bottom"/>
    </xf>
    <xf borderId="8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 vertical="bottom"/>
    </xf>
    <xf borderId="0" fillId="2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 vertical="bottom"/>
    </xf>
    <xf borderId="0" fillId="6" fontId="1" numFmtId="0" xfId="0" applyAlignment="1" applyFill="1" applyFont="1">
      <alignment vertical="bottom"/>
    </xf>
    <xf borderId="0" fillId="0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10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3" fillId="2" fontId="1" numFmtId="0" xfId="0" applyAlignment="1" applyBorder="1" applyFill="1" applyFont="1">
      <alignment horizontal="center"/>
    </xf>
    <xf borderId="0" fillId="0" fontId="17" numFmtId="0" xfId="0" applyAlignment="1" applyFont="1">
      <alignment vertical="bottom"/>
    </xf>
    <xf borderId="10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3" fillId="2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2" fillId="8" fontId="9" numFmtId="0" xfId="0" applyAlignment="1" applyBorder="1" applyFill="1" applyFont="1">
      <alignment horizontal="center" readingOrder="0"/>
    </xf>
    <xf borderId="0" fillId="0" fontId="1" numFmtId="0" xfId="0" applyAlignment="1" applyFont="1">
      <alignment readingOrder="0" vertical="bottom"/>
    </xf>
    <xf borderId="2" fillId="9" fontId="9" numFmtId="0" xfId="0" applyAlignment="1" applyBorder="1" applyFill="1" applyFont="1">
      <alignment horizontal="center" readingOrder="0" vertical="bottom"/>
    </xf>
    <xf borderId="0" fillId="0" fontId="18" numFmtId="0" xfId="0" applyAlignment="1" applyFont="1">
      <alignment shrinkToFit="0" vertical="top" wrapText="1"/>
    </xf>
    <xf borderId="0" fillId="0" fontId="1" numFmtId="0" xfId="0" applyAlignment="1" applyFont="1">
      <alignment horizontal="right" vertical="bottom"/>
    </xf>
    <xf borderId="1" fillId="4" fontId="1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vertical="bottom"/>
    </xf>
    <xf borderId="0" fillId="0" fontId="19" numFmtId="49" xfId="0" applyAlignment="1" applyFont="1" applyNumberFormat="1">
      <alignment vertical="bottom"/>
    </xf>
    <xf borderId="6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quotePrefix="1" borderId="4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vertical="bottom"/>
    </xf>
    <xf quotePrefix="1" borderId="8" fillId="0" fontId="1" numFmtId="0" xfId="0" applyAlignment="1" applyBorder="1" applyFont="1">
      <alignment horizontal="center" readingOrder="0"/>
    </xf>
    <xf borderId="0" fillId="0" fontId="19" numFmtId="49" xfId="0" applyAlignment="1" applyFont="1" applyNumberFormat="1">
      <alignment horizontal="center" vertical="bottom"/>
    </xf>
    <xf borderId="0" fillId="0" fontId="20" numFmtId="0" xfId="0" applyAlignment="1" applyFont="1">
      <alignment readingOrder="0" shrinkToFit="0" vertical="top" wrapText="1"/>
    </xf>
    <xf borderId="1" fillId="14" fontId="1" numFmtId="0" xfId="0" applyAlignment="1" applyBorder="1" applyFill="1" applyFont="1">
      <alignment readingOrder="0" vertical="bottom"/>
    </xf>
    <xf borderId="0" fillId="0" fontId="1" numFmtId="20" xfId="0" applyAlignment="1" applyFont="1" applyNumberFormat="1">
      <alignment vertical="bottom"/>
    </xf>
    <xf borderId="1" fillId="15" fontId="1" numFmtId="0" xfId="0" applyAlignment="1" applyBorder="1" applyFill="1" applyFont="1">
      <alignment readingOrder="0" vertical="bottom"/>
    </xf>
    <xf borderId="1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vertical="bottom"/>
    </xf>
    <xf borderId="12" fillId="0" fontId="1" numFmtId="0" xfId="0" applyAlignment="1" applyBorder="1" applyFont="1">
      <alignment vertical="bottom"/>
    </xf>
    <xf borderId="3" fillId="0" fontId="21" numFmtId="0" xfId="0" applyAlignment="1" applyBorder="1" applyFont="1">
      <alignment readingOrder="0" shrinkToFit="0" vertical="bottom" wrapText="0"/>
    </xf>
    <xf borderId="2" fillId="10" fontId="9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readingOrder="0" vertical="bottom"/>
    </xf>
    <xf borderId="1" fillId="0" fontId="21" numFmtId="0" xfId="0" applyAlignment="1" applyBorder="1" applyFont="1">
      <alignment readingOrder="0" shrinkToFit="0" vertical="bottom" wrapText="0"/>
    </xf>
    <xf borderId="1" fillId="0" fontId="22" numFmtId="0" xfId="0" applyAlignment="1" applyBorder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2" fillId="11" fontId="9" numFmtId="0" xfId="0" applyAlignment="1" applyBorder="1" applyFill="1" applyFont="1">
      <alignment horizontal="center" readingOrder="0" vertical="bottom"/>
    </xf>
    <xf borderId="1" fillId="0" fontId="21" numFmtId="1" xfId="0" applyAlignment="1" applyBorder="1" applyFont="1" applyNumberFormat="1">
      <alignment readingOrder="0" shrinkToFit="0" vertical="bottom" wrapText="0"/>
    </xf>
    <xf borderId="1" fillId="16" fontId="1" numFmtId="0" xfId="0" applyAlignment="1" applyBorder="1" applyFill="1" applyFont="1">
      <alignment readingOrder="0" vertical="bottom"/>
    </xf>
    <xf borderId="11" fillId="0" fontId="1" numFmtId="0" xfId="0" applyAlignment="1" applyBorder="1" applyFont="1">
      <alignment vertical="bottom"/>
    </xf>
    <xf borderId="1" fillId="0" fontId="21" numFmtId="1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readingOrder="0" vertical="bottom"/>
    </xf>
    <xf borderId="1" fillId="0" fontId="23" numFmtId="0" xfId="0" applyBorder="1" applyFont="1"/>
    <xf borderId="1" fillId="8" fontId="1" numFmtId="0" xfId="0" applyAlignment="1" applyBorder="1" applyFill="1" applyFont="1">
      <alignment readingOrder="0" vertical="bottom"/>
    </xf>
    <xf borderId="6" fillId="0" fontId="24" numFmtId="0" xfId="0" applyAlignment="1" applyBorder="1" applyFont="1">
      <alignment readingOrder="0" shrinkToFit="0" vertical="bottom" wrapText="0"/>
    </xf>
    <xf borderId="0" fillId="0" fontId="24" numFmtId="0" xfId="0" applyAlignment="1" applyFont="1">
      <alignment horizontal="right" readingOrder="0" shrinkToFit="0" vertical="bottom" wrapText="0"/>
    </xf>
    <xf borderId="0" fillId="0" fontId="25" numFmtId="0" xfId="0" applyAlignment="1" applyFont="1">
      <alignment horizontal="right" readingOrder="0" shrinkToFit="0" vertical="bottom" wrapText="0"/>
    </xf>
    <xf borderId="6" fillId="0" fontId="1" numFmtId="49" xfId="0" applyAlignment="1" applyBorder="1" applyFont="1" applyNumberFormat="1">
      <alignment vertical="bottom"/>
    </xf>
    <xf borderId="1" fillId="3" fontId="1" numFmtId="0" xfId="0" applyAlignment="1" applyBorder="1" applyFill="1" applyFont="1">
      <alignment readingOrder="0" vertical="bottom"/>
    </xf>
    <xf borderId="3" fillId="0" fontId="1" numFmtId="0" xfId="0" applyAlignment="1" applyBorder="1" applyFont="1">
      <alignment vertical="bottom"/>
    </xf>
    <xf borderId="0" fillId="0" fontId="24" numFmtId="1" xfId="0" applyAlignment="1" applyFont="1" applyNumberFormat="1">
      <alignment horizontal="right" readingOrder="0" shrinkToFit="0" vertical="bottom" wrapText="0"/>
    </xf>
    <xf borderId="0" fillId="0" fontId="24" numFmtId="1" xfId="0" applyAlignment="1" applyFont="1" applyNumberFormat="1">
      <alignment horizontal="right" readingOrder="0" shrinkToFit="0" vertical="bottom" wrapText="0"/>
    </xf>
    <xf borderId="0" fillId="0" fontId="24" numFmtId="9" xfId="0" applyAlignment="1" applyFont="1" applyNumberFormat="1">
      <alignment horizontal="right" readingOrder="0" shrinkToFit="0" vertical="bottom" wrapText="0"/>
    </xf>
    <xf borderId="2" fillId="12" fontId="9" numFmtId="0" xfId="0" applyAlignment="1" applyBorder="1" applyFill="1" applyFont="1">
      <alignment horizontal="center" readingOrder="0"/>
    </xf>
    <xf borderId="2" fillId="13" fontId="9" numFmtId="0" xfId="0" applyAlignment="1" applyBorder="1" applyFill="1" applyFont="1">
      <alignment horizontal="center" readingOrder="0" vertical="bottom"/>
    </xf>
    <xf borderId="0" fillId="0" fontId="24" numFmtId="10" xfId="0" applyAlignment="1" applyFont="1" applyNumberFormat="1">
      <alignment horizontal="right" readingOrder="0" shrinkToFit="0" vertical="bottom" wrapText="0"/>
    </xf>
    <xf quotePrefix="1"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6" fillId="0" fontId="1" numFmtId="0" xfId="0" applyBorder="1" applyFont="1"/>
    <xf borderId="0" fillId="0" fontId="25" numFmtId="0" xfId="0" applyFont="1"/>
    <xf borderId="0" fillId="0" fontId="1" numFmtId="1" xfId="0" applyFont="1" applyNumberFormat="1"/>
    <xf borderId="0" fillId="0" fontId="1" numFmtId="1" xfId="0" applyFont="1" applyNumberFormat="1"/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26" numFmtId="0" xfId="0" applyFon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9" numFmtId="0" xfId="0" applyFont="1"/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47625</xdr:rowOff>
    </xdr:from>
    <xdr:ext cx="781050" cy="72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47625</xdr:rowOff>
    </xdr:from>
    <xdr:ext cx="76200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</xdr:row>
      <xdr:rowOff>28575</xdr:rowOff>
    </xdr:from>
    <xdr:ext cx="762000" cy="7048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66675</xdr:rowOff>
    </xdr:from>
    <xdr:ext cx="590550" cy="542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N87yVFa3vM" TargetMode="External"/><Relationship Id="rId2" Type="http://schemas.openxmlformats.org/officeDocument/2006/relationships/hyperlink" Target="https://dannyridel44.wixsite.com/smh-2024" TargetMode="External"/><Relationship Id="rId3" Type="http://schemas.openxmlformats.org/officeDocument/2006/relationships/hyperlink" Target="https://docs.google.com/document/d/1Glpvea5UVq7E2TDXlD65gUDJf5jy65dNA2VTv9YnCy0/edit" TargetMode="External"/><Relationship Id="rId4" Type="http://schemas.openxmlformats.org/officeDocument/2006/relationships/hyperlink" Target="https://drive.google.com/drive/folders/1fTrzbuWpyHYsNQ-5-Bk_B6v_tF5dz4Az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12.5"/>
    <col customWidth="1" min="4" max="4" width="60.0"/>
    <col customWidth="1" min="5" max="5" width="4.5"/>
    <col customWidth="1" min="6" max="6" width="5.13"/>
    <col customWidth="1" min="7" max="7" width="15.25"/>
    <col customWidth="1" min="8" max="8" width="12.63"/>
    <col customWidth="1" min="9" max="11" width="14.25"/>
    <col customWidth="1" min="12" max="12" width="5.25"/>
    <col customWidth="1" min="13" max="13" width="6.0"/>
  </cols>
  <sheetData>
    <row r="1" ht="26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ht="66.0" customHeight="1">
      <c r="A2" s="6"/>
      <c r="B2" s="8" t="s">
        <v>8</v>
      </c>
      <c r="M2" s="6"/>
    </row>
    <row r="3" ht="21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ht="54.75" customHeight="1">
      <c r="A4" s="6"/>
      <c r="B4" s="10" t="s">
        <v>11</v>
      </c>
      <c r="E4" s="6"/>
      <c r="F4" s="10" t="s">
        <v>12</v>
      </c>
      <c r="M4" s="6"/>
    </row>
    <row r="5">
      <c r="A5" s="6"/>
      <c r="B5" s="12" t="s">
        <v>13</v>
      </c>
      <c r="E5" s="6"/>
      <c r="F5" s="12" t="s">
        <v>14</v>
      </c>
      <c r="M5" s="6"/>
    </row>
    <row r="6">
      <c r="A6" s="6"/>
      <c r="B6" s="16"/>
      <c r="C6" s="16"/>
      <c r="D6" s="16"/>
      <c r="E6" s="6"/>
      <c r="G6" s="20"/>
      <c r="H6" s="22"/>
      <c r="I6" s="22"/>
      <c r="J6" s="22"/>
      <c r="M6" s="6"/>
    </row>
    <row r="7">
      <c r="A7" s="6"/>
      <c r="B7" s="25" t="s">
        <v>17</v>
      </c>
      <c r="C7" s="25" t="s">
        <v>19</v>
      </c>
      <c r="D7" s="25" t="s">
        <v>20</v>
      </c>
      <c r="E7" s="6"/>
      <c r="G7" s="29" t="s">
        <v>17</v>
      </c>
      <c r="H7" s="32"/>
      <c r="I7" s="36" t="s">
        <v>24</v>
      </c>
      <c r="J7" s="36" t="s">
        <v>27</v>
      </c>
      <c r="K7" s="36" t="s">
        <v>29</v>
      </c>
      <c r="M7" s="6"/>
    </row>
    <row r="8">
      <c r="A8" s="6"/>
      <c r="B8" s="39">
        <v>0.3645833333333333</v>
      </c>
      <c r="C8" s="39">
        <v>0.3958333333333333</v>
      </c>
      <c r="D8" s="40" t="s">
        <v>40</v>
      </c>
      <c r="E8" s="6"/>
      <c r="G8" s="41">
        <v>0.3645833333333333</v>
      </c>
      <c r="H8" s="42" t="s">
        <v>50</v>
      </c>
      <c r="I8" s="43">
        <v>45293.0</v>
      </c>
      <c r="J8" s="43">
        <v>45355.0</v>
      </c>
      <c r="K8" s="43">
        <v>45418.0</v>
      </c>
      <c r="M8" s="6"/>
    </row>
    <row r="9">
      <c r="A9" s="6"/>
      <c r="B9" s="39">
        <v>0.3993055555555556</v>
      </c>
      <c r="C9" s="39">
        <v>0.4201388888888889</v>
      </c>
      <c r="D9" s="44" t="s">
        <v>69</v>
      </c>
      <c r="E9" s="6"/>
      <c r="G9" s="41">
        <v>0.3993055555555556</v>
      </c>
      <c r="H9" s="42" t="s">
        <v>75</v>
      </c>
      <c r="I9" s="43">
        <v>45327.0</v>
      </c>
      <c r="J9" s="43">
        <v>45357.0</v>
      </c>
      <c r="K9" s="43">
        <v>45295.0</v>
      </c>
      <c r="M9" s="6"/>
    </row>
    <row r="10">
      <c r="A10" s="6"/>
      <c r="B10" s="39">
        <v>0.4236111111111111</v>
      </c>
      <c r="C10" s="39">
        <v>0.4444444444444444</v>
      </c>
      <c r="D10" s="44" t="s">
        <v>78</v>
      </c>
      <c r="E10" s="6"/>
      <c r="G10" s="41">
        <v>0.4236111111111111</v>
      </c>
      <c r="H10" s="42" t="s">
        <v>79</v>
      </c>
      <c r="I10" s="43">
        <v>45294.0</v>
      </c>
      <c r="J10" s="43">
        <v>45387.0</v>
      </c>
      <c r="K10" s="43">
        <v>45328.0</v>
      </c>
      <c r="M10" s="6"/>
    </row>
    <row r="11">
      <c r="A11" s="6"/>
      <c r="B11" s="39">
        <v>0.4479166666666667</v>
      </c>
      <c r="C11" s="39">
        <v>0.46875</v>
      </c>
      <c r="D11" s="44" t="s">
        <v>80</v>
      </c>
      <c r="E11" s="6"/>
      <c r="G11" s="41">
        <v>0.4479166666666667</v>
      </c>
      <c r="H11" s="42" t="s">
        <v>81</v>
      </c>
      <c r="I11" s="43">
        <v>45326.0</v>
      </c>
      <c r="J11" s="43">
        <v>45297.0</v>
      </c>
      <c r="K11" s="43">
        <v>45356.0</v>
      </c>
      <c r="M11" s="6"/>
    </row>
    <row r="12">
      <c r="A12" s="6"/>
      <c r="B12" s="39">
        <v>0.4722222222222222</v>
      </c>
      <c r="C12" s="39">
        <v>0.4930555555555556</v>
      </c>
      <c r="D12" s="44" t="s">
        <v>82</v>
      </c>
      <c r="E12" s="6"/>
      <c r="G12" s="41">
        <v>0.4722222222222222</v>
      </c>
      <c r="H12" s="42" t="s">
        <v>84</v>
      </c>
      <c r="I12" s="43">
        <v>45388.0</v>
      </c>
      <c r="J12" s="43">
        <v>45325.0</v>
      </c>
      <c r="K12" s="43">
        <v>45296.0</v>
      </c>
      <c r="M12" s="6"/>
    </row>
    <row r="13">
      <c r="A13" s="6"/>
      <c r="B13" s="46"/>
      <c r="C13" s="46"/>
      <c r="D13" s="40"/>
      <c r="E13" s="6"/>
      <c r="G13" s="39"/>
      <c r="H13" s="42"/>
      <c r="I13" s="43"/>
      <c r="J13" s="43"/>
      <c r="K13" s="43"/>
      <c r="M13" s="6"/>
    </row>
    <row r="14">
      <c r="A14" s="6"/>
      <c r="B14" s="39">
        <v>0.4930555555555556</v>
      </c>
      <c r="C14" s="39">
        <v>0.5243055555555556</v>
      </c>
      <c r="D14" s="40" t="s">
        <v>87</v>
      </c>
      <c r="E14" s="6"/>
      <c r="G14" s="49" t="s">
        <v>88</v>
      </c>
      <c r="M14" s="6"/>
    </row>
    <row r="15">
      <c r="A15" s="6"/>
      <c r="B15" s="46"/>
      <c r="C15" s="46"/>
      <c r="D15" s="40"/>
      <c r="E15" s="6"/>
      <c r="F15" s="10"/>
      <c r="L15" s="10"/>
      <c r="M15" s="6"/>
    </row>
    <row r="16">
      <c r="A16" s="6"/>
      <c r="B16" s="39">
        <v>0.5243055555555556</v>
      </c>
      <c r="C16" s="39">
        <v>0.53125</v>
      </c>
      <c r="D16" s="40" t="s">
        <v>90</v>
      </c>
      <c r="E16" s="6"/>
      <c r="F16" s="10"/>
      <c r="G16" s="10"/>
      <c r="H16" s="10"/>
      <c r="I16" s="10"/>
      <c r="J16" s="10"/>
      <c r="K16" s="10"/>
      <c r="L16" s="10"/>
      <c r="M16" s="6"/>
    </row>
    <row r="17">
      <c r="A17" s="6"/>
      <c r="B17" s="39">
        <v>0.53125</v>
      </c>
      <c r="C17" s="39">
        <v>0.5555555555555556</v>
      </c>
      <c r="D17" s="40" t="s">
        <v>96</v>
      </c>
      <c r="E17" s="6"/>
      <c r="F17" s="6"/>
      <c r="G17" s="6"/>
      <c r="H17" s="55"/>
      <c r="I17" s="57"/>
      <c r="J17" s="57"/>
      <c r="K17" s="57"/>
      <c r="L17" s="6"/>
      <c r="M17" s="6"/>
    </row>
    <row r="18">
      <c r="A18" s="6"/>
      <c r="B18" s="39">
        <v>0.5555555555555556</v>
      </c>
      <c r="C18" s="39">
        <v>0.5798611111111112</v>
      </c>
      <c r="D18" s="40" t="s">
        <v>136</v>
      </c>
      <c r="E18" s="6"/>
      <c r="F18" s="59" t="s">
        <v>141</v>
      </c>
      <c r="M18" s="6"/>
    </row>
    <row r="19">
      <c r="A19" s="6"/>
      <c r="B19" s="39">
        <v>0.5798611111111112</v>
      </c>
      <c r="C19" s="39">
        <v>0.6041666666666666</v>
      </c>
      <c r="D19" s="40" t="s">
        <v>142</v>
      </c>
      <c r="E19" s="6"/>
      <c r="M19" s="6"/>
    </row>
    <row r="20">
      <c r="A20" s="6"/>
      <c r="B20" s="39"/>
      <c r="C20" s="39"/>
      <c r="D20" s="40"/>
      <c r="E20" s="6"/>
      <c r="M20" s="6"/>
    </row>
    <row r="21">
      <c r="A21" s="6"/>
      <c r="B21" s="39">
        <v>0.6041666666666666</v>
      </c>
      <c r="C21" s="39">
        <v>0.6145833333333334</v>
      </c>
      <c r="D21" s="40" t="s">
        <v>144</v>
      </c>
      <c r="E21" s="6"/>
      <c r="F21" s="61"/>
      <c r="G21" s="61"/>
      <c r="H21" s="61"/>
      <c r="I21" s="61"/>
      <c r="J21" s="61"/>
      <c r="K21" s="61"/>
      <c r="L21" s="61"/>
      <c r="M21" s="6"/>
    </row>
    <row r="22">
      <c r="A22" s="6"/>
      <c r="B22" s="39"/>
      <c r="C22" s="39"/>
      <c r="D22" s="40"/>
      <c r="E22" s="6"/>
      <c r="F22" s="61"/>
      <c r="G22" s="64" t="s">
        <v>146</v>
      </c>
      <c r="I22" s="74" t="s">
        <v>147</v>
      </c>
      <c r="J22" s="61"/>
      <c r="K22" s="61"/>
      <c r="L22" s="61"/>
      <c r="M22" s="6"/>
    </row>
    <row r="23">
      <c r="A23" s="6"/>
      <c r="B23" s="39">
        <v>0.6145833333333334</v>
      </c>
      <c r="C23" s="39">
        <v>0.6354166666666666</v>
      </c>
      <c r="D23" s="40" t="s">
        <v>151</v>
      </c>
      <c r="E23" s="6"/>
      <c r="F23" s="61"/>
      <c r="G23" s="64" t="s">
        <v>152</v>
      </c>
      <c r="I23" s="74" t="s">
        <v>154</v>
      </c>
      <c r="L23" s="61"/>
      <c r="M23" s="6"/>
    </row>
    <row r="24">
      <c r="A24" s="6"/>
      <c r="B24" s="39">
        <v>0.6354166666666666</v>
      </c>
      <c r="C24" s="39">
        <v>0.65625</v>
      </c>
      <c r="D24" s="40" t="s">
        <v>161</v>
      </c>
      <c r="E24" s="6"/>
      <c r="F24" s="61"/>
      <c r="G24" s="64" t="s">
        <v>163</v>
      </c>
      <c r="H24" s="61"/>
      <c r="I24" s="88" t="s">
        <v>166</v>
      </c>
      <c r="L24" s="61"/>
      <c r="M24" s="6"/>
    </row>
    <row r="25">
      <c r="A25" s="6"/>
      <c r="B25" s="39">
        <v>0.65625</v>
      </c>
      <c r="C25" s="39">
        <v>0.6770833333333334</v>
      </c>
      <c r="D25" s="40" t="s">
        <v>173</v>
      </c>
      <c r="E25" s="6"/>
      <c r="F25" s="61"/>
      <c r="G25" s="64"/>
      <c r="H25" s="61"/>
      <c r="L25" s="61"/>
      <c r="M25" s="6"/>
    </row>
    <row r="26">
      <c r="A26" s="6"/>
      <c r="B26" s="39">
        <v>0.6770833333333334</v>
      </c>
      <c r="C26" s="39">
        <v>0.71875</v>
      </c>
      <c r="D26" s="40" t="s">
        <v>174</v>
      </c>
      <c r="E26" s="6"/>
      <c r="G26" s="46"/>
      <c r="H26" s="46"/>
      <c r="M26" s="6"/>
    </row>
    <row r="27">
      <c r="A27" s="6"/>
      <c r="B27" s="39">
        <v>0.71875</v>
      </c>
      <c r="C27" s="39">
        <v>0.7395833333333334</v>
      </c>
      <c r="D27" s="40" t="s">
        <v>175</v>
      </c>
      <c r="E27" s="6"/>
      <c r="G27" s="40" t="s">
        <v>176</v>
      </c>
      <c r="H27" s="46"/>
      <c r="I27" s="99" t="s">
        <v>177</v>
      </c>
      <c r="M27" s="6"/>
    </row>
    <row r="28">
      <c r="A28" s="6"/>
      <c r="B28" s="39">
        <v>0.7395833333333334</v>
      </c>
      <c r="C28" s="39">
        <v>0.75</v>
      </c>
      <c r="D28" s="40" t="s">
        <v>184</v>
      </c>
      <c r="E28" s="6"/>
      <c r="G28" s="46"/>
      <c r="H28" s="46"/>
      <c r="M28" s="6"/>
    </row>
    <row r="29">
      <c r="A29" s="6"/>
      <c r="E29" s="6"/>
      <c r="M29" s="6"/>
    </row>
    <row r="30" ht="27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</sheetData>
  <mergeCells count="12">
    <mergeCell ref="G22:H22"/>
    <mergeCell ref="G23:H23"/>
    <mergeCell ref="I23:K23"/>
    <mergeCell ref="I24:K26"/>
    <mergeCell ref="I27:K28"/>
    <mergeCell ref="B2:L2"/>
    <mergeCell ref="B4:D4"/>
    <mergeCell ref="F4:L4"/>
    <mergeCell ref="B5:D5"/>
    <mergeCell ref="F5:L5"/>
    <mergeCell ref="G14:K15"/>
    <mergeCell ref="F18:L20"/>
  </mergeCells>
  <hyperlinks>
    <hyperlink r:id="rId1" ref="I22"/>
    <hyperlink r:id="rId2" ref="I23"/>
    <hyperlink r:id="rId3" ref="I24"/>
    <hyperlink r:id="rId4" ref="I2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4.13"/>
    <col customWidth="1" min="3" max="3" width="5.25"/>
    <col customWidth="1" min="4" max="4" width="31.25"/>
    <col customWidth="1" min="5" max="5" width="7.25"/>
    <col customWidth="1" min="6" max="6" width="5.38"/>
    <col customWidth="1" min="7" max="7" width="30.75"/>
    <col customWidth="1" min="8" max="8" width="8.38"/>
    <col customWidth="1" min="9" max="9" width="6.0"/>
    <col customWidth="1" min="10" max="10" width="30.75"/>
    <col customWidth="1" min="11" max="11" width="7.5"/>
    <col customWidth="1" min="12" max="12" width="6.5"/>
    <col customWidth="1" min="13" max="13" width="29.25"/>
    <col customWidth="1" min="14" max="14" width="3.88"/>
    <col customWidth="1" min="15" max="15" width="4.5"/>
  </cols>
  <sheetData>
    <row r="1" ht="21.0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66.0" customHeight="1">
      <c r="A2" s="6"/>
      <c r="B2" s="8" t="s">
        <v>9</v>
      </c>
      <c r="O2" s="6"/>
    </row>
    <row r="3" ht="18.0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ht="19.5" customHeight="1">
      <c r="A4" s="6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6"/>
    </row>
    <row r="5">
      <c r="A5" s="13"/>
      <c r="B5" s="15"/>
      <c r="C5" s="17"/>
      <c r="D5" s="19" t="s">
        <v>15</v>
      </c>
      <c r="E5" s="21"/>
      <c r="F5" s="23"/>
      <c r="G5" s="24" t="s">
        <v>16</v>
      </c>
      <c r="H5" s="21"/>
      <c r="I5" s="23"/>
      <c r="J5" s="26" t="s">
        <v>18</v>
      </c>
      <c r="K5" s="21"/>
      <c r="L5" s="23"/>
      <c r="M5" s="28" t="s">
        <v>21</v>
      </c>
      <c r="N5" s="15"/>
      <c r="O5" s="13"/>
    </row>
    <row r="6">
      <c r="A6" s="6"/>
      <c r="B6" s="9"/>
      <c r="C6" s="31" t="s">
        <v>22</v>
      </c>
      <c r="D6" s="33" t="s">
        <v>23</v>
      </c>
      <c r="E6" s="35"/>
      <c r="F6" s="31" t="s">
        <v>25</v>
      </c>
      <c r="G6" s="31" t="s">
        <v>26</v>
      </c>
      <c r="H6" s="35"/>
      <c r="I6" s="31" t="s">
        <v>28</v>
      </c>
      <c r="J6" s="37" t="s">
        <v>30</v>
      </c>
      <c r="K6" s="35"/>
      <c r="L6" s="31" t="s">
        <v>31</v>
      </c>
      <c r="M6" s="31" t="s">
        <v>32</v>
      </c>
      <c r="N6" s="9"/>
      <c r="O6" s="6"/>
    </row>
    <row r="7">
      <c r="A7" s="6"/>
      <c r="B7" s="9"/>
      <c r="C7" s="31" t="s">
        <v>33</v>
      </c>
      <c r="D7" s="31" t="s">
        <v>34</v>
      </c>
      <c r="E7" s="35"/>
      <c r="F7" s="31" t="s">
        <v>35</v>
      </c>
      <c r="G7" s="31" t="s">
        <v>36</v>
      </c>
      <c r="H7" s="35"/>
      <c r="I7" s="31" t="s">
        <v>37</v>
      </c>
      <c r="J7" s="31" t="s">
        <v>38</v>
      </c>
      <c r="K7" s="35"/>
      <c r="L7" s="31" t="s">
        <v>39</v>
      </c>
      <c r="M7" s="31" t="s">
        <v>41</v>
      </c>
      <c r="N7" s="9"/>
      <c r="O7" s="6"/>
    </row>
    <row r="8">
      <c r="A8" s="6"/>
      <c r="B8" s="9"/>
      <c r="C8" s="31" t="s">
        <v>42</v>
      </c>
      <c r="D8" s="33" t="s">
        <v>43</v>
      </c>
      <c r="E8" s="35"/>
      <c r="F8" s="31" t="s">
        <v>44</v>
      </c>
      <c r="G8" s="31" t="s">
        <v>45</v>
      </c>
      <c r="H8" s="35"/>
      <c r="I8" s="31" t="s">
        <v>46</v>
      </c>
      <c r="J8" s="31" t="s">
        <v>47</v>
      </c>
      <c r="K8" s="35"/>
      <c r="L8" s="31" t="s">
        <v>48</v>
      </c>
      <c r="M8" s="31" t="s">
        <v>49</v>
      </c>
      <c r="N8" s="9"/>
      <c r="O8" s="6"/>
    </row>
    <row r="9">
      <c r="A9" s="6"/>
      <c r="B9" s="9"/>
      <c r="C9" s="31" t="s">
        <v>51</v>
      </c>
      <c r="D9" s="31" t="s">
        <v>52</v>
      </c>
      <c r="E9" s="35"/>
      <c r="F9" s="31" t="s">
        <v>53</v>
      </c>
      <c r="G9" s="31" t="s">
        <v>54</v>
      </c>
      <c r="H9" s="35"/>
      <c r="I9" s="31" t="s">
        <v>55</v>
      </c>
      <c r="J9" s="31" t="s">
        <v>56</v>
      </c>
      <c r="K9" s="35"/>
      <c r="L9" s="31" t="s">
        <v>57</v>
      </c>
      <c r="M9" s="31" t="s">
        <v>58</v>
      </c>
      <c r="N9" s="9"/>
      <c r="O9" s="6"/>
    </row>
    <row r="10">
      <c r="A10" s="6"/>
      <c r="B10" s="9"/>
      <c r="C10" s="31" t="s">
        <v>59</v>
      </c>
      <c r="D10" s="31" t="s">
        <v>60</v>
      </c>
      <c r="E10" s="35"/>
      <c r="F10" s="31" t="s">
        <v>61</v>
      </c>
      <c r="G10" s="31" t="s">
        <v>62</v>
      </c>
      <c r="H10" s="35"/>
      <c r="I10" s="31" t="s">
        <v>63</v>
      </c>
      <c r="J10" s="31" t="s">
        <v>65</v>
      </c>
      <c r="K10" s="35"/>
      <c r="L10" s="31" t="s">
        <v>66</v>
      </c>
      <c r="M10" s="31" t="s">
        <v>67</v>
      </c>
      <c r="N10" s="9"/>
      <c r="O10" s="6"/>
    </row>
    <row r="11">
      <c r="A11" s="6"/>
      <c r="B11" s="9"/>
      <c r="C11" s="31" t="s">
        <v>68</v>
      </c>
      <c r="D11" s="31" t="s">
        <v>70</v>
      </c>
      <c r="E11" s="35"/>
      <c r="F11" s="31" t="s">
        <v>71</v>
      </c>
      <c r="G11" s="31" t="s">
        <v>73</v>
      </c>
      <c r="H11" s="35"/>
      <c r="I11" s="31" t="s">
        <v>74</v>
      </c>
      <c r="J11" s="31" t="s">
        <v>6</v>
      </c>
      <c r="K11" s="35"/>
      <c r="L11" s="31" t="s">
        <v>76</v>
      </c>
      <c r="M11" s="31" t="s">
        <v>77</v>
      </c>
      <c r="N11" s="9"/>
      <c r="O11" s="6"/>
    </row>
    <row r="12" ht="30.75" customHeight="1">
      <c r="A12" s="6"/>
      <c r="B12" s="9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9"/>
      <c r="O12" s="6"/>
    </row>
    <row r="13">
      <c r="A13" s="13"/>
      <c r="B13" s="15"/>
      <c r="C13" s="17"/>
      <c r="D13" s="45" t="s">
        <v>83</v>
      </c>
      <c r="E13" s="21"/>
      <c r="F13" s="23"/>
      <c r="G13" s="47" t="s">
        <v>85</v>
      </c>
      <c r="H13" s="21"/>
      <c r="I13" s="23"/>
      <c r="J13" s="51" t="s">
        <v>86</v>
      </c>
      <c r="K13" s="21"/>
      <c r="L13" s="23"/>
      <c r="M13" s="53" t="s">
        <v>89</v>
      </c>
      <c r="N13" s="15"/>
      <c r="O13" s="13"/>
    </row>
    <row r="14">
      <c r="A14" s="6"/>
      <c r="B14" s="9"/>
      <c r="C14" s="31" t="s">
        <v>92</v>
      </c>
      <c r="D14" s="31" t="s">
        <v>93</v>
      </c>
      <c r="E14" s="35"/>
      <c r="F14" s="31" t="s">
        <v>94</v>
      </c>
      <c r="G14" s="31" t="s">
        <v>95</v>
      </c>
      <c r="H14" s="35"/>
      <c r="I14" s="31" t="s">
        <v>97</v>
      </c>
      <c r="J14" s="31" t="s">
        <v>98</v>
      </c>
      <c r="K14" s="35"/>
      <c r="L14" s="31" t="s">
        <v>99</v>
      </c>
      <c r="M14" s="31" t="s">
        <v>100</v>
      </c>
      <c r="N14" s="9"/>
      <c r="O14" s="6"/>
    </row>
    <row r="15">
      <c r="A15" s="6"/>
      <c r="B15" s="9"/>
      <c r="C15" s="31" t="s">
        <v>101</v>
      </c>
      <c r="D15" s="31" t="s">
        <v>102</v>
      </c>
      <c r="E15" s="35"/>
      <c r="F15" s="31" t="s">
        <v>103</v>
      </c>
      <c r="G15" s="31" t="s">
        <v>104</v>
      </c>
      <c r="H15" s="35"/>
      <c r="I15" s="31" t="s">
        <v>105</v>
      </c>
      <c r="J15" s="31" t="s">
        <v>106</v>
      </c>
      <c r="K15" s="35"/>
      <c r="L15" s="31" t="s">
        <v>107</v>
      </c>
      <c r="M15" s="31" t="s">
        <v>108</v>
      </c>
      <c r="N15" s="9"/>
      <c r="O15" s="6"/>
    </row>
    <row r="16">
      <c r="A16" s="6"/>
      <c r="B16" s="9"/>
      <c r="C16" s="31" t="s">
        <v>109</v>
      </c>
      <c r="D16" s="31" t="s">
        <v>110</v>
      </c>
      <c r="E16" s="35"/>
      <c r="F16" s="31" t="s">
        <v>111</v>
      </c>
      <c r="G16" s="31" t="s">
        <v>112</v>
      </c>
      <c r="H16" s="35"/>
      <c r="I16" s="31" t="s">
        <v>113</v>
      </c>
      <c r="J16" s="31" t="s">
        <v>114</v>
      </c>
      <c r="K16" s="35"/>
      <c r="L16" s="31" t="s">
        <v>115</v>
      </c>
      <c r="M16" s="31" t="s">
        <v>116</v>
      </c>
      <c r="N16" s="9"/>
      <c r="O16" s="6"/>
    </row>
    <row r="17">
      <c r="A17" s="6"/>
      <c r="B17" s="9"/>
      <c r="C17" s="31" t="s">
        <v>117</v>
      </c>
      <c r="D17" s="31" t="s">
        <v>118</v>
      </c>
      <c r="E17" s="35"/>
      <c r="F17" s="31" t="s">
        <v>119</v>
      </c>
      <c r="G17" s="31" t="s">
        <v>120</v>
      </c>
      <c r="H17" s="35"/>
      <c r="I17" s="31" t="s">
        <v>121</v>
      </c>
      <c r="J17" s="31" t="s">
        <v>122</v>
      </c>
      <c r="K17" s="35"/>
      <c r="L17" s="31" t="s">
        <v>123</v>
      </c>
      <c r="M17" s="31" t="s">
        <v>124</v>
      </c>
      <c r="N17" s="9"/>
      <c r="O17" s="6"/>
    </row>
    <row r="18">
      <c r="A18" s="6"/>
      <c r="B18" s="9"/>
      <c r="C18" s="31" t="s">
        <v>125</v>
      </c>
      <c r="D18" s="31" t="s">
        <v>126</v>
      </c>
      <c r="E18" s="35"/>
      <c r="F18" s="31" t="s">
        <v>127</v>
      </c>
      <c r="G18" s="31" t="s">
        <v>128</v>
      </c>
      <c r="H18" s="35"/>
      <c r="I18" s="31" t="s">
        <v>129</v>
      </c>
      <c r="J18" s="31" t="s">
        <v>64</v>
      </c>
      <c r="K18" s="35"/>
      <c r="L18" s="31" t="s">
        <v>130</v>
      </c>
      <c r="M18" s="31" t="s">
        <v>131</v>
      </c>
      <c r="N18" s="9"/>
      <c r="O18" s="6"/>
    </row>
    <row r="19">
      <c r="A19" s="6"/>
      <c r="B19" s="9"/>
      <c r="C19" s="31" t="s">
        <v>132</v>
      </c>
      <c r="D19" s="31" t="s">
        <v>133</v>
      </c>
      <c r="E19" s="35"/>
      <c r="F19" s="31" t="s">
        <v>134</v>
      </c>
      <c r="G19" s="31" t="s">
        <v>135</v>
      </c>
      <c r="H19" s="35"/>
      <c r="I19" s="31" t="s">
        <v>137</v>
      </c>
      <c r="J19" s="31" t="s">
        <v>138</v>
      </c>
      <c r="K19" s="35"/>
      <c r="L19" s="31" t="s">
        <v>139</v>
      </c>
      <c r="M19" s="31" t="s">
        <v>140</v>
      </c>
      <c r="N19" s="9"/>
      <c r="O19" s="6"/>
    </row>
    <row r="20" ht="21.75" customHeight="1">
      <c r="A20" s="6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6"/>
    </row>
    <row r="21" ht="22.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</sheetData>
  <mergeCells count="1">
    <mergeCell ref="B2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3.88"/>
    <col customWidth="1" min="3" max="9" width="13.0"/>
    <col customWidth="1" min="10" max="10" width="3.88"/>
    <col customWidth="1" min="11" max="17" width="13.5"/>
    <col customWidth="1" min="18" max="18" width="4.63"/>
    <col customWidth="1" min="19" max="19" width="4.13"/>
  </cols>
  <sheetData>
    <row r="1" ht="21.0" customHeight="1">
      <c r="A1" s="3"/>
      <c r="B1" s="3"/>
      <c r="C1" s="5"/>
      <c r="D1" s="3"/>
      <c r="E1" s="3"/>
      <c r="F1" s="3"/>
      <c r="G1" s="3"/>
      <c r="H1" s="3"/>
      <c r="I1" s="3"/>
      <c r="J1" s="3"/>
      <c r="K1" s="5"/>
      <c r="L1" s="3"/>
      <c r="M1" s="3"/>
      <c r="N1" s="3"/>
      <c r="O1" s="3"/>
      <c r="P1" s="3"/>
      <c r="Q1" s="3"/>
      <c r="R1" s="3"/>
      <c r="S1" s="3"/>
    </row>
    <row r="2">
      <c r="A2" s="3"/>
      <c r="B2" s="8" t="s">
        <v>7</v>
      </c>
      <c r="S2" s="3"/>
    </row>
    <row r="3" ht="23.25" customHeight="1">
      <c r="A3" s="3"/>
      <c r="B3" s="3"/>
      <c r="C3" s="5"/>
      <c r="D3" s="3"/>
      <c r="E3" s="3"/>
      <c r="F3" s="3"/>
      <c r="G3" s="3"/>
      <c r="H3" s="3"/>
      <c r="I3" s="3"/>
      <c r="J3" s="3"/>
      <c r="K3" s="5"/>
      <c r="L3" s="3"/>
      <c r="M3" s="3"/>
      <c r="N3" s="3"/>
      <c r="O3" s="3"/>
      <c r="P3" s="3"/>
      <c r="Q3" s="3"/>
      <c r="R3" s="3"/>
      <c r="S3" s="3"/>
    </row>
    <row r="4" ht="17.25" customHeight="1">
      <c r="A4" s="3"/>
      <c r="B4" s="4"/>
      <c r="C4" s="11"/>
      <c r="D4" s="4"/>
      <c r="E4" s="4"/>
      <c r="F4" s="4"/>
      <c r="G4" s="4"/>
      <c r="H4" s="4"/>
      <c r="I4" s="4"/>
      <c r="J4" s="4"/>
      <c r="K4" s="11"/>
      <c r="L4" s="4"/>
      <c r="M4" s="4"/>
      <c r="N4" s="4"/>
      <c r="O4" s="4"/>
      <c r="P4" s="4"/>
      <c r="Q4" s="4"/>
      <c r="R4" s="4"/>
      <c r="S4" s="14"/>
    </row>
    <row r="5">
      <c r="A5" s="18"/>
      <c r="B5" s="4"/>
      <c r="C5" s="27" t="s">
        <v>15</v>
      </c>
      <c r="D5" s="30"/>
      <c r="E5" s="30"/>
      <c r="F5" s="30"/>
      <c r="G5" s="30"/>
      <c r="H5" s="30"/>
      <c r="I5" s="34"/>
      <c r="J5" s="4"/>
      <c r="K5" s="38" t="s">
        <v>16</v>
      </c>
      <c r="L5" s="30"/>
      <c r="M5" s="30"/>
      <c r="N5" s="30"/>
      <c r="O5" s="30"/>
      <c r="P5" s="30"/>
      <c r="Q5" s="34"/>
      <c r="R5" s="4"/>
      <c r="S5" s="14"/>
    </row>
    <row r="6">
      <c r="A6" s="5"/>
      <c r="B6" s="11"/>
      <c r="C6" s="48">
        <f>sum(D7:I12)</f>
        <v>2510</v>
      </c>
      <c r="D6" s="50" t="s">
        <v>23</v>
      </c>
      <c r="E6" s="52" t="s">
        <v>34</v>
      </c>
      <c r="F6" s="54" t="s">
        <v>43</v>
      </c>
      <c r="G6" s="52" t="s">
        <v>52</v>
      </c>
      <c r="H6" s="52" t="s">
        <v>60</v>
      </c>
      <c r="I6" s="56" t="s">
        <v>70</v>
      </c>
      <c r="J6" s="11"/>
      <c r="K6" s="58">
        <f>sum(L7:Q12)</f>
        <v>2168</v>
      </c>
      <c r="L6" s="60" t="s">
        <v>26</v>
      </c>
      <c r="M6" s="60" t="s">
        <v>36</v>
      </c>
      <c r="N6" s="60" t="s">
        <v>45</v>
      </c>
      <c r="O6" s="60" t="s">
        <v>54</v>
      </c>
      <c r="P6" s="60" t="s">
        <v>62</v>
      </c>
      <c r="Q6" s="62" t="s">
        <v>145</v>
      </c>
      <c r="R6" s="11"/>
      <c r="S6" s="63"/>
    </row>
    <row r="7">
      <c r="A7" s="3"/>
      <c r="B7" s="4"/>
      <c r="C7" s="65" t="s">
        <v>23</v>
      </c>
      <c r="D7" s="63"/>
      <c r="E7" s="2">
        <v>104.0</v>
      </c>
      <c r="F7" s="2">
        <v>92.0</v>
      </c>
      <c r="G7" s="2">
        <v>28.0</v>
      </c>
      <c r="H7" s="2">
        <v>92.0</v>
      </c>
      <c r="I7" s="66">
        <v>32.0</v>
      </c>
      <c r="J7" s="11"/>
      <c r="K7" s="67" t="s">
        <v>26</v>
      </c>
      <c r="L7" s="68"/>
      <c r="M7" s="69">
        <v>32.0</v>
      </c>
      <c r="N7" s="69">
        <v>22.0</v>
      </c>
      <c r="O7" s="69">
        <v>82.0</v>
      </c>
      <c r="P7" s="69">
        <v>22.0</v>
      </c>
      <c r="Q7" s="70">
        <v>66.0</v>
      </c>
      <c r="R7" s="4"/>
      <c r="S7" s="14"/>
    </row>
    <row r="8">
      <c r="A8" s="3"/>
      <c r="B8" s="4"/>
      <c r="C8" s="71" t="s">
        <v>34</v>
      </c>
      <c r="D8" s="2">
        <v>80.0</v>
      </c>
      <c r="E8" s="63"/>
      <c r="F8" s="2">
        <v>200.0</v>
      </c>
      <c r="G8" s="2">
        <v>144.0</v>
      </c>
      <c r="H8" s="2">
        <v>84.0</v>
      </c>
      <c r="I8" s="66">
        <v>90.0</v>
      </c>
      <c r="J8" s="11"/>
      <c r="K8" s="72" t="s">
        <v>36</v>
      </c>
      <c r="L8" s="69">
        <v>118.0</v>
      </c>
      <c r="M8" s="68"/>
      <c r="N8" s="69">
        <v>64.0</v>
      </c>
      <c r="O8" s="69">
        <v>80.0</v>
      </c>
      <c r="P8" s="69">
        <v>60.0</v>
      </c>
      <c r="Q8" s="70">
        <v>46.0</v>
      </c>
      <c r="R8" s="4"/>
      <c r="S8" s="14"/>
    </row>
    <row r="9">
      <c r="A9" s="3"/>
      <c r="B9" s="4"/>
      <c r="C9" s="65" t="s">
        <v>43</v>
      </c>
      <c r="D9" s="2">
        <v>50.0</v>
      </c>
      <c r="E9" s="2">
        <v>12.0</v>
      </c>
      <c r="F9" s="63"/>
      <c r="G9" s="2">
        <v>8.0</v>
      </c>
      <c r="H9" s="2">
        <v>18.0</v>
      </c>
      <c r="I9" s="66">
        <v>50.0</v>
      </c>
      <c r="J9" s="11"/>
      <c r="K9" s="72" t="s">
        <v>45</v>
      </c>
      <c r="L9" s="69">
        <v>134.0</v>
      </c>
      <c r="M9" s="69">
        <v>90.0</v>
      </c>
      <c r="N9" s="68"/>
      <c r="O9" s="69">
        <v>130.0</v>
      </c>
      <c r="P9" s="69">
        <v>130.0</v>
      </c>
      <c r="Q9" s="70">
        <v>194.0</v>
      </c>
      <c r="R9" s="4"/>
      <c r="S9" s="14"/>
    </row>
    <row r="10">
      <c r="A10" s="3"/>
      <c r="B10" s="4"/>
      <c r="C10" s="71" t="s">
        <v>52</v>
      </c>
      <c r="D10" s="2">
        <v>78.0</v>
      </c>
      <c r="E10" s="2">
        <v>78.0</v>
      </c>
      <c r="F10" s="2">
        <v>162.0</v>
      </c>
      <c r="G10" s="63"/>
      <c r="H10" s="2">
        <v>106.0</v>
      </c>
      <c r="I10" s="66">
        <v>122.0</v>
      </c>
      <c r="J10" s="11"/>
      <c r="K10" s="72" t="s">
        <v>54</v>
      </c>
      <c r="L10" s="69">
        <v>38.0</v>
      </c>
      <c r="M10" s="69">
        <v>58.0</v>
      </c>
      <c r="N10" s="69">
        <v>48.0</v>
      </c>
      <c r="O10" s="68"/>
      <c r="P10" s="69">
        <v>46.0</v>
      </c>
      <c r="Q10" s="70">
        <v>76.0</v>
      </c>
      <c r="R10" s="4"/>
      <c r="S10" s="14"/>
    </row>
    <row r="11">
      <c r="A11" s="3"/>
      <c r="B11" s="4"/>
      <c r="C11" s="71" t="s">
        <v>60</v>
      </c>
      <c r="D11" s="2">
        <v>106.0</v>
      </c>
      <c r="E11" s="2">
        <v>74.0</v>
      </c>
      <c r="F11" s="2">
        <v>114.0</v>
      </c>
      <c r="G11" s="2">
        <v>84.0</v>
      </c>
      <c r="H11" s="63"/>
      <c r="I11" s="66">
        <v>122.0</v>
      </c>
      <c r="J11" s="11"/>
      <c r="K11" s="72" t="s">
        <v>62</v>
      </c>
      <c r="L11" s="69">
        <v>144.0</v>
      </c>
      <c r="M11" s="69">
        <v>96.0</v>
      </c>
      <c r="N11" s="69">
        <v>68.0</v>
      </c>
      <c r="O11" s="69">
        <v>82.0</v>
      </c>
      <c r="P11" s="68"/>
      <c r="Q11" s="70">
        <v>156.0</v>
      </c>
      <c r="R11" s="4"/>
      <c r="S11" s="14"/>
    </row>
    <row r="12">
      <c r="A12" s="3"/>
      <c r="B12" s="4"/>
      <c r="C12" s="76" t="s">
        <v>70</v>
      </c>
      <c r="D12" s="77">
        <v>54.0</v>
      </c>
      <c r="E12" s="77">
        <v>100.0</v>
      </c>
      <c r="F12" s="77">
        <v>108.0</v>
      </c>
      <c r="G12" s="77">
        <v>68.0</v>
      </c>
      <c r="H12" s="77">
        <v>50.0</v>
      </c>
      <c r="I12" s="78"/>
      <c r="J12" s="11"/>
      <c r="K12" s="80" t="s">
        <v>145</v>
      </c>
      <c r="L12" s="81">
        <v>20.0</v>
      </c>
      <c r="M12" s="81">
        <v>28.0</v>
      </c>
      <c r="N12" s="81">
        <v>8.0</v>
      </c>
      <c r="O12" s="81">
        <v>26.0</v>
      </c>
      <c r="P12" s="81">
        <v>4.0</v>
      </c>
      <c r="Q12" s="83"/>
      <c r="R12" s="4"/>
      <c r="S12" s="14"/>
    </row>
    <row r="13" ht="21.75" customHeight="1">
      <c r="A13" s="3"/>
      <c r="B13" s="4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4"/>
      <c r="S13" s="14"/>
    </row>
    <row r="14">
      <c r="A14" s="18"/>
      <c r="B14" s="4"/>
      <c r="C14" s="85" t="s">
        <v>18</v>
      </c>
      <c r="D14" s="30"/>
      <c r="E14" s="30"/>
      <c r="F14" s="30"/>
      <c r="G14" s="30"/>
      <c r="H14" s="30"/>
      <c r="I14" s="34"/>
      <c r="J14" s="11"/>
      <c r="K14" s="87" t="s">
        <v>21</v>
      </c>
      <c r="L14" s="30"/>
      <c r="M14" s="30"/>
      <c r="N14" s="30"/>
      <c r="O14" s="30"/>
      <c r="P14" s="30"/>
      <c r="Q14" s="34"/>
      <c r="R14" s="4"/>
      <c r="S14" s="14"/>
    </row>
    <row r="15">
      <c r="A15" s="5"/>
      <c r="B15" s="11"/>
      <c r="C15" s="48">
        <f>sum(D16:I21)</f>
        <v>2354</v>
      </c>
      <c r="D15" s="95" t="s">
        <v>30</v>
      </c>
      <c r="E15" s="52" t="s">
        <v>38</v>
      </c>
      <c r="F15" s="52" t="s">
        <v>47</v>
      </c>
      <c r="G15" s="52" t="s">
        <v>56</v>
      </c>
      <c r="H15" s="52" t="s">
        <v>65</v>
      </c>
      <c r="I15" s="56" t="s">
        <v>181</v>
      </c>
      <c r="J15" s="11"/>
      <c r="K15" s="48">
        <f>sum(L16:Q21)</f>
        <v>1978</v>
      </c>
      <c r="L15" s="60" t="s">
        <v>32</v>
      </c>
      <c r="M15" s="60" t="s">
        <v>41</v>
      </c>
      <c r="N15" s="60" t="s">
        <v>49</v>
      </c>
      <c r="O15" s="60" t="s">
        <v>58</v>
      </c>
      <c r="P15" s="60" t="s">
        <v>67</v>
      </c>
      <c r="Q15" s="62" t="s">
        <v>77</v>
      </c>
      <c r="R15" s="11"/>
      <c r="S15" s="63"/>
    </row>
    <row r="16">
      <c r="A16" s="3"/>
      <c r="B16" s="4"/>
      <c r="C16" s="97" t="s">
        <v>30</v>
      </c>
      <c r="D16" s="63"/>
      <c r="E16" s="2">
        <v>146.0</v>
      </c>
      <c r="F16" s="2">
        <v>60.0</v>
      </c>
      <c r="G16" s="2">
        <v>106.0</v>
      </c>
      <c r="H16" s="2">
        <v>18.0</v>
      </c>
      <c r="I16" s="66">
        <v>10.0</v>
      </c>
      <c r="J16" s="11"/>
      <c r="K16" s="72" t="s">
        <v>32</v>
      </c>
      <c r="L16" s="68"/>
      <c r="M16" s="69">
        <v>86.0</v>
      </c>
      <c r="N16" s="69">
        <v>48.0</v>
      </c>
      <c r="O16" s="69">
        <v>40.0</v>
      </c>
      <c r="P16" s="69">
        <v>44.0</v>
      </c>
      <c r="Q16" s="70">
        <v>12.0</v>
      </c>
      <c r="R16" s="4"/>
      <c r="S16" s="14"/>
    </row>
    <row r="17">
      <c r="A17" s="3"/>
      <c r="B17" s="4"/>
      <c r="C17" s="71" t="s">
        <v>38</v>
      </c>
      <c r="D17" s="2">
        <v>8.0</v>
      </c>
      <c r="E17" s="63"/>
      <c r="F17" s="2">
        <v>20.0</v>
      </c>
      <c r="G17" s="2">
        <v>16.0</v>
      </c>
      <c r="H17" s="2">
        <v>12.0</v>
      </c>
      <c r="I17" s="66">
        <v>8.0</v>
      </c>
      <c r="J17" s="11"/>
      <c r="K17" s="72" t="s">
        <v>41</v>
      </c>
      <c r="L17" s="69">
        <v>96.0</v>
      </c>
      <c r="M17" s="68"/>
      <c r="N17" s="69">
        <v>212.0</v>
      </c>
      <c r="O17" s="69">
        <v>64.0</v>
      </c>
      <c r="P17" s="69">
        <v>114.0</v>
      </c>
      <c r="Q17" s="70">
        <v>70.0</v>
      </c>
      <c r="R17" s="4"/>
      <c r="S17" s="14"/>
    </row>
    <row r="18">
      <c r="A18" s="3"/>
      <c r="B18" s="4"/>
      <c r="C18" s="71" t="s">
        <v>47</v>
      </c>
      <c r="D18" s="2">
        <v>28.0</v>
      </c>
      <c r="E18" s="2">
        <v>62.0</v>
      </c>
      <c r="F18" s="63"/>
      <c r="G18" s="2">
        <v>26.0</v>
      </c>
      <c r="H18" s="2">
        <v>50.0</v>
      </c>
      <c r="I18" s="66">
        <v>22.0</v>
      </c>
      <c r="J18" s="11"/>
      <c r="K18" s="72" t="s">
        <v>49</v>
      </c>
      <c r="L18" s="69">
        <v>26.0</v>
      </c>
      <c r="M18" s="69">
        <v>4.0</v>
      </c>
      <c r="N18" s="68"/>
      <c r="O18" s="69">
        <v>8.0</v>
      </c>
      <c r="P18" s="69">
        <v>22.0</v>
      </c>
      <c r="Q18" s="70">
        <v>18.0</v>
      </c>
      <c r="R18" s="4"/>
      <c r="S18" s="14"/>
    </row>
    <row r="19">
      <c r="A19" s="3"/>
      <c r="B19" s="4"/>
      <c r="C19" s="71" t="s">
        <v>56</v>
      </c>
      <c r="D19" s="2">
        <v>72.0</v>
      </c>
      <c r="E19" s="2">
        <v>64.0</v>
      </c>
      <c r="F19" s="2">
        <v>170.0</v>
      </c>
      <c r="G19" s="63"/>
      <c r="H19" s="2">
        <v>126.0</v>
      </c>
      <c r="I19" s="66">
        <v>60.0</v>
      </c>
      <c r="J19" s="11"/>
      <c r="K19" s="72" t="s">
        <v>58</v>
      </c>
      <c r="L19" s="69">
        <v>82.0</v>
      </c>
      <c r="M19" s="69">
        <v>18.0</v>
      </c>
      <c r="N19" s="69">
        <v>72.0</v>
      </c>
      <c r="O19" s="68"/>
      <c r="P19" s="69">
        <v>70.0</v>
      </c>
      <c r="Q19" s="70">
        <v>32.0</v>
      </c>
      <c r="R19" s="4"/>
      <c r="S19" s="14"/>
    </row>
    <row r="20">
      <c r="A20" s="3"/>
      <c r="B20" s="4"/>
      <c r="C20" s="71" t="s">
        <v>65</v>
      </c>
      <c r="D20" s="2">
        <v>80.0</v>
      </c>
      <c r="E20" s="2">
        <v>132.0</v>
      </c>
      <c r="F20" s="2">
        <v>76.0</v>
      </c>
      <c r="G20" s="2">
        <v>28.0</v>
      </c>
      <c r="H20" s="63"/>
      <c r="I20" s="66">
        <v>18.0</v>
      </c>
      <c r="J20" s="11"/>
      <c r="K20" s="72" t="s">
        <v>67</v>
      </c>
      <c r="L20" s="69">
        <v>100.0</v>
      </c>
      <c r="M20" s="69">
        <v>54.0</v>
      </c>
      <c r="N20" s="69">
        <v>68.0</v>
      </c>
      <c r="O20" s="69">
        <v>60.0</v>
      </c>
      <c r="P20" s="68"/>
      <c r="Q20" s="70">
        <v>58.0</v>
      </c>
      <c r="R20" s="4"/>
      <c r="S20" s="14"/>
    </row>
    <row r="21">
      <c r="A21" s="3"/>
      <c r="B21" s="4"/>
      <c r="C21" s="76" t="s">
        <v>181</v>
      </c>
      <c r="D21" s="77">
        <v>220.0</v>
      </c>
      <c r="E21" s="77">
        <v>188.0</v>
      </c>
      <c r="F21" s="77">
        <v>206.0</v>
      </c>
      <c r="G21" s="77">
        <v>140.0</v>
      </c>
      <c r="H21" s="77">
        <v>182.0</v>
      </c>
      <c r="I21" s="78"/>
      <c r="J21" s="11"/>
      <c r="K21" s="80" t="s">
        <v>77</v>
      </c>
      <c r="L21" s="81">
        <v>80.0</v>
      </c>
      <c r="M21" s="81">
        <v>68.0</v>
      </c>
      <c r="N21" s="81">
        <v>138.0</v>
      </c>
      <c r="O21" s="81">
        <v>130.0</v>
      </c>
      <c r="P21" s="81">
        <v>84.0</v>
      </c>
      <c r="Q21" s="83"/>
      <c r="R21" s="4"/>
      <c r="S21" s="14"/>
    </row>
    <row r="22" ht="23.25" customHeight="1">
      <c r="A22" s="3"/>
      <c r="B22" s="4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4"/>
      <c r="S22" s="14"/>
    </row>
    <row r="23">
      <c r="A23" s="18"/>
      <c r="B23" s="4"/>
      <c r="C23" s="107" t="s">
        <v>83</v>
      </c>
      <c r="D23" s="30"/>
      <c r="E23" s="30"/>
      <c r="F23" s="30"/>
      <c r="G23" s="30"/>
      <c r="H23" s="30"/>
      <c r="I23" s="34"/>
      <c r="J23" s="11"/>
      <c r="K23" s="112" t="s">
        <v>85</v>
      </c>
      <c r="L23" s="30"/>
      <c r="M23" s="30"/>
      <c r="N23" s="30"/>
      <c r="O23" s="30"/>
      <c r="P23" s="30"/>
      <c r="Q23" s="34"/>
      <c r="R23" s="4"/>
      <c r="S23" s="14"/>
    </row>
    <row r="24">
      <c r="A24" s="5"/>
      <c r="B24" s="11"/>
      <c r="C24" s="48">
        <f>sum(D25:I30)</f>
        <v>2568</v>
      </c>
      <c r="D24" s="52" t="s">
        <v>93</v>
      </c>
      <c r="E24" s="52" t="s">
        <v>102</v>
      </c>
      <c r="F24" s="52" t="s">
        <v>110</v>
      </c>
      <c r="G24" s="52" t="s">
        <v>118</v>
      </c>
      <c r="H24" s="52" t="s">
        <v>202</v>
      </c>
      <c r="I24" s="56" t="s">
        <v>203</v>
      </c>
      <c r="J24" s="11"/>
      <c r="K24" s="48">
        <f>sum(L25:Q30)</f>
        <v>2534</v>
      </c>
      <c r="L24" s="60" t="s">
        <v>95</v>
      </c>
      <c r="M24" s="60" t="s">
        <v>104</v>
      </c>
      <c r="N24" s="60" t="s">
        <v>112</v>
      </c>
      <c r="O24" s="60" t="s">
        <v>207</v>
      </c>
      <c r="P24" s="60" t="s">
        <v>208</v>
      </c>
      <c r="Q24" s="62" t="s">
        <v>135</v>
      </c>
      <c r="R24" s="11"/>
      <c r="S24" s="63"/>
    </row>
    <row r="25">
      <c r="A25" s="3"/>
      <c r="B25" s="4"/>
      <c r="C25" s="71" t="s">
        <v>93</v>
      </c>
      <c r="D25" s="63"/>
      <c r="E25" s="2">
        <v>44.0</v>
      </c>
      <c r="F25" s="2">
        <v>56.0</v>
      </c>
      <c r="G25" s="2">
        <v>4.0</v>
      </c>
      <c r="H25" s="2">
        <v>86.0</v>
      </c>
      <c r="I25" s="66">
        <v>50.0</v>
      </c>
      <c r="J25" s="11"/>
      <c r="K25" s="72" t="s">
        <v>95</v>
      </c>
      <c r="L25" s="68"/>
      <c r="M25" s="69">
        <v>102.0</v>
      </c>
      <c r="N25" s="69">
        <v>80.0</v>
      </c>
      <c r="O25" s="69">
        <v>156.0</v>
      </c>
      <c r="P25" s="69">
        <v>138.0</v>
      </c>
      <c r="Q25" s="70">
        <v>100.0</v>
      </c>
      <c r="R25" s="4"/>
      <c r="S25" s="14"/>
    </row>
    <row r="26">
      <c r="A26" s="3"/>
      <c r="B26" s="4"/>
      <c r="C26" s="71" t="s">
        <v>102</v>
      </c>
      <c r="D26" s="2">
        <v>128.0</v>
      </c>
      <c r="E26" s="63"/>
      <c r="F26" s="2">
        <v>122.0</v>
      </c>
      <c r="G26" s="2">
        <v>82.0</v>
      </c>
      <c r="H26" s="2">
        <v>36.0</v>
      </c>
      <c r="I26" s="66">
        <v>86.0</v>
      </c>
      <c r="J26" s="11"/>
      <c r="K26" s="72" t="s">
        <v>104</v>
      </c>
      <c r="L26" s="69">
        <v>100.0</v>
      </c>
      <c r="M26" s="68"/>
      <c r="N26" s="69">
        <v>64.0</v>
      </c>
      <c r="O26" s="69">
        <v>22.0</v>
      </c>
      <c r="P26" s="69">
        <v>176.0</v>
      </c>
      <c r="Q26" s="70">
        <v>64.0</v>
      </c>
      <c r="R26" s="4"/>
      <c r="S26" s="14"/>
    </row>
    <row r="27">
      <c r="A27" s="3"/>
      <c r="B27" s="4"/>
      <c r="C27" s="71" t="s">
        <v>110</v>
      </c>
      <c r="D27" s="2">
        <v>134.0</v>
      </c>
      <c r="E27" s="2">
        <v>46.0</v>
      </c>
      <c r="F27" s="63"/>
      <c r="G27" s="2">
        <v>80.0</v>
      </c>
      <c r="H27" s="2">
        <v>54.0</v>
      </c>
      <c r="I27" s="66">
        <v>76.0</v>
      </c>
      <c r="J27" s="11"/>
      <c r="K27" s="72" t="s">
        <v>112</v>
      </c>
      <c r="L27" s="69">
        <v>92.0</v>
      </c>
      <c r="M27" s="69">
        <v>112.0</v>
      </c>
      <c r="N27" s="68"/>
      <c r="O27" s="69">
        <v>140.0</v>
      </c>
      <c r="P27" s="69">
        <v>126.0</v>
      </c>
      <c r="Q27" s="70">
        <v>178.0</v>
      </c>
      <c r="R27" s="4"/>
      <c r="S27" s="14"/>
    </row>
    <row r="28">
      <c r="A28" s="3"/>
      <c r="B28" s="4"/>
      <c r="C28" s="71" t="s">
        <v>118</v>
      </c>
      <c r="D28" s="2">
        <v>184.0</v>
      </c>
      <c r="E28" s="2">
        <v>72.0</v>
      </c>
      <c r="F28" s="2">
        <v>142.0</v>
      </c>
      <c r="G28" s="63"/>
      <c r="H28" s="2">
        <v>132.0</v>
      </c>
      <c r="I28" s="66">
        <v>152.0</v>
      </c>
      <c r="J28" s="11"/>
      <c r="K28" s="72" t="s">
        <v>207</v>
      </c>
      <c r="L28" s="69">
        <v>36.0</v>
      </c>
      <c r="M28" s="69">
        <v>108.0</v>
      </c>
      <c r="N28" s="69">
        <v>74.0</v>
      </c>
      <c r="O28" s="68"/>
      <c r="P28" s="69">
        <v>88.0</v>
      </c>
      <c r="Q28" s="70">
        <v>54.0</v>
      </c>
      <c r="R28" s="4"/>
      <c r="S28" s="14"/>
    </row>
    <row r="29">
      <c r="A29" s="3"/>
      <c r="B29" s="4"/>
      <c r="C29" s="71" t="s">
        <v>202</v>
      </c>
      <c r="D29" s="2">
        <v>88.0</v>
      </c>
      <c r="E29" s="2">
        <v>166.0</v>
      </c>
      <c r="F29" s="2">
        <v>96.0</v>
      </c>
      <c r="G29" s="2">
        <v>50.0</v>
      </c>
      <c r="H29" s="63"/>
      <c r="I29" s="66">
        <v>74.0</v>
      </c>
      <c r="J29" s="11"/>
      <c r="K29" s="72" t="s">
        <v>208</v>
      </c>
      <c r="L29" s="69">
        <v>30.0</v>
      </c>
      <c r="M29" s="69">
        <v>22.0</v>
      </c>
      <c r="N29" s="69">
        <v>-4.0</v>
      </c>
      <c r="O29" s="69">
        <v>12.0</v>
      </c>
      <c r="P29" s="68"/>
      <c r="Q29" s="70">
        <v>94.0</v>
      </c>
      <c r="R29" s="4"/>
      <c r="S29" s="14"/>
    </row>
    <row r="30">
      <c r="A30" s="3"/>
      <c r="B30" s="4"/>
      <c r="C30" s="76" t="s">
        <v>203</v>
      </c>
      <c r="D30" s="77">
        <v>76.0</v>
      </c>
      <c r="E30" s="77">
        <v>70.0</v>
      </c>
      <c r="F30" s="77">
        <v>44.0</v>
      </c>
      <c r="G30" s="77">
        <v>22.0</v>
      </c>
      <c r="H30" s="77">
        <v>116.0</v>
      </c>
      <c r="I30" s="78"/>
      <c r="J30" s="11"/>
      <c r="K30" s="80" t="s">
        <v>135</v>
      </c>
      <c r="L30" s="81">
        <v>28.0</v>
      </c>
      <c r="M30" s="81">
        <v>82.0</v>
      </c>
      <c r="N30" s="81">
        <v>66.0</v>
      </c>
      <c r="O30" s="81">
        <v>144.0</v>
      </c>
      <c r="P30" s="81">
        <v>50.0</v>
      </c>
      <c r="Q30" s="83"/>
      <c r="R30" s="4"/>
      <c r="S30" s="14"/>
    </row>
    <row r="31" ht="21.0" customHeight="1">
      <c r="A31" s="3"/>
      <c r="B31" s="4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4"/>
      <c r="S31" s="14"/>
    </row>
    <row r="32">
      <c r="A32" s="18"/>
      <c r="B32" s="4"/>
      <c r="C32" s="129" t="s">
        <v>86</v>
      </c>
      <c r="D32" s="30"/>
      <c r="E32" s="30"/>
      <c r="F32" s="30"/>
      <c r="G32" s="30"/>
      <c r="H32" s="30"/>
      <c r="I32" s="34"/>
      <c r="J32" s="11"/>
      <c r="K32" s="130" t="s">
        <v>89</v>
      </c>
      <c r="L32" s="30"/>
      <c r="M32" s="30"/>
      <c r="N32" s="30"/>
      <c r="O32" s="30"/>
      <c r="P32" s="30"/>
      <c r="Q32" s="34"/>
      <c r="R32" s="4"/>
      <c r="S32" s="14"/>
    </row>
    <row r="33">
      <c r="A33" s="5"/>
      <c r="B33" s="11"/>
      <c r="C33" s="48">
        <f>sum(D34:I39)</f>
        <v>2362</v>
      </c>
      <c r="D33" s="52" t="s">
        <v>217</v>
      </c>
      <c r="E33" s="52" t="s">
        <v>106</v>
      </c>
      <c r="F33" s="52" t="s">
        <v>114</v>
      </c>
      <c r="G33" s="52" t="s">
        <v>122</v>
      </c>
      <c r="H33" s="52" t="s">
        <v>64</v>
      </c>
      <c r="I33" s="56" t="s">
        <v>138</v>
      </c>
      <c r="J33" s="11"/>
      <c r="K33" s="58">
        <f>sum(L34:Q39)</f>
        <v>2538</v>
      </c>
      <c r="L33" s="60" t="s">
        <v>219</v>
      </c>
      <c r="M33" s="60" t="s">
        <v>108</v>
      </c>
      <c r="N33" s="60" t="s">
        <v>116</v>
      </c>
      <c r="O33" s="60" t="s">
        <v>124</v>
      </c>
      <c r="P33" s="60" t="s">
        <v>131</v>
      </c>
      <c r="Q33" s="62" t="s">
        <v>140</v>
      </c>
      <c r="R33" s="11"/>
      <c r="S33" s="63"/>
    </row>
    <row r="34">
      <c r="A34" s="3"/>
      <c r="B34" s="4"/>
      <c r="C34" s="71" t="s">
        <v>217</v>
      </c>
      <c r="D34" s="63"/>
      <c r="E34" s="2">
        <v>22.0</v>
      </c>
      <c r="F34" s="2">
        <v>14.0</v>
      </c>
      <c r="G34" s="2">
        <v>38.0</v>
      </c>
      <c r="H34" s="2">
        <v>22.0</v>
      </c>
      <c r="I34" s="66">
        <v>50.0</v>
      </c>
      <c r="J34" s="11"/>
      <c r="K34" s="67" t="s">
        <v>219</v>
      </c>
      <c r="L34" s="68"/>
      <c r="M34" s="69">
        <v>8.0</v>
      </c>
      <c r="N34" s="69">
        <v>4.0</v>
      </c>
      <c r="O34" s="69">
        <v>30.0</v>
      </c>
      <c r="P34" s="69">
        <v>18.0</v>
      </c>
      <c r="Q34" s="70">
        <v>30.0</v>
      </c>
      <c r="R34" s="4"/>
      <c r="S34" s="14"/>
    </row>
    <row r="35">
      <c r="A35" s="3"/>
      <c r="B35" s="4"/>
      <c r="C35" s="71" t="s">
        <v>106</v>
      </c>
      <c r="D35" s="2">
        <v>118.0</v>
      </c>
      <c r="E35" s="63"/>
      <c r="F35" s="2">
        <v>92.0</v>
      </c>
      <c r="G35" s="2">
        <v>80.0</v>
      </c>
      <c r="H35" s="2">
        <v>90.0</v>
      </c>
      <c r="I35" s="66">
        <v>116.0</v>
      </c>
      <c r="J35" s="11"/>
      <c r="K35" s="72" t="s">
        <v>108</v>
      </c>
      <c r="L35" s="69">
        <v>144.0</v>
      </c>
      <c r="M35" s="68"/>
      <c r="N35" s="69">
        <v>64.0</v>
      </c>
      <c r="O35" s="69">
        <v>62.0</v>
      </c>
      <c r="P35" s="69">
        <v>68.0</v>
      </c>
      <c r="Q35" s="70">
        <v>64.0</v>
      </c>
      <c r="R35" s="4"/>
      <c r="S35" s="14"/>
    </row>
    <row r="36">
      <c r="A36" s="3"/>
      <c r="B36" s="4"/>
      <c r="C36" s="71" t="s">
        <v>114</v>
      </c>
      <c r="D36" s="2">
        <v>94.0</v>
      </c>
      <c r="E36" s="2">
        <v>76.0</v>
      </c>
      <c r="F36" s="63"/>
      <c r="G36" s="2">
        <v>124.0</v>
      </c>
      <c r="H36" s="2">
        <v>92.0</v>
      </c>
      <c r="I36" s="66">
        <v>146.0</v>
      </c>
      <c r="J36" s="11"/>
      <c r="K36" s="72" t="s">
        <v>116</v>
      </c>
      <c r="L36" s="69">
        <v>138.0</v>
      </c>
      <c r="M36" s="69">
        <v>112.0</v>
      </c>
      <c r="N36" s="68"/>
      <c r="O36" s="69">
        <v>148.0</v>
      </c>
      <c r="P36" s="69">
        <v>88.0</v>
      </c>
      <c r="Q36" s="70">
        <v>112.0</v>
      </c>
      <c r="R36" s="4"/>
      <c r="S36" s="14"/>
    </row>
    <row r="37">
      <c r="A37" s="3"/>
      <c r="B37" s="4"/>
      <c r="C37" s="71" t="s">
        <v>122</v>
      </c>
      <c r="D37" s="2">
        <v>86.0</v>
      </c>
      <c r="E37" s="2">
        <v>38.0</v>
      </c>
      <c r="F37" s="2">
        <v>66.0</v>
      </c>
      <c r="G37" s="63"/>
      <c r="H37" s="2">
        <v>10.0</v>
      </c>
      <c r="I37" s="66">
        <v>54.0</v>
      </c>
      <c r="J37" s="11"/>
      <c r="K37" s="72" t="s">
        <v>124</v>
      </c>
      <c r="L37" s="69">
        <v>130.0</v>
      </c>
      <c r="M37" s="69">
        <v>46.0</v>
      </c>
      <c r="N37" s="69">
        <v>50.0</v>
      </c>
      <c r="O37" s="68"/>
      <c r="P37" s="69">
        <v>24.0</v>
      </c>
      <c r="Q37" s="70">
        <v>18.0</v>
      </c>
      <c r="R37" s="4"/>
      <c r="S37" s="14"/>
    </row>
    <row r="38">
      <c r="A38" s="3"/>
      <c r="B38" s="4"/>
      <c r="C38" s="71" t="s">
        <v>64</v>
      </c>
      <c r="D38" s="2">
        <v>190.0</v>
      </c>
      <c r="E38" s="2">
        <v>92.0</v>
      </c>
      <c r="F38" s="2">
        <v>112.0</v>
      </c>
      <c r="G38" s="2">
        <v>224.0</v>
      </c>
      <c r="H38" s="63"/>
      <c r="I38" s="66">
        <v>162.0</v>
      </c>
      <c r="J38" s="11"/>
      <c r="K38" s="72" t="s">
        <v>131</v>
      </c>
      <c r="L38" s="69">
        <v>180.0</v>
      </c>
      <c r="M38" s="69">
        <v>110.0</v>
      </c>
      <c r="N38" s="69">
        <v>74.0</v>
      </c>
      <c r="O38" s="69">
        <v>152.0</v>
      </c>
      <c r="P38" s="68"/>
      <c r="Q38" s="70">
        <v>56.0</v>
      </c>
      <c r="R38" s="4"/>
      <c r="S38" s="14"/>
    </row>
    <row r="39">
      <c r="A39" s="3"/>
      <c r="B39" s="4"/>
      <c r="C39" s="76" t="s">
        <v>138</v>
      </c>
      <c r="D39" s="77">
        <v>20.0</v>
      </c>
      <c r="E39" s="77">
        <v>50.0</v>
      </c>
      <c r="F39" s="77">
        <v>36.0</v>
      </c>
      <c r="G39" s="77">
        <v>52.0</v>
      </c>
      <c r="H39" s="77">
        <v>-4.0</v>
      </c>
      <c r="I39" s="78"/>
      <c r="J39" s="11"/>
      <c r="K39" s="80" t="s">
        <v>140</v>
      </c>
      <c r="L39" s="81">
        <v>110.0</v>
      </c>
      <c r="M39" s="81">
        <v>82.0</v>
      </c>
      <c r="N39" s="81">
        <v>106.0</v>
      </c>
      <c r="O39" s="81">
        <v>164.0</v>
      </c>
      <c r="P39" s="81">
        <v>146.0</v>
      </c>
      <c r="Q39" s="83"/>
      <c r="R39" s="4"/>
      <c r="S39" s="14"/>
    </row>
    <row r="40" ht="19.5" customHeight="1">
      <c r="A40" s="3"/>
      <c r="B40" s="4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4"/>
      <c r="S40" s="14"/>
    </row>
    <row r="41" ht="19.5" customHeight="1">
      <c r="A41" s="3"/>
      <c r="B41" s="14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14"/>
      <c r="S41" s="14"/>
    </row>
  </sheetData>
  <mergeCells count="9">
    <mergeCell ref="C32:I32"/>
    <mergeCell ref="K32:Q32"/>
    <mergeCell ref="B2:R2"/>
    <mergeCell ref="C5:I5"/>
    <mergeCell ref="K5:Q5"/>
    <mergeCell ref="C14:I14"/>
    <mergeCell ref="K14:Q14"/>
    <mergeCell ref="C23:I23"/>
    <mergeCell ref="K23:Q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13"/>
    <col customWidth="1" min="5" max="5" width="19.13"/>
    <col customWidth="1" min="10" max="10" width="12.25"/>
  </cols>
  <sheetData>
    <row r="1"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/>
      <c r="H1" s="1" t="s">
        <v>5</v>
      </c>
      <c r="I1" s="1"/>
      <c r="J1" s="1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B2" s="1">
        <v>1.0</v>
      </c>
      <c r="C2" s="7" t="s">
        <v>6</v>
      </c>
      <c r="D2" s="1" t="s">
        <v>10</v>
      </c>
      <c r="E2" s="1">
        <v>10.0</v>
      </c>
      <c r="F2" s="4">
        <f t="shared" ref="F2:F49" si="1">sum(H2:N2)</f>
        <v>936</v>
      </c>
      <c r="G2" s="1"/>
      <c r="H2" s="1">
        <f>'Round Robin Scoring'!D21</f>
        <v>220</v>
      </c>
      <c r="I2" s="1">
        <f>'Round Robin Scoring'!E21</f>
        <v>188</v>
      </c>
      <c r="J2" s="1">
        <f>'Round Robin Scoring'!F21</f>
        <v>206</v>
      </c>
      <c r="K2" s="1">
        <f>'Round Robin Scoring'!G21</f>
        <v>140</v>
      </c>
      <c r="L2" s="1">
        <f>'Round Robin Scoring'!H21</f>
        <v>182</v>
      </c>
      <c r="M2" s="1"/>
      <c r="N2" s="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B3" s="1">
        <v>2.0</v>
      </c>
      <c r="C3" s="7" t="s">
        <v>64</v>
      </c>
      <c r="D3" s="1" t="s">
        <v>72</v>
      </c>
      <c r="E3" s="1">
        <v>10.0</v>
      </c>
      <c r="F3" s="4">
        <f t="shared" si="1"/>
        <v>780</v>
      </c>
      <c r="G3" s="1"/>
      <c r="H3" s="1">
        <f>'Round Robin Scoring'!D38</f>
        <v>190</v>
      </c>
      <c r="I3" s="1">
        <f>'Round Robin Scoring'!E38</f>
        <v>92</v>
      </c>
      <c r="J3" s="1">
        <f>'Round Robin Scoring'!F38</f>
        <v>112</v>
      </c>
      <c r="K3" s="1">
        <f>'Round Robin Scoring'!G38</f>
        <v>224</v>
      </c>
      <c r="L3" s="1">
        <f>'Round Robin Scoring'!I38</f>
        <v>162</v>
      </c>
      <c r="M3" s="1"/>
      <c r="N3" s="1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/>
      <c r="B4" s="1">
        <v>3.0</v>
      </c>
      <c r="C4" s="7" t="s">
        <v>45</v>
      </c>
      <c r="D4" s="1" t="s">
        <v>91</v>
      </c>
      <c r="E4" s="1">
        <v>10.0</v>
      </c>
      <c r="F4" s="4">
        <f t="shared" si="1"/>
        <v>678</v>
      </c>
      <c r="G4" s="1"/>
      <c r="H4" s="1">
        <f>'Round Robin Scoring'!L9</f>
        <v>134</v>
      </c>
      <c r="I4" s="1">
        <f>'Round Robin Scoring'!M9</f>
        <v>90</v>
      </c>
      <c r="J4" s="1">
        <f>'Round Robin Scoring'!O9</f>
        <v>130</v>
      </c>
      <c r="K4" s="1">
        <f>'Round Robin Scoring'!P9</f>
        <v>130</v>
      </c>
      <c r="L4" s="1">
        <f>'Round Robin Scoring'!Q9</f>
        <v>194</v>
      </c>
      <c r="M4" s="1"/>
      <c r="N4" s="1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B5" s="1">
        <v>4.0</v>
      </c>
      <c r="C5" s="7" t="s">
        <v>112</v>
      </c>
      <c r="D5" s="1" t="s">
        <v>143</v>
      </c>
      <c r="E5" s="1">
        <v>10.0</v>
      </c>
      <c r="F5" s="4">
        <f t="shared" si="1"/>
        <v>648</v>
      </c>
      <c r="G5" s="1"/>
      <c r="H5" s="1">
        <f>'Round Robin Scoring'!L27</f>
        <v>92</v>
      </c>
      <c r="I5" s="1">
        <f>'Round Robin Scoring'!M27</f>
        <v>112</v>
      </c>
      <c r="J5" s="1">
        <f>'Round Robin Scoring'!O27</f>
        <v>140</v>
      </c>
      <c r="K5" s="1">
        <f>'Round Robin Scoring'!P27</f>
        <v>126</v>
      </c>
      <c r="L5" s="1">
        <f>'Round Robin Scoring'!Q27</f>
        <v>178</v>
      </c>
      <c r="M5" s="1"/>
      <c r="N5" s="1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B6" s="1">
        <v>5.0</v>
      </c>
      <c r="C6" s="7" t="s">
        <v>116</v>
      </c>
      <c r="D6" s="1" t="s">
        <v>148</v>
      </c>
      <c r="E6" s="1">
        <v>10.0</v>
      </c>
      <c r="F6" s="4">
        <f t="shared" si="1"/>
        <v>598</v>
      </c>
      <c r="G6" s="1"/>
      <c r="H6" s="1">
        <f>'Round Robin Scoring'!L36</f>
        <v>138</v>
      </c>
      <c r="I6" s="1">
        <f>'Round Robin Scoring'!M36</f>
        <v>112</v>
      </c>
      <c r="J6" s="1">
        <f>'Round Robin Scoring'!O36</f>
        <v>148</v>
      </c>
      <c r="K6" s="1">
        <f>'Round Robin Scoring'!P36</f>
        <v>88</v>
      </c>
      <c r="L6" s="1">
        <f>'Round Robin Scoring'!Q36</f>
        <v>112</v>
      </c>
      <c r="M6" s="1"/>
      <c r="N6" s="1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B7" s="1">
        <v>6.0</v>
      </c>
      <c r="C7" s="7" t="s">
        <v>41</v>
      </c>
      <c r="D7" s="1" t="s">
        <v>149</v>
      </c>
      <c r="E7" s="1">
        <v>10.0</v>
      </c>
      <c r="F7" s="4">
        <f t="shared" si="1"/>
        <v>556</v>
      </c>
      <c r="G7" s="1"/>
      <c r="H7" s="1">
        <f>'Round Robin Scoring'!L17</f>
        <v>96</v>
      </c>
      <c r="I7" s="1">
        <f>'Round Robin Scoring'!N17</f>
        <v>212</v>
      </c>
      <c r="J7" s="1">
        <f>'Round Robin Scoring'!O17</f>
        <v>64</v>
      </c>
      <c r="K7" s="1">
        <f>'Round Robin Scoring'!P17</f>
        <v>114</v>
      </c>
      <c r="L7" s="1">
        <f>'Round Robin Scoring'!Q17</f>
        <v>70</v>
      </c>
      <c r="M7" s="1"/>
      <c r="N7" s="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B8" s="1">
        <v>7.0</v>
      </c>
      <c r="C8" s="7" t="s">
        <v>118</v>
      </c>
      <c r="D8" s="1" t="s">
        <v>164</v>
      </c>
      <c r="E8" s="1">
        <v>8.0</v>
      </c>
      <c r="F8" s="4">
        <f t="shared" si="1"/>
        <v>682</v>
      </c>
      <c r="G8" s="1"/>
      <c r="H8" s="1">
        <f>'Round Robin Scoring'!D28</f>
        <v>184</v>
      </c>
      <c r="I8" s="1">
        <f>'Round Robin Scoring'!E28</f>
        <v>72</v>
      </c>
      <c r="J8" s="1">
        <f>'Round Robin Scoring'!F28</f>
        <v>142</v>
      </c>
      <c r="K8" s="1">
        <f>'Round Robin Scoring'!H28</f>
        <v>132</v>
      </c>
      <c r="L8" s="1">
        <f>'Round Robin Scoring'!I28</f>
        <v>152</v>
      </c>
      <c r="M8" s="1"/>
      <c r="N8" s="1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B9" s="1">
        <v>8.0</v>
      </c>
      <c r="C9" s="7" t="s">
        <v>140</v>
      </c>
      <c r="D9" s="1" t="s">
        <v>148</v>
      </c>
      <c r="E9" s="1">
        <v>8.0</v>
      </c>
      <c r="F9" s="4">
        <f t="shared" si="1"/>
        <v>608</v>
      </c>
      <c r="G9" s="1"/>
      <c r="H9" s="1">
        <f>'Round Robin Scoring'!L39</f>
        <v>110</v>
      </c>
      <c r="I9" s="1">
        <f>'Round Robin Scoring'!M39</f>
        <v>82</v>
      </c>
      <c r="J9" s="1">
        <f>'Round Robin Scoring'!N39</f>
        <v>106</v>
      </c>
      <c r="K9" s="1">
        <f>'Round Robin Scoring'!O39</f>
        <v>164</v>
      </c>
      <c r="L9" s="1">
        <f>'Round Robin Scoring'!P39</f>
        <v>146</v>
      </c>
      <c r="M9" s="1"/>
      <c r="N9" s="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B10" s="1">
        <v>9.0</v>
      </c>
      <c r="C10" s="7" t="s">
        <v>95</v>
      </c>
      <c r="D10" s="1" t="s">
        <v>143</v>
      </c>
      <c r="E10" s="1">
        <v>8.0</v>
      </c>
      <c r="F10" s="4">
        <f t="shared" si="1"/>
        <v>576</v>
      </c>
      <c r="G10" s="1"/>
      <c r="H10" s="1">
        <f>'Round Robin Scoring'!M25</f>
        <v>102</v>
      </c>
      <c r="I10" s="1">
        <f>'Round Robin Scoring'!N25</f>
        <v>80</v>
      </c>
      <c r="J10" s="1">
        <f>'Round Robin Scoring'!O25</f>
        <v>156</v>
      </c>
      <c r="K10" s="1">
        <f>'Round Robin Scoring'!P25</f>
        <v>138</v>
      </c>
      <c r="L10" s="1">
        <f>'Round Robin Scoring'!Q25</f>
        <v>100</v>
      </c>
      <c r="M10" s="1"/>
      <c r="N10" s="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B11" s="1">
        <v>10.0</v>
      </c>
      <c r="C11" s="7" t="s">
        <v>52</v>
      </c>
      <c r="D11" s="1" t="s">
        <v>192</v>
      </c>
      <c r="E11" s="1">
        <v>8.0</v>
      </c>
      <c r="F11" s="4">
        <f t="shared" si="1"/>
        <v>546</v>
      </c>
      <c r="G11" s="1"/>
      <c r="H11" s="1">
        <f>'Round Robin Scoring'!D10</f>
        <v>78</v>
      </c>
      <c r="I11" s="1">
        <f>'Round Robin Scoring'!E10</f>
        <v>78</v>
      </c>
      <c r="J11" s="1">
        <f>'Round Robin Scoring'!F10</f>
        <v>162</v>
      </c>
      <c r="K11" s="1">
        <f>'Round Robin Scoring'!H10</f>
        <v>106</v>
      </c>
      <c r="L11" s="1">
        <f>'Round Robin Scoring'!I10</f>
        <v>122</v>
      </c>
      <c r="M11" s="1"/>
      <c r="N11" s="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B12" s="1">
        <v>11.0</v>
      </c>
      <c r="C12" s="7" t="s">
        <v>62</v>
      </c>
      <c r="D12" s="1" t="s">
        <v>91</v>
      </c>
      <c r="E12" s="1">
        <v>8.0</v>
      </c>
      <c r="F12" s="4">
        <f t="shared" si="1"/>
        <v>546</v>
      </c>
      <c r="G12" s="1"/>
      <c r="H12" s="1">
        <f>'Round Robin Scoring'!L11</f>
        <v>144</v>
      </c>
      <c r="I12" s="1">
        <f>'Round Robin Scoring'!M11</f>
        <v>96</v>
      </c>
      <c r="J12" s="1">
        <f>'Round Robin Scoring'!N11</f>
        <v>68</v>
      </c>
      <c r="K12" s="1">
        <f>'Round Robin Scoring'!O11</f>
        <v>82</v>
      </c>
      <c r="L12" s="1">
        <f>'Round Robin Scoring'!Q11</f>
        <v>156</v>
      </c>
      <c r="M12" s="1"/>
      <c r="N12" s="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B13" s="1">
        <v>12.0</v>
      </c>
      <c r="C13" s="7" t="s">
        <v>77</v>
      </c>
      <c r="D13" s="1" t="s">
        <v>149</v>
      </c>
      <c r="E13" s="1">
        <v>8.0</v>
      </c>
      <c r="F13" s="4">
        <f t="shared" si="1"/>
        <v>500</v>
      </c>
      <c r="G13" s="1"/>
      <c r="H13" s="1">
        <f>'Round Robin Scoring'!L21</f>
        <v>80</v>
      </c>
      <c r="I13" s="1">
        <f>'Round Robin Scoring'!M21</f>
        <v>68</v>
      </c>
      <c r="J13" s="1">
        <f>'Round Robin Scoring'!N21</f>
        <v>138</v>
      </c>
      <c r="K13" s="1">
        <f>'Round Robin Scoring'!O21</f>
        <v>130</v>
      </c>
      <c r="L13" s="1">
        <f>'Round Robin Scoring'!P21</f>
        <v>84</v>
      </c>
      <c r="M13" s="1"/>
      <c r="N13" s="1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B14" s="1">
        <v>13.0</v>
      </c>
      <c r="C14" s="7" t="s">
        <v>106</v>
      </c>
      <c r="D14" s="1" t="s">
        <v>72</v>
      </c>
      <c r="E14" s="1">
        <v>8.0</v>
      </c>
      <c r="F14" s="4">
        <f t="shared" si="1"/>
        <v>496</v>
      </c>
      <c r="G14" s="1"/>
      <c r="H14" s="1">
        <f>'Round Robin Scoring'!D35</f>
        <v>118</v>
      </c>
      <c r="I14" s="1">
        <f>'Round Robin Scoring'!F35</f>
        <v>92</v>
      </c>
      <c r="J14" s="1">
        <f>'Round Robin Scoring'!G35</f>
        <v>80</v>
      </c>
      <c r="K14" s="1">
        <f>'Round Robin Scoring'!H35</f>
        <v>90</v>
      </c>
      <c r="L14" s="1">
        <f>'Round Robin Scoring'!I35</f>
        <v>116</v>
      </c>
      <c r="M14" s="1"/>
      <c r="N14" s="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B15" s="1">
        <v>14.0</v>
      </c>
      <c r="C15" s="7" t="s">
        <v>102</v>
      </c>
      <c r="D15" s="1" t="s">
        <v>164</v>
      </c>
      <c r="E15" s="1">
        <v>8.0</v>
      </c>
      <c r="F15" s="4">
        <f t="shared" si="1"/>
        <v>454</v>
      </c>
      <c r="G15" s="1"/>
      <c r="H15" s="1">
        <f>'Round Robin Scoring'!D26</f>
        <v>128</v>
      </c>
      <c r="I15" s="1">
        <f>'Round Robin Scoring'!F26</f>
        <v>122</v>
      </c>
      <c r="J15" s="1">
        <f>'Round Robin Scoring'!G26</f>
        <v>82</v>
      </c>
      <c r="K15" s="1">
        <f>'Round Robin Scoring'!H26</f>
        <v>36</v>
      </c>
      <c r="L15" s="1">
        <f>'Round Robin Scoring'!I26</f>
        <v>86</v>
      </c>
      <c r="M15" s="1"/>
      <c r="N15" s="1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B16" s="1">
        <v>15.0</v>
      </c>
      <c r="C16" s="7" t="s">
        <v>34</v>
      </c>
      <c r="D16" s="1" t="s">
        <v>192</v>
      </c>
      <c r="E16" s="1">
        <v>6.0</v>
      </c>
      <c r="F16" s="4">
        <f t="shared" si="1"/>
        <v>598</v>
      </c>
      <c r="G16" s="1"/>
      <c r="H16" s="1">
        <f>'Round Robin Scoring'!D8</f>
        <v>80</v>
      </c>
      <c r="I16" s="1">
        <f>'Round Robin Scoring'!F8</f>
        <v>200</v>
      </c>
      <c r="J16" s="1">
        <f>'Round Robin Scoring'!G8</f>
        <v>144</v>
      </c>
      <c r="K16" s="1">
        <f>'Round Robin Scoring'!H8</f>
        <v>84</v>
      </c>
      <c r="L16" s="1">
        <f>'Round Robin Scoring'!I8</f>
        <v>90</v>
      </c>
      <c r="M16" s="1"/>
      <c r="N16" s="1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B17" s="1">
        <v>16.0</v>
      </c>
      <c r="C17" s="7" t="s">
        <v>131</v>
      </c>
      <c r="D17" s="1" t="s">
        <v>148</v>
      </c>
      <c r="E17" s="1">
        <v>6.0</v>
      </c>
      <c r="F17" s="4">
        <f t="shared" si="1"/>
        <v>572</v>
      </c>
      <c r="G17" s="1"/>
      <c r="H17" s="1">
        <f>'Round Robin Scoring'!L38</f>
        <v>180</v>
      </c>
      <c r="I17" s="1">
        <f>'Round Robin Scoring'!M38</f>
        <v>110</v>
      </c>
      <c r="J17" s="1">
        <f>'Round Robin Scoring'!N38</f>
        <v>74</v>
      </c>
      <c r="K17" s="1">
        <f>'Round Robin Scoring'!O38</f>
        <v>152</v>
      </c>
      <c r="L17" s="1">
        <f>'Round Robin Scoring'!Q38</f>
        <v>56</v>
      </c>
      <c r="M17" s="1"/>
      <c r="N17" s="1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B18" s="1">
        <v>17.0</v>
      </c>
      <c r="C18" s="69" t="s">
        <v>114</v>
      </c>
      <c r="D18" s="1" t="s">
        <v>72</v>
      </c>
      <c r="E18" s="1">
        <v>6.0</v>
      </c>
      <c r="F18" s="4">
        <f t="shared" si="1"/>
        <v>532</v>
      </c>
      <c r="G18" s="1"/>
      <c r="H18" s="1">
        <f>'Round Robin Scoring'!D36</f>
        <v>94</v>
      </c>
      <c r="I18" s="1">
        <f>'Round Robin Scoring'!E36</f>
        <v>76</v>
      </c>
      <c r="J18" s="1">
        <f>'Round Robin Scoring'!G36</f>
        <v>124</v>
      </c>
      <c r="K18" s="1">
        <f>'Round Robin Scoring'!H36</f>
        <v>92</v>
      </c>
      <c r="L18" s="1">
        <f>'Round Robin Scoring'!I36</f>
        <v>146</v>
      </c>
      <c r="M18" s="1"/>
      <c r="N18" s="1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B19" s="1">
        <v>18.0</v>
      </c>
      <c r="C19" s="69" t="s">
        <v>60</v>
      </c>
      <c r="D19" s="1" t="s">
        <v>192</v>
      </c>
      <c r="E19" s="1">
        <v>6.0</v>
      </c>
      <c r="F19" s="4">
        <f t="shared" si="1"/>
        <v>500</v>
      </c>
      <c r="G19" s="1"/>
      <c r="H19" s="1">
        <f>'Round Robin Scoring'!D11</f>
        <v>106</v>
      </c>
      <c r="I19" s="1">
        <f>'Round Robin Scoring'!E11</f>
        <v>74</v>
      </c>
      <c r="J19" s="1">
        <f>'Round Robin Scoring'!F11</f>
        <v>114</v>
      </c>
      <c r="K19" s="1">
        <f>'Round Robin Scoring'!G11</f>
        <v>84</v>
      </c>
      <c r="L19" s="1">
        <f>'Round Robin Scoring'!I11</f>
        <v>122</v>
      </c>
      <c r="M19" s="1"/>
      <c r="N19" s="1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B20" s="1">
        <v>19.0</v>
      </c>
      <c r="C20" s="69" t="s">
        <v>56</v>
      </c>
      <c r="D20" s="1" t="s">
        <v>10</v>
      </c>
      <c r="E20" s="1">
        <v>6.0</v>
      </c>
      <c r="F20" s="4">
        <f t="shared" si="1"/>
        <v>492</v>
      </c>
      <c r="G20" s="1"/>
      <c r="H20" s="1">
        <f>'Round Robin Scoring'!D19</f>
        <v>72</v>
      </c>
      <c r="I20" s="1">
        <f>'Round Robin Scoring'!E19</f>
        <v>64</v>
      </c>
      <c r="J20" s="1">
        <f>'Round Robin Scoring'!F19</f>
        <v>170</v>
      </c>
      <c r="K20" s="1">
        <f>'Round Robin Scoring'!H19</f>
        <v>126</v>
      </c>
      <c r="L20" s="1">
        <f>'Round Robin Scoring'!I19</f>
        <v>60</v>
      </c>
      <c r="M20" s="1"/>
      <c r="N20" s="1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B21" s="1">
        <v>20.0</v>
      </c>
      <c r="C21" s="69" t="s">
        <v>126</v>
      </c>
      <c r="D21" s="1" t="s">
        <v>164</v>
      </c>
      <c r="E21" s="1">
        <v>6.0</v>
      </c>
      <c r="F21" s="4">
        <f t="shared" si="1"/>
        <v>474</v>
      </c>
      <c r="G21" s="1"/>
      <c r="H21" s="1">
        <f>'Round Robin Scoring'!D29</f>
        <v>88</v>
      </c>
      <c r="I21" s="1">
        <f>'Round Robin Scoring'!E29</f>
        <v>166</v>
      </c>
      <c r="J21" s="1">
        <f>'Round Robin Scoring'!F29</f>
        <v>96</v>
      </c>
      <c r="K21" s="1">
        <f>'Round Robin Scoring'!G29</f>
        <v>50</v>
      </c>
      <c r="L21" s="1">
        <f>'Round Robin Scoring'!I29</f>
        <v>74</v>
      </c>
      <c r="M21" s="1"/>
      <c r="N21" s="1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B22" s="1">
        <v>21.0</v>
      </c>
      <c r="C22" s="69" t="s">
        <v>70</v>
      </c>
      <c r="D22" s="1" t="s">
        <v>192</v>
      </c>
      <c r="E22" s="1">
        <v>6.0</v>
      </c>
      <c r="F22" s="4">
        <f t="shared" si="1"/>
        <v>380</v>
      </c>
      <c r="G22" s="1"/>
      <c r="H22" s="1">
        <f>'Round Robin Scoring'!D12</f>
        <v>54</v>
      </c>
      <c r="I22" s="1">
        <f>'Round Robin Scoring'!E12</f>
        <v>100</v>
      </c>
      <c r="J22" s="1">
        <f>'Round Robin Scoring'!F12</f>
        <v>108</v>
      </c>
      <c r="K22" s="1">
        <f>'Round Robin Scoring'!G12</f>
        <v>68</v>
      </c>
      <c r="L22" s="1">
        <f>'Round Robin Scoring'!H12</f>
        <v>50</v>
      </c>
      <c r="M22" s="1"/>
      <c r="N22" s="1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B23" s="1">
        <v>22.0</v>
      </c>
      <c r="C23" s="69" t="s">
        <v>36</v>
      </c>
      <c r="D23" s="1" t="s">
        <v>91</v>
      </c>
      <c r="E23" s="1">
        <v>6.0</v>
      </c>
      <c r="F23" s="4">
        <f t="shared" si="1"/>
        <v>368</v>
      </c>
      <c r="G23" s="1"/>
      <c r="H23" s="1">
        <f>'Round Robin Scoring'!L8</f>
        <v>118</v>
      </c>
      <c r="I23" s="1">
        <f>'Round Robin Scoring'!N8</f>
        <v>64</v>
      </c>
      <c r="J23" s="1">
        <f>'Round Robin Scoring'!O8</f>
        <v>80</v>
      </c>
      <c r="K23" s="1">
        <f>'Round Robin Scoring'!P8</f>
        <v>60</v>
      </c>
      <c r="L23" s="1">
        <f>'Round Robin Scoring'!Q8</f>
        <v>46</v>
      </c>
      <c r="M23" s="1"/>
      <c r="N23" s="1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B24" s="1">
        <v>23.0</v>
      </c>
      <c r="C24" s="132" t="s">
        <v>30</v>
      </c>
      <c r="D24" s="1" t="s">
        <v>10</v>
      </c>
      <c r="E24" s="1">
        <v>6.0</v>
      </c>
      <c r="F24" s="4">
        <f t="shared" si="1"/>
        <v>340</v>
      </c>
      <c r="G24" s="1"/>
      <c r="H24" s="1">
        <f>'Round Robin Scoring'!$E16</f>
        <v>146</v>
      </c>
      <c r="I24" s="1">
        <f>'Round Robin Scoring'!F16</f>
        <v>60</v>
      </c>
      <c r="J24" s="1">
        <f>'Round Robin Scoring'!G16</f>
        <v>106</v>
      </c>
      <c r="K24" s="1">
        <f>'Round Robin Scoring'!H16</f>
        <v>18</v>
      </c>
      <c r="L24" s="1">
        <f>'Round Robin Scoring'!I16</f>
        <v>10</v>
      </c>
      <c r="M24" s="1"/>
      <c r="N24" s="1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/>
      <c r="B25" s="1">
        <v>24.0</v>
      </c>
      <c r="C25" s="69" t="s">
        <v>65</v>
      </c>
      <c r="D25" s="1" t="s">
        <v>10</v>
      </c>
      <c r="E25" s="1">
        <v>6.0</v>
      </c>
      <c r="F25" s="4">
        <f t="shared" si="1"/>
        <v>334</v>
      </c>
      <c r="G25" s="1"/>
      <c r="H25" s="1">
        <f>'Round Robin Scoring'!D20</f>
        <v>80</v>
      </c>
      <c r="I25" s="1">
        <f>'Round Robin Scoring'!E20</f>
        <v>132</v>
      </c>
      <c r="J25" s="1">
        <f>'Round Robin Scoring'!F20</f>
        <v>76</v>
      </c>
      <c r="K25" s="1">
        <f>'Round Robin Scoring'!G20</f>
        <v>28</v>
      </c>
      <c r="L25" s="1">
        <f>'Round Robin Scoring'!I20</f>
        <v>18</v>
      </c>
      <c r="M25" s="1"/>
      <c r="N25" s="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B26" s="1">
        <v>25.0</v>
      </c>
      <c r="C26" s="69" t="s">
        <v>58</v>
      </c>
      <c r="D26" s="1" t="s">
        <v>149</v>
      </c>
      <c r="E26" s="1">
        <v>6.0</v>
      </c>
      <c r="F26" s="4">
        <f t="shared" si="1"/>
        <v>274</v>
      </c>
      <c r="G26" s="1"/>
      <c r="H26" s="1">
        <f>'Round Robin Scoring'!L19</f>
        <v>82</v>
      </c>
      <c r="I26" s="1">
        <f>'Round Robin Scoring'!M19</f>
        <v>18</v>
      </c>
      <c r="J26" s="1">
        <f>'Round Robin Scoring'!N19</f>
        <v>72</v>
      </c>
      <c r="K26" s="1">
        <f>'Round Robin Scoring'!P19</f>
        <v>70</v>
      </c>
      <c r="L26" s="1">
        <f>'Round Robin Scoring'!Q19</f>
        <v>32</v>
      </c>
      <c r="M26" s="1"/>
      <c r="N26" s="1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B27" s="1">
        <v>26.0</v>
      </c>
      <c r="C27" s="69" t="s">
        <v>108</v>
      </c>
      <c r="D27" s="1" t="s">
        <v>148</v>
      </c>
      <c r="E27" s="1">
        <v>4.0</v>
      </c>
      <c r="F27" s="4">
        <f t="shared" si="1"/>
        <v>402</v>
      </c>
      <c r="G27" s="1"/>
      <c r="H27" s="1">
        <f>'Round Robin Scoring'!L35</f>
        <v>144</v>
      </c>
      <c r="I27" s="1">
        <f>'Round Robin Scoring'!N35</f>
        <v>64</v>
      </c>
      <c r="J27" s="1">
        <f>'Round Robin Scoring'!O35</f>
        <v>62</v>
      </c>
      <c r="K27" s="1">
        <f>'Round Robin Scoring'!P35</f>
        <v>68</v>
      </c>
      <c r="L27" s="1">
        <f>'Round Robin Scoring'!Q35</f>
        <v>64</v>
      </c>
      <c r="M27" s="1"/>
      <c r="N27" s="1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B28" s="1">
        <v>27.0</v>
      </c>
      <c r="C28" s="69" t="s">
        <v>110</v>
      </c>
      <c r="D28" s="1" t="s">
        <v>164</v>
      </c>
      <c r="E28" s="1">
        <v>4.0</v>
      </c>
      <c r="F28" s="4">
        <f t="shared" si="1"/>
        <v>390</v>
      </c>
      <c r="G28" s="1"/>
      <c r="H28" s="1">
        <f>'Round Robin Scoring'!D27</f>
        <v>134</v>
      </c>
      <c r="I28" s="1">
        <f>'Round Robin Scoring'!E27</f>
        <v>46</v>
      </c>
      <c r="J28" s="1">
        <f>'Round Robin Scoring'!G27</f>
        <v>80</v>
      </c>
      <c r="K28" s="1">
        <f>'Round Robin Scoring'!H27</f>
        <v>54</v>
      </c>
      <c r="L28" s="1">
        <f>'Round Robin Scoring'!I27</f>
        <v>76</v>
      </c>
      <c r="M28" s="1"/>
      <c r="N28" s="1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B29" s="1">
        <v>28.0</v>
      </c>
      <c r="C29" s="69" t="s">
        <v>135</v>
      </c>
      <c r="D29" s="1" t="s">
        <v>143</v>
      </c>
      <c r="E29" s="1">
        <v>4.0</v>
      </c>
      <c r="F29" s="4">
        <f t="shared" si="1"/>
        <v>370</v>
      </c>
      <c r="G29" s="1"/>
      <c r="H29" s="1">
        <f>'Round Robin Scoring'!L30</f>
        <v>28</v>
      </c>
      <c r="I29" s="1">
        <f>'Round Robin Scoring'!M30</f>
        <v>82</v>
      </c>
      <c r="J29" s="1">
        <f>'Round Robin Scoring'!N30</f>
        <v>66</v>
      </c>
      <c r="K29" s="1">
        <f>'Round Robin Scoring'!O30</f>
        <v>144</v>
      </c>
      <c r="L29" s="1">
        <f>'Round Robin Scoring'!P30</f>
        <v>50</v>
      </c>
      <c r="M29" s="1"/>
      <c r="N29" s="1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B30" s="1">
        <v>29.0</v>
      </c>
      <c r="C30" s="69" t="s">
        <v>120</v>
      </c>
      <c r="D30" s="1" t="s">
        <v>143</v>
      </c>
      <c r="E30" s="1">
        <v>4.0</v>
      </c>
      <c r="F30" s="4">
        <f t="shared" si="1"/>
        <v>360</v>
      </c>
      <c r="G30" s="1"/>
      <c r="H30" s="1">
        <f>'Round Robin Scoring'!L28</f>
        <v>36</v>
      </c>
      <c r="I30" s="1">
        <f>'Round Robin Scoring'!M28</f>
        <v>108</v>
      </c>
      <c r="J30" s="1">
        <f>'Round Robin Scoring'!N28</f>
        <v>74</v>
      </c>
      <c r="K30" s="1">
        <f>'Round Robin Scoring'!P28</f>
        <v>88</v>
      </c>
      <c r="L30" s="1">
        <f>'Round Robin Scoring'!Q28</f>
        <v>54</v>
      </c>
      <c r="M30" s="1"/>
      <c r="N30" s="1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/>
      <c r="B31" s="1">
        <v>30.0</v>
      </c>
      <c r="C31" s="133" t="s">
        <v>23</v>
      </c>
      <c r="D31" s="1" t="s">
        <v>192</v>
      </c>
      <c r="E31" s="1">
        <v>4.0</v>
      </c>
      <c r="F31" s="4">
        <f t="shared" si="1"/>
        <v>348</v>
      </c>
      <c r="G31" s="1"/>
      <c r="H31" s="1">
        <f>'Round Robin Scoring'!$E7</f>
        <v>104</v>
      </c>
      <c r="I31" s="1">
        <f>'Round Robin Scoring'!F7</f>
        <v>92</v>
      </c>
      <c r="J31" s="1">
        <f>'Round Robin Scoring'!G7</f>
        <v>28</v>
      </c>
      <c r="K31" s="1">
        <f>'Round Robin Scoring'!H7</f>
        <v>92</v>
      </c>
      <c r="L31" s="1">
        <f>'Round Robin Scoring'!I7</f>
        <v>32</v>
      </c>
      <c r="M31" s="1"/>
      <c r="N31" s="1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B32" s="1">
        <v>31.0</v>
      </c>
      <c r="C32" s="69" t="s">
        <v>67</v>
      </c>
      <c r="D32" s="1" t="s">
        <v>149</v>
      </c>
      <c r="E32" s="1">
        <v>4.0</v>
      </c>
      <c r="F32" s="4">
        <f t="shared" si="1"/>
        <v>340</v>
      </c>
      <c r="G32" s="1"/>
      <c r="H32" s="1">
        <f>'Round Robin Scoring'!L20</f>
        <v>100</v>
      </c>
      <c r="I32" s="1">
        <f>'Round Robin Scoring'!M20</f>
        <v>54</v>
      </c>
      <c r="J32" s="1">
        <f>'Round Robin Scoring'!N20</f>
        <v>68</v>
      </c>
      <c r="K32" s="1">
        <f>'Round Robin Scoring'!O20</f>
        <v>60</v>
      </c>
      <c r="L32" s="1">
        <f>'Round Robin Scoring'!Q20</f>
        <v>58</v>
      </c>
      <c r="M32" s="1"/>
      <c r="N32" s="1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B33" s="1">
        <v>32.0</v>
      </c>
      <c r="C33" s="69" t="s">
        <v>133</v>
      </c>
      <c r="D33" s="1" t="s">
        <v>164</v>
      </c>
      <c r="E33" s="1">
        <v>4.0</v>
      </c>
      <c r="F33" s="4">
        <f t="shared" si="1"/>
        <v>328</v>
      </c>
      <c r="G33" s="1"/>
      <c r="H33" s="1">
        <f>'Round Robin Scoring'!D30</f>
        <v>76</v>
      </c>
      <c r="I33" s="1">
        <f>'Round Robin Scoring'!E30</f>
        <v>70</v>
      </c>
      <c r="J33" s="1">
        <f>'Round Robin Scoring'!F30</f>
        <v>44</v>
      </c>
      <c r="K33" s="1">
        <f>'Round Robin Scoring'!G30</f>
        <v>22</v>
      </c>
      <c r="L33" s="1">
        <f>'Round Robin Scoring'!H30</f>
        <v>116</v>
      </c>
      <c r="M33" s="1"/>
      <c r="N33" s="1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B34" s="1">
        <v>33.0</v>
      </c>
      <c r="C34" s="69" t="s">
        <v>122</v>
      </c>
      <c r="D34" s="1" t="s">
        <v>72</v>
      </c>
      <c r="E34" s="1">
        <v>4.0</v>
      </c>
      <c r="F34" s="4">
        <f t="shared" si="1"/>
        <v>254</v>
      </c>
      <c r="G34" s="1"/>
      <c r="H34" s="1">
        <f>'Round Robin Scoring'!D37</f>
        <v>86</v>
      </c>
      <c r="I34" s="1">
        <f>'Round Robin Scoring'!E37</f>
        <v>38</v>
      </c>
      <c r="J34" s="1">
        <f>'Round Robin Scoring'!F37</f>
        <v>66</v>
      </c>
      <c r="K34" s="1">
        <f>'Round Robin Scoring'!H37</f>
        <v>10</v>
      </c>
      <c r="L34" s="1">
        <f>'Round Robin Scoring'!I37</f>
        <v>54</v>
      </c>
      <c r="M34" s="1"/>
      <c r="N34" s="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B35" s="1">
        <v>34.0</v>
      </c>
      <c r="C35" s="69" t="s">
        <v>26</v>
      </c>
      <c r="D35" s="1" t="s">
        <v>91</v>
      </c>
      <c r="E35" s="1">
        <v>4.0</v>
      </c>
      <c r="F35" s="4">
        <f t="shared" si="1"/>
        <v>224</v>
      </c>
      <c r="G35" s="1"/>
      <c r="H35" s="1">
        <f>'Round Robin Scoring'!M7</f>
        <v>32</v>
      </c>
      <c r="I35" s="1">
        <f>'Round Robin Scoring'!N7</f>
        <v>22</v>
      </c>
      <c r="J35" s="1">
        <f>'Round Robin Scoring'!O7</f>
        <v>82</v>
      </c>
      <c r="K35" s="1">
        <f>'Round Robin Scoring'!P7</f>
        <v>22</v>
      </c>
      <c r="L35" s="1">
        <f>'Round Robin Scoring'!Q7</f>
        <v>66</v>
      </c>
      <c r="M35" s="1"/>
      <c r="N35" s="1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B36" s="1">
        <v>35.0</v>
      </c>
      <c r="C36" s="69" t="s">
        <v>104</v>
      </c>
      <c r="D36" s="1" t="s">
        <v>143</v>
      </c>
      <c r="E36" s="1">
        <v>2.0</v>
      </c>
      <c r="F36" s="4">
        <f t="shared" si="1"/>
        <v>426</v>
      </c>
      <c r="G36" s="1"/>
      <c r="H36" s="1">
        <f>'Round Robin Scoring'!L26</f>
        <v>100</v>
      </c>
      <c r="I36" s="1">
        <f>'Round Robin Scoring'!N26</f>
        <v>64</v>
      </c>
      <c r="J36" s="1">
        <f>'Round Robin Scoring'!O26</f>
        <v>22</v>
      </c>
      <c r="K36" s="1">
        <f>'Round Robin Scoring'!P26</f>
        <v>176</v>
      </c>
      <c r="L36" s="1">
        <f>'Round Robin Scoring'!Q26</f>
        <v>64</v>
      </c>
      <c r="M36" s="1"/>
      <c r="N36" s="1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B37" s="1">
        <v>36.0</v>
      </c>
      <c r="C37" s="69" t="s">
        <v>124</v>
      </c>
      <c r="D37" s="1" t="s">
        <v>148</v>
      </c>
      <c r="E37" s="1">
        <v>2.0</v>
      </c>
      <c r="F37" s="4">
        <f t="shared" si="1"/>
        <v>268</v>
      </c>
      <c r="G37" s="1"/>
      <c r="H37" s="1">
        <f>'Round Robin Scoring'!L37</f>
        <v>130</v>
      </c>
      <c r="I37" s="1">
        <f>'Round Robin Scoring'!M37</f>
        <v>46</v>
      </c>
      <c r="J37" s="1">
        <f>'Round Robin Scoring'!N37</f>
        <v>50</v>
      </c>
      <c r="K37" s="1">
        <f>'Round Robin Scoring'!P37</f>
        <v>24</v>
      </c>
      <c r="L37" s="1">
        <f>'Round Robin Scoring'!Q37</f>
        <v>18</v>
      </c>
      <c r="M37" s="1"/>
      <c r="N37" s="1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B38" s="1">
        <v>37.0</v>
      </c>
      <c r="C38" s="69" t="s">
        <v>54</v>
      </c>
      <c r="D38" s="1" t="s">
        <v>91</v>
      </c>
      <c r="E38" s="1">
        <v>2.0</v>
      </c>
      <c r="F38" s="4">
        <f t="shared" si="1"/>
        <v>266</v>
      </c>
      <c r="G38" s="1"/>
      <c r="H38" s="1">
        <f>'Round Robin Scoring'!L10</f>
        <v>38</v>
      </c>
      <c r="I38" s="1">
        <f>'Round Robin Scoring'!M10</f>
        <v>58</v>
      </c>
      <c r="J38" s="1">
        <f>'Round Robin Scoring'!N10</f>
        <v>48</v>
      </c>
      <c r="K38" s="1">
        <f>'Round Robin Scoring'!P10</f>
        <v>46</v>
      </c>
      <c r="L38" s="1">
        <f>'Round Robin Scoring'!Q10</f>
        <v>76</v>
      </c>
      <c r="M38" s="1"/>
      <c r="N38" s="1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B39" s="1">
        <v>38.0</v>
      </c>
      <c r="C39" s="69" t="s">
        <v>32</v>
      </c>
      <c r="D39" s="1" t="s">
        <v>149</v>
      </c>
      <c r="E39" s="1">
        <v>2.0</v>
      </c>
      <c r="F39" s="4">
        <f t="shared" si="1"/>
        <v>230</v>
      </c>
      <c r="G39" s="1"/>
      <c r="H39" s="1">
        <f>'Round Robin Scoring'!M16</f>
        <v>86</v>
      </c>
      <c r="I39" s="1">
        <f>'Round Robin Scoring'!N16</f>
        <v>48</v>
      </c>
      <c r="J39" s="1">
        <f>'Round Robin Scoring'!O16</f>
        <v>40</v>
      </c>
      <c r="K39" s="1">
        <f>'Round Robin Scoring'!P16</f>
        <v>44</v>
      </c>
      <c r="L39" s="1">
        <f>'Round Robin Scoring'!Q16</f>
        <v>12</v>
      </c>
      <c r="M39" s="1"/>
      <c r="N39" s="1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B40" s="1">
        <v>39.0</v>
      </c>
      <c r="C40" s="69" t="s">
        <v>47</v>
      </c>
      <c r="D40" s="1" t="s">
        <v>10</v>
      </c>
      <c r="E40" s="1">
        <v>2.0</v>
      </c>
      <c r="F40" s="4">
        <f t="shared" si="1"/>
        <v>188</v>
      </c>
      <c r="G40" s="1"/>
      <c r="H40" s="1">
        <f>'Round Robin Scoring'!D18</f>
        <v>28</v>
      </c>
      <c r="I40" s="1">
        <f>'Round Robin Scoring'!E18</f>
        <v>62</v>
      </c>
      <c r="J40" s="1">
        <f>'Round Robin Scoring'!G18</f>
        <v>26</v>
      </c>
      <c r="K40" s="1">
        <f>'Round Robin Scoring'!H18</f>
        <v>50</v>
      </c>
      <c r="L40" s="1">
        <f>'Round Robin Scoring'!I18</f>
        <v>22</v>
      </c>
      <c r="M40" s="1"/>
      <c r="N40" s="1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B41" s="1">
        <v>40.0</v>
      </c>
      <c r="C41" s="69" t="s">
        <v>128</v>
      </c>
      <c r="D41" s="1" t="s">
        <v>143</v>
      </c>
      <c r="E41" s="1">
        <v>2.0</v>
      </c>
      <c r="F41" s="4">
        <f t="shared" si="1"/>
        <v>154</v>
      </c>
      <c r="G41" s="1"/>
      <c r="H41" s="1">
        <f>'Round Robin Scoring'!L29</f>
        <v>30</v>
      </c>
      <c r="I41" s="1">
        <f>'Round Robin Scoring'!M29</f>
        <v>22</v>
      </c>
      <c r="J41" s="1">
        <f>'Round Robin Scoring'!N29</f>
        <v>-4</v>
      </c>
      <c r="K41" s="1">
        <f>'Round Robin Scoring'!O29</f>
        <v>12</v>
      </c>
      <c r="L41" s="1">
        <f>'Round Robin Scoring'!Q29</f>
        <v>94</v>
      </c>
      <c r="M41" s="1"/>
      <c r="N41" s="1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B42" s="1">
        <v>41.0</v>
      </c>
      <c r="C42" s="69" t="s">
        <v>98</v>
      </c>
      <c r="D42" s="1" t="s">
        <v>72</v>
      </c>
      <c r="E42" s="1">
        <v>2.0</v>
      </c>
      <c r="F42" s="4">
        <f t="shared" si="1"/>
        <v>146</v>
      </c>
      <c r="G42" s="1"/>
      <c r="H42" s="1">
        <f>'Round Robin Scoring'!$E34</f>
        <v>22</v>
      </c>
      <c r="I42" s="1">
        <f>'Round Robin Scoring'!F34</f>
        <v>14</v>
      </c>
      <c r="J42" s="1">
        <f>'Round Robin Scoring'!G34</f>
        <v>38</v>
      </c>
      <c r="K42" s="1">
        <f>'Round Robin Scoring'!H34</f>
        <v>22</v>
      </c>
      <c r="L42" s="1">
        <f>'Round Robin Scoring'!I34</f>
        <v>50</v>
      </c>
      <c r="M42" s="1"/>
      <c r="N42" s="1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B43" s="1">
        <v>42.0</v>
      </c>
      <c r="C43" s="69" t="s">
        <v>93</v>
      </c>
      <c r="D43" s="1" t="s">
        <v>164</v>
      </c>
      <c r="E43" s="1">
        <v>0.0</v>
      </c>
      <c r="F43" s="4">
        <f t="shared" si="1"/>
        <v>240</v>
      </c>
      <c r="G43" s="1"/>
      <c r="H43" s="1">
        <f>'Round Robin Scoring'!$E25</f>
        <v>44</v>
      </c>
      <c r="I43" s="1">
        <f>'Round Robin Scoring'!F25</f>
        <v>56</v>
      </c>
      <c r="J43" s="1">
        <f>'Round Robin Scoring'!G25</f>
        <v>4</v>
      </c>
      <c r="K43" s="1">
        <f>'Round Robin Scoring'!H25</f>
        <v>86</v>
      </c>
      <c r="L43" s="1">
        <f>'Round Robin Scoring'!I25</f>
        <v>50</v>
      </c>
      <c r="M43" s="1"/>
      <c r="N43" s="1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B44" s="1">
        <v>43.0</v>
      </c>
      <c r="C44" s="69" t="s">
        <v>138</v>
      </c>
      <c r="D44" s="1" t="s">
        <v>72</v>
      </c>
      <c r="E44" s="1">
        <v>0.0</v>
      </c>
      <c r="F44" s="4">
        <f t="shared" si="1"/>
        <v>154</v>
      </c>
      <c r="G44" s="1"/>
      <c r="H44" s="1">
        <f>'Round Robin Scoring'!D39</f>
        <v>20</v>
      </c>
      <c r="I44" s="1">
        <f>'Round Robin Scoring'!E39</f>
        <v>50</v>
      </c>
      <c r="J44" s="1">
        <f>'Round Robin Scoring'!F39</f>
        <v>36</v>
      </c>
      <c r="K44" s="1">
        <f>'Round Robin Scoring'!G39</f>
        <v>52</v>
      </c>
      <c r="L44" s="1">
        <f>'Round Robin Scoring'!H39</f>
        <v>-4</v>
      </c>
      <c r="M44" s="1"/>
      <c r="N44" s="1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B45" s="1">
        <v>44.0</v>
      </c>
      <c r="C45" s="133" t="s">
        <v>43</v>
      </c>
      <c r="D45" s="1" t="s">
        <v>192</v>
      </c>
      <c r="E45" s="1">
        <v>0.0</v>
      </c>
      <c r="F45" s="4">
        <f t="shared" si="1"/>
        <v>138</v>
      </c>
      <c r="G45" s="1"/>
      <c r="H45" s="1">
        <f>'Round Robin Scoring'!D9</f>
        <v>50</v>
      </c>
      <c r="I45" s="1">
        <f>'Round Robin Scoring'!E9</f>
        <v>12</v>
      </c>
      <c r="J45" s="1">
        <f>'Round Robin Scoring'!G9</f>
        <v>8</v>
      </c>
      <c r="K45" s="1">
        <f>'Round Robin Scoring'!H9</f>
        <v>18</v>
      </c>
      <c r="L45" s="1">
        <f>'Round Robin Scoring'!I9</f>
        <v>50</v>
      </c>
      <c r="M45" s="1"/>
      <c r="N45" s="1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B46" s="1">
        <v>45.0</v>
      </c>
      <c r="C46" s="69" t="s">
        <v>100</v>
      </c>
      <c r="D46" s="1" t="s">
        <v>148</v>
      </c>
      <c r="E46" s="1">
        <v>0.0</v>
      </c>
      <c r="F46" s="4">
        <f t="shared" si="1"/>
        <v>90</v>
      </c>
      <c r="G46" s="1"/>
      <c r="H46" s="1">
        <f>'Round Robin Scoring'!M34</f>
        <v>8</v>
      </c>
      <c r="I46" s="1">
        <f>'Round Robin Scoring'!N34</f>
        <v>4</v>
      </c>
      <c r="J46" s="1">
        <f>'Round Robin Scoring'!O34</f>
        <v>30</v>
      </c>
      <c r="K46" s="1">
        <f>'Round Robin Scoring'!P34</f>
        <v>18</v>
      </c>
      <c r="L46" s="1">
        <f>'Round Robin Scoring'!Q34</f>
        <v>30</v>
      </c>
      <c r="M46" s="1"/>
      <c r="N46" s="1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B47" s="1">
        <v>46.0</v>
      </c>
      <c r="C47" s="69" t="s">
        <v>73</v>
      </c>
      <c r="D47" s="1" t="s">
        <v>91</v>
      </c>
      <c r="E47" s="1">
        <v>0.0</v>
      </c>
      <c r="F47" s="4">
        <f t="shared" si="1"/>
        <v>86</v>
      </c>
      <c r="G47" s="1"/>
      <c r="H47" s="1">
        <f>'Round Robin Scoring'!L12</f>
        <v>20</v>
      </c>
      <c r="I47" s="1">
        <f>'Round Robin Scoring'!M12</f>
        <v>28</v>
      </c>
      <c r="J47" s="1">
        <f>'Round Robin Scoring'!N12</f>
        <v>8</v>
      </c>
      <c r="K47" s="1">
        <f>'Round Robin Scoring'!O12</f>
        <v>26</v>
      </c>
      <c r="L47" s="1">
        <f>'Round Robin Scoring'!P12</f>
        <v>4</v>
      </c>
      <c r="M47" s="1"/>
      <c r="N47" s="1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B48" s="1">
        <v>47.0</v>
      </c>
      <c r="C48" s="69" t="s">
        <v>49</v>
      </c>
      <c r="D48" s="1" t="s">
        <v>149</v>
      </c>
      <c r="E48" s="1">
        <v>0.0</v>
      </c>
      <c r="F48" s="4">
        <f t="shared" si="1"/>
        <v>78</v>
      </c>
      <c r="G48" s="1"/>
      <c r="H48" s="1">
        <f>'Round Robin Scoring'!L18</f>
        <v>26</v>
      </c>
      <c r="I48" s="1">
        <f>'Round Robin Scoring'!M18</f>
        <v>4</v>
      </c>
      <c r="J48" s="1">
        <f>'Round Robin Scoring'!O18</f>
        <v>8</v>
      </c>
      <c r="K48" s="1">
        <f>'Round Robin Scoring'!P18</f>
        <v>22</v>
      </c>
      <c r="L48" s="1">
        <f>'Round Robin Scoring'!Q18</f>
        <v>18</v>
      </c>
      <c r="M48" s="1"/>
      <c r="N48" s="1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B49" s="1">
        <v>48.0</v>
      </c>
      <c r="C49" s="69" t="s">
        <v>38</v>
      </c>
      <c r="D49" s="1" t="s">
        <v>10</v>
      </c>
      <c r="E49" s="1">
        <v>0.0</v>
      </c>
      <c r="F49" s="4">
        <f t="shared" si="1"/>
        <v>64</v>
      </c>
      <c r="G49" s="1"/>
      <c r="H49" s="1">
        <f>'Round Robin Scoring'!D17</f>
        <v>8</v>
      </c>
      <c r="I49" s="1">
        <f>'Round Robin Scoring'!F17</f>
        <v>20</v>
      </c>
      <c r="J49" s="1">
        <f>'Round Robin Scoring'!G17</f>
        <v>16</v>
      </c>
      <c r="K49" s="1">
        <f>'Round Robin Scoring'!H17</f>
        <v>12</v>
      </c>
      <c r="L49" s="1">
        <f>'Round Robin Scoring'!I17</f>
        <v>8</v>
      </c>
      <c r="M49" s="1"/>
      <c r="N49" s="1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B50" s="1"/>
      <c r="C50" s="69"/>
      <c r="D50" s="1"/>
      <c r="E50" s="1"/>
      <c r="F50" s="4"/>
      <c r="G50" s="1"/>
      <c r="H50" s="1"/>
      <c r="I50" s="1"/>
      <c r="J50" s="1"/>
      <c r="K50" s="1"/>
      <c r="L50" s="1"/>
      <c r="M50" s="1"/>
      <c r="N50" s="1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B51" s="1"/>
      <c r="C51" s="69"/>
      <c r="D51" s="1"/>
      <c r="E51" s="1"/>
      <c r="F51" s="4"/>
      <c r="G51" s="1"/>
      <c r="H51" s="1"/>
      <c r="I51" s="1"/>
      <c r="J51" s="1"/>
      <c r="K51" s="1"/>
      <c r="L51" s="1"/>
      <c r="M51" s="1"/>
      <c r="N51" s="1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B52" s="1"/>
      <c r="C52" s="69"/>
      <c r="D52" s="1"/>
      <c r="E52" s="1"/>
      <c r="F52" s="4"/>
      <c r="G52" s="1"/>
      <c r="H52" s="1"/>
      <c r="I52" s="1"/>
      <c r="J52" s="1"/>
      <c r="K52" s="1"/>
      <c r="L52" s="1"/>
      <c r="M52" s="1"/>
      <c r="N52" s="1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B53" s="1"/>
      <c r="C53" s="69"/>
      <c r="D53" s="1"/>
      <c r="E53" s="1"/>
      <c r="F53" s="4"/>
      <c r="G53" s="1"/>
      <c r="H53" s="1"/>
      <c r="I53" s="1"/>
      <c r="J53" s="1"/>
      <c r="K53" s="1"/>
      <c r="L53" s="1"/>
      <c r="M53" s="1"/>
      <c r="N53" s="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B54" s="1"/>
      <c r="C54" s="69"/>
      <c r="D54" s="1"/>
      <c r="E54" s="1"/>
      <c r="F54" s="4"/>
      <c r="G54" s="1"/>
      <c r="H54" s="1"/>
      <c r="I54" s="1"/>
      <c r="J54" s="1"/>
      <c r="K54" s="1"/>
      <c r="L54" s="1"/>
      <c r="M54" s="1"/>
      <c r="N54" s="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B55" s="1"/>
      <c r="C55" s="69"/>
      <c r="D55" s="1"/>
      <c r="E55" s="1"/>
      <c r="F55" s="4"/>
      <c r="G55" s="1"/>
      <c r="H55" s="1"/>
      <c r="I55" s="1"/>
      <c r="J55" s="1"/>
      <c r="K55" s="1"/>
      <c r="L55" s="1"/>
      <c r="M55" s="1"/>
      <c r="N55" s="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B56" s="1"/>
      <c r="C56" s="69"/>
      <c r="D56" s="1"/>
      <c r="E56" s="1"/>
      <c r="F56" s="4"/>
      <c r="G56" s="1"/>
      <c r="H56" s="1"/>
      <c r="I56" s="1"/>
      <c r="J56" s="1"/>
      <c r="K56" s="1"/>
      <c r="L56" s="1"/>
      <c r="M56" s="1"/>
      <c r="N56" s="1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B57" s="1"/>
      <c r="C57" s="69"/>
      <c r="D57" s="1"/>
      <c r="E57" s="1"/>
      <c r="F57" s="4"/>
      <c r="G57" s="1"/>
      <c r="H57" s="1"/>
      <c r="I57" s="1"/>
      <c r="J57" s="1"/>
      <c r="K57" s="1"/>
      <c r="L57" s="1"/>
      <c r="M57" s="1"/>
      <c r="N57" s="1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11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11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11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1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1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1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1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1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1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1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1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1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1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1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1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1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1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1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1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1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1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1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1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1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1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1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1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1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1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1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1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1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1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1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1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1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1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1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1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1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1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1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1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1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1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1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1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1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1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1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1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1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1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1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1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1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1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1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1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1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1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1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1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1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1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1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1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1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1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1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1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1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1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1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1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1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1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1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1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1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1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1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1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1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1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1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1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1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1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1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1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1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1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1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1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1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1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1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1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1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1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1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1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1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1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1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1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1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1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1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1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1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1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1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1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1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1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1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1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1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1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1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1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1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1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1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1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1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1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1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1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1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1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1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1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1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1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1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1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1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1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1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1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1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1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1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1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1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1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1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1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1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1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1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1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1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1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1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1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1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1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1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1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1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1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1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1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1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1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1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1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1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1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1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1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1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1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1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1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1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1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1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1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1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1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1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1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1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1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1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1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1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1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1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1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1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1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1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1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1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1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1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1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1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1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1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1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1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1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1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1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1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1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1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1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1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1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1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1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1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1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1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1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1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1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1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1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1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1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1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1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1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1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1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1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1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1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1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1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1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1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1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1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1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1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1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1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1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1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1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1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1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1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1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1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1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1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1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1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1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1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1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1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1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1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1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1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1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1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1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1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1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1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1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1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1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1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1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1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1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1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1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1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1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1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1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1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1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1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1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1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1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1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1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1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1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1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1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1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1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1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1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1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1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1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1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1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1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1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1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1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1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1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1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1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1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1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1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1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1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1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1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1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1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1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1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1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1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1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1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1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1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1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1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1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1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1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1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1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1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1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1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1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1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1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1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1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1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1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1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1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1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1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1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1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1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1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1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1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1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1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1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1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1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1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1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1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1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1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1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1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1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1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1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1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1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1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1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1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1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1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1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1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1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1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1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1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1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1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1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1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1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1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1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1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1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1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1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1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1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1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1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1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1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1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1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1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1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1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1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1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1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1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1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1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1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1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1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1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1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1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1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1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1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1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1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1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1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1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1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1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1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1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1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1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1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1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1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1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1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1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1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1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1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1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1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1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1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1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1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1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1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1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1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1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1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1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1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1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1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1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1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1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1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1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1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1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1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1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1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1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1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1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1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1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1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1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1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1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1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1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1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1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1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1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1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1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1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1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1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1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1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1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1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1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1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1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1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1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1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1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1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1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1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1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1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1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1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1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1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1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1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1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1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1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1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1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1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1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1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1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1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1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1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1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1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1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1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1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1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1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1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1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1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1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1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1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1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1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1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1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1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1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1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1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1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1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1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1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1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1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1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1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1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1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1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1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1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1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1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1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1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1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1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1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1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1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1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1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1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1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1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1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1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1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1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1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1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1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1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1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1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1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1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1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1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1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1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1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1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1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1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1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1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1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1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1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1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1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1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1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1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1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1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1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1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1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1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1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1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1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1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1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1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1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1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1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1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1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1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1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1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1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1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1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1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1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1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1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1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1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1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1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1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1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1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1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1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1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1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1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1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1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1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1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1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1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1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1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1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1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1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1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1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1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1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1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1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1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1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1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1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1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1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1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1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1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1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1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1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1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1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1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1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1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1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1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1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1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1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1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1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1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1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1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1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1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1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1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1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1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1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1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1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1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1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1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1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1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1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1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1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1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1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1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1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1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1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1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1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1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1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1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1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1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1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1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1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1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1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1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1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1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1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1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1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1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1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1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1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1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1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1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1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1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1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1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1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1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1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1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1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1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1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1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1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1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1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1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1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1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1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1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1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1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1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1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1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1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1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1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1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1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1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1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1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1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1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1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1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1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1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1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1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1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1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1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1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1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1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1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1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1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1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1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1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1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1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1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1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1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1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1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1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1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1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1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1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1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1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1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1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1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1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1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1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1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1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1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1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1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1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1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1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1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1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1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1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1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1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1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1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1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1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1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1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1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1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1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1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1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1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1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1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1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1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1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1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1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1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1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1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1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1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1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1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1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1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1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1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1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1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1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1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1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1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1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1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1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1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1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1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1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1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1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1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1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1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1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1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1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1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1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1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1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1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1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1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1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1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1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1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1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1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1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1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1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1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1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1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1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1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1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1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1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1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1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1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1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1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1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1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1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1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1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1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1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1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ataValidations>
    <dataValidation type="list" allowBlank="1" showErrorMessage="1" sqref="D2:D49">
      <formula1>"albatross,bottle,champagne,daylight,exile,fiction,goldrush,happiness"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9.0"/>
    <col customWidth="1" min="3" max="3" width="5.63"/>
    <col customWidth="1" min="4" max="4" width="10.38"/>
    <col customWidth="1" min="5" max="5" width="20.38"/>
    <col customWidth="1" min="6" max="6" width="5.38"/>
    <col customWidth="1" min="7" max="7" width="20.25"/>
    <col customWidth="1" min="8" max="8" width="5.38"/>
    <col customWidth="1" min="9" max="9" width="9.75"/>
    <col customWidth="1" min="10" max="10" width="20.0"/>
    <col customWidth="1" min="11" max="11" width="5.88"/>
    <col customWidth="1" min="12" max="12" width="20.25"/>
    <col customWidth="1" min="13" max="13" width="5.63"/>
    <col customWidth="1" min="14" max="14" width="18.63"/>
    <col customWidth="1" min="15" max="15" width="5.75"/>
    <col customWidth="1" min="16" max="16" width="19.75"/>
    <col customWidth="1" min="17" max="19" width="6.0"/>
    <col customWidth="1" min="20" max="20" width="20.5"/>
    <col customWidth="1" min="21" max="21" width="16.75"/>
    <col customWidth="1" min="22" max="22" width="5.13"/>
    <col customWidth="1" min="24" max="24" width="4.63"/>
  </cols>
  <sheetData>
    <row r="1">
      <c r="A1" s="73"/>
      <c r="B1" s="75" t="s">
        <v>150</v>
      </c>
      <c r="C1" s="22"/>
      <c r="D1" s="22"/>
      <c r="E1" s="75" t="s">
        <v>153</v>
      </c>
      <c r="F1" s="22"/>
      <c r="G1" s="79" t="s">
        <v>155</v>
      </c>
      <c r="H1" s="22"/>
      <c r="I1" s="22"/>
      <c r="J1" s="75" t="s">
        <v>156</v>
      </c>
      <c r="K1" s="22"/>
      <c r="L1" s="75" t="s">
        <v>157</v>
      </c>
      <c r="M1" s="22"/>
      <c r="N1" s="75" t="s">
        <v>158</v>
      </c>
      <c r="O1" s="22"/>
      <c r="P1" s="82" t="s">
        <v>159</v>
      </c>
      <c r="Q1" s="22"/>
      <c r="R1" s="22"/>
      <c r="S1" s="22"/>
      <c r="T1" s="22"/>
      <c r="U1" s="22"/>
      <c r="V1" s="22"/>
      <c r="W1" s="22"/>
      <c r="X1" s="22"/>
    </row>
    <row r="2">
      <c r="A2" s="73"/>
      <c r="B2" s="79" t="s">
        <v>160</v>
      </c>
      <c r="C2" s="84"/>
      <c r="D2" s="22"/>
      <c r="E2" s="79" t="s">
        <v>162</v>
      </c>
      <c r="F2" s="84"/>
      <c r="G2" s="79" t="s">
        <v>165</v>
      </c>
      <c r="H2" s="84"/>
      <c r="I2" s="22"/>
      <c r="J2" s="79" t="s">
        <v>167</v>
      </c>
      <c r="K2" s="84"/>
      <c r="L2" s="79" t="s">
        <v>168</v>
      </c>
      <c r="M2" s="84"/>
      <c r="N2" s="79" t="s">
        <v>169</v>
      </c>
      <c r="O2" s="84"/>
      <c r="P2" s="79" t="s">
        <v>170</v>
      </c>
      <c r="Q2" s="84"/>
      <c r="R2" s="84"/>
      <c r="S2" s="86" t="s">
        <v>171</v>
      </c>
      <c r="T2" s="86" t="s">
        <v>6</v>
      </c>
      <c r="U2" s="22"/>
      <c r="V2" s="22"/>
      <c r="W2" s="22"/>
      <c r="X2" s="22"/>
    </row>
    <row r="3">
      <c r="A3" s="73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84"/>
      <c r="O3" s="84"/>
      <c r="P3" s="22"/>
      <c r="Q3" s="22"/>
      <c r="R3" s="22"/>
      <c r="S3" s="86" t="s">
        <v>172</v>
      </c>
      <c r="T3" s="86" t="s">
        <v>118</v>
      </c>
      <c r="U3" s="22"/>
      <c r="V3" s="22"/>
      <c r="W3" s="22"/>
      <c r="X3" s="22"/>
    </row>
    <row r="4">
      <c r="A4" s="89">
        <v>1.0</v>
      </c>
      <c r="B4" s="90" t="s">
        <v>6</v>
      </c>
      <c r="C4" s="91">
        <v>98.0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84"/>
      <c r="O4" s="84"/>
      <c r="P4" s="22"/>
      <c r="Q4" s="22"/>
      <c r="R4" s="22"/>
      <c r="S4" s="86" t="s">
        <v>178</v>
      </c>
      <c r="T4" s="86" t="s">
        <v>116</v>
      </c>
      <c r="U4" s="22"/>
      <c r="V4" s="22"/>
      <c r="W4" s="22"/>
      <c r="X4" s="22"/>
    </row>
    <row r="5">
      <c r="A5" s="92" t="s">
        <v>179</v>
      </c>
      <c r="B5" s="22"/>
      <c r="C5" s="93"/>
      <c r="D5" s="94"/>
      <c r="E5" s="94"/>
      <c r="F5" s="94"/>
      <c r="G5" s="90" t="s">
        <v>140</v>
      </c>
      <c r="H5" s="91">
        <v>10.0</v>
      </c>
      <c r="I5" s="22"/>
      <c r="J5" s="22"/>
      <c r="K5" s="22"/>
      <c r="L5" s="22"/>
      <c r="M5" s="22"/>
      <c r="N5" s="84"/>
      <c r="O5" s="84"/>
      <c r="P5" s="22"/>
      <c r="Q5" s="22"/>
      <c r="R5" s="22"/>
      <c r="S5" s="86" t="s">
        <v>180</v>
      </c>
      <c r="T5" s="86" t="s">
        <v>140</v>
      </c>
      <c r="U5" s="22"/>
      <c r="V5" s="22"/>
      <c r="W5" s="22"/>
      <c r="X5" s="22"/>
    </row>
    <row r="6">
      <c r="A6" s="89">
        <v>8.0</v>
      </c>
      <c r="B6" s="90" t="s">
        <v>140</v>
      </c>
      <c r="C6" s="96">
        <v>110.0</v>
      </c>
      <c r="D6" s="22"/>
      <c r="E6" s="22"/>
      <c r="F6" s="22"/>
      <c r="G6" s="22"/>
      <c r="H6" s="93"/>
      <c r="I6" s="22"/>
      <c r="J6" s="22"/>
      <c r="K6" s="22"/>
      <c r="L6" s="22"/>
      <c r="M6" s="22"/>
      <c r="N6" s="84"/>
      <c r="O6" s="84"/>
      <c r="P6" s="22"/>
      <c r="Q6" s="22"/>
      <c r="R6" s="22"/>
      <c r="S6" s="86" t="s">
        <v>182</v>
      </c>
      <c r="T6" s="86" t="s">
        <v>183</v>
      </c>
      <c r="U6" s="22"/>
      <c r="V6" s="22"/>
      <c r="W6" s="22"/>
      <c r="X6" s="22"/>
    </row>
    <row r="7">
      <c r="A7" s="22"/>
      <c r="B7" s="22"/>
      <c r="C7" s="22"/>
      <c r="D7" s="22"/>
      <c r="E7" s="22"/>
      <c r="F7" s="22"/>
      <c r="G7" s="98" t="s">
        <v>179</v>
      </c>
      <c r="H7" s="93"/>
      <c r="I7" s="94"/>
      <c r="J7" s="91"/>
      <c r="K7" s="94"/>
      <c r="L7" s="100" t="s">
        <v>116</v>
      </c>
      <c r="M7" s="91">
        <v>40.0</v>
      </c>
      <c r="N7" s="84"/>
      <c r="O7" s="84"/>
      <c r="P7" s="22"/>
      <c r="Q7" s="22"/>
      <c r="R7" s="22"/>
      <c r="S7" s="22"/>
      <c r="T7" s="22"/>
      <c r="U7" s="22"/>
      <c r="V7" s="22"/>
      <c r="W7" s="22"/>
      <c r="X7" s="22"/>
    </row>
    <row r="8">
      <c r="A8" s="89">
        <v>4.0</v>
      </c>
      <c r="B8" s="90" t="s">
        <v>112</v>
      </c>
      <c r="C8" s="91">
        <v>46.0</v>
      </c>
      <c r="D8" s="22"/>
      <c r="E8" s="22"/>
      <c r="F8" s="22"/>
      <c r="G8" s="22"/>
      <c r="H8" s="93"/>
      <c r="I8" s="22"/>
      <c r="J8" s="22"/>
      <c r="K8" s="22"/>
      <c r="L8" s="22"/>
      <c r="M8" s="93"/>
      <c r="N8" s="84"/>
      <c r="O8" s="84"/>
      <c r="P8" s="22"/>
      <c r="Q8" s="22"/>
      <c r="R8" s="22"/>
      <c r="S8" s="22"/>
      <c r="T8" s="22"/>
      <c r="U8" s="22"/>
      <c r="V8" s="22"/>
      <c r="W8" s="22"/>
      <c r="X8" s="22"/>
    </row>
    <row r="9">
      <c r="A9" s="92" t="s">
        <v>185</v>
      </c>
      <c r="B9" s="22"/>
      <c r="C9" s="93"/>
      <c r="D9" s="94"/>
      <c r="E9" s="94"/>
      <c r="F9" s="94"/>
      <c r="G9" s="90" t="s">
        <v>116</v>
      </c>
      <c r="H9" s="96">
        <v>44.0</v>
      </c>
      <c r="I9" s="22"/>
      <c r="J9" s="22"/>
      <c r="K9" s="22"/>
      <c r="L9" s="22"/>
      <c r="M9" s="93"/>
      <c r="N9" s="84"/>
      <c r="O9" s="84"/>
      <c r="P9" s="22"/>
      <c r="Q9" s="22"/>
      <c r="R9" s="22"/>
      <c r="S9" s="22"/>
      <c r="T9" s="22"/>
      <c r="U9" s="22"/>
      <c r="V9" s="22"/>
      <c r="W9" s="22"/>
      <c r="X9" s="22"/>
    </row>
    <row r="10">
      <c r="A10" s="89">
        <v>5.0</v>
      </c>
      <c r="B10" s="90" t="s">
        <v>116</v>
      </c>
      <c r="C10" s="96">
        <v>100.0</v>
      </c>
      <c r="D10" s="22"/>
      <c r="E10" s="101"/>
      <c r="F10" s="101"/>
      <c r="G10" s="22"/>
      <c r="H10" s="22"/>
      <c r="I10" s="22"/>
      <c r="J10" s="101"/>
      <c r="K10" s="101"/>
      <c r="L10" s="22"/>
      <c r="M10" s="93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</row>
    <row r="11">
      <c r="A11" s="22"/>
      <c r="B11" s="22"/>
      <c r="C11" s="22"/>
      <c r="D11" s="22"/>
      <c r="E11" s="101"/>
      <c r="F11" s="101"/>
      <c r="G11" s="22"/>
      <c r="H11" s="22"/>
      <c r="I11" s="22"/>
      <c r="J11" s="101"/>
      <c r="K11" s="101"/>
      <c r="L11" s="98" t="s">
        <v>186</v>
      </c>
      <c r="M11" s="93"/>
      <c r="N11" s="94"/>
      <c r="O11" s="94"/>
      <c r="P11" s="102" t="s">
        <v>118</v>
      </c>
      <c r="Q11" s="91">
        <v>6.0</v>
      </c>
      <c r="R11" s="91">
        <v>-8.0</v>
      </c>
      <c r="S11" s="103"/>
      <c r="T11" s="22"/>
      <c r="U11" s="22"/>
      <c r="V11" s="22"/>
      <c r="W11" s="22"/>
      <c r="X11" s="22"/>
    </row>
    <row r="12">
      <c r="A12" s="89">
        <v>2.0</v>
      </c>
      <c r="B12" s="90" t="s">
        <v>64</v>
      </c>
      <c r="C12" s="91">
        <v>48.0</v>
      </c>
      <c r="D12" s="22"/>
      <c r="E12" s="101"/>
      <c r="F12" s="101"/>
      <c r="G12" s="22"/>
      <c r="H12" s="22"/>
      <c r="I12" s="22"/>
      <c r="J12" s="101"/>
      <c r="K12" s="101"/>
      <c r="L12" s="22"/>
      <c r="M12" s="93"/>
      <c r="N12" s="22"/>
      <c r="O12" s="22"/>
      <c r="P12" s="22"/>
      <c r="Q12" s="22"/>
      <c r="R12" s="22"/>
      <c r="S12" s="93"/>
      <c r="T12" s="22"/>
      <c r="U12" s="104" t="s">
        <v>187</v>
      </c>
      <c r="V12" s="104">
        <v>52.81</v>
      </c>
      <c r="W12" s="22"/>
      <c r="X12" s="22"/>
    </row>
    <row r="13">
      <c r="A13" s="92" t="s">
        <v>188</v>
      </c>
      <c r="B13" s="22"/>
      <c r="C13" s="93"/>
      <c r="D13" s="94"/>
      <c r="E13" s="94"/>
      <c r="F13" s="94"/>
      <c r="G13" s="90" t="s">
        <v>118</v>
      </c>
      <c r="H13" s="91">
        <v>102.0</v>
      </c>
      <c r="I13" s="22"/>
      <c r="J13" s="101"/>
      <c r="K13" s="101"/>
      <c r="L13" s="22"/>
      <c r="M13" s="93"/>
      <c r="N13" s="22"/>
      <c r="O13" s="22"/>
      <c r="P13" s="22"/>
      <c r="Q13" s="22"/>
      <c r="R13" s="22"/>
      <c r="S13" s="93"/>
      <c r="T13" s="22"/>
      <c r="U13" s="22"/>
      <c r="V13" s="105"/>
      <c r="W13" s="22"/>
      <c r="X13" s="22"/>
    </row>
    <row r="14">
      <c r="A14" s="89">
        <v>7.0</v>
      </c>
      <c r="B14" s="90" t="s">
        <v>118</v>
      </c>
      <c r="C14" s="96">
        <v>122.0</v>
      </c>
      <c r="D14" s="22"/>
      <c r="E14" s="22"/>
      <c r="F14" s="22"/>
      <c r="G14" s="22"/>
      <c r="H14" s="93"/>
      <c r="I14" s="22"/>
      <c r="J14" s="22"/>
      <c r="K14" s="22"/>
      <c r="L14" s="22"/>
      <c r="M14" s="93"/>
      <c r="N14" s="22"/>
      <c r="O14" s="22"/>
      <c r="P14" s="22"/>
      <c r="Q14" s="22"/>
      <c r="R14" s="22"/>
      <c r="S14" s="93"/>
      <c r="T14" s="22"/>
      <c r="U14" s="22"/>
      <c r="V14" s="105"/>
      <c r="W14" s="91" t="s">
        <v>190</v>
      </c>
      <c r="X14" s="22"/>
    </row>
    <row r="15">
      <c r="A15" s="22"/>
      <c r="B15" s="22"/>
      <c r="C15" s="22"/>
      <c r="D15" s="22"/>
      <c r="E15" s="22"/>
      <c r="F15" s="22"/>
      <c r="G15" s="98" t="s">
        <v>185</v>
      </c>
      <c r="H15" s="93"/>
      <c r="I15" s="94"/>
      <c r="J15" s="94"/>
      <c r="K15" s="94"/>
      <c r="L15" s="108" t="s">
        <v>118</v>
      </c>
      <c r="M15" s="96">
        <v>104.0</v>
      </c>
      <c r="N15" s="22"/>
      <c r="O15" s="22"/>
      <c r="P15" s="22"/>
      <c r="Q15" s="22"/>
      <c r="R15" s="22"/>
      <c r="S15" s="93"/>
      <c r="T15" s="22"/>
      <c r="U15" s="22"/>
      <c r="V15" s="105"/>
      <c r="W15" s="22"/>
      <c r="X15" s="22"/>
    </row>
    <row r="16">
      <c r="A16" s="89">
        <v>3.0</v>
      </c>
      <c r="B16" s="90" t="s">
        <v>45</v>
      </c>
      <c r="C16" s="91">
        <v>128.0</v>
      </c>
      <c r="D16" s="22"/>
      <c r="E16" s="22"/>
      <c r="F16" s="22"/>
      <c r="G16" s="22"/>
      <c r="H16" s="93"/>
      <c r="I16" s="22"/>
      <c r="J16" s="22"/>
      <c r="K16" s="22"/>
      <c r="L16" s="22"/>
      <c r="M16" s="22"/>
      <c r="N16" s="22"/>
      <c r="O16" s="22"/>
      <c r="P16" s="98" t="s">
        <v>186</v>
      </c>
      <c r="Q16" s="111"/>
      <c r="R16" s="111"/>
      <c r="S16" s="111"/>
      <c r="T16" s="114" t="s">
        <v>6</v>
      </c>
      <c r="U16" s="115"/>
      <c r="V16" s="117">
        <v>31.0</v>
      </c>
      <c r="W16" s="22"/>
      <c r="X16" s="22"/>
    </row>
    <row r="17">
      <c r="A17" s="92" t="s">
        <v>199</v>
      </c>
      <c r="B17" s="22"/>
      <c r="C17" s="93"/>
      <c r="D17" s="94"/>
      <c r="E17" s="94"/>
      <c r="F17" s="94"/>
      <c r="G17" s="90" t="s">
        <v>45</v>
      </c>
      <c r="H17" s="96">
        <v>24.0</v>
      </c>
      <c r="I17" s="22"/>
      <c r="J17" s="22"/>
      <c r="K17" s="22"/>
      <c r="L17" s="22"/>
      <c r="M17" s="86" t="s">
        <v>201</v>
      </c>
      <c r="N17" s="119" t="s">
        <v>116</v>
      </c>
      <c r="O17" s="91">
        <v>26.0</v>
      </c>
      <c r="P17" s="22"/>
      <c r="Q17" s="22"/>
      <c r="R17" s="22"/>
      <c r="S17" s="93"/>
      <c r="T17" s="22"/>
      <c r="U17" s="22"/>
      <c r="V17" s="22"/>
      <c r="W17" s="22"/>
      <c r="X17" s="22"/>
    </row>
    <row r="18">
      <c r="A18" s="89">
        <v>6.0</v>
      </c>
      <c r="B18" s="90" t="s">
        <v>41</v>
      </c>
      <c r="C18" s="96">
        <v>62.0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93"/>
      <c r="P18" s="22"/>
      <c r="Q18" s="22"/>
      <c r="R18" s="22"/>
      <c r="S18" s="93"/>
      <c r="T18" s="22"/>
      <c r="U18" s="22"/>
      <c r="V18" s="22"/>
      <c r="W18" s="22"/>
      <c r="X18" s="22"/>
    </row>
    <row r="19">
      <c r="A19" s="22"/>
      <c r="B19" s="22"/>
      <c r="C19" s="22"/>
      <c r="D19" s="22"/>
      <c r="E19" s="22"/>
      <c r="F19" s="22"/>
      <c r="G19" s="22"/>
      <c r="H19" s="22"/>
      <c r="I19" s="84" t="s">
        <v>205</v>
      </c>
      <c r="J19" s="108" t="s">
        <v>140</v>
      </c>
      <c r="K19" s="91">
        <v>96.0</v>
      </c>
      <c r="L19" s="22"/>
      <c r="M19" s="22"/>
      <c r="N19" s="22"/>
      <c r="O19" s="93"/>
      <c r="P19" s="22"/>
      <c r="Q19" s="22"/>
      <c r="R19" s="22"/>
      <c r="S19" s="93"/>
      <c r="T19" s="22"/>
      <c r="U19" s="22"/>
      <c r="V19" s="22"/>
      <c r="W19" s="22"/>
      <c r="X19" s="22"/>
    </row>
    <row r="20">
      <c r="A20" s="22"/>
      <c r="B20" s="22"/>
      <c r="C20" s="22"/>
      <c r="D20" s="84" t="s">
        <v>206</v>
      </c>
      <c r="E20" s="90" t="s">
        <v>41</v>
      </c>
      <c r="F20" s="91">
        <v>98.0</v>
      </c>
      <c r="G20" s="22"/>
      <c r="H20" s="22"/>
      <c r="I20" s="22"/>
      <c r="J20" s="22"/>
      <c r="K20" s="93"/>
      <c r="L20" s="22"/>
      <c r="M20" s="22"/>
      <c r="N20" s="22"/>
      <c r="O20" s="93"/>
      <c r="P20" s="22"/>
      <c r="Q20" s="22"/>
      <c r="R20" s="22"/>
      <c r="S20" s="93"/>
      <c r="T20" s="22"/>
      <c r="U20" s="22"/>
      <c r="V20" s="22"/>
      <c r="W20" s="22"/>
      <c r="X20" s="22"/>
    </row>
    <row r="21">
      <c r="A21" s="89">
        <v>9.0</v>
      </c>
      <c r="B21" s="90" t="s">
        <v>95</v>
      </c>
      <c r="C21" s="91">
        <v>78.0</v>
      </c>
      <c r="D21" s="22"/>
      <c r="E21" s="98" t="s">
        <v>188</v>
      </c>
      <c r="F21" s="93"/>
      <c r="G21" s="108" t="s">
        <v>41</v>
      </c>
      <c r="H21" s="91">
        <v>60.0</v>
      </c>
      <c r="I21" s="84"/>
      <c r="J21" s="98" t="s">
        <v>186</v>
      </c>
      <c r="K21" s="93"/>
      <c r="L21" s="108" t="s">
        <v>140</v>
      </c>
      <c r="M21" s="91">
        <v>54.0</v>
      </c>
      <c r="N21" s="98" t="s">
        <v>186</v>
      </c>
      <c r="O21" s="123"/>
      <c r="P21" s="108" t="s">
        <v>6</v>
      </c>
      <c r="Q21" s="124">
        <v>18.0</v>
      </c>
      <c r="R21" s="124">
        <v>22.0</v>
      </c>
      <c r="S21" s="125"/>
      <c r="T21" s="22"/>
      <c r="U21" s="22"/>
      <c r="V21" s="22"/>
      <c r="W21" s="22"/>
      <c r="X21" s="22"/>
    </row>
    <row r="22">
      <c r="A22" s="92" t="s">
        <v>209</v>
      </c>
      <c r="B22" s="22"/>
      <c r="C22" s="93"/>
      <c r="D22" s="94"/>
      <c r="E22" s="108" t="s">
        <v>131</v>
      </c>
      <c r="F22" s="96">
        <v>34.0</v>
      </c>
      <c r="G22" s="22"/>
      <c r="H22" s="93"/>
      <c r="I22" s="22"/>
      <c r="J22" s="22"/>
      <c r="K22" s="93"/>
      <c r="L22" s="22"/>
      <c r="M22" s="93"/>
      <c r="N22" s="22"/>
      <c r="O22" s="93"/>
      <c r="P22" s="22"/>
      <c r="Q22" s="22"/>
      <c r="R22" s="22"/>
      <c r="S22" s="22"/>
      <c r="T22" s="22"/>
      <c r="U22" s="22"/>
      <c r="V22" s="22"/>
      <c r="W22" s="22"/>
      <c r="X22" s="22"/>
    </row>
    <row r="23">
      <c r="A23" s="89">
        <v>16.0</v>
      </c>
      <c r="B23" s="90" t="s">
        <v>131</v>
      </c>
      <c r="C23" s="96">
        <v>102.0</v>
      </c>
      <c r="D23" s="22"/>
      <c r="E23" s="22"/>
      <c r="F23" s="22"/>
      <c r="G23" s="98" t="s">
        <v>209</v>
      </c>
      <c r="H23" s="93"/>
      <c r="I23" s="94"/>
      <c r="J23" s="108" t="s">
        <v>64</v>
      </c>
      <c r="K23" s="96">
        <v>62.0</v>
      </c>
      <c r="L23" s="22"/>
      <c r="M23" s="93"/>
      <c r="N23" s="22"/>
      <c r="O23" s="93"/>
      <c r="P23" s="22"/>
      <c r="Q23" s="22"/>
      <c r="R23" s="22"/>
      <c r="S23" s="22"/>
      <c r="T23" s="22"/>
      <c r="U23" s="22"/>
      <c r="V23" s="22"/>
      <c r="W23" s="22"/>
      <c r="X23" s="22"/>
    </row>
    <row r="24">
      <c r="A24" s="22"/>
      <c r="B24" s="22"/>
      <c r="C24" s="22"/>
      <c r="D24" s="84" t="s">
        <v>210</v>
      </c>
      <c r="E24" s="90" t="s">
        <v>64</v>
      </c>
      <c r="F24" s="91">
        <v>74.0</v>
      </c>
      <c r="G24" s="22"/>
      <c r="H24" s="93"/>
      <c r="I24" s="22"/>
      <c r="J24" s="22"/>
      <c r="K24" s="22"/>
      <c r="L24" s="22"/>
      <c r="M24" s="93"/>
      <c r="N24" s="22"/>
      <c r="O24" s="93"/>
      <c r="P24" s="22"/>
      <c r="Q24" s="22"/>
      <c r="R24" s="22"/>
      <c r="S24" s="22"/>
      <c r="T24" s="22"/>
      <c r="U24" s="22"/>
      <c r="V24" s="22"/>
      <c r="W24" s="22"/>
      <c r="X24" s="22"/>
    </row>
    <row r="25">
      <c r="A25" s="89">
        <v>12.0</v>
      </c>
      <c r="B25" s="90" t="s">
        <v>77</v>
      </c>
      <c r="C25" s="91">
        <v>18.0</v>
      </c>
      <c r="D25" s="22"/>
      <c r="E25" s="98" t="s">
        <v>199</v>
      </c>
      <c r="F25" s="93"/>
      <c r="G25" s="108" t="s">
        <v>64</v>
      </c>
      <c r="H25" s="96">
        <v>68.0</v>
      </c>
      <c r="I25" s="84"/>
      <c r="J25" s="22"/>
      <c r="K25" s="22"/>
      <c r="L25" s="98" t="s">
        <v>211</v>
      </c>
      <c r="M25" s="93"/>
      <c r="N25" s="108" t="s">
        <v>6</v>
      </c>
      <c r="O25" s="96">
        <v>98.0</v>
      </c>
      <c r="P25" s="22"/>
      <c r="Q25" s="22"/>
      <c r="R25" s="22"/>
      <c r="S25" s="22"/>
      <c r="T25" s="22"/>
      <c r="U25" s="22"/>
      <c r="V25" s="22"/>
      <c r="W25" s="22"/>
      <c r="X25" s="22"/>
    </row>
    <row r="26">
      <c r="A26" s="92" t="s">
        <v>212</v>
      </c>
      <c r="B26" s="22"/>
      <c r="C26" s="93"/>
      <c r="D26" s="94"/>
      <c r="E26" s="90" t="s">
        <v>106</v>
      </c>
      <c r="F26" s="96">
        <v>28.0</v>
      </c>
      <c r="G26" s="22"/>
      <c r="H26" s="22"/>
      <c r="I26" s="22"/>
      <c r="J26" s="22"/>
      <c r="K26" s="22"/>
      <c r="L26" s="22"/>
      <c r="M26" s="93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>
      <c r="A27" s="89">
        <v>13.0</v>
      </c>
      <c r="B27" s="90" t="s">
        <v>106</v>
      </c>
      <c r="C27" s="96">
        <v>50.0</v>
      </c>
      <c r="D27" s="22"/>
      <c r="E27" s="22"/>
      <c r="F27" s="22"/>
      <c r="G27" s="22"/>
      <c r="H27" s="22"/>
      <c r="I27" s="84" t="s">
        <v>213</v>
      </c>
      <c r="J27" s="108" t="s">
        <v>45</v>
      </c>
      <c r="K27" s="91">
        <v>66.0</v>
      </c>
      <c r="L27" s="22"/>
      <c r="M27" s="93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>
      <c r="A28" s="22"/>
      <c r="B28" s="22"/>
      <c r="C28" s="22"/>
      <c r="D28" s="84" t="s">
        <v>213</v>
      </c>
      <c r="E28" s="108" t="s">
        <v>112</v>
      </c>
      <c r="F28" s="91">
        <v>52.0</v>
      </c>
      <c r="G28" s="22"/>
      <c r="H28" s="22"/>
      <c r="I28" s="22"/>
      <c r="J28" s="22"/>
      <c r="K28" s="93"/>
      <c r="L28" s="22"/>
      <c r="M28" s="93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>
      <c r="A29" s="89">
        <v>10.0</v>
      </c>
      <c r="B29" s="90" t="s">
        <v>52</v>
      </c>
      <c r="C29" s="91">
        <v>60.0</v>
      </c>
      <c r="D29" s="22"/>
      <c r="E29" s="98" t="s">
        <v>209</v>
      </c>
      <c r="F29" s="93"/>
      <c r="G29" s="108" t="s">
        <v>34</v>
      </c>
      <c r="H29" s="91">
        <v>26.0</v>
      </c>
      <c r="I29" s="22"/>
      <c r="J29" s="98" t="s">
        <v>211</v>
      </c>
      <c r="K29" s="93"/>
      <c r="L29" s="108" t="s">
        <v>6</v>
      </c>
      <c r="M29" s="96">
        <v>94.0</v>
      </c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>
      <c r="A30" s="92" t="s">
        <v>214</v>
      </c>
      <c r="B30" s="22"/>
      <c r="C30" s="93"/>
      <c r="D30" s="94"/>
      <c r="E30" s="90" t="s">
        <v>34</v>
      </c>
      <c r="F30" s="96">
        <v>136.0</v>
      </c>
      <c r="G30" s="22"/>
      <c r="H30" s="93"/>
      <c r="I30" s="22"/>
      <c r="J30" s="22"/>
      <c r="K30" s="93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>
      <c r="A31" s="89">
        <v>15.0</v>
      </c>
      <c r="B31" s="90" t="s">
        <v>34</v>
      </c>
      <c r="C31" s="96">
        <v>86.0</v>
      </c>
      <c r="D31" s="22"/>
      <c r="E31" s="84"/>
      <c r="F31" s="22"/>
      <c r="G31" s="98" t="s">
        <v>212</v>
      </c>
      <c r="H31" s="93"/>
      <c r="I31" s="94"/>
      <c r="J31" s="108" t="s">
        <v>6</v>
      </c>
      <c r="K31" s="96">
        <v>96.0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</row>
    <row r="32">
      <c r="A32" s="22"/>
      <c r="B32" s="22"/>
      <c r="C32" s="22"/>
      <c r="D32" s="84" t="s">
        <v>205</v>
      </c>
      <c r="E32" s="90" t="s">
        <v>6</v>
      </c>
      <c r="F32" s="91">
        <v>150.0</v>
      </c>
      <c r="G32" s="22"/>
      <c r="H32" s="93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</row>
    <row r="33">
      <c r="A33" s="89">
        <v>11.0</v>
      </c>
      <c r="B33" s="90" t="s">
        <v>62</v>
      </c>
      <c r="C33" s="91">
        <v>50.0</v>
      </c>
      <c r="D33" s="22"/>
      <c r="E33" s="98" t="s">
        <v>212</v>
      </c>
      <c r="F33" s="93"/>
      <c r="G33" s="108" t="s">
        <v>6</v>
      </c>
      <c r="H33" s="96">
        <v>90.0</v>
      </c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</row>
    <row r="34">
      <c r="A34" s="92" t="s">
        <v>216</v>
      </c>
      <c r="B34" s="22"/>
      <c r="C34" s="93"/>
      <c r="D34" s="94"/>
      <c r="E34" s="90" t="s">
        <v>102</v>
      </c>
      <c r="F34" s="96">
        <v>10.0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</row>
    <row r="35">
      <c r="A35" s="89">
        <v>14.0</v>
      </c>
      <c r="B35" s="90" t="s">
        <v>102</v>
      </c>
      <c r="C35" s="96">
        <v>80.0</v>
      </c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</row>
    <row r="36">
      <c r="A36" s="22"/>
      <c r="B36" s="22"/>
      <c r="C36" s="22"/>
      <c r="D36" s="22"/>
      <c r="E36" s="22"/>
      <c r="F36" s="22"/>
      <c r="G36" s="86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25"/>
    <col customWidth="1" min="2" max="2" width="14.13"/>
    <col customWidth="1" min="3" max="3" width="14.38"/>
  </cols>
  <sheetData>
    <row r="1">
      <c r="A1" s="106" t="s">
        <v>189</v>
      </c>
      <c r="B1" s="109" t="s">
        <v>191</v>
      </c>
      <c r="C1" s="110" t="s">
        <v>193</v>
      </c>
      <c r="D1" s="109" t="s">
        <v>194</v>
      </c>
      <c r="E1" s="113" t="s">
        <v>195</v>
      </c>
      <c r="F1" s="110" t="s">
        <v>196</v>
      </c>
      <c r="G1" s="116" t="s">
        <v>197</v>
      </c>
      <c r="H1" s="110" t="s">
        <v>198</v>
      </c>
      <c r="I1" s="109" t="s">
        <v>200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20" t="s">
        <v>204</v>
      </c>
      <c r="B2" s="121">
        <v>5.0</v>
      </c>
      <c r="C2" s="122">
        <v>20.0</v>
      </c>
      <c r="D2" s="121">
        <v>20.0</v>
      </c>
      <c r="E2" s="126">
        <f t="shared" ref="E2:E12" si="1">F2/4*C2</f>
        <v>80</v>
      </c>
      <c r="F2" s="122">
        <v>16.0</v>
      </c>
      <c r="G2" s="127">
        <f t="shared" ref="G2:G206" si="2">H2/4*C2</f>
        <v>0</v>
      </c>
      <c r="H2" s="122">
        <v>0.0</v>
      </c>
      <c r="I2" s="128">
        <v>1.0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0" t="s">
        <v>215</v>
      </c>
      <c r="B3" s="121">
        <v>5.0</v>
      </c>
      <c r="C3" s="122">
        <v>20.0</v>
      </c>
      <c r="D3" s="121">
        <v>18.0</v>
      </c>
      <c r="E3" s="126">
        <f t="shared" si="1"/>
        <v>68</v>
      </c>
      <c r="F3" s="122">
        <v>13.6</v>
      </c>
      <c r="G3" s="127">
        <f t="shared" si="2"/>
        <v>0</v>
      </c>
      <c r="H3" s="122">
        <v>0.0</v>
      </c>
      <c r="I3" s="131">
        <v>0.944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0" t="s">
        <v>218</v>
      </c>
      <c r="B4" s="121">
        <v>5.0</v>
      </c>
      <c r="C4" s="122">
        <v>20.0</v>
      </c>
      <c r="D4" s="121">
        <v>14.0</v>
      </c>
      <c r="E4" s="126">
        <f t="shared" si="1"/>
        <v>56</v>
      </c>
      <c r="F4" s="122">
        <v>11.2</v>
      </c>
      <c r="G4" s="127">
        <f t="shared" si="2"/>
        <v>0</v>
      </c>
      <c r="H4" s="122">
        <v>0.0</v>
      </c>
      <c r="I4" s="128">
        <v>1.0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0" t="s">
        <v>220</v>
      </c>
      <c r="B5" s="121">
        <v>5.0</v>
      </c>
      <c r="C5" s="122">
        <v>20.0</v>
      </c>
      <c r="D5" s="121">
        <v>15.0</v>
      </c>
      <c r="E5" s="126">
        <f t="shared" si="1"/>
        <v>52</v>
      </c>
      <c r="F5" s="122">
        <v>10.4</v>
      </c>
      <c r="G5" s="127">
        <f t="shared" si="2"/>
        <v>1</v>
      </c>
      <c r="H5" s="122">
        <v>0.2</v>
      </c>
      <c r="I5" s="131">
        <v>0.933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0" t="s">
        <v>221</v>
      </c>
      <c r="B6" s="121">
        <v>5.0</v>
      </c>
      <c r="C6" s="122">
        <v>20.0</v>
      </c>
      <c r="D6" s="121">
        <v>13.0</v>
      </c>
      <c r="E6" s="126">
        <f t="shared" si="1"/>
        <v>48</v>
      </c>
      <c r="F6" s="122">
        <v>9.6</v>
      </c>
      <c r="G6" s="127">
        <f t="shared" si="2"/>
        <v>0</v>
      </c>
      <c r="H6" s="122">
        <v>0.0</v>
      </c>
      <c r="I6" s="131">
        <v>0.923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0" t="s">
        <v>222</v>
      </c>
      <c r="B7" s="121">
        <v>5.0</v>
      </c>
      <c r="C7" s="122">
        <v>20.0</v>
      </c>
      <c r="D7" s="121">
        <v>16.0</v>
      </c>
      <c r="E7" s="126">
        <f t="shared" si="1"/>
        <v>48</v>
      </c>
      <c r="F7" s="122">
        <v>9.6</v>
      </c>
      <c r="G7" s="127">
        <f t="shared" si="2"/>
        <v>2</v>
      </c>
      <c r="H7" s="122">
        <v>0.4</v>
      </c>
      <c r="I7" s="131">
        <v>0.875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0" t="s">
        <v>223</v>
      </c>
      <c r="B8" s="121">
        <v>5.0</v>
      </c>
      <c r="C8" s="122">
        <v>20.0</v>
      </c>
      <c r="D8" s="121">
        <v>14.0</v>
      </c>
      <c r="E8" s="126">
        <f t="shared" si="1"/>
        <v>40</v>
      </c>
      <c r="F8" s="122">
        <v>8.0</v>
      </c>
      <c r="G8" s="127">
        <f t="shared" si="2"/>
        <v>2</v>
      </c>
      <c r="H8" s="122">
        <v>0.4</v>
      </c>
      <c r="I8" s="131">
        <v>0.857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0" t="s">
        <v>224</v>
      </c>
      <c r="B9" s="121">
        <v>5.0</v>
      </c>
      <c r="C9" s="122">
        <v>20.0</v>
      </c>
      <c r="D9" s="121">
        <v>13.0</v>
      </c>
      <c r="E9" s="126">
        <f t="shared" si="1"/>
        <v>40</v>
      </c>
      <c r="F9" s="122">
        <v>8.0</v>
      </c>
      <c r="G9" s="127">
        <f t="shared" si="2"/>
        <v>1</v>
      </c>
      <c r="H9" s="122">
        <v>0.2</v>
      </c>
      <c r="I9" s="131">
        <v>0.846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0" t="s">
        <v>225</v>
      </c>
      <c r="B10" s="121">
        <v>5.0</v>
      </c>
      <c r="C10" s="122">
        <v>20.0</v>
      </c>
      <c r="D10" s="121">
        <v>15.0</v>
      </c>
      <c r="E10" s="126">
        <f t="shared" si="1"/>
        <v>40</v>
      </c>
      <c r="F10" s="122">
        <v>8.0</v>
      </c>
      <c r="G10" s="127">
        <f t="shared" si="2"/>
        <v>2</v>
      </c>
      <c r="H10" s="122">
        <v>0.4</v>
      </c>
      <c r="I10" s="128">
        <v>0.8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0" t="s">
        <v>227</v>
      </c>
      <c r="B11" s="121">
        <v>5.0</v>
      </c>
      <c r="C11" s="122">
        <v>20.0</v>
      </c>
      <c r="D11" s="121">
        <v>11.0</v>
      </c>
      <c r="E11" s="126">
        <f t="shared" si="1"/>
        <v>36</v>
      </c>
      <c r="F11" s="122">
        <v>7.2</v>
      </c>
      <c r="G11" s="127">
        <f t="shared" si="2"/>
        <v>1</v>
      </c>
      <c r="H11" s="122">
        <v>0.2</v>
      </c>
      <c r="I11" s="131">
        <v>0.909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0" t="s">
        <v>228</v>
      </c>
      <c r="B12" s="121">
        <v>5.0</v>
      </c>
      <c r="C12" s="122">
        <v>20.0</v>
      </c>
      <c r="D12" s="121">
        <v>13.0</v>
      </c>
      <c r="E12" s="126">
        <f t="shared" si="1"/>
        <v>36</v>
      </c>
      <c r="F12" s="122">
        <v>7.2</v>
      </c>
      <c r="G12" s="127">
        <f t="shared" si="2"/>
        <v>0</v>
      </c>
      <c r="H12" s="122">
        <v>0.0</v>
      </c>
      <c r="I12" s="131">
        <v>0.692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0" t="s">
        <v>229</v>
      </c>
      <c r="B13" s="121">
        <v>5.0</v>
      </c>
      <c r="C13" s="122">
        <v>20.0</v>
      </c>
      <c r="D13" s="121">
        <v>13.0</v>
      </c>
      <c r="E13" s="126">
        <v>36.0</v>
      </c>
      <c r="F13" s="122">
        <v>7.2</v>
      </c>
      <c r="G13" s="127">
        <f t="shared" si="2"/>
        <v>0</v>
      </c>
      <c r="H13" s="122">
        <v>0.0</v>
      </c>
      <c r="I13" s="131">
        <f>8/13</f>
        <v>0.6153846154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0" t="s">
        <v>232</v>
      </c>
      <c r="B14" s="121">
        <v>5.0</v>
      </c>
      <c r="C14" s="122">
        <v>20.0</v>
      </c>
      <c r="D14" s="121">
        <v>8.0</v>
      </c>
      <c r="E14" s="126">
        <f t="shared" ref="E14:E42" si="3">F14/4*C14</f>
        <v>32</v>
      </c>
      <c r="F14" s="122">
        <v>6.4</v>
      </c>
      <c r="G14" s="127">
        <f t="shared" si="2"/>
        <v>0</v>
      </c>
      <c r="H14" s="122">
        <v>0.0</v>
      </c>
      <c r="I14" s="128">
        <v>1.0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0" t="s">
        <v>234</v>
      </c>
      <c r="B15" s="121">
        <v>5.0</v>
      </c>
      <c r="C15" s="122">
        <v>20.0</v>
      </c>
      <c r="D15" s="121">
        <v>11.0</v>
      </c>
      <c r="E15" s="126">
        <f t="shared" si="3"/>
        <v>32</v>
      </c>
      <c r="F15" s="122">
        <v>6.4</v>
      </c>
      <c r="G15" s="127">
        <f t="shared" si="2"/>
        <v>1</v>
      </c>
      <c r="H15" s="122">
        <v>0.2</v>
      </c>
      <c r="I15" s="131">
        <v>0.818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0" t="s">
        <v>236</v>
      </c>
      <c r="B16" s="121">
        <v>5.0</v>
      </c>
      <c r="C16" s="122">
        <v>20.0</v>
      </c>
      <c r="D16" s="121">
        <v>8.0</v>
      </c>
      <c r="E16" s="126">
        <f t="shared" si="3"/>
        <v>28</v>
      </c>
      <c r="F16" s="122">
        <v>5.6</v>
      </c>
      <c r="G16" s="127">
        <f t="shared" si="2"/>
        <v>0</v>
      </c>
      <c r="H16" s="122">
        <v>0.0</v>
      </c>
      <c r="I16" s="131">
        <v>0.875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0" t="s">
        <v>238</v>
      </c>
      <c r="B17" s="121">
        <v>5.0</v>
      </c>
      <c r="C17" s="122">
        <v>20.0</v>
      </c>
      <c r="D17" s="121">
        <v>10.0</v>
      </c>
      <c r="E17" s="126">
        <f t="shared" si="3"/>
        <v>28</v>
      </c>
      <c r="F17" s="122">
        <v>5.6</v>
      </c>
      <c r="G17" s="127">
        <f t="shared" si="2"/>
        <v>1</v>
      </c>
      <c r="H17" s="122">
        <v>0.2</v>
      </c>
      <c r="I17" s="131">
        <v>0.8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0" t="s">
        <v>241</v>
      </c>
      <c r="B18" s="121">
        <v>5.0</v>
      </c>
      <c r="C18" s="122">
        <v>20.0</v>
      </c>
      <c r="D18" s="121">
        <v>9.0</v>
      </c>
      <c r="E18" s="126">
        <f t="shared" si="3"/>
        <v>28</v>
      </c>
      <c r="F18" s="122">
        <v>5.6</v>
      </c>
      <c r="G18" s="127">
        <f t="shared" si="2"/>
        <v>0</v>
      </c>
      <c r="H18" s="122">
        <v>0.0</v>
      </c>
      <c r="I18" s="131">
        <v>0.778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0" t="s">
        <v>243</v>
      </c>
      <c r="B19" s="121">
        <v>5.0</v>
      </c>
      <c r="C19" s="122">
        <v>20.0</v>
      </c>
      <c r="D19" s="121">
        <v>6.0</v>
      </c>
      <c r="E19" s="126">
        <f t="shared" si="3"/>
        <v>24</v>
      </c>
      <c r="F19" s="122">
        <v>4.8</v>
      </c>
      <c r="G19" s="127">
        <f t="shared" si="2"/>
        <v>0</v>
      </c>
      <c r="H19" s="122">
        <v>0.0</v>
      </c>
      <c r="I19" s="128">
        <v>1.0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0" t="s">
        <v>245</v>
      </c>
      <c r="B20" s="121">
        <v>5.0</v>
      </c>
      <c r="C20" s="122">
        <v>20.0</v>
      </c>
      <c r="D20" s="121">
        <v>8.0</v>
      </c>
      <c r="E20" s="126">
        <f t="shared" si="3"/>
        <v>24</v>
      </c>
      <c r="F20" s="122">
        <v>4.8</v>
      </c>
      <c r="G20" s="127">
        <f t="shared" si="2"/>
        <v>0</v>
      </c>
      <c r="H20" s="122">
        <v>0.0</v>
      </c>
      <c r="I20" s="128">
        <v>0.75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0" t="s">
        <v>247</v>
      </c>
      <c r="B21" s="121">
        <v>5.0</v>
      </c>
      <c r="C21" s="122">
        <v>20.0</v>
      </c>
      <c r="D21" s="121">
        <v>9.0</v>
      </c>
      <c r="E21" s="126">
        <f t="shared" si="3"/>
        <v>24</v>
      </c>
      <c r="F21" s="122">
        <v>4.8</v>
      </c>
      <c r="G21" s="127">
        <f t="shared" si="2"/>
        <v>0</v>
      </c>
      <c r="H21" s="122">
        <v>0.0</v>
      </c>
      <c r="I21" s="131">
        <v>0.667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0" t="s">
        <v>248</v>
      </c>
      <c r="B22" s="121">
        <v>5.0</v>
      </c>
      <c r="C22" s="122">
        <v>20.0</v>
      </c>
      <c r="D22" s="121">
        <v>10.0</v>
      </c>
      <c r="E22" s="126">
        <f t="shared" si="3"/>
        <v>24</v>
      </c>
      <c r="F22" s="122">
        <v>4.8</v>
      </c>
      <c r="G22" s="127">
        <f t="shared" si="2"/>
        <v>0</v>
      </c>
      <c r="H22" s="122">
        <v>0.0</v>
      </c>
      <c r="I22" s="128">
        <v>0.6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0" t="s">
        <v>251</v>
      </c>
      <c r="B23" s="121">
        <v>5.0</v>
      </c>
      <c r="C23" s="122">
        <v>20.0</v>
      </c>
      <c r="D23" s="121">
        <v>17.0</v>
      </c>
      <c r="E23" s="126">
        <f t="shared" si="3"/>
        <v>24</v>
      </c>
      <c r="F23" s="122">
        <v>4.8</v>
      </c>
      <c r="G23" s="127">
        <f t="shared" si="2"/>
        <v>4</v>
      </c>
      <c r="H23" s="122">
        <v>0.8</v>
      </c>
      <c r="I23" s="131">
        <v>0.588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0" t="s">
        <v>254</v>
      </c>
      <c r="B24" s="121">
        <v>2.0</v>
      </c>
      <c r="C24" s="122">
        <v>8.0</v>
      </c>
      <c r="D24" s="121">
        <v>5.0</v>
      </c>
      <c r="E24" s="126">
        <f t="shared" si="3"/>
        <v>20</v>
      </c>
      <c r="F24" s="122">
        <v>10.0</v>
      </c>
      <c r="G24" s="127">
        <f t="shared" si="2"/>
        <v>0</v>
      </c>
      <c r="H24" s="122">
        <v>0.0</v>
      </c>
      <c r="I24" s="128">
        <v>1.0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0" t="s">
        <v>256</v>
      </c>
      <c r="B25" s="121">
        <v>5.0</v>
      </c>
      <c r="C25" s="122">
        <v>20.0</v>
      </c>
      <c r="D25" s="121">
        <v>5.0</v>
      </c>
      <c r="E25" s="126">
        <f t="shared" si="3"/>
        <v>20</v>
      </c>
      <c r="F25" s="122">
        <v>4.0</v>
      </c>
      <c r="G25" s="127">
        <f t="shared" si="2"/>
        <v>0</v>
      </c>
      <c r="H25" s="122">
        <v>0.0</v>
      </c>
      <c r="I25" s="128">
        <v>1.0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0" t="s">
        <v>249</v>
      </c>
      <c r="B26" s="121">
        <v>5.0</v>
      </c>
      <c r="C26" s="122">
        <v>20.0</v>
      </c>
      <c r="D26" s="121">
        <v>6.0</v>
      </c>
      <c r="E26" s="126">
        <f t="shared" si="3"/>
        <v>20</v>
      </c>
      <c r="F26" s="122">
        <v>4.0</v>
      </c>
      <c r="G26" s="127">
        <f t="shared" si="2"/>
        <v>0</v>
      </c>
      <c r="H26" s="122">
        <v>0.0</v>
      </c>
      <c r="I26" s="131">
        <v>0.833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20" t="s">
        <v>258</v>
      </c>
      <c r="B27" s="121">
        <v>5.0</v>
      </c>
      <c r="C27" s="122">
        <v>20.0</v>
      </c>
      <c r="D27" s="121">
        <v>11.0</v>
      </c>
      <c r="E27" s="126">
        <f t="shared" si="3"/>
        <v>20</v>
      </c>
      <c r="F27" s="122">
        <v>4.0</v>
      </c>
      <c r="G27" s="127">
        <f t="shared" si="2"/>
        <v>2</v>
      </c>
      <c r="H27" s="122">
        <v>0.4</v>
      </c>
      <c r="I27" s="131">
        <v>0.636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0" t="s">
        <v>253</v>
      </c>
      <c r="B28" s="121">
        <v>5.0</v>
      </c>
      <c r="C28" s="122">
        <v>20.0</v>
      </c>
      <c r="D28" s="121">
        <v>8.0</v>
      </c>
      <c r="E28" s="126">
        <f t="shared" si="3"/>
        <v>20</v>
      </c>
      <c r="F28" s="122">
        <v>4.0</v>
      </c>
      <c r="G28" s="127">
        <f t="shared" si="2"/>
        <v>0</v>
      </c>
      <c r="H28" s="122">
        <v>0.0</v>
      </c>
      <c r="I28" s="131">
        <v>0.625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0" t="s">
        <v>261</v>
      </c>
      <c r="B29" s="121">
        <v>5.0</v>
      </c>
      <c r="C29" s="122">
        <v>20.0</v>
      </c>
      <c r="D29" s="121">
        <v>10.0</v>
      </c>
      <c r="E29" s="126">
        <f t="shared" si="3"/>
        <v>20</v>
      </c>
      <c r="F29" s="122">
        <v>4.0</v>
      </c>
      <c r="G29" s="127">
        <f t="shared" si="2"/>
        <v>1</v>
      </c>
      <c r="H29" s="122">
        <v>0.2</v>
      </c>
      <c r="I29" s="128">
        <v>0.6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0" t="s">
        <v>244</v>
      </c>
      <c r="B30" s="121">
        <v>5.0</v>
      </c>
      <c r="C30" s="122">
        <v>20.0</v>
      </c>
      <c r="D30" s="121">
        <v>10.0</v>
      </c>
      <c r="E30" s="126">
        <f t="shared" si="3"/>
        <v>20</v>
      </c>
      <c r="F30" s="122">
        <v>4.0</v>
      </c>
      <c r="G30" s="127">
        <f t="shared" si="2"/>
        <v>1</v>
      </c>
      <c r="H30" s="122">
        <v>0.2</v>
      </c>
      <c r="I30" s="128">
        <v>0.6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0" t="s">
        <v>264</v>
      </c>
      <c r="B31" s="121">
        <v>5.0</v>
      </c>
      <c r="C31" s="122">
        <v>20.0</v>
      </c>
      <c r="D31" s="121">
        <v>9.0</v>
      </c>
      <c r="E31" s="126">
        <f t="shared" si="3"/>
        <v>20</v>
      </c>
      <c r="F31" s="122">
        <v>4.0</v>
      </c>
      <c r="G31" s="127">
        <f t="shared" si="2"/>
        <v>0</v>
      </c>
      <c r="H31" s="122">
        <v>0.0</v>
      </c>
      <c r="I31" s="131">
        <v>0.556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0" t="s">
        <v>265</v>
      </c>
      <c r="B32" s="121">
        <v>5.0</v>
      </c>
      <c r="C32" s="122">
        <v>20.0</v>
      </c>
      <c r="D32" s="121">
        <v>7.0</v>
      </c>
      <c r="E32" s="126">
        <f t="shared" si="3"/>
        <v>16</v>
      </c>
      <c r="F32" s="122">
        <v>3.2</v>
      </c>
      <c r="G32" s="127">
        <f t="shared" si="2"/>
        <v>1</v>
      </c>
      <c r="H32" s="122">
        <v>0.2</v>
      </c>
      <c r="I32" s="131">
        <v>0.714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0" t="s">
        <v>267</v>
      </c>
      <c r="B33" s="121">
        <v>5.0</v>
      </c>
      <c r="C33" s="122">
        <v>20.0</v>
      </c>
      <c r="D33" s="121">
        <v>6.0</v>
      </c>
      <c r="E33" s="126">
        <f t="shared" si="3"/>
        <v>16</v>
      </c>
      <c r="F33" s="122">
        <v>3.2</v>
      </c>
      <c r="G33" s="127">
        <f t="shared" si="2"/>
        <v>0</v>
      </c>
      <c r="H33" s="122">
        <v>0.0</v>
      </c>
      <c r="I33" s="131">
        <v>0.667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0" t="s">
        <v>237</v>
      </c>
      <c r="B34" s="121">
        <v>5.0</v>
      </c>
      <c r="C34" s="122">
        <v>20.0</v>
      </c>
      <c r="D34" s="121">
        <v>6.0</v>
      </c>
      <c r="E34" s="126">
        <f t="shared" si="3"/>
        <v>16</v>
      </c>
      <c r="F34" s="122">
        <v>3.2</v>
      </c>
      <c r="G34" s="127">
        <f t="shared" si="2"/>
        <v>0</v>
      </c>
      <c r="H34" s="122">
        <v>0.0</v>
      </c>
      <c r="I34" s="131">
        <v>0.667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0" t="s">
        <v>271</v>
      </c>
      <c r="B35" s="121">
        <v>5.0</v>
      </c>
      <c r="C35" s="122">
        <v>20.0</v>
      </c>
      <c r="D35" s="121">
        <v>10.0</v>
      </c>
      <c r="E35" s="126">
        <f t="shared" si="3"/>
        <v>16</v>
      </c>
      <c r="F35" s="122">
        <v>3.2</v>
      </c>
      <c r="G35" s="127">
        <f t="shared" si="2"/>
        <v>2</v>
      </c>
      <c r="H35" s="122">
        <v>0.4</v>
      </c>
      <c r="I35" s="128">
        <v>0.6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0" t="s">
        <v>255</v>
      </c>
      <c r="B36" s="121">
        <v>5.0</v>
      </c>
      <c r="C36" s="122">
        <v>20.0</v>
      </c>
      <c r="D36" s="121">
        <v>3.0</v>
      </c>
      <c r="E36" s="126">
        <f t="shared" si="3"/>
        <v>12</v>
      </c>
      <c r="F36" s="122">
        <v>2.4</v>
      </c>
      <c r="G36" s="127">
        <f t="shared" si="2"/>
        <v>0</v>
      </c>
      <c r="H36" s="122">
        <v>0.0</v>
      </c>
      <c r="I36" s="128">
        <v>1.0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0" t="s">
        <v>275</v>
      </c>
      <c r="B37" s="121">
        <v>3.0</v>
      </c>
      <c r="C37" s="122">
        <v>12.0</v>
      </c>
      <c r="D37" s="121">
        <v>3.0</v>
      </c>
      <c r="E37" s="126">
        <f t="shared" si="3"/>
        <v>12</v>
      </c>
      <c r="F37" s="122">
        <v>4.0</v>
      </c>
      <c r="G37" s="127">
        <f t="shared" si="2"/>
        <v>0</v>
      </c>
      <c r="H37" s="122">
        <v>0.0</v>
      </c>
      <c r="I37" s="128">
        <v>1.0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0" t="s">
        <v>276</v>
      </c>
      <c r="B38" s="121">
        <v>5.0</v>
      </c>
      <c r="C38" s="122">
        <v>20.0</v>
      </c>
      <c r="D38" s="121">
        <v>3.0</v>
      </c>
      <c r="E38" s="126">
        <f t="shared" si="3"/>
        <v>12</v>
      </c>
      <c r="F38" s="122">
        <v>2.4</v>
      </c>
      <c r="G38" s="127">
        <f t="shared" si="2"/>
        <v>0</v>
      </c>
      <c r="H38" s="122">
        <v>0.0</v>
      </c>
      <c r="I38" s="128">
        <v>1.0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0" t="s">
        <v>277</v>
      </c>
      <c r="B39" s="121">
        <v>4.0</v>
      </c>
      <c r="C39" s="122">
        <v>16.0</v>
      </c>
      <c r="D39" s="121">
        <v>3.0</v>
      </c>
      <c r="E39" s="126">
        <f t="shared" si="3"/>
        <v>12</v>
      </c>
      <c r="F39" s="122">
        <v>3.0</v>
      </c>
      <c r="G39" s="127">
        <f t="shared" si="2"/>
        <v>0</v>
      </c>
      <c r="H39" s="122">
        <v>0.0</v>
      </c>
      <c r="I39" s="128">
        <v>1.0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0" t="s">
        <v>278</v>
      </c>
      <c r="B40" s="121">
        <v>4.0</v>
      </c>
      <c r="C40" s="122">
        <v>16.0</v>
      </c>
      <c r="D40" s="121">
        <v>4.0</v>
      </c>
      <c r="E40" s="126">
        <f t="shared" si="3"/>
        <v>12</v>
      </c>
      <c r="F40" s="122">
        <v>3.0</v>
      </c>
      <c r="G40" s="127">
        <f t="shared" si="2"/>
        <v>0</v>
      </c>
      <c r="H40" s="122">
        <v>0.0</v>
      </c>
      <c r="I40" s="128">
        <v>0.75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0" t="s">
        <v>280</v>
      </c>
      <c r="B41" s="121">
        <v>5.0</v>
      </c>
      <c r="C41" s="122">
        <v>20.0</v>
      </c>
      <c r="D41" s="121">
        <v>4.0</v>
      </c>
      <c r="E41" s="126">
        <f t="shared" si="3"/>
        <v>12</v>
      </c>
      <c r="F41" s="122">
        <v>2.4</v>
      </c>
      <c r="G41" s="127">
        <f t="shared" si="2"/>
        <v>0</v>
      </c>
      <c r="H41" s="122">
        <v>0.0</v>
      </c>
      <c r="I41" s="128">
        <v>0.75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0" t="s">
        <v>282</v>
      </c>
      <c r="B42" s="121">
        <v>4.0</v>
      </c>
      <c r="C42" s="122">
        <v>16.0</v>
      </c>
      <c r="D42" s="121">
        <v>4.0</v>
      </c>
      <c r="E42" s="126">
        <f t="shared" si="3"/>
        <v>12</v>
      </c>
      <c r="F42" s="122">
        <v>3.0</v>
      </c>
      <c r="G42" s="127">
        <f t="shared" si="2"/>
        <v>0</v>
      </c>
      <c r="H42" s="122">
        <v>0.0</v>
      </c>
      <c r="I42" s="128">
        <v>0.75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0" t="s">
        <v>284</v>
      </c>
      <c r="B43" s="121">
        <v>4.0</v>
      </c>
      <c r="C43" s="122">
        <v>15.0</v>
      </c>
      <c r="D43" s="121">
        <v>8.0</v>
      </c>
      <c r="E43" s="126">
        <v>12.0</v>
      </c>
      <c r="F43" s="122">
        <v>3.0</v>
      </c>
      <c r="G43" s="127">
        <f t="shared" si="2"/>
        <v>1.875</v>
      </c>
      <c r="H43" s="122">
        <v>0.5</v>
      </c>
      <c r="I43" s="131">
        <v>0.625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0" t="s">
        <v>239</v>
      </c>
      <c r="B44" s="121">
        <v>5.0</v>
      </c>
      <c r="C44" s="122">
        <v>20.0</v>
      </c>
      <c r="D44" s="121">
        <v>15.0</v>
      </c>
      <c r="E44" s="126">
        <f t="shared" ref="E44:E206" si="4">F44/4*C44</f>
        <v>12</v>
      </c>
      <c r="F44" s="122">
        <v>2.4</v>
      </c>
      <c r="G44" s="127">
        <f t="shared" si="2"/>
        <v>6</v>
      </c>
      <c r="H44" s="122">
        <v>1.2</v>
      </c>
      <c r="I44" s="128">
        <v>0.6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0" t="s">
        <v>289</v>
      </c>
      <c r="B45" s="121">
        <v>5.0</v>
      </c>
      <c r="C45" s="122">
        <v>20.0</v>
      </c>
      <c r="D45" s="121">
        <v>11.0</v>
      </c>
      <c r="E45" s="126">
        <f t="shared" si="4"/>
        <v>12</v>
      </c>
      <c r="F45" s="122">
        <v>2.4</v>
      </c>
      <c r="G45" s="127">
        <f t="shared" si="2"/>
        <v>3</v>
      </c>
      <c r="H45" s="122">
        <v>0.6</v>
      </c>
      <c r="I45" s="131">
        <v>0.545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0" t="s">
        <v>242</v>
      </c>
      <c r="B46" s="121">
        <v>5.0</v>
      </c>
      <c r="C46" s="122">
        <v>20.0</v>
      </c>
      <c r="D46" s="121">
        <v>10.0</v>
      </c>
      <c r="E46" s="126">
        <f t="shared" si="4"/>
        <v>12</v>
      </c>
      <c r="F46" s="122">
        <v>2.4</v>
      </c>
      <c r="G46" s="127">
        <f t="shared" si="2"/>
        <v>2</v>
      </c>
      <c r="H46" s="122">
        <v>0.4</v>
      </c>
      <c r="I46" s="128">
        <v>0.5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0" t="s">
        <v>252</v>
      </c>
      <c r="B47" s="121">
        <v>5.0</v>
      </c>
      <c r="C47" s="122">
        <v>20.0</v>
      </c>
      <c r="D47" s="121">
        <v>6.0</v>
      </c>
      <c r="E47" s="126">
        <f t="shared" si="4"/>
        <v>12</v>
      </c>
      <c r="F47" s="122">
        <v>2.4</v>
      </c>
      <c r="G47" s="127">
        <f t="shared" si="2"/>
        <v>0</v>
      </c>
      <c r="H47" s="122">
        <v>0.0</v>
      </c>
      <c r="I47" s="128">
        <v>0.5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0" t="s">
        <v>293</v>
      </c>
      <c r="B48" s="121">
        <v>5.0</v>
      </c>
      <c r="C48" s="122">
        <v>20.0</v>
      </c>
      <c r="D48" s="121">
        <v>7.0</v>
      </c>
      <c r="E48" s="126">
        <f t="shared" si="4"/>
        <v>12</v>
      </c>
      <c r="F48" s="122">
        <v>2.4</v>
      </c>
      <c r="G48" s="127">
        <f t="shared" si="2"/>
        <v>0</v>
      </c>
      <c r="H48" s="122">
        <v>0.0</v>
      </c>
      <c r="I48" s="131">
        <v>0.429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0" t="s">
        <v>294</v>
      </c>
      <c r="B49" s="121">
        <v>3.0</v>
      </c>
      <c r="C49" s="122">
        <v>12.0</v>
      </c>
      <c r="D49" s="121">
        <v>2.0</v>
      </c>
      <c r="E49" s="126">
        <f t="shared" si="4"/>
        <v>8.01</v>
      </c>
      <c r="F49" s="122">
        <v>2.67</v>
      </c>
      <c r="G49" s="127">
        <f t="shared" si="2"/>
        <v>0</v>
      </c>
      <c r="H49" s="122">
        <v>0.0</v>
      </c>
      <c r="I49" s="128">
        <v>1.0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0" t="s">
        <v>295</v>
      </c>
      <c r="B50" s="121">
        <v>3.0</v>
      </c>
      <c r="C50" s="122">
        <v>12.0</v>
      </c>
      <c r="D50" s="121">
        <v>2.0</v>
      </c>
      <c r="E50" s="126">
        <f t="shared" si="4"/>
        <v>8.01</v>
      </c>
      <c r="F50" s="122">
        <v>2.67</v>
      </c>
      <c r="G50" s="127">
        <f t="shared" si="2"/>
        <v>0</v>
      </c>
      <c r="H50" s="122">
        <v>0.0</v>
      </c>
      <c r="I50" s="128">
        <v>1.0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0" t="s">
        <v>297</v>
      </c>
      <c r="B51" s="121">
        <v>3.0</v>
      </c>
      <c r="C51" s="122">
        <v>12.0</v>
      </c>
      <c r="D51" s="121">
        <v>5.0</v>
      </c>
      <c r="E51" s="126">
        <f t="shared" si="4"/>
        <v>8.01</v>
      </c>
      <c r="F51" s="122">
        <v>2.67</v>
      </c>
      <c r="G51" s="127">
        <f t="shared" si="2"/>
        <v>0.99</v>
      </c>
      <c r="H51" s="122">
        <v>0.33</v>
      </c>
      <c r="I51" s="128">
        <v>0.6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0" t="s">
        <v>299</v>
      </c>
      <c r="B52" s="121">
        <v>3.0</v>
      </c>
      <c r="C52" s="122">
        <v>12.0</v>
      </c>
      <c r="D52" s="121">
        <v>4.0</v>
      </c>
      <c r="E52" s="126">
        <f t="shared" si="4"/>
        <v>8.01</v>
      </c>
      <c r="F52" s="122">
        <v>2.67</v>
      </c>
      <c r="G52" s="127">
        <f t="shared" si="2"/>
        <v>0</v>
      </c>
      <c r="H52" s="122">
        <v>0.0</v>
      </c>
      <c r="I52" s="128">
        <v>0.5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0" t="s">
        <v>301</v>
      </c>
      <c r="B53" s="121">
        <v>3.0</v>
      </c>
      <c r="C53" s="122">
        <v>12.0</v>
      </c>
      <c r="D53" s="121">
        <v>5.0</v>
      </c>
      <c r="E53" s="126">
        <f t="shared" si="4"/>
        <v>8.01</v>
      </c>
      <c r="F53" s="122">
        <v>2.67</v>
      </c>
      <c r="G53" s="127">
        <f t="shared" si="2"/>
        <v>0</v>
      </c>
      <c r="H53" s="122">
        <v>0.0</v>
      </c>
      <c r="I53" s="128">
        <v>0.4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0" t="s">
        <v>287</v>
      </c>
      <c r="B54" s="121">
        <v>5.0</v>
      </c>
      <c r="C54" s="122">
        <v>20.0</v>
      </c>
      <c r="D54" s="121">
        <v>2.0</v>
      </c>
      <c r="E54" s="126">
        <f t="shared" si="4"/>
        <v>8</v>
      </c>
      <c r="F54" s="122">
        <v>1.6</v>
      </c>
      <c r="G54" s="127">
        <f t="shared" si="2"/>
        <v>0</v>
      </c>
      <c r="H54" s="122">
        <v>0.0</v>
      </c>
      <c r="I54" s="128">
        <v>1.0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0" t="s">
        <v>283</v>
      </c>
      <c r="B55" s="121">
        <v>5.0</v>
      </c>
      <c r="C55" s="122">
        <v>20.0</v>
      </c>
      <c r="D55" s="121">
        <v>2.0</v>
      </c>
      <c r="E55" s="126">
        <f t="shared" si="4"/>
        <v>8</v>
      </c>
      <c r="F55" s="122">
        <v>1.6</v>
      </c>
      <c r="G55" s="127">
        <f t="shared" si="2"/>
        <v>0</v>
      </c>
      <c r="H55" s="122">
        <v>0.0</v>
      </c>
      <c r="I55" s="128">
        <v>1.0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0" t="s">
        <v>303</v>
      </c>
      <c r="B56" s="121">
        <v>4.0</v>
      </c>
      <c r="C56" s="122">
        <v>16.0</v>
      </c>
      <c r="D56" s="121">
        <v>2.0</v>
      </c>
      <c r="E56" s="126">
        <f t="shared" si="4"/>
        <v>8</v>
      </c>
      <c r="F56" s="122">
        <v>2.0</v>
      </c>
      <c r="G56" s="127">
        <f t="shared" si="2"/>
        <v>0</v>
      </c>
      <c r="H56" s="122">
        <v>0.0</v>
      </c>
      <c r="I56" s="128">
        <v>1.0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0" t="s">
        <v>304</v>
      </c>
      <c r="B57" s="121">
        <v>4.0</v>
      </c>
      <c r="C57" s="122">
        <v>16.0</v>
      </c>
      <c r="D57" s="121">
        <v>2.0</v>
      </c>
      <c r="E57" s="126">
        <f t="shared" si="4"/>
        <v>8</v>
      </c>
      <c r="F57" s="122">
        <v>2.0</v>
      </c>
      <c r="G57" s="127">
        <f t="shared" si="2"/>
        <v>0</v>
      </c>
      <c r="H57" s="122">
        <v>0.0</v>
      </c>
      <c r="I57" s="128">
        <v>1.0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0" t="s">
        <v>306</v>
      </c>
      <c r="B58" s="121">
        <v>4.0</v>
      </c>
      <c r="C58" s="122">
        <v>16.0</v>
      </c>
      <c r="D58" s="121">
        <v>4.0</v>
      </c>
      <c r="E58" s="126">
        <f t="shared" si="4"/>
        <v>8</v>
      </c>
      <c r="F58" s="122">
        <v>2.0</v>
      </c>
      <c r="G58" s="127">
        <f t="shared" si="2"/>
        <v>1</v>
      </c>
      <c r="H58" s="122">
        <v>0.25</v>
      </c>
      <c r="I58" s="128">
        <v>0.75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0" t="s">
        <v>308</v>
      </c>
      <c r="B59" s="121">
        <v>4.0</v>
      </c>
      <c r="C59" s="122">
        <v>16.0</v>
      </c>
      <c r="D59" s="121">
        <v>4.0</v>
      </c>
      <c r="E59" s="126">
        <f t="shared" si="4"/>
        <v>8</v>
      </c>
      <c r="F59" s="122">
        <v>2.0</v>
      </c>
      <c r="G59" s="127">
        <f t="shared" si="2"/>
        <v>1</v>
      </c>
      <c r="H59" s="122">
        <v>0.25</v>
      </c>
      <c r="I59" s="128">
        <v>0.75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0" t="s">
        <v>310</v>
      </c>
      <c r="B60" s="121">
        <v>5.0</v>
      </c>
      <c r="C60" s="122">
        <v>20.0</v>
      </c>
      <c r="D60" s="121">
        <v>3.0</v>
      </c>
      <c r="E60" s="126">
        <f t="shared" si="4"/>
        <v>8</v>
      </c>
      <c r="F60" s="122">
        <v>1.6</v>
      </c>
      <c r="G60" s="127">
        <f t="shared" si="2"/>
        <v>0</v>
      </c>
      <c r="H60" s="122">
        <v>0.0</v>
      </c>
      <c r="I60" s="131">
        <v>0.667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0" t="s">
        <v>311</v>
      </c>
      <c r="B61" s="121">
        <v>2.0</v>
      </c>
      <c r="C61" s="122">
        <v>8.0</v>
      </c>
      <c r="D61" s="121">
        <v>3.0</v>
      </c>
      <c r="E61" s="126">
        <f t="shared" si="4"/>
        <v>8</v>
      </c>
      <c r="F61" s="122">
        <v>4.0</v>
      </c>
      <c r="G61" s="127">
        <f t="shared" si="2"/>
        <v>0</v>
      </c>
      <c r="H61" s="122">
        <v>0.0</v>
      </c>
      <c r="I61" s="131">
        <v>0.667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0" t="s">
        <v>313</v>
      </c>
      <c r="B62" s="121">
        <v>4.0</v>
      </c>
      <c r="C62" s="122">
        <v>16.0</v>
      </c>
      <c r="D62" s="121">
        <v>5.0</v>
      </c>
      <c r="E62" s="126">
        <f t="shared" si="4"/>
        <v>8</v>
      </c>
      <c r="F62" s="122">
        <v>2.0</v>
      </c>
      <c r="G62" s="127">
        <f t="shared" si="2"/>
        <v>0</v>
      </c>
      <c r="H62" s="122">
        <v>0.0</v>
      </c>
      <c r="I62" s="128">
        <v>0.4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0" t="s">
        <v>298</v>
      </c>
      <c r="B63" s="121">
        <v>5.0</v>
      </c>
      <c r="C63" s="122">
        <v>20.0</v>
      </c>
      <c r="D63" s="121">
        <v>5.0</v>
      </c>
      <c r="E63" s="126">
        <f t="shared" si="4"/>
        <v>8</v>
      </c>
      <c r="F63" s="122">
        <v>1.6</v>
      </c>
      <c r="G63" s="127">
        <f t="shared" si="2"/>
        <v>0</v>
      </c>
      <c r="H63" s="122">
        <v>0.0</v>
      </c>
      <c r="I63" s="128">
        <v>0.4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0" t="s">
        <v>269</v>
      </c>
      <c r="B64" s="121">
        <v>5.0</v>
      </c>
      <c r="C64" s="122">
        <v>20.0</v>
      </c>
      <c r="D64" s="121">
        <v>5.0</v>
      </c>
      <c r="E64" s="126">
        <f t="shared" si="4"/>
        <v>8</v>
      </c>
      <c r="F64" s="122">
        <v>1.6</v>
      </c>
      <c r="G64" s="127">
        <f t="shared" si="2"/>
        <v>0</v>
      </c>
      <c r="H64" s="122">
        <v>0.0</v>
      </c>
      <c r="I64" s="128">
        <v>0.4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0" t="s">
        <v>320</v>
      </c>
      <c r="B65" s="121">
        <v>4.0</v>
      </c>
      <c r="C65" s="122">
        <v>16.0</v>
      </c>
      <c r="D65" s="121">
        <v>6.0</v>
      </c>
      <c r="E65" s="126">
        <f t="shared" si="4"/>
        <v>8</v>
      </c>
      <c r="F65" s="122">
        <v>2.0</v>
      </c>
      <c r="G65" s="127">
        <f t="shared" si="2"/>
        <v>0</v>
      </c>
      <c r="H65" s="122">
        <v>0.0</v>
      </c>
      <c r="I65" s="131">
        <v>0.333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0" t="s">
        <v>268</v>
      </c>
      <c r="B66" s="121">
        <v>5.0</v>
      </c>
      <c r="C66" s="122">
        <v>20.0</v>
      </c>
      <c r="D66" s="121">
        <v>8.0</v>
      </c>
      <c r="E66" s="126">
        <f t="shared" si="4"/>
        <v>8</v>
      </c>
      <c r="F66" s="122">
        <v>1.6</v>
      </c>
      <c r="G66" s="127">
        <f t="shared" si="2"/>
        <v>0</v>
      </c>
      <c r="H66" s="122">
        <v>0.0</v>
      </c>
      <c r="I66" s="128">
        <v>0.25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0" t="s">
        <v>321</v>
      </c>
      <c r="B67" s="121">
        <v>2.0</v>
      </c>
      <c r="C67" s="122">
        <v>10.0</v>
      </c>
      <c r="D67" s="121">
        <v>3.0</v>
      </c>
      <c r="E67" s="126">
        <f t="shared" si="4"/>
        <v>5</v>
      </c>
      <c r="F67" s="122">
        <v>2.0</v>
      </c>
      <c r="G67" s="127">
        <f t="shared" si="2"/>
        <v>0</v>
      </c>
      <c r="H67" s="122">
        <v>0.0</v>
      </c>
      <c r="I67" s="131">
        <v>0.333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0" t="s">
        <v>324</v>
      </c>
      <c r="B68" s="121">
        <v>4.0</v>
      </c>
      <c r="C68" s="122">
        <v>16.0</v>
      </c>
      <c r="D68" s="121">
        <v>1.0</v>
      </c>
      <c r="E68" s="126">
        <f t="shared" si="4"/>
        <v>4</v>
      </c>
      <c r="F68" s="122">
        <v>1.0</v>
      </c>
      <c r="G68" s="127">
        <f t="shared" si="2"/>
        <v>0</v>
      </c>
      <c r="H68" s="122">
        <v>0.0</v>
      </c>
      <c r="I68" s="128">
        <v>1.0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0" t="s">
        <v>240</v>
      </c>
      <c r="B69" s="121">
        <v>5.0</v>
      </c>
      <c r="C69" s="122">
        <v>20.0</v>
      </c>
      <c r="D69" s="121">
        <v>1.0</v>
      </c>
      <c r="E69" s="126">
        <f t="shared" si="4"/>
        <v>4</v>
      </c>
      <c r="F69" s="122">
        <v>0.8</v>
      </c>
      <c r="G69" s="127">
        <f t="shared" si="2"/>
        <v>0</v>
      </c>
      <c r="H69" s="122">
        <v>0.0</v>
      </c>
      <c r="I69" s="128">
        <v>1.0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0" t="s">
        <v>328</v>
      </c>
      <c r="B70" s="121">
        <v>1.0</v>
      </c>
      <c r="C70" s="122">
        <v>4.0</v>
      </c>
      <c r="D70" s="121">
        <v>1.0</v>
      </c>
      <c r="E70" s="126">
        <f t="shared" si="4"/>
        <v>4</v>
      </c>
      <c r="F70" s="122">
        <v>4.0</v>
      </c>
      <c r="G70" s="127">
        <f t="shared" si="2"/>
        <v>0</v>
      </c>
      <c r="H70" s="122">
        <v>0.0</v>
      </c>
      <c r="I70" s="128">
        <v>1.0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0" t="s">
        <v>329</v>
      </c>
      <c r="B71" s="121">
        <v>1.0</v>
      </c>
      <c r="C71" s="122">
        <v>4.0</v>
      </c>
      <c r="D71" s="121">
        <v>1.0</v>
      </c>
      <c r="E71" s="126">
        <f t="shared" si="4"/>
        <v>4</v>
      </c>
      <c r="F71" s="122">
        <v>4.0</v>
      </c>
      <c r="G71" s="127">
        <f t="shared" si="2"/>
        <v>0</v>
      </c>
      <c r="H71" s="122">
        <v>0.0</v>
      </c>
      <c r="I71" s="128">
        <v>1.0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0" t="s">
        <v>331</v>
      </c>
      <c r="B72" s="121">
        <v>5.0</v>
      </c>
      <c r="C72" s="122">
        <v>20.0</v>
      </c>
      <c r="D72" s="121">
        <v>1.0</v>
      </c>
      <c r="E72" s="126">
        <f t="shared" si="4"/>
        <v>4</v>
      </c>
      <c r="F72" s="122">
        <v>0.8</v>
      </c>
      <c r="G72" s="127">
        <f t="shared" si="2"/>
        <v>0</v>
      </c>
      <c r="H72" s="122">
        <v>0.0</v>
      </c>
      <c r="I72" s="128">
        <v>1.0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0" t="s">
        <v>333</v>
      </c>
      <c r="B73" s="121">
        <v>5.0</v>
      </c>
      <c r="C73" s="122">
        <v>20.0</v>
      </c>
      <c r="D73" s="121">
        <v>1.0</v>
      </c>
      <c r="E73" s="126">
        <f t="shared" si="4"/>
        <v>4</v>
      </c>
      <c r="F73" s="122">
        <v>0.8</v>
      </c>
      <c r="G73" s="127">
        <f t="shared" si="2"/>
        <v>0</v>
      </c>
      <c r="H73" s="122">
        <v>0.0</v>
      </c>
      <c r="I73" s="128">
        <v>1.0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0" t="s">
        <v>334</v>
      </c>
      <c r="B74" s="121">
        <v>2.0</v>
      </c>
      <c r="C74" s="122">
        <v>8.0</v>
      </c>
      <c r="D74" s="121">
        <v>1.0</v>
      </c>
      <c r="E74" s="126">
        <f t="shared" si="4"/>
        <v>4</v>
      </c>
      <c r="F74" s="122">
        <v>2.0</v>
      </c>
      <c r="G74" s="127">
        <f t="shared" si="2"/>
        <v>0</v>
      </c>
      <c r="H74" s="122">
        <v>0.0</v>
      </c>
      <c r="I74" s="128">
        <v>1.0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0" t="s">
        <v>336</v>
      </c>
      <c r="B75" s="121">
        <v>4.0</v>
      </c>
      <c r="C75" s="122">
        <v>16.0</v>
      </c>
      <c r="D75" s="121">
        <v>1.0</v>
      </c>
      <c r="E75" s="126">
        <f t="shared" si="4"/>
        <v>4</v>
      </c>
      <c r="F75" s="122">
        <v>1.0</v>
      </c>
      <c r="G75" s="127">
        <f t="shared" si="2"/>
        <v>0</v>
      </c>
      <c r="H75" s="122">
        <v>0.0</v>
      </c>
      <c r="I75" s="128">
        <v>1.0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0" t="s">
        <v>338</v>
      </c>
      <c r="B76" s="121">
        <v>1.0</v>
      </c>
      <c r="C76" s="122">
        <v>4.0</v>
      </c>
      <c r="D76" s="121">
        <v>1.0</v>
      </c>
      <c r="E76" s="126">
        <f t="shared" si="4"/>
        <v>4</v>
      </c>
      <c r="F76" s="122">
        <v>4.0</v>
      </c>
      <c r="G76" s="127">
        <f t="shared" si="2"/>
        <v>0</v>
      </c>
      <c r="H76" s="122">
        <v>0.0</v>
      </c>
      <c r="I76" s="128">
        <v>1.0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0" t="s">
        <v>339</v>
      </c>
      <c r="B77" s="121">
        <v>1.0</v>
      </c>
      <c r="C77" s="122">
        <v>4.0</v>
      </c>
      <c r="D77" s="121">
        <v>1.0</v>
      </c>
      <c r="E77" s="126">
        <f t="shared" si="4"/>
        <v>4</v>
      </c>
      <c r="F77" s="122">
        <v>4.0</v>
      </c>
      <c r="G77" s="127">
        <f t="shared" si="2"/>
        <v>0</v>
      </c>
      <c r="H77" s="122">
        <v>0.0</v>
      </c>
      <c r="I77" s="128">
        <v>1.0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0" t="s">
        <v>340</v>
      </c>
      <c r="B78" s="121">
        <v>2.0</v>
      </c>
      <c r="C78" s="122">
        <v>8.0</v>
      </c>
      <c r="D78" s="121">
        <v>3.0</v>
      </c>
      <c r="E78" s="126">
        <f t="shared" si="4"/>
        <v>4</v>
      </c>
      <c r="F78" s="122">
        <v>2.0</v>
      </c>
      <c r="G78" s="127">
        <f t="shared" si="2"/>
        <v>1</v>
      </c>
      <c r="H78" s="122">
        <v>0.5</v>
      </c>
      <c r="I78" s="131">
        <v>0.667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0" t="s">
        <v>257</v>
      </c>
      <c r="B79" s="121">
        <v>5.0</v>
      </c>
      <c r="C79" s="122">
        <v>20.0</v>
      </c>
      <c r="D79" s="121">
        <v>3.0</v>
      </c>
      <c r="E79" s="126">
        <f t="shared" si="4"/>
        <v>4</v>
      </c>
      <c r="F79" s="122">
        <v>0.8</v>
      </c>
      <c r="G79" s="127">
        <f t="shared" si="2"/>
        <v>1</v>
      </c>
      <c r="H79" s="122">
        <v>0.2</v>
      </c>
      <c r="I79" s="131">
        <v>0.667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0" t="s">
        <v>342</v>
      </c>
      <c r="B80" s="121">
        <v>1.0</v>
      </c>
      <c r="C80" s="122">
        <v>4.0</v>
      </c>
      <c r="D80" s="121">
        <v>3.0</v>
      </c>
      <c r="E80" s="126">
        <f t="shared" si="4"/>
        <v>4</v>
      </c>
      <c r="F80" s="122">
        <v>4.0</v>
      </c>
      <c r="G80" s="127">
        <f t="shared" si="2"/>
        <v>1</v>
      </c>
      <c r="H80" s="122">
        <v>1.0</v>
      </c>
      <c r="I80" s="131">
        <v>0.667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0" t="s">
        <v>281</v>
      </c>
      <c r="B81" s="121">
        <v>5.0</v>
      </c>
      <c r="C81" s="122">
        <v>20.0</v>
      </c>
      <c r="D81" s="121">
        <v>5.0</v>
      </c>
      <c r="E81" s="126">
        <f t="shared" si="4"/>
        <v>4</v>
      </c>
      <c r="F81" s="122">
        <v>0.8</v>
      </c>
      <c r="G81" s="127">
        <f t="shared" si="2"/>
        <v>2</v>
      </c>
      <c r="H81" s="122">
        <v>0.4</v>
      </c>
      <c r="I81" s="128">
        <v>0.6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0" t="s">
        <v>344</v>
      </c>
      <c r="B82" s="121">
        <v>5.0</v>
      </c>
      <c r="C82" s="122">
        <v>20.0</v>
      </c>
      <c r="D82" s="121">
        <v>2.0</v>
      </c>
      <c r="E82" s="126">
        <f t="shared" si="4"/>
        <v>4</v>
      </c>
      <c r="F82" s="122">
        <v>0.8</v>
      </c>
      <c r="G82" s="127">
        <f t="shared" si="2"/>
        <v>0</v>
      </c>
      <c r="H82" s="122">
        <v>0.0</v>
      </c>
      <c r="I82" s="128">
        <v>0.5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0" t="s">
        <v>346</v>
      </c>
      <c r="B83" s="121">
        <v>2.0</v>
      </c>
      <c r="C83" s="122">
        <v>8.0</v>
      </c>
      <c r="D83" s="121">
        <v>2.0</v>
      </c>
      <c r="E83" s="126">
        <f t="shared" si="4"/>
        <v>4</v>
      </c>
      <c r="F83" s="122">
        <v>2.0</v>
      </c>
      <c r="G83" s="127">
        <f t="shared" si="2"/>
        <v>0</v>
      </c>
      <c r="H83" s="122">
        <v>0.0</v>
      </c>
      <c r="I83" s="128">
        <v>0.5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0" t="s">
        <v>348</v>
      </c>
      <c r="B84" s="121">
        <v>2.0</v>
      </c>
      <c r="C84" s="122">
        <v>8.0</v>
      </c>
      <c r="D84" s="121">
        <v>2.0</v>
      </c>
      <c r="E84" s="126">
        <f t="shared" si="4"/>
        <v>4</v>
      </c>
      <c r="F84" s="122">
        <v>2.0</v>
      </c>
      <c r="G84" s="127">
        <f t="shared" si="2"/>
        <v>0</v>
      </c>
      <c r="H84" s="122">
        <v>0.0</v>
      </c>
      <c r="I84" s="128">
        <v>0.5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0" t="s">
        <v>291</v>
      </c>
      <c r="B85" s="121">
        <v>5.0</v>
      </c>
      <c r="C85" s="122">
        <v>20.0</v>
      </c>
      <c r="D85" s="121">
        <v>2.0</v>
      </c>
      <c r="E85" s="126">
        <f t="shared" si="4"/>
        <v>4</v>
      </c>
      <c r="F85" s="122">
        <v>0.8</v>
      </c>
      <c r="G85" s="127">
        <f t="shared" si="2"/>
        <v>0</v>
      </c>
      <c r="H85" s="122">
        <v>0.0</v>
      </c>
      <c r="I85" s="128">
        <v>0.5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0" t="s">
        <v>350</v>
      </c>
      <c r="B86" s="121">
        <v>5.0</v>
      </c>
      <c r="C86" s="122">
        <v>20.0</v>
      </c>
      <c r="D86" s="121">
        <v>4.0</v>
      </c>
      <c r="E86" s="126">
        <f t="shared" si="4"/>
        <v>4</v>
      </c>
      <c r="F86" s="122">
        <v>0.8</v>
      </c>
      <c r="G86" s="127">
        <f t="shared" si="2"/>
        <v>1</v>
      </c>
      <c r="H86" s="122">
        <v>0.2</v>
      </c>
      <c r="I86" s="128">
        <v>0.5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0" t="s">
        <v>351</v>
      </c>
      <c r="B87" s="121">
        <v>4.0</v>
      </c>
      <c r="C87" s="122">
        <v>16.0</v>
      </c>
      <c r="D87" s="121">
        <v>3.0</v>
      </c>
      <c r="E87" s="126">
        <f t="shared" si="4"/>
        <v>4</v>
      </c>
      <c r="F87" s="122">
        <v>1.0</v>
      </c>
      <c r="G87" s="127">
        <f t="shared" si="2"/>
        <v>0</v>
      </c>
      <c r="H87" s="122">
        <v>0.0</v>
      </c>
      <c r="I87" s="131">
        <v>0.333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0" t="s">
        <v>273</v>
      </c>
      <c r="B88" s="121">
        <v>5.0</v>
      </c>
      <c r="C88" s="122">
        <v>20.0</v>
      </c>
      <c r="D88" s="121">
        <v>3.0</v>
      </c>
      <c r="E88" s="126">
        <f t="shared" si="4"/>
        <v>4</v>
      </c>
      <c r="F88" s="122">
        <v>0.8</v>
      </c>
      <c r="G88" s="127">
        <f t="shared" si="2"/>
        <v>0</v>
      </c>
      <c r="H88" s="122">
        <v>0.0</v>
      </c>
      <c r="I88" s="131">
        <v>0.333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0" t="s">
        <v>323</v>
      </c>
      <c r="B89" s="121">
        <v>4.0</v>
      </c>
      <c r="C89" s="122">
        <v>16.0</v>
      </c>
      <c r="D89" s="121">
        <v>4.0</v>
      </c>
      <c r="E89" s="126">
        <f t="shared" si="4"/>
        <v>4</v>
      </c>
      <c r="F89" s="122">
        <v>1.0</v>
      </c>
      <c r="G89" s="127">
        <f t="shared" si="2"/>
        <v>0</v>
      </c>
      <c r="H89" s="122">
        <v>0.0</v>
      </c>
      <c r="I89" s="128">
        <v>0.25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0" t="s">
        <v>314</v>
      </c>
      <c r="B90" s="121">
        <v>5.0</v>
      </c>
      <c r="C90" s="122">
        <v>20.0</v>
      </c>
      <c r="D90" s="121">
        <v>4.0</v>
      </c>
      <c r="E90" s="126">
        <f t="shared" si="4"/>
        <v>4</v>
      </c>
      <c r="F90" s="122">
        <v>0.8</v>
      </c>
      <c r="G90" s="127">
        <f t="shared" si="2"/>
        <v>0</v>
      </c>
      <c r="H90" s="122">
        <v>0.0</v>
      </c>
      <c r="I90" s="128">
        <v>0.25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0" t="s">
        <v>358</v>
      </c>
      <c r="B91" s="121">
        <v>3.0</v>
      </c>
      <c r="C91" s="122">
        <v>12.0</v>
      </c>
      <c r="D91" s="121">
        <v>2.0</v>
      </c>
      <c r="E91" s="126">
        <f t="shared" si="4"/>
        <v>3.99</v>
      </c>
      <c r="F91" s="122">
        <v>1.33</v>
      </c>
      <c r="G91" s="127">
        <f t="shared" si="2"/>
        <v>0</v>
      </c>
      <c r="H91" s="122">
        <v>0.0</v>
      </c>
      <c r="I91" s="128">
        <v>0.5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0" t="s">
        <v>361</v>
      </c>
      <c r="B92" s="121">
        <v>5.0</v>
      </c>
      <c r="C92" s="122">
        <v>20.0</v>
      </c>
      <c r="D92" s="121">
        <v>2.0</v>
      </c>
      <c r="E92" s="126">
        <f t="shared" si="4"/>
        <v>0</v>
      </c>
      <c r="F92" s="122">
        <v>0.0</v>
      </c>
      <c r="G92" s="127">
        <f t="shared" si="2"/>
        <v>1</v>
      </c>
      <c r="H92" s="122">
        <v>0.2</v>
      </c>
      <c r="I92" s="128">
        <v>0.5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0" t="s">
        <v>364</v>
      </c>
      <c r="B93" s="121">
        <v>5.0</v>
      </c>
      <c r="C93" s="122">
        <v>20.0</v>
      </c>
      <c r="D93" s="121">
        <v>2.0</v>
      </c>
      <c r="E93" s="126">
        <f t="shared" si="4"/>
        <v>0</v>
      </c>
      <c r="F93" s="122">
        <v>0.0</v>
      </c>
      <c r="G93" s="127">
        <f t="shared" si="2"/>
        <v>1</v>
      </c>
      <c r="H93" s="122">
        <v>0.2</v>
      </c>
      <c r="I93" s="128">
        <v>0.5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0" t="s">
        <v>366</v>
      </c>
      <c r="B94" s="121">
        <v>3.0</v>
      </c>
      <c r="C94" s="122">
        <v>12.0</v>
      </c>
      <c r="D94" s="121">
        <v>2.0</v>
      </c>
      <c r="E94" s="126">
        <f t="shared" si="4"/>
        <v>0</v>
      </c>
      <c r="F94" s="122">
        <v>0.0</v>
      </c>
      <c r="G94" s="127">
        <f t="shared" si="2"/>
        <v>0.99</v>
      </c>
      <c r="H94" s="122">
        <v>0.33</v>
      </c>
      <c r="I94" s="128">
        <v>0.5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0" t="s">
        <v>368</v>
      </c>
      <c r="B95" s="121">
        <v>4.0</v>
      </c>
      <c r="C95" s="122">
        <v>16.0</v>
      </c>
      <c r="D95" s="121">
        <v>2.0</v>
      </c>
      <c r="E95" s="126">
        <f t="shared" si="4"/>
        <v>0</v>
      </c>
      <c r="F95" s="122">
        <v>0.0</v>
      </c>
      <c r="G95" s="127">
        <f t="shared" si="2"/>
        <v>1</v>
      </c>
      <c r="H95" s="122">
        <v>0.25</v>
      </c>
      <c r="I95" s="128">
        <v>0.5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0" t="s">
        <v>370</v>
      </c>
      <c r="B96" s="121">
        <v>3.0</v>
      </c>
      <c r="C96" s="122">
        <v>12.0</v>
      </c>
      <c r="D96" s="121">
        <v>3.0</v>
      </c>
      <c r="E96" s="126">
        <f t="shared" si="4"/>
        <v>0</v>
      </c>
      <c r="F96" s="122">
        <v>0.0</v>
      </c>
      <c r="G96" s="127">
        <f t="shared" si="2"/>
        <v>0.99</v>
      </c>
      <c r="H96" s="122">
        <v>0.33</v>
      </c>
      <c r="I96" s="131">
        <v>0.333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0" t="s">
        <v>372</v>
      </c>
      <c r="B97" s="121">
        <v>2.0</v>
      </c>
      <c r="C97" s="122">
        <v>8.0</v>
      </c>
      <c r="D97" s="121">
        <v>0.0</v>
      </c>
      <c r="E97" s="126">
        <f t="shared" si="4"/>
        <v>0</v>
      </c>
      <c r="F97" s="122">
        <v>0.0</v>
      </c>
      <c r="G97" s="127">
        <f t="shared" si="2"/>
        <v>0</v>
      </c>
      <c r="H97" s="122">
        <v>0.0</v>
      </c>
      <c r="I97" s="128">
        <v>0.0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0" t="s">
        <v>266</v>
      </c>
      <c r="B98" s="121">
        <v>5.0</v>
      </c>
      <c r="C98" s="122">
        <v>20.0</v>
      </c>
      <c r="D98" s="121">
        <v>0.0</v>
      </c>
      <c r="E98" s="126">
        <f t="shared" si="4"/>
        <v>0</v>
      </c>
      <c r="F98" s="122">
        <v>0.0</v>
      </c>
      <c r="G98" s="127">
        <f t="shared" si="2"/>
        <v>0</v>
      </c>
      <c r="H98" s="122">
        <v>0.0</v>
      </c>
      <c r="I98" s="128">
        <v>0.0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0" t="s">
        <v>377</v>
      </c>
      <c r="B99" s="121">
        <v>1.0</v>
      </c>
      <c r="C99" s="122">
        <v>4.0</v>
      </c>
      <c r="D99" s="121">
        <v>0.0</v>
      </c>
      <c r="E99" s="126">
        <f t="shared" si="4"/>
        <v>0</v>
      </c>
      <c r="F99" s="122">
        <v>0.0</v>
      </c>
      <c r="G99" s="127">
        <f t="shared" si="2"/>
        <v>0</v>
      </c>
      <c r="H99" s="122">
        <v>0.0</v>
      </c>
      <c r="I99" s="128">
        <v>0.0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0" t="s">
        <v>341</v>
      </c>
      <c r="B100" s="121">
        <v>5.0</v>
      </c>
      <c r="C100" s="122">
        <v>20.0</v>
      </c>
      <c r="D100" s="121">
        <v>0.0</v>
      </c>
      <c r="E100" s="126">
        <f t="shared" si="4"/>
        <v>0</v>
      </c>
      <c r="F100" s="122">
        <v>0.0</v>
      </c>
      <c r="G100" s="127">
        <f t="shared" si="2"/>
        <v>0</v>
      </c>
      <c r="H100" s="122">
        <v>0.0</v>
      </c>
      <c r="I100" s="128">
        <v>0.0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0" t="s">
        <v>381</v>
      </c>
      <c r="B101" s="121">
        <v>2.0</v>
      </c>
      <c r="C101" s="122">
        <v>8.0</v>
      </c>
      <c r="D101" s="121">
        <v>0.0</v>
      </c>
      <c r="E101" s="126">
        <f t="shared" si="4"/>
        <v>0</v>
      </c>
      <c r="F101" s="122">
        <v>0.0</v>
      </c>
      <c r="G101" s="127">
        <f t="shared" si="2"/>
        <v>0</v>
      </c>
      <c r="H101" s="122">
        <v>0.0</v>
      </c>
      <c r="I101" s="128">
        <v>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0" t="s">
        <v>270</v>
      </c>
      <c r="B102" s="121">
        <v>5.0</v>
      </c>
      <c r="C102" s="122">
        <v>20.0</v>
      </c>
      <c r="D102" s="121">
        <v>0.0</v>
      </c>
      <c r="E102" s="126">
        <f t="shared" si="4"/>
        <v>0</v>
      </c>
      <c r="F102" s="122">
        <v>0.0</v>
      </c>
      <c r="G102" s="127">
        <f t="shared" si="2"/>
        <v>0</v>
      </c>
      <c r="H102" s="122">
        <v>0.0</v>
      </c>
      <c r="I102" s="128">
        <v>0.0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0" t="s">
        <v>383</v>
      </c>
      <c r="B103" s="121">
        <v>5.0</v>
      </c>
      <c r="C103" s="122">
        <v>20.0</v>
      </c>
      <c r="D103" s="121">
        <v>0.0</v>
      </c>
      <c r="E103" s="126">
        <f t="shared" si="4"/>
        <v>0</v>
      </c>
      <c r="F103" s="122">
        <v>0.0</v>
      </c>
      <c r="G103" s="127">
        <f t="shared" si="2"/>
        <v>0</v>
      </c>
      <c r="H103" s="122">
        <v>0.0</v>
      </c>
      <c r="I103" s="128">
        <v>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0" t="s">
        <v>235</v>
      </c>
      <c r="B104" s="121">
        <v>5.0</v>
      </c>
      <c r="C104" s="122">
        <v>20.0</v>
      </c>
      <c r="D104" s="121">
        <v>0.0</v>
      </c>
      <c r="E104" s="126">
        <f t="shared" si="4"/>
        <v>0</v>
      </c>
      <c r="F104" s="122">
        <v>0.0</v>
      </c>
      <c r="G104" s="127">
        <f t="shared" si="2"/>
        <v>0</v>
      </c>
      <c r="H104" s="122">
        <v>0.0</v>
      </c>
      <c r="I104" s="128">
        <v>0.0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0" t="s">
        <v>296</v>
      </c>
      <c r="B105" s="121">
        <v>5.0</v>
      </c>
      <c r="C105" s="122">
        <v>20.0</v>
      </c>
      <c r="D105" s="121">
        <v>1.0</v>
      </c>
      <c r="E105" s="126">
        <f t="shared" si="4"/>
        <v>0</v>
      </c>
      <c r="F105" s="122">
        <v>0.0</v>
      </c>
      <c r="G105" s="127">
        <f t="shared" si="2"/>
        <v>0</v>
      </c>
      <c r="H105" s="122">
        <v>0.0</v>
      </c>
      <c r="I105" s="128">
        <v>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0" t="s">
        <v>371</v>
      </c>
      <c r="B106" s="121">
        <v>3.0</v>
      </c>
      <c r="C106" s="122">
        <v>12.0</v>
      </c>
      <c r="D106" s="121">
        <v>0.0</v>
      </c>
      <c r="E106" s="126">
        <f t="shared" si="4"/>
        <v>0</v>
      </c>
      <c r="F106" s="122">
        <v>0.0</v>
      </c>
      <c r="G106" s="127">
        <f t="shared" si="2"/>
        <v>0</v>
      </c>
      <c r="H106" s="122">
        <v>0.0</v>
      </c>
      <c r="I106" s="128">
        <v>0.0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0" t="s">
        <v>376</v>
      </c>
      <c r="B107" s="121">
        <v>3.0</v>
      </c>
      <c r="C107" s="122">
        <v>12.0</v>
      </c>
      <c r="D107" s="121">
        <v>0.0</v>
      </c>
      <c r="E107" s="126">
        <f t="shared" si="4"/>
        <v>0</v>
      </c>
      <c r="F107" s="122">
        <v>0.0</v>
      </c>
      <c r="G107" s="127">
        <f t="shared" si="2"/>
        <v>0</v>
      </c>
      <c r="H107" s="122">
        <v>0.0</v>
      </c>
      <c r="I107" s="128">
        <v>0.0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0" t="s">
        <v>365</v>
      </c>
      <c r="B108" s="121">
        <v>1.0</v>
      </c>
      <c r="C108" s="122">
        <v>4.0</v>
      </c>
      <c r="D108" s="121">
        <v>0.0</v>
      </c>
      <c r="E108" s="126">
        <f t="shared" si="4"/>
        <v>0</v>
      </c>
      <c r="F108" s="122">
        <v>0.0</v>
      </c>
      <c r="G108" s="127">
        <f t="shared" si="2"/>
        <v>0</v>
      </c>
      <c r="H108" s="122">
        <v>0.0</v>
      </c>
      <c r="I108" s="128">
        <v>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0" t="s">
        <v>259</v>
      </c>
      <c r="B109" s="121">
        <v>5.0</v>
      </c>
      <c r="C109" s="122">
        <v>20.0</v>
      </c>
      <c r="D109" s="121">
        <v>0.0</v>
      </c>
      <c r="E109" s="126">
        <f t="shared" si="4"/>
        <v>0</v>
      </c>
      <c r="F109" s="122">
        <v>0.0</v>
      </c>
      <c r="G109" s="127">
        <f t="shared" si="2"/>
        <v>0</v>
      </c>
      <c r="H109" s="122">
        <v>0.0</v>
      </c>
      <c r="I109" s="128">
        <v>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0" t="s">
        <v>343</v>
      </c>
      <c r="B110" s="121">
        <v>5.0</v>
      </c>
      <c r="C110" s="122">
        <v>20.0</v>
      </c>
      <c r="D110" s="121">
        <v>1.0</v>
      </c>
      <c r="E110" s="126">
        <f t="shared" si="4"/>
        <v>0</v>
      </c>
      <c r="F110" s="122">
        <v>0.0</v>
      </c>
      <c r="G110" s="127">
        <f t="shared" si="2"/>
        <v>0</v>
      </c>
      <c r="H110" s="122">
        <v>0.0</v>
      </c>
      <c r="I110" s="128">
        <v>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0" t="s">
        <v>288</v>
      </c>
      <c r="B111" s="121">
        <v>4.0</v>
      </c>
      <c r="C111" s="122">
        <v>16.0</v>
      </c>
      <c r="D111" s="121">
        <v>0.0</v>
      </c>
      <c r="E111" s="126">
        <f t="shared" si="4"/>
        <v>0</v>
      </c>
      <c r="F111" s="122">
        <v>0.0</v>
      </c>
      <c r="G111" s="127">
        <f t="shared" si="2"/>
        <v>0</v>
      </c>
      <c r="H111" s="122">
        <v>0.0</v>
      </c>
      <c r="I111" s="128">
        <v>0.0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0" t="s">
        <v>325</v>
      </c>
      <c r="B112" s="121">
        <v>5.0</v>
      </c>
      <c r="C112" s="122">
        <v>20.0</v>
      </c>
      <c r="D112" s="121">
        <v>0.0</v>
      </c>
      <c r="E112" s="126">
        <f t="shared" si="4"/>
        <v>0</v>
      </c>
      <c r="F112" s="122">
        <v>0.0</v>
      </c>
      <c r="G112" s="127">
        <f t="shared" si="2"/>
        <v>0</v>
      </c>
      <c r="H112" s="122">
        <v>0.0</v>
      </c>
      <c r="I112" s="128">
        <v>0.0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0" t="s">
        <v>384</v>
      </c>
      <c r="B113" s="121">
        <v>2.0</v>
      </c>
      <c r="C113" s="122">
        <v>8.0</v>
      </c>
      <c r="D113" s="121">
        <v>0.0</v>
      </c>
      <c r="E113" s="126">
        <f t="shared" si="4"/>
        <v>0</v>
      </c>
      <c r="F113" s="122">
        <v>0.0</v>
      </c>
      <c r="G113" s="127">
        <f t="shared" si="2"/>
        <v>0</v>
      </c>
      <c r="H113" s="122">
        <v>0.0</v>
      </c>
      <c r="I113" s="128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0" t="s">
        <v>226</v>
      </c>
      <c r="B114" s="121">
        <v>5.0</v>
      </c>
      <c r="C114" s="122">
        <v>20.0</v>
      </c>
      <c r="D114" s="121">
        <v>1.0</v>
      </c>
      <c r="E114" s="126">
        <f t="shared" si="4"/>
        <v>0</v>
      </c>
      <c r="F114" s="122">
        <v>0.0</v>
      </c>
      <c r="G114" s="127">
        <f t="shared" si="2"/>
        <v>0</v>
      </c>
      <c r="H114" s="122">
        <v>0.0</v>
      </c>
      <c r="I114" s="128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0" t="s">
        <v>385</v>
      </c>
      <c r="B115" s="121">
        <v>2.0</v>
      </c>
      <c r="C115" s="122">
        <v>8.0</v>
      </c>
      <c r="D115" s="121">
        <v>0.0</v>
      </c>
      <c r="E115" s="126">
        <f t="shared" si="4"/>
        <v>0</v>
      </c>
      <c r="F115" s="122">
        <v>0.0</v>
      </c>
      <c r="G115" s="127">
        <f t="shared" si="2"/>
        <v>0</v>
      </c>
      <c r="H115" s="122">
        <v>0.0</v>
      </c>
      <c r="I115" s="128">
        <v>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0" t="s">
        <v>302</v>
      </c>
      <c r="B116" s="121">
        <v>5.0</v>
      </c>
      <c r="C116" s="122">
        <v>20.0</v>
      </c>
      <c r="D116" s="121">
        <v>0.0</v>
      </c>
      <c r="E116" s="126">
        <f t="shared" si="4"/>
        <v>0</v>
      </c>
      <c r="F116" s="122">
        <v>0.0</v>
      </c>
      <c r="G116" s="127">
        <f t="shared" si="2"/>
        <v>0</v>
      </c>
      <c r="H116" s="122">
        <v>0.0</v>
      </c>
      <c r="I116" s="128">
        <v>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0" t="s">
        <v>290</v>
      </c>
      <c r="B117" s="121">
        <v>4.0</v>
      </c>
      <c r="C117" s="122">
        <v>16.0</v>
      </c>
      <c r="D117" s="121">
        <v>0.0</v>
      </c>
      <c r="E117" s="126">
        <f t="shared" si="4"/>
        <v>0</v>
      </c>
      <c r="F117" s="122">
        <v>0.0</v>
      </c>
      <c r="G117" s="127">
        <f t="shared" si="2"/>
        <v>0</v>
      </c>
      <c r="H117" s="122">
        <v>0.0</v>
      </c>
      <c r="I117" s="128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0" t="s">
        <v>360</v>
      </c>
      <c r="B118" s="121">
        <v>2.0</v>
      </c>
      <c r="C118" s="122">
        <v>8.0</v>
      </c>
      <c r="D118" s="121">
        <v>0.0</v>
      </c>
      <c r="E118" s="126">
        <f t="shared" si="4"/>
        <v>0</v>
      </c>
      <c r="F118" s="122">
        <v>0.0</v>
      </c>
      <c r="G118" s="127">
        <f t="shared" si="2"/>
        <v>0</v>
      </c>
      <c r="H118" s="122">
        <v>0.0</v>
      </c>
      <c r="I118" s="128">
        <v>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0" t="s">
        <v>387</v>
      </c>
      <c r="B119" s="121">
        <v>2.0</v>
      </c>
      <c r="C119" s="122">
        <v>8.0</v>
      </c>
      <c r="D119" s="121">
        <v>0.0</v>
      </c>
      <c r="E119" s="126">
        <f t="shared" si="4"/>
        <v>0</v>
      </c>
      <c r="F119" s="122">
        <v>0.0</v>
      </c>
      <c r="G119" s="127">
        <f t="shared" si="2"/>
        <v>0</v>
      </c>
      <c r="H119" s="122">
        <v>0.0</v>
      </c>
      <c r="I119" s="128">
        <v>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0" t="s">
        <v>367</v>
      </c>
      <c r="B120" s="121">
        <v>1.0</v>
      </c>
      <c r="C120" s="122">
        <v>4.0</v>
      </c>
      <c r="D120" s="121">
        <v>0.0</v>
      </c>
      <c r="E120" s="126">
        <f t="shared" si="4"/>
        <v>0</v>
      </c>
      <c r="F120" s="122">
        <v>0.0</v>
      </c>
      <c r="G120" s="127">
        <f t="shared" si="2"/>
        <v>0</v>
      </c>
      <c r="H120" s="122">
        <v>0.0</v>
      </c>
      <c r="I120" s="128">
        <v>0.0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0" t="s">
        <v>359</v>
      </c>
      <c r="B121" s="121">
        <v>5.0</v>
      </c>
      <c r="C121" s="122">
        <v>20.0</v>
      </c>
      <c r="D121" s="121">
        <v>0.0</v>
      </c>
      <c r="E121" s="126">
        <f t="shared" si="4"/>
        <v>0</v>
      </c>
      <c r="F121" s="122">
        <v>0.0</v>
      </c>
      <c r="G121" s="127">
        <f t="shared" si="2"/>
        <v>0</v>
      </c>
      <c r="H121" s="122">
        <v>0.0</v>
      </c>
      <c r="I121" s="128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0" t="s">
        <v>263</v>
      </c>
      <c r="B122" s="121">
        <v>4.0</v>
      </c>
      <c r="C122" s="122">
        <v>16.0</v>
      </c>
      <c r="D122" s="121">
        <v>1.0</v>
      </c>
      <c r="E122" s="126">
        <f t="shared" si="4"/>
        <v>0</v>
      </c>
      <c r="F122" s="122">
        <v>0.0</v>
      </c>
      <c r="G122" s="127">
        <f t="shared" si="2"/>
        <v>0</v>
      </c>
      <c r="H122" s="122">
        <v>0.0</v>
      </c>
      <c r="I122" s="128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0" t="s">
        <v>389</v>
      </c>
      <c r="B123" s="121">
        <v>2.0</v>
      </c>
      <c r="C123" s="122">
        <v>8.0</v>
      </c>
      <c r="D123" s="121">
        <v>1.0</v>
      </c>
      <c r="E123" s="126">
        <f t="shared" si="4"/>
        <v>0</v>
      </c>
      <c r="F123" s="122">
        <v>0.0</v>
      </c>
      <c r="G123" s="127">
        <f t="shared" si="2"/>
        <v>0</v>
      </c>
      <c r="H123" s="122">
        <v>0.0</v>
      </c>
      <c r="I123" s="128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0" t="s">
        <v>369</v>
      </c>
      <c r="B124" s="121">
        <v>5.0</v>
      </c>
      <c r="C124" s="122">
        <v>20.0</v>
      </c>
      <c r="D124" s="121">
        <v>1.0</v>
      </c>
      <c r="E124" s="126">
        <f t="shared" si="4"/>
        <v>0</v>
      </c>
      <c r="F124" s="122">
        <v>0.0</v>
      </c>
      <c r="G124" s="127">
        <f t="shared" si="2"/>
        <v>0</v>
      </c>
      <c r="H124" s="122">
        <v>0.0</v>
      </c>
      <c r="I124" s="128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0" t="s">
        <v>391</v>
      </c>
      <c r="B125" s="121">
        <v>2.0</v>
      </c>
      <c r="C125" s="122">
        <v>8.0</v>
      </c>
      <c r="D125" s="121">
        <v>0.0</v>
      </c>
      <c r="E125" s="126">
        <f t="shared" si="4"/>
        <v>0</v>
      </c>
      <c r="F125" s="122">
        <v>0.0</v>
      </c>
      <c r="G125" s="127">
        <f t="shared" si="2"/>
        <v>0</v>
      </c>
      <c r="H125" s="122">
        <v>0.0</v>
      </c>
      <c r="I125" s="128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0" t="s">
        <v>392</v>
      </c>
      <c r="B126" s="121">
        <v>5.0</v>
      </c>
      <c r="C126" s="122">
        <v>20.0</v>
      </c>
      <c r="D126" s="121">
        <v>1.0</v>
      </c>
      <c r="E126" s="126">
        <f t="shared" si="4"/>
        <v>0</v>
      </c>
      <c r="F126" s="122">
        <v>0.0</v>
      </c>
      <c r="G126" s="127">
        <f t="shared" si="2"/>
        <v>0</v>
      </c>
      <c r="H126" s="122">
        <v>0.0</v>
      </c>
      <c r="I126" s="128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0" t="s">
        <v>262</v>
      </c>
      <c r="B127" s="121">
        <v>5.0</v>
      </c>
      <c r="C127" s="122">
        <v>20.0</v>
      </c>
      <c r="D127" s="121">
        <v>0.0</v>
      </c>
      <c r="E127" s="126">
        <f t="shared" si="4"/>
        <v>0</v>
      </c>
      <c r="F127" s="122">
        <v>0.0</v>
      </c>
      <c r="G127" s="127">
        <f t="shared" si="2"/>
        <v>0</v>
      </c>
      <c r="H127" s="122">
        <v>0.0</v>
      </c>
      <c r="I127" s="128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0" t="s">
        <v>260</v>
      </c>
      <c r="B128" s="121">
        <v>5.0</v>
      </c>
      <c r="C128" s="122">
        <v>20.0</v>
      </c>
      <c r="D128" s="121">
        <v>0.0</v>
      </c>
      <c r="E128" s="126">
        <f t="shared" si="4"/>
        <v>0</v>
      </c>
      <c r="F128" s="122">
        <v>0.0</v>
      </c>
      <c r="G128" s="127">
        <f t="shared" si="2"/>
        <v>0</v>
      </c>
      <c r="H128" s="122">
        <v>0.0</v>
      </c>
      <c r="I128" s="128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0" t="s">
        <v>347</v>
      </c>
      <c r="B129" s="121">
        <v>2.0</v>
      </c>
      <c r="C129" s="122">
        <v>8.0</v>
      </c>
      <c r="D129" s="121">
        <v>0.0</v>
      </c>
      <c r="E129" s="126">
        <f t="shared" si="4"/>
        <v>0</v>
      </c>
      <c r="F129" s="122">
        <v>0.0</v>
      </c>
      <c r="G129" s="127">
        <f t="shared" si="2"/>
        <v>0</v>
      </c>
      <c r="H129" s="122">
        <v>0.0</v>
      </c>
      <c r="I129" s="128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0" t="s">
        <v>393</v>
      </c>
      <c r="B130" s="121">
        <v>4.0</v>
      </c>
      <c r="C130" s="122">
        <v>16.0</v>
      </c>
      <c r="D130" s="121">
        <v>0.0</v>
      </c>
      <c r="E130" s="126">
        <f t="shared" si="4"/>
        <v>0</v>
      </c>
      <c r="F130" s="122">
        <v>0.0</v>
      </c>
      <c r="G130" s="127">
        <f t="shared" si="2"/>
        <v>0</v>
      </c>
      <c r="H130" s="122">
        <v>0.0</v>
      </c>
      <c r="I130" s="128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0" t="s">
        <v>373</v>
      </c>
      <c r="B131" s="121">
        <v>3.0</v>
      </c>
      <c r="C131" s="122">
        <v>12.0</v>
      </c>
      <c r="D131" s="121">
        <v>0.0</v>
      </c>
      <c r="E131" s="126">
        <f t="shared" si="4"/>
        <v>0</v>
      </c>
      <c r="F131" s="122">
        <v>0.0</v>
      </c>
      <c r="G131" s="127">
        <f t="shared" si="2"/>
        <v>0</v>
      </c>
      <c r="H131" s="122">
        <v>0.0</v>
      </c>
      <c r="I131" s="128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0" t="s">
        <v>394</v>
      </c>
      <c r="B132" s="121">
        <v>3.0</v>
      </c>
      <c r="C132" s="122">
        <v>12.0</v>
      </c>
      <c r="D132" s="121">
        <v>1.0</v>
      </c>
      <c r="E132" s="126">
        <f t="shared" si="4"/>
        <v>0</v>
      </c>
      <c r="F132" s="122">
        <v>0.0</v>
      </c>
      <c r="G132" s="127">
        <f t="shared" si="2"/>
        <v>0</v>
      </c>
      <c r="H132" s="122">
        <v>0.0</v>
      </c>
      <c r="I132" s="128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0" t="s">
        <v>395</v>
      </c>
      <c r="B133" s="121">
        <v>1.0</v>
      </c>
      <c r="C133" s="122">
        <v>4.0</v>
      </c>
      <c r="D133" s="121">
        <v>0.0</v>
      </c>
      <c r="E133" s="126">
        <f t="shared" si="4"/>
        <v>0</v>
      </c>
      <c r="F133" s="122">
        <v>0.0</v>
      </c>
      <c r="G133" s="127">
        <f t="shared" si="2"/>
        <v>0</v>
      </c>
      <c r="H133" s="122">
        <v>0.0</v>
      </c>
      <c r="I133" s="128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0" t="s">
        <v>396</v>
      </c>
      <c r="B134" s="121">
        <v>1.0</v>
      </c>
      <c r="C134" s="122">
        <v>4.0</v>
      </c>
      <c r="D134" s="121">
        <v>0.0</v>
      </c>
      <c r="E134" s="126">
        <f t="shared" si="4"/>
        <v>0</v>
      </c>
      <c r="F134" s="122">
        <v>0.0</v>
      </c>
      <c r="G134" s="127">
        <f t="shared" si="2"/>
        <v>0</v>
      </c>
      <c r="H134" s="122">
        <v>0.0</v>
      </c>
      <c r="I134" s="128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0" t="s">
        <v>279</v>
      </c>
      <c r="B135" s="121">
        <v>1.0</v>
      </c>
      <c r="C135" s="122">
        <v>4.0</v>
      </c>
      <c r="D135" s="121">
        <v>0.0</v>
      </c>
      <c r="E135" s="126">
        <f t="shared" si="4"/>
        <v>0</v>
      </c>
      <c r="F135" s="122">
        <v>0.0</v>
      </c>
      <c r="G135" s="127">
        <f t="shared" si="2"/>
        <v>0</v>
      </c>
      <c r="H135" s="122">
        <v>0.0</v>
      </c>
      <c r="I135" s="128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0" t="s">
        <v>397</v>
      </c>
      <c r="B136" s="121">
        <v>3.0</v>
      </c>
      <c r="C136" s="122">
        <v>12.0</v>
      </c>
      <c r="D136" s="121">
        <v>0.0</v>
      </c>
      <c r="E136" s="126">
        <f t="shared" si="4"/>
        <v>0</v>
      </c>
      <c r="F136" s="122">
        <v>0.0</v>
      </c>
      <c r="G136" s="127">
        <f t="shared" si="2"/>
        <v>0</v>
      </c>
      <c r="H136" s="122">
        <v>0.0</v>
      </c>
      <c r="I136" s="128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0" t="s">
        <v>375</v>
      </c>
      <c r="B137" s="121">
        <v>1.0</v>
      </c>
      <c r="C137" s="122">
        <v>4.0</v>
      </c>
      <c r="D137" s="121">
        <v>0.0</v>
      </c>
      <c r="E137" s="126">
        <f t="shared" si="4"/>
        <v>0</v>
      </c>
      <c r="F137" s="122">
        <v>0.0</v>
      </c>
      <c r="G137" s="127">
        <f t="shared" si="2"/>
        <v>0</v>
      </c>
      <c r="H137" s="122">
        <v>0.0</v>
      </c>
      <c r="I137" s="128">
        <v>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0" t="s">
        <v>305</v>
      </c>
      <c r="B138" s="121">
        <v>4.0</v>
      </c>
      <c r="C138" s="122">
        <v>16.0</v>
      </c>
      <c r="D138" s="121">
        <v>0.0</v>
      </c>
      <c r="E138" s="126">
        <f t="shared" si="4"/>
        <v>0</v>
      </c>
      <c r="F138" s="122">
        <v>0.0</v>
      </c>
      <c r="G138" s="127">
        <f t="shared" si="2"/>
        <v>0</v>
      </c>
      <c r="H138" s="122">
        <v>0.0</v>
      </c>
      <c r="I138" s="128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0" t="s">
        <v>337</v>
      </c>
      <c r="B139" s="121">
        <v>4.0</v>
      </c>
      <c r="C139" s="122">
        <v>16.0</v>
      </c>
      <c r="D139" s="121">
        <v>0.0</v>
      </c>
      <c r="E139" s="126">
        <f t="shared" si="4"/>
        <v>0</v>
      </c>
      <c r="F139" s="122">
        <v>0.0</v>
      </c>
      <c r="G139" s="127">
        <f t="shared" si="2"/>
        <v>0</v>
      </c>
      <c r="H139" s="122">
        <v>0.0</v>
      </c>
      <c r="I139" s="128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0" t="s">
        <v>378</v>
      </c>
      <c r="B140" s="121">
        <v>3.0</v>
      </c>
      <c r="C140" s="122">
        <v>12.0</v>
      </c>
      <c r="D140" s="121">
        <v>0.0</v>
      </c>
      <c r="E140" s="126">
        <f t="shared" si="4"/>
        <v>0</v>
      </c>
      <c r="F140" s="122">
        <v>0.0</v>
      </c>
      <c r="G140" s="127">
        <f t="shared" si="2"/>
        <v>0</v>
      </c>
      <c r="H140" s="122">
        <v>0.0</v>
      </c>
      <c r="I140" s="128">
        <v>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0" t="s">
        <v>398</v>
      </c>
      <c r="B141" s="121">
        <v>4.0</v>
      </c>
      <c r="C141" s="122">
        <v>16.0</v>
      </c>
      <c r="D141" s="121">
        <v>0.0</v>
      </c>
      <c r="E141" s="126">
        <f t="shared" si="4"/>
        <v>0</v>
      </c>
      <c r="F141" s="122">
        <v>0.0</v>
      </c>
      <c r="G141" s="127">
        <f t="shared" si="2"/>
        <v>0</v>
      </c>
      <c r="H141" s="122">
        <v>0.0</v>
      </c>
      <c r="I141" s="128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0" t="s">
        <v>399</v>
      </c>
      <c r="B142" s="121">
        <v>1.0</v>
      </c>
      <c r="C142" s="122">
        <v>4.0</v>
      </c>
      <c r="D142" s="121">
        <v>0.0</v>
      </c>
      <c r="E142" s="126">
        <f t="shared" si="4"/>
        <v>0</v>
      </c>
      <c r="F142" s="122">
        <v>0.0</v>
      </c>
      <c r="G142" s="127">
        <f t="shared" si="2"/>
        <v>0</v>
      </c>
      <c r="H142" s="122">
        <v>0.0</v>
      </c>
      <c r="I142" s="128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0" t="s">
        <v>400</v>
      </c>
      <c r="B143" s="121">
        <v>1.0</v>
      </c>
      <c r="C143" s="122">
        <v>4.0</v>
      </c>
      <c r="D143" s="121">
        <v>1.0</v>
      </c>
      <c r="E143" s="126">
        <f t="shared" si="4"/>
        <v>0</v>
      </c>
      <c r="F143" s="122">
        <v>0.0</v>
      </c>
      <c r="G143" s="127">
        <f t="shared" si="2"/>
        <v>0</v>
      </c>
      <c r="H143" s="122">
        <v>0.0</v>
      </c>
      <c r="I143" s="128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0" t="s">
        <v>380</v>
      </c>
      <c r="B144" s="121">
        <v>2.0</v>
      </c>
      <c r="C144" s="122">
        <v>8.0</v>
      </c>
      <c r="D144" s="121">
        <v>0.0</v>
      </c>
      <c r="E144" s="126">
        <f t="shared" si="4"/>
        <v>0</v>
      </c>
      <c r="F144" s="122">
        <v>0.0</v>
      </c>
      <c r="G144" s="127">
        <f t="shared" si="2"/>
        <v>0</v>
      </c>
      <c r="H144" s="122">
        <v>0.0</v>
      </c>
      <c r="I144" s="128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0" t="s">
        <v>317</v>
      </c>
      <c r="B145" s="121">
        <v>5.0</v>
      </c>
      <c r="C145" s="122">
        <v>20.0</v>
      </c>
      <c r="D145" s="121">
        <v>0.0</v>
      </c>
      <c r="E145" s="126">
        <f t="shared" si="4"/>
        <v>0</v>
      </c>
      <c r="F145" s="122">
        <v>0.0</v>
      </c>
      <c r="G145" s="127">
        <f t="shared" si="2"/>
        <v>0</v>
      </c>
      <c r="H145" s="122">
        <v>0.0</v>
      </c>
      <c r="I145" s="128">
        <v>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0" t="s">
        <v>246</v>
      </c>
      <c r="B146" s="121">
        <v>5.0</v>
      </c>
      <c r="C146" s="122">
        <v>20.0</v>
      </c>
      <c r="D146" s="121">
        <v>0.0</v>
      </c>
      <c r="E146" s="126">
        <f t="shared" si="4"/>
        <v>0</v>
      </c>
      <c r="F146" s="122">
        <v>0.0</v>
      </c>
      <c r="G146" s="127">
        <f t="shared" si="2"/>
        <v>0</v>
      </c>
      <c r="H146" s="122">
        <v>0.0</v>
      </c>
      <c r="I146" s="128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0" t="s">
        <v>307</v>
      </c>
      <c r="B147" s="121">
        <v>1.0</v>
      </c>
      <c r="C147" s="122">
        <v>4.0</v>
      </c>
      <c r="D147" s="121">
        <v>0.0</v>
      </c>
      <c r="E147" s="126">
        <f t="shared" si="4"/>
        <v>0</v>
      </c>
      <c r="F147" s="122">
        <v>0.0</v>
      </c>
      <c r="G147" s="127">
        <f t="shared" si="2"/>
        <v>0</v>
      </c>
      <c r="H147" s="122">
        <v>0.0</v>
      </c>
      <c r="I147" s="128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0" t="s">
        <v>307</v>
      </c>
      <c r="B148" s="121">
        <v>1.0</v>
      </c>
      <c r="C148" s="122">
        <v>4.0</v>
      </c>
      <c r="D148" s="121">
        <v>0.0</v>
      </c>
      <c r="E148" s="126">
        <f t="shared" si="4"/>
        <v>0</v>
      </c>
      <c r="F148" s="122">
        <v>0.0</v>
      </c>
      <c r="G148" s="127">
        <f t="shared" si="2"/>
        <v>0</v>
      </c>
      <c r="H148" s="122">
        <v>0.0</v>
      </c>
      <c r="I148" s="128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0" t="s">
        <v>332</v>
      </c>
      <c r="B149" s="121">
        <v>5.0</v>
      </c>
      <c r="C149" s="122">
        <v>20.0</v>
      </c>
      <c r="D149" s="121">
        <v>0.0</v>
      </c>
      <c r="E149" s="126">
        <f t="shared" si="4"/>
        <v>0</v>
      </c>
      <c r="F149" s="122">
        <v>0.0</v>
      </c>
      <c r="G149" s="127">
        <f t="shared" si="2"/>
        <v>0</v>
      </c>
      <c r="H149" s="122">
        <v>0.0</v>
      </c>
      <c r="I149" s="128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0" t="s">
        <v>382</v>
      </c>
      <c r="B150" s="121">
        <v>5.0</v>
      </c>
      <c r="C150" s="122">
        <v>20.0</v>
      </c>
      <c r="D150" s="121">
        <v>0.0</v>
      </c>
      <c r="E150" s="126">
        <f t="shared" si="4"/>
        <v>0</v>
      </c>
      <c r="F150" s="122">
        <v>0.0</v>
      </c>
      <c r="G150" s="127">
        <f t="shared" si="2"/>
        <v>0</v>
      </c>
      <c r="H150" s="122">
        <v>0.0</v>
      </c>
      <c r="I150" s="128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0" t="s">
        <v>379</v>
      </c>
      <c r="B151" s="121">
        <v>3.0</v>
      </c>
      <c r="C151" s="122">
        <v>12.0</v>
      </c>
      <c r="D151" s="121">
        <v>0.0</v>
      </c>
      <c r="E151" s="126">
        <f t="shared" si="4"/>
        <v>0</v>
      </c>
      <c r="F151" s="122">
        <v>0.0</v>
      </c>
      <c r="G151" s="127">
        <f t="shared" si="2"/>
        <v>0</v>
      </c>
      <c r="H151" s="122">
        <v>0.0</v>
      </c>
      <c r="I151" s="128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0" t="s">
        <v>356</v>
      </c>
      <c r="B152" s="121">
        <v>5.0</v>
      </c>
      <c r="C152" s="122">
        <v>20.0</v>
      </c>
      <c r="D152" s="121">
        <v>0.0</v>
      </c>
      <c r="E152" s="126">
        <f t="shared" si="4"/>
        <v>0</v>
      </c>
      <c r="F152" s="122">
        <v>0.0</v>
      </c>
      <c r="G152" s="127">
        <f t="shared" si="2"/>
        <v>0</v>
      </c>
      <c r="H152" s="122">
        <v>0.0</v>
      </c>
      <c r="I152" s="128">
        <v>0.0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0" t="s">
        <v>402</v>
      </c>
      <c r="B153" s="121">
        <v>1.0</v>
      </c>
      <c r="C153" s="122">
        <v>4.0</v>
      </c>
      <c r="D153" s="121">
        <v>0.0</v>
      </c>
      <c r="E153" s="126">
        <f t="shared" si="4"/>
        <v>0</v>
      </c>
      <c r="F153" s="122">
        <v>0.0</v>
      </c>
      <c r="G153" s="127">
        <f t="shared" si="2"/>
        <v>0</v>
      </c>
      <c r="H153" s="122">
        <v>0.0</v>
      </c>
      <c r="I153" s="128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0" t="s">
        <v>231</v>
      </c>
      <c r="B154" s="121">
        <v>5.0</v>
      </c>
      <c r="C154" s="122">
        <v>20.0</v>
      </c>
      <c r="D154" s="121">
        <v>0.0</v>
      </c>
      <c r="E154" s="126">
        <f t="shared" si="4"/>
        <v>0</v>
      </c>
      <c r="F154" s="122">
        <v>0.0</v>
      </c>
      <c r="G154" s="127">
        <f t="shared" si="2"/>
        <v>0</v>
      </c>
      <c r="H154" s="122">
        <v>0.0</v>
      </c>
      <c r="I154" s="128">
        <v>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0" t="s">
        <v>349</v>
      </c>
      <c r="B155" s="121">
        <v>1.0</v>
      </c>
      <c r="C155" s="122">
        <v>4.0</v>
      </c>
      <c r="D155" s="121">
        <v>0.0</v>
      </c>
      <c r="E155" s="126">
        <f t="shared" si="4"/>
        <v>0</v>
      </c>
      <c r="F155" s="122">
        <v>0.0</v>
      </c>
      <c r="G155" s="127">
        <f t="shared" si="2"/>
        <v>0</v>
      </c>
      <c r="H155" s="122">
        <v>0.0</v>
      </c>
      <c r="I155" s="128">
        <v>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0" t="s">
        <v>362</v>
      </c>
      <c r="B156" s="121">
        <v>2.0</v>
      </c>
      <c r="C156" s="122">
        <v>8.0</v>
      </c>
      <c r="D156" s="121">
        <v>0.0</v>
      </c>
      <c r="E156" s="126">
        <f t="shared" si="4"/>
        <v>0</v>
      </c>
      <c r="F156" s="122">
        <v>0.0</v>
      </c>
      <c r="G156" s="127">
        <f t="shared" si="2"/>
        <v>0</v>
      </c>
      <c r="H156" s="122">
        <v>0.0</v>
      </c>
      <c r="I156" s="128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0" t="s">
        <v>286</v>
      </c>
      <c r="B157" s="121">
        <v>5.0</v>
      </c>
      <c r="C157" s="122">
        <v>20.0</v>
      </c>
      <c r="D157" s="121">
        <v>0.0</v>
      </c>
      <c r="E157" s="126">
        <f t="shared" si="4"/>
        <v>0</v>
      </c>
      <c r="F157" s="122">
        <v>0.0</v>
      </c>
      <c r="G157" s="127">
        <f t="shared" si="2"/>
        <v>0</v>
      </c>
      <c r="H157" s="122">
        <v>0.0</v>
      </c>
      <c r="I157" s="128">
        <v>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0" t="s">
        <v>404</v>
      </c>
      <c r="B158" s="121">
        <v>1.0</v>
      </c>
      <c r="C158" s="122">
        <v>4.0</v>
      </c>
      <c r="D158" s="121">
        <v>0.0</v>
      </c>
      <c r="E158" s="126">
        <f t="shared" si="4"/>
        <v>0</v>
      </c>
      <c r="F158" s="122">
        <v>0.0</v>
      </c>
      <c r="G158" s="127">
        <f t="shared" si="2"/>
        <v>0</v>
      </c>
      <c r="H158" s="122">
        <v>0.0</v>
      </c>
      <c r="I158" s="128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0" t="s">
        <v>309</v>
      </c>
      <c r="B159" s="121">
        <v>5.0</v>
      </c>
      <c r="C159" s="122">
        <v>20.0</v>
      </c>
      <c r="D159" s="121">
        <v>0.0</v>
      </c>
      <c r="E159" s="126">
        <f t="shared" si="4"/>
        <v>0</v>
      </c>
      <c r="F159" s="122">
        <v>0.0</v>
      </c>
      <c r="G159" s="127">
        <f t="shared" si="2"/>
        <v>0</v>
      </c>
      <c r="H159" s="122">
        <v>0.0</v>
      </c>
      <c r="I159" s="128">
        <v>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0" t="s">
        <v>405</v>
      </c>
      <c r="B160" s="121">
        <v>3.0</v>
      </c>
      <c r="C160" s="122">
        <v>12.0</v>
      </c>
      <c r="D160" s="121">
        <v>0.0</v>
      </c>
      <c r="E160" s="126">
        <f t="shared" si="4"/>
        <v>0</v>
      </c>
      <c r="F160" s="122">
        <v>0.0</v>
      </c>
      <c r="G160" s="127">
        <f t="shared" si="2"/>
        <v>0</v>
      </c>
      <c r="H160" s="122">
        <v>0.0</v>
      </c>
      <c r="I160" s="128">
        <v>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0" t="s">
        <v>326</v>
      </c>
      <c r="B161" s="121">
        <v>5.0</v>
      </c>
      <c r="C161" s="122">
        <v>20.0</v>
      </c>
      <c r="D161" s="121">
        <v>0.0</v>
      </c>
      <c r="E161" s="126">
        <f t="shared" si="4"/>
        <v>0</v>
      </c>
      <c r="F161" s="122">
        <v>0.0</v>
      </c>
      <c r="G161" s="127">
        <f t="shared" si="2"/>
        <v>0</v>
      </c>
      <c r="H161" s="122">
        <v>0.0</v>
      </c>
      <c r="I161" s="128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0" t="s">
        <v>406</v>
      </c>
      <c r="B162" s="121">
        <v>5.0</v>
      </c>
      <c r="C162" s="122">
        <v>20.0</v>
      </c>
      <c r="D162" s="121">
        <v>0.0</v>
      </c>
      <c r="E162" s="126">
        <f t="shared" si="4"/>
        <v>0</v>
      </c>
      <c r="F162" s="122">
        <v>0.0</v>
      </c>
      <c r="G162" s="127">
        <f t="shared" si="2"/>
        <v>0</v>
      </c>
      <c r="H162" s="122">
        <v>0.0</v>
      </c>
      <c r="I162" s="128">
        <v>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0" t="s">
        <v>363</v>
      </c>
      <c r="B163" s="121">
        <v>5.0</v>
      </c>
      <c r="C163" s="122">
        <v>20.0</v>
      </c>
      <c r="D163" s="121">
        <v>0.0</v>
      </c>
      <c r="E163" s="126">
        <f t="shared" si="4"/>
        <v>0</v>
      </c>
      <c r="F163" s="122">
        <v>0.0</v>
      </c>
      <c r="G163" s="127">
        <f t="shared" si="2"/>
        <v>0</v>
      </c>
      <c r="H163" s="122">
        <v>0.0</v>
      </c>
      <c r="I163" s="128">
        <v>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0" t="s">
        <v>319</v>
      </c>
      <c r="B164" s="121">
        <v>3.0</v>
      </c>
      <c r="C164" s="122">
        <v>12.0</v>
      </c>
      <c r="D164" s="121">
        <v>0.0</v>
      </c>
      <c r="E164" s="126">
        <f t="shared" si="4"/>
        <v>0</v>
      </c>
      <c r="F164" s="122">
        <v>0.0</v>
      </c>
      <c r="G164" s="127">
        <f t="shared" si="2"/>
        <v>0</v>
      </c>
      <c r="H164" s="122">
        <v>0.0</v>
      </c>
      <c r="I164" s="128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0" t="s">
        <v>407</v>
      </c>
      <c r="B165" s="121">
        <v>1.0</v>
      </c>
      <c r="C165" s="122">
        <v>4.0</v>
      </c>
      <c r="D165" s="121">
        <v>0.0</v>
      </c>
      <c r="E165" s="126">
        <f t="shared" si="4"/>
        <v>0</v>
      </c>
      <c r="F165" s="122">
        <v>0.0</v>
      </c>
      <c r="G165" s="127">
        <f t="shared" si="2"/>
        <v>0</v>
      </c>
      <c r="H165" s="122">
        <v>0.0</v>
      </c>
      <c r="I165" s="128">
        <v>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0" t="s">
        <v>312</v>
      </c>
      <c r="B166" s="121">
        <v>5.0</v>
      </c>
      <c r="C166" s="122">
        <v>20.0</v>
      </c>
      <c r="D166" s="121">
        <v>2.0</v>
      </c>
      <c r="E166" s="126">
        <f t="shared" si="4"/>
        <v>0</v>
      </c>
      <c r="F166" s="122">
        <v>0.0</v>
      </c>
      <c r="G166" s="127">
        <f t="shared" si="2"/>
        <v>0</v>
      </c>
      <c r="H166" s="122">
        <v>0.0</v>
      </c>
      <c r="I166" s="128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0" t="s">
        <v>408</v>
      </c>
      <c r="B167" s="121">
        <v>4.0</v>
      </c>
      <c r="C167" s="122">
        <v>16.0</v>
      </c>
      <c r="D167" s="121">
        <v>0.0</v>
      </c>
      <c r="E167" s="126">
        <f t="shared" si="4"/>
        <v>0</v>
      </c>
      <c r="F167" s="122">
        <v>0.0</v>
      </c>
      <c r="G167" s="127">
        <f t="shared" si="2"/>
        <v>0</v>
      </c>
      <c r="H167" s="122">
        <v>0.0</v>
      </c>
      <c r="I167" s="128">
        <v>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0" t="s">
        <v>409</v>
      </c>
      <c r="B168" s="121">
        <v>1.0</v>
      </c>
      <c r="C168" s="122">
        <v>4.0</v>
      </c>
      <c r="D168" s="121">
        <v>0.0</v>
      </c>
      <c r="E168" s="126">
        <f t="shared" si="4"/>
        <v>0</v>
      </c>
      <c r="F168" s="122">
        <v>0.0</v>
      </c>
      <c r="G168" s="127">
        <f t="shared" si="2"/>
        <v>0</v>
      </c>
      <c r="H168" s="122">
        <v>0.0</v>
      </c>
      <c r="I168" s="128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0" t="s">
        <v>352</v>
      </c>
      <c r="B169" s="121">
        <v>1.0</v>
      </c>
      <c r="C169" s="122">
        <v>4.0</v>
      </c>
      <c r="D169" s="121">
        <v>0.0</v>
      </c>
      <c r="E169" s="126">
        <f t="shared" si="4"/>
        <v>0</v>
      </c>
      <c r="F169" s="122">
        <v>0.0</v>
      </c>
      <c r="G169" s="127">
        <f t="shared" si="2"/>
        <v>0</v>
      </c>
      <c r="H169" s="122">
        <v>0.0</v>
      </c>
      <c r="I169" s="128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0" t="s">
        <v>335</v>
      </c>
      <c r="B170" s="121">
        <v>5.0</v>
      </c>
      <c r="C170" s="122">
        <v>20.0</v>
      </c>
      <c r="D170" s="121">
        <v>0.0</v>
      </c>
      <c r="E170" s="126">
        <f t="shared" si="4"/>
        <v>0</v>
      </c>
      <c r="F170" s="122">
        <v>0.0</v>
      </c>
      <c r="G170" s="127">
        <f t="shared" si="2"/>
        <v>0</v>
      </c>
      <c r="H170" s="122">
        <v>0.0</v>
      </c>
      <c r="I170" s="128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0" t="s">
        <v>353</v>
      </c>
      <c r="B171" s="121">
        <v>5.0</v>
      </c>
      <c r="C171" s="122">
        <v>20.0</v>
      </c>
      <c r="D171" s="121">
        <v>0.0</v>
      </c>
      <c r="E171" s="126">
        <f t="shared" si="4"/>
        <v>0</v>
      </c>
      <c r="F171" s="122">
        <v>0.0</v>
      </c>
      <c r="G171" s="127">
        <f t="shared" si="2"/>
        <v>0</v>
      </c>
      <c r="H171" s="122">
        <v>0.0</v>
      </c>
      <c r="I171" s="128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0" t="s">
        <v>233</v>
      </c>
      <c r="B172" s="121">
        <v>5.0</v>
      </c>
      <c r="C172" s="122">
        <v>20.0</v>
      </c>
      <c r="D172" s="121">
        <v>1.0</v>
      </c>
      <c r="E172" s="126">
        <f t="shared" si="4"/>
        <v>0</v>
      </c>
      <c r="F172" s="122">
        <v>0.0</v>
      </c>
      <c r="G172" s="127">
        <f t="shared" si="2"/>
        <v>0</v>
      </c>
      <c r="H172" s="122">
        <v>0.0</v>
      </c>
      <c r="I172" s="128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0" t="s">
        <v>330</v>
      </c>
      <c r="B173" s="121">
        <v>5.0</v>
      </c>
      <c r="C173" s="122">
        <v>18.0</v>
      </c>
      <c r="D173" s="121">
        <v>1.0</v>
      </c>
      <c r="E173" s="126">
        <f t="shared" si="4"/>
        <v>0</v>
      </c>
      <c r="F173" s="122">
        <v>0.0</v>
      </c>
      <c r="G173" s="127">
        <f t="shared" si="2"/>
        <v>0</v>
      </c>
      <c r="H173" s="122">
        <v>0.0</v>
      </c>
      <c r="I173" s="128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0" t="s">
        <v>354</v>
      </c>
      <c r="B174" s="121">
        <v>2.0</v>
      </c>
      <c r="C174" s="122">
        <v>7.0</v>
      </c>
      <c r="D174" s="121">
        <v>0.0</v>
      </c>
      <c r="E174" s="126">
        <f t="shared" si="4"/>
        <v>0</v>
      </c>
      <c r="F174" s="122">
        <v>0.0</v>
      </c>
      <c r="G174" s="127">
        <f t="shared" si="2"/>
        <v>0</v>
      </c>
      <c r="H174" s="122">
        <v>0.0</v>
      </c>
      <c r="I174" s="128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0" t="s">
        <v>374</v>
      </c>
      <c r="B175" s="121">
        <v>3.0</v>
      </c>
      <c r="C175" s="122">
        <v>9.0</v>
      </c>
      <c r="D175" s="121">
        <v>0.0</v>
      </c>
      <c r="E175" s="126">
        <f t="shared" si="4"/>
        <v>0</v>
      </c>
      <c r="F175" s="122">
        <v>0.0</v>
      </c>
      <c r="G175" s="127">
        <f t="shared" si="2"/>
        <v>0</v>
      </c>
      <c r="H175" s="122">
        <v>0.0</v>
      </c>
      <c r="I175" s="128">
        <v>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0" t="s">
        <v>386</v>
      </c>
      <c r="B176" s="121">
        <v>1.0</v>
      </c>
      <c r="C176" s="122">
        <v>5.0</v>
      </c>
      <c r="D176" s="121">
        <v>0.0</v>
      </c>
      <c r="E176" s="126">
        <f t="shared" si="4"/>
        <v>0</v>
      </c>
      <c r="F176" s="122">
        <v>0.0</v>
      </c>
      <c r="G176" s="127">
        <f t="shared" si="2"/>
        <v>0</v>
      </c>
      <c r="H176" s="122">
        <v>0.0</v>
      </c>
      <c r="I176" s="128">
        <v>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0" t="s">
        <v>316</v>
      </c>
      <c r="B177" s="121">
        <v>5.0</v>
      </c>
      <c r="C177" s="122">
        <v>19.0</v>
      </c>
      <c r="D177" s="121">
        <v>0.0</v>
      </c>
      <c r="E177" s="126">
        <f t="shared" si="4"/>
        <v>0</v>
      </c>
      <c r="F177" s="122">
        <v>0.0</v>
      </c>
      <c r="G177" s="127">
        <f t="shared" si="2"/>
        <v>0</v>
      </c>
      <c r="H177" s="122">
        <v>0.0</v>
      </c>
      <c r="I177" s="128">
        <v>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0" t="s">
        <v>300</v>
      </c>
      <c r="B178" s="121">
        <v>5.0</v>
      </c>
      <c r="C178" s="122">
        <v>20.0</v>
      </c>
      <c r="D178" s="121">
        <v>0.0</v>
      </c>
      <c r="E178" s="126">
        <f t="shared" si="4"/>
        <v>0</v>
      </c>
      <c r="F178" s="122">
        <v>0.0</v>
      </c>
      <c r="G178" s="127">
        <f t="shared" si="2"/>
        <v>0</v>
      </c>
      <c r="H178" s="122">
        <v>0.0</v>
      </c>
      <c r="I178" s="128">
        <v>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0" t="s">
        <v>355</v>
      </c>
      <c r="B179" s="121">
        <v>4.0</v>
      </c>
      <c r="C179" s="122">
        <v>16.0</v>
      </c>
      <c r="D179" s="121">
        <v>0.0</v>
      </c>
      <c r="E179" s="126">
        <f t="shared" si="4"/>
        <v>0</v>
      </c>
      <c r="F179" s="122">
        <v>0.0</v>
      </c>
      <c r="G179" s="127">
        <f t="shared" si="2"/>
        <v>0</v>
      </c>
      <c r="H179" s="122">
        <v>0.0</v>
      </c>
      <c r="I179" s="128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0" t="s">
        <v>292</v>
      </c>
      <c r="B180" s="121">
        <v>4.0</v>
      </c>
      <c r="C180" s="122">
        <v>16.0</v>
      </c>
      <c r="D180" s="121">
        <v>0.0</v>
      </c>
      <c r="E180" s="126">
        <f t="shared" si="4"/>
        <v>0</v>
      </c>
      <c r="F180" s="122">
        <v>0.0</v>
      </c>
      <c r="G180" s="127">
        <f t="shared" si="2"/>
        <v>0</v>
      </c>
      <c r="H180" s="122">
        <v>0.0</v>
      </c>
      <c r="I180" s="128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0" t="s">
        <v>327</v>
      </c>
      <c r="B181" s="121">
        <v>3.0</v>
      </c>
      <c r="C181" s="122">
        <v>12.0</v>
      </c>
      <c r="D181" s="121">
        <v>0.0</v>
      </c>
      <c r="E181" s="126">
        <f t="shared" si="4"/>
        <v>0</v>
      </c>
      <c r="F181" s="122">
        <v>0.0</v>
      </c>
      <c r="G181" s="127">
        <f t="shared" si="2"/>
        <v>0</v>
      </c>
      <c r="H181" s="122">
        <v>0.0</v>
      </c>
      <c r="I181" s="128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0" t="s">
        <v>315</v>
      </c>
      <c r="B182" s="121">
        <v>5.0</v>
      </c>
      <c r="C182" s="122">
        <v>20.0</v>
      </c>
      <c r="D182" s="121">
        <v>0.0</v>
      </c>
      <c r="E182" s="126">
        <f t="shared" si="4"/>
        <v>0</v>
      </c>
      <c r="F182" s="122">
        <v>0.0</v>
      </c>
      <c r="G182" s="127">
        <f t="shared" si="2"/>
        <v>0</v>
      </c>
      <c r="H182" s="122">
        <v>0.0</v>
      </c>
      <c r="I182" s="128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0" t="s">
        <v>388</v>
      </c>
      <c r="B183" s="121">
        <v>5.0</v>
      </c>
      <c r="C183" s="122">
        <v>20.0</v>
      </c>
      <c r="D183" s="121">
        <v>0.0</v>
      </c>
      <c r="E183" s="126">
        <f t="shared" si="4"/>
        <v>0</v>
      </c>
      <c r="F183" s="122">
        <v>0.0</v>
      </c>
      <c r="G183" s="127">
        <f t="shared" si="2"/>
        <v>0</v>
      </c>
      <c r="H183" s="122">
        <v>0.0</v>
      </c>
      <c r="I183" s="128">
        <v>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0" t="s">
        <v>250</v>
      </c>
      <c r="B184" s="121">
        <v>5.0</v>
      </c>
      <c r="C184" s="122">
        <v>20.0</v>
      </c>
      <c r="D184" s="121">
        <v>0.0</v>
      </c>
      <c r="E184" s="126">
        <f t="shared" si="4"/>
        <v>0</v>
      </c>
      <c r="F184" s="122">
        <v>0.0</v>
      </c>
      <c r="G184" s="127">
        <f t="shared" si="2"/>
        <v>0</v>
      </c>
      <c r="H184" s="122">
        <v>0.0</v>
      </c>
      <c r="I184" s="128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0" t="s">
        <v>411</v>
      </c>
      <c r="B185" s="121">
        <v>1.0</v>
      </c>
      <c r="C185" s="122">
        <v>5.0</v>
      </c>
      <c r="D185" s="121">
        <v>0.0</v>
      </c>
      <c r="E185" s="126">
        <f t="shared" si="4"/>
        <v>0</v>
      </c>
      <c r="F185" s="122">
        <v>0.0</v>
      </c>
      <c r="G185" s="127">
        <f t="shared" si="2"/>
        <v>0</v>
      </c>
      <c r="H185" s="122">
        <v>0.0</v>
      </c>
      <c r="I185" s="128">
        <v>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0" t="s">
        <v>412</v>
      </c>
      <c r="B186" s="121">
        <v>1.0</v>
      </c>
      <c r="C186" s="122">
        <v>5.0</v>
      </c>
      <c r="D186" s="121">
        <v>0.0</v>
      </c>
      <c r="E186" s="126">
        <f t="shared" si="4"/>
        <v>0</v>
      </c>
      <c r="F186" s="122">
        <v>0.0</v>
      </c>
      <c r="G186" s="127">
        <f t="shared" si="2"/>
        <v>0</v>
      </c>
      <c r="H186" s="122">
        <v>0.0</v>
      </c>
      <c r="I186" s="128">
        <v>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0" t="s">
        <v>390</v>
      </c>
      <c r="B187" s="121">
        <v>2.0</v>
      </c>
      <c r="C187" s="122">
        <v>10.0</v>
      </c>
      <c r="D187" s="121">
        <v>0.0</v>
      </c>
      <c r="E187" s="126">
        <f t="shared" si="4"/>
        <v>0</v>
      </c>
      <c r="F187" s="122">
        <v>0.0</v>
      </c>
      <c r="G187" s="127">
        <f t="shared" si="2"/>
        <v>0</v>
      </c>
      <c r="H187" s="122">
        <v>0.0</v>
      </c>
      <c r="I187" s="128">
        <v>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0" t="s">
        <v>285</v>
      </c>
      <c r="B188" s="121">
        <v>5.0</v>
      </c>
      <c r="C188" s="122">
        <v>20.0</v>
      </c>
      <c r="D188" s="121">
        <v>1.0</v>
      </c>
      <c r="E188" s="126">
        <f t="shared" si="4"/>
        <v>0</v>
      </c>
      <c r="F188" s="122">
        <v>0.0</v>
      </c>
      <c r="G188" s="127">
        <f t="shared" si="2"/>
        <v>0</v>
      </c>
      <c r="H188" s="122">
        <v>0.0</v>
      </c>
      <c r="I188" s="128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0" t="s">
        <v>413</v>
      </c>
      <c r="B189" s="121">
        <v>1.0</v>
      </c>
      <c r="C189" s="122">
        <v>4.0</v>
      </c>
      <c r="D189" s="121">
        <v>0.0</v>
      </c>
      <c r="E189" s="126">
        <f t="shared" si="4"/>
        <v>0</v>
      </c>
      <c r="F189" s="122">
        <v>0.0</v>
      </c>
      <c r="G189" s="127">
        <f t="shared" si="2"/>
        <v>0</v>
      </c>
      <c r="H189" s="122">
        <v>0.0</v>
      </c>
      <c r="I189" s="128">
        <v>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0" t="s">
        <v>414</v>
      </c>
      <c r="B190" s="121">
        <v>3.0</v>
      </c>
      <c r="C190" s="122">
        <v>12.0</v>
      </c>
      <c r="D190" s="121">
        <v>0.0</v>
      </c>
      <c r="E190" s="126">
        <f t="shared" si="4"/>
        <v>0</v>
      </c>
      <c r="F190" s="122">
        <v>0.0</v>
      </c>
      <c r="G190" s="127">
        <f t="shared" si="2"/>
        <v>0</v>
      </c>
      <c r="H190" s="122">
        <v>0.0</v>
      </c>
      <c r="I190" s="128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0" t="s">
        <v>415</v>
      </c>
      <c r="B191" s="121">
        <v>4.0</v>
      </c>
      <c r="C191" s="122">
        <v>16.0</v>
      </c>
      <c r="D191" s="121">
        <v>0.0</v>
      </c>
      <c r="E191" s="126">
        <f t="shared" si="4"/>
        <v>0</v>
      </c>
      <c r="F191" s="122">
        <v>0.0</v>
      </c>
      <c r="G191" s="127">
        <f t="shared" si="2"/>
        <v>0</v>
      </c>
      <c r="H191" s="122">
        <v>0.0</v>
      </c>
      <c r="I191" s="128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0" t="s">
        <v>416</v>
      </c>
      <c r="B192" s="121">
        <v>1.0</v>
      </c>
      <c r="C192" s="122">
        <v>4.0</v>
      </c>
      <c r="D192" s="121">
        <v>0.0</v>
      </c>
      <c r="E192" s="126">
        <f t="shared" si="4"/>
        <v>0</v>
      </c>
      <c r="F192" s="122">
        <v>0.0</v>
      </c>
      <c r="G192" s="127">
        <f t="shared" si="2"/>
        <v>0</v>
      </c>
      <c r="H192" s="122">
        <v>0.0</v>
      </c>
      <c r="I192" s="128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0" t="s">
        <v>401</v>
      </c>
      <c r="B193" s="121">
        <v>4.0</v>
      </c>
      <c r="C193" s="122">
        <v>16.0</v>
      </c>
      <c r="D193" s="121">
        <v>0.0</v>
      </c>
      <c r="E193" s="126">
        <f t="shared" si="4"/>
        <v>0</v>
      </c>
      <c r="F193" s="122">
        <v>0.0</v>
      </c>
      <c r="G193" s="127">
        <f t="shared" si="2"/>
        <v>0</v>
      </c>
      <c r="H193" s="122">
        <v>0.0</v>
      </c>
      <c r="I193" s="128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0" t="s">
        <v>357</v>
      </c>
      <c r="B194" s="121">
        <v>2.0</v>
      </c>
      <c r="C194" s="122">
        <v>8.0</v>
      </c>
      <c r="D194" s="121">
        <v>0.0</v>
      </c>
      <c r="E194" s="126">
        <f t="shared" si="4"/>
        <v>0</v>
      </c>
      <c r="F194" s="122">
        <v>0.0</v>
      </c>
      <c r="G194" s="127">
        <f t="shared" si="2"/>
        <v>0</v>
      </c>
      <c r="H194" s="122">
        <v>0.0</v>
      </c>
      <c r="I194" s="128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0" t="s">
        <v>417</v>
      </c>
      <c r="B195" s="121">
        <v>1.0</v>
      </c>
      <c r="C195" s="122">
        <v>4.0</v>
      </c>
      <c r="D195" s="121">
        <v>0.0</v>
      </c>
      <c r="E195" s="126">
        <f t="shared" si="4"/>
        <v>0</v>
      </c>
      <c r="F195" s="122">
        <v>0.0</v>
      </c>
      <c r="G195" s="127">
        <f t="shared" si="2"/>
        <v>0</v>
      </c>
      <c r="H195" s="122">
        <v>0.0</v>
      </c>
      <c r="I195" s="128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0" t="s">
        <v>230</v>
      </c>
      <c r="B196" s="121">
        <v>5.0</v>
      </c>
      <c r="C196" s="122">
        <v>20.0</v>
      </c>
      <c r="D196" s="121">
        <v>0.0</v>
      </c>
      <c r="E196" s="126">
        <f t="shared" si="4"/>
        <v>0</v>
      </c>
      <c r="F196" s="122">
        <v>0.0</v>
      </c>
      <c r="G196" s="127">
        <f t="shared" si="2"/>
        <v>0</v>
      </c>
      <c r="H196" s="122">
        <v>0.0</v>
      </c>
      <c r="I196" s="128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0" t="s">
        <v>418</v>
      </c>
      <c r="B197" s="121">
        <v>3.0</v>
      </c>
      <c r="C197" s="122">
        <v>12.0</v>
      </c>
      <c r="D197" s="121">
        <v>0.0</v>
      </c>
      <c r="E197" s="126">
        <f t="shared" si="4"/>
        <v>0</v>
      </c>
      <c r="F197" s="122">
        <v>0.0</v>
      </c>
      <c r="G197" s="127">
        <f t="shared" si="2"/>
        <v>0</v>
      </c>
      <c r="H197" s="122">
        <v>0.0</v>
      </c>
      <c r="I197" s="128">
        <v>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0" t="s">
        <v>419</v>
      </c>
      <c r="B198" s="121">
        <v>1.0</v>
      </c>
      <c r="C198" s="122">
        <v>4.0</v>
      </c>
      <c r="D198" s="121">
        <v>0.0</v>
      </c>
      <c r="E198" s="126">
        <f t="shared" si="4"/>
        <v>0</v>
      </c>
      <c r="F198" s="122">
        <v>0.0</v>
      </c>
      <c r="G198" s="127">
        <f t="shared" si="2"/>
        <v>0</v>
      </c>
      <c r="H198" s="122">
        <v>0.0</v>
      </c>
      <c r="I198" s="128">
        <v>0.0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0" t="s">
        <v>420</v>
      </c>
      <c r="B199" s="121">
        <v>1.0</v>
      </c>
      <c r="C199" s="122">
        <v>4.0</v>
      </c>
      <c r="D199" s="121">
        <v>0.0</v>
      </c>
      <c r="E199" s="126">
        <f t="shared" si="4"/>
        <v>0</v>
      </c>
      <c r="F199" s="122">
        <v>0.0</v>
      </c>
      <c r="G199" s="127">
        <f t="shared" si="2"/>
        <v>0</v>
      </c>
      <c r="H199" s="122">
        <v>0.0</v>
      </c>
      <c r="I199" s="128">
        <v>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0" t="s">
        <v>272</v>
      </c>
      <c r="B200" s="121">
        <v>5.0</v>
      </c>
      <c r="C200" s="122">
        <v>20.0</v>
      </c>
      <c r="D200" s="121">
        <v>1.0</v>
      </c>
      <c r="E200" s="126">
        <f t="shared" si="4"/>
        <v>-4</v>
      </c>
      <c r="F200" s="122">
        <v>-0.8</v>
      </c>
      <c r="G200" s="127">
        <f t="shared" si="2"/>
        <v>1</v>
      </c>
      <c r="H200" s="122">
        <v>0.2</v>
      </c>
      <c r="I200" s="128">
        <v>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0" t="s">
        <v>345</v>
      </c>
      <c r="B201" s="121">
        <v>5.0</v>
      </c>
      <c r="C201" s="122">
        <v>20.0</v>
      </c>
      <c r="D201" s="121">
        <v>1.0</v>
      </c>
      <c r="E201" s="126">
        <f t="shared" si="4"/>
        <v>-4</v>
      </c>
      <c r="F201" s="122">
        <v>-0.8</v>
      </c>
      <c r="G201" s="127">
        <f t="shared" si="2"/>
        <v>1</v>
      </c>
      <c r="H201" s="122">
        <v>0.2</v>
      </c>
      <c r="I201" s="128">
        <v>0.0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0" t="s">
        <v>403</v>
      </c>
      <c r="B202" s="121">
        <v>5.0</v>
      </c>
      <c r="C202" s="122">
        <v>20.0</v>
      </c>
      <c r="D202" s="121">
        <v>2.0</v>
      </c>
      <c r="E202" s="126">
        <f t="shared" si="4"/>
        <v>-4</v>
      </c>
      <c r="F202" s="122">
        <v>-0.8</v>
      </c>
      <c r="G202" s="127">
        <f t="shared" si="2"/>
        <v>1</v>
      </c>
      <c r="H202" s="122">
        <v>0.2</v>
      </c>
      <c r="I202" s="128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0" t="s">
        <v>318</v>
      </c>
      <c r="B203" s="121">
        <v>5.0</v>
      </c>
      <c r="C203" s="122">
        <v>20.0</v>
      </c>
      <c r="D203" s="121">
        <v>1.0</v>
      </c>
      <c r="E203" s="126">
        <f t="shared" si="4"/>
        <v>-4</v>
      </c>
      <c r="F203" s="122">
        <v>-0.8</v>
      </c>
      <c r="G203" s="127">
        <f t="shared" si="2"/>
        <v>1</v>
      </c>
      <c r="H203" s="122">
        <v>0.2</v>
      </c>
      <c r="I203" s="128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0" t="s">
        <v>274</v>
      </c>
      <c r="B204" s="121">
        <v>5.0</v>
      </c>
      <c r="C204" s="122">
        <v>20.0</v>
      </c>
      <c r="D204" s="121">
        <v>2.0</v>
      </c>
      <c r="E204" s="126">
        <f t="shared" si="4"/>
        <v>-4</v>
      </c>
      <c r="F204" s="122">
        <v>-0.8</v>
      </c>
      <c r="G204" s="127">
        <f t="shared" si="2"/>
        <v>1</v>
      </c>
      <c r="H204" s="122">
        <v>0.2</v>
      </c>
      <c r="I204" s="128">
        <v>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0" t="s">
        <v>410</v>
      </c>
      <c r="B205" s="121">
        <v>1.0</v>
      </c>
      <c r="C205" s="122">
        <v>4.0</v>
      </c>
      <c r="D205" s="121">
        <v>1.0</v>
      </c>
      <c r="E205" s="126">
        <f t="shared" si="4"/>
        <v>-4</v>
      </c>
      <c r="F205" s="122">
        <v>-4.0</v>
      </c>
      <c r="G205" s="127">
        <f t="shared" si="2"/>
        <v>1</v>
      </c>
      <c r="H205" s="122">
        <v>1.0</v>
      </c>
      <c r="I205" s="128">
        <v>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20" t="s">
        <v>322</v>
      </c>
      <c r="B206" s="121">
        <v>5.0</v>
      </c>
      <c r="C206" s="122">
        <v>20.0</v>
      </c>
      <c r="D206" s="121">
        <v>4.0</v>
      </c>
      <c r="E206" s="126">
        <f t="shared" si="4"/>
        <v>-8</v>
      </c>
      <c r="F206" s="122">
        <v>-1.6</v>
      </c>
      <c r="G206" s="127">
        <f t="shared" si="2"/>
        <v>2</v>
      </c>
      <c r="H206" s="122">
        <v>0.4</v>
      </c>
      <c r="I206" s="128">
        <v>0.0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4"/>
      <c r="B207" s="4"/>
      <c r="C207" s="135"/>
      <c r="D207" s="4"/>
      <c r="E207" s="136"/>
      <c r="F207" s="135"/>
      <c r="G207" s="137"/>
      <c r="H207" s="135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4"/>
      <c r="B208" s="4"/>
      <c r="C208" s="135"/>
      <c r="D208" s="4"/>
      <c r="E208" s="136"/>
      <c r="F208" s="135"/>
      <c r="G208" s="137"/>
      <c r="H208" s="135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4"/>
      <c r="B209" s="4"/>
      <c r="C209" s="135"/>
      <c r="D209" s="4"/>
      <c r="E209" s="136"/>
      <c r="F209" s="135"/>
      <c r="G209" s="137"/>
      <c r="H209" s="135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4"/>
      <c r="B210" s="4"/>
      <c r="C210" s="135"/>
      <c r="D210" s="4"/>
      <c r="E210" s="136"/>
      <c r="F210" s="135"/>
      <c r="G210" s="137"/>
      <c r="H210" s="135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4"/>
      <c r="B211" s="4"/>
      <c r="C211" s="135"/>
      <c r="D211" s="4"/>
      <c r="E211" s="136"/>
      <c r="F211" s="135"/>
      <c r="G211" s="137"/>
      <c r="H211" s="135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4"/>
      <c r="B212" s="4"/>
      <c r="C212" s="135"/>
      <c r="D212" s="4"/>
      <c r="E212" s="136"/>
      <c r="F212" s="135"/>
      <c r="G212" s="137"/>
      <c r="H212" s="135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4"/>
      <c r="B213" s="4"/>
      <c r="C213" s="135"/>
      <c r="D213" s="4"/>
      <c r="E213" s="136"/>
      <c r="F213" s="135"/>
      <c r="G213" s="137"/>
      <c r="H213" s="135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4"/>
      <c r="B214" s="4"/>
      <c r="C214" s="135"/>
      <c r="D214" s="4"/>
      <c r="E214" s="136"/>
      <c r="F214" s="135"/>
      <c r="G214" s="137"/>
      <c r="H214" s="135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4"/>
      <c r="B215" s="4"/>
      <c r="C215" s="135"/>
      <c r="D215" s="4"/>
      <c r="E215" s="136"/>
      <c r="F215" s="135"/>
      <c r="G215" s="137"/>
      <c r="H215" s="135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4"/>
      <c r="B216" s="4"/>
      <c r="C216" s="135"/>
      <c r="D216" s="4"/>
      <c r="E216" s="136"/>
      <c r="F216" s="135"/>
      <c r="G216" s="137"/>
      <c r="H216" s="135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4"/>
      <c r="B217" s="4"/>
      <c r="C217" s="135"/>
      <c r="D217" s="4"/>
      <c r="E217" s="136"/>
      <c r="F217" s="135"/>
      <c r="G217" s="137"/>
      <c r="H217" s="135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4"/>
      <c r="B218" s="4"/>
      <c r="C218" s="135"/>
      <c r="D218" s="4"/>
      <c r="E218" s="136"/>
      <c r="F218" s="135"/>
      <c r="G218" s="137"/>
      <c r="H218" s="135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4"/>
      <c r="B219" s="4"/>
      <c r="C219" s="135"/>
      <c r="D219" s="4"/>
      <c r="E219" s="136"/>
      <c r="F219" s="135"/>
      <c r="G219" s="137"/>
      <c r="H219" s="135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4"/>
      <c r="B220" s="4"/>
      <c r="C220" s="135"/>
      <c r="D220" s="4"/>
      <c r="E220" s="136"/>
      <c r="F220" s="135"/>
      <c r="G220" s="137"/>
      <c r="H220" s="135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4"/>
      <c r="B221" s="4"/>
      <c r="C221" s="135"/>
      <c r="D221" s="4"/>
      <c r="E221" s="136"/>
      <c r="F221" s="135"/>
      <c r="G221" s="137"/>
      <c r="H221" s="135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4"/>
      <c r="B222" s="4"/>
      <c r="C222" s="135"/>
      <c r="D222" s="4"/>
      <c r="E222" s="136"/>
      <c r="F222" s="135"/>
      <c r="G222" s="137"/>
      <c r="H222" s="135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4"/>
      <c r="B223" s="4"/>
      <c r="C223" s="135"/>
      <c r="D223" s="4"/>
      <c r="E223" s="136"/>
      <c r="F223" s="135"/>
      <c r="G223" s="137"/>
      <c r="H223" s="135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4"/>
      <c r="B224" s="4"/>
      <c r="C224" s="135"/>
      <c r="D224" s="4"/>
      <c r="E224" s="136"/>
      <c r="F224" s="135"/>
      <c r="G224" s="137"/>
      <c r="H224" s="135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4"/>
      <c r="B225" s="4"/>
      <c r="C225" s="135"/>
      <c r="D225" s="4"/>
      <c r="E225" s="136"/>
      <c r="F225" s="135"/>
      <c r="G225" s="137"/>
      <c r="H225" s="135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4"/>
      <c r="B226" s="4"/>
      <c r="C226" s="135"/>
      <c r="D226" s="4"/>
      <c r="E226" s="136"/>
      <c r="F226" s="135"/>
      <c r="G226" s="137"/>
      <c r="H226" s="135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4"/>
      <c r="B227" s="4"/>
      <c r="C227" s="135"/>
      <c r="D227" s="4"/>
      <c r="E227" s="136"/>
      <c r="F227" s="135"/>
      <c r="G227" s="137"/>
      <c r="H227" s="135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4"/>
      <c r="B228" s="4"/>
      <c r="C228" s="135"/>
      <c r="D228" s="4"/>
      <c r="E228" s="136"/>
      <c r="F228" s="135"/>
      <c r="G228" s="137"/>
      <c r="H228" s="135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4"/>
      <c r="B229" s="4"/>
      <c r="C229" s="135"/>
      <c r="D229" s="4"/>
      <c r="E229" s="136"/>
      <c r="F229" s="135"/>
      <c r="G229" s="137"/>
      <c r="H229" s="135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4"/>
      <c r="B230" s="4"/>
      <c r="C230" s="135"/>
      <c r="D230" s="4"/>
      <c r="E230" s="136"/>
      <c r="F230" s="135"/>
      <c r="G230" s="137"/>
      <c r="H230" s="13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4"/>
      <c r="B231" s="4"/>
      <c r="C231" s="135"/>
      <c r="D231" s="4"/>
      <c r="E231" s="136"/>
      <c r="F231" s="135"/>
      <c r="G231" s="137"/>
      <c r="H231" s="13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4"/>
      <c r="B232" s="4"/>
      <c r="C232" s="135"/>
      <c r="D232" s="4"/>
      <c r="E232" s="136"/>
      <c r="F232" s="135"/>
      <c r="G232" s="137"/>
      <c r="H232" s="13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4"/>
      <c r="B233" s="4"/>
      <c r="C233" s="135"/>
      <c r="D233" s="4"/>
      <c r="E233" s="136"/>
      <c r="F233" s="135"/>
      <c r="G233" s="137"/>
      <c r="H233" s="13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4"/>
      <c r="B234" s="4"/>
      <c r="C234" s="135"/>
      <c r="D234" s="4"/>
      <c r="E234" s="136"/>
      <c r="F234" s="135"/>
      <c r="G234" s="137"/>
      <c r="H234" s="13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4"/>
      <c r="B235" s="4"/>
      <c r="C235" s="135"/>
      <c r="D235" s="4"/>
      <c r="E235" s="136"/>
      <c r="F235" s="135"/>
      <c r="G235" s="137"/>
      <c r="H235" s="13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4"/>
      <c r="B236" s="4"/>
      <c r="C236" s="135"/>
      <c r="D236" s="4"/>
      <c r="E236" s="136"/>
      <c r="F236" s="135"/>
      <c r="G236" s="137"/>
      <c r="H236" s="13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4"/>
      <c r="B237" s="4"/>
      <c r="C237" s="135"/>
      <c r="D237" s="4"/>
      <c r="E237" s="136"/>
      <c r="F237" s="135"/>
      <c r="G237" s="137"/>
      <c r="H237" s="13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4"/>
      <c r="B238" s="4"/>
      <c r="C238" s="135"/>
      <c r="D238" s="4"/>
      <c r="E238" s="136"/>
      <c r="F238" s="135"/>
      <c r="G238" s="137"/>
      <c r="H238" s="13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4"/>
      <c r="B239" s="4"/>
      <c r="C239" s="135"/>
      <c r="D239" s="4"/>
      <c r="E239" s="136"/>
      <c r="F239" s="135"/>
      <c r="G239" s="137"/>
      <c r="H239" s="13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4"/>
      <c r="B240" s="4"/>
      <c r="C240" s="135"/>
      <c r="D240" s="4"/>
      <c r="E240" s="136"/>
      <c r="F240" s="135"/>
      <c r="G240" s="137"/>
      <c r="H240" s="13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4"/>
      <c r="B241" s="4"/>
      <c r="C241" s="135"/>
      <c r="D241" s="4"/>
      <c r="E241" s="136"/>
      <c r="F241" s="135"/>
      <c r="G241" s="137"/>
      <c r="H241" s="13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4"/>
      <c r="B242" s="4"/>
      <c r="C242" s="135"/>
      <c r="D242" s="4"/>
      <c r="E242" s="136"/>
      <c r="F242" s="135"/>
      <c r="G242" s="137"/>
      <c r="H242" s="13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4"/>
      <c r="B243" s="4"/>
      <c r="C243" s="135"/>
      <c r="D243" s="4"/>
      <c r="E243" s="136"/>
      <c r="F243" s="135"/>
      <c r="G243" s="137"/>
      <c r="H243" s="13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4"/>
      <c r="B244" s="4"/>
      <c r="C244" s="135"/>
      <c r="D244" s="4"/>
      <c r="E244" s="136"/>
      <c r="F244" s="135"/>
      <c r="G244" s="137"/>
      <c r="H244" s="13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4"/>
      <c r="B245" s="4"/>
      <c r="C245" s="135"/>
      <c r="D245" s="4"/>
      <c r="E245" s="136"/>
      <c r="F245" s="135"/>
      <c r="G245" s="137"/>
      <c r="H245" s="13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4"/>
      <c r="B246" s="4"/>
      <c r="C246" s="135"/>
      <c r="D246" s="4"/>
      <c r="E246" s="136"/>
      <c r="F246" s="135"/>
      <c r="G246" s="137"/>
      <c r="H246" s="13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4"/>
      <c r="B247" s="4"/>
      <c r="C247" s="135"/>
      <c r="D247" s="4"/>
      <c r="E247" s="136"/>
      <c r="F247" s="135"/>
      <c r="G247" s="137"/>
      <c r="H247" s="13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4"/>
      <c r="B248" s="4"/>
      <c r="C248" s="135"/>
      <c r="D248" s="4"/>
      <c r="E248" s="136"/>
      <c r="F248" s="135"/>
      <c r="G248" s="137"/>
      <c r="H248" s="13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4"/>
      <c r="B249" s="4"/>
      <c r="C249" s="135"/>
      <c r="D249" s="4"/>
      <c r="E249" s="136"/>
      <c r="F249" s="135"/>
      <c r="G249" s="137"/>
      <c r="H249" s="13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4"/>
      <c r="B250" s="4"/>
      <c r="C250" s="135"/>
      <c r="D250" s="4"/>
      <c r="E250" s="136"/>
      <c r="F250" s="135"/>
      <c r="G250" s="137"/>
      <c r="H250" s="13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4"/>
      <c r="B251" s="4"/>
      <c r="C251" s="135"/>
      <c r="D251" s="4"/>
      <c r="E251" s="136"/>
      <c r="F251" s="135"/>
      <c r="G251" s="137"/>
      <c r="H251" s="13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4"/>
      <c r="B252" s="4"/>
      <c r="C252" s="135"/>
      <c r="D252" s="4"/>
      <c r="E252" s="136"/>
      <c r="F252" s="135"/>
      <c r="G252" s="137"/>
      <c r="H252" s="13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4"/>
      <c r="B253" s="4"/>
      <c r="C253" s="135"/>
      <c r="D253" s="4"/>
      <c r="E253" s="136"/>
      <c r="F253" s="135"/>
      <c r="G253" s="137"/>
      <c r="H253" s="13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4"/>
      <c r="B254" s="4"/>
      <c r="C254" s="135"/>
      <c r="D254" s="4"/>
      <c r="E254" s="136"/>
      <c r="F254" s="135"/>
      <c r="G254" s="137"/>
      <c r="H254" s="13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4"/>
      <c r="B255" s="4"/>
      <c r="C255" s="135"/>
      <c r="D255" s="4"/>
      <c r="E255" s="136"/>
      <c r="F255" s="135"/>
      <c r="G255" s="137"/>
      <c r="H255" s="13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4"/>
      <c r="B256" s="4"/>
      <c r="C256" s="135"/>
      <c r="D256" s="4"/>
      <c r="E256" s="136"/>
      <c r="F256" s="135"/>
      <c r="G256" s="137"/>
      <c r="H256" s="13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4"/>
      <c r="B257" s="4"/>
      <c r="C257" s="135"/>
      <c r="D257" s="4"/>
      <c r="E257" s="136"/>
      <c r="F257" s="135"/>
      <c r="G257" s="137"/>
      <c r="H257" s="13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4"/>
      <c r="B258" s="4"/>
      <c r="C258" s="135"/>
      <c r="D258" s="4"/>
      <c r="E258" s="136"/>
      <c r="F258" s="135"/>
      <c r="G258" s="137"/>
      <c r="H258" s="13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4"/>
      <c r="B259" s="4"/>
      <c r="C259" s="135"/>
      <c r="D259" s="4"/>
      <c r="E259" s="136"/>
      <c r="F259" s="135"/>
      <c r="G259" s="137"/>
      <c r="H259" s="13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4"/>
      <c r="B260" s="4"/>
      <c r="C260" s="135"/>
      <c r="D260" s="4"/>
      <c r="E260" s="136"/>
      <c r="F260" s="135"/>
      <c r="G260" s="137"/>
      <c r="H260" s="13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4"/>
      <c r="B261" s="4"/>
      <c r="C261" s="135"/>
      <c r="D261" s="4"/>
      <c r="E261" s="136"/>
      <c r="F261" s="135"/>
      <c r="G261" s="137"/>
      <c r="H261" s="13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4"/>
      <c r="B262" s="4"/>
      <c r="C262" s="135"/>
      <c r="D262" s="4"/>
      <c r="E262" s="136"/>
      <c r="F262" s="135"/>
      <c r="G262" s="137"/>
      <c r="H262" s="13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4"/>
      <c r="B263" s="4"/>
      <c r="C263" s="135"/>
      <c r="D263" s="4"/>
      <c r="E263" s="136"/>
      <c r="F263" s="135"/>
      <c r="G263" s="137"/>
      <c r="H263" s="13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4"/>
      <c r="B264" s="4"/>
      <c r="C264" s="135"/>
      <c r="D264" s="4"/>
      <c r="E264" s="136"/>
      <c r="F264" s="135"/>
      <c r="G264" s="137"/>
      <c r="H264" s="13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4"/>
      <c r="B265" s="4"/>
      <c r="C265" s="135"/>
      <c r="D265" s="4"/>
      <c r="E265" s="136"/>
      <c r="F265" s="135"/>
      <c r="G265" s="137"/>
      <c r="H265" s="13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4"/>
      <c r="B266" s="4"/>
      <c r="C266" s="135"/>
      <c r="D266" s="4"/>
      <c r="E266" s="136"/>
      <c r="F266" s="135"/>
      <c r="G266" s="137"/>
      <c r="H266" s="13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4"/>
      <c r="B267" s="4"/>
      <c r="C267" s="135"/>
      <c r="D267" s="4"/>
      <c r="E267" s="136"/>
      <c r="F267" s="135"/>
      <c r="G267" s="137"/>
      <c r="H267" s="13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4"/>
      <c r="B268" s="4"/>
      <c r="C268" s="135"/>
      <c r="D268" s="4"/>
      <c r="E268" s="136"/>
      <c r="F268" s="135"/>
      <c r="G268" s="137"/>
      <c r="H268" s="13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4"/>
      <c r="B269" s="4"/>
      <c r="C269" s="135"/>
      <c r="D269" s="4"/>
      <c r="E269" s="136"/>
      <c r="F269" s="135"/>
      <c r="G269" s="137"/>
      <c r="H269" s="13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4"/>
      <c r="B270" s="4"/>
      <c r="C270" s="135"/>
      <c r="D270" s="4"/>
      <c r="E270" s="136"/>
      <c r="F270" s="135"/>
      <c r="G270" s="137"/>
      <c r="H270" s="13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4"/>
      <c r="B271" s="4"/>
      <c r="C271" s="135"/>
      <c r="D271" s="4"/>
      <c r="E271" s="136"/>
      <c r="F271" s="135"/>
      <c r="G271" s="137"/>
      <c r="H271" s="13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4"/>
      <c r="B272" s="4"/>
      <c r="C272" s="135"/>
      <c r="D272" s="4"/>
      <c r="E272" s="136"/>
      <c r="F272" s="135"/>
      <c r="G272" s="137"/>
      <c r="H272" s="13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4"/>
      <c r="B273" s="4"/>
      <c r="C273" s="135"/>
      <c r="D273" s="4"/>
      <c r="E273" s="136"/>
      <c r="F273" s="135"/>
      <c r="G273" s="137"/>
      <c r="H273" s="13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4"/>
      <c r="B274" s="4"/>
      <c r="C274" s="135"/>
      <c r="D274" s="4"/>
      <c r="E274" s="136"/>
      <c r="F274" s="135"/>
      <c r="G274" s="137"/>
      <c r="H274" s="13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4"/>
      <c r="B275" s="4"/>
      <c r="C275" s="135"/>
      <c r="D275" s="4"/>
      <c r="E275" s="136"/>
      <c r="F275" s="135"/>
      <c r="G275" s="137"/>
      <c r="H275" s="13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4"/>
      <c r="B276" s="4"/>
      <c r="C276" s="135"/>
      <c r="D276" s="4"/>
      <c r="E276" s="136"/>
      <c r="F276" s="135"/>
      <c r="G276" s="137"/>
      <c r="H276" s="13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4"/>
      <c r="B277" s="4"/>
      <c r="C277" s="135"/>
      <c r="D277" s="4"/>
      <c r="E277" s="136"/>
      <c r="F277" s="135"/>
      <c r="G277" s="137"/>
      <c r="H277" s="13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4"/>
      <c r="B278" s="4"/>
      <c r="C278" s="135"/>
      <c r="D278" s="4"/>
      <c r="E278" s="136"/>
      <c r="F278" s="135"/>
      <c r="G278" s="137"/>
      <c r="H278" s="13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4"/>
      <c r="B279" s="4"/>
      <c r="C279" s="135"/>
      <c r="D279" s="4"/>
      <c r="E279" s="136"/>
      <c r="F279" s="135"/>
      <c r="G279" s="137"/>
      <c r="H279" s="13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4"/>
      <c r="B280" s="4"/>
      <c r="C280" s="135"/>
      <c r="D280" s="4"/>
      <c r="E280" s="136"/>
      <c r="F280" s="135"/>
      <c r="G280" s="137"/>
      <c r="H280" s="13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4"/>
      <c r="B281" s="4"/>
      <c r="C281" s="135"/>
      <c r="D281" s="4"/>
      <c r="E281" s="136"/>
      <c r="F281" s="135"/>
      <c r="G281" s="137"/>
      <c r="H281" s="13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4"/>
      <c r="B282" s="4"/>
      <c r="C282" s="135"/>
      <c r="D282" s="4"/>
      <c r="E282" s="136"/>
      <c r="F282" s="135"/>
      <c r="G282" s="137"/>
      <c r="H282" s="13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4"/>
      <c r="B283" s="4"/>
      <c r="C283" s="135"/>
      <c r="D283" s="4"/>
      <c r="E283" s="136"/>
      <c r="F283" s="135"/>
      <c r="G283" s="137"/>
      <c r="H283" s="13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4"/>
      <c r="B284" s="4"/>
      <c r="C284" s="135"/>
      <c r="D284" s="4"/>
      <c r="E284" s="136"/>
      <c r="F284" s="135"/>
      <c r="G284" s="137"/>
      <c r="H284" s="13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4"/>
      <c r="B285" s="4"/>
      <c r="C285" s="135"/>
      <c r="D285" s="4"/>
      <c r="E285" s="136"/>
      <c r="F285" s="135"/>
      <c r="G285" s="137"/>
      <c r="H285" s="13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4"/>
      <c r="B286" s="4"/>
      <c r="C286" s="135"/>
      <c r="D286" s="4"/>
      <c r="E286" s="136"/>
      <c r="F286" s="135"/>
      <c r="G286" s="137"/>
      <c r="H286" s="13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4"/>
      <c r="B287" s="4"/>
      <c r="C287" s="135"/>
      <c r="D287" s="4"/>
      <c r="E287" s="136"/>
      <c r="F287" s="135"/>
      <c r="G287" s="137"/>
      <c r="H287" s="13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4"/>
      <c r="B288" s="4"/>
      <c r="C288" s="135"/>
      <c r="D288" s="4"/>
      <c r="E288" s="136"/>
      <c r="F288" s="135"/>
      <c r="G288" s="137"/>
      <c r="H288" s="13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4"/>
      <c r="B289" s="4"/>
      <c r="C289" s="135"/>
      <c r="D289" s="4"/>
      <c r="E289" s="136"/>
      <c r="F289" s="135"/>
      <c r="G289" s="137"/>
      <c r="H289" s="13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4"/>
      <c r="B290" s="4"/>
      <c r="C290" s="135"/>
      <c r="D290" s="4"/>
      <c r="E290" s="136"/>
      <c r="F290" s="135"/>
      <c r="G290" s="137"/>
      <c r="H290" s="13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4"/>
      <c r="B291" s="4"/>
      <c r="C291" s="135"/>
      <c r="D291" s="4"/>
      <c r="E291" s="136"/>
      <c r="F291" s="135"/>
      <c r="G291" s="137"/>
      <c r="H291" s="13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4"/>
      <c r="B292" s="4"/>
      <c r="C292" s="135"/>
      <c r="D292" s="4"/>
      <c r="E292" s="136"/>
      <c r="F292" s="135"/>
      <c r="G292" s="137"/>
      <c r="H292" s="13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4"/>
      <c r="B293" s="4"/>
      <c r="C293" s="135"/>
      <c r="D293" s="4"/>
      <c r="E293" s="136"/>
      <c r="F293" s="135"/>
      <c r="G293" s="137"/>
      <c r="H293" s="13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4"/>
      <c r="B294" s="4"/>
      <c r="C294" s="135"/>
      <c r="D294" s="4"/>
      <c r="E294" s="136"/>
      <c r="F294" s="135"/>
      <c r="G294" s="137"/>
      <c r="H294" s="13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4"/>
      <c r="B295" s="4"/>
      <c r="C295" s="135"/>
      <c r="D295" s="4"/>
      <c r="E295" s="136"/>
      <c r="F295" s="135"/>
      <c r="G295" s="137"/>
      <c r="H295" s="13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4"/>
      <c r="B296" s="4"/>
      <c r="C296" s="135"/>
      <c r="D296" s="4"/>
      <c r="E296" s="136"/>
      <c r="F296" s="135"/>
      <c r="G296" s="137"/>
      <c r="H296" s="13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4"/>
      <c r="B297" s="4"/>
      <c r="C297" s="135"/>
      <c r="D297" s="4"/>
      <c r="E297" s="136"/>
      <c r="F297" s="135"/>
      <c r="G297" s="137"/>
      <c r="H297" s="13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4"/>
      <c r="B298" s="4"/>
      <c r="C298" s="135"/>
      <c r="D298" s="4"/>
      <c r="E298" s="136"/>
      <c r="F298" s="135"/>
      <c r="G298" s="137"/>
      <c r="H298" s="13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4"/>
      <c r="B299" s="4"/>
      <c r="C299" s="135"/>
      <c r="D299" s="4"/>
      <c r="E299" s="136"/>
      <c r="F299" s="135"/>
      <c r="G299" s="137"/>
      <c r="H299" s="13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4"/>
      <c r="B300" s="4"/>
      <c r="C300" s="135"/>
      <c r="D300" s="4"/>
      <c r="E300" s="136"/>
      <c r="F300" s="135"/>
      <c r="G300" s="137"/>
      <c r="H300" s="13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4"/>
      <c r="B301" s="4"/>
      <c r="C301" s="135"/>
      <c r="D301" s="4"/>
      <c r="E301" s="136"/>
      <c r="F301" s="135"/>
      <c r="G301" s="137"/>
      <c r="H301" s="13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4"/>
      <c r="B302" s="4"/>
      <c r="C302" s="135"/>
      <c r="D302" s="4"/>
      <c r="E302" s="136"/>
      <c r="F302" s="135"/>
      <c r="G302" s="137"/>
      <c r="H302" s="13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4"/>
      <c r="B303" s="4"/>
      <c r="C303" s="135"/>
      <c r="D303" s="4"/>
      <c r="E303" s="136"/>
      <c r="F303" s="135"/>
      <c r="G303" s="137"/>
      <c r="H303" s="13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4"/>
      <c r="B304" s="4"/>
      <c r="C304" s="135"/>
      <c r="D304" s="4"/>
      <c r="E304" s="136"/>
      <c r="F304" s="135"/>
      <c r="G304" s="137"/>
      <c r="H304" s="13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4"/>
      <c r="B305" s="4"/>
      <c r="C305" s="135"/>
      <c r="D305" s="4"/>
      <c r="E305" s="136"/>
      <c r="F305" s="135"/>
      <c r="G305" s="137"/>
      <c r="H305" s="13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4"/>
      <c r="B306" s="4"/>
      <c r="C306" s="135"/>
      <c r="D306" s="4"/>
      <c r="E306" s="136"/>
      <c r="F306" s="135"/>
      <c r="G306" s="137"/>
      <c r="H306" s="13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4"/>
      <c r="B307" s="4"/>
      <c r="C307" s="135"/>
      <c r="D307" s="4"/>
      <c r="E307" s="136"/>
      <c r="F307" s="135"/>
      <c r="G307" s="137"/>
      <c r="H307" s="13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4"/>
      <c r="B308" s="4"/>
      <c r="C308" s="135"/>
      <c r="D308" s="4"/>
      <c r="E308" s="136"/>
      <c r="F308" s="135"/>
      <c r="G308" s="137"/>
      <c r="H308" s="13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4"/>
      <c r="B309" s="4"/>
      <c r="C309" s="135"/>
      <c r="D309" s="4"/>
      <c r="E309" s="136"/>
      <c r="F309" s="135"/>
      <c r="G309" s="137"/>
      <c r="H309" s="13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4"/>
      <c r="B310" s="4"/>
      <c r="C310" s="135"/>
      <c r="D310" s="4"/>
      <c r="E310" s="136"/>
      <c r="F310" s="135"/>
      <c r="G310" s="137"/>
      <c r="H310" s="13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4"/>
      <c r="B311" s="4"/>
      <c r="C311" s="135"/>
      <c r="D311" s="4"/>
      <c r="E311" s="136"/>
      <c r="F311" s="135"/>
      <c r="G311" s="137"/>
      <c r="H311" s="13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4"/>
      <c r="B312" s="4"/>
      <c r="C312" s="135"/>
      <c r="D312" s="4"/>
      <c r="E312" s="136"/>
      <c r="F312" s="135"/>
      <c r="G312" s="137"/>
      <c r="H312" s="13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4"/>
      <c r="B313" s="4"/>
      <c r="C313" s="135"/>
      <c r="D313" s="4"/>
      <c r="E313" s="136"/>
      <c r="F313" s="135"/>
      <c r="G313" s="137"/>
      <c r="H313" s="13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4"/>
      <c r="B314" s="4"/>
      <c r="C314" s="135"/>
      <c r="D314" s="4"/>
      <c r="E314" s="136"/>
      <c r="F314" s="135"/>
      <c r="G314" s="137"/>
      <c r="H314" s="13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4"/>
      <c r="B315" s="4"/>
      <c r="C315" s="135"/>
      <c r="D315" s="4"/>
      <c r="E315" s="136"/>
      <c r="F315" s="135"/>
      <c r="G315" s="137"/>
      <c r="H315" s="13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4"/>
      <c r="B316" s="4"/>
      <c r="C316" s="135"/>
      <c r="D316" s="4"/>
      <c r="E316" s="136"/>
      <c r="F316" s="135"/>
      <c r="G316" s="137"/>
      <c r="H316" s="13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4"/>
      <c r="B317" s="4"/>
      <c r="C317" s="135"/>
      <c r="D317" s="4"/>
      <c r="E317" s="136"/>
      <c r="F317" s="135"/>
      <c r="G317" s="137"/>
      <c r="H317" s="13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4"/>
      <c r="B318" s="4"/>
      <c r="C318" s="135"/>
      <c r="D318" s="4"/>
      <c r="E318" s="136"/>
      <c r="F318" s="135"/>
      <c r="G318" s="137"/>
      <c r="H318" s="13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4"/>
      <c r="B319" s="4"/>
      <c r="C319" s="135"/>
      <c r="D319" s="4"/>
      <c r="E319" s="136"/>
      <c r="F319" s="135"/>
      <c r="G319" s="137"/>
      <c r="H319" s="13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4"/>
      <c r="B320" s="4"/>
      <c r="C320" s="135"/>
      <c r="D320" s="4"/>
      <c r="E320" s="136"/>
      <c r="F320" s="135"/>
      <c r="G320" s="137"/>
      <c r="H320" s="13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4"/>
      <c r="B321" s="4"/>
      <c r="C321" s="135"/>
      <c r="D321" s="4"/>
      <c r="E321" s="136"/>
      <c r="F321" s="135"/>
      <c r="G321" s="137"/>
      <c r="H321" s="13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4"/>
      <c r="B322" s="4"/>
      <c r="C322" s="135"/>
      <c r="D322" s="4"/>
      <c r="E322" s="136"/>
      <c r="F322" s="135"/>
      <c r="G322" s="137"/>
      <c r="H322" s="13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4"/>
      <c r="B323" s="4"/>
      <c r="C323" s="135"/>
      <c r="D323" s="4"/>
      <c r="E323" s="136"/>
      <c r="F323" s="135"/>
      <c r="G323" s="137"/>
      <c r="H323" s="13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4"/>
      <c r="B324" s="4"/>
      <c r="C324" s="135"/>
      <c r="D324" s="4"/>
      <c r="E324" s="136"/>
      <c r="F324" s="135"/>
      <c r="G324" s="137"/>
      <c r="H324" s="13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4"/>
      <c r="B325" s="4"/>
      <c r="C325" s="135"/>
      <c r="D325" s="4"/>
      <c r="E325" s="136"/>
      <c r="F325" s="135"/>
      <c r="G325" s="137"/>
      <c r="H325" s="13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4"/>
      <c r="B326" s="4"/>
      <c r="C326" s="135"/>
      <c r="D326" s="4"/>
      <c r="E326" s="136"/>
      <c r="F326" s="135"/>
      <c r="G326" s="137"/>
      <c r="H326" s="13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4"/>
      <c r="B327" s="4"/>
      <c r="C327" s="135"/>
      <c r="D327" s="4"/>
      <c r="E327" s="136"/>
      <c r="F327" s="135"/>
      <c r="G327" s="137"/>
      <c r="H327" s="13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4"/>
      <c r="B328" s="4"/>
      <c r="C328" s="135"/>
      <c r="D328" s="4"/>
      <c r="E328" s="136"/>
      <c r="F328" s="135"/>
      <c r="G328" s="137"/>
      <c r="H328" s="13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4"/>
      <c r="B329" s="4"/>
      <c r="C329" s="135"/>
      <c r="D329" s="4"/>
      <c r="E329" s="136"/>
      <c r="F329" s="135"/>
      <c r="G329" s="137"/>
      <c r="H329" s="13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4"/>
      <c r="B330" s="4"/>
      <c r="C330" s="135"/>
      <c r="D330" s="4"/>
      <c r="E330" s="136"/>
      <c r="F330" s="135"/>
      <c r="G330" s="137"/>
      <c r="H330" s="13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4"/>
      <c r="B331" s="4"/>
      <c r="C331" s="135"/>
      <c r="D331" s="4"/>
      <c r="E331" s="136"/>
      <c r="F331" s="135"/>
      <c r="G331" s="137"/>
      <c r="H331" s="13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4"/>
      <c r="B332" s="4"/>
      <c r="C332" s="135"/>
      <c r="D332" s="4"/>
      <c r="E332" s="136"/>
      <c r="F332" s="135"/>
      <c r="G332" s="137"/>
      <c r="H332" s="13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4"/>
      <c r="B333" s="4"/>
      <c r="C333" s="135"/>
      <c r="D333" s="4"/>
      <c r="E333" s="136"/>
      <c r="F333" s="135"/>
      <c r="G333" s="137"/>
      <c r="H333" s="13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4"/>
      <c r="B334" s="4"/>
      <c r="C334" s="135"/>
      <c r="D334" s="4"/>
      <c r="E334" s="136"/>
      <c r="F334" s="135"/>
      <c r="G334" s="137"/>
      <c r="H334" s="13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4"/>
      <c r="B335" s="4"/>
      <c r="C335" s="135"/>
      <c r="D335" s="4"/>
      <c r="E335" s="136"/>
      <c r="F335" s="135"/>
      <c r="G335" s="137"/>
      <c r="H335" s="13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4"/>
      <c r="B336" s="4"/>
      <c r="C336" s="135"/>
      <c r="D336" s="4"/>
      <c r="E336" s="136"/>
      <c r="F336" s="135"/>
      <c r="G336" s="137"/>
      <c r="H336" s="13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4"/>
      <c r="B337" s="4"/>
      <c r="C337" s="135"/>
      <c r="D337" s="4"/>
      <c r="E337" s="136"/>
      <c r="F337" s="135"/>
      <c r="G337" s="137"/>
      <c r="H337" s="13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4"/>
      <c r="B338" s="4"/>
      <c r="C338" s="135"/>
      <c r="D338" s="4"/>
      <c r="E338" s="136"/>
      <c r="F338" s="135"/>
      <c r="G338" s="137"/>
      <c r="H338" s="13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4"/>
      <c r="B339" s="4"/>
      <c r="C339" s="135"/>
      <c r="D339" s="4"/>
      <c r="E339" s="136"/>
      <c r="F339" s="135"/>
      <c r="G339" s="137"/>
      <c r="H339" s="13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4"/>
      <c r="B340" s="4"/>
      <c r="C340" s="135"/>
      <c r="D340" s="4"/>
      <c r="E340" s="136"/>
      <c r="F340" s="135"/>
      <c r="G340" s="137"/>
      <c r="H340" s="13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4"/>
      <c r="B341" s="4"/>
      <c r="C341" s="135"/>
      <c r="D341" s="4"/>
      <c r="E341" s="136"/>
      <c r="F341" s="135"/>
      <c r="G341" s="137"/>
      <c r="H341" s="13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4"/>
      <c r="B342" s="4"/>
      <c r="C342" s="135"/>
      <c r="D342" s="4"/>
      <c r="E342" s="136"/>
      <c r="F342" s="135"/>
      <c r="G342" s="137"/>
      <c r="H342" s="13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4"/>
      <c r="B343" s="4"/>
      <c r="C343" s="135"/>
      <c r="D343" s="4"/>
      <c r="E343" s="136"/>
      <c r="F343" s="135"/>
      <c r="G343" s="137"/>
      <c r="H343" s="13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4"/>
      <c r="B344" s="4"/>
      <c r="C344" s="135"/>
      <c r="D344" s="4"/>
      <c r="E344" s="136"/>
      <c r="F344" s="135"/>
      <c r="G344" s="137"/>
      <c r="H344" s="13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4"/>
      <c r="B345" s="4"/>
      <c r="C345" s="135"/>
      <c r="D345" s="4"/>
      <c r="E345" s="136"/>
      <c r="F345" s="135"/>
      <c r="G345" s="137"/>
      <c r="H345" s="13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4"/>
      <c r="B346" s="4"/>
      <c r="C346" s="135"/>
      <c r="D346" s="4"/>
      <c r="E346" s="136"/>
      <c r="F346" s="135"/>
      <c r="G346" s="137"/>
      <c r="H346" s="13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4"/>
      <c r="B347" s="4"/>
      <c r="C347" s="135"/>
      <c r="D347" s="4"/>
      <c r="E347" s="136"/>
      <c r="F347" s="135"/>
      <c r="G347" s="137"/>
      <c r="H347" s="13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4"/>
      <c r="B348" s="4"/>
      <c r="C348" s="135"/>
      <c r="D348" s="4"/>
      <c r="E348" s="136"/>
      <c r="F348" s="135"/>
      <c r="G348" s="137"/>
      <c r="H348" s="13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4"/>
      <c r="B349" s="4"/>
      <c r="C349" s="135"/>
      <c r="D349" s="4"/>
      <c r="E349" s="136"/>
      <c r="F349" s="135"/>
      <c r="G349" s="137"/>
      <c r="H349" s="13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4"/>
      <c r="B350" s="4"/>
      <c r="C350" s="135"/>
      <c r="D350" s="4"/>
      <c r="E350" s="136"/>
      <c r="F350" s="135"/>
      <c r="G350" s="137"/>
      <c r="H350" s="13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4"/>
      <c r="B351" s="4"/>
      <c r="C351" s="135"/>
      <c r="D351" s="4"/>
      <c r="E351" s="136"/>
      <c r="F351" s="135"/>
      <c r="G351" s="137"/>
      <c r="H351" s="13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4"/>
      <c r="B352" s="4"/>
      <c r="C352" s="135"/>
      <c r="D352" s="4"/>
      <c r="E352" s="136"/>
      <c r="F352" s="135"/>
      <c r="G352" s="137"/>
      <c r="H352" s="13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4"/>
      <c r="B353" s="4"/>
      <c r="C353" s="135"/>
      <c r="D353" s="4"/>
      <c r="E353" s="136"/>
      <c r="F353" s="135"/>
      <c r="G353" s="137"/>
      <c r="H353" s="13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4"/>
      <c r="B354" s="4"/>
      <c r="C354" s="135"/>
      <c r="D354" s="4"/>
      <c r="E354" s="136"/>
      <c r="F354" s="135"/>
      <c r="G354" s="137"/>
      <c r="H354" s="13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4"/>
      <c r="B355" s="4"/>
      <c r="C355" s="135"/>
      <c r="D355" s="4"/>
      <c r="E355" s="136"/>
      <c r="F355" s="135"/>
      <c r="G355" s="137"/>
      <c r="H355" s="13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4"/>
      <c r="B356" s="4"/>
      <c r="C356" s="135"/>
      <c r="D356" s="4"/>
      <c r="E356" s="136"/>
      <c r="F356" s="135"/>
      <c r="G356" s="137"/>
      <c r="H356" s="13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4"/>
      <c r="B357" s="4"/>
      <c r="C357" s="135"/>
      <c r="D357" s="4"/>
      <c r="E357" s="136"/>
      <c r="F357" s="135"/>
      <c r="G357" s="137"/>
      <c r="H357" s="13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4"/>
      <c r="B358" s="4"/>
      <c r="C358" s="135"/>
      <c r="D358" s="4"/>
      <c r="E358" s="136"/>
      <c r="F358" s="135"/>
      <c r="G358" s="137"/>
      <c r="H358" s="13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4"/>
      <c r="B359" s="4"/>
      <c r="C359" s="135"/>
      <c r="D359" s="4"/>
      <c r="E359" s="136"/>
      <c r="F359" s="135"/>
      <c r="G359" s="137"/>
      <c r="H359" s="13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4"/>
      <c r="B360" s="4"/>
      <c r="C360" s="135"/>
      <c r="D360" s="4"/>
      <c r="E360" s="136"/>
      <c r="F360" s="135"/>
      <c r="G360" s="137"/>
      <c r="H360" s="13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4"/>
      <c r="B361" s="4"/>
      <c r="C361" s="135"/>
      <c r="D361" s="4"/>
      <c r="E361" s="136"/>
      <c r="F361" s="135"/>
      <c r="G361" s="137"/>
      <c r="H361" s="13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4"/>
      <c r="B362" s="4"/>
      <c r="C362" s="135"/>
      <c r="D362" s="4"/>
      <c r="E362" s="136"/>
      <c r="F362" s="135"/>
      <c r="G362" s="137"/>
      <c r="H362" s="13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4"/>
      <c r="B363" s="4"/>
      <c r="C363" s="135"/>
      <c r="D363" s="4"/>
      <c r="E363" s="136"/>
      <c r="F363" s="135"/>
      <c r="G363" s="137"/>
      <c r="H363" s="13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4"/>
      <c r="B364" s="4"/>
      <c r="C364" s="135"/>
      <c r="D364" s="4"/>
      <c r="E364" s="136"/>
      <c r="F364" s="135"/>
      <c r="G364" s="137"/>
      <c r="H364" s="13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4"/>
      <c r="B365" s="4"/>
      <c r="C365" s="135"/>
      <c r="D365" s="4"/>
      <c r="E365" s="136"/>
      <c r="F365" s="135"/>
      <c r="G365" s="137"/>
      <c r="H365" s="13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4"/>
      <c r="B366" s="4"/>
      <c r="C366" s="135"/>
      <c r="D366" s="4"/>
      <c r="E366" s="136"/>
      <c r="F366" s="135"/>
      <c r="G366" s="137"/>
      <c r="H366" s="13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4"/>
      <c r="B367" s="4"/>
      <c r="C367" s="135"/>
      <c r="D367" s="4"/>
      <c r="E367" s="136"/>
      <c r="F367" s="135"/>
      <c r="G367" s="137"/>
      <c r="H367" s="13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4"/>
      <c r="B368" s="4"/>
      <c r="C368" s="135"/>
      <c r="D368" s="4"/>
      <c r="E368" s="136"/>
      <c r="F368" s="135"/>
      <c r="G368" s="137"/>
      <c r="H368" s="13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4"/>
      <c r="B369" s="4"/>
      <c r="C369" s="135"/>
      <c r="D369" s="4"/>
      <c r="E369" s="136"/>
      <c r="F369" s="135"/>
      <c r="G369" s="137"/>
      <c r="H369" s="13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4"/>
      <c r="B370" s="4"/>
      <c r="C370" s="135"/>
      <c r="D370" s="4"/>
      <c r="E370" s="136"/>
      <c r="F370" s="135"/>
      <c r="G370" s="137"/>
      <c r="H370" s="13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4"/>
      <c r="B371" s="4"/>
      <c r="C371" s="135"/>
      <c r="D371" s="4"/>
      <c r="E371" s="136"/>
      <c r="F371" s="135"/>
      <c r="G371" s="137"/>
      <c r="H371" s="13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4"/>
      <c r="B372" s="4"/>
      <c r="C372" s="135"/>
      <c r="D372" s="4"/>
      <c r="E372" s="136"/>
      <c r="F372" s="135"/>
      <c r="G372" s="137"/>
      <c r="H372" s="13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4"/>
      <c r="B373" s="4"/>
      <c r="C373" s="135"/>
      <c r="D373" s="4"/>
      <c r="E373" s="136"/>
      <c r="F373" s="135"/>
      <c r="G373" s="137"/>
      <c r="H373" s="13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4"/>
      <c r="B374" s="4"/>
      <c r="C374" s="135"/>
      <c r="D374" s="4"/>
      <c r="E374" s="136"/>
      <c r="F374" s="135"/>
      <c r="G374" s="137"/>
      <c r="H374" s="13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4"/>
      <c r="B375" s="4"/>
      <c r="C375" s="135"/>
      <c r="D375" s="4"/>
      <c r="E375" s="136"/>
      <c r="F375" s="135"/>
      <c r="G375" s="137"/>
      <c r="H375" s="13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4"/>
      <c r="B376" s="4"/>
      <c r="C376" s="135"/>
      <c r="D376" s="4"/>
      <c r="E376" s="136"/>
      <c r="F376" s="135"/>
      <c r="G376" s="137"/>
      <c r="H376" s="13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4"/>
      <c r="B377" s="4"/>
      <c r="C377" s="135"/>
      <c r="D377" s="4"/>
      <c r="E377" s="136"/>
      <c r="F377" s="135"/>
      <c r="G377" s="137"/>
      <c r="H377" s="13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4"/>
      <c r="B378" s="4"/>
      <c r="C378" s="135"/>
      <c r="D378" s="4"/>
      <c r="E378" s="136"/>
      <c r="F378" s="135"/>
      <c r="G378" s="137"/>
      <c r="H378" s="13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4"/>
      <c r="B379" s="4"/>
      <c r="C379" s="135"/>
      <c r="D379" s="4"/>
      <c r="E379" s="136"/>
      <c r="F379" s="135"/>
      <c r="G379" s="137"/>
      <c r="H379" s="13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4"/>
      <c r="B380" s="4"/>
      <c r="C380" s="135"/>
      <c r="D380" s="4"/>
      <c r="E380" s="136"/>
      <c r="F380" s="135"/>
      <c r="G380" s="137"/>
      <c r="H380" s="13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4"/>
      <c r="B381" s="4"/>
      <c r="C381" s="135"/>
      <c r="D381" s="4"/>
      <c r="E381" s="136"/>
      <c r="F381" s="135"/>
      <c r="G381" s="137"/>
      <c r="H381" s="13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4"/>
      <c r="B382" s="4"/>
      <c r="C382" s="135"/>
      <c r="D382" s="4"/>
      <c r="E382" s="136"/>
      <c r="F382" s="135"/>
      <c r="G382" s="137"/>
      <c r="H382" s="13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4"/>
      <c r="B383" s="4"/>
      <c r="C383" s="135"/>
      <c r="D383" s="4"/>
      <c r="E383" s="136"/>
      <c r="F383" s="135"/>
      <c r="G383" s="137"/>
      <c r="H383" s="13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4"/>
      <c r="B384" s="4"/>
      <c r="C384" s="135"/>
      <c r="D384" s="4"/>
      <c r="E384" s="136"/>
      <c r="F384" s="135"/>
      <c r="G384" s="137"/>
      <c r="H384" s="13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4"/>
      <c r="B385" s="4"/>
      <c r="C385" s="135"/>
      <c r="D385" s="4"/>
      <c r="E385" s="136"/>
      <c r="F385" s="135"/>
      <c r="G385" s="137"/>
      <c r="H385" s="13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4"/>
      <c r="B386" s="4"/>
      <c r="C386" s="135"/>
      <c r="D386" s="4"/>
      <c r="E386" s="136"/>
      <c r="F386" s="135"/>
      <c r="G386" s="137"/>
      <c r="H386" s="13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4"/>
      <c r="B387" s="4"/>
      <c r="C387" s="135"/>
      <c r="D387" s="4"/>
      <c r="E387" s="136"/>
      <c r="F387" s="135"/>
      <c r="G387" s="137"/>
      <c r="H387" s="13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4"/>
      <c r="B388" s="4"/>
      <c r="C388" s="135"/>
      <c r="D388" s="4"/>
      <c r="E388" s="136"/>
      <c r="F388" s="135"/>
      <c r="G388" s="137"/>
      <c r="H388" s="13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4"/>
      <c r="B389" s="4"/>
      <c r="C389" s="135"/>
      <c r="D389" s="4"/>
      <c r="E389" s="136"/>
      <c r="F389" s="135"/>
      <c r="G389" s="137"/>
      <c r="H389" s="13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4"/>
      <c r="B390" s="4"/>
      <c r="C390" s="135"/>
      <c r="D390" s="4"/>
      <c r="E390" s="136"/>
      <c r="F390" s="135"/>
      <c r="G390" s="137"/>
      <c r="H390" s="13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4"/>
      <c r="B391" s="4"/>
      <c r="C391" s="135"/>
      <c r="D391" s="4"/>
      <c r="E391" s="136"/>
      <c r="F391" s="135"/>
      <c r="G391" s="137"/>
      <c r="H391" s="13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4"/>
      <c r="B392" s="4"/>
      <c r="C392" s="135"/>
      <c r="D392" s="4"/>
      <c r="E392" s="136"/>
      <c r="F392" s="135"/>
      <c r="G392" s="137"/>
      <c r="H392" s="13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4"/>
      <c r="B393" s="4"/>
      <c r="C393" s="135"/>
      <c r="D393" s="4"/>
      <c r="E393" s="136"/>
      <c r="F393" s="135"/>
      <c r="G393" s="137"/>
      <c r="H393" s="13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4"/>
      <c r="B394" s="4"/>
      <c r="C394" s="135"/>
      <c r="D394" s="4"/>
      <c r="E394" s="136"/>
      <c r="F394" s="135"/>
      <c r="G394" s="137"/>
      <c r="H394" s="13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4"/>
      <c r="B395" s="4"/>
      <c r="C395" s="135"/>
      <c r="D395" s="4"/>
      <c r="E395" s="136"/>
      <c r="F395" s="135"/>
      <c r="G395" s="137"/>
      <c r="H395" s="13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4"/>
      <c r="B396" s="4"/>
      <c r="C396" s="135"/>
      <c r="D396" s="4"/>
      <c r="E396" s="136"/>
      <c r="F396" s="135"/>
      <c r="G396" s="137"/>
      <c r="H396" s="13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4"/>
      <c r="B397" s="4"/>
      <c r="C397" s="135"/>
      <c r="D397" s="4"/>
      <c r="E397" s="136"/>
      <c r="F397" s="135"/>
      <c r="G397" s="137"/>
      <c r="H397" s="13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4"/>
      <c r="B398" s="4"/>
      <c r="C398" s="135"/>
      <c r="D398" s="4"/>
      <c r="E398" s="136"/>
      <c r="F398" s="135"/>
      <c r="G398" s="137"/>
      <c r="H398" s="13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4"/>
      <c r="B399" s="4"/>
      <c r="C399" s="135"/>
      <c r="D399" s="4"/>
      <c r="E399" s="136"/>
      <c r="F399" s="135"/>
      <c r="G399" s="137"/>
      <c r="H399" s="13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4"/>
      <c r="B400" s="4"/>
      <c r="C400" s="135"/>
      <c r="D400" s="4"/>
      <c r="E400" s="136"/>
      <c r="F400" s="135"/>
      <c r="G400" s="137"/>
      <c r="H400" s="13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4"/>
      <c r="B401" s="4"/>
      <c r="C401" s="135"/>
      <c r="D401" s="4"/>
      <c r="E401" s="136"/>
      <c r="F401" s="135"/>
      <c r="G401" s="137"/>
      <c r="H401" s="13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4"/>
      <c r="B402" s="4"/>
      <c r="C402" s="135"/>
      <c r="D402" s="4"/>
      <c r="E402" s="136"/>
      <c r="F402" s="135"/>
      <c r="G402" s="137"/>
      <c r="H402" s="13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4"/>
      <c r="B403" s="4"/>
      <c r="C403" s="135"/>
      <c r="D403" s="4"/>
      <c r="E403" s="136"/>
      <c r="F403" s="135"/>
      <c r="G403" s="137"/>
      <c r="H403" s="13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4"/>
      <c r="B404" s="4"/>
      <c r="C404" s="135"/>
      <c r="D404" s="4"/>
      <c r="E404" s="136"/>
      <c r="F404" s="135"/>
      <c r="G404" s="137"/>
      <c r="H404" s="13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4"/>
      <c r="B405" s="4"/>
      <c r="C405" s="135"/>
      <c r="D405" s="4"/>
      <c r="E405" s="136"/>
      <c r="F405" s="135"/>
      <c r="G405" s="137"/>
      <c r="H405" s="13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4"/>
      <c r="B406" s="4"/>
      <c r="C406" s="135"/>
      <c r="D406" s="4"/>
      <c r="E406" s="136"/>
      <c r="F406" s="135"/>
      <c r="G406" s="137"/>
      <c r="H406" s="13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4"/>
      <c r="B407" s="4"/>
      <c r="C407" s="135"/>
      <c r="D407" s="4"/>
      <c r="E407" s="136"/>
      <c r="F407" s="135"/>
      <c r="G407" s="137"/>
      <c r="H407" s="13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4"/>
      <c r="B408" s="4"/>
      <c r="C408" s="135"/>
      <c r="D408" s="4"/>
      <c r="E408" s="136"/>
      <c r="F408" s="135"/>
      <c r="G408" s="137"/>
      <c r="H408" s="13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4"/>
      <c r="B409" s="4"/>
      <c r="C409" s="135"/>
      <c r="D409" s="4"/>
      <c r="E409" s="136"/>
      <c r="F409" s="135"/>
      <c r="G409" s="137"/>
      <c r="H409" s="13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4"/>
      <c r="B410" s="4"/>
      <c r="C410" s="135"/>
      <c r="D410" s="4"/>
      <c r="E410" s="136"/>
      <c r="F410" s="135"/>
      <c r="G410" s="137"/>
      <c r="H410" s="13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4"/>
      <c r="B411" s="4"/>
      <c r="C411" s="135"/>
      <c r="D411" s="4"/>
      <c r="E411" s="136"/>
      <c r="F411" s="135"/>
      <c r="G411" s="137"/>
      <c r="H411" s="13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4"/>
      <c r="B412" s="4"/>
      <c r="C412" s="135"/>
      <c r="D412" s="4"/>
      <c r="E412" s="136"/>
      <c r="F412" s="135"/>
      <c r="G412" s="137"/>
      <c r="H412" s="13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4"/>
      <c r="B413" s="4"/>
      <c r="C413" s="135"/>
      <c r="D413" s="4"/>
      <c r="E413" s="136"/>
      <c r="F413" s="135"/>
      <c r="G413" s="137"/>
      <c r="H413" s="13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4"/>
      <c r="B414" s="4"/>
      <c r="C414" s="135"/>
      <c r="D414" s="4"/>
      <c r="E414" s="136"/>
      <c r="F414" s="135"/>
      <c r="G414" s="137"/>
      <c r="H414" s="13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4"/>
      <c r="B415" s="4"/>
      <c r="C415" s="135"/>
      <c r="D415" s="4"/>
      <c r="E415" s="136"/>
      <c r="F415" s="135"/>
      <c r="G415" s="137"/>
      <c r="H415" s="13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4"/>
      <c r="B416" s="4"/>
      <c r="C416" s="135"/>
      <c r="D416" s="4"/>
      <c r="E416" s="136"/>
      <c r="F416" s="135"/>
      <c r="G416" s="137"/>
      <c r="H416" s="13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4"/>
      <c r="B417" s="4"/>
      <c r="C417" s="135"/>
      <c r="D417" s="4"/>
      <c r="E417" s="136"/>
      <c r="F417" s="135"/>
      <c r="G417" s="137"/>
      <c r="H417" s="13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4"/>
      <c r="B418" s="4"/>
      <c r="C418" s="135"/>
      <c r="D418" s="4"/>
      <c r="E418" s="136"/>
      <c r="F418" s="135"/>
      <c r="G418" s="137"/>
      <c r="H418" s="13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4"/>
      <c r="B419" s="4"/>
      <c r="C419" s="135"/>
      <c r="D419" s="4"/>
      <c r="E419" s="136"/>
      <c r="F419" s="135"/>
      <c r="G419" s="137"/>
      <c r="H419" s="13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4"/>
      <c r="B420" s="4"/>
      <c r="C420" s="135"/>
      <c r="D420" s="4"/>
      <c r="E420" s="136"/>
      <c r="F420" s="135"/>
      <c r="G420" s="137"/>
      <c r="H420" s="13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4"/>
      <c r="B421" s="4"/>
      <c r="C421" s="135"/>
      <c r="D421" s="4"/>
      <c r="E421" s="136"/>
      <c r="F421" s="135"/>
      <c r="G421" s="137"/>
      <c r="H421" s="13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4"/>
      <c r="B422" s="4"/>
      <c r="C422" s="135"/>
      <c r="D422" s="4"/>
      <c r="E422" s="136"/>
      <c r="F422" s="135"/>
      <c r="G422" s="137"/>
      <c r="H422" s="13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4"/>
      <c r="B423" s="4"/>
      <c r="C423" s="135"/>
      <c r="D423" s="4"/>
      <c r="E423" s="136"/>
      <c r="F423" s="135"/>
      <c r="G423" s="137"/>
      <c r="H423" s="13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4"/>
      <c r="B424" s="4"/>
      <c r="C424" s="135"/>
      <c r="D424" s="4"/>
      <c r="E424" s="136"/>
      <c r="F424" s="135"/>
      <c r="G424" s="137"/>
      <c r="H424" s="13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4"/>
      <c r="B425" s="4"/>
      <c r="C425" s="135"/>
      <c r="D425" s="4"/>
      <c r="E425" s="136"/>
      <c r="F425" s="135"/>
      <c r="G425" s="137"/>
      <c r="H425" s="13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4"/>
      <c r="B426" s="4"/>
      <c r="C426" s="135"/>
      <c r="D426" s="4"/>
      <c r="E426" s="136"/>
      <c r="F426" s="135"/>
      <c r="G426" s="137"/>
      <c r="H426" s="13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4"/>
      <c r="B427" s="4"/>
      <c r="C427" s="135"/>
      <c r="D427" s="4"/>
      <c r="E427" s="136"/>
      <c r="F427" s="135"/>
      <c r="G427" s="137"/>
      <c r="H427" s="13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4"/>
      <c r="B428" s="4"/>
      <c r="C428" s="135"/>
      <c r="D428" s="4"/>
      <c r="E428" s="136"/>
      <c r="F428" s="135"/>
      <c r="G428" s="137"/>
      <c r="H428" s="13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4"/>
      <c r="B429" s="4"/>
      <c r="C429" s="135"/>
      <c r="D429" s="4"/>
      <c r="E429" s="136"/>
      <c r="F429" s="135"/>
      <c r="G429" s="137"/>
      <c r="H429" s="13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4"/>
      <c r="B430" s="4"/>
      <c r="C430" s="135"/>
      <c r="D430" s="4"/>
      <c r="E430" s="136"/>
      <c r="F430" s="135"/>
      <c r="G430" s="137"/>
      <c r="H430" s="13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4"/>
      <c r="B431" s="4"/>
      <c r="C431" s="135"/>
      <c r="D431" s="4"/>
      <c r="E431" s="136"/>
      <c r="F431" s="135"/>
      <c r="G431" s="137"/>
      <c r="H431" s="13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4"/>
      <c r="B432" s="4"/>
      <c r="C432" s="135"/>
      <c r="D432" s="4"/>
      <c r="E432" s="136"/>
      <c r="F432" s="135"/>
      <c r="G432" s="137"/>
      <c r="H432" s="13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4"/>
      <c r="B433" s="4"/>
      <c r="C433" s="135"/>
      <c r="D433" s="4"/>
      <c r="E433" s="136"/>
      <c r="F433" s="135"/>
      <c r="G433" s="137"/>
      <c r="H433" s="13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4"/>
      <c r="B434" s="4"/>
      <c r="C434" s="135"/>
      <c r="D434" s="4"/>
      <c r="E434" s="136"/>
      <c r="F434" s="135"/>
      <c r="G434" s="137"/>
      <c r="H434" s="13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4"/>
      <c r="B435" s="4"/>
      <c r="C435" s="135"/>
      <c r="D435" s="4"/>
      <c r="E435" s="136"/>
      <c r="F435" s="135"/>
      <c r="G435" s="137"/>
      <c r="H435" s="13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4"/>
      <c r="B436" s="4"/>
      <c r="C436" s="135"/>
      <c r="D436" s="4"/>
      <c r="E436" s="136"/>
      <c r="F436" s="135"/>
      <c r="G436" s="137"/>
      <c r="H436" s="13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4"/>
      <c r="B437" s="4"/>
      <c r="C437" s="135"/>
      <c r="D437" s="4"/>
      <c r="E437" s="136"/>
      <c r="F437" s="135"/>
      <c r="G437" s="137"/>
      <c r="H437" s="13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4"/>
      <c r="B438" s="4"/>
      <c r="C438" s="135"/>
      <c r="D438" s="4"/>
      <c r="E438" s="136"/>
      <c r="F438" s="135"/>
      <c r="G438" s="137"/>
      <c r="H438" s="13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4"/>
      <c r="B439" s="4"/>
      <c r="C439" s="135"/>
      <c r="D439" s="4"/>
      <c r="E439" s="136"/>
      <c r="F439" s="135"/>
      <c r="G439" s="137"/>
      <c r="H439" s="13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4"/>
      <c r="B440" s="4"/>
      <c r="C440" s="135"/>
      <c r="D440" s="4"/>
      <c r="E440" s="136"/>
      <c r="F440" s="135"/>
      <c r="G440" s="137"/>
      <c r="H440" s="13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4"/>
      <c r="B441" s="4"/>
      <c r="C441" s="135"/>
      <c r="D441" s="4"/>
      <c r="E441" s="136"/>
      <c r="F441" s="135"/>
      <c r="G441" s="137"/>
      <c r="H441" s="13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4"/>
      <c r="B442" s="4"/>
      <c r="C442" s="135"/>
      <c r="D442" s="4"/>
      <c r="E442" s="136"/>
      <c r="F442" s="135"/>
      <c r="G442" s="137"/>
      <c r="H442" s="13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4"/>
      <c r="B443" s="4"/>
      <c r="C443" s="135"/>
      <c r="D443" s="4"/>
      <c r="E443" s="136"/>
      <c r="F443" s="135"/>
      <c r="G443" s="137"/>
      <c r="H443" s="13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4"/>
      <c r="B444" s="4"/>
      <c r="C444" s="135"/>
      <c r="D444" s="4"/>
      <c r="E444" s="136"/>
      <c r="F444" s="135"/>
      <c r="G444" s="137"/>
      <c r="H444" s="13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4"/>
      <c r="B445" s="4"/>
      <c r="C445" s="135"/>
      <c r="D445" s="4"/>
      <c r="E445" s="136"/>
      <c r="F445" s="135"/>
      <c r="G445" s="137"/>
      <c r="H445" s="13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4"/>
      <c r="B446" s="4"/>
      <c r="C446" s="135"/>
      <c r="D446" s="4"/>
      <c r="E446" s="136"/>
      <c r="F446" s="135"/>
      <c r="G446" s="137"/>
      <c r="H446" s="13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4"/>
      <c r="B447" s="4"/>
      <c r="C447" s="135"/>
      <c r="D447" s="4"/>
      <c r="E447" s="136"/>
      <c r="F447" s="135"/>
      <c r="G447" s="137"/>
      <c r="H447" s="13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4"/>
      <c r="B448" s="4"/>
      <c r="C448" s="135"/>
      <c r="D448" s="4"/>
      <c r="E448" s="136"/>
      <c r="F448" s="135"/>
      <c r="G448" s="137"/>
      <c r="H448" s="13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4"/>
      <c r="B449" s="4"/>
      <c r="C449" s="135"/>
      <c r="D449" s="4"/>
      <c r="E449" s="136"/>
      <c r="F449" s="135"/>
      <c r="G449" s="137"/>
      <c r="H449" s="13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4"/>
      <c r="B450" s="4"/>
      <c r="C450" s="135"/>
      <c r="D450" s="4"/>
      <c r="E450" s="136"/>
      <c r="F450" s="135"/>
      <c r="G450" s="137"/>
      <c r="H450" s="13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4"/>
      <c r="B451" s="4"/>
      <c r="C451" s="135"/>
      <c r="D451" s="4"/>
      <c r="E451" s="136"/>
      <c r="F451" s="135"/>
      <c r="G451" s="137"/>
      <c r="H451" s="13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4"/>
      <c r="B452" s="4"/>
      <c r="C452" s="135"/>
      <c r="D452" s="4"/>
      <c r="E452" s="136"/>
      <c r="F452" s="135"/>
      <c r="G452" s="137"/>
      <c r="H452" s="13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4"/>
      <c r="B453" s="4"/>
      <c r="C453" s="135"/>
      <c r="D453" s="4"/>
      <c r="E453" s="136"/>
      <c r="F453" s="135"/>
      <c r="G453" s="137"/>
      <c r="H453" s="13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4"/>
      <c r="B454" s="4"/>
      <c r="C454" s="135"/>
      <c r="D454" s="4"/>
      <c r="E454" s="136"/>
      <c r="F454" s="135"/>
      <c r="G454" s="137"/>
      <c r="H454" s="13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4"/>
      <c r="B455" s="4"/>
      <c r="C455" s="135"/>
      <c r="D455" s="4"/>
      <c r="E455" s="136"/>
      <c r="F455" s="135"/>
      <c r="G455" s="137"/>
      <c r="H455" s="13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4"/>
      <c r="B456" s="4"/>
      <c r="C456" s="135"/>
      <c r="D456" s="4"/>
      <c r="E456" s="136"/>
      <c r="F456" s="135"/>
      <c r="G456" s="137"/>
      <c r="H456" s="13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4"/>
      <c r="B457" s="4"/>
      <c r="C457" s="135"/>
      <c r="D457" s="4"/>
      <c r="E457" s="136"/>
      <c r="F457" s="135"/>
      <c r="G457" s="137"/>
      <c r="H457" s="13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4"/>
      <c r="B458" s="4"/>
      <c r="C458" s="135"/>
      <c r="D458" s="4"/>
      <c r="E458" s="136"/>
      <c r="F458" s="135"/>
      <c r="G458" s="137"/>
      <c r="H458" s="13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4"/>
      <c r="B459" s="4"/>
      <c r="C459" s="135"/>
      <c r="D459" s="4"/>
      <c r="E459" s="136"/>
      <c r="F459" s="135"/>
      <c r="G459" s="137"/>
      <c r="H459" s="13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4"/>
      <c r="B460" s="4"/>
      <c r="C460" s="135"/>
      <c r="D460" s="4"/>
      <c r="E460" s="136"/>
      <c r="F460" s="135"/>
      <c r="G460" s="137"/>
      <c r="H460" s="13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4"/>
      <c r="B461" s="4"/>
      <c r="C461" s="135"/>
      <c r="D461" s="4"/>
      <c r="E461" s="136"/>
      <c r="F461" s="135"/>
      <c r="G461" s="137"/>
      <c r="H461" s="13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4"/>
      <c r="B462" s="4"/>
      <c r="C462" s="135"/>
      <c r="D462" s="4"/>
      <c r="E462" s="136"/>
      <c r="F462" s="135"/>
      <c r="G462" s="137"/>
      <c r="H462" s="13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4"/>
      <c r="B463" s="4"/>
      <c r="C463" s="135"/>
      <c r="D463" s="4"/>
      <c r="E463" s="136"/>
      <c r="F463" s="135"/>
      <c r="G463" s="137"/>
      <c r="H463" s="13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4"/>
      <c r="B464" s="4"/>
      <c r="C464" s="135"/>
      <c r="D464" s="4"/>
      <c r="E464" s="136"/>
      <c r="F464" s="135"/>
      <c r="G464" s="137"/>
      <c r="H464" s="13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4"/>
      <c r="B465" s="4"/>
      <c r="C465" s="135"/>
      <c r="D465" s="4"/>
      <c r="E465" s="136"/>
      <c r="F465" s="135"/>
      <c r="G465" s="137"/>
      <c r="H465" s="13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4"/>
      <c r="B466" s="4"/>
      <c r="C466" s="135"/>
      <c r="D466" s="4"/>
      <c r="E466" s="136"/>
      <c r="F466" s="135"/>
      <c r="G466" s="137"/>
      <c r="H466" s="13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4"/>
      <c r="B467" s="4"/>
      <c r="C467" s="135"/>
      <c r="D467" s="4"/>
      <c r="E467" s="136"/>
      <c r="F467" s="135"/>
      <c r="G467" s="137"/>
      <c r="H467" s="13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4"/>
      <c r="B468" s="4"/>
      <c r="C468" s="135"/>
      <c r="D468" s="4"/>
      <c r="E468" s="136"/>
      <c r="F468" s="135"/>
      <c r="G468" s="137"/>
      <c r="H468" s="13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4"/>
      <c r="B469" s="4"/>
      <c r="C469" s="135"/>
      <c r="D469" s="4"/>
      <c r="E469" s="136"/>
      <c r="F469" s="135"/>
      <c r="G469" s="137"/>
      <c r="H469" s="13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4"/>
      <c r="B470" s="4"/>
      <c r="C470" s="135"/>
      <c r="D470" s="4"/>
      <c r="E470" s="136"/>
      <c r="F470" s="135"/>
      <c r="G470" s="137"/>
      <c r="H470" s="13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4"/>
      <c r="B471" s="4"/>
      <c r="C471" s="135"/>
      <c r="D471" s="4"/>
      <c r="E471" s="136"/>
      <c r="F471" s="135"/>
      <c r="G471" s="137"/>
      <c r="H471" s="13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4"/>
      <c r="B472" s="4"/>
      <c r="C472" s="135"/>
      <c r="D472" s="4"/>
      <c r="E472" s="136"/>
      <c r="F472" s="135"/>
      <c r="G472" s="137"/>
      <c r="H472" s="13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4"/>
      <c r="B473" s="4"/>
      <c r="C473" s="135"/>
      <c r="D473" s="4"/>
      <c r="E473" s="136"/>
      <c r="F473" s="135"/>
      <c r="G473" s="137"/>
      <c r="H473" s="13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4"/>
      <c r="B474" s="4"/>
      <c r="C474" s="135"/>
      <c r="D474" s="4"/>
      <c r="E474" s="136"/>
      <c r="F474" s="135"/>
      <c r="G474" s="137"/>
      <c r="H474" s="13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4"/>
      <c r="B475" s="4"/>
      <c r="C475" s="135"/>
      <c r="D475" s="4"/>
      <c r="E475" s="136"/>
      <c r="F475" s="135"/>
      <c r="G475" s="137"/>
      <c r="H475" s="13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4"/>
      <c r="B476" s="4"/>
      <c r="C476" s="135"/>
      <c r="D476" s="4"/>
      <c r="E476" s="136"/>
      <c r="F476" s="135"/>
      <c r="G476" s="137"/>
      <c r="H476" s="13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4"/>
      <c r="B477" s="4"/>
      <c r="C477" s="135"/>
      <c r="D477" s="4"/>
      <c r="E477" s="136"/>
      <c r="F477" s="135"/>
      <c r="G477" s="137"/>
      <c r="H477" s="13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4"/>
      <c r="B478" s="4"/>
      <c r="C478" s="135"/>
      <c r="D478" s="4"/>
      <c r="E478" s="136"/>
      <c r="F478" s="135"/>
      <c r="G478" s="137"/>
      <c r="H478" s="13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4"/>
      <c r="B479" s="4"/>
      <c r="C479" s="135"/>
      <c r="D479" s="4"/>
      <c r="E479" s="136"/>
      <c r="F479" s="135"/>
      <c r="G479" s="137"/>
      <c r="H479" s="13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4"/>
      <c r="B480" s="4"/>
      <c r="C480" s="135"/>
      <c r="D480" s="4"/>
      <c r="E480" s="136"/>
      <c r="F480" s="135"/>
      <c r="G480" s="137"/>
      <c r="H480" s="13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4"/>
      <c r="B481" s="4"/>
      <c r="C481" s="135"/>
      <c r="D481" s="4"/>
      <c r="E481" s="136"/>
      <c r="F481" s="135"/>
      <c r="G481" s="137"/>
      <c r="H481" s="13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4"/>
      <c r="B482" s="4"/>
      <c r="C482" s="135"/>
      <c r="D482" s="4"/>
      <c r="E482" s="136"/>
      <c r="F482" s="135"/>
      <c r="G482" s="137"/>
      <c r="H482" s="13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4"/>
      <c r="B483" s="4"/>
      <c r="C483" s="135"/>
      <c r="D483" s="4"/>
      <c r="E483" s="136"/>
      <c r="F483" s="135"/>
      <c r="G483" s="137"/>
      <c r="H483" s="13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4"/>
      <c r="B484" s="4"/>
      <c r="C484" s="135"/>
      <c r="D484" s="4"/>
      <c r="E484" s="136"/>
      <c r="F484" s="135"/>
      <c r="G484" s="137"/>
      <c r="H484" s="13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4"/>
      <c r="B485" s="4"/>
      <c r="C485" s="135"/>
      <c r="D485" s="4"/>
      <c r="E485" s="136"/>
      <c r="F485" s="135"/>
      <c r="G485" s="137"/>
      <c r="H485" s="13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4"/>
      <c r="B486" s="4"/>
      <c r="C486" s="135"/>
      <c r="D486" s="4"/>
      <c r="E486" s="136"/>
      <c r="F486" s="135"/>
      <c r="G486" s="137"/>
      <c r="H486" s="13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4"/>
      <c r="B487" s="4"/>
      <c r="C487" s="135"/>
      <c r="D487" s="4"/>
      <c r="E487" s="136"/>
      <c r="F487" s="135"/>
      <c r="G487" s="137"/>
      <c r="H487" s="13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4"/>
      <c r="B488" s="4"/>
      <c r="C488" s="135"/>
      <c r="D488" s="4"/>
      <c r="E488" s="136"/>
      <c r="F488" s="135"/>
      <c r="G488" s="137"/>
      <c r="H488" s="13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4"/>
      <c r="B489" s="4"/>
      <c r="C489" s="135"/>
      <c r="D489" s="4"/>
      <c r="E489" s="136"/>
      <c r="F489" s="135"/>
      <c r="G489" s="137"/>
      <c r="H489" s="13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4"/>
      <c r="B490" s="4"/>
      <c r="C490" s="135"/>
      <c r="D490" s="4"/>
      <c r="E490" s="136"/>
      <c r="F490" s="135"/>
      <c r="G490" s="137"/>
      <c r="H490" s="13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4"/>
      <c r="B491" s="4"/>
      <c r="C491" s="135"/>
      <c r="D491" s="4"/>
      <c r="E491" s="136"/>
      <c r="F491" s="135"/>
      <c r="G491" s="137"/>
      <c r="H491" s="13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4"/>
      <c r="B492" s="4"/>
      <c r="C492" s="135"/>
      <c r="D492" s="4"/>
      <c r="E492" s="136"/>
      <c r="F492" s="135"/>
      <c r="G492" s="137"/>
      <c r="H492" s="13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4"/>
      <c r="B493" s="4"/>
      <c r="C493" s="135"/>
      <c r="D493" s="4"/>
      <c r="E493" s="136"/>
      <c r="F493" s="135"/>
      <c r="G493" s="137"/>
      <c r="H493" s="13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4"/>
      <c r="B494" s="4"/>
      <c r="C494" s="135"/>
      <c r="D494" s="4"/>
      <c r="E494" s="136"/>
      <c r="F494" s="135"/>
      <c r="G494" s="137"/>
      <c r="H494" s="13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4"/>
      <c r="B495" s="4"/>
      <c r="C495" s="135"/>
      <c r="D495" s="4"/>
      <c r="E495" s="136"/>
      <c r="F495" s="135"/>
      <c r="G495" s="137"/>
      <c r="H495" s="13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4"/>
      <c r="B496" s="4"/>
      <c r="C496" s="135"/>
      <c r="D496" s="4"/>
      <c r="E496" s="136"/>
      <c r="F496" s="135"/>
      <c r="G496" s="137"/>
      <c r="H496" s="13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4"/>
      <c r="B497" s="4"/>
      <c r="C497" s="135"/>
      <c r="D497" s="4"/>
      <c r="E497" s="136"/>
      <c r="F497" s="135"/>
      <c r="G497" s="137"/>
      <c r="H497" s="13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4"/>
      <c r="B498" s="4"/>
      <c r="C498" s="135"/>
      <c r="D498" s="4"/>
      <c r="E498" s="136"/>
      <c r="F498" s="135"/>
      <c r="G498" s="137"/>
      <c r="H498" s="13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4"/>
      <c r="B499" s="4"/>
      <c r="C499" s="135"/>
      <c r="D499" s="4"/>
      <c r="E499" s="136"/>
      <c r="F499" s="135"/>
      <c r="G499" s="137"/>
      <c r="H499" s="13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4"/>
      <c r="B500" s="4"/>
      <c r="C500" s="135"/>
      <c r="D500" s="4"/>
      <c r="E500" s="136"/>
      <c r="F500" s="135"/>
      <c r="G500" s="137"/>
      <c r="H500" s="13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4"/>
      <c r="B501" s="4"/>
      <c r="C501" s="135"/>
      <c r="D501" s="4"/>
      <c r="E501" s="136"/>
      <c r="F501" s="135"/>
      <c r="G501" s="137"/>
      <c r="H501" s="13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4"/>
      <c r="B502" s="4"/>
      <c r="C502" s="135"/>
      <c r="D502" s="4"/>
      <c r="E502" s="136"/>
      <c r="F502" s="135"/>
      <c r="G502" s="137"/>
      <c r="H502" s="13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4"/>
      <c r="B503" s="4"/>
      <c r="C503" s="135"/>
      <c r="D503" s="4"/>
      <c r="E503" s="136"/>
      <c r="F503" s="135"/>
      <c r="G503" s="137"/>
      <c r="H503" s="13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4"/>
      <c r="B504" s="4"/>
      <c r="C504" s="135"/>
      <c r="D504" s="4"/>
      <c r="E504" s="136"/>
      <c r="F504" s="135"/>
      <c r="G504" s="137"/>
      <c r="H504" s="13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4"/>
      <c r="B505" s="4"/>
      <c r="C505" s="135"/>
      <c r="D505" s="4"/>
      <c r="E505" s="136"/>
      <c r="F505" s="135"/>
      <c r="G505" s="137"/>
      <c r="H505" s="13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4"/>
      <c r="B506" s="4"/>
      <c r="C506" s="135"/>
      <c r="D506" s="4"/>
      <c r="E506" s="136"/>
      <c r="F506" s="135"/>
      <c r="G506" s="137"/>
      <c r="H506" s="13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4"/>
      <c r="B507" s="4"/>
      <c r="C507" s="135"/>
      <c r="D507" s="4"/>
      <c r="E507" s="136"/>
      <c r="F507" s="135"/>
      <c r="G507" s="137"/>
      <c r="H507" s="13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4"/>
      <c r="B508" s="4"/>
      <c r="C508" s="135"/>
      <c r="D508" s="4"/>
      <c r="E508" s="136"/>
      <c r="F508" s="135"/>
      <c r="G508" s="137"/>
      <c r="H508" s="13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4"/>
      <c r="B509" s="4"/>
      <c r="C509" s="135"/>
      <c r="D509" s="4"/>
      <c r="E509" s="136"/>
      <c r="F509" s="135"/>
      <c r="G509" s="137"/>
      <c r="H509" s="13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4"/>
      <c r="B510" s="4"/>
      <c r="C510" s="135"/>
      <c r="D510" s="4"/>
      <c r="E510" s="136"/>
      <c r="F510" s="135"/>
      <c r="G510" s="137"/>
      <c r="H510" s="13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4"/>
      <c r="B511" s="4"/>
      <c r="C511" s="135"/>
      <c r="D511" s="4"/>
      <c r="E511" s="136"/>
      <c r="F511" s="135"/>
      <c r="G511" s="137"/>
      <c r="H511" s="13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4"/>
      <c r="B512" s="4"/>
      <c r="C512" s="135"/>
      <c r="D512" s="4"/>
      <c r="E512" s="136"/>
      <c r="F512" s="135"/>
      <c r="G512" s="137"/>
      <c r="H512" s="13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4"/>
      <c r="B513" s="4"/>
      <c r="C513" s="135"/>
      <c r="D513" s="4"/>
      <c r="E513" s="136"/>
      <c r="F513" s="135"/>
      <c r="G513" s="137"/>
      <c r="H513" s="13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4"/>
      <c r="B514" s="4"/>
      <c r="C514" s="135"/>
      <c r="D514" s="4"/>
      <c r="E514" s="136"/>
      <c r="F514" s="135"/>
      <c r="G514" s="137"/>
      <c r="H514" s="13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4"/>
      <c r="B515" s="4"/>
      <c r="C515" s="135"/>
      <c r="D515" s="4"/>
      <c r="E515" s="136"/>
      <c r="F515" s="135"/>
      <c r="G515" s="137"/>
      <c r="H515" s="13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4"/>
      <c r="B516" s="4"/>
      <c r="C516" s="135"/>
      <c r="D516" s="4"/>
      <c r="E516" s="136"/>
      <c r="F516" s="135"/>
      <c r="G516" s="137"/>
      <c r="H516" s="13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4"/>
      <c r="B517" s="4"/>
      <c r="C517" s="135"/>
      <c r="D517" s="4"/>
      <c r="E517" s="136"/>
      <c r="F517" s="135"/>
      <c r="G517" s="137"/>
      <c r="H517" s="13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4"/>
      <c r="B518" s="4"/>
      <c r="C518" s="135"/>
      <c r="D518" s="4"/>
      <c r="E518" s="136"/>
      <c r="F518" s="135"/>
      <c r="G518" s="137"/>
      <c r="H518" s="13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4"/>
      <c r="B519" s="4"/>
      <c r="C519" s="135"/>
      <c r="D519" s="4"/>
      <c r="E519" s="136"/>
      <c r="F519" s="135"/>
      <c r="G519" s="137"/>
      <c r="H519" s="13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4"/>
      <c r="B520" s="4"/>
      <c r="C520" s="135"/>
      <c r="D520" s="4"/>
      <c r="E520" s="136"/>
      <c r="F520" s="135"/>
      <c r="G520" s="137"/>
      <c r="H520" s="13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4"/>
      <c r="B521" s="4"/>
      <c r="C521" s="135"/>
      <c r="D521" s="4"/>
      <c r="E521" s="136"/>
      <c r="F521" s="135"/>
      <c r="G521" s="137"/>
      <c r="H521" s="13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4"/>
      <c r="B522" s="4"/>
      <c r="C522" s="135"/>
      <c r="D522" s="4"/>
      <c r="E522" s="136"/>
      <c r="F522" s="135"/>
      <c r="G522" s="137"/>
      <c r="H522" s="13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4"/>
      <c r="B523" s="4"/>
      <c r="C523" s="135"/>
      <c r="D523" s="4"/>
      <c r="E523" s="136"/>
      <c r="F523" s="135"/>
      <c r="G523" s="137"/>
      <c r="H523" s="13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4"/>
      <c r="B524" s="4"/>
      <c r="C524" s="135"/>
      <c r="D524" s="4"/>
      <c r="E524" s="136"/>
      <c r="F524" s="135"/>
      <c r="G524" s="137"/>
      <c r="H524" s="13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4"/>
      <c r="B525" s="4"/>
      <c r="C525" s="135"/>
      <c r="D525" s="4"/>
      <c r="E525" s="136"/>
      <c r="F525" s="135"/>
      <c r="G525" s="137"/>
      <c r="H525" s="13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4"/>
      <c r="B526" s="4"/>
      <c r="C526" s="135"/>
      <c r="D526" s="4"/>
      <c r="E526" s="136"/>
      <c r="F526" s="135"/>
      <c r="G526" s="137"/>
      <c r="H526" s="13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4"/>
      <c r="B527" s="4"/>
      <c r="C527" s="135"/>
      <c r="D527" s="4"/>
      <c r="E527" s="136"/>
      <c r="F527" s="135"/>
      <c r="G527" s="137"/>
      <c r="H527" s="13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4"/>
      <c r="B528" s="4"/>
      <c r="C528" s="135"/>
      <c r="D528" s="4"/>
      <c r="E528" s="136"/>
      <c r="F528" s="135"/>
      <c r="G528" s="137"/>
      <c r="H528" s="13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4"/>
      <c r="B529" s="4"/>
      <c r="C529" s="135"/>
      <c r="D529" s="4"/>
      <c r="E529" s="136"/>
      <c r="F529" s="135"/>
      <c r="G529" s="137"/>
      <c r="H529" s="13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4"/>
      <c r="B530" s="4"/>
      <c r="C530" s="135"/>
      <c r="D530" s="4"/>
      <c r="E530" s="136"/>
      <c r="F530" s="135"/>
      <c r="G530" s="137"/>
      <c r="H530" s="13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4"/>
      <c r="B531" s="4"/>
      <c r="C531" s="135"/>
      <c r="D531" s="4"/>
      <c r="E531" s="136"/>
      <c r="F531" s="135"/>
      <c r="G531" s="137"/>
      <c r="H531" s="13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4"/>
      <c r="B532" s="4"/>
      <c r="C532" s="135"/>
      <c r="D532" s="4"/>
      <c r="E532" s="136"/>
      <c r="F532" s="135"/>
      <c r="G532" s="137"/>
      <c r="H532" s="13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4"/>
      <c r="B533" s="4"/>
      <c r="C533" s="135"/>
      <c r="D533" s="4"/>
      <c r="E533" s="136"/>
      <c r="F533" s="135"/>
      <c r="G533" s="137"/>
      <c r="H533" s="13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4"/>
      <c r="B534" s="4"/>
      <c r="C534" s="135"/>
      <c r="D534" s="4"/>
      <c r="E534" s="136"/>
      <c r="F534" s="135"/>
      <c r="G534" s="137"/>
      <c r="H534" s="13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4"/>
      <c r="B535" s="4"/>
      <c r="C535" s="135"/>
      <c r="D535" s="4"/>
      <c r="E535" s="136"/>
      <c r="F535" s="135"/>
      <c r="G535" s="137"/>
      <c r="H535" s="13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4"/>
      <c r="B536" s="4"/>
      <c r="C536" s="135"/>
      <c r="D536" s="4"/>
      <c r="E536" s="136"/>
      <c r="F536" s="135"/>
      <c r="G536" s="137"/>
      <c r="H536" s="13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4"/>
      <c r="B537" s="4"/>
      <c r="C537" s="135"/>
      <c r="D537" s="4"/>
      <c r="E537" s="136"/>
      <c r="F537" s="135"/>
      <c r="G537" s="137"/>
      <c r="H537" s="13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4"/>
      <c r="B538" s="4"/>
      <c r="C538" s="135"/>
      <c r="D538" s="4"/>
      <c r="E538" s="136"/>
      <c r="F538" s="135"/>
      <c r="G538" s="137"/>
      <c r="H538" s="13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4"/>
      <c r="B539" s="4"/>
      <c r="C539" s="135"/>
      <c r="D539" s="4"/>
      <c r="E539" s="136"/>
      <c r="F539" s="135"/>
      <c r="G539" s="137"/>
      <c r="H539" s="13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4"/>
      <c r="B540" s="4"/>
      <c r="C540" s="135"/>
      <c r="D540" s="4"/>
      <c r="E540" s="136"/>
      <c r="F540" s="135"/>
      <c r="G540" s="137"/>
      <c r="H540" s="13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4"/>
      <c r="B541" s="4"/>
      <c r="C541" s="135"/>
      <c r="D541" s="4"/>
      <c r="E541" s="136"/>
      <c r="F541" s="135"/>
      <c r="G541" s="137"/>
      <c r="H541" s="13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4"/>
      <c r="B542" s="4"/>
      <c r="C542" s="135"/>
      <c r="D542" s="4"/>
      <c r="E542" s="136"/>
      <c r="F542" s="135"/>
      <c r="G542" s="137"/>
      <c r="H542" s="13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4"/>
      <c r="B543" s="4"/>
      <c r="C543" s="135"/>
      <c r="D543" s="4"/>
      <c r="E543" s="136"/>
      <c r="F543" s="135"/>
      <c r="G543" s="137"/>
      <c r="H543" s="13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4"/>
      <c r="B544" s="4"/>
      <c r="C544" s="135"/>
      <c r="D544" s="4"/>
      <c r="E544" s="136"/>
      <c r="F544" s="135"/>
      <c r="G544" s="137"/>
      <c r="H544" s="13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4"/>
      <c r="B545" s="4"/>
      <c r="C545" s="135"/>
      <c r="D545" s="4"/>
      <c r="E545" s="136"/>
      <c r="F545" s="135"/>
      <c r="G545" s="137"/>
      <c r="H545" s="13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4"/>
      <c r="B546" s="4"/>
      <c r="C546" s="135"/>
      <c r="D546" s="4"/>
      <c r="E546" s="136"/>
      <c r="F546" s="135"/>
      <c r="G546" s="137"/>
      <c r="H546" s="13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4"/>
      <c r="B547" s="4"/>
      <c r="C547" s="135"/>
      <c r="D547" s="4"/>
      <c r="E547" s="136"/>
      <c r="F547" s="135"/>
      <c r="G547" s="137"/>
      <c r="H547" s="13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4"/>
      <c r="B548" s="4"/>
      <c r="C548" s="135"/>
      <c r="D548" s="4"/>
      <c r="E548" s="136"/>
      <c r="F548" s="135"/>
      <c r="G548" s="137"/>
      <c r="H548" s="13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4"/>
      <c r="B549" s="4"/>
      <c r="C549" s="135"/>
      <c r="D549" s="4"/>
      <c r="E549" s="136"/>
      <c r="F549" s="135"/>
      <c r="G549" s="137"/>
      <c r="H549" s="13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4"/>
      <c r="B550" s="4"/>
      <c r="C550" s="135"/>
      <c r="D550" s="4"/>
      <c r="E550" s="136"/>
      <c r="F550" s="135"/>
      <c r="G550" s="137"/>
      <c r="H550" s="13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4"/>
      <c r="B551" s="4"/>
      <c r="C551" s="135"/>
      <c r="D551" s="4"/>
      <c r="E551" s="136"/>
      <c r="F551" s="135"/>
      <c r="G551" s="137"/>
      <c r="H551" s="13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4"/>
      <c r="B552" s="4"/>
      <c r="C552" s="135"/>
      <c r="D552" s="4"/>
      <c r="E552" s="136"/>
      <c r="F552" s="135"/>
      <c r="G552" s="137"/>
      <c r="H552" s="13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4"/>
      <c r="B553" s="4"/>
      <c r="C553" s="135"/>
      <c r="D553" s="4"/>
      <c r="E553" s="136"/>
      <c r="F553" s="135"/>
      <c r="G553" s="137"/>
      <c r="H553" s="13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4"/>
      <c r="B554" s="4"/>
      <c r="C554" s="135"/>
      <c r="D554" s="4"/>
      <c r="E554" s="136"/>
      <c r="F554" s="135"/>
      <c r="G554" s="137"/>
      <c r="H554" s="13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4"/>
      <c r="B555" s="4"/>
      <c r="C555" s="135"/>
      <c r="D555" s="4"/>
      <c r="E555" s="136"/>
      <c r="F555" s="135"/>
      <c r="G555" s="137"/>
      <c r="H555" s="13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4"/>
      <c r="B556" s="4"/>
      <c r="C556" s="135"/>
      <c r="D556" s="4"/>
      <c r="E556" s="136"/>
      <c r="F556" s="135"/>
      <c r="G556" s="137"/>
      <c r="H556" s="13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4"/>
      <c r="B557" s="4"/>
      <c r="C557" s="135"/>
      <c r="D557" s="4"/>
      <c r="E557" s="136"/>
      <c r="F557" s="135"/>
      <c r="G557" s="137"/>
      <c r="H557" s="13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4"/>
      <c r="B558" s="4"/>
      <c r="C558" s="135"/>
      <c r="D558" s="4"/>
      <c r="E558" s="136"/>
      <c r="F558" s="135"/>
      <c r="G558" s="137"/>
      <c r="H558" s="13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4"/>
      <c r="B559" s="4"/>
      <c r="C559" s="135"/>
      <c r="D559" s="4"/>
      <c r="E559" s="136"/>
      <c r="F559" s="135"/>
      <c r="G559" s="137"/>
      <c r="H559" s="13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4"/>
      <c r="B560" s="4"/>
      <c r="C560" s="135"/>
      <c r="D560" s="4"/>
      <c r="E560" s="136"/>
      <c r="F560" s="135"/>
      <c r="G560" s="137"/>
      <c r="H560" s="13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4"/>
      <c r="B561" s="4"/>
      <c r="C561" s="135"/>
      <c r="D561" s="4"/>
      <c r="E561" s="136"/>
      <c r="F561" s="135"/>
      <c r="G561" s="137"/>
      <c r="H561" s="13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4"/>
      <c r="B562" s="4"/>
      <c r="C562" s="135"/>
      <c r="D562" s="4"/>
      <c r="E562" s="136"/>
      <c r="F562" s="135"/>
      <c r="G562" s="137"/>
      <c r="H562" s="13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4"/>
      <c r="B563" s="4"/>
      <c r="C563" s="135"/>
      <c r="D563" s="4"/>
      <c r="E563" s="136"/>
      <c r="F563" s="135"/>
      <c r="G563" s="137"/>
      <c r="H563" s="13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4"/>
      <c r="B564" s="4"/>
      <c r="C564" s="135"/>
      <c r="D564" s="4"/>
      <c r="E564" s="136"/>
      <c r="F564" s="135"/>
      <c r="G564" s="137"/>
      <c r="H564" s="13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4"/>
      <c r="B565" s="4"/>
      <c r="C565" s="135"/>
      <c r="D565" s="4"/>
      <c r="E565" s="136"/>
      <c r="F565" s="135"/>
      <c r="G565" s="137"/>
      <c r="H565" s="13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4"/>
      <c r="B566" s="4"/>
      <c r="C566" s="135"/>
      <c r="D566" s="4"/>
      <c r="E566" s="136"/>
      <c r="F566" s="135"/>
      <c r="G566" s="137"/>
      <c r="H566" s="13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4"/>
      <c r="B567" s="4"/>
      <c r="C567" s="135"/>
      <c r="D567" s="4"/>
      <c r="E567" s="136"/>
      <c r="F567" s="135"/>
      <c r="G567" s="137"/>
      <c r="H567" s="13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4"/>
      <c r="B568" s="4"/>
      <c r="C568" s="135"/>
      <c r="D568" s="4"/>
      <c r="E568" s="136"/>
      <c r="F568" s="135"/>
      <c r="G568" s="137"/>
      <c r="H568" s="13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4"/>
      <c r="B569" s="4"/>
      <c r="C569" s="135"/>
      <c r="D569" s="4"/>
      <c r="E569" s="136"/>
      <c r="F569" s="135"/>
      <c r="G569" s="137"/>
      <c r="H569" s="13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4"/>
      <c r="B570" s="4"/>
      <c r="C570" s="135"/>
      <c r="D570" s="4"/>
      <c r="E570" s="136"/>
      <c r="F570" s="135"/>
      <c r="G570" s="137"/>
      <c r="H570" s="13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4"/>
      <c r="B571" s="4"/>
      <c r="C571" s="135"/>
      <c r="D571" s="4"/>
      <c r="E571" s="136"/>
      <c r="F571" s="135"/>
      <c r="G571" s="137"/>
      <c r="H571" s="13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4"/>
      <c r="B572" s="4"/>
      <c r="C572" s="135"/>
      <c r="D572" s="4"/>
      <c r="E572" s="136"/>
      <c r="F572" s="135"/>
      <c r="G572" s="137"/>
      <c r="H572" s="13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4"/>
      <c r="B573" s="4"/>
      <c r="C573" s="135"/>
      <c r="D573" s="4"/>
      <c r="E573" s="136"/>
      <c r="F573" s="135"/>
      <c r="G573" s="137"/>
      <c r="H573" s="13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4"/>
      <c r="B574" s="4"/>
      <c r="C574" s="135"/>
      <c r="D574" s="4"/>
      <c r="E574" s="136"/>
      <c r="F574" s="135"/>
      <c r="G574" s="137"/>
      <c r="H574" s="13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4"/>
      <c r="B575" s="4"/>
      <c r="C575" s="135"/>
      <c r="D575" s="4"/>
      <c r="E575" s="136"/>
      <c r="F575" s="135"/>
      <c r="G575" s="137"/>
      <c r="H575" s="13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4"/>
      <c r="B576" s="4"/>
      <c r="C576" s="135"/>
      <c r="D576" s="4"/>
      <c r="E576" s="136"/>
      <c r="F576" s="135"/>
      <c r="G576" s="137"/>
      <c r="H576" s="13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4"/>
      <c r="B577" s="4"/>
      <c r="C577" s="135"/>
      <c r="D577" s="4"/>
      <c r="E577" s="136"/>
      <c r="F577" s="135"/>
      <c r="G577" s="137"/>
      <c r="H577" s="13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4"/>
      <c r="B578" s="4"/>
      <c r="C578" s="135"/>
      <c r="D578" s="4"/>
      <c r="E578" s="136"/>
      <c r="F578" s="135"/>
      <c r="G578" s="137"/>
      <c r="H578" s="13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4"/>
      <c r="B579" s="4"/>
      <c r="C579" s="135"/>
      <c r="D579" s="4"/>
      <c r="E579" s="136"/>
      <c r="F579" s="135"/>
      <c r="G579" s="137"/>
      <c r="H579" s="13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4"/>
      <c r="B580" s="4"/>
      <c r="C580" s="135"/>
      <c r="D580" s="4"/>
      <c r="E580" s="136"/>
      <c r="F580" s="135"/>
      <c r="G580" s="137"/>
      <c r="H580" s="13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4"/>
      <c r="B581" s="4"/>
      <c r="C581" s="135"/>
      <c r="D581" s="4"/>
      <c r="E581" s="136"/>
      <c r="F581" s="135"/>
      <c r="G581" s="137"/>
      <c r="H581" s="13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4"/>
      <c r="B582" s="4"/>
      <c r="C582" s="135"/>
      <c r="D582" s="4"/>
      <c r="E582" s="136"/>
      <c r="F582" s="135"/>
      <c r="G582" s="137"/>
      <c r="H582" s="13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4"/>
      <c r="B583" s="4"/>
      <c r="C583" s="135"/>
      <c r="D583" s="4"/>
      <c r="E583" s="136"/>
      <c r="F583" s="135"/>
      <c r="G583" s="137"/>
      <c r="H583" s="13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4"/>
      <c r="B584" s="4"/>
      <c r="C584" s="135"/>
      <c r="D584" s="4"/>
      <c r="E584" s="136"/>
      <c r="F584" s="135"/>
      <c r="G584" s="137"/>
      <c r="H584" s="13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4"/>
      <c r="B585" s="4"/>
      <c r="C585" s="135"/>
      <c r="D585" s="4"/>
      <c r="E585" s="136"/>
      <c r="F585" s="135"/>
      <c r="G585" s="137"/>
      <c r="H585" s="13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4"/>
      <c r="B586" s="4"/>
      <c r="C586" s="135"/>
      <c r="D586" s="4"/>
      <c r="E586" s="136"/>
      <c r="F586" s="135"/>
      <c r="G586" s="137"/>
      <c r="H586" s="13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4"/>
      <c r="B587" s="4"/>
      <c r="C587" s="135"/>
      <c r="D587" s="4"/>
      <c r="E587" s="136"/>
      <c r="F587" s="135"/>
      <c r="G587" s="137"/>
      <c r="H587" s="13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4"/>
      <c r="B588" s="4"/>
      <c r="C588" s="135"/>
      <c r="D588" s="4"/>
      <c r="E588" s="136"/>
      <c r="F588" s="135"/>
      <c r="G588" s="137"/>
      <c r="H588" s="13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4"/>
      <c r="B589" s="4"/>
      <c r="C589" s="135"/>
      <c r="D589" s="4"/>
      <c r="E589" s="136"/>
      <c r="F589" s="135"/>
      <c r="G589" s="137"/>
      <c r="H589" s="13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4"/>
      <c r="B590" s="4"/>
      <c r="C590" s="135"/>
      <c r="D590" s="4"/>
      <c r="E590" s="136"/>
      <c r="F590" s="135"/>
      <c r="G590" s="137"/>
      <c r="H590" s="13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4"/>
      <c r="B591" s="4"/>
      <c r="C591" s="135"/>
      <c r="D591" s="4"/>
      <c r="E591" s="136"/>
      <c r="F591" s="135"/>
      <c r="G591" s="137"/>
      <c r="H591" s="13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4"/>
      <c r="B592" s="4"/>
      <c r="C592" s="135"/>
      <c r="D592" s="4"/>
      <c r="E592" s="136"/>
      <c r="F592" s="135"/>
      <c r="G592" s="137"/>
      <c r="H592" s="13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4"/>
      <c r="B593" s="4"/>
      <c r="C593" s="135"/>
      <c r="D593" s="4"/>
      <c r="E593" s="136"/>
      <c r="F593" s="135"/>
      <c r="G593" s="137"/>
      <c r="H593" s="13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4"/>
      <c r="B594" s="4"/>
      <c r="C594" s="135"/>
      <c r="D594" s="4"/>
      <c r="E594" s="136"/>
      <c r="F594" s="135"/>
      <c r="G594" s="137"/>
      <c r="H594" s="13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4"/>
      <c r="B595" s="4"/>
      <c r="C595" s="135"/>
      <c r="D595" s="4"/>
      <c r="E595" s="136"/>
      <c r="F595" s="135"/>
      <c r="G595" s="137"/>
      <c r="H595" s="13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4"/>
      <c r="B596" s="4"/>
      <c r="C596" s="135"/>
      <c r="D596" s="4"/>
      <c r="E596" s="136"/>
      <c r="F596" s="135"/>
      <c r="G596" s="137"/>
      <c r="H596" s="13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4"/>
      <c r="B597" s="4"/>
      <c r="C597" s="135"/>
      <c r="D597" s="4"/>
      <c r="E597" s="136"/>
      <c r="F597" s="135"/>
      <c r="G597" s="137"/>
      <c r="H597" s="13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4"/>
      <c r="B598" s="4"/>
      <c r="C598" s="135"/>
      <c r="D598" s="4"/>
      <c r="E598" s="136"/>
      <c r="F598" s="135"/>
      <c r="G598" s="137"/>
      <c r="H598" s="13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4"/>
      <c r="B599" s="4"/>
      <c r="C599" s="135"/>
      <c r="D599" s="4"/>
      <c r="E599" s="136"/>
      <c r="F599" s="135"/>
      <c r="G599" s="137"/>
      <c r="H599" s="13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4"/>
      <c r="B600" s="4"/>
      <c r="C600" s="135"/>
      <c r="D600" s="4"/>
      <c r="E600" s="136"/>
      <c r="F600" s="135"/>
      <c r="G600" s="137"/>
      <c r="H600" s="13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4"/>
      <c r="B601" s="4"/>
      <c r="C601" s="135"/>
      <c r="D601" s="4"/>
      <c r="E601" s="136"/>
      <c r="F601" s="135"/>
      <c r="G601" s="137"/>
      <c r="H601" s="13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4"/>
      <c r="B602" s="4"/>
      <c r="C602" s="135"/>
      <c r="D602" s="4"/>
      <c r="E602" s="136"/>
      <c r="F602" s="135"/>
      <c r="G602" s="137"/>
      <c r="H602" s="13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4"/>
      <c r="B603" s="4"/>
      <c r="C603" s="135"/>
      <c r="D603" s="4"/>
      <c r="E603" s="136"/>
      <c r="F603" s="135"/>
      <c r="G603" s="137"/>
      <c r="H603" s="13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4"/>
      <c r="B604" s="4"/>
      <c r="C604" s="135"/>
      <c r="D604" s="4"/>
      <c r="E604" s="136"/>
      <c r="F604" s="135"/>
      <c r="G604" s="137"/>
      <c r="H604" s="13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4"/>
      <c r="B605" s="4"/>
      <c r="C605" s="135"/>
      <c r="D605" s="4"/>
      <c r="E605" s="136"/>
      <c r="F605" s="135"/>
      <c r="G605" s="137"/>
      <c r="H605" s="13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4"/>
      <c r="B606" s="4"/>
      <c r="C606" s="135"/>
      <c r="D606" s="4"/>
      <c r="E606" s="136"/>
      <c r="F606" s="135"/>
      <c r="G606" s="137"/>
      <c r="H606" s="13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4"/>
      <c r="B607" s="4"/>
      <c r="C607" s="135"/>
      <c r="D607" s="4"/>
      <c r="E607" s="136"/>
      <c r="F607" s="135"/>
      <c r="G607" s="137"/>
      <c r="H607" s="13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4"/>
      <c r="B608" s="4"/>
      <c r="C608" s="135"/>
      <c r="D608" s="4"/>
      <c r="E608" s="136"/>
      <c r="F608" s="135"/>
      <c r="G608" s="137"/>
      <c r="H608" s="13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4"/>
      <c r="B609" s="4"/>
      <c r="C609" s="135"/>
      <c r="D609" s="4"/>
      <c r="E609" s="136"/>
      <c r="F609" s="135"/>
      <c r="G609" s="137"/>
      <c r="H609" s="13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4"/>
      <c r="B610" s="4"/>
      <c r="C610" s="135"/>
      <c r="D610" s="4"/>
      <c r="E610" s="136"/>
      <c r="F610" s="135"/>
      <c r="G610" s="137"/>
      <c r="H610" s="13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4"/>
      <c r="B611" s="4"/>
      <c r="C611" s="135"/>
      <c r="D611" s="4"/>
      <c r="E611" s="136"/>
      <c r="F611" s="135"/>
      <c r="G611" s="137"/>
      <c r="H611" s="13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4"/>
      <c r="B612" s="4"/>
      <c r="C612" s="135"/>
      <c r="D612" s="4"/>
      <c r="E612" s="136"/>
      <c r="F612" s="135"/>
      <c r="G612" s="137"/>
      <c r="H612" s="13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4"/>
      <c r="B613" s="4"/>
      <c r="C613" s="135"/>
      <c r="D613" s="4"/>
      <c r="E613" s="136"/>
      <c r="F613" s="135"/>
      <c r="G613" s="137"/>
      <c r="H613" s="13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4"/>
      <c r="B614" s="4"/>
      <c r="C614" s="135"/>
      <c r="D614" s="4"/>
      <c r="E614" s="136"/>
      <c r="F614" s="135"/>
      <c r="G614" s="137"/>
      <c r="H614" s="13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4"/>
      <c r="B615" s="4"/>
      <c r="C615" s="135"/>
      <c r="D615" s="4"/>
      <c r="E615" s="136"/>
      <c r="F615" s="135"/>
      <c r="G615" s="137"/>
      <c r="H615" s="13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4"/>
      <c r="B616" s="4"/>
      <c r="C616" s="135"/>
      <c r="D616" s="4"/>
      <c r="E616" s="136"/>
      <c r="F616" s="135"/>
      <c r="G616" s="137"/>
      <c r="H616" s="13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4"/>
      <c r="B617" s="4"/>
      <c r="C617" s="135"/>
      <c r="D617" s="4"/>
      <c r="E617" s="136"/>
      <c r="F617" s="135"/>
      <c r="G617" s="137"/>
      <c r="H617" s="13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4"/>
      <c r="B618" s="4"/>
      <c r="C618" s="135"/>
      <c r="D618" s="4"/>
      <c r="E618" s="136"/>
      <c r="F618" s="135"/>
      <c r="G618" s="137"/>
      <c r="H618" s="13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4"/>
      <c r="B619" s="4"/>
      <c r="C619" s="135"/>
      <c r="D619" s="4"/>
      <c r="E619" s="136"/>
      <c r="F619" s="135"/>
      <c r="G619" s="137"/>
      <c r="H619" s="13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4"/>
      <c r="B620" s="4"/>
      <c r="C620" s="135"/>
      <c r="D620" s="4"/>
      <c r="E620" s="136"/>
      <c r="F620" s="135"/>
      <c r="G620" s="137"/>
      <c r="H620" s="13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4"/>
      <c r="B621" s="4"/>
      <c r="C621" s="135"/>
      <c r="D621" s="4"/>
      <c r="E621" s="136"/>
      <c r="F621" s="135"/>
      <c r="G621" s="137"/>
      <c r="H621" s="13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4"/>
      <c r="B622" s="4"/>
      <c r="C622" s="135"/>
      <c r="D622" s="4"/>
      <c r="E622" s="136"/>
      <c r="F622" s="135"/>
      <c r="G622" s="137"/>
      <c r="H622" s="13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4"/>
      <c r="B623" s="4"/>
      <c r="C623" s="135"/>
      <c r="D623" s="4"/>
      <c r="E623" s="136"/>
      <c r="F623" s="135"/>
      <c r="G623" s="137"/>
      <c r="H623" s="13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4"/>
      <c r="B624" s="4"/>
      <c r="C624" s="135"/>
      <c r="D624" s="4"/>
      <c r="E624" s="136"/>
      <c r="F624" s="135"/>
      <c r="G624" s="137"/>
      <c r="H624" s="13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4"/>
      <c r="B625" s="4"/>
      <c r="C625" s="135"/>
      <c r="D625" s="4"/>
      <c r="E625" s="136"/>
      <c r="F625" s="135"/>
      <c r="G625" s="137"/>
      <c r="H625" s="13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4"/>
      <c r="B626" s="4"/>
      <c r="C626" s="135"/>
      <c r="D626" s="4"/>
      <c r="E626" s="136"/>
      <c r="F626" s="135"/>
      <c r="G626" s="137"/>
      <c r="H626" s="13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4"/>
      <c r="B627" s="4"/>
      <c r="C627" s="135"/>
      <c r="D627" s="4"/>
      <c r="E627" s="136"/>
      <c r="F627" s="135"/>
      <c r="G627" s="137"/>
      <c r="H627" s="13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4"/>
      <c r="B628" s="4"/>
      <c r="C628" s="135"/>
      <c r="D628" s="4"/>
      <c r="E628" s="136"/>
      <c r="F628" s="135"/>
      <c r="G628" s="137"/>
      <c r="H628" s="13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4"/>
      <c r="B629" s="4"/>
      <c r="C629" s="135"/>
      <c r="D629" s="4"/>
      <c r="E629" s="136"/>
      <c r="F629" s="135"/>
      <c r="G629" s="137"/>
      <c r="H629" s="13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4"/>
      <c r="B630" s="4"/>
      <c r="C630" s="135"/>
      <c r="D630" s="4"/>
      <c r="E630" s="136"/>
      <c r="F630" s="135"/>
      <c r="G630" s="137"/>
      <c r="H630" s="13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4"/>
      <c r="B631" s="4"/>
      <c r="C631" s="135"/>
      <c r="D631" s="4"/>
      <c r="E631" s="136"/>
      <c r="F631" s="135"/>
      <c r="G631" s="137"/>
      <c r="H631" s="13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4"/>
      <c r="B632" s="4"/>
      <c r="C632" s="135"/>
      <c r="D632" s="4"/>
      <c r="E632" s="136"/>
      <c r="F632" s="135"/>
      <c r="G632" s="137"/>
      <c r="H632" s="13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4"/>
      <c r="B633" s="4"/>
      <c r="C633" s="135"/>
      <c r="D633" s="4"/>
      <c r="E633" s="136"/>
      <c r="F633" s="135"/>
      <c r="G633" s="137"/>
      <c r="H633" s="13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4"/>
      <c r="B634" s="4"/>
      <c r="C634" s="135"/>
      <c r="D634" s="4"/>
      <c r="E634" s="136"/>
      <c r="F634" s="135"/>
      <c r="G634" s="137"/>
      <c r="H634" s="13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4"/>
      <c r="B635" s="4"/>
      <c r="C635" s="135"/>
      <c r="D635" s="4"/>
      <c r="E635" s="136"/>
      <c r="F635" s="135"/>
      <c r="G635" s="137"/>
      <c r="H635" s="13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4"/>
      <c r="B636" s="4"/>
      <c r="C636" s="135"/>
      <c r="D636" s="4"/>
      <c r="E636" s="136"/>
      <c r="F636" s="135"/>
      <c r="G636" s="137"/>
      <c r="H636" s="13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4"/>
      <c r="B637" s="4"/>
      <c r="C637" s="135"/>
      <c r="D637" s="4"/>
      <c r="E637" s="136"/>
      <c r="F637" s="135"/>
      <c r="G637" s="137"/>
      <c r="H637" s="13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4"/>
      <c r="B638" s="4"/>
      <c r="C638" s="135"/>
      <c r="D638" s="4"/>
      <c r="E638" s="136"/>
      <c r="F638" s="135"/>
      <c r="G638" s="137"/>
      <c r="H638" s="13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4"/>
      <c r="B639" s="4"/>
      <c r="C639" s="135"/>
      <c r="D639" s="4"/>
      <c r="E639" s="136"/>
      <c r="F639" s="135"/>
      <c r="G639" s="137"/>
      <c r="H639" s="13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4"/>
      <c r="B640" s="4"/>
      <c r="C640" s="135"/>
      <c r="D640" s="4"/>
      <c r="E640" s="136"/>
      <c r="F640" s="135"/>
      <c r="G640" s="137"/>
      <c r="H640" s="13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4"/>
      <c r="B641" s="4"/>
      <c r="C641" s="135"/>
      <c r="D641" s="4"/>
      <c r="E641" s="136"/>
      <c r="F641" s="135"/>
      <c r="G641" s="137"/>
      <c r="H641" s="13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4"/>
      <c r="B642" s="4"/>
      <c r="C642" s="135"/>
      <c r="D642" s="4"/>
      <c r="E642" s="136"/>
      <c r="F642" s="135"/>
      <c r="G642" s="137"/>
      <c r="H642" s="13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4"/>
      <c r="B643" s="4"/>
      <c r="C643" s="135"/>
      <c r="D643" s="4"/>
      <c r="E643" s="136"/>
      <c r="F643" s="135"/>
      <c r="G643" s="137"/>
      <c r="H643" s="13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4"/>
      <c r="B644" s="4"/>
      <c r="C644" s="135"/>
      <c r="D644" s="4"/>
      <c r="E644" s="136"/>
      <c r="F644" s="135"/>
      <c r="G644" s="137"/>
      <c r="H644" s="13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4"/>
      <c r="B645" s="4"/>
      <c r="C645" s="135"/>
      <c r="D645" s="4"/>
      <c r="E645" s="136"/>
      <c r="F645" s="135"/>
      <c r="G645" s="137"/>
      <c r="H645" s="13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4"/>
      <c r="B646" s="4"/>
      <c r="C646" s="135"/>
      <c r="D646" s="4"/>
      <c r="E646" s="136"/>
      <c r="F646" s="135"/>
      <c r="G646" s="137"/>
      <c r="H646" s="13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4"/>
      <c r="B647" s="4"/>
      <c r="C647" s="135"/>
      <c r="D647" s="4"/>
      <c r="E647" s="136"/>
      <c r="F647" s="135"/>
      <c r="G647" s="137"/>
      <c r="H647" s="13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4"/>
      <c r="B648" s="4"/>
      <c r="C648" s="135"/>
      <c r="D648" s="4"/>
      <c r="E648" s="136"/>
      <c r="F648" s="135"/>
      <c r="G648" s="137"/>
      <c r="H648" s="13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4"/>
      <c r="B649" s="4"/>
      <c r="C649" s="135"/>
      <c r="D649" s="4"/>
      <c r="E649" s="136"/>
      <c r="F649" s="135"/>
      <c r="G649" s="137"/>
      <c r="H649" s="13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4"/>
      <c r="B650" s="4"/>
      <c r="C650" s="135"/>
      <c r="D650" s="4"/>
      <c r="E650" s="136"/>
      <c r="F650" s="135"/>
      <c r="G650" s="137"/>
      <c r="H650" s="13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4"/>
      <c r="B651" s="4"/>
      <c r="C651" s="135"/>
      <c r="D651" s="4"/>
      <c r="E651" s="136"/>
      <c r="F651" s="135"/>
      <c r="G651" s="137"/>
      <c r="H651" s="13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4"/>
      <c r="B652" s="4"/>
      <c r="C652" s="135"/>
      <c r="D652" s="4"/>
      <c r="E652" s="136"/>
      <c r="F652" s="135"/>
      <c r="G652" s="137"/>
      <c r="H652" s="13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4"/>
      <c r="B653" s="4"/>
      <c r="C653" s="135"/>
      <c r="D653" s="4"/>
      <c r="E653" s="136"/>
      <c r="F653" s="135"/>
      <c r="G653" s="137"/>
      <c r="H653" s="13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4"/>
      <c r="B654" s="4"/>
      <c r="C654" s="135"/>
      <c r="D654" s="4"/>
      <c r="E654" s="136"/>
      <c r="F654" s="135"/>
      <c r="G654" s="137"/>
      <c r="H654" s="13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4"/>
      <c r="B655" s="4"/>
      <c r="C655" s="135"/>
      <c r="D655" s="4"/>
      <c r="E655" s="136"/>
      <c r="F655" s="135"/>
      <c r="G655" s="137"/>
      <c r="H655" s="13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4"/>
      <c r="B656" s="4"/>
      <c r="C656" s="135"/>
      <c r="D656" s="4"/>
      <c r="E656" s="136"/>
      <c r="F656" s="135"/>
      <c r="G656" s="137"/>
      <c r="H656" s="13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4"/>
      <c r="B657" s="4"/>
      <c r="C657" s="135"/>
      <c r="D657" s="4"/>
      <c r="E657" s="136"/>
      <c r="F657" s="135"/>
      <c r="G657" s="137"/>
      <c r="H657" s="13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4"/>
      <c r="B658" s="4"/>
      <c r="C658" s="135"/>
      <c r="D658" s="4"/>
      <c r="E658" s="136"/>
      <c r="F658" s="135"/>
      <c r="G658" s="137"/>
      <c r="H658" s="13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4"/>
      <c r="B659" s="4"/>
      <c r="C659" s="135"/>
      <c r="D659" s="4"/>
      <c r="E659" s="136"/>
      <c r="F659" s="135"/>
      <c r="G659" s="137"/>
      <c r="H659" s="13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4"/>
      <c r="B660" s="4"/>
      <c r="C660" s="135"/>
      <c r="D660" s="4"/>
      <c r="E660" s="136"/>
      <c r="F660" s="135"/>
      <c r="G660" s="137"/>
      <c r="H660" s="13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4"/>
      <c r="B661" s="4"/>
      <c r="C661" s="135"/>
      <c r="D661" s="4"/>
      <c r="E661" s="136"/>
      <c r="F661" s="135"/>
      <c r="G661" s="137"/>
      <c r="H661" s="13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4"/>
      <c r="B662" s="4"/>
      <c r="C662" s="135"/>
      <c r="D662" s="4"/>
      <c r="E662" s="136"/>
      <c r="F662" s="135"/>
      <c r="G662" s="137"/>
      <c r="H662" s="13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4"/>
      <c r="B663" s="4"/>
      <c r="C663" s="135"/>
      <c r="D663" s="4"/>
      <c r="E663" s="136"/>
      <c r="F663" s="135"/>
      <c r="G663" s="137"/>
      <c r="H663" s="13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4"/>
      <c r="B664" s="4"/>
      <c r="C664" s="135"/>
      <c r="D664" s="4"/>
      <c r="E664" s="136"/>
      <c r="F664" s="135"/>
      <c r="G664" s="137"/>
      <c r="H664" s="13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4"/>
      <c r="B665" s="4"/>
      <c r="C665" s="135"/>
      <c r="D665" s="4"/>
      <c r="E665" s="136"/>
      <c r="F665" s="135"/>
      <c r="G665" s="137"/>
      <c r="H665" s="13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4"/>
      <c r="B666" s="4"/>
      <c r="C666" s="135"/>
      <c r="D666" s="4"/>
      <c r="E666" s="136"/>
      <c r="F666" s="135"/>
      <c r="G666" s="137"/>
      <c r="H666" s="13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4"/>
      <c r="B667" s="4"/>
      <c r="C667" s="135"/>
      <c r="D667" s="4"/>
      <c r="E667" s="136"/>
      <c r="F667" s="135"/>
      <c r="G667" s="137"/>
      <c r="H667" s="13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4"/>
      <c r="B668" s="4"/>
      <c r="C668" s="135"/>
      <c r="D668" s="4"/>
      <c r="E668" s="136"/>
      <c r="F668" s="135"/>
      <c r="G668" s="137"/>
      <c r="H668" s="13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4"/>
      <c r="B669" s="4"/>
      <c r="C669" s="135"/>
      <c r="D669" s="4"/>
      <c r="E669" s="136"/>
      <c r="F669" s="135"/>
      <c r="G669" s="137"/>
      <c r="H669" s="13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4"/>
      <c r="B670" s="4"/>
      <c r="C670" s="135"/>
      <c r="D670" s="4"/>
      <c r="E670" s="136"/>
      <c r="F670" s="135"/>
      <c r="G670" s="137"/>
      <c r="H670" s="13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4"/>
      <c r="B671" s="4"/>
      <c r="C671" s="135"/>
      <c r="D671" s="4"/>
      <c r="E671" s="136"/>
      <c r="F671" s="135"/>
      <c r="G671" s="137"/>
      <c r="H671" s="13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4"/>
      <c r="B672" s="4"/>
      <c r="C672" s="135"/>
      <c r="D672" s="4"/>
      <c r="E672" s="136"/>
      <c r="F672" s="135"/>
      <c r="G672" s="137"/>
      <c r="H672" s="13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4"/>
      <c r="B673" s="4"/>
      <c r="C673" s="135"/>
      <c r="D673" s="4"/>
      <c r="E673" s="136"/>
      <c r="F673" s="135"/>
      <c r="G673" s="137"/>
      <c r="H673" s="13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4"/>
      <c r="B674" s="4"/>
      <c r="C674" s="135"/>
      <c r="D674" s="4"/>
      <c r="E674" s="136"/>
      <c r="F674" s="135"/>
      <c r="G674" s="137"/>
      <c r="H674" s="13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4"/>
      <c r="B675" s="4"/>
      <c r="C675" s="135"/>
      <c r="D675" s="4"/>
      <c r="E675" s="136"/>
      <c r="F675" s="135"/>
      <c r="G675" s="137"/>
      <c r="H675" s="13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4"/>
      <c r="B676" s="4"/>
      <c r="C676" s="135"/>
      <c r="D676" s="4"/>
      <c r="E676" s="136"/>
      <c r="F676" s="135"/>
      <c r="G676" s="137"/>
      <c r="H676" s="13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4"/>
      <c r="B677" s="4"/>
      <c r="C677" s="135"/>
      <c r="D677" s="4"/>
      <c r="E677" s="136"/>
      <c r="F677" s="135"/>
      <c r="G677" s="137"/>
      <c r="H677" s="13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4"/>
      <c r="B678" s="4"/>
      <c r="C678" s="135"/>
      <c r="D678" s="4"/>
      <c r="E678" s="136"/>
      <c r="F678" s="135"/>
      <c r="G678" s="137"/>
      <c r="H678" s="13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4"/>
      <c r="B679" s="4"/>
      <c r="C679" s="135"/>
      <c r="D679" s="4"/>
      <c r="E679" s="136"/>
      <c r="F679" s="135"/>
      <c r="G679" s="137"/>
      <c r="H679" s="13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4"/>
      <c r="B680" s="4"/>
      <c r="C680" s="135"/>
      <c r="D680" s="4"/>
      <c r="E680" s="136"/>
      <c r="F680" s="135"/>
      <c r="G680" s="137"/>
      <c r="H680" s="13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4"/>
      <c r="B681" s="4"/>
      <c r="C681" s="135"/>
      <c r="D681" s="4"/>
      <c r="E681" s="136"/>
      <c r="F681" s="135"/>
      <c r="G681" s="137"/>
      <c r="H681" s="13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4"/>
      <c r="B682" s="4"/>
      <c r="C682" s="135"/>
      <c r="D682" s="4"/>
      <c r="E682" s="136"/>
      <c r="F682" s="135"/>
      <c r="G682" s="137"/>
      <c r="H682" s="13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4"/>
      <c r="B683" s="4"/>
      <c r="C683" s="135"/>
      <c r="D683" s="4"/>
      <c r="E683" s="136"/>
      <c r="F683" s="135"/>
      <c r="G683" s="137"/>
      <c r="H683" s="13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4"/>
      <c r="B684" s="4"/>
      <c r="C684" s="135"/>
      <c r="D684" s="4"/>
      <c r="E684" s="136"/>
      <c r="F684" s="135"/>
      <c r="G684" s="137"/>
      <c r="H684" s="13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4"/>
      <c r="B685" s="4"/>
      <c r="C685" s="135"/>
      <c r="D685" s="4"/>
      <c r="E685" s="136"/>
      <c r="F685" s="135"/>
      <c r="G685" s="137"/>
      <c r="H685" s="13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4"/>
      <c r="B686" s="4"/>
      <c r="C686" s="135"/>
      <c r="D686" s="4"/>
      <c r="E686" s="136"/>
      <c r="F686" s="135"/>
      <c r="G686" s="137"/>
      <c r="H686" s="13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4"/>
      <c r="B687" s="4"/>
      <c r="C687" s="135"/>
      <c r="D687" s="4"/>
      <c r="E687" s="136"/>
      <c r="F687" s="135"/>
      <c r="G687" s="137"/>
      <c r="H687" s="13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4"/>
      <c r="B688" s="4"/>
      <c r="C688" s="135"/>
      <c r="D688" s="4"/>
      <c r="E688" s="136"/>
      <c r="F688" s="135"/>
      <c r="G688" s="137"/>
      <c r="H688" s="13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4"/>
      <c r="B689" s="4"/>
      <c r="C689" s="135"/>
      <c r="D689" s="4"/>
      <c r="E689" s="136"/>
      <c r="F689" s="135"/>
      <c r="G689" s="137"/>
      <c r="H689" s="13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4"/>
      <c r="B690" s="4"/>
      <c r="C690" s="135"/>
      <c r="D690" s="4"/>
      <c r="E690" s="136"/>
      <c r="F690" s="135"/>
      <c r="G690" s="137"/>
      <c r="H690" s="13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4"/>
      <c r="B691" s="4"/>
      <c r="C691" s="135"/>
      <c r="D691" s="4"/>
      <c r="E691" s="136"/>
      <c r="F691" s="135"/>
      <c r="G691" s="137"/>
      <c r="H691" s="13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4"/>
      <c r="B692" s="4"/>
      <c r="C692" s="135"/>
      <c r="D692" s="4"/>
      <c r="E692" s="136"/>
      <c r="F692" s="135"/>
      <c r="G692" s="137"/>
      <c r="H692" s="13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4"/>
      <c r="B693" s="4"/>
      <c r="C693" s="135"/>
      <c r="D693" s="4"/>
      <c r="E693" s="136"/>
      <c r="F693" s="135"/>
      <c r="G693" s="137"/>
      <c r="H693" s="13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4"/>
      <c r="B694" s="4"/>
      <c r="C694" s="135"/>
      <c r="D694" s="4"/>
      <c r="E694" s="136"/>
      <c r="F694" s="135"/>
      <c r="G694" s="137"/>
      <c r="H694" s="13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4"/>
      <c r="B695" s="4"/>
      <c r="C695" s="135"/>
      <c r="D695" s="4"/>
      <c r="E695" s="136"/>
      <c r="F695" s="135"/>
      <c r="G695" s="137"/>
      <c r="H695" s="13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4"/>
      <c r="B696" s="4"/>
      <c r="C696" s="135"/>
      <c r="D696" s="4"/>
      <c r="E696" s="136"/>
      <c r="F696" s="135"/>
      <c r="G696" s="137"/>
      <c r="H696" s="13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4"/>
      <c r="B697" s="4"/>
      <c r="C697" s="135"/>
      <c r="D697" s="4"/>
      <c r="E697" s="136"/>
      <c r="F697" s="135"/>
      <c r="G697" s="137"/>
      <c r="H697" s="13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4"/>
      <c r="B698" s="4"/>
      <c r="C698" s="135"/>
      <c r="D698" s="4"/>
      <c r="E698" s="136"/>
      <c r="F698" s="135"/>
      <c r="G698" s="137"/>
      <c r="H698" s="13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4"/>
      <c r="B699" s="4"/>
      <c r="C699" s="135"/>
      <c r="D699" s="4"/>
      <c r="E699" s="136"/>
      <c r="F699" s="135"/>
      <c r="G699" s="137"/>
      <c r="H699" s="13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4"/>
      <c r="B700" s="4"/>
      <c r="C700" s="135"/>
      <c r="D700" s="4"/>
      <c r="E700" s="136"/>
      <c r="F700" s="135"/>
      <c r="G700" s="137"/>
      <c r="H700" s="13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4"/>
      <c r="B701" s="4"/>
      <c r="C701" s="135"/>
      <c r="D701" s="4"/>
      <c r="E701" s="136"/>
      <c r="F701" s="135"/>
      <c r="G701" s="137"/>
      <c r="H701" s="13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4"/>
      <c r="B702" s="4"/>
      <c r="C702" s="135"/>
      <c r="D702" s="4"/>
      <c r="E702" s="136"/>
      <c r="F702" s="135"/>
      <c r="G702" s="137"/>
      <c r="H702" s="13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4"/>
      <c r="B703" s="4"/>
      <c r="C703" s="135"/>
      <c r="D703" s="4"/>
      <c r="E703" s="136"/>
      <c r="F703" s="135"/>
      <c r="G703" s="137"/>
      <c r="H703" s="13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4"/>
      <c r="B704" s="4"/>
      <c r="C704" s="135"/>
      <c r="D704" s="4"/>
      <c r="E704" s="136"/>
      <c r="F704" s="135"/>
      <c r="G704" s="137"/>
      <c r="H704" s="13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4"/>
      <c r="B705" s="4"/>
      <c r="C705" s="135"/>
      <c r="D705" s="4"/>
      <c r="E705" s="136"/>
      <c r="F705" s="135"/>
      <c r="G705" s="137"/>
      <c r="H705" s="13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4"/>
      <c r="B706" s="4"/>
      <c r="C706" s="135"/>
      <c r="D706" s="4"/>
      <c r="E706" s="136"/>
      <c r="F706" s="135"/>
      <c r="G706" s="137"/>
      <c r="H706" s="13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4"/>
      <c r="B707" s="4"/>
      <c r="C707" s="135"/>
      <c r="D707" s="4"/>
      <c r="E707" s="136"/>
      <c r="F707" s="135"/>
      <c r="G707" s="137"/>
      <c r="H707" s="13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4"/>
      <c r="B708" s="4"/>
      <c r="C708" s="135"/>
      <c r="D708" s="4"/>
      <c r="E708" s="136"/>
      <c r="F708" s="135"/>
      <c r="G708" s="137"/>
      <c r="H708" s="13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4"/>
      <c r="B709" s="4"/>
      <c r="C709" s="135"/>
      <c r="D709" s="4"/>
      <c r="E709" s="136"/>
      <c r="F709" s="135"/>
      <c r="G709" s="137"/>
      <c r="H709" s="13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4"/>
      <c r="B710" s="4"/>
      <c r="C710" s="135"/>
      <c r="D710" s="4"/>
      <c r="E710" s="136"/>
      <c r="F710" s="135"/>
      <c r="G710" s="137"/>
      <c r="H710" s="13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4"/>
      <c r="B711" s="4"/>
      <c r="C711" s="135"/>
      <c r="D711" s="4"/>
      <c r="E711" s="136"/>
      <c r="F711" s="135"/>
      <c r="G711" s="137"/>
      <c r="H711" s="13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4"/>
      <c r="B712" s="4"/>
      <c r="C712" s="135"/>
      <c r="D712" s="4"/>
      <c r="E712" s="136"/>
      <c r="F712" s="135"/>
      <c r="G712" s="137"/>
      <c r="H712" s="13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4"/>
      <c r="B713" s="4"/>
      <c r="C713" s="135"/>
      <c r="D713" s="4"/>
      <c r="E713" s="136"/>
      <c r="F713" s="135"/>
      <c r="G713" s="137"/>
      <c r="H713" s="13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4"/>
      <c r="B714" s="4"/>
      <c r="C714" s="135"/>
      <c r="D714" s="4"/>
      <c r="E714" s="136"/>
      <c r="F714" s="135"/>
      <c r="G714" s="137"/>
      <c r="H714" s="13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4"/>
      <c r="B715" s="4"/>
      <c r="C715" s="135"/>
      <c r="D715" s="4"/>
      <c r="E715" s="136"/>
      <c r="F715" s="135"/>
      <c r="G715" s="137"/>
      <c r="H715" s="13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4"/>
      <c r="B716" s="4"/>
      <c r="C716" s="135"/>
      <c r="D716" s="4"/>
      <c r="E716" s="136"/>
      <c r="F716" s="135"/>
      <c r="G716" s="137"/>
      <c r="H716" s="13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4"/>
      <c r="B717" s="4"/>
      <c r="C717" s="135"/>
      <c r="D717" s="4"/>
      <c r="E717" s="136"/>
      <c r="F717" s="135"/>
      <c r="G717" s="137"/>
      <c r="H717" s="13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4"/>
      <c r="B718" s="4"/>
      <c r="C718" s="135"/>
      <c r="D718" s="4"/>
      <c r="E718" s="136"/>
      <c r="F718" s="135"/>
      <c r="G718" s="137"/>
      <c r="H718" s="13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4"/>
      <c r="B719" s="4"/>
      <c r="C719" s="135"/>
      <c r="D719" s="4"/>
      <c r="E719" s="136"/>
      <c r="F719" s="135"/>
      <c r="G719" s="137"/>
      <c r="H719" s="13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4"/>
      <c r="B720" s="4"/>
      <c r="C720" s="135"/>
      <c r="D720" s="4"/>
      <c r="E720" s="136"/>
      <c r="F720" s="135"/>
      <c r="G720" s="137"/>
      <c r="H720" s="13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4"/>
      <c r="B721" s="4"/>
      <c r="C721" s="135"/>
      <c r="D721" s="4"/>
      <c r="E721" s="136"/>
      <c r="F721" s="135"/>
      <c r="G721" s="137"/>
      <c r="H721" s="13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4"/>
      <c r="B722" s="4"/>
      <c r="C722" s="135"/>
      <c r="D722" s="4"/>
      <c r="E722" s="136"/>
      <c r="F722" s="135"/>
      <c r="G722" s="137"/>
      <c r="H722" s="13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4"/>
      <c r="B723" s="4"/>
      <c r="C723" s="135"/>
      <c r="D723" s="4"/>
      <c r="E723" s="136"/>
      <c r="F723" s="135"/>
      <c r="G723" s="137"/>
      <c r="H723" s="13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4"/>
      <c r="B724" s="4"/>
      <c r="C724" s="135"/>
      <c r="D724" s="4"/>
      <c r="E724" s="136"/>
      <c r="F724" s="135"/>
      <c r="G724" s="137"/>
      <c r="H724" s="13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4"/>
      <c r="B725" s="4"/>
      <c r="C725" s="135"/>
      <c r="D725" s="4"/>
      <c r="E725" s="136"/>
      <c r="F725" s="135"/>
      <c r="G725" s="137"/>
      <c r="H725" s="13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4"/>
      <c r="B726" s="4"/>
      <c r="C726" s="135"/>
      <c r="D726" s="4"/>
      <c r="E726" s="136"/>
      <c r="F726" s="135"/>
      <c r="G726" s="137"/>
      <c r="H726" s="13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4"/>
      <c r="B727" s="4"/>
      <c r="C727" s="135"/>
      <c r="D727" s="4"/>
      <c r="E727" s="136"/>
      <c r="F727" s="135"/>
      <c r="G727" s="137"/>
      <c r="H727" s="13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4"/>
      <c r="B728" s="4"/>
      <c r="C728" s="135"/>
      <c r="D728" s="4"/>
      <c r="E728" s="136"/>
      <c r="F728" s="135"/>
      <c r="G728" s="137"/>
      <c r="H728" s="13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4"/>
      <c r="B729" s="4"/>
      <c r="C729" s="135"/>
      <c r="D729" s="4"/>
      <c r="E729" s="136"/>
      <c r="F729" s="135"/>
      <c r="G729" s="137"/>
      <c r="H729" s="13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4"/>
      <c r="B730" s="4"/>
      <c r="C730" s="135"/>
      <c r="D730" s="4"/>
      <c r="E730" s="136"/>
      <c r="F730" s="135"/>
      <c r="G730" s="137"/>
      <c r="H730" s="13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4"/>
      <c r="B731" s="4"/>
      <c r="C731" s="135"/>
      <c r="D731" s="4"/>
      <c r="E731" s="136"/>
      <c r="F731" s="135"/>
      <c r="G731" s="137"/>
      <c r="H731" s="13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4"/>
      <c r="B732" s="4"/>
      <c r="C732" s="135"/>
      <c r="D732" s="4"/>
      <c r="E732" s="136"/>
      <c r="F732" s="135"/>
      <c r="G732" s="137"/>
      <c r="H732" s="13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4"/>
      <c r="B733" s="4"/>
      <c r="C733" s="135"/>
      <c r="D733" s="4"/>
      <c r="E733" s="136"/>
      <c r="F733" s="135"/>
      <c r="G733" s="137"/>
      <c r="H733" s="13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4"/>
      <c r="B734" s="4"/>
      <c r="C734" s="135"/>
      <c r="D734" s="4"/>
      <c r="E734" s="136"/>
      <c r="F734" s="135"/>
      <c r="G734" s="137"/>
      <c r="H734" s="13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4"/>
      <c r="B735" s="4"/>
      <c r="C735" s="135"/>
      <c r="D735" s="4"/>
      <c r="E735" s="136"/>
      <c r="F735" s="135"/>
      <c r="G735" s="137"/>
      <c r="H735" s="13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4"/>
      <c r="B736" s="4"/>
      <c r="C736" s="135"/>
      <c r="D736" s="4"/>
      <c r="E736" s="136"/>
      <c r="F736" s="135"/>
      <c r="G736" s="137"/>
      <c r="H736" s="13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4"/>
      <c r="B737" s="4"/>
      <c r="C737" s="135"/>
      <c r="D737" s="4"/>
      <c r="E737" s="136"/>
      <c r="F737" s="135"/>
      <c r="G737" s="137"/>
      <c r="H737" s="13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4"/>
      <c r="B738" s="4"/>
      <c r="C738" s="135"/>
      <c r="D738" s="4"/>
      <c r="E738" s="136"/>
      <c r="F738" s="135"/>
      <c r="G738" s="137"/>
      <c r="H738" s="13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4"/>
      <c r="B739" s="4"/>
      <c r="C739" s="135"/>
      <c r="D739" s="4"/>
      <c r="E739" s="136"/>
      <c r="F739" s="135"/>
      <c r="G739" s="137"/>
      <c r="H739" s="13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4"/>
      <c r="B740" s="4"/>
      <c r="C740" s="135"/>
      <c r="D740" s="4"/>
      <c r="E740" s="136"/>
      <c r="F740" s="135"/>
      <c r="G740" s="137"/>
      <c r="H740" s="13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4"/>
      <c r="B741" s="4"/>
      <c r="C741" s="135"/>
      <c r="D741" s="4"/>
      <c r="E741" s="136"/>
      <c r="F741" s="135"/>
      <c r="G741" s="137"/>
      <c r="H741" s="13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4"/>
      <c r="B742" s="4"/>
      <c r="C742" s="135"/>
      <c r="D742" s="4"/>
      <c r="E742" s="136"/>
      <c r="F742" s="135"/>
      <c r="G742" s="137"/>
      <c r="H742" s="13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4"/>
      <c r="B743" s="4"/>
      <c r="C743" s="135"/>
      <c r="D743" s="4"/>
      <c r="E743" s="136"/>
      <c r="F743" s="135"/>
      <c r="G743" s="137"/>
      <c r="H743" s="13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4"/>
      <c r="B744" s="4"/>
      <c r="C744" s="135"/>
      <c r="D744" s="4"/>
      <c r="E744" s="136"/>
      <c r="F744" s="135"/>
      <c r="G744" s="137"/>
      <c r="H744" s="13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4"/>
      <c r="B745" s="4"/>
      <c r="C745" s="135"/>
      <c r="D745" s="4"/>
      <c r="E745" s="136"/>
      <c r="F745" s="135"/>
      <c r="G745" s="137"/>
      <c r="H745" s="13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4"/>
      <c r="B746" s="4"/>
      <c r="C746" s="135"/>
      <c r="D746" s="4"/>
      <c r="E746" s="136"/>
      <c r="F746" s="135"/>
      <c r="G746" s="137"/>
      <c r="H746" s="13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4"/>
      <c r="B747" s="4"/>
      <c r="C747" s="135"/>
      <c r="D747" s="4"/>
      <c r="E747" s="136"/>
      <c r="F747" s="135"/>
      <c r="G747" s="137"/>
      <c r="H747" s="13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4"/>
      <c r="B748" s="4"/>
      <c r="C748" s="135"/>
      <c r="D748" s="4"/>
      <c r="E748" s="136"/>
      <c r="F748" s="135"/>
      <c r="G748" s="137"/>
      <c r="H748" s="13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4"/>
      <c r="B749" s="4"/>
      <c r="C749" s="135"/>
      <c r="D749" s="4"/>
      <c r="E749" s="136"/>
      <c r="F749" s="135"/>
      <c r="G749" s="137"/>
      <c r="H749" s="13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4"/>
      <c r="B750" s="4"/>
      <c r="C750" s="135"/>
      <c r="D750" s="4"/>
      <c r="E750" s="136"/>
      <c r="F750" s="135"/>
      <c r="G750" s="137"/>
      <c r="H750" s="13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4"/>
      <c r="B751" s="4"/>
      <c r="C751" s="135"/>
      <c r="D751" s="4"/>
      <c r="E751" s="136"/>
      <c r="F751" s="135"/>
      <c r="G751" s="137"/>
      <c r="H751" s="13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4"/>
      <c r="B752" s="4"/>
      <c r="C752" s="135"/>
      <c r="D752" s="4"/>
      <c r="E752" s="136"/>
      <c r="F752" s="135"/>
      <c r="G752" s="137"/>
      <c r="H752" s="13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4"/>
      <c r="B753" s="4"/>
      <c r="C753" s="135"/>
      <c r="D753" s="4"/>
      <c r="E753" s="136"/>
      <c r="F753" s="135"/>
      <c r="G753" s="137"/>
      <c r="H753" s="13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4"/>
      <c r="B754" s="4"/>
      <c r="C754" s="135"/>
      <c r="D754" s="4"/>
      <c r="E754" s="136"/>
      <c r="F754" s="135"/>
      <c r="G754" s="137"/>
      <c r="H754" s="13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4"/>
      <c r="B755" s="4"/>
      <c r="C755" s="135"/>
      <c r="D755" s="4"/>
      <c r="E755" s="136"/>
      <c r="F755" s="135"/>
      <c r="G755" s="137"/>
      <c r="H755" s="13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4"/>
      <c r="B756" s="4"/>
      <c r="C756" s="135"/>
      <c r="D756" s="4"/>
      <c r="E756" s="136"/>
      <c r="F756" s="135"/>
      <c r="G756" s="137"/>
      <c r="H756" s="13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4"/>
      <c r="B757" s="4"/>
      <c r="C757" s="135"/>
      <c r="D757" s="4"/>
      <c r="E757" s="136"/>
      <c r="F757" s="135"/>
      <c r="G757" s="137"/>
      <c r="H757" s="13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4"/>
      <c r="B758" s="4"/>
      <c r="C758" s="135"/>
      <c r="D758" s="4"/>
      <c r="E758" s="136"/>
      <c r="F758" s="135"/>
      <c r="G758" s="137"/>
      <c r="H758" s="13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4"/>
      <c r="B759" s="4"/>
      <c r="C759" s="135"/>
      <c r="D759" s="4"/>
      <c r="E759" s="136"/>
      <c r="F759" s="135"/>
      <c r="G759" s="137"/>
      <c r="H759" s="13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4"/>
      <c r="B760" s="4"/>
      <c r="C760" s="135"/>
      <c r="D760" s="4"/>
      <c r="E760" s="136"/>
      <c r="F760" s="135"/>
      <c r="G760" s="137"/>
      <c r="H760" s="13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4"/>
      <c r="B761" s="4"/>
      <c r="C761" s="135"/>
      <c r="D761" s="4"/>
      <c r="E761" s="136"/>
      <c r="F761" s="135"/>
      <c r="G761" s="137"/>
      <c r="H761" s="13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4"/>
      <c r="B762" s="4"/>
      <c r="C762" s="135"/>
      <c r="D762" s="4"/>
      <c r="E762" s="136"/>
      <c r="F762" s="135"/>
      <c r="G762" s="137"/>
      <c r="H762" s="13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4"/>
      <c r="B763" s="4"/>
      <c r="C763" s="135"/>
      <c r="D763" s="4"/>
      <c r="E763" s="136"/>
      <c r="F763" s="135"/>
      <c r="G763" s="137"/>
      <c r="H763" s="13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4"/>
      <c r="B764" s="4"/>
      <c r="C764" s="135"/>
      <c r="D764" s="4"/>
      <c r="E764" s="136"/>
      <c r="F764" s="135"/>
      <c r="G764" s="137"/>
      <c r="H764" s="13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4"/>
      <c r="B765" s="4"/>
      <c r="C765" s="135"/>
      <c r="D765" s="4"/>
      <c r="E765" s="136"/>
      <c r="F765" s="135"/>
      <c r="G765" s="137"/>
      <c r="H765" s="13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4"/>
      <c r="B766" s="4"/>
      <c r="C766" s="135"/>
      <c r="D766" s="4"/>
      <c r="E766" s="136"/>
      <c r="F766" s="135"/>
      <c r="G766" s="137"/>
      <c r="H766" s="13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4"/>
      <c r="B767" s="4"/>
      <c r="C767" s="135"/>
      <c r="D767" s="4"/>
      <c r="E767" s="136"/>
      <c r="F767" s="135"/>
      <c r="G767" s="137"/>
      <c r="H767" s="13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4"/>
      <c r="B768" s="4"/>
      <c r="C768" s="135"/>
      <c r="D768" s="4"/>
      <c r="E768" s="136"/>
      <c r="F768" s="135"/>
      <c r="G768" s="137"/>
      <c r="H768" s="13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4"/>
      <c r="B769" s="4"/>
      <c r="C769" s="135"/>
      <c r="D769" s="4"/>
      <c r="E769" s="136"/>
      <c r="F769" s="135"/>
      <c r="G769" s="137"/>
      <c r="H769" s="13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4"/>
      <c r="B770" s="4"/>
      <c r="C770" s="135"/>
      <c r="D770" s="4"/>
      <c r="E770" s="136"/>
      <c r="F770" s="135"/>
      <c r="G770" s="137"/>
      <c r="H770" s="13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4"/>
      <c r="B771" s="4"/>
      <c r="C771" s="135"/>
      <c r="D771" s="4"/>
      <c r="E771" s="136"/>
      <c r="F771" s="135"/>
      <c r="G771" s="137"/>
      <c r="H771" s="13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4"/>
      <c r="B772" s="4"/>
      <c r="C772" s="135"/>
      <c r="D772" s="4"/>
      <c r="E772" s="136"/>
      <c r="F772" s="135"/>
      <c r="G772" s="137"/>
      <c r="H772" s="13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4"/>
      <c r="B773" s="4"/>
      <c r="C773" s="135"/>
      <c r="D773" s="4"/>
      <c r="E773" s="136"/>
      <c r="F773" s="135"/>
      <c r="G773" s="137"/>
      <c r="H773" s="13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4"/>
      <c r="B774" s="4"/>
      <c r="C774" s="135"/>
      <c r="D774" s="4"/>
      <c r="E774" s="136"/>
      <c r="F774" s="135"/>
      <c r="G774" s="137"/>
      <c r="H774" s="13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4"/>
      <c r="B775" s="4"/>
      <c r="C775" s="135"/>
      <c r="D775" s="4"/>
      <c r="E775" s="136"/>
      <c r="F775" s="135"/>
      <c r="G775" s="137"/>
      <c r="H775" s="13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4"/>
      <c r="B776" s="4"/>
      <c r="C776" s="135"/>
      <c r="D776" s="4"/>
      <c r="E776" s="136"/>
      <c r="F776" s="135"/>
      <c r="G776" s="137"/>
      <c r="H776" s="13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4"/>
      <c r="B777" s="4"/>
      <c r="C777" s="135"/>
      <c r="D777" s="4"/>
      <c r="E777" s="136"/>
      <c r="F777" s="135"/>
      <c r="G777" s="137"/>
      <c r="H777" s="13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4"/>
      <c r="B778" s="4"/>
      <c r="C778" s="135"/>
      <c r="D778" s="4"/>
      <c r="E778" s="136"/>
      <c r="F778" s="135"/>
      <c r="G778" s="137"/>
      <c r="H778" s="13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4"/>
      <c r="B779" s="4"/>
      <c r="C779" s="135"/>
      <c r="D779" s="4"/>
      <c r="E779" s="136"/>
      <c r="F779" s="135"/>
      <c r="G779" s="137"/>
      <c r="H779" s="13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4"/>
      <c r="B780" s="4"/>
      <c r="C780" s="135"/>
      <c r="D780" s="4"/>
      <c r="E780" s="136"/>
      <c r="F780" s="135"/>
      <c r="G780" s="137"/>
      <c r="H780" s="13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4"/>
      <c r="B781" s="4"/>
      <c r="C781" s="135"/>
      <c r="D781" s="4"/>
      <c r="E781" s="136"/>
      <c r="F781" s="135"/>
      <c r="G781" s="137"/>
      <c r="H781" s="13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4"/>
      <c r="B782" s="4"/>
      <c r="C782" s="135"/>
      <c r="D782" s="4"/>
      <c r="E782" s="136"/>
      <c r="F782" s="135"/>
      <c r="G782" s="137"/>
      <c r="H782" s="13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4"/>
      <c r="B783" s="4"/>
      <c r="C783" s="135"/>
      <c r="D783" s="4"/>
      <c r="E783" s="136"/>
      <c r="F783" s="135"/>
      <c r="G783" s="137"/>
      <c r="H783" s="13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4"/>
      <c r="B784" s="4"/>
      <c r="C784" s="135"/>
      <c r="D784" s="4"/>
      <c r="E784" s="136"/>
      <c r="F784" s="135"/>
      <c r="G784" s="137"/>
      <c r="H784" s="13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4"/>
      <c r="B785" s="4"/>
      <c r="C785" s="135"/>
      <c r="D785" s="4"/>
      <c r="E785" s="136"/>
      <c r="F785" s="135"/>
      <c r="G785" s="137"/>
      <c r="H785" s="13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4"/>
      <c r="B786" s="4"/>
      <c r="C786" s="135"/>
      <c r="D786" s="4"/>
      <c r="E786" s="136"/>
      <c r="F786" s="135"/>
      <c r="G786" s="137"/>
      <c r="H786" s="13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4"/>
      <c r="B787" s="4"/>
      <c r="C787" s="135"/>
      <c r="D787" s="4"/>
      <c r="E787" s="136"/>
      <c r="F787" s="135"/>
      <c r="G787" s="137"/>
      <c r="H787" s="13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4"/>
      <c r="B788" s="4"/>
      <c r="C788" s="135"/>
      <c r="D788" s="4"/>
      <c r="E788" s="136"/>
      <c r="F788" s="135"/>
      <c r="G788" s="137"/>
      <c r="H788" s="13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4"/>
      <c r="B789" s="4"/>
      <c r="C789" s="135"/>
      <c r="D789" s="4"/>
      <c r="E789" s="136"/>
      <c r="F789" s="135"/>
      <c r="G789" s="137"/>
      <c r="H789" s="13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4"/>
      <c r="B790" s="4"/>
      <c r="C790" s="135"/>
      <c r="D790" s="4"/>
      <c r="E790" s="136"/>
      <c r="F790" s="135"/>
      <c r="G790" s="137"/>
      <c r="H790" s="13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4"/>
      <c r="B791" s="4"/>
      <c r="C791" s="135"/>
      <c r="D791" s="4"/>
      <c r="E791" s="136"/>
      <c r="F791" s="135"/>
      <c r="G791" s="137"/>
      <c r="H791" s="13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4"/>
      <c r="B792" s="4"/>
      <c r="C792" s="135"/>
      <c r="D792" s="4"/>
      <c r="E792" s="136"/>
      <c r="F792" s="135"/>
      <c r="G792" s="137"/>
      <c r="H792" s="13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4"/>
      <c r="B793" s="4"/>
      <c r="C793" s="135"/>
      <c r="D793" s="4"/>
      <c r="E793" s="136"/>
      <c r="F793" s="135"/>
      <c r="G793" s="137"/>
      <c r="H793" s="13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4"/>
      <c r="B794" s="4"/>
      <c r="C794" s="135"/>
      <c r="D794" s="4"/>
      <c r="E794" s="136"/>
      <c r="F794" s="135"/>
      <c r="G794" s="137"/>
      <c r="H794" s="13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4"/>
      <c r="B795" s="4"/>
      <c r="C795" s="135"/>
      <c r="D795" s="4"/>
      <c r="E795" s="136"/>
      <c r="F795" s="135"/>
      <c r="G795" s="137"/>
      <c r="H795" s="13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4"/>
      <c r="B796" s="4"/>
      <c r="C796" s="135"/>
      <c r="D796" s="4"/>
      <c r="E796" s="136"/>
      <c r="F796" s="135"/>
      <c r="G796" s="137"/>
      <c r="H796" s="13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4"/>
      <c r="B797" s="4"/>
      <c r="C797" s="135"/>
      <c r="D797" s="4"/>
      <c r="E797" s="136"/>
      <c r="F797" s="135"/>
      <c r="G797" s="137"/>
      <c r="H797" s="13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4"/>
      <c r="B798" s="4"/>
      <c r="C798" s="135"/>
      <c r="D798" s="4"/>
      <c r="E798" s="136"/>
      <c r="F798" s="135"/>
      <c r="G798" s="137"/>
      <c r="H798" s="13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4"/>
      <c r="B799" s="4"/>
      <c r="C799" s="135"/>
      <c r="D799" s="4"/>
      <c r="E799" s="136"/>
      <c r="F799" s="135"/>
      <c r="G799" s="137"/>
      <c r="H799" s="13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4"/>
      <c r="B800" s="4"/>
      <c r="C800" s="135"/>
      <c r="D800" s="4"/>
      <c r="E800" s="136"/>
      <c r="F800" s="135"/>
      <c r="G800" s="137"/>
      <c r="H800" s="13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4"/>
      <c r="B801" s="4"/>
      <c r="C801" s="135"/>
      <c r="D801" s="4"/>
      <c r="E801" s="136"/>
      <c r="F801" s="135"/>
      <c r="G801" s="137"/>
      <c r="H801" s="13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4"/>
      <c r="B802" s="4"/>
      <c r="C802" s="135"/>
      <c r="D802" s="4"/>
      <c r="E802" s="136"/>
      <c r="F802" s="135"/>
      <c r="G802" s="137"/>
      <c r="H802" s="13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4"/>
      <c r="B803" s="4"/>
      <c r="C803" s="135"/>
      <c r="D803" s="4"/>
      <c r="E803" s="136"/>
      <c r="F803" s="135"/>
      <c r="G803" s="137"/>
      <c r="H803" s="13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4"/>
      <c r="B804" s="4"/>
      <c r="C804" s="135"/>
      <c r="D804" s="4"/>
      <c r="E804" s="136"/>
      <c r="F804" s="135"/>
      <c r="G804" s="137"/>
      <c r="H804" s="13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4"/>
      <c r="B805" s="4"/>
      <c r="C805" s="135"/>
      <c r="D805" s="4"/>
      <c r="E805" s="136"/>
      <c r="F805" s="135"/>
      <c r="G805" s="137"/>
      <c r="H805" s="13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4"/>
      <c r="B806" s="4"/>
      <c r="C806" s="135"/>
      <c r="D806" s="4"/>
      <c r="E806" s="136"/>
      <c r="F806" s="135"/>
      <c r="G806" s="137"/>
      <c r="H806" s="13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4"/>
      <c r="B807" s="4"/>
      <c r="C807" s="135"/>
      <c r="D807" s="4"/>
      <c r="E807" s="136"/>
      <c r="F807" s="135"/>
      <c r="G807" s="137"/>
      <c r="H807" s="13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4"/>
      <c r="B808" s="4"/>
      <c r="C808" s="135"/>
      <c r="D808" s="4"/>
      <c r="E808" s="136"/>
      <c r="F808" s="135"/>
      <c r="G808" s="137"/>
      <c r="H808" s="13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4"/>
      <c r="B809" s="4"/>
      <c r="C809" s="135"/>
      <c r="D809" s="4"/>
      <c r="E809" s="136"/>
      <c r="F809" s="135"/>
      <c r="G809" s="137"/>
      <c r="H809" s="13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4"/>
      <c r="B810" s="4"/>
      <c r="C810" s="135"/>
      <c r="D810" s="4"/>
      <c r="E810" s="136"/>
      <c r="F810" s="135"/>
      <c r="G810" s="137"/>
      <c r="H810" s="13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4"/>
      <c r="B811" s="4"/>
      <c r="C811" s="135"/>
      <c r="D811" s="4"/>
      <c r="E811" s="136"/>
      <c r="F811" s="135"/>
      <c r="G811" s="137"/>
      <c r="H811" s="13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4"/>
      <c r="B812" s="4"/>
      <c r="C812" s="135"/>
      <c r="D812" s="4"/>
      <c r="E812" s="136"/>
      <c r="F812" s="135"/>
      <c r="G812" s="137"/>
      <c r="H812" s="13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4"/>
      <c r="B813" s="4"/>
      <c r="C813" s="135"/>
      <c r="D813" s="4"/>
      <c r="E813" s="136"/>
      <c r="F813" s="135"/>
      <c r="G813" s="137"/>
      <c r="H813" s="13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4"/>
      <c r="B814" s="4"/>
      <c r="C814" s="135"/>
      <c r="D814" s="4"/>
      <c r="E814" s="136"/>
      <c r="F814" s="135"/>
      <c r="G814" s="137"/>
      <c r="H814" s="13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4"/>
      <c r="B815" s="4"/>
      <c r="C815" s="135"/>
      <c r="D815" s="4"/>
      <c r="E815" s="136"/>
      <c r="F815" s="135"/>
      <c r="G815" s="137"/>
      <c r="H815" s="13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4"/>
      <c r="B816" s="4"/>
      <c r="C816" s="135"/>
      <c r="D816" s="4"/>
      <c r="E816" s="136"/>
      <c r="F816" s="135"/>
      <c r="G816" s="137"/>
      <c r="H816" s="13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4"/>
      <c r="B817" s="4"/>
      <c r="C817" s="135"/>
      <c r="D817" s="4"/>
      <c r="E817" s="136"/>
      <c r="F817" s="135"/>
      <c r="G817" s="137"/>
      <c r="H817" s="13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4"/>
      <c r="B818" s="4"/>
      <c r="C818" s="135"/>
      <c r="D818" s="4"/>
      <c r="E818" s="136"/>
      <c r="F818" s="135"/>
      <c r="G818" s="137"/>
      <c r="H818" s="13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4"/>
      <c r="B819" s="4"/>
      <c r="C819" s="135"/>
      <c r="D819" s="4"/>
      <c r="E819" s="136"/>
      <c r="F819" s="135"/>
      <c r="G819" s="137"/>
      <c r="H819" s="13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4"/>
      <c r="B820" s="4"/>
      <c r="C820" s="135"/>
      <c r="D820" s="4"/>
      <c r="E820" s="136"/>
      <c r="F820" s="135"/>
      <c r="G820" s="137"/>
      <c r="H820" s="13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4"/>
      <c r="B821" s="4"/>
      <c r="C821" s="135"/>
      <c r="D821" s="4"/>
      <c r="E821" s="136"/>
      <c r="F821" s="135"/>
      <c r="G821" s="137"/>
      <c r="H821" s="13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4"/>
      <c r="B822" s="4"/>
      <c r="C822" s="135"/>
      <c r="D822" s="4"/>
      <c r="E822" s="136"/>
      <c r="F822" s="135"/>
      <c r="G822" s="137"/>
      <c r="H822" s="13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4"/>
      <c r="B823" s="4"/>
      <c r="C823" s="135"/>
      <c r="D823" s="4"/>
      <c r="E823" s="136"/>
      <c r="F823" s="135"/>
      <c r="G823" s="137"/>
      <c r="H823" s="13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4"/>
      <c r="B824" s="4"/>
      <c r="C824" s="135"/>
      <c r="D824" s="4"/>
      <c r="E824" s="136"/>
      <c r="F824" s="135"/>
      <c r="G824" s="137"/>
      <c r="H824" s="13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4"/>
      <c r="B825" s="4"/>
      <c r="C825" s="135"/>
      <c r="D825" s="4"/>
      <c r="E825" s="136"/>
      <c r="F825" s="135"/>
      <c r="G825" s="137"/>
      <c r="H825" s="13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4"/>
      <c r="B826" s="4"/>
      <c r="C826" s="135"/>
      <c r="D826" s="4"/>
      <c r="E826" s="136"/>
      <c r="F826" s="135"/>
      <c r="G826" s="137"/>
      <c r="H826" s="13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4"/>
      <c r="B827" s="4"/>
      <c r="C827" s="135"/>
      <c r="D827" s="4"/>
      <c r="E827" s="136"/>
      <c r="F827" s="135"/>
      <c r="G827" s="137"/>
      <c r="H827" s="13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4"/>
      <c r="B828" s="4"/>
      <c r="C828" s="135"/>
      <c r="D828" s="4"/>
      <c r="E828" s="136"/>
      <c r="F828" s="135"/>
      <c r="G828" s="137"/>
      <c r="H828" s="13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4"/>
      <c r="B829" s="4"/>
      <c r="C829" s="135"/>
      <c r="D829" s="4"/>
      <c r="E829" s="136"/>
      <c r="F829" s="135"/>
      <c r="G829" s="137"/>
      <c r="H829" s="13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4"/>
      <c r="B830" s="4"/>
      <c r="C830" s="135"/>
      <c r="D830" s="4"/>
      <c r="E830" s="136"/>
      <c r="F830" s="135"/>
      <c r="G830" s="137"/>
      <c r="H830" s="13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4"/>
      <c r="B831" s="4"/>
      <c r="C831" s="135"/>
      <c r="D831" s="4"/>
      <c r="E831" s="136"/>
      <c r="F831" s="135"/>
      <c r="G831" s="137"/>
      <c r="H831" s="13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4"/>
      <c r="B832" s="4"/>
      <c r="C832" s="135"/>
      <c r="D832" s="4"/>
      <c r="E832" s="136"/>
      <c r="F832" s="135"/>
      <c r="G832" s="137"/>
      <c r="H832" s="13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4"/>
      <c r="B833" s="4"/>
      <c r="C833" s="135"/>
      <c r="D833" s="4"/>
      <c r="E833" s="136"/>
      <c r="F833" s="135"/>
      <c r="G833" s="137"/>
      <c r="H833" s="13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4"/>
      <c r="B834" s="4"/>
      <c r="C834" s="135"/>
      <c r="D834" s="4"/>
      <c r="E834" s="136"/>
      <c r="F834" s="135"/>
      <c r="G834" s="137"/>
      <c r="H834" s="13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4"/>
      <c r="B835" s="4"/>
      <c r="C835" s="135"/>
      <c r="D835" s="4"/>
      <c r="E835" s="136"/>
      <c r="F835" s="135"/>
      <c r="G835" s="137"/>
      <c r="H835" s="13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4"/>
      <c r="B836" s="4"/>
      <c r="C836" s="135"/>
      <c r="D836" s="4"/>
      <c r="E836" s="136"/>
      <c r="F836" s="135"/>
      <c r="G836" s="137"/>
      <c r="H836" s="13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4"/>
      <c r="B837" s="4"/>
      <c r="C837" s="135"/>
      <c r="D837" s="4"/>
      <c r="E837" s="136"/>
      <c r="F837" s="135"/>
      <c r="G837" s="137"/>
      <c r="H837" s="13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4"/>
      <c r="B838" s="4"/>
      <c r="C838" s="135"/>
      <c r="D838" s="4"/>
      <c r="E838" s="136"/>
      <c r="F838" s="135"/>
      <c r="G838" s="137"/>
      <c r="H838" s="13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4"/>
      <c r="B839" s="4"/>
      <c r="C839" s="135"/>
      <c r="D839" s="4"/>
      <c r="E839" s="136"/>
      <c r="F839" s="135"/>
      <c r="G839" s="137"/>
      <c r="H839" s="13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4"/>
      <c r="B840" s="4"/>
      <c r="C840" s="135"/>
      <c r="D840" s="4"/>
      <c r="E840" s="136"/>
      <c r="F840" s="135"/>
      <c r="G840" s="137"/>
      <c r="H840" s="13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4"/>
      <c r="B841" s="4"/>
      <c r="C841" s="135"/>
      <c r="D841" s="4"/>
      <c r="E841" s="136"/>
      <c r="F841" s="135"/>
      <c r="G841" s="137"/>
      <c r="H841" s="13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4"/>
      <c r="B842" s="4"/>
      <c r="C842" s="135"/>
      <c r="D842" s="4"/>
      <c r="E842" s="136"/>
      <c r="F842" s="135"/>
      <c r="G842" s="137"/>
      <c r="H842" s="13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4"/>
      <c r="B843" s="4"/>
      <c r="C843" s="135"/>
      <c r="D843" s="4"/>
      <c r="E843" s="136"/>
      <c r="F843" s="135"/>
      <c r="G843" s="137"/>
      <c r="H843" s="13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4"/>
      <c r="B844" s="4"/>
      <c r="C844" s="135"/>
      <c r="D844" s="4"/>
      <c r="E844" s="136"/>
      <c r="F844" s="135"/>
      <c r="G844" s="137"/>
      <c r="H844" s="13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4"/>
      <c r="B845" s="4"/>
      <c r="C845" s="135"/>
      <c r="D845" s="4"/>
      <c r="E845" s="136"/>
      <c r="F845" s="135"/>
      <c r="G845" s="137"/>
      <c r="H845" s="13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4"/>
      <c r="B846" s="4"/>
      <c r="C846" s="135"/>
      <c r="D846" s="4"/>
      <c r="E846" s="136"/>
      <c r="F846" s="135"/>
      <c r="G846" s="137"/>
      <c r="H846" s="13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4"/>
      <c r="B847" s="4"/>
      <c r="C847" s="135"/>
      <c r="D847" s="4"/>
      <c r="E847" s="136"/>
      <c r="F847" s="135"/>
      <c r="G847" s="137"/>
      <c r="H847" s="13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4"/>
      <c r="B848" s="4"/>
      <c r="C848" s="135"/>
      <c r="D848" s="4"/>
      <c r="E848" s="136"/>
      <c r="F848" s="135"/>
      <c r="G848" s="137"/>
      <c r="H848" s="13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4"/>
      <c r="B849" s="4"/>
      <c r="C849" s="135"/>
      <c r="D849" s="4"/>
      <c r="E849" s="136"/>
      <c r="F849" s="135"/>
      <c r="G849" s="137"/>
      <c r="H849" s="13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4"/>
      <c r="B850" s="4"/>
      <c r="C850" s="135"/>
      <c r="D850" s="4"/>
      <c r="E850" s="136"/>
      <c r="F850" s="135"/>
      <c r="G850" s="137"/>
      <c r="H850" s="13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4"/>
      <c r="B851" s="4"/>
      <c r="C851" s="135"/>
      <c r="D851" s="4"/>
      <c r="E851" s="136"/>
      <c r="F851" s="135"/>
      <c r="G851" s="137"/>
      <c r="H851" s="13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4"/>
      <c r="B852" s="4"/>
      <c r="C852" s="135"/>
      <c r="D852" s="4"/>
      <c r="E852" s="136"/>
      <c r="F852" s="135"/>
      <c r="G852" s="137"/>
      <c r="H852" s="13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4"/>
      <c r="B853" s="4"/>
      <c r="C853" s="135"/>
      <c r="D853" s="4"/>
      <c r="E853" s="136"/>
      <c r="F853" s="135"/>
      <c r="G853" s="137"/>
      <c r="H853" s="13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4"/>
      <c r="B854" s="4"/>
      <c r="C854" s="135"/>
      <c r="D854" s="4"/>
      <c r="E854" s="136"/>
      <c r="F854" s="135"/>
      <c r="G854" s="137"/>
      <c r="H854" s="13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4"/>
      <c r="B855" s="4"/>
      <c r="C855" s="135"/>
      <c r="D855" s="4"/>
      <c r="E855" s="136"/>
      <c r="F855" s="135"/>
      <c r="G855" s="137"/>
      <c r="H855" s="13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4"/>
      <c r="B856" s="4"/>
      <c r="C856" s="135"/>
      <c r="D856" s="4"/>
      <c r="E856" s="136"/>
      <c r="F856" s="135"/>
      <c r="G856" s="137"/>
      <c r="H856" s="13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4"/>
      <c r="B857" s="4"/>
      <c r="C857" s="135"/>
      <c r="D857" s="4"/>
      <c r="E857" s="136"/>
      <c r="F857" s="135"/>
      <c r="G857" s="137"/>
      <c r="H857" s="13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4"/>
      <c r="B858" s="4"/>
      <c r="C858" s="135"/>
      <c r="D858" s="4"/>
      <c r="E858" s="136"/>
      <c r="F858" s="135"/>
      <c r="G858" s="137"/>
      <c r="H858" s="13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4"/>
      <c r="B859" s="4"/>
      <c r="C859" s="135"/>
      <c r="D859" s="4"/>
      <c r="E859" s="136"/>
      <c r="F859" s="135"/>
      <c r="G859" s="137"/>
      <c r="H859" s="13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4"/>
      <c r="B860" s="4"/>
      <c r="C860" s="135"/>
      <c r="D860" s="4"/>
      <c r="E860" s="136"/>
      <c r="F860" s="135"/>
      <c r="G860" s="137"/>
      <c r="H860" s="13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4"/>
      <c r="B861" s="4"/>
      <c r="C861" s="135"/>
      <c r="D861" s="4"/>
      <c r="E861" s="136"/>
      <c r="F861" s="135"/>
      <c r="G861" s="137"/>
      <c r="H861" s="13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4"/>
      <c r="B862" s="4"/>
      <c r="C862" s="135"/>
      <c r="D862" s="4"/>
      <c r="E862" s="136"/>
      <c r="F862" s="135"/>
      <c r="G862" s="137"/>
      <c r="H862" s="13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4"/>
      <c r="B863" s="4"/>
      <c r="C863" s="135"/>
      <c r="D863" s="4"/>
      <c r="E863" s="136"/>
      <c r="F863" s="135"/>
      <c r="G863" s="137"/>
      <c r="H863" s="13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4"/>
      <c r="B864" s="4"/>
      <c r="C864" s="135"/>
      <c r="D864" s="4"/>
      <c r="E864" s="136"/>
      <c r="F864" s="135"/>
      <c r="G864" s="137"/>
      <c r="H864" s="13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4"/>
      <c r="B865" s="4"/>
      <c r="C865" s="135"/>
      <c r="D865" s="4"/>
      <c r="E865" s="136"/>
      <c r="F865" s="135"/>
      <c r="G865" s="137"/>
      <c r="H865" s="13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4"/>
      <c r="B866" s="4"/>
      <c r="C866" s="135"/>
      <c r="D866" s="4"/>
      <c r="E866" s="136"/>
      <c r="F866" s="135"/>
      <c r="G866" s="137"/>
      <c r="H866" s="13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4"/>
      <c r="B867" s="4"/>
      <c r="C867" s="135"/>
      <c r="D867" s="4"/>
      <c r="E867" s="136"/>
      <c r="F867" s="135"/>
      <c r="G867" s="137"/>
      <c r="H867" s="13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4"/>
      <c r="B868" s="4"/>
      <c r="C868" s="135"/>
      <c r="D868" s="4"/>
      <c r="E868" s="136"/>
      <c r="F868" s="135"/>
      <c r="G868" s="137"/>
      <c r="H868" s="13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4"/>
      <c r="B869" s="4"/>
      <c r="C869" s="135"/>
      <c r="D869" s="4"/>
      <c r="E869" s="136"/>
      <c r="F869" s="135"/>
      <c r="G869" s="137"/>
      <c r="H869" s="13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4"/>
      <c r="B870" s="4"/>
      <c r="C870" s="135"/>
      <c r="D870" s="4"/>
      <c r="E870" s="136"/>
      <c r="F870" s="135"/>
      <c r="G870" s="137"/>
      <c r="H870" s="13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4"/>
      <c r="B871" s="4"/>
      <c r="C871" s="135"/>
      <c r="D871" s="4"/>
      <c r="E871" s="136"/>
      <c r="F871" s="135"/>
      <c r="G871" s="137"/>
      <c r="H871" s="13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4"/>
      <c r="B872" s="4"/>
      <c r="C872" s="135"/>
      <c r="D872" s="4"/>
      <c r="E872" s="136"/>
      <c r="F872" s="135"/>
      <c r="G872" s="137"/>
      <c r="H872" s="13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4"/>
      <c r="B873" s="4"/>
      <c r="C873" s="135"/>
      <c r="D873" s="4"/>
      <c r="E873" s="136"/>
      <c r="F873" s="135"/>
      <c r="G873" s="137"/>
      <c r="H873" s="13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4"/>
      <c r="B874" s="4"/>
      <c r="C874" s="135"/>
      <c r="D874" s="4"/>
      <c r="E874" s="136"/>
      <c r="F874" s="135"/>
      <c r="G874" s="137"/>
      <c r="H874" s="13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4"/>
      <c r="B875" s="4"/>
      <c r="C875" s="135"/>
      <c r="D875" s="4"/>
      <c r="E875" s="136"/>
      <c r="F875" s="135"/>
      <c r="G875" s="137"/>
      <c r="H875" s="13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4"/>
      <c r="B876" s="4"/>
      <c r="C876" s="135"/>
      <c r="D876" s="4"/>
      <c r="E876" s="136"/>
      <c r="F876" s="135"/>
      <c r="G876" s="137"/>
      <c r="H876" s="13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4"/>
      <c r="B877" s="4"/>
      <c r="C877" s="135"/>
      <c r="D877" s="4"/>
      <c r="E877" s="136"/>
      <c r="F877" s="135"/>
      <c r="G877" s="137"/>
      <c r="H877" s="13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4"/>
      <c r="B878" s="4"/>
      <c r="C878" s="135"/>
      <c r="D878" s="4"/>
      <c r="E878" s="136"/>
      <c r="F878" s="135"/>
      <c r="G878" s="137"/>
      <c r="H878" s="13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4"/>
      <c r="B879" s="4"/>
      <c r="C879" s="135"/>
      <c r="D879" s="4"/>
      <c r="E879" s="136"/>
      <c r="F879" s="135"/>
      <c r="G879" s="137"/>
      <c r="H879" s="13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4"/>
      <c r="B880" s="4"/>
      <c r="C880" s="135"/>
      <c r="D880" s="4"/>
      <c r="E880" s="136"/>
      <c r="F880" s="135"/>
      <c r="G880" s="137"/>
      <c r="H880" s="13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4"/>
      <c r="B881" s="4"/>
      <c r="C881" s="135"/>
      <c r="D881" s="4"/>
      <c r="E881" s="136"/>
      <c r="F881" s="135"/>
      <c r="G881" s="137"/>
      <c r="H881" s="13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4"/>
      <c r="B882" s="4"/>
      <c r="C882" s="135"/>
      <c r="D882" s="4"/>
      <c r="E882" s="136"/>
      <c r="F882" s="135"/>
      <c r="G882" s="137"/>
      <c r="H882" s="13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4"/>
      <c r="B883" s="4"/>
      <c r="C883" s="135"/>
      <c r="D883" s="4"/>
      <c r="E883" s="136"/>
      <c r="F883" s="135"/>
      <c r="G883" s="137"/>
      <c r="H883" s="13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4"/>
      <c r="B884" s="4"/>
      <c r="C884" s="135"/>
      <c r="D884" s="4"/>
      <c r="E884" s="136"/>
      <c r="F884" s="135"/>
      <c r="G884" s="137"/>
      <c r="H884" s="13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4"/>
      <c r="B885" s="4"/>
      <c r="C885" s="135"/>
      <c r="D885" s="4"/>
      <c r="E885" s="136"/>
      <c r="F885" s="135"/>
      <c r="G885" s="137"/>
      <c r="H885" s="13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4"/>
      <c r="B886" s="4"/>
      <c r="C886" s="135"/>
      <c r="D886" s="4"/>
      <c r="E886" s="136"/>
      <c r="F886" s="135"/>
      <c r="G886" s="137"/>
      <c r="H886" s="13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4"/>
      <c r="B887" s="4"/>
      <c r="C887" s="135"/>
      <c r="D887" s="4"/>
      <c r="E887" s="136"/>
      <c r="F887" s="135"/>
      <c r="G887" s="137"/>
      <c r="H887" s="13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4"/>
      <c r="B888" s="4"/>
      <c r="C888" s="135"/>
      <c r="D888" s="4"/>
      <c r="E888" s="136"/>
      <c r="F888" s="135"/>
      <c r="G888" s="137"/>
      <c r="H888" s="13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4"/>
      <c r="B889" s="4"/>
      <c r="C889" s="135"/>
      <c r="D889" s="4"/>
      <c r="E889" s="136"/>
      <c r="F889" s="135"/>
      <c r="G889" s="137"/>
      <c r="H889" s="13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4"/>
      <c r="B890" s="4"/>
      <c r="C890" s="135"/>
      <c r="D890" s="4"/>
      <c r="E890" s="136"/>
      <c r="F890" s="135"/>
      <c r="G890" s="137"/>
      <c r="H890" s="13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4"/>
      <c r="B891" s="4"/>
      <c r="C891" s="135"/>
      <c r="D891" s="4"/>
      <c r="E891" s="136"/>
      <c r="F891" s="135"/>
      <c r="G891" s="137"/>
      <c r="H891" s="13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4"/>
      <c r="B892" s="4"/>
      <c r="C892" s="135"/>
      <c r="D892" s="4"/>
      <c r="E892" s="136"/>
      <c r="F892" s="135"/>
      <c r="G892" s="137"/>
      <c r="H892" s="13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4"/>
      <c r="B893" s="4"/>
      <c r="C893" s="135"/>
      <c r="D893" s="4"/>
      <c r="E893" s="136"/>
      <c r="F893" s="135"/>
      <c r="G893" s="137"/>
      <c r="H893" s="13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4"/>
      <c r="B894" s="4"/>
      <c r="C894" s="135"/>
      <c r="D894" s="4"/>
      <c r="E894" s="136"/>
      <c r="F894" s="135"/>
      <c r="G894" s="137"/>
      <c r="H894" s="13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4"/>
      <c r="B895" s="4"/>
      <c r="C895" s="135"/>
      <c r="D895" s="4"/>
      <c r="E895" s="136"/>
      <c r="F895" s="135"/>
      <c r="G895" s="137"/>
      <c r="H895" s="13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4"/>
      <c r="B896" s="4"/>
      <c r="C896" s="135"/>
      <c r="D896" s="4"/>
      <c r="E896" s="136"/>
      <c r="F896" s="135"/>
      <c r="G896" s="137"/>
      <c r="H896" s="13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4"/>
      <c r="B897" s="4"/>
      <c r="C897" s="135"/>
      <c r="D897" s="4"/>
      <c r="E897" s="136"/>
      <c r="F897" s="135"/>
      <c r="G897" s="137"/>
      <c r="H897" s="13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4"/>
      <c r="B898" s="4"/>
      <c r="C898" s="135"/>
      <c r="D898" s="4"/>
      <c r="E898" s="136"/>
      <c r="F898" s="135"/>
      <c r="G898" s="137"/>
      <c r="H898" s="13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4"/>
      <c r="B899" s="4"/>
      <c r="C899" s="135"/>
      <c r="D899" s="4"/>
      <c r="E899" s="136"/>
      <c r="F899" s="135"/>
      <c r="G899" s="137"/>
      <c r="H899" s="13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4"/>
      <c r="B900" s="4"/>
      <c r="C900" s="135"/>
      <c r="D900" s="4"/>
      <c r="E900" s="136"/>
      <c r="F900" s="135"/>
      <c r="G900" s="137"/>
      <c r="H900" s="13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4"/>
      <c r="B901" s="4"/>
      <c r="C901" s="135"/>
      <c r="D901" s="4"/>
      <c r="E901" s="136"/>
      <c r="F901" s="135"/>
      <c r="G901" s="137"/>
      <c r="H901" s="13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4"/>
      <c r="B902" s="4"/>
      <c r="C902" s="135"/>
      <c r="D902" s="4"/>
      <c r="E902" s="136"/>
      <c r="F902" s="135"/>
      <c r="G902" s="137"/>
      <c r="H902" s="13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4"/>
      <c r="B903" s="4"/>
      <c r="C903" s="135"/>
      <c r="D903" s="4"/>
      <c r="E903" s="136"/>
      <c r="F903" s="135"/>
      <c r="G903" s="137"/>
      <c r="H903" s="13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4"/>
      <c r="B904" s="4"/>
      <c r="C904" s="135"/>
      <c r="D904" s="4"/>
      <c r="E904" s="136"/>
      <c r="F904" s="135"/>
      <c r="G904" s="137"/>
      <c r="H904" s="13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4"/>
      <c r="B905" s="4"/>
      <c r="C905" s="135"/>
      <c r="D905" s="4"/>
      <c r="E905" s="136"/>
      <c r="F905" s="135"/>
      <c r="G905" s="137"/>
      <c r="H905" s="13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4"/>
      <c r="B906" s="4"/>
      <c r="C906" s="135"/>
      <c r="D906" s="4"/>
      <c r="E906" s="136"/>
      <c r="F906" s="135"/>
      <c r="G906" s="137"/>
      <c r="H906" s="13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4"/>
      <c r="B907" s="4"/>
      <c r="C907" s="135"/>
      <c r="D907" s="4"/>
      <c r="E907" s="136"/>
      <c r="F907" s="135"/>
      <c r="G907" s="137"/>
      <c r="H907" s="13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4"/>
      <c r="B908" s="4"/>
      <c r="C908" s="135"/>
      <c r="D908" s="4"/>
      <c r="E908" s="136"/>
      <c r="F908" s="135"/>
      <c r="G908" s="137"/>
      <c r="H908" s="13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4"/>
      <c r="B909" s="4"/>
      <c r="C909" s="135"/>
      <c r="D909" s="4"/>
      <c r="E909" s="136"/>
      <c r="F909" s="135"/>
      <c r="G909" s="137"/>
      <c r="H909" s="13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4"/>
      <c r="B910" s="4"/>
      <c r="C910" s="135"/>
      <c r="D910" s="4"/>
      <c r="E910" s="136"/>
      <c r="F910" s="135"/>
      <c r="G910" s="137"/>
      <c r="H910" s="13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4"/>
      <c r="B911" s="4"/>
      <c r="C911" s="135"/>
      <c r="D911" s="4"/>
      <c r="E911" s="136"/>
      <c r="F911" s="135"/>
      <c r="G911" s="137"/>
      <c r="H911" s="13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4"/>
      <c r="B912" s="4"/>
      <c r="C912" s="135"/>
      <c r="D912" s="4"/>
      <c r="E912" s="136"/>
      <c r="F912" s="135"/>
      <c r="G912" s="137"/>
      <c r="H912" s="13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4"/>
      <c r="B913" s="4"/>
      <c r="C913" s="135"/>
      <c r="D913" s="4"/>
      <c r="E913" s="136"/>
      <c r="F913" s="135"/>
      <c r="G913" s="137"/>
      <c r="H913" s="13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4"/>
      <c r="B914" s="4"/>
      <c r="C914" s="135"/>
      <c r="D914" s="4"/>
      <c r="E914" s="136"/>
      <c r="F914" s="135"/>
      <c r="G914" s="137"/>
      <c r="H914" s="13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4"/>
      <c r="B915" s="4"/>
      <c r="C915" s="135"/>
      <c r="D915" s="4"/>
      <c r="E915" s="136"/>
      <c r="F915" s="135"/>
      <c r="G915" s="137"/>
      <c r="H915" s="13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4"/>
      <c r="B916" s="4"/>
      <c r="C916" s="135"/>
      <c r="D916" s="4"/>
      <c r="E916" s="136"/>
      <c r="F916" s="135"/>
      <c r="G916" s="137"/>
      <c r="H916" s="13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4"/>
      <c r="B917" s="4"/>
      <c r="C917" s="135"/>
      <c r="D917" s="4"/>
      <c r="E917" s="136"/>
      <c r="F917" s="135"/>
      <c r="G917" s="137"/>
      <c r="H917" s="13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4"/>
      <c r="B918" s="4"/>
      <c r="C918" s="135"/>
      <c r="D918" s="4"/>
      <c r="E918" s="136"/>
      <c r="F918" s="135"/>
      <c r="G918" s="137"/>
      <c r="H918" s="13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4"/>
      <c r="B919" s="4"/>
      <c r="C919" s="135"/>
      <c r="D919" s="4"/>
      <c r="E919" s="136"/>
      <c r="F919" s="135"/>
      <c r="G919" s="137"/>
      <c r="H919" s="13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4"/>
      <c r="B920" s="4"/>
      <c r="C920" s="135"/>
      <c r="D920" s="4"/>
      <c r="E920" s="136"/>
      <c r="F920" s="135"/>
      <c r="G920" s="137"/>
      <c r="H920" s="13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4"/>
      <c r="B921" s="4"/>
      <c r="C921" s="135"/>
      <c r="D921" s="4"/>
      <c r="E921" s="136"/>
      <c r="F921" s="135"/>
      <c r="G921" s="137"/>
      <c r="H921" s="13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4"/>
      <c r="B922" s="4"/>
      <c r="C922" s="135"/>
      <c r="D922" s="4"/>
      <c r="E922" s="136"/>
      <c r="F922" s="135"/>
      <c r="G922" s="137"/>
      <c r="H922" s="13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4"/>
      <c r="B923" s="4"/>
      <c r="C923" s="135"/>
      <c r="D923" s="4"/>
      <c r="E923" s="136"/>
      <c r="F923" s="135"/>
      <c r="G923" s="137"/>
      <c r="H923" s="13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4"/>
      <c r="B924" s="4"/>
      <c r="C924" s="135"/>
      <c r="D924" s="4"/>
      <c r="E924" s="136"/>
      <c r="F924" s="135"/>
      <c r="G924" s="137"/>
      <c r="H924" s="13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4"/>
      <c r="B925" s="4"/>
      <c r="C925" s="135"/>
      <c r="D925" s="4"/>
      <c r="E925" s="136"/>
      <c r="F925" s="135"/>
      <c r="G925" s="137"/>
      <c r="H925" s="13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4"/>
      <c r="B926" s="4"/>
      <c r="C926" s="135"/>
      <c r="D926" s="4"/>
      <c r="E926" s="136"/>
      <c r="F926" s="135"/>
      <c r="G926" s="137"/>
      <c r="H926" s="13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4"/>
      <c r="B927" s="4"/>
      <c r="C927" s="135"/>
      <c r="D927" s="4"/>
      <c r="E927" s="136"/>
      <c r="F927" s="135"/>
      <c r="G927" s="137"/>
      <c r="H927" s="13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4"/>
      <c r="B928" s="4"/>
      <c r="C928" s="135"/>
      <c r="D928" s="4"/>
      <c r="E928" s="136"/>
      <c r="F928" s="135"/>
      <c r="G928" s="137"/>
      <c r="H928" s="13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4"/>
      <c r="B929" s="4"/>
      <c r="C929" s="135"/>
      <c r="D929" s="4"/>
      <c r="E929" s="136"/>
      <c r="F929" s="135"/>
      <c r="G929" s="137"/>
      <c r="H929" s="13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4"/>
      <c r="B930" s="4"/>
      <c r="C930" s="135"/>
      <c r="D930" s="4"/>
      <c r="E930" s="136"/>
      <c r="F930" s="135"/>
      <c r="G930" s="137"/>
      <c r="H930" s="13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4"/>
      <c r="B931" s="4"/>
      <c r="C931" s="135"/>
      <c r="D931" s="4"/>
      <c r="E931" s="136"/>
      <c r="F931" s="135"/>
      <c r="G931" s="137"/>
      <c r="H931" s="13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4"/>
      <c r="B932" s="4"/>
      <c r="C932" s="135"/>
      <c r="D932" s="4"/>
      <c r="E932" s="136"/>
      <c r="F932" s="135"/>
      <c r="G932" s="137"/>
      <c r="H932" s="13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4"/>
      <c r="B933" s="4"/>
      <c r="C933" s="135"/>
      <c r="D933" s="4"/>
      <c r="E933" s="136"/>
      <c r="F933" s="135"/>
      <c r="G933" s="137"/>
      <c r="H933" s="13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4"/>
      <c r="B934" s="4"/>
      <c r="C934" s="135"/>
      <c r="D934" s="4"/>
      <c r="E934" s="136"/>
      <c r="F934" s="135"/>
      <c r="G934" s="137"/>
      <c r="H934" s="13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4"/>
      <c r="B935" s="4"/>
      <c r="C935" s="135"/>
      <c r="D935" s="4"/>
      <c r="E935" s="136"/>
      <c r="F935" s="135"/>
      <c r="G935" s="137"/>
      <c r="H935" s="13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4"/>
      <c r="B936" s="4"/>
      <c r="C936" s="135"/>
      <c r="D936" s="4"/>
      <c r="E936" s="136"/>
      <c r="F936" s="135"/>
      <c r="G936" s="137"/>
      <c r="H936" s="13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4"/>
      <c r="B937" s="4"/>
      <c r="C937" s="135"/>
      <c r="D937" s="4"/>
      <c r="E937" s="136"/>
      <c r="F937" s="135"/>
      <c r="G937" s="137"/>
      <c r="H937" s="13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4"/>
      <c r="B938" s="4"/>
      <c r="C938" s="135"/>
      <c r="D938" s="4"/>
      <c r="E938" s="136"/>
      <c r="F938" s="135"/>
      <c r="G938" s="137"/>
      <c r="H938" s="13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4"/>
      <c r="B939" s="4"/>
      <c r="C939" s="135"/>
      <c r="D939" s="4"/>
      <c r="E939" s="136"/>
      <c r="F939" s="135"/>
      <c r="G939" s="137"/>
      <c r="H939" s="13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4"/>
      <c r="B940" s="4"/>
      <c r="C940" s="135"/>
      <c r="D940" s="4"/>
      <c r="E940" s="136"/>
      <c r="F940" s="135"/>
      <c r="G940" s="137"/>
      <c r="H940" s="13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4"/>
      <c r="B941" s="4"/>
      <c r="C941" s="135"/>
      <c r="D941" s="4"/>
      <c r="E941" s="136"/>
      <c r="F941" s="135"/>
      <c r="G941" s="137"/>
      <c r="H941" s="13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4"/>
      <c r="B942" s="4"/>
      <c r="C942" s="135"/>
      <c r="D942" s="4"/>
      <c r="E942" s="136"/>
      <c r="F942" s="135"/>
      <c r="G942" s="137"/>
      <c r="H942" s="13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4"/>
      <c r="B943" s="4"/>
      <c r="C943" s="135"/>
      <c r="D943" s="4"/>
      <c r="E943" s="136"/>
      <c r="F943" s="135"/>
      <c r="G943" s="137"/>
      <c r="H943" s="13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4"/>
      <c r="B944" s="4"/>
      <c r="C944" s="135"/>
      <c r="D944" s="4"/>
      <c r="E944" s="136"/>
      <c r="F944" s="135"/>
      <c r="G944" s="137"/>
      <c r="H944" s="13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4"/>
      <c r="B945" s="4"/>
      <c r="C945" s="135"/>
      <c r="D945" s="4"/>
      <c r="E945" s="136"/>
      <c r="F945" s="135"/>
      <c r="G945" s="137"/>
      <c r="H945" s="13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4"/>
      <c r="B946" s="4"/>
      <c r="C946" s="135"/>
      <c r="D946" s="4"/>
      <c r="E946" s="136"/>
      <c r="F946" s="135"/>
      <c r="G946" s="137"/>
      <c r="H946" s="13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4"/>
      <c r="B947" s="4"/>
      <c r="C947" s="135"/>
      <c r="D947" s="4"/>
      <c r="E947" s="136"/>
      <c r="F947" s="135"/>
      <c r="G947" s="137"/>
      <c r="H947" s="13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4"/>
      <c r="B948" s="4"/>
      <c r="C948" s="135"/>
      <c r="D948" s="4"/>
      <c r="E948" s="136"/>
      <c r="F948" s="135"/>
      <c r="G948" s="137"/>
      <c r="H948" s="13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4"/>
      <c r="B949" s="4"/>
      <c r="C949" s="135"/>
      <c r="D949" s="4"/>
      <c r="E949" s="136"/>
      <c r="F949" s="135"/>
      <c r="G949" s="137"/>
      <c r="H949" s="13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4"/>
      <c r="B950" s="4"/>
      <c r="C950" s="135"/>
      <c r="D950" s="4"/>
      <c r="E950" s="136"/>
      <c r="F950" s="135"/>
      <c r="G950" s="137"/>
      <c r="H950" s="13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4"/>
      <c r="B951" s="4"/>
      <c r="C951" s="135"/>
      <c r="D951" s="4"/>
      <c r="E951" s="136"/>
      <c r="F951" s="135"/>
      <c r="G951" s="137"/>
      <c r="H951" s="13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4"/>
      <c r="B952" s="4"/>
      <c r="C952" s="135"/>
      <c r="D952" s="4"/>
      <c r="E952" s="136"/>
      <c r="F952" s="135"/>
      <c r="G952" s="137"/>
      <c r="H952" s="13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4"/>
      <c r="B953" s="4"/>
      <c r="C953" s="135"/>
      <c r="D953" s="4"/>
      <c r="E953" s="136"/>
      <c r="F953" s="135"/>
      <c r="G953" s="137"/>
      <c r="H953" s="13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4"/>
      <c r="B954" s="4"/>
      <c r="C954" s="135"/>
      <c r="D954" s="4"/>
      <c r="E954" s="136"/>
      <c r="F954" s="135"/>
      <c r="G954" s="137"/>
      <c r="H954" s="13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4"/>
      <c r="B955" s="4"/>
      <c r="C955" s="135"/>
      <c r="D955" s="4"/>
      <c r="E955" s="136"/>
      <c r="F955" s="135"/>
      <c r="G955" s="137"/>
      <c r="H955" s="13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4"/>
      <c r="B956" s="4"/>
      <c r="C956" s="135"/>
      <c r="D956" s="4"/>
      <c r="E956" s="136"/>
      <c r="F956" s="135"/>
      <c r="G956" s="137"/>
      <c r="H956" s="13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4"/>
      <c r="B957" s="4"/>
      <c r="C957" s="135"/>
      <c r="D957" s="4"/>
      <c r="E957" s="136"/>
      <c r="F957" s="135"/>
      <c r="G957" s="137"/>
      <c r="H957" s="13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4"/>
      <c r="B958" s="4"/>
      <c r="C958" s="135"/>
      <c r="D958" s="4"/>
      <c r="E958" s="136"/>
      <c r="F958" s="135"/>
      <c r="G958" s="137"/>
      <c r="H958" s="13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4"/>
      <c r="B959" s="4"/>
      <c r="C959" s="135"/>
      <c r="D959" s="4"/>
      <c r="E959" s="136"/>
      <c r="F959" s="135"/>
      <c r="G959" s="137"/>
      <c r="H959" s="13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4"/>
      <c r="B960" s="4"/>
      <c r="C960" s="135"/>
      <c r="D960" s="4"/>
      <c r="E960" s="136"/>
      <c r="F960" s="135"/>
      <c r="G960" s="137"/>
      <c r="H960" s="13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4"/>
      <c r="B961" s="4"/>
      <c r="C961" s="135"/>
      <c r="D961" s="4"/>
      <c r="E961" s="136"/>
      <c r="F961" s="135"/>
      <c r="G961" s="137"/>
      <c r="H961" s="13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4"/>
      <c r="B962" s="4"/>
      <c r="C962" s="135"/>
      <c r="D962" s="4"/>
      <c r="E962" s="136"/>
      <c r="F962" s="135"/>
      <c r="G962" s="137"/>
      <c r="H962" s="13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4"/>
      <c r="B963" s="4"/>
      <c r="C963" s="135"/>
      <c r="D963" s="4"/>
      <c r="E963" s="136"/>
      <c r="F963" s="135"/>
      <c r="G963" s="137"/>
      <c r="H963" s="13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4"/>
      <c r="B964" s="4"/>
      <c r="C964" s="135"/>
      <c r="D964" s="4"/>
      <c r="E964" s="136"/>
      <c r="F964" s="135"/>
      <c r="G964" s="137"/>
      <c r="H964" s="13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4"/>
      <c r="B965" s="4"/>
      <c r="C965" s="135"/>
      <c r="D965" s="4"/>
      <c r="E965" s="136"/>
      <c r="F965" s="135"/>
      <c r="G965" s="137"/>
      <c r="H965" s="13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4"/>
      <c r="B966" s="4"/>
      <c r="C966" s="135"/>
      <c r="D966" s="4"/>
      <c r="E966" s="136"/>
      <c r="F966" s="135"/>
      <c r="G966" s="137"/>
      <c r="H966" s="13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4"/>
      <c r="B967" s="4"/>
      <c r="C967" s="135"/>
      <c r="D967" s="4"/>
      <c r="E967" s="136"/>
      <c r="F967" s="135"/>
      <c r="G967" s="137"/>
      <c r="H967" s="13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4"/>
      <c r="B968" s="4"/>
      <c r="C968" s="135"/>
      <c r="D968" s="4"/>
      <c r="E968" s="136"/>
      <c r="F968" s="135"/>
      <c r="G968" s="137"/>
      <c r="H968" s="13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4"/>
      <c r="B969" s="4"/>
      <c r="C969" s="135"/>
      <c r="D969" s="4"/>
      <c r="E969" s="136"/>
      <c r="F969" s="135"/>
      <c r="G969" s="137"/>
      <c r="H969" s="13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4"/>
      <c r="B970" s="4"/>
      <c r="C970" s="135"/>
      <c r="D970" s="4"/>
      <c r="E970" s="136"/>
      <c r="F970" s="135"/>
      <c r="G970" s="137"/>
      <c r="H970" s="13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4"/>
      <c r="B971" s="4"/>
      <c r="C971" s="135"/>
      <c r="D971" s="4"/>
      <c r="E971" s="136"/>
      <c r="F971" s="135"/>
      <c r="G971" s="137"/>
      <c r="H971" s="13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4"/>
      <c r="B972" s="4"/>
      <c r="C972" s="135"/>
      <c r="D972" s="4"/>
      <c r="E972" s="136"/>
      <c r="F972" s="135"/>
      <c r="G972" s="137"/>
      <c r="H972" s="13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4"/>
      <c r="B973" s="4"/>
      <c r="C973" s="135"/>
      <c r="D973" s="4"/>
      <c r="E973" s="136"/>
      <c r="F973" s="135"/>
      <c r="G973" s="137"/>
      <c r="H973" s="13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4"/>
      <c r="B974" s="4"/>
      <c r="C974" s="135"/>
      <c r="D974" s="4"/>
      <c r="E974" s="136"/>
      <c r="F974" s="135"/>
      <c r="G974" s="137"/>
      <c r="H974" s="13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4"/>
      <c r="B975" s="4"/>
      <c r="C975" s="135"/>
      <c r="D975" s="4"/>
      <c r="E975" s="136"/>
      <c r="F975" s="135"/>
      <c r="G975" s="137"/>
      <c r="H975" s="13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4"/>
      <c r="B976" s="4"/>
      <c r="C976" s="135"/>
      <c r="D976" s="4"/>
      <c r="E976" s="136"/>
      <c r="F976" s="135"/>
      <c r="G976" s="137"/>
      <c r="H976" s="13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4"/>
      <c r="B977" s="4"/>
      <c r="C977" s="135"/>
      <c r="D977" s="4"/>
      <c r="E977" s="136"/>
      <c r="F977" s="135"/>
      <c r="G977" s="137"/>
      <c r="H977" s="13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4"/>
      <c r="B978" s="4"/>
      <c r="C978" s="135"/>
      <c r="D978" s="4"/>
      <c r="E978" s="136"/>
      <c r="F978" s="135"/>
      <c r="G978" s="137"/>
      <c r="H978" s="13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4"/>
      <c r="B979" s="4"/>
      <c r="C979" s="135"/>
      <c r="D979" s="4"/>
      <c r="E979" s="136"/>
      <c r="F979" s="135"/>
      <c r="G979" s="137"/>
      <c r="H979" s="13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4"/>
      <c r="B980" s="4"/>
      <c r="C980" s="135"/>
      <c r="D980" s="4"/>
      <c r="E980" s="136"/>
      <c r="F980" s="135"/>
      <c r="G980" s="137"/>
      <c r="H980" s="13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4"/>
      <c r="B981" s="4"/>
      <c r="C981" s="135"/>
      <c r="D981" s="4"/>
      <c r="E981" s="136"/>
      <c r="F981" s="135"/>
      <c r="G981" s="137"/>
      <c r="H981" s="13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4"/>
      <c r="B982" s="4"/>
      <c r="C982" s="135"/>
      <c r="D982" s="4"/>
      <c r="E982" s="136"/>
      <c r="F982" s="135"/>
      <c r="G982" s="137"/>
      <c r="H982" s="13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4"/>
      <c r="B983" s="4"/>
      <c r="C983" s="135"/>
      <c r="D983" s="4"/>
      <c r="E983" s="136"/>
      <c r="F983" s="135"/>
      <c r="G983" s="137"/>
      <c r="H983" s="13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4"/>
      <c r="B984" s="4"/>
      <c r="C984" s="135"/>
      <c r="D984" s="4"/>
      <c r="E984" s="136"/>
      <c r="F984" s="135"/>
      <c r="G984" s="137"/>
      <c r="H984" s="13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4"/>
      <c r="B985" s="4"/>
      <c r="C985" s="135"/>
      <c r="D985" s="4"/>
      <c r="E985" s="136"/>
      <c r="F985" s="135"/>
      <c r="G985" s="137"/>
      <c r="H985" s="13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4"/>
      <c r="B986" s="4"/>
      <c r="C986" s="135"/>
      <c r="D986" s="4"/>
      <c r="E986" s="136"/>
      <c r="F986" s="135"/>
      <c r="G986" s="137"/>
      <c r="H986" s="13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4"/>
      <c r="B987" s="4"/>
      <c r="C987" s="135"/>
      <c r="D987" s="4"/>
      <c r="E987" s="136"/>
      <c r="F987" s="135"/>
      <c r="G987" s="137"/>
      <c r="H987" s="13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4"/>
      <c r="B988" s="4"/>
      <c r="C988" s="135"/>
      <c r="D988" s="4"/>
      <c r="E988" s="136"/>
      <c r="F988" s="135"/>
      <c r="G988" s="137"/>
      <c r="H988" s="13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4"/>
      <c r="B989" s="4"/>
      <c r="C989" s="135"/>
      <c r="D989" s="4"/>
      <c r="E989" s="136"/>
      <c r="F989" s="135"/>
      <c r="G989" s="137"/>
      <c r="H989" s="13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4"/>
      <c r="B990" s="4"/>
      <c r="C990" s="135"/>
      <c r="D990" s="4"/>
      <c r="E990" s="136"/>
      <c r="F990" s="135"/>
      <c r="G990" s="137"/>
      <c r="H990" s="13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4"/>
      <c r="B991" s="4"/>
      <c r="C991" s="135"/>
      <c r="D991" s="4"/>
      <c r="E991" s="136"/>
      <c r="F991" s="135"/>
      <c r="G991" s="137"/>
      <c r="H991" s="13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4"/>
      <c r="B992" s="4"/>
      <c r="C992" s="135"/>
      <c r="D992" s="4"/>
      <c r="E992" s="136"/>
      <c r="F992" s="135"/>
      <c r="G992" s="137"/>
      <c r="H992" s="13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4"/>
      <c r="B993" s="4"/>
      <c r="C993" s="135"/>
      <c r="D993" s="4"/>
      <c r="E993" s="136"/>
      <c r="F993" s="135"/>
      <c r="G993" s="137"/>
      <c r="H993" s="13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4"/>
      <c r="B994" s="4"/>
      <c r="C994" s="135"/>
      <c r="D994" s="4"/>
      <c r="E994" s="136"/>
      <c r="F994" s="135"/>
      <c r="G994" s="137"/>
      <c r="H994" s="13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4"/>
      <c r="B995" s="4"/>
      <c r="C995" s="135"/>
      <c r="D995" s="4"/>
      <c r="E995" s="136"/>
      <c r="F995" s="135"/>
      <c r="G995" s="137"/>
      <c r="H995" s="13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4"/>
      <c r="B996" s="4"/>
      <c r="C996" s="135"/>
      <c r="D996" s="4"/>
      <c r="E996" s="136"/>
      <c r="F996" s="135"/>
      <c r="G996" s="137"/>
      <c r="H996" s="13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4"/>
      <c r="B997" s="4"/>
      <c r="C997" s="135"/>
      <c r="D997" s="4"/>
      <c r="E997" s="136"/>
      <c r="F997" s="135"/>
      <c r="G997" s="137"/>
      <c r="H997" s="13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4"/>
      <c r="B998" s="4"/>
      <c r="C998" s="135"/>
      <c r="D998" s="4"/>
      <c r="E998" s="136"/>
      <c r="F998" s="135"/>
      <c r="G998" s="137"/>
      <c r="H998" s="13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4"/>
      <c r="B999" s="4"/>
      <c r="C999" s="135"/>
      <c r="D999" s="4"/>
      <c r="E999" s="136"/>
      <c r="F999" s="135"/>
      <c r="G999" s="137"/>
      <c r="H999" s="13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134"/>
      <c r="B1000" s="4"/>
      <c r="C1000" s="135"/>
      <c r="D1000" s="4"/>
      <c r="E1000" s="136"/>
      <c r="F1000" s="135"/>
      <c r="G1000" s="137"/>
      <c r="H1000" s="13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2" max="2" width="15.63"/>
    <col customWidth="1" min="3" max="3" width="14.13"/>
    <col customWidth="1" min="4" max="4" width="14.38"/>
  </cols>
  <sheetData>
    <row r="1">
      <c r="A1" s="106" t="s">
        <v>189</v>
      </c>
      <c r="B1" s="109" t="s">
        <v>191</v>
      </c>
      <c r="C1" s="110" t="s">
        <v>193</v>
      </c>
      <c r="D1" s="109" t="s">
        <v>194</v>
      </c>
      <c r="E1" s="113" t="s">
        <v>195</v>
      </c>
      <c r="F1" s="110" t="s">
        <v>196</v>
      </c>
      <c r="G1" s="116" t="s">
        <v>197</v>
      </c>
      <c r="H1" s="110" t="s">
        <v>198</v>
      </c>
      <c r="I1" s="109" t="s">
        <v>200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</row>
    <row r="2">
      <c r="A2" s="120" t="s">
        <v>226</v>
      </c>
      <c r="B2" s="121">
        <v>5.0</v>
      </c>
      <c r="C2" s="122">
        <v>20.0</v>
      </c>
      <c r="D2" s="121">
        <v>17.0</v>
      </c>
      <c r="E2" s="126">
        <f t="shared" ref="E2:E58" si="1">F2/4*C2</f>
        <v>60</v>
      </c>
      <c r="F2" s="122">
        <v>12.0</v>
      </c>
      <c r="G2" s="127">
        <f t="shared" ref="G2:G205" si="2">H2/4*C2</f>
        <v>1</v>
      </c>
      <c r="H2" s="122">
        <v>0.2</v>
      </c>
      <c r="I2" s="131">
        <v>0.941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20" t="s">
        <v>231</v>
      </c>
      <c r="B3" s="121">
        <v>5.0</v>
      </c>
      <c r="C3" s="122">
        <v>20.0</v>
      </c>
      <c r="D3" s="121">
        <v>14.0</v>
      </c>
      <c r="E3" s="126">
        <f t="shared" si="1"/>
        <v>52</v>
      </c>
      <c r="F3" s="122">
        <v>10.4</v>
      </c>
      <c r="G3" s="127">
        <f t="shared" si="2"/>
        <v>0</v>
      </c>
      <c r="H3" s="122">
        <v>0.0</v>
      </c>
      <c r="I3" s="128">
        <v>0.929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20" t="s">
        <v>233</v>
      </c>
      <c r="B4" s="121">
        <v>5.0</v>
      </c>
      <c r="C4" s="122">
        <v>20.0</v>
      </c>
      <c r="D4" s="121">
        <v>18.0</v>
      </c>
      <c r="E4" s="126">
        <f t="shared" si="1"/>
        <v>52</v>
      </c>
      <c r="F4" s="122">
        <v>10.4</v>
      </c>
      <c r="G4" s="127">
        <f t="shared" si="2"/>
        <v>0</v>
      </c>
      <c r="H4" s="122">
        <v>0.0</v>
      </c>
      <c r="I4" s="128">
        <v>0.722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20" t="s">
        <v>232</v>
      </c>
      <c r="B5" s="121">
        <v>5.0</v>
      </c>
      <c r="C5" s="122">
        <v>20.0</v>
      </c>
      <c r="D5" s="121">
        <v>18.0</v>
      </c>
      <c r="E5" s="126">
        <f t="shared" si="1"/>
        <v>48</v>
      </c>
      <c r="F5" s="122">
        <v>9.6</v>
      </c>
      <c r="G5" s="127">
        <f t="shared" si="2"/>
        <v>2</v>
      </c>
      <c r="H5" s="122">
        <v>0.4</v>
      </c>
      <c r="I5" s="128">
        <v>0.778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0" t="s">
        <v>235</v>
      </c>
      <c r="B6" s="121">
        <v>5.0</v>
      </c>
      <c r="C6" s="122">
        <v>20.0</v>
      </c>
      <c r="D6" s="121">
        <v>12.0</v>
      </c>
      <c r="E6" s="126">
        <f t="shared" si="1"/>
        <v>40</v>
      </c>
      <c r="F6" s="122">
        <v>8.0</v>
      </c>
      <c r="G6" s="127">
        <f t="shared" si="2"/>
        <v>1</v>
      </c>
      <c r="H6" s="122">
        <v>0.2</v>
      </c>
      <c r="I6" s="131">
        <v>0.917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20" t="s">
        <v>237</v>
      </c>
      <c r="B7" s="121">
        <v>5.0</v>
      </c>
      <c r="C7" s="122">
        <v>20.0</v>
      </c>
      <c r="D7" s="121">
        <v>12.0</v>
      </c>
      <c r="E7" s="126">
        <f t="shared" si="1"/>
        <v>40</v>
      </c>
      <c r="F7" s="122">
        <v>8.0</v>
      </c>
      <c r="G7" s="127">
        <f t="shared" si="2"/>
        <v>0</v>
      </c>
      <c r="H7" s="122">
        <v>0.0</v>
      </c>
      <c r="I7" s="128">
        <v>0.833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0" t="s">
        <v>239</v>
      </c>
      <c r="B8" s="121">
        <v>5.0</v>
      </c>
      <c r="C8" s="122">
        <v>20.0</v>
      </c>
      <c r="D8" s="121">
        <v>15.0</v>
      </c>
      <c r="E8" s="126">
        <f t="shared" si="1"/>
        <v>40</v>
      </c>
      <c r="F8" s="122">
        <v>8.0</v>
      </c>
      <c r="G8" s="127">
        <f t="shared" si="2"/>
        <v>2</v>
      </c>
      <c r="H8" s="122">
        <v>0.4</v>
      </c>
      <c r="I8" s="128">
        <v>0.8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20" t="s">
        <v>240</v>
      </c>
      <c r="B9" s="121">
        <v>5.0</v>
      </c>
      <c r="C9" s="122">
        <v>20.0</v>
      </c>
      <c r="D9" s="121">
        <v>11.0</v>
      </c>
      <c r="E9" s="126">
        <f t="shared" si="1"/>
        <v>36</v>
      </c>
      <c r="F9" s="122">
        <v>7.2</v>
      </c>
      <c r="G9" s="127">
        <f t="shared" si="2"/>
        <v>1</v>
      </c>
      <c r="H9" s="122">
        <v>0.2</v>
      </c>
      <c r="I9" s="128">
        <v>0.909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20" t="s">
        <v>244</v>
      </c>
      <c r="B10" s="121">
        <v>5.0</v>
      </c>
      <c r="C10" s="122">
        <v>20.0</v>
      </c>
      <c r="D10" s="121">
        <v>14.0</v>
      </c>
      <c r="E10" s="126">
        <f t="shared" si="1"/>
        <v>36</v>
      </c>
      <c r="F10" s="122">
        <v>7.2</v>
      </c>
      <c r="G10" s="127">
        <f t="shared" si="2"/>
        <v>2</v>
      </c>
      <c r="H10" s="122">
        <v>0.4</v>
      </c>
      <c r="I10" s="128">
        <v>0.786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20" t="s">
        <v>215</v>
      </c>
      <c r="B11" s="121">
        <v>5.0</v>
      </c>
      <c r="C11" s="122">
        <v>20.0</v>
      </c>
      <c r="D11" s="121">
        <v>16.0</v>
      </c>
      <c r="E11" s="126">
        <f t="shared" si="1"/>
        <v>36</v>
      </c>
      <c r="F11" s="122">
        <v>7.2</v>
      </c>
      <c r="G11" s="127">
        <f t="shared" si="2"/>
        <v>3</v>
      </c>
      <c r="H11" s="122">
        <v>0.6</v>
      </c>
      <c r="I11" s="128">
        <v>0.75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20" t="s">
        <v>249</v>
      </c>
      <c r="B12" s="121">
        <v>5.0</v>
      </c>
      <c r="C12" s="122">
        <v>20.0</v>
      </c>
      <c r="D12" s="121">
        <v>10.0</v>
      </c>
      <c r="E12" s="126">
        <f t="shared" si="1"/>
        <v>32</v>
      </c>
      <c r="F12" s="122">
        <v>6.4</v>
      </c>
      <c r="G12" s="127">
        <f t="shared" si="2"/>
        <v>1</v>
      </c>
      <c r="H12" s="122">
        <v>0.2</v>
      </c>
      <c r="I12" s="128">
        <v>0.9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20" t="s">
        <v>252</v>
      </c>
      <c r="B13" s="121">
        <v>5.0</v>
      </c>
      <c r="C13" s="122">
        <v>20.0</v>
      </c>
      <c r="D13" s="121">
        <v>11.0</v>
      </c>
      <c r="E13" s="126">
        <f t="shared" si="1"/>
        <v>32</v>
      </c>
      <c r="F13" s="122">
        <v>6.4</v>
      </c>
      <c r="G13" s="127">
        <f t="shared" si="2"/>
        <v>1</v>
      </c>
      <c r="H13" s="122">
        <v>0.2</v>
      </c>
      <c r="I13" s="128">
        <v>0.818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20" t="s">
        <v>234</v>
      </c>
      <c r="B14" s="121">
        <v>5.0</v>
      </c>
      <c r="C14" s="122">
        <v>20.0</v>
      </c>
      <c r="D14" s="121">
        <v>16.0</v>
      </c>
      <c r="E14" s="126">
        <f t="shared" si="1"/>
        <v>32</v>
      </c>
      <c r="F14" s="122">
        <v>6.4</v>
      </c>
      <c r="G14" s="127">
        <f t="shared" si="2"/>
        <v>3</v>
      </c>
      <c r="H14" s="122">
        <v>0.6</v>
      </c>
      <c r="I14" s="131">
        <v>0.688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20" t="s">
        <v>224</v>
      </c>
      <c r="B15" s="121">
        <v>5.0</v>
      </c>
      <c r="C15" s="122">
        <v>20.0</v>
      </c>
      <c r="D15" s="121">
        <v>12.0</v>
      </c>
      <c r="E15" s="126">
        <f t="shared" si="1"/>
        <v>32</v>
      </c>
      <c r="F15" s="122">
        <v>6.4</v>
      </c>
      <c r="G15" s="127">
        <f t="shared" si="2"/>
        <v>0</v>
      </c>
      <c r="H15" s="122">
        <v>0.0</v>
      </c>
      <c r="I15" s="128">
        <v>0.667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20" t="s">
        <v>257</v>
      </c>
      <c r="B16" s="121">
        <v>5.0</v>
      </c>
      <c r="C16" s="122">
        <v>20.0</v>
      </c>
      <c r="D16" s="121">
        <v>7.0</v>
      </c>
      <c r="E16" s="126">
        <f t="shared" si="1"/>
        <v>28</v>
      </c>
      <c r="F16" s="122">
        <v>5.6</v>
      </c>
      <c r="G16" s="127">
        <f t="shared" si="2"/>
        <v>0</v>
      </c>
      <c r="H16" s="122">
        <v>0.0</v>
      </c>
      <c r="I16" s="128">
        <v>1.0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20" t="s">
        <v>220</v>
      </c>
      <c r="B17" s="121">
        <v>5.0</v>
      </c>
      <c r="C17" s="122">
        <v>20.0</v>
      </c>
      <c r="D17" s="121">
        <v>7.0</v>
      </c>
      <c r="E17" s="126">
        <f t="shared" si="1"/>
        <v>28</v>
      </c>
      <c r="F17" s="122">
        <v>5.6</v>
      </c>
      <c r="G17" s="127">
        <f t="shared" si="2"/>
        <v>0</v>
      </c>
      <c r="H17" s="122">
        <v>0.0</v>
      </c>
      <c r="I17" s="131">
        <v>1.0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20" t="s">
        <v>259</v>
      </c>
      <c r="B18" s="121">
        <v>5.0</v>
      </c>
      <c r="C18" s="122">
        <v>20.0</v>
      </c>
      <c r="D18" s="121">
        <v>8.0</v>
      </c>
      <c r="E18" s="126">
        <f t="shared" si="1"/>
        <v>28</v>
      </c>
      <c r="F18" s="122">
        <v>5.6</v>
      </c>
      <c r="G18" s="127">
        <f t="shared" si="2"/>
        <v>0</v>
      </c>
      <c r="H18" s="122">
        <v>0.0</v>
      </c>
      <c r="I18" s="128">
        <v>0.875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20" t="s">
        <v>258</v>
      </c>
      <c r="B19" s="121">
        <v>5.0</v>
      </c>
      <c r="C19" s="122">
        <v>20.0</v>
      </c>
      <c r="D19" s="121">
        <v>11.0</v>
      </c>
      <c r="E19" s="126">
        <f t="shared" si="1"/>
        <v>28</v>
      </c>
      <c r="F19" s="122">
        <v>5.6</v>
      </c>
      <c r="G19" s="127">
        <f t="shared" si="2"/>
        <v>2</v>
      </c>
      <c r="H19" s="122">
        <v>0.4</v>
      </c>
      <c r="I19" s="128">
        <v>0.818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20" t="s">
        <v>262</v>
      </c>
      <c r="B20" s="121">
        <v>5.0</v>
      </c>
      <c r="C20" s="122">
        <v>20.0</v>
      </c>
      <c r="D20" s="121">
        <v>13.0</v>
      </c>
      <c r="E20" s="126">
        <f t="shared" si="1"/>
        <v>28</v>
      </c>
      <c r="F20" s="122">
        <v>5.6</v>
      </c>
      <c r="G20" s="127">
        <f t="shared" si="2"/>
        <v>2.5</v>
      </c>
      <c r="H20" s="122">
        <v>0.5</v>
      </c>
      <c r="I20" s="128">
        <f>9/13</f>
        <v>0.6923076923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20" t="s">
        <v>263</v>
      </c>
      <c r="B21" s="121">
        <v>4.0</v>
      </c>
      <c r="C21" s="122">
        <v>16.0</v>
      </c>
      <c r="D21" s="121">
        <v>11.0</v>
      </c>
      <c r="E21" s="126">
        <f t="shared" si="1"/>
        <v>28</v>
      </c>
      <c r="F21" s="122">
        <v>7.0</v>
      </c>
      <c r="G21" s="127">
        <f t="shared" si="2"/>
        <v>0</v>
      </c>
      <c r="H21" s="122">
        <v>0.0</v>
      </c>
      <c r="I21" s="128">
        <v>0.636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20" t="s">
        <v>265</v>
      </c>
      <c r="B22" s="121">
        <v>5.0</v>
      </c>
      <c r="C22" s="122">
        <v>20.0</v>
      </c>
      <c r="D22" s="121">
        <v>9.0</v>
      </c>
      <c r="E22" s="126">
        <f t="shared" si="1"/>
        <v>24</v>
      </c>
      <c r="F22" s="122">
        <v>4.8</v>
      </c>
      <c r="G22" s="127">
        <f t="shared" si="2"/>
        <v>0</v>
      </c>
      <c r="H22" s="122">
        <v>0.0</v>
      </c>
      <c r="I22" s="131">
        <v>0.667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20" t="s">
        <v>266</v>
      </c>
      <c r="B23" s="121">
        <v>5.0</v>
      </c>
      <c r="C23" s="122">
        <v>20.0</v>
      </c>
      <c r="D23" s="121">
        <v>14.0</v>
      </c>
      <c r="E23" s="126">
        <f t="shared" si="1"/>
        <v>24</v>
      </c>
      <c r="F23" s="122">
        <v>4.8</v>
      </c>
      <c r="G23" s="127">
        <f t="shared" si="2"/>
        <v>3</v>
      </c>
      <c r="H23" s="122">
        <v>0.6</v>
      </c>
      <c r="I23" s="128">
        <v>0.643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20" t="s">
        <v>269</v>
      </c>
      <c r="B24" s="121">
        <v>5.0</v>
      </c>
      <c r="C24" s="122">
        <v>20.0</v>
      </c>
      <c r="D24" s="121">
        <v>11.0</v>
      </c>
      <c r="E24" s="126">
        <f t="shared" si="1"/>
        <v>24</v>
      </c>
      <c r="F24" s="122">
        <v>4.8</v>
      </c>
      <c r="G24" s="127">
        <f t="shared" si="2"/>
        <v>1</v>
      </c>
      <c r="H24" s="122">
        <v>0.2</v>
      </c>
      <c r="I24" s="128">
        <v>0.636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20" t="s">
        <v>225</v>
      </c>
      <c r="B25" s="121">
        <v>5.0</v>
      </c>
      <c r="C25" s="122">
        <v>20.0</v>
      </c>
      <c r="D25" s="121">
        <v>13.0</v>
      </c>
      <c r="E25" s="126">
        <f t="shared" si="1"/>
        <v>24</v>
      </c>
      <c r="F25" s="122">
        <v>4.8</v>
      </c>
      <c r="G25" s="127">
        <f t="shared" si="2"/>
        <v>2</v>
      </c>
      <c r="H25" s="122">
        <v>0.4</v>
      </c>
      <c r="I25" s="128">
        <v>0.615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20" t="s">
        <v>272</v>
      </c>
      <c r="B26" s="121">
        <v>5.0</v>
      </c>
      <c r="C26" s="122">
        <v>20.0</v>
      </c>
      <c r="D26" s="121">
        <v>11.0</v>
      </c>
      <c r="E26" s="126">
        <f t="shared" si="1"/>
        <v>24</v>
      </c>
      <c r="F26" s="122">
        <v>4.8</v>
      </c>
      <c r="G26" s="127">
        <f t="shared" si="2"/>
        <v>0</v>
      </c>
      <c r="H26" s="122">
        <v>0.0</v>
      </c>
      <c r="I26" s="131">
        <v>0.545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20" t="s">
        <v>204</v>
      </c>
      <c r="B27" s="121">
        <v>5.0</v>
      </c>
      <c r="C27" s="122">
        <v>20.0</v>
      </c>
      <c r="D27" s="121">
        <v>13.0</v>
      </c>
      <c r="E27" s="126">
        <f t="shared" si="1"/>
        <v>24</v>
      </c>
      <c r="F27" s="122">
        <v>4.8</v>
      </c>
      <c r="G27" s="127">
        <f t="shared" si="2"/>
        <v>1</v>
      </c>
      <c r="H27" s="122">
        <v>0.2</v>
      </c>
      <c r="I27" s="131">
        <v>0.538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20" t="s">
        <v>274</v>
      </c>
      <c r="B28" s="121">
        <v>5.0</v>
      </c>
      <c r="C28" s="122">
        <v>20.0</v>
      </c>
      <c r="D28" s="121">
        <v>8.0</v>
      </c>
      <c r="E28" s="126">
        <f t="shared" si="1"/>
        <v>20</v>
      </c>
      <c r="F28" s="122">
        <v>4.0</v>
      </c>
      <c r="G28" s="127">
        <f t="shared" si="2"/>
        <v>1</v>
      </c>
      <c r="H28" s="122">
        <v>0.2</v>
      </c>
      <c r="I28" s="128">
        <v>0.75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20" t="s">
        <v>242</v>
      </c>
      <c r="B29" s="121">
        <v>5.0</v>
      </c>
      <c r="C29" s="122">
        <v>20.0</v>
      </c>
      <c r="D29" s="121">
        <v>11.0</v>
      </c>
      <c r="E29" s="126">
        <f t="shared" si="1"/>
        <v>20</v>
      </c>
      <c r="F29" s="122">
        <v>4.0</v>
      </c>
      <c r="G29" s="127">
        <f t="shared" si="2"/>
        <v>2</v>
      </c>
      <c r="H29" s="122">
        <v>0.4</v>
      </c>
      <c r="I29" s="128">
        <v>0.636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20" t="s">
        <v>279</v>
      </c>
      <c r="B30" s="121">
        <v>1.0</v>
      </c>
      <c r="C30" s="122">
        <v>4.0</v>
      </c>
      <c r="D30" s="121">
        <v>4.0</v>
      </c>
      <c r="E30" s="126">
        <f t="shared" si="1"/>
        <v>16</v>
      </c>
      <c r="F30" s="122">
        <v>16.0</v>
      </c>
      <c r="G30" s="127">
        <f t="shared" si="2"/>
        <v>0</v>
      </c>
      <c r="H30" s="122">
        <v>0.0</v>
      </c>
      <c r="I30" s="128">
        <v>1.0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20" t="s">
        <v>283</v>
      </c>
      <c r="B31" s="121">
        <v>5.0</v>
      </c>
      <c r="C31" s="122">
        <v>20.0</v>
      </c>
      <c r="D31" s="121">
        <v>5.0</v>
      </c>
      <c r="E31" s="126">
        <f t="shared" si="1"/>
        <v>16</v>
      </c>
      <c r="F31" s="122">
        <v>3.2</v>
      </c>
      <c r="G31" s="127">
        <f t="shared" si="2"/>
        <v>0</v>
      </c>
      <c r="H31" s="122">
        <v>0.0</v>
      </c>
      <c r="I31" s="131">
        <v>0.8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20" t="s">
        <v>285</v>
      </c>
      <c r="B32" s="121">
        <v>5.0</v>
      </c>
      <c r="C32" s="122">
        <v>20.0</v>
      </c>
      <c r="D32" s="121">
        <v>7.0</v>
      </c>
      <c r="E32" s="126">
        <f t="shared" si="1"/>
        <v>16</v>
      </c>
      <c r="F32" s="122">
        <v>3.2</v>
      </c>
      <c r="G32" s="127">
        <f t="shared" si="2"/>
        <v>1</v>
      </c>
      <c r="H32" s="122">
        <v>0.2</v>
      </c>
      <c r="I32" s="128">
        <v>0.714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20" t="s">
        <v>247</v>
      </c>
      <c r="B33" s="121">
        <v>5.0</v>
      </c>
      <c r="C33" s="122">
        <v>20.0</v>
      </c>
      <c r="D33" s="121">
        <v>7.0</v>
      </c>
      <c r="E33" s="126">
        <f t="shared" si="1"/>
        <v>16</v>
      </c>
      <c r="F33" s="122">
        <v>3.2</v>
      </c>
      <c r="G33" s="127">
        <f t="shared" si="2"/>
        <v>0</v>
      </c>
      <c r="H33" s="122">
        <v>0.0</v>
      </c>
      <c r="I33" s="131">
        <v>0.571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20" t="s">
        <v>271</v>
      </c>
      <c r="B34" s="121">
        <v>5.0</v>
      </c>
      <c r="C34" s="122">
        <v>20.0</v>
      </c>
      <c r="D34" s="121">
        <v>14.0</v>
      </c>
      <c r="E34" s="126">
        <f t="shared" si="1"/>
        <v>16</v>
      </c>
      <c r="F34" s="122">
        <v>3.2</v>
      </c>
      <c r="G34" s="127">
        <f t="shared" si="2"/>
        <v>3</v>
      </c>
      <c r="H34" s="122">
        <v>0.6</v>
      </c>
      <c r="I34" s="128">
        <v>0.5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20" t="s">
        <v>268</v>
      </c>
      <c r="B35" s="121">
        <v>5.0</v>
      </c>
      <c r="C35" s="122">
        <v>20.0</v>
      </c>
      <c r="D35" s="121">
        <v>10.0</v>
      </c>
      <c r="E35" s="126">
        <f t="shared" si="1"/>
        <v>16</v>
      </c>
      <c r="F35" s="122">
        <v>3.2</v>
      </c>
      <c r="G35" s="127">
        <f t="shared" si="2"/>
        <v>0</v>
      </c>
      <c r="H35" s="122">
        <v>0.0</v>
      </c>
      <c r="I35" s="128">
        <v>0.4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20" t="s">
        <v>253</v>
      </c>
      <c r="B36" s="121">
        <v>5.0</v>
      </c>
      <c r="C36" s="122">
        <v>20.0</v>
      </c>
      <c r="D36" s="121">
        <v>16.0</v>
      </c>
      <c r="E36" s="126">
        <f t="shared" si="1"/>
        <v>16</v>
      </c>
      <c r="F36" s="122">
        <v>3.2</v>
      </c>
      <c r="G36" s="127">
        <f t="shared" si="2"/>
        <v>2</v>
      </c>
      <c r="H36" s="122">
        <v>0.4</v>
      </c>
      <c r="I36" s="128">
        <v>0.375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20" t="s">
        <v>291</v>
      </c>
      <c r="B37" s="121">
        <v>5.0</v>
      </c>
      <c r="C37" s="122">
        <v>20.0</v>
      </c>
      <c r="D37" s="121">
        <v>3.0</v>
      </c>
      <c r="E37" s="126">
        <f t="shared" si="1"/>
        <v>12</v>
      </c>
      <c r="F37" s="122">
        <v>2.4</v>
      </c>
      <c r="G37" s="127">
        <f t="shared" si="2"/>
        <v>0</v>
      </c>
      <c r="H37" s="122">
        <v>0.0</v>
      </c>
      <c r="I37" s="128">
        <v>1.0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20" t="s">
        <v>292</v>
      </c>
      <c r="B38" s="121">
        <v>4.0</v>
      </c>
      <c r="C38" s="122">
        <v>16.0</v>
      </c>
      <c r="D38" s="121">
        <v>3.0</v>
      </c>
      <c r="E38" s="126">
        <f t="shared" si="1"/>
        <v>12</v>
      </c>
      <c r="F38" s="122">
        <v>3.0</v>
      </c>
      <c r="G38" s="127">
        <f t="shared" si="2"/>
        <v>0</v>
      </c>
      <c r="H38" s="122">
        <v>0.0</v>
      </c>
      <c r="I38" s="128">
        <v>1.0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20" t="s">
        <v>281</v>
      </c>
      <c r="B39" s="121">
        <v>5.0</v>
      </c>
      <c r="C39" s="122">
        <v>20.0</v>
      </c>
      <c r="D39" s="121">
        <v>4.0</v>
      </c>
      <c r="E39" s="126">
        <f t="shared" si="1"/>
        <v>12</v>
      </c>
      <c r="F39" s="122">
        <v>2.4</v>
      </c>
      <c r="G39" s="127">
        <f t="shared" si="2"/>
        <v>0</v>
      </c>
      <c r="H39" s="122">
        <v>0.0</v>
      </c>
      <c r="I39" s="128">
        <v>0.75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20" t="s">
        <v>251</v>
      </c>
      <c r="B40" s="121">
        <v>5.0</v>
      </c>
      <c r="C40" s="122">
        <v>20.0</v>
      </c>
      <c r="D40" s="121">
        <v>4.0</v>
      </c>
      <c r="E40" s="126">
        <f t="shared" si="1"/>
        <v>12</v>
      </c>
      <c r="F40" s="122">
        <v>2.4</v>
      </c>
      <c r="G40" s="127">
        <f t="shared" si="2"/>
        <v>0</v>
      </c>
      <c r="H40" s="122">
        <v>0.0</v>
      </c>
      <c r="I40" s="128">
        <v>0.75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20" t="s">
        <v>223</v>
      </c>
      <c r="B41" s="121">
        <v>5.0</v>
      </c>
      <c r="C41" s="122">
        <v>20.0</v>
      </c>
      <c r="D41" s="121">
        <v>4.0</v>
      </c>
      <c r="E41" s="126">
        <f t="shared" si="1"/>
        <v>12</v>
      </c>
      <c r="F41" s="122">
        <v>2.4</v>
      </c>
      <c r="G41" s="127">
        <f t="shared" si="2"/>
        <v>0</v>
      </c>
      <c r="H41" s="122">
        <v>0.0</v>
      </c>
      <c r="I41" s="128">
        <v>0.75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20" t="s">
        <v>273</v>
      </c>
      <c r="B42" s="121">
        <v>5.0</v>
      </c>
      <c r="C42" s="122">
        <v>20.0</v>
      </c>
      <c r="D42" s="121">
        <v>5.0</v>
      </c>
      <c r="E42" s="126">
        <f t="shared" si="1"/>
        <v>12</v>
      </c>
      <c r="F42" s="122">
        <v>2.4</v>
      </c>
      <c r="G42" s="127">
        <f t="shared" si="2"/>
        <v>0</v>
      </c>
      <c r="H42" s="122">
        <v>0.0</v>
      </c>
      <c r="I42" s="128">
        <v>0.6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20" t="s">
        <v>302</v>
      </c>
      <c r="B43" s="121">
        <v>5.0</v>
      </c>
      <c r="C43" s="122">
        <v>20.0</v>
      </c>
      <c r="D43" s="121">
        <v>7.0</v>
      </c>
      <c r="E43" s="126">
        <f t="shared" si="1"/>
        <v>12</v>
      </c>
      <c r="F43" s="122">
        <v>2.4</v>
      </c>
      <c r="G43" s="127">
        <f t="shared" si="2"/>
        <v>1</v>
      </c>
      <c r="H43" s="122">
        <v>0.2</v>
      </c>
      <c r="I43" s="128">
        <v>0.571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20" t="s">
        <v>275</v>
      </c>
      <c r="B44" s="121">
        <v>3.0</v>
      </c>
      <c r="C44" s="122">
        <v>12.0</v>
      </c>
      <c r="D44" s="121">
        <v>2.0</v>
      </c>
      <c r="E44" s="126">
        <f t="shared" si="1"/>
        <v>8.01</v>
      </c>
      <c r="F44" s="122">
        <v>2.67</v>
      </c>
      <c r="G44" s="127">
        <f t="shared" si="2"/>
        <v>0</v>
      </c>
      <c r="H44" s="122">
        <v>0.0</v>
      </c>
      <c r="I44" s="128">
        <v>1.0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20" t="s">
        <v>218</v>
      </c>
      <c r="B45" s="121">
        <v>5.0</v>
      </c>
      <c r="C45" s="122">
        <v>20.0</v>
      </c>
      <c r="D45" s="121">
        <v>2.0</v>
      </c>
      <c r="E45" s="126">
        <f t="shared" si="1"/>
        <v>8</v>
      </c>
      <c r="F45" s="122">
        <v>1.6</v>
      </c>
      <c r="G45" s="127">
        <f t="shared" si="2"/>
        <v>0</v>
      </c>
      <c r="H45" s="122">
        <v>0.0</v>
      </c>
      <c r="I45" s="128">
        <v>1.0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20" t="s">
        <v>305</v>
      </c>
      <c r="B46" s="121">
        <v>4.0</v>
      </c>
      <c r="C46" s="122">
        <v>16.0</v>
      </c>
      <c r="D46" s="121">
        <v>2.0</v>
      </c>
      <c r="E46" s="126">
        <f t="shared" si="1"/>
        <v>8</v>
      </c>
      <c r="F46" s="122">
        <v>2.0</v>
      </c>
      <c r="G46" s="127">
        <f t="shared" si="2"/>
        <v>0</v>
      </c>
      <c r="H46" s="122">
        <v>0.0</v>
      </c>
      <c r="I46" s="128">
        <v>1.0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20" t="s">
        <v>307</v>
      </c>
      <c r="B47" s="121">
        <v>1.0</v>
      </c>
      <c r="C47" s="122">
        <v>4.0</v>
      </c>
      <c r="D47" s="121">
        <v>2.0</v>
      </c>
      <c r="E47" s="126">
        <f t="shared" si="1"/>
        <v>8</v>
      </c>
      <c r="F47" s="122">
        <v>8.0</v>
      </c>
      <c r="G47" s="127">
        <f t="shared" si="2"/>
        <v>0</v>
      </c>
      <c r="H47" s="122">
        <v>0.0</v>
      </c>
      <c r="I47" s="128">
        <v>1.0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20" t="s">
        <v>309</v>
      </c>
      <c r="B48" s="121">
        <v>5.0</v>
      </c>
      <c r="C48" s="122">
        <v>20.0</v>
      </c>
      <c r="D48" s="121">
        <v>2.0</v>
      </c>
      <c r="E48" s="126">
        <f t="shared" si="1"/>
        <v>8</v>
      </c>
      <c r="F48" s="122">
        <v>1.6</v>
      </c>
      <c r="G48" s="127">
        <f t="shared" si="2"/>
        <v>0</v>
      </c>
      <c r="H48" s="122">
        <v>0.0</v>
      </c>
      <c r="I48" s="128">
        <v>1.0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20" t="s">
        <v>312</v>
      </c>
      <c r="B49" s="121">
        <v>5.0</v>
      </c>
      <c r="C49" s="122">
        <v>20.0</v>
      </c>
      <c r="D49" s="121">
        <v>2.0</v>
      </c>
      <c r="E49" s="126">
        <f t="shared" si="1"/>
        <v>8</v>
      </c>
      <c r="F49" s="122">
        <v>1.6</v>
      </c>
      <c r="G49" s="127">
        <f t="shared" si="2"/>
        <v>0</v>
      </c>
      <c r="H49" s="122">
        <v>0.0</v>
      </c>
      <c r="I49" s="128">
        <v>1.0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20" t="s">
        <v>314</v>
      </c>
      <c r="B50" s="121">
        <v>5.0</v>
      </c>
      <c r="C50" s="122">
        <v>20.0</v>
      </c>
      <c r="D50" s="121">
        <v>2.0</v>
      </c>
      <c r="E50" s="126">
        <f t="shared" si="1"/>
        <v>8</v>
      </c>
      <c r="F50" s="122">
        <v>1.6</v>
      </c>
      <c r="G50" s="127">
        <f t="shared" si="2"/>
        <v>0</v>
      </c>
      <c r="H50" s="122">
        <v>0.0</v>
      </c>
      <c r="I50" s="128">
        <v>1.0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20" t="s">
        <v>316</v>
      </c>
      <c r="B51" s="121">
        <v>5.0</v>
      </c>
      <c r="C51" s="122">
        <v>20.0</v>
      </c>
      <c r="D51" s="121">
        <v>2.0</v>
      </c>
      <c r="E51" s="126">
        <f t="shared" si="1"/>
        <v>8</v>
      </c>
      <c r="F51" s="122">
        <v>1.6</v>
      </c>
      <c r="G51" s="127">
        <f t="shared" si="2"/>
        <v>0</v>
      </c>
      <c r="H51" s="122">
        <v>0.0</v>
      </c>
      <c r="I51" s="128">
        <v>1.0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20" t="s">
        <v>318</v>
      </c>
      <c r="B52" s="121">
        <v>5.0</v>
      </c>
      <c r="C52" s="122">
        <v>20.0</v>
      </c>
      <c r="D52" s="121">
        <v>4.0</v>
      </c>
      <c r="E52" s="126">
        <f t="shared" si="1"/>
        <v>8</v>
      </c>
      <c r="F52" s="122">
        <v>1.6</v>
      </c>
      <c r="G52" s="127">
        <f t="shared" si="2"/>
        <v>1</v>
      </c>
      <c r="H52" s="122">
        <v>0.2</v>
      </c>
      <c r="I52" s="128">
        <v>0.75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20" t="s">
        <v>260</v>
      </c>
      <c r="B53" s="121">
        <v>5.0</v>
      </c>
      <c r="C53" s="122">
        <v>20.0</v>
      </c>
      <c r="D53" s="121">
        <v>3.0</v>
      </c>
      <c r="E53" s="126">
        <f t="shared" si="1"/>
        <v>8</v>
      </c>
      <c r="F53" s="122">
        <v>1.6</v>
      </c>
      <c r="G53" s="127">
        <f t="shared" si="2"/>
        <v>0</v>
      </c>
      <c r="H53" s="122">
        <v>0.0</v>
      </c>
      <c r="I53" s="131">
        <v>0.667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20" t="s">
        <v>221</v>
      </c>
      <c r="B54" s="121">
        <v>5.0</v>
      </c>
      <c r="C54" s="122">
        <v>20.0</v>
      </c>
      <c r="D54" s="121">
        <v>4.0</v>
      </c>
      <c r="E54" s="126">
        <f t="shared" si="1"/>
        <v>8</v>
      </c>
      <c r="F54" s="122">
        <v>1.6</v>
      </c>
      <c r="G54" s="127">
        <f t="shared" si="2"/>
        <v>0</v>
      </c>
      <c r="H54" s="122">
        <v>0.0</v>
      </c>
      <c r="I54" s="128">
        <v>0.5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20" t="s">
        <v>323</v>
      </c>
      <c r="B55" s="121">
        <v>4.0</v>
      </c>
      <c r="C55" s="122">
        <v>16.0</v>
      </c>
      <c r="D55" s="121">
        <v>4.0</v>
      </c>
      <c r="E55" s="126">
        <f t="shared" si="1"/>
        <v>8</v>
      </c>
      <c r="F55" s="122">
        <v>2.0</v>
      </c>
      <c r="G55" s="127">
        <f t="shared" si="2"/>
        <v>0</v>
      </c>
      <c r="H55" s="122">
        <v>0.0</v>
      </c>
      <c r="I55" s="128">
        <v>0.5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20" t="s">
        <v>326</v>
      </c>
      <c r="B56" s="121">
        <v>5.0</v>
      </c>
      <c r="C56" s="122">
        <v>20.0</v>
      </c>
      <c r="D56" s="121">
        <v>8.0</v>
      </c>
      <c r="E56" s="126">
        <f t="shared" si="1"/>
        <v>8</v>
      </c>
      <c r="F56" s="122">
        <v>1.6</v>
      </c>
      <c r="G56" s="127">
        <f t="shared" si="2"/>
        <v>2</v>
      </c>
      <c r="H56" s="122">
        <v>0.4</v>
      </c>
      <c r="I56" s="128">
        <v>0.5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20" t="s">
        <v>330</v>
      </c>
      <c r="B57" s="121">
        <v>5.0</v>
      </c>
      <c r="C57" s="122">
        <v>20.0</v>
      </c>
      <c r="D57" s="121">
        <v>4.0</v>
      </c>
      <c r="E57" s="126">
        <f t="shared" si="1"/>
        <v>8</v>
      </c>
      <c r="F57" s="122">
        <v>1.6</v>
      </c>
      <c r="G57" s="127">
        <f t="shared" si="2"/>
        <v>0</v>
      </c>
      <c r="H57" s="122">
        <v>0.0</v>
      </c>
      <c r="I57" s="128">
        <v>0.5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20" t="s">
        <v>332</v>
      </c>
      <c r="B58" s="121">
        <v>5.0</v>
      </c>
      <c r="C58" s="122">
        <v>20.0</v>
      </c>
      <c r="D58" s="121">
        <v>11.0</v>
      </c>
      <c r="E58" s="126">
        <f t="shared" si="1"/>
        <v>8</v>
      </c>
      <c r="F58" s="122">
        <v>1.6</v>
      </c>
      <c r="G58" s="127">
        <f t="shared" si="2"/>
        <v>3</v>
      </c>
      <c r="H58" s="122">
        <v>0.6</v>
      </c>
      <c r="I58" s="128">
        <v>0.455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20" t="s">
        <v>255</v>
      </c>
      <c r="B59" s="121">
        <v>5.0</v>
      </c>
      <c r="C59" s="122">
        <v>20.0</v>
      </c>
      <c r="D59" s="121">
        <v>9.0</v>
      </c>
      <c r="E59" s="126">
        <v>8.0</v>
      </c>
      <c r="F59" s="122">
        <f>E59/C59*4</f>
        <v>1.6</v>
      </c>
      <c r="G59" s="127">
        <f t="shared" si="2"/>
        <v>2.5</v>
      </c>
      <c r="H59" s="122">
        <v>0.5</v>
      </c>
      <c r="I59" s="128">
        <f>4/9</f>
        <v>0.4444444444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20" t="s">
        <v>337</v>
      </c>
      <c r="B60" s="121">
        <v>4.0</v>
      </c>
      <c r="C60" s="122">
        <v>16.0</v>
      </c>
      <c r="D60" s="121">
        <v>6.0</v>
      </c>
      <c r="E60" s="126">
        <f t="shared" ref="E60:E205" si="3">F60/4*C60</f>
        <v>8</v>
      </c>
      <c r="F60" s="122">
        <v>2.0</v>
      </c>
      <c r="G60" s="127">
        <f t="shared" si="2"/>
        <v>0</v>
      </c>
      <c r="H60" s="122">
        <v>0.0</v>
      </c>
      <c r="I60" s="128">
        <v>0.333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120" t="s">
        <v>315</v>
      </c>
      <c r="B61" s="121">
        <v>5.0</v>
      </c>
      <c r="C61" s="122">
        <v>20.0</v>
      </c>
      <c r="D61" s="121">
        <v>7.0</v>
      </c>
      <c r="E61" s="126">
        <f t="shared" si="3"/>
        <v>8</v>
      </c>
      <c r="F61" s="122">
        <v>1.6</v>
      </c>
      <c r="G61" s="127">
        <f t="shared" si="2"/>
        <v>0</v>
      </c>
      <c r="H61" s="122">
        <v>0.0</v>
      </c>
      <c r="I61" s="128">
        <v>0.286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120" t="s">
        <v>317</v>
      </c>
      <c r="B62" s="121">
        <v>5.0</v>
      </c>
      <c r="C62" s="122">
        <v>20.0</v>
      </c>
      <c r="D62" s="121">
        <v>10.0</v>
      </c>
      <c r="E62" s="126">
        <f t="shared" si="3"/>
        <v>8</v>
      </c>
      <c r="F62" s="122">
        <v>1.6</v>
      </c>
      <c r="G62" s="127">
        <f t="shared" si="2"/>
        <v>0</v>
      </c>
      <c r="H62" s="122">
        <v>0.0</v>
      </c>
      <c r="I62" s="128">
        <v>0.2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20" t="s">
        <v>341</v>
      </c>
      <c r="B63" s="121">
        <v>5.0</v>
      </c>
      <c r="C63" s="122">
        <v>20.0</v>
      </c>
      <c r="D63" s="121">
        <v>1.0</v>
      </c>
      <c r="E63" s="126">
        <f t="shared" si="3"/>
        <v>4</v>
      </c>
      <c r="F63" s="122">
        <v>0.8</v>
      </c>
      <c r="G63" s="127">
        <f t="shared" si="2"/>
        <v>0</v>
      </c>
      <c r="H63" s="122">
        <v>0.0</v>
      </c>
      <c r="I63" s="131">
        <v>1.0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120" t="s">
        <v>267</v>
      </c>
      <c r="B64" s="121">
        <v>5.0</v>
      </c>
      <c r="C64" s="122">
        <v>20.0</v>
      </c>
      <c r="D64" s="121">
        <v>1.0</v>
      </c>
      <c r="E64" s="126">
        <f t="shared" si="3"/>
        <v>4</v>
      </c>
      <c r="F64" s="122">
        <v>0.8</v>
      </c>
      <c r="G64" s="127">
        <f t="shared" si="2"/>
        <v>0</v>
      </c>
      <c r="H64" s="122">
        <v>0.0</v>
      </c>
      <c r="I64" s="128">
        <v>1.0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120" t="s">
        <v>245</v>
      </c>
      <c r="B65" s="121">
        <v>5.0</v>
      </c>
      <c r="C65" s="122">
        <v>20.0</v>
      </c>
      <c r="D65" s="121">
        <v>1.0</v>
      </c>
      <c r="E65" s="126">
        <f t="shared" si="3"/>
        <v>4</v>
      </c>
      <c r="F65" s="122">
        <v>0.8</v>
      </c>
      <c r="G65" s="127">
        <f t="shared" si="2"/>
        <v>0</v>
      </c>
      <c r="H65" s="122">
        <v>0.0</v>
      </c>
      <c r="I65" s="128">
        <v>1.0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120" t="s">
        <v>303</v>
      </c>
      <c r="B66" s="121">
        <v>4.0</v>
      </c>
      <c r="C66" s="122">
        <v>16.0</v>
      </c>
      <c r="D66" s="121">
        <v>1.0</v>
      </c>
      <c r="E66" s="126">
        <f t="shared" si="3"/>
        <v>4</v>
      </c>
      <c r="F66" s="122">
        <v>1.0</v>
      </c>
      <c r="G66" s="127">
        <f t="shared" si="2"/>
        <v>0</v>
      </c>
      <c r="H66" s="122">
        <v>0.0</v>
      </c>
      <c r="I66" s="131">
        <v>1.0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120" t="s">
        <v>347</v>
      </c>
      <c r="B67" s="121">
        <v>2.0</v>
      </c>
      <c r="C67" s="122">
        <v>8.0</v>
      </c>
      <c r="D67" s="121">
        <v>1.0</v>
      </c>
      <c r="E67" s="126">
        <f t="shared" si="3"/>
        <v>4</v>
      </c>
      <c r="F67" s="122">
        <v>2.0</v>
      </c>
      <c r="G67" s="127">
        <f t="shared" si="2"/>
        <v>0</v>
      </c>
      <c r="H67" s="122">
        <v>0.0</v>
      </c>
      <c r="I67" s="131">
        <v>1.0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120" t="s">
        <v>307</v>
      </c>
      <c r="B68" s="121">
        <v>1.0</v>
      </c>
      <c r="C68" s="122">
        <v>4.0</v>
      </c>
      <c r="D68" s="121">
        <v>1.0</v>
      </c>
      <c r="E68" s="126">
        <f t="shared" si="3"/>
        <v>4</v>
      </c>
      <c r="F68" s="122">
        <v>4.0</v>
      </c>
      <c r="G68" s="127">
        <f t="shared" si="2"/>
        <v>0</v>
      </c>
      <c r="H68" s="122">
        <v>0.0</v>
      </c>
      <c r="I68" s="128">
        <v>1.0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120" t="s">
        <v>349</v>
      </c>
      <c r="B69" s="121">
        <v>1.0</v>
      </c>
      <c r="C69" s="122">
        <v>4.0</v>
      </c>
      <c r="D69" s="121">
        <v>1.0</v>
      </c>
      <c r="E69" s="126">
        <f t="shared" si="3"/>
        <v>4</v>
      </c>
      <c r="F69" s="122">
        <v>4.0</v>
      </c>
      <c r="G69" s="127">
        <f t="shared" si="2"/>
        <v>0</v>
      </c>
      <c r="H69" s="122">
        <v>0.0</v>
      </c>
      <c r="I69" s="128">
        <v>1.0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20" t="s">
        <v>331</v>
      </c>
      <c r="B70" s="121">
        <v>5.0</v>
      </c>
      <c r="C70" s="122">
        <v>20.0</v>
      </c>
      <c r="D70" s="121">
        <v>1.0</v>
      </c>
      <c r="E70" s="126">
        <f t="shared" si="3"/>
        <v>4</v>
      </c>
      <c r="F70" s="122">
        <v>0.8</v>
      </c>
      <c r="G70" s="127">
        <f t="shared" si="2"/>
        <v>0</v>
      </c>
      <c r="H70" s="122">
        <v>0.0</v>
      </c>
      <c r="I70" s="128">
        <v>1.0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120" t="s">
        <v>352</v>
      </c>
      <c r="B71" s="121">
        <v>1.0</v>
      </c>
      <c r="C71" s="122">
        <v>4.0</v>
      </c>
      <c r="D71" s="121">
        <v>1.0</v>
      </c>
      <c r="E71" s="126">
        <f t="shared" si="3"/>
        <v>4</v>
      </c>
      <c r="F71" s="122">
        <v>4.0</v>
      </c>
      <c r="G71" s="127">
        <f t="shared" si="2"/>
        <v>0</v>
      </c>
      <c r="H71" s="122">
        <v>0.0</v>
      </c>
      <c r="I71" s="128">
        <v>1.0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120" t="s">
        <v>333</v>
      </c>
      <c r="B72" s="121">
        <v>5.0</v>
      </c>
      <c r="C72" s="122">
        <v>20.0</v>
      </c>
      <c r="D72" s="121">
        <v>1.0</v>
      </c>
      <c r="E72" s="126">
        <f t="shared" si="3"/>
        <v>4</v>
      </c>
      <c r="F72" s="122">
        <v>0.8</v>
      </c>
      <c r="G72" s="127">
        <f t="shared" si="2"/>
        <v>0</v>
      </c>
      <c r="H72" s="122">
        <v>0.0</v>
      </c>
      <c r="I72" s="128">
        <v>1.0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120" t="s">
        <v>355</v>
      </c>
      <c r="B73" s="121">
        <v>4.0</v>
      </c>
      <c r="C73" s="122">
        <v>16.0</v>
      </c>
      <c r="D73" s="121">
        <v>1.0</v>
      </c>
      <c r="E73" s="126">
        <f t="shared" si="3"/>
        <v>4</v>
      </c>
      <c r="F73" s="122">
        <v>1.0</v>
      </c>
      <c r="G73" s="127">
        <f t="shared" si="2"/>
        <v>0</v>
      </c>
      <c r="H73" s="122">
        <v>0.0</v>
      </c>
      <c r="I73" s="128">
        <v>1.0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120" t="s">
        <v>336</v>
      </c>
      <c r="B74" s="121">
        <v>4.0</v>
      </c>
      <c r="C74" s="122">
        <v>16.0</v>
      </c>
      <c r="D74" s="121">
        <v>1.0</v>
      </c>
      <c r="E74" s="126">
        <f t="shared" si="3"/>
        <v>4</v>
      </c>
      <c r="F74" s="122">
        <v>1.0</v>
      </c>
      <c r="G74" s="127">
        <f t="shared" si="2"/>
        <v>0</v>
      </c>
      <c r="H74" s="122">
        <v>0.0</v>
      </c>
      <c r="I74" s="128">
        <v>1.0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120" t="s">
        <v>357</v>
      </c>
      <c r="B75" s="121">
        <v>2.0</v>
      </c>
      <c r="C75" s="122">
        <v>8.0</v>
      </c>
      <c r="D75" s="121">
        <v>1.0</v>
      </c>
      <c r="E75" s="126">
        <f t="shared" si="3"/>
        <v>4</v>
      </c>
      <c r="F75" s="122">
        <v>2.0</v>
      </c>
      <c r="G75" s="127">
        <f t="shared" si="2"/>
        <v>0</v>
      </c>
      <c r="H75" s="122">
        <v>0.0</v>
      </c>
      <c r="I75" s="128">
        <v>1.0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120" t="s">
        <v>360</v>
      </c>
      <c r="B76" s="121">
        <v>2.0</v>
      </c>
      <c r="C76" s="122">
        <v>8.0</v>
      </c>
      <c r="D76" s="121">
        <v>3.0</v>
      </c>
      <c r="E76" s="126">
        <f t="shared" si="3"/>
        <v>4</v>
      </c>
      <c r="F76" s="122">
        <v>2.0</v>
      </c>
      <c r="G76" s="127">
        <f t="shared" si="2"/>
        <v>1</v>
      </c>
      <c r="H76" s="122">
        <v>0.5</v>
      </c>
      <c r="I76" s="128">
        <v>0.667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20" t="s">
        <v>238</v>
      </c>
      <c r="B77" s="121">
        <v>5.0</v>
      </c>
      <c r="C77" s="122">
        <v>20.0</v>
      </c>
      <c r="D77" s="121">
        <v>3.0</v>
      </c>
      <c r="E77" s="126">
        <f t="shared" si="3"/>
        <v>4</v>
      </c>
      <c r="F77" s="122">
        <v>0.8</v>
      </c>
      <c r="G77" s="127">
        <f t="shared" si="2"/>
        <v>1</v>
      </c>
      <c r="H77" s="122">
        <v>0.2</v>
      </c>
      <c r="I77" s="128">
        <v>0.667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120" t="s">
        <v>230</v>
      </c>
      <c r="B78" s="121">
        <v>5.0</v>
      </c>
      <c r="C78" s="122">
        <v>20.0</v>
      </c>
      <c r="D78" s="121">
        <v>3.0</v>
      </c>
      <c r="E78" s="126">
        <f t="shared" si="3"/>
        <v>4</v>
      </c>
      <c r="F78" s="122">
        <v>0.8</v>
      </c>
      <c r="G78" s="127">
        <f t="shared" si="2"/>
        <v>1</v>
      </c>
      <c r="H78" s="122">
        <v>0.2</v>
      </c>
      <c r="I78" s="128">
        <v>0.667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120" t="s">
        <v>241</v>
      </c>
      <c r="B79" s="121">
        <v>5.0</v>
      </c>
      <c r="C79" s="122">
        <v>20.0</v>
      </c>
      <c r="D79" s="121">
        <v>2.0</v>
      </c>
      <c r="E79" s="126">
        <f t="shared" si="3"/>
        <v>4</v>
      </c>
      <c r="F79" s="122">
        <v>0.8</v>
      </c>
      <c r="G79" s="127">
        <f t="shared" si="2"/>
        <v>0</v>
      </c>
      <c r="H79" s="122">
        <v>0.0</v>
      </c>
      <c r="I79" s="128">
        <v>0.5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120" t="s">
        <v>278</v>
      </c>
      <c r="B80" s="121">
        <v>4.0</v>
      </c>
      <c r="C80" s="122">
        <v>16.0</v>
      </c>
      <c r="D80" s="121">
        <v>2.0</v>
      </c>
      <c r="E80" s="126">
        <f t="shared" si="3"/>
        <v>4</v>
      </c>
      <c r="F80" s="122">
        <v>1.0</v>
      </c>
      <c r="G80" s="127">
        <f t="shared" si="2"/>
        <v>0</v>
      </c>
      <c r="H80" s="122">
        <v>0.0</v>
      </c>
      <c r="I80" s="128">
        <v>0.5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120" t="s">
        <v>363</v>
      </c>
      <c r="B81" s="121">
        <v>5.0</v>
      </c>
      <c r="C81" s="122">
        <v>20.0</v>
      </c>
      <c r="D81" s="121">
        <v>2.0</v>
      </c>
      <c r="E81" s="126">
        <f t="shared" si="3"/>
        <v>4</v>
      </c>
      <c r="F81" s="122">
        <v>0.8</v>
      </c>
      <c r="G81" s="127">
        <f t="shared" si="2"/>
        <v>0</v>
      </c>
      <c r="H81" s="122">
        <v>0.0</v>
      </c>
      <c r="I81" s="128">
        <v>0.5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20" t="s">
        <v>298</v>
      </c>
      <c r="B82" s="121">
        <v>5.0</v>
      </c>
      <c r="C82" s="122">
        <v>20.0</v>
      </c>
      <c r="D82" s="121">
        <v>5.0</v>
      </c>
      <c r="E82" s="126">
        <f t="shared" si="3"/>
        <v>4</v>
      </c>
      <c r="F82" s="122">
        <v>0.8</v>
      </c>
      <c r="G82" s="127">
        <f t="shared" si="2"/>
        <v>1</v>
      </c>
      <c r="H82" s="122">
        <v>0.2</v>
      </c>
      <c r="I82" s="128">
        <v>0.4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120" t="s">
        <v>290</v>
      </c>
      <c r="B83" s="121">
        <v>4.0</v>
      </c>
      <c r="C83" s="122">
        <v>16.0</v>
      </c>
      <c r="D83" s="121">
        <v>3.0</v>
      </c>
      <c r="E83" s="126">
        <f t="shared" si="3"/>
        <v>4</v>
      </c>
      <c r="F83" s="122">
        <v>1.0</v>
      </c>
      <c r="G83" s="127">
        <f t="shared" si="2"/>
        <v>0</v>
      </c>
      <c r="H83" s="122">
        <v>0.0</v>
      </c>
      <c r="I83" s="128">
        <v>0.333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120" t="s">
        <v>354</v>
      </c>
      <c r="B84" s="121">
        <v>2.0</v>
      </c>
      <c r="C84" s="122">
        <v>8.0</v>
      </c>
      <c r="D84" s="121">
        <v>3.0</v>
      </c>
      <c r="E84" s="126">
        <f t="shared" si="3"/>
        <v>4</v>
      </c>
      <c r="F84" s="122">
        <v>2.0</v>
      </c>
      <c r="G84" s="127">
        <f t="shared" si="2"/>
        <v>0</v>
      </c>
      <c r="H84" s="122">
        <v>0.0</v>
      </c>
      <c r="I84" s="128">
        <v>0.333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120" t="s">
        <v>344</v>
      </c>
      <c r="B85" s="121">
        <v>5.0</v>
      </c>
      <c r="C85" s="122">
        <v>20.0</v>
      </c>
      <c r="D85" s="121">
        <v>4.0</v>
      </c>
      <c r="E85" s="126">
        <f t="shared" si="3"/>
        <v>4</v>
      </c>
      <c r="F85" s="122">
        <v>0.8</v>
      </c>
      <c r="G85" s="127">
        <f t="shared" si="2"/>
        <v>0</v>
      </c>
      <c r="H85" s="122">
        <v>0.0</v>
      </c>
      <c r="I85" s="128">
        <v>0.25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120" t="s">
        <v>369</v>
      </c>
      <c r="B86" s="121">
        <v>5.0</v>
      </c>
      <c r="C86" s="122">
        <v>20.0</v>
      </c>
      <c r="D86" s="121">
        <v>4.0</v>
      </c>
      <c r="E86" s="126">
        <f t="shared" si="3"/>
        <v>4</v>
      </c>
      <c r="F86" s="122">
        <v>0.8</v>
      </c>
      <c r="G86" s="127">
        <f t="shared" si="2"/>
        <v>0</v>
      </c>
      <c r="H86" s="122">
        <v>0.0</v>
      </c>
      <c r="I86" s="128">
        <v>0.25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120" t="s">
        <v>371</v>
      </c>
      <c r="B87" s="121">
        <v>3.0</v>
      </c>
      <c r="C87" s="122">
        <v>12.0</v>
      </c>
      <c r="D87" s="121">
        <v>1.0</v>
      </c>
      <c r="E87" s="126">
        <f t="shared" si="3"/>
        <v>3.99</v>
      </c>
      <c r="F87" s="122">
        <v>1.33</v>
      </c>
      <c r="G87" s="127">
        <f t="shared" si="2"/>
        <v>0</v>
      </c>
      <c r="H87" s="122">
        <v>0.0</v>
      </c>
      <c r="I87" s="128">
        <v>1.0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120" t="s">
        <v>373</v>
      </c>
      <c r="B88" s="121">
        <v>3.0</v>
      </c>
      <c r="C88" s="122">
        <v>12.0</v>
      </c>
      <c r="D88" s="121">
        <v>1.0</v>
      </c>
      <c r="E88" s="126">
        <f t="shared" si="3"/>
        <v>3.99</v>
      </c>
      <c r="F88" s="122">
        <v>1.33</v>
      </c>
      <c r="G88" s="127">
        <f t="shared" si="2"/>
        <v>0</v>
      </c>
      <c r="H88" s="122">
        <v>0.0</v>
      </c>
      <c r="I88" s="128">
        <v>1.0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120" t="s">
        <v>374</v>
      </c>
      <c r="B89" s="121">
        <v>3.0</v>
      </c>
      <c r="C89" s="122">
        <v>12.0</v>
      </c>
      <c r="D89" s="121">
        <v>1.0</v>
      </c>
      <c r="E89" s="126">
        <f t="shared" si="3"/>
        <v>3.99</v>
      </c>
      <c r="F89" s="122">
        <v>1.33</v>
      </c>
      <c r="G89" s="127">
        <f t="shared" si="2"/>
        <v>0</v>
      </c>
      <c r="H89" s="122">
        <v>0.0</v>
      </c>
      <c r="I89" s="128">
        <v>1.0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120" t="s">
        <v>376</v>
      </c>
      <c r="B90" s="121">
        <v>3.0</v>
      </c>
      <c r="C90" s="122">
        <v>12.0</v>
      </c>
      <c r="D90" s="121">
        <v>3.0</v>
      </c>
      <c r="E90" s="126">
        <f t="shared" si="3"/>
        <v>3.99</v>
      </c>
      <c r="F90" s="122">
        <v>1.33</v>
      </c>
      <c r="G90" s="127">
        <f t="shared" si="2"/>
        <v>0.99</v>
      </c>
      <c r="H90" s="122">
        <v>0.33</v>
      </c>
      <c r="I90" s="131">
        <v>0.667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120" t="s">
        <v>295</v>
      </c>
      <c r="B91" s="121">
        <v>3.0</v>
      </c>
      <c r="C91" s="122">
        <v>12.0</v>
      </c>
      <c r="D91" s="121">
        <v>3.0</v>
      </c>
      <c r="E91" s="126">
        <f t="shared" si="3"/>
        <v>3.99</v>
      </c>
      <c r="F91" s="122">
        <v>1.33</v>
      </c>
      <c r="G91" s="127">
        <f t="shared" si="2"/>
        <v>0.99</v>
      </c>
      <c r="H91" s="122">
        <v>0.33</v>
      </c>
      <c r="I91" s="128">
        <v>0.667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120" t="s">
        <v>378</v>
      </c>
      <c r="B92" s="121">
        <v>3.0</v>
      </c>
      <c r="C92" s="122">
        <v>12.0</v>
      </c>
      <c r="D92" s="121">
        <v>2.0</v>
      </c>
      <c r="E92" s="126">
        <f t="shared" si="3"/>
        <v>3.99</v>
      </c>
      <c r="F92" s="122">
        <v>1.33</v>
      </c>
      <c r="G92" s="127">
        <f t="shared" si="2"/>
        <v>0</v>
      </c>
      <c r="H92" s="122">
        <v>0.0</v>
      </c>
      <c r="I92" s="128">
        <v>0.5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120" t="s">
        <v>379</v>
      </c>
      <c r="B93" s="121">
        <v>3.0</v>
      </c>
      <c r="C93" s="122">
        <v>12.0</v>
      </c>
      <c r="D93" s="121">
        <v>4.0</v>
      </c>
      <c r="E93" s="126">
        <f t="shared" si="3"/>
        <v>3.99</v>
      </c>
      <c r="F93" s="122">
        <v>1.33</v>
      </c>
      <c r="G93" s="127">
        <f t="shared" si="2"/>
        <v>0</v>
      </c>
      <c r="H93" s="122">
        <v>0.0</v>
      </c>
      <c r="I93" s="128">
        <v>0.25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120" t="s">
        <v>358</v>
      </c>
      <c r="B94" s="121">
        <v>3.0</v>
      </c>
      <c r="C94" s="122">
        <v>12.0</v>
      </c>
      <c r="D94" s="121">
        <v>2.0</v>
      </c>
      <c r="E94" s="126">
        <f t="shared" si="3"/>
        <v>0</v>
      </c>
      <c r="F94" s="122">
        <v>0.0</v>
      </c>
      <c r="G94" s="127">
        <f t="shared" si="2"/>
        <v>0.99</v>
      </c>
      <c r="H94" s="122">
        <v>0.33</v>
      </c>
      <c r="I94" s="131">
        <v>0.5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20" t="s">
        <v>340</v>
      </c>
      <c r="B95" s="121">
        <v>2.0</v>
      </c>
      <c r="C95" s="122">
        <v>8.0</v>
      </c>
      <c r="D95" s="121">
        <v>4.0</v>
      </c>
      <c r="E95" s="126">
        <f t="shared" si="3"/>
        <v>0</v>
      </c>
      <c r="F95" s="122">
        <v>0.0</v>
      </c>
      <c r="G95" s="127">
        <f t="shared" si="2"/>
        <v>2</v>
      </c>
      <c r="H95" s="122">
        <v>1.0</v>
      </c>
      <c r="I95" s="131">
        <v>0.5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120" t="s">
        <v>382</v>
      </c>
      <c r="B96" s="121">
        <v>5.0</v>
      </c>
      <c r="C96" s="122">
        <v>20.0</v>
      </c>
      <c r="D96" s="121">
        <v>2.0</v>
      </c>
      <c r="E96" s="126">
        <f t="shared" si="3"/>
        <v>0</v>
      </c>
      <c r="F96" s="122">
        <v>0.0</v>
      </c>
      <c r="G96" s="127">
        <f t="shared" si="2"/>
        <v>1</v>
      </c>
      <c r="H96" s="122">
        <v>0.2</v>
      </c>
      <c r="I96" s="128">
        <v>0.5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120" t="s">
        <v>276</v>
      </c>
      <c r="B97" s="121">
        <v>5.0</v>
      </c>
      <c r="C97" s="122">
        <v>20.0</v>
      </c>
      <c r="D97" s="121">
        <v>2.0</v>
      </c>
      <c r="E97" s="126">
        <f t="shared" si="3"/>
        <v>0</v>
      </c>
      <c r="F97" s="122">
        <v>0.0</v>
      </c>
      <c r="G97" s="127">
        <f t="shared" si="2"/>
        <v>1</v>
      </c>
      <c r="H97" s="122">
        <v>0.2</v>
      </c>
      <c r="I97" s="128">
        <v>0.5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20" t="s">
        <v>335</v>
      </c>
      <c r="B98" s="121">
        <v>5.0</v>
      </c>
      <c r="C98" s="122">
        <v>20.0</v>
      </c>
      <c r="D98" s="121">
        <v>2.0</v>
      </c>
      <c r="E98" s="126">
        <f t="shared" si="3"/>
        <v>0</v>
      </c>
      <c r="F98" s="122">
        <v>0.0</v>
      </c>
      <c r="G98" s="127">
        <f t="shared" si="2"/>
        <v>1</v>
      </c>
      <c r="H98" s="122">
        <v>0.2</v>
      </c>
      <c r="I98" s="128">
        <v>0.5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120" t="s">
        <v>227</v>
      </c>
      <c r="B99" s="121">
        <v>5.0</v>
      </c>
      <c r="C99" s="122">
        <v>20.0</v>
      </c>
      <c r="D99" s="121">
        <v>4.0</v>
      </c>
      <c r="E99" s="126">
        <f t="shared" si="3"/>
        <v>0</v>
      </c>
      <c r="F99" s="122">
        <v>0.0</v>
      </c>
      <c r="G99" s="127">
        <f t="shared" si="2"/>
        <v>1</v>
      </c>
      <c r="H99" s="122">
        <v>0.2</v>
      </c>
      <c r="I99" s="128">
        <v>0.25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120" t="s">
        <v>372</v>
      </c>
      <c r="B100" s="121">
        <v>2.0</v>
      </c>
      <c r="C100" s="122">
        <v>8.0</v>
      </c>
      <c r="D100" s="121">
        <v>0.0</v>
      </c>
      <c r="E100" s="126">
        <f t="shared" si="3"/>
        <v>0</v>
      </c>
      <c r="F100" s="122">
        <v>0.0</v>
      </c>
      <c r="G100" s="127">
        <f t="shared" si="2"/>
        <v>0</v>
      </c>
      <c r="H100" s="122">
        <v>0.0</v>
      </c>
      <c r="I100" s="128">
        <v>0.0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120" t="s">
        <v>287</v>
      </c>
      <c r="B101" s="121">
        <v>5.0</v>
      </c>
      <c r="C101" s="122">
        <v>20.0</v>
      </c>
      <c r="D101" s="121">
        <v>0.0</v>
      </c>
      <c r="E101" s="126">
        <f t="shared" si="3"/>
        <v>0</v>
      </c>
      <c r="F101" s="122">
        <v>0.0</v>
      </c>
      <c r="G101" s="127">
        <f t="shared" si="2"/>
        <v>0</v>
      </c>
      <c r="H101" s="122">
        <v>0.0</v>
      </c>
      <c r="I101" s="131">
        <v>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120" t="s">
        <v>248</v>
      </c>
      <c r="B102" s="121">
        <v>5.0</v>
      </c>
      <c r="C102" s="122">
        <v>20.0</v>
      </c>
      <c r="D102" s="121">
        <v>0.0</v>
      </c>
      <c r="E102" s="126">
        <f t="shared" si="3"/>
        <v>0</v>
      </c>
      <c r="F102" s="122">
        <v>0.0</v>
      </c>
      <c r="G102" s="127">
        <f t="shared" si="2"/>
        <v>0</v>
      </c>
      <c r="H102" s="122">
        <v>0.0</v>
      </c>
      <c r="I102" s="131">
        <v>0.0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120" t="s">
        <v>324</v>
      </c>
      <c r="B103" s="121">
        <v>4.0</v>
      </c>
      <c r="C103" s="122">
        <v>16.0</v>
      </c>
      <c r="D103" s="121">
        <v>0.0</v>
      </c>
      <c r="E103" s="126">
        <f t="shared" si="3"/>
        <v>0</v>
      </c>
      <c r="F103" s="122">
        <v>0.0</v>
      </c>
      <c r="G103" s="127">
        <f t="shared" si="2"/>
        <v>0</v>
      </c>
      <c r="H103" s="122">
        <v>0.0</v>
      </c>
      <c r="I103" s="131">
        <v>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120" t="s">
        <v>381</v>
      </c>
      <c r="B104" s="121">
        <v>2.0</v>
      </c>
      <c r="C104" s="122">
        <v>8.0</v>
      </c>
      <c r="D104" s="121">
        <v>0.0</v>
      </c>
      <c r="E104" s="126">
        <f t="shared" si="3"/>
        <v>0</v>
      </c>
      <c r="F104" s="122">
        <v>0.0</v>
      </c>
      <c r="G104" s="127">
        <f t="shared" si="2"/>
        <v>0</v>
      </c>
      <c r="H104" s="122">
        <v>0.0</v>
      </c>
      <c r="I104" s="131">
        <v>0.0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120" t="s">
        <v>270</v>
      </c>
      <c r="B105" s="121">
        <v>5.0</v>
      </c>
      <c r="C105" s="122">
        <v>20.0</v>
      </c>
      <c r="D105" s="121">
        <v>0.0</v>
      </c>
      <c r="E105" s="126">
        <f t="shared" si="3"/>
        <v>0</v>
      </c>
      <c r="F105" s="122">
        <v>0.0</v>
      </c>
      <c r="G105" s="127">
        <f t="shared" si="2"/>
        <v>0</v>
      </c>
      <c r="H105" s="122">
        <v>0.0</v>
      </c>
      <c r="I105" s="131">
        <v>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120" t="s">
        <v>383</v>
      </c>
      <c r="B106" s="121">
        <v>5.0</v>
      </c>
      <c r="C106" s="122">
        <v>20.0</v>
      </c>
      <c r="D106" s="121">
        <v>0.0</v>
      </c>
      <c r="E106" s="126">
        <f t="shared" si="3"/>
        <v>0</v>
      </c>
      <c r="F106" s="122">
        <v>0.0</v>
      </c>
      <c r="G106" s="127">
        <f t="shared" si="2"/>
        <v>0</v>
      </c>
      <c r="H106" s="122">
        <v>0.0</v>
      </c>
      <c r="I106" s="131">
        <v>0.0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120" t="s">
        <v>296</v>
      </c>
      <c r="B107" s="121">
        <v>5.0</v>
      </c>
      <c r="C107" s="122">
        <v>20.0</v>
      </c>
      <c r="D107" s="121">
        <v>0.0</v>
      </c>
      <c r="E107" s="126">
        <f t="shared" si="3"/>
        <v>0</v>
      </c>
      <c r="F107" s="122">
        <v>0.0</v>
      </c>
      <c r="G107" s="127">
        <f t="shared" si="2"/>
        <v>0</v>
      </c>
      <c r="H107" s="122">
        <v>0.0</v>
      </c>
      <c r="I107" s="131">
        <v>0.0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120" t="s">
        <v>365</v>
      </c>
      <c r="B108" s="121">
        <v>1.0</v>
      </c>
      <c r="C108" s="122">
        <v>4.0</v>
      </c>
      <c r="D108" s="121">
        <v>0.0</v>
      </c>
      <c r="E108" s="126">
        <f t="shared" si="3"/>
        <v>0</v>
      </c>
      <c r="F108" s="122">
        <v>0.0</v>
      </c>
      <c r="G108" s="127">
        <f t="shared" si="2"/>
        <v>0</v>
      </c>
      <c r="H108" s="122">
        <v>0.0</v>
      </c>
      <c r="I108" s="128">
        <v>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120" t="s">
        <v>343</v>
      </c>
      <c r="B109" s="121">
        <v>5.0</v>
      </c>
      <c r="C109" s="122">
        <v>20.0</v>
      </c>
      <c r="D109" s="121">
        <v>0.0</v>
      </c>
      <c r="E109" s="126">
        <f t="shared" si="3"/>
        <v>0</v>
      </c>
      <c r="F109" s="122">
        <v>0.0</v>
      </c>
      <c r="G109" s="127">
        <f t="shared" si="2"/>
        <v>0</v>
      </c>
      <c r="H109" s="122">
        <v>0.0</v>
      </c>
      <c r="I109" s="128">
        <v>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120" t="s">
        <v>325</v>
      </c>
      <c r="B110" s="121">
        <v>5.0</v>
      </c>
      <c r="C110" s="122">
        <v>20.0</v>
      </c>
      <c r="D110" s="121">
        <v>0.0</v>
      </c>
      <c r="E110" s="126">
        <f t="shared" si="3"/>
        <v>0</v>
      </c>
      <c r="F110" s="122">
        <v>0.0</v>
      </c>
      <c r="G110" s="127">
        <f t="shared" si="2"/>
        <v>0</v>
      </c>
      <c r="H110" s="122">
        <v>0.0</v>
      </c>
      <c r="I110" s="131">
        <v>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120" t="s">
        <v>222</v>
      </c>
      <c r="B111" s="121">
        <v>5.0</v>
      </c>
      <c r="C111" s="122">
        <v>20.0</v>
      </c>
      <c r="D111" s="121">
        <v>0.0</v>
      </c>
      <c r="E111" s="126">
        <f t="shared" si="3"/>
        <v>0</v>
      </c>
      <c r="F111" s="122">
        <v>0.0</v>
      </c>
      <c r="G111" s="127">
        <f t="shared" si="2"/>
        <v>0</v>
      </c>
      <c r="H111" s="122">
        <v>0.0</v>
      </c>
      <c r="I111" s="131">
        <v>0.0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120" t="s">
        <v>385</v>
      </c>
      <c r="B112" s="121">
        <v>2.0</v>
      </c>
      <c r="C112" s="122">
        <v>8.0</v>
      </c>
      <c r="D112" s="121">
        <v>0.0</v>
      </c>
      <c r="E112" s="126">
        <f t="shared" si="3"/>
        <v>0</v>
      </c>
      <c r="F112" s="122">
        <v>0.0</v>
      </c>
      <c r="G112" s="127">
        <f t="shared" si="2"/>
        <v>0</v>
      </c>
      <c r="H112" s="122">
        <v>0.0</v>
      </c>
      <c r="I112" s="128">
        <v>0.0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120" t="s">
        <v>261</v>
      </c>
      <c r="B113" s="121">
        <v>5.0</v>
      </c>
      <c r="C113" s="122">
        <v>20.0</v>
      </c>
      <c r="D113" s="121">
        <v>0.0</v>
      </c>
      <c r="E113" s="126">
        <f t="shared" si="3"/>
        <v>0</v>
      </c>
      <c r="F113" s="122">
        <v>0.0</v>
      </c>
      <c r="G113" s="127">
        <f t="shared" si="2"/>
        <v>0</v>
      </c>
      <c r="H113" s="122">
        <v>0.0</v>
      </c>
      <c r="I113" s="128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120" t="s">
        <v>387</v>
      </c>
      <c r="B114" s="121">
        <v>2.0</v>
      </c>
      <c r="C114" s="122">
        <v>8.0</v>
      </c>
      <c r="D114" s="121">
        <v>0.0</v>
      </c>
      <c r="E114" s="126">
        <f t="shared" si="3"/>
        <v>0</v>
      </c>
      <c r="F114" s="122">
        <v>0.0</v>
      </c>
      <c r="G114" s="127">
        <f t="shared" si="2"/>
        <v>0</v>
      </c>
      <c r="H114" s="122">
        <v>0.0</v>
      </c>
      <c r="I114" s="131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120" t="s">
        <v>294</v>
      </c>
      <c r="B115" s="121">
        <v>3.0</v>
      </c>
      <c r="C115" s="122">
        <v>12.0</v>
      </c>
      <c r="D115" s="121">
        <v>2.0</v>
      </c>
      <c r="E115" s="126">
        <f t="shared" si="3"/>
        <v>0</v>
      </c>
      <c r="F115" s="122">
        <v>0.0</v>
      </c>
      <c r="G115" s="127">
        <f t="shared" si="2"/>
        <v>0</v>
      </c>
      <c r="H115" s="122">
        <v>0.0</v>
      </c>
      <c r="I115" s="131">
        <v>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120" t="s">
        <v>367</v>
      </c>
      <c r="B116" s="121">
        <v>1.0</v>
      </c>
      <c r="C116" s="122">
        <v>4.0</v>
      </c>
      <c r="D116" s="121">
        <v>0.0</v>
      </c>
      <c r="E116" s="126">
        <f t="shared" si="3"/>
        <v>0</v>
      </c>
      <c r="F116" s="122">
        <v>0.0</v>
      </c>
      <c r="G116" s="127">
        <f t="shared" si="2"/>
        <v>0</v>
      </c>
      <c r="H116" s="122">
        <v>0.0</v>
      </c>
      <c r="I116" s="128">
        <v>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120" t="s">
        <v>320</v>
      </c>
      <c r="B117" s="121">
        <v>4.0</v>
      </c>
      <c r="C117" s="122">
        <v>16.0</v>
      </c>
      <c r="D117" s="121">
        <v>0.0</v>
      </c>
      <c r="E117" s="126">
        <f t="shared" si="3"/>
        <v>0</v>
      </c>
      <c r="F117" s="122">
        <v>0.0</v>
      </c>
      <c r="G117" s="127">
        <f t="shared" si="2"/>
        <v>0</v>
      </c>
      <c r="H117" s="122">
        <v>0.0</v>
      </c>
      <c r="I117" s="128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120" t="s">
        <v>346</v>
      </c>
      <c r="B118" s="121">
        <v>2.0</v>
      </c>
      <c r="C118" s="122">
        <v>8.0</v>
      </c>
      <c r="D118" s="121">
        <v>0.0</v>
      </c>
      <c r="E118" s="126">
        <f t="shared" si="3"/>
        <v>0</v>
      </c>
      <c r="F118" s="122">
        <v>0.0</v>
      </c>
      <c r="G118" s="127">
        <f t="shared" si="2"/>
        <v>0</v>
      </c>
      <c r="H118" s="122">
        <v>0.0</v>
      </c>
      <c r="I118" s="128">
        <v>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120" t="s">
        <v>359</v>
      </c>
      <c r="B119" s="121">
        <v>5.0</v>
      </c>
      <c r="C119" s="122">
        <v>20.0</v>
      </c>
      <c r="D119" s="121">
        <v>0.0</v>
      </c>
      <c r="E119" s="126">
        <f t="shared" si="3"/>
        <v>0</v>
      </c>
      <c r="F119" s="122">
        <v>0.0</v>
      </c>
      <c r="G119" s="127">
        <f t="shared" si="2"/>
        <v>0</v>
      </c>
      <c r="H119" s="122">
        <v>0.0</v>
      </c>
      <c r="I119" s="128">
        <v>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120" t="s">
        <v>254</v>
      </c>
      <c r="B120" s="121">
        <v>2.0</v>
      </c>
      <c r="C120" s="122">
        <v>8.0</v>
      </c>
      <c r="D120" s="121">
        <v>0.0</v>
      </c>
      <c r="E120" s="126">
        <f t="shared" si="3"/>
        <v>0</v>
      </c>
      <c r="F120" s="122">
        <v>0.0</v>
      </c>
      <c r="G120" s="127">
        <f t="shared" si="2"/>
        <v>0</v>
      </c>
      <c r="H120" s="122">
        <v>0.0</v>
      </c>
      <c r="I120" s="128">
        <v>0.0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120" t="s">
        <v>351</v>
      </c>
      <c r="B121" s="121">
        <v>4.0</v>
      </c>
      <c r="C121" s="122">
        <v>16.0</v>
      </c>
      <c r="D121" s="121">
        <v>0.0</v>
      </c>
      <c r="E121" s="126">
        <f t="shared" si="3"/>
        <v>0</v>
      </c>
      <c r="F121" s="122">
        <v>0.0</v>
      </c>
      <c r="G121" s="127">
        <f t="shared" si="2"/>
        <v>0</v>
      </c>
      <c r="H121" s="122">
        <v>0.0</v>
      </c>
      <c r="I121" s="128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120" t="s">
        <v>389</v>
      </c>
      <c r="B122" s="121">
        <v>2.0</v>
      </c>
      <c r="C122" s="122">
        <v>8.0</v>
      </c>
      <c r="D122" s="121">
        <v>0.0</v>
      </c>
      <c r="E122" s="126">
        <f t="shared" si="3"/>
        <v>0</v>
      </c>
      <c r="F122" s="122">
        <v>0.0</v>
      </c>
      <c r="G122" s="127">
        <f t="shared" si="2"/>
        <v>0</v>
      </c>
      <c r="H122" s="122">
        <v>0.0</v>
      </c>
      <c r="I122" s="128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120" t="s">
        <v>391</v>
      </c>
      <c r="B123" s="121">
        <v>2.0</v>
      </c>
      <c r="C123" s="122">
        <v>8.0</v>
      </c>
      <c r="D123" s="121">
        <v>1.0</v>
      </c>
      <c r="E123" s="126">
        <f t="shared" si="3"/>
        <v>0</v>
      </c>
      <c r="F123" s="122">
        <v>0.0</v>
      </c>
      <c r="G123" s="127">
        <f t="shared" si="2"/>
        <v>0</v>
      </c>
      <c r="H123" s="122">
        <v>0.0</v>
      </c>
      <c r="I123" s="131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120" t="s">
        <v>313</v>
      </c>
      <c r="B124" s="121">
        <v>4.0</v>
      </c>
      <c r="C124" s="122">
        <v>16.0</v>
      </c>
      <c r="D124" s="121">
        <v>0.0</v>
      </c>
      <c r="E124" s="126">
        <f t="shared" si="3"/>
        <v>0</v>
      </c>
      <c r="F124" s="122">
        <v>0.0</v>
      </c>
      <c r="G124" s="127">
        <f t="shared" si="2"/>
        <v>0</v>
      </c>
      <c r="H124" s="122">
        <v>0.0</v>
      </c>
      <c r="I124" s="128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120" t="s">
        <v>392</v>
      </c>
      <c r="B125" s="121">
        <v>5.0</v>
      </c>
      <c r="C125" s="122">
        <v>20.0</v>
      </c>
      <c r="D125" s="121">
        <v>0.0</v>
      </c>
      <c r="E125" s="126">
        <f t="shared" si="3"/>
        <v>0</v>
      </c>
      <c r="F125" s="122">
        <v>0.0</v>
      </c>
      <c r="G125" s="127">
        <f t="shared" si="2"/>
        <v>0</v>
      </c>
      <c r="H125" s="122">
        <v>0.0</v>
      </c>
      <c r="I125" s="128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120" t="s">
        <v>229</v>
      </c>
      <c r="B126" s="121">
        <v>5.0</v>
      </c>
      <c r="C126" s="122">
        <v>20.0</v>
      </c>
      <c r="D126" s="121">
        <v>1.0</v>
      </c>
      <c r="E126" s="126">
        <f t="shared" si="3"/>
        <v>0</v>
      </c>
      <c r="F126" s="122">
        <v>0.0</v>
      </c>
      <c r="G126" s="127">
        <f t="shared" si="2"/>
        <v>0</v>
      </c>
      <c r="H126" s="122">
        <v>0.0</v>
      </c>
      <c r="I126" s="128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120" t="s">
        <v>393</v>
      </c>
      <c r="B127" s="121">
        <v>4.0</v>
      </c>
      <c r="C127" s="122">
        <v>16.0</v>
      </c>
      <c r="D127" s="121">
        <v>0.0</v>
      </c>
      <c r="E127" s="126">
        <f t="shared" si="3"/>
        <v>0</v>
      </c>
      <c r="F127" s="122">
        <v>0.0</v>
      </c>
      <c r="G127" s="127">
        <f t="shared" si="2"/>
        <v>0</v>
      </c>
      <c r="H127" s="122">
        <v>0.0</v>
      </c>
      <c r="I127" s="128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120" t="s">
        <v>394</v>
      </c>
      <c r="B128" s="121">
        <v>3.0</v>
      </c>
      <c r="C128" s="122">
        <v>12.0</v>
      </c>
      <c r="D128" s="121">
        <v>0.0</v>
      </c>
      <c r="E128" s="126">
        <f t="shared" si="3"/>
        <v>0</v>
      </c>
      <c r="F128" s="122">
        <v>0.0</v>
      </c>
      <c r="G128" s="127">
        <f t="shared" si="2"/>
        <v>0</v>
      </c>
      <c r="H128" s="122">
        <v>0.0</v>
      </c>
      <c r="I128" s="131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120" t="s">
        <v>361</v>
      </c>
      <c r="B129" s="121">
        <v>5.0</v>
      </c>
      <c r="C129" s="122">
        <v>20.0</v>
      </c>
      <c r="D129" s="121">
        <v>1.0</v>
      </c>
      <c r="E129" s="126">
        <f t="shared" si="3"/>
        <v>0</v>
      </c>
      <c r="F129" s="122">
        <v>0.0</v>
      </c>
      <c r="G129" s="127">
        <f t="shared" si="2"/>
        <v>0</v>
      </c>
      <c r="H129" s="122">
        <v>0.0</v>
      </c>
      <c r="I129" s="128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120" t="s">
        <v>345</v>
      </c>
      <c r="B130" s="121">
        <v>5.0</v>
      </c>
      <c r="C130" s="122">
        <v>20.0</v>
      </c>
      <c r="D130" s="121">
        <v>0.0</v>
      </c>
      <c r="E130" s="126">
        <f t="shared" si="3"/>
        <v>0</v>
      </c>
      <c r="F130" s="122">
        <v>0.0</v>
      </c>
      <c r="G130" s="127">
        <f t="shared" si="2"/>
        <v>0</v>
      </c>
      <c r="H130" s="122">
        <v>0.0</v>
      </c>
      <c r="I130" s="131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120" t="s">
        <v>395</v>
      </c>
      <c r="B131" s="121">
        <v>1.0</v>
      </c>
      <c r="C131" s="122">
        <v>4.0</v>
      </c>
      <c r="D131" s="121">
        <v>0.0</v>
      </c>
      <c r="E131" s="126">
        <f t="shared" si="3"/>
        <v>0</v>
      </c>
      <c r="F131" s="122">
        <v>0.0</v>
      </c>
      <c r="G131" s="127">
        <f t="shared" si="2"/>
        <v>0</v>
      </c>
      <c r="H131" s="122">
        <v>0.0</v>
      </c>
      <c r="I131" s="128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120" t="s">
        <v>364</v>
      </c>
      <c r="B132" s="121">
        <v>5.0</v>
      </c>
      <c r="C132" s="122">
        <v>20.0</v>
      </c>
      <c r="D132" s="121">
        <v>0.0</v>
      </c>
      <c r="E132" s="126">
        <f t="shared" si="3"/>
        <v>0</v>
      </c>
      <c r="F132" s="122">
        <v>0.0</v>
      </c>
      <c r="G132" s="127">
        <f t="shared" si="2"/>
        <v>0</v>
      </c>
      <c r="H132" s="122">
        <v>0.0</v>
      </c>
      <c r="I132" s="128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120" t="s">
        <v>396</v>
      </c>
      <c r="B133" s="121">
        <v>1.0</v>
      </c>
      <c r="C133" s="122">
        <v>4.0</v>
      </c>
      <c r="D133" s="121">
        <v>0.0</v>
      </c>
      <c r="E133" s="126">
        <f t="shared" si="3"/>
        <v>0</v>
      </c>
      <c r="F133" s="122">
        <v>0.0</v>
      </c>
      <c r="G133" s="127">
        <f t="shared" si="2"/>
        <v>0</v>
      </c>
      <c r="H133" s="122">
        <v>0.0</v>
      </c>
      <c r="I133" s="128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120" t="s">
        <v>397</v>
      </c>
      <c r="B134" s="121">
        <v>3.0</v>
      </c>
      <c r="C134" s="122">
        <v>12.0</v>
      </c>
      <c r="D134" s="121">
        <v>0.0</v>
      </c>
      <c r="E134" s="126">
        <f t="shared" si="3"/>
        <v>0</v>
      </c>
      <c r="F134" s="122">
        <v>0.0</v>
      </c>
      <c r="G134" s="127">
        <f t="shared" si="2"/>
        <v>0</v>
      </c>
      <c r="H134" s="122">
        <v>0.0</v>
      </c>
      <c r="I134" s="128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120" t="s">
        <v>301</v>
      </c>
      <c r="B135" s="121">
        <v>3.0</v>
      </c>
      <c r="C135" s="122">
        <v>12.0</v>
      </c>
      <c r="D135" s="121">
        <v>1.0</v>
      </c>
      <c r="E135" s="126">
        <f t="shared" si="3"/>
        <v>0</v>
      </c>
      <c r="F135" s="122">
        <v>0.0</v>
      </c>
      <c r="G135" s="127">
        <f t="shared" si="2"/>
        <v>0</v>
      </c>
      <c r="H135" s="122">
        <v>0.0</v>
      </c>
      <c r="I135" s="128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120" t="s">
        <v>375</v>
      </c>
      <c r="B136" s="121">
        <v>1.0</v>
      </c>
      <c r="C136" s="122">
        <v>4.0</v>
      </c>
      <c r="D136" s="121">
        <v>0.0</v>
      </c>
      <c r="E136" s="126">
        <f t="shared" si="3"/>
        <v>0</v>
      </c>
      <c r="F136" s="122">
        <v>0.0</v>
      </c>
      <c r="G136" s="127">
        <f t="shared" si="2"/>
        <v>0</v>
      </c>
      <c r="H136" s="122">
        <v>0.0</v>
      </c>
      <c r="I136" s="131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120" t="s">
        <v>398</v>
      </c>
      <c r="B137" s="121">
        <v>4.0</v>
      </c>
      <c r="C137" s="122">
        <v>16.0</v>
      </c>
      <c r="D137" s="121">
        <v>0.0</v>
      </c>
      <c r="E137" s="126">
        <f t="shared" si="3"/>
        <v>0</v>
      </c>
      <c r="F137" s="122">
        <v>0.0</v>
      </c>
      <c r="G137" s="127">
        <f t="shared" si="2"/>
        <v>0</v>
      </c>
      <c r="H137" s="122">
        <v>0.0</v>
      </c>
      <c r="I137" s="128">
        <v>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120" t="s">
        <v>399</v>
      </c>
      <c r="B138" s="121">
        <v>1.0</v>
      </c>
      <c r="C138" s="122">
        <v>4.0</v>
      </c>
      <c r="D138" s="121">
        <v>0.0</v>
      </c>
      <c r="E138" s="126">
        <f t="shared" si="3"/>
        <v>0</v>
      </c>
      <c r="F138" s="122">
        <v>0.0</v>
      </c>
      <c r="G138" s="127">
        <f t="shared" si="2"/>
        <v>0</v>
      </c>
      <c r="H138" s="122">
        <v>0.0</v>
      </c>
      <c r="I138" s="128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120" t="s">
        <v>366</v>
      </c>
      <c r="B139" s="121">
        <v>3.0</v>
      </c>
      <c r="C139" s="122">
        <v>12.0</v>
      </c>
      <c r="D139" s="121">
        <v>0.0</v>
      </c>
      <c r="E139" s="126">
        <f t="shared" si="3"/>
        <v>0</v>
      </c>
      <c r="F139" s="122">
        <v>0.0</v>
      </c>
      <c r="G139" s="127">
        <f t="shared" si="2"/>
        <v>0</v>
      </c>
      <c r="H139" s="122">
        <v>0.0</v>
      </c>
      <c r="I139" s="128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120" t="s">
        <v>400</v>
      </c>
      <c r="B140" s="121">
        <v>1.0</v>
      </c>
      <c r="C140" s="122">
        <v>4.0</v>
      </c>
      <c r="D140" s="121">
        <v>0.0</v>
      </c>
      <c r="E140" s="126">
        <f t="shared" si="3"/>
        <v>0</v>
      </c>
      <c r="F140" s="122">
        <v>0.0</v>
      </c>
      <c r="G140" s="127">
        <f t="shared" si="2"/>
        <v>0</v>
      </c>
      <c r="H140" s="122">
        <v>0.0</v>
      </c>
      <c r="I140" s="128">
        <v>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120" t="s">
        <v>380</v>
      </c>
      <c r="B141" s="121">
        <v>2.0</v>
      </c>
      <c r="C141" s="122">
        <v>8.0</v>
      </c>
      <c r="D141" s="121">
        <v>0.0</v>
      </c>
      <c r="E141" s="126">
        <f t="shared" si="3"/>
        <v>0</v>
      </c>
      <c r="F141" s="122">
        <v>0.0</v>
      </c>
      <c r="G141" s="127">
        <f t="shared" si="2"/>
        <v>0</v>
      </c>
      <c r="H141" s="122">
        <v>0.0</v>
      </c>
      <c r="I141" s="128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120" t="s">
        <v>328</v>
      </c>
      <c r="B142" s="121">
        <v>1.0</v>
      </c>
      <c r="C142" s="122">
        <v>4.0</v>
      </c>
      <c r="D142" s="121">
        <v>0.0</v>
      </c>
      <c r="E142" s="126">
        <f t="shared" si="3"/>
        <v>0</v>
      </c>
      <c r="F142" s="122">
        <v>0.0</v>
      </c>
      <c r="G142" s="127">
        <f t="shared" si="2"/>
        <v>0</v>
      </c>
      <c r="H142" s="122">
        <v>0.0</v>
      </c>
      <c r="I142" s="128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120" t="s">
        <v>246</v>
      </c>
      <c r="B143" s="121">
        <v>5.0</v>
      </c>
      <c r="C143" s="122">
        <v>20.0</v>
      </c>
      <c r="D143" s="121">
        <v>0.0</v>
      </c>
      <c r="E143" s="126">
        <f t="shared" si="3"/>
        <v>0</v>
      </c>
      <c r="F143" s="122">
        <v>0.0</v>
      </c>
      <c r="G143" s="127">
        <f t="shared" si="2"/>
        <v>0</v>
      </c>
      <c r="H143" s="122">
        <v>0.0</v>
      </c>
      <c r="I143" s="128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120" t="s">
        <v>342</v>
      </c>
      <c r="B144" s="121">
        <v>1.0</v>
      </c>
      <c r="C144" s="122">
        <v>4.0</v>
      </c>
      <c r="D144" s="121">
        <v>0.0</v>
      </c>
      <c r="E144" s="126">
        <f t="shared" si="3"/>
        <v>0</v>
      </c>
      <c r="F144" s="122">
        <v>0.0</v>
      </c>
      <c r="G144" s="127">
        <f t="shared" si="2"/>
        <v>0</v>
      </c>
      <c r="H144" s="122">
        <v>0.0</v>
      </c>
      <c r="I144" s="128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120" t="s">
        <v>306</v>
      </c>
      <c r="B145" s="121">
        <v>4.0</v>
      </c>
      <c r="C145" s="122">
        <v>16.0</v>
      </c>
      <c r="D145" s="121">
        <v>1.0</v>
      </c>
      <c r="E145" s="126">
        <f t="shared" si="3"/>
        <v>0</v>
      </c>
      <c r="F145" s="122">
        <v>0.0</v>
      </c>
      <c r="G145" s="127">
        <f t="shared" si="2"/>
        <v>0</v>
      </c>
      <c r="H145" s="122">
        <v>0.0</v>
      </c>
      <c r="I145" s="128">
        <v>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120" t="s">
        <v>308</v>
      </c>
      <c r="B146" s="121">
        <v>4.0</v>
      </c>
      <c r="C146" s="122">
        <v>16.0</v>
      </c>
      <c r="D146" s="121">
        <v>1.0</v>
      </c>
      <c r="E146" s="126">
        <f t="shared" si="3"/>
        <v>0</v>
      </c>
      <c r="F146" s="122">
        <v>0.0</v>
      </c>
      <c r="G146" s="127">
        <f t="shared" si="2"/>
        <v>0</v>
      </c>
      <c r="H146" s="122">
        <v>0.0</v>
      </c>
      <c r="I146" s="128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120" t="s">
        <v>236</v>
      </c>
      <c r="B147" s="121">
        <v>5.0</v>
      </c>
      <c r="C147" s="122">
        <v>20.0</v>
      </c>
      <c r="D147" s="121">
        <v>0.0</v>
      </c>
      <c r="E147" s="126">
        <f t="shared" si="3"/>
        <v>0</v>
      </c>
      <c r="F147" s="122">
        <v>0.0</v>
      </c>
      <c r="G147" s="127">
        <f t="shared" si="2"/>
        <v>0</v>
      </c>
      <c r="H147" s="122">
        <v>0.0</v>
      </c>
      <c r="I147" s="128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120" t="s">
        <v>293</v>
      </c>
      <c r="B148" s="121">
        <v>5.0</v>
      </c>
      <c r="C148" s="122">
        <v>20.0</v>
      </c>
      <c r="D148" s="121">
        <v>0.0</v>
      </c>
      <c r="E148" s="126">
        <f t="shared" si="3"/>
        <v>0</v>
      </c>
      <c r="F148" s="122">
        <v>0.0</v>
      </c>
      <c r="G148" s="127">
        <f t="shared" si="2"/>
        <v>0</v>
      </c>
      <c r="H148" s="122">
        <v>0.0</v>
      </c>
      <c r="I148" s="128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120" t="s">
        <v>402</v>
      </c>
      <c r="B149" s="121">
        <v>1.0</v>
      </c>
      <c r="C149" s="122">
        <v>4.0</v>
      </c>
      <c r="D149" s="121">
        <v>0.0</v>
      </c>
      <c r="E149" s="126">
        <f t="shared" si="3"/>
        <v>0</v>
      </c>
      <c r="F149" s="122">
        <v>0.0</v>
      </c>
      <c r="G149" s="127">
        <f t="shared" si="2"/>
        <v>0</v>
      </c>
      <c r="H149" s="122">
        <v>0.0</v>
      </c>
      <c r="I149" s="128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120" t="s">
        <v>403</v>
      </c>
      <c r="B150" s="121">
        <v>5.0</v>
      </c>
      <c r="C150" s="122">
        <v>20.0</v>
      </c>
      <c r="D150" s="121">
        <v>0.0</v>
      </c>
      <c r="E150" s="126">
        <f t="shared" si="3"/>
        <v>0</v>
      </c>
      <c r="F150" s="122">
        <v>0.0</v>
      </c>
      <c r="G150" s="127">
        <f t="shared" si="2"/>
        <v>0</v>
      </c>
      <c r="H150" s="122">
        <v>0.0</v>
      </c>
      <c r="I150" s="128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120" t="s">
        <v>348</v>
      </c>
      <c r="B151" s="121">
        <v>2.0</v>
      </c>
      <c r="C151" s="122">
        <v>8.0</v>
      </c>
      <c r="D151" s="121">
        <v>0.0</v>
      </c>
      <c r="E151" s="126">
        <f t="shared" si="3"/>
        <v>0</v>
      </c>
      <c r="F151" s="122">
        <v>0.0</v>
      </c>
      <c r="G151" s="127">
        <f t="shared" si="2"/>
        <v>0</v>
      </c>
      <c r="H151" s="122">
        <v>0.0</v>
      </c>
      <c r="I151" s="128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120" t="s">
        <v>304</v>
      </c>
      <c r="B152" s="121">
        <v>4.0</v>
      </c>
      <c r="C152" s="122">
        <v>16.0</v>
      </c>
      <c r="D152" s="121">
        <v>0.0</v>
      </c>
      <c r="E152" s="126">
        <f t="shared" si="3"/>
        <v>0</v>
      </c>
      <c r="F152" s="122">
        <v>0.0</v>
      </c>
      <c r="G152" s="127">
        <f t="shared" si="2"/>
        <v>0</v>
      </c>
      <c r="H152" s="122">
        <v>0.0</v>
      </c>
      <c r="I152" s="128">
        <v>0.0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120" t="s">
        <v>329</v>
      </c>
      <c r="B153" s="121">
        <v>1.0</v>
      </c>
      <c r="C153" s="122">
        <v>4.0</v>
      </c>
      <c r="D153" s="121">
        <v>0.0</v>
      </c>
      <c r="E153" s="126">
        <f t="shared" si="3"/>
        <v>0</v>
      </c>
      <c r="F153" s="122">
        <v>0.0</v>
      </c>
      <c r="G153" s="127">
        <f t="shared" si="2"/>
        <v>0</v>
      </c>
      <c r="H153" s="122">
        <v>0.0</v>
      </c>
      <c r="I153" s="128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120" t="s">
        <v>362</v>
      </c>
      <c r="B154" s="121">
        <v>2.0</v>
      </c>
      <c r="C154" s="122">
        <v>8.0</v>
      </c>
      <c r="D154" s="121">
        <v>0.0</v>
      </c>
      <c r="E154" s="126">
        <f t="shared" si="3"/>
        <v>0</v>
      </c>
      <c r="F154" s="122">
        <v>0.0</v>
      </c>
      <c r="G154" s="127">
        <f t="shared" si="2"/>
        <v>0</v>
      </c>
      <c r="H154" s="122">
        <v>0.0</v>
      </c>
      <c r="I154" s="128">
        <v>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120" t="s">
        <v>286</v>
      </c>
      <c r="B155" s="121">
        <v>5.0</v>
      </c>
      <c r="C155" s="122">
        <v>20.0</v>
      </c>
      <c r="D155" s="121">
        <v>0.0</v>
      </c>
      <c r="E155" s="126">
        <f t="shared" si="3"/>
        <v>0</v>
      </c>
      <c r="F155" s="122">
        <v>0.0</v>
      </c>
      <c r="G155" s="127">
        <f t="shared" si="2"/>
        <v>0</v>
      </c>
      <c r="H155" s="122">
        <v>0.0</v>
      </c>
      <c r="I155" s="128">
        <v>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120" t="s">
        <v>299</v>
      </c>
      <c r="B156" s="121">
        <v>3.0</v>
      </c>
      <c r="C156" s="122">
        <v>12.0</v>
      </c>
      <c r="D156" s="121">
        <v>0.0</v>
      </c>
      <c r="E156" s="126">
        <f t="shared" si="3"/>
        <v>0</v>
      </c>
      <c r="F156" s="122">
        <v>0.0</v>
      </c>
      <c r="G156" s="127">
        <f t="shared" si="2"/>
        <v>0</v>
      </c>
      <c r="H156" s="122">
        <v>0.0</v>
      </c>
      <c r="I156" s="128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20" t="s">
        <v>405</v>
      </c>
      <c r="B157" s="121">
        <v>3.0</v>
      </c>
      <c r="C157" s="122">
        <v>12.0</v>
      </c>
      <c r="D157" s="121">
        <v>0.0</v>
      </c>
      <c r="E157" s="126">
        <f t="shared" si="3"/>
        <v>0</v>
      </c>
      <c r="F157" s="122">
        <v>0.0</v>
      </c>
      <c r="G157" s="127">
        <f t="shared" si="2"/>
        <v>0</v>
      </c>
      <c r="H157" s="122">
        <v>0.0</v>
      </c>
      <c r="I157" s="128">
        <v>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120" t="s">
        <v>228</v>
      </c>
      <c r="B158" s="121">
        <v>5.0</v>
      </c>
      <c r="C158" s="122">
        <v>20.0</v>
      </c>
      <c r="D158" s="121">
        <v>1.0</v>
      </c>
      <c r="E158" s="126">
        <f t="shared" si="3"/>
        <v>0</v>
      </c>
      <c r="F158" s="122">
        <v>0.0</v>
      </c>
      <c r="G158" s="127">
        <f t="shared" si="2"/>
        <v>0</v>
      </c>
      <c r="H158" s="122">
        <v>0.0</v>
      </c>
      <c r="I158" s="128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120" t="s">
        <v>406</v>
      </c>
      <c r="B159" s="121">
        <v>5.0</v>
      </c>
      <c r="C159" s="122">
        <v>20.0</v>
      </c>
      <c r="D159" s="121">
        <v>0.0</v>
      </c>
      <c r="E159" s="126">
        <f t="shared" si="3"/>
        <v>0</v>
      </c>
      <c r="F159" s="122">
        <v>0.0</v>
      </c>
      <c r="G159" s="127">
        <f t="shared" si="2"/>
        <v>0</v>
      </c>
      <c r="H159" s="122">
        <v>0.0</v>
      </c>
      <c r="I159" s="128">
        <v>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120" t="s">
        <v>319</v>
      </c>
      <c r="B160" s="121">
        <v>3.0</v>
      </c>
      <c r="C160" s="122">
        <v>12.0</v>
      </c>
      <c r="D160" s="121">
        <v>0.0</v>
      </c>
      <c r="E160" s="126">
        <f t="shared" si="3"/>
        <v>0</v>
      </c>
      <c r="F160" s="122">
        <v>0.0</v>
      </c>
      <c r="G160" s="127">
        <f t="shared" si="2"/>
        <v>0</v>
      </c>
      <c r="H160" s="122">
        <v>0.0</v>
      </c>
      <c r="I160" s="128">
        <v>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120" t="s">
        <v>407</v>
      </c>
      <c r="B161" s="121">
        <v>1.0</v>
      </c>
      <c r="C161" s="122">
        <v>4.0</v>
      </c>
      <c r="D161" s="121">
        <v>0.0</v>
      </c>
      <c r="E161" s="126">
        <f t="shared" si="3"/>
        <v>0</v>
      </c>
      <c r="F161" s="122">
        <v>0.0</v>
      </c>
      <c r="G161" s="127">
        <f t="shared" si="2"/>
        <v>0</v>
      </c>
      <c r="H161" s="122">
        <v>0.0</v>
      </c>
      <c r="I161" s="128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120" t="s">
        <v>408</v>
      </c>
      <c r="B162" s="121">
        <v>4.0</v>
      </c>
      <c r="C162" s="122">
        <v>16.0</v>
      </c>
      <c r="D162" s="121">
        <v>1.0</v>
      </c>
      <c r="E162" s="126">
        <f t="shared" si="3"/>
        <v>0</v>
      </c>
      <c r="F162" s="122">
        <v>0.0</v>
      </c>
      <c r="G162" s="127">
        <f t="shared" si="2"/>
        <v>0</v>
      </c>
      <c r="H162" s="122">
        <v>0.0</v>
      </c>
      <c r="I162" s="128">
        <v>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120" t="s">
        <v>297</v>
      </c>
      <c r="B163" s="121">
        <v>3.0</v>
      </c>
      <c r="C163" s="122">
        <v>12.0</v>
      </c>
      <c r="D163" s="121">
        <v>0.0</v>
      </c>
      <c r="E163" s="126">
        <f t="shared" si="3"/>
        <v>0</v>
      </c>
      <c r="F163" s="122">
        <v>0.0</v>
      </c>
      <c r="G163" s="127">
        <f t="shared" si="2"/>
        <v>0</v>
      </c>
      <c r="H163" s="122">
        <v>0.0</v>
      </c>
      <c r="I163" s="128">
        <v>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120" t="s">
        <v>410</v>
      </c>
      <c r="B164" s="121">
        <v>1.0</v>
      </c>
      <c r="C164" s="122">
        <v>4.0</v>
      </c>
      <c r="D164" s="121">
        <v>0.0</v>
      </c>
      <c r="E164" s="126">
        <f t="shared" si="3"/>
        <v>0</v>
      </c>
      <c r="F164" s="122">
        <v>0.0</v>
      </c>
      <c r="G164" s="127">
        <f t="shared" si="2"/>
        <v>0</v>
      </c>
      <c r="H164" s="122">
        <v>0.0</v>
      </c>
      <c r="I164" s="128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120" t="s">
        <v>353</v>
      </c>
      <c r="B165" s="121">
        <v>5.0</v>
      </c>
      <c r="C165" s="122">
        <v>20.0</v>
      </c>
      <c r="D165" s="121">
        <v>3.0</v>
      </c>
      <c r="E165" s="126">
        <f t="shared" si="3"/>
        <v>0</v>
      </c>
      <c r="F165" s="122">
        <v>0.0</v>
      </c>
      <c r="G165" s="127">
        <f t="shared" si="2"/>
        <v>0</v>
      </c>
      <c r="H165" s="122">
        <v>0.0</v>
      </c>
      <c r="I165" s="128">
        <v>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120" t="s">
        <v>310</v>
      </c>
      <c r="B166" s="121">
        <v>5.0</v>
      </c>
      <c r="C166" s="122">
        <v>20.0</v>
      </c>
      <c r="D166" s="121">
        <v>0.0</v>
      </c>
      <c r="E166" s="126">
        <f t="shared" si="3"/>
        <v>0</v>
      </c>
      <c r="F166" s="122">
        <v>0.0</v>
      </c>
      <c r="G166" s="127">
        <f t="shared" si="2"/>
        <v>0</v>
      </c>
      <c r="H166" s="122">
        <v>0.0</v>
      </c>
      <c r="I166" s="128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120" t="s">
        <v>368</v>
      </c>
      <c r="B167" s="121">
        <v>4.0</v>
      </c>
      <c r="C167" s="122">
        <v>16.0</v>
      </c>
      <c r="D167" s="121">
        <v>2.0</v>
      </c>
      <c r="E167" s="126">
        <f t="shared" si="3"/>
        <v>0</v>
      </c>
      <c r="F167" s="122">
        <v>0.0</v>
      </c>
      <c r="G167" s="127">
        <f t="shared" si="2"/>
        <v>0</v>
      </c>
      <c r="H167" s="122">
        <v>0.0</v>
      </c>
      <c r="I167" s="128">
        <v>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120" t="s">
        <v>311</v>
      </c>
      <c r="B168" s="121">
        <v>2.0</v>
      </c>
      <c r="C168" s="122">
        <v>8.0</v>
      </c>
      <c r="D168" s="121">
        <v>0.0</v>
      </c>
      <c r="E168" s="126">
        <f t="shared" si="3"/>
        <v>0</v>
      </c>
      <c r="F168" s="122">
        <v>0.0</v>
      </c>
      <c r="G168" s="127">
        <f t="shared" si="2"/>
        <v>0</v>
      </c>
      <c r="H168" s="122">
        <v>0.0</v>
      </c>
      <c r="I168" s="128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120" t="s">
        <v>256</v>
      </c>
      <c r="B169" s="121">
        <v>5.0</v>
      </c>
      <c r="C169" s="122">
        <v>20.0</v>
      </c>
      <c r="D169" s="121">
        <v>0.0</v>
      </c>
      <c r="E169" s="126">
        <f t="shared" si="3"/>
        <v>0</v>
      </c>
      <c r="F169" s="122">
        <v>0.0</v>
      </c>
      <c r="G169" s="127">
        <f t="shared" si="2"/>
        <v>0</v>
      </c>
      <c r="H169" s="122">
        <v>0.0</v>
      </c>
      <c r="I169" s="128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120" t="s">
        <v>284</v>
      </c>
      <c r="B170" s="121">
        <v>4.0</v>
      </c>
      <c r="C170" s="122">
        <v>16.0</v>
      </c>
      <c r="D170" s="121">
        <v>0.0</v>
      </c>
      <c r="E170" s="126">
        <f t="shared" si="3"/>
        <v>0</v>
      </c>
      <c r="F170" s="122">
        <v>0.0</v>
      </c>
      <c r="G170" s="127">
        <f t="shared" si="2"/>
        <v>0</v>
      </c>
      <c r="H170" s="122">
        <v>0.0</v>
      </c>
      <c r="I170" s="128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120" t="s">
        <v>386</v>
      </c>
      <c r="B171" s="121">
        <v>1.0</v>
      </c>
      <c r="C171" s="122">
        <v>4.0</v>
      </c>
      <c r="D171" s="121">
        <v>0.0</v>
      </c>
      <c r="E171" s="126">
        <f t="shared" si="3"/>
        <v>0</v>
      </c>
      <c r="F171" s="122">
        <v>0.0</v>
      </c>
      <c r="G171" s="127">
        <f t="shared" si="2"/>
        <v>0</v>
      </c>
      <c r="H171" s="122">
        <v>0.0</v>
      </c>
      <c r="I171" s="128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120" t="s">
        <v>300</v>
      </c>
      <c r="B172" s="121">
        <v>5.0</v>
      </c>
      <c r="C172" s="122">
        <v>20.0</v>
      </c>
      <c r="D172" s="121">
        <v>0.0</v>
      </c>
      <c r="E172" s="126">
        <f t="shared" si="3"/>
        <v>0</v>
      </c>
      <c r="F172" s="122">
        <v>0.0</v>
      </c>
      <c r="G172" s="127">
        <f t="shared" si="2"/>
        <v>0</v>
      </c>
      <c r="H172" s="122">
        <v>0.0</v>
      </c>
      <c r="I172" s="128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120" t="s">
        <v>327</v>
      </c>
      <c r="B173" s="121">
        <v>3.0</v>
      </c>
      <c r="C173" s="122">
        <v>12.0</v>
      </c>
      <c r="D173" s="121">
        <v>0.0</v>
      </c>
      <c r="E173" s="126">
        <f t="shared" si="3"/>
        <v>0</v>
      </c>
      <c r="F173" s="122">
        <v>0.0</v>
      </c>
      <c r="G173" s="127">
        <f t="shared" si="2"/>
        <v>0</v>
      </c>
      <c r="H173" s="122">
        <v>0.0</v>
      </c>
      <c r="I173" s="128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120" t="s">
        <v>289</v>
      </c>
      <c r="B174" s="121">
        <v>5.0</v>
      </c>
      <c r="C174" s="122">
        <v>20.0</v>
      </c>
      <c r="D174" s="121">
        <v>2.0</v>
      </c>
      <c r="E174" s="126">
        <f t="shared" si="3"/>
        <v>0</v>
      </c>
      <c r="F174" s="122">
        <v>0.0</v>
      </c>
      <c r="G174" s="127">
        <f t="shared" si="2"/>
        <v>0</v>
      </c>
      <c r="H174" s="122">
        <v>0.0</v>
      </c>
      <c r="I174" s="128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120" t="s">
        <v>388</v>
      </c>
      <c r="B175" s="121">
        <v>5.0</v>
      </c>
      <c r="C175" s="122">
        <v>20.0</v>
      </c>
      <c r="D175" s="121">
        <v>0.0</v>
      </c>
      <c r="E175" s="126">
        <f t="shared" si="3"/>
        <v>0</v>
      </c>
      <c r="F175" s="122">
        <v>0.0</v>
      </c>
      <c r="G175" s="127">
        <f t="shared" si="2"/>
        <v>0</v>
      </c>
      <c r="H175" s="122">
        <v>0.0</v>
      </c>
      <c r="I175" s="128">
        <v>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120" t="s">
        <v>250</v>
      </c>
      <c r="B176" s="121">
        <v>5.0</v>
      </c>
      <c r="C176" s="122">
        <v>20.0</v>
      </c>
      <c r="D176" s="121">
        <v>0.0</v>
      </c>
      <c r="E176" s="126">
        <f t="shared" si="3"/>
        <v>0</v>
      </c>
      <c r="F176" s="122">
        <v>0.0</v>
      </c>
      <c r="G176" s="127">
        <f t="shared" si="2"/>
        <v>0</v>
      </c>
      <c r="H176" s="122">
        <v>0.0</v>
      </c>
      <c r="I176" s="128">
        <v>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120" t="s">
        <v>280</v>
      </c>
      <c r="B177" s="121">
        <v>5.0</v>
      </c>
      <c r="C177" s="122">
        <v>20.0</v>
      </c>
      <c r="D177" s="121">
        <v>0.0</v>
      </c>
      <c r="E177" s="126">
        <f t="shared" si="3"/>
        <v>0</v>
      </c>
      <c r="F177" s="122">
        <v>0.0</v>
      </c>
      <c r="G177" s="127">
        <f t="shared" si="2"/>
        <v>0</v>
      </c>
      <c r="H177" s="122">
        <v>0.0</v>
      </c>
      <c r="I177" s="128">
        <v>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120" t="s">
        <v>411</v>
      </c>
      <c r="B178" s="121">
        <v>1.0</v>
      </c>
      <c r="C178" s="122">
        <v>4.0</v>
      </c>
      <c r="D178" s="121">
        <v>0.0</v>
      </c>
      <c r="E178" s="126">
        <f t="shared" si="3"/>
        <v>0</v>
      </c>
      <c r="F178" s="122">
        <v>0.0</v>
      </c>
      <c r="G178" s="127">
        <f t="shared" si="2"/>
        <v>0</v>
      </c>
      <c r="H178" s="122">
        <v>0.0</v>
      </c>
      <c r="I178" s="128">
        <v>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120" t="s">
        <v>412</v>
      </c>
      <c r="B179" s="121">
        <v>1.0</v>
      </c>
      <c r="C179" s="122">
        <v>4.0</v>
      </c>
      <c r="D179" s="121">
        <v>0.0</v>
      </c>
      <c r="E179" s="126">
        <f t="shared" si="3"/>
        <v>0</v>
      </c>
      <c r="F179" s="122">
        <v>0.0</v>
      </c>
      <c r="G179" s="127">
        <f t="shared" si="2"/>
        <v>0</v>
      </c>
      <c r="H179" s="122">
        <v>0.0</v>
      </c>
      <c r="I179" s="128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120" t="s">
        <v>321</v>
      </c>
      <c r="B180" s="121">
        <v>2.0</v>
      </c>
      <c r="C180" s="122">
        <v>8.0</v>
      </c>
      <c r="D180" s="121">
        <v>0.0</v>
      </c>
      <c r="E180" s="126">
        <f t="shared" si="3"/>
        <v>0</v>
      </c>
      <c r="F180" s="122">
        <v>0.0</v>
      </c>
      <c r="G180" s="127">
        <f t="shared" si="2"/>
        <v>0</v>
      </c>
      <c r="H180" s="122">
        <v>0.0</v>
      </c>
      <c r="I180" s="128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120" t="s">
        <v>390</v>
      </c>
      <c r="B181" s="121">
        <v>2.0</v>
      </c>
      <c r="C181" s="122">
        <v>8.0</v>
      </c>
      <c r="D181" s="121">
        <v>1.0</v>
      </c>
      <c r="E181" s="126">
        <f t="shared" si="3"/>
        <v>0</v>
      </c>
      <c r="F181" s="122">
        <v>0.0</v>
      </c>
      <c r="G181" s="127">
        <f t="shared" si="2"/>
        <v>0</v>
      </c>
      <c r="H181" s="122">
        <v>0.0</v>
      </c>
      <c r="I181" s="128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120" t="s">
        <v>334</v>
      </c>
      <c r="B182" s="121">
        <v>2.0</v>
      </c>
      <c r="C182" s="122">
        <v>8.0</v>
      </c>
      <c r="D182" s="121">
        <v>0.0</v>
      </c>
      <c r="E182" s="126">
        <f t="shared" si="3"/>
        <v>0</v>
      </c>
      <c r="F182" s="122">
        <v>0.0</v>
      </c>
      <c r="G182" s="127">
        <f t="shared" si="2"/>
        <v>0</v>
      </c>
      <c r="H182" s="122">
        <v>0.0</v>
      </c>
      <c r="I182" s="128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120" t="s">
        <v>413</v>
      </c>
      <c r="B183" s="121">
        <v>1.0</v>
      </c>
      <c r="C183" s="122">
        <v>4.0</v>
      </c>
      <c r="D183" s="121">
        <v>1.0</v>
      </c>
      <c r="E183" s="126">
        <f t="shared" si="3"/>
        <v>0</v>
      </c>
      <c r="F183" s="122">
        <v>0.0</v>
      </c>
      <c r="G183" s="127">
        <f t="shared" si="2"/>
        <v>0</v>
      </c>
      <c r="H183" s="122">
        <v>0.0</v>
      </c>
      <c r="I183" s="128">
        <v>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120" t="s">
        <v>414</v>
      </c>
      <c r="B184" s="121">
        <v>3.0</v>
      </c>
      <c r="C184" s="122">
        <v>12.0</v>
      </c>
      <c r="D184" s="121">
        <v>0.0</v>
      </c>
      <c r="E184" s="126">
        <f t="shared" si="3"/>
        <v>0</v>
      </c>
      <c r="F184" s="122">
        <v>0.0</v>
      </c>
      <c r="G184" s="127">
        <f t="shared" si="2"/>
        <v>0</v>
      </c>
      <c r="H184" s="122">
        <v>0.0</v>
      </c>
      <c r="I184" s="128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120" t="s">
        <v>370</v>
      </c>
      <c r="B185" s="121">
        <v>3.0</v>
      </c>
      <c r="C185" s="122">
        <v>12.0</v>
      </c>
      <c r="D185" s="121">
        <v>0.0</v>
      </c>
      <c r="E185" s="126">
        <f t="shared" si="3"/>
        <v>0</v>
      </c>
      <c r="F185" s="122">
        <v>0.0</v>
      </c>
      <c r="G185" s="127">
        <f t="shared" si="2"/>
        <v>0</v>
      </c>
      <c r="H185" s="122">
        <v>0.0</v>
      </c>
      <c r="I185" s="128">
        <v>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120" t="s">
        <v>415</v>
      </c>
      <c r="B186" s="121">
        <v>4.0</v>
      </c>
      <c r="C186" s="122">
        <v>16.0</v>
      </c>
      <c r="D186" s="121">
        <v>0.0</v>
      </c>
      <c r="E186" s="126">
        <f t="shared" si="3"/>
        <v>0</v>
      </c>
      <c r="F186" s="122">
        <v>0.0</v>
      </c>
      <c r="G186" s="127">
        <f t="shared" si="2"/>
        <v>0</v>
      </c>
      <c r="H186" s="122">
        <v>0.0</v>
      </c>
      <c r="I186" s="128">
        <v>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120" t="s">
        <v>416</v>
      </c>
      <c r="B187" s="121">
        <v>1.0</v>
      </c>
      <c r="C187" s="122">
        <v>4.0</v>
      </c>
      <c r="D187" s="121">
        <v>0.0</v>
      </c>
      <c r="E187" s="126">
        <f t="shared" si="3"/>
        <v>0</v>
      </c>
      <c r="F187" s="122">
        <v>0.0</v>
      </c>
      <c r="G187" s="127">
        <f t="shared" si="2"/>
        <v>0</v>
      </c>
      <c r="H187" s="122">
        <v>0.0</v>
      </c>
      <c r="I187" s="128">
        <v>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120" t="s">
        <v>401</v>
      </c>
      <c r="B188" s="121">
        <v>4.0</v>
      </c>
      <c r="C188" s="122">
        <v>16.0</v>
      </c>
      <c r="D188" s="121">
        <v>0.0</v>
      </c>
      <c r="E188" s="126">
        <f t="shared" si="3"/>
        <v>0</v>
      </c>
      <c r="F188" s="122">
        <v>0.0</v>
      </c>
      <c r="G188" s="127">
        <f t="shared" si="2"/>
        <v>0</v>
      </c>
      <c r="H188" s="122">
        <v>0.0</v>
      </c>
      <c r="I188" s="128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120" t="s">
        <v>277</v>
      </c>
      <c r="B189" s="121">
        <v>4.0</v>
      </c>
      <c r="C189" s="122">
        <v>16.0</v>
      </c>
      <c r="D189" s="121">
        <v>0.0</v>
      </c>
      <c r="E189" s="126">
        <f t="shared" si="3"/>
        <v>0</v>
      </c>
      <c r="F189" s="122">
        <v>0.0</v>
      </c>
      <c r="G189" s="127">
        <f t="shared" si="2"/>
        <v>0</v>
      </c>
      <c r="H189" s="122">
        <v>0.0</v>
      </c>
      <c r="I189" s="128">
        <v>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120" t="s">
        <v>338</v>
      </c>
      <c r="B190" s="121">
        <v>1.0</v>
      </c>
      <c r="C190" s="122">
        <v>4.0</v>
      </c>
      <c r="D190" s="121">
        <v>0.0</v>
      </c>
      <c r="E190" s="126">
        <f t="shared" si="3"/>
        <v>0</v>
      </c>
      <c r="F190" s="122">
        <v>0.0</v>
      </c>
      <c r="G190" s="127">
        <f t="shared" si="2"/>
        <v>0</v>
      </c>
      <c r="H190" s="122">
        <v>0.0</v>
      </c>
      <c r="I190" s="128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120" t="s">
        <v>350</v>
      </c>
      <c r="B191" s="121">
        <v>5.0</v>
      </c>
      <c r="C191" s="122">
        <v>20.0</v>
      </c>
      <c r="D191" s="121">
        <v>0.0</v>
      </c>
      <c r="E191" s="126">
        <f t="shared" si="3"/>
        <v>0</v>
      </c>
      <c r="F191" s="122">
        <v>0.0</v>
      </c>
      <c r="G191" s="127">
        <f t="shared" si="2"/>
        <v>0</v>
      </c>
      <c r="H191" s="122">
        <v>0.0</v>
      </c>
      <c r="I191" s="128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120" t="s">
        <v>417</v>
      </c>
      <c r="B192" s="121">
        <v>1.0</v>
      </c>
      <c r="C192" s="122">
        <v>4.0</v>
      </c>
      <c r="D192" s="121">
        <v>0.0</v>
      </c>
      <c r="E192" s="126">
        <f t="shared" si="3"/>
        <v>0</v>
      </c>
      <c r="F192" s="122">
        <v>0.0</v>
      </c>
      <c r="G192" s="127">
        <f t="shared" si="2"/>
        <v>0</v>
      </c>
      <c r="H192" s="122">
        <v>0.0</v>
      </c>
      <c r="I192" s="128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120" t="s">
        <v>418</v>
      </c>
      <c r="B193" s="121">
        <v>3.0</v>
      </c>
      <c r="C193" s="122">
        <v>12.0</v>
      </c>
      <c r="D193" s="121">
        <v>0.0</v>
      </c>
      <c r="E193" s="126">
        <f t="shared" si="3"/>
        <v>0</v>
      </c>
      <c r="F193" s="122">
        <v>0.0</v>
      </c>
      <c r="G193" s="127">
        <f t="shared" si="2"/>
        <v>0</v>
      </c>
      <c r="H193" s="122">
        <v>0.0</v>
      </c>
      <c r="I193" s="128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120" t="s">
        <v>339</v>
      </c>
      <c r="B194" s="121">
        <v>1.0</v>
      </c>
      <c r="C194" s="122">
        <v>4.0</v>
      </c>
      <c r="D194" s="121">
        <v>0.0</v>
      </c>
      <c r="E194" s="126">
        <f t="shared" si="3"/>
        <v>0</v>
      </c>
      <c r="F194" s="122">
        <v>0.0</v>
      </c>
      <c r="G194" s="127">
        <f t="shared" si="2"/>
        <v>0</v>
      </c>
      <c r="H194" s="122">
        <v>0.0</v>
      </c>
      <c r="I194" s="128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120" t="s">
        <v>282</v>
      </c>
      <c r="B195" s="121">
        <v>4.0</v>
      </c>
      <c r="C195" s="122">
        <v>16.0</v>
      </c>
      <c r="D195" s="121">
        <v>0.0</v>
      </c>
      <c r="E195" s="126">
        <f t="shared" si="3"/>
        <v>0</v>
      </c>
      <c r="F195" s="122">
        <v>0.0</v>
      </c>
      <c r="G195" s="127">
        <f t="shared" si="2"/>
        <v>0</v>
      </c>
      <c r="H195" s="122">
        <v>0.0</v>
      </c>
      <c r="I195" s="128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120" t="s">
        <v>419</v>
      </c>
      <c r="B196" s="121">
        <v>1.0</v>
      </c>
      <c r="C196" s="122">
        <v>4.0</v>
      </c>
      <c r="D196" s="121">
        <v>1.0</v>
      </c>
      <c r="E196" s="126">
        <f t="shared" si="3"/>
        <v>0</v>
      </c>
      <c r="F196" s="122">
        <v>0.0</v>
      </c>
      <c r="G196" s="127">
        <f t="shared" si="2"/>
        <v>0</v>
      </c>
      <c r="H196" s="122">
        <v>0.0</v>
      </c>
      <c r="I196" s="128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120" t="s">
        <v>420</v>
      </c>
      <c r="B197" s="121">
        <v>1.0</v>
      </c>
      <c r="C197" s="122">
        <v>4.0</v>
      </c>
      <c r="D197" s="121">
        <v>1.0</v>
      </c>
      <c r="E197" s="126">
        <f t="shared" si="3"/>
        <v>0</v>
      </c>
      <c r="F197" s="122">
        <v>0.0</v>
      </c>
      <c r="G197" s="127">
        <f t="shared" si="2"/>
        <v>0</v>
      </c>
      <c r="H197" s="122">
        <v>0.0</v>
      </c>
      <c r="I197" s="128">
        <v>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120" t="s">
        <v>356</v>
      </c>
      <c r="B198" s="121">
        <v>5.0</v>
      </c>
      <c r="C198" s="122">
        <v>20.0</v>
      </c>
      <c r="D198" s="121">
        <v>3.0</v>
      </c>
      <c r="E198" s="126">
        <f t="shared" si="3"/>
        <v>-4</v>
      </c>
      <c r="F198" s="122">
        <v>-0.8</v>
      </c>
      <c r="G198" s="127">
        <f t="shared" si="2"/>
        <v>2</v>
      </c>
      <c r="H198" s="122">
        <v>0.4</v>
      </c>
      <c r="I198" s="128">
        <v>0.333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120" t="s">
        <v>322</v>
      </c>
      <c r="B199" s="121">
        <v>5.0</v>
      </c>
      <c r="C199" s="122">
        <v>20.0</v>
      </c>
      <c r="D199" s="121">
        <v>5.0</v>
      </c>
      <c r="E199" s="126">
        <f t="shared" si="3"/>
        <v>-4</v>
      </c>
      <c r="F199" s="122">
        <v>-0.8</v>
      </c>
      <c r="G199" s="127">
        <f t="shared" si="2"/>
        <v>2</v>
      </c>
      <c r="H199" s="122">
        <v>0.4</v>
      </c>
      <c r="I199" s="128">
        <v>0.2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120" t="s">
        <v>377</v>
      </c>
      <c r="B200" s="121">
        <v>1.0</v>
      </c>
      <c r="C200" s="122">
        <v>4.0</v>
      </c>
      <c r="D200" s="121">
        <v>1.0</v>
      </c>
      <c r="E200" s="126">
        <f t="shared" si="3"/>
        <v>-4</v>
      </c>
      <c r="F200" s="122">
        <v>-4.0</v>
      </c>
      <c r="G200" s="127">
        <f t="shared" si="2"/>
        <v>1</v>
      </c>
      <c r="H200" s="122">
        <v>1.0</v>
      </c>
      <c r="I200" s="131">
        <v>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120" t="s">
        <v>264</v>
      </c>
      <c r="B201" s="121">
        <v>5.0</v>
      </c>
      <c r="C201" s="122">
        <v>20.0</v>
      </c>
      <c r="D201" s="121">
        <v>2.0</v>
      </c>
      <c r="E201" s="126">
        <f t="shared" si="3"/>
        <v>-4</v>
      </c>
      <c r="F201" s="122">
        <v>-0.8</v>
      </c>
      <c r="G201" s="127">
        <f t="shared" si="2"/>
        <v>1</v>
      </c>
      <c r="H201" s="122">
        <v>0.2</v>
      </c>
      <c r="I201" s="131">
        <v>0.0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120" t="s">
        <v>288</v>
      </c>
      <c r="B202" s="121">
        <v>4.0</v>
      </c>
      <c r="C202" s="122">
        <v>16.0</v>
      </c>
      <c r="D202" s="121">
        <v>1.0</v>
      </c>
      <c r="E202" s="126">
        <f t="shared" si="3"/>
        <v>-4</v>
      </c>
      <c r="F202" s="122">
        <v>-1.0</v>
      </c>
      <c r="G202" s="127">
        <f t="shared" si="2"/>
        <v>1</v>
      </c>
      <c r="H202" s="122">
        <v>0.25</v>
      </c>
      <c r="I202" s="131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120" t="s">
        <v>384</v>
      </c>
      <c r="B203" s="121">
        <v>2.0</v>
      </c>
      <c r="C203" s="122">
        <v>8.0</v>
      </c>
      <c r="D203" s="121">
        <v>1.0</v>
      </c>
      <c r="E203" s="126">
        <f t="shared" si="3"/>
        <v>-4</v>
      </c>
      <c r="F203" s="122">
        <v>-2.0</v>
      </c>
      <c r="G203" s="127">
        <f t="shared" si="2"/>
        <v>1</v>
      </c>
      <c r="H203" s="122">
        <v>0.5</v>
      </c>
      <c r="I203" s="131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120" t="s">
        <v>409</v>
      </c>
      <c r="B204" s="121">
        <v>1.0</v>
      </c>
      <c r="C204" s="122">
        <v>4.0</v>
      </c>
      <c r="D204" s="121">
        <v>1.0</v>
      </c>
      <c r="E204" s="126">
        <f t="shared" si="3"/>
        <v>-4</v>
      </c>
      <c r="F204" s="122">
        <v>-4.0</v>
      </c>
      <c r="G204" s="127">
        <f t="shared" si="2"/>
        <v>1</v>
      </c>
      <c r="H204" s="122">
        <v>1.0</v>
      </c>
      <c r="I204" s="128">
        <v>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120" t="s">
        <v>243</v>
      </c>
      <c r="B205" s="121">
        <v>5.0</v>
      </c>
      <c r="C205" s="122">
        <v>20.0</v>
      </c>
      <c r="D205" s="121">
        <v>1.0</v>
      </c>
      <c r="E205" s="126">
        <f t="shared" si="3"/>
        <v>-4</v>
      </c>
      <c r="F205" s="122">
        <v>-0.8</v>
      </c>
      <c r="G205" s="127">
        <f t="shared" si="2"/>
        <v>1</v>
      </c>
      <c r="H205" s="122">
        <v>0.2</v>
      </c>
      <c r="I205" s="128">
        <v>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135"/>
      <c r="B206" s="4"/>
      <c r="C206" s="4"/>
      <c r="D206" s="135"/>
      <c r="E206" s="4"/>
      <c r="F206" s="4"/>
      <c r="G206" s="137"/>
      <c r="H206" s="136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135"/>
      <c r="B207" s="4"/>
      <c r="C207" s="4"/>
      <c r="D207" s="135"/>
      <c r="E207" s="4"/>
      <c r="F207" s="4"/>
      <c r="G207" s="137"/>
      <c r="H207" s="136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135"/>
      <c r="B208" s="4"/>
      <c r="C208" s="4"/>
      <c r="D208" s="135"/>
      <c r="E208" s="4"/>
      <c r="F208" s="4"/>
      <c r="G208" s="137"/>
      <c r="H208" s="136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135"/>
      <c r="B209" s="4"/>
      <c r="C209" s="4"/>
      <c r="D209" s="135"/>
      <c r="E209" s="4"/>
      <c r="F209" s="4"/>
      <c r="G209" s="137"/>
      <c r="H209" s="136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135"/>
      <c r="B210" s="4"/>
      <c r="C210" s="4"/>
      <c r="D210" s="135"/>
      <c r="E210" s="4"/>
      <c r="F210" s="4"/>
      <c r="G210" s="137"/>
      <c r="H210" s="136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135"/>
      <c r="B211" s="4"/>
      <c r="C211" s="4"/>
      <c r="D211" s="135"/>
      <c r="E211" s="4"/>
      <c r="F211" s="4"/>
      <c r="G211" s="137"/>
      <c r="H211" s="136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135"/>
      <c r="B212" s="4"/>
      <c r="C212" s="4"/>
      <c r="D212" s="135"/>
      <c r="E212" s="4"/>
      <c r="F212" s="4"/>
      <c r="G212" s="137"/>
      <c r="H212" s="136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135"/>
      <c r="B213" s="4"/>
      <c r="C213" s="4"/>
      <c r="D213" s="135"/>
      <c r="E213" s="4"/>
      <c r="F213" s="4"/>
      <c r="G213" s="137"/>
      <c r="H213" s="136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135"/>
      <c r="B214" s="4"/>
      <c r="C214" s="4"/>
      <c r="D214" s="135"/>
      <c r="E214" s="4"/>
      <c r="F214" s="4"/>
      <c r="G214" s="137"/>
      <c r="H214" s="136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135"/>
      <c r="B215" s="4"/>
      <c r="C215" s="4"/>
      <c r="D215" s="135"/>
      <c r="E215" s="4"/>
      <c r="F215" s="4"/>
      <c r="G215" s="137"/>
      <c r="H215" s="136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135"/>
      <c r="B216" s="4"/>
      <c r="C216" s="4"/>
      <c r="D216" s="135"/>
      <c r="E216" s="4"/>
      <c r="F216" s="4"/>
      <c r="G216" s="137"/>
      <c r="H216" s="136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135"/>
      <c r="B217" s="4"/>
      <c r="C217" s="4"/>
      <c r="D217" s="135"/>
      <c r="E217" s="4"/>
      <c r="F217" s="4"/>
      <c r="G217" s="137"/>
      <c r="H217" s="136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135"/>
      <c r="B218" s="4"/>
      <c r="C218" s="4"/>
      <c r="D218" s="135"/>
      <c r="E218" s="4"/>
      <c r="F218" s="4"/>
      <c r="G218" s="137"/>
      <c r="H218" s="136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135"/>
      <c r="B219" s="4"/>
      <c r="C219" s="4"/>
      <c r="D219" s="135"/>
      <c r="E219" s="4"/>
      <c r="F219" s="4"/>
      <c r="G219" s="137"/>
      <c r="H219" s="136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135"/>
      <c r="B220" s="4"/>
      <c r="C220" s="4"/>
      <c r="D220" s="135"/>
      <c r="E220" s="4"/>
      <c r="F220" s="4"/>
      <c r="G220" s="137"/>
      <c r="H220" s="136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135"/>
      <c r="B221" s="4"/>
      <c r="C221" s="4"/>
      <c r="D221" s="135"/>
      <c r="E221" s="4"/>
      <c r="F221" s="4"/>
      <c r="G221" s="137"/>
      <c r="H221" s="136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135"/>
      <c r="B222" s="4"/>
      <c r="C222" s="4"/>
      <c r="D222" s="135"/>
      <c r="E222" s="4"/>
      <c r="F222" s="4"/>
      <c r="G222" s="137"/>
      <c r="H222" s="136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135"/>
      <c r="B223" s="4"/>
      <c r="C223" s="4"/>
      <c r="D223" s="135"/>
      <c r="E223" s="4"/>
      <c r="F223" s="4"/>
      <c r="G223" s="137"/>
      <c r="H223" s="136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135"/>
      <c r="B224" s="4"/>
      <c r="C224" s="4"/>
      <c r="D224" s="135"/>
      <c r="E224" s="4"/>
      <c r="F224" s="4"/>
      <c r="G224" s="137"/>
      <c r="H224" s="136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135"/>
      <c r="B225" s="4"/>
      <c r="C225" s="4"/>
      <c r="D225" s="135"/>
      <c r="E225" s="4"/>
      <c r="F225" s="4"/>
      <c r="G225" s="137"/>
      <c r="H225" s="136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135"/>
      <c r="B226" s="4"/>
      <c r="C226" s="4"/>
      <c r="D226" s="135"/>
      <c r="E226" s="4"/>
      <c r="F226" s="4"/>
      <c r="G226" s="137"/>
      <c r="H226" s="136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135"/>
      <c r="B227" s="4"/>
      <c r="C227" s="4"/>
      <c r="D227" s="135"/>
      <c r="E227" s="4"/>
      <c r="F227" s="4"/>
      <c r="G227" s="137"/>
      <c r="H227" s="136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135"/>
      <c r="B228" s="4"/>
      <c r="C228" s="4"/>
      <c r="D228" s="135"/>
      <c r="E228" s="4"/>
      <c r="F228" s="4"/>
      <c r="G228" s="137"/>
      <c r="H228" s="136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135"/>
      <c r="B229" s="4"/>
      <c r="C229" s="4"/>
      <c r="D229" s="135"/>
      <c r="E229" s="4"/>
      <c r="F229" s="4"/>
      <c r="G229" s="137"/>
      <c r="H229" s="136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135"/>
      <c r="B230" s="4"/>
      <c r="C230" s="4"/>
      <c r="D230" s="135"/>
      <c r="E230" s="4"/>
      <c r="F230" s="4"/>
      <c r="G230" s="137"/>
      <c r="H230" s="136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135"/>
      <c r="B231" s="4"/>
      <c r="C231" s="4"/>
      <c r="D231" s="135"/>
      <c r="E231" s="4"/>
      <c r="F231" s="4"/>
      <c r="G231" s="137"/>
      <c r="H231" s="136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135"/>
      <c r="B232" s="4"/>
      <c r="C232" s="4"/>
      <c r="D232" s="135"/>
      <c r="E232" s="4"/>
      <c r="F232" s="4"/>
      <c r="G232" s="137"/>
      <c r="H232" s="136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135"/>
      <c r="B233" s="4"/>
      <c r="C233" s="4"/>
      <c r="D233" s="135"/>
      <c r="E233" s="4"/>
      <c r="F233" s="4"/>
      <c r="G233" s="137"/>
      <c r="H233" s="136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135"/>
      <c r="B234" s="4"/>
      <c r="C234" s="4"/>
      <c r="D234" s="135"/>
      <c r="E234" s="4"/>
      <c r="F234" s="4"/>
      <c r="G234" s="137"/>
      <c r="H234" s="136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135"/>
      <c r="B235" s="4"/>
      <c r="C235" s="4"/>
      <c r="D235" s="135"/>
      <c r="E235" s="4"/>
      <c r="F235" s="4"/>
      <c r="G235" s="137"/>
      <c r="H235" s="136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135"/>
      <c r="B236" s="4"/>
      <c r="C236" s="4"/>
      <c r="D236" s="135"/>
      <c r="E236" s="4"/>
      <c r="F236" s="4"/>
      <c r="G236" s="137"/>
      <c r="H236" s="136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135"/>
      <c r="B237" s="4"/>
      <c r="C237" s="4"/>
      <c r="D237" s="135"/>
      <c r="E237" s="4"/>
      <c r="F237" s="4"/>
      <c r="G237" s="137"/>
      <c r="H237" s="136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135"/>
      <c r="B238" s="4"/>
      <c r="C238" s="4"/>
      <c r="D238" s="135"/>
      <c r="E238" s="4"/>
      <c r="F238" s="4"/>
      <c r="G238" s="137"/>
      <c r="H238" s="136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135"/>
      <c r="B239" s="4"/>
      <c r="C239" s="4"/>
      <c r="D239" s="135"/>
      <c r="E239" s="4"/>
      <c r="F239" s="4"/>
      <c r="G239" s="137"/>
      <c r="H239" s="136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135"/>
      <c r="B240" s="4"/>
      <c r="C240" s="4"/>
      <c r="D240" s="135"/>
      <c r="E240" s="4"/>
      <c r="F240" s="4"/>
      <c r="G240" s="137"/>
      <c r="H240" s="136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135"/>
      <c r="B241" s="4"/>
      <c r="C241" s="4"/>
      <c r="D241" s="135"/>
      <c r="E241" s="4"/>
      <c r="F241" s="4"/>
      <c r="G241" s="137"/>
      <c r="H241" s="136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135"/>
      <c r="B242" s="4"/>
      <c r="C242" s="4"/>
      <c r="D242" s="135"/>
      <c r="E242" s="4"/>
      <c r="F242" s="4"/>
      <c r="G242" s="137"/>
      <c r="H242" s="136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135"/>
      <c r="B243" s="4"/>
      <c r="C243" s="4"/>
      <c r="D243" s="135"/>
      <c r="E243" s="4"/>
      <c r="F243" s="4"/>
      <c r="G243" s="137"/>
      <c r="H243" s="136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135"/>
      <c r="B244" s="4"/>
      <c r="C244" s="4"/>
      <c r="D244" s="135"/>
      <c r="E244" s="4"/>
      <c r="F244" s="4"/>
      <c r="G244" s="137"/>
      <c r="H244" s="136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135"/>
      <c r="B245" s="4"/>
      <c r="C245" s="4"/>
      <c r="D245" s="135"/>
      <c r="E245" s="4"/>
      <c r="F245" s="4"/>
      <c r="G245" s="137"/>
      <c r="H245" s="136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135"/>
      <c r="B246" s="4"/>
      <c r="C246" s="4"/>
      <c r="D246" s="135"/>
      <c r="E246" s="4"/>
      <c r="F246" s="4"/>
      <c r="G246" s="137"/>
      <c r="H246" s="136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135"/>
      <c r="B247" s="4"/>
      <c r="C247" s="4"/>
      <c r="D247" s="135"/>
      <c r="E247" s="4"/>
      <c r="F247" s="4"/>
      <c r="G247" s="137"/>
      <c r="H247" s="136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135"/>
      <c r="B248" s="4"/>
      <c r="C248" s="4"/>
      <c r="D248" s="135"/>
      <c r="E248" s="4"/>
      <c r="F248" s="4"/>
      <c r="G248" s="137"/>
      <c r="H248" s="136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135"/>
      <c r="B249" s="4"/>
      <c r="C249" s="4"/>
      <c r="D249" s="135"/>
      <c r="E249" s="4"/>
      <c r="F249" s="4"/>
      <c r="G249" s="137"/>
      <c r="H249" s="136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135"/>
      <c r="B250" s="4"/>
      <c r="C250" s="4"/>
      <c r="D250" s="135"/>
      <c r="E250" s="4"/>
      <c r="F250" s="4"/>
      <c r="G250" s="137"/>
      <c r="H250" s="136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135"/>
      <c r="B251" s="4"/>
      <c r="C251" s="4"/>
      <c r="D251" s="135"/>
      <c r="E251" s="4"/>
      <c r="F251" s="4"/>
      <c r="G251" s="137"/>
      <c r="H251" s="136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135"/>
      <c r="B252" s="4"/>
      <c r="C252" s="4"/>
      <c r="D252" s="135"/>
      <c r="E252" s="4"/>
      <c r="F252" s="4"/>
      <c r="G252" s="137"/>
      <c r="H252" s="136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135"/>
      <c r="B253" s="4"/>
      <c r="C253" s="4"/>
      <c r="D253" s="135"/>
      <c r="E253" s="4"/>
      <c r="F253" s="4"/>
      <c r="G253" s="137"/>
      <c r="H253" s="136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135"/>
      <c r="B254" s="4"/>
      <c r="C254" s="4"/>
      <c r="D254" s="135"/>
      <c r="E254" s="4"/>
      <c r="F254" s="4"/>
      <c r="G254" s="137"/>
      <c r="H254" s="136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135"/>
      <c r="B255" s="4"/>
      <c r="C255" s="4"/>
      <c r="D255" s="135"/>
      <c r="E255" s="4"/>
      <c r="F255" s="4"/>
      <c r="G255" s="137"/>
      <c r="H255" s="136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135"/>
      <c r="B256" s="4"/>
      <c r="C256" s="4"/>
      <c r="D256" s="135"/>
      <c r="E256" s="4"/>
      <c r="F256" s="4"/>
      <c r="G256" s="137"/>
      <c r="H256" s="136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135"/>
      <c r="B257" s="4"/>
      <c r="C257" s="4"/>
      <c r="D257" s="135"/>
      <c r="E257" s="4"/>
      <c r="F257" s="4"/>
      <c r="G257" s="137"/>
      <c r="H257" s="136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135"/>
      <c r="B258" s="4"/>
      <c r="C258" s="4"/>
      <c r="D258" s="135"/>
      <c r="E258" s="4"/>
      <c r="F258" s="4"/>
      <c r="G258" s="137"/>
      <c r="H258" s="136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135"/>
      <c r="B259" s="4"/>
      <c r="C259" s="4"/>
      <c r="D259" s="135"/>
      <c r="E259" s="4"/>
      <c r="F259" s="4"/>
      <c r="G259" s="137"/>
      <c r="H259" s="13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135"/>
      <c r="B260" s="4"/>
      <c r="C260" s="4"/>
      <c r="D260" s="135"/>
      <c r="E260" s="4"/>
      <c r="F260" s="4"/>
      <c r="G260" s="137"/>
      <c r="H260" s="136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135"/>
      <c r="B261" s="4"/>
      <c r="C261" s="4"/>
      <c r="D261" s="135"/>
      <c r="E261" s="4"/>
      <c r="F261" s="4"/>
      <c r="G261" s="137"/>
      <c r="H261" s="136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135"/>
      <c r="B262" s="4"/>
      <c r="C262" s="4"/>
      <c r="D262" s="135"/>
      <c r="E262" s="4"/>
      <c r="F262" s="4"/>
      <c r="G262" s="137"/>
      <c r="H262" s="136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135"/>
      <c r="B263" s="4"/>
      <c r="C263" s="4"/>
      <c r="D263" s="135"/>
      <c r="E263" s="4"/>
      <c r="F263" s="4"/>
      <c r="G263" s="137"/>
      <c r="H263" s="136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135"/>
      <c r="B264" s="4"/>
      <c r="C264" s="4"/>
      <c r="D264" s="135"/>
      <c r="E264" s="4"/>
      <c r="F264" s="4"/>
      <c r="G264" s="137"/>
      <c r="H264" s="136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135"/>
      <c r="B265" s="4"/>
      <c r="C265" s="4"/>
      <c r="D265" s="135"/>
      <c r="E265" s="4"/>
      <c r="F265" s="4"/>
      <c r="G265" s="137"/>
      <c r="H265" s="136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135"/>
      <c r="B266" s="4"/>
      <c r="C266" s="4"/>
      <c r="D266" s="135"/>
      <c r="E266" s="4"/>
      <c r="F266" s="4"/>
      <c r="G266" s="137"/>
      <c r="H266" s="136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135"/>
      <c r="B267" s="4"/>
      <c r="C267" s="4"/>
      <c r="D267" s="135"/>
      <c r="E267" s="4"/>
      <c r="F267" s="4"/>
      <c r="G267" s="137"/>
      <c r="H267" s="136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135"/>
      <c r="B268" s="4"/>
      <c r="C268" s="4"/>
      <c r="D268" s="135"/>
      <c r="E268" s="4"/>
      <c r="F268" s="4"/>
      <c r="G268" s="137"/>
      <c r="H268" s="136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135"/>
      <c r="B269" s="4"/>
      <c r="C269" s="4"/>
      <c r="D269" s="135"/>
      <c r="E269" s="4"/>
      <c r="F269" s="4"/>
      <c r="G269" s="137"/>
      <c r="H269" s="136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135"/>
      <c r="B270" s="4"/>
      <c r="C270" s="4"/>
      <c r="D270" s="135"/>
      <c r="E270" s="4"/>
      <c r="F270" s="4"/>
      <c r="G270" s="137"/>
      <c r="H270" s="136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35"/>
      <c r="B271" s="4"/>
      <c r="C271" s="4"/>
      <c r="D271" s="135"/>
      <c r="E271" s="4"/>
      <c r="F271" s="4"/>
      <c r="G271" s="137"/>
      <c r="H271" s="136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35"/>
      <c r="B272" s="4"/>
      <c r="C272" s="4"/>
      <c r="D272" s="135"/>
      <c r="E272" s="4"/>
      <c r="F272" s="4"/>
      <c r="G272" s="137"/>
      <c r="H272" s="136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35"/>
      <c r="B273" s="4"/>
      <c r="C273" s="4"/>
      <c r="D273" s="135"/>
      <c r="E273" s="4"/>
      <c r="F273" s="4"/>
      <c r="G273" s="137"/>
      <c r="H273" s="136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35"/>
      <c r="B274" s="4"/>
      <c r="C274" s="4"/>
      <c r="D274" s="135"/>
      <c r="E274" s="4"/>
      <c r="F274" s="4"/>
      <c r="G274" s="137"/>
      <c r="H274" s="136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135"/>
      <c r="B275" s="4"/>
      <c r="C275" s="4"/>
      <c r="D275" s="135"/>
      <c r="E275" s="4"/>
      <c r="F275" s="4"/>
      <c r="G275" s="137"/>
      <c r="H275" s="136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135"/>
      <c r="B276" s="4"/>
      <c r="C276" s="4"/>
      <c r="D276" s="135"/>
      <c r="E276" s="4"/>
      <c r="F276" s="4"/>
      <c r="G276" s="137"/>
      <c r="H276" s="136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135"/>
      <c r="B277" s="4"/>
      <c r="C277" s="4"/>
      <c r="D277" s="135"/>
      <c r="E277" s="4"/>
      <c r="F277" s="4"/>
      <c r="G277" s="137"/>
      <c r="H277" s="136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135"/>
      <c r="B278" s="4"/>
      <c r="C278" s="4"/>
      <c r="D278" s="135"/>
      <c r="E278" s="4"/>
      <c r="F278" s="4"/>
      <c r="G278" s="137"/>
      <c r="H278" s="136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135"/>
      <c r="B279" s="4"/>
      <c r="C279" s="4"/>
      <c r="D279" s="135"/>
      <c r="E279" s="4"/>
      <c r="F279" s="4"/>
      <c r="G279" s="137"/>
      <c r="H279" s="136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135"/>
      <c r="B280" s="4"/>
      <c r="C280" s="4"/>
      <c r="D280" s="135"/>
      <c r="E280" s="4"/>
      <c r="F280" s="4"/>
      <c r="G280" s="137"/>
      <c r="H280" s="136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135"/>
      <c r="B281" s="4"/>
      <c r="C281" s="4"/>
      <c r="D281" s="135"/>
      <c r="E281" s="4"/>
      <c r="F281" s="4"/>
      <c r="G281" s="137"/>
      <c r="H281" s="136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135"/>
      <c r="B282" s="4"/>
      <c r="C282" s="4"/>
      <c r="D282" s="135"/>
      <c r="E282" s="4"/>
      <c r="F282" s="4"/>
      <c r="G282" s="137"/>
      <c r="H282" s="136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135"/>
      <c r="B283" s="4"/>
      <c r="C283" s="4"/>
      <c r="D283" s="135"/>
      <c r="E283" s="4"/>
      <c r="F283" s="4"/>
      <c r="G283" s="137"/>
      <c r="H283" s="136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135"/>
      <c r="B284" s="4"/>
      <c r="C284" s="4"/>
      <c r="D284" s="135"/>
      <c r="E284" s="4"/>
      <c r="F284" s="4"/>
      <c r="G284" s="137"/>
      <c r="H284" s="136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135"/>
      <c r="B285" s="4"/>
      <c r="C285" s="4"/>
      <c r="D285" s="135"/>
      <c r="E285" s="4"/>
      <c r="F285" s="4"/>
      <c r="G285" s="137"/>
      <c r="H285" s="136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135"/>
      <c r="B286" s="4"/>
      <c r="C286" s="4"/>
      <c r="D286" s="135"/>
      <c r="E286" s="4"/>
      <c r="F286" s="4"/>
      <c r="G286" s="137"/>
      <c r="H286" s="136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135"/>
      <c r="B287" s="4"/>
      <c r="C287" s="4"/>
      <c r="D287" s="135"/>
      <c r="E287" s="4"/>
      <c r="F287" s="4"/>
      <c r="G287" s="137"/>
      <c r="H287" s="136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135"/>
      <c r="B288" s="4"/>
      <c r="C288" s="4"/>
      <c r="D288" s="135"/>
      <c r="E288" s="4"/>
      <c r="F288" s="4"/>
      <c r="G288" s="137"/>
      <c r="H288" s="136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135"/>
      <c r="B289" s="4"/>
      <c r="C289" s="4"/>
      <c r="D289" s="135"/>
      <c r="E289" s="4"/>
      <c r="F289" s="4"/>
      <c r="G289" s="137"/>
      <c r="H289" s="136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135"/>
      <c r="B290" s="4"/>
      <c r="C290" s="4"/>
      <c r="D290" s="135"/>
      <c r="E290" s="4"/>
      <c r="F290" s="4"/>
      <c r="G290" s="137"/>
      <c r="H290" s="136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135"/>
      <c r="B291" s="4"/>
      <c r="C291" s="4"/>
      <c r="D291" s="135"/>
      <c r="E291" s="4"/>
      <c r="F291" s="4"/>
      <c r="G291" s="137"/>
      <c r="H291" s="136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135"/>
      <c r="B292" s="4"/>
      <c r="C292" s="4"/>
      <c r="D292" s="135"/>
      <c r="E292" s="4"/>
      <c r="F292" s="4"/>
      <c r="G292" s="137"/>
      <c r="H292" s="136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135"/>
      <c r="B293" s="4"/>
      <c r="C293" s="4"/>
      <c r="D293" s="135"/>
      <c r="E293" s="4"/>
      <c r="F293" s="4"/>
      <c r="G293" s="137"/>
      <c r="H293" s="136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135"/>
      <c r="B294" s="4"/>
      <c r="C294" s="4"/>
      <c r="D294" s="135"/>
      <c r="E294" s="4"/>
      <c r="F294" s="4"/>
      <c r="G294" s="137"/>
      <c r="H294" s="136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135"/>
      <c r="B295" s="4"/>
      <c r="C295" s="4"/>
      <c r="D295" s="135"/>
      <c r="E295" s="4"/>
      <c r="F295" s="4"/>
      <c r="G295" s="137"/>
      <c r="H295" s="136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135"/>
      <c r="B296" s="4"/>
      <c r="C296" s="4"/>
      <c r="D296" s="135"/>
      <c r="E296" s="4"/>
      <c r="F296" s="4"/>
      <c r="G296" s="137"/>
      <c r="H296" s="136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135"/>
      <c r="B297" s="4"/>
      <c r="C297" s="4"/>
      <c r="D297" s="135"/>
      <c r="E297" s="4"/>
      <c r="F297" s="4"/>
      <c r="G297" s="137"/>
      <c r="H297" s="136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135"/>
      <c r="B298" s="4"/>
      <c r="C298" s="4"/>
      <c r="D298" s="135"/>
      <c r="E298" s="4"/>
      <c r="F298" s="4"/>
      <c r="G298" s="137"/>
      <c r="H298" s="136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135"/>
      <c r="B299" s="4"/>
      <c r="C299" s="4"/>
      <c r="D299" s="135"/>
      <c r="E299" s="4"/>
      <c r="F299" s="4"/>
      <c r="G299" s="137"/>
      <c r="H299" s="136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135"/>
      <c r="B300" s="4"/>
      <c r="C300" s="4"/>
      <c r="D300" s="135"/>
      <c r="E300" s="4"/>
      <c r="F300" s="4"/>
      <c r="G300" s="137"/>
      <c r="H300" s="136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135"/>
      <c r="B301" s="4"/>
      <c r="C301" s="4"/>
      <c r="D301" s="135"/>
      <c r="E301" s="4"/>
      <c r="F301" s="4"/>
      <c r="G301" s="137"/>
      <c r="H301" s="136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135"/>
      <c r="B302" s="4"/>
      <c r="C302" s="4"/>
      <c r="D302" s="135"/>
      <c r="E302" s="4"/>
      <c r="F302" s="4"/>
      <c r="G302" s="137"/>
      <c r="H302" s="136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135"/>
      <c r="B303" s="4"/>
      <c r="C303" s="4"/>
      <c r="D303" s="135"/>
      <c r="E303" s="4"/>
      <c r="F303" s="4"/>
      <c r="G303" s="137"/>
      <c r="H303" s="136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135"/>
      <c r="B304" s="4"/>
      <c r="C304" s="4"/>
      <c r="D304" s="135"/>
      <c r="E304" s="4"/>
      <c r="F304" s="4"/>
      <c r="G304" s="137"/>
      <c r="H304" s="136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135"/>
      <c r="B305" s="4"/>
      <c r="C305" s="4"/>
      <c r="D305" s="135"/>
      <c r="E305" s="4"/>
      <c r="F305" s="4"/>
      <c r="G305" s="137"/>
      <c r="H305" s="136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135"/>
      <c r="B306" s="4"/>
      <c r="C306" s="4"/>
      <c r="D306" s="135"/>
      <c r="E306" s="4"/>
      <c r="F306" s="4"/>
      <c r="G306" s="137"/>
      <c r="H306" s="136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135"/>
      <c r="B307" s="4"/>
      <c r="C307" s="4"/>
      <c r="D307" s="135"/>
      <c r="E307" s="4"/>
      <c r="F307" s="4"/>
      <c r="G307" s="137"/>
      <c r="H307" s="136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135"/>
      <c r="B308" s="4"/>
      <c r="C308" s="4"/>
      <c r="D308" s="135"/>
      <c r="E308" s="4"/>
      <c r="F308" s="4"/>
      <c r="G308" s="137"/>
      <c r="H308" s="136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135"/>
      <c r="B309" s="4"/>
      <c r="C309" s="4"/>
      <c r="D309" s="135"/>
      <c r="E309" s="4"/>
      <c r="F309" s="4"/>
      <c r="G309" s="137"/>
      <c r="H309" s="136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135"/>
      <c r="B310" s="4"/>
      <c r="C310" s="4"/>
      <c r="D310" s="135"/>
      <c r="E310" s="4"/>
      <c r="F310" s="4"/>
      <c r="G310" s="137"/>
      <c r="H310" s="136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135"/>
      <c r="B311" s="4"/>
      <c r="C311" s="4"/>
      <c r="D311" s="135"/>
      <c r="E311" s="4"/>
      <c r="F311" s="4"/>
      <c r="G311" s="137"/>
      <c r="H311" s="136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135"/>
      <c r="B312" s="4"/>
      <c r="C312" s="4"/>
      <c r="D312" s="135"/>
      <c r="E312" s="4"/>
      <c r="F312" s="4"/>
      <c r="G312" s="137"/>
      <c r="H312" s="136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135"/>
      <c r="B313" s="4"/>
      <c r="C313" s="4"/>
      <c r="D313" s="135"/>
      <c r="E313" s="4"/>
      <c r="F313" s="4"/>
      <c r="G313" s="137"/>
      <c r="H313" s="136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135"/>
      <c r="B314" s="4"/>
      <c r="C314" s="4"/>
      <c r="D314" s="135"/>
      <c r="E314" s="4"/>
      <c r="F314" s="4"/>
      <c r="G314" s="137"/>
      <c r="H314" s="136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135"/>
      <c r="B315" s="4"/>
      <c r="C315" s="4"/>
      <c r="D315" s="135"/>
      <c r="E315" s="4"/>
      <c r="F315" s="4"/>
      <c r="G315" s="137"/>
      <c r="H315" s="136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135"/>
      <c r="B316" s="4"/>
      <c r="C316" s="4"/>
      <c r="D316" s="135"/>
      <c r="E316" s="4"/>
      <c r="F316" s="4"/>
      <c r="G316" s="137"/>
      <c r="H316" s="136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135"/>
      <c r="B317" s="4"/>
      <c r="C317" s="4"/>
      <c r="D317" s="135"/>
      <c r="E317" s="4"/>
      <c r="F317" s="4"/>
      <c r="G317" s="137"/>
      <c r="H317" s="136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135"/>
      <c r="B318" s="4"/>
      <c r="C318" s="4"/>
      <c r="D318" s="135"/>
      <c r="E318" s="4"/>
      <c r="F318" s="4"/>
      <c r="G318" s="137"/>
      <c r="H318" s="136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135"/>
      <c r="B319" s="4"/>
      <c r="C319" s="4"/>
      <c r="D319" s="135"/>
      <c r="E319" s="4"/>
      <c r="F319" s="4"/>
      <c r="G319" s="137"/>
      <c r="H319" s="136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135"/>
      <c r="B320" s="4"/>
      <c r="C320" s="4"/>
      <c r="D320" s="135"/>
      <c r="E320" s="4"/>
      <c r="F320" s="4"/>
      <c r="G320" s="137"/>
      <c r="H320" s="136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135"/>
      <c r="B321" s="4"/>
      <c r="C321" s="4"/>
      <c r="D321" s="135"/>
      <c r="E321" s="4"/>
      <c r="F321" s="4"/>
      <c r="G321" s="137"/>
      <c r="H321" s="136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135"/>
      <c r="B322" s="4"/>
      <c r="C322" s="4"/>
      <c r="D322" s="135"/>
      <c r="E322" s="4"/>
      <c r="F322" s="4"/>
      <c r="G322" s="137"/>
      <c r="H322" s="136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135"/>
      <c r="B323" s="4"/>
      <c r="C323" s="4"/>
      <c r="D323" s="135"/>
      <c r="E323" s="4"/>
      <c r="F323" s="4"/>
      <c r="G323" s="137"/>
      <c r="H323" s="136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135"/>
      <c r="B324" s="4"/>
      <c r="C324" s="4"/>
      <c r="D324" s="135"/>
      <c r="E324" s="4"/>
      <c r="F324" s="4"/>
      <c r="G324" s="137"/>
      <c r="H324" s="136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135"/>
      <c r="B325" s="4"/>
      <c r="C325" s="4"/>
      <c r="D325" s="135"/>
      <c r="E325" s="4"/>
      <c r="F325" s="4"/>
      <c r="G325" s="137"/>
      <c r="H325" s="136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135"/>
      <c r="B326" s="4"/>
      <c r="C326" s="4"/>
      <c r="D326" s="135"/>
      <c r="E326" s="4"/>
      <c r="F326" s="4"/>
      <c r="G326" s="137"/>
      <c r="H326" s="136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135"/>
      <c r="B327" s="4"/>
      <c r="C327" s="4"/>
      <c r="D327" s="135"/>
      <c r="E327" s="4"/>
      <c r="F327" s="4"/>
      <c r="G327" s="137"/>
      <c r="H327" s="136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135"/>
      <c r="B328" s="4"/>
      <c r="C328" s="4"/>
      <c r="D328" s="135"/>
      <c r="E328" s="4"/>
      <c r="F328" s="4"/>
      <c r="G328" s="137"/>
      <c r="H328" s="136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135"/>
      <c r="B329" s="4"/>
      <c r="C329" s="4"/>
      <c r="D329" s="135"/>
      <c r="E329" s="4"/>
      <c r="F329" s="4"/>
      <c r="G329" s="137"/>
      <c r="H329" s="136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135"/>
      <c r="B330" s="4"/>
      <c r="C330" s="4"/>
      <c r="D330" s="135"/>
      <c r="E330" s="4"/>
      <c r="F330" s="4"/>
      <c r="G330" s="137"/>
      <c r="H330" s="136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135"/>
      <c r="B331" s="4"/>
      <c r="C331" s="4"/>
      <c r="D331" s="135"/>
      <c r="E331" s="4"/>
      <c r="F331" s="4"/>
      <c r="G331" s="137"/>
      <c r="H331" s="136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135"/>
      <c r="B332" s="4"/>
      <c r="C332" s="4"/>
      <c r="D332" s="135"/>
      <c r="E332" s="4"/>
      <c r="F332" s="4"/>
      <c r="G332" s="137"/>
      <c r="H332" s="136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135"/>
      <c r="B333" s="4"/>
      <c r="C333" s="4"/>
      <c r="D333" s="135"/>
      <c r="E333" s="4"/>
      <c r="F333" s="4"/>
      <c r="G333" s="137"/>
      <c r="H333" s="136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135"/>
      <c r="B334" s="4"/>
      <c r="C334" s="4"/>
      <c r="D334" s="135"/>
      <c r="E334" s="4"/>
      <c r="F334" s="4"/>
      <c r="G334" s="137"/>
      <c r="H334" s="136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135"/>
      <c r="B335" s="4"/>
      <c r="C335" s="4"/>
      <c r="D335" s="135"/>
      <c r="E335" s="4"/>
      <c r="F335" s="4"/>
      <c r="G335" s="137"/>
      <c r="H335" s="136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135"/>
      <c r="B336" s="4"/>
      <c r="C336" s="4"/>
      <c r="D336" s="135"/>
      <c r="E336" s="4"/>
      <c r="F336" s="4"/>
      <c r="G336" s="137"/>
      <c r="H336" s="136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135"/>
      <c r="B337" s="4"/>
      <c r="C337" s="4"/>
      <c r="D337" s="135"/>
      <c r="E337" s="4"/>
      <c r="F337" s="4"/>
      <c r="G337" s="137"/>
      <c r="H337" s="136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135"/>
      <c r="B338" s="4"/>
      <c r="C338" s="4"/>
      <c r="D338" s="135"/>
      <c r="E338" s="4"/>
      <c r="F338" s="4"/>
      <c r="G338" s="137"/>
      <c r="H338" s="136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135"/>
      <c r="B339" s="4"/>
      <c r="C339" s="4"/>
      <c r="D339" s="135"/>
      <c r="E339" s="4"/>
      <c r="F339" s="4"/>
      <c r="G339" s="137"/>
      <c r="H339" s="136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135"/>
      <c r="B340" s="4"/>
      <c r="C340" s="4"/>
      <c r="D340" s="135"/>
      <c r="E340" s="4"/>
      <c r="F340" s="4"/>
      <c r="G340" s="137"/>
      <c r="H340" s="136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135"/>
      <c r="B341" s="4"/>
      <c r="C341" s="4"/>
      <c r="D341" s="135"/>
      <c r="E341" s="4"/>
      <c r="F341" s="4"/>
      <c r="G341" s="137"/>
      <c r="H341" s="136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135"/>
      <c r="B342" s="4"/>
      <c r="C342" s="4"/>
      <c r="D342" s="135"/>
      <c r="E342" s="4"/>
      <c r="F342" s="4"/>
      <c r="G342" s="137"/>
      <c r="H342" s="136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135"/>
      <c r="B343" s="4"/>
      <c r="C343" s="4"/>
      <c r="D343" s="135"/>
      <c r="E343" s="4"/>
      <c r="F343" s="4"/>
      <c r="G343" s="137"/>
      <c r="H343" s="136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135"/>
      <c r="B344" s="4"/>
      <c r="C344" s="4"/>
      <c r="D344" s="135"/>
      <c r="E344" s="4"/>
      <c r="F344" s="4"/>
      <c r="G344" s="137"/>
      <c r="H344" s="136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135"/>
      <c r="B345" s="4"/>
      <c r="C345" s="4"/>
      <c r="D345" s="135"/>
      <c r="E345" s="4"/>
      <c r="F345" s="4"/>
      <c r="G345" s="137"/>
      <c r="H345" s="136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135"/>
      <c r="B346" s="4"/>
      <c r="C346" s="4"/>
      <c r="D346" s="135"/>
      <c r="E346" s="4"/>
      <c r="F346" s="4"/>
      <c r="G346" s="137"/>
      <c r="H346" s="136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135"/>
      <c r="B347" s="4"/>
      <c r="C347" s="4"/>
      <c r="D347" s="135"/>
      <c r="E347" s="4"/>
      <c r="F347" s="4"/>
      <c r="G347" s="137"/>
      <c r="H347" s="136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135"/>
      <c r="B348" s="4"/>
      <c r="C348" s="4"/>
      <c r="D348" s="135"/>
      <c r="E348" s="4"/>
      <c r="F348" s="4"/>
      <c r="G348" s="137"/>
      <c r="H348" s="136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135"/>
      <c r="B349" s="4"/>
      <c r="C349" s="4"/>
      <c r="D349" s="135"/>
      <c r="E349" s="4"/>
      <c r="F349" s="4"/>
      <c r="G349" s="137"/>
      <c r="H349" s="136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135"/>
      <c r="B350" s="4"/>
      <c r="C350" s="4"/>
      <c r="D350" s="135"/>
      <c r="E350" s="4"/>
      <c r="F350" s="4"/>
      <c r="G350" s="137"/>
      <c r="H350" s="136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135"/>
      <c r="B351" s="4"/>
      <c r="C351" s="4"/>
      <c r="D351" s="135"/>
      <c r="E351" s="4"/>
      <c r="F351" s="4"/>
      <c r="G351" s="137"/>
      <c r="H351" s="136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135"/>
      <c r="B352" s="4"/>
      <c r="C352" s="4"/>
      <c r="D352" s="135"/>
      <c r="E352" s="4"/>
      <c r="F352" s="4"/>
      <c r="G352" s="137"/>
      <c r="H352" s="136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135"/>
      <c r="B353" s="4"/>
      <c r="C353" s="4"/>
      <c r="D353" s="135"/>
      <c r="E353" s="4"/>
      <c r="F353" s="4"/>
      <c r="G353" s="137"/>
      <c r="H353" s="136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135"/>
      <c r="B354" s="4"/>
      <c r="C354" s="4"/>
      <c r="D354" s="135"/>
      <c r="E354" s="4"/>
      <c r="F354" s="4"/>
      <c r="G354" s="137"/>
      <c r="H354" s="136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135"/>
      <c r="B355" s="4"/>
      <c r="C355" s="4"/>
      <c r="D355" s="135"/>
      <c r="E355" s="4"/>
      <c r="F355" s="4"/>
      <c r="G355" s="137"/>
      <c r="H355" s="136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135"/>
      <c r="B356" s="4"/>
      <c r="C356" s="4"/>
      <c r="D356" s="135"/>
      <c r="E356" s="4"/>
      <c r="F356" s="4"/>
      <c r="G356" s="137"/>
      <c r="H356" s="136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135"/>
      <c r="B357" s="4"/>
      <c r="C357" s="4"/>
      <c r="D357" s="135"/>
      <c r="E357" s="4"/>
      <c r="F357" s="4"/>
      <c r="G357" s="137"/>
      <c r="H357" s="136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135"/>
      <c r="B358" s="4"/>
      <c r="C358" s="4"/>
      <c r="D358" s="135"/>
      <c r="E358" s="4"/>
      <c r="F358" s="4"/>
      <c r="G358" s="137"/>
      <c r="H358" s="136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135"/>
      <c r="B359" s="4"/>
      <c r="C359" s="4"/>
      <c r="D359" s="135"/>
      <c r="E359" s="4"/>
      <c r="F359" s="4"/>
      <c r="G359" s="137"/>
      <c r="H359" s="136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135"/>
      <c r="B360" s="4"/>
      <c r="C360" s="4"/>
      <c r="D360" s="135"/>
      <c r="E360" s="4"/>
      <c r="F360" s="4"/>
      <c r="G360" s="137"/>
      <c r="H360" s="13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135"/>
      <c r="B361" s="4"/>
      <c r="C361" s="4"/>
      <c r="D361" s="135"/>
      <c r="E361" s="4"/>
      <c r="F361" s="4"/>
      <c r="G361" s="137"/>
      <c r="H361" s="136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135"/>
      <c r="B362" s="4"/>
      <c r="C362" s="4"/>
      <c r="D362" s="135"/>
      <c r="E362" s="4"/>
      <c r="F362" s="4"/>
      <c r="G362" s="137"/>
      <c r="H362" s="136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135"/>
      <c r="B363" s="4"/>
      <c r="C363" s="4"/>
      <c r="D363" s="135"/>
      <c r="E363" s="4"/>
      <c r="F363" s="4"/>
      <c r="G363" s="137"/>
      <c r="H363" s="136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135"/>
      <c r="B364" s="4"/>
      <c r="C364" s="4"/>
      <c r="D364" s="135"/>
      <c r="E364" s="4"/>
      <c r="F364" s="4"/>
      <c r="G364" s="137"/>
      <c r="H364" s="136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135"/>
      <c r="B365" s="4"/>
      <c r="C365" s="4"/>
      <c r="D365" s="135"/>
      <c r="E365" s="4"/>
      <c r="F365" s="4"/>
      <c r="G365" s="137"/>
      <c r="H365" s="136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135"/>
      <c r="B366" s="4"/>
      <c r="C366" s="4"/>
      <c r="D366" s="135"/>
      <c r="E366" s="4"/>
      <c r="F366" s="4"/>
      <c r="G366" s="137"/>
      <c r="H366" s="136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135"/>
      <c r="B367" s="4"/>
      <c r="C367" s="4"/>
      <c r="D367" s="135"/>
      <c r="E367" s="4"/>
      <c r="F367" s="4"/>
      <c r="G367" s="137"/>
      <c r="H367" s="136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135"/>
      <c r="B368" s="4"/>
      <c r="C368" s="4"/>
      <c r="D368" s="135"/>
      <c r="E368" s="4"/>
      <c r="F368" s="4"/>
      <c r="G368" s="137"/>
      <c r="H368" s="136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135"/>
      <c r="B369" s="4"/>
      <c r="C369" s="4"/>
      <c r="D369" s="135"/>
      <c r="E369" s="4"/>
      <c r="F369" s="4"/>
      <c r="G369" s="137"/>
      <c r="H369" s="136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135"/>
      <c r="B370" s="4"/>
      <c r="C370" s="4"/>
      <c r="D370" s="135"/>
      <c r="E370" s="4"/>
      <c r="F370" s="4"/>
      <c r="G370" s="137"/>
      <c r="H370" s="136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135"/>
      <c r="B371" s="4"/>
      <c r="C371" s="4"/>
      <c r="D371" s="135"/>
      <c r="E371" s="4"/>
      <c r="F371" s="4"/>
      <c r="G371" s="137"/>
      <c r="H371" s="136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135"/>
      <c r="B372" s="4"/>
      <c r="C372" s="4"/>
      <c r="D372" s="135"/>
      <c r="E372" s="4"/>
      <c r="F372" s="4"/>
      <c r="G372" s="137"/>
      <c r="H372" s="136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135"/>
      <c r="B373" s="4"/>
      <c r="C373" s="4"/>
      <c r="D373" s="135"/>
      <c r="E373" s="4"/>
      <c r="F373" s="4"/>
      <c r="G373" s="137"/>
      <c r="H373" s="136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135"/>
      <c r="B374" s="4"/>
      <c r="C374" s="4"/>
      <c r="D374" s="135"/>
      <c r="E374" s="4"/>
      <c r="F374" s="4"/>
      <c r="G374" s="137"/>
      <c r="H374" s="136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135"/>
      <c r="B375" s="4"/>
      <c r="C375" s="4"/>
      <c r="D375" s="135"/>
      <c r="E375" s="4"/>
      <c r="F375" s="4"/>
      <c r="G375" s="137"/>
      <c r="H375" s="136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135"/>
      <c r="B376" s="4"/>
      <c r="C376" s="4"/>
      <c r="D376" s="135"/>
      <c r="E376" s="4"/>
      <c r="F376" s="4"/>
      <c r="G376" s="137"/>
      <c r="H376" s="136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135"/>
      <c r="B377" s="4"/>
      <c r="C377" s="4"/>
      <c r="D377" s="135"/>
      <c r="E377" s="4"/>
      <c r="F377" s="4"/>
      <c r="G377" s="137"/>
      <c r="H377" s="136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135"/>
      <c r="B378" s="4"/>
      <c r="C378" s="4"/>
      <c r="D378" s="135"/>
      <c r="E378" s="4"/>
      <c r="F378" s="4"/>
      <c r="G378" s="137"/>
      <c r="H378" s="136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135"/>
      <c r="B379" s="4"/>
      <c r="C379" s="4"/>
      <c r="D379" s="135"/>
      <c r="E379" s="4"/>
      <c r="F379" s="4"/>
      <c r="G379" s="137"/>
      <c r="H379" s="136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135"/>
      <c r="B380" s="4"/>
      <c r="C380" s="4"/>
      <c r="D380" s="135"/>
      <c r="E380" s="4"/>
      <c r="F380" s="4"/>
      <c r="G380" s="137"/>
      <c r="H380" s="136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135"/>
      <c r="B381" s="4"/>
      <c r="C381" s="4"/>
      <c r="D381" s="135"/>
      <c r="E381" s="4"/>
      <c r="F381" s="4"/>
      <c r="G381" s="137"/>
      <c r="H381" s="136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135"/>
      <c r="B382" s="4"/>
      <c r="C382" s="4"/>
      <c r="D382" s="135"/>
      <c r="E382" s="4"/>
      <c r="F382" s="4"/>
      <c r="G382" s="137"/>
      <c r="H382" s="136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135"/>
      <c r="B383" s="4"/>
      <c r="C383" s="4"/>
      <c r="D383" s="135"/>
      <c r="E383" s="4"/>
      <c r="F383" s="4"/>
      <c r="G383" s="137"/>
      <c r="H383" s="136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135"/>
      <c r="B384" s="4"/>
      <c r="C384" s="4"/>
      <c r="D384" s="135"/>
      <c r="E384" s="4"/>
      <c r="F384" s="4"/>
      <c r="G384" s="137"/>
      <c r="H384" s="136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135"/>
      <c r="B385" s="4"/>
      <c r="C385" s="4"/>
      <c r="D385" s="135"/>
      <c r="E385" s="4"/>
      <c r="F385" s="4"/>
      <c r="G385" s="137"/>
      <c r="H385" s="136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135"/>
      <c r="B386" s="4"/>
      <c r="C386" s="4"/>
      <c r="D386" s="135"/>
      <c r="E386" s="4"/>
      <c r="F386" s="4"/>
      <c r="G386" s="137"/>
      <c r="H386" s="136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135"/>
      <c r="B387" s="4"/>
      <c r="C387" s="4"/>
      <c r="D387" s="135"/>
      <c r="E387" s="4"/>
      <c r="F387" s="4"/>
      <c r="G387" s="137"/>
      <c r="H387" s="136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35"/>
      <c r="B388" s="4"/>
      <c r="C388" s="4"/>
      <c r="D388" s="135"/>
      <c r="E388" s="4"/>
      <c r="F388" s="4"/>
      <c r="G388" s="137"/>
      <c r="H388" s="136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35"/>
      <c r="B389" s="4"/>
      <c r="C389" s="4"/>
      <c r="D389" s="135"/>
      <c r="E389" s="4"/>
      <c r="F389" s="4"/>
      <c r="G389" s="137"/>
      <c r="H389" s="136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35"/>
      <c r="B390" s="4"/>
      <c r="C390" s="4"/>
      <c r="D390" s="135"/>
      <c r="E390" s="4"/>
      <c r="F390" s="4"/>
      <c r="G390" s="137"/>
      <c r="H390" s="136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35"/>
      <c r="B391" s="4"/>
      <c r="C391" s="4"/>
      <c r="D391" s="135"/>
      <c r="E391" s="4"/>
      <c r="F391" s="4"/>
      <c r="G391" s="137"/>
      <c r="H391" s="136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35"/>
      <c r="B392" s="4"/>
      <c r="C392" s="4"/>
      <c r="D392" s="135"/>
      <c r="E392" s="4"/>
      <c r="F392" s="4"/>
      <c r="G392" s="137"/>
      <c r="H392" s="136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35"/>
      <c r="B393" s="4"/>
      <c r="C393" s="4"/>
      <c r="D393" s="135"/>
      <c r="E393" s="4"/>
      <c r="F393" s="4"/>
      <c r="G393" s="137"/>
      <c r="H393" s="136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35"/>
      <c r="B394" s="4"/>
      <c r="C394" s="4"/>
      <c r="D394" s="135"/>
      <c r="E394" s="4"/>
      <c r="F394" s="4"/>
      <c r="G394" s="137"/>
      <c r="H394" s="136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35"/>
      <c r="B395" s="4"/>
      <c r="C395" s="4"/>
      <c r="D395" s="135"/>
      <c r="E395" s="4"/>
      <c r="F395" s="4"/>
      <c r="G395" s="137"/>
      <c r="H395" s="136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35"/>
      <c r="B396" s="4"/>
      <c r="C396" s="4"/>
      <c r="D396" s="135"/>
      <c r="E396" s="4"/>
      <c r="F396" s="4"/>
      <c r="G396" s="137"/>
      <c r="H396" s="136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35"/>
      <c r="B397" s="4"/>
      <c r="C397" s="4"/>
      <c r="D397" s="135"/>
      <c r="E397" s="4"/>
      <c r="F397" s="4"/>
      <c r="G397" s="137"/>
      <c r="H397" s="136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35"/>
      <c r="B398" s="4"/>
      <c r="C398" s="4"/>
      <c r="D398" s="135"/>
      <c r="E398" s="4"/>
      <c r="F398" s="4"/>
      <c r="G398" s="137"/>
      <c r="H398" s="136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35"/>
      <c r="B399" s="4"/>
      <c r="C399" s="4"/>
      <c r="D399" s="135"/>
      <c r="E399" s="4"/>
      <c r="F399" s="4"/>
      <c r="G399" s="137"/>
      <c r="H399" s="136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35"/>
      <c r="B400" s="4"/>
      <c r="C400" s="4"/>
      <c r="D400" s="135"/>
      <c r="E400" s="4"/>
      <c r="F400" s="4"/>
      <c r="G400" s="137"/>
      <c r="H400" s="136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35"/>
      <c r="B401" s="4"/>
      <c r="C401" s="4"/>
      <c r="D401" s="135"/>
      <c r="E401" s="4"/>
      <c r="F401" s="4"/>
      <c r="G401" s="137"/>
      <c r="H401" s="136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35"/>
      <c r="B402" s="4"/>
      <c r="C402" s="4"/>
      <c r="D402" s="135"/>
      <c r="E402" s="4"/>
      <c r="F402" s="4"/>
      <c r="G402" s="137"/>
      <c r="H402" s="136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35"/>
      <c r="B403" s="4"/>
      <c r="C403" s="4"/>
      <c r="D403" s="135"/>
      <c r="E403" s="4"/>
      <c r="F403" s="4"/>
      <c r="G403" s="137"/>
      <c r="H403" s="136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35"/>
      <c r="B404" s="4"/>
      <c r="C404" s="4"/>
      <c r="D404" s="135"/>
      <c r="E404" s="4"/>
      <c r="F404" s="4"/>
      <c r="G404" s="137"/>
      <c r="H404" s="136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35"/>
      <c r="B405" s="4"/>
      <c r="C405" s="4"/>
      <c r="D405" s="135"/>
      <c r="E405" s="4"/>
      <c r="F405" s="4"/>
      <c r="G405" s="137"/>
      <c r="H405" s="136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35"/>
      <c r="B406" s="4"/>
      <c r="C406" s="4"/>
      <c r="D406" s="135"/>
      <c r="E406" s="4"/>
      <c r="F406" s="4"/>
      <c r="G406" s="137"/>
      <c r="H406" s="136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35"/>
      <c r="B407" s="4"/>
      <c r="C407" s="4"/>
      <c r="D407" s="135"/>
      <c r="E407" s="4"/>
      <c r="F407" s="4"/>
      <c r="G407" s="137"/>
      <c r="H407" s="136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35"/>
      <c r="B408" s="4"/>
      <c r="C408" s="4"/>
      <c r="D408" s="135"/>
      <c r="E408" s="4"/>
      <c r="F408" s="4"/>
      <c r="G408" s="137"/>
      <c r="H408" s="136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35"/>
      <c r="B409" s="4"/>
      <c r="C409" s="4"/>
      <c r="D409" s="135"/>
      <c r="E409" s="4"/>
      <c r="F409" s="4"/>
      <c r="G409" s="137"/>
      <c r="H409" s="136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35"/>
      <c r="B410" s="4"/>
      <c r="C410" s="4"/>
      <c r="D410" s="135"/>
      <c r="E410" s="4"/>
      <c r="F410" s="4"/>
      <c r="G410" s="137"/>
      <c r="H410" s="136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35"/>
      <c r="B411" s="4"/>
      <c r="C411" s="4"/>
      <c r="D411" s="135"/>
      <c r="E411" s="4"/>
      <c r="F411" s="4"/>
      <c r="G411" s="137"/>
      <c r="H411" s="136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35"/>
      <c r="B412" s="4"/>
      <c r="C412" s="4"/>
      <c r="D412" s="135"/>
      <c r="E412" s="4"/>
      <c r="F412" s="4"/>
      <c r="G412" s="137"/>
      <c r="H412" s="136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35"/>
      <c r="B413" s="4"/>
      <c r="C413" s="4"/>
      <c r="D413" s="135"/>
      <c r="E413" s="4"/>
      <c r="F413" s="4"/>
      <c r="G413" s="137"/>
      <c r="H413" s="136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35"/>
      <c r="B414" s="4"/>
      <c r="C414" s="4"/>
      <c r="D414" s="135"/>
      <c r="E414" s="4"/>
      <c r="F414" s="4"/>
      <c r="G414" s="137"/>
      <c r="H414" s="136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35"/>
      <c r="B415" s="4"/>
      <c r="C415" s="4"/>
      <c r="D415" s="135"/>
      <c r="E415" s="4"/>
      <c r="F415" s="4"/>
      <c r="G415" s="137"/>
      <c r="H415" s="136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35"/>
      <c r="B416" s="4"/>
      <c r="C416" s="4"/>
      <c r="D416" s="135"/>
      <c r="E416" s="4"/>
      <c r="F416" s="4"/>
      <c r="G416" s="137"/>
      <c r="H416" s="136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35"/>
      <c r="B417" s="4"/>
      <c r="C417" s="4"/>
      <c r="D417" s="135"/>
      <c r="E417" s="4"/>
      <c r="F417" s="4"/>
      <c r="G417" s="137"/>
      <c r="H417" s="136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35"/>
      <c r="B418" s="4"/>
      <c r="C418" s="4"/>
      <c r="D418" s="135"/>
      <c r="E418" s="4"/>
      <c r="F418" s="4"/>
      <c r="G418" s="137"/>
      <c r="H418" s="136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35"/>
      <c r="B419" s="4"/>
      <c r="C419" s="4"/>
      <c r="D419" s="135"/>
      <c r="E419" s="4"/>
      <c r="F419" s="4"/>
      <c r="G419" s="137"/>
      <c r="H419" s="136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35"/>
      <c r="B420" s="4"/>
      <c r="C420" s="4"/>
      <c r="D420" s="135"/>
      <c r="E420" s="4"/>
      <c r="F420" s="4"/>
      <c r="G420" s="137"/>
      <c r="H420" s="136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35"/>
      <c r="B421" s="4"/>
      <c r="C421" s="4"/>
      <c r="D421" s="135"/>
      <c r="E421" s="4"/>
      <c r="F421" s="4"/>
      <c r="G421" s="137"/>
      <c r="H421" s="136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35"/>
      <c r="B422" s="4"/>
      <c r="C422" s="4"/>
      <c r="D422" s="135"/>
      <c r="E422" s="4"/>
      <c r="F422" s="4"/>
      <c r="G422" s="137"/>
      <c r="H422" s="136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35"/>
      <c r="B423" s="4"/>
      <c r="C423" s="4"/>
      <c r="D423" s="135"/>
      <c r="E423" s="4"/>
      <c r="F423" s="4"/>
      <c r="G423" s="137"/>
      <c r="H423" s="136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35"/>
      <c r="B424" s="4"/>
      <c r="C424" s="4"/>
      <c r="D424" s="135"/>
      <c r="E424" s="4"/>
      <c r="F424" s="4"/>
      <c r="G424" s="137"/>
      <c r="H424" s="136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35"/>
      <c r="B425" s="4"/>
      <c r="C425" s="4"/>
      <c r="D425" s="135"/>
      <c r="E425" s="4"/>
      <c r="F425" s="4"/>
      <c r="G425" s="137"/>
      <c r="H425" s="136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35"/>
      <c r="B426" s="4"/>
      <c r="C426" s="4"/>
      <c r="D426" s="135"/>
      <c r="E426" s="4"/>
      <c r="F426" s="4"/>
      <c r="G426" s="137"/>
      <c r="H426" s="136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35"/>
      <c r="B427" s="4"/>
      <c r="C427" s="4"/>
      <c r="D427" s="135"/>
      <c r="E427" s="4"/>
      <c r="F427" s="4"/>
      <c r="G427" s="137"/>
      <c r="H427" s="136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35"/>
      <c r="B428" s="4"/>
      <c r="C428" s="4"/>
      <c r="D428" s="135"/>
      <c r="E428" s="4"/>
      <c r="F428" s="4"/>
      <c r="G428" s="137"/>
      <c r="H428" s="136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35"/>
      <c r="B429" s="4"/>
      <c r="C429" s="4"/>
      <c r="D429" s="135"/>
      <c r="E429" s="4"/>
      <c r="F429" s="4"/>
      <c r="G429" s="137"/>
      <c r="H429" s="136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35"/>
      <c r="B430" s="4"/>
      <c r="C430" s="4"/>
      <c r="D430" s="135"/>
      <c r="E430" s="4"/>
      <c r="F430" s="4"/>
      <c r="G430" s="137"/>
      <c r="H430" s="136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35"/>
      <c r="B431" s="4"/>
      <c r="C431" s="4"/>
      <c r="D431" s="135"/>
      <c r="E431" s="4"/>
      <c r="F431" s="4"/>
      <c r="G431" s="137"/>
      <c r="H431" s="136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35"/>
      <c r="B432" s="4"/>
      <c r="C432" s="4"/>
      <c r="D432" s="135"/>
      <c r="E432" s="4"/>
      <c r="F432" s="4"/>
      <c r="G432" s="137"/>
      <c r="H432" s="136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35"/>
      <c r="B433" s="4"/>
      <c r="C433" s="4"/>
      <c r="D433" s="135"/>
      <c r="E433" s="4"/>
      <c r="F433" s="4"/>
      <c r="G433" s="137"/>
      <c r="H433" s="136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35"/>
      <c r="B434" s="4"/>
      <c r="C434" s="4"/>
      <c r="D434" s="135"/>
      <c r="E434" s="4"/>
      <c r="F434" s="4"/>
      <c r="G434" s="137"/>
      <c r="H434" s="136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35"/>
      <c r="B435" s="4"/>
      <c r="C435" s="4"/>
      <c r="D435" s="135"/>
      <c r="E435" s="4"/>
      <c r="F435" s="4"/>
      <c r="G435" s="137"/>
      <c r="H435" s="136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35"/>
      <c r="B436" s="4"/>
      <c r="C436" s="4"/>
      <c r="D436" s="135"/>
      <c r="E436" s="4"/>
      <c r="F436" s="4"/>
      <c r="G436" s="137"/>
      <c r="H436" s="136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35"/>
      <c r="B437" s="4"/>
      <c r="C437" s="4"/>
      <c r="D437" s="135"/>
      <c r="E437" s="4"/>
      <c r="F437" s="4"/>
      <c r="G437" s="137"/>
      <c r="H437" s="136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35"/>
      <c r="B438" s="4"/>
      <c r="C438" s="4"/>
      <c r="D438" s="135"/>
      <c r="E438" s="4"/>
      <c r="F438" s="4"/>
      <c r="G438" s="137"/>
      <c r="H438" s="136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35"/>
      <c r="B439" s="4"/>
      <c r="C439" s="4"/>
      <c r="D439" s="135"/>
      <c r="E439" s="4"/>
      <c r="F439" s="4"/>
      <c r="G439" s="137"/>
      <c r="H439" s="136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35"/>
      <c r="B440" s="4"/>
      <c r="C440" s="4"/>
      <c r="D440" s="135"/>
      <c r="E440" s="4"/>
      <c r="F440" s="4"/>
      <c r="G440" s="137"/>
      <c r="H440" s="136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35"/>
      <c r="B441" s="4"/>
      <c r="C441" s="4"/>
      <c r="D441" s="135"/>
      <c r="E441" s="4"/>
      <c r="F441" s="4"/>
      <c r="G441" s="137"/>
      <c r="H441" s="136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35"/>
      <c r="B442" s="4"/>
      <c r="C442" s="4"/>
      <c r="D442" s="135"/>
      <c r="E442" s="4"/>
      <c r="F442" s="4"/>
      <c r="G442" s="137"/>
      <c r="H442" s="136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35"/>
      <c r="B443" s="4"/>
      <c r="C443" s="4"/>
      <c r="D443" s="135"/>
      <c r="E443" s="4"/>
      <c r="F443" s="4"/>
      <c r="G443" s="137"/>
      <c r="H443" s="136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35"/>
      <c r="B444" s="4"/>
      <c r="C444" s="4"/>
      <c r="D444" s="135"/>
      <c r="E444" s="4"/>
      <c r="F444" s="4"/>
      <c r="G444" s="137"/>
      <c r="H444" s="136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35"/>
      <c r="B445" s="4"/>
      <c r="C445" s="4"/>
      <c r="D445" s="135"/>
      <c r="E445" s="4"/>
      <c r="F445" s="4"/>
      <c r="G445" s="137"/>
      <c r="H445" s="136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35"/>
      <c r="B446" s="4"/>
      <c r="C446" s="4"/>
      <c r="D446" s="135"/>
      <c r="E446" s="4"/>
      <c r="F446" s="4"/>
      <c r="G446" s="137"/>
      <c r="H446" s="136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35"/>
      <c r="B447" s="4"/>
      <c r="C447" s="4"/>
      <c r="D447" s="135"/>
      <c r="E447" s="4"/>
      <c r="F447" s="4"/>
      <c r="G447" s="137"/>
      <c r="H447" s="136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35"/>
      <c r="B448" s="4"/>
      <c r="C448" s="4"/>
      <c r="D448" s="135"/>
      <c r="E448" s="4"/>
      <c r="F448" s="4"/>
      <c r="G448" s="137"/>
      <c r="H448" s="136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35"/>
      <c r="B449" s="4"/>
      <c r="C449" s="4"/>
      <c r="D449" s="135"/>
      <c r="E449" s="4"/>
      <c r="F449" s="4"/>
      <c r="G449" s="137"/>
      <c r="H449" s="136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35"/>
      <c r="B450" s="4"/>
      <c r="C450" s="4"/>
      <c r="D450" s="135"/>
      <c r="E450" s="4"/>
      <c r="F450" s="4"/>
      <c r="G450" s="137"/>
      <c r="H450" s="136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35"/>
      <c r="B451" s="4"/>
      <c r="C451" s="4"/>
      <c r="D451" s="135"/>
      <c r="E451" s="4"/>
      <c r="F451" s="4"/>
      <c r="G451" s="137"/>
      <c r="H451" s="136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35"/>
      <c r="B452" s="4"/>
      <c r="C452" s="4"/>
      <c r="D452" s="135"/>
      <c r="E452" s="4"/>
      <c r="F452" s="4"/>
      <c r="G452" s="137"/>
      <c r="H452" s="136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35"/>
      <c r="B453" s="4"/>
      <c r="C453" s="4"/>
      <c r="D453" s="135"/>
      <c r="E453" s="4"/>
      <c r="F453" s="4"/>
      <c r="G453" s="137"/>
      <c r="H453" s="136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35"/>
      <c r="B454" s="4"/>
      <c r="C454" s="4"/>
      <c r="D454" s="135"/>
      <c r="E454" s="4"/>
      <c r="F454" s="4"/>
      <c r="G454" s="137"/>
      <c r="H454" s="136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35"/>
      <c r="B455" s="4"/>
      <c r="C455" s="4"/>
      <c r="D455" s="135"/>
      <c r="E455" s="4"/>
      <c r="F455" s="4"/>
      <c r="G455" s="137"/>
      <c r="H455" s="136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35"/>
      <c r="B456" s="4"/>
      <c r="C456" s="4"/>
      <c r="D456" s="135"/>
      <c r="E456" s="4"/>
      <c r="F456" s="4"/>
      <c r="G456" s="137"/>
      <c r="H456" s="136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35"/>
      <c r="B457" s="4"/>
      <c r="C457" s="4"/>
      <c r="D457" s="135"/>
      <c r="E457" s="4"/>
      <c r="F457" s="4"/>
      <c r="G457" s="137"/>
      <c r="H457" s="136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35"/>
      <c r="B458" s="4"/>
      <c r="C458" s="4"/>
      <c r="D458" s="135"/>
      <c r="E458" s="4"/>
      <c r="F458" s="4"/>
      <c r="G458" s="137"/>
      <c r="H458" s="136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35"/>
      <c r="B459" s="4"/>
      <c r="C459" s="4"/>
      <c r="D459" s="135"/>
      <c r="E459" s="4"/>
      <c r="F459" s="4"/>
      <c r="G459" s="137"/>
      <c r="H459" s="136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35"/>
      <c r="B460" s="4"/>
      <c r="C460" s="4"/>
      <c r="D460" s="135"/>
      <c r="E460" s="4"/>
      <c r="F460" s="4"/>
      <c r="G460" s="137"/>
      <c r="H460" s="136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35"/>
      <c r="B461" s="4"/>
      <c r="C461" s="4"/>
      <c r="D461" s="135"/>
      <c r="E461" s="4"/>
      <c r="F461" s="4"/>
      <c r="G461" s="137"/>
      <c r="H461" s="136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35"/>
      <c r="B462" s="4"/>
      <c r="C462" s="4"/>
      <c r="D462" s="135"/>
      <c r="E462" s="4"/>
      <c r="F462" s="4"/>
      <c r="G462" s="137"/>
      <c r="H462" s="136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35"/>
      <c r="B463" s="4"/>
      <c r="C463" s="4"/>
      <c r="D463" s="135"/>
      <c r="E463" s="4"/>
      <c r="F463" s="4"/>
      <c r="G463" s="137"/>
      <c r="H463" s="136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35"/>
      <c r="B464" s="4"/>
      <c r="C464" s="4"/>
      <c r="D464" s="135"/>
      <c r="E464" s="4"/>
      <c r="F464" s="4"/>
      <c r="G464" s="137"/>
      <c r="H464" s="136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35"/>
      <c r="B465" s="4"/>
      <c r="C465" s="4"/>
      <c r="D465" s="135"/>
      <c r="E465" s="4"/>
      <c r="F465" s="4"/>
      <c r="G465" s="137"/>
      <c r="H465" s="136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35"/>
      <c r="B466" s="4"/>
      <c r="C466" s="4"/>
      <c r="D466" s="135"/>
      <c r="E466" s="4"/>
      <c r="F466" s="4"/>
      <c r="G466" s="137"/>
      <c r="H466" s="136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35"/>
      <c r="B467" s="4"/>
      <c r="C467" s="4"/>
      <c r="D467" s="135"/>
      <c r="E467" s="4"/>
      <c r="F467" s="4"/>
      <c r="G467" s="137"/>
      <c r="H467" s="136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35"/>
      <c r="B468" s="4"/>
      <c r="C468" s="4"/>
      <c r="D468" s="135"/>
      <c r="E468" s="4"/>
      <c r="F468" s="4"/>
      <c r="G468" s="137"/>
      <c r="H468" s="136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35"/>
      <c r="B469" s="4"/>
      <c r="C469" s="4"/>
      <c r="D469" s="135"/>
      <c r="E469" s="4"/>
      <c r="F469" s="4"/>
      <c r="G469" s="137"/>
      <c r="H469" s="136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35"/>
      <c r="B470" s="4"/>
      <c r="C470" s="4"/>
      <c r="D470" s="135"/>
      <c r="E470" s="4"/>
      <c r="F470" s="4"/>
      <c r="G470" s="137"/>
      <c r="H470" s="136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35"/>
      <c r="B471" s="4"/>
      <c r="C471" s="4"/>
      <c r="D471" s="135"/>
      <c r="E471" s="4"/>
      <c r="F471" s="4"/>
      <c r="G471" s="137"/>
      <c r="H471" s="136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35"/>
      <c r="B472" s="4"/>
      <c r="C472" s="4"/>
      <c r="D472" s="135"/>
      <c r="E472" s="4"/>
      <c r="F472" s="4"/>
      <c r="G472" s="137"/>
      <c r="H472" s="136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35"/>
      <c r="B473" s="4"/>
      <c r="C473" s="4"/>
      <c r="D473" s="135"/>
      <c r="E473" s="4"/>
      <c r="F473" s="4"/>
      <c r="G473" s="137"/>
      <c r="H473" s="136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35"/>
      <c r="B474" s="4"/>
      <c r="C474" s="4"/>
      <c r="D474" s="135"/>
      <c r="E474" s="4"/>
      <c r="F474" s="4"/>
      <c r="G474" s="137"/>
      <c r="H474" s="136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35"/>
      <c r="B475" s="4"/>
      <c r="C475" s="4"/>
      <c r="D475" s="135"/>
      <c r="E475" s="4"/>
      <c r="F475" s="4"/>
      <c r="G475" s="137"/>
      <c r="H475" s="136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35"/>
      <c r="B476" s="4"/>
      <c r="C476" s="4"/>
      <c r="D476" s="135"/>
      <c r="E476" s="4"/>
      <c r="F476" s="4"/>
      <c r="G476" s="137"/>
      <c r="H476" s="136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35"/>
      <c r="B477" s="4"/>
      <c r="C477" s="4"/>
      <c r="D477" s="135"/>
      <c r="E477" s="4"/>
      <c r="F477" s="4"/>
      <c r="G477" s="137"/>
      <c r="H477" s="136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35"/>
      <c r="B478" s="4"/>
      <c r="C478" s="4"/>
      <c r="D478" s="135"/>
      <c r="E478" s="4"/>
      <c r="F478" s="4"/>
      <c r="G478" s="137"/>
      <c r="H478" s="136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35"/>
      <c r="B479" s="4"/>
      <c r="C479" s="4"/>
      <c r="D479" s="135"/>
      <c r="E479" s="4"/>
      <c r="F479" s="4"/>
      <c r="G479" s="137"/>
      <c r="H479" s="136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35"/>
      <c r="B480" s="4"/>
      <c r="C480" s="4"/>
      <c r="D480" s="135"/>
      <c r="E480" s="4"/>
      <c r="F480" s="4"/>
      <c r="G480" s="137"/>
      <c r="H480" s="136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35"/>
      <c r="B481" s="4"/>
      <c r="C481" s="4"/>
      <c r="D481" s="135"/>
      <c r="E481" s="4"/>
      <c r="F481" s="4"/>
      <c r="G481" s="137"/>
      <c r="H481" s="136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35"/>
      <c r="B482" s="4"/>
      <c r="C482" s="4"/>
      <c r="D482" s="135"/>
      <c r="E482" s="4"/>
      <c r="F482" s="4"/>
      <c r="G482" s="137"/>
      <c r="H482" s="136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35"/>
      <c r="B483" s="4"/>
      <c r="C483" s="4"/>
      <c r="D483" s="135"/>
      <c r="E483" s="4"/>
      <c r="F483" s="4"/>
      <c r="G483" s="137"/>
      <c r="H483" s="136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35"/>
      <c r="B484" s="4"/>
      <c r="C484" s="4"/>
      <c r="D484" s="135"/>
      <c r="E484" s="4"/>
      <c r="F484" s="4"/>
      <c r="G484" s="137"/>
      <c r="H484" s="136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35"/>
      <c r="B485" s="4"/>
      <c r="C485" s="4"/>
      <c r="D485" s="135"/>
      <c r="E485" s="4"/>
      <c r="F485" s="4"/>
      <c r="G485" s="137"/>
      <c r="H485" s="136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35"/>
      <c r="B486" s="4"/>
      <c r="C486" s="4"/>
      <c r="D486" s="135"/>
      <c r="E486" s="4"/>
      <c r="F486" s="4"/>
      <c r="G486" s="137"/>
      <c r="H486" s="136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35"/>
      <c r="B487" s="4"/>
      <c r="C487" s="4"/>
      <c r="D487" s="135"/>
      <c r="E487" s="4"/>
      <c r="F487" s="4"/>
      <c r="G487" s="137"/>
      <c r="H487" s="136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35"/>
      <c r="B488" s="4"/>
      <c r="C488" s="4"/>
      <c r="D488" s="135"/>
      <c r="E488" s="4"/>
      <c r="F488" s="4"/>
      <c r="G488" s="137"/>
      <c r="H488" s="136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35"/>
      <c r="B489" s="4"/>
      <c r="C489" s="4"/>
      <c r="D489" s="135"/>
      <c r="E489" s="4"/>
      <c r="F489" s="4"/>
      <c r="G489" s="137"/>
      <c r="H489" s="136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35"/>
      <c r="B490" s="4"/>
      <c r="C490" s="4"/>
      <c r="D490" s="135"/>
      <c r="E490" s="4"/>
      <c r="F490" s="4"/>
      <c r="G490" s="137"/>
      <c r="H490" s="136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35"/>
      <c r="B491" s="4"/>
      <c r="C491" s="4"/>
      <c r="D491" s="135"/>
      <c r="E491" s="4"/>
      <c r="F491" s="4"/>
      <c r="G491" s="137"/>
      <c r="H491" s="136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35"/>
      <c r="B492" s="4"/>
      <c r="C492" s="4"/>
      <c r="D492" s="135"/>
      <c r="E492" s="4"/>
      <c r="F492" s="4"/>
      <c r="G492" s="137"/>
      <c r="H492" s="136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35"/>
      <c r="B493" s="4"/>
      <c r="C493" s="4"/>
      <c r="D493" s="135"/>
      <c r="E493" s="4"/>
      <c r="F493" s="4"/>
      <c r="G493" s="137"/>
      <c r="H493" s="136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35"/>
      <c r="B494" s="4"/>
      <c r="C494" s="4"/>
      <c r="D494" s="135"/>
      <c r="E494" s="4"/>
      <c r="F494" s="4"/>
      <c r="G494" s="137"/>
      <c r="H494" s="136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35"/>
      <c r="B495" s="4"/>
      <c r="C495" s="4"/>
      <c r="D495" s="135"/>
      <c r="E495" s="4"/>
      <c r="F495" s="4"/>
      <c r="G495" s="137"/>
      <c r="H495" s="136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35"/>
      <c r="B496" s="4"/>
      <c r="C496" s="4"/>
      <c r="D496" s="135"/>
      <c r="E496" s="4"/>
      <c r="F496" s="4"/>
      <c r="G496" s="137"/>
      <c r="H496" s="136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35"/>
      <c r="B497" s="4"/>
      <c r="C497" s="4"/>
      <c r="D497" s="135"/>
      <c r="E497" s="4"/>
      <c r="F497" s="4"/>
      <c r="G497" s="137"/>
      <c r="H497" s="136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35"/>
      <c r="B498" s="4"/>
      <c r="C498" s="4"/>
      <c r="D498" s="135"/>
      <c r="E498" s="4"/>
      <c r="F498" s="4"/>
      <c r="G498" s="137"/>
      <c r="H498" s="136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35"/>
      <c r="B499" s="4"/>
      <c r="C499" s="4"/>
      <c r="D499" s="135"/>
      <c r="E499" s="4"/>
      <c r="F499" s="4"/>
      <c r="G499" s="137"/>
      <c r="H499" s="136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35"/>
      <c r="B500" s="4"/>
      <c r="C500" s="4"/>
      <c r="D500" s="135"/>
      <c r="E500" s="4"/>
      <c r="F500" s="4"/>
      <c r="G500" s="137"/>
      <c r="H500" s="136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5"/>
      <c r="B501" s="4"/>
      <c r="C501" s="4"/>
      <c r="D501" s="135"/>
      <c r="E501" s="4"/>
      <c r="F501" s="4"/>
      <c r="G501" s="137"/>
      <c r="H501" s="136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5"/>
      <c r="B502" s="4"/>
      <c r="C502" s="4"/>
      <c r="D502" s="135"/>
      <c r="E502" s="4"/>
      <c r="F502" s="4"/>
      <c r="G502" s="137"/>
      <c r="H502" s="136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5"/>
      <c r="B503" s="4"/>
      <c r="C503" s="4"/>
      <c r="D503" s="135"/>
      <c r="E503" s="4"/>
      <c r="F503" s="4"/>
      <c r="G503" s="137"/>
      <c r="H503" s="136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5"/>
      <c r="B504" s="4"/>
      <c r="C504" s="4"/>
      <c r="D504" s="135"/>
      <c r="E504" s="4"/>
      <c r="F504" s="4"/>
      <c r="G504" s="137"/>
      <c r="H504" s="136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5"/>
      <c r="B505" s="4"/>
      <c r="C505" s="4"/>
      <c r="D505" s="135"/>
      <c r="E505" s="4"/>
      <c r="F505" s="4"/>
      <c r="G505" s="137"/>
      <c r="H505" s="136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5"/>
      <c r="B506" s="4"/>
      <c r="C506" s="4"/>
      <c r="D506" s="135"/>
      <c r="E506" s="4"/>
      <c r="F506" s="4"/>
      <c r="G506" s="137"/>
      <c r="H506" s="136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5"/>
      <c r="B507" s="4"/>
      <c r="C507" s="4"/>
      <c r="D507" s="135"/>
      <c r="E507" s="4"/>
      <c r="F507" s="4"/>
      <c r="G507" s="137"/>
      <c r="H507" s="136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5"/>
      <c r="B508" s="4"/>
      <c r="C508" s="4"/>
      <c r="D508" s="135"/>
      <c r="E508" s="4"/>
      <c r="F508" s="4"/>
      <c r="G508" s="137"/>
      <c r="H508" s="136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5"/>
      <c r="B509" s="4"/>
      <c r="C509" s="4"/>
      <c r="D509" s="135"/>
      <c r="E509" s="4"/>
      <c r="F509" s="4"/>
      <c r="G509" s="137"/>
      <c r="H509" s="136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5"/>
      <c r="B510" s="4"/>
      <c r="C510" s="4"/>
      <c r="D510" s="135"/>
      <c r="E510" s="4"/>
      <c r="F510" s="4"/>
      <c r="G510" s="137"/>
      <c r="H510" s="136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5"/>
      <c r="B511" s="4"/>
      <c r="C511" s="4"/>
      <c r="D511" s="135"/>
      <c r="E511" s="4"/>
      <c r="F511" s="4"/>
      <c r="G511" s="137"/>
      <c r="H511" s="136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5"/>
      <c r="B512" s="4"/>
      <c r="C512" s="4"/>
      <c r="D512" s="135"/>
      <c r="E512" s="4"/>
      <c r="F512" s="4"/>
      <c r="G512" s="137"/>
      <c r="H512" s="136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5"/>
      <c r="B513" s="4"/>
      <c r="C513" s="4"/>
      <c r="D513" s="135"/>
      <c r="E513" s="4"/>
      <c r="F513" s="4"/>
      <c r="G513" s="137"/>
      <c r="H513" s="136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5"/>
      <c r="B514" s="4"/>
      <c r="C514" s="4"/>
      <c r="D514" s="135"/>
      <c r="E514" s="4"/>
      <c r="F514" s="4"/>
      <c r="G514" s="137"/>
      <c r="H514" s="136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5"/>
      <c r="B515" s="4"/>
      <c r="C515" s="4"/>
      <c r="D515" s="135"/>
      <c r="E515" s="4"/>
      <c r="F515" s="4"/>
      <c r="G515" s="137"/>
      <c r="H515" s="136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5"/>
      <c r="B516" s="4"/>
      <c r="C516" s="4"/>
      <c r="D516" s="135"/>
      <c r="E516" s="4"/>
      <c r="F516" s="4"/>
      <c r="G516" s="137"/>
      <c r="H516" s="136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5"/>
      <c r="B517" s="4"/>
      <c r="C517" s="4"/>
      <c r="D517" s="135"/>
      <c r="E517" s="4"/>
      <c r="F517" s="4"/>
      <c r="G517" s="137"/>
      <c r="H517" s="136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5"/>
      <c r="B518" s="4"/>
      <c r="C518" s="4"/>
      <c r="D518" s="135"/>
      <c r="E518" s="4"/>
      <c r="F518" s="4"/>
      <c r="G518" s="137"/>
      <c r="H518" s="136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5"/>
      <c r="B519" s="4"/>
      <c r="C519" s="4"/>
      <c r="D519" s="135"/>
      <c r="E519" s="4"/>
      <c r="F519" s="4"/>
      <c r="G519" s="137"/>
      <c r="H519" s="136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5"/>
      <c r="B520" s="4"/>
      <c r="C520" s="4"/>
      <c r="D520" s="135"/>
      <c r="E520" s="4"/>
      <c r="F520" s="4"/>
      <c r="G520" s="137"/>
      <c r="H520" s="136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5"/>
      <c r="B521" s="4"/>
      <c r="C521" s="4"/>
      <c r="D521" s="135"/>
      <c r="E521" s="4"/>
      <c r="F521" s="4"/>
      <c r="G521" s="137"/>
      <c r="H521" s="136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5"/>
      <c r="B522" s="4"/>
      <c r="C522" s="4"/>
      <c r="D522" s="135"/>
      <c r="E522" s="4"/>
      <c r="F522" s="4"/>
      <c r="G522" s="137"/>
      <c r="H522" s="136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5"/>
      <c r="B523" s="4"/>
      <c r="C523" s="4"/>
      <c r="D523" s="135"/>
      <c r="E523" s="4"/>
      <c r="F523" s="4"/>
      <c r="G523" s="137"/>
      <c r="H523" s="136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5"/>
      <c r="B524" s="4"/>
      <c r="C524" s="4"/>
      <c r="D524" s="135"/>
      <c r="E524" s="4"/>
      <c r="F524" s="4"/>
      <c r="G524" s="137"/>
      <c r="H524" s="136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5"/>
      <c r="B525" s="4"/>
      <c r="C525" s="4"/>
      <c r="D525" s="135"/>
      <c r="E525" s="4"/>
      <c r="F525" s="4"/>
      <c r="G525" s="137"/>
      <c r="H525" s="136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5"/>
      <c r="B526" s="4"/>
      <c r="C526" s="4"/>
      <c r="D526" s="135"/>
      <c r="E526" s="4"/>
      <c r="F526" s="4"/>
      <c r="G526" s="137"/>
      <c r="H526" s="136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5"/>
      <c r="B527" s="4"/>
      <c r="C527" s="4"/>
      <c r="D527" s="135"/>
      <c r="E527" s="4"/>
      <c r="F527" s="4"/>
      <c r="G527" s="137"/>
      <c r="H527" s="136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5"/>
      <c r="B528" s="4"/>
      <c r="C528" s="4"/>
      <c r="D528" s="135"/>
      <c r="E528" s="4"/>
      <c r="F528" s="4"/>
      <c r="G528" s="137"/>
      <c r="H528" s="136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5"/>
      <c r="B529" s="4"/>
      <c r="C529" s="4"/>
      <c r="D529" s="135"/>
      <c r="E529" s="4"/>
      <c r="F529" s="4"/>
      <c r="G529" s="137"/>
      <c r="H529" s="136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5"/>
      <c r="B530" s="4"/>
      <c r="C530" s="4"/>
      <c r="D530" s="135"/>
      <c r="E530" s="4"/>
      <c r="F530" s="4"/>
      <c r="G530" s="137"/>
      <c r="H530" s="136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5"/>
      <c r="B531" s="4"/>
      <c r="C531" s="4"/>
      <c r="D531" s="135"/>
      <c r="E531" s="4"/>
      <c r="F531" s="4"/>
      <c r="G531" s="137"/>
      <c r="H531" s="136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5"/>
      <c r="B532" s="4"/>
      <c r="C532" s="4"/>
      <c r="D532" s="135"/>
      <c r="E532" s="4"/>
      <c r="F532" s="4"/>
      <c r="G532" s="137"/>
      <c r="H532" s="136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5"/>
      <c r="B533" s="4"/>
      <c r="C533" s="4"/>
      <c r="D533" s="135"/>
      <c r="E533" s="4"/>
      <c r="F533" s="4"/>
      <c r="G533" s="137"/>
      <c r="H533" s="136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5"/>
      <c r="B534" s="4"/>
      <c r="C534" s="4"/>
      <c r="D534" s="135"/>
      <c r="E534" s="4"/>
      <c r="F534" s="4"/>
      <c r="G534" s="137"/>
      <c r="H534" s="136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5"/>
      <c r="B535" s="4"/>
      <c r="C535" s="4"/>
      <c r="D535" s="135"/>
      <c r="E535" s="4"/>
      <c r="F535" s="4"/>
      <c r="G535" s="137"/>
      <c r="H535" s="136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5"/>
      <c r="B536" s="4"/>
      <c r="C536" s="4"/>
      <c r="D536" s="135"/>
      <c r="E536" s="4"/>
      <c r="F536" s="4"/>
      <c r="G536" s="137"/>
      <c r="H536" s="136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5"/>
      <c r="B537" s="4"/>
      <c r="C537" s="4"/>
      <c r="D537" s="135"/>
      <c r="E537" s="4"/>
      <c r="F537" s="4"/>
      <c r="G537" s="137"/>
      <c r="H537" s="136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5"/>
      <c r="B538" s="4"/>
      <c r="C538" s="4"/>
      <c r="D538" s="135"/>
      <c r="E538" s="4"/>
      <c r="F538" s="4"/>
      <c r="G538" s="137"/>
      <c r="H538" s="136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5"/>
      <c r="B539" s="4"/>
      <c r="C539" s="4"/>
      <c r="D539" s="135"/>
      <c r="E539" s="4"/>
      <c r="F539" s="4"/>
      <c r="G539" s="137"/>
      <c r="H539" s="136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5"/>
      <c r="B540" s="4"/>
      <c r="C540" s="4"/>
      <c r="D540" s="135"/>
      <c r="E540" s="4"/>
      <c r="F540" s="4"/>
      <c r="G540" s="137"/>
      <c r="H540" s="136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5"/>
      <c r="B541" s="4"/>
      <c r="C541" s="4"/>
      <c r="D541" s="135"/>
      <c r="E541" s="4"/>
      <c r="F541" s="4"/>
      <c r="G541" s="137"/>
      <c r="H541" s="136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5"/>
      <c r="B542" s="4"/>
      <c r="C542" s="4"/>
      <c r="D542" s="135"/>
      <c r="E542" s="4"/>
      <c r="F542" s="4"/>
      <c r="G542" s="137"/>
      <c r="H542" s="136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5"/>
      <c r="B543" s="4"/>
      <c r="C543" s="4"/>
      <c r="D543" s="135"/>
      <c r="E543" s="4"/>
      <c r="F543" s="4"/>
      <c r="G543" s="137"/>
      <c r="H543" s="136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5"/>
      <c r="B544" s="4"/>
      <c r="C544" s="4"/>
      <c r="D544" s="135"/>
      <c r="E544" s="4"/>
      <c r="F544" s="4"/>
      <c r="G544" s="137"/>
      <c r="H544" s="136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5"/>
      <c r="B545" s="4"/>
      <c r="C545" s="4"/>
      <c r="D545" s="135"/>
      <c r="E545" s="4"/>
      <c r="F545" s="4"/>
      <c r="G545" s="137"/>
      <c r="H545" s="136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5"/>
      <c r="B546" s="4"/>
      <c r="C546" s="4"/>
      <c r="D546" s="135"/>
      <c r="E546" s="4"/>
      <c r="F546" s="4"/>
      <c r="G546" s="137"/>
      <c r="H546" s="136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5"/>
      <c r="B547" s="4"/>
      <c r="C547" s="4"/>
      <c r="D547" s="135"/>
      <c r="E547" s="4"/>
      <c r="F547" s="4"/>
      <c r="G547" s="137"/>
      <c r="H547" s="136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5"/>
      <c r="B548" s="4"/>
      <c r="C548" s="4"/>
      <c r="D548" s="135"/>
      <c r="E548" s="4"/>
      <c r="F548" s="4"/>
      <c r="G548" s="137"/>
      <c r="H548" s="136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5"/>
      <c r="B549" s="4"/>
      <c r="C549" s="4"/>
      <c r="D549" s="135"/>
      <c r="E549" s="4"/>
      <c r="F549" s="4"/>
      <c r="G549" s="137"/>
      <c r="H549" s="136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5"/>
      <c r="B550" s="4"/>
      <c r="C550" s="4"/>
      <c r="D550" s="135"/>
      <c r="E550" s="4"/>
      <c r="F550" s="4"/>
      <c r="G550" s="137"/>
      <c r="H550" s="136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5"/>
      <c r="B551" s="4"/>
      <c r="C551" s="4"/>
      <c r="D551" s="135"/>
      <c r="E551" s="4"/>
      <c r="F551" s="4"/>
      <c r="G551" s="137"/>
      <c r="H551" s="136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5"/>
      <c r="B552" s="4"/>
      <c r="C552" s="4"/>
      <c r="D552" s="135"/>
      <c r="E552" s="4"/>
      <c r="F552" s="4"/>
      <c r="G552" s="137"/>
      <c r="H552" s="136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5"/>
      <c r="B553" s="4"/>
      <c r="C553" s="4"/>
      <c r="D553" s="135"/>
      <c r="E553" s="4"/>
      <c r="F553" s="4"/>
      <c r="G553" s="137"/>
      <c r="H553" s="136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5"/>
      <c r="B554" s="4"/>
      <c r="C554" s="4"/>
      <c r="D554" s="135"/>
      <c r="E554" s="4"/>
      <c r="F554" s="4"/>
      <c r="G554" s="137"/>
      <c r="H554" s="136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5"/>
      <c r="B555" s="4"/>
      <c r="C555" s="4"/>
      <c r="D555" s="135"/>
      <c r="E555" s="4"/>
      <c r="F555" s="4"/>
      <c r="G555" s="137"/>
      <c r="H555" s="136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5"/>
      <c r="B556" s="4"/>
      <c r="C556" s="4"/>
      <c r="D556" s="135"/>
      <c r="E556" s="4"/>
      <c r="F556" s="4"/>
      <c r="G556" s="137"/>
      <c r="H556" s="136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5"/>
      <c r="B557" s="4"/>
      <c r="C557" s="4"/>
      <c r="D557" s="135"/>
      <c r="E557" s="4"/>
      <c r="F557" s="4"/>
      <c r="G557" s="137"/>
      <c r="H557" s="136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5"/>
      <c r="B558" s="4"/>
      <c r="C558" s="4"/>
      <c r="D558" s="135"/>
      <c r="E558" s="4"/>
      <c r="F558" s="4"/>
      <c r="G558" s="137"/>
      <c r="H558" s="136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5"/>
      <c r="B559" s="4"/>
      <c r="C559" s="4"/>
      <c r="D559" s="135"/>
      <c r="E559" s="4"/>
      <c r="F559" s="4"/>
      <c r="G559" s="137"/>
      <c r="H559" s="136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5"/>
      <c r="B560" s="4"/>
      <c r="C560" s="4"/>
      <c r="D560" s="135"/>
      <c r="E560" s="4"/>
      <c r="F560" s="4"/>
      <c r="G560" s="137"/>
      <c r="H560" s="136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5"/>
      <c r="B561" s="4"/>
      <c r="C561" s="4"/>
      <c r="D561" s="135"/>
      <c r="E561" s="4"/>
      <c r="F561" s="4"/>
      <c r="G561" s="137"/>
      <c r="H561" s="136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5"/>
      <c r="B562" s="4"/>
      <c r="C562" s="4"/>
      <c r="D562" s="135"/>
      <c r="E562" s="4"/>
      <c r="F562" s="4"/>
      <c r="G562" s="137"/>
      <c r="H562" s="136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5"/>
      <c r="B563" s="4"/>
      <c r="C563" s="4"/>
      <c r="D563" s="135"/>
      <c r="E563" s="4"/>
      <c r="F563" s="4"/>
      <c r="G563" s="137"/>
      <c r="H563" s="136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5"/>
      <c r="B564" s="4"/>
      <c r="C564" s="4"/>
      <c r="D564" s="135"/>
      <c r="E564" s="4"/>
      <c r="F564" s="4"/>
      <c r="G564" s="137"/>
      <c r="H564" s="136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5"/>
      <c r="B565" s="4"/>
      <c r="C565" s="4"/>
      <c r="D565" s="135"/>
      <c r="E565" s="4"/>
      <c r="F565" s="4"/>
      <c r="G565" s="137"/>
      <c r="H565" s="136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5"/>
      <c r="B566" s="4"/>
      <c r="C566" s="4"/>
      <c r="D566" s="135"/>
      <c r="E566" s="4"/>
      <c r="F566" s="4"/>
      <c r="G566" s="137"/>
      <c r="H566" s="136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5"/>
      <c r="B567" s="4"/>
      <c r="C567" s="4"/>
      <c r="D567" s="135"/>
      <c r="E567" s="4"/>
      <c r="F567" s="4"/>
      <c r="G567" s="137"/>
      <c r="H567" s="136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5"/>
      <c r="B568" s="4"/>
      <c r="C568" s="4"/>
      <c r="D568" s="135"/>
      <c r="E568" s="4"/>
      <c r="F568" s="4"/>
      <c r="G568" s="137"/>
      <c r="H568" s="136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5"/>
      <c r="B569" s="4"/>
      <c r="C569" s="4"/>
      <c r="D569" s="135"/>
      <c r="E569" s="4"/>
      <c r="F569" s="4"/>
      <c r="G569" s="137"/>
      <c r="H569" s="136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5"/>
      <c r="B570" s="4"/>
      <c r="C570" s="4"/>
      <c r="D570" s="135"/>
      <c r="E570" s="4"/>
      <c r="F570" s="4"/>
      <c r="G570" s="137"/>
      <c r="H570" s="136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5"/>
      <c r="B571" s="4"/>
      <c r="C571" s="4"/>
      <c r="D571" s="135"/>
      <c r="E571" s="4"/>
      <c r="F571" s="4"/>
      <c r="G571" s="137"/>
      <c r="H571" s="136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5"/>
      <c r="B572" s="4"/>
      <c r="C572" s="4"/>
      <c r="D572" s="135"/>
      <c r="E572" s="4"/>
      <c r="F572" s="4"/>
      <c r="G572" s="137"/>
      <c r="H572" s="136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5"/>
      <c r="B573" s="4"/>
      <c r="C573" s="4"/>
      <c r="D573" s="135"/>
      <c r="E573" s="4"/>
      <c r="F573" s="4"/>
      <c r="G573" s="137"/>
      <c r="H573" s="136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5"/>
      <c r="B574" s="4"/>
      <c r="C574" s="4"/>
      <c r="D574" s="135"/>
      <c r="E574" s="4"/>
      <c r="F574" s="4"/>
      <c r="G574" s="137"/>
      <c r="H574" s="136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5"/>
      <c r="B575" s="4"/>
      <c r="C575" s="4"/>
      <c r="D575" s="135"/>
      <c r="E575" s="4"/>
      <c r="F575" s="4"/>
      <c r="G575" s="137"/>
      <c r="H575" s="136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5"/>
      <c r="B576" s="4"/>
      <c r="C576" s="4"/>
      <c r="D576" s="135"/>
      <c r="E576" s="4"/>
      <c r="F576" s="4"/>
      <c r="G576" s="137"/>
      <c r="H576" s="136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5"/>
      <c r="B577" s="4"/>
      <c r="C577" s="4"/>
      <c r="D577" s="135"/>
      <c r="E577" s="4"/>
      <c r="F577" s="4"/>
      <c r="G577" s="137"/>
      <c r="H577" s="136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5"/>
      <c r="B578" s="4"/>
      <c r="C578" s="4"/>
      <c r="D578" s="135"/>
      <c r="E578" s="4"/>
      <c r="F578" s="4"/>
      <c r="G578" s="137"/>
      <c r="H578" s="136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5"/>
      <c r="B579" s="4"/>
      <c r="C579" s="4"/>
      <c r="D579" s="135"/>
      <c r="E579" s="4"/>
      <c r="F579" s="4"/>
      <c r="G579" s="137"/>
      <c r="H579" s="136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5"/>
      <c r="B580" s="4"/>
      <c r="C580" s="4"/>
      <c r="D580" s="135"/>
      <c r="E580" s="4"/>
      <c r="F580" s="4"/>
      <c r="G580" s="137"/>
      <c r="H580" s="136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5"/>
      <c r="B581" s="4"/>
      <c r="C581" s="4"/>
      <c r="D581" s="135"/>
      <c r="E581" s="4"/>
      <c r="F581" s="4"/>
      <c r="G581" s="137"/>
      <c r="H581" s="136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5"/>
      <c r="B582" s="4"/>
      <c r="C582" s="4"/>
      <c r="D582" s="135"/>
      <c r="E582" s="4"/>
      <c r="F582" s="4"/>
      <c r="G582" s="137"/>
      <c r="H582" s="136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5"/>
      <c r="B583" s="4"/>
      <c r="C583" s="4"/>
      <c r="D583" s="135"/>
      <c r="E583" s="4"/>
      <c r="F583" s="4"/>
      <c r="G583" s="137"/>
      <c r="H583" s="136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5"/>
      <c r="B584" s="4"/>
      <c r="C584" s="4"/>
      <c r="D584" s="135"/>
      <c r="E584" s="4"/>
      <c r="F584" s="4"/>
      <c r="G584" s="137"/>
      <c r="H584" s="136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5"/>
      <c r="B585" s="4"/>
      <c r="C585" s="4"/>
      <c r="D585" s="135"/>
      <c r="E585" s="4"/>
      <c r="F585" s="4"/>
      <c r="G585" s="137"/>
      <c r="H585" s="136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5"/>
      <c r="B586" s="4"/>
      <c r="C586" s="4"/>
      <c r="D586" s="135"/>
      <c r="E586" s="4"/>
      <c r="F586" s="4"/>
      <c r="G586" s="137"/>
      <c r="H586" s="136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5"/>
      <c r="B587" s="4"/>
      <c r="C587" s="4"/>
      <c r="D587" s="135"/>
      <c r="E587" s="4"/>
      <c r="F587" s="4"/>
      <c r="G587" s="137"/>
      <c r="H587" s="136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5"/>
      <c r="B588" s="4"/>
      <c r="C588" s="4"/>
      <c r="D588" s="135"/>
      <c r="E588" s="4"/>
      <c r="F588" s="4"/>
      <c r="G588" s="137"/>
      <c r="H588" s="136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5"/>
      <c r="B589" s="4"/>
      <c r="C589" s="4"/>
      <c r="D589" s="135"/>
      <c r="E589" s="4"/>
      <c r="F589" s="4"/>
      <c r="G589" s="137"/>
      <c r="H589" s="136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5"/>
      <c r="B590" s="4"/>
      <c r="C590" s="4"/>
      <c r="D590" s="135"/>
      <c r="E590" s="4"/>
      <c r="F590" s="4"/>
      <c r="G590" s="137"/>
      <c r="H590" s="136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5"/>
      <c r="B591" s="4"/>
      <c r="C591" s="4"/>
      <c r="D591" s="135"/>
      <c r="E591" s="4"/>
      <c r="F591" s="4"/>
      <c r="G591" s="137"/>
      <c r="H591" s="136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5"/>
      <c r="B592" s="4"/>
      <c r="C592" s="4"/>
      <c r="D592" s="135"/>
      <c r="E592" s="4"/>
      <c r="F592" s="4"/>
      <c r="G592" s="137"/>
      <c r="H592" s="136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5"/>
      <c r="B593" s="4"/>
      <c r="C593" s="4"/>
      <c r="D593" s="135"/>
      <c r="E593" s="4"/>
      <c r="F593" s="4"/>
      <c r="G593" s="137"/>
      <c r="H593" s="136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5"/>
      <c r="B594" s="4"/>
      <c r="C594" s="4"/>
      <c r="D594" s="135"/>
      <c r="E594" s="4"/>
      <c r="F594" s="4"/>
      <c r="G594" s="137"/>
      <c r="H594" s="136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5"/>
      <c r="B595" s="4"/>
      <c r="C595" s="4"/>
      <c r="D595" s="135"/>
      <c r="E595" s="4"/>
      <c r="F595" s="4"/>
      <c r="G595" s="137"/>
      <c r="H595" s="136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5"/>
      <c r="B596" s="4"/>
      <c r="C596" s="4"/>
      <c r="D596" s="135"/>
      <c r="E596" s="4"/>
      <c r="F596" s="4"/>
      <c r="G596" s="137"/>
      <c r="H596" s="136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5"/>
      <c r="B597" s="4"/>
      <c r="C597" s="4"/>
      <c r="D597" s="135"/>
      <c r="E597" s="4"/>
      <c r="F597" s="4"/>
      <c r="G597" s="137"/>
      <c r="H597" s="136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5"/>
      <c r="B598" s="4"/>
      <c r="C598" s="4"/>
      <c r="D598" s="135"/>
      <c r="E598" s="4"/>
      <c r="F598" s="4"/>
      <c r="G598" s="137"/>
      <c r="H598" s="136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5"/>
      <c r="B599" s="4"/>
      <c r="C599" s="4"/>
      <c r="D599" s="135"/>
      <c r="E599" s="4"/>
      <c r="F599" s="4"/>
      <c r="G599" s="137"/>
      <c r="H599" s="136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5"/>
      <c r="B600" s="4"/>
      <c r="C600" s="4"/>
      <c r="D600" s="135"/>
      <c r="E600" s="4"/>
      <c r="F600" s="4"/>
      <c r="G600" s="137"/>
      <c r="H600" s="136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5"/>
      <c r="B601" s="4"/>
      <c r="C601" s="4"/>
      <c r="D601" s="135"/>
      <c r="E601" s="4"/>
      <c r="F601" s="4"/>
      <c r="G601" s="137"/>
      <c r="H601" s="136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5"/>
      <c r="B602" s="4"/>
      <c r="C602" s="4"/>
      <c r="D602" s="135"/>
      <c r="E602" s="4"/>
      <c r="F602" s="4"/>
      <c r="G602" s="137"/>
      <c r="H602" s="136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5"/>
      <c r="B603" s="4"/>
      <c r="C603" s="4"/>
      <c r="D603" s="135"/>
      <c r="E603" s="4"/>
      <c r="F603" s="4"/>
      <c r="G603" s="137"/>
      <c r="H603" s="136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5"/>
      <c r="B604" s="4"/>
      <c r="C604" s="4"/>
      <c r="D604" s="135"/>
      <c r="E604" s="4"/>
      <c r="F604" s="4"/>
      <c r="G604" s="137"/>
      <c r="H604" s="136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5"/>
      <c r="B605" s="4"/>
      <c r="C605" s="4"/>
      <c r="D605" s="135"/>
      <c r="E605" s="4"/>
      <c r="F605" s="4"/>
      <c r="G605" s="137"/>
      <c r="H605" s="136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5"/>
      <c r="B606" s="4"/>
      <c r="C606" s="4"/>
      <c r="D606" s="135"/>
      <c r="E606" s="4"/>
      <c r="F606" s="4"/>
      <c r="G606" s="137"/>
      <c r="H606" s="136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5"/>
      <c r="B607" s="4"/>
      <c r="C607" s="4"/>
      <c r="D607" s="135"/>
      <c r="E607" s="4"/>
      <c r="F607" s="4"/>
      <c r="G607" s="137"/>
      <c r="H607" s="136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5"/>
      <c r="B608" s="4"/>
      <c r="C608" s="4"/>
      <c r="D608" s="135"/>
      <c r="E608" s="4"/>
      <c r="F608" s="4"/>
      <c r="G608" s="137"/>
      <c r="H608" s="136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5"/>
      <c r="B609" s="4"/>
      <c r="C609" s="4"/>
      <c r="D609" s="135"/>
      <c r="E609" s="4"/>
      <c r="F609" s="4"/>
      <c r="G609" s="137"/>
      <c r="H609" s="136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5"/>
      <c r="B610" s="4"/>
      <c r="C610" s="4"/>
      <c r="D610" s="135"/>
      <c r="E610" s="4"/>
      <c r="F610" s="4"/>
      <c r="G610" s="137"/>
      <c r="H610" s="136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5"/>
      <c r="B611" s="4"/>
      <c r="C611" s="4"/>
      <c r="D611" s="135"/>
      <c r="E611" s="4"/>
      <c r="F611" s="4"/>
      <c r="G611" s="137"/>
      <c r="H611" s="136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5"/>
      <c r="B612" s="4"/>
      <c r="C612" s="4"/>
      <c r="D612" s="135"/>
      <c r="E612" s="4"/>
      <c r="F612" s="4"/>
      <c r="G612" s="137"/>
      <c r="H612" s="136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5"/>
      <c r="B613" s="4"/>
      <c r="C613" s="4"/>
      <c r="D613" s="135"/>
      <c r="E613" s="4"/>
      <c r="F613" s="4"/>
      <c r="G613" s="137"/>
      <c r="H613" s="136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5"/>
      <c r="B614" s="4"/>
      <c r="C614" s="4"/>
      <c r="D614" s="135"/>
      <c r="E614" s="4"/>
      <c r="F614" s="4"/>
      <c r="G614" s="137"/>
      <c r="H614" s="136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5"/>
      <c r="B615" s="4"/>
      <c r="C615" s="4"/>
      <c r="D615" s="135"/>
      <c r="E615" s="4"/>
      <c r="F615" s="4"/>
      <c r="G615" s="137"/>
      <c r="H615" s="136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5"/>
      <c r="B616" s="4"/>
      <c r="C616" s="4"/>
      <c r="D616" s="135"/>
      <c r="E616" s="4"/>
      <c r="F616" s="4"/>
      <c r="G616" s="137"/>
      <c r="H616" s="136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5"/>
      <c r="B617" s="4"/>
      <c r="C617" s="4"/>
      <c r="D617" s="135"/>
      <c r="E617" s="4"/>
      <c r="F617" s="4"/>
      <c r="G617" s="137"/>
      <c r="H617" s="136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5"/>
      <c r="B618" s="4"/>
      <c r="C618" s="4"/>
      <c r="D618" s="135"/>
      <c r="E618" s="4"/>
      <c r="F618" s="4"/>
      <c r="G618" s="137"/>
      <c r="H618" s="136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5"/>
      <c r="B619" s="4"/>
      <c r="C619" s="4"/>
      <c r="D619" s="135"/>
      <c r="E619" s="4"/>
      <c r="F619" s="4"/>
      <c r="G619" s="137"/>
      <c r="H619" s="136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5"/>
      <c r="B620" s="4"/>
      <c r="C620" s="4"/>
      <c r="D620" s="135"/>
      <c r="E620" s="4"/>
      <c r="F620" s="4"/>
      <c r="G620" s="137"/>
      <c r="H620" s="136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5"/>
      <c r="B621" s="4"/>
      <c r="C621" s="4"/>
      <c r="D621" s="135"/>
      <c r="E621" s="4"/>
      <c r="F621" s="4"/>
      <c r="G621" s="137"/>
      <c r="H621" s="136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5"/>
      <c r="B622" s="4"/>
      <c r="C622" s="4"/>
      <c r="D622" s="135"/>
      <c r="E622" s="4"/>
      <c r="F622" s="4"/>
      <c r="G622" s="137"/>
      <c r="H622" s="136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5"/>
      <c r="B623" s="4"/>
      <c r="C623" s="4"/>
      <c r="D623" s="135"/>
      <c r="E623" s="4"/>
      <c r="F623" s="4"/>
      <c r="G623" s="137"/>
      <c r="H623" s="136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5"/>
      <c r="B624" s="4"/>
      <c r="C624" s="4"/>
      <c r="D624" s="135"/>
      <c r="E624" s="4"/>
      <c r="F624" s="4"/>
      <c r="G624" s="137"/>
      <c r="H624" s="136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5"/>
      <c r="B625" s="4"/>
      <c r="C625" s="4"/>
      <c r="D625" s="135"/>
      <c r="E625" s="4"/>
      <c r="F625" s="4"/>
      <c r="G625" s="137"/>
      <c r="H625" s="136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5"/>
      <c r="B626" s="4"/>
      <c r="C626" s="4"/>
      <c r="D626" s="135"/>
      <c r="E626" s="4"/>
      <c r="F626" s="4"/>
      <c r="G626" s="137"/>
      <c r="H626" s="136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5"/>
      <c r="B627" s="4"/>
      <c r="C627" s="4"/>
      <c r="D627" s="135"/>
      <c r="E627" s="4"/>
      <c r="F627" s="4"/>
      <c r="G627" s="137"/>
      <c r="H627" s="136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5"/>
      <c r="B628" s="4"/>
      <c r="C628" s="4"/>
      <c r="D628" s="135"/>
      <c r="E628" s="4"/>
      <c r="F628" s="4"/>
      <c r="G628" s="137"/>
      <c r="H628" s="136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5"/>
      <c r="B629" s="4"/>
      <c r="C629" s="4"/>
      <c r="D629" s="135"/>
      <c r="E629" s="4"/>
      <c r="F629" s="4"/>
      <c r="G629" s="137"/>
      <c r="H629" s="136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5"/>
      <c r="B630" s="4"/>
      <c r="C630" s="4"/>
      <c r="D630" s="135"/>
      <c r="E630" s="4"/>
      <c r="F630" s="4"/>
      <c r="G630" s="137"/>
      <c r="H630" s="136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5"/>
      <c r="B631" s="4"/>
      <c r="C631" s="4"/>
      <c r="D631" s="135"/>
      <c r="E631" s="4"/>
      <c r="F631" s="4"/>
      <c r="G631" s="137"/>
      <c r="H631" s="136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5"/>
      <c r="B632" s="4"/>
      <c r="C632" s="4"/>
      <c r="D632" s="135"/>
      <c r="E632" s="4"/>
      <c r="F632" s="4"/>
      <c r="G632" s="137"/>
      <c r="H632" s="136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5"/>
      <c r="B633" s="4"/>
      <c r="C633" s="4"/>
      <c r="D633" s="135"/>
      <c r="E633" s="4"/>
      <c r="F633" s="4"/>
      <c r="G633" s="137"/>
      <c r="H633" s="136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5"/>
      <c r="B634" s="4"/>
      <c r="C634" s="4"/>
      <c r="D634" s="135"/>
      <c r="E634" s="4"/>
      <c r="F634" s="4"/>
      <c r="G634" s="137"/>
      <c r="H634" s="136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5"/>
      <c r="B635" s="4"/>
      <c r="C635" s="4"/>
      <c r="D635" s="135"/>
      <c r="E635" s="4"/>
      <c r="F635" s="4"/>
      <c r="G635" s="137"/>
      <c r="H635" s="136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5"/>
      <c r="B636" s="4"/>
      <c r="C636" s="4"/>
      <c r="D636" s="135"/>
      <c r="E636" s="4"/>
      <c r="F636" s="4"/>
      <c r="G636" s="137"/>
      <c r="H636" s="136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5"/>
      <c r="B637" s="4"/>
      <c r="C637" s="4"/>
      <c r="D637" s="135"/>
      <c r="E637" s="4"/>
      <c r="F637" s="4"/>
      <c r="G637" s="137"/>
      <c r="H637" s="136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5"/>
      <c r="B638" s="4"/>
      <c r="C638" s="4"/>
      <c r="D638" s="135"/>
      <c r="E638" s="4"/>
      <c r="F638" s="4"/>
      <c r="G638" s="137"/>
      <c r="H638" s="136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5"/>
      <c r="B639" s="4"/>
      <c r="C639" s="4"/>
      <c r="D639" s="135"/>
      <c r="E639" s="4"/>
      <c r="F639" s="4"/>
      <c r="G639" s="137"/>
      <c r="H639" s="136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5"/>
      <c r="B640" s="4"/>
      <c r="C640" s="4"/>
      <c r="D640" s="135"/>
      <c r="E640" s="4"/>
      <c r="F640" s="4"/>
      <c r="G640" s="137"/>
      <c r="H640" s="136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5"/>
      <c r="B641" s="4"/>
      <c r="C641" s="4"/>
      <c r="D641" s="135"/>
      <c r="E641" s="4"/>
      <c r="F641" s="4"/>
      <c r="G641" s="137"/>
      <c r="H641" s="136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5"/>
      <c r="B642" s="4"/>
      <c r="C642" s="4"/>
      <c r="D642" s="135"/>
      <c r="E642" s="4"/>
      <c r="F642" s="4"/>
      <c r="G642" s="137"/>
      <c r="H642" s="136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5"/>
      <c r="B643" s="4"/>
      <c r="C643" s="4"/>
      <c r="D643" s="135"/>
      <c r="E643" s="4"/>
      <c r="F643" s="4"/>
      <c r="G643" s="137"/>
      <c r="H643" s="136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5"/>
      <c r="B644" s="4"/>
      <c r="C644" s="4"/>
      <c r="D644" s="135"/>
      <c r="E644" s="4"/>
      <c r="F644" s="4"/>
      <c r="G644" s="137"/>
      <c r="H644" s="136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5"/>
      <c r="B645" s="4"/>
      <c r="C645" s="4"/>
      <c r="D645" s="135"/>
      <c r="E645" s="4"/>
      <c r="F645" s="4"/>
      <c r="G645" s="137"/>
      <c r="H645" s="136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5"/>
      <c r="B646" s="4"/>
      <c r="C646" s="4"/>
      <c r="D646" s="135"/>
      <c r="E646" s="4"/>
      <c r="F646" s="4"/>
      <c r="G646" s="137"/>
      <c r="H646" s="136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5"/>
      <c r="B647" s="4"/>
      <c r="C647" s="4"/>
      <c r="D647" s="135"/>
      <c r="E647" s="4"/>
      <c r="F647" s="4"/>
      <c r="G647" s="137"/>
      <c r="H647" s="136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5"/>
      <c r="B648" s="4"/>
      <c r="C648" s="4"/>
      <c r="D648" s="135"/>
      <c r="E648" s="4"/>
      <c r="F648" s="4"/>
      <c r="G648" s="137"/>
      <c r="H648" s="136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5"/>
      <c r="B649" s="4"/>
      <c r="C649" s="4"/>
      <c r="D649" s="135"/>
      <c r="E649" s="4"/>
      <c r="F649" s="4"/>
      <c r="G649" s="137"/>
      <c r="H649" s="136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5"/>
      <c r="B650" s="4"/>
      <c r="C650" s="4"/>
      <c r="D650" s="135"/>
      <c r="E650" s="4"/>
      <c r="F650" s="4"/>
      <c r="G650" s="137"/>
      <c r="H650" s="136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5"/>
      <c r="B651" s="4"/>
      <c r="C651" s="4"/>
      <c r="D651" s="135"/>
      <c r="E651" s="4"/>
      <c r="F651" s="4"/>
      <c r="G651" s="137"/>
      <c r="H651" s="136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5"/>
      <c r="B652" s="4"/>
      <c r="C652" s="4"/>
      <c r="D652" s="135"/>
      <c r="E652" s="4"/>
      <c r="F652" s="4"/>
      <c r="G652" s="137"/>
      <c r="H652" s="136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5"/>
      <c r="B653" s="4"/>
      <c r="C653" s="4"/>
      <c r="D653" s="135"/>
      <c r="E653" s="4"/>
      <c r="F653" s="4"/>
      <c r="G653" s="137"/>
      <c r="H653" s="136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5"/>
      <c r="B654" s="4"/>
      <c r="C654" s="4"/>
      <c r="D654" s="135"/>
      <c r="E654" s="4"/>
      <c r="F654" s="4"/>
      <c r="G654" s="137"/>
      <c r="H654" s="136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5"/>
      <c r="B655" s="4"/>
      <c r="C655" s="4"/>
      <c r="D655" s="135"/>
      <c r="E655" s="4"/>
      <c r="F655" s="4"/>
      <c r="G655" s="137"/>
      <c r="H655" s="136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5"/>
      <c r="B656" s="4"/>
      <c r="C656" s="4"/>
      <c r="D656" s="135"/>
      <c r="E656" s="4"/>
      <c r="F656" s="4"/>
      <c r="G656" s="137"/>
      <c r="H656" s="136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5"/>
      <c r="B657" s="4"/>
      <c r="C657" s="4"/>
      <c r="D657" s="135"/>
      <c r="E657" s="4"/>
      <c r="F657" s="4"/>
      <c r="G657" s="137"/>
      <c r="H657" s="136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5"/>
      <c r="B658" s="4"/>
      <c r="C658" s="4"/>
      <c r="D658" s="135"/>
      <c r="E658" s="4"/>
      <c r="F658" s="4"/>
      <c r="G658" s="137"/>
      <c r="H658" s="136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5"/>
      <c r="B659" s="4"/>
      <c r="C659" s="4"/>
      <c r="D659" s="135"/>
      <c r="E659" s="4"/>
      <c r="F659" s="4"/>
      <c r="G659" s="137"/>
      <c r="H659" s="136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5"/>
      <c r="B660" s="4"/>
      <c r="C660" s="4"/>
      <c r="D660" s="135"/>
      <c r="E660" s="4"/>
      <c r="F660" s="4"/>
      <c r="G660" s="137"/>
      <c r="H660" s="136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5"/>
      <c r="B661" s="4"/>
      <c r="C661" s="4"/>
      <c r="D661" s="135"/>
      <c r="E661" s="4"/>
      <c r="F661" s="4"/>
      <c r="G661" s="137"/>
      <c r="H661" s="136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5"/>
      <c r="B662" s="4"/>
      <c r="C662" s="4"/>
      <c r="D662" s="135"/>
      <c r="E662" s="4"/>
      <c r="F662" s="4"/>
      <c r="G662" s="137"/>
      <c r="H662" s="136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5"/>
      <c r="B663" s="4"/>
      <c r="C663" s="4"/>
      <c r="D663" s="135"/>
      <c r="E663" s="4"/>
      <c r="F663" s="4"/>
      <c r="G663" s="137"/>
      <c r="H663" s="136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5"/>
      <c r="B664" s="4"/>
      <c r="C664" s="4"/>
      <c r="D664" s="135"/>
      <c r="E664" s="4"/>
      <c r="F664" s="4"/>
      <c r="G664" s="137"/>
      <c r="H664" s="136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5"/>
      <c r="B665" s="4"/>
      <c r="C665" s="4"/>
      <c r="D665" s="135"/>
      <c r="E665" s="4"/>
      <c r="F665" s="4"/>
      <c r="G665" s="137"/>
      <c r="H665" s="136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5"/>
      <c r="B666" s="4"/>
      <c r="C666" s="4"/>
      <c r="D666" s="135"/>
      <c r="E666" s="4"/>
      <c r="F666" s="4"/>
      <c r="G666" s="137"/>
      <c r="H666" s="136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5"/>
      <c r="B667" s="4"/>
      <c r="C667" s="4"/>
      <c r="D667" s="135"/>
      <c r="E667" s="4"/>
      <c r="F667" s="4"/>
      <c r="G667" s="137"/>
      <c r="H667" s="136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5"/>
      <c r="B668" s="4"/>
      <c r="C668" s="4"/>
      <c r="D668" s="135"/>
      <c r="E668" s="4"/>
      <c r="F668" s="4"/>
      <c r="G668" s="137"/>
      <c r="H668" s="136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5"/>
      <c r="B669" s="4"/>
      <c r="C669" s="4"/>
      <c r="D669" s="135"/>
      <c r="E669" s="4"/>
      <c r="F669" s="4"/>
      <c r="G669" s="137"/>
      <c r="H669" s="136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5"/>
      <c r="B670" s="4"/>
      <c r="C670" s="4"/>
      <c r="D670" s="135"/>
      <c r="E670" s="4"/>
      <c r="F670" s="4"/>
      <c r="G670" s="137"/>
      <c r="H670" s="136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5"/>
      <c r="B671" s="4"/>
      <c r="C671" s="4"/>
      <c r="D671" s="135"/>
      <c r="E671" s="4"/>
      <c r="F671" s="4"/>
      <c r="G671" s="137"/>
      <c r="H671" s="136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5"/>
      <c r="B672" s="4"/>
      <c r="C672" s="4"/>
      <c r="D672" s="135"/>
      <c r="E672" s="4"/>
      <c r="F672" s="4"/>
      <c r="G672" s="137"/>
      <c r="H672" s="136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5"/>
      <c r="B673" s="4"/>
      <c r="C673" s="4"/>
      <c r="D673" s="135"/>
      <c r="E673" s="4"/>
      <c r="F673" s="4"/>
      <c r="G673" s="137"/>
      <c r="H673" s="136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5"/>
      <c r="B674" s="4"/>
      <c r="C674" s="4"/>
      <c r="D674" s="135"/>
      <c r="E674" s="4"/>
      <c r="F674" s="4"/>
      <c r="G674" s="137"/>
      <c r="H674" s="136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5"/>
      <c r="B675" s="4"/>
      <c r="C675" s="4"/>
      <c r="D675" s="135"/>
      <c r="E675" s="4"/>
      <c r="F675" s="4"/>
      <c r="G675" s="137"/>
      <c r="H675" s="136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5"/>
      <c r="B676" s="4"/>
      <c r="C676" s="4"/>
      <c r="D676" s="135"/>
      <c r="E676" s="4"/>
      <c r="F676" s="4"/>
      <c r="G676" s="137"/>
      <c r="H676" s="136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5"/>
      <c r="B677" s="4"/>
      <c r="C677" s="4"/>
      <c r="D677" s="135"/>
      <c r="E677" s="4"/>
      <c r="F677" s="4"/>
      <c r="G677" s="137"/>
      <c r="H677" s="136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5"/>
      <c r="B678" s="4"/>
      <c r="C678" s="4"/>
      <c r="D678" s="135"/>
      <c r="E678" s="4"/>
      <c r="F678" s="4"/>
      <c r="G678" s="137"/>
      <c r="H678" s="136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5"/>
      <c r="B679" s="4"/>
      <c r="C679" s="4"/>
      <c r="D679" s="135"/>
      <c r="E679" s="4"/>
      <c r="F679" s="4"/>
      <c r="G679" s="137"/>
      <c r="H679" s="136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5"/>
      <c r="B680" s="4"/>
      <c r="C680" s="4"/>
      <c r="D680" s="135"/>
      <c r="E680" s="4"/>
      <c r="F680" s="4"/>
      <c r="G680" s="137"/>
      <c r="H680" s="136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5"/>
      <c r="B681" s="4"/>
      <c r="C681" s="4"/>
      <c r="D681" s="135"/>
      <c r="E681" s="4"/>
      <c r="F681" s="4"/>
      <c r="G681" s="137"/>
      <c r="H681" s="136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5"/>
      <c r="B682" s="4"/>
      <c r="C682" s="4"/>
      <c r="D682" s="135"/>
      <c r="E682" s="4"/>
      <c r="F682" s="4"/>
      <c r="G682" s="137"/>
      <c r="H682" s="136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5"/>
      <c r="B683" s="4"/>
      <c r="C683" s="4"/>
      <c r="D683" s="135"/>
      <c r="E683" s="4"/>
      <c r="F683" s="4"/>
      <c r="G683" s="137"/>
      <c r="H683" s="136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5"/>
      <c r="B684" s="4"/>
      <c r="C684" s="4"/>
      <c r="D684" s="135"/>
      <c r="E684" s="4"/>
      <c r="F684" s="4"/>
      <c r="G684" s="137"/>
      <c r="H684" s="136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5"/>
      <c r="B685" s="4"/>
      <c r="C685" s="4"/>
      <c r="D685" s="135"/>
      <c r="E685" s="4"/>
      <c r="F685" s="4"/>
      <c r="G685" s="137"/>
      <c r="H685" s="136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5"/>
      <c r="B686" s="4"/>
      <c r="C686" s="4"/>
      <c r="D686" s="135"/>
      <c r="E686" s="4"/>
      <c r="F686" s="4"/>
      <c r="G686" s="137"/>
      <c r="H686" s="136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5"/>
      <c r="B687" s="4"/>
      <c r="C687" s="4"/>
      <c r="D687" s="135"/>
      <c r="E687" s="4"/>
      <c r="F687" s="4"/>
      <c r="G687" s="137"/>
      <c r="H687" s="136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5"/>
      <c r="B688" s="4"/>
      <c r="C688" s="4"/>
      <c r="D688" s="135"/>
      <c r="E688" s="4"/>
      <c r="F688" s="4"/>
      <c r="G688" s="137"/>
      <c r="H688" s="136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5"/>
      <c r="B689" s="4"/>
      <c r="C689" s="4"/>
      <c r="D689" s="135"/>
      <c r="E689" s="4"/>
      <c r="F689" s="4"/>
      <c r="G689" s="137"/>
      <c r="H689" s="136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5"/>
      <c r="B690" s="4"/>
      <c r="C690" s="4"/>
      <c r="D690" s="135"/>
      <c r="E690" s="4"/>
      <c r="F690" s="4"/>
      <c r="G690" s="137"/>
      <c r="H690" s="136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5"/>
      <c r="B691" s="4"/>
      <c r="C691" s="4"/>
      <c r="D691" s="135"/>
      <c r="E691" s="4"/>
      <c r="F691" s="4"/>
      <c r="G691" s="137"/>
      <c r="H691" s="136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5"/>
      <c r="B692" s="4"/>
      <c r="C692" s="4"/>
      <c r="D692" s="135"/>
      <c r="E692" s="4"/>
      <c r="F692" s="4"/>
      <c r="G692" s="137"/>
      <c r="H692" s="136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5"/>
      <c r="B693" s="4"/>
      <c r="C693" s="4"/>
      <c r="D693" s="135"/>
      <c r="E693" s="4"/>
      <c r="F693" s="4"/>
      <c r="G693" s="137"/>
      <c r="H693" s="136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5"/>
      <c r="B694" s="4"/>
      <c r="C694" s="4"/>
      <c r="D694" s="135"/>
      <c r="E694" s="4"/>
      <c r="F694" s="4"/>
      <c r="G694" s="137"/>
      <c r="H694" s="136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5"/>
      <c r="B695" s="4"/>
      <c r="C695" s="4"/>
      <c r="D695" s="135"/>
      <c r="E695" s="4"/>
      <c r="F695" s="4"/>
      <c r="G695" s="137"/>
      <c r="H695" s="136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5"/>
      <c r="B696" s="4"/>
      <c r="C696" s="4"/>
      <c r="D696" s="135"/>
      <c r="E696" s="4"/>
      <c r="F696" s="4"/>
      <c r="G696" s="137"/>
      <c r="H696" s="136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5"/>
      <c r="B697" s="4"/>
      <c r="C697" s="4"/>
      <c r="D697" s="135"/>
      <c r="E697" s="4"/>
      <c r="F697" s="4"/>
      <c r="G697" s="137"/>
      <c r="H697" s="136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5"/>
      <c r="B698" s="4"/>
      <c r="C698" s="4"/>
      <c r="D698" s="135"/>
      <c r="E698" s="4"/>
      <c r="F698" s="4"/>
      <c r="G698" s="137"/>
      <c r="H698" s="136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5"/>
      <c r="B699" s="4"/>
      <c r="C699" s="4"/>
      <c r="D699" s="135"/>
      <c r="E699" s="4"/>
      <c r="F699" s="4"/>
      <c r="G699" s="137"/>
      <c r="H699" s="136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5"/>
      <c r="B700" s="4"/>
      <c r="C700" s="4"/>
      <c r="D700" s="135"/>
      <c r="E700" s="4"/>
      <c r="F700" s="4"/>
      <c r="G700" s="137"/>
      <c r="H700" s="136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5"/>
      <c r="B701" s="4"/>
      <c r="C701" s="4"/>
      <c r="D701" s="135"/>
      <c r="E701" s="4"/>
      <c r="F701" s="4"/>
      <c r="G701" s="137"/>
      <c r="H701" s="136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5"/>
      <c r="B702" s="4"/>
      <c r="C702" s="4"/>
      <c r="D702" s="135"/>
      <c r="E702" s="4"/>
      <c r="F702" s="4"/>
      <c r="G702" s="137"/>
      <c r="H702" s="136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5"/>
      <c r="B703" s="4"/>
      <c r="C703" s="4"/>
      <c r="D703" s="135"/>
      <c r="E703" s="4"/>
      <c r="F703" s="4"/>
      <c r="G703" s="137"/>
      <c r="H703" s="136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5"/>
      <c r="B704" s="4"/>
      <c r="C704" s="4"/>
      <c r="D704" s="135"/>
      <c r="E704" s="4"/>
      <c r="F704" s="4"/>
      <c r="G704" s="137"/>
      <c r="H704" s="136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5"/>
      <c r="B705" s="4"/>
      <c r="C705" s="4"/>
      <c r="D705" s="135"/>
      <c r="E705" s="4"/>
      <c r="F705" s="4"/>
      <c r="G705" s="137"/>
      <c r="H705" s="136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5"/>
      <c r="B706" s="4"/>
      <c r="C706" s="4"/>
      <c r="D706" s="135"/>
      <c r="E706" s="4"/>
      <c r="F706" s="4"/>
      <c r="G706" s="137"/>
      <c r="H706" s="136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5"/>
      <c r="B707" s="4"/>
      <c r="C707" s="4"/>
      <c r="D707" s="135"/>
      <c r="E707" s="4"/>
      <c r="F707" s="4"/>
      <c r="G707" s="137"/>
      <c r="H707" s="136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5"/>
      <c r="B708" s="4"/>
      <c r="C708" s="4"/>
      <c r="D708" s="135"/>
      <c r="E708" s="4"/>
      <c r="F708" s="4"/>
      <c r="G708" s="137"/>
      <c r="H708" s="136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5"/>
      <c r="B709" s="4"/>
      <c r="C709" s="4"/>
      <c r="D709" s="135"/>
      <c r="E709" s="4"/>
      <c r="F709" s="4"/>
      <c r="G709" s="137"/>
      <c r="H709" s="136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5"/>
      <c r="B710" s="4"/>
      <c r="C710" s="4"/>
      <c r="D710" s="135"/>
      <c r="E710" s="4"/>
      <c r="F710" s="4"/>
      <c r="G710" s="137"/>
      <c r="H710" s="136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5"/>
      <c r="B711" s="4"/>
      <c r="C711" s="4"/>
      <c r="D711" s="135"/>
      <c r="E711" s="4"/>
      <c r="F711" s="4"/>
      <c r="G711" s="137"/>
      <c r="H711" s="136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5"/>
      <c r="B712" s="4"/>
      <c r="C712" s="4"/>
      <c r="D712" s="135"/>
      <c r="E712" s="4"/>
      <c r="F712" s="4"/>
      <c r="G712" s="137"/>
      <c r="H712" s="136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5"/>
      <c r="B713" s="4"/>
      <c r="C713" s="4"/>
      <c r="D713" s="135"/>
      <c r="E713" s="4"/>
      <c r="F713" s="4"/>
      <c r="G713" s="137"/>
      <c r="H713" s="136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5"/>
      <c r="B714" s="4"/>
      <c r="C714" s="4"/>
      <c r="D714" s="135"/>
      <c r="E714" s="4"/>
      <c r="F714" s="4"/>
      <c r="G714" s="137"/>
      <c r="H714" s="136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5"/>
      <c r="B715" s="4"/>
      <c r="C715" s="4"/>
      <c r="D715" s="135"/>
      <c r="E715" s="4"/>
      <c r="F715" s="4"/>
      <c r="G715" s="137"/>
      <c r="H715" s="136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5"/>
      <c r="B716" s="4"/>
      <c r="C716" s="4"/>
      <c r="D716" s="135"/>
      <c r="E716" s="4"/>
      <c r="F716" s="4"/>
      <c r="G716" s="137"/>
      <c r="H716" s="136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5"/>
      <c r="B717" s="4"/>
      <c r="C717" s="4"/>
      <c r="D717" s="135"/>
      <c r="E717" s="4"/>
      <c r="F717" s="4"/>
      <c r="G717" s="137"/>
      <c r="H717" s="136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5"/>
      <c r="B718" s="4"/>
      <c r="C718" s="4"/>
      <c r="D718" s="135"/>
      <c r="E718" s="4"/>
      <c r="F718" s="4"/>
      <c r="G718" s="137"/>
      <c r="H718" s="136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5"/>
      <c r="B719" s="4"/>
      <c r="C719" s="4"/>
      <c r="D719" s="135"/>
      <c r="E719" s="4"/>
      <c r="F719" s="4"/>
      <c r="G719" s="137"/>
      <c r="H719" s="136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5"/>
      <c r="B720" s="4"/>
      <c r="C720" s="4"/>
      <c r="D720" s="135"/>
      <c r="E720" s="4"/>
      <c r="F720" s="4"/>
      <c r="G720" s="137"/>
      <c r="H720" s="136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5"/>
      <c r="B721" s="4"/>
      <c r="C721" s="4"/>
      <c r="D721" s="135"/>
      <c r="E721" s="4"/>
      <c r="F721" s="4"/>
      <c r="G721" s="137"/>
      <c r="H721" s="136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5"/>
      <c r="B722" s="4"/>
      <c r="C722" s="4"/>
      <c r="D722" s="135"/>
      <c r="E722" s="4"/>
      <c r="F722" s="4"/>
      <c r="G722" s="137"/>
      <c r="H722" s="136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5"/>
      <c r="B723" s="4"/>
      <c r="C723" s="4"/>
      <c r="D723" s="135"/>
      <c r="E723" s="4"/>
      <c r="F723" s="4"/>
      <c r="G723" s="137"/>
      <c r="H723" s="136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5"/>
      <c r="B724" s="4"/>
      <c r="C724" s="4"/>
      <c r="D724" s="135"/>
      <c r="E724" s="4"/>
      <c r="F724" s="4"/>
      <c r="G724" s="137"/>
      <c r="H724" s="136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5"/>
      <c r="B725" s="4"/>
      <c r="C725" s="4"/>
      <c r="D725" s="135"/>
      <c r="E725" s="4"/>
      <c r="F725" s="4"/>
      <c r="G725" s="137"/>
      <c r="H725" s="136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5"/>
      <c r="B726" s="4"/>
      <c r="C726" s="4"/>
      <c r="D726" s="135"/>
      <c r="E726" s="4"/>
      <c r="F726" s="4"/>
      <c r="G726" s="137"/>
      <c r="H726" s="136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5"/>
      <c r="B727" s="4"/>
      <c r="C727" s="4"/>
      <c r="D727" s="135"/>
      <c r="E727" s="4"/>
      <c r="F727" s="4"/>
      <c r="G727" s="137"/>
      <c r="H727" s="136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5"/>
      <c r="B728" s="4"/>
      <c r="C728" s="4"/>
      <c r="D728" s="135"/>
      <c r="E728" s="4"/>
      <c r="F728" s="4"/>
      <c r="G728" s="137"/>
      <c r="H728" s="136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5"/>
      <c r="B729" s="4"/>
      <c r="C729" s="4"/>
      <c r="D729" s="135"/>
      <c r="E729" s="4"/>
      <c r="F729" s="4"/>
      <c r="G729" s="137"/>
      <c r="H729" s="136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5"/>
      <c r="B730" s="4"/>
      <c r="C730" s="4"/>
      <c r="D730" s="135"/>
      <c r="E730" s="4"/>
      <c r="F730" s="4"/>
      <c r="G730" s="137"/>
      <c r="H730" s="136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5"/>
      <c r="B731" s="4"/>
      <c r="C731" s="4"/>
      <c r="D731" s="135"/>
      <c r="E731" s="4"/>
      <c r="F731" s="4"/>
      <c r="G731" s="137"/>
      <c r="H731" s="136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5"/>
      <c r="B732" s="4"/>
      <c r="C732" s="4"/>
      <c r="D732" s="135"/>
      <c r="E732" s="4"/>
      <c r="F732" s="4"/>
      <c r="G732" s="137"/>
      <c r="H732" s="136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5"/>
      <c r="B733" s="4"/>
      <c r="C733" s="4"/>
      <c r="D733" s="135"/>
      <c r="E733" s="4"/>
      <c r="F733" s="4"/>
      <c r="G733" s="137"/>
      <c r="H733" s="136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5"/>
      <c r="B734" s="4"/>
      <c r="C734" s="4"/>
      <c r="D734" s="135"/>
      <c r="E734" s="4"/>
      <c r="F734" s="4"/>
      <c r="G734" s="137"/>
      <c r="H734" s="136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5"/>
      <c r="B735" s="4"/>
      <c r="C735" s="4"/>
      <c r="D735" s="135"/>
      <c r="E735" s="4"/>
      <c r="F735" s="4"/>
      <c r="G735" s="137"/>
      <c r="H735" s="136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5"/>
      <c r="B736" s="4"/>
      <c r="C736" s="4"/>
      <c r="D736" s="135"/>
      <c r="E736" s="4"/>
      <c r="F736" s="4"/>
      <c r="G736" s="137"/>
      <c r="H736" s="136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5"/>
      <c r="B737" s="4"/>
      <c r="C737" s="4"/>
      <c r="D737" s="135"/>
      <c r="E737" s="4"/>
      <c r="F737" s="4"/>
      <c r="G737" s="137"/>
      <c r="H737" s="136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5"/>
      <c r="B738" s="4"/>
      <c r="C738" s="4"/>
      <c r="D738" s="135"/>
      <c r="E738" s="4"/>
      <c r="F738" s="4"/>
      <c r="G738" s="137"/>
      <c r="H738" s="136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5"/>
      <c r="B739" s="4"/>
      <c r="C739" s="4"/>
      <c r="D739" s="135"/>
      <c r="E739" s="4"/>
      <c r="F739" s="4"/>
      <c r="G739" s="137"/>
      <c r="H739" s="136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5"/>
      <c r="B740" s="4"/>
      <c r="C740" s="4"/>
      <c r="D740" s="135"/>
      <c r="E740" s="4"/>
      <c r="F740" s="4"/>
      <c r="G740" s="137"/>
      <c r="H740" s="136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5"/>
      <c r="B741" s="4"/>
      <c r="C741" s="4"/>
      <c r="D741" s="135"/>
      <c r="E741" s="4"/>
      <c r="F741" s="4"/>
      <c r="G741" s="137"/>
      <c r="H741" s="136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5"/>
      <c r="B742" s="4"/>
      <c r="C742" s="4"/>
      <c r="D742" s="135"/>
      <c r="E742" s="4"/>
      <c r="F742" s="4"/>
      <c r="G742" s="137"/>
      <c r="H742" s="136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5"/>
      <c r="B743" s="4"/>
      <c r="C743" s="4"/>
      <c r="D743" s="135"/>
      <c r="E743" s="4"/>
      <c r="F743" s="4"/>
      <c r="G743" s="137"/>
      <c r="H743" s="136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5"/>
      <c r="B744" s="4"/>
      <c r="C744" s="4"/>
      <c r="D744" s="135"/>
      <c r="E744" s="4"/>
      <c r="F744" s="4"/>
      <c r="G744" s="137"/>
      <c r="H744" s="136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5"/>
      <c r="B745" s="4"/>
      <c r="C745" s="4"/>
      <c r="D745" s="135"/>
      <c r="E745" s="4"/>
      <c r="F745" s="4"/>
      <c r="G745" s="137"/>
      <c r="H745" s="136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5"/>
      <c r="B746" s="4"/>
      <c r="C746" s="4"/>
      <c r="D746" s="135"/>
      <c r="E746" s="4"/>
      <c r="F746" s="4"/>
      <c r="G746" s="137"/>
      <c r="H746" s="136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5"/>
      <c r="B747" s="4"/>
      <c r="C747" s="4"/>
      <c r="D747" s="135"/>
      <c r="E747" s="4"/>
      <c r="F747" s="4"/>
      <c r="G747" s="137"/>
      <c r="H747" s="136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5"/>
      <c r="B748" s="4"/>
      <c r="C748" s="4"/>
      <c r="D748" s="135"/>
      <c r="E748" s="4"/>
      <c r="F748" s="4"/>
      <c r="G748" s="137"/>
      <c r="H748" s="136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5"/>
      <c r="B749" s="4"/>
      <c r="C749" s="4"/>
      <c r="D749" s="135"/>
      <c r="E749" s="4"/>
      <c r="F749" s="4"/>
      <c r="G749" s="137"/>
      <c r="H749" s="136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5"/>
      <c r="B750" s="4"/>
      <c r="C750" s="4"/>
      <c r="D750" s="135"/>
      <c r="E750" s="4"/>
      <c r="F750" s="4"/>
      <c r="G750" s="137"/>
      <c r="H750" s="136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5"/>
      <c r="B751" s="4"/>
      <c r="C751" s="4"/>
      <c r="D751" s="135"/>
      <c r="E751" s="4"/>
      <c r="F751" s="4"/>
      <c r="G751" s="137"/>
      <c r="H751" s="136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5"/>
      <c r="B752" s="4"/>
      <c r="C752" s="4"/>
      <c r="D752" s="135"/>
      <c r="E752" s="4"/>
      <c r="F752" s="4"/>
      <c r="G752" s="137"/>
      <c r="H752" s="136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5"/>
      <c r="B753" s="4"/>
      <c r="C753" s="4"/>
      <c r="D753" s="135"/>
      <c r="E753" s="4"/>
      <c r="F753" s="4"/>
      <c r="G753" s="137"/>
      <c r="H753" s="136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5"/>
      <c r="B754" s="4"/>
      <c r="C754" s="4"/>
      <c r="D754" s="135"/>
      <c r="E754" s="4"/>
      <c r="F754" s="4"/>
      <c r="G754" s="137"/>
      <c r="H754" s="136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5"/>
      <c r="B755" s="4"/>
      <c r="C755" s="4"/>
      <c r="D755" s="135"/>
      <c r="E755" s="4"/>
      <c r="F755" s="4"/>
      <c r="G755" s="137"/>
      <c r="H755" s="136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5"/>
      <c r="B756" s="4"/>
      <c r="C756" s="4"/>
      <c r="D756" s="135"/>
      <c r="E756" s="4"/>
      <c r="F756" s="4"/>
      <c r="G756" s="137"/>
      <c r="H756" s="136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5"/>
      <c r="B757" s="4"/>
      <c r="C757" s="4"/>
      <c r="D757" s="135"/>
      <c r="E757" s="4"/>
      <c r="F757" s="4"/>
      <c r="G757" s="137"/>
      <c r="H757" s="136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5"/>
      <c r="B758" s="4"/>
      <c r="C758" s="4"/>
      <c r="D758" s="135"/>
      <c r="E758" s="4"/>
      <c r="F758" s="4"/>
      <c r="G758" s="137"/>
      <c r="H758" s="136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5"/>
      <c r="B759" s="4"/>
      <c r="C759" s="4"/>
      <c r="D759" s="135"/>
      <c r="E759" s="4"/>
      <c r="F759" s="4"/>
      <c r="G759" s="137"/>
      <c r="H759" s="136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5"/>
      <c r="B760" s="4"/>
      <c r="C760" s="4"/>
      <c r="D760" s="135"/>
      <c r="E760" s="4"/>
      <c r="F760" s="4"/>
      <c r="G760" s="137"/>
      <c r="H760" s="136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5"/>
      <c r="B761" s="4"/>
      <c r="C761" s="4"/>
      <c r="D761" s="135"/>
      <c r="E761" s="4"/>
      <c r="F761" s="4"/>
      <c r="G761" s="137"/>
      <c r="H761" s="136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5"/>
      <c r="B762" s="4"/>
      <c r="C762" s="4"/>
      <c r="D762" s="135"/>
      <c r="E762" s="4"/>
      <c r="F762" s="4"/>
      <c r="G762" s="137"/>
      <c r="H762" s="136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5"/>
      <c r="B763" s="4"/>
      <c r="C763" s="4"/>
      <c r="D763" s="135"/>
      <c r="E763" s="4"/>
      <c r="F763" s="4"/>
      <c r="G763" s="137"/>
      <c r="H763" s="136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5"/>
      <c r="B764" s="4"/>
      <c r="C764" s="4"/>
      <c r="D764" s="135"/>
      <c r="E764" s="4"/>
      <c r="F764" s="4"/>
      <c r="G764" s="137"/>
      <c r="H764" s="136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5"/>
      <c r="B765" s="4"/>
      <c r="C765" s="4"/>
      <c r="D765" s="135"/>
      <c r="E765" s="4"/>
      <c r="F765" s="4"/>
      <c r="G765" s="137"/>
      <c r="H765" s="136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5"/>
      <c r="B766" s="4"/>
      <c r="C766" s="4"/>
      <c r="D766" s="135"/>
      <c r="E766" s="4"/>
      <c r="F766" s="4"/>
      <c r="G766" s="137"/>
      <c r="H766" s="136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5"/>
      <c r="B767" s="4"/>
      <c r="C767" s="4"/>
      <c r="D767" s="135"/>
      <c r="E767" s="4"/>
      <c r="F767" s="4"/>
      <c r="G767" s="137"/>
      <c r="H767" s="136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5"/>
      <c r="B768" s="4"/>
      <c r="C768" s="4"/>
      <c r="D768" s="135"/>
      <c r="E768" s="4"/>
      <c r="F768" s="4"/>
      <c r="G768" s="137"/>
      <c r="H768" s="136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5"/>
      <c r="B769" s="4"/>
      <c r="C769" s="4"/>
      <c r="D769" s="135"/>
      <c r="E769" s="4"/>
      <c r="F769" s="4"/>
      <c r="G769" s="137"/>
      <c r="H769" s="136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5"/>
      <c r="B770" s="4"/>
      <c r="C770" s="4"/>
      <c r="D770" s="135"/>
      <c r="E770" s="4"/>
      <c r="F770" s="4"/>
      <c r="G770" s="137"/>
      <c r="H770" s="136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5"/>
      <c r="B771" s="4"/>
      <c r="C771" s="4"/>
      <c r="D771" s="135"/>
      <c r="E771" s="4"/>
      <c r="F771" s="4"/>
      <c r="G771" s="137"/>
      <c r="H771" s="136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5"/>
      <c r="B772" s="4"/>
      <c r="C772" s="4"/>
      <c r="D772" s="135"/>
      <c r="E772" s="4"/>
      <c r="F772" s="4"/>
      <c r="G772" s="137"/>
      <c r="H772" s="136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5"/>
      <c r="B773" s="4"/>
      <c r="C773" s="4"/>
      <c r="D773" s="135"/>
      <c r="E773" s="4"/>
      <c r="F773" s="4"/>
      <c r="G773" s="137"/>
      <c r="H773" s="136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5"/>
      <c r="B774" s="4"/>
      <c r="C774" s="4"/>
      <c r="D774" s="135"/>
      <c r="E774" s="4"/>
      <c r="F774" s="4"/>
      <c r="G774" s="137"/>
      <c r="H774" s="136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5"/>
      <c r="B775" s="4"/>
      <c r="C775" s="4"/>
      <c r="D775" s="135"/>
      <c r="E775" s="4"/>
      <c r="F775" s="4"/>
      <c r="G775" s="137"/>
      <c r="H775" s="136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5"/>
      <c r="B776" s="4"/>
      <c r="C776" s="4"/>
      <c r="D776" s="135"/>
      <c r="E776" s="4"/>
      <c r="F776" s="4"/>
      <c r="G776" s="137"/>
      <c r="H776" s="136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5"/>
      <c r="B777" s="4"/>
      <c r="C777" s="4"/>
      <c r="D777" s="135"/>
      <c r="E777" s="4"/>
      <c r="F777" s="4"/>
      <c r="G777" s="137"/>
      <c r="H777" s="136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5"/>
      <c r="B778" s="4"/>
      <c r="C778" s="4"/>
      <c r="D778" s="135"/>
      <c r="E778" s="4"/>
      <c r="F778" s="4"/>
      <c r="G778" s="137"/>
      <c r="H778" s="136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5"/>
      <c r="B779" s="4"/>
      <c r="C779" s="4"/>
      <c r="D779" s="135"/>
      <c r="E779" s="4"/>
      <c r="F779" s="4"/>
      <c r="G779" s="137"/>
      <c r="H779" s="136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5"/>
      <c r="B780" s="4"/>
      <c r="C780" s="4"/>
      <c r="D780" s="135"/>
      <c r="E780" s="4"/>
      <c r="F780" s="4"/>
      <c r="G780" s="137"/>
      <c r="H780" s="136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5"/>
      <c r="B781" s="4"/>
      <c r="C781" s="4"/>
      <c r="D781" s="135"/>
      <c r="E781" s="4"/>
      <c r="F781" s="4"/>
      <c r="G781" s="137"/>
      <c r="H781" s="136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5"/>
      <c r="B782" s="4"/>
      <c r="C782" s="4"/>
      <c r="D782" s="135"/>
      <c r="E782" s="4"/>
      <c r="F782" s="4"/>
      <c r="G782" s="137"/>
      <c r="H782" s="136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5"/>
      <c r="B783" s="4"/>
      <c r="C783" s="4"/>
      <c r="D783" s="135"/>
      <c r="E783" s="4"/>
      <c r="F783" s="4"/>
      <c r="G783" s="137"/>
      <c r="H783" s="136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5"/>
      <c r="B784" s="4"/>
      <c r="C784" s="4"/>
      <c r="D784" s="135"/>
      <c r="E784" s="4"/>
      <c r="F784" s="4"/>
      <c r="G784" s="137"/>
      <c r="H784" s="136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5"/>
      <c r="B785" s="4"/>
      <c r="C785" s="4"/>
      <c r="D785" s="135"/>
      <c r="E785" s="4"/>
      <c r="F785" s="4"/>
      <c r="G785" s="137"/>
      <c r="H785" s="136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5"/>
      <c r="B786" s="4"/>
      <c r="C786" s="4"/>
      <c r="D786" s="135"/>
      <c r="E786" s="4"/>
      <c r="F786" s="4"/>
      <c r="G786" s="137"/>
      <c r="H786" s="136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5"/>
      <c r="B787" s="4"/>
      <c r="C787" s="4"/>
      <c r="D787" s="135"/>
      <c r="E787" s="4"/>
      <c r="F787" s="4"/>
      <c r="G787" s="137"/>
      <c r="H787" s="136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5"/>
      <c r="B788" s="4"/>
      <c r="C788" s="4"/>
      <c r="D788" s="135"/>
      <c r="E788" s="4"/>
      <c r="F788" s="4"/>
      <c r="G788" s="137"/>
      <c r="H788" s="136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5"/>
      <c r="B789" s="4"/>
      <c r="C789" s="4"/>
      <c r="D789" s="135"/>
      <c r="E789" s="4"/>
      <c r="F789" s="4"/>
      <c r="G789" s="137"/>
      <c r="H789" s="136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5"/>
      <c r="B790" s="4"/>
      <c r="C790" s="4"/>
      <c r="D790" s="135"/>
      <c r="E790" s="4"/>
      <c r="F790" s="4"/>
      <c r="G790" s="137"/>
      <c r="H790" s="136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5"/>
      <c r="B791" s="4"/>
      <c r="C791" s="4"/>
      <c r="D791" s="135"/>
      <c r="E791" s="4"/>
      <c r="F791" s="4"/>
      <c r="G791" s="137"/>
      <c r="H791" s="136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5"/>
      <c r="B792" s="4"/>
      <c r="C792" s="4"/>
      <c r="D792" s="135"/>
      <c r="E792" s="4"/>
      <c r="F792" s="4"/>
      <c r="G792" s="137"/>
      <c r="H792" s="136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5"/>
      <c r="B793" s="4"/>
      <c r="C793" s="4"/>
      <c r="D793" s="135"/>
      <c r="E793" s="4"/>
      <c r="F793" s="4"/>
      <c r="G793" s="137"/>
      <c r="H793" s="136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5"/>
      <c r="B794" s="4"/>
      <c r="C794" s="4"/>
      <c r="D794" s="135"/>
      <c r="E794" s="4"/>
      <c r="F794" s="4"/>
      <c r="G794" s="137"/>
      <c r="H794" s="136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5"/>
      <c r="B795" s="4"/>
      <c r="C795" s="4"/>
      <c r="D795" s="135"/>
      <c r="E795" s="4"/>
      <c r="F795" s="4"/>
      <c r="G795" s="137"/>
      <c r="H795" s="136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5"/>
      <c r="B796" s="4"/>
      <c r="C796" s="4"/>
      <c r="D796" s="135"/>
      <c r="E796" s="4"/>
      <c r="F796" s="4"/>
      <c r="G796" s="137"/>
      <c r="H796" s="136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5"/>
      <c r="B797" s="4"/>
      <c r="C797" s="4"/>
      <c r="D797" s="135"/>
      <c r="E797" s="4"/>
      <c r="F797" s="4"/>
      <c r="G797" s="137"/>
      <c r="H797" s="136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5"/>
      <c r="B798" s="4"/>
      <c r="C798" s="4"/>
      <c r="D798" s="135"/>
      <c r="E798" s="4"/>
      <c r="F798" s="4"/>
      <c r="G798" s="137"/>
      <c r="H798" s="136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5"/>
      <c r="B799" s="4"/>
      <c r="C799" s="4"/>
      <c r="D799" s="135"/>
      <c r="E799" s="4"/>
      <c r="F799" s="4"/>
      <c r="G799" s="137"/>
      <c r="H799" s="136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5"/>
      <c r="B800" s="4"/>
      <c r="C800" s="4"/>
      <c r="D800" s="135"/>
      <c r="E800" s="4"/>
      <c r="F800" s="4"/>
      <c r="G800" s="137"/>
      <c r="H800" s="136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5"/>
      <c r="B801" s="4"/>
      <c r="C801" s="4"/>
      <c r="D801" s="135"/>
      <c r="E801" s="4"/>
      <c r="F801" s="4"/>
      <c r="G801" s="137"/>
      <c r="H801" s="136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5"/>
      <c r="B802" s="4"/>
      <c r="C802" s="4"/>
      <c r="D802" s="135"/>
      <c r="E802" s="4"/>
      <c r="F802" s="4"/>
      <c r="G802" s="137"/>
      <c r="H802" s="136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5"/>
      <c r="B803" s="4"/>
      <c r="C803" s="4"/>
      <c r="D803" s="135"/>
      <c r="E803" s="4"/>
      <c r="F803" s="4"/>
      <c r="G803" s="137"/>
      <c r="H803" s="136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5"/>
      <c r="B804" s="4"/>
      <c r="C804" s="4"/>
      <c r="D804" s="135"/>
      <c r="E804" s="4"/>
      <c r="F804" s="4"/>
      <c r="G804" s="137"/>
      <c r="H804" s="136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5"/>
      <c r="B805" s="4"/>
      <c r="C805" s="4"/>
      <c r="D805" s="135"/>
      <c r="E805" s="4"/>
      <c r="F805" s="4"/>
      <c r="G805" s="137"/>
      <c r="H805" s="136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5"/>
      <c r="B806" s="4"/>
      <c r="C806" s="4"/>
      <c r="D806" s="135"/>
      <c r="E806" s="4"/>
      <c r="F806" s="4"/>
      <c r="G806" s="137"/>
      <c r="H806" s="136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5"/>
      <c r="B807" s="4"/>
      <c r="C807" s="4"/>
      <c r="D807" s="135"/>
      <c r="E807" s="4"/>
      <c r="F807" s="4"/>
      <c r="G807" s="137"/>
      <c r="H807" s="136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5"/>
      <c r="B808" s="4"/>
      <c r="C808" s="4"/>
      <c r="D808" s="135"/>
      <c r="E808" s="4"/>
      <c r="F808" s="4"/>
      <c r="G808" s="137"/>
      <c r="H808" s="136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5"/>
      <c r="B809" s="4"/>
      <c r="C809" s="4"/>
      <c r="D809" s="135"/>
      <c r="E809" s="4"/>
      <c r="F809" s="4"/>
      <c r="G809" s="137"/>
      <c r="H809" s="136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5"/>
      <c r="B810" s="4"/>
      <c r="C810" s="4"/>
      <c r="D810" s="135"/>
      <c r="E810" s="4"/>
      <c r="F810" s="4"/>
      <c r="G810" s="137"/>
      <c r="H810" s="136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5"/>
      <c r="B811" s="4"/>
      <c r="C811" s="4"/>
      <c r="D811" s="135"/>
      <c r="E811" s="4"/>
      <c r="F811" s="4"/>
      <c r="G811" s="137"/>
      <c r="H811" s="136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5"/>
      <c r="B812" s="4"/>
      <c r="C812" s="4"/>
      <c r="D812" s="135"/>
      <c r="E812" s="4"/>
      <c r="F812" s="4"/>
      <c r="G812" s="137"/>
      <c r="H812" s="136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5"/>
      <c r="B813" s="4"/>
      <c r="C813" s="4"/>
      <c r="D813" s="135"/>
      <c r="E813" s="4"/>
      <c r="F813" s="4"/>
      <c r="G813" s="137"/>
      <c r="H813" s="136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5"/>
      <c r="B814" s="4"/>
      <c r="C814" s="4"/>
      <c r="D814" s="135"/>
      <c r="E814" s="4"/>
      <c r="F814" s="4"/>
      <c r="G814" s="137"/>
      <c r="H814" s="136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5"/>
      <c r="B815" s="4"/>
      <c r="C815" s="4"/>
      <c r="D815" s="135"/>
      <c r="E815" s="4"/>
      <c r="F815" s="4"/>
      <c r="G815" s="137"/>
      <c r="H815" s="136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5"/>
      <c r="B816" s="4"/>
      <c r="C816" s="4"/>
      <c r="D816" s="135"/>
      <c r="E816" s="4"/>
      <c r="F816" s="4"/>
      <c r="G816" s="137"/>
      <c r="H816" s="136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5"/>
      <c r="B817" s="4"/>
      <c r="C817" s="4"/>
      <c r="D817" s="135"/>
      <c r="E817" s="4"/>
      <c r="F817" s="4"/>
      <c r="G817" s="137"/>
      <c r="H817" s="136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5"/>
      <c r="B818" s="4"/>
      <c r="C818" s="4"/>
      <c r="D818" s="135"/>
      <c r="E818" s="4"/>
      <c r="F818" s="4"/>
      <c r="G818" s="137"/>
      <c r="H818" s="136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5"/>
      <c r="B819" s="4"/>
      <c r="C819" s="4"/>
      <c r="D819" s="135"/>
      <c r="E819" s="4"/>
      <c r="F819" s="4"/>
      <c r="G819" s="137"/>
      <c r="H819" s="136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5"/>
      <c r="B820" s="4"/>
      <c r="C820" s="4"/>
      <c r="D820" s="135"/>
      <c r="E820" s="4"/>
      <c r="F820" s="4"/>
      <c r="G820" s="137"/>
      <c r="H820" s="136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5"/>
      <c r="B821" s="4"/>
      <c r="C821" s="4"/>
      <c r="D821" s="135"/>
      <c r="E821" s="4"/>
      <c r="F821" s="4"/>
      <c r="G821" s="137"/>
      <c r="H821" s="136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5"/>
      <c r="B822" s="4"/>
      <c r="C822" s="4"/>
      <c r="D822" s="135"/>
      <c r="E822" s="4"/>
      <c r="F822" s="4"/>
      <c r="G822" s="137"/>
      <c r="H822" s="136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5"/>
      <c r="B823" s="4"/>
      <c r="C823" s="4"/>
      <c r="D823" s="135"/>
      <c r="E823" s="4"/>
      <c r="F823" s="4"/>
      <c r="G823" s="137"/>
      <c r="H823" s="136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5"/>
      <c r="B824" s="4"/>
      <c r="C824" s="4"/>
      <c r="D824" s="135"/>
      <c r="E824" s="4"/>
      <c r="F824" s="4"/>
      <c r="G824" s="137"/>
      <c r="H824" s="136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5"/>
      <c r="B825" s="4"/>
      <c r="C825" s="4"/>
      <c r="D825" s="135"/>
      <c r="E825" s="4"/>
      <c r="F825" s="4"/>
      <c r="G825" s="137"/>
      <c r="H825" s="136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5"/>
      <c r="B826" s="4"/>
      <c r="C826" s="4"/>
      <c r="D826" s="135"/>
      <c r="E826" s="4"/>
      <c r="F826" s="4"/>
      <c r="G826" s="137"/>
      <c r="H826" s="136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5"/>
      <c r="B827" s="4"/>
      <c r="C827" s="4"/>
      <c r="D827" s="135"/>
      <c r="E827" s="4"/>
      <c r="F827" s="4"/>
      <c r="G827" s="137"/>
      <c r="H827" s="136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5"/>
      <c r="B828" s="4"/>
      <c r="C828" s="4"/>
      <c r="D828" s="135"/>
      <c r="E828" s="4"/>
      <c r="F828" s="4"/>
      <c r="G828" s="137"/>
      <c r="H828" s="136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5"/>
      <c r="B829" s="4"/>
      <c r="C829" s="4"/>
      <c r="D829" s="135"/>
      <c r="E829" s="4"/>
      <c r="F829" s="4"/>
      <c r="G829" s="137"/>
      <c r="H829" s="136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5"/>
      <c r="B830" s="4"/>
      <c r="C830" s="4"/>
      <c r="D830" s="135"/>
      <c r="E830" s="4"/>
      <c r="F830" s="4"/>
      <c r="G830" s="137"/>
      <c r="H830" s="136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5"/>
      <c r="B831" s="4"/>
      <c r="C831" s="4"/>
      <c r="D831" s="135"/>
      <c r="E831" s="4"/>
      <c r="F831" s="4"/>
      <c r="G831" s="137"/>
      <c r="H831" s="136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5"/>
      <c r="B832" s="4"/>
      <c r="C832" s="4"/>
      <c r="D832" s="135"/>
      <c r="E832" s="4"/>
      <c r="F832" s="4"/>
      <c r="G832" s="137"/>
      <c r="H832" s="136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5"/>
      <c r="B833" s="4"/>
      <c r="C833" s="4"/>
      <c r="D833" s="135"/>
      <c r="E833" s="4"/>
      <c r="F833" s="4"/>
      <c r="G833" s="137"/>
      <c r="H833" s="136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5"/>
      <c r="B834" s="4"/>
      <c r="C834" s="4"/>
      <c r="D834" s="135"/>
      <c r="E834" s="4"/>
      <c r="F834" s="4"/>
      <c r="G834" s="137"/>
      <c r="H834" s="136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5"/>
      <c r="B835" s="4"/>
      <c r="C835" s="4"/>
      <c r="D835" s="135"/>
      <c r="E835" s="4"/>
      <c r="F835" s="4"/>
      <c r="G835" s="137"/>
      <c r="H835" s="136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5"/>
      <c r="B836" s="4"/>
      <c r="C836" s="4"/>
      <c r="D836" s="135"/>
      <c r="E836" s="4"/>
      <c r="F836" s="4"/>
      <c r="G836" s="137"/>
      <c r="H836" s="136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5"/>
      <c r="B837" s="4"/>
      <c r="C837" s="4"/>
      <c r="D837" s="135"/>
      <c r="E837" s="4"/>
      <c r="F837" s="4"/>
      <c r="G837" s="137"/>
      <c r="H837" s="136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5"/>
      <c r="B838" s="4"/>
      <c r="C838" s="4"/>
      <c r="D838" s="135"/>
      <c r="E838" s="4"/>
      <c r="F838" s="4"/>
      <c r="G838" s="137"/>
      <c r="H838" s="136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5"/>
      <c r="B839" s="4"/>
      <c r="C839" s="4"/>
      <c r="D839" s="135"/>
      <c r="E839" s="4"/>
      <c r="F839" s="4"/>
      <c r="G839" s="137"/>
      <c r="H839" s="136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5"/>
      <c r="B840" s="4"/>
      <c r="C840" s="4"/>
      <c r="D840" s="135"/>
      <c r="E840" s="4"/>
      <c r="F840" s="4"/>
      <c r="G840" s="137"/>
      <c r="H840" s="136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5"/>
      <c r="B841" s="4"/>
      <c r="C841" s="4"/>
      <c r="D841" s="135"/>
      <c r="E841" s="4"/>
      <c r="F841" s="4"/>
      <c r="G841" s="137"/>
      <c r="H841" s="136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5"/>
      <c r="B842" s="4"/>
      <c r="C842" s="4"/>
      <c r="D842" s="135"/>
      <c r="E842" s="4"/>
      <c r="F842" s="4"/>
      <c r="G842" s="137"/>
      <c r="H842" s="136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5"/>
      <c r="B843" s="4"/>
      <c r="C843" s="4"/>
      <c r="D843" s="135"/>
      <c r="E843" s="4"/>
      <c r="F843" s="4"/>
      <c r="G843" s="137"/>
      <c r="H843" s="136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5"/>
      <c r="B844" s="4"/>
      <c r="C844" s="4"/>
      <c r="D844" s="135"/>
      <c r="E844" s="4"/>
      <c r="F844" s="4"/>
      <c r="G844" s="137"/>
      <c r="H844" s="136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5"/>
      <c r="B845" s="4"/>
      <c r="C845" s="4"/>
      <c r="D845" s="135"/>
      <c r="E845" s="4"/>
      <c r="F845" s="4"/>
      <c r="G845" s="137"/>
      <c r="H845" s="136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5"/>
      <c r="B846" s="4"/>
      <c r="C846" s="4"/>
      <c r="D846" s="135"/>
      <c r="E846" s="4"/>
      <c r="F846" s="4"/>
      <c r="G846" s="137"/>
      <c r="H846" s="136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5"/>
      <c r="B847" s="4"/>
      <c r="C847" s="4"/>
      <c r="D847" s="135"/>
      <c r="E847" s="4"/>
      <c r="F847" s="4"/>
      <c r="G847" s="137"/>
      <c r="H847" s="136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5"/>
      <c r="B848" s="4"/>
      <c r="C848" s="4"/>
      <c r="D848" s="135"/>
      <c r="E848" s="4"/>
      <c r="F848" s="4"/>
      <c r="G848" s="137"/>
      <c r="H848" s="136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5"/>
      <c r="B849" s="4"/>
      <c r="C849" s="4"/>
      <c r="D849" s="135"/>
      <c r="E849" s="4"/>
      <c r="F849" s="4"/>
      <c r="G849" s="137"/>
      <c r="H849" s="136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5"/>
      <c r="B850" s="4"/>
      <c r="C850" s="4"/>
      <c r="D850" s="135"/>
      <c r="E850" s="4"/>
      <c r="F850" s="4"/>
      <c r="G850" s="137"/>
      <c r="H850" s="136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5"/>
      <c r="B851" s="4"/>
      <c r="C851" s="4"/>
      <c r="D851" s="135"/>
      <c r="E851" s="4"/>
      <c r="F851" s="4"/>
      <c r="G851" s="137"/>
      <c r="H851" s="136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5"/>
      <c r="B852" s="4"/>
      <c r="C852" s="4"/>
      <c r="D852" s="135"/>
      <c r="E852" s="4"/>
      <c r="F852" s="4"/>
      <c r="G852" s="137"/>
      <c r="H852" s="136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5"/>
      <c r="B853" s="4"/>
      <c r="C853" s="4"/>
      <c r="D853" s="135"/>
      <c r="E853" s="4"/>
      <c r="F853" s="4"/>
      <c r="G853" s="137"/>
      <c r="H853" s="136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5"/>
      <c r="B854" s="4"/>
      <c r="C854" s="4"/>
      <c r="D854" s="135"/>
      <c r="E854" s="4"/>
      <c r="F854" s="4"/>
      <c r="G854" s="137"/>
      <c r="H854" s="136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5"/>
      <c r="B855" s="4"/>
      <c r="C855" s="4"/>
      <c r="D855" s="135"/>
      <c r="E855" s="4"/>
      <c r="F855" s="4"/>
      <c r="G855" s="137"/>
      <c r="H855" s="136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5"/>
      <c r="B856" s="4"/>
      <c r="C856" s="4"/>
      <c r="D856" s="135"/>
      <c r="E856" s="4"/>
      <c r="F856" s="4"/>
      <c r="G856" s="137"/>
      <c r="H856" s="136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5"/>
      <c r="B857" s="4"/>
      <c r="C857" s="4"/>
      <c r="D857" s="135"/>
      <c r="E857" s="4"/>
      <c r="F857" s="4"/>
      <c r="G857" s="137"/>
      <c r="H857" s="136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5"/>
      <c r="B858" s="4"/>
      <c r="C858" s="4"/>
      <c r="D858" s="135"/>
      <c r="E858" s="4"/>
      <c r="F858" s="4"/>
      <c r="G858" s="137"/>
      <c r="H858" s="136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5"/>
      <c r="B859" s="4"/>
      <c r="C859" s="4"/>
      <c r="D859" s="135"/>
      <c r="E859" s="4"/>
      <c r="F859" s="4"/>
      <c r="G859" s="137"/>
      <c r="H859" s="136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5"/>
      <c r="B860" s="4"/>
      <c r="C860" s="4"/>
      <c r="D860" s="135"/>
      <c r="E860" s="4"/>
      <c r="F860" s="4"/>
      <c r="G860" s="137"/>
      <c r="H860" s="136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5"/>
      <c r="B861" s="4"/>
      <c r="C861" s="4"/>
      <c r="D861" s="135"/>
      <c r="E861" s="4"/>
      <c r="F861" s="4"/>
      <c r="G861" s="137"/>
      <c r="H861" s="136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5"/>
      <c r="B862" s="4"/>
      <c r="C862" s="4"/>
      <c r="D862" s="135"/>
      <c r="E862" s="4"/>
      <c r="F862" s="4"/>
      <c r="G862" s="137"/>
      <c r="H862" s="136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5"/>
      <c r="B863" s="4"/>
      <c r="C863" s="4"/>
      <c r="D863" s="135"/>
      <c r="E863" s="4"/>
      <c r="F863" s="4"/>
      <c r="G863" s="137"/>
      <c r="H863" s="136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5"/>
      <c r="B864" s="4"/>
      <c r="C864" s="4"/>
      <c r="D864" s="135"/>
      <c r="E864" s="4"/>
      <c r="F864" s="4"/>
      <c r="G864" s="137"/>
      <c r="H864" s="136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5"/>
      <c r="B865" s="4"/>
      <c r="C865" s="4"/>
      <c r="D865" s="135"/>
      <c r="E865" s="4"/>
      <c r="F865" s="4"/>
      <c r="G865" s="137"/>
      <c r="H865" s="136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5"/>
      <c r="B866" s="4"/>
      <c r="C866" s="4"/>
      <c r="D866" s="135"/>
      <c r="E866" s="4"/>
      <c r="F866" s="4"/>
      <c r="G866" s="137"/>
      <c r="H866" s="136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5"/>
      <c r="B867" s="4"/>
      <c r="C867" s="4"/>
      <c r="D867" s="135"/>
      <c r="E867" s="4"/>
      <c r="F867" s="4"/>
      <c r="G867" s="137"/>
      <c r="H867" s="136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5"/>
      <c r="B868" s="4"/>
      <c r="C868" s="4"/>
      <c r="D868" s="135"/>
      <c r="E868" s="4"/>
      <c r="F868" s="4"/>
      <c r="G868" s="137"/>
      <c r="H868" s="136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5"/>
      <c r="B869" s="4"/>
      <c r="C869" s="4"/>
      <c r="D869" s="135"/>
      <c r="E869" s="4"/>
      <c r="F869" s="4"/>
      <c r="G869" s="137"/>
      <c r="H869" s="136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5"/>
      <c r="B870" s="4"/>
      <c r="C870" s="4"/>
      <c r="D870" s="135"/>
      <c r="E870" s="4"/>
      <c r="F870" s="4"/>
      <c r="G870" s="137"/>
      <c r="H870" s="136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5"/>
      <c r="B871" s="4"/>
      <c r="C871" s="4"/>
      <c r="D871" s="135"/>
      <c r="E871" s="4"/>
      <c r="F871" s="4"/>
      <c r="G871" s="137"/>
      <c r="H871" s="136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5"/>
      <c r="B872" s="4"/>
      <c r="C872" s="4"/>
      <c r="D872" s="135"/>
      <c r="E872" s="4"/>
      <c r="F872" s="4"/>
      <c r="G872" s="137"/>
      <c r="H872" s="136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5"/>
      <c r="B873" s="4"/>
      <c r="C873" s="4"/>
      <c r="D873" s="135"/>
      <c r="E873" s="4"/>
      <c r="F873" s="4"/>
      <c r="G873" s="137"/>
      <c r="H873" s="136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5"/>
      <c r="B874" s="4"/>
      <c r="C874" s="4"/>
      <c r="D874" s="135"/>
      <c r="E874" s="4"/>
      <c r="F874" s="4"/>
      <c r="G874" s="137"/>
      <c r="H874" s="136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5"/>
      <c r="B875" s="4"/>
      <c r="C875" s="4"/>
      <c r="D875" s="135"/>
      <c r="E875" s="4"/>
      <c r="F875" s="4"/>
      <c r="G875" s="137"/>
      <c r="H875" s="136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5"/>
      <c r="B876" s="4"/>
      <c r="C876" s="4"/>
      <c r="D876" s="135"/>
      <c r="E876" s="4"/>
      <c r="F876" s="4"/>
      <c r="G876" s="137"/>
      <c r="H876" s="136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5"/>
      <c r="B877" s="4"/>
      <c r="C877" s="4"/>
      <c r="D877" s="135"/>
      <c r="E877" s="4"/>
      <c r="F877" s="4"/>
      <c r="G877" s="137"/>
      <c r="H877" s="136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5"/>
      <c r="B878" s="4"/>
      <c r="C878" s="4"/>
      <c r="D878" s="135"/>
      <c r="E878" s="4"/>
      <c r="F878" s="4"/>
      <c r="G878" s="137"/>
      <c r="H878" s="136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5"/>
      <c r="B879" s="4"/>
      <c r="C879" s="4"/>
      <c r="D879" s="135"/>
      <c r="E879" s="4"/>
      <c r="F879" s="4"/>
      <c r="G879" s="137"/>
      <c r="H879" s="136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5"/>
      <c r="B880" s="4"/>
      <c r="C880" s="4"/>
      <c r="D880" s="135"/>
      <c r="E880" s="4"/>
      <c r="F880" s="4"/>
      <c r="G880" s="137"/>
      <c r="H880" s="136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5"/>
      <c r="B881" s="4"/>
      <c r="C881" s="4"/>
      <c r="D881" s="135"/>
      <c r="E881" s="4"/>
      <c r="F881" s="4"/>
      <c r="G881" s="137"/>
      <c r="H881" s="136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5"/>
      <c r="B882" s="4"/>
      <c r="C882" s="4"/>
      <c r="D882" s="135"/>
      <c r="E882" s="4"/>
      <c r="F882" s="4"/>
      <c r="G882" s="137"/>
      <c r="H882" s="136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5"/>
      <c r="B883" s="4"/>
      <c r="C883" s="4"/>
      <c r="D883" s="135"/>
      <c r="E883" s="4"/>
      <c r="F883" s="4"/>
      <c r="G883" s="137"/>
      <c r="H883" s="136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5"/>
      <c r="B884" s="4"/>
      <c r="C884" s="4"/>
      <c r="D884" s="135"/>
      <c r="E884" s="4"/>
      <c r="F884" s="4"/>
      <c r="G884" s="137"/>
      <c r="H884" s="136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5"/>
      <c r="B885" s="4"/>
      <c r="C885" s="4"/>
      <c r="D885" s="135"/>
      <c r="E885" s="4"/>
      <c r="F885" s="4"/>
      <c r="G885" s="137"/>
      <c r="H885" s="136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5"/>
      <c r="B886" s="4"/>
      <c r="C886" s="4"/>
      <c r="D886" s="135"/>
      <c r="E886" s="4"/>
      <c r="F886" s="4"/>
      <c r="G886" s="137"/>
      <c r="H886" s="136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5"/>
      <c r="B887" s="4"/>
      <c r="C887" s="4"/>
      <c r="D887" s="135"/>
      <c r="E887" s="4"/>
      <c r="F887" s="4"/>
      <c r="G887" s="137"/>
      <c r="H887" s="136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5"/>
      <c r="B888" s="4"/>
      <c r="C888" s="4"/>
      <c r="D888" s="135"/>
      <c r="E888" s="4"/>
      <c r="F888" s="4"/>
      <c r="G888" s="137"/>
      <c r="H888" s="136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5"/>
      <c r="B889" s="4"/>
      <c r="C889" s="4"/>
      <c r="D889" s="135"/>
      <c r="E889" s="4"/>
      <c r="F889" s="4"/>
      <c r="G889" s="137"/>
      <c r="H889" s="136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5"/>
      <c r="B890" s="4"/>
      <c r="C890" s="4"/>
      <c r="D890" s="135"/>
      <c r="E890" s="4"/>
      <c r="F890" s="4"/>
      <c r="G890" s="137"/>
      <c r="H890" s="136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5"/>
      <c r="B891" s="4"/>
      <c r="C891" s="4"/>
      <c r="D891" s="135"/>
      <c r="E891" s="4"/>
      <c r="F891" s="4"/>
      <c r="G891" s="137"/>
      <c r="H891" s="136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5"/>
      <c r="B892" s="4"/>
      <c r="C892" s="4"/>
      <c r="D892" s="135"/>
      <c r="E892" s="4"/>
      <c r="F892" s="4"/>
      <c r="G892" s="137"/>
      <c r="H892" s="136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5"/>
      <c r="B893" s="4"/>
      <c r="C893" s="4"/>
      <c r="D893" s="135"/>
      <c r="E893" s="4"/>
      <c r="F893" s="4"/>
      <c r="G893" s="137"/>
      <c r="H893" s="136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5"/>
      <c r="B894" s="4"/>
      <c r="C894" s="4"/>
      <c r="D894" s="135"/>
      <c r="E894" s="4"/>
      <c r="F894" s="4"/>
      <c r="G894" s="137"/>
      <c r="H894" s="136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5"/>
      <c r="B895" s="4"/>
      <c r="C895" s="4"/>
      <c r="D895" s="135"/>
      <c r="E895" s="4"/>
      <c r="F895" s="4"/>
      <c r="G895" s="137"/>
      <c r="H895" s="136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5"/>
      <c r="B896" s="4"/>
      <c r="C896" s="4"/>
      <c r="D896" s="135"/>
      <c r="E896" s="4"/>
      <c r="F896" s="4"/>
      <c r="G896" s="137"/>
      <c r="H896" s="136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5"/>
      <c r="B897" s="4"/>
      <c r="C897" s="4"/>
      <c r="D897" s="135"/>
      <c r="E897" s="4"/>
      <c r="F897" s="4"/>
      <c r="G897" s="137"/>
      <c r="H897" s="136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5"/>
      <c r="B898" s="4"/>
      <c r="C898" s="4"/>
      <c r="D898" s="135"/>
      <c r="E898" s="4"/>
      <c r="F898" s="4"/>
      <c r="G898" s="137"/>
      <c r="H898" s="136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5"/>
      <c r="B899" s="4"/>
      <c r="C899" s="4"/>
      <c r="D899" s="135"/>
      <c r="E899" s="4"/>
      <c r="F899" s="4"/>
      <c r="G899" s="137"/>
      <c r="H899" s="136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5"/>
      <c r="B900" s="4"/>
      <c r="C900" s="4"/>
      <c r="D900" s="135"/>
      <c r="E900" s="4"/>
      <c r="F900" s="4"/>
      <c r="G900" s="137"/>
      <c r="H900" s="136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5"/>
      <c r="B901" s="4"/>
      <c r="C901" s="4"/>
      <c r="D901" s="135"/>
      <c r="E901" s="4"/>
      <c r="F901" s="4"/>
      <c r="G901" s="137"/>
      <c r="H901" s="136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5"/>
      <c r="B902" s="4"/>
      <c r="C902" s="4"/>
      <c r="D902" s="135"/>
      <c r="E902" s="4"/>
      <c r="F902" s="4"/>
      <c r="G902" s="137"/>
      <c r="H902" s="136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5"/>
      <c r="B903" s="4"/>
      <c r="C903" s="4"/>
      <c r="D903" s="135"/>
      <c r="E903" s="4"/>
      <c r="F903" s="4"/>
      <c r="G903" s="137"/>
      <c r="H903" s="136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5"/>
      <c r="B904" s="4"/>
      <c r="C904" s="4"/>
      <c r="D904" s="135"/>
      <c r="E904" s="4"/>
      <c r="F904" s="4"/>
      <c r="G904" s="137"/>
      <c r="H904" s="136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5"/>
      <c r="B905" s="4"/>
      <c r="C905" s="4"/>
      <c r="D905" s="135"/>
      <c r="E905" s="4"/>
      <c r="F905" s="4"/>
      <c r="G905" s="137"/>
      <c r="H905" s="136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5"/>
      <c r="B906" s="4"/>
      <c r="C906" s="4"/>
      <c r="D906" s="135"/>
      <c r="E906" s="4"/>
      <c r="F906" s="4"/>
      <c r="G906" s="137"/>
      <c r="H906" s="136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5"/>
      <c r="B907" s="4"/>
      <c r="C907" s="4"/>
      <c r="D907" s="135"/>
      <c r="E907" s="4"/>
      <c r="F907" s="4"/>
      <c r="G907" s="137"/>
      <c r="H907" s="136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5"/>
      <c r="B908" s="4"/>
      <c r="C908" s="4"/>
      <c r="D908" s="135"/>
      <c r="E908" s="4"/>
      <c r="F908" s="4"/>
      <c r="G908" s="137"/>
      <c r="H908" s="136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5"/>
      <c r="B909" s="4"/>
      <c r="C909" s="4"/>
      <c r="D909" s="135"/>
      <c r="E909" s="4"/>
      <c r="F909" s="4"/>
      <c r="G909" s="137"/>
      <c r="H909" s="136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5"/>
      <c r="B910" s="4"/>
      <c r="C910" s="4"/>
      <c r="D910" s="135"/>
      <c r="E910" s="4"/>
      <c r="F910" s="4"/>
      <c r="G910" s="137"/>
      <c r="H910" s="136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5"/>
      <c r="B911" s="4"/>
      <c r="C911" s="4"/>
      <c r="D911" s="135"/>
      <c r="E911" s="4"/>
      <c r="F911" s="4"/>
      <c r="G911" s="137"/>
      <c r="H911" s="136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5"/>
      <c r="B912" s="4"/>
      <c r="C912" s="4"/>
      <c r="D912" s="135"/>
      <c r="E912" s="4"/>
      <c r="F912" s="4"/>
      <c r="G912" s="137"/>
      <c r="H912" s="136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5"/>
      <c r="B913" s="4"/>
      <c r="C913" s="4"/>
      <c r="D913" s="135"/>
      <c r="E913" s="4"/>
      <c r="F913" s="4"/>
      <c r="G913" s="137"/>
      <c r="H913" s="136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5"/>
      <c r="B914" s="4"/>
      <c r="C914" s="4"/>
      <c r="D914" s="135"/>
      <c r="E914" s="4"/>
      <c r="F914" s="4"/>
      <c r="G914" s="137"/>
      <c r="H914" s="136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5"/>
      <c r="B915" s="4"/>
      <c r="C915" s="4"/>
      <c r="D915" s="135"/>
      <c r="E915" s="4"/>
      <c r="F915" s="4"/>
      <c r="G915" s="137"/>
      <c r="H915" s="136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5"/>
      <c r="B916" s="4"/>
      <c r="C916" s="4"/>
      <c r="D916" s="135"/>
      <c r="E916" s="4"/>
      <c r="F916" s="4"/>
      <c r="G916" s="137"/>
      <c r="H916" s="136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5"/>
      <c r="B917" s="4"/>
      <c r="C917" s="4"/>
      <c r="D917" s="135"/>
      <c r="E917" s="4"/>
      <c r="F917" s="4"/>
      <c r="G917" s="137"/>
      <c r="H917" s="136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5"/>
      <c r="B918" s="4"/>
      <c r="C918" s="4"/>
      <c r="D918" s="135"/>
      <c r="E918" s="4"/>
      <c r="F918" s="4"/>
      <c r="G918" s="137"/>
      <c r="H918" s="136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5"/>
      <c r="B919" s="4"/>
      <c r="C919" s="4"/>
      <c r="D919" s="135"/>
      <c r="E919" s="4"/>
      <c r="F919" s="4"/>
      <c r="G919" s="137"/>
      <c r="H919" s="136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5"/>
      <c r="B920" s="4"/>
      <c r="C920" s="4"/>
      <c r="D920" s="135"/>
      <c r="E920" s="4"/>
      <c r="F920" s="4"/>
      <c r="G920" s="137"/>
      <c r="H920" s="136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5"/>
      <c r="B921" s="4"/>
      <c r="C921" s="4"/>
      <c r="D921" s="135"/>
      <c r="E921" s="4"/>
      <c r="F921" s="4"/>
      <c r="G921" s="137"/>
      <c r="H921" s="136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5"/>
      <c r="B922" s="4"/>
      <c r="C922" s="4"/>
      <c r="D922" s="135"/>
      <c r="E922" s="4"/>
      <c r="F922" s="4"/>
      <c r="G922" s="137"/>
      <c r="H922" s="136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5"/>
      <c r="B923" s="4"/>
      <c r="C923" s="4"/>
      <c r="D923" s="135"/>
      <c r="E923" s="4"/>
      <c r="F923" s="4"/>
      <c r="G923" s="137"/>
      <c r="H923" s="136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5"/>
      <c r="B924" s="4"/>
      <c r="C924" s="4"/>
      <c r="D924" s="135"/>
      <c r="E924" s="4"/>
      <c r="F924" s="4"/>
      <c r="G924" s="137"/>
      <c r="H924" s="136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5"/>
      <c r="B925" s="4"/>
      <c r="C925" s="4"/>
      <c r="D925" s="135"/>
      <c r="E925" s="4"/>
      <c r="F925" s="4"/>
      <c r="G925" s="137"/>
      <c r="H925" s="136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5"/>
      <c r="B926" s="4"/>
      <c r="C926" s="4"/>
      <c r="D926" s="135"/>
      <c r="E926" s="4"/>
      <c r="F926" s="4"/>
      <c r="G926" s="137"/>
      <c r="H926" s="136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5"/>
      <c r="B927" s="4"/>
      <c r="C927" s="4"/>
      <c r="D927" s="135"/>
      <c r="E927" s="4"/>
      <c r="F927" s="4"/>
      <c r="G927" s="137"/>
      <c r="H927" s="136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5"/>
      <c r="B928" s="4"/>
      <c r="C928" s="4"/>
      <c r="D928" s="135"/>
      <c r="E928" s="4"/>
      <c r="F928" s="4"/>
      <c r="G928" s="137"/>
      <c r="H928" s="136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5"/>
      <c r="B929" s="4"/>
      <c r="C929" s="4"/>
      <c r="D929" s="135"/>
      <c r="E929" s="4"/>
      <c r="F929" s="4"/>
      <c r="G929" s="137"/>
      <c r="H929" s="136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5"/>
      <c r="B930" s="4"/>
      <c r="C930" s="4"/>
      <c r="D930" s="135"/>
      <c r="E930" s="4"/>
      <c r="F930" s="4"/>
      <c r="G930" s="137"/>
      <c r="H930" s="136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5"/>
      <c r="B931" s="4"/>
      <c r="C931" s="4"/>
      <c r="D931" s="135"/>
      <c r="E931" s="4"/>
      <c r="F931" s="4"/>
      <c r="G931" s="137"/>
      <c r="H931" s="136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5"/>
      <c r="B932" s="4"/>
      <c r="C932" s="4"/>
      <c r="D932" s="135"/>
      <c r="E932" s="4"/>
      <c r="F932" s="4"/>
      <c r="G932" s="137"/>
      <c r="H932" s="136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5"/>
      <c r="B933" s="4"/>
      <c r="C933" s="4"/>
      <c r="D933" s="135"/>
      <c r="E933" s="4"/>
      <c r="F933" s="4"/>
      <c r="G933" s="137"/>
      <c r="H933" s="136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5"/>
      <c r="B934" s="4"/>
      <c r="C934" s="4"/>
      <c r="D934" s="135"/>
      <c r="E934" s="4"/>
      <c r="F934" s="4"/>
      <c r="G934" s="137"/>
      <c r="H934" s="136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5"/>
      <c r="B935" s="4"/>
      <c r="C935" s="4"/>
      <c r="D935" s="135"/>
      <c r="E935" s="4"/>
      <c r="F935" s="4"/>
      <c r="G935" s="137"/>
      <c r="H935" s="136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5"/>
      <c r="B936" s="4"/>
      <c r="C936" s="4"/>
      <c r="D936" s="135"/>
      <c r="E936" s="4"/>
      <c r="F936" s="4"/>
      <c r="G936" s="137"/>
      <c r="H936" s="136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5"/>
      <c r="B937" s="4"/>
      <c r="C937" s="4"/>
      <c r="D937" s="135"/>
      <c r="E937" s="4"/>
      <c r="F937" s="4"/>
      <c r="G937" s="137"/>
      <c r="H937" s="136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5"/>
      <c r="B938" s="4"/>
      <c r="C938" s="4"/>
      <c r="D938" s="135"/>
      <c r="E938" s="4"/>
      <c r="F938" s="4"/>
      <c r="G938" s="137"/>
      <c r="H938" s="136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5"/>
      <c r="B939" s="4"/>
      <c r="C939" s="4"/>
      <c r="D939" s="135"/>
      <c r="E939" s="4"/>
      <c r="F939" s="4"/>
      <c r="G939" s="137"/>
      <c r="H939" s="136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5"/>
      <c r="B940" s="4"/>
      <c r="C940" s="4"/>
      <c r="D940" s="135"/>
      <c r="E940" s="4"/>
      <c r="F940" s="4"/>
      <c r="G940" s="137"/>
      <c r="H940" s="136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5"/>
      <c r="B941" s="4"/>
      <c r="C941" s="4"/>
      <c r="D941" s="135"/>
      <c r="E941" s="4"/>
      <c r="F941" s="4"/>
      <c r="G941" s="137"/>
      <c r="H941" s="136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5"/>
      <c r="B942" s="4"/>
      <c r="C942" s="4"/>
      <c r="D942" s="135"/>
      <c r="E942" s="4"/>
      <c r="F942" s="4"/>
      <c r="G942" s="137"/>
      <c r="H942" s="136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5"/>
      <c r="B943" s="4"/>
      <c r="C943" s="4"/>
      <c r="D943" s="135"/>
      <c r="E943" s="4"/>
      <c r="F943" s="4"/>
      <c r="G943" s="137"/>
      <c r="H943" s="136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5"/>
      <c r="B944" s="4"/>
      <c r="C944" s="4"/>
      <c r="D944" s="135"/>
      <c r="E944" s="4"/>
      <c r="F944" s="4"/>
      <c r="G944" s="137"/>
      <c r="H944" s="136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5"/>
      <c r="B945" s="4"/>
      <c r="C945" s="4"/>
      <c r="D945" s="135"/>
      <c r="E945" s="4"/>
      <c r="F945" s="4"/>
      <c r="G945" s="137"/>
      <c r="H945" s="136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5"/>
      <c r="B946" s="4"/>
      <c r="C946" s="4"/>
      <c r="D946" s="135"/>
      <c r="E946" s="4"/>
      <c r="F946" s="4"/>
      <c r="G946" s="137"/>
      <c r="H946" s="136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5"/>
      <c r="B947" s="4"/>
      <c r="C947" s="4"/>
      <c r="D947" s="135"/>
      <c r="E947" s="4"/>
      <c r="F947" s="4"/>
      <c r="G947" s="137"/>
      <c r="H947" s="136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5"/>
      <c r="B948" s="4"/>
      <c r="C948" s="4"/>
      <c r="D948" s="135"/>
      <c r="E948" s="4"/>
      <c r="F948" s="4"/>
      <c r="G948" s="137"/>
      <c r="H948" s="136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5"/>
      <c r="B949" s="4"/>
      <c r="C949" s="4"/>
      <c r="D949" s="135"/>
      <c r="E949" s="4"/>
      <c r="F949" s="4"/>
      <c r="G949" s="137"/>
      <c r="H949" s="136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135"/>
      <c r="B950" s="4"/>
      <c r="C950" s="4"/>
      <c r="D950" s="135"/>
      <c r="E950" s="4"/>
      <c r="F950" s="4"/>
      <c r="G950" s="137"/>
      <c r="H950" s="136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135"/>
      <c r="B951" s="4"/>
      <c r="C951" s="4"/>
      <c r="D951" s="135"/>
      <c r="E951" s="4"/>
      <c r="F951" s="4"/>
      <c r="G951" s="137"/>
      <c r="H951" s="136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135"/>
      <c r="B952" s="4"/>
      <c r="C952" s="4"/>
      <c r="D952" s="135"/>
      <c r="E952" s="4"/>
      <c r="F952" s="4"/>
      <c r="G952" s="137"/>
      <c r="H952" s="136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135"/>
      <c r="B953" s="4"/>
      <c r="C953" s="4"/>
      <c r="D953" s="135"/>
      <c r="E953" s="4"/>
      <c r="F953" s="4"/>
      <c r="G953" s="137"/>
      <c r="H953" s="136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135"/>
      <c r="B954" s="4"/>
      <c r="C954" s="4"/>
      <c r="D954" s="135"/>
      <c r="E954" s="4"/>
      <c r="F954" s="4"/>
      <c r="G954" s="137"/>
      <c r="H954" s="136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135"/>
      <c r="B955" s="4"/>
      <c r="C955" s="4"/>
      <c r="D955" s="135"/>
      <c r="E955" s="4"/>
      <c r="F955" s="4"/>
      <c r="G955" s="137"/>
      <c r="H955" s="136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135"/>
      <c r="B956" s="4"/>
      <c r="C956" s="4"/>
      <c r="D956" s="135"/>
      <c r="E956" s="4"/>
      <c r="F956" s="4"/>
      <c r="G956" s="137"/>
      <c r="H956" s="136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135"/>
      <c r="B957" s="4"/>
      <c r="C957" s="4"/>
      <c r="D957" s="135"/>
      <c r="E957" s="4"/>
      <c r="F957" s="4"/>
      <c r="G957" s="137"/>
      <c r="H957" s="136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135"/>
      <c r="B958" s="4"/>
      <c r="C958" s="4"/>
      <c r="D958" s="135"/>
      <c r="E958" s="4"/>
      <c r="F958" s="4"/>
      <c r="G958" s="137"/>
      <c r="H958" s="136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135"/>
      <c r="B959" s="4"/>
      <c r="C959" s="4"/>
      <c r="D959" s="135"/>
      <c r="E959" s="4"/>
      <c r="F959" s="4"/>
      <c r="G959" s="137"/>
      <c r="H959" s="136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135"/>
      <c r="B960" s="4"/>
      <c r="C960" s="4"/>
      <c r="D960" s="135"/>
      <c r="E960" s="4"/>
      <c r="F960" s="4"/>
      <c r="G960" s="137"/>
      <c r="H960" s="136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135"/>
      <c r="B961" s="4"/>
      <c r="C961" s="4"/>
      <c r="D961" s="135"/>
      <c r="E961" s="4"/>
      <c r="F961" s="4"/>
      <c r="G961" s="137"/>
      <c r="H961" s="136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135"/>
      <c r="B962" s="4"/>
      <c r="C962" s="4"/>
      <c r="D962" s="135"/>
      <c r="E962" s="4"/>
      <c r="F962" s="4"/>
      <c r="G962" s="137"/>
      <c r="H962" s="136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135"/>
      <c r="B963" s="4"/>
      <c r="C963" s="4"/>
      <c r="D963" s="135"/>
      <c r="E963" s="4"/>
      <c r="F963" s="4"/>
      <c r="G963" s="137"/>
      <c r="H963" s="136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135"/>
      <c r="B964" s="4"/>
      <c r="C964" s="4"/>
      <c r="D964" s="135"/>
      <c r="E964" s="4"/>
      <c r="F964" s="4"/>
      <c r="G964" s="137"/>
      <c r="H964" s="136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135"/>
      <c r="B965" s="4"/>
      <c r="C965" s="4"/>
      <c r="D965" s="135"/>
      <c r="E965" s="4"/>
      <c r="F965" s="4"/>
      <c r="G965" s="137"/>
      <c r="H965" s="136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135"/>
      <c r="B966" s="4"/>
      <c r="C966" s="4"/>
      <c r="D966" s="135"/>
      <c r="E966" s="4"/>
      <c r="F966" s="4"/>
      <c r="G966" s="137"/>
      <c r="H966" s="136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135"/>
      <c r="B967" s="4"/>
      <c r="C967" s="4"/>
      <c r="D967" s="135"/>
      <c r="E967" s="4"/>
      <c r="F967" s="4"/>
      <c r="G967" s="137"/>
      <c r="H967" s="136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135"/>
      <c r="B968" s="4"/>
      <c r="C968" s="4"/>
      <c r="D968" s="135"/>
      <c r="E968" s="4"/>
      <c r="F968" s="4"/>
      <c r="G968" s="137"/>
      <c r="H968" s="136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135"/>
      <c r="B969" s="4"/>
      <c r="C969" s="4"/>
      <c r="D969" s="135"/>
      <c r="E969" s="4"/>
      <c r="F969" s="4"/>
      <c r="G969" s="137"/>
      <c r="H969" s="136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135"/>
      <c r="B970" s="4"/>
      <c r="C970" s="4"/>
      <c r="D970" s="135"/>
      <c r="E970" s="4"/>
      <c r="F970" s="4"/>
      <c r="G970" s="137"/>
      <c r="H970" s="136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135"/>
      <c r="B971" s="4"/>
      <c r="C971" s="4"/>
      <c r="D971" s="135"/>
      <c r="E971" s="4"/>
      <c r="F971" s="4"/>
      <c r="G971" s="137"/>
      <c r="H971" s="136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135"/>
      <c r="B972" s="4"/>
      <c r="C972" s="4"/>
      <c r="D972" s="135"/>
      <c r="E972" s="4"/>
      <c r="F972" s="4"/>
      <c r="G972" s="137"/>
      <c r="H972" s="136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135"/>
      <c r="B973" s="4"/>
      <c r="C973" s="4"/>
      <c r="D973" s="135"/>
      <c r="E973" s="4"/>
      <c r="F973" s="4"/>
      <c r="G973" s="137"/>
      <c r="H973" s="136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135"/>
      <c r="B974" s="4"/>
      <c r="C974" s="4"/>
      <c r="D974" s="135"/>
      <c r="E974" s="4"/>
      <c r="F974" s="4"/>
      <c r="G974" s="137"/>
      <c r="H974" s="136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135"/>
      <c r="B975" s="4"/>
      <c r="C975" s="4"/>
      <c r="D975" s="135"/>
      <c r="E975" s="4"/>
      <c r="F975" s="4"/>
      <c r="G975" s="137"/>
      <c r="H975" s="136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135"/>
      <c r="B976" s="4"/>
      <c r="C976" s="4"/>
      <c r="D976" s="135"/>
      <c r="E976" s="4"/>
      <c r="F976" s="4"/>
      <c r="G976" s="137"/>
      <c r="H976" s="136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135"/>
      <c r="B977" s="4"/>
      <c r="C977" s="4"/>
      <c r="D977" s="135"/>
      <c r="E977" s="4"/>
      <c r="F977" s="4"/>
      <c r="G977" s="137"/>
      <c r="H977" s="136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135"/>
      <c r="B978" s="4"/>
      <c r="C978" s="4"/>
      <c r="D978" s="135"/>
      <c r="E978" s="4"/>
      <c r="F978" s="4"/>
      <c r="G978" s="137"/>
      <c r="H978" s="136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135"/>
      <c r="B979" s="4"/>
      <c r="C979" s="4"/>
      <c r="D979" s="135"/>
      <c r="E979" s="4"/>
      <c r="F979" s="4"/>
      <c r="G979" s="137"/>
      <c r="H979" s="136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135"/>
      <c r="B980" s="4"/>
      <c r="C980" s="4"/>
      <c r="D980" s="135"/>
      <c r="E980" s="4"/>
      <c r="F980" s="4"/>
      <c r="G980" s="137"/>
      <c r="H980" s="136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135"/>
      <c r="B981" s="4"/>
      <c r="C981" s="4"/>
      <c r="D981" s="135"/>
      <c r="E981" s="4"/>
      <c r="F981" s="4"/>
      <c r="G981" s="137"/>
      <c r="H981" s="136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135"/>
      <c r="B982" s="4"/>
      <c r="C982" s="4"/>
      <c r="D982" s="135"/>
      <c r="E982" s="4"/>
      <c r="F982" s="4"/>
      <c r="G982" s="137"/>
      <c r="H982" s="136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135"/>
      <c r="B983" s="4"/>
      <c r="C983" s="4"/>
      <c r="D983" s="135"/>
      <c r="E983" s="4"/>
      <c r="F983" s="4"/>
      <c r="G983" s="137"/>
      <c r="H983" s="136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135"/>
      <c r="B984" s="4"/>
      <c r="C984" s="4"/>
      <c r="D984" s="135"/>
      <c r="E984" s="4"/>
      <c r="F984" s="4"/>
      <c r="G984" s="137"/>
      <c r="H984" s="136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135"/>
      <c r="B985" s="4"/>
      <c r="C985" s="4"/>
      <c r="D985" s="135"/>
      <c r="E985" s="4"/>
      <c r="F985" s="4"/>
      <c r="G985" s="137"/>
      <c r="H985" s="136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135"/>
      <c r="B986" s="4"/>
      <c r="C986" s="4"/>
      <c r="D986" s="135"/>
      <c r="E986" s="4"/>
      <c r="F986" s="4"/>
      <c r="G986" s="137"/>
      <c r="H986" s="136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135"/>
      <c r="B987" s="4"/>
      <c r="C987" s="4"/>
      <c r="D987" s="135"/>
      <c r="E987" s="4"/>
      <c r="F987" s="4"/>
      <c r="G987" s="137"/>
      <c r="H987" s="136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135"/>
      <c r="B988" s="4"/>
      <c r="C988" s="4"/>
      <c r="D988" s="135"/>
      <c r="E988" s="4"/>
      <c r="F988" s="4"/>
      <c r="G988" s="137"/>
      <c r="H988" s="136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135"/>
      <c r="B989" s="4"/>
      <c r="C989" s="4"/>
      <c r="D989" s="135"/>
      <c r="E989" s="4"/>
      <c r="F989" s="4"/>
      <c r="G989" s="137"/>
      <c r="H989" s="136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135"/>
      <c r="B990" s="4"/>
      <c r="C990" s="4"/>
      <c r="D990" s="135"/>
      <c r="E990" s="4"/>
      <c r="F990" s="4"/>
      <c r="G990" s="137"/>
      <c r="H990" s="136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135"/>
      <c r="B991" s="4"/>
      <c r="C991" s="4"/>
      <c r="D991" s="135"/>
      <c r="E991" s="4"/>
      <c r="F991" s="4"/>
      <c r="G991" s="137"/>
      <c r="H991" s="136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135"/>
      <c r="B992" s="4"/>
      <c r="C992" s="4"/>
      <c r="D992" s="135"/>
      <c r="E992" s="4"/>
      <c r="F992" s="4"/>
      <c r="G992" s="137"/>
      <c r="H992" s="136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135"/>
      <c r="B993" s="4"/>
      <c r="C993" s="4"/>
      <c r="D993" s="135"/>
      <c r="E993" s="4"/>
      <c r="F993" s="4"/>
      <c r="G993" s="137"/>
      <c r="H993" s="136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135"/>
      <c r="B994" s="4"/>
      <c r="C994" s="4"/>
      <c r="D994" s="135"/>
      <c r="E994" s="4"/>
      <c r="F994" s="4"/>
      <c r="G994" s="137"/>
      <c r="H994" s="136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135"/>
      <c r="B995" s="4"/>
      <c r="C995" s="4"/>
      <c r="D995" s="135"/>
      <c r="E995" s="4"/>
      <c r="F995" s="4"/>
      <c r="G995" s="137"/>
      <c r="H995" s="136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135"/>
      <c r="B996" s="4"/>
      <c r="C996" s="4"/>
      <c r="D996" s="135"/>
      <c r="E996" s="4"/>
      <c r="F996" s="4"/>
      <c r="G996" s="137"/>
      <c r="H996" s="136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135"/>
      <c r="B997" s="4"/>
      <c r="C997" s="4"/>
      <c r="D997" s="135"/>
      <c r="E997" s="4"/>
      <c r="F997" s="4"/>
      <c r="G997" s="137"/>
      <c r="H997" s="136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135"/>
      <c r="B998" s="4"/>
      <c r="C998" s="4"/>
      <c r="D998" s="135"/>
      <c r="E998" s="4"/>
      <c r="F998" s="4"/>
      <c r="G998" s="137"/>
      <c r="H998" s="136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135"/>
      <c r="B999" s="4"/>
      <c r="C999" s="4"/>
      <c r="D999" s="135"/>
      <c r="E999" s="4"/>
      <c r="F999" s="4"/>
      <c r="G999" s="137"/>
      <c r="H999" s="136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88"/>
    <col customWidth="1" min="2" max="2" width="13.75"/>
    <col customWidth="1" min="3" max="3" width="15.25"/>
  </cols>
  <sheetData>
    <row r="1">
      <c r="A1" s="106" t="s">
        <v>189</v>
      </c>
      <c r="B1" s="109" t="s">
        <v>191</v>
      </c>
      <c r="C1" s="110" t="s">
        <v>193</v>
      </c>
      <c r="D1" s="109" t="s">
        <v>194</v>
      </c>
      <c r="E1" s="113" t="s">
        <v>195</v>
      </c>
      <c r="F1" s="110" t="s">
        <v>196</v>
      </c>
      <c r="G1" s="116" t="s">
        <v>197</v>
      </c>
      <c r="H1" s="110" t="s">
        <v>198</v>
      </c>
      <c r="I1" s="109" t="s">
        <v>200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4"/>
    </row>
    <row r="2">
      <c r="A2" s="120" t="s">
        <v>230</v>
      </c>
      <c r="B2" s="121">
        <v>5.0</v>
      </c>
      <c r="C2" s="122">
        <v>20.0</v>
      </c>
      <c r="D2" s="121">
        <v>13.0</v>
      </c>
      <c r="E2" s="126">
        <f t="shared" ref="E2:E9" si="1">F2/4*C2</f>
        <v>52</v>
      </c>
      <c r="F2" s="122">
        <v>10.4</v>
      </c>
      <c r="G2" s="127">
        <f t="shared" ref="G2:G205" si="2">H2/4*C2</f>
        <v>0</v>
      </c>
      <c r="H2" s="122">
        <v>0.0</v>
      </c>
      <c r="I2" s="131">
        <v>1.0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20" t="s">
        <v>240</v>
      </c>
      <c r="B3" s="121">
        <v>5.0</v>
      </c>
      <c r="C3" s="122">
        <v>20.0</v>
      </c>
      <c r="D3" s="121">
        <v>14.0</v>
      </c>
      <c r="E3" s="126">
        <f t="shared" si="1"/>
        <v>48</v>
      </c>
      <c r="F3" s="122">
        <v>9.6</v>
      </c>
      <c r="G3" s="127">
        <f t="shared" si="2"/>
        <v>1</v>
      </c>
      <c r="H3" s="122">
        <v>0.2</v>
      </c>
      <c r="I3" s="128">
        <v>0.929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0" t="s">
        <v>242</v>
      </c>
      <c r="B4" s="121">
        <v>5.0</v>
      </c>
      <c r="C4" s="122">
        <v>20.0</v>
      </c>
      <c r="D4" s="121">
        <v>13.0</v>
      </c>
      <c r="E4" s="126">
        <f t="shared" si="1"/>
        <v>44</v>
      </c>
      <c r="F4" s="122">
        <v>8.8</v>
      </c>
      <c r="G4" s="127">
        <f t="shared" si="2"/>
        <v>1</v>
      </c>
      <c r="H4" s="122">
        <v>0.2</v>
      </c>
      <c r="I4" s="128">
        <v>0.923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0" t="s">
        <v>246</v>
      </c>
      <c r="B5" s="121">
        <v>5.0</v>
      </c>
      <c r="C5" s="122">
        <v>20.0</v>
      </c>
      <c r="D5" s="121">
        <v>12.0</v>
      </c>
      <c r="E5" s="126">
        <f t="shared" si="1"/>
        <v>44</v>
      </c>
      <c r="F5" s="122">
        <v>8.8</v>
      </c>
      <c r="G5" s="127">
        <f t="shared" si="2"/>
        <v>0</v>
      </c>
      <c r="H5" s="122">
        <v>0.0</v>
      </c>
      <c r="I5" s="131">
        <v>0.917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0" t="s">
        <v>222</v>
      </c>
      <c r="B6" s="121">
        <v>5.0</v>
      </c>
      <c r="C6" s="122">
        <v>20.0</v>
      </c>
      <c r="D6" s="121">
        <v>12.0</v>
      </c>
      <c r="E6" s="126">
        <f t="shared" si="1"/>
        <v>40</v>
      </c>
      <c r="F6" s="122">
        <v>8.0</v>
      </c>
      <c r="G6" s="127">
        <f t="shared" si="2"/>
        <v>0</v>
      </c>
      <c r="H6" s="122">
        <v>0.0</v>
      </c>
      <c r="I6" s="128">
        <v>0.833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0" t="s">
        <v>244</v>
      </c>
      <c r="B7" s="121">
        <v>5.0</v>
      </c>
      <c r="C7" s="122">
        <v>20.0</v>
      </c>
      <c r="D7" s="121">
        <v>17.0</v>
      </c>
      <c r="E7" s="126">
        <f t="shared" si="1"/>
        <v>36</v>
      </c>
      <c r="F7" s="122">
        <v>7.2</v>
      </c>
      <c r="G7" s="127">
        <f t="shared" si="2"/>
        <v>4</v>
      </c>
      <c r="H7" s="122">
        <v>0.8</v>
      </c>
      <c r="I7" s="128">
        <v>0.765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0" t="s">
        <v>250</v>
      </c>
      <c r="B8" s="121">
        <v>5.0</v>
      </c>
      <c r="C8" s="122">
        <v>20.0</v>
      </c>
      <c r="D8" s="121">
        <v>9.0</v>
      </c>
      <c r="E8" s="126">
        <f t="shared" si="1"/>
        <v>32</v>
      </c>
      <c r="F8" s="122">
        <v>6.4</v>
      </c>
      <c r="G8" s="127">
        <f t="shared" si="2"/>
        <v>0</v>
      </c>
      <c r="H8" s="122">
        <v>0.0</v>
      </c>
      <c r="I8" s="128">
        <v>0.889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0" t="s">
        <v>253</v>
      </c>
      <c r="B9" s="121">
        <v>5.0</v>
      </c>
      <c r="C9" s="122">
        <v>20.0</v>
      </c>
      <c r="D9" s="121">
        <v>13.0</v>
      </c>
      <c r="E9" s="126">
        <f t="shared" si="1"/>
        <v>32</v>
      </c>
      <c r="F9" s="122">
        <v>6.4</v>
      </c>
      <c r="G9" s="127">
        <f t="shared" si="2"/>
        <v>1</v>
      </c>
      <c r="H9" s="122">
        <v>0.2</v>
      </c>
      <c r="I9" s="128">
        <v>0.692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0" t="s">
        <v>255</v>
      </c>
      <c r="B10" s="121">
        <v>5.0</v>
      </c>
      <c r="C10" s="122">
        <f t="shared" ref="C10:C11" si="3">B10*4</f>
        <v>20</v>
      </c>
      <c r="D10" s="121">
        <v>12.0</v>
      </c>
      <c r="E10" s="126">
        <v>32.0</v>
      </c>
      <c r="F10" s="122">
        <f t="shared" ref="F10:F11" si="4">E10/C10*4</f>
        <v>6.4</v>
      </c>
      <c r="G10" s="127">
        <f t="shared" si="2"/>
        <v>0</v>
      </c>
      <c r="H10" s="122">
        <v>0.0</v>
      </c>
      <c r="I10" s="128">
        <f>8/12</f>
        <v>0.6666666667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0" t="s">
        <v>260</v>
      </c>
      <c r="B11" s="121">
        <v>5.0</v>
      </c>
      <c r="C11" s="122">
        <f t="shared" si="3"/>
        <v>20</v>
      </c>
      <c r="D11" s="121">
        <v>9.0</v>
      </c>
      <c r="E11" s="126">
        <v>28.0</v>
      </c>
      <c r="F11" s="122">
        <f t="shared" si="4"/>
        <v>5.6</v>
      </c>
      <c r="G11" s="127">
        <f t="shared" si="2"/>
        <v>1.25</v>
      </c>
      <c r="H11" s="122">
        <v>0.25</v>
      </c>
      <c r="I11" s="128">
        <f>8/9</f>
        <v>0.8888888889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0" t="s">
        <v>252</v>
      </c>
      <c r="B12" s="121">
        <v>5.0</v>
      </c>
      <c r="C12" s="122">
        <v>20.0</v>
      </c>
      <c r="D12" s="121">
        <v>9.0</v>
      </c>
      <c r="E12" s="126">
        <f t="shared" ref="E12:E205" si="5">F12/4*C12</f>
        <v>28</v>
      </c>
      <c r="F12" s="122">
        <v>5.6</v>
      </c>
      <c r="G12" s="127">
        <f t="shared" si="2"/>
        <v>0</v>
      </c>
      <c r="H12" s="122">
        <v>0.0</v>
      </c>
      <c r="I12" s="128">
        <v>0.778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0" t="s">
        <v>268</v>
      </c>
      <c r="B13" s="121">
        <v>5.0</v>
      </c>
      <c r="C13" s="122">
        <v>20.0</v>
      </c>
      <c r="D13" s="121">
        <v>11.0</v>
      </c>
      <c r="E13" s="126">
        <f t="shared" si="5"/>
        <v>28</v>
      </c>
      <c r="F13" s="122">
        <v>5.6</v>
      </c>
      <c r="G13" s="127">
        <f t="shared" si="2"/>
        <v>0</v>
      </c>
      <c r="H13" s="122">
        <v>0.0</v>
      </c>
      <c r="I13" s="128">
        <v>0.636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0" t="s">
        <v>270</v>
      </c>
      <c r="B14" s="121">
        <v>5.0</v>
      </c>
      <c r="C14" s="122">
        <v>20.0</v>
      </c>
      <c r="D14" s="121">
        <v>13.0</v>
      </c>
      <c r="E14" s="126">
        <f t="shared" si="5"/>
        <v>28</v>
      </c>
      <c r="F14" s="122">
        <v>5.6</v>
      </c>
      <c r="G14" s="127">
        <f t="shared" si="2"/>
        <v>1</v>
      </c>
      <c r="H14" s="122">
        <v>0.2</v>
      </c>
      <c r="I14" s="128">
        <v>0.615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0" t="s">
        <v>273</v>
      </c>
      <c r="B15" s="121">
        <v>5.0</v>
      </c>
      <c r="C15" s="122">
        <v>20.0</v>
      </c>
      <c r="D15" s="121">
        <v>6.0</v>
      </c>
      <c r="E15" s="126">
        <f t="shared" si="5"/>
        <v>24</v>
      </c>
      <c r="F15" s="122">
        <v>4.8</v>
      </c>
      <c r="G15" s="127">
        <f t="shared" si="2"/>
        <v>0</v>
      </c>
      <c r="H15" s="122">
        <v>0.0</v>
      </c>
      <c r="I15" s="128">
        <v>1.0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0" t="s">
        <v>274</v>
      </c>
      <c r="B16" s="121">
        <v>5.0</v>
      </c>
      <c r="C16" s="122">
        <v>20.0</v>
      </c>
      <c r="D16" s="121">
        <v>11.0</v>
      </c>
      <c r="E16" s="126">
        <f t="shared" si="5"/>
        <v>24</v>
      </c>
      <c r="F16" s="122">
        <v>4.8</v>
      </c>
      <c r="G16" s="127">
        <f t="shared" si="2"/>
        <v>2</v>
      </c>
      <c r="H16" s="122">
        <v>0.4</v>
      </c>
      <c r="I16" s="128">
        <v>0.727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0" t="s">
        <v>271</v>
      </c>
      <c r="B17" s="121">
        <v>5.0</v>
      </c>
      <c r="C17" s="122">
        <v>20.0</v>
      </c>
      <c r="D17" s="121">
        <v>10.0</v>
      </c>
      <c r="E17" s="126">
        <f t="shared" si="5"/>
        <v>24</v>
      </c>
      <c r="F17" s="122">
        <v>4.8</v>
      </c>
      <c r="G17" s="127">
        <f t="shared" si="2"/>
        <v>1</v>
      </c>
      <c r="H17" s="122">
        <v>0.2</v>
      </c>
      <c r="I17" s="128">
        <v>0.7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0" t="s">
        <v>204</v>
      </c>
      <c r="B18" s="121">
        <v>5.0</v>
      </c>
      <c r="C18" s="122">
        <v>20.0</v>
      </c>
      <c r="D18" s="121">
        <v>12.0</v>
      </c>
      <c r="E18" s="126">
        <f t="shared" si="5"/>
        <v>24</v>
      </c>
      <c r="F18" s="122">
        <v>4.8</v>
      </c>
      <c r="G18" s="127">
        <f t="shared" si="2"/>
        <v>0</v>
      </c>
      <c r="H18" s="122">
        <v>0.0</v>
      </c>
      <c r="I18" s="128">
        <v>0.5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0" t="s">
        <v>225</v>
      </c>
      <c r="B19" s="121">
        <v>5.0</v>
      </c>
      <c r="C19" s="122">
        <v>20.0</v>
      </c>
      <c r="D19" s="121">
        <v>5.0</v>
      </c>
      <c r="E19" s="126">
        <f t="shared" si="5"/>
        <v>20</v>
      </c>
      <c r="F19" s="122">
        <v>4.0</v>
      </c>
      <c r="G19" s="127">
        <f t="shared" si="2"/>
        <v>0</v>
      </c>
      <c r="H19" s="122">
        <v>0.0</v>
      </c>
      <c r="I19" s="128">
        <v>1.0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0" t="s">
        <v>281</v>
      </c>
      <c r="B20" s="121">
        <v>5.0</v>
      </c>
      <c r="C20" s="122">
        <v>20.0</v>
      </c>
      <c r="D20" s="121">
        <v>7.0</v>
      </c>
      <c r="E20" s="126">
        <f t="shared" si="5"/>
        <v>20</v>
      </c>
      <c r="F20" s="122">
        <v>4.0</v>
      </c>
      <c r="G20" s="127">
        <f t="shared" si="2"/>
        <v>1</v>
      </c>
      <c r="H20" s="122">
        <v>0.2</v>
      </c>
      <c r="I20" s="128">
        <v>0.857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0" t="s">
        <v>259</v>
      </c>
      <c r="B21" s="121">
        <v>5.0</v>
      </c>
      <c r="C21" s="122">
        <v>20.0</v>
      </c>
      <c r="D21" s="121">
        <v>6.0</v>
      </c>
      <c r="E21" s="126">
        <f t="shared" si="5"/>
        <v>20</v>
      </c>
      <c r="F21" s="122">
        <v>4.0</v>
      </c>
      <c r="G21" s="127">
        <f t="shared" si="2"/>
        <v>0</v>
      </c>
      <c r="H21" s="122">
        <v>0.0</v>
      </c>
      <c r="I21" s="128">
        <v>0.833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0" t="s">
        <v>286</v>
      </c>
      <c r="B22" s="121">
        <v>5.0</v>
      </c>
      <c r="C22" s="122">
        <v>20.0</v>
      </c>
      <c r="D22" s="121">
        <v>9.0</v>
      </c>
      <c r="E22" s="126">
        <f t="shared" si="5"/>
        <v>20</v>
      </c>
      <c r="F22" s="122">
        <v>4.0</v>
      </c>
      <c r="G22" s="127">
        <f t="shared" si="2"/>
        <v>2</v>
      </c>
      <c r="H22" s="122">
        <v>0.4</v>
      </c>
      <c r="I22" s="131">
        <v>0.778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0" t="s">
        <v>287</v>
      </c>
      <c r="B23" s="121">
        <v>5.0</v>
      </c>
      <c r="C23" s="122">
        <v>20.0</v>
      </c>
      <c r="D23" s="121">
        <v>8.0</v>
      </c>
      <c r="E23" s="126">
        <f t="shared" si="5"/>
        <v>20</v>
      </c>
      <c r="F23" s="122">
        <v>4.0</v>
      </c>
      <c r="G23" s="127">
        <f t="shared" si="2"/>
        <v>1</v>
      </c>
      <c r="H23" s="122">
        <v>0.2</v>
      </c>
      <c r="I23" s="128">
        <v>0.75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0" t="s">
        <v>288</v>
      </c>
      <c r="B24" s="121">
        <v>4.0</v>
      </c>
      <c r="C24" s="122">
        <v>16.0</v>
      </c>
      <c r="D24" s="121">
        <v>8.0</v>
      </c>
      <c r="E24" s="126">
        <f t="shared" si="5"/>
        <v>20</v>
      </c>
      <c r="F24" s="122">
        <v>5.0</v>
      </c>
      <c r="G24" s="127">
        <f t="shared" si="2"/>
        <v>1</v>
      </c>
      <c r="H24" s="122">
        <v>0.25</v>
      </c>
      <c r="I24" s="128">
        <v>0.75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0" t="s">
        <v>215</v>
      </c>
      <c r="B25" s="121">
        <v>5.0</v>
      </c>
      <c r="C25" s="122">
        <v>20.0</v>
      </c>
      <c r="D25" s="121">
        <v>8.0</v>
      </c>
      <c r="E25" s="126">
        <f t="shared" si="5"/>
        <v>20</v>
      </c>
      <c r="F25" s="122">
        <v>4.0</v>
      </c>
      <c r="G25" s="127">
        <f t="shared" si="2"/>
        <v>1</v>
      </c>
      <c r="H25" s="122">
        <v>0.2</v>
      </c>
      <c r="I25" s="128">
        <v>0.75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0" t="s">
        <v>290</v>
      </c>
      <c r="B26" s="121">
        <v>4.0</v>
      </c>
      <c r="C26" s="122">
        <v>16.0</v>
      </c>
      <c r="D26" s="121">
        <v>7.0</v>
      </c>
      <c r="E26" s="126">
        <f t="shared" si="5"/>
        <v>20</v>
      </c>
      <c r="F26" s="122">
        <v>5.0</v>
      </c>
      <c r="G26" s="127">
        <f t="shared" si="2"/>
        <v>0</v>
      </c>
      <c r="H26" s="122">
        <v>0.0</v>
      </c>
      <c r="I26" s="128">
        <v>0.714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0" t="s">
        <v>234</v>
      </c>
      <c r="B27" s="121">
        <v>5.0</v>
      </c>
      <c r="C27" s="122">
        <v>20.0</v>
      </c>
      <c r="D27" s="121">
        <v>10.0</v>
      </c>
      <c r="E27" s="126">
        <f t="shared" si="5"/>
        <v>20</v>
      </c>
      <c r="F27" s="122">
        <v>4.0</v>
      </c>
      <c r="G27" s="127">
        <f t="shared" si="2"/>
        <v>2</v>
      </c>
      <c r="H27" s="122">
        <v>0.4</v>
      </c>
      <c r="I27" s="128">
        <v>0.7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0" t="s">
        <v>296</v>
      </c>
      <c r="B28" s="121">
        <v>5.0</v>
      </c>
      <c r="C28" s="122">
        <v>20.0</v>
      </c>
      <c r="D28" s="121">
        <v>13.0</v>
      </c>
      <c r="E28" s="126">
        <f t="shared" si="5"/>
        <v>20</v>
      </c>
      <c r="F28" s="122">
        <v>4.0</v>
      </c>
      <c r="G28" s="127">
        <f t="shared" si="2"/>
        <v>4</v>
      </c>
      <c r="H28" s="122">
        <v>0.8</v>
      </c>
      <c r="I28" s="128">
        <v>0.692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0" t="s">
        <v>298</v>
      </c>
      <c r="B29" s="121">
        <v>5.0</v>
      </c>
      <c r="C29" s="122">
        <v>20.0</v>
      </c>
      <c r="D29" s="121">
        <v>11.0</v>
      </c>
      <c r="E29" s="126">
        <f t="shared" si="5"/>
        <v>20</v>
      </c>
      <c r="F29" s="122">
        <v>4.0</v>
      </c>
      <c r="G29" s="127">
        <f t="shared" si="2"/>
        <v>1</v>
      </c>
      <c r="H29" s="122">
        <v>0.2</v>
      </c>
      <c r="I29" s="128">
        <v>0.545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0" t="s">
        <v>300</v>
      </c>
      <c r="B30" s="121">
        <v>5.0</v>
      </c>
      <c r="C30" s="122">
        <v>20.0</v>
      </c>
      <c r="D30" s="121">
        <v>10.0</v>
      </c>
      <c r="E30" s="126">
        <f t="shared" si="5"/>
        <v>20</v>
      </c>
      <c r="F30" s="122">
        <v>4.0</v>
      </c>
      <c r="G30" s="127">
        <f t="shared" si="2"/>
        <v>0</v>
      </c>
      <c r="H30" s="122">
        <v>0.0</v>
      </c>
      <c r="I30" s="128">
        <v>0.5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0" t="s">
        <v>277</v>
      </c>
      <c r="B31" s="121">
        <v>4.0</v>
      </c>
      <c r="C31" s="122">
        <v>16.0</v>
      </c>
      <c r="D31" s="121">
        <v>4.0</v>
      </c>
      <c r="E31" s="126">
        <f t="shared" si="5"/>
        <v>16</v>
      </c>
      <c r="F31" s="122">
        <v>4.0</v>
      </c>
      <c r="G31" s="127">
        <f t="shared" si="2"/>
        <v>0</v>
      </c>
      <c r="H31" s="122">
        <v>0.0</v>
      </c>
      <c r="I31" s="128">
        <v>1.0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0" t="s">
        <v>249</v>
      </c>
      <c r="B32" s="121">
        <v>5.0</v>
      </c>
      <c r="C32" s="122">
        <v>20.0</v>
      </c>
      <c r="D32" s="121">
        <v>4.0</v>
      </c>
      <c r="E32" s="126">
        <f t="shared" si="5"/>
        <v>16</v>
      </c>
      <c r="F32" s="122">
        <v>3.2</v>
      </c>
      <c r="G32" s="127">
        <f t="shared" si="2"/>
        <v>0</v>
      </c>
      <c r="H32" s="122">
        <v>0.0</v>
      </c>
      <c r="I32" s="128">
        <v>1.0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0" t="s">
        <v>231</v>
      </c>
      <c r="B33" s="121">
        <v>5.0</v>
      </c>
      <c r="C33" s="122">
        <v>20.0</v>
      </c>
      <c r="D33" s="121">
        <v>5.0</v>
      </c>
      <c r="E33" s="126">
        <f t="shared" si="5"/>
        <v>16</v>
      </c>
      <c r="F33" s="122">
        <v>3.2</v>
      </c>
      <c r="G33" s="127">
        <f t="shared" si="2"/>
        <v>0</v>
      </c>
      <c r="H33" s="122">
        <v>0.0</v>
      </c>
      <c r="I33" s="131">
        <v>0.8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0" t="s">
        <v>266</v>
      </c>
      <c r="B34" s="121">
        <v>5.0</v>
      </c>
      <c r="C34" s="122">
        <v>20.0</v>
      </c>
      <c r="D34" s="121">
        <v>7.0</v>
      </c>
      <c r="E34" s="126">
        <f t="shared" si="5"/>
        <v>16</v>
      </c>
      <c r="F34" s="122">
        <v>3.2</v>
      </c>
      <c r="G34" s="127">
        <f t="shared" si="2"/>
        <v>1</v>
      </c>
      <c r="H34" s="122">
        <v>0.2</v>
      </c>
      <c r="I34" s="128">
        <v>0.714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0" t="s">
        <v>285</v>
      </c>
      <c r="B35" s="121">
        <v>5.0</v>
      </c>
      <c r="C35" s="122">
        <v>20.0</v>
      </c>
      <c r="D35" s="121">
        <v>7.0</v>
      </c>
      <c r="E35" s="126">
        <f t="shared" si="5"/>
        <v>16</v>
      </c>
      <c r="F35" s="122">
        <v>3.2</v>
      </c>
      <c r="G35" s="127">
        <f t="shared" si="2"/>
        <v>1</v>
      </c>
      <c r="H35" s="122">
        <v>0.2</v>
      </c>
      <c r="I35" s="128">
        <v>0.714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0" t="s">
        <v>306</v>
      </c>
      <c r="B36" s="121">
        <v>4.0</v>
      </c>
      <c r="C36" s="122">
        <v>16.0</v>
      </c>
      <c r="D36" s="121">
        <v>6.0</v>
      </c>
      <c r="E36" s="126">
        <f t="shared" si="5"/>
        <v>16</v>
      </c>
      <c r="F36" s="122">
        <v>4.0</v>
      </c>
      <c r="G36" s="127">
        <f t="shared" si="2"/>
        <v>0</v>
      </c>
      <c r="H36" s="122">
        <v>0.0</v>
      </c>
      <c r="I36" s="128">
        <v>0.667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0" t="s">
        <v>315</v>
      </c>
      <c r="B37" s="121">
        <v>5.0</v>
      </c>
      <c r="C37" s="122">
        <v>20.0</v>
      </c>
      <c r="D37" s="121">
        <v>6.0</v>
      </c>
      <c r="E37" s="126">
        <f t="shared" si="5"/>
        <v>16</v>
      </c>
      <c r="F37" s="122">
        <v>3.2</v>
      </c>
      <c r="G37" s="127">
        <f t="shared" si="2"/>
        <v>0</v>
      </c>
      <c r="H37" s="122">
        <v>0.0</v>
      </c>
      <c r="I37" s="128">
        <v>0.667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0" t="s">
        <v>317</v>
      </c>
      <c r="B38" s="121">
        <v>5.0</v>
      </c>
      <c r="C38" s="122">
        <v>20.0</v>
      </c>
      <c r="D38" s="121">
        <v>11.0</v>
      </c>
      <c r="E38" s="126">
        <f t="shared" si="5"/>
        <v>16</v>
      </c>
      <c r="F38" s="122">
        <v>3.2</v>
      </c>
      <c r="G38" s="127">
        <f t="shared" si="2"/>
        <v>1</v>
      </c>
      <c r="H38" s="122">
        <v>0.2</v>
      </c>
      <c r="I38" s="128">
        <v>0.455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0" t="s">
        <v>319</v>
      </c>
      <c r="B39" s="121">
        <v>3.0</v>
      </c>
      <c r="C39" s="122">
        <v>12.0</v>
      </c>
      <c r="D39" s="121">
        <v>4.0</v>
      </c>
      <c r="E39" s="126">
        <f t="shared" si="5"/>
        <v>15.99</v>
      </c>
      <c r="F39" s="122">
        <v>5.33</v>
      </c>
      <c r="G39" s="127">
        <f t="shared" si="2"/>
        <v>0</v>
      </c>
      <c r="H39" s="122">
        <v>0.0</v>
      </c>
      <c r="I39" s="128">
        <v>1.0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0" t="s">
        <v>295</v>
      </c>
      <c r="B40" s="121">
        <v>3.0</v>
      </c>
      <c r="C40" s="122">
        <v>12.0</v>
      </c>
      <c r="D40" s="121">
        <v>4.0</v>
      </c>
      <c r="E40" s="126">
        <f t="shared" si="5"/>
        <v>15.99</v>
      </c>
      <c r="F40" s="122">
        <v>5.33</v>
      </c>
      <c r="G40" s="127">
        <f t="shared" si="2"/>
        <v>0</v>
      </c>
      <c r="H40" s="122">
        <v>0.0</v>
      </c>
      <c r="I40" s="131">
        <v>1.0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0" t="s">
        <v>291</v>
      </c>
      <c r="B41" s="121">
        <v>5.0</v>
      </c>
      <c r="C41" s="122">
        <v>20.0</v>
      </c>
      <c r="D41" s="121">
        <v>3.0</v>
      </c>
      <c r="E41" s="126">
        <f t="shared" si="5"/>
        <v>12</v>
      </c>
      <c r="F41" s="122">
        <v>2.4</v>
      </c>
      <c r="G41" s="127">
        <f t="shared" si="2"/>
        <v>0</v>
      </c>
      <c r="H41" s="122">
        <v>0.0</v>
      </c>
      <c r="I41" s="128">
        <v>1.0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0" t="s">
        <v>322</v>
      </c>
      <c r="B42" s="121">
        <v>5.0</v>
      </c>
      <c r="C42" s="122">
        <v>20.0</v>
      </c>
      <c r="D42" s="121">
        <v>3.0</v>
      </c>
      <c r="E42" s="126">
        <f t="shared" si="5"/>
        <v>12</v>
      </c>
      <c r="F42" s="122">
        <v>2.4</v>
      </c>
      <c r="G42" s="127">
        <f t="shared" si="2"/>
        <v>0</v>
      </c>
      <c r="H42" s="122">
        <v>0.0</v>
      </c>
      <c r="I42" s="128">
        <v>1.0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0" t="s">
        <v>325</v>
      </c>
      <c r="B43" s="121">
        <v>5.0</v>
      </c>
      <c r="C43" s="122">
        <v>20.0</v>
      </c>
      <c r="D43" s="121">
        <v>4.0</v>
      </c>
      <c r="E43" s="126">
        <f t="shared" si="5"/>
        <v>12</v>
      </c>
      <c r="F43" s="122">
        <v>2.4</v>
      </c>
      <c r="G43" s="127">
        <f t="shared" si="2"/>
        <v>0</v>
      </c>
      <c r="H43" s="122">
        <v>0.0</v>
      </c>
      <c r="I43" s="131">
        <v>0.75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0" t="s">
        <v>327</v>
      </c>
      <c r="B44" s="121">
        <v>3.0</v>
      </c>
      <c r="C44" s="122">
        <v>12.0</v>
      </c>
      <c r="D44" s="121">
        <v>7.0</v>
      </c>
      <c r="E44" s="126">
        <f t="shared" si="5"/>
        <v>12</v>
      </c>
      <c r="F44" s="122">
        <v>4.0</v>
      </c>
      <c r="G44" s="127">
        <f t="shared" si="2"/>
        <v>2.01</v>
      </c>
      <c r="H44" s="122">
        <v>0.67</v>
      </c>
      <c r="I44" s="128">
        <v>0.714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0" t="s">
        <v>318</v>
      </c>
      <c r="B45" s="121">
        <v>5.0</v>
      </c>
      <c r="C45" s="122">
        <v>20.0</v>
      </c>
      <c r="D45" s="121">
        <v>8.0</v>
      </c>
      <c r="E45" s="126">
        <f t="shared" si="5"/>
        <v>12</v>
      </c>
      <c r="F45" s="122">
        <v>2.4</v>
      </c>
      <c r="G45" s="127">
        <f t="shared" si="2"/>
        <v>2</v>
      </c>
      <c r="H45" s="122">
        <v>0.4</v>
      </c>
      <c r="I45" s="128">
        <v>0.625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0" t="s">
        <v>283</v>
      </c>
      <c r="B46" s="121">
        <v>5.0</v>
      </c>
      <c r="C46" s="122">
        <v>20.0</v>
      </c>
      <c r="D46" s="121">
        <v>5.0</v>
      </c>
      <c r="E46" s="126">
        <f t="shared" si="5"/>
        <v>12</v>
      </c>
      <c r="F46" s="122">
        <v>2.4</v>
      </c>
      <c r="G46" s="127">
        <f t="shared" si="2"/>
        <v>0</v>
      </c>
      <c r="H46" s="122">
        <v>0.0</v>
      </c>
      <c r="I46" s="131">
        <v>0.6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0" t="s">
        <v>335</v>
      </c>
      <c r="B47" s="121">
        <v>5.0</v>
      </c>
      <c r="C47" s="122">
        <v>20.0</v>
      </c>
      <c r="D47" s="121">
        <v>5.0</v>
      </c>
      <c r="E47" s="126">
        <f t="shared" si="5"/>
        <v>12</v>
      </c>
      <c r="F47" s="122">
        <v>2.4</v>
      </c>
      <c r="G47" s="127">
        <f t="shared" si="2"/>
        <v>0</v>
      </c>
      <c r="H47" s="122">
        <v>0.0</v>
      </c>
      <c r="I47" s="128">
        <v>0.6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0" t="s">
        <v>302</v>
      </c>
      <c r="B48" s="121">
        <v>5.0</v>
      </c>
      <c r="C48" s="122">
        <v>20.0</v>
      </c>
      <c r="D48" s="121">
        <v>9.0</v>
      </c>
      <c r="E48" s="126">
        <f t="shared" si="5"/>
        <v>12</v>
      </c>
      <c r="F48" s="122">
        <v>2.4</v>
      </c>
      <c r="G48" s="127">
        <f t="shared" si="2"/>
        <v>2</v>
      </c>
      <c r="H48" s="122">
        <v>0.4</v>
      </c>
      <c r="I48" s="128">
        <v>0.556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0" t="s">
        <v>331</v>
      </c>
      <c r="B49" s="121">
        <v>5.0</v>
      </c>
      <c r="C49" s="122">
        <v>20.0</v>
      </c>
      <c r="D49" s="121">
        <v>13.0</v>
      </c>
      <c r="E49" s="126">
        <f t="shared" si="5"/>
        <v>12</v>
      </c>
      <c r="F49" s="122">
        <v>2.4</v>
      </c>
      <c r="G49" s="127">
        <f t="shared" si="2"/>
        <v>4</v>
      </c>
      <c r="H49" s="122">
        <v>0.8</v>
      </c>
      <c r="I49" s="128">
        <v>0.538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0" t="s">
        <v>276</v>
      </c>
      <c r="B50" s="121">
        <v>5.0</v>
      </c>
      <c r="C50" s="122">
        <v>20.0</v>
      </c>
      <c r="D50" s="121">
        <v>8.0</v>
      </c>
      <c r="E50" s="126">
        <f t="shared" si="5"/>
        <v>12</v>
      </c>
      <c r="F50" s="122">
        <v>2.4</v>
      </c>
      <c r="G50" s="127">
        <f t="shared" si="2"/>
        <v>1</v>
      </c>
      <c r="H50" s="122">
        <v>0.2</v>
      </c>
      <c r="I50" s="128">
        <v>0.5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0" t="s">
        <v>275</v>
      </c>
      <c r="B51" s="121">
        <v>3.0</v>
      </c>
      <c r="C51" s="122">
        <v>12.0</v>
      </c>
      <c r="D51" s="121">
        <v>2.0</v>
      </c>
      <c r="E51" s="126">
        <f t="shared" si="5"/>
        <v>8.01</v>
      </c>
      <c r="F51" s="122">
        <v>2.67</v>
      </c>
      <c r="G51" s="127">
        <f t="shared" si="2"/>
        <v>0</v>
      </c>
      <c r="H51" s="122">
        <v>0.0</v>
      </c>
      <c r="I51" s="131">
        <v>1.0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0" t="s">
        <v>299</v>
      </c>
      <c r="B52" s="121">
        <v>3.0</v>
      </c>
      <c r="C52" s="122">
        <v>12.0</v>
      </c>
      <c r="D52" s="121">
        <v>2.0</v>
      </c>
      <c r="E52" s="126">
        <f t="shared" si="5"/>
        <v>8.01</v>
      </c>
      <c r="F52" s="122">
        <v>2.67</v>
      </c>
      <c r="G52" s="127">
        <f t="shared" si="2"/>
        <v>0</v>
      </c>
      <c r="H52" s="122">
        <v>0.0</v>
      </c>
      <c r="I52" s="131">
        <v>1.0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0" t="s">
        <v>343</v>
      </c>
      <c r="B53" s="121">
        <v>5.0</v>
      </c>
      <c r="C53" s="122">
        <v>20.0</v>
      </c>
      <c r="D53" s="121">
        <v>2.0</v>
      </c>
      <c r="E53" s="126">
        <f t="shared" si="5"/>
        <v>8</v>
      </c>
      <c r="F53" s="122">
        <v>1.6</v>
      </c>
      <c r="G53" s="127">
        <f t="shared" si="2"/>
        <v>0</v>
      </c>
      <c r="H53" s="122">
        <v>0.0</v>
      </c>
      <c r="I53" s="128">
        <v>1.0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0" t="s">
        <v>226</v>
      </c>
      <c r="B54" s="121">
        <v>5.0</v>
      </c>
      <c r="C54" s="122">
        <v>20.0</v>
      </c>
      <c r="D54" s="121">
        <v>2.0</v>
      </c>
      <c r="E54" s="126">
        <f t="shared" si="5"/>
        <v>8</v>
      </c>
      <c r="F54" s="122">
        <v>1.6</v>
      </c>
      <c r="G54" s="127">
        <f t="shared" si="2"/>
        <v>0</v>
      </c>
      <c r="H54" s="122">
        <v>0.0</v>
      </c>
      <c r="I54" s="128">
        <v>1.0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0" t="s">
        <v>261</v>
      </c>
      <c r="B55" s="121">
        <v>5.0</v>
      </c>
      <c r="C55" s="122">
        <v>20.0</v>
      </c>
      <c r="D55" s="121">
        <v>2.0</v>
      </c>
      <c r="E55" s="126">
        <f t="shared" si="5"/>
        <v>8</v>
      </c>
      <c r="F55" s="122">
        <v>1.6</v>
      </c>
      <c r="G55" s="127">
        <f t="shared" si="2"/>
        <v>0</v>
      </c>
      <c r="H55" s="122">
        <v>0.0</v>
      </c>
      <c r="I55" s="128">
        <v>1.0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0" t="s">
        <v>345</v>
      </c>
      <c r="B56" s="121">
        <v>5.0</v>
      </c>
      <c r="C56" s="122">
        <v>20.0</v>
      </c>
      <c r="D56" s="121">
        <v>2.0</v>
      </c>
      <c r="E56" s="126">
        <f t="shared" si="5"/>
        <v>8</v>
      </c>
      <c r="F56" s="122">
        <v>1.6</v>
      </c>
      <c r="G56" s="127">
        <f t="shared" si="2"/>
        <v>0</v>
      </c>
      <c r="H56" s="122">
        <v>0.0</v>
      </c>
      <c r="I56" s="131">
        <v>1.0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0" t="s">
        <v>269</v>
      </c>
      <c r="B57" s="121">
        <v>5.0</v>
      </c>
      <c r="C57" s="122">
        <v>20.0</v>
      </c>
      <c r="D57" s="121">
        <v>2.0</v>
      </c>
      <c r="E57" s="126">
        <f t="shared" si="5"/>
        <v>8</v>
      </c>
      <c r="F57" s="122">
        <v>1.6</v>
      </c>
      <c r="G57" s="127">
        <f t="shared" si="2"/>
        <v>0</v>
      </c>
      <c r="H57" s="122">
        <v>0.0</v>
      </c>
      <c r="I57" s="128">
        <v>1.0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0" t="s">
        <v>282</v>
      </c>
      <c r="B58" s="121">
        <v>4.0</v>
      </c>
      <c r="C58" s="122">
        <v>16.0</v>
      </c>
      <c r="D58" s="121">
        <v>2.0</v>
      </c>
      <c r="E58" s="126">
        <f t="shared" si="5"/>
        <v>8</v>
      </c>
      <c r="F58" s="122">
        <v>2.0</v>
      </c>
      <c r="G58" s="127">
        <f t="shared" si="2"/>
        <v>0</v>
      </c>
      <c r="H58" s="122">
        <v>0.0</v>
      </c>
      <c r="I58" s="128">
        <v>1.0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0" t="s">
        <v>309</v>
      </c>
      <c r="B59" s="121">
        <v>5.0</v>
      </c>
      <c r="C59" s="122">
        <v>20.0</v>
      </c>
      <c r="D59" s="121">
        <v>4.0</v>
      </c>
      <c r="E59" s="126">
        <f t="shared" si="5"/>
        <v>8</v>
      </c>
      <c r="F59" s="122">
        <v>1.6</v>
      </c>
      <c r="G59" s="127">
        <f t="shared" si="2"/>
        <v>1</v>
      </c>
      <c r="H59" s="122">
        <v>0.2</v>
      </c>
      <c r="I59" s="128">
        <v>0.75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0" t="s">
        <v>232</v>
      </c>
      <c r="B60" s="121">
        <v>5.0</v>
      </c>
      <c r="C60" s="122">
        <v>20.0</v>
      </c>
      <c r="D60" s="121">
        <v>4.0</v>
      </c>
      <c r="E60" s="126">
        <f t="shared" si="5"/>
        <v>8</v>
      </c>
      <c r="F60" s="122">
        <v>1.6</v>
      </c>
      <c r="G60" s="127">
        <f t="shared" si="2"/>
        <v>1</v>
      </c>
      <c r="H60" s="122">
        <v>0.2</v>
      </c>
      <c r="I60" s="128">
        <v>0.75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0" t="s">
        <v>257</v>
      </c>
      <c r="B61" s="121">
        <v>5.0</v>
      </c>
      <c r="C61" s="122">
        <v>20.0</v>
      </c>
      <c r="D61" s="121">
        <v>6.0</v>
      </c>
      <c r="E61" s="126">
        <f t="shared" si="5"/>
        <v>8</v>
      </c>
      <c r="F61" s="122">
        <v>1.6</v>
      </c>
      <c r="G61" s="127">
        <f t="shared" si="2"/>
        <v>2</v>
      </c>
      <c r="H61" s="122">
        <v>0.4</v>
      </c>
      <c r="I61" s="128">
        <v>0.667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0" t="s">
        <v>254</v>
      </c>
      <c r="B62" s="121">
        <v>2.0</v>
      </c>
      <c r="C62" s="122">
        <v>8.0</v>
      </c>
      <c r="D62" s="121">
        <v>6.0</v>
      </c>
      <c r="E62" s="126">
        <f t="shared" si="5"/>
        <v>8</v>
      </c>
      <c r="F62" s="122">
        <v>4.0</v>
      </c>
      <c r="G62" s="127">
        <f t="shared" si="2"/>
        <v>2</v>
      </c>
      <c r="H62" s="122">
        <v>1.0</v>
      </c>
      <c r="I62" s="128">
        <v>0.667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0" t="s">
        <v>323</v>
      </c>
      <c r="B63" s="121">
        <v>4.0</v>
      </c>
      <c r="C63" s="122">
        <v>16.0</v>
      </c>
      <c r="D63" s="121">
        <v>3.0</v>
      </c>
      <c r="E63" s="126">
        <f t="shared" si="5"/>
        <v>8</v>
      </c>
      <c r="F63" s="122">
        <v>2.0</v>
      </c>
      <c r="G63" s="127">
        <f t="shared" si="2"/>
        <v>0</v>
      </c>
      <c r="H63" s="122">
        <v>0.0</v>
      </c>
      <c r="I63" s="128">
        <v>0.667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0" t="s">
        <v>279</v>
      </c>
      <c r="B64" s="121">
        <v>1.0</v>
      </c>
      <c r="C64" s="122">
        <v>4.0</v>
      </c>
      <c r="D64" s="121">
        <v>3.0</v>
      </c>
      <c r="E64" s="126">
        <f t="shared" si="5"/>
        <v>8</v>
      </c>
      <c r="F64" s="122">
        <v>8.0</v>
      </c>
      <c r="G64" s="127">
        <f t="shared" si="2"/>
        <v>0</v>
      </c>
      <c r="H64" s="122">
        <v>0.0</v>
      </c>
      <c r="I64" s="128">
        <v>0.667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0" t="s">
        <v>353</v>
      </c>
      <c r="B65" s="121">
        <v>5.0</v>
      </c>
      <c r="C65" s="122">
        <v>20.0</v>
      </c>
      <c r="D65" s="121">
        <v>3.0</v>
      </c>
      <c r="E65" s="126">
        <f t="shared" si="5"/>
        <v>8</v>
      </c>
      <c r="F65" s="122">
        <v>1.6</v>
      </c>
      <c r="G65" s="127">
        <f t="shared" si="2"/>
        <v>0</v>
      </c>
      <c r="H65" s="122">
        <v>0.0</v>
      </c>
      <c r="I65" s="128">
        <v>0.667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0" t="s">
        <v>354</v>
      </c>
      <c r="B66" s="121">
        <v>2.0</v>
      </c>
      <c r="C66" s="122">
        <v>8.0</v>
      </c>
      <c r="D66" s="121">
        <v>3.0</v>
      </c>
      <c r="E66" s="126">
        <f t="shared" si="5"/>
        <v>8</v>
      </c>
      <c r="F66" s="122">
        <v>4.0</v>
      </c>
      <c r="G66" s="127">
        <f t="shared" si="2"/>
        <v>0</v>
      </c>
      <c r="H66" s="122">
        <v>0.0</v>
      </c>
      <c r="I66" s="128">
        <v>0.667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0" t="s">
        <v>350</v>
      </c>
      <c r="B67" s="121">
        <v>5.0</v>
      </c>
      <c r="C67" s="122">
        <v>20.0</v>
      </c>
      <c r="D67" s="121">
        <v>5.0</v>
      </c>
      <c r="E67" s="126">
        <f t="shared" si="5"/>
        <v>8</v>
      </c>
      <c r="F67" s="122">
        <v>1.6</v>
      </c>
      <c r="G67" s="127">
        <f t="shared" si="2"/>
        <v>1</v>
      </c>
      <c r="H67" s="122">
        <v>0.2</v>
      </c>
      <c r="I67" s="128">
        <v>0.6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0" t="s">
        <v>258</v>
      </c>
      <c r="B68" s="121">
        <v>5.0</v>
      </c>
      <c r="C68" s="122">
        <v>20.0</v>
      </c>
      <c r="D68" s="121">
        <v>8.0</v>
      </c>
      <c r="E68" s="126">
        <f t="shared" si="5"/>
        <v>8</v>
      </c>
      <c r="F68" s="122">
        <v>1.6</v>
      </c>
      <c r="G68" s="127">
        <f t="shared" si="2"/>
        <v>2</v>
      </c>
      <c r="H68" s="122">
        <v>0.4</v>
      </c>
      <c r="I68" s="131">
        <v>0.5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0" t="s">
        <v>356</v>
      </c>
      <c r="B69" s="121">
        <v>5.0</v>
      </c>
      <c r="C69" s="122">
        <v>20.0</v>
      </c>
      <c r="D69" s="121">
        <v>4.0</v>
      </c>
      <c r="E69" s="126">
        <f t="shared" si="5"/>
        <v>8</v>
      </c>
      <c r="F69" s="122">
        <v>1.6</v>
      </c>
      <c r="G69" s="127">
        <f t="shared" si="2"/>
        <v>0</v>
      </c>
      <c r="H69" s="122">
        <v>0.0</v>
      </c>
      <c r="I69" s="131">
        <v>0.5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0" t="s">
        <v>359</v>
      </c>
      <c r="B70" s="121">
        <v>5.0</v>
      </c>
      <c r="C70" s="122">
        <v>20.0</v>
      </c>
      <c r="D70" s="121">
        <v>9.0</v>
      </c>
      <c r="E70" s="126">
        <f t="shared" si="5"/>
        <v>8</v>
      </c>
      <c r="F70" s="122">
        <v>1.6</v>
      </c>
      <c r="G70" s="127">
        <f t="shared" si="2"/>
        <v>2</v>
      </c>
      <c r="H70" s="122">
        <v>0.4</v>
      </c>
      <c r="I70" s="128">
        <v>0.444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0" t="s">
        <v>247</v>
      </c>
      <c r="B71" s="121">
        <v>5.0</v>
      </c>
      <c r="C71" s="122">
        <v>20.0</v>
      </c>
      <c r="D71" s="121">
        <v>6.0</v>
      </c>
      <c r="E71" s="126">
        <f t="shared" si="5"/>
        <v>8</v>
      </c>
      <c r="F71" s="122">
        <v>1.6</v>
      </c>
      <c r="G71" s="127">
        <f t="shared" si="2"/>
        <v>0</v>
      </c>
      <c r="H71" s="122">
        <v>0.0</v>
      </c>
      <c r="I71" s="128">
        <v>0.333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0" t="s">
        <v>362</v>
      </c>
      <c r="B72" s="121">
        <v>2.0</v>
      </c>
      <c r="C72" s="122">
        <v>9.0</v>
      </c>
      <c r="D72" s="121">
        <v>1.0</v>
      </c>
      <c r="E72" s="126">
        <f t="shared" si="5"/>
        <v>4.5</v>
      </c>
      <c r="F72" s="122">
        <v>2.0</v>
      </c>
      <c r="G72" s="127">
        <f t="shared" si="2"/>
        <v>0</v>
      </c>
      <c r="H72" s="122">
        <v>0.0</v>
      </c>
      <c r="I72" s="128">
        <v>1.0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0" t="s">
        <v>365</v>
      </c>
      <c r="B73" s="121">
        <v>1.0</v>
      </c>
      <c r="C73" s="122">
        <v>4.0</v>
      </c>
      <c r="D73" s="121">
        <v>1.0</v>
      </c>
      <c r="E73" s="126">
        <f t="shared" si="5"/>
        <v>4</v>
      </c>
      <c r="F73" s="122">
        <v>4.0</v>
      </c>
      <c r="G73" s="127">
        <f t="shared" si="2"/>
        <v>0</v>
      </c>
      <c r="H73" s="122">
        <v>0.0</v>
      </c>
      <c r="I73" s="131">
        <v>1.0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0" t="s">
        <v>303</v>
      </c>
      <c r="B74" s="121">
        <v>4.0</v>
      </c>
      <c r="C74" s="122">
        <v>16.0</v>
      </c>
      <c r="D74" s="121">
        <v>1.0</v>
      </c>
      <c r="E74" s="126">
        <f t="shared" si="5"/>
        <v>4</v>
      </c>
      <c r="F74" s="122">
        <v>1.0</v>
      </c>
      <c r="G74" s="127">
        <f t="shared" si="2"/>
        <v>0</v>
      </c>
      <c r="H74" s="122">
        <v>0.0</v>
      </c>
      <c r="I74" s="128">
        <v>1.0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0" t="s">
        <v>367</v>
      </c>
      <c r="B75" s="121">
        <v>1.0</v>
      </c>
      <c r="C75" s="122">
        <v>4.0</v>
      </c>
      <c r="D75" s="121">
        <v>1.0</v>
      </c>
      <c r="E75" s="126">
        <f t="shared" si="5"/>
        <v>4</v>
      </c>
      <c r="F75" s="122">
        <v>4.0</v>
      </c>
      <c r="G75" s="127">
        <f t="shared" si="2"/>
        <v>0</v>
      </c>
      <c r="H75" s="122">
        <v>0.0</v>
      </c>
      <c r="I75" s="128">
        <v>1.0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0" t="s">
        <v>351</v>
      </c>
      <c r="B76" s="121">
        <v>4.0</v>
      </c>
      <c r="C76" s="122">
        <v>16.0</v>
      </c>
      <c r="D76" s="121">
        <v>1.0</v>
      </c>
      <c r="E76" s="126">
        <f t="shared" si="5"/>
        <v>4</v>
      </c>
      <c r="F76" s="122">
        <v>1.0</v>
      </c>
      <c r="G76" s="127">
        <f t="shared" si="2"/>
        <v>0</v>
      </c>
      <c r="H76" s="122">
        <v>0.0</v>
      </c>
      <c r="I76" s="128">
        <v>1.0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0" t="s">
        <v>361</v>
      </c>
      <c r="B77" s="121">
        <v>5.0</v>
      </c>
      <c r="C77" s="122">
        <v>20.0</v>
      </c>
      <c r="D77" s="121">
        <v>1.0</v>
      </c>
      <c r="E77" s="126">
        <f t="shared" si="5"/>
        <v>4</v>
      </c>
      <c r="F77" s="122">
        <v>0.8</v>
      </c>
      <c r="G77" s="127">
        <f t="shared" si="2"/>
        <v>0</v>
      </c>
      <c r="H77" s="122">
        <v>0.0</v>
      </c>
      <c r="I77" s="128">
        <v>1.0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0" t="s">
        <v>375</v>
      </c>
      <c r="B78" s="121">
        <v>1.0</v>
      </c>
      <c r="C78" s="122">
        <v>4.0</v>
      </c>
      <c r="D78" s="121">
        <v>1.0</v>
      </c>
      <c r="E78" s="126">
        <f t="shared" si="5"/>
        <v>4</v>
      </c>
      <c r="F78" s="122">
        <v>4.0</v>
      </c>
      <c r="G78" s="127">
        <f t="shared" si="2"/>
        <v>0</v>
      </c>
      <c r="H78" s="122">
        <v>0.0</v>
      </c>
      <c r="I78" s="128">
        <v>1.0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0" t="s">
        <v>227</v>
      </c>
      <c r="B79" s="121">
        <v>5.0</v>
      </c>
      <c r="C79" s="122">
        <v>20.0</v>
      </c>
      <c r="D79" s="121">
        <v>1.0</v>
      </c>
      <c r="E79" s="126">
        <f t="shared" si="5"/>
        <v>4</v>
      </c>
      <c r="F79" s="122">
        <v>0.8</v>
      </c>
      <c r="G79" s="127">
        <f t="shared" si="2"/>
        <v>0</v>
      </c>
      <c r="H79" s="122">
        <v>0.0</v>
      </c>
      <c r="I79" s="128">
        <v>1.0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0" t="s">
        <v>380</v>
      </c>
      <c r="B80" s="121">
        <v>2.0</v>
      </c>
      <c r="C80" s="122">
        <v>8.0</v>
      </c>
      <c r="D80" s="121">
        <v>1.0</v>
      </c>
      <c r="E80" s="126">
        <f t="shared" si="5"/>
        <v>4</v>
      </c>
      <c r="F80" s="122">
        <v>2.0</v>
      </c>
      <c r="G80" s="127">
        <f t="shared" si="2"/>
        <v>0</v>
      </c>
      <c r="H80" s="122">
        <v>0.0</v>
      </c>
      <c r="I80" s="128">
        <v>1.0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0" t="s">
        <v>251</v>
      </c>
      <c r="B81" s="121">
        <v>5.0</v>
      </c>
      <c r="C81" s="122">
        <v>20.0</v>
      </c>
      <c r="D81" s="121">
        <v>1.0</v>
      </c>
      <c r="E81" s="126">
        <f t="shared" si="5"/>
        <v>4</v>
      </c>
      <c r="F81" s="122">
        <v>0.8</v>
      </c>
      <c r="G81" s="127">
        <f t="shared" si="2"/>
        <v>0</v>
      </c>
      <c r="H81" s="122">
        <v>0.0</v>
      </c>
      <c r="I81" s="131">
        <v>1.0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0" t="s">
        <v>307</v>
      </c>
      <c r="B82" s="121">
        <v>1.0</v>
      </c>
      <c r="C82" s="122">
        <v>4.0</v>
      </c>
      <c r="D82" s="121">
        <v>1.0</v>
      </c>
      <c r="E82" s="126">
        <f t="shared" si="5"/>
        <v>4</v>
      </c>
      <c r="F82" s="122">
        <v>4.0</v>
      </c>
      <c r="G82" s="127">
        <f t="shared" si="2"/>
        <v>0</v>
      </c>
      <c r="H82" s="122">
        <v>0.0</v>
      </c>
      <c r="I82" s="131">
        <v>1.0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0" t="s">
        <v>348</v>
      </c>
      <c r="B83" s="121">
        <v>2.0</v>
      </c>
      <c r="C83" s="122">
        <v>8.0</v>
      </c>
      <c r="D83" s="121">
        <v>1.0</v>
      </c>
      <c r="E83" s="126">
        <f t="shared" si="5"/>
        <v>4</v>
      </c>
      <c r="F83" s="122">
        <v>2.0</v>
      </c>
      <c r="G83" s="127">
        <f t="shared" si="2"/>
        <v>0</v>
      </c>
      <c r="H83" s="122">
        <v>0.0</v>
      </c>
      <c r="I83" s="128">
        <v>1.0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0" t="s">
        <v>326</v>
      </c>
      <c r="B84" s="121">
        <v>5.0</v>
      </c>
      <c r="C84" s="122">
        <v>20.0</v>
      </c>
      <c r="D84" s="121">
        <v>1.0</v>
      </c>
      <c r="E84" s="126">
        <f t="shared" si="5"/>
        <v>4</v>
      </c>
      <c r="F84" s="122">
        <v>0.8</v>
      </c>
      <c r="G84" s="127">
        <f t="shared" si="2"/>
        <v>0</v>
      </c>
      <c r="H84" s="122">
        <v>0.0</v>
      </c>
      <c r="I84" s="128">
        <v>1.0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20" t="s">
        <v>312</v>
      </c>
      <c r="B85" s="121">
        <v>5.0</v>
      </c>
      <c r="C85" s="122">
        <v>20.0</v>
      </c>
      <c r="D85" s="121">
        <v>1.0</v>
      </c>
      <c r="E85" s="126">
        <f t="shared" si="5"/>
        <v>4</v>
      </c>
      <c r="F85" s="122">
        <v>0.8</v>
      </c>
      <c r="G85" s="127">
        <f t="shared" si="2"/>
        <v>0</v>
      </c>
      <c r="H85" s="122">
        <v>0.0</v>
      </c>
      <c r="I85" s="128">
        <v>1.0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20" t="s">
        <v>352</v>
      </c>
      <c r="B86" s="121">
        <v>1.0</v>
      </c>
      <c r="C86" s="122">
        <v>4.0</v>
      </c>
      <c r="D86" s="121">
        <v>1.0</v>
      </c>
      <c r="E86" s="126">
        <f t="shared" si="5"/>
        <v>4</v>
      </c>
      <c r="F86" s="122">
        <v>4.0</v>
      </c>
      <c r="G86" s="127">
        <f t="shared" si="2"/>
        <v>0</v>
      </c>
      <c r="H86" s="122">
        <v>0.0</v>
      </c>
      <c r="I86" s="128">
        <v>1.0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20" t="s">
        <v>223</v>
      </c>
      <c r="B87" s="121">
        <v>5.0</v>
      </c>
      <c r="C87" s="122">
        <v>20.0</v>
      </c>
      <c r="D87" s="121">
        <v>1.0</v>
      </c>
      <c r="E87" s="126">
        <f t="shared" si="5"/>
        <v>4</v>
      </c>
      <c r="F87" s="122">
        <v>0.8</v>
      </c>
      <c r="G87" s="127">
        <f t="shared" si="2"/>
        <v>0</v>
      </c>
      <c r="H87" s="122">
        <v>0.0</v>
      </c>
      <c r="I87" s="128">
        <v>1.0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0" t="s">
        <v>256</v>
      </c>
      <c r="B88" s="121">
        <v>5.0</v>
      </c>
      <c r="C88" s="122">
        <v>20.0</v>
      </c>
      <c r="D88" s="121">
        <v>1.0</v>
      </c>
      <c r="E88" s="126">
        <f t="shared" si="5"/>
        <v>4</v>
      </c>
      <c r="F88" s="122">
        <v>0.8</v>
      </c>
      <c r="G88" s="127">
        <f t="shared" si="2"/>
        <v>0</v>
      </c>
      <c r="H88" s="122">
        <v>0.0</v>
      </c>
      <c r="I88" s="128">
        <v>1.0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20" t="s">
        <v>386</v>
      </c>
      <c r="B89" s="121">
        <v>1.0</v>
      </c>
      <c r="C89" s="122">
        <v>4.0</v>
      </c>
      <c r="D89" s="121">
        <v>1.0</v>
      </c>
      <c r="E89" s="126">
        <f t="shared" si="5"/>
        <v>4</v>
      </c>
      <c r="F89" s="122">
        <v>4.0</v>
      </c>
      <c r="G89" s="127">
        <f t="shared" si="2"/>
        <v>0</v>
      </c>
      <c r="H89" s="122">
        <v>0.0</v>
      </c>
      <c r="I89" s="128">
        <v>1.0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20" t="s">
        <v>355</v>
      </c>
      <c r="B90" s="121">
        <v>4.0</v>
      </c>
      <c r="C90" s="122">
        <v>16.0</v>
      </c>
      <c r="D90" s="121">
        <v>1.0</v>
      </c>
      <c r="E90" s="126">
        <f t="shared" si="5"/>
        <v>4</v>
      </c>
      <c r="F90" s="122">
        <v>1.0</v>
      </c>
      <c r="G90" s="127">
        <f t="shared" si="2"/>
        <v>0</v>
      </c>
      <c r="H90" s="122">
        <v>0.0</v>
      </c>
      <c r="I90" s="128">
        <v>1.0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20" t="s">
        <v>292</v>
      </c>
      <c r="B91" s="121">
        <v>4.0</v>
      </c>
      <c r="C91" s="122">
        <v>16.0</v>
      </c>
      <c r="D91" s="121">
        <v>1.0</v>
      </c>
      <c r="E91" s="126">
        <f t="shared" si="5"/>
        <v>4</v>
      </c>
      <c r="F91" s="122">
        <v>1.0</v>
      </c>
      <c r="G91" s="127">
        <f t="shared" si="2"/>
        <v>0</v>
      </c>
      <c r="H91" s="122">
        <v>0.0</v>
      </c>
      <c r="I91" s="128">
        <v>1.0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20" t="s">
        <v>388</v>
      </c>
      <c r="B92" s="121">
        <v>5.0</v>
      </c>
      <c r="C92" s="122">
        <v>20.0</v>
      </c>
      <c r="D92" s="121">
        <v>1.0</v>
      </c>
      <c r="E92" s="126">
        <f t="shared" si="5"/>
        <v>4</v>
      </c>
      <c r="F92" s="122">
        <v>0.8</v>
      </c>
      <c r="G92" s="127">
        <f t="shared" si="2"/>
        <v>0</v>
      </c>
      <c r="H92" s="122">
        <v>0.0</v>
      </c>
      <c r="I92" s="128">
        <v>1.0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20" t="s">
        <v>390</v>
      </c>
      <c r="B93" s="121">
        <v>2.0</v>
      </c>
      <c r="C93" s="122">
        <v>8.0</v>
      </c>
      <c r="D93" s="121">
        <v>1.0</v>
      </c>
      <c r="E93" s="126">
        <f t="shared" si="5"/>
        <v>4</v>
      </c>
      <c r="F93" s="122">
        <v>2.0</v>
      </c>
      <c r="G93" s="127">
        <f t="shared" si="2"/>
        <v>0</v>
      </c>
      <c r="H93" s="122">
        <v>0.0</v>
      </c>
      <c r="I93" s="128">
        <v>1.0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20" t="s">
        <v>336</v>
      </c>
      <c r="B94" s="121">
        <v>4.0</v>
      </c>
      <c r="C94" s="122">
        <v>16.0</v>
      </c>
      <c r="D94" s="121">
        <v>1.0</v>
      </c>
      <c r="E94" s="126">
        <f t="shared" si="5"/>
        <v>4</v>
      </c>
      <c r="F94" s="122">
        <v>1.0</v>
      </c>
      <c r="G94" s="127">
        <f t="shared" si="2"/>
        <v>0</v>
      </c>
      <c r="H94" s="122">
        <v>0.0</v>
      </c>
      <c r="I94" s="128">
        <v>1.0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20" t="s">
        <v>339</v>
      </c>
      <c r="B95" s="121">
        <v>1.0</v>
      </c>
      <c r="C95" s="122">
        <v>4.0</v>
      </c>
      <c r="D95" s="121">
        <v>1.0</v>
      </c>
      <c r="E95" s="126">
        <f t="shared" si="5"/>
        <v>4</v>
      </c>
      <c r="F95" s="122">
        <v>4.0</v>
      </c>
      <c r="G95" s="127">
        <f t="shared" si="2"/>
        <v>0</v>
      </c>
      <c r="H95" s="122">
        <v>0.0</v>
      </c>
      <c r="I95" s="131">
        <v>1.0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20" t="s">
        <v>333</v>
      </c>
      <c r="B96" s="121">
        <v>5.0</v>
      </c>
      <c r="C96" s="122">
        <v>20.0</v>
      </c>
      <c r="D96" s="121">
        <v>9.0</v>
      </c>
      <c r="E96" s="126">
        <f t="shared" si="5"/>
        <v>4</v>
      </c>
      <c r="F96" s="122">
        <v>0.8</v>
      </c>
      <c r="G96" s="127">
        <f t="shared" si="2"/>
        <v>4</v>
      </c>
      <c r="H96" s="122">
        <v>0.8</v>
      </c>
      <c r="I96" s="128">
        <v>0.556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20" t="s">
        <v>218</v>
      </c>
      <c r="B97" s="121">
        <v>5.0</v>
      </c>
      <c r="C97" s="122">
        <v>20.0</v>
      </c>
      <c r="D97" s="121">
        <v>2.0</v>
      </c>
      <c r="E97" s="126">
        <f t="shared" si="5"/>
        <v>4</v>
      </c>
      <c r="F97" s="122">
        <v>0.8</v>
      </c>
      <c r="G97" s="127">
        <f t="shared" si="2"/>
        <v>0</v>
      </c>
      <c r="H97" s="122">
        <v>0.0</v>
      </c>
      <c r="I97" s="131">
        <v>0.5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20" t="s">
        <v>221</v>
      </c>
      <c r="B98" s="121">
        <v>5.0</v>
      </c>
      <c r="C98" s="122">
        <v>20.0</v>
      </c>
      <c r="D98" s="121">
        <v>2.0</v>
      </c>
      <c r="E98" s="126">
        <f t="shared" si="5"/>
        <v>4</v>
      </c>
      <c r="F98" s="122">
        <v>0.8</v>
      </c>
      <c r="G98" s="127">
        <f t="shared" si="2"/>
        <v>0</v>
      </c>
      <c r="H98" s="122">
        <v>0.0</v>
      </c>
      <c r="I98" s="128">
        <v>0.5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20" t="s">
        <v>241</v>
      </c>
      <c r="B99" s="121">
        <v>5.0</v>
      </c>
      <c r="C99" s="122">
        <v>20.0</v>
      </c>
      <c r="D99" s="121">
        <v>4.0</v>
      </c>
      <c r="E99" s="126">
        <f t="shared" si="5"/>
        <v>4</v>
      </c>
      <c r="F99" s="122">
        <v>0.8</v>
      </c>
      <c r="G99" s="127">
        <f t="shared" si="2"/>
        <v>1</v>
      </c>
      <c r="H99" s="122">
        <v>0.2</v>
      </c>
      <c r="I99" s="128">
        <v>0.5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20" t="s">
        <v>305</v>
      </c>
      <c r="B100" s="121">
        <v>4.0</v>
      </c>
      <c r="C100" s="122">
        <v>16.0</v>
      </c>
      <c r="D100" s="121">
        <v>2.0</v>
      </c>
      <c r="E100" s="126">
        <f t="shared" si="5"/>
        <v>4</v>
      </c>
      <c r="F100" s="122">
        <v>1.0</v>
      </c>
      <c r="G100" s="127">
        <f t="shared" si="2"/>
        <v>0</v>
      </c>
      <c r="H100" s="122">
        <v>0.0</v>
      </c>
      <c r="I100" s="128">
        <v>0.5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20" t="s">
        <v>332</v>
      </c>
      <c r="B101" s="121">
        <v>5.0</v>
      </c>
      <c r="C101" s="122">
        <v>20.0</v>
      </c>
      <c r="D101" s="121">
        <v>2.0</v>
      </c>
      <c r="E101" s="126">
        <f t="shared" si="5"/>
        <v>4</v>
      </c>
      <c r="F101" s="122">
        <v>0.8</v>
      </c>
      <c r="G101" s="127">
        <f t="shared" si="2"/>
        <v>0</v>
      </c>
      <c r="H101" s="122">
        <v>0.0</v>
      </c>
      <c r="I101" s="131">
        <v>0.5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20" t="s">
        <v>293</v>
      </c>
      <c r="B102" s="121">
        <v>5.0</v>
      </c>
      <c r="C102" s="122">
        <v>20.0</v>
      </c>
      <c r="D102" s="121">
        <v>2.0</v>
      </c>
      <c r="E102" s="126">
        <f t="shared" si="5"/>
        <v>4</v>
      </c>
      <c r="F102" s="122">
        <v>0.8</v>
      </c>
      <c r="G102" s="127">
        <f t="shared" si="2"/>
        <v>0</v>
      </c>
      <c r="H102" s="122">
        <v>0.0</v>
      </c>
      <c r="I102" s="128">
        <v>0.5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20" t="s">
        <v>238</v>
      </c>
      <c r="B103" s="121">
        <v>5.0</v>
      </c>
      <c r="C103" s="122">
        <v>20.0</v>
      </c>
      <c r="D103" s="121">
        <v>2.0</v>
      </c>
      <c r="E103" s="126">
        <f t="shared" si="5"/>
        <v>4</v>
      </c>
      <c r="F103" s="122">
        <v>0.8</v>
      </c>
      <c r="G103" s="127">
        <f t="shared" si="2"/>
        <v>0</v>
      </c>
      <c r="H103" s="122">
        <v>0.0</v>
      </c>
      <c r="I103" s="128">
        <v>0.5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0" t="s">
        <v>237</v>
      </c>
      <c r="B104" s="121">
        <v>5.0</v>
      </c>
      <c r="C104" s="122">
        <v>20.0</v>
      </c>
      <c r="D104" s="121">
        <v>2.0</v>
      </c>
      <c r="E104" s="126">
        <f t="shared" si="5"/>
        <v>4</v>
      </c>
      <c r="F104" s="122">
        <v>0.8</v>
      </c>
      <c r="G104" s="127">
        <f t="shared" si="2"/>
        <v>0</v>
      </c>
      <c r="H104" s="122">
        <v>0.0</v>
      </c>
      <c r="I104" s="128">
        <v>0.5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20" t="s">
        <v>401</v>
      </c>
      <c r="B105" s="121">
        <v>4.0</v>
      </c>
      <c r="C105" s="122">
        <v>16.0</v>
      </c>
      <c r="D105" s="121">
        <v>4.0</v>
      </c>
      <c r="E105" s="126">
        <f t="shared" si="5"/>
        <v>4</v>
      </c>
      <c r="F105" s="122">
        <v>1.0</v>
      </c>
      <c r="G105" s="127">
        <f t="shared" si="2"/>
        <v>1</v>
      </c>
      <c r="H105" s="122">
        <v>0.25</v>
      </c>
      <c r="I105" s="128">
        <v>0.5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20" t="s">
        <v>316</v>
      </c>
      <c r="B106" s="121">
        <v>5.0</v>
      </c>
      <c r="C106" s="122">
        <v>20.0</v>
      </c>
      <c r="D106" s="121">
        <v>7.0</v>
      </c>
      <c r="E106" s="126">
        <f t="shared" si="5"/>
        <v>4</v>
      </c>
      <c r="F106" s="122">
        <v>0.8</v>
      </c>
      <c r="G106" s="127">
        <f t="shared" si="2"/>
        <v>2</v>
      </c>
      <c r="H106" s="122">
        <v>0.4</v>
      </c>
      <c r="I106" s="128">
        <v>0.429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20" t="s">
        <v>272</v>
      </c>
      <c r="B107" s="121">
        <v>5.0</v>
      </c>
      <c r="C107" s="122">
        <v>20.0</v>
      </c>
      <c r="D107" s="121">
        <v>5.0</v>
      </c>
      <c r="E107" s="126">
        <f t="shared" si="5"/>
        <v>4</v>
      </c>
      <c r="F107" s="122">
        <v>0.8</v>
      </c>
      <c r="G107" s="127">
        <f t="shared" si="2"/>
        <v>1</v>
      </c>
      <c r="H107" s="122">
        <v>0.2</v>
      </c>
      <c r="I107" s="128">
        <v>0.4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20" t="s">
        <v>369</v>
      </c>
      <c r="B108" s="121">
        <v>5.0</v>
      </c>
      <c r="C108" s="122">
        <v>20.0</v>
      </c>
      <c r="D108" s="121">
        <v>3.0</v>
      </c>
      <c r="E108" s="126">
        <f t="shared" si="5"/>
        <v>4</v>
      </c>
      <c r="F108" s="122">
        <v>0.8</v>
      </c>
      <c r="G108" s="127">
        <f t="shared" si="2"/>
        <v>0</v>
      </c>
      <c r="H108" s="122">
        <v>0.0</v>
      </c>
      <c r="I108" s="128">
        <v>0.333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20" t="s">
        <v>280</v>
      </c>
      <c r="B109" s="121">
        <v>5.0</v>
      </c>
      <c r="C109" s="122">
        <v>20.0</v>
      </c>
      <c r="D109" s="121">
        <v>3.0</v>
      </c>
      <c r="E109" s="126">
        <f t="shared" si="5"/>
        <v>4</v>
      </c>
      <c r="F109" s="122">
        <v>0.8</v>
      </c>
      <c r="G109" s="127">
        <f t="shared" si="2"/>
        <v>0</v>
      </c>
      <c r="H109" s="122">
        <v>0.0</v>
      </c>
      <c r="I109" s="128">
        <v>0.333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20" t="s">
        <v>397</v>
      </c>
      <c r="B110" s="121">
        <v>3.0</v>
      </c>
      <c r="C110" s="122">
        <v>12.0</v>
      </c>
      <c r="D110" s="121">
        <v>1.0</v>
      </c>
      <c r="E110" s="126">
        <f t="shared" si="5"/>
        <v>3.99</v>
      </c>
      <c r="F110" s="122">
        <v>1.33</v>
      </c>
      <c r="G110" s="127">
        <f t="shared" si="2"/>
        <v>0</v>
      </c>
      <c r="H110" s="122">
        <v>0.0</v>
      </c>
      <c r="I110" s="128">
        <v>1.0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20" t="s">
        <v>341</v>
      </c>
      <c r="B111" s="121">
        <v>5.0</v>
      </c>
      <c r="C111" s="122">
        <v>20.0</v>
      </c>
      <c r="D111" s="121">
        <v>2.0</v>
      </c>
      <c r="E111" s="126">
        <f t="shared" si="5"/>
        <v>0</v>
      </c>
      <c r="F111" s="122">
        <v>0.0</v>
      </c>
      <c r="G111" s="127">
        <f t="shared" si="2"/>
        <v>1</v>
      </c>
      <c r="H111" s="122">
        <v>0.2</v>
      </c>
      <c r="I111" s="128">
        <v>0.5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20" t="s">
        <v>373</v>
      </c>
      <c r="B112" s="121">
        <v>3.0</v>
      </c>
      <c r="C112" s="122">
        <v>12.0</v>
      </c>
      <c r="D112" s="121">
        <v>2.0</v>
      </c>
      <c r="E112" s="126">
        <f t="shared" si="5"/>
        <v>0</v>
      </c>
      <c r="F112" s="122">
        <v>0.0</v>
      </c>
      <c r="G112" s="127">
        <f t="shared" si="2"/>
        <v>0.99</v>
      </c>
      <c r="H112" s="122">
        <v>0.33</v>
      </c>
      <c r="I112" s="131">
        <v>0.5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20" t="s">
        <v>220</v>
      </c>
      <c r="B113" s="121">
        <v>5.0</v>
      </c>
      <c r="C113" s="122">
        <v>20.0</v>
      </c>
      <c r="D113" s="121">
        <v>2.0</v>
      </c>
      <c r="E113" s="126">
        <f t="shared" si="5"/>
        <v>0</v>
      </c>
      <c r="F113" s="122">
        <v>0.0</v>
      </c>
      <c r="G113" s="127">
        <f t="shared" si="2"/>
        <v>1</v>
      </c>
      <c r="H113" s="122">
        <v>0.2</v>
      </c>
      <c r="I113" s="128">
        <v>0.5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20" t="s">
        <v>307</v>
      </c>
      <c r="B114" s="121">
        <v>1.0</v>
      </c>
      <c r="C114" s="122">
        <v>4.0</v>
      </c>
      <c r="D114" s="121">
        <v>2.0</v>
      </c>
      <c r="E114" s="126">
        <f t="shared" si="5"/>
        <v>0</v>
      </c>
      <c r="F114" s="122">
        <v>0.0</v>
      </c>
      <c r="G114" s="127">
        <f t="shared" si="2"/>
        <v>1</v>
      </c>
      <c r="H114" s="122">
        <v>1.0</v>
      </c>
      <c r="I114" s="131">
        <v>0.5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20" t="s">
        <v>403</v>
      </c>
      <c r="B115" s="121">
        <v>5.0</v>
      </c>
      <c r="C115" s="122">
        <v>20.0</v>
      </c>
      <c r="D115" s="121">
        <v>4.0</v>
      </c>
      <c r="E115" s="126">
        <f t="shared" si="5"/>
        <v>0</v>
      </c>
      <c r="F115" s="122">
        <v>0.0</v>
      </c>
      <c r="G115" s="127">
        <f t="shared" si="2"/>
        <v>2</v>
      </c>
      <c r="H115" s="122">
        <v>0.4</v>
      </c>
      <c r="I115" s="131">
        <v>0.5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20" t="s">
        <v>233</v>
      </c>
      <c r="B116" s="121">
        <v>5.0</v>
      </c>
      <c r="C116" s="122">
        <v>20.0</v>
      </c>
      <c r="D116" s="121">
        <v>2.0</v>
      </c>
      <c r="E116" s="126">
        <f t="shared" si="5"/>
        <v>0</v>
      </c>
      <c r="F116" s="122">
        <v>0.0</v>
      </c>
      <c r="G116" s="127">
        <f t="shared" si="2"/>
        <v>1</v>
      </c>
      <c r="H116" s="122">
        <v>0.2</v>
      </c>
      <c r="I116" s="128">
        <v>0.5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20" t="s">
        <v>402</v>
      </c>
      <c r="B117" s="121">
        <v>1.0</v>
      </c>
      <c r="C117" s="122">
        <v>4.0</v>
      </c>
      <c r="D117" s="121">
        <v>3.0</v>
      </c>
      <c r="E117" s="126">
        <f t="shared" si="5"/>
        <v>0</v>
      </c>
      <c r="F117" s="122">
        <v>0.0</v>
      </c>
      <c r="G117" s="127">
        <f t="shared" si="2"/>
        <v>1</v>
      </c>
      <c r="H117" s="122">
        <v>1.0</v>
      </c>
      <c r="I117" s="128">
        <v>0.333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20" t="s">
        <v>310</v>
      </c>
      <c r="B118" s="121">
        <v>5.0</v>
      </c>
      <c r="C118" s="122">
        <v>20.0</v>
      </c>
      <c r="D118" s="121">
        <v>3.0</v>
      </c>
      <c r="E118" s="126">
        <f t="shared" si="5"/>
        <v>0</v>
      </c>
      <c r="F118" s="122">
        <v>0.0</v>
      </c>
      <c r="G118" s="127">
        <f t="shared" si="2"/>
        <v>1</v>
      </c>
      <c r="H118" s="122">
        <v>0.2</v>
      </c>
      <c r="I118" s="128">
        <v>0.333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20" t="s">
        <v>357</v>
      </c>
      <c r="B119" s="121">
        <v>2.0</v>
      </c>
      <c r="C119" s="122">
        <v>8.0</v>
      </c>
      <c r="D119" s="121">
        <v>3.0</v>
      </c>
      <c r="E119" s="126">
        <f t="shared" si="5"/>
        <v>0</v>
      </c>
      <c r="F119" s="122">
        <v>0.0</v>
      </c>
      <c r="G119" s="127">
        <f t="shared" si="2"/>
        <v>1</v>
      </c>
      <c r="H119" s="122">
        <v>0.5</v>
      </c>
      <c r="I119" s="128">
        <v>0.333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20" t="s">
        <v>372</v>
      </c>
      <c r="B120" s="121">
        <v>2.0</v>
      </c>
      <c r="C120" s="122">
        <v>8.0</v>
      </c>
      <c r="D120" s="121">
        <v>0.0</v>
      </c>
      <c r="E120" s="126">
        <f t="shared" si="5"/>
        <v>0</v>
      </c>
      <c r="F120" s="122">
        <v>0.0</v>
      </c>
      <c r="G120" s="127">
        <f t="shared" si="2"/>
        <v>0</v>
      </c>
      <c r="H120" s="122">
        <v>0.0</v>
      </c>
      <c r="I120" s="131">
        <v>0.0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20" t="s">
        <v>377</v>
      </c>
      <c r="B121" s="121">
        <v>1.0</v>
      </c>
      <c r="C121" s="122">
        <v>4.0</v>
      </c>
      <c r="D121" s="121">
        <v>0.0</v>
      </c>
      <c r="E121" s="126">
        <f t="shared" si="5"/>
        <v>0</v>
      </c>
      <c r="F121" s="122">
        <v>0.0</v>
      </c>
      <c r="G121" s="127">
        <f t="shared" si="2"/>
        <v>0</v>
      </c>
      <c r="H121" s="122">
        <v>0.0</v>
      </c>
      <c r="I121" s="128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20" t="s">
        <v>248</v>
      </c>
      <c r="B122" s="121">
        <v>5.0</v>
      </c>
      <c r="C122" s="122">
        <v>20.0</v>
      </c>
      <c r="D122" s="121">
        <v>0.0</v>
      </c>
      <c r="E122" s="126">
        <f t="shared" si="5"/>
        <v>0</v>
      </c>
      <c r="F122" s="122">
        <v>0.0</v>
      </c>
      <c r="G122" s="127">
        <f t="shared" si="2"/>
        <v>0</v>
      </c>
      <c r="H122" s="122">
        <v>0.0</v>
      </c>
      <c r="I122" s="131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0" t="s">
        <v>324</v>
      </c>
      <c r="B123" s="121">
        <v>4.0</v>
      </c>
      <c r="C123" s="122">
        <v>16.0</v>
      </c>
      <c r="D123" s="121">
        <v>1.0</v>
      </c>
      <c r="E123" s="126">
        <f t="shared" si="5"/>
        <v>0</v>
      </c>
      <c r="F123" s="122">
        <v>0.0</v>
      </c>
      <c r="G123" s="127">
        <f t="shared" si="2"/>
        <v>0</v>
      </c>
      <c r="H123" s="122">
        <v>0.0</v>
      </c>
      <c r="I123" s="128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20" t="s">
        <v>358</v>
      </c>
      <c r="B124" s="121">
        <v>3.0</v>
      </c>
      <c r="C124" s="122">
        <v>12.0</v>
      </c>
      <c r="D124" s="121">
        <v>0.0</v>
      </c>
      <c r="E124" s="126">
        <f t="shared" si="5"/>
        <v>0</v>
      </c>
      <c r="F124" s="122">
        <v>0.0</v>
      </c>
      <c r="G124" s="127">
        <f t="shared" si="2"/>
        <v>0</v>
      </c>
      <c r="H124" s="122">
        <v>0.0</v>
      </c>
      <c r="I124" s="128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20" t="s">
        <v>381</v>
      </c>
      <c r="B125" s="121">
        <v>2.0</v>
      </c>
      <c r="C125" s="122">
        <v>8.0</v>
      </c>
      <c r="D125" s="121">
        <v>0.0</v>
      </c>
      <c r="E125" s="126">
        <f t="shared" si="5"/>
        <v>0</v>
      </c>
      <c r="F125" s="122">
        <v>0.0</v>
      </c>
      <c r="G125" s="127">
        <f t="shared" si="2"/>
        <v>0</v>
      </c>
      <c r="H125" s="122">
        <v>0.0</v>
      </c>
      <c r="I125" s="128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20" t="s">
        <v>383</v>
      </c>
      <c r="B126" s="121">
        <v>5.0</v>
      </c>
      <c r="C126" s="122">
        <v>20.0</v>
      </c>
      <c r="D126" s="121">
        <v>0.0</v>
      </c>
      <c r="E126" s="126">
        <f t="shared" si="5"/>
        <v>0</v>
      </c>
      <c r="F126" s="122">
        <v>0.0</v>
      </c>
      <c r="G126" s="127">
        <f t="shared" si="2"/>
        <v>0</v>
      </c>
      <c r="H126" s="122">
        <v>0.0</v>
      </c>
      <c r="I126" s="128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20" t="s">
        <v>235</v>
      </c>
      <c r="B127" s="121">
        <v>5.0</v>
      </c>
      <c r="C127" s="122">
        <v>20.0</v>
      </c>
      <c r="D127" s="121">
        <v>0.0</v>
      </c>
      <c r="E127" s="126">
        <f t="shared" si="5"/>
        <v>0</v>
      </c>
      <c r="F127" s="122">
        <v>0.0</v>
      </c>
      <c r="G127" s="127">
        <f t="shared" si="2"/>
        <v>0</v>
      </c>
      <c r="H127" s="122">
        <v>0.0</v>
      </c>
      <c r="I127" s="128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20" t="s">
        <v>267</v>
      </c>
      <c r="B128" s="121">
        <v>5.0</v>
      </c>
      <c r="C128" s="122">
        <v>20.0</v>
      </c>
      <c r="D128" s="121">
        <v>0.0</v>
      </c>
      <c r="E128" s="126">
        <f t="shared" si="5"/>
        <v>0</v>
      </c>
      <c r="F128" s="122">
        <v>0.0</v>
      </c>
      <c r="G128" s="127">
        <f t="shared" si="2"/>
        <v>0</v>
      </c>
      <c r="H128" s="122">
        <v>0.0</v>
      </c>
      <c r="I128" s="128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20" t="s">
        <v>371</v>
      </c>
      <c r="B129" s="121">
        <v>3.0</v>
      </c>
      <c r="C129" s="122">
        <v>12.0</v>
      </c>
      <c r="D129" s="121">
        <v>0.0</v>
      </c>
      <c r="E129" s="126">
        <f t="shared" si="5"/>
        <v>0</v>
      </c>
      <c r="F129" s="122">
        <v>0.0</v>
      </c>
      <c r="G129" s="127">
        <f t="shared" si="2"/>
        <v>0</v>
      </c>
      <c r="H129" s="122">
        <v>0.0</v>
      </c>
      <c r="I129" s="131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20" t="s">
        <v>376</v>
      </c>
      <c r="B130" s="121">
        <v>3.0</v>
      </c>
      <c r="C130" s="122">
        <v>12.0</v>
      </c>
      <c r="D130" s="121">
        <v>0.0</v>
      </c>
      <c r="E130" s="126">
        <f t="shared" si="5"/>
        <v>0</v>
      </c>
      <c r="F130" s="122">
        <v>0.0</v>
      </c>
      <c r="G130" s="127">
        <f t="shared" si="2"/>
        <v>0</v>
      </c>
      <c r="H130" s="122">
        <v>0.0</v>
      </c>
      <c r="I130" s="128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20" t="s">
        <v>384</v>
      </c>
      <c r="B131" s="121">
        <v>2.0</v>
      </c>
      <c r="C131" s="122">
        <v>8.0</v>
      </c>
      <c r="D131" s="121">
        <v>0.0</v>
      </c>
      <c r="E131" s="126">
        <f t="shared" si="5"/>
        <v>0</v>
      </c>
      <c r="F131" s="122">
        <v>0.0</v>
      </c>
      <c r="G131" s="127">
        <f t="shared" si="2"/>
        <v>0</v>
      </c>
      <c r="H131" s="122">
        <v>0.0</v>
      </c>
      <c r="I131" s="128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20" t="s">
        <v>385</v>
      </c>
      <c r="B132" s="121">
        <v>2.0</v>
      </c>
      <c r="C132" s="122">
        <v>8.0</v>
      </c>
      <c r="D132" s="121">
        <v>1.0</v>
      </c>
      <c r="E132" s="126">
        <f t="shared" si="5"/>
        <v>0</v>
      </c>
      <c r="F132" s="122">
        <v>0.0</v>
      </c>
      <c r="G132" s="127">
        <f t="shared" si="2"/>
        <v>0</v>
      </c>
      <c r="H132" s="122">
        <v>0.0</v>
      </c>
      <c r="I132" s="128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20" t="s">
        <v>245</v>
      </c>
      <c r="B133" s="121">
        <v>5.0</v>
      </c>
      <c r="C133" s="122">
        <v>20.0</v>
      </c>
      <c r="D133" s="121">
        <v>0.0</v>
      </c>
      <c r="E133" s="126">
        <f t="shared" si="5"/>
        <v>0</v>
      </c>
      <c r="F133" s="122">
        <v>0.0</v>
      </c>
      <c r="G133" s="127">
        <f t="shared" si="2"/>
        <v>0</v>
      </c>
      <c r="H133" s="122">
        <v>0.0</v>
      </c>
      <c r="I133" s="128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20" t="s">
        <v>360</v>
      </c>
      <c r="B134" s="121">
        <v>2.0</v>
      </c>
      <c r="C134" s="122">
        <v>8.0</v>
      </c>
      <c r="D134" s="121">
        <v>0.0</v>
      </c>
      <c r="E134" s="126">
        <f t="shared" si="5"/>
        <v>0</v>
      </c>
      <c r="F134" s="122">
        <v>0.0</v>
      </c>
      <c r="G134" s="127">
        <f t="shared" si="2"/>
        <v>0</v>
      </c>
      <c r="H134" s="122">
        <v>0.0</v>
      </c>
      <c r="I134" s="128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20" t="s">
        <v>387</v>
      </c>
      <c r="B135" s="121">
        <v>2.0</v>
      </c>
      <c r="C135" s="122">
        <v>8.0</v>
      </c>
      <c r="D135" s="121">
        <v>0.0</v>
      </c>
      <c r="E135" s="126">
        <f t="shared" si="5"/>
        <v>0</v>
      </c>
      <c r="F135" s="122">
        <v>0.0</v>
      </c>
      <c r="G135" s="127">
        <f t="shared" si="2"/>
        <v>0</v>
      </c>
      <c r="H135" s="122">
        <v>0.0</v>
      </c>
      <c r="I135" s="128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0" t="s">
        <v>294</v>
      </c>
      <c r="B136" s="121">
        <v>3.0</v>
      </c>
      <c r="C136" s="122">
        <v>12.0</v>
      </c>
      <c r="D136" s="121">
        <v>1.0</v>
      </c>
      <c r="E136" s="126">
        <f t="shared" si="5"/>
        <v>0</v>
      </c>
      <c r="F136" s="122">
        <v>0.0</v>
      </c>
      <c r="G136" s="127">
        <f t="shared" si="2"/>
        <v>0</v>
      </c>
      <c r="H136" s="122">
        <v>0.0</v>
      </c>
      <c r="I136" s="128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0" t="s">
        <v>344</v>
      </c>
      <c r="B137" s="121">
        <v>5.0</v>
      </c>
      <c r="C137" s="122">
        <v>20.0</v>
      </c>
      <c r="D137" s="121">
        <v>6.0</v>
      </c>
      <c r="E137" s="126">
        <f t="shared" si="5"/>
        <v>0</v>
      </c>
      <c r="F137" s="122">
        <v>0.0</v>
      </c>
      <c r="G137" s="127">
        <f t="shared" si="2"/>
        <v>0</v>
      </c>
      <c r="H137" s="122">
        <v>0.0</v>
      </c>
      <c r="I137" s="128">
        <v>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0" t="s">
        <v>320</v>
      </c>
      <c r="B138" s="121">
        <v>4.0</v>
      </c>
      <c r="C138" s="122">
        <v>16.0</v>
      </c>
      <c r="D138" s="121">
        <v>0.0</v>
      </c>
      <c r="E138" s="126">
        <f t="shared" si="5"/>
        <v>0</v>
      </c>
      <c r="F138" s="122">
        <v>0.0</v>
      </c>
      <c r="G138" s="127">
        <f t="shared" si="2"/>
        <v>0</v>
      </c>
      <c r="H138" s="122">
        <v>0.0</v>
      </c>
      <c r="I138" s="131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20" t="s">
        <v>346</v>
      </c>
      <c r="B139" s="121">
        <v>2.0</v>
      </c>
      <c r="C139" s="122">
        <v>8.0</v>
      </c>
      <c r="D139" s="121">
        <v>0.0</v>
      </c>
      <c r="E139" s="126">
        <f t="shared" si="5"/>
        <v>0</v>
      </c>
      <c r="F139" s="122">
        <v>0.0</v>
      </c>
      <c r="G139" s="127">
        <f t="shared" si="2"/>
        <v>0</v>
      </c>
      <c r="H139" s="122">
        <v>0.0</v>
      </c>
      <c r="I139" s="128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20" t="s">
        <v>263</v>
      </c>
      <c r="B140" s="121">
        <v>4.0</v>
      </c>
      <c r="C140" s="122">
        <v>16.0</v>
      </c>
      <c r="D140" s="121">
        <v>0.0</v>
      </c>
      <c r="E140" s="126">
        <f t="shared" si="5"/>
        <v>0</v>
      </c>
      <c r="F140" s="122">
        <v>0.0</v>
      </c>
      <c r="G140" s="127">
        <f t="shared" si="2"/>
        <v>0</v>
      </c>
      <c r="H140" s="122">
        <v>0.0</v>
      </c>
      <c r="I140" s="128">
        <v>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20" t="s">
        <v>391</v>
      </c>
      <c r="B141" s="121">
        <v>2.0</v>
      </c>
      <c r="C141" s="122">
        <f t="shared" ref="C141:C146" si="6">B141*4</f>
        <v>8</v>
      </c>
      <c r="D141" s="121">
        <v>0.0</v>
      </c>
      <c r="E141" s="126">
        <f t="shared" si="5"/>
        <v>0</v>
      </c>
      <c r="F141" s="122">
        <v>0.0</v>
      </c>
      <c r="G141" s="127">
        <f t="shared" si="2"/>
        <v>0</v>
      </c>
      <c r="H141" s="122">
        <v>0.0</v>
      </c>
      <c r="I141" s="128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0" t="s">
        <v>313</v>
      </c>
      <c r="B142" s="121">
        <v>4.0</v>
      </c>
      <c r="C142" s="122">
        <f t="shared" si="6"/>
        <v>16</v>
      </c>
      <c r="D142" s="121">
        <v>0.0</v>
      </c>
      <c r="E142" s="126">
        <f t="shared" si="5"/>
        <v>0</v>
      </c>
      <c r="F142" s="122">
        <v>0.0</v>
      </c>
      <c r="G142" s="127">
        <f t="shared" si="2"/>
        <v>0</v>
      </c>
      <c r="H142" s="122">
        <v>0.0</v>
      </c>
      <c r="I142" s="128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20" t="s">
        <v>392</v>
      </c>
      <c r="B143" s="121">
        <v>5.0</v>
      </c>
      <c r="C143" s="122">
        <f t="shared" si="6"/>
        <v>20</v>
      </c>
      <c r="D143" s="121">
        <v>0.0</v>
      </c>
      <c r="E143" s="126">
        <f t="shared" si="5"/>
        <v>0</v>
      </c>
      <c r="F143" s="122">
        <v>0.0</v>
      </c>
      <c r="G143" s="127">
        <f t="shared" si="2"/>
        <v>0</v>
      </c>
      <c r="H143" s="122">
        <v>0.0</v>
      </c>
      <c r="I143" s="128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20" t="s">
        <v>229</v>
      </c>
      <c r="B144" s="121">
        <v>5.0</v>
      </c>
      <c r="C144" s="122">
        <f t="shared" si="6"/>
        <v>20</v>
      </c>
      <c r="D144" s="121">
        <v>0.0</v>
      </c>
      <c r="E144" s="126">
        <f t="shared" si="5"/>
        <v>0</v>
      </c>
      <c r="F144" s="122">
        <v>0.0</v>
      </c>
      <c r="G144" s="127">
        <f t="shared" si="2"/>
        <v>0</v>
      </c>
      <c r="H144" s="122">
        <v>0.0</v>
      </c>
      <c r="I144" s="128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20" t="s">
        <v>262</v>
      </c>
      <c r="B145" s="121">
        <v>5.0</v>
      </c>
      <c r="C145" s="122">
        <f t="shared" si="6"/>
        <v>20</v>
      </c>
      <c r="D145" s="121">
        <v>1.0</v>
      </c>
      <c r="E145" s="126">
        <f t="shared" si="5"/>
        <v>0</v>
      </c>
      <c r="F145" s="122">
        <v>0.0</v>
      </c>
      <c r="G145" s="127">
        <f t="shared" si="2"/>
        <v>0</v>
      </c>
      <c r="H145" s="122">
        <v>0.0</v>
      </c>
      <c r="I145" s="131">
        <v>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20" t="s">
        <v>347</v>
      </c>
      <c r="B146" s="121">
        <v>3.0</v>
      </c>
      <c r="C146" s="122">
        <f t="shared" si="6"/>
        <v>12</v>
      </c>
      <c r="D146" s="121">
        <v>0.0</v>
      </c>
      <c r="E146" s="126">
        <f t="shared" si="5"/>
        <v>0</v>
      </c>
      <c r="F146" s="122">
        <v>0.0</v>
      </c>
      <c r="G146" s="127">
        <f t="shared" si="2"/>
        <v>0</v>
      </c>
      <c r="H146" s="122">
        <v>0.0</v>
      </c>
      <c r="I146" s="128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20" t="s">
        <v>393</v>
      </c>
      <c r="B147" s="121">
        <v>3.0</v>
      </c>
      <c r="C147" s="122">
        <v>12.0</v>
      </c>
      <c r="D147" s="121">
        <v>0.0</v>
      </c>
      <c r="E147" s="126">
        <f t="shared" si="5"/>
        <v>0</v>
      </c>
      <c r="F147" s="122">
        <v>0.0</v>
      </c>
      <c r="G147" s="127">
        <f t="shared" si="2"/>
        <v>0</v>
      </c>
      <c r="H147" s="122">
        <v>0.0</v>
      </c>
      <c r="I147" s="128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20" t="s">
        <v>394</v>
      </c>
      <c r="B148" s="121">
        <v>3.0</v>
      </c>
      <c r="C148" s="122">
        <v>12.0</v>
      </c>
      <c r="D148" s="121">
        <v>0.0</v>
      </c>
      <c r="E148" s="126">
        <f t="shared" si="5"/>
        <v>0</v>
      </c>
      <c r="F148" s="122">
        <v>0.0</v>
      </c>
      <c r="G148" s="127">
        <f t="shared" si="2"/>
        <v>0</v>
      </c>
      <c r="H148" s="122">
        <v>0.0</v>
      </c>
      <c r="I148" s="128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20" t="s">
        <v>364</v>
      </c>
      <c r="B149" s="121">
        <v>5.0</v>
      </c>
      <c r="C149" s="122">
        <v>20.0</v>
      </c>
      <c r="D149" s="121">
        <v>0.0</v>
      </c>
      <c r="E149" s="126">
        <f t="shared" si="5"/>
        <v>0</v>
      </c>
      <c r="F149" s="122">
        <v>0.0</v>
      </c>
      <c r="G149" s="127">
        <f t="shared" si="2"/>
        <v>0</v>
      </c>
      <c r="H149" s="122">
        <v>0.0</v>
      </c>
      <c r="I149" s="128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20" t="s">
        <v>396</v>
      </c>
      <c r="B150" s="121">
        <v>1.0</v>
      </c>
      <c r="C150" s="122">
        <v>4.0</v>
      </c>
      <c r="D150" s="121">
        <v>0.0</v>
      </c>
      <c r="E150" s="126">
        <f t="shared" si="5"/>
        <v>0</v>
      </c>
      <c r="F150" s="122">
        <v>0.0</v>
      </c>
      <c r="G150" s="127">
        <f t="shared" si="2"/>
        <v>0</v>
      </c>
      <c r="H150" s="122">
        <v>0.0</v>
      </c>
      <c r="I150" s="128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20" t="s">
        <v>301</v>
      </c>
      <c r="B151" s="121">
        <v>3.0</v>
      </c>
      <c r="C151" s="122">
        <v>12.0</v>
      </c>
      <c r="D151" s="121">
        <v>0.0</v>
      </c>
      <c r="E151" s="126">
        <f t="shared" si="5"/>
        <v>0</v>
      </c>
      <c r="F151" s="122">
        <v>0.0</v>
      </c>
      <c r="G151" s="127">
        <f t="shared" si="2"/>
        <v>0</v>
      </c>
      <c r="H151" s="122">
        <v>0.0</v>
      </c>
      <c r="I151" s="128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20" t="s">
        <v>337</v>
      </c>
      <c r="B152" s="121">
        <v>4.0</v>
      </c>
      <c r="C152" s="122">
        <v>16.0</v>
      </c>
      <c r="D152" s="121">
        <v>2.0</v>
      </c>
      <c r="E152" s="126">
        <f t="shared" si="5"/>
        <v>0</v>
      </c>
      <c r="F152" s="122">
        <v>0.0</v>
      </c>
      <c r="G152" s="127">
        <f t="shared" si="2"/>
        <v>0</v>
      </c>
      <c r="H152" s="122">
        <v>0.0</v>
      </c>
      <c r="I152" s="128">
        <v>0.0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20" t="s">
        <v>378</v>
      </c>
      <c r="B153" s="121">
        <v>3.0</v>
      </c>
      <c r="C153" s="122">
        <v>12.0</v>
      </c>
      <c r="D153" s="121">
        <v>0.0</v>
      </c>
      <c r="E153" s="126">
        <f t="shared" si="5"/>
        <v>0</v>
      </c>
      <c r="F153" s="122">
        <v>0.0</v>
      </c>
      <c r="G153" s="127">
        <f t="shared" si="2"/>
        <v>0</v>
      </c>
      <c r="H153" s="122">
        <v>0.0</v>
      </c>
      <c r="I153" s="128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20" t="s">
        <v>398</v>
      </c>
      <c r="B154" s="121">
        <v>4.0</v>
      </c>
      <c r="C154" s="122">
        <v>16.0</v>
      </c>
      <c r="D154" s="121">
        <v>1.0</v>
      </c>
      <c r="E154" s="126">
        <f t="shared" si="5"/>
        <v>0</v>
      </c>
      <c r="F154" s="122">
        <v>0.0</v>
      </c>
      <c r="G154" s="127">
        <f t="shared" si="2"/>
        <v>0</v>
      </c>
      <c r="H154" s="122">
        <v>0.0</v>
      </c>
      <c r="I154" s="128">
        <v>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20" t="s">
        <v>399</v>
      </c>
      <c r="B155" s="121">
        <v>1.0</v>
      </c>
      <c r="C155" s="122">
        <v>4.0</v>
      </c>
      <c r="D155" s="121">
        <v>0.0</v>
      </c>
      <c r="E155" s="126">
        <f t="shared" si="5"/>
        <v>0</v>
      </c>
      <c r="F155" s="122">
        <v>0.0</v>
      </c>
      <c r="G155" s="127">
        <f t="shared" si="2"/>
        <v>0</v>
      </c>
      <c r="H155" s="122">
        <v>0.0</v>
      </c>
      <c r="I155" s="131">
        <v>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20" t="s">
        <v>366</v>
      </c>
      <c r="B156" s="121">
        <v>3.0</v>
      </c>
      <c r="C156" s="122">
        <v>12.0</v>
      </c>
      <c r="D156" s="121">
        <v>0.0</v>
      </c>
      <c r="E156" s="126">
        <f t="shared" si="5"/>
        <v>0</v>
      </c>
      <c r="F156" s="122">
        <v>0.0</v>
      </c>
      <c r="G156" s="127">
        <f t="shared" si="2"/>
        <v>0</v>
      </c>
      <c r="H156" s="122">
        <v>0.0</v>
      </c>
      <c r="I156" s="128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20" t="s">
        <v>400</v>
      </c>
      <c r="B157" s="121">
        <v>1.0</v>
      </c>
      <c r="C157" s="122">
        <v>4.0</v>
      </c>
      <c r="D157" s="121">
        <v>0.0</v>
      </c>
      <c r="E157" s="126">
        <f t="shared" si="5"/>
        <v>0</v>
      </c>
      <c r="F157" s="122">
        <v>0.0</v>
      </c>
      <c r="G157" s="127">
        <f t="shared" si="2"/>
        <v>0</v>
      </c>
      <c r="H157" s="122">
        <v>0.0</v>
      </c>
      <c r="I157" s="128">
        <v>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0" t="s">
        <v>328</v>
      </c>
      <c r="B158" s="121">
        <v>1.0</v>
      </c>
      <c r="C158" s="122">
        <v>4.0</v>
      </c>
      <c r="D158" s="121">
        <v>0.0</v>
      </c>
      <c r="E158" s="126">
        <f t="shared" si="5"/>
        <v>0</v>
      </c>
      <c r="F158" s="122">
        <v>0.0</v>
      </c>
      <c r="G158" s="127">
        <f t="shared" si="2"/>
        <v>0</v>
      </c>
      <c r="H158" s="122">
        <v>0.0</v>
      </c>
      <c r="I158" s="128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0" t="s">
        <v>382</v>
      </c>
      <c r="B159" s="121">
        <v>5.0</v>
      </c>
      <c r="C159" s="122">
        <v>20.0</v>
      </c>
      <c r="D159" s="121">
        <v>0.0</v>
      </c>
      <c r="E159" s="126">
        <f t="shared" si="5"/>
        <v>0</v>
      </c>
      <c r="F159" s="122">
        <v>0.0</v>
      </c>
      <c r="G159" s="127">
        <f t="shared" si="2"/>
        <v>0</v>
      </c>
      <c r="H159" s="122">
        <v>0.0</v>
      </c>
      <c r="I159" s="131">
        <v>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0" t="s">
        <v>342</v>
      </c>
      <c r="B160" s="121">
        <v>1.0</v>
      </c>
      <c r="C160" s="122">
        <v>4.0</v>
      </c>
      <c r="D160" s="121">
        <v>0.0</v>
      </c>
      <c r="E160" s="126">
        <f t="shared" si="5"/>
        <v>0</v>
      </c>
      <c r="F160" s="122">
        <v>0.0</v>
      </c>
      <c r="G160" s="127">
        <f t="shared" si="2"/>
        <v>0</v>
      </c>
      <c r="H160" s="122">
        <v>0.0</v>
      </c>
      <c r="I160" s="131">
        <v>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0" t="s">
        <v>379</v>
      </c>
      <c r="B161" s="121">
        <v>3.0</v>
      </c>
      <c r="C161" s="122">
        <v>12.0</v>
      </c>
      <c r="D161" s="121">
        <v>1.0</v>
      </c>
      <c r="E161" s="126">
        <f t="shared" si="5"/>
        <v>0</v>
      </c>
      <c r="F161" s="122">
        <v>0.0</v>
      </c>
      <c r="G161" s="127">
        <f t="shared" si="2"/>
        <v>0</v>
      </c>
      <c r="H161" s="122">
        <v>0.0</v>
      </c>
      <c r="I161" s="131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0" t="s">
        <v>236</v>
      </c>
      <c r="B162" s="121">
        <v>5.0</v>
      </c>
      <c r="C162" s="122">
        <v>20.0</v>
      </c>
      <c r="D162" s="121">
        <v>1.0</v>
      </c>
      <c r="E162" s="126">
        <f t="shared" si="5"/>
        <v>0</v>
      </c>
      <c r="F162" s="122">
        <v>0.0</v>
      </c>
      <c r="G162" s="127">
        <f t="shared" si="2"/>
        <v>0</v>
      </c>
      <c r="H162" s="122">
        <v>0.0</v>
      </c>
      <c r="I162" s="131">
        <v>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0" t="s">
        <v>349</v>
      </c>
      <c r="B163" s="121">
        <v>1.0</v>
      </c>
      <c r="C163" s="122">
        <v>4.0</v>
      </c>
      <c r="D163" s="121">
        <v>0.0</v>
      </c>
      <c r="E163" s="126">
        <f t="shared" si="5"/>
        <v>0</v>
      </c>
      <c r="F163" s="122">
        <v>0.0</v>
      </c>
      <c r="G163" s="127">
        <f t="shared" si="2"/>
        <v>0</v>
      </c>
      <c r="H163" s="122">
        <v>0.0</v>
      </c>
      <c r="I163" s="128">
        <v>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0" t="s">
        <v>304</v>
      </c>
      <c r="B164" s="121">
        <v>4.0</v>
      </c>
      <c r="C164" s="122">
        <v>16.0</v>
      </c>
      <c r="D164" s="121">
        <v>0.0</v>
      </c>
      <c r="E164" s="126">
        <f t="shared" si="5"/>
        <v>0</v>
      </c>
      <c r="F164" s="122">
        <v>0.0</v>
      </c>
      <c r="G164" s="127">
        <f t="shared" si="2"/>
        <v>0</v>
      </c>
      <c r="H164" s="122">
        <v>0.0</v>
      </c>
      <c r="I164" s="128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0" t="s">
        <v>329</v>
      </c>
      <c r="B165" s="121">
        <v>1.0</v>
      </c>
      <c r="C165" s="122">
        <v>4.0</v>
      </c>
      <c r="D165" s="121">
        <v>0.0</v>
      </c>
      <c r="E165" s="126">
        <f t="shared" si="5"/>
        <v>0</v>
      </c>
      <c r="F165" s="122">
        <v>0.0</v>
      </c>
      <c r="G165" s="127">
        <f t="shared" si="2"/>
        <v>0</v>
      </c>
      <c r="H165" s="122">
        <v>0.0</v>
      </c>
      <c r="I165" s="128">
        <v>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0" t="s">
        <v>278</v>
      </c>
      <c r="B166" s="121">
        <v>4.0</v>
      </c>
      <c r="C166" s="122">
        <v>16.0</v>
      </c>
      <c r="D166" s="121">
        <v>0.0</v>
      </c>
      <c r="E166" s="126">
        <f t="shared" si="5"/>
        <v>0</v>
      </c>
      <c r="F166" s="122">
        <v>0.0</v>
      </c>
      <c r="G166" s="127">
        <f t="shared" si="2"/>
        <v>0</v>
      </c>
      <c r="H166" s="122">
        <v>0.0</v>
      </c>
      <c r="I166" s="128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0" t="s">
        <v>405</v>
      </c>
      <c r="B167" s="121">
        <v>3.0</v>
      </c>
      <c r="C167" s="122">
        <v>12.0</v>
      </c>
      <c r="D167" s="121">
        <v>0.0</v>
      </c>
      <c r="E167" s="126">
        <f t="shared" si="5"/>
        <v>0</v>
      </c>
      <c r="F167" s="122">
        <v>0.0</v>
      </c>
      <c r="G167" s="127">
        <f t="shared" si="2"/>
        <v>0</v>
      </c>
      <c r="H167" s="122">
        <v>0.0</v>
      </c>
      <c r="I167" s="131">
        <v>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0" t="s">
        <v>228</v>
      </c>
      <c r="B168" s="121">
        <v>5.0</v>
      </c>
      <c r="C168" s="122">
        <v>20.0</v>
      </c>
      <c r="D168" s="121">
        <v>0.0</v>
      </c>
      <c r="E168" s="126">
        <f t="shared" si="5"/>
        <v>0</v>
      </c>
      <c r="F168" s="122">
        <v>0.0</v>
      </c>
      <c r="G168" s="127">
        <f t="shared" si="2"/>
        <v>0</v>
      </c>
      <c r="H168" s="122">
        <v>0.0</v>
      </c>
      <c r="I168" s="128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0" t="s">
        <v>406</v>
      </c>
      <c r="B169" s="121">
        <v>5.0</v>
      </c>
      <c r="C169" s="122">
        <v>20.0</v>
      </c>
      <c r="D169" s="121">
        <v>0.0</v>
      </c>
      <c r="E169" s="126">
        <f t="shared" si="5"/>
        <v>0</v>
      </c>
      <c r="F169" s="122">
        <v>0.0</v>
      </c>
      <c r="G169" s="127">
        <f t="shared" si="2"/>
        <v>0</v>
      </c>
      <c r="H169" s="122">
        <v>0.0</v>
      </c>
      <c r="I169" s="128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0" t="s">
        <v>363</v>
      </c>
      <c r="B170" s="121">
        <v>5.0</v>
      </c>
      <c r="C170" s="122">
        <v>20.0</v>
      </c>
      <c r="D170" s="121">
        <v>0.0</v>
      </c>
      <c r="E170" s="126">
        <f t="shared" si="5"/>
        <v>0</v>
      </c>
      <c r="F170" s="122">
        <v>0.0</v>
      </c>
      <c r="G170" s="127">
        <f t="shared" si="2"/>
        <v>0</v>
      </c>
      <c r="H170" s="122">
        <v>0.0</v>
      </c>
      <c r="I170" s="131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0" t="s">
        <v>407</v>
      </c>
      <c r="B171" s="121">
        <v>1.0</v>
      </c>
      <c r="C171" s="122">
        <v>4.0</v>
      </c>
      <c r="D171" s="121">
        <v>0.0</v>
      </c>
      <c r="E171" s="126">
        <f t="shared" si="5"/>
        <v>0</v>
      </c>
      <c r="F171" s="122">
        <v>0.0</v>
      </c>
      <c r="G171" s="127">
        <f t="shared" si="2"/>
        <v>0</v>
      </c>
      <c r="H171" s="122">
        <v>0.0</v>
      </c>
      <c r="I171" s="128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0" t="s">
        <v>409</v>
      </c>
      <c r="B172" s="121">
        <v>1.0</v>
      </c>
      <c r="C172" s="122">
        <v>4.0</v>
      </c>
      <c r="D172" s="121">
        <v>0.0</v>
      </c>
      <c r="E172" s="126">
        <f t="shared" si="5"/>
        <v>0</v>
      </c>
      <c r="F172" s="122">
        <v>0.0</v>
      </c>
      <c r="G172" s="127">
        <f t="shared" si="2"/>
        <v>0</v>
      </c>
      <c r="H172" s="122">
        <v>0.0</v>
      </c>
      <c r="I172" s="128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0" t="s">
        <v>297</v>
      </c>
      <c r="B173" s="121">
        <v>3.0</v>
      </c>
      <c r="C173" s="122">
        <v>12.0</v>
      </c>
      <c r="D173" s="121">
        <v>0.0</v>
      </c>
      <c r="E173" s="126">
        <f t="shared" si="5"/>
        <v>0</v>
      </c>
      <c r="F173" s="122">
        <v>0.0</v>
      </c>
      <c r="G173" s="127">
        <f t="shared" si="2"/>
        <v>0</v>
      </c>
      <c r="H173" s="122">
        <v>0.0</v>
      </c>
      <c r="I173" s="128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0" t="s">
        <v>410</v>
      </c>
      <c r="B174" s="121">
        <v>1.0</v>
      </c>
      <c r="C174" s="122">
        <v>4.0</v>
      </c>
      <c r="D174" s="121">
        <v>0.0</v>
      </c>
      <c r="E174" s="126">
        <f t="shared" si="5"/>
        <v>0</v>
      </c>
      <c r="F174" s="122">
        <v>0.0</v>
      </c>
      <c r="G174" s="127">
        <f t="shared" si="2"/>
        <v>0</v>
      </c>
      <c r="H174" s="122">
        <v>0.0</v>
      </c>
      <c r="I174" s="128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0" t="s">
        <v>311</v>
      </c>
      <c r="B175" s="121">
        <v>2.0</v>
      </c>
      <c r="C175" s="122">
        <v>8.0</v>
      </c>
      <c r="D175" s="121">
        <v>0.0</v>
      </c>
      <c r="E175" s="126">
        <f t="shared" si="5"/>
        <v>0</v>
      </c>
      <c r="F175" s="122">
        <v>0.0</v>
      </c>
      <c r="G175" s="127">
        <f t="shared" si="2"/>
        <v>0</v>
      </c>
      <c r="H175" s="122">
        <v>0.0</v>
      </c>
      <c r="I175" s="128">
        <v>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0" t="s">
        <v>330</v>
      </c>
      <c r="B176" s="121">
        <v>5.0</v>
      </c>
      <c r="C176" s="122">
        <v>20.0</v>
      </c>
      <c r="D176" s="121">
        <v>3.0</v>
      </c>
      <c r="E176" s="126">
        <f t="shared" si="5"/>
        <v>0</v>
      </c>
      <c r="F176" s="122">
        <v>0.0</v>
      </c>
      <c r="G176" s="127">
        <f t="shared" si="2"/>
        <v>0</v>
      </c>
      <c r="H176" s="122">
        <v>0.0</v>
      </c>
      <c r="I176" s="128">
        <v>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0" t="s">
        <v>374</v>
      </c>
      <c r="B177" s="121">
        <v>3.0</v>
      </c>
      <c r="C177" s="122">
        <v>12.0</v>
      </c>
      <c r="D177" s="121">
        <v>0.0</v>
      </c>
      <c r="E177" s="126">
        <f t="shared" si="5"/>
        <v>0</v>
      </c>
      <c r="F177" s="122">
        <v>0.0</v>
      </c>
      <c r="G177" s="127">
        <f t="shared" si="2"/>
        <v>0</v>
      </c>
      <c r="H177" s="122">
        <v>0.0</v>
      </c>
      <c r="I177" s="128">
        <v>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0" t="s">
        <v>284</v>
      </c>
      <c r="B178" s="121">
        <v>4.0</v>
      </c>
      <c r="C178" s="122">
        <v>16.0</v>
      </c>
      <c r="D178" s="121">
        <v>0.0</v>
      </c>
      <c r="E178" s="126">
        <f t="shared" si="5"/>
        <v>0</v>
      </c>
      <c r="F178" s="122">
        <v>0.0</v>
      </c>
      <c r="G178" s="127">
        <f t="shared" si="2"/>
        <v>0</v>
      </c>
      <c r="H178" s="122">
        <v>0.0</v>
      </c>
      <c r="I178" s="128">
        <v>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0" t="s">
        <v>289</v>
      </c>
      <c r="B179" s="121">
        <v>5.0</v>
      </c>
      <c r="C179" s="122">
        <v>20.0</v>
      </c>
      <c r="D179" s="121">
        <v>0.0</v>
      </c>
      <c r="E179" s="126">
        <f t="shared" si="5"/>
        <v>0</v>
      </c>
      <c r="F179" s="122">
        <v>0.0</v>
      </c>
      <c r="G179" s="127">
        <f t="shared" si="2"/>
        <v>0</v>
      </c>
      <c r="H179" s="122">
        <v>0.0</v>
      </c>
      <c r="I179" s="128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0" t="s">
        <v>412</v>
      </c>
      <c r="B180" s="121">
        <v>1.0</v>
      </c>
      <c r="C180" s="122">
        <v>4.0</v>
      </c>
      <c r="D180" s="121">
        <v>0.0</v>
      </c>
      <c r="E180" s="126">
        <f t="shared" si="5"/>
        <v>0</v>
      </c>
      <c r="F180" s="122">
        <v>0.0</v>
      </c>
      <c r="G180" s="127">
        <f t="shared" si="2"/>
        <v>0</v>
      </c>
      <c r="H180" s="122">
        <v>0.0</v>
      </c>
      <c r="I180" s="128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0" t="s">
        <v>321</v>
      </c>
      <c r="B181" s="121">
        <v>2.0</v>
      </c>
      <c r="C181" s="122">
        <v>8.0</v>
      </c>
      <c r="D181" s="121">
        <v>0.0</v>
      </c>
      <c r="E181" s="126">
        <f t="shared" si="5"/>
        <v>0</v>
      </c>
      <c r="F181" s="122">
        <v>0.0</v>
      </c>
      <c r="G181" s="127">
        <f t="shared" si="2"/>
        <v>0</v>
      </c>
      <c r="H181" s="122">
        <v>0.0</v>
      </c>
      <c r="I181" s="128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0" t="s">
        <v>334</v>
      </c>
      <c r="B182" s="121">
        <v>2.0</v>
      </c>
      <c r="C182" s="122">
        <v>8.0</v>
      </c>
      <c r="D182" s="121">
        <v>1.0</v>
      </c>
      <c r="E182" s="126">
        <f t="shared" si="5"/>
        <v>0</v>
      </c>
      <c r="F182" s="122">
        <v>0.0</v>
      </c>
      <c r="G182" s="127">
        <f t="shared" si="2"/>
        <v>0</v>
      </c>
      <c r="H182" s="122">
        <v>0.0</v>
      </c>
      <c r="I182" s="128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0" t="s">
        <v>413</v>
      </c>
      <c r="B183" s="121">
        <v>1.0</v>
      </c>
      <c r="C183" s="122">
        <v>4.0</v>
      </c>
      <c r="D183" s="121">
        <v>0.0</v>
      </c>
      <c r="E183" s="126">
        <f t="shared" si="5"/>
        <v>0</v>
      </c>
      <c r="F183" s="122">
        <v>0.0</v>
      </c>
      <c r="G183" s="127">
        <f t="shared" si="2"/>
        <v>0</v>
      </c>
      <c r="H183" s="122">
        <v>0.0</v>
      </c>
      <c r="I183" s="128">
        <v>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0" t="s">
        <v>414</v>
      </c>
      <c r="B184" s="121">
        <v>3.0</v>
      </c>
      <c r="C184" s="122">
        <v>12.0</v>
      </c>
      <c r="D184" s="121">
        <v>1.0</v>
      </c>
      <c r="E184" s="126">
        <f t="shared" si="5"/>
        <v>0</v>
      </c>
      <c r="F184" s="122">
        <v>0.0</v>
      </c>
      <c r="G184" s="127">
        <f t="shared" si="2"/>
        <v>0</v>
      </c>
      <c r="H184" s="122">
        <v>0.0</v>
      </c>
      <c r="I184" s="128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0" t="s">
        <v>370</v>
      </c>
      <c r="B185" s="121">
        <v>3.0</v>
      </c>
      <c r="C185" s="122">
        <v>12.0</v>
      </c>
      <c r="D185" s="121">
        <v>1.0</v>
      </c>
      <c r="E185" s="126">
        <f t="shared" si="5"/>
        <v>0</v>
      </c>
      <c r="F185" s="122">
        <v>0.0</v>
      </c>
      <c r="G185" s="127">
        <f t="shared" si="2"/>
        <v>0</v>
      </c>
      <c r="H185" s="122">
        <v>0.0</v>
      </c>
      <c r="I185" s="128">
        <v>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0" t="s">
        <v>415</v>
      </c>
      <c r="B186" s="121">
        <v>4.0</v>
      </c>
      <c r="C186" s="122">
        <v>16.0</v>
      </c>
      <c r="D186" s="121">
        <v>0.0</v>
      </c>
      <c r="E186" s="126">
        <f t="shared" si="5"/>
        <v>0</v>
      </c>
      <c r="F186" s="122">
        <v>0.0</v>
      </c>
      <c r="G186" s="127">
        <f t="shared" si="2"/>
        <v>0</v>
      </c>
      <c r="H186" s="122">
        <v>0.0</v>
      </c>
      <c r="I186" s="128">
        <v>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0" t="s">
        <v>416</v>
      </c>
      <c r="B187" s="121">
        <v>1.0</v>
      </c>
      <c r="C187" s="122">
        <v>4.0</v>
      </c>
      <c r="D187" s="121">
        <v>0.0</v>
      </c>
      <c r="E187" s="126">
        <f t="shared" si="5"/>
        <v>0</v>
      </c>
      <c r="F187" s="122">
        <v>0.0</v>
      </c>
      <c r="G187" s="127">
        <f t="shared" si="2"/>
        <v>0</v>
      </c>
      <c r="H187" s="122">
        <v>0.0</v>
      </c>
      <c r="I187" s="128">
        <v>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0" t="s">
        <v>243</v>
      </c>
      <c r="B188" s="121">
        <v>5.0</v>
      </c>
      <c r="C188" s="122">
        <v>20.0</v>
      </c>
      <c r="D188" s="121">
        <v>0.0</v>
      </c>
      <c r="E188" s="126">
        <f t="shared" si="5"/>
        <v>0</v>
      </c>
      <c r="F188" s="122">
        <v>0.0</v>
      </c>
      <c r="G188" s="127">
        <f t="shared" si="2"/>
        <v>0</v>
      </c>
      <c r="H188" s="122">
        <v>0.0</v>
      </c>
      <c r="I188" s="128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0" t="s">
        <v>338</v>
      </c>
      <c r="B189" s="121">
        <v>1.0</v>
      </c>
      <c r="C189" s="122">
        <v>4.0</v>
      </c>
      <c r="D189" s="121">
        <v>0.0</v>
      </c>
      <c r="E189" s="126">
        <f t="shared" si="5"/>
        <v>0</v>
      </c>
      <c r="F189" s="122">
        <v>0.0</v>
      </c>
      <c r="G189" s="127">
        <f t="shared" si="2"/>
        <v>0</v>
      </c>
      <c r="H189" s="122">
        <v>0.0</v>
      </c>
      <c r="I189" s="128">
        <v>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0" t="s">
        <v>224</v>
      </c>
      <c r="B190" s="121">
        <v>5.0</v>
      </c>
      <c r="C190" s="122">
        <v>20.0</v>
      </c>
      <c r="D190" s="121">
        <v>0.0</v>
      </c>
      <c r="E190" s="126">
        <f t="shared" si="5"/>
        <v>0</v>
      </c>
      <c r="F190" s="122">
        <v>0.0</v>
      </c>
      <c r="G190" s="127">
        <f t="shared" si="2"/>
        <v>0</v>
      </c>
      <c r="H190" s="122">
        <v>0.0</v>
      </c>
      <c r="I190" s="128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0" t="s">
        <v>417</v>
      </c>
      <c r="B191" s="121">
        <v>1.0</v>
      </c>
      <c r="C191" s="122">
        <v>4.0</v>
      </c>
      <c r="D191" s="121">
        <v>0.0</v>
      </c>
      <c r="E191" s="126">
        <f t="shared" si="5"/>
        <v>0</v>
      </c>
      <c r="F191" s="122">
        <v>0.0</v>
      </c>
      <c r="G191" s="127">
        <f t="shared" si="2"/>
        <v>0</v>
      </c>
      <c r="H191" s="122">
        <v>0.0</v>
      </c>
      <c r="I191" s="128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0" t="s">
        <v>418</v>
      </c>
      <c r="B192" s="121">
        <v>3.0</v>
      </c>
      <c r="C192" s="122">
        <v>12.0</v>
      </c>
      <c r="D192" s="121">
        <v>0.0</v>
      </c>
      <c r="E192" s="126">
        <f t="shared" si="5"/>
        <v>0</v>
      </c>
      <c r="F192" s="122">
        <v>0.0</v>
      </c>
      <c r="G192" s="127">
        <f t="shared" si="2"/>
        <v>0</v>
      </c>
      <c r="H192" s="122">
        <v>0.0</v>
      </c>
      <c r="I192" s="131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0" t="s">
        <v>419</v>
      </c>
      <c r="B193" s="121">
        <v>1.0</v>
      </c>
      <c r="C193" s="122">
        <v>4.0</v>
      </c>
      <c r="D193" s="121">
        <v>0.0</v>
      </c>
      <c r="E193" s="126">
        <f t="shared" si="5"/>
        <v>0</v>
      </c>
      <c r="F193" s="122">
        <v>0.0</v>
      </c>
      <c r="G193" s="127">
        <f t="shared" si="2"/>
        <v>0</v>
      </c>
      <c r="H193" s="122">
        <v>0.0</v>
      </c>
      <c r="I193" s="128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0" t="s">
        <v>265</v>
      </c>
      <c r="B194" s="121">
        <v>5.0</v>
      </c>
      <c r="C194" s="122">
        <v>20.0</v>
      </c>
      <c r="D194" s="121">
        <v>1.0</v>
      </c>
      <c r="E194" s="126">
        <f t="shared" si="5"/>
        <v>-4</v>
      </c>
      <c r="F194" s="122">
        <v>-0.8</v>
      </c>
      <c r="G194" s="127">
        <f t="shared" si="2"/>
        <v>1</v>
      </c>
      <c r="H194" s="122">
        <v>0.2</v>
      </c>
      <c r="I194" s="128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0" t="s">
        <v>264</v>
      </c>
      <c r="B195" s="121">
        <v>5.0</v>
      </c>
      <c r="C195" s="122">
        <v>20.0</v>
      </c>
      <c r="D195" s="121">
        <v>1.0</v>
      </c>
      <c r="E195" s="126">
        <f t="shared" si="5"/>
        <v>-4</v>
      </c>
      <c r="F195" s="122">
        <v>-0.8</v>
      </c>
      <c r="G195" s="127">
        <f t="shared" si="2"/>
        <v>1</v>
      </c>
      <c r="H195" s="122">
        <v>0.2</v>
      </c>
      <c r="I195" s="131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0" t="s">
        <v>389</v>
      </c>
      <c r="B196" s="121">
        <v>2.0</v>
      </c>
      <c r="C196" s="122">
        <v>8.0</v>
      </c>
      <c r="D196" s="121">
        <v>1.0</v>
      </c>
      <c r="E196" s="126">
        <f t="shared" si="5"/>
        <v>-4</v>
      </c>
      <c r="F196" s="122">
        <v>-2.0</v>
      </c>
      <c r="G196" s="127">
        <f t="shared" si="2"/>
        <v>1</v>
      </c>
      <c r="H196" s="122">
        <v>0.5</v>
      </c>
      <c r="I196" s="128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0" t="s">
        <v>395</v>
      </c>
      <c r="B197" s="121">
        <v>1.0</v>
      </c>
      <c r="C197" s="122">
        <v>4.0</v>
      </c>
      <c r="D197" s="121">
        <v>1.0</v>
      </c>
      <c r="E197" s="126">
        <f t="shared" si="5"/>
        <v>-4</v>
      </c>
      <c r="F197" s="122">
        <v>-4.0</v>
      </c>
      <c r="G197" s="127">
        <f t="shared" si="2"/>
        <v>1</v>
      </c>
      <c r="H197" s="122">
        <v>1.0</v>
      </c>
      <c r="I197" s="128">
        <v>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0" t="s">
        <v>239</v>
      </c>
      <c r="B198" s="121">
        <v>5.0</v>
      </c>
      <c r="C198" s="122">
        <v>20.0</v>
      </c>
      <c r="D198" s="121">
        <v>1.0</v>
      </c>
      <c r="E198" s="126">
        <f t="shared" si="5"/>
        <v>-4</v>
      </c>
      <c r="F198" s="122">
        <v>-0.8</v>
      </c>
      <c r="G198" s="127">
        <f t="shared" si="2"/>
        <v>1</v>
      </c>
      <c r="H198" s="122">
        <v>0.2</v>
      </c>
      <c r="I198" s="128">
        <v>0.0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0" t="s">
        <v>408</v>
      </c>
      <c r="B199" s="121">
        <v>4.0</v>
      </c>
      <c r="C199" s="122">
        <v>16.0</v>
      </c>
      <c r="D199" s="121">
        <v>1.0</v>
      </c>
      <c r="E199" s="126">
        <f t="shared" si="5"/>
        <v>-4</v>
      </c>
      <c r="F199" s="122">
        <v>-1.0</v>
      </c>
      <c r="G199" s="127">
        <f t="shared" si="2"/>
        <v>1</v>
      </c>
      <c r="H199" s="122">
        <v>0.25</v>
      </c>
      <c r="I199" s="128">
        <v>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0" t="s">
        <v>314</v>
      </c>
      <c r="B200" s="121">
        <v>5.0</v>
      </c>
      <c r="C200" s="122">
        <v>20.0</v>
      </c>
      <c r="D200" s="121">
        <v>2.0</v>
      </c>
      <c r="E200" s="126">
        <f t="shared" si="5"/>
        <v>-4</v>
      </c>
      <c r="F200" s="122">
        <v>-0.8</v>
      </c>
      <c r="G200" s="127">
        <f t="shared" si="2"/>
        <v>1</v>
      </c>
      <c r="H200" s="122">
        <v>0.2</v>
      </c>
      <c r="I200" s="128">
        <v>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0" t="s">
        <v>368</v>
      </c>
      <c r="B201" s="121">
        <v>4.0</v>
      </c>
      <c r="C201" s="122">
        <v>16.0</v>
      </c>
      <c r="D201" s="121">
        <v>1.0</v>
      </c>
      <c r="E201" s="126">
        <f t="shared" si="5"/>
        <v>-4</v>
      </c>
      <c r="F201" s="122">
        <v>-1.0</v>
      </c>
      <c r="G201" s="127">
        <f t="shared" si="2"/>
        <v>1</v>
      </c>
      <c r="H201" s="122">
        <v>0.25</v>
      </c>
      <c r="I201" s="128">
        <v>0.0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0" t="s">
        <v>411</v>
      </c>
      <c r="B202" s="121">
        <v>1.0</v>
      </c>
      <c r="C202" s="122">
        <v>4.0</v>
      </c>
      <c r="D202" s="121">
        <v>1.0</v>
      </c>
      <c r="E202" s="126">
        <f t="shared" si="5"/>
        <v>-4</v>
      </c>
      <c r="F202" s="122">
        <v>-4.0</v>
      </c>
      <c r="G202" s="127">
        <f t="shared" si="2"/>
        <v>1</v>
      </c>
      <c r="H202" s="122">
        <v>1.0</v>
      </c>
      <c r="I202" s="128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0" t="s">
        <v>420</v>
      </c>
      <c r="B203" s="121">
        <v>1.0</v>
      </c>
      <c r="C203" s="122">
        <v>4.0</v>
      </c>
      <c r="D203" s="121">
        <v>1.0</v>
      </c>
      <c r="E203" s="126">
        <f t="shared" si="5"/>
        <v>-4</v>
      </c>
      <c r="F203" s="122">
        <v>-4.0</v>
      </c>
      <c r="G203" s="127">
        <f t="shared" si="2"/>
        <v>1</v>
      </c>
      <c r="H203" s="122">
        <v>1.0</v>
      </c>
      <c r="I203" s="128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0" t="s">
        <v>308</v>
      </c>
      <c r="B204" s="121">
        <v>4.0</v>
      </c>
      <c r="C204" s="122">
        <v>16.0</v>
      </c>
      <c r="D204" s="121">
        <v>2.0</v>
      </c>
      <c r="E204" s="126">
        <f t="shared" si="5"/>
        <v>-8</v>
      </c>
      <c r="F204" s="122">
        <v>-2.0</v>
      </c>
      <c r="G204" s="127">
        <f t="shared" si="2"/>
        <v>2</v>
      </c>
      <c r="H204" s="122">
        <v>0.5</v>
      </c>
      <c r="I204" s="128">
        <v>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0" t="s">
        <v>340</v>
      </c>
      <c r="B205" s="121">
        <v>2.0</v>
      </c>
      <c r="C205" s="122">
        <v>8.0</v>
      </c>
      <c r="D205" s="121">
        <v>7.0</v>
      </c>
      <c r="E205" s="126">
        <f t="shared" si="5"/>
        <v>-12</v>
      </c>
      <c r="F205" s="122">
        <v>-6.0</v>
      </c>
      <c r="G205" s="127">
        <f t="shared" si="2"/>
        <v>4</v>
      </c>
      <c r="H205" s="122">
        <v>2.0</v>
      </c>
      <c r="I205" s="128">
        <v>0.143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13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13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13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13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13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13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13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13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13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13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13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13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13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13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13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13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13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13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13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13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13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13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13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13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13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13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13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13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13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13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13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13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13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13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13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13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13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13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13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13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13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13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13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13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13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13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13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13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13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13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13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13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13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13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13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13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13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13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13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13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13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13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13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13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13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13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13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13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13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13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13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13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13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13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13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13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13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13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13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13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13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13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13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13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13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13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13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13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13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13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13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13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13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13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13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13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13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13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13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13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13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13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13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13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13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13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13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13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13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13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13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13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13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13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13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13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13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13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13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13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13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13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13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13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13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13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13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13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13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13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13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13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13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13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13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13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13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13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13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13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13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13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13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13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13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13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13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13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13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13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13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13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13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13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13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13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13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13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13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13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13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13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13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13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13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13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13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13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13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13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13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13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13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13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13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13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13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13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13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13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13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13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13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13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13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13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13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13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13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13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13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13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13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13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13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13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13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13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13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13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13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13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13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13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13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13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13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13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13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13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13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13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13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13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13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13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13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13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13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13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13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13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13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13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13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13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13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13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13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13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13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13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13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13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13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13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13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13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13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13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13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13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13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13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13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13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13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13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13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13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13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13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13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13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13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13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13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13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13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13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13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13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13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13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13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13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13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13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13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13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13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13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13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13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13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13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13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13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13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13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13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13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13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13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13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13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13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13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13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13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13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13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13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13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13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13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13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13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13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13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13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13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13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13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13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13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13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13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13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13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13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13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13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13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13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13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13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13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13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13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13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13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13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13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13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13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13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13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13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13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13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13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13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13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13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13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13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13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13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13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13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13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13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13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13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13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13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13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13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13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13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13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13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13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13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13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13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13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13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13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13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13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13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13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13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13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13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13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13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13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13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13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13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13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13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13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13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13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13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13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13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13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13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13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13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13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13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13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13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13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13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13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13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13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13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13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13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13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13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13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13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13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13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13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13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13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13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13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13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13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13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13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13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13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13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13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13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13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13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13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13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13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13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13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13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13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13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13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13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13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13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13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13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13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13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13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13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13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13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13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13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13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13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13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13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13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13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13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13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13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13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13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13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13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13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13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13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13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13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13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13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13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13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13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13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13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13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13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13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13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13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13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13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13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13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13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13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13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13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13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13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13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13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13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13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13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13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13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13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13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13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13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13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13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13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13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13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13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13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13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13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13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13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13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13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13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13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13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13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13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13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13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13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13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13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13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13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13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13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13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13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13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13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13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13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13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13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13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13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13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13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13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13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13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13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13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13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13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13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13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13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13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13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13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13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13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13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13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13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13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13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13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13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13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13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13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13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13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13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13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13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13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13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13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13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13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13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13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13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13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13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13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13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13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13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13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13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13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13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13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13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13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13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13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13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13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13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13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13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13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13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13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13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13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13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13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13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13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13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13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13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13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13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13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13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13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13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13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13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13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13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13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13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13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13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13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13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13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13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13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13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13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13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13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13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13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13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13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13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13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13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13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13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13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13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13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13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13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13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13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13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13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13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13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13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13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13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13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13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13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13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13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13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13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13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13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13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13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13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13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13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13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13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13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13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13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13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13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13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13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13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13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13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13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13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13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13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13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13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13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13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13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13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13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13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13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13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13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13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13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13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13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13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13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13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13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13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13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13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13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13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13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13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13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13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13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13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13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13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13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13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13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13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13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13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13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13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13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13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13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13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13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13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13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13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13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13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13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13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13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13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13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13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13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13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13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13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13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13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13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13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13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13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13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13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13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13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13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13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13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13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13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13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13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13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13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13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13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13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13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13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13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13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13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13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13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13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13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13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13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13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13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13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13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13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13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13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13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13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13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13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13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13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13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13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13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13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13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13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13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13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13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13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13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7.63"/>
    <col customWidth="1" min="3" max="3" width="15.25"/>
  </cols>
  <sheetData>
    <row r="1">
      <c r="A1" s="106" t="s">
        <v>189</v>
      </c>
      <c r="B1" s="109" t="s">
        <v>191</v>
      </c>
      <c r="C1" s="110" t="s">
        <v>193</v>
      </c>
      <c r="D1" s="109" t="s">
        <v>194</v>
      </c>
      <c r="E1" s="113" t="s">
        <v>195</v>
      </c>
      <c r="F1" s="110" t="s">
        <v>196</v>
      </c>
      <c r="G1" s="116" t="s">
        <v>197</v>
      </c>
      <c r="H1" s="110" t="s">
        <v>198</v>
      </c>
      <c r="I1" s="109" t="s">
        <v>200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4"/>
    </row>
    <row r="2">
      <c r="A2" s="120" t="s">
        <v>318</v>
      </c>
      <c r="B2" s="121">
        <v>5.0</v>
      </c>
      <c r="C2" s="122">
        <v>20.0</v>
      </c>
      <c r="D2" s="121">
        <v>18.0</v>
      </c>
      <c r="E2" s="126">
        <f t="shared" ref="E2:E26" si="1">F2/4*C2</f>
        <v>48</v>
      </c>
      <c r="F2" s="122">
        <v>9.6</v>
      </c>
      <c r="G2" s="127">
        <f t="shared" ref="G2:G205" si="2">H2/4*C2</f>
        <v>3</v>
      </c>
      <c r="H2" s="122">
        <v>0.6</v>
      </c>
      <c r="I2" s="128">
        <v>0.833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20" t="s">
        <v>406</v>
      </c>
      <c r="B3" s="121">
        <v>5.0</v>
      </c>
      <c r="C3" s="122">
        <v>20.0</v>
      </c>
      <c r="D3" s="121">
        <v>17.0</v>
      </c>
      <c r="E3" s="126">
        <f t="shared" si="1"/>
        <v>48</v>
      </c>
      <c r="F3" s="122">
        <v>9.6</v>
      </c>
      <c r="G3" s="127">
        <f t="shared" si="2"/>
        <v>1</v>
      </c>
      <c r="H3" s="122">
        <v>0.2</v>
      </c>
      <c r="I3" s="128">
        <v>0.765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0" t="s">
        <v>232</v>
      </c>
      <c r="B4" s="121">
        <v>5.0</v>
      </c>
      <c r="C4" s="122">
        <v>20.0</v>
      </c>
      <c r="D4" s="121">
        <v>16.0</v>
      </c>
      <c r="E4" s="126">
        <f t="shared" si="1"/>
        <v>44</v>
      </c>
      <c r="F4" s="122">
        <v>8.8</v>
      </c>
      <c r="G4" s="127">
        <f t="shared" si="2"/>
        <v>2</v>
      </c>
      <c r="H4" s="122">
        <v>0.4</v>
      </c>
      <c r="I4" s="128">
        <v>0.813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0" t="s">
        <v>282</v>
      </c>
      <c r="B5" s="121">
        <v>4.0</v>
      </c>
      <c r="C5" s="122">
        <v>16.0</v>
      </c>
      <c r="D5" s="121">
        <v>11.0</v>
      </c>
      <c r="E5" s="126">
        <f t="shared" si="1"/>
        <v>40</v>
      </c>
      <c r="F5" s="122">
        <v>10.0</v>
      </c>
      <c r="G5" s="127">
        <f t="shared" si="2"/>
        <v>0</v>
      </c>
      <c r="H5" s="122">
        <v>0.0</v>
      </c>
      <c r="I5" s="128">
        <v>0.909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0" t="s">
        <v>316</v>
      </c>
      <c r="B6" s="121">
        <v>5.0</v>
      </c>
      <c r="C6" s="122">
        <v>20.0</v>
      </c>
      <c r="D6" s="121">
        <v>14.0</v>
      </c>
      <c r="E6" s="126">
        <f t="shared" si="1"/>
        <v>36</v>
      </c>
      <c r="F6" s="122">
        <v>7.2</v>
      </c>
      <c r="G6" s="127">
        <f t="shared" si="2"/>
        <v>1</v>
      </c>
      <c r="H6" s="122">
        <v>0.2</v>
      </c>
      <c r="I6" s="128">
        <v>0.714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0" t="s">
        <v>298</v>
      </c>
      <c r="B7" s="121">
        <v>5.0</v>
      </c>
      <c r="C7" s="122">
        <v>20.0</v>
      </c>
      <c r="D7" s="121">
        <v>14.0</v>
      </c>
      <c r="E7" s="126">
        <f t="shared" si="1"/>
        <v>36</v>
      </c>
      <c r="F7" s="122">
        <v>7.2</v>
      </c>
      <c r="G7" s="127">
        <f t="shared" si="2"/>
        <v>1</v>
      </c>
      <c r="H7" s="122">
        <v>0.2</v>
      </c>
      <c r="I7" s="128">
        <v>0.714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0" t="s">
        <v>244</v>
      </c>
      <c r="B8" s="121">
        <v>5.0</v>
      </c>
      <c r="C8" s="122">
        <v>20.0</v>
      </c>
      <c r="D8" s="121">
        <v>10.0</v>
      </c>
      <c r="E8" s="126">
        <f t="shared" si="1"/>
        <v>32</v>
      </c>
      <c r="F8" s="122">
        <v>6.4</v>
      </c>
      <c r="G8" s="127">
        <f t="shared" si="2"/>
        <v>1</v>
      </c>
      <c r="H8" s="122">
        <v>0.2</v>
      </c>
      <c r="I8" s="128">
        <v>0.9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0" t="s">
        <v>274</v>
      </c>
      <c r="B9" s="121">
        <v>5.0</v>
      </c>
      <c r="C9" s="122">
        <v>20.0</v>
      </c>
      <c r="D9" s="121">
        <v>11.0</v>
      </c>
      <c r="E9" s="126">
        <f t="shared" si="1"/>
        <v>32</v>
      </c>
      <c r="F9" s="122">
        <v>6.4</v>
      </c>
      <c r="G9" s="127">
        <f t="shared" si="2"/>
        <v>1</v>
      </c>
      <c r="H9" s="122">
        <v>0.2</v>
      </c>
      <c r="I9" s="128">
        <v>0.818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0" t="s">
        <v>361</v>
      </c>
      <c r="B10" s="121">
        <v>5.0</v>
      </c>
      <c r="C10" s="122">
        <v>20.0</v>
      </c>
      <c r="D10" s="121">
        <v>11.0</v>
      </c>
      <c r="E10" s="126">
        <f t="shared" si="1"/>
        <v>32</v>
      </c>
      <c r="F10" s="122">
        <v>6.4</v>
      </c>
      <c r="G10" s="127">
        <f t="shared" si="2"/>
        <v>0</v>
      </c>
      <c r="H10" s="122">
        <v>0.0</v>
      </c>
      <c r="I10" s="128">
        <v>0.727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0" t="s">
        <v>226</v>
      </c>
      <c r="B11" s="121">
        <v>5.0</v>
      </c>
      <c r="C11" s="122">
        <v>20.0</v>
      </c>
      <c r="D11" s="121">
        <v>13.0</v>
      </c>
      <c r="E11" s="126">
        <f t="shared" si="1"/>
        <v>32</v>
      </c>
      <c r="F11" s="122">
        <v>6.4</v>
      </c>
      <c r="G11" s="127">
        <f t="shared" si="2"/>
        <v>1</v>
      </c>
      <c r="H11" s="122">
        <v>0.2</v>
      </c>
      <c r="I11" s="128">
        <v>0.692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0" t="s">
        <v>310</v>
      </c>
      <c r="B12" s="121">
        <v>5.0</v>
      </c>
      <c r="C12" s="122">
        <v>20.0</v>
      </c>
      <c r="D12" s="121">
        <v>8.0</v>
      </c>
      <c r="E12" s="126">
        <f t="shared" si="1"/>
        <v>28</v>
      </c>
      <c r="F12" s="122">
        <v>5.6</v>
      </c>
      <c r="G12" s="127">
        <f t="shared" si="2"/>
        <v>0</v>
      </c>
      <c r="H12" s="122">
        <v>0.0</v>
      </c>
      <c r="I12" s="131">
        <v>0.875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0" t="s">
        <v>258</v>
      </c>
      <c r="B13" s="121">
        <v>5.0</v>
      </c>
      <c r="C13" s="122">
        <v>20.0</v>
      </c>
      <c r="D13" s="121">
        <v>15.0</v>
      </c>
      <c r="E13" s="126">
        <f t="shared" si="1"/>
        <v>28</v>
      </c>
      <c r="F13" s="122">
        <v>5.6</v>
      </c>
      <c r="G13" s="127">
        <f t="shared" si="2"/>
        <v>2</v>
      </c>
      <c r="H13" s="122">
        <v>0.4</v>
      </c>
      <c r="I13" s="128">
        <v>0.6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0" t="s">
        <v>317</v>
      </c>
      <c r="B14" s="121">
        <v>5.0</v>
      </c>
      <c r="C14" s="122">
        <v>20.0</v>
      </c>
      <c r="D14" s="121">
        <v>15.0</v>
      </c>
      <c r="E14" s="126">
        <f t="shared" si="1"/>
        <v>28</v>
      </c>
      <c r="F14" s="122">
        <v>5.6</v>
      </c>
      <c r="G14" s="127">
        <f t="shared" si="2"/>
        <v>2</v>
      </c>
      <c r="H14" s="122">
        <v>0.4</v>
      </c>
      <c r="I14" s="128">
        <v>0.6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0" t="s">
        <v>353</v>
      </c>
      <c r="B15" s="121">
        <v>5.0</v>
      </c>
      <c r="C15" s="122">
        <v>20.0</v>
      </c>
      <c r="D15" s="121">
        <v>14.0</v>
      </c>
      <c r="E15" s="126">
        <f t="shared" si="1"/>
        <v>28</v>
      </c>
      <c r="F15" s="122">
        <v>5.6</v>
      </c>
      <c r="G15" s="127">
        <f t="shared" si="2"/>
        <v>1</v>
      </c>
      <c r="H15" s="122">
        <v>0.2</v>
      </c>
      <c r="I15" s="128">
        <v>0.571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0" t="s">
        <v>418</v>
      </c>
      <c r="B16" s="121">
        <v>3.0</v>
      </c>
      <c r="C16" s="122">
        <v>12.0</v>
      </c>
      <c r="D16" s="121">
        <v>6.0</v>
      </c>
      <c r="E16" s="126">
        <f t="shared" si="1"/>
        <v>24</v>
      </c>
      <c r="F16" s="122">
        <v>8.0</v>
      </c>
      <c r="G16" s="127">
        <f t="shared" si="2"/>
        <v>0</v>
      </c>
      <c r="H16" s="122">
        <v>0.0</v>
      </c>
      <c r="I16" s="128">
        <v>1.0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0" t="s">
        <v>249</v>
      </c>
      <c r="B17" s="121">
        <v>5.0</v>
      </c>
      <c r="C17" s="122">
        <v>20.0</v>
      </c>
      <c r="D17" s="121">
        <v>6.0</v>
      </c>
      <c r="E17" s="126">
        <f t="shared" si="1"/>
        <v>24</v>
      </c>
      <c r="F17" s="122">
        <v>4.8</v>
      </c>
      <c r="G17" s="127">
        <f t="shared" si="2"/>
        <v>0</v>
      </c>
      <c r="H17" s="122">
        <v>0.0</v>
      </c>
      <c r="I17" s="128">
        <v>1.0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0" t="s">
        <v>345</v>
      </c>
      <c r="B18" s="121">
        <v>5.0</v>
      </c>
      <c r="C18" s="122">
        <v>20.0</v>
      </c>
      <c r="D18" s="121">
        <v>7.0</v>
      </c>
      <c r="E18" s="126">
        <f t="shared" si="1"/>
        <v>24</v>
      </c>
      <c r="F18" s="122">
        <v>4.8</v>
      </c>
      <c r="G18" s="127">
        <f t="shared" si="2"/>
        <v>0</v>
      </c>
      <c r="H18" s="122">
        <v>0.0</v>
      </c>
      <c r="I18" s="128">
        <v>0.857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0" t="s">
        <v>243</v>
      </c>
      <c r="B19" s="121">
        <v>5.0</v>
      </c>
      <c r="C19" s="122">
        <v>20.0</v>
      </c>
      <c r="D19" s="121">
        <v>7.0</v>
      </c>
      <c r="E19" s="126">
        <f t="shared" si="1"/>
        <v>24</v>
      </c>
      <c r="F19" s="122">
        <v>4.8</v>
      </c>
      <c r="G19" s="127">
        <f t="shared" si="2"/>
        <v>0</v>
      </c>
      <c r="H19" s="122">
        <v>0.0</v>
      </c>
      <c r="I19" s="128">
        <v>0.857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0" t="s">
        <v>242</v>
      </c>
      <c r="B20" s="121">
        <v>5.0</v>
      </c>
      <c r="C20" s="122">
        <v>20.0</v>
      </c>
      <c r="D20" s="121">
        <v>9.0</v>
      </c>
      <c r="E20" s="126">
        <f t="shared" si="1"/>
        <v>24</v>
      </c>
      <c r="F20" s="122">
        <v>4.8</v>
      </c>
      <c r="G20" s="127">
        <f t="shared" si="2"/>
        <v>0</v>
      </c>
      <c r="H20" s="122">
        <v>0.0</v>
      </c>
      <c r="I20" s="128">
        <v>0.667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0" t="s">
        <v>303</v>
      </c>
      <c r="B21" s="121">
        <v>4.0</v>
      </c>
      <c r="C21" s="122">
        <v>16.0</v>
      </c>
      <c r="D21" s="121">
        <v>13.0</v>
      </c>
      <c r="E21" s="126">
        <f t="shared" si="1"/>
        <v>24</v>
      </c>
      <c r="F21" s="122">
        <v>6.0</v>
      </c>
      <c r="G21" s="127">
        <f t="shared" si="2"/>
        <v>2</v>
      </c>
      <c r="H21" s="122">
        <v>0.5</v>
      </c>
      <c r="I21" s="128">
        <v>0.615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0" t="s">
        <v>268</v>
      </c>
      <c r="B22" s="121">
        <v>5.0</v>
      </c>
      <c r="C22" s="122">
        <v>20.0</v>
      </c>
      <c r="D22" s="121">
        <v>10.0</v>
      </c>
      <c r="E22" s="126">
        <f t="shared" si="1"/>
        <v>24</v>
      </c>
      <c r="F22" s="122">
        <v>4.8</v>
      </c>
      <c r="G22" s="127">
        <f t="shared" si="2"/>
        <v>0</v>
      </c>
      <c r="H22" s="122">
        <v>0.0</v>
      </c>
      <c r="I22" s="128">
        <v>0.6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0" t="s">
        <v>234</v>
      </c>
      <c r="B23" s="121">
        <v>5.0</v>
      </c>
      <c r="C23" s="122">
        <v>20.0</v>
      </c>
      <c r="D23" s="121">
        <v>15.0</v>
      </c>
      <c r="E23" s="126">
        <f t="shared" si="1"/>
        <v>24</v>
      </c>
      <c r="F23" s="122">
        <v>4.8</v>
      </c>
      <c r="G23" s="127">
        <f t="shared" si="2"/>
        <v>3</v>
      </c>
      <c r="H23" s="122">
        <v>0.6</v>
      </c>
      <c r="I23" s="128">
        <v>0.6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0" t="s">
        <v>215</v>
      </c>
      <c r="B24" s="121">
        <v>5.0</v>
      </c>
      <c r="C24" s="122">
        <v>20.0</v>
      </c>
      <c r="D24" s="121">
        <v>12.0</v>
      </c>
      <c r="E24" s="126">
        <f t="shared" si="1"/>
        <v>24</v>
      </c>
      <c r="F24" s="122">
        <v>4.8</v>
      </c>
      <c r="G24" s="127">
        <f t="shared" si="2"/>
        <v>1</v>
      </c>
      <c r="H24" s="122">
        <v>0.2</v>
      </c>
      <c r="I24" s="131">
        <v>0.583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0" t="s">
        <v>253</v>
      </c>
      <c r="B25" s="121">
        <v>5.0</v>
      </c>
      <c r="C25" s="122">
        <v>20.0</v>
      </c>
      <c r="D25" s="121">
        <v>15.0</v>
      </c>
      <c r="E25" s="126">
        <f t="shared" si="1"/>
        <v>24</v>
      </c>
      <c r="F25" s="122">
        <v>4.8</v>
      </c>
      <c r="G25" s="127">
        <f t="shared" si="2"/>
        <v>1</v>
      </c>
      <c r="H25" s="122">
        <v>0.2</v>
      </c>
      <c r="I25" s="128">
        <v>0.467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0" t="s">
        <v>265</v>
      </c>
      <c r="B26" s="121">
        <v>5.0</v>
      </c>
      <c r="C26" s="122">
        <v>20.0</v>
      </c>
      <c r="D26" s="121">
        <v>7.0</v>
      </c>
      <c r="E26" s="126">
        <f t="shared" si="1"/>
        <v>20</v>
      </c>
      <c r="F26" s="122">
        <v>4.0</v>
      </c>
      <c r="G26" s="127">
        <f t="shared" si="2"/>
        <v>1</v>
      </c>
      <c r="H26" s="122">
        <v>0.2</v>
      </c>
      <c r="I26" s="128">
        <v>0.857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0" t="s">
        <v>393</v>
      </c>
      <c r="B27" s="121">
        <v>4.0</v>
      </c>
      <c r="C27" s="122">
        <f>B27*4</f>
        <v>16</v>
      </c>
      <c r="D27" s="121">
        <v>10.0</v>
      </c>
      <c r="E27" s="126">
        <v>20.0</v>
      </c>
      <c r="F27" s="122">
        <f>E27/C27*4</f>
        <v>5</v>
      </c>
      <c r="G27" s="127">
        <f t="shared" si="2"/>
        <v>2.68</v>
      </c>
      <c r="H27" s="122">
        <v>0.67</v>
      </c>
      <c r="I27" s="128">
        <f>7/10</f>
        <v>0.7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0" t="s">
        <v>204</v>
      </c>
      <c r="B28" s="121">
        <v>5.0</v>
      </c>
      <c r="C28" s="122">
        <v>20.0</v>
      </c>
      <c r="D28" s="121">
        <v>13.0</v>
      </c>
      <c r="E28" s="126">
        <f t="shared" ref="E28:E38" si="3">F28/4*C28</f>
        <v>20</v>
      </c>
      <c r="F28" s="122">
        <v>4.0</v>
      </c>
      <c r="G28" s="127">
        <f t="shared" si="2"/>
        <v>2</v>
      </c>
      <c r="H28" s="122">
        <v>0.4</v>
      </c>
      <c r="I28" s="128">
        <v>0.538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0" t="s">
        <v>264</v>
      </c>
      <c r="B29" s="121">
        <v>5.0</v>
      </c>
      <c r="C29" s="122">
        <v>20.0</v>
      </c>
      <c r="D29" s="121">
        <v>10.0</v>
      </c>
      <c r="E29" s="126">
        <f t="shared" si="3"/>
        <v>20</v>
      </c>
      <c r="F29" s="122">
        <v>4.0</v>
      </c>
      <c r="G29" s="127">
        <f t="shared" si="2"/>
        <v>0</v>
      </c>
      <c r="H29" s="122">
        <v>0.0</v>
      </c>
      <c r="I29" s="128">
        <v>0.5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0" t="s">
        <v>291</v>
      </c>
      <c r="B30" s="121">
        <v>5.0</v>
      </c>
      <c r="C30" s="122">
        <v>20.0</v>
      </c>
      <c r="D30" s="121">
        <v>4.0</v>
      </c>
      <c r="E30" s="126">
        <f t="shared" si="3"/>
        <v>16</v>
      </c>
      <c r="F30" s="122">
        <v>3.2</v>
      </c>
      <c r="G30" s="127">
        <f t="shared" si="2"/>
        <v>0</v>
      </c>
      <c r="H30" s="122">
        <v>0.0</v>
      </c>
      <c r="I30" s="128">
        <v>1.0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0" t="s">
        <v>287</v>
      </c>
      <c r="B31" s="121">
        <v>5.0</v>
      </c>
      <c r="C31" s="122">
        <v>20.0</v>
      </c>
      <c r="D31" s="121">
        <v>5.0</v>
      </c>
      <c r="E31" s="126">
        <f t="shared" si="3"/>
        <v>16</v>
      </c>
      <c r="F31" s="122">
        <v>3.2</v>
      </c>
      <c r="G31" s="127">
        <f t="shared" si="2"/>
        <v>0</v>
      </c>
      <c r="H31" s="122">
        <v>0.0</v>
      </c>
      <c r="I31" s="128">
        <v>0.8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0" t="s">
        <v>281</v>
      </c>
      <c r="B32" s="121">
        <v>5.0</v>
      </c>
      <c r="C32" s="122">
        <v>20.0</v>
      </c>
      <c r="D32" s="121">
        <v>5.0</v>
      </c>
      <c r="E32" s="126">
        <f t="shared" si="3"/>
        <v>16</v>
      </c>
      <c r="F32" s="122">
        <v>3.2</v>
      </c>
      <c r="G32" s="127">
        <f t="shared" si="2"/>
        <v>0</v>
      </c>
      <c r="H32" s="122">
        <v>0.0</v>
      </c>
      <c r="I32" s="131">
        <v>0.8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0" t="s">
        <v>254</v>
      </c>
      <c r="B33" s="121">
        <v>2.0</v>
      </c>
      <c r="C33" s="122">
        <v>8.0</v>
      </c>
      <c r="D33" s="121">
        <v>5.0</v>
      </c>
      <c r="E33" s="126">
        <f t="shared" si="3"/>
        <v>16</v>
      </c>
      <c r="F33" s="122">
        <v>8.0</v>
      </c>
      <c r="G33" s="127">
        <f t="shared" si="2"/>
        <v>0</v>
      </c>
      <c r="H33" s="122">
        <v>0.0</v>
      </c>
      <c r="I33" s="131">
        <v>0.8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0" t="s">
        <v>364</v>
      </c>
      <c r="B34" s="121">
        <v>5.0</v>
      </c>
      <c r="C34" s="122">
        <v>20.0</v>
      </c>
      <c r="D34" s="121">
        <v>5.0</v>
      </c>
      <c r="E34" s="126">
        <f t="shared" si="3"/>
        <v>16</v>
      </c>
      <c r="F34" s="122">
        <v>3.2</v>
      </c>
      <c r="G34" s="127">
        <f t="shared" si="2"/>
        <v>0</v>
      </c>
      <c r="H34" s="122">
        <v>0.0</v>
      </c>
      <c r="I34" s="131">
        <v>0.8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0" t="s">
        <v>324</v>
      </c>
      <c r="B35" s="121">
        <v>4.0</v>
      </c>
      <c r="C35" s="122">
        <v>16.0</v>
      </c>
      <c r="D35" s="121">
        <v>6.0</v>
      </c>
      <c r="E35" s="126">
        <f t="shared" si="3"/>
        <v>16</v>
      </c>
      <c r="F35" s="122">
        <v>4.0</v>
      </c>
      <c r="G35" s="127">
        <f t="shared" si="2"/>
        <v>0</v>
      </c>
      <c r="H35" s="122">
        <v>0.0</v>
      </c>
      <c r="I35" s="128">
        <v>0.667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0" t="s">
        <v>293</v>
      </c>
      <c r="B36" s="121">
        <v>5.0</v>
      </c>
      <c r="C36" s="122">
        <v>20.0</v>
      </c>
      <c r="D36" s="121">
        <v>6.0</v>
      </c>
      <c r="E36" s="126">
        <f t="shared" si="3"/>
        <v>16</v>
      </c>
      <c r="F36" s="122">
        <v>3.2</v>
      </c>
      <c r="G36" s="127">
        <f t="shared" si="2"/>
        <v>0</v>
      </c>
      <c r="H36" s="122">
        <v>0.0</v>
      </c>
      <c r="I36" s="128">
        <v>0.667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0" t="s">
        <v>403</v>
      </c>
      <c r="B37" s="121">
        <v>5.0</v>
      </c>
      <c r="C37" s="122">
        <v>20.0</v>
      </c>
      <c r="D37" s="121">
        <v>7.0</v>
      </c>
      <c r="E37" s="126">
        <f t="shared" si="3"/>
        <v>16</v>
      </c>
      <c r="F37" s="122">
        <v>3.2</v>
      </c>
      <c r="G37" s="127">
        <f t="shared" si="2"/>
        <v>0</v>
      </c>
      <c r="H37" s="122">
        <v>0.0</v>
      </c>
      <c r="I37" s="131">
        <v>0.571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0" t="s">
        <v>382</v>
      </c>
      <c r="B38" s="121">
        <v>5.0</v>
      </c>
      <c r="C38" s="122">
        <v>20.0</v>
      </c>
      <c r="D38" s="121">
        <v>15.0</v>
      </c>
      <c r="E38" s="126">
        <f t="shared" si="3"/>
        <v>16</v>
      </c>
      <c r="F38" s="122">
        <v>3.2</v>
      </c>
      <c r="G38" s="127">
        <f t="shared" si="2"/>
        <v>3</v>
      </c>
      <c r="H38" s="122">
        <v>0.6</v>
      </c>
      <c r="I38" s="128">
        <v>0.467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0" t="s">
        <v>392</v>
      </c>
      <c r="B39" s="121">
        <v>5.0</v>
      </c>
      <c r="C39" s="122">
        <f>B39*4</f>
        <v>20</v>
      </c>
      <c r="D39" s="121">
        <v>9.0</v>
      </c>
      <c r="E39" s="126">
        <v>16.0</v>
      </c>
      <c r="F39" s="122">
        <f>E39/C39*4</f>
        <v>3.2</v>
      </c>
      <c r="G39" s="127">
        <f t="shared" si="2"/>
        <v>0</v>
      </c>
      <c r="H39" s="122">
        <v>0.0</v>
      </c>
      <c r="I39" s="128">
        <f>4/9</f>
        <v>0.4444444444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0" t="s">
        <v>228</v>
      </c>
      <c r="B40" s="121">
        <v>5.0</v>
      </c>
      <c r="C40" s="122">
        <v>20.0</v>
      </c>
      <c r="D40" s="121">
        <v>9.0</v>
      </c>
      <c r="E40" s="126">
        <f t="shared" ref="E40:E205" si="4">F40/4*C40</f>
        <v>16</v>
      </c>
      <c r="F40" s="122">
        <v>3.2</v>
      </c>
      <c r="G40" s="127">
        <f t="shared" si="2"/>
        <v>0</v>
      </c>
      <c r="H40" s="122">
        <v>0.0</v>
      </c>
      <c r="I40" s="128">
        <v>0.444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0" t="s">
        <v>247</v>
      </c>
      <c r="B41" s="121">
        <v>5.0</v>
      </c>
      <c r="C41" s="122">
        <v>20.0</v>
      </c>
      <c r="D41" s="121">
        <v>10.0</v>
      </c>
      <c r="E41" s="126">
        <f t="shared" si="4"/>
        <v>16</v>
      </c>
      <c r="F41" s="122">
        <v>3.2</v>
      </c>
      <c r="G41" s="127">
        <f t="shared" si="2"/>
        <v>0</v>
      </c>
      <c r="H41" s="122">
        <v>0.0</v>
      </c>
      <c r="I41" s="128">
        <v>0.4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0" t="s">
        <v>273</v>
      </c>
      <c r="B42" s="121">
        <v>5.0</v>
      </c>
      <c r="C42" s="122">
        <v>20.0</v>
      </c>
      <c r="D42" s="121">
        <v>3.0</v>
      </c>
      <c r="E42" s="126">
        <f t="shared" si="4"/>
        <v>12</v>
      </c>
      <c r="F42" s="122">
        <v>2.4</v>
      </c>
      <c r="G42" s="127">
        <f t="shared" si="2"/>
        <v>0</v>
      </c>
      <c r="H42" s="122">
        <v>0.0</v>
      </c>
      <c r="I42" s="128">
        <v>1.0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0" t="s">
        <v>248</v>
      </c>
      <c r="B43" s="121">
        <v>5.0</v>
      </c>
      <c r="C43" s="122">
        <v>20.0</v>
      </c>
      <c r="D43" s="121">
        <v>4.0</v>
      </c>
      <c r="E43" s="126">
        <f t="shared" si="4"/>
        <v>12</v>
      </c>
      <c r="F43" s="122">
        <v>2.4</v>
      </c>
      <c r="G43" s="127">
        <f t="shared" si="2"/>
        <v>0</v>
      </c>
      <c r="H43" s="122">
        <v>0.0</v>
      </c>
      <c r="I43" s="128">
        <v>0.75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0" t="s">
        <v>257</v>
      </c>
      <c r="B44" s="121">
        <v>5.0</v>
      </c>
      <c r="C44" s="122">
        <v>20.0</v>
      </c>
      <c r="D44" s="121">
        <v>6.0</v>
      </c>
      <c r="E44" s="126">
        <f t="shared" si="4"/>
        <v>12</v>
      </c>
      <c r="F44" s="122">
        <v>2.4</v>
      </c>
      <c r="G44" s="127">
        <f t="shared" si="2"/>
        <v>1</v>
      </c>
      <c r="H44" s="122">
        <v>0.2</v>
      </c>
      <c r="I44" s="131">
        <v>0.667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0" t="s">
        <v>269</v>
      </c>
      <c r="B45" s="121">
        <v>5.0</v>
      </c>
      <c r="C45" s="122">
        <v>20.0</v>
      </c>
      <c r="D45" s="121">
        <v>7.0</v>
      </c>
      <c r="E45" s="126">
        <f t="shared" si="4"/>
        <v>12</v>
      </c>
      <c r="F45" s="122">
        <v>2.4</v>
      </c>
      <c r="G45" s="127">
        <f t="shared" si="2"/>
        <v>1</v>
      </c>
      <c r="H45" s="122">
        <v>0.2</v>
      </c>
      <c r="I45" s="131">
        <v>0.571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0" t="s">
        <v>359</v>
      </c>
      <c r="B46" s="121">
        <v>5.0</v>
      </c>
      <c r="C46" s="122">
        <v>20.0</v>
      </c>
      <c r="D46" s="121">
        <v>7.0</v>
      </c>
      <c r="E46" s="126">
        <f t="shared" si="4"/>
        <v>12</v>
      </c>
      <c r="F46" s="122">
        <v>2.4</v>
      </c>
      <c r="G46" s="127">
        <f t="shared" si="2"/>
        <v>0</v>
      </c>
      <c r="H46" s="122">
        <v>0.0</v>
      </c>
      <c r="I46" s="128">
        <v>0.429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0" t="s">
        <v>221</v>
      </c>
      <c r="B47" s="121">
        <v>5.0</v>
      </c>
      <c r="C47" s="122">
        <v>20.0</v>
      </c>
      <c r="D47" s="121">
        <v>8.0</v>
      </c>
      <c r="E47" s="126">
        <f t="shared" si="4"/>
        <v>12</v>
      </c>
      <c r="F47" s="122">
        <v>2.4</v>
      </c>
      <c r="G47" s="127">
        <f t="shared" si="2"/>
        <v>0</v>
      </c>
      <c r="H47" s="122">
        <v>0.0</v>
      </c>
      <c r="I47" s="128">
        <v>0.375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0" t="s">
        <v>262</v>
      </c>
      <c r="B48" s="121">
        <v>5.0</v>
      </c>
      <c r="C48" s="122">
        <f>B48*4</f>
        <v>20</v>
      </c>
      <c r="D48" s="121">
        <v>3.0</v>
      </c>
      <c r="E48" s="126">
        <f t="shared" si="4"/>
        <v>10</v>
      </c>
      <c r="F48" s="122">
        <v>2.0</v>
      </c>
      <c r="G48" s="127">
        <f t="shared" si="2"/>
        <v>0</v>
      </c>
      <c r="H48" s="122">
        <v>0.0</v>
      </c>
      <c r="I48" s="131">
        <v>0.667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0" t="s">
        <v>371</v>
      </c>
      <c r="B49" s="121">
        <v>3.0</v>
      </c>
      <c r="C49" s="122">
        <v>12.0</v>
      </c>
      <c r="D49" s="121">
        <v>2.0</v>
      </c>
      <c r="E49" s="126">
        <f t="shared" si="4"/>
        <v>8.01</v>
      </c>
      <c r="F49" s="122">
        <v>2.67</v>
      </c>
      <c r="G49" s="127">
        <f t="shared" si="2"/>
        <v>0</v>
      </c>
      <c r="H49" s="122">
        <v>0.0</v>
      </c>
      <c r="I49" s="128">
        <v>1.0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0" t="s">
        <v>299</v>
      </c>
      <c r="B50" s="121">
        <v>3.0</v>
      </c>
      <c r="C50" s="122">
        <v>12.0</v>
      </c>
      <c r="D50" s="121">
        <v>2.0</v>
      </c>
      <c r="E50" s="126">
        <f t="shared" si="4"/>
        <v>8.01</v>
      </c>
      <c r="F50" s="122">
        <v>2.67</v>
      </c>
      <c r="G50" s="127">
        <f t="shared" si="2"/>
        <v>0</v>
      </c>
      <c r="H50" s="122">
        <v>0.0</v>
      </c>
      <c r="I50" s="128">
        <v>1.0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0" t="s">
        <v>394</v>
      </c>
      <c r="B51" s="121">
        <v>3.0</v>
      </c>
      <c r="C51" s="122">
        <v>12.0</v>
      </c>
      <c r="D51" s="121">
        <v>3.0</v>
      </c>
      <c r="E51" s="126">
        <f t="shared" si="4"/>
        <v>8.01</v>
      </c>
      <c r="F51" s="122">
        <v>2.67</v>
      </c>
      <c r="G51" s="127">
        <f t="shared" si="2"/>
        <v>0</v>
      </c>
      <c r="H51" s="122">
        <v>0.0</v>
      </c>
      <c r="I51" s="128">
        <v>0.667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0" t="s">
        <v>397</v>
      </c>
      <c r="B52" s="121">
        <v>3.0</v>
      </c>
      <c r="C52" s="122">
        <v>12.0</v>
      </c>
      <c r="D52" s="121">
        <v>5.0</v>
      </c>
      <c r="E52" s="126">
        <f t="shared" si="4"/>
        <v>8.01</v>
      </c>
      <c r="F52" s="122">
        <v>2.67</v>
      </c>
      <c r="G52" s="127">
        <f t="shared" si="2"/>
        <v>0</v>
      </c>
      <c r="H52" s="122">
        <v>0.0</v>
      </c>
      <c r="I52" s="128">
        <v>0.4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0" t="s">
        <v>259</v>
      </c>
      <c r="B53" s="121">
        <v>5.0</v>
      </c>
      <c r="C53" s="122">
        <v>20.0</v>
      </c>
      <c r="D53" s="121">
        <v>2.0</v>
      </c>
      <c r="E53" s="126">
        <f t="shared" si="4"/>
        <v>8</v>
      </c>
      <c r="F53" s="122">
        <v>1.6</v>
      </c>
      <c r="G53" s="127">
        <f t="shared" si="2"/>
        <v>0</v>
      </c>
      <c r="H53" s="122">
        <v>0.0</v>
      </c>
      <c r="I53" s="131">
        <v>1.0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0" t="s">
        <v>396</v>
      </c>
      <c r="B54" s="121">
        <v>1.0</v>
      </c>
      <c r="C54" s="122">
        <v>4.0</v>
      </c>
      <c r="D54" s="121">
        <v>2.0</v>
      </c>
      <c r="E54" s="126">
        <f t="shared" si="4"/>
        <v>8</v>
      </c>
      <c r="F54" s="122">
        <v>8.0</v>
      </c>
      <c r="G54" s="127">
        <f t="shared" si="2"/>
        <v>0</v>
      </c>
      <c r="H54" s="122">
        <v>0.0</v>
      </c>
      <c r="I54" s="128">
        <v>1.0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0" t="s">
        <v>356</v>
      </c>
      <c r="B55" s="121">
        <v>5.0</v>
      </c>
      <c r="C55" s="122">
        <v>20.0</v>
      </c>
      <c r="D55" s="121">
        <v>2.0</v>
      </c>
      <c r="E55" s="126">
        <f t="shared" si="4"/>
        <v>8</v>
      </c>
      <c r="F55" s="122">
        <v>1.6</v>
      </c>
      <c r="G55" s="127">
        <f t="shared" si="2"/>
        <v>0</v>
      </c>
      <c r="H55" s="122">
        <v>0.0</v>
      </c>
      <c r="I55" s="128">
        <v>1.0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0" t="s">
        <v>283</v>
      </c>
      <c r="B56" s="121">
        <v>5.0</v>
      </c>
      <c r="C56" s="122">
        <v>20.0</v>
      </c>
      <c r="D56" s="121">
        <v>4.0</v>
      </c>
      <c r="E56" s="126">
        <f t="shared" si="4"/>
        <v>8</v>
      </c>
      <c r="F56" s="122">
        <v>1.6</v>
      </c>
      <c r="G56" s="127">
        <f t="shared" si="2"/>
        <v>1</v>
      </c>
      <c r="H56" s="122">
        <v>0.2</v>
      </c>
      <c r="I56" s="128">
        <v>0.75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0" t="s">
        <v>408</v>
      </c>
      <c r="B57" s="121">
        <v>4.0</v>
      </c>
      <c r="C57" s="122">
        <v>16.0</v>
      </c>
      <c r="D57" s="121">
        <v>4.0</v>
      </c>
      <c r="E57" s="126">
        <f t="shared" si="4"/>
        <v>8</v>
      </c>
      <c r="F57" s="122">
        <v>2.0</v>
      </c>
      <c r="G57" s="127">
        <f t="shared" si="2"/>
        <v>1</v>
      </c>
      <c r="H57" s="122">
        <v>0.25</v>
      </c>
      <c r="I57" s="131">
        <v>0.75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0" t="s">
        <v>218</v>
      </c>
      <c r="B58" s="121">
        <v>5.0</v>
      </c>
      <c r="C58" s="122">
        <v>20.0</v>
      </c>
      <c r="D58" s="121">
        <v>3.0</v>
      </c>
      <c r="E58" s="126">
        <f t="shared" si="4"/>
        <v>8</v>
      </c>
      <c r="F58" s="122">
        <v>1.6</v>
      </c>
      <c r="G58" s="127">
        <f t="shared" si="2"/>
        <v>0</v>
      </c>
      <c r="H58" s="122">
        <v>0.0</v>
      </c>
      <c r="I58" s="128">
        <v>0.667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0" t="s">
        <v>369</v>
      </c>
      <c r="B59" s="121">
        <v>5.0</v>
      </c>
      <c r="C59" s="122">
        <v>20.0</v>
      </c>
      <c r="D59" s="121">
        <v>3.0</v>
      </c>
      <c r="E59" s="126">
        <f t="shared" si="4"/>
        <v>8</v>
      </c>
      <c r="F59" s="122">
        <v>1.6</v>
      </c>
      <c r="G59" s="127">
        <f t="shared" si="2"/>
        <v>0</v>
      </c>
      <c r="H59" s="122">
        <v>0.0</v>
      </c>
      <c r="I59" s="128">
        <v>0.667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0" t="s">
        <v>240</v>
      </c>
      <c r="B60" s="121">
        <v>5.0</v>
      </c>
      <c r="C60" s="122">
        <v>20.0</v>
      </c>
      <c r="D60" s="121">
        <v>6.0</v>
      </c>
      <c r="E60" s="126">
        <f t="shared" si="4"/>
        <v>8</v>
      </c>
      <c r="F60" s="122">
        <v>1.6</v>
      </c>
      <c r="G60" s="127">
        <f t="shared" si="2"/>
        <v>2</v>
      </c>
      <c r="H60" s="122">
        <v>0.4</v>
      </c>
      <c r="I60" s="128">
        <v>0.667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0" t="s">
        <v>252</v>
      </c>
      <c r="B61" s="121">
        <v>5.0</v>
      </c>
      <c r="C61" s="122">
        <v>20.0</v>
      </c>
      <c r="D61" s="121">
        <v>4.0</v>
      </c>
      <c r="E61" s="126">
        <f t="shared" si="4"/>
        <v>8</v>
      </c>
      <c r="F61" s="122">
        <v>1.6</v>
      </c>
      <c r="G61" s="127">
        <f t="shared" si="2"/>
        <v>0</v>
      </c>
      <c r="H61" s="122">
        <v>0.0</v>
      </c>
      <c r="I61" s="128">
        <v>0.5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0" t="s">
        <v>415</v>
      </c>
      <c r="B62" s="121">
        <v>4.0</v>
      </c>
      <c r="C62" s="122">
        <v>16.0</v>
      </c>
      <c r="D62" s="121">
        <v>6.0</v>
      </c>
      <c r="E62" s="126">
        <f t="shared" si="4"/>
        <v>8</v>
      </c>
      <c r="F62" s="122">
        <v>2.0</v>
      </c>
      <c r="G62" s="127">
        <f t="shared" si="2"/>
        <v>1</v>
      </c>
      <c r="H62" s="122">
        <v>0.25</v>
      </c>
      <c r="I62" s="128">
        <v>0.5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0" t="s">
        <v>230</v>
      </c>
      <c r="B63" s="121">
        <v>5.0</v>
      </c>
      <c r="C63" s="122">
        <v>20.0</v>
      </c>
      <c r="D63" s="121">
        <v>6.0</v>
      </c>
      <c r="E63" s="126">
        <f t="shared" si="4"/>
        <v>8</v>
      </c>
      <c r="F63" s="122">
        <v>1.6</v>
      </c>
      <c r="G63" s="127">
        <f t="shared" si="2"/>
        <v>1</v>
      </c>
      <c r="H63" s="122">
        <v>0.2</v>
      </c>
      <c r="I63" s="128">
        <v>0.5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0" t="s">
        <v>323</v>
      </c>
      <c r="B64" s="121">
        <v>4.0</v>
      </c>
      <c r="C64" s="122">
        <v>16.0</v>
      </c>
      <c r="D64" s="121">
        <v>5.0</v>
      </c>
      <c r="E64" s="126">
        <f t="shared" si="4"/>
        <v>8</v>
      </c>
      <c r="F64" s="122">
        <v>2.0</v>
      </c>
      <c r="G64" s="127">
        <f t="shared" si="2"/>
        <v>0</v>
      </c>
      <c r="H64" s="122">
        <v>0.0</v>
      </c>
      <c r="I64" s="131">
        <v>0.4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0" t="s">
        <v>306</v>
      </c>
      <c r="B65" s="121">
        <v>4.0</v>
      </c>
      <c r="C65" s="122">
        <v>16.0</v>
      </c>
      <c r="D65" s="121">
        <v>5.0</v>
      </c>
      <c r="E65" s="126">
        <f t="shared" si="4"/>
        <v>8</v>
      </c>
      <c r="F65" s="122">
        <v>2.0</v>
      </c>
      <c r="G65" s="127">
        <f t="shared" si="2"/>
        <v>0</v>
      </c>
      <c r="H65" s="122">
        <v>0.0</v>
      </c>
      <c r="I65" s="128">
        <v>0.4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0" t="s">
        <v>312</v>
      </c>
      <c r="B66" s="121">
        <v>5.0</v>
      </c>
      <c r="C66" s="122">
        <v>20.0</v>
      </c>
      <c r="D66" s="121">
        <v>5.0</v>
      </c>
      <c r="E66" s="126">
        <f t="shared" si="4"/>
        <v>8</v>
      </c>
      <c r="F66" s="122">
        <v>1.6</v>
      </c>
      <c r="G66" s="127">
        <f t="shared" si="2"/>
        <v>0</v>
      </c>
      <c r="H66" s="122">
        <v>0.0</v>
      </c>
      <c r="I66" s="128">
        <v>0.4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0" t="s">
        <v>229</v>
      </c>
      <c r="B67" s="121">
        <v>5.0</v>
      </c>
      <c r="C67" s="122">
        <f>B67*4</f>
        <v>20</v>
      </c>
      <c r="D67" s="121">
        <v>2.0</v>
      </c>
      <c r="E67" s="126">
        <f t="shared" si="4"/>
        <v>5</v>
      </c>
      <c r="F67" s="122">
        <v>1.0</v>
      </c>
      <c r="G67" s="127">
        <f t="shared" si="2"/>
        <v>0</v>
      </c>
      <c r="H67" s="122">
        <v>0.0</v>
      </c>
      <c r="I67" s="128">
        <v>0.5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0" t="s">
        <v>267</v>
      </c>
      <c r="B68" s="121">
        <v>5.0</v>
      </c>
      <c r="C68" s="122">
        <v>20.0</v>
      </c>
      <c r="D68" s="121">
        <v>1.0</v>
      </c>
      <c r="E68" s="126">
        <f t="shared" si="4"/>
        <v>4</v>
      </c>
      <c r="F68" s="122">
        <v>0.8</v>
      </c>
      <c r="G68" s="127">
        <f t="shared" si="2"/>
        <v>0</v>
      </c>
      <c r="H68" s="122">
        <v>0.0</v>
      </c>
      <c r="I68" s="128">
        <v>1.0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0" t="s">
        <v>222</v>
      </c>
      <c r="B69" s="121">
        <v>5.0</v>
      </c>
      <c r="C69" s="122">
        <v>20.0</v>
      </c>
      <c r="D69" s="121">
        <v>1.0</v>
      </c>
      <c r="E69" s="126">
        <f t="shared" si="4"/>
        <v>4</v>
      </c>
      <c r="F69" s="122">
        <v>0.8</v>
      </c>
      <c r="G69" s="127">
        <f t="shared" si="2"/>
        <v>0</v>
      </c>
      <c r="H69" s="122">
        <v>0.0</v>
      </c>
      <c r="I69" s="131">
        <v>1.0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0" t="s">
        <v>385</v>
      </c>
      <c r="B70" s="121">
        <v>2.0</v>
      </c>
      <c r="C70" s="122">
        <v>8.0</v>
      </c>
      <c r="D70" s="121">
        <v>1.0</v>
      </c>
      <c r="E70" s="126">
        <f t="shared" si="4"/>
        <v>4</v>
      </c>
      <c r="F70" s="122">
        <v>2.0</v>
      </c>
      <c r="G70" s="127">
        <f t="shared" si="2"/>
        <v>0</v>
      </c>
      <c r="H70" s="122">
        <v>0.0</v>
      </c>
      <c r="I70" s="128">
        <v>1.0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0" t="s">
        <v>320</v>
      </c>
      <c r="B71" s="121">
        <v>4.0</v>
      </c>
      <c r="C71" s="122">
        <v>16.0</v>
      </c>
      <c r="D71" s="121">
        <v>1.0</v>
      </c>
      <c r="E71" s="126">
        <f t="shared" si="4"/>
        <v>4</v>
      </c>
      <c r="F71" s="122">
        <v>1.0</v>
      </c>
      <c r="G71" s="127">
        <f t="shared" si="2"/>
        <v>0</v>
      </c>
      <c r="H71" s="122">
        <v>0.0</v>
      </c>
      <c r="I71" s="128">
        <v>1.0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0" t="s">
        <v>263</v>
      </c>
      <c r="B72" s="121">
        <v>4.0</v>
      </c>
      <c r="C72" s="122">
        <v>16.0</v>
      </c>
      <c r="D72" s="121">
        <v>1.0</v>
      </c>
      <c r="E72" s="126">
        <f t="shared" si="4"/>
        <v>4</v>
      </c>
      <c r="F72" s="122">
        <v>1.0</v>
      </c>
      <c r="G72" s="127">
        <f t="shared" si="2"/>
        <v>0</v>
      </c>
      <c r="H72" s="122">
        <v>0.0</v>
      </c>
      <c r="I72" s="131">
        <v>1.0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0" t="s">
        <v>279</v>
      </c>
      <c r="B73" s="121">
        <v>1.0</v>
      </c>
      <c r="C73" s="122">
        <v>4.0</v>
      </c>
      <c r="D73" s="121">
        <v>1.0</v>
      </c>
      <c r="E73" s="126">
        <f t="shared" si="4"/>
        <v>4</v>
      </c>
      <c r="F73" s="122">
        <v>4.0</v>
      </c>
      <c r="G73" s="127">
        <f t="shared" si="2"/>
        <v>0</v>
      </c>
      <c r="H73" s="122">
        <v>0.0</v>
      </c>
      <c r="I73" s="128">
        <v>1.0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0" t="s">
        <v>231</v>
      </c>
      <c r="B74" s="121">
        <v>5.0</v>
      </c>
      <c r="C74" s="122">
        <v>20.0</v>
      </c>
      <c r="D74" s="121">
        <v>1.0</v>
      </c>
      <c r="E74" s="126">
        <f t="shared" si="4"/>
        <v>4</v>
      </c>
      <c r="F74" s="122">
        <v>0.8</v>
      </c>
      <c r="G74" s="127">
        <f t="shared" si="2"/>
        <v>0</v>
      </c>
      <c r="H74" s="122">
        <v>0.0</v>
      </c>
      <c r="I74" s="128">
        <v>1.0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0" t="s">
        <v>355</v>
      </c>
      <c r="B75" s="121">
        <v>4.0</v>
      </c>
      <c r="C75" s="122">
        <v>16.0</v>
      </c>
      <c r="D75" s="121">
        <v>1.0</v>
      </c>
      <c r="E75" s="126">
        <f t="shared" si="4"/>
        <v>4</v>
      </c>
      <c r="F75" s="122">
        <v>1.0</v>
      </c>
      <c r="G75" s="127">
        <f t="shared" si="2"/>
        <v>0</v>
      </c>
      <c r="H75" s="122">
        <v>0.0</v>
      </c>
      <c r="I75" s="128">
        <v>1.0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0" t="s">
        <v>315</v>
      </c>
      <c r="B76" s="121">
        <v>5.0</v>
      </c>
      <c r="C76" s="122">
        <v>20.0</v>
      </c>
      <c r="D76" s="121">
        <v>1.0</v>
      </c>
      <c r="E76" s="126">
        <f t="shared" si="4"/>
        <v>4</v>
      </c>
      <c r="F76" s="122">
        <v>0.8</v>
      </c>
      <c r="G76" s="127">
        <f t="shared" si="2"/>
        <v>0</v>
      </c>
      <c r="H76" s="122">
        <v>0.0</v>
      </c>
      <c r="I76" s="128">
        <v>1.0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0" t="s">
        <v>250</v>
      </c>
      <c r="B77" s="121">
        <v>5.0</v>
      </c>
      <c r="C77" s="122">
        <v>20.0</v>
      </c>
      <c r="D77" s="121">
        <v>1.0</v>
      </c>
      <c r="E77" s="126">
        <f t="shared" si="4"/>
        <v>4</v>
      </c>
      <c r="F77" s="122">
        <v>0.8</v>
      </c>
      <c r="G77" s="127">
        <f t="shared" si="2"/>
        <v>0</v>
      </c>
      <c r="H77" s="122">
        <v>0.0</v>
      </c>
      <c r="I77" s="128">
        <v>1.0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0" t="s">
        <v>280</v>
      </c>
      <c r="B78" s="121">
        <v>5.0</v>
      </c>
      <c r="C78" s="122">
        <v>20.0</v>
      </c>
      <c r="D78" s="121">
        <v>1.0</v>
      </c>
      <c r="E78" s="126">
        <f t="shared" si="4"/>
        <v>4</v>
      </c>
      <c r="F78" s="122">
        <v>0.8</v>
      </c>
      <c r="G78" s="127">
        <f t="shared" si="2"/>
        <v>0</v>
      </c>
      <c r="H78" s="122">
        <v>0.0</v>
      </c>
      <c r="I78" s="128">
        <v>1.0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0" t="s">
        <v>401</v>
      </c>
      <c r="B79" s="121">
        <v>4.0</v>
      </c>
      <c r="C79" s="122">
        <v>16.0</v>
      </c>
      <c r="D79" s="121">
        <v>1.0</v>
      </c>
      <c r="E79" s="126">
        <f t="shared" si="4"/>
        <v>4</v>
      </c>
      <c r="F79" s="122">
        <v>1.0</v>
      </c>
      <c r="G79" s="127">
        <f t="shared" si="2"/>
        <v>0</v>
      </c>
      <c r="H79" s="122">
        <v>0.0</v>
      </c>
      <c r="I79" s="128">
        <v>1.0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0" t="s">
        <v>277</v>
      </c>
      <c r="B80" s="121">
        <v>4.0</v>
      </c>
      <c r="C80" s="122">
        <v>16.0</v>
      </c>
      <c r="D80" s="121">
        <v>1.0</v>
      </c>
      <c r="E80" s="126">
        <f t="shared" si="4"/>
        <v>4</v>
      </c>
      <c r="F80" s="122">
        <v>1.0</v>
      </c>
      <c r="G80" s="127">
        <f t="shared" si="2"/>
        <v>0</v>
      </c>
      <c r="H80" s="122">
        <v>0.0</v>
      </c>
      <c r="I80" s="128">
        <v>1.0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0" t="s">
        <v>357</v>
      </c>
      <c r="B81" s="121">
        <v>2.0</v>
      </c>
      <c r="C81" s="122">
        <v>8.0</v>
      </c>
      <c r="D81" s="121">
        <v>1.0</v>
      </c>
      <c r="E81" s="126">
        <f t="shared" si="4"/>
        <v>4</v>
      </c>
      <c r="F81" s="122">
        <v>2.0</v>
      </c>
      <c r="G81" s="127">
        <f t="shared" si="2"/>
        <v>0</v>
      </c>
      <c r="H81" s="122">
        <v>0.0</v>
      </c>
      <c r="I81" s="128">
        <v>1.0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0" t="s">
        <v>341</v>
      </c>
      <c r="B82" s="121">
        <v>5.0</v>
      </c>
      <c r="C82" s="122">
        <v>20.0</v>
      </c>
      <c r="D82" s="121">
        <v>2.0</v>
      </c>
      <c r="E82" s="126">
        <f t="shared" si="4"/>
        <v>4</v>
      </c>
      <c r="F82" s="122">
        <v>0.8</v>
      </c>
      <c r="G82" s="127">
        <f t="shared" si="2"/>
        <v>0</v>
      </c>
      <c r="H82" s="122">
        <v>0.0</v>
      </c>
      <c r="I82" s="128">
        <v>0.5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0" t="s">
        <v>270</v>
      </c>
      <c r="B83" s="121">
        <v>5.0</v>
      </c>
      <c r="C83" s="122">
        <v>20.0</v>
      </c>
      <c r="D83" s="121">
        <v>2.0</v>
      </c>
      <c r="E83" s="126">
        <f t="shared" si="4"/>
        <v>4</v>
      </c>
      <c r="F83" s="122">
        <v>0.8</v>
      </c>
      <c r="G83" s="127">
        <f t="shared" si="2"/>
        <v>0</v>
      </c>
      <c r="H83" s="122">
        <v>0.0</v>
      </c>
      <c r="I83" s="128">
        <v>0.5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0" t="s">
        <v>251</v>
      </c>
      <c r="B84" s="121">
        <v>5.0</v>
      </c>
      <c r="C84" s="122">
        <v>20.0</v>
      </c>
      <c r="D84" s="121">
        <v>2.0</v>
      </c>
      <c r="E84" s="126">
        <f t="shared" si="4"/>
        <v>4</v>
      </c>
      <c r="F84" s="122">
        <v>0.8</v>
      </c>
      <c r="G84" s="127">
        <f t="shared" si="2"/>
        <v>0</v>
      </c>
      <c r="H84" s="122">
        <v>0.0</v>
      </c>
      <c r="I84" s="128">
        <v>0.5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20" t="s">
        <v>368</v>
      </c>
      <c r="B85" s="121">
        <v>4.0</v>
      </c>
      <c r="C85" s="122">
        <v>16.0</v>
      </c>
      <c r="D85" s="121">
        <v>2.0</v>
      </c>
      <c r="E85" s="126">
        <f t="shared" si="4"/>
        <v>4</v>
      </c>
      <c r="F85" s="122">
        <v>1.0</v>
      </c>
      <c r="G85" s="127">
        <f t="shared" si="2"/>
        <v>0</v>
      </c>
      <c r="H85" s="122">
        <v>0.0</v>
      </c>
      <c r="I85" s="128">
        <v>0.5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20" t="s">
        <v>372</v>
      </c>
      <c r="B86" s="121">
        <v>2.0</v>
      </c>
      <c r="C86" s="122">
        <v>8.0</v>
      </c>
      <c r="D86" s="121">
        <v>3.0</v>
      </c>
      <c r="E86" s="126">
        <f t="shared" si="4"/>
        <v>4</v>
      </c>
      <c r="F86" s="122">
        <v>2.0</v>
      </c>
      <c r="G86" s="127">
        <f t="shared" si="2"/>
        <v>0</v>
      </c>
      <c r="H86" s="122">
        <v>0.0</v>
      </c>
      <c r="I86" s="131">
        <v>0.333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20" t="s">
        <v>290</v>
      </c>
      <c r="B87" s="121">
        <v>4.0</v>
      </c>
      <c r="C87" s="122">
        <v>16.0</v>
      </c>
      <c r="D87" s="121">
        <v>3.0</v>
      </c>
      <c r="E87" s="126">
        <f t="shared" si="4"/>
        <v>4</v>
      </c>
      <c r="F87" s="122">
        <v>1.0</v>
      </c>
      <c r="G87" s="127">
        <f t="shared" si="2"/>
        <v>0</v>
      </c>
      <c r="H87" s="122">
        <v>0.0</v>
      </c>
      <c r="I87" s="128">
        <v>0.333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0" t="s">
        <v>330</v>
      </c>
      <c r="B88" s="121">
        <v>5.0</v>
      </c>
      <c r="C88" s="122">
        <v>20.0</v>
      </c>
      <c r="D88" s="121">
        <v>10.0</v>
      </c>
      <c r="E88" s="126">
        <f t="shared" si="4"/>
        <v>4</v>
      </c>
      <c r="F88" s="122">
        <v>0.8</v>
      </c>
      <c r="G88" s="127">
        <f t="shared" si="2"/>
        <v>2</v>
      </c>
      <c r="H88" s="122">
        <v>0.4</v>
      </c>
      <c r="I88" s="131">
        <v>0.3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20" t="s">
        <v>344</v>
      </c>
      <c r="B89" s="121">
        <v>5.0</v>
      </c>
      <c r="C89" s="122">
        <v>20.0</v>
      </c>
      <c r="D89" s="121">
        <v>7.0</v>
      </c>
      <c r="E89" s="126">
        <f t="shared" si="4"/>
        <v>4</v>
      </c>
      <c r="F89" s="122">
        <v>0.8</v>
      </c>
      <c r="G89" s="127">
        <f t="shared" si="2"/>
        <v>1</v>
      </c>
      <c r="H89" s="122">
        <v>0.2</v>
      </c>
      <c r="I89" s="128">
        <v>0.286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20" t="s">
        <v>296</v>
      </c>
      <c r="B90" s="121">
        <v>5.0</v>
      </c>
      <c r="C90" s="122">
        <v>20.0</v>
      </c>
      <c r="D90" s="121">
        <v>4.0</v>
      </c>
      <c r="E90" s="126">
        <f t="shared" si="4"/>
        <v>4</v>
      </c>
      <c r="F90" s="122">
        <v>0.8</v>
      </c>
      <c r="G90" s="127">
        <f t="shared" si="2"/>
        <v>0</v>
      </c>
      <c r="H90" s="122">
        <v>0.0</v>
      </c>
      <c r="I90" s="128">
        <v>0.25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20" t="s">
        <v>343</v>
      </c>
      <c r="B91" s="121">
        <v>5.0</v>
      </c>
      <c r="C91" s="122">
        <v>20.0</v>
      </c>
      <c r="D91" s="121">
        <v>4.0</v>
      </c>
      <c r="E91" s="126">
        <f t="shared" si="4"/>
        <v>4</v>
      </c>
      <c r="F91" s="122">
        <v>0.8</v>
      </c>
      <c r="G91" s="127">
        <f t="shared" si="2"/>
        <v>0</v>
      </c>
      <c r="H91" s="122">
        <v>0.0</v>
      </c>
      <c r="I91" s="128">
        <v>0.25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20" t="s">
        <v>256</v>
      </c>
      <c r="B92" s="121">
        <v>5.0</v>
      </c>
      <c r="C92" s="122">
        <v>20.0</v>
      </c>
      <c r="D92" s="121">
        <v>5.0</v>
      </c>
      <c r="E92" s="126">
        <f t="shared" si="4"/>
        <v>4</v>
      </c>
      <c r="F92" s="122">
        <v>0.8</v>
      </c>
      <c r="G92" s="127">
        <f t="shared" si="2"/>
        <v>0</v>
      </c>
      <c r="H92" s="122">
        <v>0.0</v>
      </c>
      <c r="I92" s="131">
        <v>0.2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20" t="s">
        <v>289</v>
      </c>
      <c r="B93" s="121">
        <v>5.0</v>
      </c>
      <c r="C93" s="122">
        <v>20.0</v>
      </c>
      <c r="D93" s="121">
        <v>6.0</v>
      </c>
      <c r="E93" s="126">
        <f t="shared" si="4"/>
        <v>4</v>
      </c>
      <c r="F93" s="122">
        <v>0.8</v>
      </c>
      <c r="G93" s="127">
        <f t="shared" si="2"/>
        <v>0</v>
      </c>
      <c r="H93" s="122">
        <v>0.0</v>
      </c>
      <c r="I93" s="128">
        <v>0.167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20" t="s">
        <v>294</v>
      </c>
      <c r="B94" s="121">
        <v>3.0</v>
      </c>
      <c r="C94" s="122">
        <v>12.0</v>
      </c>
      <c r="D94" s="121">
        <v>2.0</v>
      </c>
      <c r="E94" s="126">
        <f t="shared" si="4"/>
        <v>3.99</v>
      </c>
      <c r="F94" s="122">
        <v>1.33</v>
      </c>
      <c r="G94" s="127">
        <f t="shared" si="2"/>
        <v>0</v>
      </c>
      <c r="H94" s="122">
        <v>0.0</v>
      </c>
      <c r="I94" s="128">
        <v>0.5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20" t="s">
        <v>374</v>
      </c>
      <c r="B95" s="121">
        <v>3.0</v>
      </c>
      <c r="C95" s="122">
        <v>12.0</v>
      </c>
      <c r="D95" s="121">
        <v>2.0</v>
      </c>
      <c r="E95" s="126">
        <f t="shared" si="4"/>
        <v>3.99</v>
      </c>
      <c r="F95" s="122">
        <v>1.33</v>
      </c>
      <c r="G95" s="127">
        <f t="shared" si="2"/>
        <v>0</v>
      </c>
      <c r="H95" s="122">
        <v>0.0</v>
      </c>
      <c r="I95" s="128">
        <v>0.5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20" t="s">
        <v>314</v>
      </c>
      <c r="B96" s="121">
        <v>5.0</v>
      </c>
      <c r="C96" s="122">
        <v>20.0</v>
      </c>
      <c r="D96" s="121">
        <v>2.0</v>
      </c>
      <c r="E96" s="126">
        <f t="shared" si="4"/>
        <v>0</v>
      </c>
      <c r="F96" s="122">
        <v>0.0</v>
      </c>
      <c r="G96" s="127">
        <f t="shared" si="2"/>
        <v>1</v>
      </c>
      <c r="H96" s="122">
        <v>0.2</v>
      </c>
      <c r="I96" s="128">
        <v>0.5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20" t="s">
        <v>271</v>
      </c>
      <c r="B97" s="121">
        <v>5.0</v>
      </c>
      <c r="C97" s="122">
        <v>20.0</v>
      </c>
      <c r="D97" s="121">
        <v>2.0</v>
      </c>
      <c r="E97" s="126">
        <f t="shared" si="4"/>
        <v>0</v>
      </c>
      <c r="F97" s="122">
        <v>0.0</v>
      </c>
      <c r="G97" s="127">
        <f t="shared" si="2"/>
        <v>1</v>
      </c>
      <c r="H97" s="122">
        <v>0.2</v>
      </c>
      <c r="I97" s="128">
        <v>0.5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20" t="s">
        <v>224</v>
      </c>
      <c r="B98" s="121">
        <v>5.0</v>
      </c>
      <c r="C98" s="122">
        <v>20.0</v>
      </c>
      <c r="D98" s="121">
        <v>2.0</v>
      </c>
      <c r="E98" s="126">
        <f t="shared" si="4"/>
        <v>0</v>
      </c>
      <c r="F98" s="122">
        <v>0.0</v>
      </c>
      <c r="G98" s="127">
        <f t="shared" si="2"/>
        <v>1</v>
      </c>
      <c r="H98" s="122">
        <v>0.2</v>
      </c>
      <c r="I98" s="128">
        <v>0.5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20" t="s">
        <v>261</v>
      </c>
      <c r="B99" s="121">
        <v>5.0</v>
      </c>
      <c r="C99" s="122">
        <v>20.0</v>
      </c>
      <c r="D99" s="121">
        <v>4.0</v>
      </c>
      <c r="E99" s="126">
        <f t="shared" si="4"/>
        <v>0</v>
      </c>
      <c r="F99" s="122">
        <v>0.0</v>
      </c>
      <c r="G99" s="127">
        <f t="shared" si="2"/>
        <v>1</v>
      </c>
      <c r="H99" s="122">
        <v>0.2</v>
      </c>
      <c r="I99" s="128">
        <v>0.25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20" t="s">
        <v>275</v>
      </c>
      <c r="B100" s="121">
        <v>3.0</v>
      </c>
      <c r="C100" s="122">
        <v>12.0</v>
      </c>
      <c r="D100" s="121">
        <v>4.0</v>
      </c>
      <c r="E100" s="126">
        <f t="shared" si="4"/>
        <v>0</v>
      </c>
      <c r="F100" s="122">
        <v>0.0</v>
      </c>
      <c r="G100" s="127">
        <f t="shared" si="2"/>
        <v>0.99</v>
      </c>
      <c r="H100" s="122">
        <v>0.33</v>
      </c>
      <c r="I100" s="128">
        <v>0.25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20" t="s">
        <v>266</v>
      </c>
      <c r="B101" s="121">
        <v>5.0</v>
      </c>
      <c r="C101" s="122">
        <v>20.0</v>
      </c>
      <c r="D101" s="121">
        <v>2.0</v>
      </c>
      <c r="E101" s="126">
        <f t="shared" si="4"/>
        <v>0</v>
      </c>
      <c r="F101" s="122">
        <v>0.0</v>
      </c>
      <c r="G101" s="127">
        <f t="shared" si="2"/>
        <v>0</v>
      </c>
      <c r="H101" s="122">
        <v>0.0</v>
      </c>
      <c r="I101" s="128">
        <v>0.0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20" t="s">
        <v>377</v>
      </c>
      <c r="B102" s="121">
        <v>1.0</v>
      </c>
      <c r="C102" s="122">
        <v>4.0</v>
      </c>
      <c r="D102" s="121">
        <v>0.0</v>
      </c>
      <c r="E102" s="126">
        <f t="shared" si="4"/>
        <v>0</v>
      </c>
      <c r="F102" s="122">
        <v>0.0</v>
      </c>
      <c r="G102" s="127">
        <f t="shared" si="2"/>
        <v>0</v>
      </c>
      <c r="H102" s="122">
        <v>0.0</v>
      </c>
      <c r="I102" s="131">
        <v>0.0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20" t="s">
        <v>358</v>
      </c>
      <c r="B103" s="121">
        <v>3.0</v>
      </c>
      <c r="C103" s="122">
        <v>12.0</v>
      </c>
      <c r="D103" s="121">
        <v>0.0</v>
      </c>
      <c r="E103" s="126">
        <f t="shared" si="4"/>
        <v>0</v>
      </c>
      <c r="F103" s="122">
        <v>0.0</v>
      </c>
      <c r="G103" s="127">
        <f t="shared" si="2"/>
        <v>0</v>
      </c>
      <c r="H103" s="122">
        <v>0.0</v>
      </c>
      <c r="I103" s="128">
        <v>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0" t="s">
        <v>381</v>
      </c>
      <c r="B104" s="121">
        <v>2.0</v>
      </c>
      <c r="C104" s="122">
        <v>9.0</v>
      </c>
      <c r="D104" s="121">
        <v>0.0</v>
      </c>
      <c r="E104" s="126">
        <f t="shared" si="4"/>
        <v>0</v>
      </c>
      <c r="F104" s="122">
        <v>0.0</v>
      </c>
      <c r="G104" s="127">
        <f t="shared" si="2"/>
        <v>0</v>
      </c>
      <c r="H104" s="122">
        <v>0.0</v>
      </c>
      <c r="I104" s="128">
        <v>0.0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20" t="s">
        <v>383</v>
      </c>
      <c r="B105" s="121">
        <v>5.0</v>
      </c>
      <c r="C105" s="122">
        <v>20.0</v>
      </c>
      <c r="D105" s="121">
        <v>1.0</v>
      </c>
      <c r="E105" s="126">
        <f t="shared" si="4"/>
        <v>0</v>
      </c>
      <c r="F105" s="122">
        <v>0.0</v>
      </c>
      <c r="G105" s="127">
        <f t="shared" si="2"/>
        <v>0</v>
      </c>
      <c r="H105" s="122">
        <v>0.0</v>
      </c>
      <c r="I105" s="128">
        <v>0.0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20" t="s">
        <v>235</v>
      </c>
      <c r="B106" s="121">
        <v>5.0</v>
      </c>
      <c r="C106" s="122">
        <v>20.0</v>
      </c>
      <c r="D106" s="121">
        <v>2.0</v>
      </c>
      <c r="E106" s="126">
        <f t="shared" si="4"/>
        <v>0</v>
      </c>
      <c r="F106" s="122">
        <v>0.0</v>
      </c>
      <c r="G106" s="127">
        <f t="shared" si="2"/>
        <v>0</v>
      </c>
      <c r="H106" s="122">
        <v>0.0</v>
      </c>
      <c r="I106" s="128">
        <v>0.0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20" t="s">
        <v>376</v>
      </c>
      <c r="B107" s="121">
        <v>3.0</v>
      </c>
      <c r="C107" s="122">
        <v>12.0</v>
      </c>
      <c r="D107" s="121">
        <v>0.0</v>
      </c>
      <c r="E107" s="126">
        <f t="shared" si="4"/>
        <v>0</v>
      </c>
      <c r="F107" s="122">
        <v>0.0</v>
      </c>
      <c r="G107" s="127">
        <f t="shared" si="2"/>
        <v>0</v>
      </c>
      <c r="H107" s="122">
        <v>0.0</v>
      </c>
      <c r="I107" s="128">
        <v>0.0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20" t="s">
        <v>365</v>
      </c>
      <c r="B108" s="121">
        <v>1.0</v>
      </c>
      <c r="C108" s="122">
        <v>4.0</v>
      </c>
      <c r="D108" s="121">
        <v>0.0</v>
      </c>
      <c r="E108" s="126">
        <f t="shared" si="4"/>
        <v>0</v>
      </c>
      <c r="F108" s="122">
        <v>0.0</v>
      </c>
      <c r="G108" s="127">
        <f t="shared" si="2"/>
        <v>0</v>
      </c>
      <c r="H108" s="122">
        <v>0.0</v>
      </c>
      <c r="I108" s="128">
        <v>0.0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20" t="s">
        <v>288</v>
      </c>
      <c r="B109" s="121">
        <v>4.0</v>
      </c>
      <c r="C109" s="122">
        <v>16.0</v>
      </c>
      <c r="D109" s="121">
        <v>0.0</v>
      </c>
      <c r="E109" s="126">
        <f t="shared" si="4"/>
        <v>0</v>
      </c>
      <c r="F109" s="122">
        <v>0.0</v>
      </c>
      <c r="G109" s="127">
        <f t="shared" si="2"/>
        <v>0</v>
      </c>
      <c r="H109" s="122">
        <v>0.0</v>
      </c>
      <c r="I109" s="128">
        <v>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20" t="s">
        <v>325</v>
      </c>
      <c r="B110" s="121">
        <v>5.0</v>
      </c>
      <c r="C110" s="122">
        <v>20.0</v>
      </c>
      <c r="D110" s="121">
        <v>0.0</v>
      </c>
      <c r="E110" s="126">
        <f t="shared" si="4"/>
        <v>0</v>
      </c>
      <c r="F110" s="122">
        <v>0.0</v>
      </c>
      <c r="G110" s="127">
        <f t="shared" si="2"/>
        <v>0</v>
      </c>
      <c r="H110" s="122">
        <v>0.0</v>
      </c>
      <c r="I110" s="128">
        <v>0.0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20" t="s">
        <v>384</v>
      </c>
      <c r="B111" s="121">
        <v>2.0</v>
      </c>
      <c r="C111" s="122">
        <v>8.0</v>
      </c>
      <c r="D111" s="121">
        <v>0.0</v>
      </c>
      <c r="E111" s="126">
        <f t="shared" si="4"/>
        <v>0</v>
      </c>
      <c r="F111" s="122">
        <v>0.0</v>
      </c>
      <c r="G111" s="127">
        <f t="shared" si="2"/>
        <v>0</v>
      </c>
      <c r="H111" s="122">
        <v>0.0</v>
      </c>
      <c r="I111" s="128">
        <v>0.0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20" t="s">
        <v>302</v>
      </c>
      <c r="B112" s="121">
        <v>5.0</v>
      </c>
      <c r="C112" s="122">
        <v>20.0</v>
      </c>
      <c r="D112" s="121">
        <v>0.0</v>
      </c>
      <c r="E112" s="126">
        <f t="shared" si="4"/>
        <v>0</v>
      </c>
      <c r="F112" s="122">
        <v>0.0</v>
      </c>
      <c r="G112" s="127">
        <f t="shared" si="2"/>
        <v>0</v>
      </c>
      <c r="H112" s="122">
        <v>0.0</v>
      </c>
      <c r="I112" s="128">
        <v>0.0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20" t="s">
        <v>245</v>
      </c>
      <c r="B113" s="121">
        <v>5.0</v>
      </c>
      <c r="C113" s="122">
        <v>20.0</v>
      </c>
      <c r="D113" s="121">
        <v>0.0</v>
      </c>
      <c r="E113" s="126">
        <f t="shared" si="4"/>
        <v>0</v>
      </c>
      <c r="F113" s="122">
        <v>0.0</v>
      </c>
      <c r="G113" s="127">
        <f t="shared" si="2"/>
        <v>0</v>
      </c>
      <c r="H113" s="122">
        <v>0.0</v>
      </c>
      <c r="I113" s="128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20" t="s">
        <v>360</v>
      </c>
      <c r="B114" s="121">
        <v>2.0</v>
      </c>
      <c r="C114" s="122">
        <v>8.0</v>
      </c>
      <c r="D114" s="121">
        <v>0.0</v>
      </c>
      <c r="E114" s="126">
        <f t="shared" si="4"/>
        <v>0</v>
      </c>
      <c r="F114" s="122">
        <v>0.0</v>
      </c>
      <c r="G114" s="127">
        <f t="shared" si="2"/>
        <v>0</v>
      </c>
      <c r="H114" s="122">
        <v>0.0</v>
      </c>
      <c r="I114" s="131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20" t="s">
        <v>387</v>
      </c>
      <c r="B115" s="121">
        <v>2.0</v>
      </c>
      <c r="C115" s="122">
        <v>8.0</v>
      </c>
      <c r="D115" s="121">
        <v>0.0</v>
      </c>
      <c r="E115" s="126">
        <f t="shared" si="4"/>
        <v>0</v>
      </c>
      <c r="F115" s="122">
        <v>0.0</v>
      </c>
      <c r="G115" s="127">
        <f t="shared" si="2"/>
        <v>0</v>
      </c>
      <c r="H115" s="122">
        <v>0.0</v>
      </c>
      <c r="I115" s="128">
        <v>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20" t="s">
        <v>367</v>
      </c>
      <c r="B116" s="121">
        <v>1.0</v>
      </c>
      <c r="C116" s="122">
        <v>4.0</v>
      </c>
      <c r="D116" s="121">
        <v>0.0</v>
      </c>
      <c r="E116" s="126">
        <f t="shared" si="4"/>
        <v>0</v>
      </c>
      <c r="F116" s="122">
        <v>0.0</v>
      </c>
      <c r="G116" s="127">
        <f t="shared" si="2"/>
        <v>0</v>
      </c>
      <c r="H116" s="122">
        <v>0.0</v>
      </c>
      <c r="I116" s="128">
        <v>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20" t="s">
        <v>346</v>
      </c>
      <c r="B117" s="121">
        <v>2.0</v>
      </c>
      <c r="C117" s="122">
        <v>8.0</v>
      </c>
      <c r="D117" s="121">
        <v>0.0</v>
      </c>
      <c r="E117" s="126">
        <f t="shared" si="4"/>
        <v>0</v>
      </c>
      <c r="F117" s="122">
        <v>0.0</v>
      </c>
      <c r="G117" s="127">
        <f t="shared" si="2"/>
        <v>0</v>
      </c>
      <c r="H117" s="122">
        <v>0.0</v>
      </c>
      <c r="I117" s="128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20" t="s">
        <v>351</v>
      </c>
      <c r="B118" s="121">
        <v>4.0</v>
      </c>
      <c r="C118" s="122">
        <v>16.0</v>
      </c>
      <c r="D118" s="121">
        <v>0.0</v>
      </c>
      <c r="E118" s="126">
        <f t="shared" si="4"/>
        <v>0</v>
      </c>
      <c r="F118" s="122">
        <v>0.0</v>
      </c>
      <c r="G118" s="127">
        <f t="shared" si="2"/>
        <v>0</v>
      </c>
      <c r="H118" s="122">
        <v>0.0</v>
      </c>
      <c r="I118" s="128">
        <v>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20" t="s">
        <v>389</v>
      </c>
      <c r="B119" s="121">
        <v>2.0</v>
      </c>
      <c r="C119" s="122">
        <v>8.0</v>
      </c>
      <c r="D119" s="121">
        <v>2.0</v>
      </c>
      <c r="E119" s="126">
        <f t="shared" si="4"/>
        <v>0</v>
      </c>
      <c r="F119" s="122">
        <v>0.0</v>
      </c>
      <c r="G119" s="127">
        <f t="shared" si="2"/>
        <v>0</v>
      </c>
      <c r="H119" s="122">
        <v>0.0</v>
      </c>
      <c r="I119" s="128">
        <v>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20" t="s">
        <v>255</v>
      </c>
      <c r="B120" s="121">
        <v>5.0</v>
      </c>
      <c r="C120" s="122">
        <f t="shared" ref="C120:C124" si="5">B120*4</f>
        <v>20</v>
      </c>
      <c r="D120" s="121">
        <v>0.0</v>
      </c>
      <c r="E120" s="126">
        <f t="shared" si="4"/>
        <v>0</v>
      </c>
      <c r="F120" s="122">
        <v>0.0</v>
      </c>
      <c r="G120" s="127">
        <f t="shared" si="2"/>
        <v>0</v>
      </c>
      <c r="H120" s="122">
        <v>0.0</v>
      </c>
      <c r="I120" s="128">
        <v>0.0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20" t="s">
        <v>391</v>
      </c>
      <c r="B121" s="121">
        <v>2.0</v>
      </c>
      <c r="C121" s="122">
        <f t="shared" si="5"/>
        <v>8</v>
      </c>
      <c r="D121" s="121">
        <v>0.0</v>
      </c>
      <c r="E121" s="126">
        <f t="shared" si="4"/>
        <v>0</v>
      </c>
      <c r="F121" s="122">
        <v>0.0</v>
      </c>
      <c r="G121" s="127">
        <f t="shared" si="2"/>
        <v>0</v>
      </c>
      <c r="H121" s="122">
        <v>0.0</v>
      </c>
      <c r="I121" s="128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20" t="s">
        <v>313</v>
      </c>
      <c r="B122" s="121">
        <v>4.0</v>
      </c>
      <c r="C122" s="122">
        <f t="shared" si="5"/>
        <v>16</v>
      </c>
      <c r="D122" s="121">
        <v>0.0</v>
      </c>
      <c r="E122" s="126">
        <f t="shared" si="4"/>
        <v>0</v>
      </c>
      <c r="F122" s="122">
        <v>0.0</v>
      </c>
      <c r="G122" s="127">
        <f t="shared" si="2"/>
        <v>0</v>
      </c>
      <c r="H122" s="122">
        <v>0.0</v>
      </c>
      <c r="I122" s="128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0" t="s">
        <v>260</v>
      </c>
      <c r="B123" s="121">
        <v>5.0</v>
      </c>
      <c r="C123" s="122">
        <f t="shared" si="5"/>
        <v>20</v>
      </c>
      <c r="D123" s="121">
        <v>0.0</v>
      </c>
      <c r="E123" s="126">
        <f t="shared" si="4"/>
        <v>0</v>
      </c>
      <c r="F123" s="122">
        <v>0.0</v>
      </c>
      <c r="G123" s="127">
        <f t="shared" si="2"/>
        <v>0</v>
      </c>
      <c r="H123" s="122">
        <v>0.0</v>
      </c>
      <c r="I123" s="128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20" t="s">
        <v>347</v>
      </c>
      <c r="B124" s="121">
        <v>2.0</v>
      </c>
      <c r="C124" s="122">
        <f t="shared" si="5"/>
        <v>8</v>
      </c>
      <c r="D124" s="121">
        <v>0.0</v>
      </c>
      <c r="E124" s="126">
        <f t="shared" si="4"/>
        <v>0</v>
      </c>
      <c r="F124" s="122">
        <v>0.0</v>
      </c>
      <c r="G124" s="127">
        <f t="shared" si="2"/>
        <v>0</v>
      </c>
      <c r="H124" s="122">
        <v>0.0</v>
      </c>
      <c r="I124" s="131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20" t="s">
        <v>373</v>
      </c>
      <c r="B125" s="121">
        <v>3.0</v>
      </c>
      <c r="C125" s="122">
        <v>12.0</v>
      </c>
      <c r="D125" s="121">
        <v>0.0</v>
      </c>
      <c r="E125" s="126">
        <f t="shared" si="4"/>
        <v>0</v>
      </c>
      <c r="F125" s="122">
        <v>0.0</v>
      </c>
      <c r="G125" s="127">
        <f t="shared" si="2"/>
        <v>0</v>
      </c>
      <c r="H125" s="122">
        <v>0.0</v>
      </c>
      <c r="I125" s="128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20" t="s">
        <v>272</v>
      </c>
      <c r="B126" s="121">
        <v>5.0</v>
      </c>
      <c r="C126" s="122">
        <v>20.0</v>
      </c>
      <c r="D126" s="121">
        <v>0.0</v>
      </c>
      <c r="E126" s="126">
        <f t="shared" si="4"/>
        <v>0</v>
      </c>
      <c r="F126" s="122">
        <v>0.0</v>
      </c>
      <c r="G126" s="127">
        <f t="shared" si="2"/>
        <v>0</v>
      </c>
      <c r="H126" s="122">
        <v>0.0</v>
      </c>
      <c r="I126" s="128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20" t="s">
        <v>241</v>
      </c>
      <c r="B127" s="121">
        <v>5.0</v>
      </c>
      <c r="C127" s="122">
        <v>20.0</v>
      </c>
      <c r="D127" s="121">
        <v>0.0</v>
      </c>
      <c r="E127" s="126">
        <f t="shared" si="4"/>
        <v>0</v>
      </c>
      <c r="F127" s="122">
        <v>0.0</v>
      </c>
      <c r="G127" s="127">
        <f t="shared" si="2"/>
        <v>0</v>
      </c>
      <c r="H127" s="122">
        <v>0.0</v>
      </c>
      <c r="I127" s="128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20" t="s">
        <v>395</v>
      </c>
      <c r="B128" s="121">
        <v>1.0</v>
      </c>
      <c r="C128" s="122">
        <v>4.0</v>
      </c>
      <c r="D128" s="121">
        <v>0.0</v>
      </c>
      <c r="E128" s="126">
        <f t="shared" si="4"/>
        <v>0</v>
      </c>
      <c r="F128" s="122">
        <v>0.0</v>
      </c>
      <c r="G128" s="127">
        <f t="shared" si="2"/>
        <v>0</v>
      </c>
      <c r="H128" s="122">
        <v>0.0</v>
      </c>
      <c r="I128" s="128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20" t="s">
        <v>220</v>
      </c>
      <c r="B129" s="121">
        <v>5.0</v>
      </c>
      <c r="C129" s="122">
        <v>20.0</v>
      </c>
      <c r="D129" s="121">
        <v>0.0</v>
      </c>
      <c r="E129" s="126">
        <f t="shared" si="4"/>
        <v>0</v>
      </c>
      <c r="F129" s="122">
        <v>0.0</v>
      </c>
      <c r="G129" s="127">
        <f t="shared" si="2"/>
        <v>0</v>
      </c>
      <c r="H129" s="122">
        <v>0.0</v>
      </c>
      <c r="I129" s="131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20" t="s">
        <v>301</v>
      </c>
      <c r="B130" s="121">
        <v>3.0</v>
      </c>
      <c r="C130" s="122">
        <v>12.0</v>
      </c>
      <c r="D130" s="121">
        <v>1.0</v>
      </c>
      <c r="E130" s="126">
        <f t="shared" si="4"/>
        <v>0</v>
      </c>
      <c r="F130" s="122">
        <v>0.0</v>
      </c>
      <c r="G130" s="127">
        <f t="shared" si="2"/>
        <v>0</v>
      </c>
      <c r="H130" s="122">
        <v>0.0</v>
      </c>
      <c r="I130" s="128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20" t="s">
        <v>375</v>
      </c>
      <c r="B131" s="121">
        <v>1.0</v>
      </c>
      <c r="C131" s="122">
        <v>4.0</v>
      </c>
      <c r="D131" s="121">
        <v>0.0</v>
      </c>
      <c r="E131" s="126">
        <f t="shared" si="4"/>
        <v>0</v>
      </c>
      <c r="F131" s="122">
        <v>0.0</v>
      </c>
      <c r="G131" s="127">
        <f t="shared" si="2"/>
        <v>0</v>
      </c>
      <c r="H131" s="122">
        <v>0.0</v>
      </c>
      <c r="I131" s="128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20" t="s">
        <v>305</v>
      </c>
      <c r="B132" s="121">
        <v>4.0</v>
      </c>
      <c r="C132" s="122">
        <v>16.0</v>
      </c>
      <c r="D132" s="121">
        <v>2.0</v>
      </c>
      <c r="E132" s="126">
        <f t="shared" si="4"/>
        <v>0</v>
      </c>
      <c r="F132" s="122">
        <v>0.0</v>
      </c>
      <c r="G132" s="127">
        <f t="shared" si="2"/>
        <v>0</v>
      </c>
      <c r="H132" s="122">
        <v>0.0</v>
      </c>
      <c r="I132" s="128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20" t="s">
        <v>337</v>
      </c>
      <c r="B133" s="121">
        <v>4.0</v>
      </c>
      <c r="C133" s="122">
        <v>16.0</v>
      </c>
      <c r="D133" s="121">
        <v>0.0</v>
      </c>
      <c r="E133" s="126">
        <f t="shared" si="4"/>
        <v>0</v>
      </c>
      <c r="F133" s="122">
        <v>0.0</v>
      </c>
      <c r="G133" s="127">
        <f t="shared" si="2"/>
        <v>0</v>
      </c>
      <c r="H133" s="122">
        <v>0.0</v>
      </c>
      <c r="I133" s="128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20" t="s">
        <v>378</v>
      </c>
      <c r="B134" s="121">
        <v>3.0</v>
      </c>
      <c r="C134" s="122">
        <v>12.0</v>
      </c>
      <c r="D134" s="121">
        <v>0.0</v>
      </c>
      <c r="E134" s="126">
        <f t="shared" si="4"/>
        <v>0</v>
      </c>
      <c r="F134" s="122">
        <v>0.0</v>
      </c>
      <c r="G134" s="127">
        <f t="shared" si="2"/>
        <v>0</v>
      </c>
      <c r="H134" s="122">
        <v>0.0</v>
      </c>
      <c r="I134" s="128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20" t="s">
        <v>398</v>
      </c>
      <c r="B135" s="121">
        <v>4.0</v>
      </c>
      <c r="C135" s="122">
        <v>16.0</v>
      </c>
      <c r="D135" s="121">
        <v>0.0</v>
      </c>
      <c r="E135" s="126">
        <f t="shared" si="4"/>
        <v>0</v>
      </c>
      <c r="F135" s="122">
        <v>0.0</v>
      </c>
      <c r="G135" s="127">
        <f t="shared" si="2"/>
        <v>0</v>
      </c>
      <c r="H135" s="122">
        <v>0.0</v>
      </c>
      <c r="I135" s="131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0" t="s">
        <v>399</v>
      </c>
      <c r="B136" s="121">
        <v>1.0</v>
      </c>
      <c r="C136" s="122">
        <v>4.0</v>
      </c>
      <c r="D136" s="121">
        <v>1.0</v>
      </c>
      <c r="E136" s="126">
        <f t="shared" si="4"/>
        <v>0</v>
      </c>
      <c r="F136" s="122">
        <v>0.0</v>
      </c>
      <c r="G136" s="127">
        <f t="shared" si="2"/>
        <v>0</v>
      </c>
      <c r="H136" s="122">
        <v>0.0</v>
      </c>
      <c r="I136" s="131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0" t="s">
        <v>366</v>
      </c>
      <c r="B137" s="121">
        <v>3.0</v>
      </c>
      <c r="C137" s="122">
        <v>12.0</v>
      </c>
      <c r="D137" s="121">
        <v>0.0</v>
      </c>
      <c r="E137" s="126">
        <f t="shared" si="4"/>
        <v>0</v>
      </c>
      <c r="F137" s="122">
        <v>0.0</v>
      </c>
      <c r="G137" s="127">
        <f t="shared" si="2"/>
        <v>0</v>
      </c>
      <c r="H137" s="122">
        <v>0.0</v>
      </c>
      <c r="I137" s="131">
        <v>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0" t="s">
        <v>423</v>
      </c>
      <c r="B138" s="121">
        <v>1.0</v>
      </c>
      <c r="C138" s="122">
        <v>4.0</v>
      </c>
      <c r="D138" s="121">
        <v>0.0</v>
      </c>
      <c r="E138" s="126">
        <f t="shared" si="4"/>
        <v>0</v>
      </c>
      <c r="F138" s="122">
        <v>0.0</v>
      </c>
      <c r="G138" s="127">
        <f t="shared" si="2"/>
        <v>0</v>
      </c>
      <c r="H138" s="122">
        <v>0.0</v>
      </c>
      <c r="I138" s="128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20" t="s">
        <v>227</v>
      </c>
      <c r="B139" s="121">
        <v>5.0</v>
      </c>
      <c r="C139" s="122">
        <v>20.0</v>
      </c>
      <c r="D139" s="121">
        <v>0.0</v>
      </c>
      <c r="E139" s="126">
        <f t="shared" si="4"/>
        <v>0</v>
      </c>
      <c r="F139" s="122">
        <v>0.0</v>
      </c>
      <c r="G139" s="127">
        <f t="shared" si="2"/>
        <v>0</v>
      </c>
      <c r="H139" s="122">
        <v>0.0</v>
      </c>
      <c r="I139" s="128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20" t="s">
        <v>380</v>
      </c>
      <c r="B140" s="121">
        <v>2.0</v>
      </c>
      <c r="C140" s="122">
        <v>8.0</v>
      </c>
      <c r="D140" s="121">
        <v>0.0</v>
      </c>
      <c r="E140" s="126">
        <f t="shared" si="4"/>
        <v>0</v>
      </c>
      <c r="F140" s="122">
        <v>0.0</v>
      </c>
      <c r="G140" s="127">
        <f t="shared" si="2"/>
        <v>0</v>
      </c>
      <c r="H140" s="122">
        <v>0.0</v>
      </c>
      <c r="I140" s="128">
        <v>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20" t="s">
        <v>328</v>
      </c>
      <c r="B141" s="121">
        <v>1.0</v>
      </c>
      <c r="C141" s="122">
        <v>4.0</v>
      </c>
      <c r="D141" s="121">
        <v>0.0</v>
      </c>
      <c r="E141" s="126">
        <f t="shared" si="4"/>
        <v>0</v>
      </c>
      <c r="F141" s="122">
        <v>0.0</v>
      </c>
      <c r="G141" s="127">
        <f t="shared" si="2"/>
        <v>0</v>
      </c>
      <c r="H141" s="122">
        <v>0.0</v>
      </c>
      <c r="I141" s="128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0" t="s">
        <v>246</v>
      </c>
      <c r="B142" s="121">
        <v>5.0</v>
      </c>
      <c r="C142" s="122">
        <v>20.0</v>
      </c>
      <c r="D142" s="121">
        <v>0.0</v>
      </c>
      <c r="E142" s="126">
        <f t="shared" si="4"/>
        <v>0</v>
      </c>
      <c r="F142" s="122">
        <v>0.0</v>
      </c>
      <c r="G142" s="127">
        <f t="shared" si="2"/>
        <v>0</v>
      </c>
      <c r="H142" s="122">
        <v>0.0</v>
      </c>
      <c r="I142" s="128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20" t="s">
        <v>424</v>
      </c>
      <c r="B143" s="121">
        <v>1.0</v>
      </c>
      <c r="C143" s="122">
        <v>4.0</v>
      </c>
      <c r="D143" s="121">
        <v>0.0</v>
      </c>
      <c r="E143" s="126">
        <f t="shared" si="4"/>
        <v>0</v>
      </c>
      <c r="F143" s="122">
        <v>0.0</v>
      </c>
      <c r="G143" s="127">
        <f t="shared" si="2"/>
        <v>0</v>
      </c>
      <c r="H143" s="122">
        <v>0.0</v>
      </c>
      <c r="I143" s="128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20" t="s">
        <v>307</v>
      </c>
      <c r="B144" s="121">
        <v>1.0</v>
      </c>
      <c r="C144" s="122">
        <v>4.0</v>
      </c>
      <c r="D144" s="121">
        <v>0.0</v>
      </c>
      <c r="E144" s="126">
        <f t="shared" si="4"/>
        <v>0</v>
      </c>
      <c r="F144" s="122">
        <v>0.0</v>
      </c>
      <c r="G144" s="127">
        <f t="shared" si="2"/>
        <v>0</v>
      </c>
      <c r="H144" s="122">
        <v>0.0</v>
      </c>
      <c r="I144" s="128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20" t="s">
        <v>332</v>
      </c>
      <c r="B145" s="121">
        <v>5.0</v>
      </c>
      <c r="C145" s="122">
        <v>20.0</v>
      </c>
      <c r="D145" s="121">
        <v>0.0</v>
      </c>
      <c r="E145" s="126">
        <f t="shared" si="4"/>
        <v>0</v>
      </c>
      <c r="F145" s="122">
        <v>0.0</v>
      </c>
      <c r="G145" s="127">
        <f t="shared" si="2"/>
        <v>0</v>
      </c>
      <c r="H145" s="122">
        <v>0.0</v>
      </c>
      <c r="I145" s="128">
        <v>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20" t="s">
        <v>342</v>
      </c>
      <c r="B146" s="121">
        <v>1.0</v>
      </c>
      <c r="C146" s="122">
        <v>4.0</v>
      </c>
      <c r="D146" s="121">
        <v>0.0</v>
      </c>
      <c r="E146" s="126">
        <f t="shared" si="4"/>
        <v>0</v>
      </c>
      <c r="F146" s="122">
        <v>0.0</v>
      </c>
      <c r="G146" s="127">
        <f t="shared" si="2"/>
        <v>0</v>
      </c>
      <c r="H146" s="122">
        <v>0.0</v>
      </c>
      <c r="I146" s="128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20" t="s">
        <v>379</v>
      </c>
      <c r="B147" s="121">
        <v>3.0</v>
      </c>
      <c r="C147" s="122">
        <v>12.0</v>
      </c>
      <c r="D147" s="121">
        <v>1.0</v>
      </c>
      <c r="E147" s="126">
        <f t="shared" si="4"/>
        <v>0</v>
      </c>
      <c r="F147" s="122">
        <v>0.0</v>
      </c>
      <c r="G147" s="127">
        <f t="shared" si="2"/>
        <v>0</v>
      </c>
      <c r="H147" s="122">
        <v>0.0</v>
      </c>
      <c r="I147" s="128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20" t="s">
        <v>236</v>
      </c>
      <c r="B148" s="121">
        <v>5.0</v>
      </c>
      <c r="C148" s="122">
        <v>20.0</v>
      </c>
      <c r="D148" s="121">
        <v>0.0</v>
      </c>
      <c r="E148" s="126">
        <f t="shared" si="4"/>
        <v>0</v>
      </c>
      <c r="F148" s="122">
        <v>0.0</v>
      </c>
      <c r="G148" s="127">
        <f t="shared" si="2"/>
        <v>0</v>
      </c>
      <c r="H148" s="122">
        <v>0.0</v>
      </c>
      <c r="I148" s="128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20" t="s">
        <v>402</v>
      </c>
      <c r="B149" s="121">
        <v>1.0</v>
      </c>
      <c r="C149" s="122">
        <v>4.0</v>
      </c>
      <c r="D149" s="121">
        <v>0.0</v>
      </c>
      <c r="E149" s="126">
        <f t="shared" si="4"/>
        <v>0</v>
      </c>
      <c r="F149" s="122">
        <v>0.0</v>
      </c>
      <c r="G149" s="127">
        <f t="shared" si="2"/>
        <v>0</v>
      </c>
      <c r="H149" s="122">
        <v>0.0</v>
      </c>
      <c r="I149" s="131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20" t="s">
        <v>349</v>
      </c>
      <c r="B150" s="121">
        <v>1.0</v>
      </c>
      <c r="C150" s="122">
        <v>4.0</v>
      </c>
      <c r="D150" s="121">
        <v>0.0</v>
      </c>
      <c r="E150" s="126">
        <f t="shared" si="4"/>
        <v>0</v>
      </c>
      <c r="F150" s="122">
        <v>0.0</v>
      </c>
      <c r="G150" s="127">
        <f t="shared" si="2"/>
        <v>0</v>
      </c>
      <c r="H150" s="122">
        <v>0.0</v>
      </c>
      <c r="I150" s="128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20" t="s">
        <v>348</v>
      </c>
      <c r="B151" s="121">
        <v>2.0</v>
      </c>
      <c r="C151" s="122">
        <v>8.0</v>
      </c>
      <c r="D151" s="121">
        <v>0.0</v>
      </c>
      <c r="E151" s="126">
        <f t="shared" si="4"/>
        <v>0</v>
      </c>
      <c r="F151" s="122">
        <v>0.0</v>
      </c>
      <c r="G151" s="127">
        <f t="shared" si="2"/>
        <v>0</v>
      </c>
      <c r="H151" s="122">
        <v>0.0</v>
      </c>
      <c r="I151" s="131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20" t="s">
        <v>329</v>
      </c>
      <c r="B152" s="121">
        <v>1.0</v>
      </c>
      <c r="C152" s="122">
        <v>4.0</v>
      </c>
      <c r="D152" s="121">
        <v>0.0</v>
      </c>
      <c r="E152" s="126">
        <f t="shared" si="4"/>
        <v>0</v>
      </c>
      <c r="F152" s="122">
        <v>0.0</v>
      </c>
      <c r="G152" s="127">
        <f t="shared" si="2"/>
        <v>0</v>
      </c>
      <c r="H152" s="122">
        <v>0.0</v>
      </c>
      <c r="I152" s="128">
        <v>0.0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20" t="s">
        <v>362</v>
      </c>
      <c r="B153" s="121">
        <v>2.0</v>
      </c>
      <c r="C153" s="122">
        <v>7.0</v>
      </c>
      <c r="D153" s="121">
        <v>0.0</v>
      </c>
      <c r="E153" s="126">
        <f t="shared" si="4"/>
        <v>0</v>
      </c>
      <c r="F153" s="122">
        <v>0.0</v>
      </c>
      <c r="G153" s="127">
        <f t="shared" si="2"/>
        <v>0</v>
      </c>
      <c r="H153" s="122">
        <v>0.0</v>
      </c>
      <c r="I153" s="128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20" t="s">
        <v>286</v>
      </c>
      <c r="B154" s="121">
        <v>5.0</v>
      </c>
      <c r="C154" s="122">
        <v>20.0</v>
      </c>
      <c r="D154" s="121">
        <v>0.0</v>
      </c>
      <c r="E154" s="126">
        <f t="shared" si="4"/>
        <v>0</v>
      </c>
      <c r="F154" s="122">
        <v>0.0</v>
      </c>
      <c r="G154" s="127">
        <f t="shared" si="2"/>
        <v>0</v>
      </c>
      <c r="H154" s="122">
        <v>0.0</v>
      </c>
      <c r="I154" s="128">
        <v>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20" t="s">
        <v>309</v>
      </c>
      <c r="B155" s="121">
        <v>5.0</v>
      </c>
      <c r="C155" s="122">
        <v>20.0</v>
      </c>
      <c r="D155" s="121">
        <v>0.0</v>
      </c>
      <c r="E155" s="126">
        <f t="shared" si="4"/>
        <v>0</v>
      </c>
      <c r="F155" s="122">
        <v>0.0</v>
      </c>
      <c r="G155" s="127">
        <f t="shared" si="2"/>
        <v>0</v>
      </c>
      <c r="H155" s="122">
        <v>0.0</v>
      </c>
      <c r="I155" s="128">
        <v>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20" t="s">
        <v>278</v>
      </c>
      <c r="B156" s="121">
        <v>4.0</v>
      </c>
      <c r="C156" s="122">
        <v>16.0</v>
      </c>
      <c r="D156" s="121">
        <v>1.0</v>
      </c>
      <c r="E156" s="126">
        <f t="shared" si="4"/>
        <v>0</v>
      </c>
      <c r="F156" s="122">
        <v>0.0</v>
      </c>
      <c r="G156" s="127">
        <f t="shared" si="2"/>
        <v>0</v>
      </c>
      <c r="H156" s="122">
        <v>0.0</v>
      </c>
      <c r="I156" s="128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20" t="s">
        <v>405</v>
      </c>
      <c r="B157" s="121">
        <v>3.0</v>
      </c>
      <c r="C157" s="122">
        <v>12.0</v>
      </c>
      <c r="D157" s="121">
        <v>0.0</v>
      </c>
      <c r="E157" s="126">
        <f t="shared" si="4"/>
        <v>0</v>
      </c>
      <c r="F157" s="122">
        <v>0.0</v>
      </c>
      <c r="G157" s="127">
        <f t="shared" si="2"/>
        <v>0</v>
      </c>
      <c r="H157" s="122">
        <v>0.0</v>
      </c>
      <c r="I157" s="128">
        <v>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0" t="s">
        <v>331</v>
      </c>
      <c r="B158" s="121">
        <v>5.0</v>
      </c>
      <c r="C158" s="122">
        <v>20.0</v>
      </c>
      <c r="D158" s="121">
        <v>0.0</v>
      </c>
      <c r="E158" s="126">
        <f t="shared" si="4"/>
        <v>0</v>
      </c>
      <c r="F158" s="122">
        <v>0.0</v>
      </c>
      <c r="G158" s="127">
        <f t="shared" si="2"/>
        <v>0</v>
      </c>
      <c r="H158" s="122">
        <v>0.0</v>
      </c>
      <c r="I158" s="128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0" t="s">
        <v>326</v>
      </c>
      <c r="B159" s="121">
        <v>5.0</v>
      </c>
      <c r="C159" s="122">
        <v>20.0</v>
      </c>
      <c r="D159" s="121">
        <v>2.0</v>
      </c>
      <c r="E159" s="126">
        <f t="shared" si="4"/>
        <v>0</v>
      </c>
      <c r="F159" s="122">
        <v>0.0</v>
      </c>
      <c r="G159" s="127">
        <f t="shared" si="2"/>
        <v>0</v>
      </c>
      <c r="H159" s="122">
        <v>0.0</v>
      </c>
      <c r="I159" s="128">
        <v>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0" t="s">
        <v>276</v>
      </c>
      <c r="B160" s="121">
        <v>5.0</v>
      </c>
      <c r="C160" s="122">
        <v>20.0</v>
      </c>
      <c r="D160" s="121">
        <v>0.0</v>
      </c>
      <c r="E160" s="126">
        <f t="shared" si="4"/>
        <v>0</v>
      </c>
      <c r="F160" s="122">
        <v>0.0</v>
      </c>
      <c r="G160" s="127">
        <f t="shared" si="2"/>
        <v>0</v>
      </c>
      <c r="H160" s="122">
        <v>0.0</v>
      </c>
      <c r="I160" s="131">
        <v>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0" t="s">
        <v>363</v>
      </c>
      <c r="B161" s="121">
        <v>5.0</v>
      </c>
      <c r="C161" s="122">
        <v>20.0</v>
      </c>
      <c r="D161" s="121">
        <v>0.0</v>
      </c>
      <c r="E161" s="126">
        <f t="shared" si="4"/>
        <v>0</v>
      </c>
      <c r="F161" s="122">
        <v>0.0</v>
      </c>
      <c r="G161" s="127">
        <f t="shared" si="2"/>
        <v>0</v>
      </c>
      <c r="H161" s="122">
        <v>0.0</v>
      </c>
      <c r="I161" s="128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0" t="s">
        <v>225</v>
      </c>
      <c r="B162" s="121">
        <v>5.0</v>
      </c>
      <c r="C162" s="122">
        <v>20.0</v>
      </c>
      <c r="D162" s="121">
        <v>0.0</v>
      </c>
      <c r="E162" s="126">
        <f t="shared" si="4"/>
        <v>0</v>
      </c>
      <c r="F162" s="122">
        <v>0.0</v>
      </c>
      <c r="G162" s="127">
        <f t="shared" si="2"/>
        <v>0</v>
      </c>
      <c r="H162" s="122">
        <v>0.0</v>
      </c>
      <c r="I162" s="128">
        <v>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0" t="s">
        <v>319</v>
      </c>
      <c r="B163" s="121">
        <v>3.0</v>
      </c>
      <c r="C163" s="122">
        <v>12.0</v>
      </c>
      <c r="D163" s="121">
        <v>0.0</v>
      </c>
      <c r="E163" s="126">
        <f t="shared" si="4"/>
        <v>0</v>
      </c>
      <c r="F163" s="122">
        <v>0.0</v>
      </c>
      <c r="G163" s="127">
        <f t="shared" si="2"/>
        <v>0</v>
      </c>
      <c r="H163" s="122">
        <v>0.0</v>
      </c>
      <c r="I163" s="128">
        <v>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0" t="s">
        <v>407</v>
      </c>
      <c r="B164" s="121">
        <v>1.0</v>
      </c>
      <c r="C164" s="122">
        <v>4.0</v>
      </c>
      <c r="D164" s="121">
        <v>1.0</v>
      </c>
      <c r="E164" s="126">
        <f t="shared" si="4"/>
        <v>0</v>
      </c>
      <c r="F164" s="122">
        <v>0.0</v>
      </c>
      <c r="G164" s="127">
        <f t="shared" si="2"/>
        <v>0</v>
      </c>
      <c r="H164" s="122">
        <v>0.0</v>
      </c>
      <c r="I164" s="131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0" t="s">
        <v>409</v>
      </c>
      <c r="B165" s="121">
        <v>1.0</v>
      </c>
      <c r="C165" s="122">
        <v>4.0</v>
      </c>
      <c r="D165" s="121">
        <v>0.0</v>
      </c>
      <c r="E165" s="126">
        <f t="shared" si="4"/>
        <v>0</v>
      </c>
      <c r="F165" s="122">
        <v>0.0</v>
      </c>
      <c r="G165" s="127">
        <f t="shared" si="2"/>
        <v>0</v>
      </c>
      <c r="H165" s="122">
        <v>0.0</v>
      </c>
      <c r="I165" s="128">
        <v>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0" t="s">
        <v>297</v>
      </c>
      <c r="B166" s="121">
        <v>3.0</v>
      </c>
      <c r="C166" s="122">
        <v>12.0</v>
      </c>
      <c r="D166" s="121">
        <v>0.0</v>
      </c>
      <c r="E166" s="126">
        <f t="shared" si="4"/>
        <v>0</v>
      </c>
      <c r="F166" s="122">
        <v>0.0</v>
      </c>
      <c r="G166" s="127">
        <f t="shared" si="2"/>
        <v>0</v>
      </c>
      <c r="H166" s="122">
        <v>0.0</v>
      </c>
      <c r="I166" s="128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0" t="s">
        <v>352</v>
      </c>
      <c r="B167" s="121">
        <v>1.0</v>
      </c>
      <c r="C167" s="122">
        <v>4.0</v>
      </c>
      <c r="D167" s="121">
        <v>0.0</v>
      </c>
      <c r="E167" s="126">
        <f t="shared" si="4"/>
        <v>0</v>
      </c>
      <c r="F167" s="122">
        <v>0.0</v>
      </c>
      <c r="G167" s="127">
        <f t="shared" si="2"/>
        <v>0</v>
      </c>
      <c r="H167" s="122">
        <v>0.0</v>
      </c>
      <c r="I167" s="128">
        <v>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0" t="s">
        <v>335</v>
      </c>
      <c r="B168" s="121">
        <v>5.0</v>
      </c>
      <c r="C168" s="122">
        <v>20.0</v>
      </c>
      <c r="D168" s="121">
        <v>0.0</v>
      </c>
      <c r="E168" s="126">
        <f t="shared" si="4"/>
        <v>0</v>
      </c>
      <c r="F168" s="122">
        <v>0.0</v>
      </c>
      <c r="G168" s="127">
        <f t="shared" si="2"/>
        <v>0</v>
      </c>
      <c r="H168" s="122">
        <v>0.0</v>
      </c>
      <c r="I168" s="128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0" t="s">
        <v>410</v>
      </c>
      <c r="B169" s="121">
        <v>1.0</v>
      </c>
      <c r="C169" s="122">
        <v>4.0</v>
      </c>
      <c r="D169" s="121">
        <v>0.0</v>
      </c>
      <c r="E169" s="126">
        <f t="shared" si="4"/>
        <v>0</v>
      </c>
      <c r="F169" s="122">
        <v>0.0</v>
      </c>
      <c r="G169" s="127">
        <f t="shared" si="2"/>
        <v>0</v>
      </c>
      <c r="H169" s="122">
        <v>0.0</v>
      </c>
      <c r="I169" s="128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0" t="s">
        <v>223</v>
      </c>
      <c r="B170" s="121">
        <v>5.0</v>
      </c>
      <c r="C170" s="122">
        <v>20.0</v>
      </c>
      <c r="D170" s="121">
        <v>1.0</v>
      </c>
      <c r="E170" s="126">
        <f t="shared" si="4"/>
        <v>0</v>
      </c>
      <c r="F170" s="122">
        <v>0.0</v>
      </c>
      <c r="G170" s="127">
        <f t="shared" si="2"/>
        <v>0</v>
      </c>
      <c r="H170" s="122">
        <v>0.0</v>
      </c>
      <c r="I170" s="128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0" t="s">
        <v>322</v>
      </c>
      <c r="B171" s="121">
        <v>5.0</v>
      </c>
      <c r="C171" s="122">
        <v>20.0</v>
      </c>
      <c r="D171" s="121">
        <v>1.0</v>
      </c>
      <c r="E171" s="126">
        <f t="shared" si="4"/>
        <v>0</v>
      </c>
      <c r="F171" s="122">
        <v>0.0</v>
      </c>
      <c r="G171" s="127">
        <f t="shared" si="2"/>
        <v>0</v>
      </c>
      <c r="H171" s="122">
        <v>0.0</v>
      </c>
      <c r="I171" s="128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0" t="s">
        <v>311</v>
      </c>
      <c r="B172" s="121">
        <v>2.0</v>
      </c>
      <c r="C172" s="122">
        <v>8.0</v>
      </c>
      <c r="D172" s="121">
        <v>3.0</v>
      </c>
      <c r="E172" s="126">
        <f t="shared" si="4"/>
        <v>0</v>
      </c>
      <c r="F172" s="122">
        <v>0.0</v>
      </c>
      <c r="G172" s="127">
        <f t="shared" si="2"/>
        <v>0</v>
      </c>
      <c r="H172" s="122">
        <v>0.0</v>
      </c>
      <c r="I172" s="128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0" t="s">
        <v>233</v>
      </c>
      <c r="B173" s="121">
        <v>5.0</v>
      </c>
      <c r="C173" s="122">
        <v>20.0</v>
      </c>
      <c r="D173" s="121">
        <v>0.0</v>
      </c>
      <c r="E173" s="126">
        <f t="shared" si="4"/>
        <v>0</v>
      </c>
      <c r="F173" s="122">
        <v>0.0</v>
      </c>
      <c r="G173" s="127">
        <f t="shared" si="2"/>
        <v>0</v>
      </c>
      <c r="H173" s="122">
        <v>0.0</v>
      </c>
      <c r="I173" s="131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0" t="s">
        <v>333</v>
      </c>
      <c r="B174" s="121">
        <v>5.0</v>
      </c>
      <c r="C174" s="122">
        <v>20.0</v>
      </c>
      <c r="D174" s="121">
        <v>1.0</v>
      </c>
      <c r="E174" s="126">
        <f t="shared" si="4"/>
        <v>0</v>
      </c>
      <c r="F174" s="122">
        <v>0.0</v>
      </c>
      <c r="G174" s="127">
        <f t="shared" si="2"/>
        <v>0</v>
      </c>
      <c r="H174" s="122">
        <v>0.0</v>
      </c>
      <c r="I174" s="131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0" t="s">
        <v>354</v>
      </c>
      <c r="B175" s="121">
        <v>2.0</v>
      </c>
      <c r="C175" s="122">
        <v>8.0</v>
      </c>
      <c r="D175" s="121">
        <v>0.0</v>
      </c>
      <c r="E175" s="126">
        <f t="shared" si="4"/>
        <v>0</v>
      </c>
      <c r="F175" s="122">
        <v>0.0</v>
      </c>
      <c r="G175" s="127">
        <f t="shared" si="2"/>
        <v>0</v>
      </c>
      <c r="H175" s="122">
        <v>0.0</v>
      </c>
      <c r="I175" s="131">
        <v>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0" t="s">
        <v>284</v>
      </c>
      <c r="B176" s="121">
        <v>4.0</v>
      </c>
      <c r="C176" s="122">
        <v>16.0</v>
      </c>
      <c r="D176" s="121">
        <v>0.0</v>
      </c>
      <c r="E176" s="126">
        <f t="shared" si="4"/>
        <v>0</v>
      </c>
      <c r="F176" s="122">
        <v>0.0</v>
      </c>
      <c r="G176" s="127">
        <f t="shared" si="2"/>
        <v>0</v>
      </c>
      <c r="H176" s="122">
        <v>0.0</v>
      </c>
      <c r="I176" s="131">
        <v>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0" t="s">
        <v>238</v>
      </c>
      <c r="B177" s="121">
        <v>5.0</v>
      </c>
      <c r="C177" s="122">
        <v>20.0</v>
      </c>
      <c r="D177" s="121">
        <v>1.0</v>
      </c>
      <c r="E177" s="126">
        <f t="shared" si="4"/>
        <v>0</v>
      </c>
      <c r="F177" s="122">
        <v>0.0</v>
      </c>
      <c r="G177" s="127">
        <f t="shared" si="2"/>
        <v>0</v>
      </c>
      <c r="H177" s="122">
        <v>0.0</v>
      </c>
      <c r="I177" s="128">
        <v>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0" t="s">
        <v>237</v>
      </c>
      <c r="B178" s="121">
        <v>5.0</v>
      </c>
      <c r="C178" s="122">
        <v>20.0</v>
      </c>
      <c r="D178" s="121">
        <v>0.0</v>
      </c>
      <c r="E178" s="126">
        <f t="shared" si="4"/>
        <v>0</v>
      </c>
      <c r="F178" s="122">
        <v>0.0</v>
      </c>
      <c r="G178" s="127">
        <f t="shared" si="2"/>
        <v>0</v>
      </c>
      <c r="H178" s="122">
        <v>0.0</v>
      </c>
      <c r="I178" s="128">
        <v>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0" t="s">
        <v>386</v>
      </c>
      <c r="B179" s="121">
        <v>1.0</v>
      </c>
      <c r="C179" s="122">
        <v>4.0</v>
      </c>
      <c r="D179" s="121">
        <v>0.0</v>
      </c>
      <c r="E179" s="126">
        <f t="shared" si="4"/>
        <v>0</v>
      </c>
      <c r="F179" s="122">
        <v>0.0</v>
      </c>
      <c r="G179" s="127">
        <f t="shared" si="2"/>
        <v>0</v>
      </c>
      <c r="H179" s="122">
        <v>0.0</v>
      </c>
      <c r="I179" s="128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0" t="s">
        <v>300</v>
      </c>
      <c r="B180" s="121">
        <v>5.0</v>
      </c>
      <c r="C180" s="122">
        <v>20.0</v>
      </c>
      <c r="D180" s="121">
        <v>0.0</v>
      </c>
      <c r="E180" s="126">
        <f t="shared" si="4"/>
        <v>0</v>
      </c>
      <c r="F180" s="122">
        <v>0.0</v>
      </c>
      <c r="G180" s="127">
        <f t="shared" si="2"/>
        <v>0</v>
      </c>
      <c r="H180" s="122">
        <v>0.0</v>
      </c>
      <c r="I180" s="128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0" t="s">
        <v>292</v>
      </c>
      <c r="B181" s="121">
        <v>4.0</v>
      </c>
      <c r="C181" s="122">
        <v>16.0</v>
      </c>
      <c r="D181" s="121">
        <v>1.0</v>
      </c>
      <c r="E181" s="126">
        <f t="shared" si="4"/>
        <v>0</v>
      </c>
      <c r="F181" s="122">
        <v>0.0</v>
      </c>
      <c r="G181" s="127">
        <f t="shared" si="2"/>
        <v>0</v>
      </c>
      <c r="H181" s="122">
        <v>0.0</v>
      </c>
      <c r="I181" s="128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0" t="s">
        <v>327</v>
      </c>
      <c r="B182" s="121">
        <v>3.0</v>
      </c>
      <c r="C182" s="122">
        <v>12.0</v>
      </c>
      <c r="D182" s="121">
        <v>0.0</v>
      </c>
      <c r="E182" s="126">
        <f t="shared" si="4"/>
        <v>0</v>
      </c>
      <c r="F182" s="122">
        <v>0.0</v>
      </c>
      <c r="G182" s="127">
        <f t="shared" si="2"/>
        <v>0</v>
      </c>
      <c r="H182" s="122">
        <v>0.0</v>
      </c>
      <c r="I182" s="131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0" t="s">
        <v>388</v>
      </c>
      <c r="B183" s="121">
        <v>5.0</v>
      </c>
      <c r="C183" s="122">
        <v>20.0</v>
      </c>
      <c r="D183" s="121">
        <v>0.0</v>
      </c>
      <c r="E183" s="126">
        <f t="shared" si="4"/>
        <v>0</v>
      </c>
      <c r="F183" s="122">
        <v>0.0</v>
      </c>
      <c r="G183" s="127">
        <f t="shared" si="2"/>
        <v>0</v>
      </c>
      <c r="H183" s="122">
        <v>0.0</v>
      </c>
      <c r="I183" s="128">
        <v>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0" t="s">
        <v>411</v>
      </c>
      <c r="B184" s="121">
        <v>1.0</v>
      </c>
      <c r="C184" s="122">
        <v>4.0</v>
      </c>
      <c r="D184" s="121">
        <v>0.0</v>
      </c>
      <c r="E184" s="126">
        <f t="shared" si="4"/>
        <v>0</v>
      </c>
      <c r="F184" s="122">
        <v>0.0</v>
      </c>
      <c r="G184" s="127">
        <f t="shared" si="2"/>
        <v>0</v>
      </c>
      <c r="H184" s="122">
        <v>0.0</v>
      </c>
      <c r="I184" s="128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0" t="s">
        <v>412</v>
      </c>
      <c r="B185" s="121">
        <v>1.0</v>
      </c>
      <c r="C185" s="122">
        <v>4.0</v>
      </c>
      <c r="D185" s="121">
        <v>0.0</v>
      </c>
      <c r="E185" s="126">
        <f t="shared" si="4"/>
        <v>0</v>
      </c>
      <c r="F185" s="122">
        <v>0.0</v>
      </c>
      <c r="G185" s="127">
        <f t="shared" si="2"/>
        <v>0</v>
      </c>
      <c r="H185" s="122">
        <v>0.0</v>
      </c>
      <c r="I185" s="128">
        <v>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0" t="s">
        <v>321</v>
      </c>
      <c r="B186" s="121">
        <v>2.0</v>
      </c>
      <c r="C186" s="122">
        <v>8.0</v>
      </c>
      <c r="D186" s="121">
        <v>0.0</v>
      </c>
      <c r="E186" s="126">
        <f t="shared" si="4"/>
        <v>0</v>
      </c>
      <c r="F186" s="122">
        <v>0.0</v>
      </c>
      <c r="G186" s="127">
        <f t="shared" si="2"/>
        <v>0</v>
      </c>
      <c r="H186" s="122">
        <v>0.0</v>
      </c>
      <c r="I186" s="128">
        <v>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0" t="s">
        <v>390</v>
      </c>
      <c r="B187" s="121">
        <v>2.0</v>
      </c>
      <c r="C187" s="122">
        <v>8.0</v>
      </c>
      <c r="D187" s="121">
        <v>0.0</v>
      </c>
      <c r="E187" s="126">
        <f t="shared" si="4"/>
        <v>0</v>
      </c>
      <c r="F187" s="122">
        <v>0.0</v>
      </c>
      <c r="G187" s="127">
        <f t="shared" si="2"/>
        <v>0</v>
      </c>
      <c r="H187" s="122">
        <v>0.0</v>
      </c>
      <c r="I187" s="128">
        <v>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0" t="s">
        <v>285</v>
      </c>
      <c r="B188" s="121">
        <v>5.0</v>
      </c>
      <c r="C188" s="122">
        <v>20.0</v>
      </c>
      <c r="D188" s="121">
        <v>1.0</v>
      </c>
      <c r="E188" s="126">
        <f t="shared" si="4"/>
        <v>0</v>
      </c>
      <c r="F188" s="122">
        <v>0.0</v>
      </c>
      <c r="G188" s="127">
        <f t="shared" si="2"/>
        <v>0</v>
      </c>
      <c r="H188" s="122">
        <v>0.0</v>
      </c>
      <c r="I188" s="128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0" t="s">
        <v>334</v>
      </c>
      <c r="B189" s="121">
        <v>2.0</v>
      </c>
      <c r="C189" s="122">
        <v>8.0</v>
      </c>
      <c r="D189" s="121">
        <v>1.0</v>
      </c>
      <c r="E189" s="126">
        <f t="shared" si="4"/>
        <v>0</v>
      </c>
      <c r="F189" s="122">
        <v>0.0</v>
      </c>
      <c r="G189" s="127">
        <f t="shared" si="2"/>
        <v>0</v>
      </c>
      <c r="H189" s="122">
        <v>0.0</v>
      </c>
      <c r="I189" s="128">
        <v>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0" t="s">
        <v>413</v>
      </c>
      <c r="B190" s="121">
        <v>1.0</v>
      </c>
      <c r="C190" s="122">
        <v>4.0</v>
      </c>
      <c r="D190" s="121">
        <v>0.0</v>
      </c>
      <c r="E190" s="126">
        <f t="shared" si="4"/>
        <v>0</v>
      </c>
      <c r="F190" s="122">
        <v>0.0</v>
      </c>
      <c r="G190" s="127">
        <f t="shared" si="2"/>
        <v>0</v>
      </c>
      <c r="H190" s="122">
        <v>0.0</v>
      </c>
      <c r="I190" s="128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0" t="s">
        <v>370</v>
      </c>
      <c r="B191" s="121">
        <v>3.0</v>
      </c>
      <c r="C191" s="122">
        <v>12.0</v>
      </c>
      <c r="D191" s="121">
        <v>0.0</v>
      </c>
      <c r="E191" s="126">
        <f t="shared" si="4"/>
        <v>0</v>
      </c>
      <c r="F191" s="122">
        <v>0.0</v>
      </c>
      <c r="G191" s="127">
        <f t="shared" si="2"/>
        <v>0</v>
      </c>
      <c r="H191" s="122">
        <v>0.0</v>
      </c>
      <c r="I191" s="128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0" t="s">
        <v>416</v>
      </c>
      <c r="B192" s="121">
        <v>1.0</v>
      </c>
      <c r="C192" s="122">
        <v>4.0</v>
      </c>
      <c r="D192" s="121">
        <v>0.0</v>
      </c>
      <c r="E192" s="126">
        <f t="shared" si="4"/>
        <v>0</v>
      </c>
      <c r="F192" s="122">
        <v>0.0</v>
      </c>
      <c r="G192" s="127">
        <f t="shared" si="2"/>
        <v>0</v>
      </c>
      <c r="H192" s="122">
        <v>0.0</v>
      </c>
      <c r="I192" s="128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0" t="s">
        <v>336</v>
      </c>
      <c r="B193" s="121">
        <v>4.0</v>
      </c>
      <c r="C193" s="122">
        <v>16.0</v>
      </c>
      <c r="D193" s="121">
        <v>0.0</v>
      </c>
      <c r="E193" s="126">
        <f t="shared" si="4"/>
        <v>0</v>
      </c>
      <c r="F193" s="122">
        <v>0.0</v>
      </c>
      <c r="G193" s="127">
        <f t="shared" si="2"/>
        <v>0</v>
      </c>
      <c r="H193" s="122">
        <v>0.0</v>
      </c>
      <c r="I193" s="128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0" t="s">
        <v>338</v>
      </c>
      <c r="B194" s="121">
        <v>1.0</v>
      </c>
      <c r="C194" s="122">
        <v>5.0</v>
      </c>
      <c r="D194" s="121">
        <v>1.0</v>
      </c>
      <c r="E194" s="126">
        <f t="shared" si="4"/>
        <v>0</v>
      </c>
      <c r="F194" s="122">
        <v>0.0</v>
      </c>
      <c r="G194" s="127">
        <f t="shared" si="2"/>
        <v>0</v>
      </c>
      <c r="H194" s="122">
        <v>0.0</v>
      </c>
      <c r="I194" s="128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0" t="s">
        <v>350</v>
      </c>
      <c r="B195" s="121">
        <v>5.0</v>
      </c>
      <c r="C195" s="122">
        <v>20.0</v>
      </c>
      <c r="D195" s="121">
        <v>0.0</v>
      </c>
      <c r="E195" s="126">
        <f t="shared" si="4"/>
        <v>0</v>
      </c>
      <c r="F195" s="122">
        <v>0.0</v>
      </c>
      <c r="G195" s="127">
        <f t="shared" si="2"/>
        <v>0</v>
      </c>
      <c r="H195" s="122">
        <v>0.0</v>
      </c>
      <c r="I195" s="131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0" t="s">
        <v>417</v>
      </c>
      <c r="B196" s="121">
        <v>1.0</v>
      </c>
      <c r="C196" s="122">
        <v>4.0</v>
      </c>
      <c r="D196" s="121">
        <v>0.0</v>
      </c>
      <c r="E196" s="126">
        <f t="shared" si="4"/>
        <v>0</v>
      </c>
      <c r="F196" s="122">
        <v>0.0</v>
      </c>
      <c r="G196" s="127">
        <f t="shared" si="2"/>
        <v>0</v>
      </c>
      <c r="H196" s="122">
        <v>0.0</v>
      </c>
      <c r="I196" s="128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0" t="s">
        <v>339</v>
      </c>
      <c r="B197" s="121">
        <v>1.0</v>
      </c>
      <c r="C197" s="122">
        <v>4.0</v>
      </c>
      <c r="D197" s="121">
        <v>0.0</v>
      </c>
      <c r="E197" s="126">
        <f t="shared" si="4"/>
        <v>0</v>
      </c>
      <c r="F197" s="122">
        <v>0.0</v>
      </c>
      <c r="G197" s="127">
        <f t="shared" si="2"/>
        <v>0</v>
      </c>
      <c r="H197" s="122">
        <v>0.0</v>
      </c>
      <c r="I197" s="128">
        <v>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0" t="s">
        <v>295</v>
      </c>
      <c r="B198" s="121">
        <v>3.0</v>
      </c>
      <c r="C198" s="122">
        <v>12.0</v>
      </c>
      <c r="D198" s="121">
        <v>0.0</v>
      </c>
      <c r="E198" s="126">
        <f t="shared" si="4"/>
        <v>0</v>
      </c>
      <c r="F198" s="122">
        <v>0.0</v>
      </c>
      <c r="G198" s="127">
        <f t="shared" si="2"/>
        <v>0</v>
      </c>
      <c r="H198" s="122">
        <v>0.0</v>
      </c>
      <c r="I198" s="128">
        <v>0.0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0" t="s">
        <v>419</v>
      </c>
      <c r="B199" s="121">
        <v>1.0</v>
      </c>
      <c r="C199" s="122">
        <v>4.0</v>
      </c>
      <c r="D199" s="121">
        <v>0.0</v>
      </c>
      <c r="E199" s="126">
        <f t="shared" si="4"/>
        <v>0</v>
      </c>
      <c r="F199" s="122">
        <v>0.0</v>
      </c>
      <c r="G199" s="127">
        <f t="shared" si="2"/>
        <v>0</v>
      </c>
      <c r="H199" s="122">
        <v>0.0</v>
      </c>
      <c r="I199" s="128">
        <v>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0" t="s">
        <v>420</v>
      </c>
      <c r="B200" s="121">
        <v>1.0</v>
      </c>
      <c r="C200" s="122">
        <v>4.0</v>
      </c>
      <c r="D200" s="121">
        <v>0.0</v>
      </c>
      <c r="E200" s="126">
        <f t="shared" si="4"/>
        <v>0</v>
      </c>
      <c r="F200" s="122">
        <v>0.0</v>
      </c>
      <c r="G200" s="127">
        <f t="shared" si="2"/>
        <v>0</v>
      </c>
      <c r="H200" s="122">
        <v>0.0</v>
      </c>
      <c r="I200" s="128">
        <v>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0" t="s">
        <v>414</v>
      </c>
      <c r="B201" s="121">
        <v>3.0</v>
      </c>
      <c r="C201" s="122">
        <v>12.0</v>
      </c>
      <c r="D201" s="121">
        <v>1.0</v>
      </c>
      <c r="E201" s="126">
        <f t="shared" si="4"/>
        <v>-3.99</v>
      </c>
      <c r="F201" s="122">
        <v>-1.33</v>
      </c>
      <c r="G201" s="127">
        <f t="shared" si="2"/>
        <v>0.99</v>
      </c>
      <c r="H201" s="122">
        <v>0.33</v>
      </c>
      <c r="I201" s="128">
        <v>0.0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0" t="s">
        <v>340</v>
      </c>
      <c r="B202" s="121">
        <v>2.0</v>
      </c>
      <c r="C202" s="122">
        <v>8.0</v>
      </c>
      <c r="D202" s="121">
        <v>1.0</v>
      </c>
      <c r="E202" s="126">
        <f t="shared" si="4"/>
        <v>-4</v>
      </c>
      <c r="F202" s="122">
        <v>-2.0</v>
      </c>
      <c r="G202" s="127">
        <f t="shared" si="2"/>
        <v>1</v>
      </c>
      <c r="H202" s="122">
        <v>0.5</v>
      </c>
      <c r="I202" s="128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0" t="s">
        <v>308</v>
      </c>
      <c r="B203" s="121">
        <v>4.0</v>
      </c>
      <c r="C203" s="122">
        <v>16.0</v>
      </c>
      <c r="D203" s="121">
        <v>1.0</v>
      </c>
      <c r="E203" s="126">
        <f t="shared" si="4"/>
        <v>-4</v>
      </c>
      <c r="F203" s="122">
        <v>-1.0</v>
      </c>
      <c r="G203" s="127">
        <f t="shared" si="2"/>
        <v>1</v>
      </c>
      <c r="H203" s="122">
        <v>0.25</v>
      </c>
      <c r="I203" s="128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0" t="s">
        <v>304</v>
      </c>
      <c r="B204" s="121">
        <v>4.0</v>
      </c>
      <c r="C204" s="122">
        <v>16.0</v>
      </c>
      <c r="D204" s="121">
        <v>2.0</v>
      </c>
      <c r="E204" s="126">
        <f t="shared" si="4"/>
        <v>-4</v>
      </c>
      <c r="F204" s="122">
        <v>-1.0</v>
      </c>
      <c r="G204" s="127">
        <f t="shared" si="2"/>
        <v>1</v>
      </c>
      <c r="H204" s="122">
        <v>0.25</v>
      </c>
      <c r="I204" s="128">
        <v>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0" t="s">
        <v>239</v>
      </c>
      <c r="B205" s="121">
        <v>5.0</v>
      </c>
      <c r="C205" s="122">
        <v>20.0</v>
      </c>
      <c r="D205" s="121">
        <v>1.0</v>
      </c>
      <c r="E205" s="126">
        <f t="shared" si="4"/>
        <v>-4</v>
      </c>
      <c r="F205" s="122">
        <v>-0.8</v>
      </c>
      <c r="G205" s="127">
        <f t="shared" si="2"/>
        <v>1</v>
      </c>
      <c r="H205" s="122">
        <v>0.2</v>
      </c>
      <c r="I205" s="131">
        <v>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13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13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13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13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13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13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13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13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13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13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13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13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13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13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13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13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13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13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13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13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13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13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13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13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13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13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13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13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13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13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13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13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13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13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13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13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13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13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13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13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13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13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13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13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13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13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13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13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13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13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13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13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13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13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13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13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13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13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13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13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13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13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13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13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13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13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13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13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13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13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13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13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13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13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13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13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13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13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13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13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13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13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13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13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13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13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13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13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13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13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13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13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13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13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13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13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13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13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13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13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13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13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13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13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13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13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13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13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13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13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13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13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13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13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13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13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13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13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13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13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13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13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13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13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13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13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13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13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13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13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13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13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13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13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13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13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13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13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13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13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13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13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13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13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13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13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13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13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13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13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13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13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13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13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13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13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13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13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13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13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13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13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13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13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13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13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13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13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13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13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13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13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13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13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13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13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13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13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13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13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13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13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13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13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13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13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13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13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13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13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13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13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13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13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13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13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13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13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13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13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13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13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13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13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13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13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13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13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13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13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13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13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13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13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13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13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13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13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13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13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13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13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13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13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13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13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13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13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13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13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13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13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13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13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13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13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13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13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13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13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13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13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13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13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137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137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137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137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137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137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137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137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137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137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137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137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137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137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137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137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137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137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137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137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137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137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137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137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137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137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137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137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137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137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137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137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137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137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137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137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137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137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137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137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137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137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137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137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137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137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137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137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137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137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137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137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137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137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137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137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137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137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137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137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137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137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137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137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137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137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137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137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137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137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137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137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137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137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137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137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137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137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137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137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137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137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137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137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137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137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137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137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137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137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137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137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137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137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137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137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137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137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137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137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137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137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137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137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137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137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137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137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137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137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137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137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137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137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137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137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137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137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137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137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137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137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137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137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137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137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137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137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137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137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137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137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137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137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137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137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137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137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137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137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137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137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137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137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137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137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137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137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137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137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137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137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137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137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137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137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137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137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137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137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137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137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137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137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137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137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137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137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137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137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137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137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137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137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137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137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137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137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137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137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137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137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137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137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137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137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137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137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137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137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137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137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137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137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137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137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137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137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137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137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137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137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137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137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137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137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137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137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137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137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137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137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137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137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137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137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137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137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137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137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137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137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137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137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137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137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137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137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137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137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137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137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137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137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137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137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137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137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137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137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137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137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137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137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137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137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137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137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137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137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137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137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137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137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137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137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137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137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137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137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137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137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137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137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137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137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137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137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137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137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137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137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137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137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137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137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137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137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137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137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137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137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137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137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137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137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137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137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137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137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137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137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137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137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137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137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137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137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137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137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137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137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137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137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137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137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137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137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137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137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137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137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137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137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137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137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137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137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137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137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137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137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137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137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137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137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137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137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137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137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137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137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137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137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137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137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137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137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137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137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137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137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137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137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137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137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137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137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137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137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137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137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137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137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137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137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137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137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137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137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137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137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137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137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137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137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137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137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137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137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137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137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137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137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137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137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137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137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137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137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137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137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137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137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137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137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137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137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137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137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137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137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137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137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137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137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137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137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137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137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137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137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137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137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137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137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137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137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137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137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137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137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137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137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137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137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137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137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137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137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137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137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137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137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137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137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137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137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137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137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137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137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137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137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137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137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137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137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137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137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137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137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137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137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137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137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137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137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137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137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137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137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137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137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137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137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137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137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137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137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137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137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137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137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137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137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137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137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137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137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137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137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137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137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137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137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137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137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137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137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137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137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137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137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137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137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137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137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137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137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137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137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137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137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137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137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137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137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137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137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137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137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137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137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137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137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137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137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137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137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137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137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137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137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137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137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137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137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137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137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137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137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137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137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137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137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137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137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137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137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137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137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137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137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137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137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137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137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137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137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137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137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137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137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137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137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137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137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137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137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5"/>
    <col customWidth="1" min="3" max="3" width="14.75"/>
  </cols>
  <sheetData>
    <row r="1">
      <c r="A1" s="106" t="s">
        <v>189</v>
      </c>
      <c r="B1" s="109" t="s">
        <v>191</v>
      </c>
      <c r="C1" s="110" t="s">
        <v>193</v>
      </c>
      <c r="D1" s="109" t="s">
        <v>194</v>
      </c>
      <c r="E1" s="113" t="s">
        <v>195</v>
      </c>
      <c r="F1" s="110" t="s">
        <v>196</v>
      </c>
      <c r="G1" s="116" t="s">
        <v>197</v>
      </c>
      <c r="H1" s="110" t="s">
        <v>198</v>
      </c>
      <c r="I1" s="109" t="s">
        <v>200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4"/>
    </row>
    <row r="2">
      <c r="A2" s="120" t="s">
        <v>257</v>
      </c>
      <c r="B2" s="121">
        <v>5.0</v>
      </c>
      <c r="C2" s="122">
        <v>20.0</v>
      </c>
      <c r="D2" s="121">
        <v>16.0</v>
      </c>
      <c r="E2" s="126">
        <f t="shared" ref="E2:E14" si="1">F2/4*C2</f>
        <v>52</v>
      </c>
      <c r="F2" s="122">
        <v>10.4</v>
      </c>
      <c r="G2" s="127">
        <f t="shared" ref="G2:G205" si="2">H2/4*C2</f>
        <v>0</v>
      </c>
      <c r="H2" s="122">
        <v>0.0</v>
      </c>
      <c r="I2" s="131">
        <v>0.813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20" t="s">
        <v>244</v>
      </c>
      <c r="B3" s="121">
        <v>5.0</v>
      </c>
      <c r="C3" s="122">
        <v>20.0</v>
      </c>
      <c r="D3" s="121">
        <v>18.0</v>
      </c>
      <c r="E3" s="126">
        <f t="shared" si="1"/>
        <v>48</v>
      </c>
      <c r="F3" s="122">
        <v>9.6</v>
      </c>
      <c r="G3" s="127">
        <f t="shared" si="2"/>
        <v>2</v>
      </c>
      <c r="H3" s="122">
        <v>0.4</v>
      </c>
      <c r="I3" s="128">
        <v>0.778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0" t="s">
        <v>335</v>
      </c>
      <c r="B4" s="121">
        <v>5.0</v>
      </c>
      <c r="C4" s="122">
        <v>20.0</v>
      </c>
      <c r="D4" s="121">
        <v>12.0</v>
      </c>
      <c r="E4" s="126">
        <f t="shared" si="1"/>
        <v>44</v>
      </c>
      <c r="F4" s="122">
        <v>8.8</v>
      </c>
      <c r="G4" s="127">
        <f t="shared" si="2"/>
        <v>0</v>
      </c>
      <c r="H4" s="122">
        <v>0.0</v>
      </c>
      <c r="I4" s="128">
        <v>0.917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0" t="s">
        <v>268</v>
      </c>
      <c r="B5" s="121">
        <v>5.0</v>
      </c>
      <c r="C5" s="122">
        <v>20.0</v>
      </c>
      <c r="D5" s="121">
        <v>12.0</v>
      </c>
      <c r="E5" s="126">
        <f t="shared" si="1"/>
        <v>40</v>
      </c>
      <c r="F5" s="122">
        <v>8.0</v>
      </c>
      <c r="G5" s="127">
        <f t="shared" si="2"/>
        <v>0</v>
      </c>
      <c r="H5" s="122">
        <v>0.0</v>
      </c>
      <c r="I5" s="128">
        <v>0.833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0" t="s">
        <v>246</v>
      </c>
      <c r="B6" s="121">
        <v>5.0</v>
      </c>
      <c r="C6" s="122">
        <v>20.0</v>
      </c>
      <c r="D6" s="121">
        <v>14.0</v>
      </c>
      <c r="E6" s="126">
        <f t="shared" si="1"/>
        <v>40</v>
      </c>
      <c r="F6" s="122">
        <v>8.0</v>
      </c>
      <c r="G6" s="127">
        <f t="shared" si="2"/>
        <v>1</v>
      </c>
      <c r="H6" s="122">
        <v>0.2</v>
      </c>
      <c r="I6" s="128">
        <v>0.786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0" t="s">
        <v>300</v>
      </c>
      <c r="B7" s="121">
        <v>5.0</v>
      </c>
      <c r="C7" s="122">
        <v>20.0</v>
      </c>
      <c r="D7" s="121">
        <v>11.0</v>
      </c>
      <c r="E7" s="126">
        <f t="shared" si="1"/>
        <v>36</v>
      </c>
      <c r="F7" s="122">
        <v>7.2</v>
      </c>
      <c r="G7" s="127">
        <f t="shared" si="2"/>
        <v>1</v>
      </c>
      <c r="H7" s="122">
        <v>0.2</v>
      </c>
      <c r="I7" s="128">
        <v>0.909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0" t="s">
        <v>388</v>
      </c>
      <c r="B8" s="121">
        <v>5.0</v>
      </c>
      <c r="C8" s="122">
        <v>20.0</v>
      </c>
      <c r="D8" s="121">
        <v>10.0</v>
      </c>
      <c r="E8" s="126">
        <f t="shared" si="1"/>
        <v>36</v>
      </c>
      <c r="F8" s="122">
        <v>7.2</v>
      </c>
      <c r="G8" s="127">
        <f t="shared" si="2"/>
        <v>0</v>
      </c>
      <c r="H8" s="122">
        <v>0.0</v>
      </c>
      <c r="I8" s="128">
        <v>0.9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0" t="s">
        <v>230</v>
      </c>
      <c r="B9" s="121">
        <v>5.0</v>
      </c>
      <c r="C9" s="122">
        <v>20.0</v>
      </c>
      <c r="D9" s="121">
        <v>15.0</v>
      </c>
      <c r="E9" s="126">
        <f t="shared" si="1"/>
        <v>36</v>
      </c>
      <c r="F9" s="122">
        <v>7.2</v>
      </c>
      <c r="G9" s="127">
        <f t="shared" si="2"/>
        <v>2</v>
      </c>
      <c r="H9" s="122">
        <v>0.4</v>
      </c>
      <c r="I9" s="128">
        <v>0.733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0" t="s">
        <v>331</v>
      </c>
      <c r="B10" s="121">
        <v>5.0</v>
      </c>
      <c r="C10" s="122">
        <v>20.0</v>
      </c>
      <c r="D10" s="121">
        <v>14.0</v>
      </c>
      <c r="E10" s="126">
        <f t="shared" si="1"/>
        <v>36</v>
      </c>
      <c r="F10" s="122">
        <v>7.2</v>
      </c>
      <c r="G10" s="127">
        <f t="shared" si="2"/>
        <v>1</v>
      </c>
      <c r="H10" s="122">
        <v>0.2</v>
      </c>
      <c r="I10" s="128">
        <v>0.714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0" t="s">
        <v>363</v>
      </c>
      <c r="B11" s="121">
        <v>5.0</v>
      </c>
      <c r="C11" s="122">
        <v>20.0</v>
      </c>
      <c r="D11" s="121">
        <v>10.0</v>
      </c>
      <c r="E11" s="126">
        <f t="shared" si="1"/>
        <v>32</v>
      </c>
      <c r="F11" s="122">
        <v>6.4</v>
      </c>
      <c r="G11" s="127">
        <f t="shared" si="2"/>
        <v>0</v>
      </c>
      <c r="H11" s="122">
        <v>0.0</v>
      </c>
      <c r="I11" s="131">
        <v>0.8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0" t="s">
        <v>285</v>
      </c>
      <c r="B12" s="121">
        <v>5.0</v>
      </c>
      <c r="C12" s="122">
        <v>20.0</v>
      </c>
      <c r="D12" s="121">
        <v>8.0</v>
      </c>
      <c r="E12" s="126">
        <f t="shared" si="1"/>
        <v>28</v>
      </c>
      <c r="F12" s="122">
        <v>5.6</v>
      </c>
      <c r="G12" s="127">
        <f t="shared" si="2"/>
        <v>0</v>
      </c>
      <c r="H12" s="122">
        <v>0.0</v>
      </c>
      <c r="I12" s="128">
        <v>0.875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0" t="s">
        <v>309</v>
      </c>
      <c r="B13" s="121">
        <v>5.0</v>
      </c>
      <c r="C13" s="122">
        <v>20.0</v>
      </c>
      <c r="D13" s="121">
        <v>10.0</v>
      </c>
      <c r="E13" s="126">
        <f t="shared" si="1"/>
        <v>28</v>
      </c>
      <c r="F13" s="122">
        <v>5.6</v>
      </c>
      <c r="G13" s="127">
        <f t="shared" si="2"/>
        <v>1</v>
      </c>
      <c r="H13" s="122">
        <v>0.2</v>
      </c>
      <c r="I13" s="128">
        <v>0.8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0" t="s">
        <v>325</v>
      </c>
      <c r="B14" s="121">
        <v>5.0</v>
      </c>
      <c r="C14" s="122">
        <v>20.0</v>
      </c>
      <c r="D14" s="121">
        <v>10.0</v>
      </c>
      <c r="E14" s="126">
        <f t="shared" si="1"/>
        <v>28</v>
      </c>
      <c r="F14" s="122">
        <v>5.6</v>
      </c>
      <c r="G14" s="127">
        <f t="shared" si="2"/>
        <v>0</v>
      </c>
      <c r="H14" s="122">
        <v>0.0</v>
      </c>
      <c r="I14" s="128">
        <v>0.7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0" t="s">
        <v>262</v>
      </c>
      <c r="B15" s="121">
        <v>5.0</v>
      </c>
      <c r="C15" s="122">
        <f>B15*4</f>
        <v>20</v>
      </c>
      <c r="D15" s="121">
        <v>10.0</v>
      </c>
      <c r="E15" s="126">
        <v>28.0</v>
      </c>
      <c r="F15" s="122">
        <f>E15/C15*4</f>
        <v>5.6</v>
      </c>
      <c r="G15" s="127">
        <f t="shared" si="2"/>
        <v>0</v>
      </c>
      <c r="H15" s="122">
        <v>0.0</v>
      </c>
      <c r="I15" s="128">
        <f>7/10</f>
        <v>0.7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0" t="s">
        <v>403</v>
      </c>
      <c r="B16" s="121">
        <v>5.0</v>
      </c>
      <c r="C16" s="122">
        <v>20.0</v>
      </c>
      <c r="D16" s="121">
        <v>6.0</v>
      </c>
      <c r="E16" s="126">
        <f t="shared" ref="E16:E72" si="3">F16/4*C16</f>
        <v>24</v>
      </c>
      <c r="F16" s="122">
        <v>4.8</v>
      </c>
      <c r="G16" s="127">
        <f t="shared" si="2"/>
        <v>0</v>
      </c>
      <c r="H16" s="122">
        <v>0.0</v>
      </c>
      <c r="I16" s="128">
        <v>1.0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0" t="s">
        <v>231</v>
      </c>
      <c r="B17" s="121">
        <v>5.0</v>
      </c>
      <c r="C17" s="122">
        <v>20.0</v>
      </c>
      <c r="D17" s="121">
        <v>7.0</v>
      </c>
      <c r="E17" s="126">
        <f t="shared" si="3"/>
        <v>24</v>
      </c>
      <c r="F17" s="122">
        <v>4.8</v>
      </c>
      <c r="G17" s="127">
        <f t="shared" si="2"/>
        <v>0</v>
      </c>
      <c r="H17" s="122">
        <v>0.0</v>
      </c>
      <c r="I17" s="128">
        <v>0.857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0" t="s">
        <v>282</v>
      </c>
      <c r="B18" s="121">
        <v>4.0</v>
      </c>
      <c r="C18" s="122">
        <v>16.0</v>
      </c>
      <c r="D18" s="121">
        <v>9.0</v>
      </c>
      <c r="E18" s="126">
        <f t="shared" si="3"/>
        <v>24</v>
      </c>
      <c r="F18" s="122">
        <v>6.0</v>
      </c>
      <c r="G18" s="127">
        <f t="shared" si="2"/>
        <v>1</v>
      </c>
      <c r="H18" s="122">
        <v>0.25</v>
      </c>
      <c r="I18" s="128">
        <v>0.778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0" t="s">
        <v>341</v>
      </c>
      <c r="B19" s="121">
        <v>5.0</v>
      </c>
      <c r="C19" s="122">
        <v>20.0</v>
      </c>
      <c r="D19" s="121">
        <v>8.0</v>
      </c>
      <c r="E19" s="126">
        <f t="shared" si="3"/>
        <v>24</v>
      </c>
      <c r="F19" s="122">
        <v>4.8</v>
      </c>
      <c r="G19" s="127">
        <f t="shared" si="2"/>
        <v>0</v>
      </c>
      <c r="H19" s="122">
        <v>0.0</v>
      </c>
      <c r="I19" s="128">
        <v>0.75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0" t="s">
        <v>259</v>
      </c>
      <c r="B20" s="121">
        <v>5.0</v>
      </c>
      <c r="C20" s="122">
        <v>20.0</v>
      </c>
      <c r="D20" s="121">
        <v>9.0</v>
      </c>
      <c r="E20" s="126">
        <f t="shared" si="3"/>
        <v>24</v>
      </c>
      <c r="F20" s="122">
        <v>4.8</v>
      </c>
      <c r="G20" s="127">
        <f t="shared" si="2"/>
        <v>0</v>
      </c>
      <c r="H20" s="122">
        <v>0.0</v>
      </c>
      <c r="I20" s="128">
        <v>0.667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0" t="s">
        <v>266</v>
      </c>
      <c r="B21" s="121">
        <v>5.0</v>
      </c>
      <c r="C21" s="122">
        <v>20.0</v>
      </c>
      <c r="D21" s="121">
        <v>13.0</v>
      </c>
      <c r="E21" s="126">
        <f t="shared" si="3"/>
        <v>24</v>
      </c>
      <c r="F21" s="122">
        <v>4.8</v>
      </c>
      <c r="G21" s="127">
        <f t="shared" si="2"/>
        <v>2</v>
      </c>
      <c r="H21" s="122">
        <v>0.4</v>
      </c>
      <c r="I21" s="128">
        <v>0.615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0" t="s">
        <v>322</v>
      </c>
      <c r="B22" s="121">
        <v>5.0</v>
      </c>
      <c r="C22" s="122">
        <v>20.0</v>
      </c>
      <c r="D22" s="121">
        <v>7.0</v>
      </c>
      <c r="E22" s="126">
        <f t="shared" si="3"/>
        <v>20</v>
      </c>
      <c r="F22" s="122">
        <v>4.0</v>
      </c>
      <c r="G22" s="127">
        <f t="shared" si="2"/>
        <v>0</v>
      </c>
      <c r="H22" s="122">
        <v>0.0</v>
      </c>
      <c r="I22" s="128">
        <v>0.714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0" t="s">
        <v>227</v>
      </c>
      <c r="B23" s="121">
        <v>5.0</v>
      </c>
      <c r="C23" s="122">
        <v>20.0</v>
      </c>
      <c r="D23" s="121">
        <v>8.0</v>
      </c>
      <c r="E23" s="126">
        <f t="shared" si="3"/>
        <v>20</v>
      </c>
      <c r="F23" s="122">
        <v>4.0</v>
      </c>
      <c r="G23" s="127">
        <f t="shared" si="2"/>
        <v>0</v>
      </c>
      <c r="H23" s="122">
        <v>0.0</v>
      </c>
      <c r="I23" s="128">
        <v>0.625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0" t="s">
        <v>359</v>
      </c>
      <c r="B24" s="121">
        <v>5.0</v>
      </c>
      <c r="C24" s="122">
        <v>20.0</v>
      </c>
      <c r="D24" s="121">
        <v>12.0</v>
      </c>
      <c r="E24" s="126">
        <f t="shared" si="3"/>
        <v>20</v>
      </c>
      <c r="F24" s="122">
        <v>4.0</v>
      </c>
      <c r="G24" s="127">
        <f t="shared" si="2"/>
        <v>1</v>
      </c>
      <c r="H24" s="122">
        <v>0.2</v>
      </c>
      <c r="I24" s="128">
        <v>0.5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0" t="s">
        <v>316</v>
      </c>
      <c r="B25" s="121">
        <v>5.0</v>
      </c>
      <c r="C25" s="122">
        <v>20.0</v>
      </c>
      <c r="D25" s="121">
        <v>16.0</v>
      </c>
      <c r="E25" s="126">
        <f t="shared" si="3"/>
        <v>20</v>
      </c>
      <c r="F25" s="122">
        <v>4.0</v>
      </c>
      <c r="G25" s="127">
        <f t="shared" si="2"/>
        <v>3</v>
      </c>
      <c r="H25" s="122">
        <v>0.6</v>
      </c>
      <c r="I25" s="128">
        <v>0.5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0" t="s">
        <v>333</v>
      </c>
      <c r="B26" s="121">
        <v>5.0</v>
      </c>
      <c r="C26" s="122">
        <v>20.0</v>
      </c>
      <c r="D26" s="121">
        <v>13.0</v>
      </c>
      <c r="E26" s="126">
        <f t="shared" si="3"/>
        <v>20</v>
      </c>
      <c r="F26" s="122">
        <v>4.0</v>
      </c>
      <c r="G26" s="127">
        <f t="shared" si="2"/>
        <v>1</v>
      </c>
      <c r="H26" s="122">
        <v>0.2</v>
      </c>
      <c r="I26" s="128">
        <v>0.462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0" t="s">
        <v>222</v>
      </c>
      <c r="B27" s="121">
        <v>5.0</v>
      </c>
      <c r="C27" s="122">
        <v>20.0</v>
      </c>
      <c r="D27" s="121">
        <v>4.0</v>
      </c>
      <c r="E27" s="126">
        <f t="shared" si="3"/>
        <v>16</v>
      </c>
      <c r="F27" s="122">
        <v>3.2</v>
      </c>
      <c r="G27" s="127">
        <f t="shared" si="2"/>
        <v>0</v>
      </c>
      <c r="H27" s="122">
        <v>0.0</v>
      </c>
      <c r="I27" s="131">
        <v>1.0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0" t="s">
        <v>236</v>
      </c>
      <c r="B28" s="121">
        <v>5.0</v>
      </c>
      <c r="C28" s="122">
        <v>20.0</v>
      </c>
      <c r="D28" s="121">
        <v>4.0</v>
      </c>
      <c r="E28" s="126">
        <f t="shared" si="3"/>
        <v>16</v>
      </c>
      <c r="F28" s="122">
        <v>3.2</v>
      </c>
      <c r="G28" s="127">
        <f t="shared" si="2"/>
        <v>0</v>
      </c>
      <c r="H28" s="122">
        <v>0.0</v>
      </c>
      <c r="I28" s="128">
        <v>1.0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0" t="s">
        <v>296</v>
      </c>
      <c r="B29" s="121">
        <v>5.0</v>
      </c>
      <c r="C29" s="122">
        <v>20.0</v>
      </c>
      <c r="D29" s="121">
        <v>6.0</v>
      </c>
      <c r="E29" s="126">
        <f t="shared" si="3"/>
        <v>16</v>
      </c>
      <c r="F29" s="122">
        <v>3.2</v>
      </c>
      <c r="G29" s="127">
        <f t="shared" si="2"/>
        <v>1</v>
      </c>
      <c r="H29" s="122">
        <v>0.2</v>
      </c>
      <c r="I29" s="128">
        <v>0.833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0" t="s">
        <v>340</v>
      </c>
      <c r="B30" s="121">
        <v>2.0</v>
      </c>
      <c r="C30" s="122">
        <v>8.0</v>
      </c>
      <c r="D30" s="121">
        <v>5.0</v>
      </c>
      <c r="E30" s="126">
        <f t="shared" si="3"/>
        <v>16</v>
      </c>
      <c r="F30" s="122">
        <v>8.0</v>
      </c>
      <c r="G30" s="127">
        <f t="shared" si="2"/>
        <v>0</v>
      </c>
      <c r="H30" s="122">
        <v>0.0</v>
      </c>
      <c r="I30" s="128">
        <v>0.8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0" t="s">
        <v>220</v>
      </c>
      <c r="B31" s="121">
        <v>5.0</v>
      </c>
      <c r="C31" s="122">
        <v>20.0</v>
      </c>
      <c r="D31" s="121">
        <v>5.0</v>
      </c>
      <c r="E31" s="126">
        <f t="shared" si="3"/>
        <v>16</v>
      </c>
      <c r="F31" s="122">
        <v>3.2</v>
      </c>
      <c r="G31" s="127">
        <f t="shared" si="2"/>
        <v>0</v>
      </c>
      <c r="H31" s="122">
        <v>0.0</v>
      </c>
      <c r="I31" s="128">
        <v>0.8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0" t="s">
        <v>398</v>
      </c>
      <c r="B32" s="121">
        <v>4.0</v>
      </c>
      <c r="C32" s="122">
        <v>16.0</v>
      </c>
      <c r="D32" s="121">
        <v>5.0</v>
      </c>
      <c r="E32" s="126">
        <f t="shared" si="3"/>
        <v>16</v>
      </c>
      <c r="F32" s="122">
        <v>4.0</v>
      </c>
      <c r="G32" s="127">
        <f t="shared" si="2"/>
        <v>0</v>
      </c>
      <c r="H32" s="122">
        <v>0.0</v>
      </c>
      <c r="I32" s="128">
        <v>0.8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0" t="s">
        <v>330</v>
      </c>
      <c r="B33" s="121">
        <v>5.0</v>
      </c>
      <c r="C33" s="122">
        <v>20.0</v>
      </c>
      <c r="D33" s="121">
        <v>5.0</v>
      </c>
      <c r="E33" s="126">
        <f t="shared" si="3"/>
        <v>16</v>
      </c>
      <c r="F33" s="122">
        <v>3.2</v>
      </c>
      <c r="G33" s="127">
        <f t="shared" si="2"/>
        <v>0</v>
      </c>
      <c r="H33" s="122">
        <v>0.0</v>
      </c>
      <c r="I33" s="128">
        <v>0.8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0" t="s">
        <v>317</v>
      </c>
      <c r="B34" s="121">
        <v>5.0</v>
      </c>
      <c r="C34" s="122">
        <v>20.0</v>
      </c>
      <c r="D34" s="121">
        <v>6.0</v>
      </c>
      <c r="E34" s="126">
        <f t="shared" si="3"/>
        <v>16</v>
      </c>
      <c r="F34" s="122">
        <v>3.2</v>
      </c>
      <c r="G34" s="127">
        <f t="shared" si="2"/>
        <v>0</v>
      </c>
      <c r="H34" s="122">
        <v>0.0</v>
      </c>
      <c r="I34" s="128">
        <v>0.667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0" t="s">
        <v>345</v>
      </c>
      <c r="B35" s="121">
        <v>5.0</v>
      </c>
      <c r="C35" s="122">
        <v>20.0</v>
      </c>
      <c r="D35" s="121">
        <v>11.0</v>
      </c>
      <c r="E35" s="126">
        <f t="shared" si="3"/>
        <v>16</v>
      </c>
      <c r="F35" s="122">
        <v>3.2</v>
      </c>
      <c r="G35" s="127">
        <f t="shared" si="2"/>
        <v>3</v>
      </c>
      <c r="H35" s="122">
        <v>0.6</v>
      </c>
      <c r="I35" s="128">
        <v>0.636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0" t="s">
        <v>383</v>
      </c>
      <c r="B36" s="121">
        <v>5.0</v>
      </c>
      <c r="C36" s="122">
        <v>20.0</v>
      </c>
      <c r="D36" s="121">
        <v>13.0</v>
      </c>
      <c r="E36" s="126">
        <f t="shared" si="3"/>
        <v>16</v>
      </c>
      <c r="F36" s="122">
        <v>3.2</v>
      </c>
      <c r="G36" s="127">
        <f t="shared" si="2"/>
        <v>2</v>
      </c>
      <c r="H36" s="122">
        <v>0.4</v>
      </c>
      <c r="I36" s="131">
        <v>0.462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0" t="s">
        <v>376</v>
      </c>
      <c r="B37" s="121">
        <v>3.0</v>
      </c>
      <c r="C37" s="122">
        <v>12.0</v>
      </c>
      <c r="D37" s="121">
        <v>4.0</v>
      </c>
      <c r="E37" s="126">
        <f t="shared" si="3"/>
        <v>15.99</v>
      </c>
      <c r="F37" s="122">
        <v>5.33</v>
      </c>
      <c r="G37" s="127">
        <f t="shared" si="2"/>
        <v>0</v>
      </c>
      <c r="H37" s="122">
        <v>0.0</v>
      </c>
      <c r="I37" s="131">
        <v>1.0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0" t="s">
        <v>384</v>
      </c>
      <c r="B38" s="121">
        <v>2.0</v>
      </c>
      <c r="C38" s="122">
        <v>8.0</v>
      </c>
      <c r="D38" s="121">
        <v>3.0</v>
      </c>
      <c r="E38" s="126">
        <f t="shared" si="3"/>
        <v>12</v>
      </c>
      <c r="F38" s="122">
        <v>6.0</v>
      </c>
      <c r="G38" s="127">
        <f t="shared" si="2"/>
        <v>0</v>
      </c>
      <c r="H38" s="122">
        <v>0.0</v>
      </c>
      <c r="I38" s="131">
        <v>1.0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0" t="s">
        <v>387</v>
      </c>
      <c r="B39" s="121">
        <v>2.0</v>
      </c>
      <c r="C39" s="122">
        <v>8.0</v>
      </c>
      <c r="D39" s="121">
        <v>3.0</v>
      </c>
      <c r="E39" s="126">
        <f t="shared" si="3"/>
        <v>12</v>
      </c>
      <c r="F39" s="122">
        <v>6.0</v>
      </c>
      <c r="G39" s="127">
        <f t="shared" si="2"/>
        <v>0</v>
      </c>
      <c r="H39" s="122">
        <v>0.0</v>
      </c>
      <c r="I39" s="128">
        <v>1.0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0" t="s">
        <v>279</v>
      </c>
      <c r="B40" s="121">
        <v>1.0</v>
      </c>
      <c r="C40" s="122">
        <v>4.0</v>
      </c>
      <c r="D40" s="121">
        <v>3.0</v>
      </c>
      <c r="E40" s="126">
        <f t="shared" si="3"/>
        <v>12</v>
      </c>
      <c r="F40" s="122">
        <v>12.0</v>
      </c>
      <c r="G40" s="127">
        <f t="shared" si="2"/>
        <v>0</v>
      </c>
      <c r="H40" s="122">
        <v>0.0</v>
      </c>
      <c r="I40" s="128">
        <v>1.0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0" t="s">
        <v>234</v>
      </c>
      <c r="B41" s="121">
        <v>5.0</v>
      </c>
      <c r="C41" s="122">
        <v>20.0</v>
      </c>
      <c r="D41" s="121">
        <v>3.0</v>
      </c>
      <c r="E41" s="126">
        <f t="shared" si="3"/>
        <v>12</v>
      </c>
      <c r="F41" s="122">
        <v>2.4</v>
      </c>
      <c r="G41" s="127">
        <f t="shared" si="2"/>
        <v>0</v>
      </c>
      <c r="H41" s="122">
        <v>0.0</v>
      </c>
      <c r="I41" s="128">
        <v>1.0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0" t="s">
        <v>277</v>
      </c>
      <c r="B42" s="121">
        <v>4.0</v>
      </c>
      <c r="C42" s="122">
        <v>16.0</v>
      </c>
      <c r="D42" s="121">
        <v>4.0</v>
      </c>
      <c r="E42" s="126">
        <f t="shared" si="3"/>
        <v>12</v>
      </c>
      <c r="F42" s="122">
        <v>3.0</v>
      </c>
      <c r="G42" s="127">
        <f t="shared" si="2"/>
        <v>0</v>
      </c>
      <c r="H42" s="122">
        <v>0.0</v>
      </c>
      <c r="I42" s="128">
        <v>0.75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0" t="s">
        <v>242</v>
      </c>
      <c r="B43" s="121">
        <v>5.0</v>
      </c>
      <c r="C43" s="122">
        <v>20.0</v>
      </c>
      <c r="D43" s="121">
        <v>9.0</v>
      </c>
      <c r="E43" s="126">
        <f t="shared" si="3"/>
        <v>12</v>
      </c>
      <c r="F43" s="122">
        <v>2.4</v>
      </c>
      <c r="G43" s="127">
        <f t="shared" si="2"/>
        <v>3</v>
      </c>
      <c r="H43" s="122">
        <v>0.6</v>
      </c>
      <c r="I43" s="128">
        <v>0.667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0" t="s">
        <v>269</v>
      </c>
      <c r="B44" s="121">
        <v>5.0</v>
      </c>
      <c r="C44" s="122">
        <v>20.0</v>
      </c>
      <c r="D44" s="121">
        <v>6.0</v>
      </c>
      <c r="E44" s="126">
        <f t="shared" si="3"/>
        <v>12</v>
      </c>
      <c r="F44" s="122">
        <v>2.4</v>
      </c>
      <c r="G44" s="127">
        <f t="shared" si="2"/>
        <v>1</v>
      </c>
      <c r="H44" s="122">
        <v>0.2</v>
      </c>
      <c r="I44" s="128">
        <v>0.667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0" t="s">
        <v>315</v>
      </c>
      <c r="B45" s="121">
        <v>5.0</v>
      </c>
      <c r="C45" s="122">
        <v>20.0</v>
      </c>
      <c r="D45" s="121">
        <v>8.0</v>
      </c>
      <c r="E45" s="126">
        <f t="shared" si="3"/>
        <v>12</v>
      </c>
      <c r="F45" s="122">
        <v>2.4</v>
      </c>
      <c r="G45" s="127">
        <f t="shared" si="2"/>
        <v>2</v>
      </c>
      <c r="H45" s="122">
        <v>0.4</v>
      </c>
      <c r="I45" s="128">
        <v>0.625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0" t="s">
        <v>271</v>
      </c>
      <c r="B46" s="121">
        <v>5.0</v>
      </c>
      <c r="C46" s="122">
        <v>20.0</v>
      </c>
      <c r="D46" s="121">
        <v>8.0</v>
      </c>
      <c r="E46" s="126">
        <f t="shared" si="3"/>
        <v>12</v>
      </c>
      <c r="F46" s="122">
        <v>2.4</v>
      </c>
      <c r="G46" s="127">
        <f t="shared" si="2"/>
        <v>2</v>
      </c>
      <c r="H46" s="122">
        <v>0.4</v>
      </c>
      <c r="I46" s="128">
        <v>0.625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0" t="s">
        <v>351</v>
      </c>
      <c r="B47" s="121">
        <v>4.0</v>
      </c>
      <c r="C47" s="122">
        <v>16.0</v>
      </c>
      <c r="D47" s="121">
        <v>5.0</v>
      </c>
      <c r="E47" s="126">
        <f t="shared" si="3"/>
        <v>12</v>
      </c>
      <c r="F47" s="122">
        <v>3.0</v>
      </c>
      <c r="G47" s="127">
        <f t="shared" si="2"/>
        <v>0</v>
      </c>
      <c r="H47" s="122">
        <v>0.0</v>
      </c>
      <c r="I47" s="128">
        <v>0.6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0" t="s">
        <v>336</v>
      </c>
      <c r="B48" s="121">
        <v>4.0</v>
      </c>
      <c r="C48" s="122">
        <v>16.0</v>
      </c>
      <c r="D48" s="121">
        <v>5.0</v>
      </c>
      <c r="E48" s="126">
        <f t="shared" si="3"/>
        <v>12</v>
      </c>
      <c r="F48" s="122">
        <v>3.0</v>
      </c>
      <c r="G48" s="127">
        <f t="shared" si="2"/>
        <v>0</v>
      </c>
      <c r="H48" s="122">
        <v>0.0</v>
      </c>
      <c r="I48" s="128">
        <v>0.6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0" t="s">
        <v>273</v>
      </c>
      <c r="B49" s="121">
        <v>5.0</v>
      </c>
      <c r="C49" s="122">
        <v>20.0</v>
      </c>
      <c r="D49" s="121">
        <v>7.0</v>
      </c>
      <c r="E49" s="126">
        <f t="shared" si="3"/>
        <v>12</v>
      </c>
      <c r="F49" s="122">
        <v>2.4</v>
      </c>
      <c r="G49" s="127">
        <f t="shared" si="2"/>
        <v>1</v>
      </c>
      <c r="H49" s="122">
        <v>0.2</v>
      </c>
      <c r="I49" s="128">
        <v>0.571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0" t="s">
        <v>272</v>
      </c>
      <c r="B50" s="121">
        <v>5.0</v>
      </c>
      <c r="C50" s="122">
        <v>20.0</v>
      </c>
      <c r="D50" s="121">
        <v>6.0</v>
      </c>
      <c r="E50" s="126">
        <f t="shared" si="3"/>
        <v>12</v>
      </c>
      <c r="F50" s="122">
        <v>2.4</v>
      </c>
      <c r="G50" s="127">
        <f t="shared" si="2"/>
        <v>0</v>
      </c>
      <c r="H50" s="122">
        <v>0.0</v>
      </c>
      <c r="I50" s="131">
        <v>0.5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0" t="s">
        <v>241</v>
      </c>
      <c r="B51" s="121">
        <v>5.0</v>
      </c>
      <c r="C51" s="122">
        <v>20.0</v>
      </c>
      <c r="D51" s="121">
        <v>6.0</v>
      </c>
      <c r="E51" s="126">
        <f t="shared" si="3"/>
        <v>12</v>
      </c>
      <c r="F51" s="122">
        <v>2.4</v>
      </c>
      <c r="G51" s="127">
        <f t="shared" si="2"/>
        <v>0</v>
      </c>
      <c r="H51" s="122">
        <v>0.0</v>
      </c>
      <c r="I51" s="128">
        <v>0.5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0" t="s">
        <v>290</v>
      </c>
      <c r="B52" s="121">
        <v>4.0</v>
      </c>
      <c r="C52" s="122">
        <v>16.0</v>
      </c>
      <c r="D52" s="121">
        <v>10.0</v>
      </c>
      <c r="E52" s="126">
        <f t="shared" si="3"/>
        <v>12</v>
      </c>
      <c r="F52" s="122">
        <v>3.0</v>
      </c>
      <c r="G52" s="127">
        <f t="shared" si="2"/>
        <v>1</v>
      </c>
      <c r="H52" s="122">
        <v>0.25</v>
      </c>
      <c r="I52" s="128">
        <v>0.4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0" t="s">
        <v>294</v>
      </c>
      <c r="B53" s="121">
        <v>3.0</v>
      </c>
      <c r="C53" s="122">
        <v>12.0</v>
      </c>
      <c r="D53" s="121">
        <v>2.0</v>
      </c>
      <c r="E53" s="126">
        <f t="shared" si="3"/>
        <v>8.01</v>
      </c>
      <c r="F53" s="122">
        <v>2.67</v>
      </c>
      <c r="G53" s="127">
        <f t="shared" si="2"/>
        <v>0</v>
      </c>
      <c r="H53" s="122">
        <v>0.0</v>
      </c>
      <c r="I53" s="128">
        <v>1.0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0" t="s">
        <v>394</v>
      </c>
      <c r="B54" s="121">
        <v>3.0</v>
      </c>
      <c r="C54" s="122">
        <v>12.0</v>
      </c>
      <c r="D54" s="121">
        <v>2.0</v>
      </c>
      <c r="E54" s="126">
        <f t="shared" si="3"/>
        <v>8.01</v>
      </c>
      <c r="F54" s="122">
        <v>2.67</v>
      </c>
      <c r="G54" s="127">
        <f t="shared" si="2"/>
        <v>0</v>
      </c>
      <c r="H54" s="122">
        <v>0.0</v>
      </c>
      <c r="I54" s="128">
        <v>1.0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0" t="s">
        <v>281</v>
      </c>
      <c r="B55" s="121">
        <v>5.0</v>
      </c>
      <c r="C55" s="122">
        <v>20.0</v>
      </c>
      <c r="D55" s="121">
        <v>2.0</v>
      </c>
      <c r="E55" s="126">
        <f t="shared" si="3"/>
        <v>8</v>
      </c>
      <c r="F55" s="122">
        <v>1.6</v>
      </c>
      <c r="G55" s="127">
        <f t="shared" si="2"/>
        <v>0</v>
      </c>
      <c r="H55" s="122">
        <v>0.0</v>
      </c>
      <c r="I55" s="128">
        <v>1.0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0" t="s">
        <v>254</v>
      </c>
      <c r="B56" s="121">
        <v>2.0</v>
      </c>
      <c r="C56" s="122">
        <v>8.0</v>
      </c>
      <c r="D56" s="121">
        <v>2.0</v>
      </c>
      <c r="E56" s="126">
        <f t="shared" si="3"/>
        <v>8</v>
      </c>
      <c r="F56" s="122">
        <v>4.0</v>
      </c>
      <c r="G56" s="127">
        <f t="shared" si="2"/>
        <v>0</v>
      </c>
      <c r="H56" s="122">
        <v>0.0</v>
      </c>
      <c r="I56" s="128">
        <v>1.0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0" t="s">
        <v>240</v>
      </c>
      <c r="B57" s="121">
        <v>5.0</v>
      </c>
      <c r="C57" s="122">
        <v>20.0</v>
      </c>
      <c r="D57" s="121">
        <v>2.0</v>
      </c>
      <c r="E57" s="126">
        <f t="shared" si="3"/>
        <v>8</v>
      </c>
      <c r="F57" s="122">
        <v>1.6</v>
      </c>
      <c r="G57" s="127">
        <f t="shared" si="2"/>
        <v>0</v>
      </c>
      <c r="H57" s="122">
        <v>0.0</v>
      </c>
      <c r="I57" s="128">
        <v>1.0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0" t="s">
        <v>253</v>
      </c>
      <c r="B58" s="121">
        <v>5.0</v>
      </c>
      <c r="C58" s="122">
        <v>20.0</v>
      </c>
      <c r="D58" s="121">
        <v>2.0</v>
      </c>
      <c r="E58" s="126">
        <f t="shared" si="3"/>
        <v>8</v>
      </c>
      <c r="F58" s="122">
        <v>1.6</v>
      </c>
      <c r="G58" s="127">
        <f t="shared" si="2"/>
        <v>0</v>
      </c>
      <c r="H58" s="122">
        <v>0.0</v>
      </c>
      <c r="I58" s="131">
        <v>1.0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0" t="s">
        <v>251</v>
      </c>
      <c r="B59" s="121">
        <v>5.0</v>
      </c>
      <c r="C59" s="122">
        <v>20.0</v>
      </c>
      <c r="D59" s="121">
        <v>2.0</v>
      </c>
      <c r="E59" s="126">
        <f t="shared" si="3"/>
        <v>8</v>
      </c>
      <c r="F59" s="122">
        <v>1.6</v>
      </c>
      <c r="G59" s="127">
        <f t="shared" si="2"/>
        <v>0</v>
      </c>
      <c r="H59" s="122">
        <v>0.0</v>
      </c>
      <c r="I59" s="128">
        <v>1.0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0" t="s">
        <v>239</v>
      </c>
      <c r="B60" s="121">
        <v>5.0</v>
      </c>
      <c r="C60" s="122">
        <v>20.0</v>
      </c>
      <c r="D60" s="121">
        <v>2.0</v>
      </c>
      <c r="E60" s="126">
        <f t="shared" si="3"/>
        <v>8</v>
      </c>
      <c r="F60" s="122">
        <v>1.6</v>
      </c>
      <c r="G60" s="127">
        <f t="shared" si="2"/>
        <v>0</v>
      </c>
      <c r="H60" s="122">
        <v>0.0</v>
      </c>
      <c r="I60" s="128">
        <v>1.0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0" t="s">
        <v>238</v>
      </c>
      <c r="B61" s="121">
        <v>5.0</v>
      </c>
      <c r="C61" s="122">
        <v>20.0</v>
      </c>
      <c r="D61" s="121">
        <v>2.0</v>
      </c>
      <c r="E61" s="126">
        <f t="shared" si="3"/>
        <v>8</v>
      </c>
      <c r="F61" s="122">
        <v>1.6</v>
      </c>
      <c r="G61" s="127">
        <f t="shared" si="2"/>
        <v>0</v>
      </c>
      <c r="H61" s="122">
        <v>0.0</v>
      </c>
      <c r="I61" s="128">
        <v>1.0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0" t="s">
        <v>232</v>
      </c>
      <c r="B62" s="121">
        <v>5.0</v>
      </c>
      <c r="C62" s="122">
        <v>20.0</v>
      </c>
      <c r="D62" s="121">
        <v>2.0</v>
      </c>
      <c r="E62" s="126">
        <f t="shared" si="3"/>
        <v>8</v>
      </c>
      <c r="F62" s="122">
        <v>1.6</v>
      </c>
      <c r="G62" s="127">
        <f t="shared" si="2"/>
        <v>0</v>
      </c>
      <c r="H62" s="122">
        <v>0.0</v>
      </c>
      <c r="I62" s="131">
        <v>1.0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0" t="s">
        <v>298</v>
      </c>
      <c r="B63" s="121">
        <v>5.0</v>
      </c>
      <c r="C63" s="122">
        <v>20.0</v>
      </c>
      <c r="D63" s="121">
        <v>2.0</v>
      </c>
      <c r="E63" s="126">
        <f t="shared" si="3"/>
        <v>8</v>
      </c>
      <c r="F63" s="122">
        <v>1.6</v>
      </c>
      <c r="G63" s="127">
        <f t="shared" si="2"/>
        <v>0</v>
      </c>
      <c r="H63" s="122">
        <v>0.0</v>
      </c>
      <c r="I63" s="128">
        <v>1.0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0" t="s">
        <v>416</v>
      </c>
      <c r="B64" s="121">
        <v>1.0</v>
      </c>
      <c r="C64" s="122">
        <v>4.0</v>
      </c>
      <c r="D64" s="121">
        <v>2.0</v>
      </c>
      <c r="E64" s="126">
        <f t="shared" si="3"/>
        <v>8</v>
      </c>
      <c r="F64" s="122">
        <v>8.0</v>
      </c>
      <c r="G64" s="127">
        <f t="shared" si="2"/>
        <v>0</v>
      </c>
      <c r="H64" s="122">
        <v>0.0</v>
      </c>
      <c r="I64" s="128">
        <v>1.0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0" t="s">
        <v>249</v>
      </c>
      <c r="B65" s="121">
        <v>5.0</v>
      </c>
      <c r="C65" s="122">
        <v>20.0</v>
      </c>
      <c r="D65" s="121">
        <v>2.0</v>
      </c>
      <c r="E65" s="126">
        <f t="shared" si="3"/>
        <v>8</v>
      </c>
      <c r="F65" s="122">
        <v>1.6</v>
      </c>
      <c r="G65" s="127">
        <f t="shared" si="2"/>
        <v>0</v>
      </c>
      <c r="H65" s="122">
        <v>0.0</v>
      </c>
      <c r="I65" s="128">
        <v>1.0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0" t="s">
        <v>318</v>
      </c>
      <c r="B66" s="121">
        <v>5.0</v>
      </c>
      <c r="C66" s="122">
        <v>20.0</v>
      </c>
      <c r="D66" s="121">
        <v>4.0</v>
      </c>
      <c r="E66" s="126">
        <f t="shared" si="3"/>
        <v>8</v>
      </c>
      <c r="F66" s="122">
        <v>1.6</v>
      </c>
      <c r="G66" s="127">
        <f t="shared" si="2"/>
        <v>1</v>
      </c>
      <c r="H66" s="122">
        <v>0.2</v>
      </c>
      <c r="I66" s="128">
        <v>0.75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0" t="s">
        <v>344</v>
      </c>
      <c r="B67" s="121">
        <v>5.0</v>
      </c>
      <c r="C67" s="122">
        <v>20.0</v>
      </c>
      <c r="D67" s="121">
        <v>3.0</v>
      </c>
      <c r="E67" s="126">
        <f t="shared" si="3"/>
        <v>8</v>
      </c>
      <c r="F67" s="122">
        <v>1.6</v>
      </c>
      <c r="G67" s="127">
        <f t="shared" si="2"/>
        <v>0</v>
      </c>
      <c r="H67" s="122">
        <v>0.0</v>
      </c>
      <c r="I67" s="131">
        <v>0.667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0" t="s">
        <v>347</v>
      </c>
      <c r="B68" s="121">
        <v>2.0</v>
      </c>
      <c r="C68" s="122">
        <f>B68*4</f>
        <v>8</v>
      </c>
      <c r="D68" s="121">
        <v>3.0</v>
      </c>
      <c r="E68" s="126">
        <f t="shared" si="3"/>
        <v>8</v>
      </c>
      <c r="F68" s="122">
        <v>4.0</v>
      </c>
      <c r="G68" s="127">
        <f t="shared" si="2"/>
        <v>0</v>
      </c>
      <c r="H68" s="122">
        <v>0.0</v>
      </c>
      <c r="I68" s="131">
        <v>0.667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0" t="s">
        <v>356</v>
      </c>
      <c r="B69" s="121">
        <v>5.0</v>
      </c>
      <c r="C69" s="122">
        <v>20.0</v>
      </c>
      <c r="D69" s="121">
        <v>3.0</v>
      </c>
      <c r="E69" s="126">
        <f t="shared" si="3"/>
        <v>8</v>
      </c>
      <c r="F69" s="122">
        <v>1.6</v>
      </c>
      <c r="G69" s="127">
        <f t="shared" si="2"/>
        <v>0</v>
      </c>
      <c r="H69" s="122">
        <v>0.0</v>
      </c>
      <c r="I69" s="128">
        <v>0.667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0" t="s">
        <v>215</v>
      </c>
      <c r="B70" s="121">
        <v>5.0</v>
      </c>
      <c r="C70" s="122">
        <v>20.0</v>
      </c>
      <c r="D70" s="121">
        <v>3.0</v>
      </c>
      <c r="E70" s="126">
        <f t="shared" si="3"/>
        <v>8</v>
      </c>
      <c r="F70" s="122">
        <v>1.6</v>
      </c>
      <c r="G70" s="127">
        <f t="shared" si="2"/>
        <v>0</v>
      </c>
      <c r="H70" s="122">
        <v>0.0</v>
      </c>
      <c r="I70" s="128">
        <v>0.667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0" t="s">
        <v>355</v>
      </c>
      <c r="B71" s="121">
        <v>4.0</v>
      </c>
      <c r="C71" s="122">
        <v>16.0</v>
      </c>
      <c r="D71" s="121">
        <v>3.0</v>
      </c>
      <c r="E71" s="126">
        <f t="shared" si="3"/>
        <v>8</v>
      </c>
      <c r="F71" s="122">
        <v>2.0</v>
      </c>
      <c r="G71" s="127">
        <f t="shared" si="2"/>
        <v>0</v>
      </c>
      <c r="H71" s="122">
        <v>0.0</v>
      </c>
      <c r="I71" s="128">
        <v>0.667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0" t="s">
        <v>226</v>
      </c>
      <c r="B72" s="121">
        <v>5.0</v>
      </c>
      <c r="C72" s="122">
        <v>20.0</v>
      </c>
      <c r="D72" s="121">
        <v>5.0</v>
      </c>
      <c r="E72" s="126">
        <f t="shared" si="3"/>
        <v>8</v>
      </c>
      <c r="F72" s="122">
        <v>1.6</v>
      </c>
      <c r="G72" s="127">
        <f t="shared" si="2"/>
        <v>0</v>
      </c>
      <c r="H72" s="122">
        <v>0.0</v>
      </c>
      <c r="I72" s="131">
        <v>0.4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0" t="s">
        <v>255</v>
      </c>
      <c r="B73" s="121">
        <v>5.0</v>
      </c>
      <c r="C73" s="122">
        <f>B73*4</f>
        <v>20</v>
      </c>
      <c r="D73" s="121">
        <v>8.0</v>
      </c>
      <c r="E73" s="126">
        <v>8.0</v>
      </c>
      <c r="F73" s="122">
        <f>E73/C73*4</f>
        <v>1.6</v>
      </c>
      <c r="G73" s="127">
        <f t="shared" si="2"/>
        <v>0</v>
      </c>
      <c r="H73" s="122">
        <v>0.0</v>
      </c>
      <c r="I73" s="131">
        <v>0.25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0" t="s">
        <v>218</v>
      </c>
      <c r="B74" s="121">
        <v>5.0</v>
      </c>
      <c r="C74" s="122">
        <v>20.0</v>
      </c>
      <c r="D74" s="121">
        <v>1.0</v>
      </c>
      <c r="E74" s="126">
        <f t="shared" ref="E74:E77" si="4">F74/4*C74</f>
        <v>4</v>
      </c>
      <c r="F74" s="122">
        <v>0.8</v>
      </c>
      <c r="G74" s="127">
        <f t="shared" si="2"/>
        <v>0</v>
      </c>
      <c r="H74" s="122">
        <v>0.0</v>
      </c>
      <c r="I74" s="128">
        <v>1.0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0" t="s">
        <v>270</v>
      </c>
      <c r="B75" s="121">
        <v>5.0</v>
      </c>
      <c r="C75" s="122">
        <v>20.0</v>
      </c>
      <c r="D75" s="121">
        <v>1.0</v>
      </c>
      <c r="E75" s="126">
        <f t="shared" si="4"/>
        <v>4</v>
      </c>
      <c r="F75" s="122">
        <v>0.8</v>
      </c>
      <c r="G75" s="127">
        <f t="shared" si="2"/>
        <v>0</v>
      </c>
      <c r="H75" s="122">
        <v>0.0</v>
      </c>
      <c r="I75" s="128">
        <v>1.0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0" t="s">
        <v>288</v>
      </c>
      <c r="B76" s="121">
        <v>4.0</v>
      </c>
      <c r="C76" s="122">
        <v>16.0</v>
      </c>
      <c r="D76" s="121">
        <v>1.0</v>
      </c>
      <c r="E76" s="126">
        <f t="shared" si="4"/>
        <v>4</v>
      </c>
      <c r="F76" s="122">
        <v>1.0</v>
      </c>
      <c r="G76" s="127">
        <f t="shared" si="2"/>
        <v>0</v>
      </c>
      <c r="H76" s="122">
        <v>0.0</v>
      </c>
      <c r="I76" s="128">
        <v>1.0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0" t="s">
        <v>302</v>
      </c>
      <c r="B77" s="121">
        <v>5.0</v>
      </c>
      <c r="C77" s="122">
        <v>20.0</v>
      </c>
      <c r="D77" s="121">
        <v>1.0</v>
      </c>
      <c r="E77" s="126">
        <f t="shared" si="4"/>
        <v>4</v>
      </c>
      <c r="F77" s="122">
        <v>0.8</v>
      </c>
      <c r="G77" s="127">
        <f t="shared" si="2"/>
        <v>0</v>
      </c>
      <c r="H77" s="122">
        <v>0.0</v>
      </c>
      <c r="I77" s="128">
        <v>1.0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0" t="s">
        <v>392</v>
      </c>
      <c r="B78" s="121">
        <v>5.0</v>
      </c>
      <c r="C78" s="122">
        <f>B78*4</f>
        <v>20</v>
      </c>
      <c r="D78" s="121">
        <v>1.0</v>
      </c>
      <c r="E78" s="126">
        <v>4.0</v>
      </c>
      <c r="F78" s="122">
        <v>0.8</v>
      </c>
      <c r="G78" s="127">
        <f t="shared" si="2"/>
        <v>0</v>
      </c>
      <c r="H78" s="122">
        <v>0.0</v>
      </c>
      <c r="I78" s="128">
        <f>1/1</f>
        <v>1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0" t="s">
        <v>423</v>
      </c>
      <c r="B79" s="121">
        <v>1.0</v>
      </c>
      <c r="C79" s="122">
        <v>4.0</v>
      </c>
      <c r="D79" s="121">
        <v>1.0</v>
      </c>
      <c r="E79" s="126">
        <f t="shared" ref="E79:E109" si="5">F79/4*C79</f>
        <v>4</v>
      </c>
      <c r="F79" s="122">
        <v>4.0</v>
      </c>
      <c r="G79" s="127">
        <f t="shared" si="2"/>
        <v>0</v>
      </c>
      <c r="H79" s="122">
        <v>0.0</v>
      </c>
      <c r="I79" s="128">
        <v>1.0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0" t="s">
        <v>306</v>
      </c>
      <c r="B80" s="121">
        <v>4.0</v>
      </c>
      <c r="C80" s="122">
        <v>16.0</v>
      </c>
      <c r="D80" s="121">
        <v>1.0</v>
      </c>
      <c r="E80" s="126">
        <f t="shared" si="5"/>
        <v>4</v>
      </c>
      <c r="F80" s="122">
        <v>1.0</v>
      </c>
      <c r="G80" s="127">
        <f t="shared" si="2"/>
        <v>0</v>
      </c>
      <c r="H80" s="122">
        <v>0.0</v>
      </c>
      <c r="I80" s="128">
        <v>1.0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0" t="s">
        <v>362</v>
      </c>
      <c r="B81" s="121">
        <v>2.0</v>
      </c>
      <c r="C81" s="122">
        <v>8.0</v>
      </c>
      <c r="D81" s="121">
        <v>1.0</v>
      </c>
      <c r="E81" s="126">
        <f t="shared" si="5"/>
        <v>4</v>
      </c>
      <c r="F81" s="122">
        <v>2.0</v>
      </c>
      <c r="G81" s="127">
        <f t="shared" si="2"/>
        <v>0</v>
      </c>
      <c r="H81" s="122">
        <v>0.0</v>
      </c>
      <c r="I81" s="128">
        <v>1.0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0" t="s">
        <v>274</v>
      </c>
      <c r="B82" s="121">
        <v>5.0</v>
      </c>
      <c r="C82" s="122">
        <v>20.0</v>
      </c>
      <c r="D82" s="121">
        <v>1.0</v>
      </c>
      <c r="E82" s="126">
        <f t="shared" si="5"/>
        <v>4</v>
      </c>
      <c r="F82" s="122">
        <v>0.8</v>
      </c>
      <c r="G82" s="127">
        <f t="shared" si="2"/>
        <v>0</v>
      </c>
      <c r="H82" s="122">
        <v>0.0</v>
      </c>
      <c r="I82" s="131">
        <v>1.0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0" t="s">
        <v>276</v>
      </c>
      <c r="B83" s="121">
        <v>5.0</v>
      </c>
      <c r="C83" s="122">
        <v>20.0</v>
      </c>
      <c r="D83" s="121">
        <v>1.0</v>
      </c>
      <c r="E83" s="126">
        <f t="shared" si="5"/>
        <v>4</v>
      </c>
      <c r="F83" s="122">
        <v>0.8</v>
      </c>
      <c r="G83" s="127">
        <f t="shared" si="2"/>
        <v>0</v>
      </c>
      <c r="H83" s="122">
        <v>0.0</v>
      </c>
      <c r="I83" s="128">
        <v>1.0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0" t="s">
        <v>312</v>
      </c>
      <c r="B84" s="121">
        <v>5.0</v>
      </c>
      <c r="C84" s="122">
        <v>20.0</v>
      </c>
      <c r="D84" s="121">
        <v>1.0</v>
      </c>
      <c r="E84" s="126">
        <f t="shared" si="5"/>
        <v>4</v>
      </c>
      <c r="F84" s="122">
        <v>0.8</v>
      </c>
      <c r="G84" s="127">
        <f t="shared" si="2"/>
        <v>0</v>
      </c>
      <c r="H84" s="122">
        <v>0.0</v>
      </c>
      <c r="I84" s="128">
        <v>1.0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20" t="s">
        <v>284</v>
      </c>
      <c r="B85" s="121">
        <v>4.0</v>
      </c>
      <c r="C85" s="122">
        <v>16.0</v>
      </c>
      <c r="D85" s="121">
        <v>1.0</v>
      </c>
      <c r="E85" s="126">
        <f t="shared" si="5"/>
        <v>4</v>
      </c>
      <c r="F85" s="122">
        <v>1.0</v>
      </c>
      <c r="G85" s="127">
        <f t="shared" si="2"/>
        <v>0</v>
      </c>
      <c r="H85" s="122">
        <v>0.0</v>
      </c>
      <c r="I85" s="128">
        <v>1.0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20" t="s">
        <v>237</v>
      </c>
      <c r="B86" s="121">
        <v>5.0</v>
      </c>
      <c r="C86" s="122">
        <v>20.0</v>
      </c>
      <c r="D86" s="121">
        <v>1.0</v>
      </c>
      <c r="E86" s="126">
        <f t="shared" si="5"/>
        <v>4</v>
      </c>
      <c r="F86" s="122">
        <v>0.8</v>
      </c>
      <c r="G86" s="127">
        <f t="shared" si="2"/>
        <v>0</v>
      </c>
      <c r="H86" s="122">
        <v>0.0</v>
      </c>
      <c r="I86" s="128">
        <v>1.0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20" t="s">
        <v>280</v>
      </c>
      <c r="B87" s="121">
        <v>5.0</v>
      </c>
      <c r="C87" s="122">
        <v>20.0</v>
      </c>
      <c r="D87" s="121">
        <v>1.0</v>
      </c>
      <c r="E87" s="126">
        <f t="shared" si="5"/>
        <v>4</v>
      </c>
      <c r="F87" s="122">
        <v>0.8</v>
      </c>
      <c r="G87" s="127">
        <f t="shared" si="2"/>
        <v>0</v>
      </c>
      <c r="H87" s="122">
        <v>0.0</v>
      </c>
      <c r="I87" s="131">
        <v>1.0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0" t="s">
        <v>412</v>
      </c>
      <c r="B88" s="121">
        <v>1.0</v>
      </c>
      <c r="C88" s="122">
        <v>4.0</v>
      </c>
      <c r="D88" s="121">
        <v>1.0</v>
      </c>
      <c r="E88" s="126">
        <f t="shared" si="5"/>
        <v>4</v>
      </c>
      <c r="F88" s="122">
        <v>4.0</v>
      </c>
      <c r="G88" s="127">
        <f t="shared" si="2"/>
        <v>0</v>
      </c>
      <c r="H88" s="122">
        <v>0.0</v>
      </c>
      <c r="I88" s="128">
        <v>1.0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20" t="s">
        <v>339</v>
      </c>
      <c r="B89" s="121">
        <v>1.0</v>
      </c>
      <c r="C89" s="122">
        <v>4.0</v>
      </c>
      <c r="D89" s="121">
        <v>1.0</v>
      </c>
      <c r="E89" s="126">
        <f t="shared" si="5"/>
        <v>4</v>
      </c>
      <c r="F89" s="122">
        <v>4.0</v>
      </c>
      <c r="G89" s="127">
        <f t="shared" si="2"/>
        <v>0</v>
      </c>
      <c r="H89" s="122">
        <v>0.0</v>
      </c>
      <c r="I89" s="128">
        <v>1.0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20" t="s">
        <v>252</v>
      </c>
      <c r="B90" s="121">
        <v>5.0</v>
      </c>
      <c r="C90" s="122">
        <v>20.0</v>
      </c>
      <c r="D90" s="121">
        <v>3.0</v>
      </c>
      <c r="E90" s="126">
        <f t="shared" si="5"/>
        <v>4</v>
      </c>
      <c r="F90" s="122">
        <v>0.8</v>
      </c>
      <c r="G90" s="127">
        <f t="shared" si="2"/>
        <v>1</v>
      </c>
      <c r="H90" s="122">
        <v>0.2</v>
      </c>
      <c r="I90" s="128">
        <v>0.667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20" t="s">
        <v>287</v>
      </c>
      <c r="B91" s="121">
        <v>5.0</v>
      </c>
      <c r="C91" s="122">
        <v>20.0</v>
      </c>
      <c r="D91" s="121">
        <v>2.0</v>
      </c>
      <c r="E91" s="126">
        <f t="shared" si="5"/>
        <v>4</v>
      </c>
      <c r="F91" s="122">
        <v>0.8</v>
      </c>
      <c r="G91" s="127">
        <f t="shared" si="2"/>
        <v>0</v>
      </c>
      <c r="H91" s="122">
        <v>0.0</v>
      </c>
      <c r="I91" s="128">
        <v>0.5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20" t="s">
        <v>381</v>
      </c>
      <c r="B92" s="121">
        <v>2.0</v>
      </c>
      <c r="C92" s="122">
        <v>8.0</v>
      </c>
      <c r="D92" s="121">
        <v>2.0</v>
      </c>
      <c r="E92" s="126">
        <f t="shared" si="5"/>
        <v>4</v>
      </c>
      <c r="F92" s="122">
        <v>2.0</v>
      </c>
      <c r="G92" s="127">
        <f t="shared" si="2"/>
        <v>0</v>
      </c>
      <c r="H92" s="122">
        <v>0.0</v>
      </c>
      <c r="I92" s="128">
        <v>0.5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20" t="s">
        <v>369</v>
      </c>
      <c r="B93" s="121">
        <v>5.0</v>
      </c>
      <c r="C93" s="122">
        <v>20.0</v>
      </c>
      <c r="D93" s="121">
        <v>2.0</v>
      </c>
      <c r="E93" s="126">
        <f t="shared" si="5"/>
        <v>4</v>
      </c>
      <c r="F93" s="122">
        <v>0.8</v>
      </c>
      <c r="G93" s="127">
        <f t="shared" si="2"/>
        <v>0</v>
      </c>
      <c r="H93" s="122">
        <v>0.0</v>
      </c>
      <c r="I93" s="128">
        <v>0.5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20" t="s">
        <v>337</v>
      </c>
      <c r="B94" s="121">
        <v>4.0</v>
      </c>
      <c r="C94" s="122">
        <v>16.0</v>
      </c>
      <c r="D94" s="121">
        <v>2.0</v>
      </c>
      <c r="E94" s="126">
        <f t="shared" si="5"/>
        <v>4</v>
      </c>
      <c r="F94" s="122">
        <v>1.0</v>
      </c>
      <c r="G94" s="127">
        <f t="shared" si="2"/>
        <v>0</v>
      </c>
      <c r="H94" s="122">
        <v>0.0</v>
      </c>
      <c r="I94" s="131">
        <v>0.5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20" t="s">
        <v>291</v>
      </c>
      <c r="B95" s="121">
        <v>5.0</v>
      </c>
      <c r="C95" s="122">
        <v>20.0</v>
      </c>
      <c r="D95" s="121">
        <v>4.0</v>
      </c>
      <c r="E95" s="126">
        <f t="shared" si="5"/>
        <v>4</v>
      </c>
      <c r="F95" s="122">
        <v>0.8</v>
      </c>
      <c r="G95" s="127">
        <f t="shared" si="2"/>
        <v>1</v>
      </c>
      <c r="H95" s="122">
        <v>0.2</v>
      </c>
      <c r="I95" s="128">
        <v>0.5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20" t="s">
        <v>304</v>
      </c>
      <c r="B96" s="121">
        <v>4.0</v>
      </c>
      <c r="C96" s="122">
        <v>16.0</v>
      </c>
      <c r="D96" s="121">
        <v>5.0</v>
      </c>
      <c r="E96" s="126">
        <f t="shared" si="5"/>
        <v>4</v>
      </c>
      <c r="F96" s="122">
        <v>1.0</v>
      </c>
      <c r="G96" s="127">
        <f t="shared" si="2"/>
        <v>1</v>
      </c>
      <c r="H96" s="122">
        <v>0.25</v>
      </c>
      <c r="I96" s="128">
        <v>0.4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20" t="s">
        <v>265</v>
      </c>
      <c r="B97" s="121">
        <v>5.0</v>
      </c>
      <c r="C97" s="122">
        <v>20.0</v>
      </c>
      <c r="D97" s="121">
        <v>4.0</v>
      </c>
      <c r="E97" s="126">
        <f t="shared" si="5"/>
        <v>4</v>
      </c>
      <c r="F97" s="122">
        <v>0.8</v>
      </c>
      <c r="G97" s="127">
        <f t="shared" si="2"/>
        <v>0</v>
      </c>
      <c r="H97" s="122">
        <v>0.0</v>
      </c>
      <c r="I97" s="128">
        <v>0.25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20" t="s">
        <v>373</v>
      </c>
      <c r="B98" s="121">
        <v>3.0</v>
      </c>
      <c r="C98" s="122">
        <v>12.0</v>
      </c>
      <c r="D98" s="121">
        <v>1.0</v>
      </c>
      <c r="E98" s="126">
        <f t="shared" si="5"/>
        <v>3.99</v>
      </c>
      <c r="F98" s="122">
        <v>1.33</v>
      </c>
      <c r="G98" s="127">
        <f t="shared" si="2"/>
        <v>0</v>
      </c>
      <c r="H98" s="122">
        <v>0.0</v>
      </c>
      <c r="I98" s="128">
        <v>1.0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20" t="s">
        <v>366</v>
      </c>
      <c r="B99" s="121">
        <v>3.0</v>
      </c>
      <c r="C99" s="122">
        <v>12.0</v>
      </c>
      <c r="D99" s="121">
        <v>1.0</v>
      </c>
      <c r="E99" s="126">
        <f t="shared" si="5"/>
        <v>3.99</v>
      </c>
      <c r="F99" s="122">
        <v>1.33</v>
      </c>
      <c r="G99" s="127">
        <f t="shared" si="2"/>
        <v>0</v>
      </c>
      <c r="H99" s="122">
        <v>0.0</v>
      </c>
      <c r="I99" s="128">
        <v>1.0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20" t="s">
        <v>275</v>
      </c>
      <c r="B100" s="121">
        <v>3.0</v>
      </c>
      <c r="C100" s="122">
        <v>12.0</v>
      </c>
      <c r="D100" s="121">
        <v>1.0</v>
      </c>
      <c r="E100" s="126">
        <f t="shared" si="5"/>
        <v>3.99</v>
      </c>
      <c r="F100" s="122">
        <v>1.33</v>
      </c>
      <c r="G100" s="127">
        <f t="shared" si="2"/>
        <v>0</v>
      </c>
      <c r="H100" s="122">
        <v>0.0</v>
      </c>
      <c r="I100" s="128">
        <v>1.0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20" t="s">
        <v>299</v>
      </c>
      <c r="B101" s="121">
        <v>3.0</v>
      </c>
      <c r="C101" s="122">
        <v>12.0</v>
      </c>
      <c r="D101" s="121">
        <v>1.0</v>
      </c>
      <c r="E101" s="126">
        <f t="shared" si="5"/>
        <v>3.99</v>
      </c>
      <c r="F101" s="122">
        <v>1.33</v>
      </c>
      <c r="G101" s="127">
        <f t="shared" si="2"/>
        <v>0</v>
      </c>
      <c r="H101" s="122">
        <v>0.0</v>
      </c>
      <c r="I101" s="128">
        <v>1.0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20" t="s">
        <v>378</v>
      </c>
      <c r="B102" s="121">
        <v>3.0</v>
      </c>
      <c r="C102" s="122">
        <v>12.0</v>
      </c>
      <c r="D102" s="121">
        <v>3.0</v>
      </c>
      <c r="E102" s="126">
        <f t="shared" si="5"/>
        <v>3.99</v>
      </c>
      <c r="F102" s="122">
        <v>1.33</v>
      </c>
      <c r="G102" s="127">
        <f t="shared" si="2"/>
        <v>0.99</v>
      </c>
      <c r="H102" s="122">
        <v>0.33</v>
      </c>
      <c r="I102" s="128">
        <v>0.667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20" t="s">
        <v>371</v>
      </c>
      <c r="B103" s="121">
        <v>3.0</v>
      </c>
      <c r="C103" s="122">
        <v>12.0</v>
      </c>
      <c r="D103" s="121">
        <v>2.0</v>
      </c>
      <c r="E103" s="126">
        <f t="shared" si="5"/>
        <v>3.99</v>
      </c>
      <c r="F103" s="122">
        <v>1.33</v>
      </c>
      <c r="G103" s="127">
        <f t="shared" si="2"/>
        <v>0</v>
      </c>
      <c r="H103" s="122">
        <v>0.0</v>
      </c>
      <c r="I103" s="128">
        <v>0.5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0" t="s">
        <v>405</v>
      </c>
      <c r="B104" s="121">
        <v>3.0</v>
      </c>
      <c r="C104" s="122">
        <v>12.0</v>
      </c>
      <c r="D104" s="121">
        <v>4.0</v>
      </c>
      <c r="E104" s="126">
        <f t="shared" si="5"/>
        <v>3.99</v>
      </c>
      <c r="F104" s="122">
        <v>1.33</v>
      </c>
      <c r="G104" s="127">
        <f t="shared" si="2"/>
        <v>0.99</v>
      </c>
      <c r="H104" s="122">
        <v>0.33</v>
      </c>
      <c r="I104" s="128">
        <v>0.5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20" t="s">
        <v>319</v>
      </c>
      <c r="B105" s="121">
        <v>3.0</v>
      </c>
      <c r="C105" s="122">
        <v>12.0</v>
      </c>
      <c r="D105" s="121">
        <v>2.0</v>
      </c>
      <c r="E105" s="126">
        <f t="shared" si="5"/>
        <v>3.99</v>
      </c>
      <c r="F105" s="122">
        <v>1.33</v>
      </c>
      <c r="G105" s="127">
        <f t="shared" si="2"/>
        <v>0</v>
      </c>
      <c r="H105" s="122">
        <v>0.0</v>
      </c>
      <c r="I105" s="128">
        <v>0.5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20" t="s">
        <v>295</v>
      </c>
      <c r="B106" s="121">
        <v>3.0</v>
      </c>
      <c r="C106" s="122">
        <v>12.0</v>
      </c>
      <c r="D106" s="121">
        <v>2.0</v>
      </c>
      <c r="E106" s="126">
        <f t="shared" si="5"/>
        <v>3.99</v>
      </c>
      <c r="F106" s="122">
        <v>1.33</v>
      </c>
      <c r="G106" s="127">
        <f t="shared" si="2"/>
        <v>0</v>
      </c>
      <c r="H106" s="122">
        <v>0.0</v>
      </c>
      <c r="I106" s="128">
        <v>0.5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20" t="s">
        <v>235</v>
      </c>
      <c r="B107" s="121">
        <v>5.0</v>
      </c>
      <c r="C107" s="122">
        <v>20.0</v>
      </c>
      <c r="D107" s="121">
        <v>2.0</v>
      </c>
      <c r="E107" s="126">
        <f t="shared" si="5"/>
        <v>0</v>
      </c>
      <c r="F107" s="122">
        <v>0.0</v>
      </c>
      <c r="G107" s="127">
        <f t="shared" si="2"/>
        <v>1</v>
      </c>
      <c r="H107" s="122">
        <v>0.2</v>
      </c>
      <c r="I107" s="128">
        <v>0.5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20" t="s">
        <v>402</v>
      </c>
      <c r="B108" s="121">
        <v>1.0</v>
      </c>
      <c r="C108" s="122">
        <v>4.0</v>
      </c>
      <c r="D108" s="121">
        <v>2.0</v>
      </c>
      <c r="E108" s="126">
        <f t="shared" si="5"/>
        <v>0</v>
      </c>
      <c r="F108" s="122">
        <v>0.0</v>
      </c>
      <c r="G108" s="127">
        <f t="shared" si="2"/>
        <v>1</v>
      </c>
      <c r="H108" s="122">
        <v>1.0</v>
      </c>
      <c r="I108" s="131">
        <v>0.5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20" t="s">
        <v>414</v>
      </c>
      <c r="B109" s="121">
        <v>3.0</v>
      </c>
      <c r="C109" s="122">
        <v>12.0</v>
      </c>
      <c r="D109" s="121">
        <v>2.0</v>
      </c>
      <c r="E109" s="126">
        <f t="shared" si="5"/>
        <v>0</v>
      </c>
      <c r="F109" s="122">
        <v>0.0</v>
      </c>
      <c r="G109" s="127">
        <f t="shared" si="2"/>
        <v>0.99</v>
      </c>
      <c r="H109" s="122">
        <v>0.33</v>
      </c>
      <c r="I109" s="128">
        <v>0.5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20" t="s">
        <v>286</v>
      </c>
      <c r="B110" s="121">
        <v>5.0</v>
      </c>
      <c r="C110" s="122">
        <v>20.0</v>
      </c>
      <c r="D110" s="121">
        <v>7.0</v>
      </c>
      <c r="E110" s="126">
        <v>0.0</v>
      </c>
      <c r="F110" s="122">
        <v>0.0</v>
      </c>
      <c r="G110" s="127">
        <f t="shared" si="2"/>
        <v>3</v>
      </c>
      <c r="H110" s="122">
        <v>0.6</v>
      </c>
      <c r="I110" s="128">
        <f>3/7</f>
        <v>0.4285714286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20" t="s">
        <v>283</v>
      </c>
      <c r="B111" s="121">
        <v>5.0</v>
      </c>
      <c r="C111" s="122">
        <v>20.0</v>
      </c>
      <c r="D111" s="121">
        <v>3.0</v>
      </c>
      <c r="E111" s="126">
        <f t="shared" ref="E111:E205" si="6">F111/4*C111</f>
        <v>0</v>
      </c>
      <c r="F111" s="122">
        <v>0.0</v>
      </c>
      <c r="G111" s="127">
        <f t="shared" si="2"/>
        <v>1</v>
      </c>
      <c r="H111" s="122">
        <v>0.2</v>
      </c>
      <c r="I111" s="128">
        <v>0.333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20" t="s">
        <v>221</v>
      </c>
      <c r="B112" s="121">
        <v>5.0</v>
      </c>
      <c r="C112" s="122">
        <v>20.0</v>
      </c>
      <c r="D112" s="121">
        <v>4.0</v>
      </c>
      <c r="E112" s="126">
        <f t="shared" si="6"/>
        <v>0</v>
      </c>
      <c r="F112" s="122">
        <v>0.0</v>
      </c>
      <c r="G112" s="127">
        <f t="shared" si="2"/>
        <v>1</v>
      </c>
      <c r="H112" s="122">
        <v>0.2</v>
      </c>
      <c r="I112" s="128">
        <v>0.25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20" t="s">
        <v>204</v>
      </c>
      <c r="B113" s="121">
        <v>5.0</v>
      </c>
      <c r="C113" s="122">
        <v>20.0</v>
      </c>
      <c r="D113" s="121">
        <v>8.0</v>
      </c>
      <c r="E113" s="126">
        <f t="shared" si="6"/>
        <v>0</v>
      </c>
      <c r="F113" s="122">
        <v>0.0</v>
      </c>
      <c r="G113" s="127">
        <f t="shared" si="2"/>
        <v>2</v>
      </c>
      <c r="H113" s="122">
        <v>0.4</v>
      </c>
      <c r="I113" s="131">
        <v>0.25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20" t="s">
        <v>372</v>
      </c>
      <c r="B114" s="121">
        <v>2.0</v>
      </c>
      <c r="C114" s="122">
        <v>8.0</v>
      </c>
      <c r="D114" s="121">
        <v>0.0</v>
      </c>
      <c r="E114" s="126">
        <f t="shared" si="6"/>
        <v>0</v>
      </c>
      <c r="F114" s="122">
        <v>0.0</v>
      </c>
      <c r="G114" s="127">
        <f t="shared" si="2"/>
        <v>0</v>
      </c>
      <c r="H114" s="122">
        <v>0.0</v>
      </c>
      <c r="I114" s="128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20" t="s">
        <v>377</v>
      </c>
      <c r="B115" s="121">
        <v>1.0</v>
      </c>
      <c r="C115" s="122">
        <v>4.0</v>
      </c>
      <c r="D115" s="121">
        <v>0.0</v>
      </c>
      <c r="E115" s="126">
        <f t="shared" si="6"/>
        <v>0</v>
      </c>
      <c r="F115" s="122">
        <v>0.0</v>
      </c>
      <c r="G115" s="127">
        <f t="shared" si="2"/>
        <v>0</v>
      </c>
      <c r="H115" s="122">
        <v>0.0</v>
      </c>
      <c r="I115" s="128">
        <v>0.0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20" t="s">
        <v>248</v>
      </c>
      <c r="B116" s="121">
        <v>5.0</v>
      </c>
      <c r="C116" s="122">
        <v>20.0</v>
      </c>
      <c r="D116" s="121">
        <v>0.0</v>
      </c>
      <c r="E116" s="126">
        <f t="shared" si="6"/>
        <v>0</v>
      </c>
      <c r="F116" s="122">
        <v>0.0</v>
      </c>
      <c r="G116" s="127">
        <f t="shared" si="2"/>
        <v>0</v>
      </c>
      <c r="H116" s="122">
        <v>0.0</v>
      </c>
      <c r="I116" s="128">
        <v>0.0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20" t="s">
        <v>324</v>
      </c>
      <c r="B117" s="121">
        <v>4.0</v>
      </c>
      <c r="C117" s="122">
        <v>16.0</v>
      </c>
      <c r="D117" s="121">
        <v>0.0</v>
      </c>
      <c r="E117" s="126">
        <f t="shared" si="6"/>
        <v>0</v>
      </c>
      <c r="F117" s="122">
        <v>0.0</v>
      </c>
      <c r="G117" s="127">
        <f t="shared" si="2"/>
        <v>0</v>
      </c>
      <c r="H117" s="122">
        <v>0.0</v>
      </c>
      <c r="I117" s="128">
        <v>0.0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20" t="s">
        <v>358</v>
      </c>
      <c r="B118" s="121">
        <v>3.0</v>
      </c>
      <c r="C118" s="122">
        <v>12.0</v>
      </c>
      <c r="D118" s="121">
        <v>0.0</v>
      </c>
      <c r="E118" s="126">
        <f t="shared" si="6"/>
        <v>0</v>
      </c>
      <c r="F118" s="122">
        <v>0.0</v>
      </c>
      <c r="G118" s="127">
        <f t="shared" si="2"/>
        <v>0</v>
      </c>
      <c r="H118" s="122">
        <v>0.0</v>
      </c>
      <c r="I118" s="128">
        <v>0.0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20" t="s">
        <v>247</v>
      </c>
      <c r="B119" s="121">
        <v>5.0</v>
      </c>
      <c r="C119" s="122">
        <v>20.0</v>
      </c>
      <c r="D119" s="121">
        <v>3.0</v>
      </c>
      <c r="E119" s="126">
        <f t="shared" si="6"/>
        <v>0</v>
      </c>
      <c r="F119" s="122">
        <v>0.0</v>
      </c>
      <c r="G119" s="127">
        <f t="shared" si="2"/>
        <v>0</v>
      </c>
      <c r="H119" s="122">
        <v>0.0</v>
      </c>
      <c r="I119" s="128">
        <v>0.0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20" t="s">
        <v>267</v>
      </c>
      <c r="B120" s="121">
        <v>5.0</v>
      </c>
      <c r="C120" s="122">
        <v>20.0</v>
      </c>
      <c r="D120" s="121">
        <v>0.0</v>
      </c>
      <c r="E120" s="126">
        <f t="shared" si="6"/>
        <v>0</v>
      </c>
      <c r="F120" s="122">
        <v>0.0</v>
      </c>
      <c r="G120" s="127">
        <f t="shared" si="2"/>
        <v>0</v>
      </c>
      <c r="H120" s="122">
        <v>0.0</v>
      </c>
      <c r="I120" s="128">
        <v>0.0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20" t="s">
        <v>365</v>
      </c>
      <c r="B121" s="121">
        <v>1.0</v>
      </c>
      <c r="C121" s="122">
        <v>4.0</v>
      </c>
      <c r="D121" s="121">
        <v>0.0</v>
      </c>
      <c r="E121" s="126">
        <f t="shared" si="6"/>
        <v>0</v>
      </c>
      <c r="F121" s="122">
        <v>0.0</v>
      </c>
      <c r="G121" s="127">
        <f t="shared" si="2"/>
        <v>0</v>
      </c>
      <c r="H121" s="122">
        <v>0.0</v>
      </c>
      <c r="I121" s="128">
        <v>0.0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20" t="s">
        <v>264</v>
      </c>
      <c r="B122" s="121">
        <v>5.0</v>
      </c>
      <c r="C122" s="122">
        <v>20.0</v>
      </c>
      <c r="D122" s="121">
        <v>2.0</v>
      </c>
      <c r="E122" s="126">
        <f t="shared" si="6"/>
        <v>0</v>
      </c>
      <c r="F122" s="122">
        <v>0.0</v>
      </c>
      <c r="G122" s="127">
        <f t="shared" si="2"/>
        <v>0</v>
      </c>
      <c r="H122" s="122">
        <v>0.0</v>
      </c>
      <c r="I122" s="128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0" t="s">
        <v>343</v>
      </c>
      <c r="B123" s="121">
        <v>5.0</v>
      </c>
      <c r="C123" s="122">
        <v>20.0</v>
      </c>
      <c r="D123" s="121">
        <v>0.0</v>
      </c>
      <c r="E123" s="126">
        <f t="shared" si="6"/>
        <v>0</v>
      </c>
      <c r="F123" s="122">
        <v>0.0</v>
      </c>
      <c r="G123" s="127">
        <f t="shared" si="2"/>
        <v>0</v>
      </c>
      <c r="H123" s="122">
        <v>0.0</v>
      </c>
      <c r="I123" s="128">
        <v>0.0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20" t="s">
        <v>258</v>
      </c>
      <c r="B124" s="121">
        <v>5.0</v>
      </c>
      <c r="C124" s="122">
        <v>20.0</v>
      </c>
      <c r="D124" s="121">
        <v>1.0</v>
      </c>
      <c r="E124" s="126">
        <f t="shared" si="6"/>
        <v>0</v>
      </c>
      <c r="F124" s="122">
        <v>0.0</v>
      </c>
      <c r="G124" s="127">
        <f t="shared" si="2"/>
        <v>0</v>
      </c>
      <c r="H124" s="122">
        <v>0.0</v>
      </c>
      <c r="I124" s="128">
        <v>0.0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20" t="s">
        <v>385</v>
      </c>
      <c r="B125" s="121">
        <v>2.0</v>
      </c>
      <c r="C125" s="122">
        <v>8.0</v>
      </c>
      <c r="D125" s="121">
        <v>0.0</v>
      </c>
      <c r="E125" s="126">
        <f t="shared" si="6"/>
        <v>0</v>
      </c>
      <c r="F125" s="122">
        <v>0.0</v>
      </c>
      <c r="G125" s="127">
        <f t="shared" si="2"/>
        <v>0</v>
      </c>
      <c r="H125" s="122">
        <v>0.0</v>
      </c>
      <c r="I125" s="128">
        <v>0.0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20" t="s">
        <v>245</v>
      </c>
      <c r="B126" s="121">
        <v>5.0</v>
      </c>
      <c r="C126" s="122">
        <v>20.0</v>
      </c>
      <c r="D126" s="121">
        <v>1.0</v>
      </c>
      <c r="E126" s="126">
        <f t="shared" si="6"/>
        <v>0</v>
      </c>
      <c r="F126" s="122">
        <v>0.0</v>
      </c>
      <c r="G126" s="127">
        <f t="shared" si="2"/>
        <v>0</v>
      </c>
      <c r="H126" s="122">
        <v>0.0</v>
      </c>
      <c r="I126" s="131">
        <v>0.0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20" t="s">
        <v>303</v>
      </c>
      <c r="B127" s="121">
        <v>4.0</v>
      </c>
      <c r="C127" s="122">
        <v>16.0</v>
      </c>
      <c r="D127" s="121">
        <v>0.0</v>
      </c>
      <c r="E127" s="126">
        <f t="shared" si="6"/>
        <v>0</v>
      </c>
      <c r="F127" s="122">
        <v>0.0</v>
      </c>
      <c r="G127" s="127">
        <f t="shared" si="2"/>
        <v>0</v>
      </c>
      <c r="H127" s="122">
        <v>0.0</v>
      </c>
      <c r="I127" s="128">
        <v>0.0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20" t="s">
        <v>360</v>
      </c>
      <c r="B128" s="121">
        <v>2.0</v>
      </c>
      <c r="C128" s="122">
        <v>8.0</v>
      </c>
      <c r="D128" s="121">
        <v>0.0</v>
      </c>
      <c r="E128" s="126">
        <f t="shared" si="6"/>
        <v>0</v>
      </c>
      <c r="F128" s="122">
        <v>0.0</v>
      </c>
      <c r="G128" s="127">
        <f t="shared" si="2"/>
        <v>0</v>
      </c>
      <c r="H128" s="122">
        <v>0.0</v>
      </c>
      <c r="I128" s="128">
        <v>0.0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20" t="s">
        <v>261</v>
      </c>
      <c r="B129" s="121">
        <v>5.0</v>
      </c>
      <c r="C129" s="122">
        <v>20.0</v>
      </c>
      <c r="D129" s="121">
        <v>1.0</v>
      </c>
      <c r="E129" s="126">
        <f t="shared" si="6"/>
        <v>0</v>
      </c>
      <c r="F129" s="122">
        <v>0.0</v>
      </c>
      <c r="G129" s="127">
        <f t="shared" si="2"/>
        <v>0</v>
      </c>
      <c r="H129" s="122">
        <v>0.0</v>
      </c>
      <c r="I129" s="128">
        <v>0.0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20" t="s">
        <v>367</v>
      </c>
      <c r="B130" s="121">
        <v>1.0</v>
      </c>
      <c r="C130" s="122">
        <v>4.0</v>
      </c>
      <c r="D130" s="121">
        <v>0.0</v>
      </c>
      <c r="E130" s="126">
        <f t="shared" si="6"/>
        <v>0</v>
      </c>
      <c r="F130" s="122">
        <v>0.0</v>
      </c>
      <c r="G130" s="127">
        <f t="shared" si="2"/>
        <v>0</v>
      </c>
      <c r="H130" s="122">
        <v>0.0</v>
      </c>
      <c r="I130" s="128">
        <v>0.0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20" t="s">
        <v>320</v>
      </c>
      <c r="B131" s="121">
        <v>4.0</v>
      </c>
      <c r="C131" s="122">
        <v>16.0</v>
      </c>
      <c r="D131" s="121">
        <v>0.0</v>
      </c>
      <c r="E131" s="126">
        <f t="shared" si="6"/>
        <v>0</v>
      </c>
      <c r="F131" s="122">
        <v>0.0</v>
      </c>
      <c r="G131" s="127">
        <f t="shared" si="2"/>
        <v>0</v>
      </c>
      <c r="H131" s="122">
        <v>0.0</v>
      </c>
      <c r="I131" s="128">
        <v>0.0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20" t="s">
        <v>346</v>
      </c>
      <c r="B132" s="121">
        <v>2.0</v>
      </c>
      <c r="C132" s="122">
        <v>8.0</v>
      </c>
      <c r="D132" s="121">
        <v>0.0</v>
      </c>
      <c r="E132" s="126">
        <f t="shared" si="6"/>
        <v>0</v>
      </c>
      <c r="F132" s="122">
        <v>0.0</v>
      </c>
      <c r="G132" s="127">
        <f t="shared" si="2"/>
        <v>0</v>
      </c>
      <c r="H132" s="122">
        <v>0.0</v>
      </c>
      <c r="I132" s="128">
        <v>0.0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20" t="s">
        <v>263</v>
      </c>
      <c r="B133" s="121">
        <v>4.0</v>
      </c>
      <c r="C133" s="122">
        <v>16.0</v>
      </c>
      <c r="D133" s="121">
        <v>0.0</v>
      </c>
      <c r="E133" s="126">
        <f t="shared" si="6"/>
        <v>0</v>
      </c>
      <c r="F133" s="122">
        <v>0.0</v>
      </c>
      <c r="G133" s="127">
        <f t="shared" si="2"/>
        <v>0</v>
      </c>
      <c r="H133" s="122">
        <v>0.0</v>
      </c>
      <c r="I133" s="128">
        <v>0.0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20" t="s">
        <v>389</v>
      </c>
      <c r="B134" s="121">
        <v>2.0</v>
      </c>
      <c r="C134" s="122">
        <v>8.0</v>
      </c>
      <c r="D134" s="121">
        <v>0.0</v>
      </c>
      <c r="E134" s="126">
        <f t="shared" si="6"/>
        <v>0</v>
      </c>
      <c r="F134" s="122">
        <v>0.0</v>
      </c>
      <c r="G134" s="127">
        <f t="shared" si="2"/>
        <v>0</v>
      </c>
      <c r="H134" s="122">
        <v>0.0</v>
      </c>
      <c r="I134" s="131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20" t="s">
        <v>323</v>
      </c>
      <c r="B135" s="121">
        <v>4.0</v>
      </c>
      <c r="C135" s="122">
        <v>16.0</v>
      </c>
      <c r="D135" s="121">
        <v>0.0</v>
      </c>
      <c r="E135" s="126">
        <f t="shared" si="6"/>
        <v>0</v>
      </c>
      <c r="F135" s="122">
        <v>0.0</v>
      </c>
      <c r="G135" s="127">
        <f t="shared" si="2"/>
        <v>0</v>
      </c>
      <c r="H135" s="122">
        <v>0.0</v>
      </c>
      <c r="I135" s="131">
        <v>0.0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0" t="s">
        <v>391</v>
      </c>
      <c r="B136" s="121">
        <v>2.0</v>
      </c>
      <c r="C136" s="122">
        <f t="shared" ref="C136:C140" si="7">B136*4</f>
        <v>8</v>
      </c>
      <c r="D136" s="121">
        <v>0.0</v>
      </c>
      <c r="E136" s="126">
        <f t="shared" si="6"/>
        <v>0</v>
      </c>
      <c r="F136" s="122">
        <v>0.0</v>
      </c>
      <c r="G136" s="127">
        <f t="shared" si="2"/>
        <v>0</v>
      </c>
      <c r="H136" s="122">
        <v>0.0</v>
      </c>
      <c r="I136" s="128">
        <v>0.0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0" t="s">
        <v>313</v>
      </c>
      <c r="B137" s="121">
        <v>4.0</v>
      </c>
      <c r="C137" s="122">
        <f t="shared" si="7"/>
        <v>16</v>
      </c>
      <c r="D137" s="121">
        <v>0.0</v>
      </c>
      <c r="E137" s="126">
        <f t="shared" si="6"/>
        <v>0</v>
      </c>
      <c r="F137" s="122">
        <v>0.0</v>
      </c>
      <c r="G137" s="127">
        <f t="shared" si="2"/>
        <v>0</v>
      </c>
      <c r="H137" s="122">
        <v>0.0</v>
      </c>
      <c r="I137" s="128">
        <v>0.0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0" t="s">
        <v>229</v>
      </c>
      <c r="B138" s="121">
        <v>5.0</v>
      </c>
      <c r="C138" s="122">
        <f t="shared" si="7"/>
        <v>20</v>
      </c>
      <c r="D138" s="121">
        <v>1.0</v>
      </c>
      <c r="E138" s="126">
        <f t="shared" si="6"/>
        <v>0</v>
      </c>
      <c r="F138" s="122">
        <v>0.0</v>
      </c>
      <c r="G138" s="127">
        <f t="shared" si="2"/>
        <v>0</v>
      </c>
      <c r="H138" s="122">
        <v>0.0</v>
      </c>
      <c r="I138" s="128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20" t="s">
        <v>260</v>
      </c>
      <c r="B139" s="121">
        <v>5.0</v>
      </c>
      <c r="C139" s="122">
        <f t="shared" si="7"/>
        <v>20</v>
      </c>
      <c r="D139" s="121">
        <v>0.0</v>
      </c>
      <c r="E139" s="126">
        <f t="shared" si="6"/>
        <v>0</v>
      </c>
      <c r="F139" s="122">
        <v>0.0</v>
      </c>
      <c r="G139" s="127">
        <f t="shared" si="2"/>
        <v>0</v>
      </c>
      <c r="H139" s="122">
        <v>0.0</v>
      </c>
      <c r="I139" s="128">
        <v>0.0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20" t="s">
        <v>393</v>
      </c>
      <c r="B140" s="121">
        <v>4.0</v>
      </c>
      <c r="C140" s="122">
        <f t="shared" si="7"/>
        <v>16</v>
      </c>
      <c r="D140" s="121">
        <v>0.0</v>
      </c>
      <c r="E140" s="126">
        <f t="shared" si="6"/>
        <v>0</v>
      </c>
      <c r="F140" s="122">
        <v>0.0</v>
      </c>
      <c r="G140" s="127">
        <f t="shared" si="2"/>
        <v>0</v>
      </c>
      <c r="H140" s="122">
        <v>0.0</v>
      </c>
      <c r="I140" s="128">
        <v>0.0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20" t="s">
        <v>361</v>
      </c>
      <c r="B141" s="121">
        <v>5.0</v>
      </c>
      <c r="C141" s="122">
        <v>20.0</v>
      </c>
      <c r="D141" s="121">
        <v>0.0</v>
      </c>
      <c r="E141" s="126">
        <f t="shared" si="6"/>
        <v>0</v>
      </c>
      <c r="F141" s="122">
        <v>0.0</v>
      </c>
      <c r="G141" s="127">
        <f t="shared" si="2"/>
        <v>0</v>
      </c>
      <c r="H141" s="122">
        <v>0.0</v>
      </c>
      <c r="I141" s="128">
        <v>0.0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0" t="s">
        <v>395</v>
      </c>
      <c r="B142" s="121">
        <v>1.0</v>
      </c>
      <c r="C142" s="122">
        <v>4.0</v>
      </c>
      <c r="D142" s="121">
        <v>0.0</v>
      </c>
      <c r="E142" s="126">
        <f t="shared" si="6"/>
        <v>0</v>
      </c>
      <c r="F142" s="122">
        <v>0.0</v>
      </c>
      <c r="G142" s="127">
        <f t="shared" si="2"/>
        <v>0</v>
      </c>
      <c r="H142" s="122">
        <v>0.0</v>
      </c>
      <c r="I142" s="128">
        <v>0.0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20" t="s">
        <v>364</v>
      </c>
      <c r="B143" s="121">
        <v>5.0</v>
      </c>
      <c r="C143" s="122">
        <v>20.0</v>
      </c>
      <c r="D143" s="121">
        <v>0.0</v>
      </c>
      <c r="E143" s="126">
        <f t="shared" si="6"/>
        <v>0</v>
      </c>
      <c r="F143" s="122">
        <v>0.0</v>
      </c>
      <c r="G143" s="127">
        <f t="shared" si="2"/>
        <v>0</v>
      </c>
      <c r="H143" s="122">
        <v>0.0</v>
      </c>
      <c r="I143" s="131">
        <v>0.0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20" t="s">
        <v>396</v>
      </c>
      <c r="B144" s="121">
        <v>1.0</v>
      </c>
      <c r="C144" s="122">
        <v>4.0</v>
      </c>
      <c r="D144" s="121">
        <v>0.0</v>
      </c>
      <c r="E144" s="126">
        <f t="shared" si="6"/>
        <v>0</v>
      </c>
      <c r="F144" s="122">
        <v>0.0</v>
      </c>
      <c r="G144" s="127">
        <f t="shared" si="2"/>
        <v>0</v>
      </c>
      <c r="H144" s="122">
        <v>0.0</v>
      </c>
      <c r="I144" s="128">
        <v>0.0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20" t="s">
        <v>397</v>
      </c>
      <c r="B145" s="121">
        <v>3.0</v>
      </c>
      <c r="C145" s="122">
        <v>11.0</v>
      </c>
      <c r="D145" s="121">
        <v>1.0</v>
      </c>
      <c r="E145" s="126">
        <f t="shared" si="6"/>
        <v>0</v>
      </c>
      <c r="F145" s="122">
        <v>0.0</v>
      </c>
      <c r="G145" s="127">
        <f t="shared" si="2"/>
        <v>0</v>
      </c>
      <c r="H145" s="122">
        <v>0.0</v>
      </c>
      <c r="I145" s="128">
        <v>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20" t="s">
        <v>301</v>
      </c>
      <c r="B146" s="121">
        <v>3.0</v>
      </c>
      <c r="C146" s="122">
        <v>11.0</v>
      </c>
      <c r="D146" s="121">
        <v>0.0</v>
      </c>
      <c r="E146" s="126">
        <f t="shared" si="6"/>
        <v>0</v>
      </c>
      <c r="F146" s="122">
        <v>0.0</v>
      </c>
      <c r="G146" s="127">
        <f t="shared" si="2"/>
        <v>0</v>
      </c>
      <c r="H146" s="122">
        <v>0.0</v>
      </c>
      <c r="I146" s="128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20" t="s">
        <v>375</v>
      </c>
      <c r="B147" s="121">
        <v>1.0</v>
      </c>
      <c r="C147" s="122">
        <v>4.0</v>
      </c>
      <c r="D147" s="121">
        <v>0.0</v>
      </c>
      <c r="E147" s="126">
        <f t="shared" si="6"/>
        <v>0</v>
      </c>
      <c r="F147" s="122">
        <v>0.0</v>
      </c>
      <c r="G147" s="127">
        <f t="shared" si="2"/>
        <v>0</v>
      </c>
      <c r="H147" s="122">
        <v>0.0</v>
      </c>
      <c r="I147" s="128">
        <v>0.0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20" t="s">
        <v>305</v>
      </c>
      <c r="B148" s="121">
        <v>4.0</v>
      </c>
      <c r="C148" s="122">
        <v>16.0</v>
      </c>
      <c r="D148" s="121">
        <v>0.0</v>
      </c>
      <c r="E148" s="126">
        <f t="shared" si="6"/>
        <v>0</v>
      </c>
      <c r="F148" s="122">
        <v>0.0</v>
      </c>
      <c r="G148" s="127">
        <f t="shared" si="2"/>
        <v>0</v>
      </c>
      <c r="H148" s="122">
        <v>0.0</v>
      </c>
      <c r="I148" s="128">
        <v>0.0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20" t="s">
        <v>399</v>
      </c>
      <c r="B149" s="121">
        <v>1.0</v>
      </c>
      <c r="C149" s="122">
        <v>4.0</v>
      </c>
      <c r="D149" s="121">
        <v>0.0</v>
      </c>
      <c r="E149" s="126">
        <f t="shared" si="6"/>
        <v>0</v>
      </c>
      <c r="F149" s="122">
        <v>0.0</v>
      </c>
      <c r="G149" s="127">
        <f t="shared" si="2"/>
        <v>0</v>
      </c>
      <c r="H149" s="122">
        <v>0.0</v>
      </c>
      <c r="I149" s="128">
        <v>0.0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20" t="s">
        <v>380</v>
      </c>
      <c r="B150" s="121">
        <v>2.0</v>
      </c>
      <c r="C150" s="122">
        <v>8.0</v>
      </c>
      <c r="D150" s="121">
        <v>1.0</v>
      </c>
      <c r="E150" s="126">
        <f t="shared" si="6"/>
        <v>0</v>
      </c>
      <c r="F150" s="122">
        <v>0.0</v>
      </c>
      <c r="G150" s="127">
        <f t="shared" si="2"/>
        <v>0</v>
      </c>
      <c r="H150" s="122">
        <v>0.0</v>
      </c>
      <c r="I150" s="128">
        <v>0.0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20" t="s">
        <v>328</v>
      </c>
      <c r="B151" s="121">
        <v>1.0</v>
      </c>
      <c r="C151" s="122">
        <v>4.0</v>
      </c>
      <c r="D151" s="121">
        <v>0.0</v>
      </c>
      <c r="E151" s="126">
        <f t="shared" si="6"/>
        <v>0</v>
      </c>
      <c r="F151" s="122">
        <v>0.0</v>
      </c>
      <c r="G151" s="127">
        <f t="shared" si="2"/>
        <v>0</v>
      </c>
      <c r="H151" s="122">
        <v>0.0</v>
      </c>
      <c r="I151" s="128">
        <v>0.0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20" t="s">
        <v>424</v>
      </c>
      <c r="B152" s="121">
        <v>1.0</v>
      </c>
      <c r="C152" s="122">
        <v>4.0</v>
      </c>
      <c r="D152" s="121">
        <v>0.0</v>
      </c>
      <c r="E152" s="126">
        <f t="shared" si="6"/>
        <v>0</v>
      </c>
      <c r="F152" s="122">
        <v>0.0</v>
      </c>
      <c r="G152" s="127">
        <f t="shared" si="2"/>
        <v>0</v>
      </c>
      <c r="H152" s="122">
        <v>0.0</v>
      </c>
      <c r="I152" s="131">
        <v>0.0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20" t="s">
        <v>307</v>
      </c>
      <c r="B153" s="121">
        <v>1.0</v>
      </c>
      <c r="C153" s="122">
        <v>4.0</v>
      </c>
      <c r="D153" s="121">
        <v>0.0</v>
      </c>
      <c r="E153" s="126">
        <f t="shared" si="6"/>
        <v>0</v>
      </c>
      <c r="F153" s="122">
        <v>0.0</v>
      </c>
      <c r="G153" s="127">
        <f t="shared" si="2"/>
        <v>0</v>
      </c>
      <c r="H153" s="122">
        <v>0.0</v>
      </c>
      <c r="I153" s="128">
        <v>0.0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20" t="s">
        <v>332</v>
      </c>
      <c r="B154" s="121">
        <v>5.0</v>
      </c>
      <c r="C154" s="122">
        <v>20.0</v>
      </c>
      <c r="D154" s="121">
        <v>0.0</v>
      </c>
      <c r="E154" s="126">
        <f t="shared" si="6"/>
        <v>0</v>
      </c>
      <c r="F154" s="122">
        <v>0.0</v>
      </c>
      <c r="G154" s="127">
        <f t="shared" si="2"/>
        <v>0</v>
      </c>
      <c r="H154" s="122">
        <v>0.0</v>
      </c>
      <c r="I154" s="128">
        <v>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20" t="s">
        <v>382</v>
      </c>
      <c r="B155" s="121">
        <v>5.0</v>
      </c>
      <c r="C155" s="122">
        <v>20.0</v>
      </c>
      <c r="D155" s="121">
        <v>0.0</v>
      </c>
      <c r="E155" s="126">
        <f t="shared" si="6"/>
        <v>0</v>
      </c>
      <c r="F155" s="122">
        <v>0.0</v>
      </c>
      <c r="G155" s="127">
        <f t="shared" si="2"/>
        <v>0</v>
      </c>
      <c r="H155" s="122">
        <v>0.0</v>
      </c>
      <c r="I155" s="128">
        <v>0.0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20" t="s">
        <v>342</v>
      </c>
      <c r="B156" s="121">
        <v>1.0</v>
      </c>
      <c r="C156" s="122">
        <v>4.0</v>
      </c>
      <c r="D156" s="121">
        <v>0.0</v>
      </c>
      <c r="E156" s="126">
        <f t="shared" si="6"/>
        <v>0</v>
      </c>
      <c r="F156" s="122">
        <v>0.0</v>
      </c>
      <c r="G156" s="127">
        <f t="shared" si="2"/>
        <v>0</v>
      </c>
      <c r="H156" s="122">
        <v>0.0</v>
      </c>
      <c r="I156" s="128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20" t="s">
        <v>379</v>
      </c>
      <c r="B157" s="121">
        <v>3.0</v>
      </c>
      <c r="C157" s="122">
        <v>12.0</v>
      </c>
      <c r="D157" s="121">
        <v>0.0</v>
      </c>
      <c r="E157" s="126">
        <f t="shared" si="6"/>
        <v>0</v>
      </c>
      <c r="F157" s="122">
        <v>0.0</v>
      </c>
      <c r="G157" s="127">
        <f t="shared" si="2"/>
        <v>0</v>
      </c>
      <c r="H157" s="122">
        <v>0.0</v>
      </c>
      <c r="I157" s="128">
        <v>0.0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0" t="s">
        <v>308</v>
      </c>
      <c r="B158" s="121">
        <v>4.0</v>
      </c>
      <c r="C158" s="122">
        <v>16.0</v>
      </c>
      <c r="D158" s="121">
        <v>0.0</v>
      </c>
      <c r="E158" s="126">
        <f t="shared" si="6"/>
        <v>0</v>
      </c>
      <c r="F158" s="122">
        <v>0.0</v>
      </c>
      <c r="G158" s="127">
        <f t="shared" si="2"/>
        <v>0</v>
      </c>
      <c r="H158" s="122">
        <v>0.0</v>
      </c>
      <c r="I158" s="128">
        <v>0.0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0" t="s">
        <v>293</v>
      </c>
      <c r="B159" s="121">
        <v>5.0</v>
      </c>
      <c r="C159" s="122">
        <v>20.0</v>
      </c>
      <c r="D159" s="121">
        <v>0.0</v>
      </c>
      <c r="E159" s="126">
        <f t="shared" si="6"/>
        <v>0</v>
      </c>
      <c r="F159" s="122">
        <v>0.0</v>
      </c>
      <c r="G159" s="127">
        <f t="shared" si="2"/>
        <v>0</v>
      </c>
      <c r="H159" s="122">
        <v>0.0</v>
      </c>
      <c r="I159" s="128">
        <v>0.0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0" t="s">
        <v>349</v>
      </c>
      <c r="B160" s="121">
        <v>1.0</v>
      </c>
      <c r="C160" s="122">
        <v>4.0</v>
      </c>
      <c r="D160" s="121">
        <v>0.0</v>
      </c>
      <c r="E160" s="126">
        <f t="shared" si="6"/>
        <v>0</v>
      </c>
      <c r="F160" s="122">
        <v>0.0</v>
      </c>
      <c r="G160" s="127">
        <f t="shared" si="2"/>
        <v>0</v>
      </c>
      <c r="H160" s="122">
        <v>0.0</v>
      </c>
      <c r="I160" s="128">
        <v>0.0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0" t="s">
        <v>348</v>
      </c>
      <c r="B161" s="121">
        <v>2.0</v>
      </c>
      <c r="C161" s="122">
        <v>8.0</v>
      </c>
      <c r="D161" s="121">
        <v>0.0</v>
      </c>
      <c r="E161" s="126">
        <f t="shared" si="6"/>
        <v>0</v>
      </c>
      <c r="F161" s="122">
        <v>0.0</v>
      </c>
      <c r="G161" s="127">
        <f t="shared" si="2"/>
        <v>0</v>
      </c>
      <c r="H161" s="122">
        <v>0.0</v>
      </c>
      <c r="I161" s="128">
        <v>0.0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0" t="s">
        <v>329</v>
      </c>
      <c r="B162" s="121">
        <v>1.0</v>
      </c>
      <c r="C162" s="122">
        <v>4.0</v>
      </c>
      <c r="D162" s="121">
        <v>0.0</v>
      </c>
      <c r="E162" s="126">
        <f t="shared" si="6"/>
        <v>0</v>
      </c>
      <c r="F162" s="122">
        <v>0.0</v>
      </c>
      <c r="G162" s="127">
        <f t="shared" si="2"/>
        <v>0</v>
      </c>
      <c r="H162" s="122">
        <v>0.0</v>
      </c>
      <c r="I162" s="128">
        <v>0.0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0" t="s">
        <v>278</v>
      </c>
      <c r="B163" s="121">
        <v>4.0</v>
      </c>
      <c r="C163" s="122">
        <v>16.0</v>
      </c>
      <c r="D163" s="121">
        <v>1.0</v>
      </c>
      <c r="E163" s="126">
        <f t="shared" si="6"/>
        <v>0</v>
      </c>
      <c r="F163" s="122">
        <v>0.0</v>
      </c>
      <c r="G163" s="127">
        <f t="shared" si="2"/>
        <v>0</v>
      </c>
      <c r="H163" s="122">
        <v>0.0</v>
      </c>
      <c r="I163" s="128">
        <v>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0" t="s">
        <v>326</v>
      </c>
      <c r="B164" s="121">
        <v>5.0</v>
      </c>
      <c r="C164" s="122">
        <v>20.0</v>
      </c>
      <c r="D164" s="121">
        <v>0.0</v>
      </c>
      <c r="E164" s="126">
        <f t="shared" si="6"/>
        <v>0</v>
      </c>
      <c r="F164" s="122">
        <v>0.0</v>
      </c>
      <c r="G164" s="127">
        <f t="shared" si="2"/>
        <v>0</v>
      </c>
      <c r="H164" s="122">
        <v>0.0</v>
      </c>
      <c r="I164" s="128">
        <v>0.0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0" t="s">
        <v>228</v>
      </c>
      <c r="B165" s="121">
        <v>5.0</v>
      </c>
      <c r="C165" s="122">
        <v>20.0</v>
      </c>
      <c r="D165" s="121">
        <v>0.0</v>
      </c>
      <c r="E165" s="126">
        <f t="shared" si="6"/>
        <v>0</v>
      </c>
      <c r="F165" s="122">
        <v>0.0</v>
      </c>
      <c r="G165" s="127">
        <f t="shared" si="2"/>
        <v>0</v>
      </c>
      <c r="H165" s="122">
        <v>0.0</v>
      </c>
      <c r="I165" s="128">
        <v>0.0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0" t="s">
        <v>406</v>
      </c>
      <c r="B166" s="121">
        <v>5.0</v>
      </c>
      <c r="C166" s="122">
        <v>20.0</v>
      </c>
      <c r="D166" s="121">
        <v>0.0</v>
      </c>
      <c r="E166" s="126">
        <f t="shared" si="6"/>
        <v>0</v>
      </c>
      <c r="F166" s="122">
        <v>0.0</v>
      </c>
      <c r="G166" s="127">
        <f t="shared" si="2"/>
        <v>0</v>
      </c>
      <c r="H166" s="122">
        <v>0.0</v>
      </c>
      <c r="I166" s="131">
        <v>0.0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0" t="s">
        <v>225</v>
      </c>
      <c r="B167" s="121">
        <v>5.0</v>
      </c>
      <c r="C167" s="122">
        <v>20.0</v>
      </c>
      <c r="D167" s="121">
        <v>0.0</v>
      </c>
      <c r="E167" s="126">
        <f t="shared" si="6"/>
        <v>0</v>
      </c>
      <c r="F167" s="122">
        <v>0.0</v>
      </c>
      <c r="G167" s="127">
        <f t="shared" si="2"/>
        <v>0</v>
      </c>
      <c r="H167" s="122">
        <v>0.0</v>
      </c>
      <c r="I167" s="131">
        <v>0.0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0" t="s">
        <v>407</v>
      </c>
      <c r="B168" s="121">
        <v>1.0</v>
      </c>
      <c r="C168" s="122">
        <v>4.0</v>
      </c>
      <c r="D168" s="121">
        <v>0.0</v>
      </c>
      <c r="E168" s="126">
        <f t="shared" si="6"/>
        <v>0</v>
      </c>
      <c r="F168" s="122">
        <v>0.0</v>
      </c>
      <c r="G168" s="127">
        <f t="shared" si="2"/>
        <v>0</v>
      </c>
      <c r="H168" s="122">
        <v>0.0</v>
      </c>
      <c r="I168" s="128">
        <v>0.0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0" t="s">
        <v>408</v>
      </c>
      <c r="B169" s="121">
        <v>4.0</v>
      </c>
      <c r="C169" s="122">
        <v>16.0</v>
      </c>
      <c r="D169" s="121">
        <v>0.0</v>
      </c>
      <c r="E169" s="126">
        <f t="shared" si="6"/>
        <v>0</v>
      </c>
      <c r="F169" s="122">
        <v>0.0</v>
      </c>
      <c r="G169" s="127">
        <f t="shared" si="2"/>
        <v>0</v>
      </c>
      <c r="H169" s="122">
        <v>0.0</v>
      </c>
      <c r="I169" s="128">
        <v>0.0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0" t="s">
        <v>409</v>
      </c>
      <c r="B170" s="121">
        <v>1.0</v>
      </c>
      <c r="C170" s="122">
        <v>4.0</v>
      </c>
      <c r="D170" s="121">
        <v>0.0</v>
      </c>
      <c r="E170" s="126">
        <f t="shared" si="6"/>
        <v>0</v>
      </c>
      <c r="F170" s="122">
        <v>0.0</v>
      </c>
      <c r="G170" s="127">
        <f t="shared" si="2"/>
        <v>0</v>
      </c>
      <c r="H170" s="122">
        <v>0.0</v>
      </c>
      <c r="I170" s="128">
        <v>0.0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0" t="s">
        <v>297</v>
      </c>
      <c r="B171" s="121">
        <v>3.0</v>
      </c>
      <c r="C171" s="122">
        <v>12.0</v>
      </c>
      <c r="D171" s="121">
        <v>0.0</v>
      </c>
      <c r="E171" s="126">
        <f t="shared" si="6"/>
        <v>0</v>
      </c>
      <c r="F171" s="122">
        <v>0.0</v>
      </c>
      <c r="G171" s="127">
        <f t="shared" si="2"/>
        <v>0</v>
      </c>
      <c r="H171" s="122">
        <v>0.0</v>
      </c>
      <c r="I171" s="128">
        <v>0.0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0" t="s">
        <v>352</v>
      </c>
      <c r="B172" s="121">
        <v>1.0</v>
      </c>
      <c r="C172" s="122">
        <v>4.0</v>
      </c>
      <c r="D172" s="121">
        <v>0.0</v>
      </c>
      <c r="E172" s="126">
        <f t="shared" si="6"/>
        <v>0</v>
      </c>
      <c r="F172" s="122">
        <v>0.0</v>
      </c>
      <c r="G172" s="127">
        <f t="shared" si="2"/>
        <v>0</v>
      </c>
      <c r="H172" s="122">
        <v>0.0</v>
      </c>
      <c r="I172" s="128">
        <v>0.0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0" t="s">
        <v>410</v>
      </c>
      <c r="B173" s="121">
        <v>1.0</v>
      </c>
      <c r="C173" s="122">
        <v>4.0</v>
      </c>
      <c r="D173" s="121">
        <v>0.0</v>
      </c>
      <c r="E173" s="126">
        <f t="shared" si="6"/>
        <v>0</v>
      </c>
      <c r="F173" s="122">
        <v>0.0</v>
      </c>
      <c r="G173" s="127">
        <f t="shared" si="2"/>
        <v>0</v>
      </c>
      <c r="H173" s="122">
        <v>0.0</v>
      </c>
      <c r="I173" s="128">
        <v>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0" t="s">
        <v>353</v>
      </c>
      <c r="B174" s="121">
        <v>5.0</v>
      </c>
      <c r="C174" s="122">
        <v>20.0</v>
      </c>
      <c r="D174" s="121">
        <v>0.0</v>
      </c>
      <c r="E174" s="126">
        <f t="shared" si="6"/>
        <v>0</v>
      </c>
      <c r="F174" s="122">
        <v>0.0</v>
      </c>
      <c r="G174" s="127">
        <f t="shared" si="2"/>
        <v>0</v>
      </c>
      <c r="H174" s="122">
        <v>0.0</v>
      </c>
      <c r="I174" s="128">
        <v>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0" t="s">
        <v>314</v>
      </c>
      <c r="B175" s="121">
        <v>5.0</v>
      </c>
      <c r="C175" s="122">
        <v>20.0</v>
      </c>
      <c r="D175" s="121">
        <v>0.0</v>
      </c>
      <c r="E175" s="126">
        <f t="shared" si="6"/>
        <v>0</v>
      </c>
      <c r="F175" s="122">
        <v>0.0</v>
      </c>
      <c r="G175" s="127">
        <f t="shared" si="2"/>
        <v>0</v>
      </c>
      <c r="H175" s="122">
        <v>0.0</v>
      </c>
      <c r="I175" s="131">
        <v>0.0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0" t="s">
        <v>310</v>
      </c>
      <c r="B176" s="121">
        <v>5.0</v>
      </c>
      <c r="C176" s="122">
        <v>20.0</v>
      </c>
      <c r="D176" s="121">
        <v>0.0</v>
      </c>
      <c r="E176" s="126">
        <f t="shared" si="6"/>
        <v>0</v>
      </c>
      <c r="F176" s="122">
        <v>0.0</v>
      </c>
      <c r="G176" s="127">
        <f t="shared" si="2"/>
        <v>0</v>
      </c>
      <c r="H176" s="122">
        <v>0.0</v>
      </c>
      <c r="I176" s="128">
        <v>0.0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0" t="s">
        <v>368</v>
      </c>
      <c r="B177" s="121">
        <v>4.0</v>
      </c>
      <c r="C177" s="122">
        <v>16.0</v>
      </c>
      <c r="D177" s="121">
        <v>0.0</v>
      </c>
      <c r="E177" s="126">
        <f t="shared" si="6"/>
        <v>0</v>
      </c>
      <c r="F177" s="122">
        <v>0.0</v>
      </c>
      <c r="G177" s="127">
        <f t="shared" si="2"/>
        <v>0</v>
      </c>
      <c r="H177" s="122">
        <v>0.0</v>
      </c>
      <c r="I177" s="128">
        <v>0.0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0" t="s">
        <v>311</v>
      </c>
      <c r="B178" s="121">
        <v>2.0</v>
      </c>
      <c r="C178" s="122">
        <v>8.0</v>
      </c>
      <c r="D178" s="121">
        <v>0.0</v>
      </c>
      <c r="E178" s="126">
        <f t="shared" si="6"/>
        <v>0</v>
      </c>
      <c r="F178" s="122">
        <v>0.0</v>
      </c>
      <c r="G178" s="127">
        <f t="shared" si="2"/>
        <v>0</v>
      </c>
      <c r="H178" s="122">
        <v>0.0</v>
      </c>
      <c r="I178" s="128">
        <v>0.0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0" t="s">
        <v>256</v>
      </c>
      <c r="B179" s="121">
        <v>5.0</v>
      </c>
      <c r="C179" s="122">
        <v>20.0</v>
      </c>
      <c r="D179" s="121">
        <v>0.0</v>
      </c>
      <c r="E179" s="126">
        <f t="shared" si="6"/>
        <v>0</v>
      </c>
      <c r="F179" s="122">
        <v>0.0</v>
      </c>
      <c r="G179" s="127">
        <f t="shared" si="2"/>
        <v>0</v>
      </c>
      <c r="H179" s="122">
        <v>0.0</v>
      </c>
      <c r="I179" s="128">
        <v>0.0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0" t="s">
        <v>233</v>
      </c>
      <c r="B180" s="121">
        <v>5.0</v>
      </c>
      <c r="C180" s="122">
        <v>20.0</v>
      </c>
      <c r="D180" s="121">
        <v>0.0</v>
      </c>
      <c r="E180" s="126">
        <f t="shared" si="6"/>
        <v>0</v>
      </c>
      <c r="F180" s="122">
        <v>0.0</v>
      </c>
      <c r="G180" s="127">
        <f t="shared" si="2"/>
        <v>0</v>
      </c>
      <c r="H180" s="122">
        <v>0.0</v>
      </c>
      <c r="I180" s="128">
        <v>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0" t="s">
        <v>374</v>
      </c>
      <c r="B181" s="121">
        <v>3.0</v>
      </c>
      <c r="C181" s="122">
        <v>12.0</v>
      </c>
      <c r="D181" s="121">
        <v>0.0</v>
      </c>
      <c r="E181" s="126">
        <f t="shared" si="6"/>
        <v>0</v>
      </c>
      <c r="F181" s="122">
        <v>0.0</v>
      </c>
      <c r="G181" s="127">
        <f t="shared" si="2"/>
        <v>0</v>
      </c>
      <c r="H181" s="122">
        <v>0.0</v>
      </c>
      <c r="I181" s="131">
        <v>0.0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0" t="s">
        <v>386</v>
      </c>
      <c r="B182" s="121">
        <v>1.0</v>
      </c>
      <c r="C182" s="122">
        <v>4.0</v>
      </c>
      <c r="D182" s="121">
        <v>0.0</v>
      </c>
      <c r="E182" s="126">
        <f t="shared" si="6"/>
        <v>0</v>
      </c>
      <c r="F182" s="122">
        <v>0.0</v>
      </c>
      <c r="G182" s="127">
        <f t="shared" si="2"/>
        <v>0</v>
      </c>
      <c r="H182" s="122">
        <v>0.0</v>
      </c>
      <c r="I182" s="131">
        <v>0.0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0" t="s">
        <v>292</v>
      </c>
      <c r="B183" s="121">
        <v>4.0</v>
      </c>
      <c r="C183" s="122">
        <v>16.0</v>
      </c>
      <c r="D183" s="121">
        <v>0.0</v>
      </c>
      <c r="E183" s="126">
        <f t="shared" si="6"/>
        <v>0</v>
      </c>
      <c r="F183" s="122">
        <v>0.0</v>
      </c>
      <c r="G183" s="127">
        <f t="shared" si="2"/>
        <v>0</v>
      </c>
      <c r="H183" s="122">
        <v>0.0</v>
      </c>
      <c r="I183" s="128">
        <v>0.0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0" t="s">
        <v>327</v>
      </c>
      <c r="B184" s="121">
        <v>3.0</v>
      </c>
      <c r="C184" s="122">
        <v>12.0</v>
      </c>
      <c r="D184" s="121">
        <v>0.0</v>
      </c>
      <c r="E184" s="126">
        <f t="shared" si="6"/>
        <v>0</v>
      </c>
      <c r="F184" s="122">
        <v>0.0</v>
      </c>
      <c r="G184" s="127">
        <f t="shared" si="2"/>
        <v>0</v>
      </c>
      <c r="H184" s="122">
        <v>0.0</v>
      </c>
      <c r="I184" s="128">
        <v>0.0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0" t="s">
        <v>289</v>
      </c>
      <c r="B185" s="121">
        <v>5.0</v>
      </c>
      <c r="C185" s="122">
        <v>20.0</v>
      </c>
      <c r="D185" s="121">
        <v>0.0</v>
      </c>
      <c r="E185" s="126">
        <f t="shared" si="6"/>
        <v>0</v>
      </c>
      <c r="F185" s="122">
        <v>0.0</v>
      </c>
      <c r="G185" s="127">
        <f t="shared" si="2"/>
        <v>0</v>
      </c>
      <c r="H185" s="122">
        <v>0.0</v>
      </c>
      <c r="I185" s="128">
        <v>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0" t="s">
        <v>250</v>
      </c>
      <c r="B186" s="121">
        <v>5.0</v>
      </c>
      <c r="C186" s="122">
        <v>20.0</v>
      </c>
      <c r="D186" s="121">
        <v>0.0</v>
      </c>
      <c r="E186" s="126">
        <f t="shared" si="6"/>
        <v>0</v>
      </c>
      <c r="F186" s="122">
        <v>0.0</v>
      </c>
      <c r="G186" s="127">
        <f t="shared" si="2"/>
        <v>0</v>
      </c>
      <c r="H186" s="122">
        <v>0.0</v>
      </c>
      <c r="I186" s="131">
        <v>0.0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0" t="s">
        <v>411</v>
      </c>
      <c r="B187" s="121">
        <v>1.0</v>
      </c>
      <c r="C187" s="122">
        <v>4.0</v>
      </c>
      <c r="D187" s="121">
        <v>0.0</v>
      </c>
      <c r="E187" s="126">
        <f t="shared" si="6"/>
        <v>0</v>
      </c>
      <c r="F187" s="122">
        <v>0.0</v>
      </c>
      <c r="G187" s="127">
        <f t="shared" si="2"/>
        <v>0</v>
      </c>
      <c r="H187" s="122">
        <v>0.0</v>
      </c>
      <c r="I187" s="131">
        <v>0.0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0" t="s">
        <v>321</v>
      </c>
      <c r="B188" s="121">
        <v>2.0</v>
      </c>
      <c r="C188" s="122">
        <v>8.0</v>
      </c>
      <c r="D188" s="121">
        <v>0.0</v>
      </c>
      <c r="E188" s="126">
        <f t="shared" si="6"/>
        <v>0</v>
      </c>
      <c r="F188" s="122">
        <v>0.0</v>
      </c>
      <c r="G188" s="127">
        <f t="shared" si="2"/>
        <v>0</v>
      </c>
      <c r="H188" s="122">
        <v>0.0</v>
      </c>
      <c r="I188" s="128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0" t="s">
        <v>390</v>
      </c>
      <c r="B189" s="121">
        <v>2.0</v>
      </c>
      <c r="C189" s="122">
        <v>8.0</v>
      </c>
      <c r="D189" s="121">
        <v>2.0</v>
      </c>
      <c r="E189" s="126">
        <f t="shared" si="6"/>
        <v>0</v>
      </c>
      <c r="F189" s="122">
        <v>0.0</v>
      </c>
      <c r="G189" s="127">
        <f t="shared" si="2"/>
        <v>0</v>
      </c>
      <c r="H189" s="122">
        <v>0.0</v>
      </c>
      <c r="I189" s="128">
        <v>0.0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0" t="s">
        <v>334</v>
      </c>
      <c r="B190" s="121">
        <v>2.0</v>
      </c>
      <c r="C190" s="122">
        <v>8.0</v>
      </c>
      <c r="D190" s="121">
        <v>0.0</v>
      </c>
      <c r="E190" s="126">
        <f t="shared" si="6"/>
        <v>0</v>
      </c>
      <c r="F190" s="122">
        <v>0.0</v>
      </c>
      <c r="G190" s="127">
        <f t="shared" si="2"/>
        <v>0</v>
      </c>
      <c r="H190" s="122">
        <v>0.0</v>
      </c>
      <c r="I190" s="131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0" t="s">
        <v>413</v>
      </c>
      <c r="B191" s="121">
        <v>1.0</v>
      </c>
      <c r="C191" s="122">
        <v>4.0</v>
      </c>
      <c r="D191" s="121">
        <v>0.0</v>
      </c>
      <c r="E191" s="126">
        <f t="shared" si="6"/>
        <v>0</v>
      </c>
      <c r="F191" s="122">
        <v>0.0</v>
      </c>
      <c r="G191" s="127">
        <f t="shared" si="2"/>
        <v>0</v>
      </c>
      <c r="H191" s="122">
        <v>0.0</v>
      </c>
      <c r="I191" s="128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0" t="s">
        <v>370</v>
      </c>
      <c r="B192" s="121">
        <v>3.0</v>
      </c>
      <c r="C192" s="122">
        <v>12.0</v>
      </c>
      <c r="D192" s="121">
        <v>0.0</v>
      </c>
      <c r="E192" s="126">
        <f t="shared" si="6"/>
        <v>0</v>
      </c>
      <c r="F192" s="122">
        <v>0.0</v>
      </c>
      <c r="G192" s="127">
        <f t="shared" si="2"/>
        <v>0</v>
      </c>
      <c r="H192" s="122">
        <v>0.0</v>
      </c>
      <c r="I192" s="128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0" t="s">
        <v>415</v>
      </c>
      <c r="B193" s="121">
        <v>4.0</v>
      </c>
      <c r="C193" s="122">
        <v>16.0</v>
      </c>
      <c r="D193" s="121">
        <v>0.0</v>
      </c>
      <c r="E193" s="126">
        <f t="shared" si="6"/>
        <v>0</v>
      </c>
      <c r="F193" s="122">
        <v>0.0</v>
      </c>
      <c r="G193" s="127">
        <f t="shared" si="2"/>
        <v>0</v>
      </c>
      <c r="H193" s="122">
        <v>0.0</v>
      </c>
      <c r="I193" s="128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0" t="s">
        <v>243</v>
      </c>
      <c r="B194" s="121">
        <v>5.0</v>
      </c>
      <c r="C194" s="122">
        <v>20.0</v>
      </c>
      <c r="D194" s="121">
        <v>0.0</v>
      </c>
      <c r="E194" s="126">
        <f t="shared" si="6"/>
        <v>0</v>
      </c>
      <c r="F194" s="122">
        <v>0.0</v>
      </c>
      <c r="G194" s="127">
        <f t="shared" si="2"/>
        <v>0</v>
      </c>
      <c r="H194" s="122">
        <v>0.0</v>
      </c>
      <c r="I194" s="128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0" t="s">
        <v>401</v>
      </c>
      <c r="B195" s="121">
        <v>4.0</v>
      </c>
      <c r="C195" s="122">
        <v>16.0</v>
      </c>
      <c r="D195" s="121">
        <v>0.0</v>
      </c>
      <c r="E195" s="126">
        <f t="shared" si="6"/>
        <v>0</v>
      </c>
      <c r="F195" s="122">
        <v>0.0</v>
      </c>
      <c r="G195" s="127">
        <f t="shared" si="2"/>
        <v>0</v>
      </c>
      <c r="H195" s="122">
        <v>0.0</v>
      </c>
      <c r="I195" s="128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0" t="s">
        <v>338</v>
      </c>
      <c r="B196" s="121">
        <v>1.0</v>
      </c>
      <c r="C196" s="122">
        <v>4.0</v>
      </c>
      <c r="D196" s="121">
        <v>0.0</v>
      </c>
      <c r="E196" s="126">
        <f t="shared" si="6"/>
        <v>0</v>
      </c>
      <c r="F196" s="122">
        <v>0.0</v>
      </c>
      <c r="G196" s="127">
        <f t="shared" si="2"/>
        <v>0</v>
      </c>
      <c r="H196" s="122">
        <v>0.0</v>
      </c>
      <c r="I196" s="128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0" t="s">
        <v>357</v>
      </c>
      <c r="B197" s="121">
        <v>2.0</v>
      </c>
      <c r="C197" s="122">
        <v>8.0</v>
      </c>
      <c r="D197" s="121">
        <v>1.0</v>
      </c>
      <c r="E197" s="126">
        <f t="shared" si="6"/>
        <v>0</v>
      </c>
      <c r="F197" s="122">
        <v>0.0</v>
      </c>
      <c r="G197" s="127">
        <f t="shared" si="2"/>
        <v>0</v>
      </c>
      <c r="H197" s="122">
        <v>0.0</v>
      </c>
      <c r="I197" s="131">
        <v>0.0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0" t="s">
        <v>350</v>
      </c>
      <c r="B198" s="121">
        <v>5.0</v>
      </c>
      <c r="C198" s="122">
        <v>20.0</v>
      </c>
      <c r="D198" s="121">
        <v>3.0</v>
      </c>
      <c r="E198" s="126">
        <f t="shared" si="6"/>
        <v>0</v>
      </c>
      <c r="F198" s="122">
        <v>0.0</v>
      </c>
      <c r="G198" s="127">
        <f t="shared" si="2"/>
        <v>0</v>
      </c>
      <c r="H198" s="122">
        <v>0.0</v>
      </c>
      <c r="I198" s="128">
        <v>0.0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0" t="s">
        <v>224</v>
      </c>
      <c r="B199" s="121">
        <v>5.0</v>
      </c>
      <c r="C199" s="122">
        <v>20.0</v>
      </c>
      <c r="D199" s="121">
        <v>0.0</v>
      </c>
      <c r="E199" s="126">
        <f t="shared" si="6"/>
        <v>0</v>
      </c>
      <c r="F199" s="122">
        <v>0.0</v>
      </c>
      <c r="G199" s="127">
        <f t="shared" si="2"/>
        <v>0</v>
      </c>
      <c r="H199" s="122">
        <v>0.0</v>
      </c>
      <c r="I199" s="128">
        <v>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0" t="s">
        <v>417</v>
      </c>
      <c r="B200" s="121">
        <v>1.0</v>
      </c>
      <c r="C200" s="122">
        <v>4.0</v>
      </c>
      <c r="D200" s="121">
        <v>1.0</v>
      </c>
      <c r="E200" s="126">
        <f t="shared" si="6"/>
        <v>0</v>
      </c>
      <c r="F200" s="122">
        <v>0.0</v>
      </c>
      <c r="G200" s="127">
        <f t="shared" si="2"/>
        <v>0</v>
      </c>
      <c r="H200" s="122">
        <v>0.0</v>
      </c>
      <c r="I200" s="128">
        <v>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0" t="s">
        <v>418</v>
      </c>
      <c r="B201" s="121">
        <v>3.0</v>
      </c>
      <c r="C201" s="122">
        <v>12.0</v>
      </c>
      <c r="D201" s="121">
        <v>0.0</v>
      </c>
      <c r="E201" s="126">
        <f t="shared" si="6"/>
        <v>0</v>
      </c>
      <c r="F201" s="122">
        <v>0.0</v>
      </c>
      <c r="G201" s="127">
        <f t="shared" si="2"/>
        <v>0</v>
      </c>
      <c r="H201" s="122">
        <v>0.0</v>
      </c>
      <c r="I201" s="128">
        <v>0.0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0" t="s">
        <v>419</v>
      </c>
      <c r="B202" s="121">
        <v>1.0</v>
      </c>
      <c r="C202" s="122">
        <v>4.0</v>
      </c>
      <c r="D202" s="121">
        <v>0.0</v>
      </c>
      <c r="E202" s="126">
        <f t="shared" si="6"/>
        <v>0</v>
      </c>
      <c r="F202" s="122">
        <v>0.0</v>
      </c>
      <c r="G202" s="127">
        <f t="shared" si="2"/>
        <v>0</v>
      </c>
      <c r="H202" s="122">
        <v>0.0</v>
      </c>
      <c r="I202" s="128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0" t="s">
        <v>420</v>
      </c>
      <c r="B203" s="121">
        <v>1.0</v>
      </c>
      <c r="C203" s="122">
        <v>4.0</v>
      </c>
      <c r="D203" s="121">
        <v>0.0</v>
      </c>
      <c r="E203" s="126">
        <f t="shared" si="6"/>
        <v>0</v>
      </c>
      <c r="F203" s="122">
        <v>0.0</v>
      </c>
      <c r="G203" s="127">
        <f t="shared" si="2"/>
        <v>0</v>
      </c>
      <c r="H203" s="122">
        <v>0.0</v>
      </c>
      <c r="I203" s="131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0" t="s">
        <v>223</v>
      </c>
      <c r="B204" s="121">
        <v>5.0</v>
      </c>
      <c r="C204" s="122">
        <v>20.0</v>
      </c>
      <c r="D204" s="121">
        <v>1.0</v>
      </c>
      <c r="E204" s="126">
        <f t="shared" si="6"/>
        <v>-4</v>
      </c>
      <c r="F204" s="122">
        <v>-0.8</v>
      </c>
      <c r="G204" s="127">
        <f t="shared" si="2"/>
        <v>1</v>
      </c>
      <c r="H204" s="122">
        <v>0.2</v>
      </c>
      <c r="I204" s="131">
        <v>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0" t="s">
        <v>354</v>
      </c>
      <c r="B205" s="121">
        <v>2.0</v>
      </c>
      <c r="C205" s="122">
        <v>9.0</v>
      </c>
      <c r="D205" s="121">
        <v>3.0</v>
      </c>
      <c r="E205" s="126">
        <f t="shared" si="6"/>
        <v>-9</v>
      </c>
      <c r="F205" s="122">
        <v>-4.0</v>
      </c>
      <c r="G205" s="127">
        <f t="shared" si="2"/>
        <v>2.25</v>
      </c>
      <c r="H205" s="122">
        <v>1.0</v>
      </c>
      <c r="I205" s="128">
        <v>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4.63"/>
    <col customWidth="1" min="3" max="3" width="16.5"/>
  </cols>
  <sheetData>
    <row r="1">
      <c r="A1" s="106" t="s">
        <v>189</v>
      </c>
      <c r="B1" s="109" t="s">
        <v>191</v>
      </c>
      <c r="C1" s="110" t="s">
        <v>193</v>
      </c>
      <c r="D1" s="109" t="s">
        <v>194</v>
      </c>
      <c r="E1" s="113" t="s">
        <v>195</v>
      </c>
      <c r="F1" s="110" t="s">
        <v>421</v>
      </c>
      <c r="G1" s="116" t="s">
        <v>197</v>
      </c>
      <c r="H1" s="110" t="s">
        <v>422</v>
      </c>
      <c r="I1" s="109" t="s">
        <v>200</v>
      </c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4"/>
    </row>
    <row r="2">
      <c r="A2" s="120" t="s">
        <v>244</v>
      </c>
      <c r="B2" s="121">
        <v>5.0</v>
      </c>
      <c r="C2" s="122">
        <v>100.0</v>
      </c>
      <c r="D2" s="121">
        <v>69.0</v>
      </c>
      <c r="E2" s="126">
        <f t="shared" ref="E2:E29" si="1">F2/20*C2</f>
        <v>172</v>
      </c>
      <c r="F2" s="122">
        <v>34.4</v>
      </c>
      <c r="G2" s="127">
        <f t="shared" ref="G2:G205" si="2">H2/20*C2</f>
        <v>10</v>
      </c>
      <c r="H2" s="122">
        <v>2.0</v>
      </c>
      <c r="I2" s="128">
        <v>0.768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20" t="s">
        <v>215</v>
      </c>
      <c r="B3" s="121">
        <v>5.0</v>
      </c>
      <c r="C3" s="122">
        <v>100.0</v>
      </c>
      <c r="D3" s="121">
        <v>57.0</v>
      </c>
      <c r="E3" s="126">
        <f t="shared" si="1"/>
        <v>156</v>
      </c>
      <c r="F3" s="122">
        <v>31.2</v>
      </c>
      <c r="G3" s="127">
        <f t="shared" si="2"/>
        <v>5</v>
      </c>
      <c r="H3" s="122">
        <v>1.0</v>
      </c>
      <c r="I3" s="128">
        <v>0.772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0" t="s">
        <v>204</v>
      </c>
      <c r="B4" s="121">
        <v>5.0</v>
      </c>
      <c r="C4" s="122">
        <v>100.0</v>
      </c>
      <c r="D4" s="121">
        <v>66.0</v>
      </c>
      <c r="E4" s="126">
        <f t="shared" si="1"/>
        <v>148</v>
      </c>
      <c r="F4" s="122">
        <v>29.6</v>
      </c>
      <c r="G4" s="127">
        <f t="shared" si="2"/>
        <v>5</v>
      </c>
      <c r="H4" s="122">
        <v>1.0</v>
      </c>
      <c r="I4" s="128">
        <v>0.636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0" t="s">
        <v>232</v>
      </c>
      <c r="B5" s="121">
        <v>5.0</v>
      </c>
      <c r="C5" s="122">
        <v>100.0</v>
      </c>
      <c r="D5" s="121">
        <v>48.0</v>
      </c>
      <c r="E5" s="126">
        <f t="shared" si="1"/>
        <v>140</v>
      </c>
      <c r="F5" s="122">
        <v>28.0</v>
      </c>
      <c r="G5" s="127">
        <f t="shared" si="2"/>
        <v>5</v>
      </c>
      <c r="H5" s="122">
        <v>1.0</v>
      </c>
      <c r="I5" s="128">
        <v>0.833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0" t="s">
        <v>234</v>
      </c>
      <c r="B6" s="121">
        <v>5.0</v>
      </c>
      <c r="C6" s="122">
        <v>100.0</v>
      </c>
      <c r="D6" s="121">
        <v>55.0</v>
      </c>
      <c r="E6" s="126">
        <f t="shared" si="1"/>
        <v>120</v>
      </c>
      <c r="F6" s="122">
        <v>24.0</v>
      </c>
      <c r="G6" s="127">
        <f t="shared" si="2"/>
        <v>9</v>
      </c>
      <c r="H6" s="122">
        <v>1.8</v>
      </c>
      <c r="I6" s="128">
        <v>0.709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0" t="s">
        <v>268</v>
      </c>
      <c r="B7" s="121">
        <v>5.0</v>
      </c>
      <c r="C7" s="122">
        <v>100.0</v>
      </c>
      <c r="D7" s="121">
        <v>51.0</v>
      </c>
      <c r="E7" s="126">
        <f t="shared" si="1"/>
        <v>116</v>
      </c>
      <c r="F7" s="122">
        <v>23.2</v>
      </c>
      <c r="G7" s="127">
        <f t="shared" si="2"/>
        <v>0</v>
      </c>
      <c r="H7" s="122">
        <v>0.0</v>
      </c>
      <c r="I7" s="128">
        <v>0.569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0" t="s">
        <v>242</v>
      </c>
      <c r="B8" s="121">
        <v>5.0</v>
      </c>
      <c r="C8" s="122">
        <v>100.0</v>
      </c>
      <c r="D8" s="121">
        <v>52.0</v>
      </c>
      <c r="E8" s="126">
        <f t="shared" si="1"/>
        <v>112</v>
      </c>
      <c r="F8" s="122">
        <v>22.4</v>
      </c>
      <c r="G8" s="127">
        <f t="shared" si="2"/>
        <v>8</v>
      </c>
      <c r="H8" s="122">
        <v>1.6</v>
      </c>
      <c r="I8" s="128">
        <v>0.692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0" t="s">
        <v>222</v>
      </c>
      <c r="B9" s="121">
        <v>5.0</v>
      </c>
      <c r="C9" s="122">
        <v>100.0</v>
      </c>
      <c r="D9" s="121">
        <v>33.0</v>
      </c>
      <c r="E9" s="126">
        <f t="shared" si="1"/>
        <v>108</v>
      </c>
      <c r="F9" s="122">
        <v>21.6</v>
      </c>
      <c r="G9" s="127">
        <f t="shared" si="2"/>
        <v>2</v>
      </c>
      <c r="H9" s="122">
        <v>0.4</v>
      </c>
      <c r="I9" s="128">
        <v>0.879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20" t="s">
        <v>226</v>
      </c>
      <c r="B10" s="121">
        <v>5.0</v>
      </c>
      <c r="C10" s="122">
        <v>100.0</v>
      </c>
      <c r="D10" s="121">
        <v>38.0</v>
      </c>
      <c r="E10" s="126">
        <f t="shared" si="1"/>
        <v>108</v>
      </c>
      <c r="F10" s="122">
        <v>21.6</v>
      </c>
      <c r="G10" s="127">
        <f t="shared" si="2"/>
        <v>2</v>
      </c>
      <c r="H10" s="122">
        <v>0.4</v>
      </c>
      <c r="I10" s="128">
        <v>0.763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20" t="s">
        <v>240</v>
      </c>
      <c r="B11" s="121">
        <v>5.0</v>
      </c>
      <c r="C11" s="122">
        <v>100.0</v>
      </c>
      <c r="D11" s="121">
        <v>34.0</v>
      </c>
      <c r="E11" s="126">
        <f t="shared" si="1"/>
        <v>104</v>
      </c>
      <c r="F11" s="122">
        <v>20.8</v>
      </c>
      <c r="G11" s="127">
        <f t="shared" si="2"/>
        <v>4</v>
      </c>
      <c r="H11" s="122">
        <v>0.8</v>
      </c>
      <c r="I11" s="128">
        <v>0.882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20" t="s">
        <v>257</v>
      </c>
      <c r="B12" s="121">
        <v>5.0</v>
      </c>
      <c r="C12" s="122">
        <v>100.0</v>
      </c>
      <c r="D12" s="121">
        <v>38.0</v>
      </c>
      <c r="E12" s="126">
        <f t="shared" si="1"/>
        <v>104</v>
      </c>
      <c r="F12" s="122">
        <v>20.8</v>
      </c>
      <c r="G12" s="127">
        <f t="shared" si="2"/>
        <v>4</v>
      </c>
      <c r="H12" s="122">
        <v>0.8</v>
      </c>
      <c r="I12" s="128">
        <v>0.789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20" t="s">
        <v>249</v>
      </c>
      <c r="B13" s="121">
        <v>5.0</v>
      </c>
      <c r="C13" s="122">
        <v>100.0</v>
      </c>
      <c r="D13" s="121">
        <v>28.0</v>
      </c>
      <c r="E13" s="126">
        <f t="shared" si="1"/>
        <v>100</v>
      </c>
      <c r="F13" s="122">
        <v>20.0</v>
      </c>
      <c r="G13" s="127">
        <f t="shared" si="2"/>
        <v>1</v>
      </c>
      <c r="H13" s="122">
        <v>0.2</v>
      </c>
      <c r="I13" s="128">
        <v>0.929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20" t="s">
        <v>230</v>
      </c>
      <c r="B14" s="121">
        <v>5.0</v>
      </c>
      <c r="C14" s="122">
        <v>100.0</v>
      </c>
      <c r="D14" s="121">
        <v>37.0</v>
      </c>
      <c r="E14" s="126">
        <f t="shared" si="1"/>
        <v>100</v>
      </c>
      <c r="F14" s="122">
        <v>20.0</v>
      </c>
      <c r="G14" s="127">
        <f t="shared" si="2"/>
        <v>4</v>
      </c>
      <c r="H14" s="122">
        <v>0.8</v>
      </c>
      <c r="I14" s="128">
        <v>0.784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20" t="s">
        <v>253</v>
      </c>
      <c r="B15" s="121">
        <v>5.0</v>
      </c>
      <c r="C15" s="122">
        <v>100.0</v>
      </c>
      <c r="D15" s="121">
        <v>54.0</v>
      </c>
      <c r="E15" s="126">
        <f t="shared" si="1"/>
        <v>100</v>
      </c>
      <c r="F15" s="122">
        <v>20.0</v>
      </c>
      <c r="G15" s="127">
        <f t="shared" si="2"/>
        <v>4</v>
      </c>
      <c r="H15" s="122">
        <v>0.8</v>
      </c>
      <c r="I15" s="128">
        <v>0.537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0" t="s">
        <v>220</v>
      </c>
      <c r="B16" s="121">
        <v>5.0</v>
      </c>
      <c r="C16" s="122">
        <v>100.0</v>
      </c>
      <c r="D16" s="121">
        <v>29.0</v>
      </c>
      <c r="E16" s="126">
        <f t="shared" si="1"/>
        <v>96</v>
      </c>
      <c r="F16" s="122">
        <v>19.2</v>
      </c>
      <c r="G16" s="127">
        <f t="shared" si="2"/>
        <v>2</v>
      </c>
      <c r="H16" s="122">
        <v>0.4</v>
      </c>
      <c r="I16" s="128">
        <v>0.897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0" t="s">
        <v>231</v>
      </c>
      <c r="B17" s="121">
        <v>5.0</v>
      </c>
      <c r="C17" s="122">
        <v>100.0</v>
      </c>
      <c r="D17" s="121">
        <v>27.0</v>
      </c>
      <c r="E17" s="126">
        <f t="shared" si="1"/>
        <v>96</v>
      </c>
      <c r="F17" s="122">
        <v>19.2</v>
      </c>
      <c r="G17" s="127">
        <f t="shared" si="2"/>
        <v>0</v>
      </c>
      <c r="H17" s="122">
        <v>0.0</v>
      </c>
      <c r="I17" s="128">
        <v>0.889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0" t="s">
        <v>246</v>
      </c>
      <c r="B18" s="121">
        <v>5.0</v>
      </c>
      <c r="C18" s="122">
        <v>100.0</v>
      </c>
      <c r="D18" s="121">
        <v>26.0</v>
      </c>
      <c r="E18" s="126">
        <f t="shared" si="1"/>
        <v>84</v>
      </c>
      <c r="F18" s="122">
        <v>16.8</v>
      </c>
      <c r="G18" s="127">
        <f t="shared" si="2"/>
        <v>1</v>
      </c>
      <c r="H18" s="122">
        <v>0.2</v>
      </c>
      <c r="I18" s="128">
        <v>0.846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0" t="s">
        <v>225</v>
      </c>
      <c r="B19" s="121">
        <v>5.0</v>
      </c>
      <c r="C19" s="122">
        <v>100.0</v>
      </c>
      <c r="D19" s="121">
        <v>33.0</v>
      </c>
      <c r="E19" s="126">
        <f t="shared" si="1"/>
        <v>84</v>
      </c>
      <c r="F19" s="122">
        <v>16.8</v>
      </c>
      <c r="G19" s="127">
        <f t="shared" si="2"/>
        <v>4</v>
      </c>
      <c r="H19" s="122">
        <v>0.8</v>
      </c>
      <c r="I19" s="128">
        <v>0.758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20" t="s">
        <v>252</v>
      </c>
      <c r="B20" s="121">
        <v>5.0</v>
      </c>
      <c r="C20" s="122">
        <v>100.0</v>
      </c>
      <c r="D20" s="121">
        <v>33.0</v>
      </c>
      <c r="E20" s="126">
        <f t="shared" si="1"/>
        <v>84</v>
      </c>
      <c r="F20" s="122">
        <v>16.8</v>
      </c>
      <c r="G20" s="127">
        <f t="shared" si="2"/>
        <v>2</v>
      </c>
      <c r="H20" s="122">
        <v>0.4</v>
      </c>
      <c r="I20" s="128">
        <v>0.697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20" t="s">
        <v>258</v>
      </c>
      <c r="B21" s="121">
        <v>5.0</v>
      </c>
      <c r="C21" s="122">
        <v>100.0</v>
      </c>
      <c r="D21" s="121">
        <v>46.0</v>
      </c>
      <c r="E21" s="126">
        <f t="shared" si="1"/>
        <v>84</v>
      </c>
      <c r="F21" s="122">
        <v>16.8</v>
      </c>
      <c r="G21" s="127">
        <f t="shared" si="2"/>
        <v>8</v>
      </c>
      <c r="H21" s="122">
        <v>1.6</v>
      </c>
      <c r="I21" s="128">
        <v>0.63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20" t="s">
        <v>282</v>
      </c>
      <c r="B22" s="121">
        <v>4.0</v>
      </c>
      <c r="C22" s="122">
        <v>80.0</v>
      </c>
      <c r="D22" s="121">
        <v>26.0</v>
      </c>
      <c r="E22" s="126">
        <f t="shared" si="1"/>
        <v>84</v>
      </c>
      <c r="F22" s="122">
        <v>21.0</v>
      </c>
      <c r="G22" s="127">
        <f t="shared" si="2"/>
        <v>1</v>
      </c>
      <c r="H22" s="122">
        <v>0.25</v>
      </c>
      <c r="I22" s="128">
        <v>0.846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0" t="s">
        <v>218</v>
      </c>
      <c r="B23" s="121">
        <v>5.0</v>
      </c>
      <c r="C23" s="122">
        <v>100.0</v>
      </c>
      <c r="D23" s="121">
        <v>22.0</v>
      </c>
      <c r="E23" s="126">
        <f t="shared" si="1"/>
        <v>80</v>
      </c>
      <c r="F23" s="122">
        <v>16.0</v>
      </c>
      <c r="G23" s="127">
        <f t="shared" si="2"/>
        <v>0</v>
      </c>
      <c r="H23" s="122">
        <v>0.0</v>
      </c>
      <c r="I23" s="128">
        <v>0.909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0" t="s">
        <v>259</v>
      </c>
      <c r="B24" s="121">
        <v>5.0</v>
      </c>
      <c r="C24" s="122">
        <v>100.0</v>
      </c>
      <c r="D24" s="121">
        <v>25.0</v>
      </c>
      <c r="E24" s="126">
        <f t="shared" si="1"/>
        <v>80</v>
      </c>
      <c r="F24" s="122">
        <v>16.0</v>
      </c>
      <c r="G24" s="127">
        <f t="shared" si="2"/>
        <v>0</v>
      </c>
      <c r="H24" s="122">
        <v>0.0</v>
      </c>
      <c r="I24" s="128">
        <v>0.8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0" t="s">
        <v>274</v>
      </c>
      <c r="B25" s="121">
        <v>5.0</v>
      </c>
      <c r="C25" s="122">
        <v>100.0</v>
      </c>
      <c r="D25" s="121">
        <v>33.0</v>
      </c>
      <c r="E25" s="126">
        <f t="shared" si="1"/>
        <v>76</v>
      </c>
      <c r="F25" s="122">
        <v>15.2</v>
      </c>
      <c r="G25" s="127">
        <f t="shared" si="2"/>
        <v>5</v>
      </c>
      <c r="H25" s="122">
        <v>1.0</v>
      </c>
      <c r="I25" s="128">
        <v>0.727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0" t="s">
        <v>298</v>
      </c>
      <c r="B26" s="121">
        <v>5.0</v>
      </c>
      <c r="C26" s="122">
        <v>100.0</v>
      </c>
      <c r="D26" s="121">
        <v>37.0</v>
      </c>
      <c r="E26" s="126">
        <f t="shared" si="1"/>
        <v>76</v>
      </c>
      <c r="F26" s="122">
        <v>15.2</v>
      </c>
      <c r="G26" s="127">
        <f t="shared" si="2"/>
        <v>3</v>
      </c>
      <c r="H26" s="122">
        <v>0.6</v>
      </c>
      <c r="I26" s="128">
        <v>0.595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0" t="s">
        <v>318</v>
      </c>
      <c r="B27" s="121">
        <v>5.0</v>
      </c>
      <c r="C27" s="122">
        <v>100.0</v>
      </c>
      <c r="D27" s="121">
        <v>35.0</v>
      </c>
      <c r="E27" s="126">
        <f t="shared" si="1"/>
        <v>72</v>
      </c>
      <c r="F27" s="122">
        <v>14.4</v>
      </c>
      <c r="G27" s="127">
        <f t="shared" si="2"/>
        <v>8</v>
      </c>
      <c r="H27" s="122">
        <v>1.6</v>
      </c>
      <c r="I27" s="128">
        <v>0.743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20" t="s">
        <v>224</v>
      </c>
      <c r="B28" s="121">
        <v>5.0</v>
      </c>
      <c r="C28" s="122">
        <v>100.0</v>
      </c>
      <c r="D28" s="121">
        <v>27.0</v>
      </c>
      <c r="E28" s="126">
        <f t="shared" si="1"/>
        <v>72</v>
      </c>
      <c r="F28" s="122">
        <v>14.4</v>
      </c>
      <c r="G28" s="127">
        <f t="shared" si="2"/>
        <v>2</v>
      </c>
      <c r="H28" s="122">
        <v>0.4</v>
      </c>
      <c r="I28" s="128">
        <v>0.741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20" t="s">
        <v>221</v>
      </c>
      <c r="B29" s="121">
        <v>5.0</v>
      </c>
      <c r="C29" s="122">
        <v>100.0</v>
      </c>
      <c r="D29" s="121">
        <v>31.0</v>
      </c>
      <c r="E29" s="126">
        <f t="shared" si="1"/>
        <v>72</v>
      </c>
      <c r="F29" s="122">
        <v>14.4</v>
      </c>
      <c r="G29" s="127">
        <f t="shared" si="2"/>
        <v>1</v>
      </c>
      <c r="H29" s="122">
        <v>0.2</v>
      </c>
      <c r="I29" s="128">
        <v>0.613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20" t="s">
        <v>262</v>
      </c>
      <c r="B30" s="121">
        <v>5.0</v>
      </c>
      <c r="C30" s="122">
        <f>B30*20</f>
        <v>100</v>
      </c>
      <c r="D30" s="121">
        <v>28.0</v>
      </c>
      <c r="E30" s="126">
        <v>68.0</v>
      </c>
      <c r="F30" s="122">
        <f>68/100*20</f>
        <v>13.6</v>
      </c>
      <c r="G30" s="127">
        <f t="shared" si="2"/>
        <v>2.5</v>
      </c>
      <c r="H30" s="122">
        <v>0.5</v>
      </c>
      <c r="I30" s="128">
        <f>19/28</f>
        <v>0.6785714286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20" t="s">
        <v>271</v>
      </c>
      <c r="B31" s="121">
        <v>5.0</v>
      </c>
      <c r="C31" s="122">
        <v>100.0</v>
      </c>
      <c r="D31" s="121">
        <v>44.0</v>
      </c>
      <c r="E31" s="126">
        <f t="shared" ref="E31:E42" si="3">F31/20*C31</f>
        <v>68</v>
      </c>
      <c r="F31" s="122">
        <v>13.6</v>
      </c>
      <c r="G31" s="127">
        <f t="shared" si="2"/>
        <v>9</v>
      </c>
      <c r="H31" s="122">
        <v>1.8</v>
      </c>
      <c r="I31" s="128">
        <v>0.591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20" t="s">
        <v>316</v>
      </c>
      <c r="B32" s="121">
        <v>5.0</v>
      </c>
      <c r="C32" s="122">
        <v>100.0</v>
      </c>
      <c r="D32" s="121">
        <v>39.0</v>
      </c>
      <c r="E32" s="126">
        <f t="shared" si="3"/>
        <v>68</v>
      </c>
      <c r="F32" s="122">
        <v>13.6</v>
      </c>
      <c r="G32" s="127">
        <f t="shared" si="2"/>
        <v>6</v>
      </c>
      <c r="H32" s="122">
        <v>1.2</v>
      </c>
      <c r="I32" s="128">
        <v>0.59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20" t="s">
        <v>317</v>
      </c>
      <c r="B33" s="121">
        <v>5.0</v>
      </c>
      <c r="C33" s="122">
        <v>100.0</v>
      </c>
      <c r="D33" s="121">
        <v>42.0</v>
      </c>
      <c r="E33" s="126">
        <f t="shared" si="3"/>
        <v>68</v>
      </c>
      <c r="F33" s="122">
        <v>13.6</v>
      </c>
      <c r="G33" s="127">
        <f t="shared" si="2"/>
        <v>3</v>
      </c>
      <c r="H33" s="122">
        <v>0.6</v>
      </c>
      <c r="I33" s="131">
        <v>0.476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20" t="s">
        <v>237</v>
      </c>
      <c r="B34" s="121">
        <v>5.0</v>
      </c>
      <c r="C34" s="122">
        <v>100.0</v>
      </c>
      <c r="D34" s="121">
        <v>21.0</v>
      </c>
      <c r="E34" s="126">
        <f t="shared" si="3"/>
        <v>64</v>
      </c>
      <c r="F34" s="122">
        <v>12.8</v>
      </c>
      <c r="G34" s="127">
        <f t="shared" si="2"/>
        <v>0</v>
      </c>
      <c r="H34" s="122">
        <v>0.0</v>
      </c>
      <c r="I34" s="128">
        <v>0.762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20" t="s">
        <v>273</v>
      </c>
      <c r="B35" s="121">
        <v>5.0</v>
      </c>
      <c r="C35" s="122">
        <v>100.0</v>
      </c>
      <c r="D35" s="121">
        <v>24.0</v>
      </c>
      <c r="E35" s="126">
        <f t="shared" si="3"/>
        <v>64</v>
      </c>
      <c r="F35" s="122">
        <v>12.8</v>
      </c>
      <c r="G35" s="127">
        <f t="shared" si="2"/>
        <v>1</v>
      </c>
      <c r="H35" s="122">
        <v>0.2</v>
      </c>
      <c r="I35" s="128">
        <v>0.708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20" t="s">
        <v>269</v>
      </c>
      <c r="B36" s="121">
        <v>5.0</v>
      </c>
      <c r="C36" s="122">
        <v>100.0</v>
      </c>
      <c r="D36" s="121">
        <v>31.0</v>
      </c>
      <c r="E36" s="126">
        <f t="shared" si="3"/>
        <v>64</v>
      </c>
      <c r="F36" s="122">
        <v>12.8</v>
      </c>
      <c r="G36" s="127">
        <f t="shared" si="2"/>
        <v>3</v>
      </c>
      <c r="H36" s="122">
        <v>0.6</v>
      </c>
      <c r="I36" s="128">
        <v>0.613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20" t="s">
        <v>266</v>
      </c>
      <c r="B37" s="121">
        <v>5.0</v>
      </c>
      <c r="C37" s="122">
        <v>100.0</v>
      </c>
      <c r="D37" s="121">
        <v>36.0</v>
      </c>
      <c r="E37" s="126">
        <f t="shared" si="3"/>
        <v>64</v>
      </c>
      <c r="F37" s="122">
        <v>12.8</v>
      </c>
      <c r="G37" s="127">
        <f t="shared" si="2"/>
        <v>6</v>
      </c>
      <c r="H37" s="122">
        <v>1.2</v>
      </c>
      <c r="I37" s="128">
        <v>0.611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20" t="s">
        <v>247</v>
      </c>
      <c r="B38" s="121">
        <v>5.0</v>
      </c>
      <c r="C38" s="122">
        <v>100.0</v>
      </c>
      <c r="D38" s="121">
        <v>35.0</v>
      </c>
      <c r="E38" s="126">
        <f t="shared" si="3"/>
        <v>64</v>
      </c>
      <c r="F38" s="122">
        <v>12.8</v>
      </c>
      <c r="G38" s="127">
        <f t="shared" si="2"/>
        <v>0</v>
      </c>
      <c r="H38" s="122">
        <v>0.0</v>
      </c>
      <c r="I38" s="128">
        <v>0.457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20" t="s">
        <v>281</v>
      </c>
      <c r="B39" s="121">
        <v>5.0</v>
      </c>
      <c r="C39" s="122">
        <v>100.0</v>
      </c>
      <c r="D39" s="121">
        <v>23.0</v>
      </c>
      <c r="E39" s="126">
        <f t="shared" si="3"/>
        <v>60</v>
      </c>
      <c r="F39" s="122">
        <v>12.0</v>
      </c>
      <c r="G39" s="127">
        <f t="shared" si="2"/>
        <v>3</v>
      </c>
      <c r="H39" s="122">
        <v>0.6</v>
      </c>
      <c r="I39" s="128">
        <v>0.783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20" t="s">
        <v>227</v>
      </c>
      <c r="B40" s="121">
        <v>5.0</v>
      </c>
      <c r="C40" s="122">
        <v>100.0</v>
      </c>
      <c r="D40" s="121">
        <v>24.0</v>
      </c>
      <c r="E40" s="126">
        <f t="shared" si="3"/>
        <v>60</v>
      </c>
      <c r="F40" s="122">
        <v>12.0</v>
      </c>
      <c r="G40" s="127">
        <f t="shared" si="2"/>
        <v>2</v>
      </c>
      <c r="H40" s="122">
        <v>0.4</v>
      </c>
      <c r="I40" s="128">
        <v>0.708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20" t="s">
        <v>285</v>
      </c>
      <c r="B41" s="121">
        <v>5.0</v>
      </c>
      <c r="C41" s="122">
        <v>100.0</v>
      </c>
      <c r="D41" s="121">
        <v>24.0</v>
      </c>
      <c r="E41" s="126">
        <f t="shared" si="3"/>
        <v>60</v>
      </c>
      <c r="F41" s="122">
        <v>12.0</v>
      </c>
      <c r="G41" s="127">
        <f t="shared" si="2"/>
        <v>2</v>
      </c>
      <c r="H41" s="122">
        <v>0.4</v>
      </c>
      <c r="I41" s="131">
        <v>0.708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20" t="s">
        <v>265</v>
      </c>
      <c r="B42" s="121">
        <v>5.0</v>
      </c>
      <c r="C42" s="122">
        <v>100.0</v>
      </c>
      <c r="D42" s="121">
        <v>28.0</v>
      </c>
      <c r="E42" s="126">
        <f t="shared" si="3"/>
        <v>60</v>
      </c>
      <c r="F42" s="122">
        <v>12.0</v>
      </c>
      <c r="G42" s="127">
        <f t="shared" si="2"/>
        <v>3</v>
      </c>
      <c r="H42" s="122">
        <v>0.6</v>
      </c>
      <c r="I42" s="128">
        <v>0.643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20" t="s">
        <v>255</v>
      </c>
      <c r="B43" s="121">
        <v>5.0</v>
      </c>
      <c r="C43" s="122">
        <f>B43*20</f>
        <v>100</v>
      </c>
      <c r="D43" s="121">
        <v>32.0</v>
      </c>
      <c r="E43" s="126">
        <v>60.0</v>
      </c>
      <c r="F43" s="122">
        <f>60/5</f>
        <v>12</v>
      </c>
      <c r="G43" s="127">
        <f t="shared" si="2"/>
        <v>2.5</v>
      </c>
      <c r="H43" s="122">
        <v>0.5</v>
      </c>
      <c r="I43" s="128">
        <f>17/32</f>
        <v>0.53125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20" t="s">
        <v>335</v>
      </c>
      <c r="B44" s="121">
        <v>5.0</v>
      </c>
      <c r="C44" s="122">
        <v>100.0</v>
      </c>
      <c r="D44" s="121">
        <v>19.0</v>
      </c>
      <c r="E44" s="126">
        <f t="shared" ref="E44:E73" si="4">F44/20*C44</f>
        <v>56</v>
      </c>
      <c r="F44" s="122">
        <v>11.2</v>
      </c>
      <c r="G44" s="127">
        <f t="shared" si="2"/>
        <v>1</v>
      </c>
      <c r="H44" s="122">
        <v>0.2</v>
      </c>
      <c r="I44" s="128">
        <v>0.789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20" t="s">
        <v>300</v>
      </c>
      <c r="B45" s="121">
        <v>5.0</v>
      </c>
      <c r="C45" s="122">
        <v>100.0</v>
      </c>
      <c r="D45" s="121">
        <v>21.0</v>
      </c>
      <c r="E45" s="126">
        <f t="shared" si="4"/>
        <v>56</v>
      </c>
      <c r="F45" s="122">
        <v>11.2</v>
      </c>
      <c r="G45" s="127">
        <f t="shared" si="2"/>
        <v>1</v>
      </c>
      <c r="H45" s="122">
        <v>0.2</v>
      </c>
      <c r="I45" s="128">
        <v>0.714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20" t="s">
        <v>331</v>
      </c>
      <c r="B46" s="121">
        <v>5.0</v>
      </c>
      <c r="C46" s="122">
        <v>100.0</v>
      </c>
      <c r="D46" s="121">
        <v>29.0</v>
      </c>
      <c r="E46" s="126">
        <f t="shared" si="4"/>
        <v>56</v>
      </c>
      <c r="F46" s="122">
        <v>11.2</v>
      </c>
      <c r="G46" s="127">
        <f t="shared" si="2"/>
        <v>5</v>
      </c>
      <c r="H46" s="122">
        <v>1.0</v>
      </c>
      <c r="I46" s="128">
        <v>0.655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20" t="s">
        <v>254</v>
      </c>
      <c r="B47" s="121">
        <v>2.0</v>
      </c>
      <c r="C47" s="122">
        <v>40.0</v>
      </c>
      <c r="D47" s="121">
        <v>18.0</v>
      </c>
      <c r="E47" s="126">
        <f t="shared" si="4"/>
        <v>52</v>
      </c>
      <c r="F47" s="122">
        <v>26.0</v>
      </c>
      <c r="G47" s="127">
        <f t="shared" si="2"/>
        <v>2</v>
      </c>
      <c r="H47" s="122">
        <v>1.0</v>
      </c>
      <c r="I47" s="128">
        <v>0.833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20" t="s">
        <v>223</v>
      </c>
      <c r="B48" s="121">
        <v>5.0</v>
      </c>
      <c r="C48" s="122">
        <v>100.0</v>
      </c>
      <c r="D48" s="121">
        <v>21.0</v>
      </c>
      <c r="E48" s="126">
        <f t="shared" si="4"/>
        <v>52</v>
      </c>
      <c r="F48" s="122">
        <v>10.4</v>
      </c>
      <c r="G48" s="127">
        <f t="shared" si="2"/>
        <v>3</v>
      </c>
      <c r="H48" s="122">
        <v>0.6</v>
      </c>
      <c r="I48" s="128">
        <v>0.762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20" t="s">
        <v>239</v>
      </c>
      <c r="B49" s="121">
        <v>5.0</v>
      </c>
      <c r="C49" s="122">
        <v>100.0</v>
      </c>
      <c r="D49" s="121">
        <v>34.0</v>
      </c>
      <c r="E49" s="126">
        <f t="shared" si="4"/>
        <v>52</v>
      </c>
      <c r="F49" s="122">
        <v>10.4</v>
      </c>
      <c r="G49" s="127">
        <f t="shared" si="2"/>
        <v>10</v>
      </c>
      <c r="H49" s="122">
        <v>2.0</v>
      </c>
      <c r="I49" s="131">
        <v>0.676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20" t="s">
        <v>233</v>
      </c>
      <c r="B50" s="121">
        <v>5.0</v>
      </c>
      <c r="C50" s="122">
        <v>100.0</v>
      </c>
      <c r="D50" s="121">
        <v>21.0</v>
      </c>
      <c r="E50" s="126">
        <f t="shared" si="4"/>
        <v>52</v>
      </c>
      <c r="F50" s="122">
        <v>10.4</v>
      </c>
      <c r="G50" s="127">
        <f t="shared" si="2"/>
        <v>1</v>
      </c>
      <c r="H50" s="122">
        <v>0.2</v>
      </c>
      <c r="I50" s="131">
        <v>0.667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20" t="s">
        <v>251</v>
      </c>
      <c r="B51" s="121">
        <v>5.0</v>
      </c>
      <c r="C51" s="122">
        <v>100.0</v>
      </c>
      <c r="D51" s="121">
        <v>26.0</v>
      </c>
      <c r="E51" s="126">
        <f t="shared" si="4"/>
        <v>52</v>
      </c>
      <c r="F51" s="122">
        <v>10.4</v>
      </c>
      <c r="G51" s="127">
        <f t="shared" si="2"/>
        <v>4</v>
      </c>
      <c r="H51" s="122">
        <v>0.8</v>
      </c>
      <c r="I51" s="128">
        <v>0.654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20" t="s">
        <v>228</v>
      </c>
      <c r="B52" s="121">
        <v>5.0</v>
      </c>
      <c r="C52" s="122">
        <v>100.0</v>
      </c>
      <c r="D52" s="121">
        <v>23.0</v>
      </c>
      <c r="E52" s="126">
        <f t="shared" si="4"/>
        <v>52</v>
      </c>
      <c r="F52" s="122">
        <v>10.4</v>
      </c>
      <c r="G52" s="127">
        <f t="shared" si="2"/>
        <v>0</v>
      </c>
      <c r="H52" s="122">
        <v>0.0</v>
      </c>
      <c r="I52" s="128">
        <v>0.565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20" t="s">
        <v>291</v>
      </c>
      <c r="B53" s="121">
        <v>5.0</v>
      </c>
      <c r="C53" s="122">
        <v>100.0</v>
      </c>
      <c r="D53" s="121">
        <v>16.0</v>
      </c>
      <c r="E53" s="126">
        <f t="shared" si="4"/>
        <v>48</v>
      </c>
      <c r="F53" s="122">
        <v>9.6</v>
      </c>
      <c r="G53" s="127">
        <f t="shared" si="2"/>
        <v>1</v>
      </c>
      <c r="H53" s="122">
        <v>0.2</v>
      </c>
      <c r="I53" s="128">
        <v>0.813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20" t="s">
        <v>287</v>
      </c>
      <c r="B54" s="121">
        <v>5.0</v>
      </c>
      <c r="C54" s="122">
        <v>100.0</v>
      </c>
      <c r="D54" s="121">
        <v>17.0</v>
      </c>
      <c r="E54" s="126">
        <f t="shared" si="4"/>
        <v>48</v>
      </c>
      <c r="F54" s="122">
        <v>9.6</v>
      </c>
      <c r="G54" s="127">
        <f t="shared" si="2"/>
        <v>1</v>
      </c>
      <c r="H54" s="122">
        <v>0.2</v>
      </c>
      <c r="I54" s="128">
        <v>0.765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20" t="s">
        <v>406</v>
      </c>
      <c r="B55" s="121">
        <v>5.0</v>
      </c>
      <c r="C55" s="122">
        <v>100.0</v>
      </c>
      <c r="D55" s="121">
        <v>17.0</v>
      </c>
      <c r="E55" s="126">
        <f t="shared" si="4"/>
        <v>48</v>
      </c>
      <c r="F55" s="122">
        <v>9.6</v>
      </c>
      <c r="G55" s="127">
        <f t="shared" si="2"/>
        <v>1</v>
      </c>
      <c r="H55" s="122">
        <v>0.2</v>
      </c>
      <c r="I55" s="128">
        <v>0.765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20" t="s">
        <v>241</v>
      </c>
      <c r="B56" s="121">
        <v>5.0</v>
      </c>
      <c r="C56" s="122">
        <v>100.0</v>
      </c>
      <c r="D56" s="121">
        <v>21.0</v>
      </c>
      <c r="E56" s="126">
        <f t="shared" si="4"/>
        <v>48</v>
      </c>
      <c r="F56" s="122">
        <v>9.6</v>
      </c>
      <c r="G56" s="127">
        <f t="shared" si="2"/>
        <v>1</v>
      </c>
      <c r="H56" s="122">
        <v>0.2</v>
      </c>
      <c r="I56" s="131">
        <v>0.619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20" t="s">
        <v>243</v>
      </c>
      <c r="B57" s="121">
        <v>5.0</v>
      </c>
      <c r="C57" s="122">
        <v>100.0</v>
      </c>
      <c r="D57" s="121">
        <v>14.0</v>
      </c>
      <c r="E57" s="126">
        <f t="shared" si="4"/>
        <v>44</v>
      </c>
      <c r="F57" s="122">
        <v>8.8</v>
      </c>
      <c r="G57" s="127">
        <f t="shared" si="2"/>
        <v>1</v>
      </c>
      <c r="H57" s="122">
        <v>0.2</v>
      </c>
      <c r="I57" s="128">
        <v>0.857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20" t="s">
        <v>236</v>
      </c>
      <c r="B58" s="121">
        <v>5.0</v>
      </c>
      <c r="C58" s="122">
        <v>100.0</v>
      </c>
      <c r="D58" s="121">
        <v>13.0</v>
      </c>
      <c r="E58" s="126">
        <f t="shared" si="4"/>
        <v>44</v>
      </c>
      <c r="F58" s="122">
        <v>8.8</v>
      </c>
      <c r="G58" s="127">
        <f t="shared" si="2"/>
        <v>0</v>
      </c>
      <c r="H58" s="122">
        <v>0.0</v>
      </c>
      <c r="I58" s="128">
        <v>0.846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20" t="s">
        <v>309</v>
      </c>
      <c r="B59" s="121">
        <v>5.0</v>
      </c>
      <c r="C59" s="122">
        <v>100.0</v>
      </c>
      <c r="D59" s="121">
        <v>16.0</v>
      </c>
      <c r="E59" s="126">
        <f t="shared" si="4"/>
        <v>44</v>
      </c>
      <c r="F59" s="122">
        <v>8.8</v>
      </c>
      <c r="G59" s="127">
        <f t="shared" si="2"/>
        <v>2</v>
      </c>
      <c r="H59" s="122">
        <v>0.4</v>
      </c>
      <c r="I59" s="128">
        <v>0.813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20" t="s">
        <v>345</v>
      </c>
      <c r="B60" s="121">
        <v>5.0</v>
      </c>
      <c r="C60" s="122">
        <v>100.0</v>
      </c>
      <c r="D60" s="121">
        <v>21.0</v>
      </c>
      <c r="E60" s="126">
        <f t="shared" si="4"/>
        <v>44</v>
      </c>
      <c r="F60" s="122">
        <v>8.8</v>
      </c>
      <c r="G60" s="127">
        <f t="shared" si="2"/>
        <v>4</v>
      </c>
      <c r="H60" s="122">
        <v>0.8</v>
      </c>
      <c r="I60" s="128">
        <v>0.714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20" t="s">
        <v>283</v>
      </c>
      <c r="B61" s="121">
        <v>5.0</v>
      </c>
      <c r="C61" s="122">
        <v>100.0</v>
      </c>
      <c r="D61" s="121">
        <v>19.0</v>
      </c>
      <c r="E61" s="126">
        <f t="shared" si="4"/>
        <v>44</v>
      </c>
      <c r="F61" s="122">
        <v>8.8</v>
      </c>
      <c r="G61" s="127">
        <f t="shared" si="2"/>
        <v>2</v>
      </c>
      <c r="H61" s="122">
        <v>0.4</v>
      </c>
      <c r="I61" s="128">
        <v>0.684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120" t="s">
        <v>277</v>
      </c>
      <c r="B62" s="121">
        <v>4.0</v>
      </c>
      <c r="C62" s="122">
        <v>80.0</v>
      </c>
      <c r="D62" s="121">
        <v>12.0</v>
      </c>
      <c r="E62" s="126">
        <f t="shared" si="4"/>
        <v>44</v>
      </c>
      <c r="F62" s="122">
        <v>11.0</v>
      </c>
      <c r="G62" s="127">
        <f t="shared" si="2"/>
        <v>0</v>
      </c>
      <c r="H62" s="122">
        <v>0.0</v>
      </c>
      <c r="I62" s="128">
        <v>0.917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120" t="s">
        <v>279</v>
      </c>
      <c r="B63" s="121">
        <v>1.0</v>
      </c>
      <c r="C63" s="122">
        <v>20.0</v>
      </c>
      <c r="D63" s="121">
        <v>11.0</v>
      </c>
      <c r="E63" s="126">
        <f t="shared" si="4"/>
        <v>40</v>
      </c>
      <c r="F63" s="122">
        <v>40.0</v>
      </c>
      <c r="G63" s="127">
        <f t="shared" si="2"/>
        <v>0</v>
      </c>
      <c r="H63" s="122">
        <v>0.0</v>
      </c>
      <c r="I63" s="128">
        <v>0.909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120" t="s">
        <v>388</v>
      </c>
      <c r="B64" s="121">
        <v>5.0</v>
      </c>
      <c r="C64" s="122">
        <v>100.0</v>
      </c>
      <c r="D64" s="121">
        <v>11.0</v>
      </c>
      <c r="E64" s="126">
        <f t="shared" si="4"/>
        <v>40</v>
      </c>
      <c r="F64" s="122">
        <v>8.0</v>
      </c>
      <c r="G64" s="127">
        <f t="shared" si="2"/>
        <v>0</v>
      </c>
      <c r="H64" s="122">
        <v>0.0</v>
      </c>
      <c r="I64" s="131">
        <v>0.909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120" t="s">
        <v>235</v>
      </c>
      <c r="B65" s="121">
        <v>5.0</v>
      </c>
      <c r="C65" s="122">
        <v>100.0</v>
      </c>
      <c r="D65" s="121">
        <v>16.0</v>
      </c>
      <c r="E65" s="126">
        <f t="shared" si="4"/>
        <v>40</v>
      </c>
      <c r="F65" s="122">
        <v>8.0</v>
      </c>
      <c r="G65" s="127">
        <f t="shared" si="2"/>
        <v>2</v>
      </c>
      <c r="H65" s="122">
        <v>0.4</v>
      </c>
      <c r="I65" s="128">
        <v>0.75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120" t="s">
        <v>325</v>
      </c>
      <c r="B66" s="121">
        <v>5.0</v>
      </c>
      <c r="C66" s="122">
        <v>100.0</v>
      </c>
      <c r="D66" s="121">
        <v>14.0</v>
      </c>
      <c r="E66" s="126">
        <f t="shared" si="4"/>
        <v>40</v>
      </c>
      <c r="F66" s="122">
        <v>8.0</v>
      </c>
      <c r="G66" s="127">
        <f t="shared" si="2"/>
        <v>0</v>
      </c>
      <c r="H66" s="122">
        <v>0.0</v>
      </c>
      <c r="I66" s="128">
        <v>0.714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120" t="s">
        <v>303</v>
      </c>
      <c r="B67" s="121">
        <v>4.0</v>
      </c>
      <c r="C67" s="122">
        <v>80.0</v>
      </c>
      <c r="D67" s="121">
        <v>17.0</v>
      </c>
      <c r="E67" s="126">
        <f t="shared" si="4"/>
        <v>40</v>
      </c>
      <c r="F67" s="122">
        <v>10.0</v>
      </c>
      <c r="G67" s="127">
        <f t="shared" si="2"/>
        <v>2</v>
      </c>
      <c r="H67" s="122">
        <v>0.5</v>
      </c>
      <c r="I67" s="128">
        <v>0.706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120" t="s">
        <v>238</v>
      </c>
      <c r="B68" s="121">
        <v>5.0</v>
      </c>
      <c r="C68" s="122">
        <v>100.0</v>
      </c>
      <c r="D68" s="121">
        <v>17.0</v>
      </c>
      <c r="E68" s="126">
        <f t="shared" si="4"/>
        <v>40</v>
      </c>
      <c r="F68" s="122">
        <v>8.0</v>
      </c>
      <c r="G68" s="127">
        <f t="shared" si="2"/>
        <v>2</v>
      </c>
      <c r="H68" s="122">
        <v>0.4</v>
      </c>
      <c r="I68" s="128">
        <v>0.706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120" t="s">
        <v>296</v>
      </c>
      <c r="B69" s="121">
        <v>5.0</v>
      </c>
      <c r="C69" s="122">
        <v>100.0</v>
      </c>
      <c r="D69" s="121">
        <v>24.0</v>
      </c>
      <c r="E69" s="126">
        <f t="shared" si="4"/>
        <v>40</v>
      </c>
      <c r="F69" s="122">
        <v>8.0</v>
      </c>
      <c r="G69" s="127">
        <f t="shared" si="2"/>
        <v>5</v>
      </c>
      <c r="H69" s="122">
        <v>1.0</v>
      </c>
      <c r="I69" s="128">
        <v>0.625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120" t="s">
        <v>315</v>
      </c>
      <c r="B70" s="121">
        <v>5.0</v>
      </c>
      <c r="C70" s="122">
        <v>100.0</v>
      </c>
      <c r="D70" s="121">
        <v>22.0</v>
      </c>
      <c r="E70" s="126">
        <f t="shared" si="4"/>
        <v>40</v>
      </c>
      <c r="F70" s="122">
        <v>8.0</v>
      </c>
      <c r="G70" s="127">
        <f t="shared" si="2"/>
        <v>2</v>
      </c>
      <c r="H70" s="122">
        <v>0.4</v>
      </c>
      <c r="I70" s="128">
        <v>0.545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120" t="s">
        <v>290</v>
      </c>
      <c r="B71" s="121">
        <v>4.0</v>
      </c>
      <c r="C71" s="122">
        <v>80.0</v>
      </c>
      <c r="D71" s="121">
        <v>23.0</v>
      </c>
      <c r="E71" s="126">
        <f t="shared" si="4"/>
        <v>40</v>
      </c>
      <c r="F71" s="122">
        <v>10.0</v>
      </c>
      <c r="G71" s="127">
        <f t="shared" si="2"/>
        <v>1</v>
      </c>
      <c r="H71" s="122">
        <v>0.25</v>
      </c>
      <c r="I71" s="131">
        <v>0.478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120" t="s">
        <v>359</v>
      </c>
      <c r="B72" s="121">
        <v>5.0</v>
      </c>
      <c r="C72" s="122">
        <v>100.0</v>
      </c>
      <c r="D72" s="121">
        <v>28.0</v>
      </c>
      <c r="E72" s="126">
        <f t="shared" si="4"/>
        <v>40</v>
      </c>
      <c r="F72" s="122">
        <v>8.0</v>
      </c>
      <c r="G72" s="127">
        <f t="shared" si="2"/>
        <v>3</v>
      </c>
      <c r="H72" s="122">
        <v>0.6</v>
      </c>
      <c r="I72" s="128">
        <v>0.464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120" t="s">
        <v>250</v>
      </c>
      <c r="B73" s="121">
        <v>5.0</v>
      </c>
      <c r="C73" s="122">
        <v>100.0</v>
      </c>
      <c r="D73" s="121">
        <v>10.0</v>
      </c>
      <c r="E73" s="126">
        <f t="shared" si="4"/>
        <v>36</v>
      </c>
      <c r="F73" s="122">
        <v>7.2</v>
      </c>
      <c r="G73" s="127">
        <f t="shared" si="2"/>
        <v>0</v>
      </c>
      <c r="H73" s="122">
        <v>0.0</v>
      </c>
      <c r="I73" s="128">
        <v>0.9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120" t="s">
        <v>260</v>
      </c>
      <c r="B74" s="121">
        <v>5.0</v>
      </c>
      <c r="C74" s="122">
        <f>B74*20</f>
        <v>100</v>
      </c>
      <c r="D74" s="121">
        <v>12.0</v>
      </c>
      <c r="E74" s="126">
        <v>36.0</v>
      </c>
      <c r="F74" s="122">
        <v>7.2</v>
      </c>
      <c r="G74" s="127">
        <f t="shared" si="2"/>
        <v>1.25</v>
      </c>
      <c r="H74" s="122">
        <v>0.25</v>
      </c>
      <c r="I74" s="128">
        <f>10/12</f>
        <v>0.8333333333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120" t="s">
        <v>363</v>
      </c>
      <c r="B75" s="121">
        <v>5.0</v>
      </c>
      <c r="C75" s="122">
        <v>100.0</v>
      </c>
      <c r="D75" s="121">
        <v>12.0</v>
      </c>
      <c r="E75" s="126">
        <f t="shared" ref="E75:E108" si="5">F75/20*C75</f>
        <v>36</v>
      </c>
      <c r="F75" s="122">
        <v>7.2</v>
      </c>
      <c r="G75" s="127">
        <f t="shared" si="2"/>
        <v>0</v>
      </c>
      <c r="H75" s="122">
        <v>0.0</v>
      </c>
      <c r="I75" s="128">
        <v>0.75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120" t="s">
        <v>310</v>
      </c>
      <c r="B76" s="121">
        <v>5.0</v>
      </c>
      <c r="C76" s="122">
        <v>100.0</v>
      </c>
      <c r="D76" s="121">
        <v>14.0</v>
      </c>
      <c r="E76" s="126">
        <f t="shared" si="5"/>
        <v>36</v>
      </c>
      <c r="F76" s="122">
        <v>7.2</v>
      </c>
      <c r="G76" s="127">
        <f t="shared" si="2"/>
        <v>1</v>
      </c>
      <c r="H76" s="122">
        <v>0.2</v>
      </c>
      <c r="I76" s="128">
        <v>0.714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120" t="s">
        <v>361</v>
      </c>
      <c r="B77" s="121">
        <v>5.0</v>
      </c>
      <c r="C77" s="122">
        <v>100.0</v>
      </c>
      <c r="D77" s="121">
        <v>15.0</v>
      </c>
      <c r="E77" s="126">
        <f t="shared" si="5"/>
        <v>36</v>
      </c>
      <c r="F77" s="122">
        <v>7.2</v>
      </c>
      <c r="G77" s="127">
        <f t="shared" si="2"/>
        <v>1</v>
      </c>
      <c r="H77" s="122">
        <v>0.2</v>
      </c>
      <c r="I77" s="128">
        <v>0.667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120" t="s">
        <v>248</v>
      </c>
      <c r="B78" s="121">
        <v>5.0</v>
      </c>
      <c r="C78" s="122">
        <v>100.0</v>
      </c>
      <c r="D78" s="121">
        <v>14.0</v>
      </c>
      <c r="E78" s="126">
        <f t="shared" si="5"/>
        <v>36</v>
      </c>
      <c r="F78" s="122">
        <v>7.2</v>
      </c>
      <c r="G78" s="127">
        <f t="shared" si="2"/>
        <v>0</v>
      </c>
      <c r="H78" s="122">
        <v>0.0</v>
      </c>
      <c r="I78" s="128">
        <v>0.643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120" t="s">
        <v>403</v>
      </c>
      <c r="B79" s="121">
        <v>5.0</v>
      </c>
      <c r="C79" s="122">
        <v>100.0</v>
      </c>
      <c r="D79" s="121">
        <v>19.0</v>
      </c>
      <c r="E79" s="126">
        <f t="shared" si="5"/>
        <v>36</v>
      </c>
      <c r="F79" s="122">
        <v>7.2</v>
      </c>
      <c r="G79" s="127">
        <f t="shared" si="2"/>
        <v>3</v>
      </c>
      <c r="H79" s="122">
        <v>0.6</v>
      </c>
      <c r="I79" s="128">
        <v>0.632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120" t="s">
        <v>270</v>
      </c>
      <c r="B80" s="121">
        <v>5.0</v>
      </c>
      <c r="C80" s="122">
        <v>100.0</v>
      </c>
      <c r="D80" s="121">
        <v>16.0</v>
      </c>
      <c r="E80" s="126">
        <f t="shared" si="5"/>
        <v>36</v>
      </c>
      <c r="F80" s="122">
        <v>7.2</v>
      </c>
      <c r="G80" s="127">
        <f t="shared" si="2"/>
        <v>1</v>
      </c>
      <c r="H80" s="122">
        <v>0.2</v>
      </c>
      <c r="I80" s="128">
        <v>0.625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120" t="s">
        <v>306</v>
      </c>
      <c r="B81" s="121">
        <v>4.0</v>
      </c>
      <c r="C81" s="122">
        <v>80.0</v>
      </c>
      <c r="D81" s="121">
        <v>17.0</v>
      </c>
      <c r="E81" s="126">
        <f t="shared" si="5"/>
        <v>36</v>
      </c>
      <c r="F81" s="122">
        <v>9.0</v>
      </c>
      <c r="G81" s="127">
        <f t="shared" si="2"/>
        <v>1</v>
      </c>
      <c r="H81" s="122">
        <v>0.25</v>
      </c>
      <c r="I81" s="128">
        <v>0.588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120" t="s">
        <v>353</v>
      </c>
      <c r="B82" s="121">
        <v>5.0</v>
      </c>
      <c r="C82" s="122">
        <v>100.0</v>
      </c>
      <c r="D82" s="121">
        <v>20.0</v>
      </c>
      <c r="E82" s="126">
        <f t="shared" si="5"/>
        <v>36</v>
      </c>
      <c r="F82" s="122">
        <v>7.2</v>
      </c>
      <c r="G82" s="127">
        <f t="shared" si="2"/>
        <v>1</v>
      </c>
      <c r="H82" s="122">
        <v>0.2</v>
      </c>
      <c r="I82" s="128">
        <v>0.5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120" t="s">
        <v>272</v>
      </c>
      <c r="B83" s="121">
        <v>5.0</v>
      </c>
      <c r="C83" s="122">
        <v>100.0</v>
      </c>
      <c r="D83" s="121">
        <v>23.0</v>
      </c>
      <c r="E83" s="126">
        <f t="shared" si="5"/>
        <v>36</v>
      </c>
      <c r="F83" s="122">
        <v>7.2</v>
      </c>
      <c r="G83" s="127">
        <f t="shared" si="2"/>
        <v>2</v>
      </c>
      <c r="H83" s="122">
        <v>0.4</v>
      </c>
      <c r="I83" s="131">
        <v>0.478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120" t="s">
        <v>229</v>
      </c>
      <c r="B84" s="121">
        <v>5.0</v>
      </c>
      <c r="C84" s="122">
        <f>B84*20</f>
        <v>100</v>
      </c>
      <c r="D84" s="121">
        <v>17.0</v>
      </c>
      <c r="E84" s="126">
        <f t="shared" si="5"/>
        <v>36</v>
      </c>
      <c r="F84" s="122">
        <v>7.2</v>
      </c>
      <c r="G84" s="127">
        <f t="shared" si="2"/>
        <v>0</v>
      </c>
      <c r="H84" s="122">
        <v>0.0</v>
      </c>
      <c r="I84" s="128">
        <v>0.385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120" t="s">
        <v>295</v>
      </c>
      <c r="B85" s="121">
        <v>3.0</v>
      </c>
      <c r="C85" s="122">
        <v>60.0</v>
      </c>
      <c r="D85" s="121">
        <v>11.0</v>
      </c>
      <c r="E85" s="126">
        <f t="shared" si="5"/>
        <v>32.01</v>
      </c>
      <c r="F85" s="122">
        <v>10.67</v>
      </c>
      <c r="G85" s="127">
        <f t="shared" si="2"/>
        <v>0.99</v>
      </c>
      <c r="H85" s="122">
        <v>0.33</v>
      </c>
      <c r="I85" s="128">
        <v>0.818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120" t="s">
        <v>275</v>
      </c>
      <c r="B86" s="121">
        <v>3.0</v>
      </c>
      <c r="C86" s="122">
        <v>60.0</v>
      </c>
      <c r="D86" s="121">
        <v>12.0</v>
      </c>
      <c r="E86" s="126">
        <f t="shared" si="5"/>
        <v>32.01</v>
      </c>
      <c r="F86" s="122">
        <v>10.67</v>
      </c>
      <c r="G86" s="127">
        <f t="shared" si="2"/>
        <v>0.99</v>
      </c>
      <c r="H86" s="122">
        <v>0.33</v>
      </c>
      <c r="I86" s="128">
        <v>0.75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120" t="s">
        <v>341</v>
      </c>
      <c r="B87" s="121">
        <v>5.0</v>
      </c>
      <c r="C87" s="122">
        <v>100.0</v>
      </c>
      <c r="D87" s="121">
        <v>13.0</v>
      </c>
      <c r="E87" s="126">
        <f t="shared" si="5"/>
        <v>32</v>
      </c>
      <c r="F87" s="122">
        <v>6.4</v>
      </c>
      <c r="G87" s="127">
        <f t="shared" si="2"/>
        <v>1</v>
      </c>
      <c r="H87" s="122">
        <v>0.2</v>
      </c>
      <c r="I87" s="128">
        <v>0.692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120" t="s">
        <v>263</v>
      </c>
      <c r="B88" s="121">
        <v>4.0</v>
      </c>
      <c r="C88" s="122">
        <v>80.0</v>
      </c>
      <c r="D88" s="121">
        <v>13.0</v>
      </c>
      <c r="E88" s="126">
        <f t="shared" si="5"/>
        <v>32</v>
      </c>
      <c r="F88" s="122">
        <v>8.0</v>
      </c>
      <c r="G88" s="127">
        <f t="shared" si="2"/>
        <v>0</v>
      </c>
      <c r="H88" s="122">
        <v>0.0</v>
      </c>
      <c r="I88" s="128">
        <v>0.615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120" t="s">
        <v>293</v>
      </c>
      <c r="B89" s="121">
        <v>5.0</v>
      </c>
      <c r="C89" s="122">
        <v>100.0</v>
      </c>
      <c r="D89" s="121">
        <v>15.0</v>
      </c>
      <c r="E89" s="126">
        <f t="shared" si="5"/>
        <v>32</v>
      </c>
      <c r="F89" s="122">
        <v>6.4</v>
      </c>
      <c r="G89" s="127">
        <f t="shared" si="2"/>
        <v>0</v>
      </c>
      <c r="H89" s="122">
        <v>0.0</v>
      </c>
      <c r="I89" s="128">
        <v>0.533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120" t="s">
        <v>333</v>
      </c>
      <c r="B90" s="121">
        <v>5.0</v>
      </c>
      <c r="C90" s="122">
        <v>100.0</v>
      </c>
      <c r="D90" s="121">
        <v>25.0</v>
      </c>
      <c r="E90" s="126">
        <f t="shared" si="5"/>
        <v>32</v>
      </c>
      <c r="F90" s="122">
        <v>6.4</v>
      </c>
      <c r="G90" s="127">
        <f t="shared" si="2"/>
        <v>5</v>
      </c>
      <c r="H90" s="122">
        <v>1.0</v>
      </c>
      <c r="I90" s="128">
        <v>0.52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120" t="s">
        <v>264</v>
      </c>
      <c r="B91" s="121">
        <v>5.0</v>
      </c>
      <c r="C91" s="122">
        <v>100.0</v>
      </c>
      <c r="D91" s="121">
        <v>24.0</v>
      </c>
      <c r="E91" s="126">
        <f t="shared" si="5"/>
        <v>32</v>
      </c>
      <c r="F91" s="122">
        <v>6.4</v>
      </c>
      <c r="G91" s="127">
        <f t="shared" si="2"/>
        <v>2</v>
      </c>
      <c r="H91" s="122">
        <v>0.4</v>
      </c>
      <c r="I91" s="128">
        <v>0.417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120" t="s">
        <v>323</v>
      </c>
      <c r="B92" s="121">
        <v>4.0</v>
      </c>
      <c r="C92" s="122">
        <v>80.0</v>
      </c>
      <c r="D92" s="121">
        <v>16.0</v>
      </c>
      <c r="E92" s="126">
        <f t="shared" si="5"/>
        <v>28</v>
      </c>
      <c r="F92" s="122">
        <v>7.0</v>
      </c>
      <c r="G92" s="127">
        <f t="shared" si="2"/>
        <v>0</v>
      </c>
      <c r="H92" s="122">
        <v>0.0</v>
      </c>
      <c r="I92" s="131">
        <v>0.438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120" t="s">
        <v>245</v>
      </c>
      <c r="B93" s="121">
        <v>5.0</v>
      </c>
      <c r="C93" s="122">
        <v>100.0</v>
      </c>
      <c r="D93" s="121">
        <v>10.0</v>
      </c>
      <c r="E93" s="126">
        <f t="shared" si="5"/>
        <v>28</v>
      </c>
      <c r="F93" s="122">
        <v>5.6</v>
      </c>
      <c r="G93" s="127">
        <f t="shared" si="2"/>
        <v>0</v>
      </c>
      <c r="H93" s="122">
        <v>0.0</v>
      </c>
      <c r="I93" s="128">
        <v>0.7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120" t="s">
        <v>276</v>
      </c>
      <c r="B94" s="121">
        <v>5.0</v>
      </c>
      <c r="C94" s="122">
        <v>100.0</v>
      </c>
      <c r="D94" s="121">
        <v>14.0</v>
      </c>
      <c r="E94" s="126">
        <f t="shared" si="5"/>
        <v>28</v>
      </c>
      <c r="F94" s="122">
        <v>5.6</v>
      </c>
      <c r="G94" s="127">
        <f t="shared" si="2"/>
        <v>2</v>
      </c>
      <c r="H94" s="122">
        <v>0.4</v>
      </c>
      <c r="I94" s="131">
        <v>0.643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120" t="s">
        <v>256</v>
      </c>
      <c r="B95" s="121">
        <v>5.0</v>
      </c>
      <c r="C95" s="122">
        <v>100.0</v>
      </c>
      <c r="D95" s="121">
        <v>11.0</v>
      </c>
      <c r="E95" s="126">
        <f t="shared" si="5"/>
        <v>28</v>
      </c>
      <c r="F95" s="122">
        <v>5.6</v>
      </c>
      <c r="G95" s="127">
        <f t="shared" si="2"/>
        <v>0</v>
      </c>
      <c r="H95" s="122">
        <v>0.0</v>
      </c>
      <c r="I95" s="128">
        <v>0.636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120" t="s">
        <v>302</v>
      </c>
      <c r="B96" s="121">
        <v>5.0</v>
      </c>
      <c r="C96" s="122">
        <v>100.0</v>
      </c>
      <c r="D96" s="121">
        <v>17.0</v>
      </c>
      <c r="E96" s="126">
        <f t="shared" si="5"/>
        <v>28</v>
      </c>
      <c r="F96" s="122">
        <v>5.6</v>
      </c>
      <c r="G96" s="127">
        <f t="shared" si="2"/>
        <v>3</v>
      </c>
      <c r="H96" s="122">
        <v>0.6</v>
      </c>
      <c r="I96" s="128">
        <v>0.588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120" t="s">
        <v>261</v>
      </c>
      <c r="B97" s="121">
        <v>5.0</v>
      </c>
      <c r="C97" s="122">
        <v>100.0</v>
      </c>
      <c r="D97" s="121">
        <v>17.0</v>
      </c>
      <c r="E97" s="126">
        <f t="shared" si="5"/>
        <v>28</v>
      </c>
      <c r="F97" s="122">
        <v>5.6</v>
      </c>
      <c r="G97" s="127">
        <f t="shared" si="2"/>
        <v>2</v>
      </c>
      <c r="H97" s="122">
        <v>0.4</v>
      </c>
      <c r="I97" s="128">
        <v>0.529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120" t="s">
        <v>330</v>
      </c>
      <c r="B98" s="121">
        <v>5.0</v>
      </c>
      <c r="C98" s="122">
        <v>100.0</v>
      </c>
      <c r="D98" s="121">
        <v>23.0</v>
      </c>
      <c r="E98" s="126">
        <f t="shared" si="5"/>
        <v>28</v>
      </c>
      <c r="F98" s="122">
        <v>5.6</v>
      </c>
      <c r="G98" s="127">
        <f t="shared" si="2"/>
        <v>2</v>
      </c>
      <c r="H98" s="122">
        <v>0.4</v>
      </c>
      <c r="I98" s="128">
        <v>0.391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120" t="s">
        <v>299</v>
      </c>
      <c r="B99" s="121">
        <v>3.0</v>
      </c>
      <c r="C99" s="122">
        <v>60.0</v>
      </c>
      <c r="D99" s="121">
        <v>9.0</v>
      </c>
      <c r="E99" s="126">
        <f t="shared" si="5"/>
        <v>27.99</v>
      </c>
      <c r="F99" s="122">
        <v>9.33</v>
      </c>
      <c r="G99" s="127">
        <f t="shared" si="2"/>
        <v>0</v>
      </c>
      <c r="H99" s="122">
        <v>0.0</v>
      </c>
      <c r="I99" s="128">
        <v>0.778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120" t="s">
        <v>418</v>
      </c>
      <c r="B100" s="121">
        <v>3.0</v>
      </c>
      <c r="C100" s="122">
        <v>60.0</v>
      </c>
      <c r="D100" s="121">
        <v>6.0</v>
      </c>
      <c r="E100" s="126">
        <f t="shared" si="5"/>
        <v>24</v>
      </c>
      <c r="F100" s="122">
        <v>8.0</v>
      </c>
      <c r="G100" s="127">
        <f t="shared" si="2"/>
        <v>0</v>
      </c>
      <c r="H100" s="122">
        <v>0.0</v>
      </c>
      <c r="I100" s="128">
        <v>1.0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120" t="s">
        <v>267</v>
      </c>
      <c r="B101" s="121">
        <v>5.0</v>
      </c>
      <c r="C101" s="122">
        <v>100.0</v>
      </c>
      <c r="D101" s="121">
        <v>8.0</v>
      </c>
      <c r="E101" s="126">
        <f t="shared" si="5"/>
        <v>24</v>
      </c>
      <c r="F101" s="122">
        <v>4.8</v>
      </c>
      <c r="G101" s="127">
        <f t="shared" si="2"/>
        <v>0</v>
      </c>
      <c r="H101" s="122">
        <v>0.0</v>
      </c>
      <c r="I101" s="128">
        <v>0.75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120" t="s">
        <v>336</v>
      </c>
      <c r="B102" s="121">
        <v>4.0</v>
      </c>
      <c r="C102" s="122">
        <v>80.0</v>
      </c>
      <c r="D102" s="121">
        <v>8.0</v>
      </c>
      <c r="E102" s="126">
        <f t="shared" si="5"/>
        <v>24</v>
      </c>
      <c r="F102" s="122">
        <v>6.0</v>
      </c>
      <c r="G102" s="127">
        <f t="shared" si="2"/>
        <v>0</v>
      </c>
      <c r="H102" s="122">
        <v>0.0</v>
      </c>
      <c r="I102" s="128">
        <v>0.75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120" t="s">
        <v>280</v>
      </c>
      <c r="B103" s="121">
        <v>5.0</v>
      </c>
      <c r="C103" s="122">
        <v>100.0</v>
      </c>
      <c r="D103" s="121">
        <v>9.0</v>
      </c>
      <c r="E103" s="126">
        <f t="shared" si="5"/>
        <v>24</v>
      </c>
      <c r="F103" s="122">
        <v>4.8</v>
      </c>
      <c r="G103" s="127">
        <f t="shared" si="2"/>
        <v>0</v>
      </c>
      <c r="H103" s="122">
        <v>0.0</v>
      </c>
      <c r="I103" s="128">
        <v>0.667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120" t="s">
        <v>312</v>
      </c>
      <c r="B104" s="121">
        <v>5.0</v>
      </c>
      <c r="C104" s="122">
        <v>100.0</v>
      </c>
      <c r="D104" s="121">
        <v>11.0</v>
      </c>
      <c r="E104" s="126">
        <f t="shared" si="5"/>
        <v>24</v>
      </c>
      <c r="F104" s="122">
        <v>4.8</v>
      </c>
      <c r="G104" s="127">
        <f t="shared" si="2"/>
        <v>0</v>
      </c>
      <c r="H104" s="122">
        <v>0.0</v>
      </c>
      <c r="I104" s="128">
        <v>0.545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120" t="s">
        <v>376</v>
      </c>
      <c r="B105" s="121">
        <v>3.0</v>
      </c>
      <c r="C105" s="122">
        <v>60.0</v>
      </c>
      <c r="D105" s="121">
        <v>7.0</v>
      </c>
      <c r="E105" s="126">
        <f t="shared" si="5"/>
        <v>20.01</v>
      </c>
      <c r="F105" s="122">
        <v>6.67</v>
      </c>
      <c r="G105" s="127">
        <f t="shared" si="2"/>
        <v>0.99</v>
      </c>
      <c r="H105" s="122">
        <v>0.33</v>
      </c>
      <c r="I105" s="128">
        <v>0.857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120" t="s">
        <v>319</v>
      </c>
      <c r="B106" s="121">
        <v>3.0</v>
      </c>
      <c r="C106" s="122">
        <v>60.0</v>
      </c>
      <c r="D106" s="121">
        <v>6.0</v>
      </c>
      <c r="E106" s="126">
        <f t="shared" si="5"/>
        <v>20.01</v>
      </c>
      <c r="F106" s="122">
        <v>6.67</v>
      </c>
      <c r="G106" s="127">
        <f t="shared" si="2"/>
        <v>0</v>
      </c>
      <c r="H106" s="122">
        <v>0.0</v>
      </c>
      <c r="I106" s="128">
        <v>0.833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120" t="s">
        <v>294</v>
      </c>
      <c r="B107" s="121">
        <v>3.0</v>
      </c>
      <c r="C107" s="122">
        <v>60.0</v>
      </c>
      <c r="D107" s="121">
        <v>9.0</v>
      </c>
      <c r="E107" s="126">
        <f t="shared" si="5"/>
        <v>20.01</v>
      </c>
      <c r="F107" s="122">
        <v>6.67</v>
      </c>
      <c r="G107" s="127">
        <f t="shared" si="2"/>
        <v>0</v>
      </c>
      <c r="H107" s="122">
        <v>0.0</v>
      </c>
      <c r="I107" s="128">
        <v>0.556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120" t="s">
        <v>355</v>
      </c>
      <c r="B108" s="121">
        <v>4.0</v>
      </c>
      <c r="C108" s="122">
        <v>80.0</v>
      </c>
      <c r="D108" s="121">
        <v>6.0</v>
      </c>
      <c r="E108" s="126">
        <f t="shared" si="5"/>
        <v>20</v>
      </c>
      <c r="F108" s="122">
        <v>5.0</v>
      </c>
      <c r="G108" s="127">
        <f t="shared" si="2"/>
        <v>0</v>
      </c>
      <c r="H108" s="122">
        <v>0.0</v>
      </c>
      <c r="I108" s="128">
        <v>0.833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120" t="s">
        <v>393</v>
      </c>
      <c r="B109" s="121">
        <v>4.0</v>
      </c>
      <c r="C109" s="122">
        <f>B109*20</f>
        <v>80</v>
      </c>
      <c r="D109" s="121">
        <v>10.0</v>
      </c>
      <c r="E109" s="126">
        <v>20.0</v>
      </c>
      <c r="F109" s="122">
        <f>E109/C109*20</f>
        <v>5</v>
      </c>
      <c r="G109" s="127">
        <f t="shared" si="2"/>
        <v>2.68</v>
      </c>
      <c r="H109" s="122">
        <v>0.67</v>
      </c>
      <c r="I109" s="128">
        <f>8/10</f>
        <v>0.8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120" t="s">
        <v>288</v>
      </c>
      <c r="B110" s="121">
        <v>4.0</v>
      </c>
      <c r="C110" s="122">
        <v>80.0</v>
      </c>
      <c r="D110" s="121">
        <v>10.0</v>
      </c>
      <c r="E110" s="126">
        <f t="shared" ref="E110:E114" si="6">F110/20*C110</f>
        <v>20</v>
      </c>
      <c r="F110" s="122">
        <v>5.0</v>
      </c>
      <c r="G110" s="127">
        <f t="shared" si="2"/>
        <v>2</v>
      </c>
      <c r="H110" s="122">
        <v>0.5</v>
      </c>
      <c r="I110" s="128">
        <v>0.7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120" t="s">
        <v>324</v>
      </c>
      <c r="B111" s="121">
        <v>4.0</v>
      </c>
      <c r="C111" s="122">
        <v>80.0</v>
      </c>
      <c r="D111" s="121">
        <v>8.0</v>
      </c>
      <c r="E111" s="126">
        <f t="shared" si="6"/>
        <v>20</v>
      </c>
      <c r="F111" s="122">
        <v>5.0</v>
      </c>
      <c r="G111" s="127">
        <f t="shared" si="2"/>
        <v>0</v>
      </c>
      <c r="H111" s="122">
        <v>0.0</v>
      </c>
      <c r="I111" s="128">
        <v>0.625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120" t="s">
        <v>286</v>
      </c>
      <c r="B112" s="121">
        <v>5.0</v>
      </c>
      <c r="C112" s="122">
        <v>100.0</v>
      </c>
      <c r="D112" s="121">
        <v>16.0</v>
      </c>
      <c r="E112" s="126">
        <f t="shared" si="6"/>
        <v>20</v>
      </c>
      <c r="F112" s="122">
        <v>4.0</v>
      </c>
      <c r="G112" s="127">
        <f t="shared" si="2"/>
        <v>5</v>
      </c>
      <c r="H112" s="122">
        <v>1.0</v>
      </c>
      <c r="I112" s="128">
        <f>10/16</f>
        <v>0.625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120" t="s">
        <v>356</v>
      </c>
      <c r="B113" s="121">
        <v>5.0</v>
      </c>
      <c r="C113" s="122">
        <v>100.0</v>
      </c>
      <c r="D113" s="121">
        <v>12.0</v>
      </c>
      <c r="E113" s="126">
        <f t="shared" si="6"/>
        <v>20</v>
      </c>
      <c r="F113" s="122">
        <v>4.0</v>
      </c>
      <c r="G113" s="127">
        <f t="shared" si="2"/>
        <v>2</v>
      </c>
      <c r="H113" s="122">
        <v>0.4</v>
      </c>
      <c r="I113" s="128">
        <v>0.583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120" t="s">
        <v>351</v>
      </c>
      <c r="B114" s="121">
        <v>4.0</v>
      </c>
      <c r="C114" s="122">
        <v>80.0</v>
      </c>
      <c r="D114" s="121">
        <v>9.0</v>
      </c>
      <c r="E114" s="126">
        <f t="shared" si="6"/>
        <v>20</v>
      </c>
      <c r="F114" s="122">
        <v>5.0</v>
      </c>
      <c r="G114" s="127">
        <f t="shared" si="2"/>
        <v>0</v>
      </c>
      <c r="H114" s="122">
        <v>0.0</v>
      </c>
      <c r="I114" s="131">
        <v>0.556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120" t="s">
        <v>392</v>
      </c>
      <c r="B115" s="121">
        <v>5.0</v>
      </c>
      <c r="C115" s="122">
        <f>B115*20</f>
        <v>100</v>
      </c>
      <c r="D115" s="121">
        <v>11.0</v>
      </c>
      <c r="E115" s="126">
        <v>20.0</v>
      </c>
      <c r="F115" s="122">
        <v>4.0</v>
      </c>
      <c r="G115" s="127">
        <f t="shared" si="2"/>
        <v>0</v>
      </c>
      <c r="H115" s="122">
        <v>0.0</v>
      </c>
      <c r="I115" s="128">
        <f>5/11</f>
        <v>0.4545454545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120" t="s">
        <v>322</v>
      </c>
      <c r="B116" s="121">
        <v>5.0</v>
      </c>
      <c r="C116" s="122">
        <v>100.0</v>
      </c>
      <c r="D116" s="121">
        <v>20.0</v>
      </c>
      <c r="E116" s="126">
        <f t="shared" ref="E116:E205" si="7">F116/20*C116</f>
        <v>20</v>
      </c>
      <c r="F116" s="122">
        <v>4.0</v>
      </c>
      <c r="G116" s="127">
        <f t="shared" si="2"/>
        <v>4</v>
      </c>
      <c r="H116" s="122">
        <v>0.8</v>
      </c>
      <c r="I116" s="128">
        <v>0.45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120" t="s">
        <v>369</v>
      </c>
      <c r="B117" s="121">
        <v>5.0</v>
      </c>
      <c r="C117" s="122">
        <v>100.0</v>
      </c>
      <c r="D117" s="121">
        <v>13.0</v>
      </c>
      <c r="E117" s="126">
        <f t="shared" si="7"/>
        <v>20</v>
      </c>
      <c r="F117" s="122">
        <v>4.0</v>
      </c>
      <c r="G117" s="127">
        <f t="shared" si="2"/>
        <v>0</v>
      </c>
      <c r="H117" s="122">
        <v>0.0</v>
      </c>
      <c r="I117" s="128">
        <v>0.385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120" t="s">
        <v>344</v>
      </c>
      <c r="B118" s="121">
        <v>5.0</v>
      </c>
      <c r="C118" s="122">
        <v>100.0</v>
      </c>
      <c r="D118" s="121">
        <v>22.0</v>
      </c>
      <c r="E118" s="126">
        <f t="shared" si="7"/>
        <v>20</v>
      </c>
      <c r="F118" s="122">
        <v>4.0</v>
      </c>
      <c r="G118" s="127">
        <f t="shared" si="2"/>
        <v>1</v>
      </c>
      <c r="H118" s="122">
        <v>0.2</v>
      </c>
      <c r="I118" s="128">
        <v>0.273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120" t="s">
        <v>292</v>
      </c>
      <c r="B119" s="121">
        <v>4.0</v>
      </c>
      <c r="C119" s="122">
        <v>80.0</v>
      </c>
      <c r="D119" s="121">
        <v>5.0</v>
      </c>
      <c r="E119" s="126">
        <f t="shared" si="7"/>
        <v>16</v>
      </c>
      <c r="F119" s="122">
        <v>4.0</v>
      </c>
      <c r="G119" s="127">
        <f t="shared" si="2"/>
        <v>0</v>
      </c>
      <c r="H119" s="122">
        <v>0.0</v>
      </c>
      <c r="I119" s="128">
        <v>0.8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120" t="s">
        <v>364</v>
      </c>
      <c r="B120" s="121">
        <v>5.0</v>
      </c>
      <c r="C120" s="122">
        <v>100.0</v>
      </c>
      <c r="D120" s="121">
        <v>7.0</v>
      </c>
      <c r="E120" s="126">
        <f t="shared" si="7"/>
        <v>16</v>
      </c>
      <c r="F120" s="122">
        <v>3.2</v>
      </c>
      <c r="G120" s="127">
        <f t="shared" si="2"/>
        <v>1</v>
      </c>
      <c r="H120" s="122">
        <v>0.2</v>
      </c>
      <c r="I120" s="128">
        <v>0.714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120" t="s">
        <v>398</v>
      </c>
      <c r="B121" s="121">
        <v>4.0</v>
      </c>
      <c r="C121" s="122">
        <v>80.0</v>
      </c>
      <c r="D121" s="121">
        <v>6.0</v>
      </c>
      <c r="E121" s="126">
        <f t="shared" si="7"/>
        <v>16</v>
      </c>
      <c r="F121" s="122">
        <v>4.0</v>
      </c>
      <c r="G121" s="127">
        <f t="shared" si="2"/>
        <v>0</v>
      </c>
      <c r="H121" s="122">
        <v>0.0</v>
      </c>
      <c r="I121" s="128">
        <v>0.667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120" t="s">
        <v>284</v>
      </c>
      <c r="B122" s="121">
        <v>4.0</v>
      </c>
      <c r="C122" s="122">
        <v>80.0</v>
      </c>
      <c r="D122" s="121">
        <v>9.0</v>
      </c>
      <c r="E122" s="126">
        <f t="shared" si="7"/>
        <v>16</v>
      </c>
      <c r="F122" s="122">
        <v>4.0</v>
      </c>
      <c r="G122" s="127">
        <f t="shared" si="2"/>
        <v>2</v>
      </c>
      <c r="H122" s="122">
        <v>0.5</v>
      </c>
      <c r="I122" s="131">
        <v>0.667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120" t="s">
        <v>278</v>
      </c>
      <c r="B123" s="121">
        <v>4.0</v>
      </c>
      <c r="C123" s="122">
        <v>80.0</v>
      </c>
      <c r="D123" s="121">
        <v>8.0</v>
      </c>
      <c r="E123" s="126">
        <f t="shared" si="7"/>
        <v>16</v>
      </c>
      <c r="F123" s="122">
        <v>4.0</v>
      </c>
      <c r="G123" s="127">
        <f t="shared" si="2"/>
        <v>0</v>
      </c>
      <c r="H123" s="122">
        <v>0.0</v>
      </c>
      <c r="I123" s="128">
        <v>0.5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120" t="s">
        <v>382</v>
      </c>
      <c r="B124" s="121">
        <v>5.0</v>
      </c>
      <c r="C124" s="122">
        <v>100.0</v>
      </c>
      <c r="D124" s="121">
        <v>17.0</v>
      </c>
      <c r="E124" s="126">
        <f t="shared" si="7"/>
        <v>16</v>
      </c>
      <c r="F124" s="122">
        <v>3.2</v>
      </c>
      <c r="G124" s="127">
        <f t="shared" si="2"/>
        <v>4</v>
      </c>
      <c r="H124" s="122">
        <v>0.8</v>
      </c>
      <c r="I124" s="128">
        <v>0.471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120" t="s">
        <v>383</v>
      </c>
      <c r="B125" s="121">
        <v>5.0</v>
      </c>
      <c r="C125" s="122">
        <v>100.0</v>
      </c>
      <c r="D125" s="121">
        <v>14.0</v>
      </c>
      <c r="E125" s="126">
        <f t="shared" si="7"/>
        <v>16</v>
      </c>
      <c r="F125" s="122">
        <v>3.2</v>
      </c>
      <c r="G125" s="127">
        <f t="shared" si="2"/>
        <v>2</v>
      </c>
      <c r="H125" s="122">
        <v>0.4</v>
      </c>
      <c r="I125" s="131">
        <v>0.429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120" t="s">
        <v>289</v>
      </c>
      <c r="B126" s="121">
        <v>5.0</v>
      </c>
      <c r="C126" s="122">
        <v>100.0</v>
      </c>
      <c r="D126" s="121">
        <v>19.0</v>
      </c>
      <c r="E126" s="126">
        <f t="shared" si="7"/>
        <v>16</v>
      </c>
      <c r="F126" s="122">
        <v>3.2</v>
      </c>
      <c r="G126" s="127">
        <f t="shared" si="2"/>
        <v>3</v>
      </c>
      <c r="H126" s="122">
        <v>0.6</v>
      </c>
      <c r="I126" s="128">
        <v>0.368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120" t="s">
        <v>371</v>
      </c>
      <c r="B127" s="121">
        <v>3.0</v>
      </c>
      <c r="C127" s="122">
        <v>60.0</v>
      </c>
      <c r="D127" s="121">
        <v>5.0</v>
      </c>
      <c r="E127" s="126">
        <f t="shared" si="7"/>
        <v>15.99</v>
      </c>
      <c r="F127" s="122">
        <v>5.33</v>
      </c>
      <c r="G127" s="127">
        <f t="shared" si="2"/>
        <v>0</v>
      </c>
      <c r="H127" s="122">
        <v>0.0</v>
      </c>
      <c r="I127" s="128">
        <v>0.8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120" t="s">
        <v>394</v>
      </c>
      <c r="B128" s="121">
        <v>3.0</v>
      </c>
      <c r="C128" s="122">
        <v>60.0</v>
      </c>
      <c r="D128" s="121">
        <v>6.0</v>
      </c>
      <c r="E128" s="126">
        <f t="shared" si="7"/>
        <v>15.99</v>
      </c>
      <c r="F128" s="122">
        <v>5.33</v>
      </c>
      <c r="G128" s="127">
        <f t="shared" si="2"/>
        <v>0</v>
      </c>
      <c r="H128" s="122">
        <v>0.0</v>
      </c>
      <c r="I128" s="128">
        <v>0.667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120" t="s">
        <v>387</v>
      </c>
      <c r="B129" s="121">
        <v>2.0</v>
      </c>
      <c r="C129" s="122">
        <v>40.0</v>
      </c>
      <c r="D129" s="121">
        <v>3.0</v>
      </c>
      <c r="E129" s="126">
        <f t="shared" si="7"/>
        <v>12</v>
      </c>
      <c r="F129" s="122">
        <v>6.0</v>
      </c>
      <c r="G129" s="127">
        <f t="shared" si="2"/>
        <v>0</v>
      </c>
      <c r="H129" s="122">
        <v>0.0</v>
      </c>
      <c r="I129" s="131">
        <v>1.0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120" t="s">
        <v>339</v>
      </c>
      <c r="B130" s="121">
        <v>1.0</v>
      </c>
      <c r="C130" s="122">
        <v>20.0</v>
      </c>
      <c r="D130" s="121">
        <v>3.0</v>
      </c>
      <c r="E130" s="126">
        <f t="shared" si="7"/>
        <v>12</v>
      </c>
      <c r="F130" s="122">
        <v>12.0</v>
      </c>
      <c r="G130" s="127">
        <f t="shared" si="2"/>
        <v>0</v>
      </c>
      <c r="H130" s="122">
        <v>0.0</v>
      </c>
      <c r="I130" s="128">
        <v>1.0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120" t="s">
        <v>347</v>
      </c>
      <c r="B131" s="121">
        <v>2.0</v>
      </c>
      <c r="C131" s="122">
        <f>B131*20</f>
        <v>40</v>
      </c>
      <c r="D131" s="121">
        <v>4.0</v>
      </c>
      <c r="E131" s="126">
        <f t="shared" si="7"/>
        <v>12</v>
      </c>
      <c r="F131" s="122">
        <v>6.0</v>
      </c>
      <c r="G131" s="127">
        <f t="shared" si="2"/>
        <v>0</v>
      </c>
      <c r="H131" s="122">
        <v>0.0</v>
      </c>
      <c r="I131" s="128">
        <v>0.75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120" t="s">
        <v>327</v>
      </c>
      <c r="B132" s="121">
        <v>3.0</v>
      </c>
      <c r="C132" s="122">
        <v>60.0</v>
      </c>
      <c r="D132" s="121">
        <v>7.0</v>
      </c>
      <c r="E132" s="126">
        <f t="shared" si="7"/>
        <v>12</v>
      </c>
      <c r="F132" s="122">
        <v>4.0</v>
      </c>
      <c r="G132" s="127">
        <f t="shared" si="2"/>
        <v>2.01</v>
      </c>
      <c r="H132" s="122">
        <v>0.67</v>
      </c>
      <c r="I132" s="128">
        <v>0.714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120" t="s">
        <v>305</v>
      </c>
      <c r="B133" s="121">
        <v>4.0</v>
      </c>
      <c r="C133" s="122">
        <v>80.0</v>
      </c>
      <c r="D133" s="121">
        <v>6.0</v>
      </c>
      <c r="E133" s="126">
        <f t="shared" si="7"/>
        <v>12</v>
      </c>
      <c r="F133" s="122">
        <v>3.0</v>
      </c>
      <c r="G133" s="127">
        <f t="shared" si="2"/>
        <v>0</v>
      </c>
      <c r="H133" s="122">
        <v>0.0</v>
      </c>
      <c r="I133" s="128">
        <v>0.5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120" t="s">
        <v>332</v>
      </c>
      <c r="B134" s="121">
        <v>5.0</v>
      </c>
      <c r="C134" s="122">
        <v>100.0</v>
      </c>
      <c r="D134" s="121">
        <v>13.0</v>
      </c>
      <c r="E134" s="126">
        <f t="shared" si="7"/>
        <v>12</v>
      </c>
      <c r="F134" s="122">
        <v>2.4</v>
      </c>
      <c r="G134" s="127">
        <f t="shared" si="2"/>
        <v>3</v>
      </c>
      <c r="H134" s="122">
        <v>0.6</v>
      </c>
      <c r="I134" s="128">
        <v>0.462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120" t="s">
        <v>326</v>
      </c>
      <c r="B135" s="121">
        <v>5.0</v>
      </c>
      <c r="C135" s="122">
        <v>100.0</v>
      </c>
      <c r="D135" s="121">
        <v>11.0</v>
      </c>
      <c r="E135" s="126">
        <f t="shared" si="7"/>
        <v>12</v>
      </c>
      <c r="F135" s="122">
        <v>2.4</v>
      </c>
      <c r="G135" s="127">
        <f t="shared" si="2"/>
        <v>2</v>
      </c>
      <c r="H135" s="122">
        <v>0.4</v>
      </c>
      <c r="I135" s="128">
        <v>0.455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120" t="s">
        <v>343</v>
      </c>
      <c r="B136" s="121">
        <v>5.0</v>
      </c>
      <c r="C136" s="122">
        <v>100.0</v>
      </c>
      <c r="D136" s="121">
        <v>7.0</v>
      </c>
      <c r="E136" s="126">
        <f t="shared" si="7"/>
        <v>12</v>
      </c>
      <c r="F136" s="122">
        <v>2.4</v>
      </c>
      <c r="G136" s="127">
        <f t="shared" si="2"/>
        <v>0</v>
      </c>
      <c r="H136" s="122">
        <v>0.0</v>
      </c>
      <c r="I136" s="131">
        <v>0.429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120" t="s">
        <v>320</v>
      </c>
      <c r="B137" s="121">
        <v>4.0</v>
      </c>
      <c r="C137" s="122">
        <v>80.0</v>
      </c>
      <c r="D137" s="121">
        <v>7.0</v>
      </c>
      <c r="E137" s="126">
        <f t="shared" si="7"/>
        <v>12</v>
      </c>
      <c r="F137" s="122">
        <v>3.0</v>
      </c>
      <c r="G137" s="127">
        <f t="shared" si="2"/>
        <v>0</v>
      </c>
      <c r="H137" s="122">
        <v>0.0</v>
      </c>
      <c r="I137" s="128">
        <v>0.429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120" t="s">
        <v>397</v>
      </c>
      <c r="B138" s="121">
        <v>3.0</v>
      </c>
      <c r="C138" s="122">
        <v>60.0</v>
      </c>
      <c r="D138" s="121">
        <v>7.0</v>
      </c>
      <c r="E138" s="126">
        <f t="shared" si="7"/>
        <v>12</v>
      </c>
      <c r="F138" s="122">
        <v>4.0</v>
      </c>
      <c r="G138" s="127">
        <f t="shared" si="2"/>
        <v>0</v>
      </c>
      <c r="H138" s="122">
        <v>0.0</v>
      </c>
      <c r="I138" s="131">
        <v>0.429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120" t="s">
        <v>350</v>
      </c>
      <c r="B139" s="121">
        <v>5.0</v>
      </c>
      <c r="C139" s="122">
        <v>100.0</v>
      </c>
      <c r="D139" s="121">
        <v>12.0</v>
      </c>
      <c r="E139" s="126">
        <f t="shared" si="7"/>
        <v>12</v>
      </c>
      <c r="F139" s="122">
        <v>2.4</v>
      </c>
      <c r="G139" s="127">
        <f t="shared" si="2"/>
        <v>2</v>
      </c>
      <c r="H139" s="122">
        <v>0.4</v>
      </c>
      <c r="I139" s="128">
        <v>0.417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120" t="s">
        <v>337</v>
      </c>
      <c r="B140" s="121">
        <v>4.0</v>
      </c>
      <c r="C140" s="122">
        <v>80.0</v>
      </c>
      <c r="D140" s="121">
        <v>10.0</v>
      </c>
      <c r="E140" s="126">
        <f t="shared" si="7"/>
        <v>12</v>
      </c>
      <c r="F140" s="122">
        <v>3.0</v>
      </c>
      <c r="G140" s="127">
        <f t="shared" si="2"/>
        <v>0</v>
      </c>
      <c r="H140" s="122">
        <v>0.0</v>
      </c>
      <c r="I140" s="131">
        <v>0.3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120" t="s">
        <v>313</v>
      </c>
      <c r="B141" s="121">
        <v>4.0</v>
      </c>
      <c r="C141" s="122">
        <f>B141*20</f>
        <v>80</v>
      </c>
      <c r="D141" s="121">
        <v>5.0</v>
      </c>
      <c r="E141" s="126">
        <f t="shared" si="7"/>
        <v>10.68</v>
      </c>
      <c r="F141" s="122">
        <v>2.67</v>
      </c>
      <c r="G141" s="127">
        <f t="shared" si="2"/>
        <v>0</v>
      </c>
      <c r="H141" s="122">
        <v>0.0</v>
      </c>
      <c r="I141" s="128">
        <v>0.4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120" t="s">
        <v>373</v>
      </c>
      <c r="B142" s="121">
        <v>3.0</v>
      </c>
      <c r="C142" s="122">
        <v>60.0</v>
      </c>
      <c r="D142" s="121">
        <v>4.0</v>
      </c>
      <c r="E142" s="126">
        <f t="shared" si="7"/>
        <v>8.01</v>
      </c>
      <c r="F142" s="122">
        <v>2.67</v>
      </c>
      <c r="G142" s="127">
        <f t="shared" si="2"/>
        <v>0.99</v>
      </c>
      <c r="H142" s="122">
        <v>0.33</v>
      </c>
      <c r="I142" s="131">
        <v>0.75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120" t="s">
        <v>374</v>
      </c>
      <c r="B143" s="121">
        <v>3.0</v>
      </c>
      <c r="C143" s="122">
        <v>60.0</v>
      </c>
      <c r="D143" s="121">
        <v>3.0</v>
      </c>
      <c r="E143" s="126">
        <f t="shared" si="7"/>
        <v>8.01</v>
      </c>
      <c r="F143" s="122">
        <v>2.67</v>
      </c>
      <c r="G143" s="127">
        <f t="shared" si="2"/>
        <v>0</v>
      </c>
      <c r="H143" s="122">
        <v>0.0</v>
      </c>
      <c r="I143" s="128">
        <v>0.667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120" t="s">
        <v>378</v>
      </c>
      <c r="B144" s="121">
        <v>3.0</v>
      </c>
      <c r="C144" s="122">
        <v>60.0</v>
      </c>
      <c r="D144" s="121">
        <v>5.0</v>
      </c>
      <c r="E144" s="126">
        <f t="shared" si="7"/>
        <v>8.01</v>
      </c>
      <c r="F144" s="122">
        <v>2.67</v>
      </c>
      <c r="G144" s="127">
        <f t="shared" si="2"/>
        <v>0.99</v>
      </c>
      <c r="H144" s="122">
        <v>0.33</v>
      </c>
      <c r="I144" s="128">
        <v>0.6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120" t="s">
        <v>297</v>
      </c>
      <c r="B145" s="121">
        <v>3.0</v>
      </c>
      <c r="C145" s="122">
        <v>60.0</v>
      </c>
      <c r="D145" s="121">
        <v>5.0</v>
      </c>
      <c r="E145" s="126">
        <f t="shared" si="7"/>
        <v>8.01</v>
      </c>
      <c r="F145" s="122">
        <v>2.67</v>
      </c>
      <c r="G145" s="127">
        <f t="shared" si="2"/>
        <v>0.99</v>
      </c>
      <c r="H145" s="122">
        <v>0.33</v>
      </c>
      <c r="I145" s="128">
        <v>0.6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120" t="s">
        <v>301</v>
      </c>
      <c r="B146" s="121">
        <v>3.0</v>
      </c>
      <c r="C146" s="122">
        <v>60.0</v>
      </c>
      <c r="D146" s="121">
        <v>7.0</v>
      </c>
      <c r="E146" s="126">
        <f t="shared" si="7"/>
        <v>8.01</v>
      </c>
      <c r="F146" s="122">
        <v>2.67</v>
      </c>
      <c r="G146" s="127">
        <f t="shared" si="2"/>
        <v>0</v>
      </c>
      <c r="H146" s="122">
        <v>0.0</v>
      </c>
      <c r="I146" s="128">
        <v>0.286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120" t="s">
        <v>396</v>
      </c>
      <c r="B147" s="121">
        <v>1.0</v>
      </c>
      <c r="C147" s="122">
        <v>20.0</v>
      </c>
      <c r="D147" s="121">
        <v>2.0</v>
      </c>
      <c r="E147" s="126">
        <f t="shared" si="7"/>
        <v>8</v>
      </c>
      <c r="F147" s="122">
        <v>8.0</v>
      </c>
      <c r="G147" s="127">
        <f t="shared" si="2"/>
        <v>0</v>
      </c>
      <c r="H147" s="122">
        <v>0.0</v>
      </c>
      <c r="I147" s="128">
        <v>1.0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120" t="s">
        <v>424</v>
      </c>
      <c r="B148" s="121">
        <v>1.0</v>
      </c>
      <c r="C148" s="122">
        <v>20.0</v>
      </c>
      <c r="D148" s="121">
        <v>2.0</v>
      </c>
      <c r="E148" s="126">
        <f t="shared" si="7"/>
        <v>8</v>
      </c>
      <c r="F148" s="122">
        <v>8.0</v>
      </c>
      <c r="G148" s="127">
        <f t="shared" si="2"/>
        <v>0</v>
      </c>
      <c r="H148" s="122">
        <v>0.0</v>
      </c>
      <c r="I148" s="128">
        <v>1.0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120" t="s">
        <v>362</v>
      </c>
      <c r="B149" s="121">
        <v>2.0</v>
      </c>
      <c r="C149" s="122">
        <v>40.0</v>
      </c>
      <c r="D149" s="121">
        <v>2.0</v>
      </c>
      <c r="E149" s="126">
        <f t="shared" si="7"/>
        <v>8</v>
      </c>
      <c r="F149" s="122">
        <v>4.0</v>
      </c>
      <c r="G149" s="127">
        <f t="shared" si="2"/>
        <v>0</v>
      </c>
      <c r="H149" s="122">
        <v>0.0</v>
      </c>
      <c r="I149" s="131">
        <v>1.0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120" t="s">
        <v>352</v>
      </c>
      <c r="B150" s="121">
        <v>1.0</v>
      </c>
      <c r="C150" s="122">
        <v>20.0</v>
      </c>
      <c r="D150" s="121">
        <v>2.0</v>
      </c>
      <c r="E150" s="126">
        <f t="shared" si="7"/>
        <v>8</v>
      </c>
      <c r="F150" s="122">
        <v>8.0</v>
      </c>
      <c r="G150" s="127">
        <f t="shared" si="2"/>
        <v>0</v>
      </c>
      <c r="H150" s="122">
        <v>0.0</v>
      </c>
      <c r="I150" s="131">
        <v>1.0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120" t="s">
        <v>416</v>
      </c>
      <c r="B151" s="121">
        <v>1.0</v>
      </c>
      <c r="C151" s="122">
        <v>20.0</v>
      </c>
      <c r="D151" s="121">
        <v>2.0</v>
      </c>
      <c r="E151" s="126">
        <f t="shared" si="7"/>
        <v>8</v>
      </c>
      <c r="F151" s="122">
        <v>8.0</v>
      </c>
      <c r="G151" s="127">
        <f t="shared" si="2"/>
        <v>0</v>
      </c>
      <c r="H151" s="122">
        <v>0.0</v>
      </c>
      <c r="I151" s="128">
        <v>1.0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120" t="s">
        <v>384</v>
      </c>
      <c r="B152" s="121">
        <v>2.0</v>
      </c>
      <c r="C152" s="122">
        <v>40.0</v>
      </c>
      <c r="D152" s="121">
        <v>4.0</v>
      </c>
      <c r="E152" s="126">
        <f t="shared" si="7"/>
        <v>8</v>
      </c>
      <c r="F152" s="122">
        <v>4.0</v>
      </c>
      <c r="G152" s="127">
        <f t="shared" si="2"/>
        <v>1</v>
      </c>
      <c r="H152" s="122">
        <v>0.5</v>
      </c>
      <c r="I152" s="128">
        <v>0.75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120" t="s">
        <v>307</v>
      </c>
      <c r="B153" s="121">
        <v>1.0</v>
      </c>
      <c r="C153" s="122">
        <v>20.0</v>
      </c>
      <c r="D153" s="121">
        <v>4.0</v>
      </c>
      <c r="E153" s="126">
        <f t="shared" si="7"/>
        <v>8</v>
      </c>
      <c r="F153" s="122">
        <v>8.0</v>
      </c>
      <c r="G153" s="127">
        <f t="shared" si="2"/>
        <v>1</v>
      </c>
      <c r="H153" s="122">
        <v>1.0</v>
      </c>
      <c r="I153" s="131">
        <v>0.75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120" t="s">
        <v>348</v>
      </c>
      <c r="B154" s="121">
        <v>2.0</v>
      </c>
      <c r="C154" s="122">
        <v>40.0</v>
      </c>
      <c r="D154" s="121">
        <v>3.0</v>
      </c>
      <c r="E154" s="126">
        <f t="shared" si="7"/>
        <v>8</v>
      </c>
      <c r="F154" s="122">
        <v>4.0</v>
      </c>
      <c r="G154" s="127">
        <f t="shared" si="2"/>
        <v>0</v>
      </c>
      <c r="H154" s="122">
        <v>0.0</v>
      </c>
      <c r="I154" s="128">
        <v>0.667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120" t="s">
        <v>401</v>
      </c>
      <c r="B155" s="121">
        <v>4.0</v>
      </c>
      <c r="C155" s="122">
        <v>80.0</v>
      </c>
      <c r="D155" s="121">
        <v>5.0</v>
      </c>
      <c r="E155" s="126">
        <f t="shared" si="7"/>
        <v>8</v>
      </c>
      <c r="F155" s="122">
        <v>2.0</v>
      </c>
      <c r="G155" s="127">
        <f t="shared" si="2"/>
        <v>1</v>
      </c>
      <c r="H155" s="122">
        <v>0.25</v>
      </c>
      <c r="I155" s="128">
        <v>0.6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120" t="s">
        <v>415</v>
      </c>
      <c r="B156" s="121">
        <v>4.0</v>
      </c>
      <c r="C156" s="122">
        <v>80.0</v>
      </c>
      <c r="D156" s="121">
        <v>6.0</v>
      </c>
      <c r="E156" s="126">
        <f t="shared" si="7"/>
        <v>8</v>
      </c>
      <c r="F156" s="122">
        <v>2.0</v>
      </c>
      <c r="G156" s="127">
        <f t="shared" si="2"/>
        <v>1</v>
      </c>
      <c r="H156" s="122">
        <v>0.25</v>
      </c>
      <c r="I156" s="128">
        <v>0.5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120" t="s">
        <v>357</v>
      </c>
      <c r="B157" s="121">
        <v>2.0</v>
      </c>
      <c r="C157" s="122">
        <v>40.0</v>
      </c>
      <c r="D157" s="121">
        <v>6.0</v>
      </c>
      <c r="E157" s="126">
        <f t="shared" si="7"/>
        <v>8</v>
      </c>
      <c r="F157" s="122">
        <v>4.0</v>
      </c>
      <c r="G157" s="127">
        <f t="shared" si="2"/>
        <v>1</v>
      </c>
      <c r="H157" s="122">
        <v>0.5</v>
      </c>
      <c r="I157" s="128">
        <v>0.5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120" t="s">
        <v>304</v>
      </c>
      <c r="B158" s="121">
        <v>4.0</v>
      </c>
      <c r="C158" s="122">
        <v>80.0</v>
      </c>
      <c r="D158" s="121">
        <v>9.0</v>
      </c>
      <c r="E158" s="126">
        <f t="shared" si="7"/>
        <v>8</v>
      </c>
      <c r="F158" s="122">
        <v>2.0</v>
      </c>
      <c r="G158" s="127">
        <f t="shared" si="2"/>
        <v>2</v>
      </c>
      <c r="H158" s="122">
        <v>0.5</v>
      </c>
      <c r="I158" s="128">
        <v>0.444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120" t="s">
        <v>314</v>
      </c>
      <c r="B159" s="121">
        <v>5.0</v>
      </c>
      <c r="C159" s="122">
        <v>100.0</v>
      </c>
      <c r="D159" s="121">
        <v>10.0</v>
      </c>
      <c r="E159" s="126">
        <f t="shared" si="7"/>
        <v>8</v>
      </c>
      <c r="F159" s="122">
        <v>1.6</v>
      </c>
      <c r="G159" s="127">
        <f t="shared" si="2"/>
        <v>2</v>
      </c>
      <c r="H159" s="122">
        <v>0.4</v>
      </c>
      <c r="I159" s="128">
        <v>0.4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120" t="s">
        <v>311</v>
      </c>
      <c r="B160" s="121">
        <v>2.0</v>
      </c>
      <c r="C160" s="122">
        <v>40.0</v>
      </c>
      <c r="D160" s="121">
        <v>6.0</v>
      </c>
      <c r="E160" s="126">
        <f t="shared" si="7"/>
        <v>8</v>
      </c>
      <c r="F160" s="122">
        <v>4.0</v>
      </c>
      <c r="G160" s="127">
        <f t="shared" si="2"/>
        <v>0</v>
      </c>
      <c r="H160" s="122">
        <v>0.0</v>
      </c>
      <c r="I160" s="131">
        <v>0.333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120" t="s">
        <v>365</v>
      </c>
      <c r="B161" s="121">
        <v>1.0</v>
      </c>
      <c r="C161" s="122">
        <v>20.0</v>
      </c>
      <c r="D161" s="121">
        <v>1.0</v>
      </c>
      <c r="E161" s="126">
        <f t="shared" si="7"/>
        <v>4</v>
      </c>
      <c r="F161" s="122">
        <v>4.0</v>
      </c>
      <c r="G161" s="127">
        <f t="shared" si="2"/>
        <v>0</v>
      </c>
      <c r="H161" s="122">
        <v>0.0</v>
      </c>
      <c r="I161" s="128">
        <v>1.0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120" t="s">
        <v>367</v>
      </c>
      <c r="B162" s="121">
        <v>1.0</v>
      </c>
      <c r="C162" s="122">
        <v>20.0</v>
      </c>
      <c r="D162" s="121">
        <v>1.0</v>
      </c>
      <c r="E162" s="126">
        <f t="shared" si="7"/>
        <v>4</v>
      </c>
      <c r="F162" s="122">
        <v>4.0</v>
      </c>
      <c r="G162" s="127">
        <f t="shared" si="2"/>
        <v>0</v>
      </c>
      <c r="H162" s="122">
        <v>0.0</v>
      </c>
      <c r="I162" s="131">
        <v>1.0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120" t="s">
        <v>375</v>
      </c>
      <c r="B163" s="121">
        <v>1.0</v>
      </c>
      <c r="C163" s="122">
        <v>20.0</v>
      </c>
      <c r="D163" s="121">
        <v>1.0</v>
      </c>
      <c r="E163" s="126">
        <f t="shared" si="7"/>
        <v>4</v>
      </c>
      <c r="F163" s="122">
        <v>4.0</v>
      </c>
      <c r="G163" s="127">
        <f t="shared" si="2"/>
        <v>0</v>
      </c>
      <c r="H163" s="122">
        <v>0.0</v>
      </c>
      <c r="I163" s="128">
        <v>1.0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120" t="s">
        <v>328</v>
      </c>
      <c r="B164" s="121">
        <v>1.0</v>
      </c>
      <c r="C164" s="122">
        <v>20.0</v>
      </c>
      <c r="D164" s="121">
        <v>1.0</v>
      </c>
      <c r="E164" s="126">
        <f t="shared" si="7"/>
        <v>4</v>
      </c>
      <c r="F164" s="122">
        <v>4.0</v>
      </c>
      <c r="G164" s="127">
        <f t="shared" si="2"/>
        <v>0</v>
      </c>
      <c r="H164" s="122">
        <v>0.0</v>
      </c>
      <c r="I164" s="128">
        <v>1.0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120" t="s">
        <v>349</v>
      </c>
      <c r="B165" s="121">
        <v>1.0</v>
      </c>
      <c r="C165" s="122">
        <v>20.0</v>
      </c>
      <c r="D165" s="121">
        <v>1.0</v>
      </c>
      <c r="E165" s="126">
        <f t="shared" si="7"/>
        <v>4</v>
      </c>
      <c r="F165" s="122">
        <v>4.0</v>
      </c>
      <c r="G165" s="127">
        <f t="shared" si="2"/>
        <v>0</v>
      </c>
      <c r="H165" s="122">
        <v>0.0</v>
      </c>
      <c r="I165" s="128">
        <v>1.0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120" t="s">
        <v>329</v>
      </c>
      <c r="B166" s="121">
        <v>1.0</v>
      </c>
      <c r="C166" s="122">
        <v>20.0</v>
      </c>
      <c r="D166" s="121">
        <v>1.0</v>
      </c>
      <c r="E166" s="126">
        <f t="shared" si="7"/>
        <v>4</v>
      </c>
      <c r="F166" s="122">
        <v>4.0</v>
      </c>
      <c r="G166" s="127">
        <f t="shared" si="2"/>
        <v>0</v>
      </c>
      <c r="H166" s="122">
        <v>0.0</v>
      </c>
      <c r="I166" s="128">
        <v>1.0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120" t="s">
        <v>386</v>
      </c>
      <c r="B167" s="121">
        <v>1.0</v>
      </c>
      <c r="C167" s="122">
        <v>20.0</v>
      </c>
      <c r="D167" s="121">
        <v>1.0</v>
      </c>
      <c r="E167" s="126">
        <f t="shared" si="7"/>
        <v>4</v>
      </c>
      <c r="F167" s="122">
        <v>4.0</v>
      </c>
      <c r="G167" s="127">
        <f t="shared" si="2"/>
        <v>0</v>
      </c>
      <c r="H167" s="122">
        <v>0.0</v>
      </c>
      <c r="I167" s="128">
        <v>1.0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120" t="s">
        <v>412</v>
      </c>
      <c r="B168" s="121">
        <v>1.0</v>
      </c>
      <c r="C168" s="122">
        <v>20.0</v>
      </c>
      <c r="D168" s="121">
        <v>1.0</v>
      </c>
      <c r="E168" s="126">
        <f t="shared" si="7"/>
        <v>4</v>
      </c>
      <c r="F168" s="122">
        <v>4.0</v>
      </c>
      <c r="G168" s="127">
        <f t="shared" si="2"/>
        <v>0</v>
      </c>
      <c r="H168" s="122">
        <v>0.0</v>
      </c>
      <c r="I168" s="128">
        <v>1.0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120" t="s">
        <v>360</v>
      </c>
      <c r="B169" s="121">
        <v>2.0</v>
      </c>
      <c r="C169" s="122">
        <v>40.0</v>
      </c>
      <c r="D169" s="121">
        <v>3.0</v>
      </c>
      <c r="E169" s="126">
        <f t="shared" si="7"/>
        <v>4</v>
      </c>
      <c r="F169" s="122">
        <v>2.0</v>
      </c>
      <c r="G169" s="127">
        <f t="shared" si="2"/>
        <v>1</v>
      </c>
      <c r="H169" s="122">
        <v>0.5</v>
      </c>
      <c r="I169" s="128">
        <v>0.667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120" t="s">
        <v>342</v>
      </c>
      <c r="B170" s="121">
        <v>1.0</v>
      </c>
      <c r="C170" s="122">
        <v>20.0</v>
      </c>
      <c r="D170" s="121">
        <v>3.0</v>
      </c>
      <c r="E170" s="126">
        <f t="shared" si="7"/>
        <v>4</v>
      </c>
      <c r="F170" s="122">
        <v>4.0</v>
      </c>
      <c r="G170" s="127">
        <f t="shared" si="2"/>
        <v>1</v>
      </c>
      <c r="H170" s="122">
        <v>1.0</v>
      </c>
      <c r="I170" s="128">
        <v>0.667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120" t="s">
        <v>381</v>
      </c>
      <c r="B171" s="121">
        <v>2.0</v>
      </c>
      <c r="C171" s="122">
        <v>40.0</v>
      </c>
      <c r="D171" s="121">
        <v>2.0</v>
      </c>
      <c r="E171" s="126">
        <f t="shared" si="7"/>
        <v>4</v>
      </c>
      <c r="F171" s="122">
        <v>2.0</v>
      </c>
      <c r="G171" s="127">
        <f t="shared" si="2"/>
        <v>0</v>
      </c>
      <c r="H171" s="122">
        <v>0.0</v>
      </c>
      <c r="I171" s="128">
        <v>0.5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120" t="s">
        <v>385</v>
      </c>
      <c r="B172" s="121">
        <v>2.0</v>
      </c>
      <c r="C172" s="122">
        <v>40.0</v>
      </c>
      <c r="D172" s="121">
        <v>2.0</v>
      </c>
      <c r="E172" s="126">
        <f t="shared" si="7"/>
        <v>4</v>
      </c>
      <c r="F172" s="122">
        <v>2.0</v>
      </c>
      <c r="G172" s="127">
        <f t="shared" si="2"/>
        <v>0</v>
      </c>
      <c r="H172" s="122">
        <v>0.0</v>
      </c>
      <c r="I172" s="128">
        <v>0.5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120" t="s">
        <v>346</v>
      </c>
      <c r="B173" s="121">
        <v>2.0</v>
      </c>
      <c r="C173" s="122">
        <v>40.0</v>
      </c>
      <c r="D173" s="121">
        <v>2.0</v>
      </c>
      <c r="E173" s="126">
        <f t="shared" si="7"/>
        <v>4</v>
      </c>
      <c r="F173" s="122">
        <v>2.0</v>
      </c>
      <c r="G173" s="127">
        <f t="shared" si="2"/>
        <v>0</v>
      </c>
      <c r="H173" s="122">
        <v>0.0</v>
      </c>
      <c r="I173" s="131">
        <v>0.5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120" t="s">
        <v>423</v>
      </c>
      <c r="B174" s="121">
        <v>1.0</v>
      </c>
      <c r="C174" s="122">
        <v>20.0</v>
      </c>
      <c r="D174" s="121">
        <v>2.0</v>
      </c>
      <c r="E174" s="126">
        <f t="shared" si="7"/>
        <v>4</v>
      </c>
      <c r="F174" s="122">
        <v>4.0</v>
      </c>
      <c r="G174" s="127">
        <f t="shared" si="2"/>
        <v>0</v>
      </c>
      <c r="H174" s="122">
        <v>0.0</v>
      </c>
      <c r="I174" s="128">
        <v>0.5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120" t="s">
        <v>380</v>
      </c>
      <c r="B175" s="121">
        <v>2.0</v>
      </c>
      <c r="C175" s="122">
        <v>40.0</v>
      </c>
      <c r="D175" s="121">
        <v>2.0</v>
      </c>
      <c r="E175" s="126">
        <f t="shared" si="7"/>
        <v>4</v>
      </c>
      <c r="F175" s="122">
        <v>2.0</v>
      </c>
      <c r="G175" s="127">
        <f t="shared" si="2"/>
        <v>0</v>
      </c>
      <c r="H175" s="122">
        <v>0.0</v>
      </c>
      <c r="I175" s="131">
        <v>0.5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120" t="s">
        <v>408</v>
      </c>
      <c r="B176" s="121">
        <v>4.0</v>
      </c>
      <c r="C176" s="122">
        <v>80.0</v>
      </c>
      <c r="D176" s="121">
        <v>6.0</v>
      </c>
      <c r="E176" s="126">
        <f t="shared" si="7"/>
        <v>4</v>
      </c>
      <c r="F176" s="122">
        <v>1.0</v>
      </c>
      <c r="G176" s="127">
        <f t="shared" si="2"/>
        <v>2</v>
      </c>
      <c r="H176" s="122">
        <v>0.5</v>
      </c>
      <c r="I176" s="131">
        <v>0.5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120" t="s">
        <v>338</v>
      </c>
      <c r="B177" s="121">
        <v>1.0</v>
      </c>
      <c r="C177" s="122">
        <v>20.0</v>
      </c>
      <c r="D177" s="121">
        <v>2.0</v>
      </c>
      <c r="E177" s="126">
        <f t="shared" si="7"/>
        <v>4</v>
      </c>
      <c r="F177" s="122">
        <v>4.0</v>
      </c>
      <c r="G177" s="127">
        <f t="shared" si="2"/>
        <v>0</v>
      </c>
      <c r="H177" s="122">
        <v>0.0</v>
      </c>
      <c r="I177" s="128">
        <v>0.5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120" t="s">
        <v>340</v>
      </c>
      <c r="B178" s="121">
        <v>2.0</v>
      </c>
      <c r="C178" s="122">
        <v>40.0</v>
      </c>
      <c r="D178" s="121">
        <v>20.0</v>
      </c>
      <c r="E178" s="126">
        <f t="shared" si="7"/>
        <v>4</v>
      </c>
      <c r="F178" s="122">
        <v>2.0</v>
      </c>
      <c r="G178" s="127">
        <f t="shared" si="2"/>
        <v>8</v>
      </c>
      <c r="H178" s="122">
        <v>4.0</v>
      </c>
      <c r="I178" s="128">
        <v>0.45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120" t="s">
        <v>372</v>
      </c>
      <c r="B179" s="121">
        <v>2.0</v>
      </c>
      <c r="C179" s="122">
        <v>40.0</v>
      </c>
      <c r="D179" s="121">
        <v>3.0</v>
      </c>
      <c r="E179" s="126">
        <f t="shared" si="7"/>
        <v>4</v>
      </c>
      <c r="F179" s="122">
        <v>2.0</v>
      </c>
      <c r="G179" s="127">
        <f t="shared" si="2"/>
        <v>0</v>
      </c>
      <c r="H179" s="122">
        <v>0.0</v>
      </c>
      <c r="I179" s="128">
        <v>0.333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120" t="s">
        <v>354</v>
      </c>
      <c r="B180" s="121">
        <v>2.0</v>
      </c>
      <c r="C180" s="122">
        <v>40.0</v>
      </c>
      <c r="D180" s="121">
        <v>9.0</v>
      </c>
      <c r="E180" s="126">
        <f t="shared" si="7"/>
        <v>4</v>
      </c>
      <c r="F180" s="122">
        <v>2.0</v>
      </c>
      <c r="G180" s="127">
        <f t="shared" si="2"/>
        <v>2</v>
      </c>
      <c r="H180" s="122">
        <v>1.0</v>
      </c>
      <c r="I180" s="128">
        <v>0.333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120" t="s">
        <v>321</v>
      </c>
      <c r="B181" s="121">
        <v>2.0</v>
      </c>
      <c r="C181" s="122">
        <v>40.0</v>
      </c>
      <c r="D181" s="121">
        <v>3.0</v>
      </c>
      <c r="E181" s="126">
        <f t="shared" si="7"/>
        <v>4</v>
      </c>
      <c r="F181" s="122">
        <v>2.0</v>
      </c>
      <c r="G181" s="127">
        <f t="shared" si="2"/>
        <v>0</v>
      </c>
      <c r="H181" s="122">
        <v>0.0</v>
      </c>
      <c r="I181" s="131">
        <v>0.333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120" t="s">
        <v>334</v>
      </c>
      <c r="B182" s="121">
        <v>2.0</v>
      </c>
      <c r="C182" s="122">
        <v>40.0</v>
      </c>
      <c r="D182" s="121">
        <v>3.0</v>
      </c>
      <c r="E182" s="126">
        <f t="shared" si="7"/>
        <v>4</v>
      </c>
      <c r="F182" s="122">
        <v>2.0</v>
      </c>
      <c r="G182" s="127">
        <f t="shared" si="2"/>
        <v>0</v>
      </c>
      <c r="H182" s="122">
        <v>0.0</v>
      </c>
      <c r="I182" s="128">
        <v>0.333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120" t="s">
        <v>390</v>
      </c>
      <c r="B183" s="121">
        <v>2.0</v>
      </c>
      <c r="C183" s="122">
        <v>40.0</v>
      </c>
      <c r="D183" s="121">
        <v>4.0</v>
      </c>
      <c r="E183" s="126">
        <f t="shared" si="7"/>
        <v>4</v>
      </c>
      <c r="F183" s="122">
        <v>2.0</v>
      </c>
      <c r="G183" s="127">
        <f t="shared" si="2"/>
        <v>0</v>
      </c>
      <c r="H183" s="122">
        <v>0.0</v>
      </c>
      <c r="I183" s="128">
        <v>0.25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120" t="s">
        <v>366</v>
      </c>
      <c r="B184" s="121">
        <v>3.0</v>
      </c>
      <c r="C184" s="122">
        <v>60.0</v>
      </c>
      <c r="D184" s="121">
        <v>3.0</v>
      </c>
      <c r="E184" s="126">
        <f t="shared" si="7"/>
        <v>3.99</v>
      </c>
      <c r="F184" s="122">
        <v>1.33</v>
      </c>
      <c r="G184" s="127">
        <f t="shared" si="2"/>
        <v>0.99</v>
      </c>
      <c r="H184" s="122">
        <v>0.33</v>
      </c>
      <c r="I184" s="131">
        <v>0.667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120" t="s">
        <v>358</v>
      </c>
      <c r="B185" s="121">
        <v>3.0</v>
      </c>
      <c r="C185" s="122">
        <v>60.0</v>
      </c>
      <c r="D185" s="121">
        <v>4.0</v>
      </c>
      <c r="E185" s="126">
        <f t="shared" si="7"/>
        <v>3.99</v>
      </c>
      <c r="F185" s="122">
        <v>1.33</v>
      </c>
      <c r="G185" s="127">
        <f t="shared" si="2"/>
        <v>0.99</v>
      </c>
      <c r="H185" s="122">
        <v>0.33</v>
      </c>
      <c r="I185" s="128">
        <v>0.5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120" t="s">
        <v>405</v>
      </c>
      <c r="B186" s="121">
        <v>3.0</v>
      </c>
      <c r="C186" s="122">
        <v>60.0</v>
      </c>
      <c r="D186" s="121">
        <v>4.0</v>
      </c>
      <c r="E186" s="126">
        <f t="shared" si="7"/>
        <v>3.99</v>
      </c>
      <c r="F186" s="122">
        <v>1.33</v>
      </c>
      <c r="G186" s="127">
        <f t="shared" si="2"/>
        <v>0.99</v>
      </c>
      <c r="H186" s="122">
        <v>0.33</v>
      </c>
      <c r="I186" s="131">
        <v>0.5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120" t="s">
        <v>379</v>
      </c>
      <c r="B187" s="121">
        <v>3.0</v>
      </c>
      <c r="C187" s="122">
        <v>60.0</v>
      </c>
      <c r="D187" s="121">
        <v>6.0</v>
      </c>
      <c r="E187" s="126">
        <f t="shared" si="7"/>
        <v>3.99</v>
      </c>
      <c r="F187" s="122">
        <v>1.33</v>
      </c>
      <c r="G187" s="127">
        <f t="shared" si="2"/>
        <v>0</v>
      </c>
      <c r="H187" s="122">
        <v>0.0</v>
      </c>
      <c r="I187" s="131">
        <v>0.167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120" t="s">
        <v>402</v>
      </c>
      <c r="B188" s="121">
        <v>1.0</v>
      </c>
      <c r="C188" s="122">
        <v>20.0</v>
      </c>
      <c r="D188" s="121">
        <v>5.0</v>
      </c>
      <c r="E188" s="126">
        <f t="shared" si="7"/>
        <v>0</v>
      </c>
      <c r="F188" s="122">
        <v>0.0</v>
      </c>
      <c r="G188" s="127">
        <f t="shared" si="2"/>
        <v>2</v>
      </c>
      <c r="H188" s="122">
        <v>2.0</v>
      </c>
      <c r="I188" s="131">
        <v>0.4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120" t="s">
        <v>368</v>
      </c>
      <c r="B189" s="121">
        <v>4.0</v>
      </c>
      <c r="C189" s="122">
        <v>80.0</v>
      </c>
      <c r="D189" s="121">
        <v>7.0</v>
      </c>
      <c r="E189" s="126">
        <f t="shared" si="7"/>
        <v>0</v>
      </c>
      <c r="F189" s="122">
        <v>0.0</v>
      </c>
      <c r="G189" s="127">
        <f t="shared" si="2"/>
        <v>2</v>
      </c>
      <c r="H189" s="122">
        <v>0.5</v>
      </c>
      <c r="I189" s="128">
        <v>0.286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120" t="s">
        <v>370</v>
      </c>
      <c r="B190" s="121">
        <v>3.0</v>
      </c>
      <c r="C190" s="122">
        <v>60.0</v>
      </c>
      <c r="D190" s="121">
        <v>4.0</v>
      </c>
      <c r="E190" s="126">
        <f t="shared" si="7"/>
        <v>0</v>
      </c>
      <c r="F190" s="122">
        <v>0.0</v>
      </c>
      <c r="G190" s="127">
        <f t="shared" si="2"/>
        <v>0.99</v>
      </c>
      <c r="H190" s="122">
        <v>0.33</v>
      </c>
      <c r="I190" s="128">
        <v>0.25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120" t="s">
        <v>391</v>
      </c>
      <c r="B191" s="121">
        <v>2.0</v>
      </c>
      <c r="C191" s="122">
        <f>B191*20</f>
        <v>40</v>
      </c>
      <c r="D191" s="121">
        <v>1.0</v>
      </c>
      <c r="E191" s="126">
        <f t="shared" si="7"/>
        <v>0</v>
      </c>
      <c r="F191" s="122">
        <v>0.0</v>
      </c>
      <c r="G191" s="127">
        <f t="shared" si="2"/>
        <v>0</v>
      </c>
      <c r="H191" s="122">
        <v>0.0</v>
      </c>
      <c r="I191" s="128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120" t="s">
        <v>399</v>
      </c>
      <c r="B192" s="121">
        <v>1.0</v>
      </c>
      <c r="C192" s="122">
        <v>20.0</v>
      </c>
      <c r="D192" s="121">
        <v>1.0</v>
      </c>
      <c r="E192" s="126">
        <f t="shared" si="7"/>
        <v>0</v>
      </c>
      <c r="F192" s="122">
        <v>0.0</v>
      </c>
      <c r="G192" s="127">
        <f t="shared" si="2"/>
        <v>0</v>
      </c>
      <c r="H192" s="122">
        <v>0.0</v>
      </c>
      <c r="I192" s="128">
        <v>0.0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120" t="s">
        <v>407</v>
      </c>
      <c r="B193" s="121">
        <v>1.0</v>
      </c>
      <c r="C193" s="122">
        <v>20.0</v>
      </c>
      <c r="D193" s="121">
        <v>1.0</v>
      </c>
      <c r="E193" s="126">
        <f t="shared" si="7"/>
        <v>0</v>
      </c>
      <c r="F193" s="122">
        <v>0.0</v>
      </c>
      <c r="G193" s="127">
        <f t="shared" si="2"/>
        <v>0</v>
      </c>
      <c r="H193" s="122">
        <v>0.0</v>
      </c>
      <c r="I193" s="128">
        <v>0.0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120" t="s">
        <v>413</v>
      </c>
      <c r="B194" s="121">
        <v>1.0</v>
      </c>
      <c r="C194" s="122">
        <v>20.0</v>
      </c>
      <c r="D194" s="121">
        <v>1.0</v>
      </c>
      <c r="E194" s="126">
        <f t="shared" si="7"/>
        <v>0</v>
      </c>
      <c r="F194" s="122">
        <v>0.0</v>
      </c>
      <c r="G194" s="127">
        <f t="shared" si="2"/>
        <v>0</v>
      </c>
      <c r="H194" s="122">
        <v>0.0</v>
      </c>
      <c r="I194" s="128">
        <v>0.0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120" t="s">
        <v>417</v>
      </c>
      <c r="B195" s="121">
        <v>1.0</v>
      </c>
      <c r="C195" s="122">
        <v>20.0</v>
      </c>
      <c r="D195" s="121">
        <v>1.0</v>
      </c>
      <c r="E195" s="126">
        <f t="shared" si="7"/>
        <v>0</v>
      </c>
      <c r="F195" s="122">
        <v>0.0</v>
      </c>
      <c r="G195" s="127">
        <f t="shared" si="2"/>
        <v>0</v>
      </c>
      <c r="H195" s="122">
        <v>0.0</v>
      </c>
      <c r="I195" s="128">
        <v>0.0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120" t="s">
        <v>419</v>
      </c>
      <c r="B196" s="121">
        <v>1.0</v>
      </c>
      <c r="C196" s="122">
        <v>20.0</v>
      </c>
      <c r="D196" s="121">
        <v>1.0</v>
      </c>
      <c r="E196" s="126">
        <f t="shared" si="7"/>
        <v>0</v>
      </c>
      <c r="F196" s="122">
        <v>0.0</v>
      </c>
      <c r="G196" s="127">
        <f t="shared" si="2"/>
        <v>0</v>
      </c>
      <c r="H196" s="122">
        <v>0.0</v>
      </c>
      <c r="I196" s="128">
        <v>0.0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120" t="s">
        <v>414</v>
      </c>
      <c r="B197" s="121">
        <v>3.0</v>
      </c>
      <c r="C197" s="122">
        <v>60.0</v>
      </c>
      <c r="D197" s="121">
        <v>4.0</v>
      </c>
      <c r="E197" s="126">
        <f t="shared" si="7"/>
        <v>-3.99</v>
      </c>
      <c r="F197" s="122">
        <v>-1.33</v>
      </c>
      <c r="G197" s="127">
        <f t="shared" si="2"/>
        <v>2.01</v>
      </c>
      <c r="H197" s="122">
        <v>0.67</v>
      </c>
      <c r="I197" s="131">
        <v>0.25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120" t="s">
        <v>308</v>
      </c>
      <c r="B198" s="121">
        <v>4.0</v>
      </c>
      <c r="C198" s="122">
        <v>80.0</v>
      </c>
      <c r="D198" s="121">
        <v>8.0</v>
      </c>
      <c r="E198" s="126">
        <f t="shared" si="7"/>
        <v>-4</v>
      </c>
      <c r="F198" s="122">
        <v>-1.0</v>
      </c>
      <c r="G198" s="127">
        <f t="shared" si="2"/>
        <v>4</v>
      </c>
      <c r="H198" s="122">
        <v>1.0</v>
      </c>
      <c r="I198" s="128">
        <v>0.375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120" t="s">
        <v>377</v>
      </c>
      <c r="B199" s="121">
        <v>1.0</v>
      </c>
      <c r="C199" s="122">
        <v>20.0</v>
      </c>
      <c r="D199" s="121">
        <v>1.0</v>
      </c>
      <c r="E199" s="126">
        <f t="shared" si="7"/>
        <v>-4</v>
      </c>
      <c r="F199" s="122">
        <v>-4.0</v>
      </c>
      <c r="G199" s="127">
        <f t="shared" si="2"/>
        <v>1</v>
      </c>
      <c r="H199" s="122">
        <v>1.0</v>
      </c>
      <c r="I199" s="128">
        <v>0.0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120" t="s">
        <v>389</v>
      </c>
      <c r="B200" s="121">
        <v>2.0</v>
      </c>
      <c r="C200" s="122">
        <v>40.0</v>
      </c>
      <c r="D200" s="121">
        <v>4.0</v>
      </c>
      <c r="E200" s="126">
        <f t="shared" si="7"/>
        <v>-4</v>
      </c>
      <c r="F200" s="122">
        <v>-2.0</v>
      </c>
      <c r="G200" s="127">
        <f t="shared" si="2"/>
        <v>1</v>
      </c>
      <c r="H200" s="122">
        <v>0.5</v>
      </c>
      <c r="I200" s="128">
        <v>0.0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120" t="s">
        <v>395</v>
      </c>
      <c r="B201" s="121">
        <v>1.0</v>
      </c>
      <c r="C201" s="122">
        <v>20.0</v>
      </c>
      <c r="D201" s="121">
        <v>1.0</v>
      </c>
      <c r="E201" s="126">
        <f t="shared" si="7"/>
        <v>-4</v>
      </c>
      <c r="F201" s="122">
        <v>-4.0</v>
      </c>
      <c r="G201" s="127">
        <f t="shared" si="2"/>
        <v>1</v>
      </c>
      <c r="H201" s="122">
        <v>1.0</v>
      </c>
      <c r="I201" s="131">
        <v>0.0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120" t="s">
        <v>409</v>
      </c>
      <c r="B202" s="121">
        <v>1.0</v>
      </c>
      <c r="C202" s="122">
        <v>20.0</v>
      </c>
      <c r="D202" s="121">
        <v>1.0</v>
      </c>
      <c r="E202" s="126">
        <f t="shared" si="7"/>
        <v>-4</v>
      </c>
      <c r="F202" s="122">
        <v>-4.0</v>
      </c>
      <c r="G202" s="127">
        <f t="shared" si="2"/>
        <v>1</v>
      </c>
      <c r="H202" s="122">
        <v>1.0</v>
      </c>
      <c r="I202" s="128">
        <v>0.0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120" t="s">
        <v>410</v>
      </c>
      <c r="B203" s="121">
        <v>1.0</v>
      </c>
      <c r="C203" s="122">
        <v>20.0</v>
      </c>
      <c r="D203" s="121">
        <v>1.0</v>
      </c>
      <c r="E203" s="126">
        <f t="shared" si="7"/>
        <v>-4</v>
      </c>
      <c r="F203" s="122">
        <v>-4.0</v>
      </c>
      <c r="G203" s="127">
        <f t="shared" si="2"/>
        <v>1</v>
      </c>
      <c r="H203" s="122">
        <v>1.0</v>
      </c>
      <c r="I203" s="131">
        <v>0.0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120" t="s">
        <v>411</v>
      </c>
      <c r="B204" s="121">
        <v>1.0</v>
      </c>
      <c r="C204" s="122">
        <v>20.0</v>
      </c>
      <c r="D204" s="121">
        <v>1.0</v>
      </c>
      <c r="E204" s="126">
        <f t="shared" si="7"/>
        <v>-4</v>
      </c>
      <c r="F204" s="122">
        <v>-4.0</v>
      </c>
      <c r="G204" s="127">
        <f t="shared" si="2"/>
        <v>1</v>
      </c>
      <c r="H204" s="122">
        <v>1.0</v>
      </c>
      <c r="I204" s="128">
        <v>0.0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120" t="s">
        <v>420</v>
      </c>
      <c r="B205" s="121">
        <v>1.0</v>
      </c>
      <c r="C205" s="122">
        <v>20.0</v>
      </c>
      <c r="D205" s="121">
        <v>2.0</v>
      </c>
      <c r="E205" s="126">
        <f t="shared" si="7"/>
        <v>-4</v>
      </c>
      <c r="F205" s="122">
        <v>-4.0</v>
      </c>
      <c r="G205" s="127">
        <f t="shared" si="2"/>
        <v>1</v>
      </c>
      <c r="H205" s="122">
        <v>1.0</v>
      </c>
      <c r="I205" s="131">
        <v>0.0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75"/>
    <col customWidth="1" min="10" max="10" width="16.25"/>
  </cols>
  <sheetData>
    <row r="1">
      <c r="A1" s="138" t="s">
        <v>189</v>
      </c>
      <c r="B1" s="139" t="s">
        <v>425</v>
      </c>
      <c r="C1" s="139" t="s">
        <v>426</v>
      </c>
      <c r="D1" s="138" t="s">
        <v>194</v>
      </c>
      <c r="E1" s="138" t="s">
        <v>195</v>
      </c>
      <c r="F1" s="140" t="s">
        <v>421</v>
      </c>
      <c r="G1" s="138" t="s">
        <v>197</v>
      </c>
      <c r="H1" s="140" t="s">
        <v>422</v>
      </c>
      <c r="I1" s="138" t="s">
        <v>427</v>
      </c>
      <c r="J1" s="138" t="s">
        <v>428</v>
      </c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" t="s">
        <v>429</v>
      </c>
      <c r="B2" s="142">
        <v>5.0</v>
      </c>
      <c r="C2" s="142">
        <v>20.0</v>
      </c>
      <c r="D2" s="1">
        <v>20.0</v>
      </c>
      <c r="E2" s="1">
        <f t="shared" ref="E2:E18" si="1">F2/4*C2</f>
        <v>240</v>
      </c>
      <c r="F2" s="143">
        <v>48.0</v>
      </c>
      <c r="G2" s="1">
        <f t="shared" ref="G2:G49" si="2">H2/4*C2</f>
        <v>0</v>
      </c>
      <c r="H2" s="143">
        <v>0.0</v>
      </c>
      <c r="I2" s="1">
        <v>3.2</v>
      </c>
      <c r="J2" s="144">
        <v>1.0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430</v>
      </c>
      <c r="B3" s="142">
        <v>5.0</v>
      </c>
      <c r="C3" s="142">
        <v>20.0</v>
      </c>
      <c r="D3" s="1">
        <v>18.0</v>
      </c>
      <c r="E3" s="1">
        <f t="shared" si="1"/>
        <v>208</v>
      </c>
      <c r="F3" s="143">
        <v>41.6</v>
      </c>
      <c r="G3" s="1">
        <f t="shared" si="2"/>
        <v>0</v>
      </c>
      <c r="H3" s="143">
        <v>0.0</v>
      </c>
      <c r="I3" s="1">
        <v>2.8</v>
      </c>
      <c r="J3" s="145">
        <v>0.944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431</v>
      </c>
      <c r="B4" s="142">
        <v>5.0</v>
      </c>
      <c r="C4" s="142">
        <v>20.0</v>
      </c>
      <c r="D4" s="1">
        <v>17.0</v>
      </c>
      <c r="E4" s="1">
        <f t="shared" si="1"/>
        <v>190</v>
      </c>
      <c r="F4" s="143">
        <v>38.0</v>
      </c>
      <c r="G4" s="1">
        <f t="shared" si="2"/>
        <v>1</v>
      </c>
      <c r="H4" s="143">
        <v>0.2</v>
      </c>
      <c r="I4" s="1">
        <v>2.6</v>
      </c>
      <c r="J4" s="145">
        <v>0.941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432</v>
      </c>
      <c r="B5" s="142">
        <v>5.0</v>
      </c>
      <c r="C5" s="142">
        <v>20.0</v>
      </c>
      <c r="D5" s="1">
        <v>19.0</v>
      </c>
      <c r="E5" s="1">
        <f t="shared" si="1"/>
        <v>182</v>
      </c>
      <c r="F5" s="143">
        <v>36.4</v>
      </c>
      <c r="G5" s="1">
        <f t="shared" si="2"/>
        <v>3</v>
      </c>
      <c r="H5" s="143">
        <v>0.6</v>
      </c>
      <c r="I5" s="1">
        <v>2.6</v>
      </c>
      <c r="J5" s="145">
        <v>0.842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433</v>
      </c>
      <c r="B6" s="142">
        <v>5.0</v>
      </c>
      <c r="C6" s="142">
        <v>20.0</v>
      </c>
      <c r="D6" s="1">
        <v>18.0</v>
      </c>
      <c r="E6" s="1">
        <f t="shared" si="1"/>
        <v>162</v>
      </c>
      <c r="F6" s="143">
        <v>32.4</v>
      </c>
      <c r="G6" s="1">
        <f t="shared" si="2"/>
        <v>2</v>
      </c>
      <c r="H6" s="143">
        <v>0.4</v>
      </c>
      <c r="I6" s="1">
        <v>2.2</v>
      </c>
      <c r="J6" s="145">
        <v>0.833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434</v>
      </c>
      <c r="B7" s="142">
        <v>5.0</v>
      </c>
      <c r="C7" s="142">
        <v>20.0</v>
      </c>
      <c r="D7" s="1">
        <v>15.0</v>
      </c>
      <c r="E7" s="1">
        <f t="shared" si="1"/>
        <v>148</v>
      </c>
      <c r="F7" s="143">
        <v>29.6</v>
      </c>
      <c r="G7" s="1">
        <f t="shared" si="2"/>
        <v>1</v>
      </c>
      <c r="H7" s="143">
        <v>0.2</v>
      </c>
      <c r="I7" s="1">
        <v>2.0</v>
      </c>
      <c r="J7" s="145">
        <v>0.867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435</v>
      </c>
      <c r="B8" s="142">
        <v>5.0</v>
      </c>
      <c r="C8" s="142">
        <v>20.0</v>
      </c>
      <c r="D8" s="1">
        <v>17.0</v>
      </c>
      <c r="E8" s="1">
        <f t="shared" si="1"/>
        <v>148</v>
      </c>
      <c r="F8" s="143">
        <v>29.6</v>
      </c>
      <c r="G8" s="1">
        <f t="shared" si="2"/>
        <v>2</v>
      </c>
      <c r="H8" s="143">
        <v>0.4</v>
      </c>
      <c r="I8" s="1">
        <v>2.0</v>
      </c>
      <c r="J8" s="145">
        <v>0.824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436</v>
      </c>
      <c r="B9" s="142">
        <v>5.0</v>
      </c>
      <c r="C9" s="142">
        <v>20.0</v>
      </c>
      <c r="D9" s="1">
        <v>16.0</v>
      </c>
      <c r="E9" s="1">
        <f t="shared" si="1"/>
        <v>134</v>
      </c>
      <c r="F9" s="143">
        <v>26.8</v>
      </c>
      <c r="G9" s="1">
        <f t="shared" si="2"/>
        <v>1</v>
      </c>
      <c r="H9" s="143">
        <v>0.2</v>
      </c>
      <c r="I9" s="1">
        <v>1.8</v>
      </c>
      <c r="J9" s="145">
        <v>0.733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437</v>
      </c>
      <c r="B10" s="142">
        <v>5.0</v>
      </c>
      <c r="C10" s="142">
        <v>20.0</v>
      </c>
      <c r="D10" s="1">
        <v>16.0</v>
      </c>
      <c r="E10" s="1">
        <f t="shared" si="1"/>
        <v>130</v>
      </c>
      <c r="F10" s="143">
        <v>26.0</v>
      </c>
      <c r="G10" s="1">
        <f t="shared" si="2"/>
        <v>2</v>
      </c>
      <c r="H10" s="143">
        <v>0.4</v>
      </c>
      <c r="I10" s="1">
        <v>1.8</v>
      </c>
      <c r="J10" s="144">
        <v>0.75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438</v>
      </c>
      <c r="B11" s="142">
        <v>5.0</v>
      </c>
      <c r="C11" s="142">
        <v>20.0</v>
      </c>
      <c r="D11" s="1">
        <v>15.0</v>
      </c>
      <c r="E11" s="1">
        <f t="shared" si="1"/>
        <v>126</v>
      </c>
      <c r="F11" s="143">
        <v>25.2</v>
      </c>
      <c r="G11" s="1">
        <f t="shared" si="2"/>
        <v>3</v>
      </c>
      <c r="H11" s="143">
        <v>0.6</v>
      </c>
      <c r="I11" s="1">
        <v>1.8</v>
      </c>
      <c r="J11" s="144">
        <v>0.8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439</v>
      </c>
      <c r="B12" s="142">
        <v>5.0</v>
      </c>
      <c r="C12" s="142">
        <v>20.0</v>
      </c>
      <c r="D12" s="1">
        <v>12.0</v>
      </c>
      <c r="E12" s="1">
        <f t="shared" si="1"/>
        <v>124</v>
      </c>
      <c r="F12" s="143">
        <v>24.8</v>
      </c>
      <c r="G12" s="1">
        <f t="shared" si="2"/>
        <v>0</v>
      </c>
      <c r="H12" s="143">
        <v>0.0</v>
      </c>
      <c r="I12" s="1">
        <v>1.6</v>
      </c>
      <c r="J12" s="145">
        <v>0.917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440</v>
      </c>
      <c r="B13" s="142">
        <v>5.0</v>
      </c>
      <c r="C13" s="142">
        <v>20.0</v>
      </c>
      <c r="D13" s="1">
        <v>13.0</v>
      </c>
      <c r="E13" s="1">
        <f t="shared" si="1"/>
        <v>124</v>
      </c>
      <c r="F13" s="143">
        <v>24.8</v>
      </c>
      <c r="G13" s="1">
        <f t="shared" si="2"/>
        <v>0</v>
      </c>
      <c r="H13" s="143">
        <v>0.0</v>
      </c>
      <c r="I13" s="1">
        <v>1.6</v>
      </c>
      <c r="J13" s="145">
        <v>0.846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441</v>
      </c>
      <c r="B14" s="142">
        <v>5.0</v>
      </c>
      <c r="C14" s="142">
        <v>20.0</v>
      </c>
      <c r="D14" s="1">
        <v>13.0</v>
      </c>
      <c r="E14" s="1">
        <f t="shared" si="1"/>
        <v>120</v>
      </c>
      <c r="F14" s="143">
        <v>24.0</v>
      </c>
      <c r="G14" s="1">
        <f t="shared" si="2"/>
        <v>1</v>
      </c>
      <c r="H14" s="143">
        <v>0.2</v>
      </c>
      <c r="I14" s="1">
        <v>1.6</v>
      </c>
      <c r="J14" s="145">
        <v>0.846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442</v>
      </c>
      <c r="B15" s="142">
        <v>5.0</v>
      </c>
      <c r="C15" s="142">
        <v>20.0</v>
      </c>
      <c r="D15" s="1">
        <v>18.0</v>
      </c>
      <c r="E15" s="1">
        <f t="shared" si="1"/>
        <v>118</v>
      </c>
      <c r="F15" s="143">
        <v>23.6</v>
      </c>
      <c r="G15" s="1">
        <f t="shared" si="2"/>
        <v>4</v>
      </c>
      <c r="H15" s="143">
        <v>0.8</v>
      </c>
      <c r="I15" s="1">
        <v>1.8</v>
      </c>
      <c r="J15" s="145">
        <v>0.611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443</v>
      </c>
      <c r="B16" s="142">
        <v>5.0</v>
      </c>
      <c r="C16" s="142">
        <v>20.0</v>
      </c>
      <c r="D16" s="1">
        <v>16.0</v>
      </c>
      <c r="E16" s="1">
        <f t="shared" si="1"/>
        <v>114</v>
      </c>
      <c r="F16" s="143">
        <v>22.8</v>
      </c>
      <c r="G16" s="1">
        <f t="shared" si="2"/>
        <v>2</v>
      </c>
      <c r="H16" s="143">
        <v>0.4</v>
      </c>
      <c r="I16" s="1">
        <v>1.4</v>
      </c>
      <c r="J16" s="145">
        <v>0.813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444</v>
      </c>
      <c r="B17" s="142">
        <v>5.0</v>
      </c>
      <c r="C17" s="142">
        <v>20.0</v>
      </c>
      <c r="D17" s="1">
        <v>17.0</v>
      </c>
      <c r="E17" s="1">
        <f t="shared" si="1"/>
        <v>112</v>
      </c>
      <c r="F17" s="143">
        <v>22.4</v>
      </c>
      <c r="G17" s="1">
        <f t="shared" si="2"/>
        <v>7</v>
      </c>
      <c r="H17" s="143">
        <v>1.4</v>
      </c>
      <c r="I17" s="1">
        <v>2.0</v>
      </c>
      <c r="J17" s="145">
        <v>0.588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445</v>
      </c>
      <c r="B18" s="142">
        <v>5.0</v>
      </c>
      <c r="C18" s="142">
        <v>20.0</v>
      </c>
      <c r="D18" s="1">
        <v>14.0</v>
      </c>
      <c r="E18" s="1">
        <f t="shared" si="1"/>
        <v>108</v>
      </c>
      <c r="F18" s="143">
        <v>21.6</v>
      </c>
      <c r="G18" s="1">
        <f t="shared" si="2"/>
        <v>0</v>
      </c>
      <c r="H18" s="143">
        <v>0.0</v>
      </c>
      <c r="I18" s="1">
        <v>1.2</v>
      </c>
      <c r="J18" s="145">
        <v>0.857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446</v>
      </c>
      <c r="B19" s="142">
        <v>5.0</v>
      </c>
      <c r="C19" s="142">
        <v>20.0</v>
      </c>
      <c r="D19" s="1">
        <v>9.0</v>
      </c>
      <c r="E19" s="1">
        <v>102.0</v>
      </c>
      <c r="F19" s="143">
        <f>E19/C19*4</f>
        <v>20.4</v>
      </c>
      <c r="G19" s="1">
        <f t="shared" si="2"/>
        <v>0</v>
      </c>
      <c r="H19" s="143">
        <v>0.0</v>
      </c>
      <c r="I19" s="1">
        <f>7/5</f>
        <v>1.4</v>
      </c>
      <c r="J19" s="145">
        <f>8/13</f>
        <v>0.6153846154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447</v>
      </c>
      <c r="B20" s="142">
        <v>5.0</v>
      </c>
      <c r="C20" s="142">
        <v>20.0</v>
      </c>
      <c r="D20" s="1">
        <v>14.0</v>
      </c>
      <c r="E20" s="1">
        <f t="shared" ref="E20:E40" si="3">F20/4*C20</f>
        <v>100</v>
      </c>
      <c r="F20" s="143">
        <v>20.0</v>
      </c>
      <c r="G20" s="1">
        <f t="shared" si="2"/>
        <v>0</v>
      </c>
      <c r="H20" s="143">
        <v>0.0</v>
      </c>
      <c r="I20" s="1">
        <v>1.2</v>
      </c>
      <c r="J20" s="145">
        <v>0.714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 t="s">
        <v>448</v>
      </c>
      <c r="B21" s="142">
        <v>5.0</v>
      </c>
      <c r="C21" s="142">
        <v>20.0</v>
      </c>
      <c r="D21" s="1">
        <v>14.0</v>
      </c>
      <c r="E21" s="1">
        <f t="shared" si="3"/>
        <v>92</v>
      </c>
      <c r="F21" s="143">
        <v>18.4</v>
      </c>
      <c r="G21" s="1">
        <f t="shared" si="2"/>
        <v>1</v>
      </c>
      <c r="H21" s="143">
        <v>0.2</v>
      </c>
      <c r="I21" s="1">
        <v>1.2</v>
      </c>
      <c r="J21" s="145">
        <v>0.643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449</v>
      </c>
      <c r="B22" s="142">
        <v>5.0</v>
      </c>
      <c r="C22" s="142">
        <v>20.0</v>
      </c>
      <c r="D22" s="1">
        <v>12.0</v>
      </c>
      <c r="E22" s="1">
        <f t="shared" si="3"/>
        <v>92</v>
      </c>
      <c r="F22" s="143">
        <v>18.4</v>
      </c>
      <c r="G22" s="1">
        <f t="shared" si="2"/>
        <v>0</v>
      </c>
      <c r="H22" s="143">
        <v>0.0</v>
      </c>
      <c r="I22" s="1">
        <v>1.2</v>
      </c>
      <c r="J22" s="145">
        <v>0.667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 t="s">
        <v>450</v>
      </c>
      <c r="B23" s="142">
        <v>5.0</v>
      </c>
      <c r="C23" s="142">
        <v>20.0</v>
      </c>
      <c r="D23" s="1">
        <v>10.0</v>
      </c>
      <c r="E23" s="1">
        <f t="shared" si="3"/>
        <v>82</v>
      </c>
      <c r="F23" s="143">
        <v>16.4</v>
      </c>
      <c r="G23" s="1">
        <f t="shared" si="2"/>
        <v>0</v>
      </c>
      <c r="H23" s="143">
        <v>0.0</v>
      </c>
      <c r="I23" s="1">
        <v>1.0</v>
      </c>
      <c r="J23" s="144">
        <v>0.8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" t="s">
        <v>451</v>
      </c>
      <c r="B24" s="142">
        <v>5.0</v>
      </c>
      <c r="C24" s="142">
        <v>20.0</v>
      </c>
      <c r="D24" s="1">
        <v>13.0</v>
      </c>
      <c r="E24" s="1">
        <f t="shared" si="3"/>
        <v>80</v>
      </c>
      <c r="F24" s="143">
        <v>16.0</v>
      </c>
      <c r="G24" s="1">
        <f t="shared" si="2"/>
        <v>1</v>
      </c>
      <c r="H24" s="143">
        <v>0.2</v>
      </c>
      <c r="I24" s="1">
        <v>0.8</v>
      </c>
      <c r="J24" s="145">
        <v>0.846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 t="s">
        <v>452</v>
      </c>
      <c r="B25" s="142">
        <v>5.0</v>
      </c>
      <c r="C25" s="142">
        <v>20.0</v>
      </c>
      <c r="D25" s="1">
        <v>15.0</v>
      </c>
      <c r="E25" s="1">
        <f t="shared" si="3"/>
        <v>78</v>
      </c>
      <c r="F25" s="143">
        <v>15.6</v>
      </c>
      <c r="G25" s="1">
        <f t="shared" si="2"/>
        <v>2</v>
      </c>
      <c r="H25" s="143">
        <v>0.4</v>
      </c>
      <c r="I25" s="1">
        <v>1.0</v>
      </c>
      <c r="J25" s="144">
        <v>0.6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453</v>
      </c>
      <c r="B26" s="142">
        <v>5.0</v>
      </c>
      <c r="C26" s="142">
        <v>20.0</v>
      </c>
      <c r="D26" s="1">
        <v>14.0</v>
      </c>
      <c r="E26" s="1">
        <f t="shared" si="3"/>
        <v>74</v>
      </c>
      <c r="F26" s="143">
        <v>14.8</v>
      </c>
      <c r="G26" s="1">
        <f t="shared" si="2"/>
        <v>3</v>
      </c>
      <c r="H26" s="143">
        <v>0.6</v>
      </c>
      <c r="I26" s="1">
        <v>1.0</v>
      </c>
      <c r="J26" s="145">
        <v>0.643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 t="s">
        <v>454</v>
      </c>
      <c r="B27" s="142">
        <v>5.0</v>
      </c>
      <c r="C27" s="142">
        <v>20.0</v>
      </c>
      <c r="D27" s="1">
        <v>10.0</v>
      </c>
      <c r="E27" s="1">
        <f t="shared" si="3"/>
        <v>72</v>
      </c>
      <c r="F27" s="143">
        <v>14.4</v>
      </c>
      <c r="G27" s="1">
        <f t="shared" si="2"/>
        <v>0</v>
      </c>
      <c r="H27" s="143">
        <v>0.0</v>
      </c>
      <c r="I27" s="1">
        <v>0.8</v>
      </c>
      <c r="J27" s="144">
        <v>0.8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455</v>
      </c>
      <c r="B28" s="142">
        <v>5.0</v>
      </c>
      <c r="C28" s="142">
        <v>20.0</v>
      </c>
      <c r="D28" s="1">
        <v>13.0</v>
      </c>
      <c r="E28" s="1">
        <f t="shared" si="3"/>
        <v>70</v>
      </c>
      <c r="F28" s="143">
        <v>14.0</v>
      </c>
      <c r="G28" s="1">
        <f t="shared" si="2"/>
        <v>2</v>
      </c>
      <c r="H28" s="143">
        <v>0.4</v>
      </c>
      <c r="I28" s="1">
        <v>1.0</v>
      </c>
      <c r="J28" s="145">
        <v>0.538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456</v>
      </c>
      <c r="B29" s="142">
        <v>5.0</v>
      </c>
      <c r="C29" s="142">
        <v>20.0</v>
      </c>
      <c r="D29" s="1">
        <v>13.0</v>
      </c>
      <c r="E29" s="1">
        <f t="shared" si="3"/>
        <v>64</v>
      </c>
      <c r="F29" s="143">
        <v>12.8</v>
      </c>
      <c r="G29" s="1">
        <f t="shared" si="2"/>
        <v>2</v>
      </c>
      <c r="H29" s="143">
        <v>0.4</v>
      </c>
      <c r="I29" s="1">
        <v>0.8</v>
      </c>
      <c r="J29" s="145">
        <v>0.615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 t="s">
        <v>457</v>
      </c>
      <c r="B30" s="142">
        <v>5.0</v>
      </c>
      <c r="C30" s="142">
        <v>20.0</v>
      </c>
      <c r="D30" s="1">
        <v>17.0</v>
      </c>
      <c r="E30" s="1">
        <f t="shared" si="3"/>
        <v>64</v>
      </c>
      <c r="F30" s="143">
        <v>12.8</v>
      </c>
      <c r="G30" s="1">
        <f t="shared" si="2"/>
        <v>4</v>
      </c>
      <c r="H30" s="143">
        <v>0.8</v>
      </c>
      <c r="I30" s="1">
        <v>0.8</v>
      </c>
      <c r="J30" s="145">
        <v>0.588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 t="s">
        <v>458</v>
      </c>
      <c r="B31" s="142">
        <v>5.0</v>
      </c>
      <c r="C31" s="142">
        <v>20.0</v>
      </c>
      <c r="D31" s="1">
        <v>14.0</v>
      </c>
      <c r="E31" s="1">
        <f t="shared" si="3"/>
        <v>62</v>
      </c>
      <c r="F31" s="143">
        <v>12.4</v>
      </c>
      <c r="G31" s="1">
        <f t="shared" si="2"/>
        <v>0</v>
      </c>
      <c r="H31" s="143">
        <v>0.0</v>
      </c>
      <c r="I31" s="1">
        <v>0.6</v>
      </c>
      <c r="J31" s="145">
        <v>0.571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 t="s">
        <v>459</v>
      </c>
      <c r="B32" s="142">
        <v>5.0</v>
      </c>
      <c r="C32" s="142">
        <v>20.0</v>
      </c>
      <c r="D32" s="1">
        <v>9.0</v>
      </c>
      <c r="E32" s="1">
        <f t="shared" si="3"/>
        <v>62</v>
      </c>
      <c r="F32" s="143">
        <v>12.4</v>
      </c>
      <c r="G32" s="1">
        <f t="shared" si="2"/>
        <v>2</v>
      </c>
      <c r="H32" s="143">
        <v>0.4</v>
      </c>
      <c r="I32" s="1">
        <v>1.0</v>
      </c>
      <c r="J32" s="145">
        <v>0.556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460</v>
      </c>
      <c r="B33" s="142">
        <v>5.0</v>
      </c>
      <c r="C33" s="142">
        <v>20.0</v>
      </c>
      <c r="D33" s="1">
        <v>11.0</v>
      </c>
      <c r="E33" s="1">
        <f t="shared" si="3"/>
        <v>58</v>
      </c>
      <c r="F33" s="143">
        <v>11.6</v>
      </c>
      <c r="G33" s="1">
        <f t="shared" si="2"/>
        <v>0</v>
      </c>
      <c r="H33" s="143">
        <v>0.0</v>
      </c>
      <c r="I33" s="1">
        <v>0.6</v>
      </c>
      <c r="J33" s="145">
        <v>0.636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461</v>
      </c>
      <c r="B34" s="142">
        <v>5.0</v>
      </c>
      <c r="C34" s="142">
        <v>20.0</v>
      </c>
      <c r="D34" s="1">
        <v>10.0</v>
      </c>
      <c r="E34" s="1">
        <f t="shared" si="3"/>
        <v>46</v>
      </c>
      <c r="F34" s="143">
        <v>9.2</v>
      </c>
      <c r="G34" s="1">
        <f t="shared" si="2"/>
        <v>1</v>
      </c>
      <c r="H34" s="143">
        <v>0.2</v>
      </c>
      <c r="I34" s="1">
        <v>0.6</v>
      </c>
      <c r="J34" s="144">
        <v>0.5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 t="s">
        <v>462</v>
      </c>
      <c r="B35" s="142">
        <v>5.0</v>
      </c>
      <c r="C35" s="142">
        <v>20.0</v>
      </c>
      <c r="D35" s="1">
        <v>10.0</v>
      </c>
      <c r="E35" s="1">
        <f t="shared" si="3"/>
        <v>44</v>
      </c>
      <c r="F35" s="143">
        <v>8.8</v>
      </c>
      <c r="G35" s="1">
        <f t="shared" si="2"/>
        <v>0</v>
      </c>
      <c r="H35" s="143">
        <v>0.0</v>
      </c>
      <c r="I35" s="1">
        <v>0.4</v>
      </c>
      <c r="J35" s="144">
        <v>0.6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 t="s">
        <v>463</v>
      </c>
      <c r="B36" s="142">
        <v>5.0</v>
      </c>
      <c r="C36" s="142">
        <v>20.0</v>
      </c>
      <c r="D36" s="1">
        <v>9.0</v>
      </c>
      <c r="E36" s="1">
        <f t="shared" si="3"/>
        <v>44</v>
      </c>
      <c r="F36" s="143">
        <v>8.8</v>
      </c>
      <c r="G36" s="1">
        <f t="shared" si="2"/>
        <v>0</v>
      </c>
      <c r="H36" s="143">
        <v>0.0</v>
      </c>
      <c r="I36" s="1">
        <v>0.4</v>
      </c>
      <c r="J36" s="145">
        <v>0.667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" t="s">
        <v>464</v>
      </c>
      <c r="B37" s="142">
        <v>5.0</v>
      </c>
      <c r="C37" s="142">
        <v>20.0</v>
      </c>
      <c r="D37" s="1">
        <v>12.0</v>
      </c>
      <c r="E37" s="1">
        <f t="shared" si="3"/>
        <v>40</v>
      </c>
      <c r="F37" s="143">
        <v>8.0</v>
      </c>
      <c r="G37" s="1">
        <f t="shared" si="2"/>
        <v>1</v>
      </c>
      <c r="H37" s="143">
        <v>0.2</v>
      </c>
      <c r="I37" s="1">
        <v>0.4</v>
      </c>
      <c r="J37" s="144">
        <v>0.5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465</v>
      </c>
      <c r="B38" s="142">
        <v>5.0</v>
      </c>
      <c r="C38" s="142">
        <v>20.0</v>
      </c>
      <c r="D38" s="1">
        <v>10.0</v>
      </c>
      <c r="E38" s="1">
        <f t="shared" si="3"/>
        <v>36</v>
      </c>
      <c r="F38" s="143">
        <v>7.2</v>
      </c>
      <c r="G38" s="1">
        <f t="shared" si="2"/>
        <v>1</v>
      </c>
      <c r="H38" s="143">
        <v>0.2</v>
      </c>
      <c r="I38" s="1">
        <v>0.4</v>
      </c>
      <c r="J38" s="144">
        <v>0.5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 t="s">
        <v>466</v>
      </c>
      <c r="B39" s="142">
        <v>5.0</v>
      </c>
      <c r="C39" s="142">
        <v>20.0</v>
      </c>
      <c r="D39" s="1">
        <v>11.0</v>
      </c>
      <c r="E39" s="1">
        <f t="shared" si="3"/>
        <v>32</v>
      </c>
      <c r="F39" s="143">
        <v>6.4</v>
      </c>
      <c r="G39" s="1">
        <f t="shared" si="2"/>
        <v>3</v>
      </c>
      <c r="H39" s="143">
        <v>0.6</v>
      </c>
      <c r="I39" s="1">
        <v>0.4</v>
      </c>
      <c r="J39" s="145">
        <v>0.545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467</v>
      </c>
      <c r="B40" s="142">
        <v>5.0</v>
      </c>
      <c r="C40" s="142">
        <v>20.0</v>
      </c>
      <c r="D40" s="1">
        <v>10.0</v>
      </c>
      <c r="E40" s="1">
        <f t="shared" si="3"/>
        <v>30</v>
      </c>
      <c r="F40" s="143">
        <v>6.0</v>
      </c>
      <c r="G40" s="1">
        <f t="shared" si="2"/>
        <v>1</v>
      </c>
      <c r="H40" s="143">
        <v>0.2</v>
      </c>
      <c r="I40" s="1">
        <v>0.2</v>
      </c>
      <c r="J40" s="144">
        <v>0.6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" t="s">
        <v>468</v>
      </c>
      <c r="B41" s="142">
        <v>5.0</v>
      </c>
      <c r="C41" s="142">
        <v>20.0</v>
      </c>
      <c r="D41" s="1">
        <v>9.0</v>
      </c>
      <c r="E41" s="1">
        <v>30.0</v>
      </c>
      <c r="F41" s="143">
        <f>E41/C41*4</f>
        <v>6</v>
      </c>
      <c r="G41" s="1">
        <f t="shared" si="2"/>
        <v>0</v>
      </c>
      <c r="H41" s="143">
        <v>0.0</v>
      </c>
      <c r="I41" s="1">
        <v>0.25</v>
      </c>
      <c r="J41" s="145">
        <v>0.556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" t="s">
        <v>469</v>
      </c>
      <c r="B42" s="142">
        <v>5.0</v>
      </c>
      <c r="C42" s="142">
        <v>20.0</v>
      </c>
      <c r="D42" s="1">
        <v>5.0</v>
      </c>
      <c r="E42" s="1">
        <f t="shared" ref="E42:E49" si="4">F42/4*C42</f>
        <v>18</v>
      </c>
      <c r="F42" s="143">
        <v>3.6</v>
      </c>
      <c r="G42" s="1">
        <f t="shared" si="2"/>
        <v>0</v>
      </c>
      <c r="H42" s="143">
        <v>0.0</v>
      </c>
      <c r="I42" s="1">
        <v>0.2</v>
      </c>
      <c r="J42" s="144">
        <v>0.4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470</v>
      </c>
      <c r="B43" s="142">
        <v>5.0</v>
      </c>
      <c r="C43" s="142">
        <v>20.0</v>
      </c>
      <c r="D43" s="1">
        <v>8.0</v>
      </c>
      <c r="E43" s="1">
        <f t="shared" si="4"/>
        <v>18</v>
      </c>
      <c r="F43" s="143">
        <v>3.6</v>
      </c>
      <c r="G43" s="1">
        <f t="shared" si="2"/>
        <v>0</v>
      </c>
      <c r="H43" s="143">
        <v>0.0</v>
      </c>
      <c r="I43" s="1">
        <v>0.2</v>
      </c>
      <c r="J43" s="144">
        <v>0.25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471</v>
      </c>
      <c r="B44" s="142">
        <v>5.0</v>
      </c>
      <c r="C44" s="142">
        <v>20.0</v>
      </c>
      <c r="D44" s="1">
        <v>7.0</v>
      </c>
      <c r="E44" s="1">
        <f t="shared" si="4"/>
        <v>18</v>
      </c>
      <c r="F44" s="143">
        <v>3.6</v>
      </c>
      <c r="G44" s="1">
        <f t="shared" si="2"/>
        <v>0</v>
      </c>
      <c r="H44" s="143">
        <v>0.0</v>
      </c>
      <c r="I44" s="1">
        <v>0.2</v>
      </c>
      <c r="J44" s="145">
        <v>0.286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" t="s">
        <v>472</v>
      </c>
      <c r="B45" s="142">
        <v>5.0</v>
      </c>
      <c r="C45" s="142">
        <v>20.0</v>
      </c>
      <c r="D45" s="1">
        <v>13.0</v>
      </c>
      <c r="E45" s="1">
        <f t="shared" si="4"/>
        <v>14</v>
      </c>
      <c r="F45" s="143">
        <v>2.8</v>
      </c>
      <c r="G45" s="1">
        <f t="shared" si="2"/>
        <v>3</v>
      </c>
      <c r="H45" s="143">
        <v>0.6</v>
      </c>
      <c r="I45" s="1">
        <v>0.2</v>
      </c>
      <c r="J45" s="145">
        <v>0.308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" t="s">
        <v>473</v>
      </c>
      <c r="B46" s="142">
        <v>5.0</v>
      </c>
      <c r="C46" s="142">
        <v>20.0</v>
      </c>
      <c r="D46" s="1">
        <v>4.0</v>
      </c>
      <c r="E46" s="1">
        <f t="shared" si="4"/>
        <v>12</v>
      </c>
      <c r="F46" s="143">
        <v>2.4</v>
      </c>
      <c r="G46" s="1">
        <f t="shared" si="2"/>
        <v>0</v>
      </c>
      <c r="H46" s="143">
        <v>0.0</v>
      </c>
      <c r="I46" s="1">
        <v>0.0</v>
      </c>
      <c r="J46" s="144">
        <v>0.75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" t="s">
        <v>474</v>
      </c>
      <c r="B47" s="142">
        <v>5.0</v>
      </c>
      <c r="C47" s="142">
        <v>20.0</v>
      </c>
      <c r="D47" s="1">
        <v>8.0</v>
      </c>
      <c r="E47" s="1">
        <f t="shared" si="4"/>
        <v>12</v>
      </c>
      <c r="F47" s="143">
        <v>2.4</v>
      </c>
      <c r="G47" s="1">
        <f t="shared" si="2"/>
        <v>0</v>
      </c>
      <c r="H47" s="143">
        <v>0.0</v>
      </c>
      <c r="I47" s="1">
        <v>0.0</v>
      </c>
      <c r="J47" s="145">
        <v>0.375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" t="s">
        <v>475</v>
      </c>
      <c r="B48" s="142">
        <v>5.0</v>
      </c>
      <c r="C48" s="142">
        <v>20.0</v>
      </c>
      <c r="D48" s="1">
        <v>9.0</v>
      </c>
      <c r="E48" s="1">
        <f t="shared" si="4"/>
        <v>8</v>
      </c>
      <c r="F48" s="143">
        <v>1.6</v>
      </c>
      <c r="G48" s="1">
        <f t="shared" si="2"/>
        <v>0</v>
      </c>
      <c r="H48" s="143">
        <v>0.0</v>
      </c>
      <c r="I48" s="1">
        <v>0.0</v>
      </c>
      <c r="J48" s="145">
        <v>0.222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476</v>
      </c>
      <c r="B49" s="142">
        <v>5.0</v>
      </c>
      <c r="C49" s="142">
        <v>20.0</v>
      </c>
      <c r="D49" s="1">
        <v>5.0</v>
      </c>
      <c r="E49" s="1">
        <f t="shared" si="4"/>
        <v>4</v>
      </c>
      <c r="F49" s="143">
        <v>0.8</v>
      </c>
      <c r="G49" s="1">
        <f t="shared" si="2"/>
        <v>1</v>
      </c>
      <c r="H49" s="143">
        <v>0.2</v>
      </c>
      <c r="I49" s="1">
        <v>0.0</v>
      </c>
      <c r="J49" s="144">
        <v>0.4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146"/>
      <c r="C50" s="146"/>
      <c r="D50" s="4"/>
      <c r="E50" s="4"/>
      <c r="F50" s="147"/>
      <c r="G50" s="4"/>
      <c r="H50" s="14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146"/>
      <c r="C51" s="146"/>
      <c r="D51" s="4"/>
      <c r="E51" s="4"/>
      <c r="F51" s="147"/>
      <c r="G51" s="4"/>
      <c r="H51" s="14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146"/>
      <c r="C52" s="146"/>
      <c r="D52" s="4"/>
      <c r="E52" s="4"/>
      <c r="F52" s="147"/>
      <c r="G52" s="4"/>
      <c r="H52" s="14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146"/>
      <c r="C53" s="146"/>
      <c r="D53" s="4"/>
      <c r="E53" s="4"/>
      <c r="F53" s="147"/>
      <c r="G53" s="4"/>
      <c r="H53" s="14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146"/>
      <c r="C54" s="146"/>
      <c r="D54" s="4"/>
      <c r="E54" s="4"/>
      <c r="F54" s="147"/>
      <c r="G54" s="4"/>
      <c r="H54" s="14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146"/>
      <c r="C55" s="146"/>
      <c r="D55" s="4"/>
      <c r="E55" s="4"/>
      <c r="F55" s="147"/>
      <c r="G55" s="4"/>
      <c r="H55" s="14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146"/>
      <c r="C56" s="146"/>
      <c r="D56" s="4"/>
      <c r="E56" s="4"/>
      <c r="F56" s="147"/>
      <c r="G56" s="4"/>
      <c r="H56" s="14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146"/>
      <c r="C57" s="146"/>
      <c r="D57" s="4"/>
      <c r="E57" s="4"/>
      <c r="F57" s="147"/>
      <c r="G57" s="4"/>
      <c r="H57" s="14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146"/>
      <c r="C58" s="146"/>
      <c r="D58" s="4"/>
      <c r="E58" s="4"/>
      <c r="F58" s="147"/>
      <c r="G58" s="4"/>
      <c r="H58" s="14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146"/>
      <c r="C59" s="146"/>
      <c r="D59" s="4"/>
      <c r="E59" s="4"/>
      <c r="F59" s="147"/>
      <c r="G59" s="4"/>
      <c r="H59" s="14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146"/>
      <c r="C60" s="146"/>
      <c r="D60" s="4"/>
      <c r="E60" s="4"/>
      <c r="F60" s="147"/>
      <c r="G60" s="4"/>
      <c r="H60" s="14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146"/>
      <c r="C61" s="146"/>
      <c r="D61" s="4"/>
      <c r="E61" s="4"/>
      <c r="F61" s="147"/>
      <c r="G61" s="4"/>
      <c r="H61" s="14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146"/>
      <c r="C62" s="146"/>
      <c r="D62" s="4"/>
      <c r="E62" s="4"/>
      <c r="F62" s="147"/>
      <c r="G62" s="4"/>
      <c r="H62" s="14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146"/>
      <c r="C63" s="146"/>
      <c r="D63" s="4"/>
      <c r="E63" s="4"/>
      <c r="F63" s="147"/>
      <c r="G63" s="4"/>
      <c r="H63" s="14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146"/>
      <c r="C64" s="146"/>
      <c r="D64" s="4"/>
      <c r="E64" s="4"/>
      <c r="F64" s="147"/>
      <c r="G64" s="4"/>
      <c r="H64" s="14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146"/>
      <c r="C65" s="146"/>
      <c r="D65" s="4"/>
      <c r="E65" s="4"/>
      <c r="F65" s="147"/>
      <c r="G65" s="4"/>
      <c r="H65" s="14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146"/>
      <c r="C66" s="146"/>
      <c r="D66" s="4"/>
      <c r="E66" s="4"/>
      <c r="F66" s="147"/>
      <c r="G66" s="4"/>
      <c r="H66" s="14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146"/>
      <c r="C67" s="146"/>
      <c r="D67" s="4"/>
      <c r="E67" s="4"/>
      <c r="F67" s="147"/>
      <c r="G67" s="4"/>
      <c r="H67" s="14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146"/>
      <c r="C68" s="146"/>
      <c r="D68" s="4"/>
      <c r="E68" s="4"/>
      <c r="F68" s="147"/>
      <c r="G68" s="4"/>
      <c r="H68" s="14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146"/>
      <c r="C69" s="146"/>
      <c r="D69" s="4"/>
      <c r="E69" s="4"/>
      <c r="F69" s="147"/>
      <c r="G69" s="4"/>
      <c r="H69" s="14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146"/>
      <c r="C70" s="146"/>
      <c r="D70" s="4"/>
      <c r="E70" s="4"/>
      <c r="F70" s="147"/>
      <c r="G70" s="4"/>
      <c r="H70" s="14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146"/>
      <c r="C71" s="146"/>
      <c r="D71" s="4"/>
      <c r="E71" s="4"/>
      <c r="F71" s="147"/>
      <c r="G71" s="4"/>
      <c r="H71" s="14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146"/>
      <c r="C72" s="146"/>
      <c r="D72" s="4"/>
      <c r="E72" s="4"/>
      <c r="F72" s="147"/>
      <c r="G72" s="4"/>
      <c r="H72" s="14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146"/>
      <c r="C73" s="146"/>
      <c r="D73" s="4"/>
      <c r="E73" s="4"/>
      <c r="F73" s="147"/>
      <c r="G73" s="4"/>
      <c r="H73" s="14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146"/>
      <c r="C74" s="146"/>
      <c r="D74" s="4"/>
      <c r="E74" s="4"/>
      <c r="F74" s="147"/>
      <c r="G74" s="4"/>
      <c r="H74" s="14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146"/>
      <c r="C75" s="146"/>
      <c r="D75" s="4"/>
      <c r="E75" s="4"/>
      <c r="F75" s="147"/>
      <c r="G75" s="4"/>
      <c r="H75" s="14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146"/>
      <c r="C76" s="146"/>
      <c r="D76" s="4"/>
      <c r="E76" s="4"/>
      <c r="F76" s="147"/>
      <c r="G76" s="4"/>
      <c r="H76" s="14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146"/>
      <c r="C77" s="146"/>
      <c r="D77" s="4"/>
      <c r="E77" s="4"/>
      <c r="F77" s="147"/>
      <c r="G77" s="4"/>
      <c r="H77" s="14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146"/>
      <c r="C78" s="146"/>
      <c r="D78" s="4"/>
      <c r="E78" s="4"/>
      <c r="F78" s="147"/>
      <c r="G78" s="4"/>
      <c r="H78" s="14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146"/>
      <c r="C79" s="146"/>
      <c r="D79" s="4"/>
      <c r="E79" s="4"/>
      <c r="F79" s="147"/>
      <c r="G79" s="4"/>
      <c r="H79" s="14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146"/>
      <c r="C80" s="146"/>
      <c r="D80" s="4"/>
      <c r="E80" s="4"/>
      <c r="F80" s="147"/>
      <c r="G80" s="4"/>
      <c r="H80" s="14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146"/>
      <c r="C81" s="146"/>
      <c r="D81" s="4"/>
      <c r="E81" s="4"/>
      <c r="F81" s="147"/>
      <c r="G81" s="4"/>
      <c r="H81" s="14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146"/>
      <c r="C82" s="146"/>
      <c r="D82" s="4"/>
      <c r="E82" s="4"/>
      <c r="F82" s="147"/>
      <c r="G82" s="4"/>
      <c r="H82" s="14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146"/>
      <c r="C83" s="146"/>
      <c r="D83" s="4"/>
      <c r="E83" s="4"/>
      <c r="F83" s="147"/>
      <c r="G83" s="4"/>
      <c r="H83" s="14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146"/>
      <c r="C84" s="146"/>
      <c r="D84" s="4"/>
      <c r="E84" s="4"/>
      <c r="F84" s="147"/>
      <c r="G84" s="4"/>
      <c r="H84" s="14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146"/>
      <c r="C85" s="146"/>
      <c r="D85" s="4"/>
      <c r="E85" s="4"/>
      <c r="F85" s="147"/>
      <c r="G85" s="4"/>
      <c r="H85" s="14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146"/>
      <c r="C86" s="146"/>
      <c r="D86" s="4"/>
      <c r="E86" s="4"/>
      <c r="F86" s="147"/>
      <c r="G86" s="4"/>
      <c r="H86" s="14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146"/>
      <c r="C87" s="146"/>
      <c r="D87" s="4"/>
      <c r="E87" s="4"/>
      <c r="F87" s="147"/>
      <c r="G87" s="4"/>
      <c r="H87" s="14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146"/>
      <c r="C88" s="146"/>
      <c r="D88" s="4"/>
      <c r="E88" s="4"/>
      <c r="F88" s="147"/>
      <c r="G88" s="4"/>
      <c r="H88" s="14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146"/>
      <c r="C89" s="146"/>
      <c r="D89" s="4"/>
      <c r="E89" s="4"/>
      <c r="F89" s="147"/>
      <c r="G89" s="4"/>
      <c r="H89" s="14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146"/>
      <c r="C90" s="146"/>
      <c r="D90" s="4"/>
      <c r="E90" s="4"/>
      <c r="F90" s="147"/>
      <c r="G90" s="4"/>
      <c r="H90" s="14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146"/>
      <c r="C91" s="146"/>
      <c r="D91" s="4"/>
      <c r="E91" s="4"/>
      <c r="F91" s="147"/>
      <c r="G91" s="4"/>
      <c r="H91" s="14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146"/>
      <c r="C92" s="146"/>
      <c r="D92" s="4"/>
      <c r="E92" s="4"/>
      <c r="F92" s="147"/>
      <c r="G92" s="4"/>
      <c r="H92" s="14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146"/>
      <c r="C93" s="146"/>
      <c r="D93" s="4"/>
      <c r="E93" s="4"/>
      <c r="F93" s="147"/>
      <c r="G93" s="4"/>
      <c r="H93" s="14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146"/>
      <c r="C94" s="146"/>
      <c r="D94" s="4"/>
      <c r="E94" s="4"/>
      <c r="F94" s="147"/>
      <c r="G94" s="4"/>
      <c r="H94" s="14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146"/>
      <c r="C95" s="146"/>
      <c r="D95" s="4"/>
      <c r="E95" s="4"/>
      <c r="F95" s="147"/>
      <c r="G95" s="4"/>
      <c r="H95" s="14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146"/>
      <c r="C96" s="146"/>
      <c r="D96" s="4"/>
      <c r="E96" s="4"/>
      <c r="F96" s="147"/>
      <c r="G96" s="4"/>
      <c r="H96" s="14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146"/>
      <c r="C97" s="146"/>
      <c r="D97" s="4"/>
      <c r="E97" s="4"/>
      <c r="F97" s="147"/>
      <c r="G97" s="4"/>
      <c r="H97" s="14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146"/>
      <c r="C98" s="146"/>
      <c r="D98" s="4"/>
      <c r="E98" s="4"/>
      <c r="F98" s="147"/>
      <c r="G98" s="4"/>
      <c r="H98" s="14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146"/>
      <c r="C99" s="146"/>
      <c r="D99" s="4"/>
      <c r="E99" s="4"/>
      <c r="F99" s="147"/>
      <c r="G99" s="4"/>
      <c r="H99" s="14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146"/>
      <c r="C100" s="146"/>
      <c r="D100" s="4"/>
      <c r="E100" s="4"/>
      <c r="F100" s="147"/>
      <c r="G100" s="4"/>
      <c r="H100" s="14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146"/>
      <c r="C101" s="146"/>
      <c r="D101" s="4"/>
      <c r="E101" s="4"/>
      <c r="F101" s="147"/>
      <c r="G101" s="4"/>
      <c r="H101" s="14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146"/>
      <c r="C102" s="146"/>
      <c r="D102" s="4"/>
      <c r="E102" s="4"/>
      <c r="F102" s="147"/>
      <c r="G102" s="4"/>
      <c r="H102" s="14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146"/>
      <c r="C103" s="146"/>
      <c r="D103" s="4"/>
      <c r="E103" s="4"/>
      <c r="F103" s="147"/>
      <c r="G103" s="4"/>
      <c r="H103" s="14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146"/>
      <c r="C104" s="146"/>
      <c r="D104" s="4"/>
      <c r="E104" s="4"/>
      <c r="F104" s="147"/>
      <c r="G104" s="4"/>
      <c r="H104" s="14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146"/>
      <c r="C105" s="146"/>
      <c r="D105" s="4"/>
      <c r="E105" s="4"/>
      <c r="F105" s="147"/>
      <c r="G105" s="4"/>
      <c r="H105" s="14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146"/>
      <c r="C106" s="146"/>
      <c r="D106" s="4"/>
      <c r="E106" s="4"/>
      <c r="F106" s="147"/>
      <c r="G106" s="4"/>
      <c r="H106" s="14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146"/>
      <c r="C107" s="146"/>
      <c r="D107" s="4"/>
      <c r="E107" s="4"/>
      <c r="F107" s="147"/>
      <c r="G107" s="4"/>
      <c r="H107" s="14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146"/>
      <c r="C108" s="146"/>
      <c r="D108" s="4"/>
      <c r="E108" s="4"/>
      <c r="F108" s="147"/>
      <c r="G108" s="4"/>
      <c r="H108" s="14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146"/>
      <c r="C109" s="146"/>
      <c r="D109" s="4"/>
      <c r="E109" s="4"/>
      <c r="F109" s="147"/>
      <c r="G109" s="4"/>
      <c r="H109" s="14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146"/>
      <c r="C110" s="146"/>
      <c r="D110" s="4"/>
      <c r="E110" s="4"/>
      <c r="F110" s="147"/>
      <c r="G110" s="4"/>
      <c r="H110" s="14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146"/>
      <c r="C111" s="146"/>
      <c r="D111" s="4"/>
      <c r="E111" s="4"/>
      <c r="F111" s="147"/>
      <c r="G111" s="4"/>
      <c r="H111" s="14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146"/>
      <c r="C112" s="146"/>
      <c r="D112" s="4"/>
      <c r="E112" s="4"/>
      <c r="F112" s="147"/>
      <c r="G112" s="4"/>
      <c r="H112" s="14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146"/>
      <c r="C113" s="146"/>
      <c r="D113" s="4"/>
      <c r="E113" s="4"/>
      <c r="F113" s="147"/>
      <c r="G113" s="4"/>
      <c r="H113" s="14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146"/>
      <c r="C114" s="146"/>
      <c r="D114" s="4"/>
      <c r="E114" s="4"/>
      <c r="F114" s="147"/>
      <c r="G114" s="4"/>
      <c r="H114" s="14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146"/>
      <c r="C115" s="146"/>
      <c r="D115" s="4"/>
      <c r="E115" s="4"/>
      <c r="F115" s="147"/>
      <c r="G115" s="4"/>
      <c r="H115" s="14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146"/>
      <c r="C116" s="146"/>
      <c r="D116" s="4"/>
      <c r="E116" s="4"/>
      <c r="F116" s="147"/>
      <c r="G116" s="4"/>
      <c r="H116" s="14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146"/>
      <c r="C117" s="146"/>
      <c r="D117" s="4"/>
      <c r="E117" s="4"/>
      <c r="F117" s="147"/>
      <c r="G117" s="4"/>
      <c r="H117" s="14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146"/>
      <c r="C118" s="146"/>
      <c r="D118" s="4"/>
      <c r="E118" s="4"/>
      <c r="F118" s="147"/>
      <c r="G118" s="4"/>
      <c r="H118" s="14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146"/>
      <c r="C119" s="146"/>
      <c r="D119" s="4"/>
      <c r="E119" s="4"/>
      <c r="F119" s="147"/>
      <c r="G119" s="4"/>
      <c r="H119" s="14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146"/>
      <c r="C120" s="146"/>
      <c r="D120" s="4"/>
      <c r="E120" s="4"/>
      <c r="F120" s="147"/>
      <c r="G120" s="4"/>
      <c r="H120" s="14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146"/>
      <c r="C121" s="146"/>
      <c r="D121" s="4"/>
      <c r="E121" s="4"/>
      <c r="F121" s="147"/>
      <c r="G121" s="4"/>
      <c r="H121" s="14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146"/>
      <c r="C122" s="146"/>
      <c r="D122" s="4"/>
      <c r="E122" s="4"/>
      <c r="F122" s="147"/>
      <c r="G122" s="4"/>
      <c r="H122" s="14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146"/>
      <c r="C123" s="146"/>
      <c r="D123" s="4"/>
      <c r="E123" s="4"/>
      <c r="F123" s="147"/>
      <c r="G123" s="4"/>
      <c r="H123" s="14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146"/>
      <c r="C124" s="146"/>
      <c r="D124" s="4"/>
      <c r="E124" s="4"/>
      <c r="F124" s="147"/>
      <c r="G124" s="4"/>
      <c r="H124" s="14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146"/>
      <c r="C125" s="146"/>
      <c r="D125" s="4"/>
      <c r="E125" s="4"/>
      <c r="F125" s="147"/>
      <c r="G125" s="4"/>
      <c r="H125" s="14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146"/>
      <c r="C126" s="146"/>
      <c r="D126" s="4"/>
      <c r="E126" s="4"/>
      <c r="F126" s="147"/>
      <c r="G126" s="4"/>
      <c r="H126" s="14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146"/>
      <c r="C127" s="146"/>
      <c r="D127" s="4"/>
      <c r="E127" s="4"/>
      <c r="F127" s="147"/>
      <c r="G127" s="4"/>
      <c r="H127" s="14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146"/>
      <c r="C128" s="146"/>
      <c r="D128" s="4"/>
      <c r="E128" s="4"/>
      <c r="F128" s="147"/>
      <c r="G128" s="4"/>
      <c r="H128" s="14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146"/>
      <c r="C129" s="146"/>
      <c r="D129" s="4"/>
      <c r="E129" s="4"/>
      <c r="F129" s="147"/>
      <c r="G129" s="4"/>
      <c r="H129" s="14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146"/>
      <c r="C130" s="146"/>
      <c r="D130" s="4"/>
      <c r="E130" s="4"/>
      <c r="F130" s="147"/>
      <c r="G130" s="4"/>
      <c r="H130" s="14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146"/>
      <c r="C131" s="146"/>
      <c r="D131" s="4"/>
      <c r="E131" s="4"/>
      <c r="F131" s="147"/>
      <c r="G131" s="4"/>
      <c r="H131" s="14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146"/>
      <c r="C132" s="146"/>
      <c r="D132" s="4"/>
      <c r="E132" s="4"/>
      <c r="F132" s="147"/>
      <c r="G132" s="4"/>
      <c r="H132" s="14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146"/>
      <c r="C133" s="146"/>
      <c r="D133" s="4"/>
      <c r="E133" s="4"/>
      <c r="F133" s="147"/>
      <c r="G133" s="4"/>
      <c r="H133" s="14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146"/>
      <c r="C134" s="146"/>
      <c r="D134" s="4"/>
      <c r="E134" s="4"/>
      <c r="F134" s="147"/>
      <c r="G134" s="4"/>
      <c r="H134" s="14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146"/>
      <c r="C135" s="146"/>
      <c r="D135" s="4"/>
      <c r="E135" s="4"/>
      <c r="F135" s="147"/>
      <c r="G135" s="4"/>
      <c r="H135" s="14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146"/>
      <c r="C136" s="146"/>
      <c r="D136" s="4"/>
      <c r="E136" s="4"/>
      <c r="F136" s="147"/>
      <c r="G136" s="4"/>
      <c r="H136" s="14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146"/>
      <c r="C137" s="146"/>
      <c r="D137" s="4"/>
      <c r="E137" s="4"/>
      <c r="F137" s="147"/>
      <c r="G137" s="4"/>
      <c r="H137" s="14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146"/>
      <c r="C138" s="146"/>
      <c r="D138" s="4"/>
      <c r="E138" s="4"/>
      <c r="F138" s="147"/>
      <c r="G138" s="4"/>
      <c r="H138" s="14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146"/>
      <c r="C139" s="146"/>
      <c r="D139" s="4"/>
      <c r="E139" s="4"/>
      <c r="F139" s="147"/>
      <c r="G139" s="4"/>
      <c r="H139" s="14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146"/>
      <c r="C140" s="146"/>
      <c r="D140" s="4"/>
      <c r="E140" s="4"/>
      <c r="F140" s="147"/>
      <c r="G140" s="4"/>
      <c r="H140" s="14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146"/>
      <c r="C141" s="146"/>
      <c r="D141" s="4"/>
      <c r="E141" s="4"/>
      <c r="F141" s="147"/>
      <c r="G141" s="4"/>
      <c r="H141" s="14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146"/>
      <c r="C142" s="146"/>
      <c r="D142" s="4"/>
      <c r="E142" s="4"/>
      <c r="F142" s="147"/>
      <c r="G142" s="4"/>
      <c r="H142" s="14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146"/>
      <c r="C143" s="146"/>
      <c r="D143" s="4"/>
      <c r="E143" s="4"/>
      <c r="F143" s="147"/>
      <c r="G143" s="4"/>
      <c r="H143" s="14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146"/>
      <c r="C144" s="146"/>
      <c r="D144" s="4"/>
      <c r="E144" s="4"/>
      <c r="F144" s="147"/>
      <c r="G144" s="4"/>
      <c r="H144" s="14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146"/>
      <c r="C145" s="146"/>
      <c r="D145" s="4"/>
      <c r="E145" s="4"/>
      <c r="F145" s="147"/>
      <c r="G145" s="4"/>
      <c r="H145" s="14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146"/>
      <c r="C146" s="146"/>
      <c r="D146" s="4"/>
      <c r="E146" s="4"/>
      <c r="F146" s="147"/>
      <c r="G146" s="4"/>
      <c r="H146" s="14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146"/>
      <c r="C147" s="146"/>
      <c r="D147" s="4"/>
      <c r="E147" s="4"/>
      <c r="F147" s="147"/>
      <c r="G147" s="4"/>
      <c r="H147" s="14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146"/>
      <c r="C148" s="146"/>
      <c r="D148" s="4"/>
      <c r="E148" s="4"/>
      <c r="F148" s="147"/>
      <c r="G148" s="4"/>
      <c r="H148" s="14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146"/>
      <c r="C149" s="146"/>
      <c r="D149" s="4"/>
      <c r="E149" s="4"/>
      <c r="F149" s="147"/>
      <c r="G149" s="4"/>
      <c r="H149" s="14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146"/>
      <c r="C150" s="146"/>
      <c r="D150" s="4"/>
      <c r="E150" s="4"/>
      <c r="F150" s="147"/>
      <c r="G150" s="4"/>
      <c r="H150" s="14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146"/>
      <c r="C151" s="146"/>
      <c r="D151" s="4"/>
      <c r="E151" s="4"/>
      <c r="F151" s="147"/>
      <c r="G151" s="4"/>
      <c r="H151" s="14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146"/>
      <c r="C152" s="146"/>
      <c r="D152" s="4"/>
      <c r="E152" s="4"/>
      <c r="F152" s="147"/>
      <c r="G152" s="4"/>
      <c r="H152" s="14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146"/>
      <c r="C153" s="146"/>
      <c r="D153" s="4"/>
      <c r="E153" s="4"/>
      <c r="F153" s="147"/>
      <c r="G153" s="4"/>
      <c r="H153" s="14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146"/>
      <c r="C154" s="146"/>
      <c r="D154" s="4"/>
      <c r="E154" s="4"/>
      <c r="F154" s="147"/>
      <c r="G154" s="4"/>
      <c r="H154" s="14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146"/>
      <c r="C155" s="146"/>
      <c r="D155" s="4"/>
      <c r="E155" s="4"/>
      <c r="F155" s="147"/>
      <c r="G155" s="4"/>
      <c r="H155" s="14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146"/>
      <c r="C156" s="146"/>
      <c r="D156" s="4"/>
      <c r="E156" s="4"/>
      <c r="F156" s="147"/>
      <c r="G156" s="4"/>
      <c r="H156" s="14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146"/>
      <c r="C157" s="146"/>
      <c r="D157" s="4"/>
      <c r="E157" s="4"/>
      <c r="F157" s="147"/>
      <c r="G157" s="4"/>
      <c r="H157" s="14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146"/>
      <c r="C158" s="146"/>
      <c r="D158" s="4"/>
      <c r="E158" s="4"/>
      <c r="F158" s="147"/>
      <c r="G158" s="4"/>
      <c r="H158" s="14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146"/>
      <c r="C159" s="146"/>
      <c r="D159" s="4"/>
      <c r="E159" s="4"/>
      <c r="F159" s="147"/>
      <c r="G159" s="4"/>
      <c r="H159" s="14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146"/>
      <c r="C160" s="146"/>
      <c r="D160" s="4"/>
      <c r="E160" s="4"/>
      <c r="F160" s="147"/>
      <c r="G160" s="4"/>
      <c r="H160" s="14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146"/>
      <c r="C161" s="146"/>
      <c r="D161" s="4"/>
      <c r="E161" s="4"/>
      <c r="F161" s="147"/>
      <c r="G161" s="4"/>
      <c r="H161" s="14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146"/>
      <c r="C162" s="146"/>
      <c r="D162" s="4"/>
      <c r="E162" s="4"/>
      <c r="F162" s="147"/>
      <c r="G162" s="4"/>
      <c r="H162" s="14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146"/>
      <c r="C163" s="146"/>
      <c r="D163" s="4"/>
      <c r="E163" s="4"/>
      <c r="F163" s="147"/>
      <c r="G163" s="4"/>
      <c r="H163" s="14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146"/>
      <c r="C164" s="146"/>
      <c r="D164" s="4"/>
      <c r="E164" s="4"/>
      <c r="F164" s="147"/>
      <c r="G164" s="4"/>
      <c r="H164" s="14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146"/>
      <c r="C165" s="146"/>
      <c r="D165" s="4"/>
      <c r="E165" s="4"/>
      <c r="F165" s="147"/>
      <c r="G165" s="4"/>
      <c r="H165" s="14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146"/>
      <c r="C166" s="146"/>
      <c r="D166" s="4"/>
      <c r="E166" s="4"/>
      <c r="F166" s="147"/>
      <c r="G166" s="4"/>
      <c r="H166" s="14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146"/>
      <c r="C167" s="146"/>
      <c r="D167" s="4"/>
      <c r="E167" s="4"/>
      <c r="F167" s="147"/>
      <c r="G167" s="4"/>
      <c r="H167" s="14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146"/>
      <c r="C168" s="146"/>
      <c r="D168" s="4"/>
      <c r="E168" s="4"/>
      <c r="F168" s="147"/>
      <c r="G168" s="4"/>
      <c r="H168" s="14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146"/>
      <c r="C169" s="146"/>
      <c r="D169" s="4"/>
      <c r="E169" s="4"/>
      <c r="F169" s="147"/>
      <c r="G169" s="4"/>
      <c r="H169" s="14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146"/>
      <c r="C170" s="146"/>
      <c r="D170" s="4"/>
      <c r="E170" s="4"/>
      <c r="F170" s="147"/>
      <c r="G170" s="4"/>
      <c r="H170" s="14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146"/>
      <c r="C171" s="146"/>
      <c r="D171" s="4"/>
      <c r="E171" s="4"/>
      <c r="F171" s="147"/>
      <c r="G171" s="4"/>
      <c r="H171" s="14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146"/>
      <c r="C172" s="146"/>
      <c r="D172" s="4"/>
      <c r="E172" s="4"/>
      <c r="F172" s="147"/>
      <c r="G172" s="4"/>
      <c r="H172" s="14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146"/>
      <c r="C173" s="146"/>
      <c r="D173" s="4"/>
      <c r="E173" s="4"/>
      <c r="F173" s="147"/>
      <c r="G173" s="4"/>
      <c r="H173" s="14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146"/>
      <c r="C174" s="146"/>
      <c r="D174" s="4"/>
      <c r="E174" s="4"/>
      <c r="F174" s="147"/>
      <c r="G174" s="4"/>
      <c r="H174" s="14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146"/>
      <c r="C175" s="146"/>
      <c r="D175" s="4"/>
      <c r="E175" s="4"/>
      <c r="F175" s="147"/>
      <c r="G175" s="4"/>
      <c r="H175" s="14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146"/>
      <c r="C176" s="146"/>
      <c r="D176" s="4"/>
      <c r="E176" s="4"/>
      <c r="F176" s="147"/>
      <c r="G176" s="4"/>
      <c r="H176" s="14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146"/>
      <c r="C177" s="146"/>
      <c r="D177" s="4"/>
      <c r="E177" s="4"/>
      <c r="F177" s="147"/>
      <c r="G177" s="4"/>
      <c r="H177" s="14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146"/>
      <c r="C178" s="146"/>
      <c r="D178" s="4"/>
      <c r="E178" s="4"/>
      <c r="F178" s="147"/>
      <c r="G178" s="4"/>
      <c r="H178" s="14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146"/>
      <c r="C179" s="146"/>
      <c r="D179" s="4"/>
      <c r="E179" s="4"/>
      <c r="F179" s="147"/>
      <c r="G179" s="4"/>
      <c r="H179" s="14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146"/>
      <c r="C180" s="146"/>
      <c r="D180" s="4"/>
      <c r="E180" s="4"/>
      <c r="F180" s="147"/>
      <c r="G180" s="4"/>
      <c r="H180" s="14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146"/>
      <c r="C181" s="146"/>
      <c r="D181" s="4"/>
      <c r="E181" s="4"/>
      <c r="F181" s="147"/>
      <c r="G181" s="4"/>
      <c r="H181" s="14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146"/>
      <c r="C182" s="146"/>
      <c r="D182" s="4"/>
      <c r="E182" s="4"/>
      <c r="F182" s="147"/>
      <c r="G182" s="4"/>
      <c r="H182" s="14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146"/>
      <c r="C183" s="146"/>
      <c r="D183" s="4"/>
      <c r="E183" s="4"/>
      <c r="F183" s="147"/>
      <c r="G183" s="4"/>
      <c r="H183" s="14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146"/>
      <c r="C184" s="146"/>
      <c r="D184" s="4"/>
      <c r="E184" s="4"/>
      <c r="F184" s="147"/>
      <c r="G184" s="4"/>
      <c r="H184" s="14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146"/>
      <c r="C185" s="146"/>
      <c r="D185" s="4"/>
      <c r="E185" s="4"/>
      <c r="F185" s="147"/>
      <c r="G185" s="4"/>
      <c r="H185" s="14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146"/>
      <c r="C186" s="146"/>
      <c r="D186" s="4"/>
      <c r="E186" s="4"/>
      <c r="F186" s="147"/>
      <c r="G186" s="4"/>
      <c r="H186" s="14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146"/>
      <c r="C187" s="146"/>
      <c r="D187" s="4"/>
      <c r="E187" s="4"/>
      <c r="F187" s="147"/>
      <c r="G187" s="4"/>
      <c r="H187" s="14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146"/>
      <c r="C188" s="146"/>
      <c r="D188" s="4"/>
      <c r="E188" s="4"/>
      <c r="F188" s="147"/>
      <c r="G188" s="4"/>
      <c r="H188" s="147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146"/>
      <c r="C189" s="146"/>
      <c r="D189" s="4"/>
      <c r="E189" s="4"/>
      <c r="F189" s="147"/>
      <c r="G189" s="4"/>
      <c r="H189" s="14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146"/>
      <c r="C190" s="146"/>
      <c r="D190" s="4"/>
      <c r="E190" s="4"/>
      <c r="F190" s="147"/>
      <c r="G190" s="4"/>
      <c r="H190" s="14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146"/>
      <c r="C191" s="146"/>
      <c r="D191" s="4"/>
      <c r="E191" s="4"/>
      <c r="F191" s="147"/>
      <c r="G191" s="4"/>
      <c r="H191" s="14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146"/>
      <c r="C192" s="146"/>
      <c r="D192" s="4"/>
      <c r="E192" s="4"/>
      <c r="F192" s="147"/>
      <c r="G192" s="4"/>
      <c r="H192" s="14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146"/>
      <c r="C193" s="146"/>
      <c r="D193" s="4"/>
      <c r="E193" s="4"/>
      <c r="F193" s="147"/>
      <c r="G193" s="4"/>
      <c r="H193" s="14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146"/>
      <c r="C194" s="146"/>
      <c r="D194" s="4"/>
      <c r="E194" s="4"/>
      <c r="F194" s="147"/>
      <c r="G194" s="4"/>
      <c r="H194" s="14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146"/>
      <c r="C195" s="146"/>
      <c r="D195" s="4"/>
      <c r="E195" s="4"/>
      <c r="F195" s="147"/>
      <c r="G195" s="4"/>
      <c r="H195" s="14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146"/>
      <c r="C196" s="146"/>
      <c r="D196" s="4"/>
      <c r="E196" s="4"/>
      <c r="F196" s="147"/>
      <c r="G196" s="4"/>
      <c r="H196" s="14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146"/>
      <c r="C197" s="146"/>
      <c r="D197" s="4"/>
      <c r="E197" s="4"/>
      <c r="F197" s="147"/>
      <c r="G197" s="4"/>
      <c r="H197" s="14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146"/>
      <c r="C198" s="146"/>
      <c r="D198" s="4"/>
      <c r="E198" s="4"/>
      <c r="F198" s="147"/>
      <c r="G198" s="4"/>
      <c r="H198" s="14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146"/>
      <c r="C199" s="146"/>
      <c r="D199" s="4"/>
      <c r="E199" s="4"/>
      <c r="F199" s="147"/>
      <c r="G199" s="4"/>
      <c r="H199" s="14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146"/>
      <c r="C200" s="146"/>
      <c r="D200" s="4"/>
      <c r="E200" s="4"/>
      <c r="F200" s="147"/>
      <c r="G200" s="4"/>
      <c r="H200" s="14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146"/>
      <c r="C201" s="146"/>
      <c r="D201" s="4"/>
      <c r="E201" s="4"/>
      <c r="F201" s="147"/>
      <c r="G201" s="4"/>
      <c r="H201" s="14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146"/>
      <c r="C202" s="146"/>
      <c r="D202" s="4"/>
      <c r="E202" s="4"/>
      <c r="F202" s="147"/>
      <c r="G202" s="4"/>
      <c r="H202" s="14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146"/>
      <c r="C203" s="146"/>
      <c r="D203" s="4"/>
      <c r="E203" s="4"/>
      <c r="F203" s="147"/>
      <c r="G203" s="4"/>
      <c r="H203" s="14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146"/>
      <c r="C204" s="146"/>
      <c r="D204" s="4"/>
      <c r="E204" s="4"/>
      <c r="F204" s="147"/>
      <c r="G204" s="4"/>
      <c r="H204" s="14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146"/>
      <c r="C205" s="146"/>
      <c r="D205" s="4"/>
      <c r="E205" s="4"/>
      <c r="F205" s="147"/>
      <c r="G205" s="4"/>
      <c r="H205" s="14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146"/>
      <c r="C206" s="146"/>
      <c r="D206" s="4"/>
      <c r="E206" s="4"/>
      <c r="F206" s="147"/>
      <c r="G206" s="4"/>
      <c r="H206" s="14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146"/>
      <c r="C207" s="146"/>
      <c r="D207" s="4"/>
      <c r="E207" s="4"/>
      <c r="F207" s="147"/>
      <c r="G207" s="4"/>
      <c r="H207" s="14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146"/>
      <c r="C208" s="146"/>
      <c r="D208" s="4"/>
      <c r="E208" s="4"/>
      <c r="F208" s="147"/>
      <c r="G208" s="4"/>
      <c r="H208" s="14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146"/>
      <c r="C209" s="146"/>
      <c r="D209" s="4"/>
      <c r="E209" s="4"/>
      <c r="F209" s="147"/>
      <c r="G209" s="4"/>
      <c r="H209" s="14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146"/>
      <c r="C210" s="146"/>
      <c r="D210" s="4"/>
      <c r="E210" s="4"/>
      <c r="F210" s="147"/>
      <c r="G210" s="4"/>
      <c r="H210" s="14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146"/>
      <c r="C211" s="146"/>
      <c r="D211" s="4"/>
      <c r="E211" s="4"/>
      <c r="F211" s="147"/>
      <c r="G211" s="4"/>
      <c r="H211" s="14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146"/>
      <c r="C212" s="146"/>
      <c r="D212" s="4"/>
      <c r="E212" s="4"/>
      <c r="F212" s="147"/>
      <c r="G212" s="4"/>
      <c r="H212" s="14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146"/>
      <c r="C213" s="146"/>
      <c r="D213" s="4"/>
      <c r="E213" s="4"/>
      <c r="F213" s="147"/>
      <c r="G213" s="4"/>
      <c r="H213" s="14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146"/>
      <c r="C214" s="146"/>
      <c r="D214" s="4"/>
      <c r="E214" s="4"/>
      <c r="F214" s="147"/>
      <c r="G214" s="4"/>
      <c r="H214" s="14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146"/>
      <c r="C215" s="146"/>
      <c r="D215" s="4"/>
      <c r="E215" s="4"/>
      <c r="F215" s="147"/>
      <c r="G215" s="4"/>
      <c r="H215" s="14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146"/>
      <c r="C216" s="146"/>
      <c r="D216" s="4"/>
      <c r="E216" s="4"/>
      <c r="F216" s="147"/>
      <c r="G216" s="4"/>
      <c r="H216" s="14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146"/>
      <c r="C217" s="146"/>
      <c r="D217" s="4"/>
      <c r="E217" s="4"/>
      <c r="F217" s="147"/>
      <c r="G217" s="4"/>
      <c r="H217" s="14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146"/>
      <c r="C218" s="146"/>
      <c r="D218" s="4"/>
      <c r="E218" s="4"/>
      <c r="F218" s="147"/>
      <c r="G218" s="4"/>
      <c r="H218" s="14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146"/>
      <c r="C219" s="146"/>
      <c r="D219" s="4"/>
      <c r="E219" s="4"/>
      <c r="F219" s="147"/>
      <c r="G219" s="4"/>
      <c r="H219" s="14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146"/>
      <c r="C220" s="146"/>
      <c r="D220" s="4"/>
      <c r="E220" s="4"/>
      <c r="F220" s="147"/>
      <c r="G220" s="4"/>
      <c r="H220" s="14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146"/>
      <c r="C221" s="146"/>
      <c r="D221" s="4"/>
      <c r="E221" s="4"/>
      <c r="F221" s="147"/>
      <c r="G221" s="4"/>
      <c r="H221" s="14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146"/>
      <c r="C222" s="146"/>
      <c r="D222" s="4"/>
      <c r="E222" s="4"/>
      <c r="F222" s="147"/>
      <c r="G222" s="4"/>
      <c r="H222" s="14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146"/>
      <c r="C223" s="146"/>
      <c r="D223" s="4"/>
      <c r="E223" s="4"/>
      <c r="F223" s="147"/>
      <c r="G223" s="4"/>
      <c r="H223" s="14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146"/>
      <c r="C224" s="146"/>
      <c r="D224" s="4"/>
      <c r="E224" s="4"/>
      <c r="F224" s="147"/>
      <c r="G224" s="4"/>
      <c r="H224" s="14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146"/>
      <c r="C225" s="146"/>
      <c r="D225" s="4"/>
      <c r="E225" s="4"/>
      <c r="F225" s="147"/>
      <c r="G225" s="4"/>
      <c r="H225" s="14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146"/>
      <c r="C226" s="146"/>
      <c r="D226" s="4"/>
      <c r="E226" s="4"/>
      <c r="F226" s="147"/>
      <c r="G226" s="4"/>
      <c r="H226" s="14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146"/>
      <c r="C227" s="146"/>
      <c r="D227" s="4"/>
      <c r="E227" s="4"/>
      <c r="F227" s="147"/>
      <c r="G227" s="4"/>
      <c r="H227" s="14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146"/>
      <c r="C228" s="146"/>
      <c r="D228" s="4"/>
      <c r="E228" s="4"/>
      <c r="F228" s="147"/>
      <c r="G228" s="4"/>
      <c r="H228" s="14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146"/>
      <c r="C229" s="146"/>
      <c r="D229" s="4"/>
      <c r="E229" s="4"/>
      <c r="F229" s="147"/>
      <c r="G229" s="4"/>
      <c r="H229" s="14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146"/>
      <c r="C230" s="146"/>
      <c r="D230" s="4"/>
      <c r="E230" s="4"/>
      <c r="F230" s="147"/>
      <c r="G230" s="4"/>
      <c r="H230" s="147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146"/>
      <c r="C231" s="146"/>
      <c r="D231" s="4"/>
      <c r="E231" s="4"/>
      <c r="F231" s="147"/>
      <c r="G231" s="4"/>
      <c r="H231" s="147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146"/>
      <c r="C232" s="146"/>
      <c r="D232" s="4"/>
      <c r="E232" s="4"/>
      <c r="F232" s="147"/>
      <c r="G232" s="4"/>
      <c r="H232" s="147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146"/>
      <c r="C233" s="146"/>
      <c r="D233" s="4"/>
      <c r="E233" s="4"/>
      <c r="F233" s="147"/>
      <c r="G233" s="4"/>
      <c r="H233" s="147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146"/>
      <c r="C234" s="146"/>
      <c r="D234" s="4"/>
      <c r="E234" s="4"/>
      <c r="F234" s="147"/>
      <c r="G234" s="4"/>
      <c r="H234" s="147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146"/>
      <c r="C235" s="146"/>
      <c r="D235" s="4"/>
      <c r="E235" s="4"/>
      <c r="F235" s="147"/>
      <c r="G235" s="4"/>
      <c r="H235" s="147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146"/>
      <c r="C236" s="146"/>
      <c r="D236" s="4"/>
      <c r="E236" s="4"/>
      <c r="F236" s="147"/>
      <c r="G236" s="4"/>
      <c r="H236" s="147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146"/>
      <c r="C237" s="146"/>
      <c r="D237" s="4"/>
      <c r="E237" s="4"/>
      <c r="F237" s="147"/>
      <c r="G237" s="4"/>
      <c r="H237" s="147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146"/>
      <c r="C238" s="146"/>
      <c r="D238" s="4"/>
      <c r="E238" s="4"/>
      <c r="F238" s="147"/>
      <c r="G238" s="4"/>
      <c r="H238" s="147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146"/>
      <c r="C239" s="146"/>
      <c r="D239" s="4"/>
      <c r="E239" s="4"/>
      <c r="F239" s="147"/>
      <c r="G239" s="4"/>
      <c r="H239" s="147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146"/>
      <c r="C240" s="146"/>
      <c r="D240" s="4"/>
      <c r="E240" s="4"/>
      <c r="F240" s="147"/>
      <c r="G240" s="4"/>
      <c r="H240" s="147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146"/>
      <c r="C241" s="146"/>
      <c r="D241" s="4"/>
      <c r="E241" s="4"/>
      <c r="F241" s="147"/>
      <c r="G241" s="4"/>
      <c r="H241" s="147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146"/>
      <c r="C242" s="146"/>
      <c r="D242" s="4"/>
      <c r="E242" s="4"/>
      <c r="F242" s="147"/>
      <c r="G242" s="4"/>
      <c r="H242" s="147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146"/>
      <c r="C243" s="146"/>
      <c r="D243" s="4"/>
      <c r="E243" s="4"/>
      <c r="F243" s="147"/>
      <c r="G243" s="4"/>
      <c r="H243" s="147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146"/>
      <c r="C244" s="146"/>
      <c r="D244" s="4"/>
      <c r="E244" s="4"/>
      <c r="F244" s="147"/>
      <c r="G244" s="4"/>
      <c r="H244" s="147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146"/>
      <c r="C245" s="146"/>
      <c r="D245" s="4"/>
      <c r="E245" s="4"/>
      <c r="F245" s="147"/>
      <c r="G245" s="4"/>
      <c r="H245" s="147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146"/>
      <c r="C246" s="146"/>
      <c r="D246" s="4"/>
      <c r="E246" s="4"/>
      <c r="F246" s="147"/>
      <c r="G246" s="4"/>
      <c r="H246" s="147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146"/>
      <c r="C247" s="146"/>
      <c r="D247" s="4"/>
      <c r="E247" s="4"/>
      <c r="F247" s="147"/>
      <c r="G247" s="4"/>
      <c r="H247" s="147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146"/>
      <c r="C248" s="146"/>
      <c r="D248" s="4"/>
      <c r="E248" s="4"/>
      <c r="F248" s="147"/>
      <c r="G248" s="4"/>
      <c r="H248" s="147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146"/>
      <c r="C249" s="146"/>
      <c r="D249" s="4"/>
      <c r="E249" s="4"/>
      <c r="F249" s="147"/>
      <c r="G249" s="4"/>
      <c r="H249" s="147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146"/>
      <c r="C250" s="146"/>
      <c r="D250" s="4"/>
      <c r="E250" s="4"/>
      <c r="F250" s="147"/>
      <c r="G250" s="4"/>
      <c r="H250" s="147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146"/>
      <c r="C251" s="146"/>
      <c r="D251" s="4"/>
      <c r="E251" s="4"/>
      <c r="F251" s="147"/>
      <c r="G251" s="4"/>
      <c r="H251" s="147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146"/>
      <c r="C252" s="146"/>
      <c r="D252" s="4"/>
      <c r="E252" s="4"/>
      <c r="F252" s="147"/>
      <c r="G252" s="4"/>
      <c r="H252" s="147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146"/>
      <c r="C253" s="146"/>
      <c r="D253" s="4"/>
      <c r="E253" s="4"/>
      <c r="F253" s="147"/>
      <c r="G253" s="4"/>
      <c r="H253" s="147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146"/>
      <c r="C254" s="146"/>
      <c r="D254" s="4"/>
      <c r="E254" s="4"/>
      <c r="F254" s="147"/>
      <c r="G254" s="4"/>
      <c r="H254" s="147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146"/>
      <c r="C255" s="146"/>
      <c r="D255" s="4"/>
      <c r="E255" s="4"/>
      <c r="F255" s="147"/>
      <c r="G255" s="4"/>
      <c r="H255" s="147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146"/>
      <c r="C256" s="146"/>
      <c r="D256" s="4"/>
      <c r="E256" s="4"/>
      <c r="F256" s="147"/>
      <c r="G256" s="4"/>
      <c r="H256" s="147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146"/>
      <c r="C257" s="146"/>
      <c r="D257" s="4"/>
      <c r="E257" s="4"/>
      <c r="F257" s="147"/>
      <c r="G257" s="4"/>
      <c r="H257" s="147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146"/>
      <c r="C258" s="146"/>
      <c r="D258" s="4"/>
      <c r="E258" s="4"/>
      <c r="F258" s="147"/>
      <c r="G258" s="4"/>
      <c r="H258" s="147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146"/>
      <c r="C259" s="146"/>
      <c r="D259" s="4"/>
      <c r="E259" s="4"/>
      <c r="F259" s="147"/>
      <c r="G259" s="4"/>
      <c r="H259" s="147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146"/>
      <c r="C260" s="146"/>
      <c r="D260" s="4"/>
      <c r="E260" s="4"/>
      <c r="F260" s="147"/>
      <c r="G260" s="4"/>
      <c r="H260" s="147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146"/>
      <c r="C261" s="146"/>
      <c r="D261" s="4"/>
      <c r="E261" s="4"/>
      <c r="F261" s="147"/>
      <c r="G261" s="4"/>
      <c r="H261" s="147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146"/>
      <c r="C262" s="146"/>
      <c r="D262" s="4"/>
      <c r="E262" s="4"/>
      <c r="F262" s="147"/>
      <c r="G262" s="4"/>
      <c r="H262" s="147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146"/>
      <c r="C263" s="146"/>
      <c r="D263" s="4"/>
      <c r="E263" s="4"/>
      <c r="F263" s="147"/>
      <c r="G263" s="4"/>
      <c r="H263" s="147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146"/>
      <c r="C264" s="146"/>
      <c r="D264" s="4"/>
      <c r="E264" s="4"/>
      <c r="F264" s="147"/>
      <c r="G264" s="4"/>
      <c r="H264" s="147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146"/>
      <c r="C265" s="146"/>
      <c r="D265" s="4"/>
      <c r="E265" s="4"/>
      <c r="F265" s="147"/>
      <c r="G265" s="4"/>
      <c r="H265" s="147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146"/>
      <c r="C266" s="146"/>
      <c r="D266" s="4"/>
      <c r="E266" s="4"/>
      <c r="F266" s="147"/>
      <c r="G266" s="4"/>
      <c r="H266" s="147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146"/>
      <c r="C267" s="146"/>
      <c r="D267" s="4"/>
      <c r="E267" s="4"/>
      <c r="F267" s="147"/>
      <c r="G267" s="4"/>
      <c r="H267" s="147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146"/>
      <c r="C268" s="146"/>
      <c r="D268" s="4"/>
      <c r="E268" s="4"/>
      <c r="F268" s="147"/>
      <c r="G268" s="4"/>
      <c r="H268" s="147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146"/>
      <c r="C269" s="146"/>
      <c r="D269" s="4"/>
      <c r="E269" s="4"/>
      <c r="F269" s="147"/>
      <c r="G269" s="4"/>
      <c r="H269" s="147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146"/>
      <c r="C270" s="146"/>
      <c r="D270" s="4"/>
      <c r="E270" s="4"/>
      <c r="F270" s="147"/>
      <c r="G270" s="4"/>
      <c r="H270" s="147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146"/>
      <c r="C271" s="146"/>
      <c r="D271" s="4"/>
      <c r="E271" s="4"/>
      <c r="F271" s="147"/>
      <c r="G271" s="4"/>
      <c r="H271" s="147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146"/>
      <c r="C272" s="146"/>
      <c r="D272" s="4"/>
      <c r="E272" s="4"/>
      <c r="F272" s="147"/>
      <c r="G272" s="4"/>
      <c r="H272" s="147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146"/>
      <c r="C273" s="146"/>
      <c r="D273" s="4"/>
      <c r="E273" s="4"/>
      <c r="F273" s="147"/>
      <c r="G273" s="4"/>
      <c r="H273" s="147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146"/>
      <c r="C274" s="146"/>
      <c r="D274" s="4"/>
      <c r="E274" s="4"/>
      <c r="F274" s="147"/>
      <c r="G274" s="4"/>
      <c r="H274" s="147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146"/>
      <c r="C275" s="146"/>
      <c r="D275" s="4"/>
      <c r="E275" s="4"/>
      <c r="F275" s="147"/>
      <c r="G275" s="4"/>
      <c r="H275" s="147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146"/>
      <c r="C276" s="146"/>
      <c r="D276" s="4"/>
      <c r="E276" s="4"/>
      <c r="F276" s="147"/>
      <c r="G276" s="4"/>
      <c r="H276" s="147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146"/>
      <c r="C277" s="146"/>
      <c r="D277" s="4"/>
      <c r="E277" s="4"/>
      <c r="F277" s="147"/>
      <c r="G277" s="4"/>
      <c r="H277" s="147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146"/>
      <c r="C278" s="146"/>
      <c r="D278" s="4"/>
      <c r="E278" s="4"/>
      <c r="F278" s="147"/>
      <c r="G278" s="4"/>
      <c r="H278" s="147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146"/>
      <c r="C279" s="146"/>
      <c r="D279" s="4"/>
      <c r="E279" s="4"/>
      <c r="F279" s="147"/>
      <c r="G279" s="4"/>
      <c r="H279" s="147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146"/>
      <c r="C280" s="146"/>
      <c r="D280" s="4"/>
      <c r="E280" s="4"/>
      <c r="F280" s="147"/>
      <c r="G280" s="4"/>
      <c r="H280" s="147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146"/>
      <c r="C281" s="146"/>
      <c r="D281" s="4"/>
      <c r="E281" s="4"/>
      <c r="F281" s="147"/>
      <c r="G281" s="4"/>
      <c r="H281" s="147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146"/>
      <c r="C282" s="146"/>
      <c r="D282" s="4"/>
      <c r="E282" s="4"/>
      <c r="F282" s="147"/>
      <c r="G282" s="4"/>
      <c r="H282" s="147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146"/>
      <c r="C283" s="146"/>
      <c r="D283" s="4"/>
      <c r="E283" s="4"/>
      <c r="F283" s="147"/>
      <c r="G283" s="4"/>
      <c r="H283" s="147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146"/>
      <c r="C284" s="146"/>
      <c r="D284" s="4"/>
      <c r="E284" s="4"/>
      <c r="F284" s="147"/>
      <c r="G284" s="4"/>
      <c r="H284" s="147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146"/>
      <c r="C285" s="146"/>
      <c r="D285" s="4"/>
      <c r="E285" s="4"/>
      <c r="F285" s="147"/>
      <c r="G285" s="4"/>
      <c r="H285" s="147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146"/>
      <c r="C286" s="146"/>
      <c r="D286" s="4"/>
      <c r="E286" s="4"/>
      <c r="F286" s="147"/>
      <c r="G286" s="4"/>
      <c r="H286" s="147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146"/>
      <c r="C287" s="146"/>
      <c r="D287" s="4"/>
      <c r="E287" s="4"/>
      <c r="F287" s="147"/>
      <c r="G287" s="4"/>
      <c r="H287" s="147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146"/>
      <c r="C288" s="146"/>
      <c r="D288" s="4"/>
      <c r="E288" s="4"/>
      <c r="F288" s="147"/>
      <c r="G288" s="4"/>
      <c r="H288" s="147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146"/>
      <c r="C289" s="146"/>
      <c r="D289" s="4"/>
      <c r="E289" s="4"/>
      <c r="F289" s="147"/>
      <c r="G289" s="4"/>
      <c r="H289" s="147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146"/>
      <c r="C290" s="146"/>
      <c r="D290" s="4"/>
      <c r="E290" s="4"/>
      <c r="F290" s="147"/>
      <c r="G290" s="4"/>
      <c r="H290" s="147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146"/>
      <c r="C291" s="146"/>
      <c r="D291" s="4"/>
      <c r="E291" s="4"/>
      <c r="F291" s="147"/>
      <c r="G291" s="4"/>
      <c r="H291" s="147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146"/>
      <c r="C292" s="146"/>
      <c r="D292" s="4"/>
      <c r="E292" s="4"/>
      <c r="F292" s="147"/>
      <c r="G292" s="4"/>
      <c r="H292" s="147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146"/>
      <c r="C293" s="146"/>
      <c r="D293" s="4"/>
      <c r="E293" s="4"/>
      <c r="F293" s="147"/>
      <c r="G293" s="4"/>
      <c r="H293" s="147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146"/>
      <c r="C294" s="146"/>
      <c r="D294" s="4"/>
      <c r="E294" s="4"/>
      <c r="F294" s="147"/>
      <c r="G294" s="4"/>
      <c r="H294" s="147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146"/>
      <c r="C295" s="146"/>
      <c r="D295" s="4"/>
      <c r="E295" s="4"/>
      <c r="F295" s="147"/>
      <c r="G295" s="4"/>
      <c r="H295" s="147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146"/>
      <c r="C296" s="146"/>
      <c r="D296" s="4"/>
      <c r="E296" s="4"/>
      <c r="F296" s="147"/>
      <c r="G296" s="4"/>
      <c r="H296" s="147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146"/>
      <c r="C297" s="146"/>
      <c r="D297" s="4"/>
      <c r="E297" s="4"/>
      <c r="F297" s="147"/>
      <c r="G297" s="4"/>
      <c r="H297" s="147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146"/>
      <c r="C298" s="146"/>
      <c r="D298" s="4"/>
      <c r="E298" s="4"/>
      <c r="F298" s="147"/>
      <c r="G298" s="4"/>
      <c r="H298" s="147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146"/>
      <c r="C299" s="146"/>
      <c r="D299" s="4"/>
      <c r="E299" s="4"/>
      <c r="F299" s="147"/>
      <c r="G299" s="4"/>
      <c r="H299" s="147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146"/>
      <c r="C300" s="146"/>
      <c r="D300" s="4"/>
      <c r="E300" s="4"/>
      <c r="F300" s="147"/>
      <c r="G300" s="4"/>
      <c r="H300" s="147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146"/>
      <c r="C301" s="146"/>
      <c r="D301" s="4"/>
      <c r="E301" s="4"/>
      <c r="F301" s="147"/>
      <c r="G301" s="4"/>
      <c r="H301" s="147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146"/>
      <c r="C302" s="146"/>
      <c r="D302" s="4"/>
      <c r="E302" s="4"/>
      <c r="F302" s="147"/>
      <c r="G302" s="4"/>
      <c r="H302" s="147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146"/>
      <c r="C303" s="146"/>
      <c r="D303" s="4"/>
      <c r="E303" s="4"/>
      <c r="F303" s="147"/>
      <c r="G303" s="4"/>
      <c r="H303" s="147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146"/>
      <c r="C304" s="146"/>
      <c r="D304" s="4"/>
      <c r="E304" s="4"/>
      <c r="F304" s="147"/>
      <c r="G304" s="4"/>
      <c r="H304" s="147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146"/>
      <c r="C305" s="146"/>
      <c r="D305" s="4"/>
      <c r="E305" s="4"/>
      <c r="F305" s="147"/>
      <c r="G305" s="4"/>
      <c r="H305" s="147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146"/>
      <c r="C306" s="146"/>
      <c r="D306" s="4"/>
      <c r="E306" s="4"/>
      <c r="F306" s="147"/>
      <c r="G306" s="4"/>
      <c r="H306" s="147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146"/>
      <c r="C307" s="146"/>
      <c r="D307" s="4"/>
      <c r="E307" s="4"/>
      <c r="F307" s="147"/>
      <c r="G307" s="4"/>
      <c r="H307" s="147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146"/>
      <c r="C308" s="146"/>
      <c r="D308" s="4"/>
      <c r="E308" s="4"/>
      <c r="F308" s="147"/>
      <c r="G308" s="4"/>
      <c r="H308" s="147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146"/>
      <c r="C309" s="146"/>
      <c r="D309" s="4"/>
      <c r="E309" s="4"/>
      <c r="F309" s="147"/>
      <c r="G309" s="4"/>
      <c r="H309" s="147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146"/>
      <c r="C310" s="146"/>
      <c r="D310" s="4"/>
      <c r="E310" s="4"/>
      <c r="F310" s="147"/>
      <c r="G310" s="4"/>
      <c r="H310" s="147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146"/>
      <c r="C311" s="146"/>
      <c r="D311" s="4"/>
      <c r="E311" s="4"/>
      <c r="F311" s="147"/>
      <c r="G311" s="4"/>
      <c r="H311" s="147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146"/>
      <c r="C312" s="146"/>
      <c r="D312" s="4"/>
      <c r="E312" s="4"/>
      <c r="F312" s="147"/>
      <c r="G312" s="4"/>
      <c r="H312" s="147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146"/>
      <c r="C313" s="146"/>
      <c r="D313" s="4"/>
      <c r="E313" s="4"/>
      <c r="F313" s="147"/>
      <c r="G313" s="4"/>
      <c r="H313" s="147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146"/>
      <c r="C314" s="146"/>
      <c r="D314" s="4"/>
      <c r="E314" s="4"/>
      <c r="F314" s="147"/>
      <c r="G314" s="4"/>
      <c r="H314" s="147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146"/>
      <c r="C315" s="146"/>
      <c r="D315" s="4"/>
      <c r="E315" s="4"/>
      <c r="F315" s="147"/>
      <c r="G315" s="4"/>
      <c r="H315" s="147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146"/>
      <c r="C316" s="146"/>
      <c r="D316" s="4"/>
      <c r="E316" s="4"/>
      <c r="F316" s="147"/>
      <c r="G316" s="4"/>
      <c r="H316" s="147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146"/>
      <c r="C317" s="146"/>
      <c r="D317" s="4"/>
      <c r="E317" s="4"/>
      <c r="F317" s="147"/>
      <c r="G317" s="4"/>
      <c r="H317" s="147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146"/>
      <c r="C318" s="146"/>
      <c r="D318" s="4"/>
      <c r="E318" s="4"/>
      <c r="F318" s="147"/>
      <c r="G318" s="4"/>
      <c r="H318" s="147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146"/>
      <c r="C319" s="146"/>
      <c r="D319" s="4"/>
      <c r="E319" s="4"/>
      <c r="F319" s="147"/>
      <c r="G319" s="4"/>
      <c r="H319" s="147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146"/>
      <c r="C320" s="146"/>
      <c r="D320" s="4"/>
      <c r="E320" s="4"/>
      <c r="F320" s="147"/>
      <c r="G320" s="4"/>
      <c r="H320" s="147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146"/>
      <c r="C321" s="146"/>
      <c r="D321" s="4"/>
      <c r="E321" s="4"/>
      <c r="F321" s="147"/>
      <c r="G321" s="4"/>
      <c r="H321" s="147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146"/>
      <c r="C322" s="146"/>
      <c r="D322" s="4"/>
      <c r="E322" s="4"/>
      <c r="F322" s="147"/>
      <c r="G322" s="4"/>
      <c r="H322" s="147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146"/>
      <c r="C323" s="146"/>
      <c r="D323" s="4"/>
      <c r="E323" s="4"/>
      <c r="F323" s="147"/>
      <c r="G323" s="4"/>
      <c r="H323" s="147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146"/>
      <c r="C324" s="146"/>
      <c r="D324" s="4"/>
      <c r="E324" s="4"/>
      <c r="F324" s="147"/>
      <c r="G324" s="4"/>
      <c r="H324" s="147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146"/>
      <c r="C325" s="146"/>
      <c r="D325" s="4"/>
      <c r="E325" s="4"/>
      <c r="F325" s="147"/>
      <c r="G325" s="4"/>
      <c r="H325" s="147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146"/>
      <c r="C326" s="146"/>
      <c r="D326" s="4"/>
      <c r="E326" s="4"/>
      <c r="F326" s="147"/>
      <c r="G326" s="4"/>
      <c r="H326" s="147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146"/>
      <c r="C327" s="146"/>
      <c r="D327" s="4"/>
      <c r="E327" s="4"/>
      <c r="F327" s="147"/>
      <c r="G327" s="4"/>
      <c r="H327" s="147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146"/>
      <c r="C328" s="146"/>
      <c r="D328" s="4"/>
      <c r="E328" s="4"/>
      <c r="F328" s="147"/>
      <c r="G328" s="4"/>
      <c r="H328" s="147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146"/>
      <c r="C329" s="146"/>
      <c r="D329" s="4"/>
      <c r="E329" s="4"/>
      <c r="F329" s="147"/>
      <c r="G329" s="4"/>
      <c r="H329" s="147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146"/>
      <c r="C330" s="146"/>
      <c r="D330" s="4"/>
      <c r="E330" s="4"/>
      <c r="F330" s="147"/>
      <c r="G330" s="4"/>
      <c r="H330" s="147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146"/>
      <c r="C331" s="146"/>
      <c r="D331" s="4"/>
      <c r="E331" s="4"/>
      <c r="F331" s="147"/>
      <c r="G331" s="4"/>
      <c r="H331" s="147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146"/>
      <c r="C332" s="146"/>
      <c r="D332" s="4"/>
      <c r="E332" s="4"/>
      <c r="F332" s="147"/>
      <c r="G332" s="4"/>
      <c r="H332" s="147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146"/>
      <c r="C333" s="146"/>
      <c r="D333" s="4"/>
      <c r="E333" s="4"/>
      <c r="F333" s="147"/>
      <c r="G333" s="4"/>
      <c r="H333" s="147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146"/>
      <c r="C334" s="146"/>
      <c r="D334" s="4"/>
      <c r="E334" s="4"/>
      <c r="F334" s="147"/>
      <c r="G334" s="4"/>
      <c r="H334" s="147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146"/>
      <c r="C335" s="146"/>
      <c r="D335" s="4"/>
      <c r="E335" s="4"/>
      <c r="F335" s="147"/>
      <c r="G335" s="4"/>
      <c r="H335" s="147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146"/>
      <c r="C336" s="146"/>
      <c r="D336" s="4"/>
      <c r="E336" s="4"/>
      <c r="F336" s="147"/>
      <c r="G336" s="4"/>
      <c r="H336" s="147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146"/>
      <c r="C337" s="146"/>
      <c r="D337" s="4"/>
      <c r="E337" s="4"/>
      <c r="F337" s="147"/>
      <c r="G337" s="4"/>
      <c r="H337" s="147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146"/>
      <c r="C338" s="146"/>
      <c r="D338" s="4"/>
      <c r="E338" s="4"/>
      <c r="F338" s="147"/>
      <c r="G338" s="4"/>
      <c r="H338" s="147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146"/>
      <c r="C339" s="146"/>
      <c r="D339" s="4"/>
      <c r="E339" s="4"/>
      <c r="F339" s="147"/>
      <c r="G339" s="4"/>
      <c r="H339" s="147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146"/>
      <c r="C340" s="146"/>
      <c r="D340" s="4"/>
      <c r="E340" s="4"/>
      <c r="F340" s="147"/>
      <c r="G340" s="4"/>
      <c r="H340" s="147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146"/>
      <c r="C341" s="146"/>
      <c r="D341" s="4"/>
      <c r="E341" s="4"/>
      <c r="F341" s="147"/>
      <c r="G341" s="4"/>
      <c r="H341" s="147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146"/>
      <c r="C342" s="146"/>
      <c r="D342" s="4"/>
      <c r="E342" s="4"/>
      <c r="F342" s="147"/>
      <c r="G342" s="4"/>
      <c r="H342" s="147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146"/>
      <c r="C343" s="146"/>
      <c r="D343" s="4"/>
      <c r="E343" s="4"/>
      <c r="F343" s="147"/>
      <c r="G343" s="4"/>
      <c r="H343" s="147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146"/>
      <c r="C344" s="146"/>
      <c r="D344" s="4"/>
      <c r="E344" s="4"/>
      <c r="F344" s="147"/>
      <c r="G344" s="4"/>
      <c r="H344" s="147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146"/>
      <c r="C345" s="146"/>
      <c r="D345" s="4"/>
      <c r="E345" s="4"/>
      <c r="F345" s="147"/>
      <c r="G345" s="4"/>
      <c r="H345" s="147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146"/>
      <c r="C346" s="146"/>
      <c r="D346" s="4"/>
      <c r="E346" s="4"/>
      <c r="F346" s="147"/>
      <c r="G346" s="4"/>
      <c r="H346" s="147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146"/>
      <c r="C347" s="146"/>
      <c r="D347" s="4"/>
      <c r="E347" s="4"/>
      <c r="F347" s="147"/>
      <c r="G347" s="4"/>
      <c r="H347" s="147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146"/>
      <c r="C348" s="146"/>
      <c r="D348" s="4"/>
      <c r="E348" s="4"/>
      <c r="F348" s="147"/>
      <c r="G348" s="4"/>
      <c r="H348" s="147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146"/>
      <c r="C349" s="146"/>
      <c r="D349" s="4"/>
      <c r="E349" s="4"/>
      <c r="F349" s="147"/>
      <c r="G349" s="4"/>
      <c r="H349" s="147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146"/>
      <c r="C350" s="146"/>
      <c r="D350" s="4"/>
      <c r="E350" s="4"/>
      <c r="F350" s="147"/>
      <c r="G350" s="4"/>
      <c r="H350" s="147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146"/>
      <c r="C351" s="146"/>
      <c r="D351" s="4"/>
      <c r="E351" s="4"/>
      <c r="F351" s="147"/>
      <c r="G351" s="4"/>
      <c r="H351" s="147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146"/>
      <c r="C352" s="146"/>
      <c r="D352" s="4"/>
      <c r="E352" s="4"/>
      <c r="F352" s="147"/>
      <c r="G352" s="4"/>
      <c r="H352" s="147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146"/>
      <c r="C353" s="146"/>
      <c r="D353" s="4"/>
      <c r="E353" s="4"/>
      <c r="F353" s="147"/>
      <c r="G353" s="4"/>
      <c r="H353" s="147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146"/>
      <c r="C354" s="146"/>
      <c r="D354" s="4"/>
      <c r="E354" s="4"/>
      <c r="F354" s="147"/>
      <c r="G354" s="4"/>
      <c r="H354" s="147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146"/>
      <c r="C355" s="146"/>
      <c r="D355" s="4"/>
      <c r="E355" s="4"/>
      <c r="F355" s="147"/>
      <c r="G355" s="4"/>
      <c r="H355" s="147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146"/>
      <c r="C356" s="146"/>
      <c r="D356" s="4"/>
      <c r="E356" s="4"/>
      <c r="F356" s="147"/>
      <c r="G356" s="4"/>
      <c r="H356" s="147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146"/>
      <c r="C357" s="146"/>
      <c r="D357" s="4"/>
      <c r="E357" s="4"/>
      <c r="F357" s="147"/>
      <c r="G357" s="4"/>
      <c r="H357" s="147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146"/>
      <c r="C358" s="146"/>
      <c r="D358" s="4"/>
      <c r="E358" s="4"/>
      <c r="F358" s="147"/>
      <c r="G358" s="4"/>
      <c r="H358" s="147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146"/>
      <c r="C359" s="146"/>
      <c r="D359" s="4"/>
      <c r="E359" s="4"/>
      <c r="F359" s="147"/>
      <c r="G359" s="4"/>
      <c r="H359" s="147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146"/>
      <c r="C360" s="146"/>
      <c r="D360" s="4"/>
      <c r="E360" s="4"/>
      <c r="F360" s="147"/>
      <c r="G360" s="4"/>
      <c r="H360" s="147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146"/>
      <c r="C361" s="146"/>
      <c r="D361" s="4"/>
      <c r="E361" s="4"/>
      <c r="F361" s="147"/>
      <c r="G361" s="4"/>
      <c r="H361" s="147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146"/>
      <c r="C362" s="146"/>
      <c r="D362" s="4"/>
      <c r="E362" s="4"/>
      <c r="F362" s="147"/>
      <c r="G362" s="4"/>
      <c r="H362" s="147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146"/>
      <c r="C363" s="146"/>
      <c r="D363" s="4"/>
      <c r="E363" s="4"/>
      <c r="F363" s="147"/>
      <c r="G363" s="4"/>
      <c r="H363" s="147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146"/>
      <c r="C364" s="146"/>
      <c r="D364" s="4"/>
      <c r="E364" s="4"/>
      <c r="F364" s="147"/>
      <c r="G364" s="4"/>
      <c r="H364" s="147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146"/>
      <c r="C365" s="146"/>
      <c r="D365" s="4"/>
      <c r="E365" s="4"/>
      <c r="F365" s="147"/>
      <c r="G365" s="4"/>
      <c r="H365" s="147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146"/>
      <c r="C366" s="146"/>
      <c r="D366" s="4"/>
      <c r="E366" s="4"/>
      <c r="F366" s="147"/>
      <c r="G366" s="4"/>
      <c r="H366" s="147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146"/>
      <c r="C367" s="146"/>
      <c r="D367" s="4"/>
      <c r="E367" s="4"/>
      <c r="F367" s="147"/>
      <c r="G367" s="4"/>
      <c r="H367" s="147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146"/>
      <c r="C368" s="146"/>
      <c r="D368" s="4"/>
      <c r="E368" s="4"/>
      <c r="F368" s="147"/>
      <c r="G368" s="4"/>
      <c r="H368" s="147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146"/>
      <c r="C369" s="146"/>
      <c r="D369" s="4"/>
      <c r="E369" s="4"/>
      <c r="F369" s="147"/>
      <c r="G369" s="4"/>
      <c r="H369" s="147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146"/>
      <c r="C370" s="146"/>
      <c r="D370" s="4"/>
      <c r="E370" s="4"/>
      <c r="F370" s="147"/>
      <c r="G370" s="4"/>
      <c r="H370" s="147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146"/>
      <c r="C371" s="146"/>
      <c r="D371" s="4"/>
      <c r="E371" s="4"/>
      <c r="F371" s="147"/>
      <c r="G371" s="4"/>
      <c r="H371" s="147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146"/>
      <c r="C372" s="146"/>
      <c r="D372" s="4"/>
      <c r="E372" s="4"/>
      <c r="F372" s="147"/>
      <c r="G372" s="4"/>
      <c r="H372" s="147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146"/>
      <c r="C373" s="146"/>
      <c r="D373" s="4"/>
      <c r="E373" s="4"/>
      <c r="F373" s="147"/>
      <c r="G373" s="4"/>
      <c r="H373" s="147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146"/>
      <c r="C374" s="146"/>
      <c r="D374" s="4"/>
      <c r="E374" s="4"/>
      <c r="F374" s="147"/>
      <c r="G374" s="4"/>
      <c r="H374" s="147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146"/>
      <c r="C375" s="146"/>
      <c r="D375" s="4"/>
      <c r="E375" s="4"/>
      <c r="F375" s="147"/>
      <c r="G375" s="4"/>
      <c r="H375" s="147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146"/>
      <c r="C376" s="146"/>
      <c r="D376" s="4"/>
      <c r="E376" s="4"/>
      <c r="F376" s="147"/>
      <c r="G376" s="4"/>
      <c r="H376" s="147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146"/>
      <c r="C377" s="146"/>
      <c r="D377" s="4"/>
      <c r="E377" s="4"/>
      <c r="F377" s="147"/>
      <c r="G377" s="4"/>
      <c r="H377" s="147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146"/>
      <c r="C378" s="146"/>
      <c r="D378" s="4"/>
      <c r="E378" s="4"/>
      <c r="F378" s="147"/>
      <c r="G378" s="4"/>
      <c r="H378" s="147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146"/>
      <c r="C379" s="146"/>
      <c r="D379" s="4"/>
      <c r="E379" s="4"/>
      <c r="F379" s="147"/>
      <c r="G379" s="4"/>
      <c r="H379" s="147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146"/>
      <c r="C380" s="146"/>
      <c r="D380" s="4"/>
      <c r="E380" s="4"/>
      <c r="F380" s="147"/>
      <c r="G380" s="4"/>
      <c r="H380" s="147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146"/>
      <c r="C381" s="146"/>
      <c r="D381" s="4"/>
      <c r="E381" s="4"/>
      <c r="F381" s="147"/>
      <c r="G381" s="4"/>
      <c r="H381" s="147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146"/>
      <c r="C382" s="146"/>
      <c r="D382" s="4"/>
      <c r="E382" s="4"/>
      <c r="F382" s="147"/>
      <c r="G382" s="4"/>
      <c r="H382" s="147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146"/>
      <c r="C383" s="146"/>
      <c r="D383" s="4"/>
      <c r="E383" s="4"/>
      <c r="F383" s="147"/>
      <c r="G383" s="4"/>
      <c r="H383" s="147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146"/>
      <c r="C384" s="146"/>
      <c r="D384" s="4"/>
      <c r="E384" s="4"/>
      <c r="F384" s="147"/>
      <c r="G384" s="4"/>
      <c r="H384" s="147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146"/>
      <c r="C385" s="146"/>
      <c r="D385" s="4"/>
      <c r="E385" s="4"/>
      <c r="F385" s="147"/>
      <c r="G385" s="4"/>
      <c r="H385" s="147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146"/>
      <c r="C386" s="146"/>
      <c r="D386" s="4"/>
      <c r="E386" s="4"/>
      <c r="F386" s="147"/>
      <c r="G386" s="4"/>
      <c r="H386" s="147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146"/>
      <c r="C387" s="146"/>
      <c r="D387" s="4"/>
      <c r="E387" s="4"/>
      <c r="F387" s="147"/>
      <c r="G387" s="4"/>
      <c r="H387" s="147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146"/>
      <c r="C388" s="146"/>
      <c r="D388" s="4"/>
      <c r="E388" s="4"/>
      <c r="F388" s="147"/>
      <c r="G388" s="4"/>
      <c r="H388" s="147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146"/>
      <c r="C389" s="146"/>
      <c r="D389" s="4"/>
      <c r="E389" s="4"/>
      <c r="F389" s="147"/>
      <c r="G389" s="4"/>
      <c r="H389" s="147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146"/>
      <c r="C390" s="146"/>
      <c r="D390" s="4"/>
      <c r="E390" s="4"/>
      <c r="F390" s="147"/>
      <c r="G390" s="4"/>
      <c r="H390" s="147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146"/>
      <c r="C391" s="146"/>
      <c r="D391" s="4"/>
      <c r="E391" s="4"/>
      <c r="F391" s="147"/>
      <c r="G391" s="4"/>
      <c r="H391" s="147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146"/>
      <c r="C392" s="146"/>
      <c r="D392" s="4"/>
      <c r="E392" s="4"/>
      <c r="F392" s="147"/>
      <c r="G392" s="4"/>
      <c r="H392" s="147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146"/>
      <c r="C393" s="146"/>
      <c r="D393" s="4"/>
      <c r="E393" s="4"/>
      <c r="F393" s="147"/>
      <c r="G393" s="4"/>
      <c r="H393" s="147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146"/>
      <c r="C394" s="146"/>
      <c r="D394" s="4"/>
      <c r="E394" s="4"/>
      <c r="F394" s="147"/>
      <c r="G394" s="4"/>
      <c r="H394" s="147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146"/>
      <c r="C395" s="146"/>
      <c r="D395" s="4"/>
      <c r="E395" s="4"/>
      <c r="F395" s="147"/>
      <c r="G395" s="4"/>
      <c r="H395" s="147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146"/>
      <c r="C396" s="146"/>
      <c r="D396" s="4"/>
      <c r="E396" s="4"/>
      <c r="F396" s="147"/>
      <c r="G396" s="4"/>
      <c r="H396" s="147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146"/>
      <c r="C397" s="146"/>
      <c r="D397" s="4"/>
      <c r="E397" s="4"/>
      <c r="F397" s="147"/>
      <c r="G397" s="4"/>
      <c r="H397" s="147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146"/>
      <c r="C398" s="146"/>
      <c r="D398" s="4"/>
      <c r="E398" s="4"/>
      <c r="F398" s="147"/>
      <c r="G398" s="4"/>
      <c r="H398" s="147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146"/>
      <c r="C399" s="146"/>
      <c r="D399" s="4"/>
      <c r="E399" s="4"/>
      <c r="F399" s="147"/>
      <c r="G399" s="4"/>
      <c r="H399" s="147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146"/>
      <c r="C400" s="146"/>
      <c r="D400" s="4"/>
      <c r="E400" s="4"/>
      <c r="F400" s="147"/>
      <c r="G400" s="4"/>
      <c r="H400" s="147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146"/>
      <c r="C401" s="146"/>
      <c r="D401" s="4"/>
      <c r="E401" s="4"/>
      <c r="F401" s="147"/>
      <c r="G401" s="4"/>
      <c r="H401" s="147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146"/>
      <c r="C402" s="146"/>
      <c r="D402" s="4"/>
      <c r="E402" s="4"/>
      <c r="F402" s="147"/>
      <c r="G402" s="4"/>
      <c r="H402" s="147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146"/>
      <c r="C403" s="146"/>
      <c r="D403" s="4"/>
      <c r="E403" s="4"/>
      <c r="F403" s="147"/>
      <c r="G403" s="4"/>
      <c r="H403" s="147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146"/>
      <c r="C404" s="146"/>
      <c r="D404" s="4"/>
      <c r="E404" s="4"/>
      <c r="F404" s="147"/>
      <c r="G404" s="4"/>
      <c r="H404" s="147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146"/>
      <c r="C405" s="146"/>
      <c r="D405" s="4"/>
      <c r="E405" s="4"/>
      <c r="F405" s="147"/>
      <c r="G405" s="4"/>
      <c r="H405" s="147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146"/>
      <c r="C406" s="146"/>
      <c r="D406" s="4"/>
      <c r="E406" s="4"/>
      <c r="F406" s="147"/>
      <c r="G406" s="4"/>
      <c r="H406" s="147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146"/>
      <c r="C407" s="146"/>
      <c r="D407" s="4"/>
      <c r="E407" s="4"/>
      <c r="F407" s="147"/>
      <c r="G407" s="4"/>
      <c r="H407" s="147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146"/>
      <c r="C408" s="146"/>
      <c r="D408" s="4"/>
      <c r="E408" s="4"/>
      <c r="F408" s="147"/>
      <c r="G408" s="4"/>
      <c r="H408" s="147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146"/>
      <c r="C409" s="146"/>
      <c r="D409" s="4"/>
      <c r="E409" s="4"/>
      <c r="F409" s="147"/>
      <c r="G409" s="4"/>
      <c r="H409" s="147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146"/>
      <c r="C410" s="146"/>
      <c r="D410" s="4"/>
      <c r="E410" s="4"/>
      <c r="F410" s="147"/>
      <c r="G410" s="4"/>
      <c r="H410" s="147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146"/>
      <c r="C411" s="146"/>
      <c r="D411" s="4"/>
      <c r="E411" s="4"/>
      <c r="F411" s="147"/>
      <c r="G411" s="4"/>
      <c r="H411" s="147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146"/>
      <c r="C412" s="146"/>
      <c r="D412" s="4"/>
      <c r="E412" s="4"/>
      <c r="F412" s="147"/>
      <c r="G412" s="4"/>
      <c r="H412" s="147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146"/>
      <c r="C413" s="146"/>
      <c r="D413" s="4"/>
      <c r="E413" s="4"/>
      <c r="F413" s="147"/>
      <c r="G413" s="4"/>
      <c r="H413" s="147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146"/>
      <c r="C414" s="146"/>
      <c r="D414" s="4"/>
      <c r="E414" s="4"/>
      <c r="F414" s="147"/>
      <c r="G414" s="4"/>
      <c r="H414" s="147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146"/>
      <c r="C415" s="146"/>
      <c r="D415" s="4"/>
      <c r="E415" s="4"/>
      <c r="F415" s="147"/>
      <c r="G415" s="4"/>
      <c r="H415" s="147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146"/>
      <c r="C416" s="146"/>
      <c r="D416" s="4"/>
      <c r="E416" s="4"/>
      <c r="F416" s="147"/>
      <c r="G416" s="4"/>
      <c r="H416" s="147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146"/>
      <c r="C417" s="146"/>
      <c r="D417" s="4"/>
      <c r="E417" s="4"/>
      <c r="F417" s="147"/>
      <c r="G417" s="4"/>
      <c r="H417" s="147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146"/>
      <c r="C418" s="146"/>
      <c r="D418" s="4"/>
      <c r="E418" s="4"/>
      <c r="F418" s="147"/>
      <c r="G418" s="4"/>
      <c r="H418" s="147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146"/>
      <c r="C419" s="146"/>
      <c r="D419" s="4"/>
      <c r="E419" s="4"/>
      <c r="F419" s="147"/>
      <c r="G419" s="4"/>
      <c r="H419" s="147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146"/>
      <c r="C420" s="146"/>
      <c r="D420" s="4"/>
      <c r="E420" s="4"/>
      <c r="F420" s="147"/>
      <c r="G420" s="4"/>
      <c r="H420" s="147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146"/>
      <c r="C421" s="146"/>
      <c r="D421" s="4"/>
      <c r="E421" s="4"/>
      <c r="F421" s="147"/>
      <c r="G421" s="4"/>
      <c r="H421" s="147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146"/>
      <c r="C422" s="146"/>
      <c r="D422" s="4"/>
      <c r="E422" s="4"/>
      <c r="F422" s="147"/>
      <c r="G422" s="4"/>
      <c r="H422" s="147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146"/>
      <c r="C423" s="146"/>
      <c r="D423" s="4"/>
      <c r="E423" s="4"/>
      <c r="F423" s="147"/>
      <c r="G423" s="4"/>
      <c r="H423" s="147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146"/>
      <c r="C424" s="146"/>
      <c r="D424" s="4"/>
      <c r="E424" s="4"/>
      <c r="F424" s="147"/>
      <c r="G424" s="4"/>
      <c r="H424" s="147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146"/>
      <c r="C425" s="146"/>
      <c r="D425" s="4"/>
      <c r="E425" s="4"/>
      <c r="F425" s="147"/>
      <c r="G425" s="4"/>
      <c r="H425" s="147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146"/>
      <c r="C426" s="146"/>
      <c r="D426" s="4"/>
      <c r="E426" s="4"/>
      <c r="F426" s="147"/>
      <c r="G426" s="4"/>
      <c r="H426" s="147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146"/>
      <c r="C427" s="146"/>
      <c r="D427" s="4"/>
      <c r="E427" s="4"/>
      <c r="F427" s="147"/>
      <c r="G427" s="4"/>
      <c r="H427" s="147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146"/>
      <c r="C428" s="146"/>
      <c r="D428" s="4"/>
      <c r="E428" s="4"/>
      <c r="F428" s="147"/>
      <c r="G428" s="4"/>
      <c r="H428" s="147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146"/>
      <c r="C429" s="146"/>
      <c r="D429" s="4"/>
      <c r="E429" s="4"/>
      <c r="F429" s="147"/>
      <c r="G429" s="4"/>
      <c r="H429" s="147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146"/>
      <c r="C430" s="146"/>
      <c r="D430" s="4"/>
      <c r="E430" s="4"/>
      <c r="F430" s="147"/>
      <c r="G430" s="4"/>
      <c r="H430" s="147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146"/>
      <c r="C431" s="146"/>
      <c r="D431" s="4"/>
      <c r="E431" s="4"/>
      <c r="F431" s="147"/>
      <c r="G431" s="4"/>
      <c r="H431" s="147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146"/>
      <c r="C432" s="146"/>
      <c r="D432" s="4"/>
      <c r="E432" s="4"/>
      <c r="F432" s="147"/>
      <c r="G432" s="4"/>
      <c r="H432" s="147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146"/>
      <c r="C433" s="146"/>
      <c r="D433" s="4"/>
      <c r="E433" s="4"/>
      <c r="F433" s="147"/>
      <c r="G433" s="4"/>
      <c r="H433" s="147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146"/>
      <c r="C434" s="146"/>
      <c r="D434" s="4"/>
      <c r="E434" s="4"/>
      <c r="F434" s="147"/>
      <c r="G434" s="4"/>
      <c r="H434" s="147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146"/>
      <c r="C435" s="146"/>
      <c r="D435" s="4"/>
      <c r="E435" s="4"/>
      <c r="F435" s="147"/>
      <c r="G435" s="4"/>
      <c r="H435" s="147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146"/>
      <c r="C436" s="146"/>
      <c r="D436" s="4"/>
      <c r="E436" s="4"/>
      <c r="F436" s="147"/>
      <c r="G436" s="4"/>
      <c r="H436" s="147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146"/>
      <c r="C437" s="146"/>
      <c r="D437" s="4"/>
      <c r="E437" s="4"/>
      <c r="F437" s="147"/>
      <c r="G437" s="4"/>
      <c r="H437" s="147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146"/>
      <c r="C438" s="146"/>
      <c r="D438" s="4"/>
      <c r="E438" s="4"/>
      <c r="F438" s="147"/>
      <c r="G438" s="4"/>
      <c r="H438" s="147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146"/>
      <c r="C439" s="146"/>
      <c r="D439" s="4"/>
      <c r="E439" s="4"/>
      <c r="F439" s="147"/>
      <c r="G439" s="4"/>
      <c r="H439" s="147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146"/>
      <c r="C440" s="146"/>
      <c r="D440" s="4"/>
      <c r="E440" s="4"/>
      <c r="F440" s="147"/>
      <c r="G440" s="4"/>
      <c r="H440" s="147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146"/>
      <c r="C441" s="146"/>
      <c r="D441" s="4"/>
      <c r="E441" s="4"/>
      <c r="F441" s="147"/>
      <c r="G441" s="4"/>
      <c r="H441" s="147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146"/>
      <c r="C442" s="146"/>
      <c r="D442" s="4"/>
      <c r="E442" s="4"/>
      <c r="F442" s="147"/>
      <c r="G442" s="4"/>
      <c r="H442" s="147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146"/>
      <c r="C443" s="146"/>
      <c r="D443" s="4"/>
      <c r="E443" s="4"/>
      <c r="F443" s="147"/>
      <c r="G443" s="4"/>
      <c r="H443" s="147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146"/>
      <c r="C444" s="146"/>
      <c r="D444" s="4"/>
      <c r="E444" s="4"/>
      <c r="F444" s="147"/>
      <c r="G444" s="4"/>
      <c r="H444" s="147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146"/>
      <c r="C445" s="146"/>
      <c r="D445" s="4"/>
      <c r="E445" s="4"/>
      <c r="F445" s="147"/>
      <c r="G445" s="4"/>
      <c r="H445" s="147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146"/>
      <c r="C446" s="146"/>
      <c r="D446" s="4"/>
      <c r="E446" s="4"/>
      <c r="F446" s="147"/>
      <c r="G446" s="4"/>
      <c r="H446" s="147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146"/>
      <c r="C447" s="146"/>
      <c r="D447" s="4"/>
      <c r="E447" s="4"/>
      <c r="F447" s="147"/>
      <c r="G447" s="4"/>
      <c r="H447" s="147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146"/>
      <c r="C448" s="146"/>
      <c r="D448" s="4"/>
      <c r="E448" s="4"/>
      <c r="F448" s="147"/>
      <c r="G448" s="4"/>
      <c r="H448" s="147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146"/>
      <c r="C449" s="146"/>
      <c r="D449" s="4"/>
      <c r="E449" s="4"/>
      <c r="F449" s="147"/>
      <c r="G449" s="4"/>
      <c r="H449" s="147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146"/>
      <c r="C450" s="146"/>
      <c r="D450" s="4"/>
      <c r="E450" s="4"/>
      <c r="F450" s="147"/>
      <c r="G450" s="4"/>
      <c r="H450" s="147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146"/>
      <c r="C451" s="146"/>
      <c r="D451" s="4"/>
      <c r="E451" s="4"/>
      <c r="F451" s="147"/>
      <c r="G451" s="4"/>
      <c r="H451" s="147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146"/>
      <c r="C452" s="146"/>
      <c r="D452" s="4"/>
      <c r="E452" s="4"/>
      <c r="F452" s="147"/>
      <c r="G452" s="4"/>
      <c r="H452" s="147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146"/>
      <c r="C453" s="146"/>
      <c r="D453" s="4"/>
      <c r="E453" s="4"/>
      <c r="F453" s="147"/>
      <c r="G453" s="4"/>
      <c r="H453" s="147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146"/>
      <c r="C454" s="146"/>
      <c r="D454" s="4"/>
      <c r="E454" s="4"/>
      <c r="F454" s="147"/>
      <c r="G454" s="4"/>
      <c r="H454" s="147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146"/>
      <c r="C455" s="146"/>
      <c r="D455" s="4"/>
      <c r="E455" s="4"/>
      <c r="F455" s="147"/>
      <c r="G455" s="4"/>
      <c r="H455" s="147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146"/>
      <c r="C456" s="146"/>
      <c r="D456" s="4"/>
      <c r="E456" s="4"/>
      <c r="F456" s="147"/>
      <c r="G456" s="4"/>
      <c r="H456" s="147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146"/>
      <c r="C457" s="146"/>
      <c r="D457" s="4"/>
      <c r="E457" s="4"/>
      <c r="F457" s="147"/>
      <c r="G457" s="4"/>
      <c r="H457" s="147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146"/>
      <c r="C458" s="146"/>
      <c r="D458" s="4"/>
      <c r="E458" s="4"/>
      <c r="F458" s="147"/>
      <c r="G458" s="4"/>
      <c r="H458" s="147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146"/>
      <c r="C459" s="146"/>
      <c r="D459" s="4"/>
      <c r="E459" s="4"/>
      <c r="F459" s="147"/>
      <c r="G459" s="4"/>
      <c r="H459" s="147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146"/>
      <c r="C460" s="146"/>
      <c r="D460" s="4"/>
      <c r="E460" s="4"/>
      <c r="F460" s="147"/>
      <c r="G460" s="4"/>
      <c r="H460" s="147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146"/>
      <c r="C461" s="146"/>
      <c r="D461" s="4"/>
      <c r="E461" s="4"/>
      <c r="F461" s="147"/>
      <c r="G461" s="4"/>
      <c r="H461" s="147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146"/>
      <c r="C462" s="146"/>
      <c r="D462" s="4"/>
      <c r="E462" s="4"/>
      <c r="F462" s="147"/>
      <c r="G462" s="4"/>
      <c r="H462" s="147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146"/>
      <c r="C463" s="146"/>
      <c r="D463" s="4"/>
      <c r="E463" s="4"/>
      <c r="F463" s="147"/>
      <c r="G463" s="4"/>
      <c r="H463" s="147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146"/>
      <c r="C464" s="146"/>
      <c r="D464" s="4"/>
      <c r="E464" s="4"/>
      <c r="F464" s="147"/>
      <c r="G464" s="4"/>
      <c r="H464" s="147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146"/>
      <c r="C465" s="146"/>
      <c r="D465" s="4"/>
      <c r="E465" s="4"/>
      <c r="F465" s="147"/>
      <c r="G465" s="4"/>
      <c r="H465" s="147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146"/>
      <c r="C466" s="146"/>
      <c r="D466" s="4"/>
      <c r="E466" s="4"/>
      <c r="F466" s="147"/>
      <c r="G466" s="4"/>
      <c r="H466" s="147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146"/>
      <c r="C467" s="146"/>
      <c r="D467" s="4"/>
      <c r="E467" s="4"/>
      <c r="F467" s="147"/>
      <c r="G467" s="4"/>
      <c r="H467" s="147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146"/>
      <c r="C468" s="146"/>
      <c r="D468" s="4"/>
      <c r="E468" s="4"/>
      <c r="F468" s="147"/>
      <c r="G468" s="4"/>
      <c r="H468" s="147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146"/>
      <c r="C469" s="146"/>
      <c r="D469" s="4"/>
      <c r="E469" s="4"/>
      <c r="F469" s="147"/>
      <c r="G469" s="4"/>
      <c r="H469" s="147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146"/>
      <c r="C470" s="146"/>
      <c r="D470" s="4"/>
      <c r="E470" s="4"/>
      <c r="F470" s="147"/>
      <c r="G470" s="4"/>
      <c r="H470" s="147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146"/>
      <c r="C471" s="146"/>
      <c r="D471" s="4"/>
      <c r="E471" s="4"/>
      <c r="F471" s="147"/>
      <c r="G471" s="4"/>
      <c r="H471" s="147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146"/>
      <c r="C472" s="146"/>
      <c r="D472" s="4"/>
      <c r="E472" s="4"/>
      <c r="F472" s="147"/>
      <c r="G472" s="4"/>
      <c r="H472" s="147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146"/>
      <c r="C473" s="146"/>
      <c r="D473" s="4"/>
      <c r="E473" s="4"/>
      <c r="F473" s="147"/>
      <c r="G473" s="4"/>
      <c r="H473" s="147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146"/>
      <c r="C474" s="146"/>
      <c r="D474" s="4"/>
      <c r="E474" s="4"/>
      <c r="F474" s="147"/>
      <c r="G474" s="4"/>
      <c r="H474" s="147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146"/>
      <c r="C475" s="146"/>
      <c r="D475" s="4"/>
      <c r="E475" s="4"/>
      <c r="F475" s="147"/>
      <c r="G475" s="4"/>
      <c r="H475" s="147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146"/>
      <c r="C476" s="146"/>
      <c r="D476" s="4"/>
      <c r="E476" s="4"/>
      <c r="F476" s="147"/>
      <c r="G476" s="4"/>
      <c r="H476" s="147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146"/>
      <c r="C477" s="146"/>
      <c r="D477" s="4"/>
      <c r="E477" s="4"/>
      <c r="F477" s="147"/>
      <c r="G477" s="4"/>
      <c r="H477" s="147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146"/>
      <c r="C478" s="146"/>
      <c r="D478" s="4"/>
      <c r="E478" s="4"/>
      <c r="F478" s="147"/>
      <c r="G478" s="4"/>
      <c r="H478" s="147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146"/>
      <c r="C479" s="146"/>
      <c r="D479" s="4"/>
      <c r="E479" s="4"/>
      <c r="F479" s="147"/>
      <c r="G479" s="4"/>
      <c r="H479" s="147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146"/>
      <c r="C480" s="146"/>
      <c r="D480" s="4"/>
      <c r="E480" s="4"/>
      <c r="F480" s="147"/>
      <c r="G480" s="4"/>
      <c r="H480" s="147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146"/>
      <c r="C481" s="146"/>
      <c r="D481" s="4"/>
      <c r="E481" s="4"/>
      <c r="F481" s="147"/>
      <c r="G481" s="4"/>
      <c r="H481" s="147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146"/>
      <c r="C482" s="146"/>
      <c r="D482" s="4"/>
      <c r="E482" s="4"/>
      <c r="F482" s="147"/>
      <c r="G482" s="4"/>
      <c r="H482" s="147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146"/>
      <c r="C483" s="146"/>
      <c r="D483" s="4"/>
      <c r="E483" s="4"/>
      <c r="F483" s="147"/>
      <c r="G483" s="4"/>
      <c r="H483" s="147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146"/>
      <c r="C484" s="146"/>
      <c r="D484" s="4"/>
      <c r="E484" s="4"/>
      <c r="F484" s="147"/>
      <c r="G484" s="4"/>
      <c r="H484" s="147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146"/>
      <c r="C485" s="146"/>
      <c r="D485" s="4"/>
      <c r="E485" s="4"/>
      <c r="F485" s="147"/>
      <c r="G485" s="4"/>
      <c r="H485" s="147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146"/>
      <c r="C486" s="146"/>
      <c r="D486" s="4"/>
      <c r="E486" s="4"/>
      <c r="F486" s="147"/>
      <c r="G486" s="4"/>
      <c r="H486" s="147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146"/>
      <c r="C487" s="146"/>
      <c r="D487" s="4"/>
      <c r="E487" s="4"/>
      <c r="F487" s="147"/>
      <c r="G487" s="4"/>
      <c r="H487" s="147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146"/>
      <c r="C488" s="146"/>
      <c r="D488" s="4"/>
      <c r="E488" s="4"/>
      <c r="F488" s="147"/>
      <c r="G488" s="4"/>
      <c r="H488" s="147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146"/>
      <c r="C489" s="146"/>
      <c r="D489" s="4"/>
      <c r="E489" s="4"/>
      <c r="F489" s="147"/>
      <c r="G489" s="4"/>
      <c r="H489" s="147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146"/>
      <c r="C490" s="146"/>
      <c r="D490" s="4"/>
      <c r="E490" s="4"/>
      <c r="F490" s="147"/>
      <c r="G490" s="4"/>
      <c r="H490" s="147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146"/>
      <c r="C491" s="146"/>
      <c r="D491" s="4"/>
      <c r="E491" s="4"/>
      <c r="F491" s="147"/>
      <c r="G491" s="4"/>
      <c r="H491" s="147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146"/>
      <c r="C492" s="146"/>
      <c r="D492" s="4"/>
      <c r="E492" s="4"/>
      <c r="F492" s="147"/>
      <c r="G492" s="4"/>
      <c r="H492" s="147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146"/>
      <c r="C493" s="146"/>
      <c r="D493" s="4"/>
      <c r="E493" s="4"/>
      <c r="F493" s="147"/>
      <c r="G493" s="4"/>
      <c r="H493" s="147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146"/>
      <c r="C494" s="146"/>
      <c r="D494" s="4"/>
      <c r="E494" s="4"/>
      <c r="F494" s="147"/>
      <c r="G494" s="4"/>
      <c r="H494" s="147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146"/>
      <c r="C495" s="146"/>
      <c r="D495" s="4"/>
      <c r="E495" s="4"/>
      <c r="F495" s="147"/>
      <c r="G495" s="4"/>
      <c r="H495" s="147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146"/>
      <c r="C496" s="146"/>
      <c r="D496" s="4"/>
      <c r="E496" s="4"/>
      <c r="F496" s="147"/>
      <c r="G496" s="4"/>
      <c r="H496" s="147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146"/>
      <c r="C497" s="146"/>
      <c r="D497" s="4"/>
      <c r="E497" s="4"/>
      <c r="F497" s="147"/>
      <c r="G497" s="4"/>
      <c r="H497" s="147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146"/>
      <c r="C498" s="146"/>
      <c r="D498" s="4"/>
      <c r="E498" s="4"/>
      <c r="F498" s="147"/>
      <c r="G498" s="4"/>
      <c r="H498" s="147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146"/>
      <c r="C499" s="146"/>
      <c r="D499" s="4"/>
      <c r="E499" s="4"/>
      <c r="F499" s="147"/>
      <c r="G499" s="4"/>
      <c r="H499" s="147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146"/>
      <c r="C500" s="146"/>
      <c r="D500" s="4"/>
      <c r="E500" s="4"/>
      <c r="F500" s="147"/>
      <c r="G500" s="4"/>
      <c r="H500" s="147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146"/>
      <c r="C501" s="146"/>
      <c r="D501" s="4"/>
      <c r="E501" s="4"/>
      <c r="F501" s="147"/>
      <c r="G501" s="4"/>
      <c r="H501" s="147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146"/>
      <c r="C502" s="146"/>
      <c r="D502" s="4"/>
      <c r="E502" s="4"/>
      <c r="F502" s="147"/>
      <c r="G502" s="4"/>
      <c r="H502" s="147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146"/>
      <c r="C503" s="146"/>
      <c r="D503" s="4"/>
      <c r="E503" s="4"/>
      <c r="F503" s="147"/>
      <c r="G503" s="4"/>
      <c r="H503" s="147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146"/>
      <c r="C504" s="146"/>
      <c r="D504" s="4"/>
      <c r="E504" s="4"/>
      <c r="F504" s="147"/>
      <c r="G504" s="4"/>
      <c r="H504" s="147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146"/>
      <c r="C505" s="146"/>
      <c r="D505" s="4"/>
      <c r="E505" s="4"/>
      <c r="F505" s="147"/>
      <c r="G505" s="4"/>
      <c r="H505" s="147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146"/>
      <c r="C506" s="146"/>
      <c r="D506" s="4"/>
      <c r="E506" s="4"/>
      <c r="F506" s="147"/>
      <c r="G506" s="4"/>
      <c r="H506" s="147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146"/>
      <c r="C507" s="146"/>
      <c r="D507" s="4"/>
      <c r="E507" s="4"/>
      <c r="F507" s="147"/>
      <c r="G507" s="4"/>
      <c r="H507" s="147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146"/>
      <c r="C508" s="146"/>
      <c r="D508" s="4"/>
      <c r="E508" s="4"/>
      <c r="F508" s="147"/>
      <c r="G508" s="4"/>
      <c r="H508" s="147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146"/>
      <c r="C509" s="146"/>
      <c r="D509" s="4"/>
      <c r="E509" s="4"/>
      <c r="F509" s="147"/>
      <c r="G509" s="4"/>
      <c r="H509" s="147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146"/>
      <c r="C510" s="146"/>
      <c r="D510" s="4"/>
      <c r="E510" s="4"/>
      <c r="F510" s="147"/>
      <c r="G510" s="4"/>
      <c r="H510" s="147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146"/>
      <c r="C511" s="146"/>
      <c r="D511" s="4"/>
      <c r="E511" s="4"/>
      <c r="F511" s="147"/>
      <c r="G511" s="4"/>
      <c r="H511" s="147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146"/>
      <c r="C512" s="146"/>
      <c r="D512" s="4"/>
      <c r="E512" s="4"/>
      <c r="F512" s="147"/>
      <c r="G512" s="4"/>
      <c r="H512" s="147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146"/>
      <c r="C513" s="146"/>
      <c r="D513" s="4"/>
      <c r="E513" s="4"/>
      <c r="F513" s="147"/>
      <c r="G513" s="4"/>
      <c r="H513" s="147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146"/>
      <c r="C514" s="146"/>
      <c r="D514" s="4"/>
      <c r="E514" s="4"/>
      <c r="F514" s="147"/>
      <c r="G514" s="4"/>
      <c r="H514" s="147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146"/>
      <c r="C515" s="146"/>
      <c r="D515" s="4"/>
      <c r="E515" s="4"/>
      <c r="F515" s="147"/>
      <c r="G515" s="4"/>
      <c r="H515" s="147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146"/>
      <c r="C516" s="146"/>
      <c r="D516" s="4"/>
      <c r="E516" s="4"/>
      <c r="F516" s="147"/>
      <c r="G516" s="4"/>
      <c r="H516" s="147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146"/>
      <c r="C517" s="146"/>
      <c r="D517" s="4"/>
      <c r="E517" s="4"/>
      <c r="F517" s="147"/>
      <c r="G517" s="4"/>
      <c r="H517" s="147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146"/>
      <c r="C518" s="146"/>
      <c r="D518" s="4"/>
      <c r="E518" s="4"/>
      <c r="F518" s="147"/>
      <c r="G518" s="4"/>
      <c r="H518" s="147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146"/>
      <c r="C519" s="146"/>
      <c r="D519" s="4"/>
      <c r="E519" s="4"/>
      <c r="F519" s="147"/>
      <c r="G519" s="4"/>
      <c r="H519" s="147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146"/>
      <c r="C520" s="146"/>
      <c r="D520" s="4"/>
      <c r="E520" s="4"/>
      <c r="F520" s="147"/>
      <c r="G520" s="4"/>
      <c r="H520" s="147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146"/>
      <c r="C521" s="146"/>
      <c r="D521" s="4"/>
      <c r="E521" s="4"/>
      <c r="F521" s="147"/>
      <c r="G521" s="4"/>
      <c r="H521" s="147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146"/>
      <c r="C522" s="146"/>
      <c r="D522" s="4"/>
      <c r="E522" s="4"/>
      <c r="F522" s="147"/>
      <c r="G522" s="4"/>
      <c r="H522" s="147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146"/>
      <c r="C523" s="146"/>
      <c r="D523" s="4"/>
      <c r="E523" s="4"/>
      <c r="F523" s="147"/>
      <c r="G523" s="4"/>
      <c r="H523" s="147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146"/>
      <c r="C524" s="146"/>
      <c r="D524" s="4"/>
      <c r="E524" s="4"/>
      <c r="F524" s="147"/>
      <c r="G524" s="4"/>
      <c r="H524" s="147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146"/>
      <c r="C525" s="146"/>
      <c r="D525" s="4"/>
      <c r="E525" s="4"/>
      <c r="F525" s="147"/>
      <c r="G525" s="4"/>
      <c r="H525" s="147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146"/>
      <c r="C526" s="146"/>
      <c r="D526" s="4"/>
      <c r="E526" s="4"/>
      <c r="F526" s="147"/>
      <c r="G526" s="4"/>
      <c r="H526" s="147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146"/>
      <c r="C527" s="146"/>
      <c r="D527" s="4"/>
      <c r="E527" s="4"/>
      <c r="F527" s="147"/>
      <c r="G527" s="4"/>
      <c r="H527" s="147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146"/>
      <c r="C528" s="146"/>
      <c r="D528" s="4"/>
      <c r="E528" s="4"/>
      <c r="F528" s="147"/>
      <c r="G528" s="4"/>
      <c r="H528" s="147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146"/>
      <c r="C529" s="146"/>
      <c r="D529" s="4"/>
      <c r="E529" s="4"/>
      <c r="F529" s="147"/>
      <c r="G529" s="4"/>
      <c r="H529" s="147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146"/>
      <c r="C530" s="146"/>
      <c r="D530" s="4"/>
      <c r="E530" s="4"/>
      <c r="F530" s="147"/>
      <c r="G530" s="4"/>
      <c r="H530" s="147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146"/>
      <c r="C531" s="146"/>
      <c r="D531" s="4"/>
      <c r="E531" s="4"/>
      <c r="F531" s="147"/>
      <c r="G531" s="4"/>
      <c r="H531" s="147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146"/>
      <c r="C532" s="146"/>
      <c r="D532" s="4"/>
      <c r="E532" s="4"/>
      <c r="F532" s="147"/>
      <c r="G532" s="4"/>
      <c r="H532" s="147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146"/>
      <c r="C533" s="146"/>
      <c r="D533" s="4"/>
      <c r="E533" s="4"/>
      <c r="F533" s="147"/>
      <c r="G533" s="4"/>
      <c r="H533" s="147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146"/>
      <c r="C534" s="146"/>
      <c r="D534" s="4"/>
      <c r="E534" s="4"/>
      <c r="F534" s="147"/>
      <c r="G534" s="4"/>
      <c r="H534" s="147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146"/>
      <c r="C535" s="146"/>
      <c r="D535" s="4"/>
      <c r="E535" s="4"/>
      <c r="F535" s="147"/>
      <c r="G535" s="4"/>
      <c r="H535" s="147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146"/>
      <c r="C536" s="146"/>
      <c r="D536" s="4"/>
      <c r="E536" s="4"/>
      <c r="F536" s="147"/>
      <c r="G536" s="4"/>
      <c r="H536" s="147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146"/>
      <c r="C537" s="146"/>
      <c r="D537" s="4"/>
      <c r="E537" s="4"/>
      <c r="F537" s="147"/>
      <c r="G537" s="4"/>
      <c r="H537" s="147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146"/>
      <c r="C538" s="146"/>
      <c r="D538" s="4"/>
      <c r="E538" s="4"/>
      <c r="F538" s="147"/>
      <c r="G538" s="4"/>
      <c r="H538" s="147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146"/>
      <c r="C539" s="146"/>
      <c r="D539" s="4"/>
      <c r="E539" s="4"/>
      <c r="F539" s="147"/>
      <c r="G539" s="4"/>
      <c r="H539" s="147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146"/>
      <c r="C540" s="146"/>
      <c r="D540" s="4"/>
      <c r="E540" s="4"/>
      <c r="F540" s="147"/>
      <c r="G540" s="4"/>
      <c r="H540" s="147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146"/>
      <c r="C541" s="146"/>
      <c r="D541" s="4"/>
      <c r="E541" s="4"/>
      <c r="F541" s="147"/>
      <c r="G541" s="4"/>
      <c r="H541" s="147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146"/>
      <c r="C542" s="146"/>
      <c r="D542" s="4"/>
      <c r="E542" s="4"/>
      <c r="F542" s="147"/>
      <c r="G542" s="4"/>
      <c r="H542" s="147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146"/>
      <c r="C543" s="146"/>
      <c r="D543" s="4"/>
      <c r="E543" s="4"/>
      <c r="F543" s="147"/>
      <c r="G543" s="4"/>
      <c r="H543" s="147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146"/>
      <c r="C544" s="146"/>
      <c r="D544" s="4"/>
      <c r="E544" s="4"/>
      <c r="F544" s="147"/>
      <c r="G544" s="4"/>
      <c r="H544" s="147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146"/>
      <c r="C545" s="146"/>
      <c r="D545" s="4"/>
      <c r="E545" s="4"/>
      <c r="F545" s="147"/>
      <c r="G545" s="4"/>
      <c r="H545" s="147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146"/>
      <c r="C546" s="146"/>
      <c r="D546" s="4"/>
      <c r="E546" s="4"/>
      <c r="F546" s="147"/>
      <c r="G546" s="4"/>
      <c r="H546" s="147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146"/>
      <c r="C547" s="146"/>
      <c r="D547" s="4"/>
      <c r="E547" s="4"/>
      <c r="F547" s="147"/>
      <c r="G547" s="4"/>
      <c r="H547" s="147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146"/>
      <c r="C548" s="146"/>
      <c r="D548" s="4"/>
      <c r="E548" s="4"/>
      <c r="F548" s="147"/>
      <c r="G548" s="4"/>
      <c r="H548" s="147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146"/>
      <c r="C549" s="146"/>
      <c r="D549" s="4"/>
      <c r="E549" s="4"/>
      <c r="F549" s="147"/>
      <c r="G549" s="4"/>
      <c r="H549" s="147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146"/>
      <c r="C550" s="146"/>
      <c r="D550" s="4"/>
      <c r="E550" s="4"/>
      <c r="F550" s="147"/>
      <c r="G550" s="4"/>
      <c r="H550" s="147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146"/>
      <c r="C551" s="146"/>
      <c r="D551" s="4"/>
      <c r="E551" s="4"/>
      <c r="F551" s="147"/>
      <c r="G551" s="4"/>
      <c r="H551" s="147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146"/>
      <c r="C552" s="146"/>
      <c r="D552" s="4"/>
      <c r="E552" s="4"/>
      <c r="F552" s="147"/>
      <c r="G552" s="4"/>
      <c r="H552" s="147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146"/>
      <c r="C553" s="146"/>
      <c r="D553" s="4"/>
      <c r="E553" s="4"/>
      <c r="F553" s="147"/>
      <c r="G553" s="4"/>
      <c r="H553" s="147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146"/>
      <c r="C554" s="146"/>
      <c r="D554" s="4"/>
      <c r="E554" s="4"/>
      <c r="F554" s="147"/>
      <c r="G554" s="4"/>
      <c r="H554" s="147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146"/>
      <c r="C555" s="146"/>
      <c r="D555" s="4"/>
      <c r="E555" s="4"/>
      <c r="F555" s="147"/>
      <c r="G555" s="4"/>
      <c r="H555" s="147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146"/>
      <c r="C556" s="146"/>
      <c r="D556" s="4"/>
      <c r="E556" s="4"/>
      <c r="F556" s="147"/>
      <c r="G556" s="4"/>
      <c r="H556" s="147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146"/>
      <c r="C557" s="146"/>
      <c r="D557" s="4"/>
      <c r="E557" s="4"/>
      <c r="F557" s="147"/>
      <c r="G557" s="4"/>
      <c r="H557" s="147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146"/>
      <c r="C558" s="146"/>
      <c r="D558" s="4"/>
      <c r="E558" s="4"/>
      <c r="F558" s="147"/>
      <c r="G558" s="4"/>
      <c r="H558" s="147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146"/>
      <c r="C559" s="146"/>
      <c r="D559" s="4"/>
      <c r="E559" s="4"/>
      <c r="F559" s="147"/>
      <c r="G559" s="4"/>
      <c r="H559" s="147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146"/>
      <c r="C560" s="146"/>
      <c r="D560" s="4"/>
      <c r="E560" s="4"/>
      <c r="F560" s="147"/>
      <c r="G560" s="4"/>
      <c r="H560" s="147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146"/>
      <c r="C561" s="146"/>
      <c r="D561" s="4"/>
      <c r="E561" s="4"/>
      <c r="F561" s="147"/>
      <c r="G561" s="4"/>
      <c r="H561" s="147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146"/>
      <c r="C562" s="146"/>
      <c r="D562" s="4"/>
      <c r="E562" s="4"/>
      <c r="F562" s="147"/>
      <c r="G562" s="4"/>
      <c r="H562" s="147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146"/>
      <c r="C563" s="146"/>
      <c r="D563" s="4"/>
      <c r="E563" s="4"/>
      <c r="F563" s="147"/>
      <c r="G563" s="4"/>
      <c r="H563" s="147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146"/>
      <c r="C564" s="146"/>
      <c r="D564" s="4"/>
      <c r="E564" s="4"/>
      <c r="F564" s="147"/>
      <c r="G564" s="4"/>
      <c r="H564" s="147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146"/>
      <c r="C565" s="146"/>
      <c r="D565" s="4"/>
      <c r="E565" s="4"/>
      <c r="F565" s="147"/>
      <c r="G565" s="4"/>
      <c r="H565" s="147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146"/>
      <c r="C566" s="146"/>
      <c r="D566" s="4"/>
      <c r="E566" s="4"/>
      <c r="F566" s="147"/>
      <c r="G566" s="4"/>
      <c r="H566" s="147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146"/>
      <c r="C567" s="146"/>
      <c r="D567" s="4"/>
      <c r="E567" s="4"/>
      <c r="F567" s="147"/>
      <c r="G567" s="4"/>
      <c r="H567" s="147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146"/>
      <c r="C568" s="146"/>
      <c r="D568" s="4"/>
      <c r="E568" s="4"/>
      <c r="F568" s="147"/>
      <c r="G568" s="4"/>
      <c r="H568" s="147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146"/>
      <c r="C569" s="146"/>
      <c r="D569" s="4"/>
      <c r="E569" s="4"/>
      <c r="F569" s="147"/>
      <c r="G569" s="4"/>
      <c r="H569" s="147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146"/>
      <c r="C570" s="146"/>
      <c r="D570" s="4"/>
      <c r="E570" s="4"/>
      <c r="F570" s="147"/>
      <c r="G570" s="4"/>
      <c r="H570" s="147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146"/>
      <c r="C571" s="146"/>
      <c r="D571" s="4"/>
      <c r="E571" s="4"/>
      <c r="F571" s="147"/>
      <c r="G571" s="4"/>
      <c r="H571" s="147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146"/>
      <c r="C572" s="146"/>
      <c r="D572" s="4"/>
      <c r="E572" s="4"/>
      <c r="F572" s="147"/>
      <c r="G572" s="4"/>
      <c r="H572" s="147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146"/>
      <c r="C573" s="146"/>
      <c r="D573" s="4"/>
      <c r="E573" s="4"/>
      <c r="F573" s="147"/>
      <c r="G573" s="4"/>
      <c r="H573" s="147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146"/>
      <c r="C574" s="146"/>
      <c r="D574" s="4"/>
      <c r="E574" s="4"/>
      <c r="F574" s="147"/>
      <c r="G574" s="4"/>
      <c r="H574" s="147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146"/>
      <c r="C575" s="146"/>
      <c r="D575" s="4"/>
      <c r="E575" s="4"/>
      <c r="F575" s="147"/>
      <c r="G575" s="4"/>
      <c r="H575" s="147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146"/>
      <c r="C576" s="146"/>
      <c r="D576" s="4"/>
      <c r="E576" s="4"/>
      <c r="F576" s="147"/>
      <c r="G576" s="4"/>
      <c r="H576" s="147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146"/>
      <c r="C577" s="146"/>
      <c r="D577" s="4"/>
      <c r="E577" s="4"/>
      <c r="F577" s="147"/>
      <c r="G577" s="4"/>
      <c r="H577" s="147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146"/>
      <c r="C578" s="146"/>
      <c r="D578" s="4"/>
      <c r="E578" s="4"/>
      <c r="F578" s="147"/>
      <c r="G578" s="4"/>
      <c r="H578" s="147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146"/>
      <c r="C579" s="146"/>
      <c r="D579" s="4"/>
      <c r="E579" s="4"/>
      <c r="F579" s="147"/>
      <c r="G579" s="4"/>
      <c r="H579" s="147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146"/>
      <c r="C580" s="146"/>
      <c r="D580" s="4"/>
      <c r="E580" s="4"/>
      <c r="F580" s="147"/>
      <c r="G580" s="4"/>
      <c r="H580" s="147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146"/>
      <c r="C581" s="146"/>
      <c r="D581" s="4"/>
      <c r="E581" s="4"/>
      <c r="F581" s="147"/>
      <c r="G581" s="4"/>
      <c r="H581" s="147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146"/>
      <c r="C582" s="146"/>
      <c r="D582" s="4"/>
      <c r="E582" s="4"/>
      <c r="F582" s="147"/>
      <c r="G582" s="4"/>
      <c r="H582" s="147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146"/>
      <c r="C583" s="146"/>
      <c r="D583" s="4"/>
      <c r="E583" s="4"/>
      <c r="F583" s="147"/>
      <c r="G583" s="4"/>
      <c r="H583" s="147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146"/>
      <c r="C584" s="146"/>
      <c r="D584" s="4"/>
      <c r="E584" s="4"/>
      <c r="F584" s="147"/>
      <c r="G584" s="4"/>
      <c r="H584" s="147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146"/>
      <c r="C585" s="146"/>
      <c r="D585" s="4"/>
      <c r="E585" s="4"/>
      <c r="F585" s="147"/>
      <c r="G585" s="4"/>
      <c r="H585" s="147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146"/>
      <c r="C586" s="146"/>
      <c r="D586" s="4"/>
      <c r="E586" s="4"/>
      <c r="F586" s="147"/>
      <c r="G586" s="4"/>
      <c r="H586" s="147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146"/>
      <c r="C587" s="146"/>
      <c r="D587" s="4"/>
      <c r="E587" s="4"/>
      <c r="F587" s="147"/>
      <c r="G587" s="4"/>
      <c r="H587" s="147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146"/>
      <c r="C588" s="146"/>
      <c r="D588" s="4"/>
      <c r="E588" s="4"/>
      <c r="F588" s="147"/>
      <c r="G588" s="4"/>
      <c r="H588" s="147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146"/>
      <c r="C589" s="146"/>
      <c r="D589" s="4"/>
      <c r="E589" s="4"/>
      <c r="F589" s="147"/>
      <c r="G589" s="4"/>
      <c r="H589" s="147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146"/>
      <c r="C590" s="146"/>
      <c r="D590" s="4"/>
      <c r="E590" s="4"/>
      <c r="F590" s="147"/>
      <c r="G590" s="4"/>
      <c r="H590" s="147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146"/>
      <c r="C591" s="146"/>
      <c r="D591" s="4"/>
      <c r="E591" s="4"/>
      <c r="F591" s="147"/>
      <c r="G591" s="4"/>
      <c r="H591" s="147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146"/>
      <c r="C592" s="146"/>
      <c r="D592" s="4"/>
      <c r="E592" s="4"/>
      <c r="F592" s="147"/>
      <c r="G592" s="4"/>
      <c r="H592" s="147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146"/>
      <c r="C593" s="146"/>
      <c r="D593" s="4"/>
      <c r="E593" s="4"/>
      <c r="F593" s="147"/>
      <c r="G593" s="4"/>
      <c r="H593" s="147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146"/>
      <c r="C594" s="146"/>
      <c r="D594" s="4"/>
      <c r="E594" s="4"/>
      <c r="F594" s="147"/>
      <c r="G594" s="4"/>
      <c r="H594" s="147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146"/>
      <c r="C595" s="146"/>
      <c r="D595" s="4"/>
      <c r="E595" s="4"/>
      <c r="F595" s="147"/>
      <c r="G595" s="4"/>
      <c r="H595" s="147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146"/>
      <c r="C596" s="146"/>
      <c r="D596" s="4"/>
      <c r="E596" s="4"/>
      <c r="F596" s="147"/>
      <c r="G596" s="4"/>
      <c r="H596" s="147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146"/>
      <c r="C597" s="146"/>
      <c r="D597" s="4"/>
      <c r="E597" s="4"/>
      <c r="F597" s="147"/>
      <c r="G597" s="4"/>
      <c r="H597" s="147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146"/>
      <c r="C598" s="146"/>
      <c r="D598" s="4"/>
      <c r="E598" s="4"/>
      <c r="F598" s="147"/>
      <c r="G598" s="4"/>
      <c r="H598" s="147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146"/>
      <c r="C599" s="146"/>
      <c r="D599" s="4"/>
      <c r="E599" s="4"/>
      <c r="F599" s="147"/>
      <c r="G599" s="4"/>
      <c r="H599" s="147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146"/>
      <c r="C600" s="146"/>
      <c r="D600" s="4"/>
      <c r="E600" s="4"/>
      <c r="F600" s="147"/>
      <c r="G600" s="4"/>
      <c r="H600" s="147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146"/>
      <c r="C601" s="146"/>
      <c r="D601" s="4"/>
      <c r="E601" s="4"/>
      <c r="F601" s="147"/>
      <c r="G601" s="4"/>
      <c r="H601" s="147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146"/>
      <c r="C602" s="146"/>
      <c r="D602" s="4"/>
      <c r="E602" s="4"/>
      <c r="F602" s="147"/>
      <c r="G602" s="4"/>
      <c r="H602" s="147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146"/>
      <c r="C603" s="146"/>
      <c r="D603" s="4"/>
      <c r="E603" s="4"/>
      <c r="F603" s="147"/>
      <c r="G603" s="4"/>
      <c r="H603" s="147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146"/>
      <c r="C604" s="146"/>
      <c r="D604" s="4"/>
      <c r="E604" s="4"/>
      <c r="F604" s="147"/>
      <c r="G604" s="4"/>
      <c r="H604" s="147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146"/>
      <c r="C605" s="146"/>
      <c r="D605" s="4"/>
      <c r="E605" s="4"/>
      <c r="F605" s="147"/>
      <c r="G605" s="4"/>
      <c r="H605" s="147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146"/>
      <c r="C606" s="146"/>
      <c r="D606" s="4"/>
      <c r="E606" s="4"/>
      <c r="F606" s="147"/>
      <c r="G606" s="4"/>
      <c r="H606" s="147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146"/>
      <c r="C607" s="146"/>
      <c r="D607" s="4"/>
      <c r="E607" s="4"/>
      <c r="F607" s="147"/>
      <c r="G607" s="4"/>
      <c r="H607" s="147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146"/>
      <c r="C608" s="146"/>
      <c r="D608" s="4"/>
      <c r="E608" s="4"/>
      <c r="F608" s="147"/>
      <c r="G608" s="4"/>
      <c r="H608" s="147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146"/>
      <c r="C609" s="146"/>
      <c r="D609" s="4"/>
      <c r="E609" s="4"/>
      <c r="F609" s="147"/>
      <c r="G609" s="4"/>
      <c r="H609" s="147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146"/>
      <c r="C610" s="146"/>
      <c r="D610" s="4"/>
      <c r="E610" s="4"/>
      <c r="F610" s="147"/>
      <c r="G610" s="4"/>
      <c r="H610" s="147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146"/>
      <c r="C611" s="146"/>
      <c r="D611" s="4"/>
      <c r="E611" s="4"/>
      <c r="F611" s="147"/>
      <c r="G611" s="4"/>
      <c r="H611" s="147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146"/>
      <c r="C612" s="146"/>
      <c r="D612" s="4"/>
      <c r="E612" s="4"/>
      <c r="F612" s="147"/>
      <c r="G612" s="4"/>
      <c r="H612" s="147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146"/>
      <c r="C613" s="146"/>
      <c r="D613" s="4"/>
      <c r="E613" s="4"/>
      <c r="F613" s="147"/>
      <c r="G613" s="4"/>
      <c r="H613" s="147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146"/>
      <c r="C614" s="146"/>
      <c r="D614" s="4"/>
      <c r="E614" s="4"/>
      <c r="F614" s="147"/>
      <c r="G614" s="4"/>
      <c r="H614" s="147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146"/>
      <c r="C615" s="146"/>
      <c r="D615" s="4"/>
      <c r="E615" s="4"/>
      <c r="F615" s="147"/>
      <c r="G615" s="4"/>
      <c r="H615" s="147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146"/>
      <c r="C616" s="146"/>
      <c r="D616" s="4"/>
      <c r="E616" s="4"/>
      <c r="F616" s="147"/>
      <c r="G616" s="4"/>
      <c r="H616" s="147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146"/>
      <c r="C617" s="146"/>
      <c r="D617" s="4"/>
      <c r="E617" s="4"/>
      <c r="F617" s="147"/>
      <c r="G617" s="4"/>
      <c r="H617" s="147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146"/>
      <c r="C618" s="146"/>
      <c r="D618" s="4"/>
      <c r="E618" s="4"/>
      <c r="F618" s="147"/>
      <c r="G618" s="4"/>
      <c r="H618" s="147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146"/>
      <c r="C619" s="146"/>
      <c r="D619" s="4"/>
      <c r="E619" s="4"/>
      <c r="F619" s="147"/>
      <c r="G619" s="4"/>
      <c r="H619" s="147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146"/>
      <c r="C620" s="146"/>
      <c r="D620" s="4"/>
      <c r="E620" s="4"/>
      <c r="F620" s="147"/>
      <c r="G620" s="4"/>
      <c r="H620" s="147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146"/>
      <c r="C621" s="146"/>
      <c r="D621" s="4"/>
      <c r="E621" s="4"/>
      <c r="F621" s="147"/>
      <c r="G621" s="4"/>
      <c r="H621" s="147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146"/>
      <c r="C622" s="146"/>
      <c r="D622" s="4"/>
      <c r="E622" s="4"/>
      <c r="F622" s="147"/>
      <c r="G622" s="4"/>
      <c r="H622" s="147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146"/>
      <c r="C623" s="146"/>
      <c r="D623" s="4"/>
      <c r="E623" s="4"/>
      <c r="F623" s="147"/>
      <c r="G623" s="4"/>
      <c r="H623" s="147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146"/>
      <c r="C624" s="146"/>
      <c r="D624" s="4"/>
      <c r="E624" s="4"/>
      <c r="F624" s="147"/>
      <c r="G624" s="4"/>
      <c r="H624" s="147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146"/>
      <c r="C625" s="146"/>
      <c r="D625" s="4"/>
      <c r="E625" s="4"/>
      <c r="F625" s="147"/>
      <c r="G625" s="4"/>
      <c r="H625" s="147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146"/>
      <c r="C626" s="146"/>
      <c r="D626" s="4"/>
      <c r="E626" s="4"/>
      <c r="F626" s="147"/>
      <c r="G626" s="4"/>
      <c r="H626" s="147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146"/>
      <c r="C627" s="146"/>
      <c r="D627" s="4"/>
      <c r="E627" s="4"/>
      <c r="F627" s="147"/>
      <c r="G627" s="4"/>
      <c r="H627" s="147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146"/>
      <c r="C628" s="146"/>
      <c r="D628" s="4"/>
      <c r="E628" s="4"/>
      <c r="F628" s="147"/>
      <c r="G628" s="4"/>
      <c r="H628" s="147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146"/>
      <c r="C629" s="146"/>
      <c r="D629" s="4"/>
      <c r="E629" s="4"/>
      <c r="F629" s="147"/>
      <c r="G629" s="4"/>
      <c r="H629" s="147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146"/>
      <c r="C630" s="146"/>
      <c r="D630" s="4"/>
      <c r="E630" s="4"/>
      <c r="F630" s="147"/>
      <c r="G630" s="4"/>
      <c r="H630" s="147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146"/>
      <c r="C631" s="146"/>
      <c r="D631" s="4"/>
      <c r="E631" s="4"/>
      <c r="F631" s="147"/>
      <c r="G631" s="4"/>
      <c r="H631" s="147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146"/>
      <c r="C632" s="146"/>
      <c r="D632" s="4"/>
      <c r="E632" s="4"/>
      <c r="F632" s="147"/>
      <c r="G632" s="4"/>
      <c r="H632" s="147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146"/>
      <c r="C633" s="146"/>
      <c r="D633" s="4"/>
      <c r="E633" s="4"/>
      <c r="F633" s="147"/>
      <c r="G633" s="4"/>
      <c r="H633" s="147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146"/>
      <c r="C634" s="146"/>
      <c r="D634" s="4"/>
      <c r="E634" s="4"/>
      <c r="F634" s="147"/>
      <c r="G634" s="4"/>
      <c r="H634" s="147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146"/>
      <c r="C635" s="146"/>
      <c r="D635" s="4"/>
      <c r="E635" s="4"/>
      <c r="F635" s="147"/>
      <c r="G635" s="4"/>
      <c r="H635" s="147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146"/>
      <c r="C636" s="146"/>
      <c r="D636" s="4"/>
      <c r="E636" s="4"/>
      <c r="F636" s="147"/>
      <c r="G636" s="4"/>
      <c r="H636" s="147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146"/>
      <c r="C637" s="146"/>
      <c r="D637" s="4"/>
      <c r="E637" s="4"/>
      <c r="F637" s="147"/>
      <c r="G637" s="4"/>
      <c r="H637" s="147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146"/>
      <c r="C638" s="146"/>
      <c r="D638" s="4"/>
      <c r="E638" s="4"/>
      <c r="F638" s="147"/>
      <c r="G638" s="4"/>
      <c r="H638" s="147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146"/>
      <c r="C639" s="146"/>
      <c r="D639" s="4"/>
      <c r="E639" s="4"/>
      <c r="F639" s="147"/>
      <c r="G639" s="4"/>
      <c r="H639" s="147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146"/>
      <c r="C640" s="146"/>
      <c r="D640" s="4"/>
      <c r="E640" s="4"/>
      <c r="F640" s="147"/>
      <c r="G640" s="4"/>
      <c r="H640" s="147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146"/>
      <c r="C641" s="146"/>
      <c r="D641" s="4"/>
      <c r="E641" s="4"/>
      <c r="F641" s="147"/>
      <c r="G641" s="4"/>
      <c r="H641" s="147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146"/>
      <c r="C642" s="146"/>
      <c r="D642" s="4"/>
      <c r="E642" s="4"/>
      <c r="F642" s="147"/>
      <c r="G642" s="4"/>
      <c r="H642" s="147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146"/>
      <c r="C643" s="146"/>
      <c r="D643" s="4"/>
      <c r="E643" s="4"/>
      <c r="F643" s="147"/>
      <c r="G643" s="4"/>
      <c r="H643" s="147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146"/>
      <c r="C644" s="146"/>
      <c r="D644" s="4"/>
      <c r="E644" s="4"/>
      <c r="F644" s="147"/>
      <c r="G644" s="4"/>
      <c r="H644" s="147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146"/>
      <c r="C645" s="146"/>
      <c r="D645" s="4"/>
      <c r="E645" s="4"/>
      <c r="F645" s="147"/>
      <c r="G645" s="4"/>
      <c r="H645" s="147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146"/>
      <c r="C646" s="146"/>
      <c r="D646" s="4"/>
      <c r="E646" s="4"/>
      <c r="F646" s="147"/>
      <c r="G646" s="4"/>
      <c r="H646" s="147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146"/>
      <c r="C647" s="146"/>
      <c r="D647" s="4"/>
      <c r="E647" s="4"/>
      <c r="F647" s="147"/>
      <c r="G647" s="4"/>
      <c r="H647" s="147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146"/>
      <c r="C648" s="146"/>
      <c r="D648" s="4"/>
      <c r="E648" s="4"/>
      <c r="F648" s="147"/>
      <c r="G648" s="4"/>
      <c r="H648" s="147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146"/>
      <c r="C649" s="146"/>
      <c r="D649" s="4"/>
      <c r="E649" s="4"/>
      <c r="F649" s="147"/>
      <c r="G649" s="4"/>
      <c r="H649" s="147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146"/>
      <c r="C650" s="146"/>
      <c r="D650" s="4"/>
      <c r="E650" s="4"/>
      <c r="F650" s="147"/>
      <c r="G650" s="4"/>
      <c r="H650" s="147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146"/>
      <c r="C651" s="146"/>
      <c r="D651" s="4"/>
      <c r="E651" s="4"/>
      <c r="F651" s="147"/>
      <c r="G651" s="4"/>
      <c r="H651" s="147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146"/>
      <c r="C652" s="146"/>
      <c r="D652" s="4"/>
      <c r="E652" s="4"/>
      <c r="F652" s="147"/>
      <c r="G652" s="4"/>
      <c r="H652" s="147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146"/>
      <c r="C653" s="146"/>
      <c r="D653" s="4"/>
      <c r="E653" s="4"/>
      <c r="F653" s="147"/>
      <c r="G653" s="4"/>
      <c r="H653" s="147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146"/>
      <c r="C654" s="146"/>
      <c r="D654" s="4"/>
      <c r="E654" s="4"/>
      <c r="F654" s="147"/>
      <c r="G654" s="4"/>
      <c r="H654" s="147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146"/>
      <c r="C655" s="146"/>
      <c r="D655" s="4"/>
      <c r="E655" s="4"/>
      <c r="F655" s="147"/>
      <c r="G655" s="4"/>
      <c r="H655" s="147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146"/>
      <c r="C656" s="146"/>
      <c r="D656" s="4"/>
      <c r="E656" s="4"/>
      <c r="F656" s="147"/>
      <c r="G656" s="4"/>
      <c r="H656" s="147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146"/>
      <c r="C657" s="146"/>
      <c r="D657" s="4"/>
      <c r="E657" s="4"/>
      <c r="F657" s="147"/>
      <c r="G657" s="4"/>
      <c r="H657" s="147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146"/>
      <c r="C658" s="146"/>
      <c r="D658" s="4"/>
      <c r="E658" s="4"/>
      <c r="F658" s="147"/>
      <c r="G658" s="4"/>
      <c r="H658" s="147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146"/>
      <c r="C659" s="146"/>
      <c r="D659" s="4"/>
      <c r="E659" s="4"/>
      <c r="F659" s="147"/>
      <c r="G659" s="4"/>
      <c r="H659" s="147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146"/>
      <c r="C660" s="146"/>
      <c r="D660" s="4"/>
      <c r="E660" s="4"/>
      <c r="F660" s="147"/>
      <c r="G660" s="4"/>
      <c r="H660" s="147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146"/>
      <c r="C661" s="146"/>
      <c r="D661" s="4"/>
      <c r="E661" s="4"/>
      <c r="F661" s="147"/>
      <c r="G661" s="4"/>
      <c r="H661" s="147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146"/>
      <c r="C662" s="146"/>
      <c r="D662" s="4"/>
      <c r="E662" s="4"/>
      <c r="F662" s="147"/>
      <c r="G662" s="4"/>
      <c r="H662" s="147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146"/>
      <c r="C663" s="146"/>
      <c r="D663" s="4"/>
      <c r="E663" s="4"/>
      <c r="F663" s="147"/>
      <c r="G663" s="4"/>
      <c r="H663" s="147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146"/>
      <c r="C664" s="146"/>
      <c r="D664" s="4"/>
      <c r="E664" s="4"/>
      <c r="F664" s="147"/>
      <c r="G664" s="4"/>
      <c r="H664" s="147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146"/>
      <c r="C665" s="146"/>
      <c r="D665" s="4"/>
      <c r="E665" s="4"/>
      <c r="F665" s="147"/>
      <c r="G665" s="4"/>
      <c r="H665" s="147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146"/>
      <c r="C666" s="146"/>
      <c r="D666" s="4"/>
      <c r="E666" s="4"/>
      <c r="F666" s="147"/>
      <c r="G666" s="4"/>
      <c r="H666" s="147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146"/>
      <c r="C667" s="146"/>
      <c r="D667" s="4"/>
      <c r="E667" s="4"/>
      <c r="F667" s="147"/>
      <c r="G667" s="4"/>
      <c r="H667" s="147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146"/>
      <c r="C668" s="146"/>
      <c r="D668" s="4"/>
      <c r="E668" s="4"/>
      <c r="F668" s="147"/>
      <c r="G668" s="4"/>
      <c r="H668" s="147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146"/>
      <c r="C669" s="146"/>
      <c r="D669" s="4"/>
      <c r="E669" s="4"/>
      <c r="F669" s="147"/>
      <c r="G669" s="4"/>
      <c r="H669" s="147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146"/>
      <c r="C670" s="146"/>
      <c r="D670" s="4"/>
      <c r="E670" s="4"/>
      <c r="F670" s="147"/>
      <c r="G670" s="4"/>
      <c r="H670" s="147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146"/>
      <c r="C671" s="146"/>
      <c r="D671" s="4"/>
      <c r="E671" s="4"/>
      <c r="F671" s="147"/>
      <c r="G671" s="4"/>
      <c r="H671" s="147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146"/>
      <c r="C672" s="146"/>
      <c r="D672" s="4"/>
      <c r="E672" s="4"/>
      <c r="F672" s="147"/>
      <c r="G672" s="4"/>
      <c r="H672" s="147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146"/>
      <c r="C673" s="146"/>
      <c r="D673" s="4"/>
      <c r="E673" s="4"/>
      <c r="F673" s="147"/>
      <c r="G673" s="4"/>
      <c r="H673" s="147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146"/>
      <c r="C674" s="146"/>
      <c r="D674" s="4"/>
      <c r="E674" s="4"/>
      <c r="F674" s="147"/>
      <c r="G674" s="4"/>
      <c r="H674" s="147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146"/>
      <c r="C675" s="146"/>
      <c r="D675" s="4"/>
      <c r="E675" s="4"/>
      <c r="F675" s="147"/>
      <c r="G675" s="4"/>
      <c r="H675" s="147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146"/>
      <c r="C676" s="146"/>
      <c r="D676" s="4"/>
      <c r="E676" s="4"/>
      <c r="F676" s="147"/>
      <c r="G676" s="4"/>
      <c r="H676" s="147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146"/>
      <c r="C677" s="146"/>
      <c r="D677" s="4"/>
      <c r="E677" s="4"/>
      <c r="F677" s="147"/>
      <c r="G677" s="4"/>
      <c r="H677" s="147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146"/>
      <c r="C678" s="146"/>
      <c r="D678" s="4"/>
      <c r="E678" s="4"/>
      <c r="F678" s="147"/>
      <c r="G678" s="4"/>
      <c r="H678" s="147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146"/>
      <c r="C679" s="146"/>
      <c r="D679" s="4"/>
      <c r="E679" s="4"/>
      <c r="F679" s="147"/>
      <c r="G679" s="4"/>
      <c r="H679" s="147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146"/>
      <c r="C680" s="146"/>
      <c r="D680" s="4"/>
      <c r="E680" s="4"/>
      <c r="F680" s="147"/>
      <c r="G680" s="4"/>
      <c r="H680" s="147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146"/>
      <c r="C681" s="146"/>
      <c r="D681" s="4"/>
      <c r="E681" s="4"/>
      <c r="F681" s="147"/>
      <c r="G681" s="4"/>
      <c r="H681" s="147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146"/>
      <c r="C682" s="146"/>
      <c r="D682" s="4"/>
      <c r="E682" s="4"/>
      <c r="F682" s="147"/>
      <c r="G682" s="4"/>
      <c r="H682" s="147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146"/>
      <c r="C683" s="146"/>
      <c r="D683" s="4"/>
      <c r="E683" s="4"/>
      <c r="F683" s="147"/>
      <c r="G683" s="4"/>
      <c r="H683" s="147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146"/>
      <c r="C684" s="146"/>
      <c r="D684" s="4"/>
      <c r="E684" s="4"/>
      <c r="F684" s="147"/>
      <c r="G684" s="4"/>
      <c r="H684" s="147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146"/>
      <c r="C685" s="146"/>
      <c r="D685" s="4"/>
      <c r="E685" s="4"/>
      <c r="F685" s="147"/>
      <c r="G685" s="4"/>
      <c r="H685" s="147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146"/>
      <c r="C686" s="146"/>
      <c r="D686" s="4"/>
      <c r="E686" s="4"/>
      <c r="F686" s="147"/>
      <c r="G686" s="4"/>
      <c r="H686" s="147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146"/>
      <c r="C687" s="146"/>
      <c r="D687" s="4"/>
      <c r="E687" s="4"/>
      <c r="F687" s="147"/>
      <c r="G687" s="4"/>
      <c r="H687" s="147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146"/>
      <c r="C688" s="146"/>
      <c r="D688" s="4"/>
      <c r="E688" s="4"/>
      <c r="F688" s="147"/>
      <c r="G688" s="4"/>
      <c r="H688" s="147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146"/>
      <c r="C689" s="146"/>
      <c r="D689" s="4"/>
      <c r="E689" s="4"/>
      <c r="F689" s="147"/>
      <c r="G689" s="4"/>
      <c r="H689" s="147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146"/>
      <c r="C690" s="146"/>
      <c r="D690" s="4"/>
      <c r="E690" s="4"/>
      <c r="F690" s="147"/>
      <c r="G690" s="4"/>
      <c r="H690" s="147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146"/>
      <c r="C691" s="146"/>
      <c r="D691" s="4"/>
      <c r="E691" s="4"/>
      <c r="F691" s="147"/>
      <c r="G691" s="4"/>
      <c r="H691" s="147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146"/>
      <c r="C692" s="146"/>
      <c r="D692" s="4"/>
      <c r="E692" s="4"/>
      <c r="F692" s="147"/>
      <c r="G692" s="4"/>
      <c r="H692" s="147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146"/>
      <c r="C693" s="146"/>
      <c r="D693" s="4"/>
      <c r="E693" s="4"/>
      <c r="F693" s="147"/>
      <c r="G693" s="4"/>
      <c r="H693" s="147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146"/>
      <c r="C694" s="146"/>
      <c r="D694" s="4"/>
      <c r="E694" s="4"/>
      <c r="F694" s="147"/>
      <c r="G694" s="4"/>
      <c r="H694" s="147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146"/>
      <c r="C695" s="146"/>
      <c r="D695" s="4"/>
      <c r="E695" s="4"/>
      <c r="F695" s="147"/>
      <c r="G695" s="4"/>
      <c r="H695" s="147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146"/>
      <c r="C696" s="146"/>
      <c r="D696" s="4"/>
      <c r="E696" s="4"/>
      <c r="F696" s="147"/>
      <c r="G696" s="4"/>
      <c r="H696" s="147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146"/>
      <c r="C697" s="146"/>
      <c r="D697" s="4"/>
      <c r="E697" s="4"/>
      <c r="F697" s="147"/>
      <c r="G697" s="4"/>
      <c r="H697" s="147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146"/>
      <c r="C698" s="146"/>
      <c r="D698" s="4"/>
      <c r="E698" s="4"/>
      <c r="F698" s="147"/>
      <c r="G698" s="4"/>
      <c r="H698" s="147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146"/>
      <c r="C699" s="146"/>
      <c r="D699" s="4"/>
      <c r="E699" s="4"/>
      <c r="F699" s="147"/>
      <c r="G699" s="4"/>
      <c r="H699" s="147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146"/>
      <c r="C700" s="146"/>
      <c r="D700" s="4"/>
      <c r="E700" s="4"/>
      <c r="F700" s="147"/>
      <c r="G700" s="4"/>
      <c r="H700" s="147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146"/>
      <c r="C701" s="146"/>
      <c r="D701" s="4"/>
      <c r="E701" s="4"/>
      <c r="F701" s="147"/>
      <c r="G701" s="4"/>
      <c r="H701" s="147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146"/>
      <c r="C702" s="146"/>
      <c r="D702" s="4"/>
      <c r="E702" s="4"/>
      <c r="F702" s="147"/>
      <c r="G702" s="4"/>
      <c r="H702" s="147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146"/>
      <c r="C703" s="146"/>
      <c r="D703" s="4"/>
      <c r="E703" s="4"/>
      <c r="F703" s="147"/>
      <c r="G703" s="4"/>
      <c r="H703" s="147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146"/>
      <c r="C704" s="146"/>
      <c r="D704" s="4"/>
      <c r="E704" s="4"/>
      <c r="F704" s="147"/>
      <c r="G704" s="4"/>
      <c r="H704" s="147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146"/>
      <c r="C705" s="146"/>
      <c r="D705" s="4"/>
      <c r="E705" s="4"/>
      <c r="F705" s="147"/>
      <c r="G705" s="4"/>
      <c r="H705" s="147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146"/>
      <c r="C706" s="146"/>
      <c r="D706" s="4"/>
      <c r="E706" s="4"/>
      <c r="F706" s="147"/>
      <c r="G706" s="4"/>
      <c r="H706" s="147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146"/>
      <c r="C707" s="146"/>
      <c r="D707" s="4"/>
      <c r="E707" s="4"/>
      <c r="F707" s="147"/>
      <c r="G707" s="4"/>
      <c r="H707" s="147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146"/>
      <c r="C708" s="146"/>
      <c r="D708" s="4"/>
      <c r="E708" s="4"/>
      <c r="F708" s="147"/>
      <c r="G708" s="4"/>
      <c r="H708" s="147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146"/>
      <c r="C709" s="146"/>
      <c r="D709" s="4"/>
      <c r="E709" s="4"/>
      <c r="F709" s="147"/>
      <c r="G709" s="4"/>
      <c r="H709" s="147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146"/>
      <c r="C710" s="146"/>
      <c r="D710" s="4"/>
      <c r="E710" s="4"/>
      <c r="F710" s="147"/>
      <c r="G710" s="4"/>
      <c r="H710" s="147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146"/>
      <c r="C711" s="146"/>
      <c r="D711" s="4"/>
      <c r="E711" s="4"/>
      <c r="F711" s="147"/>
      <c r="G711" s="4"/>
      <c r="H711" s="147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146"/>
      <c r="C712" s="146"/>
      <c r="D712" s="4"/>
      <c r="E712" s="4"/>
      <c r="F712" s="147"/>
      <c r="G712" s="4"/>
      <c r="H712" s="147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146"/>
      <c r="C713" s="146"/>
      <c r="D713" s="4"/>
      <c r="E713" s="4"/>
      <c r="F713" s="147"/>
      <c r="G713" s="4"/>
      <c r="H713" s="147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146"/>
      <c r="C714" s="146"/>
      <c r="D714" s="4"/>
      <c r="E714" s="4"/>
      <c r="F714" s="147"/>
      <c r="G714" s="4"/>
      <c r="H714" s="147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146"/>
      <c r="C715" s="146"/>
      <c r="D715" s="4"/>
      <c r="E715" s="4"/>
      <c r="F715" s="147"/>
      <c r="G715" s="4"/>
      <c r="H715" s="147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146"/>
      <c r="C716" s="146"/>
      <c r="D716" s="4"/>
      <c r="E716" s="4"/>
      <c r="F716" s="147"/>
      <c r="G716" s="4"/>
      <c r="H716" s="147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146"/>
      <c r="C717" s="146"/>
      <c r="D717" s="4"/>
      <c r="E717" s="4"/>
      <c r="F717" s="147"/>
      <c r="G717" s="4"/>
      <c r="H717" s="147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146"/>
      <c r="C718" s="146"/>
      <c r="D718" s="4"/>
      <c r="E718" s="4"/>
      <c r="F718" s="147"/>
      <c r="G718" s="4"/>
      <c r="H718" s="147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146"/>
      <c r="C719" s="146"/>
      <c r="D719" s="4"/>
      <c r="E719" s="4"/>
      <c r="F719" s="147"/>
      <c r="G719" s="4"/>
      <c r="H719" s="147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146"/>
      <c r="C720" s="146"/>
      <c r="D720" s="4"/>
      <c r="E720" s="4"/>
      <c r="F720" s="147"/>
      <c r="G720" s="4"/>
      <c r="H720" s="147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146"/>
      <c r="C721" s="146"/>
      <c r="D721" s="4"/>
      <c r="E721" s="4"/>
      <c r="F721" s="147"/>
      <c r="G721" s="4"/>
      <c r="H721" s="147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146"/>
      <c r="C722" s="146"/>
      <c r="D722" s="4"/>
      <c r="E722" s="4"/>
      <c r="F722" s="147"/>
      <c r="G722" s="4"/>
      <c r="H722" s="147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146"/>
      <c r="C723" s="146"/>
      <c r="D723" s="4"/>
      <c r="E723" s="4"/>
      <c r="F723" s="147"/>
      <c r="G723" s="4"/>
      <c r="H723" s="147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146"/>
      <c r="C724" s="146"/>
      <c r="D724" s="4"/>
      <c r="E724" s="4"/>
      <c r="F724" s="147"/>
      <c r="G724" s="4"/>
      <c r="H724" s="147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146"/>
      <c r="C725" s="146"/>
      <c r="D725" s="4"/>
      <c r="E725" s="4"/>
      <c r="F725" s="147"/>
      <c r="G725" s="4"/>
      <c r="H725" s="147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146"/>
      <c r="C726" s="146"/>
      <c r="D726" s="4"/>
      <c r="E726" s="4"/>
      <c r="F726" s="147"/>
      <c r="G726" s="4"/>
      <c r="H726" s="147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146"/>
      <c r="C727" s="146"/>
      <c r="D727" s="4"/>
      <c r="E727" s="4"/>
      <c r="F727" s="147"/>
      <c r="G727" s="4"/>
      <c r="H727" s="147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146"/>
      <c r="C728" s="146"/>
      <c r="D728" s="4"/>
      <c r="E728" s="4"/>
      <c r="F728" s="147"/>
      <c r="G728" s="4"/>
      <c r="H728" s="147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146"/>
      <c r="C729" s="146"/>
      <c r="D729" s="4"/>
      <c r="E729" s="4"/>
      <c r="F729" s="147"/>
      <c r="G729" s="4"/>
      <c r="H729" s="147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146"/>
      <c r="C730" s="146"/>
      <c r="D730" s="4"/>
      <c r="E730" s="4"/>
      <c r="F730" s="147"/>
      <c r="G730" s="4"/>
      <c r="H730" s="147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146"/>
      <c r="C731" s="146"/>
      <c r="D731" s="4"/>
      <c r="E731" s="4"/>
      <c r="F731" s="147"/>
      <c r="G731" s="4"/>
      <c r="H731" s="147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146"/>
      <c r="C732" s="146"/>
      <c r="D732" s="4"/>
      <c r="E732" s="4"/>
      <c r="F732" s="147"/>
      <c r="G732" s="4"/>
      <c r="H732" s="147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146"/>
      <c r="C733" s="146"/>
      <c r="D733" s="4"/>
      <c r="E733" s="4"/>
      <c r="F733" s="147"/>
      <c r="G733" s="4"/>
      <c r="H733" s="147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146"/>
      <c r="C734" s="146"/>
      <c r="D734" s="4"/>
      <c r="E734" s="4"/>
      <c r="F734" s="147"/>
      <c r="G734" s="4"/>
      <c r="H734" s="147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146"/>
      <c r="C735" s="146"/>
      <c r="D735" s="4"/>
      <c r="E735" s="4"/>
      <c r="F735" s="147"/>
      <c r="G735" s="4"/>
      <c r="H735" s="147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146"/>
      <c r="C736" s="146"/>
      <c r="D736" s="4"/>
      <c r="E736" s="4"/>
      <c r="F736" s="147"/>
      <c r="G736" s="4"/>
      <c r="H736" s="147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146"/>
      <c r="C737" s="146"/>
      <c r="D737" s="4"/>
      <c r="E737" s="4"/>
      <c r="F737" s="147"/>
      <c r="G737" s="4"/>
      <c r="H737" s="147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146"/>
      <c r="C738" s="146"/>
      <c r="D738" s="4"/>
      <c r="E738" s="4"/>
      <c r="F738" s="147"/>
      <c r="G738" s="4"/>
      <c r="H738" s="147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146"/>
      <c r="C739" s="146"/>
      <c r="D739" s="4"/>
      <c r="E739" s="4"/>
      <c r="F739" s="147"/>
      <c r="G739" s="4"/>
      <c r="H739" s="147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146"/>
      <c r="C740" s="146"/>
      <c r="D740" s="4"/>
      <c r="E740" s="4"/>
      <c r="F740" s="147"/>
      <c r="G740" s="4"/>
      <c r="H740" s="147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146"/>
      <c r="C741" s="146"/>
      <c r="D741" s="4"/>
      <c r="E741" s="4"/>
      <c r="F741" s="147"/>
      <c r="G741" s="4"/>
      <c r="H741" s="147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146"/>
      <c r="C742" s="146"/>
      <c r="D742" s="4"/>
      <c r="E742" s="4"/>
      <c r="F742" s="147"/>
      <c r="G742" s="4"/>
      <c r="H742" s="147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146"/>
      <c r="C743" s="146"/>
      <c r="D743" s="4"/>
      <c r="E743" s="4"/>
      <c r="F743" s="147"/>
      <c r="G743" s="4"/>
      <c r="H743" s="147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146"/>
      <c r="C744" s="146"/>
      <c r="D744" s="4"/>
      <c r="E744" s="4"/>
      <c r="F744" s="147"/>
      <c r="G744" s="4"/>
      <c r="H744" s="147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146"/>
      <c r="C745" s="146"/>
      <c r="D745" s="4"/>
      <c r="E745" s="4"/>
      <c r="F745" s="147"/>
      <c r="G745" s="4"/>
      <c r="H745" s="147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146"/>
      <c r="C746" s="146"/>
      <c r="D746" s="4"/>
      <c r="E746" s="4"/>
      <c r="F746" s="147"/>
      <c r="G746" s="4"/>
      <c r="H746" s="147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146"/>
      <c r="C747" s="146"/>
      <c r="D747" s="4"/>
      <c r="E747" s="4"/>
      <c r="F747" s="147"/>
      <c r="G747" s="4"/>
      <c r="H747" s="147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146"/>
      <c r="C748" s="146"/>
      <c r="D748" s="4"/>
      <c r="E748" s="4"/>
      <c r="F748" s="147"/>
      <c r="G748" s="4"/>
      <c r="H748" s="147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146"/>
      <c r="C749" s="146"/>
      <c r="D749" s="4"/>
      <c r="E749" s="4"/>
      <c r="F749" s="147"/>
      <c r="G749" s="4"/>
      <c r="H749" s="147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146"/>
      <c r="C750" s="146"/>
      <c r="D750" s="4"/>
      <c r="E750" s="4"/>
      <c r="F750" s="147"/>
      <c r="G750" s="4"/>
      <c r="H750" s="147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146"/>
      <c r="C751" s="146"/>
      <c r="D751" s="4"/>
      <c r="E751" s="4"/>
      <c r="F751" s="147"/>
      <c r="G751" s="4"/>
      <c r="H751" s="147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146"/>
      <c r="C752" s="146"/>
      <c r="D752" s="4"/>
      <c r="E752" s="4"/>
      <c r="F752" s="147"/>
      <c r="G752" s="4"/>
      <c r="H752" s="147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146"/>
      <c r="C753" s="146"/>
      <c r="D753" s="4"/>
      <c r="E753" s="4"/>
      <c r="F753" s="147"/>
      <c r="G753" s="4"/>
      <c r="H753" s="147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146"/>
      <c r="C754" s="146"/>
      <c r="D754" s="4"/>
      <c r="E754" s="4"/>
      <c r="F754" s="147"/>
      <c r="G754" s="4"/>
      <c r="H754" s="147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146"/>
      <c r="C755" s="146"/>
      <c r="D755" s="4"/>
      <c r="E755" s="4"/>
      <c r="F755" s="147"/>
      <c r="G755" s="4"/>
      <c r="H755" s="147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146"/>
      <c r="C756" s="146"/>
      <c r="D756" s="4"/>
      <c r="E756" s="4"/>
      <c r="F756" s="147"/>
      <c r="G756" s="4"/>
      <c r="H756" s="147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146"/>
      <c r="C757" s="146"/>
      <c r="D757" s="4"/>
      <c r="E757" s="4"/>
      <c r="F757" s="147"/>
      <c r="G757" s="4"/>
      <c r="H757" s="147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146"/>
      <c r="C758" s="146"/>
      <c r="D758" s="4"/>
      <c r="E758" s="4"/>
      <c r="F758" s="147"/>
      <c r="G758" s="4"/>
      <c r="H758" s="147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146"/>
      <c r="C759" s="146"/>
      <c r="D759" s="4"/>
      <c r="E759" s="4"/>
      <c r="F759" s="147"/>
      <c r="G759" s="4"/>
      <c r="H759" s="147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146"/>
      <c r="C760" s="146"/>
      <c r="D760" s="4"/>
      <c r="E760" s="4"/>
      <c r="F760" s="147"/>
      <c r="G760" s="4"/>
      <c r="H760" s="147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146"/>
      <c r="C761" s="146"/>
      <c r="D761" s="4"/>
      <c r="E761" s="4"/>
      <c r="F761" s="147"/>
      <c r="G761" s="4"/>
      <c r="H761" s="147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146"/>
      <c r="C762" s="146"/>
      <c r="D762" s="4"/>
      <c r="E762" s="4"/>
      <c r="F762" s="147"/>
      <c r="G762" s="4"/>
      <c r="H762" s="147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146"/>
      <c r="C763" s="146"/>
      <c r="D763" s="4"/>
      <c r="E763" s="4"/>
      <c r="F763" s="147"/>
      <c r="G763" s="4"/>
      <c r="H763" s="147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146"/>
      <c r="C764" s="146"/>
      <c r="D764" s="4"/>
      <c r="E764" s="4"/>
      <c r="F764" s="147"/>
      <c r="G764" s="4"/>
      <c r="H764" s="147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146"/>
      <c r="C765" s="146"/>
      <c r="D765" s="4"/>
      <c r="E765" s="4"/>
      <c r="F765" s="147"/>
      <c r="G765" s="4"/>
      <c r="H765" s="147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146"/>
      <c r="C766" s="146"/>
      <c r="D766" s="4"/>
      <c r="E766" s="4"/>
      <c r="F766" s="147"/>
      <c r="G766" s="4"/>
      <c r="H766" s="147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146"/>
      <c r="C767" s="146"/>
      <c r="D767" s="4"/>
      <c r="E767" s="4"/>
      <c r="F767" s="147"/>
      <c r="G767" s="4"/>
      <c r="H767" s="147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146"/>
      <c r="C768" s="146"/>
      <c r="D768" s="4"/>
      <c r="E768" s="4"/>
      <c r="F768" s="147"/>
      <c r="G768" s="4"/>
      <c r="H768" s="147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146"/>
      <c r="C769" s="146"/>
      <c r="D769" s="4"/>
      <c r="E769" s="4"/>
      <c r="F769" s="147"/>
      <c r="G769" s="4"/>
      <c r="H769" s="147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146"/>
      <c r="C770" s="146"/>
      <c r="D770" s="4"/>
      <c r="E770" s="4"/>
      <c r="F770" s="147"/>
      <c r="G770" s="4"/>
      <c r="H770" s="147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146"/>
      <c r="C771" s="146"/>
      <c r="D771" s="4"/>
      <c r="E771" s="4"/>
      <c r="F771" s="147"/>
      <c r="G771" s="4"/>
      <c r="H771" s="147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146"/>
      <c r="C772" s="146"/>
      <c r="D772" s="4"/>
      <c r="E772" s="4"/>
      <c r="F772" s="147"/>
      <c r="G772" s="4"/>
      <c r="H772" s="147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146"/>
      <c r="C773" s="146"/>
      <c r="D773" s="4"/>
      <c r="E773" s="4"/>
      <c r="F773" s="147"/>
      <c r="G773" s="4"/>
      <c r="H773" s="147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146"/>
      <c r="C774" s="146"/>
      <c r="D774" s="4"/>
      <c r="E774" s="4"/>
      <c r="F774" s="147"/>
      <c r="G774" s="4"/>
      <c r="H774" s="147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146"/>
      <c r="C775" s="146"/>
      <c r="D775" s="4"/>
      <c r="E775" s="4"/>
      <c r="F775" s="147"/>
      <c r="G775" s="4"/>
      <c r="H775" s="147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146"/>
      <c r="C776" s="146"/>
      <c r="D776" s="4"/>
      <c r="E776" s="4"/>
      <c r="F776" s="147"/>
      <c r="G776" s="4"/>
      <c r="H776" s="147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146"/>
      <c r="C777" s="146"/>
      <c r="D777" s="4"/>
      <c r="E777" s="4"/>
      <c r="F777" s="147"/>
      <c r="G777" s="4"/>
      <c r="H777" s="147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146"/>
      <c r="C778" s="146"/>
      <c r="D778" s="4"/>
      <c r="E778" s="4"/>
      <c r="F778" s="147"/>
      <c r="G778" s="4"/>
      <c r="H778" s="147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146"/>
      <c r="C779" s="146"/>
      <c r="D779" s="4"/>
      <c r="E779" s="4"/>
      <c r="F779" s="147"/>
      <c r="G779" s="4"/>
      <c r="H779" s="147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146"/>
      <c r="C780" s="146"/>
      <c r="D780" s="4"/>
      <c r="E780" s="4"/>
      <c r="F780" s="147"/>
      <c r="G780" s="4"/>
      <c r="H780" s="147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146"/>
      <c r="C781" s="146"/>
      <c r="D781" s="4"/>
      <c r="E781" s="4"/>
      <c r="F781" s="147"/>
      <c r="G781" s="4"/>
      <c r="H781" s="147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146"/>
      <c r="C782" s="146"/>
      <c r="D782" s="4"/>
      <c r="E782" s="4"/>
      <c r="F782" s="147"/>
      <c r="G782" s="4"/>
      <c r="H782" s="147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146"/>
      <c r="C783" s="146"/>
      <c r="D783" s="4"/>
      <c r="E783" s="4"/>
      <c r="F783" s="147"/>
      <c r="G783" s="4"/>
      <c r="H783" s="147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146"/>
      <c r="C784" s="146"/>
      <c r="D784" s="4"/>
      <c r="E784" s="4"/>
      <c r="F784" s="147"/>
      <c r="G784" s="4"/>
      <c r="H784" s="147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146"/>
      <c r="C785" s="146"/>
      <c r="D785" s="4"/>
      <c r="E785" s="4"/>
      <c r="F785" s="147"/>
      <c r="G785" s="4"/>
      <c r="H785" s="147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146"/>
      <c r="C786" s="146"/>
      <c r="D786" s="4"/>
      <c r="E786" s="4"/>
      <c r="F786" s="147"/>
      <c r="G786" s="4"/>
      <c r="H786" s="147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146"/>
      <c r="C787" s="146"/>
      <c r="D787" s="4"/>
      <c r="E787" s="4"/>
      <c r="F787" s="147"/>
      <c r="G787" s="4"/>
      <c r="H787" s="147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146"/>
      <c r="C788" s="146"/>
      <c r="D788" s="4"/>
      <c r="E788" s="4"/>
      <c r="F788" s="147"/>
      <c r="G788" s="4"/>
      <c r="H788" s="147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146"/>
      <c r="C789" s="146"/>
      <c r="D789" s="4"/>
      <c r="E789" s="4"/>
      <c r="F789" s="147"/>
      <c r="G789" s="4"/>
      <c r="H789" s="147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146"/>
      <c r="C790" s="146"/>
      <c r="D790" s="4"/>
      <c r="E790" s="4"/>
      <c r="F790" s="147"/>
      <c r="G790" s="4"/>
      <c r="H790" s="147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146"/>
      <c r="C791" s="146"/>
      <c r="D791" s="4"/>
      <c r="E791" s="4"/>
      <c r="F791" s="147"/>
      <c r="G791" s="4"/>
      <c r="H791" s="147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146"/>
      <c r="C792" s="146"/>
      <c r="D792" s="4"/>
      <c r="E792" s="4"/>
      <c r="F792" s="147"/>
      <c r="G792" s="4"/>
      <c r="H792" s="147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146"/>
      <c r="C793" s="146"/>
      <c r="D793" s="4"/>
      <c r="E793" s="4"/>
      <c r="F793" s="147"/>
      <c r="G793" s="4"/>
      <c r="H793" s="14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146"/>
      <c r="C794" s="146"/>
      <c r="D794" s="4"/>
      <c r="E794" s="4"/>
      <c r="F794" s="147"/>
      <c r="G794" s="4"/>
      <c r="H794" s="14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146"/>
      <c r="C795" s="146"/>
      <c r="D795" s="4"/>
      <c r="E795" s="4"/>
      <c r="F795" s="147"/>
      <c r="G795" s="4"/>
      <c r="H795" s="14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146"/>
      <c r="C796" s="146"/>
      <c r="D796" s="4"/>
      <c r="E796" s="4"/>
      <c r="F796" s="147"/>
      <c r="G796" s="4"/>
      <c r="H796" s="14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146"/>
      <c r="C797" s="146"/>
      <c r="D797" s="4"/>
      <c r="E797" s="4"/>
      <c r="F797" s="147"/>
      <c r="G797" s="4"/>
      <c r="H797" s="14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146"/>
      <c r="C798" s="146"/>
      <c r="D798" s="4"/>
      <c r="E798" s="4"/>
      <c r="F798" s="147"/>
      <c r="G798" s="4"/>
      <c r="H798" s="14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146"/>
      <c r="C799" s="146"/>
      <c r="D799" s="4"/>
      <c r="E799" s="4"/>
      <c r="F799" s="147"/>
      <c r="G799" s="4"/>
      <c r="H799" s="14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146"/>
      <c r="C800" s="146"/>
      <c r="D800" s="4"/>
      <c r="E800" s="4"/>
      <c r="F800" s="147"/>
      <c r="G800" s="4"/>
      <c r="H800" s="14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146"/>
      <c r="C801" s="146"/>
      <c r="D801" s="4"/>
      <c r="E801" s="4"/>
      <c r="F801" s="147"/>
      <c r="G801" s="4"/>
      <c r="H801" s="14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146"/>
      <c r="C802" s="146"/>
      <c r="D802" s="4"/>
      <c r="E802" s="4"/>
      <c r="F802" s="147"/>
      <c r="G802" s="4"/>
      <c r="H802" s="14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146"/>
      <c r="C803" s="146"/>
      <c r="D803" s="4"/>
      <c r="E803" s="4"/>
      <c r="F803" s="147"/>
      <c r="G803" s="4"/>
      <c r="H803" s="14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146"/>
      <c r="C804" s="146"/>
      <c r="D804" s="4"/>
      <c r="E804" s="4"/>
      <c r="F804" s="147"/>
      <c r="G804" s="4"/>
      <c r="H804" s="14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146"/>
      <c r="C805" s="146"/>
      <c r="D805" s="4"/>
      <c r="E805" s="4"/>
      <c r="F805" s="147"/>
      <c r="G805" s="4"/>
      <c r="H805" s="14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146"/>
      <c r="C806" s="146"/>
      <c r="D806" s="4"/>
      <c r="E806" s="4"/>
      <c r="F806" s="147"/>
      <c r="G806" s="4"/>
      <c r="H806" s="14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146"/>
      <c r="C807" s="146"/>
      <c r="D807" s="4"/>
      <c r="E807" s="4"/>
      <c r="F807" s="147"/>
      <c r="G807" s="4"/>
      <c r="H807" s="14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146"/>
      <c r="C808" s="146"/>
      <c r="D808" s="4"/>
      <c r="E808" s="4"/>
      <c r="F808" s="147"/>
      <c r="G808" s="4"/>
      <c r="H808" s="14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146"/>
      <c r="C809" s="146"/>
      <c r="D809" s="4"/>
      <c r="E809" s="4"/>
      <c r="F809" s="147"/>
      <c r="G809" s="4"/>
      <c r="H809" s="14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146"/>
      <c r="C810" s="146"/>
      <c r="D810" s="4"/>
      <c r="E810" s="4"/>
      <c r="F810" s="147"/>
      <c r="G810" s="4"/>
      <c r="H810" s="14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146"/>
      <c r="C811" s="146"/>
      <c r="D811" s="4"/>
      <c r="E811" s="4"/>
      <c r="F811" s="147"/>
      <c r="G811" s="4"/>
      <c r="H811" s="147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146"/>
      <c r="C812" s="146"/>
      <c r="D812" s="4"/>
      <c r="E812" s="4"/>
      <c r="F812" s="147"/>
      <c r="G812" s="4"/>
      <c r="H812" s="147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146"/>
      <c r="C813" s="146"/>
      <c r="D813" s="4"/>
      <c r="E813" s="4"/>
      <c r="F813" s="147"/>
      <c r="G813" s="4"/>
      <c r="H813" s="147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146"/>
      <c r="C814" s="146"/>
      <c r="D814" s="4"/>
      <c r="E814" s="4"/>
      <c r="F814" s="147"/>
      <c r="G814" s="4"/>
      <c r="H814" s="147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146"/>
      <c r="C815" s="146"/>
      <c r="D815" s="4"/>
      <c r="E815" s="4"/>
      <c r="F815" s="147"/>
      <c r="G815" s="4"/>
      <c r="H815" s="147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146"/>
      <c r="C816" s="146"/>
      <c r="D816" s="4"/>
      <c r="E816" s="4"/>
      <c r="F816" s="147"/>
      <c r="G816" s="4"/>
      <c r="H816" s="147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146"/>
      <c r="C817" s="146"/>
      <c r="D817" s="4"/>
      <c r="E817" s="4"/>
      <c r="F817" s="147"/>
      <c r="G817" s="4"/>
      <c r="H817" s="147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146"/>
      <c r="C818" s="146"/>
      <c r="D818" s="4"/>
      <c r="E818" s="4"/>
      <c r="F818" s="147"/>
      <c r="G818" s="4"/>
      <c r="H818" s="147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146"/>
      <c r="C819" s="146"/>
      <c r="D819" s="4"/>
      <c r="E819" s="4"/>
      <c r="F819" s="147"/>
      <c r="G819" s="4"/>
      <c r="H819" s="147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146"/>
      <c r="C820" s="146"/>
      <c r="D820" s="4"/>
      <c r="E820" s="4"/>
      <c r="F820" s="147"/>
      <c r="G820" s="4"/>
      <c r="H820" s="147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146"/>
      <c r="C821" s="146"/>
      <c r="D821" s="4"/>
      <c r="E821" s="4"/>
      <c r="F821" s="147"/>
      <c r="G821" s="4"/>
      <c r="H821" s="147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146"/>
      <c r="C822" s="146"/>
      <c r="D822" s="4"/>
      <c r="E822" s="4"/>
      <c r="F822" s="147"/>
      <c r="G822" s="4"/>
      <c r="H822" s="147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146"/>
      <c r="C823" s="146"/>
      <c r="D823" s="4"/>
      <c r="E823" s="4"/>
      <c r="F823" s="147"/>
      <c r="G823" s="4"/>
      <c r="H823" s="147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146"/>
      <c r="C824" s="146"/>
      <c r="D824" s="4"/>
      <c r="E824" s="4"/>
      <c r="F824" s="147"/>
      <c r="G824" s="4"/>
      <c r="H824" s="147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146"/>
      <c r="C825" s="146"/>
      <c r="D825" s="4"/>
      <c r="E825" s="4"/>
      <c r="F825" s="147"/>
      <c r="G825" s="4"/>
      <c r="H825" s="147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146"/>
      <c r="C826" s="146"/>
      <c r="D826" s="4"/>
      <c r="E826" s="4"/>
      <c r="F826" s="147"/>
      <c r="G826" s="4"/>
      <c r="H826" s="147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146"/>
      <c r="C827" s="146"/>
      <c r="D827" s="4"/>
      <c r="E827" s="4"/>
      <c r="F827" s="147"/>
      <c r="G827" s="4"/>
      <c r="H827" s="147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146"/>
      <c r="C828" s="146"/>
      <c r="D828" s="4"/>
      <c r="E828" s="4"/>
      <c r="F828" s="147"/>
      <c r="G828" s="4"/>
      <c r="H828" s="147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146"/>
      <c r="C829" s="146"/>
      <c r="D829" s="4"/>
      <c r="E829" s="4"/>
      <c r="F829" s="147"/>
      <c r="G829" s="4"/>
      <c r="H829" s="147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146"/>
      <c r="C830" s="146"/>
      <c r="D830" s="4"/>
      <c r="E830" s="4"/>
      <c r="F830" s="147"/>
      <c r="G830" s="4"/>
      <c r="H830" s="147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146"/>
      <c r="C831" s="146"/>
      <c r="D831" s="4"/>
      <c r="E831" s="4"/>
      <c r="F831" s="147"/>
      <c r="G831" s="4"/>
      <c r="H831" s="147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146"/>
      <c r="C832" s="146"/>
      <c r="D832" s="4"/>
      <c r="E832" s="4"/>
      <c r="F832" s="147"/>
      <c r="G832" s="4"/>
      <c r="H832" s="147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146"/>
      <c r="C833" s="146"/>
      <c r="D833" s="4"/>
      <c r="E833" s="4"/>
      <c r="F833" s="147"/>
      <c r="G833" s="4"/>
      <c r="H833" s="147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146"/>
      <c r="C834" s="146"/>
      <c r="D834" s="4"/>
      <c r="E834" s="4"/>
      <c r="F834" s="147"/>
      <c r="G834" s="4"/>
      <c r="H834" s="147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146"/>
      <c r="C835" s="146"/>
      <c r="D835" s="4"/>
      <c r="E835" s="4"/>
      <c r="F835" s="147"/>
      <c r="G835" s="4"/>
      <c r="H835" s="147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146"/>
      <c r="C836" s="146"/>
      <c r="D836" s="4"/>
      <c r="E836" s="4"/>
      <c r="F836" s="147"/>
      <c r="G836" s="4"/>
      <c r="H836" s="147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146"/>
      <c r="C837" s="146"/>
      <c r="D837" s="4"/>
      <c r="E837" s="4"/>
      <c r="F837" s="147"/>
      <c r="G837" s="4"/>
      <c r="H837" s="147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146"/>
      <c r="C838" s="146"/>
      <c r="D838" s="4"/>
      <c r="E838" s="4"/>
      <c r="F838" s="147"/>
      <c r="G838" s="4"/>
      <c r="H838" s="147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146"/>
      <c r="C839" s="146"/>
      <c r="D839" s="4"/>
      <c r="E839" s="4"/>
      <c r="F839" s="147"/>
      <c r="G839" s="4"/>
      <c r="H839" s="147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146"/>
      <c r="C840" s="146"/>
      <c r="D840" s="4"/>
      <c r="E840" s="4"/>
      <c r="F840" s="147"/>
      <c r="G840" s="4"/>
      <c r="H840" s="147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146"/>
      <c r="C841" s="146"/>
      <c r="D841" s="4"/>
      <c r="E841" s="4"/>
      <c r="F841" s="147"/>
      <c r="G841" s="4"/>
      <c r="H841" s="147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146"/>
      <c r="C842" s="146"/>
      <c r="D842" s="4"/>
      <c r="E842" s="4"/>
      <c r="F842" s="147"/>
      <c r="G842" s="4"/>
      <c r="H842" s="147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146"/>
      <c r="C843" s="146"/>
      <c r="D843" s="4"/>
      <c r="E843" s="4"/>
      <c r="F843" s="147"/>
      <c r="G843" s="4"/>
      <c r="H843" s="147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146"/>
      <c r="C844" s="146"/>
      <c r="D844" s="4"/>
      <c r="E844" s="4"/>
      <c r="F844" s="147"/>
      <c r="G844" s="4"/>
      <c r="H844" s="147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146"/>
      <c r="C845" s="146"/>
      <c r="D845" s="4"/>
      <c r="E845" s="4"/>
      <c r="F845" s="147"/>
      <c r="G845" s="4"/>
      <c r="H845" s="147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146"/>
      <c r="C846" s="146"/>
      <c r="D846" s="4"/>
      <c r="E846" s="4"/>
      <c r="F846" s="147"/>
      <c r="G846" s="4"/>
      <c r="H846" s="147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146"/>
      <c r="C847" s="146"/>
      <c r="D847" s="4"/>
      <c r="E847" s="4"/>
      <c r="F847" s="147"/>
      <c r="G847" s="4"/>
      <c r="H847" s="147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146"/>
      <c r="C848" s="146"/>
      <c r="D848" s="4"/>
      <c r="E848" s="4"/>
      <c r="F848" s="147"/>
      <c r="G848" s="4"/>
      <c r="H848" s="147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146"/>
      <c r="C849" s="146"/>
      <c r="D849" s="4"/>
      <c r="E849" s="4"/>
      <c r="F849" s="147"/>
      <c r="G849" s="4"/>
      <c r="H849" s="147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146"/>
      <c r="C850" s="146"/>
      <c r="D850" s="4"/>
      <c r="E850" s="4"/>
      <c r="F850" s="147"/>
      <c r="G850" s="4"/>
      <c r="H850" s="147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146"/>
      <c r="C851" s="146"/>
      <c r="D851" s="4"/>
      <c r="E851" s="4"/>
      <c r="F851" s="147"/>
      <c r="G851" s="4"/>
      <c r="H851" s="147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146"/>
      <c r="C852" s="146"/>
      <c r="D852" s="4"/>
      <c r="E852" s="4"/>
      <c r="F852" s="147"/>
      <c r="G852" s="4"/>
      <c r="H852" s="147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146"/>
      <c r="C853" s="146"/>
      <c r="D853" s="4"/>
      <c r="E853" s="4"/>
      <c r="F853" s="147"/>
      <c r="G853" s="4"/>
      <c r="H853" s="147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146"/>
      <c r="C854" s="146"/>
      <c r="D854" s="4"/>
      <c r="E854" s="4"/>
      <c r="F854" s="147"/>
      <c r="G854" s="4"/>
      <c r="H854" s="147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146"/>
      <c r="C855" s="146"/>
      <c r="D855" s="4"/>
      <c r="E855" s="4"/>
      <c r="F855" s="147"/>
      <c r="G855" s="4"/>
      <c r="H855" s="147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146"/>
      <c r="C856" s="146"/>
      <c r="D856" s="4"/>
      <c r="E856" s="4"/>
      <c r="F856" s="147"/>
      <c r="G856" s="4"/>
      <c r="H856" s="147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146"/>
      <c r="C857" s="146"/>
      <c r="D857" s="4"/>
      <c r="E857" s="4"/>
      <c r="F857" s="147"/>
      <c r="G857" s="4"/>
      <c r="H857" s="147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146"/>
      <c r="C858" s="146"/>
      <c r="D858" s="4"/>
      <c r="E858" s="4"/>
      <c r="F858" s="147"/>
      <c r="G858" s="4"/>
      <c r="H858" s="147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146"/>
      <c r="C859" s="146"/>
      <c r="D859" s="4"/>
      <c r="E859" s="4"/>
      <c r="F859" s="147"/>
      <c r="G859" s="4"/>
      <c r="H859" s="147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146"/>
      <c r="C860" s="146"/>
      <c r="D860" s="4"/>
      <c r="E860" s="4"/>
      <c r="F860" s="147"/>
      <c r="G860" s="4"/>
      <c r="H860" s="147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146"/>
      <c r="C861" s="146"/>
      <c r="D861" s="4"/>
      <c r="E861" s="4"/>
      <c r="F861" s="147"/>
      <c r="G861" s="4"/>
      <c r="H861" s="147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146"/>
      <c r="C862" s="146"/>
      <c r="D862" s="4"/>
      <c r="E862" s="4"/>
      <c r="F862" s="147"/>
      <c r="G862" s="4"/>
      <c r="H862" s="147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146"/>
      <c r="C863" s="146"/>
      <c r="D863" s="4"/>
      <c r="E863" s="4"/>
      <c r="F863" s="147"/>
      <c r="G863" s="4"/>
      <c r="H863" s="147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146"/>
      <c r="C864" s="146"/>
      <c r="D864" s="4"/>
      <c r="E864" s="4"/>
      <c r="F864" s="147"/>
      <c r="G864" s="4"/>
      <c r="H864" s="147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146"/>
      <c r="C865" s="146"/>
      <c r="D865" s="4"/>
      <c r="E865" s="4"/>
      <c r="F865" s="147"/>
      <c r="G865" s="4"/>
      <c r="H865" s="147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146"/>
      <c r="C866" s="146"/>
      <c r="D866" s="4"/>
      <c r="E866" s="4"/>
      <c r="F866" s="147"/>
      <c r="G866" s="4"/>
      <c r="H866" s="147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146"/>
      <c r="C867" s="146"/>
      <c r="D867" s="4"/>
      <c r="E867" s="4"/>
      <c r="F867" s="147"/>
      <c r="G867" s="4"/>
      <c r="H867" s="147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146"/>
      <c r="C868" s="146"/>
      <c r="D868" s="4"/>
      <c r="E868" s="4"/>
      <c r="F868" s="147"/>
      <c r="G868" s="4"/>
      <c r="H868" s="147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146"/>
      <c r="C869" s="146"/>
      <c r="D869" s="4"/>
      <c r="E869" s="4"/>
      <c r="F869" s="147"/>
      <c r="G869" s="4"/>
      <c r="H869" s="147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146"/>
      <c r="C870" s="146"/>
      <c r="D870" s="4"/>
      <c r="E870" s="4"/>
      <c r="F870" s="147"/>
      <c r="G870" s="4"/>
      <c r="H870" s="147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146"/>
      <c r="C871" s="146"/>
      <c r="D871" s="4"/>
      <c r="E871" s="4"/>
      <c r="F871" s="147"/>
      <c r="G871" s="4"/>
      <c r="H871" s="147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146"/>
      <c r="C872" s="146"/>
      <c r="D872" s="4"/>
      <c r="E872" s="4"/>
      <c r="F872" s="147"/>
      <c r="G872" s="4"/>
      <c r="H872" s="147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146"/>
      <c r="C873" s="146"/>
      <c r="D873" s="4"/>
      <c r="E873" s="4"/>
      <c r="F873" s="147"/>
      <c r="G873" s="4"/>
      <c r="H873" s="147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146"/>
      <c r="C874" s="146"/>
      <c r="D874" s="4"/>
      <c r="E874" s="4"/>
      <c r="F874" s="147"/>
      <c r="G874" s="4"/>
      <c r="H874" s="147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146"/>
      <c r="C875" s="146"/>
      <c r="D875" s="4"/>
      <c r="E875" s="4"/>
      <c r="F875" s="147"/>
      <c r="G875" s="4"/>
      <c r="H875" s="147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146"/>
      <c r="C876" s="146"/>
      <c r="D876" s="4"/>
      <c r="E876" s="4"/>
      <c r="F876" s="147"/>
      <c r="G876" s="4"/>
      <c r="H876" s="147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146"/>
      <c r="C877" s="146"/>
      <c r="D877" s="4"/>
      <c r="E877" s="4"/>
      <c r="F877" s="147"/>
      <c r="G877" s="4"/>
      <c r="H877" s="147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146"/>
      <c r="C878" s="146"/>
      <c r="D878" s="4"/>
      <c r="E878" s="4"/>
      <c r="F878" s="147"/>
      <c r="G878" s="4"/>
      <c r="H878" s="147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146"/>
      <c r="C879" s="146"/>
      <c r="D879" s="4"/>
      <c r="E879" s="4"/>
      <c r="F879" s="147"/>
      <c r="G879" s="4"/>
      <c r="H879" s="147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146"/>
      <c r="C880" s="146"/>
      <c r="D880" s="4"/>
      <c r="E880" s="4"/>
      <c r="F880" s="147"/>
      <c r="G880" s="4"/>
      <c r="H880" s="147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146"/>
      <c r="C881" s="146"/>
      <c r="D881" s="4"/>
      <c r="E881" s="4"/>
      <c r="F881" s="147"/>
      <c r="G881" s="4"/>
      <c r="H881" s="147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146"/>
      <c r="C882" s="146"/>
      <c r="D882" s="4"/>
      <c r="E882" s="4"/>
      <c r="F882" s="147"/>
      <c r="G882" s="4"/>
      <c r="H882" s="147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146"/>
      <c r="C883" s="146"/>
      <c r="D883" s="4"/>
      <c r="E883" s="4"/>
      <c r="F883" s="147"/>
      <c r="G883" s="4"/>
      <c r="H883" s="147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146"/>
      <c r="C884" s="146"/>
      <c r="D884" s="4"/>
      <c r="E884" s="4"/>
      <c r="F884" s="147"/>
      <c r="G884" s="4"/>
      <c r="H884" s="147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146"/>
      <c r="C885" s="146"/>
      <c r="D885" s="4"/>
      <c r="E885" s="4"/>
      <c r="F885" s="147"/>
      <c r="G885" s="4"/>
      <c r="H885" s="147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146"/>
      <c r="C886" s="146"/>
      <c r="D886" s="4"/>
      <c r="E886" s="4"/>
      <c r="F886" s="147"/>
      <c r="G886" s="4"/>
      <c r="H886" s="147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146"/>
      <c r="C887" s="146"/>
      <c r="D887" s="4"/>
      <c r="E887" s="4"/>
      <c r="F887" s="147"/>
      <c r="G887" s="4"/>
      <c r="H887" s="147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146"/>
      <c r="C888" s="146"/>
      <c r="D888" s="4"/>
      <c r="E888" s="4"/>
      <c r="F888" s="147"/>
      <c r="G888" s="4"/>
      <c r="H888" s="147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146"/>
      <c r="C889" s="146"/>
      <c r="D889" s="4"/>
      <c r="E889" s="4"/>
      <c r="F889" s="147"/>
      <c r="G889" s="4"/>
      <c r="H889" s="147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146"/>
      <c r="C890" s="146"/>
      <c r="D890" s="4"/>
      <c r="E890" s="4"/>
      <c r="F890" s="147"/>
      <c r="G890" s="4"/>
      <c r="H890" s="147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146"/>
      <c r="C891" s="146"/>
      <c r="D891" s="4"/>
      <c r="E891" s="4"/>
      <c r="F891" s="147"/>
      <c r="G891" s="4"/>
      <c r="H891" s="147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146"/>
      <c r="C892" s="146"/>
      <c r="D892" s="4"/>
      <c r="E892" s="4"/>
      <c r="F892" s="147"/>
      <c r="G892" s="4"/>
      <c r="H892" s="147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146"/>
      <c r="C893" s="146"/>
      <c r="D893" s="4"/>
      <c r="E893" s="4"/>
      <c r="F893" s="147"/>
      <c r="G893" s="4"/>
      <c r="H893" s="147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146"/>
      <c r="C894" s="146"/>
      <c r="D894" s="4"/>
      <c r="E894" s="4"/>
      <c r="F894" s="147"/>
      <c r="G894" s="4"/>
      <c r="H894" s="147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146"/>
      <c r="C895" s="146"/>
      <c r="D895" s="4"/>
      <c r="E895" s="4"/>
      <c r="F895" s="147"/>
      <c r="G895" s="4"/>
      <c r="H895" s="147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146"/>
      <c r="C896" s="146"/>
      <c r="D896" s="4"/>
      <c r="E896" s="4"/>
      <c r="F896" s="147"/>
      <c r="G896" s="4"/>
      <c r="H896" s="147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146"/>
      <c r="C897" s="146"/>
      <c r="D897" s="4"/>
      <c r="E897" s="4"/>
      <c r="F897" s="147"/>
      <c r="G897" s="4"/>
      <c r="H897" s="147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146"/>
      <c r="C898" s="146"/>
      <c r="D898" s="4"/>
      <c r="E898" s="4"/>
      <c r="F898" s="147"/>
      <c r="G898" s="4"/>
      <c r="H898" s="147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146"/>
      <c r="C899" s="146"/>
      <c r="D899" s="4"/>
      <c r="E899" s="4"/>
      <c r="F899" s="147"/>
      <c r="G899" s="4"/>
      <c r="H899" s="147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146"/>
      <c r="C900" s="146"/>
      <c r="D900" s="4"/>
      <c r="E900" s="4"/>
      <c r="F900" s="147"/>
      <c r="G900" s="4"/>
      <c r="H900" s="147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146"/>
      <c r="C901" s="146"/>
      <c r="D901" s="4"/>
      <c r="E901" s="4"/>
      <c r="F901" s="147"/>
      <c r="G901" s="4"/>
      <c r="H901" s="147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146"/>
      <c r="C902" s="146"/>
      <c r="D902" s="4"/>
      <c r="E902" s="4"/>
      <c r="F902" s="147"/>
      <c r="G902" s="4"/>
      <c r="H902" s="147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146"/>
      <c r="C903" s="146"/>
      <c r="D903" s="4"/>
      <c r="E903" s="4"/>
      <c r="F903" s="147"/>
      <c r="G903" s="4"/>
      <c r="H903" s="147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146"/>
      <c r="C904" s="146"/>
      <c r="D904" s="4"/>
      <c r="E904" s="4"/>
      <c r="F904" s="147"/>
      <c r="G904" s="4"/>
      <c r="H904" s="147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146"/>
      <c r="C905" s="146"/>
      <c r="D905" s="4"/>
      <c r="E905" s="4"/>
      <c r="F905" s="147"/>
      <c r="G905" s="4"/>
      <c r="H905" s="147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146"/>
      <c r="C906" s="146"/>
      <c r="D906" s="4"/>
      <c r="E906" s="4"/>
      <c r="F906" s="147"/>
      <c r="G906" s="4"/>
      <c r="H906" s="147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146"/>
      <c r="C907" s="146"/>
      <c r="D907" s="4"/>
      <c r="E907" s="4"/>
      <c r="F907" s="147"/>
      <c r="G907" s="4"/>
      <c r="H907" s="147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146"/>
      <c r="C908" s="146"/>
      <c r="D908" s="4"/>
      <c r="E908" s="4"/>
      <c r="F908" s="147"/>
      <c r="G908" s="4"/>
      <c r="H908" s="147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146"/>
      <c r="C909" s="146"/>
      <c r="D909" s="4"/>
      <c r="E909" s="4"/>
      <c r="F909" s="147"/>
      <c r="G909" s="4"/>
      <c r="H909" s="147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146"/>
      <c r="C910" s="146"/>
      <c r="D910" s="4"/>
      <c r="E910" s="4"/>
      <c r="F910" s="147"/>
      <c r="G910" s="4"/>
      <c r="H910" s="147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146"/>
      <c r="C911" s="146"/>
      <c r="D911" s="4"/>
      <c r="E911" s="4"/>
      <c r="F911" s="147"/>
      <c r="G911" s="4"/>
      <c r="H911" s="147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146"/>
      <c r="C912" s="146"/>
      <c r="D912" s="4"/>
      <c r="E912" s="4"/>
      <c r="F912" s="147"/>
      <c r="G912" s="4"/>
      <c r="H912" s="147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146"/>
      <c r="C913" s="146"/>
      <c r="D913" s="4"/>
      <c r="E913" s="4"/>
      <c r="F913" s="147"/>
      <c r="G913" s="4"/>
      <c r="H913" s="147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146"/>
      <c r="C914" s="146"/>
      <c r="D914" s="4"/>
      <c r="E914" s="4"/>
      <c r="F914" s="147"/>
      <c r="G914" s="4"/>
      <c r="H914" s="147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146"/>
      <c r="C915" s="146"/>
      <c r="D915" s="4"/>
      <c r="E915" s="4"/>
      <c r="F915" s="147"/>
      <c r="G915" s="4"/>
      <c r="H915" s="147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146"/>
      <c r="C916" s="146"/>
      <c r="D916" s="4"/>
      <c r="E916" s="4"/>
      <c r="F916" s="147"/>
      <c r="G916" s="4"/>
      <c r="H916" s="147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146"/>
      <c r="C917" s="146"/>
      <c r="D917" s="4"/>
      <c r="E917" s="4"/>
      <c r="F917" s="147"/>
      <c r="G917" s="4"/>
      <c r="H917" s="147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146"/>
      <c r="C918" s="146"/>
      <c r="D918" s="4"/>
      <c r="E918" s="4"/>
      <c r="F918" s="147"/>
      <c r="G918" s="4"/>
      <c r="H918" s="147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146"/>
      <c r="C919" s="146"/>
      <c r="D919" s="4"/>
      <c r="E919" s="4"/>
      <c r="F919" s="147"/>
      <c r="G919" s="4"/>
      <c r="H919" s="147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146"/>
      <c r="C920" s="146"/>
      <c r="D920" s="4"/>
      <c r="E920" s="4"/>
      <c r="F920" s="147"/>
      <c r="G920" s="4"/>
      <c r="H920" s="147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146"/>
      <c r="C921" s="146"/>
      <c r="D921" s="4"/>
      <c r="E921" s="4"/>
      <c r="F921" s="147"/>
      <c r="G921" s="4"/>
      <c r="H921" s="147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146"/>
      <c r="C922" s="146"/>
      <c r="D922" s="4"/>
      <c r="E922" s="4"/>
      <c r="F922" s="147"/>
      <c r="G922" s="4"/>
      <c r="H922" s="147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146"/>
      <c r="C923" s="146"/>
      <c r="D923" s="4"/>
      <c r="E923" s="4"/>
      <c r="F923" s="147"/>
      <c r="G923" s="4"/>
      <c r="H923" s="147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146"/>
      <c r="C924" s="146"/>
      <c r="D924" s="4"/>
      <c r="E924" s="4"/>
      <c r="F924" s="147"/>
      <c r="G924" s="4"/>
      <c r="H924" s="147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146"/>
      <c r="C925" s="146"/>
      <c r="D925" s="4"/>
      <c r="E925" s="4"/>
      <c r="F925" s="147"/>
      <c r="G925" s="4"/>
      <c r="H925" s="147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146"/>
      <c r="C926" s="146"/>
      <c r="D926" s="4"/>
      <c r="E926" s="4"/>
      <c r="F926" s="147"/>
      <c r="G926" s="4"/>
      <c r="H926" s="147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146"/>
      <c r="C927" s="146"/>
      <c r="D927" s="4"/>
      <c r="E927" s="4"/>
      <c r="F927" s="147"/>
      <c r="G927" s="4"/>
      <c r="H927" s="147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146"/>
      <c r="C928" s="146"/>
      <c r="D928" s="4"/>
      <c r="E928" s="4"/>
      <c r="F928" s="147"/>
      <c r="G928" s="4"/>
      <c r="H928" s="147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146"/>
      <c r="C929" s="146"/>
      <c r="D929" s="4"/>
      <c r="E929" s="4"/>
      <c r="F929" s="147"/>
      <c r="G929" s="4"/>
      <c r="H929" s="147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146"/>
      <c r="C930" s="146"/>
      <c r="D930" s="4"/>
      <c r="E930" s="4"/>
      <c r="F930" s="147"/>
      <c r="G930" s="4"/>
      <c r="H930" s="147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146"/>
      <c r="C931" s="146"/>
      <c r="D931" s="4"/>
      <c r="E931" s="4"/>
      <c r="F931" s="147"/>
      <c r="G931" s="4"/>
      <c r="H931" s="147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146"/>
      <c r="C932" s="146"/>
      <c r="D932" s="4"/>
      <c r="E932" s="4"/>
      <c r="F932" s="147"/>
      <c r="G932" s="4"/>
      <c r="H932" s="147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146"/>
      <c r="C933" s="146"/>
      <c r="D933" s="4"/>
      <c r="E933" s="4"/>
      <c r="F933" s="147"/>
      <c r="G933" s="4"/>
      <c r="H933" s="147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146"/>
      <c r="C934" s="146"/>
      <c r="D934" s="4"/>
      <c r="E934" s="4"/>
      <c r="F934" s="147"/>
      <c r="G934" s="4"/>
      <c r="H934" s="147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146"/>
      <c r="C935" s="146"/>
      <c r="D935" s="4"/>
      <c r="E935" s="4"/>
      <c r="F935" s="147"/>
      <c r="G935" s="4"/>
      <c r="H935" s="147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146"/>
      <c r="C936" s="146"/>
      <c r="D936" s="4"/>
      <c r="E936" s="4"/>
      <c r="F936" s="147"/>
      <c r="G936" s="4"/>
      <c r="H936" s="147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146"/>
      <c r="C937" s="146"/>
      <c r="D937" s="4"/>
      <c r="E937" s="4"/>
      <c r="F937" s="147"/>
      <c r="G937" s="4"/>
      <c r="H937" s="147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146"/>
      <c r="C938" s="146"/>
      <c r="D938" s="4"/>
      <c r="E938" s="4"/>
      <c r="F938" s="147"/>
      <c r="G938" s="4"/>
      <c r="H938" s="147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146"/>
      <c r="C939" s="146"/>
      <c r="D939" s="4"/>
      <c r="E939" s="4"/>
      <c r="F939" s="147"/>
      <c r="G939" s="4"/>
      <c r="H939" s="147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146"/>
      <c r="C940" s="146"/>
      <c r="D940" s="4"/>
      <c r="E940" s="4"/>
      <c r="F940" s="147"/>
      <c r="G940" s="4"/>
      <c r="H940" s="147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146"/>
      <c r="C941" s="146"/>
      <c r="D941" s="4"/>
      <c r="E941" s="4"/>
      <c r="F941" s="147"/>
      <c r="G941" s="4"/>
      <c r="H941" s="147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146"/>
      <c r="C942" s="146"/>
      <c r="D942" s="4"/>
      <c r="E942" s="4"/>
      <c r="F942" s="147"/>
      <c r="G942" s="4"/>
      <c r="H942" s="147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146"/>
      <c r="C943" s="146"/>
      <c r="D943" s="4"/>
      <c r="E943" s="4"/>
      <c r="F943" s="147"/>
      <c r="G943" s="4"/>
      <c r="H943" s="147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146"/>
      <c r="C944" s="146"/>
      <c r="D944" s="4"/>
      <c r="E944" s="4"/>
      <c r="F944" s="147"/>
      <c r="G944" s="4"/>
      <c r="H944" s="147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146"/>
      <c r="C945" s="146"/>
      <c r="D945" s="4"/>
      <c r="E945" s="4"/>
      <c r="F945" s="147"/>
      <c r="G945" s="4"/>
      <c r="H945" s="147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146"/>
      <c r="C946" s="146"/>
      <c r="D946" s="4"/>
      <c r="E946" s="4"/>
      <c r="F946" s="147"/>
      <c r="G946" s="4"/>
      <c r="H946" s="147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146"/>
      <c r="C947" s="146"/>
      <c r="D947" s="4"/>
      <c r="E947" s="4"/>
      <c r="F947" s="147"/>
      <c r="G947" s="4"/>
      <c r="H947" s="147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146"/>
      <c r="C948" s="146"/>
      <c r="D948" s="4"/>
      <c r="E948" s="4"/>
      <c r="F948" s="147"/>
      <c r="G948" s="4"/>
      <c r="H948" s="147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146"/>
      <c r="C949" s="146"/>
      <c r="D949" s="4"/>
      <c r="E949" s="4"/>
      <c r="F949" s="147"/>
      <c r="G949" s="4"/>
      <c r="H949" s="147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146"/>
      <c r="C950" s="146"/>
      <c r="D950" s="4"/>
      <c r="E950" s="4"/>
      <c r="F950" s="147"/>
      <c r="G950" s="4"/>
      <c r="H950" s="147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146"/>
      <c r="C951" s="146"/>
      <c r="D951" s="4"/>
      <c r="E951" s="4"/>
      <c r="F951" s="147"/>
      <c r="G951" s="4"/>
      <c r="H951" s="147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146"/>
      <c r="C952" s="146"/>
      <c r="D952" s="4"/>
      <c r="E952" s="4"/>
      <c r="F952" s="147"/>
      <c r="G952" s="4"/>
      <c r="H952" s="147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146"/>
      <c r="C953" s="146"/>
      <c r="D953" s="4"/>
      <c r="E953" s="4"/>
      <c r="F953" s="147"/>
      <c r="G953" s="4"/>
      <c r="H953" s="147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146"/>
      <c r="C954" s="146"/>
      <c r="D954" s="4"/>
      <c r="E954" s="4"/>
      <c r="F954" s="147"/>
      <c r="G954" s="4"/>
      <c r="H954" s="147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146"/>
      <c r="C955" s="146"/>
      <c r="D955" s="4"/>
      <c r="E955" s="4"/>
      <c r="F955" s="147"/>
      <c r="G955" s="4"/>
      <c r="H955" s="147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146"/>
      <c r="C956" s="146"/>
      <c r="D956" s="4"/>
      <c r="E956" s="4"/>
      <c r="F956" s="147"/>
      <c r="G956" s="4"/>
      <c r="H956" s="147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146"/>
      <c r="C957" s="146"/>
      <c r="D957" s="4"/>
      <c r="E957" s="4"/>
      <c r="F957" s="147"/>
      <c r="G957" s="4"/>
      <c r="H957" s="147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146"/>
      <c r="C958" s="146"/>
      <c r="D958" s="4"/>
      <c r="E958" s="4"/>
      <c r="F958" s="147"/>
      <c r="G958" s="4"/>
      <c r="H958" s="147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146"/>
      <c r="C959" s="146"/>
      <c r="D959" s="4"/>
      <c r="E959" s="4"/>
      <c r="F959" s="147"/>
      <c r="G959" s="4"/>
      <c r="H959" s="147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146"/>
      <c r="C960" s="146"/>
      <c r="D960" s="4"/>
      <c r="E960" s="4"/>
      <c r="F960" s="147"/>
      <c r="G960" s="4"/>
      <c r="H960" s="147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146"/>
      <c r="C961" s="146"/>
      <c r="D961" s="4"/>
      <c r="E961" s="4"/>
      <c r="F961" s="147"/>
      <c r="G961" s="4"/>
      <c r="H961" s="147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146"/>
      <c r="C962" s="146"/>
      <c r="D962" s="4"/>
      <c r="E962" s="4"/>
      <c r="F962" s="147"/>
      <c r="G962" s="4"/>
      <c r="H962" s="147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146"/>
      <c r="C963" s="146"/>
      <c r="D963" s="4"/>
      <c r="E963" s="4"/>
      <c r="F963" s="147"/>
      <c r="G963" s="4"/>
      <c r="H963" s="147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146"/>
      <c r="C964" s="146"/>
      <c r="D964" s="4"/>
      <c r="E964" s="4"/>
      <c r="F964" s="147"/>
      <c r="G964" s="4"/>
      <c r="H964" s="147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146"/>
      <c r="C965" s="146"/>
      <c r="D965" s="4"/>
      <c r="E965" s="4"/>
      <c r="F965" s="147"/>
      <c r="G965" s="4"/>
      <c r="H965" s="147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146"/>
      <c r="C966" s="146"/>
      <c r="D966" s="4"/>
      <c r="E966" s="4"/>
      <c r="F966" s="147"/>
      <c r="G966" s="4"/>
      <c r="H966" s="147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146"/>
      <c r="C967" s="146"/>
      <c r="D967" s="4"/>
      <c r="E967" s="4"/>
      <c r="F967" s="147"/>
      <c r="G967" s="4"/>
      <c r="H967" s="147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146"/>
      <c r="C968" s="146"/>
      <c r="D968" s="4"/>
      <c r="E968" s="4"/>
      <c r="F968" s="147"/>
      <c r="G968" s="4"/>
      <c r="H968" s="147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146"/>
      <c r="C969" s="146"/>
      <c r="D969" s="4"/>
      <c r="E969" s="4"/>
      <c r="F969" s="147"/>
      <c r="G969" s="4"/>
      <c r="H969" s="147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146"/>
      <c r="C970" s="146"/>
      <c r="D970" s="4"/>
      <c r="E970" s="4"/>
      <c r="F970" s="147"/>
      <c r="G970" s="4"/>
      <c r="H970" s="147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146"/>
      <c r="C971" s="146"/>
      <c r="D971" s="4"/>
      <c r="E971" s="4"/>
      <c r="F971" s="147"/>
      <c r="G971" s="4"/>
      <c r="H971" s="147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146"/>
      <c r="C972" s="146"/>
      <c r="D972" s="4"/>
      <c r="E972" s="4"/>
      <c r="F972" s="147"/>
      <c r="G972" s="4"/>
      <c r="H972" s="147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146"/>
      <c r="C973" s="146"/>
      <c r="D973" s="4"/>
      <c r="E973" s="4"/>
      <c r="F973" s="147"/>
      <c r="G973" s="4"/>
      <c r="H973" s="147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146"/>
      <c r="C974" s="146"/>
      <c r="D974" s="4"/>
      <c r="E974" s="4"/>
      <c r="F974" s="147"/>
      <c r="G974" s="4"/>
      <c r="H974" s="147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146"/>
      <c r="C975" s="146"/>
      <c r="D975" s="4"/>
      <c r="E975" s="4"/>
      <c r="F975" s="147"/>
      <c r="G975" s="4"/>
      <c r="H975" s="147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146"/>
      <c r="C976" s="146"/>
      <c r="D976" s="4"/>
      <c r="E976" s="4"/>
      <c r="F976" s="147"/>
      <c r="G976" s="4"/>
      <c r="H976" s="147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146"/>
      <c r="C977" s="146"/>
      <c r="D977" s="4"/>
      <c r="E977" s="4"/>
      <c r="F977" s="147"/>
      <c r="G977" s="4"/>
      <c r="H977" s="147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146"/>
      <c r="C978" s="146"/>
      <c r="D978" s="4"/>
      <c r="E978" s="4"/>
      <c r="F978" s="147"/>
      <c r="G978" s="4"/>
      <c r="H978" s="147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146"/>
      <c r="C979" s="146"/>
      <c r="D979" s="4"/>
      <c r="E979" s="4"/>
      <c r="F979" s="147"/>
      <c r="G979" s="4"/>
      <c r="H979" s="147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146"/>
      <c r="C980" s="146"/>
      <c r="D980" s="4"/>
      <c r="E980" s="4"/>
      <c r="F980" s="147"/>
      <c r="G980" s="4"/>
      <c r="H980" s="147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146"/>
      <c r="C981" s="146"/>
      <c r="D981" s="4"/>
      <c r="E981" s="4"/>
      <c r="F981" s="147"/>
      <c r="G981" s="4"/>
      <c r="H981" s="147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146"/>
      <c r="C982" s="146"/>
      <c r="D982" s="4"/>
      <c r="E982" s="4"/>
      <c r="F982" s="147"/>
      <c r="G982" s="4"/>
      <c r="H982" s="147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146"/>
      <c r="C983" s="146"/>
      <c r="D983" s="4"/>
      <c r="E983" s="4"/>
      <c r="F983" s="147"/>
      <c r="G983" s="4"/>
      <c r="H983" s="147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146"/>
      <c r="C984" s="146"/>
      <c r="D984" s="4"/>
      <c r="E984" s="4"/>
      <c r="F984" s="147"/>
      <c r="G984" s="4"/>
      <c r="H984" s="147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146"/>
      <c r="C985" s="146"/>
      <c r="D985" s="4"/>
      <c r="E985" s="4"/>
      <c r="F985" s="147"/>
      <c r="G985" s="4"/>
      <c r="H985" s="147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146"/>
      <c r="C986" s="146"/>
      <c r="D986" s="4"/>
      <c r="E986" s="4"/>
      <c r="F986" s="147"/>
      <c r="G986" s="4"/>
      <c r="H986" s="147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146"/>
      <c r="C987" s="146"/>
      <c r="D987" s="4"/>
      <c r="E987" s="4"/>
      <c r="F987" s="147"/>
      <c r="G987" s="4"/>
      <c r="H987" s="147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146"/>
      <c r="C988" s="146"/>
      <c r="D988" s="4"/>
      <c r="E988" s="4"/>
      <c r="F988" s="147"/>
      <c r="G988" s="4"/>
      <c r="H988" s="147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146"/>
      <c r="C989" s="146"/>
      <c r="D989" s="4"/>
      <c r="E989" s="4"/>
      <c r="F989" s="147"/>
      <c r="G989" s="4"/>
      <c r="H989" s="147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146"/>
      <c r="C990" s="146"/>
      <c r="D990" s="4"/>
      <c r="E990" s="4"/>
      <c r="F990" s="147"/>
      <c r="G990" s="4"/>
      <c r="H990" s="147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146"/>
      <c r="C991" s="146"/>
      <c r="D991" s="4"/>
      <c r="E991" s="4"/>
      <c r="F991" s="147"/>
      <c r="G991" s="4"/>
      <c r="H991" s="147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146"/>
      <c r="C992" s="146"/>
      <c r="D992" s="4"/>
      <c r="E992" s="4"/>
      <c r="F992" s="147"/>
      <c r="G992" s="4"/>
      <c r="H992" s="147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146"/>
      <c r="C993" s="146"/>
      <c r="D993" s="4"/>
      <c r="E993" s="4"/>
      <c r="F993" s="147"/>
      <c r="G993" s="4"/>
      <c r="H993" s="147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146"/>
      <c r="C994" s="146"/>
      <c r="D994" s="4"/>
      <c r="E994" s="4"/>
      <c r="F994" s="147"/>
      <c r="G994" s="4"/>
      <c r="H994" s="147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146"/>
      <c r="C995" s="146"/>
      <c r="D995" s="4"/>
      <c r="E995" s="4"/>
      <c r="F995" s="147"/>
      <c r="G995" s="4"/>
      <c r="H995" s="147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146"/>
      <c r="C996" s="146"/>
      <c r="D996" s="4"/>
      <c r="E996" s="4"/>
      <c r="F996" s="147"/>
      <c r="G996" s="4"/>
      <c r="H996" s="147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146"/>
      <c r="C997" s="146"/>
      <c r="D997" s="4"/>
      <c r="E997" s="4"/>
      <c r="F997" s="147"/>
      <c r="G997" s="4"/>
      <c r="H997" s="147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146"/>
      <c r="C998" s="146"/>
      <c r="D998" s="4"/>
      <c r="E998" s="4"/>
      <c r="F998" s="147"/>
      <c r="G998" s="4"/>
      <c r="H998" s="147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146"/>
      <c r="C999" s="146"/>
      <c r="D999" s="4"/>
      <c r="E999" s="4"/>
      <c r="F999" s="147"/>
      <c r="G999" s="4"/>
      <c r="H999" s="147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146"/>
      <c r="C1000" s="146"/>
      <c r="D1000" s="4"/>
      <c r="E1000" s="4"/>
      <c r="F1000" s="147"/>
      <c r="G1000" s="4"/>
      <c r="H1000" s="147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8.75"/>
  </cols>
  <sheetData>
    <row r="1">
      <c r="A1" s="138" t="s">
        <v>189</v>
      </c>
      <c r="B1" s="139" t="s">
        <v>425</v>
      </c>
      <c r="C1" s="139" t="s">
        <v>426</v>
      </c>
      <c r="D1" s="138" t="s">
        <v>194</v>
      </c>
      <c r="E1" s="138" t="s">
        <v>195</v>
      </c>
      <c r="F1" s="140" t="s">
        <v>421</v>
      </c>
      <c r="G1" s="138" t="s">
        <v>197</v>
      </c>
      <c r="H1" s="140" t="s">
        <v>422</v>
      </c>
      <c r="I1" s="138" t="s">
        <v>427</v>
      </c>
      <c r="J1" s="138" t="s">
        <v>428</v>
      </c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" t="s">
        <v>432</v>
      </c>
      <c r="B2" s="142">
        <v>5.0</v>
      </c>
      <c r="C2" s="142">
        <v>20.0</v>
      </c>
      <c r="D2" s="1">
        <v>18.0</v>
      </c>
      <c r="E2" s="1">
        <f t="shared" ref="E2:E8" si="1">F2/4*C2</f>
        <v>234</v>
      </c>
      <c r="F2" s="143">
        <v>46.8</v>
      </c>
      <c r="G2" s="1">
        <f t="shared" ref="G2:G49" si="2">H2/4*C2</f>
        <v>1</v>
      </c>
      <c r="H2" s="143">
        <v>0.2</v>
      </c>
      <c r="I2" s="1">
        <v>3.4</v>
      </c>
      <c r="J2" s="145">
        <v>0.944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462</v>
      </c>
      <c r="B3" s="142">
        <v>5.0</v>
      </c>
      <c r="C3" s="142">
        <v>20.0</v>
      </c>
      <c r="D3" s="1">
        <v>16.0</v>
      </c>
      <c r="E3" s="1">
        <f t="shared" si="1"/>
        <v>200</v>
      </c>
      <c r="F3" s="143">
        <v>40.0</v>
      </c>
      <c r="G3" s="1">
        <f t="shared" si="2"/>
        <v>0</v>
      </c>
      <c r="H3" s="143">
        <v>0.0</v>
      </c>
      <c r="I3" s="1">
        <v>2.8</v>
      </c>
      <c r="J3" s="145">
        <v>0.938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435</v>
      </c>
      <c r="B4" s="142">
        <v>5.0</v>
      </c>
      <c r="C4" s="142">
        <v>20.0</v>
      </c>
      <c r="D4" s="1">
        <v>18.0</v>
      </c>
      <c r="E4" s="1">
        <f t="shared" si="1"/>
        <v>176</v>
      </c>
      <c r="F4" s="143">
        <v>35.2</v>
      </c>
      <c r="G4" s="1">
        <f t="shared" si="2"/>
        <v>2</v>
      </c>
      <c r="H4" s="143">
        <v>0.4</v>
      </c>
      <c r="I4" s="1">
        <v>2.4</v>
      </c>
      <c r="J4" s="145">
        <v>0.889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444</v>
      </c>
      <c r="B5" s="142">
        <v>5.0</v>
      </c>
      <c r="C5" s="142">
        <v>20.0</v>
      </c>
      <c r="D5" s="1">
        <v>19.0</v>
      </c>
      <c r="E5" s="1">
        <f t="shared" si="1"/>
        <v>168</v>
      </c>
      <c r="F5" s="143">
        <v>33.6</v>
      </c>
      <c r="G5" s="1">
        <f t="shared" si="2"/>
        <v>3</v>
      </c>
      <c r="H5" s="143">
        <v>0.6</v>
      </c>
      <c r="I5" s="1">
        <v>2.4</v>
      </c>
      <c r="J5" s="144">
        <v>0.789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431</v>
      </c>
      <c r="B6" s="142">
        <v>5.0</v>
      </c>
      <c r="C6" s="142">
        <v>20.0</v>
      </c>
      <c r="D6" s="1">
        <v>14.0</v>
      </c>
      <c r="E6" s="1">
        <f t="shared" si="1"/>
        <v>168</v>
      </c>
      <c r="F6" s="143">
        <v>33.6</v>
      </c>
      <c r="G6" s="1">
        <f t="shared" si="2"/>
        <v>1</v>
      </c>
      <c r="H6" s="143">
        <v>0.2</v>
      </c>
      <c r="I6" s="1">
        <v>2.4</v>
      </c>
      <c r="J6" s="144">
        <v>0.929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439</v>
      </c>
      <c r="B7" s="142">
        <v>5.0</v>
      </c>
      <c r="C7" s="142">
        <v>20.0</v>
      </c>
      <c r="D7" s="1">
        <v>18.0</v>
      </c>
      <c r="E7" s="1">
        <f t="shared" si="1"/>
        <v>168</v>
      </c>
      <c r="F7" s="143">
        <v>33.6</v>
      </c>
      <c r="G7" s="1">
        <f t="shared" si="2"/>
        <v>2</v>
      </c>
      <c r="H7" s="143">
        <v>0.4</v>
      </c>
      <c r="I7" s="1">
        <v>2.4</v>
      </c>
      <c r="J7" s="145">
        <v>0.778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436</v>
      </c>
      <c r="B8" s="142">
        <v>5.0</v>
      </c>
      <c r="C8" s="142">
        <v>20.0</v>
      </c>
      <c r="D8" s="1">
        <v>17.0</v>
      </c>
      <c r="E8" s="1">
        <f t="shared" si="1"/>
        <v>152</v>
      </c>
      <c r="F8" s="143">
        <v>30.4</v>
      </c>
      <c r="G8" s="1">
        <f t="shared" si="2"/>
        <v>1</v>
      </c>
      <c r="H8" s="143">
        <v>0.2</v>
      </c>
      <c r="I8" s="1">
        <v>2.0</v>
      </c>
      <c r="J8" s="144">
        <v>0.824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446</v>
      </c>
      <c r="B9" s="142">
        <v>5.0</v>
      </c>
      <c r="C9" s="142">
        <v>20.0</v>
      </c>
      <c r="D9" s="1">
        <v>14.0</v>
      </c>
      <c r="E9" s="1">
        <v>150.0</v>
      </c>
      <c r="F9" s="143">
        <f>E9/C9*4</f>
        <v>30</v>
      </c>
      <c r="G9" s="1">
        <f t="shared" si="2"/>
        <v>2</v>
      </c>
      <c r="H9" s="143">
        <v>0.4</v>
      </c>
      <c r="I9" s="1">
        <v>2.2</v>
      </c>
      <c r="J9" s="144">
        <v>0.643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450</v>
      </c>
      <c r="B10" s="142">
        <v>5.0</v>
      </c>
      <c r="C10" s="142">
        <v>20.0</v>
      </c>
      <c r="D10" s="1">
        <v>19.0</v>
      </c>
      <c r="E10" s="1">
        <f t="shared" ref="E10:E47" si="3">F10/4*C10</f>
        <v>146</v>
      </c>
      <c r="F10" s="143">
        <v>29.2</v>
      </c>
      <c r="G10" s="1">
        <f t="shared" si="2"/>
        <v>0</v>
      </c>
      <c r="H10" s="143">
        <v>0.0</v>
      </c>
      <c r="I10" s="1">
        <v>1.8</v>
      </c>
      <c r="J10" s="145">
        <v>0.737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448</v>
      </c>
      <c r="B11" s="142">
        <v>5.0</v>
      </c>
      <c r="C11" s="142">
        <v>20.0</v>
      </c>
      <c r="D11" s="1">
        <v>14.0</v>
      </c>
      <c r="E11" s="1">
        <f t="shared" si="3"/>
        <v>116</v>
      </c>
      <c r="F11" s="143">
        <v>23.2</v>
      </c>
      <c r="G11" s="1">
        <f t="shared" si="2"/>
        <v>1</v>
      </c>
      <c r="H11" s="143">
        <v>0.2</v>
      </c>
      <c r="I11" s="1">
        <v>1.6</v>
      </c>
      <c r="J11" s="145">
        <v>0.714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452</v>
      </c>
      <c r="B12" s="142">
        <v>5.0</v>
      </c>
      <c r="C12" s="142">
        <v>20.0</v>
      </c>
      <c r="D12" s="1">
        <v>17.0</v>
      </c>
      <c r="E12" s="1">
        <f t="shared" si="3"/>
        <v>116</v>
      </c>
      <c r="F12" s="143">
        <v>23.2</v>
      </c>
      <c r="G12" s="1">
        <f t="shared" si="2"/>
        <v>3</v>
      </c>
      <c r="H12" s="143">
        <v>0.6</v>
      </c>
      <c r="I12" s="1">
        <v>1.6</v>
      </c>
      <c r="J12" s="144">
        <v>0.706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451</v>
      </c>
      <c r="B13" s="142">
        <v>5.0</v>
      </c>
      <c r="C13" s="142">
        <v>20.0</v>
      </c>
      <c r="D13" s="1">
        <v>15.0</v>
      </c>
      <c r="E13" s="1">
        <f t="shared" si="3"/>
        <v>116</v>
      </c>
      <c r="F13" s="143">
        <v>23.2</v>
      </c>
      <c r="G13" s="1">
        <f t="shared" si="2"/>
        <v>1</v>
      </c>
      <c r="H13" s="143">
        <v>0.2</v>
      </c>
      <c r="I13" s="1">
        <v>1.6</v>
      </c>
      <c r="J13" s="144">
        <v>0.667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434</v>
      </c>
      <c r="B14" s="142">
        <v>5.0</v>
      </c>
      <c r="C14" s="142">
        <v>20.0</v>
      </c>
      <c r="D14" s="1">
        <v>17.0</v>
      </c>
      <c r="E14" s="1">
        <f t="shared" si="3"/>
        <v>116</v>
      </c>
      <c r="F14" s="143">
        <v>23.2</v>
      </c>
      <c r="G14" s="1">
        <f t="shared" si="2"/>
        <v>3</v>
      </c>
      <c r="H14" s="143">
        <v>0.6</v>
      </c>
      <c r="I14" s="1">
        <v>1.6</v>
      </c>
      <c r="J14" s="145">
        <v>0.706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442</v>
      </c>
      <c r="B15" s="142">
        <v>5.0</v>
      </c>
      <c r="C15" s="142">
        <v>20.0</v>
      </c>
      <c r="D15" s="1">
        <v>14.0</v>
      </c>
      <c r="E15" s="1">
        <f t="shared" si="3"/>
        <v>114</v>
      </c>
      <c r="F15" s="143">
        <v>22.8</v>
      </c>
      <c r="G15" s="1">
        <f t="shared" si="2"/>
        <v>1</v>
      </c>
      <c r="H15" s="143">
        <v>0.2</v>
      </c>
      <c r="I15" s="1">
        <v>1.4</v>
      </c>
      <c r="J15" s="145">
        <v>0.857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433</v>
      </c>
      <c r="B16" s="142">
        <v>5.0</v>
      </c>
      <c r="C16" s="142">
        <v>20.0</v>
      </c>
      <c r="D16" s="1">
        <v>17.0</v>
      </c>
      <c r="E16" s="1">
        <f t="shared" si="3"/>
        <v>108</v>
      </c>
      <c r="F16" s="143">
        <v>21.6</v>
      </c>
      <c r="G16" s="1">
        <f t="shared" si="2"/>
        <v>3</v>
      </c>
      <c r="H16" s="143">
        <v>0.6</v>
      </c>
      <c r="I16" s="1">
        <v>1.6</v>
      </c>
      <c r="J16" s="144">
        <v>0.588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464</v>
      </c>
      <c r="B17" s="142">
        <v>5.0</v>
      </c>
      <c r="C17" s="142">
        <v>20.0</v>
      </c>
      <c r="D17" s="1">
        <v>12.0</v>
      </c>
      <c r="E17" s="1">
        <f t="shared" si="3"/>
        <v>106</v>
      </c>
      <c r="F17" s="143">
        <v>21.2</v>
      </c>
      <c r="G17" s="1">
        <f t="shared" si="2"/>
        <v>1</v>
      </c>
      <c r="H17" s="143">
        <v>0.2</v>
      </c>
      <c r="I17" s="1">
        <v>1.4</v>
      </c>
      <c r="J17" s="144">
        <v>0.833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455</v>
      </c>
      <c r="B18" s="142">
        <v>5.0</v>
      </c>
      <c r="C18" s="142">
        <v>20.0</v>
      </c>
      <c r="D18" s="1">
        <v>14.0</v>
      </c>
      <c r="E18" s="1">
        <f t="shared" si="3"/>
        <v>104</v>
      </c>
      <c r="F18" s="143">
        <v>20.8</v>
      </c>
      <c r="G18" s="1">
        <f t="shared" si="2"/>
        <v>3</v>
      </c>
      <c r="H18" s="143">
        <v>0.6</v>
      </c>
      <c r="I18" s="1">
        <v>1.6</v>
      </c>
      <c r="J18" s="145">
        <v>0.643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465</v>
      </c>
      <c r="B19" s="142">
        <v>5.0</v>
      </c>
      <c r="C19" s="142">
        <v>20.0</v>
      </c>
      <c r="D19" s="1">
        <v>12.0</v>
      </c>
      <c r="E19" s="1">
        <f t="shared" si="3"/>
        <v>102</v>
      </c>
      <c r="F19" s="143">
        <v>20.4</v>
      </c>
      <c r="G19" s="1">
        <f t="shared" si="2"/>
        <v>1</v>
      </c>
      <c r="H19" s="143">
        <v>0.2</v>
      </c>
      <c r="I19" s="1">
        <v>1.4</v>
      </c>
      <c r="J19" s="145">
        <v>0.75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440</v>
      </c>
      <c r="B20" s="142">
        <v>5.0</v>
      </c>
      <c r="C20" s="142">
        <v>20.0</v>
      </c>
      <c r="D20" s="1">
        <v>13.0</v>
      </c>
      <c r="E20" s="1">
        <f t="shared" si="3"/>
        <v>96</v>
      </c>
      <c r="F20" s="143">
        <v>19.2</v>
      </c>
      <c r="G20" s="1">
        <f t="shared" si="2"/>
        <v>2</v>
      </c>
      <c r="H20" s="143">
        <v>0.4</v>
      </c>
      <c r="I20" s="1">
        <v>1.2</v>
      </c>
      <c r="J20" s="145">
        <v>0.846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 t="s">
        <v>429</v>
      </c>
      <c r="B21" s="142">
        <v>5.0</v>
      </c>
      <c r="C21" s="142">
        <v>20.0</v>
      </c>
      <c r="D21" s="1">
        <v>17.0</v>
      </c>
      <c r="E21" s="1">
        <f t="shared" si="3"/>
        <v>90</v>
      </c>
      <c r="F21" s="143">
        <v>18.0</v>
      </c>
      <c r="G21" s="1">
        <f t="shared" si="2"/>
        <v>1</v>
      </c>
      <c r="H21" s="143">
        <v>0.2</v>
      </c>
      <c r="I21" s="1">
        <v>1.0</v>
      </c>
      <c r="J21" s="145">
        <v>0.647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461</v>
      </c>
      <c r="B22" s="142">
        <v>5.0</v>
      </c>
      <c r="C22" s="142">
        <v>20.0</v>
      </c>
      <c r="D22" s="1">
        <v>12.0</v>
      </c>
      <c r="E22" s="1">
        <f t="shared" si="3"/>
        <v>88</v>
      </c>
      <c r="F22" s="143">
        <v>17.6</v>
      </c>
      <c r="G22" s="1">
        <f t="shared" si="2"/>
        <v>1</v>
      </c>
      <c r="H22" s="143">
        <v>0.2</v>
      </c>
      <c r="I22" s="1">
        <v>1.2</v>
      </c>
      <c r="J22" s="144">
        <v>0.667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 t="s">
        <v>456</v>
      </c>
      <c r="B23" s="142">
        <v>5.0</v>
      </c>
      <c r="C23" s="142">
        <v>20.0</v>
      </c>
      <c r="D23" s="1">
        <v>15.0</v>
      </c>
      <c r="E23" s="1">
        <f t="shared" si="3"/>
        <v>82</v>
      </c>
      <c r="F23" s="143">
        <v>16.4</v>
      </c>
      <c r="G23" s="1">
        <f t="shared" si="2"/>
        <v>0</v>
      </c>
      <c r="H23" s="143">
        <v>0.0</v>
      </c>
      <c r="I23" s="1">
        <v>1.0</v>
      </c>
      <c r="J23" s="145">
        <v>0.533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" t="s">
        <v>460</v>
      </c>
      <c r="B24" s="142">
        <v>5.0</v>
      </c>
      <c r="C24" s="142">
        <v>20.0</v>
      </c>
      <c r="D24" s="1">
        <v>15.0</v>
      </c>
      <c r="E24" s="1">
        <f t="shared" si="3"/>
        <v>80</v>
      </c>
      <c r="F24" s="143">
        <v>16.0</v>
      </c>
      <c r="G24" s="1">
        <f t="shared" si="2"/>
        <v>1</v>
      </c>
      <c r="H24" s="143">
        <v>0.2</v>
      </c>
      <c r="I24" s="1">
        <v>0.8</v>
      </c>
      <c r="J24" s="145">
        <v>0.733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 t="s">
        <v>453</v>
      </c>
      <c r="B25" s="142">
        <v>5.0</v>
      </c>
      <c r="C25" s="142">
        <v>20.0</v>
      </c>
      <c r="D25" s="1">
        <v>15.0</v>
      </c>
      <c r="E25" s="1">
        <f t="shared" si="3"/>
        <v>78</v>
      </c>
      <c r="F25" s="143">
        <v>15.6</v>
      </c>
      <c r="G25" s="1">
        <f t="shared" si="2"/>
        <v>4</v>
      </c>
      <c r="H25" s="143">
        <v>0.8</v>
      </c>
      <c r="I25" s="1">
        <v>1.0</v>
      </c>
      <c r="J25" s="145">
        <v>0.733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430</v>
      </c>
      <c r="B26" s="142">
        <v>5.0</v>
      </c>
      <c r="C26" s="142">
        <v>20.0</v>
      </c>
      <c r="D26" s="1">
        <v>16.0</v>
      </c>
      <c r="E26" s="1">
        <f t="shared" si="3"/>
        <v>76</v>
      </c>
      <c r="F26" s="143">
        <v>15.2</v>
      </c>
      <c r="G26" s="1">
        <f t="shared" si="2"/>
        <v>3</v>
      </c>
      <c r="H26" s="143">
        <v>0.6</v>
      </c>
      <c r="I26" s="1">
        <v>0.8</v>
      </c>
      <c r="J26" s="144">
        <v>0.75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 t="s">
        <v>471</v>
      </c>
      <c r="B27" s="142">
        <v>5.0</v>
      </c>
      <c r="C27" s="142">
        <v>20.0</v>
      </c>
      <c r="D27" s="1">
        <v>10.0</v>
      </c>
      <c r="E27" s="1">
        <f t="shared" si="3"/>
        <v>62</v>
      </c>
      <c r="F27" s="143">
        <v>12.4</v>
      </c>
      <c r="G27" s="1">
        <f t="shared" si="2"/>
        <v>0</v>
      </c>
      <c r="H27" s="143">
        <v>0.0</v>
      </c>
      <c r="I27" s="1">
        <v>0.6</v>
      </c>
      <c r="J27" s="144">
        <v>0.8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449</v>
      </c>
      <c r="B28" s="142">
        <v>5.0</v>
      </c>
      <c r="C28" s="142">
        <v>20.0</v>
      </c>
      <c r="D28" s="1">
        <v>15.0</v>
      </c>
      <c r="E28" s="1">
        <f t="shared" si="3"/>
        <v>60</v>
      </c>
      <c r="F28" s="143">
        <v>12.0</v>
      </c>
      <c r="G28" s="1">
        <f t="shared" si="2"/>
        <v>4</v>
      </c>
      <c r="H28" s="143">
        <v>0.8</v>
      </c>
      <c r="I28" s="1">
        <v>0.8</v>
      </c>
      <c r="J28" s="144">
        <v>0.6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458</v>
      </c>
      <c r="B29" s="142">
        <v>5.0</v>
      </c>
      <c r="C29" s="142">
        <v>20.0</v>
      </c>
      <c r="D29" s="1">
        <v>11.0</v>
      </c>
      <c r="E29" s="1">
        <f t="shared" si="3"/>
        <v>58</v>
      </c>
      <c r="F29" s="143">
        <v>11.6</v>
      </c>
      <c r="G29" s="1">
        <f t="shared" si="2"/>
        <v>0</v>
      </c>
      <c r="H29" s="143">
        <v>0.0</v>
      </c>
      <c r="I29" s="1">
        <v>0.6</v>
      </c>
      <c r="J29" s="145">
        <v>0.636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 t="s">
        <v>454</v>
      </c>
      <c r="B30" s="142">
        <v>5.0</v>
      </c>
      <c r="C30" s="142">
        <v>20.0</v>
      </c>
      <c r="D30" s="1">
        <v>12.0</v>
      </c>
      <c r="E30" s="1">
        <f t="shared" si="3"/>
        <v>54</v>
      </c>
      <c r="F30" s="143">
        <v>10.8</v>
      </c>
      <c r="G30" s="1">
        <f t="shared" si="2"/>
        <v>1</v>
      </c>
      <c r="H30" s="143">
        <v>0.2</v>
      </c>
      <c r="I30" s="1">
        <v>0.6</v>
      </c>
      <c r="J30" s="144">
        <v>0.583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 t="s">
        <v>457</v>
      </c>
      <c r="B31" s="142">
        <v>5.0</v>
      </c>
      <c r="C31" s="142">
        <v>20.0</v>
      </c>
      <c r="D31" s="1">
        <v>20.0</v>
      </c>
      <c r="E31" s="1">
        <f t="shared" si="3"/>
        <v>52</v>
      </c>
      <c r="F31" s="143">
        <v>10.4</v>
      </c>
      <c r="G31" s="1">
        <f t="shared" si="2"/>
        <v>4</v>
      </c>
      <c r="H31" s="143">
        <v>0.8</v>
      </c>
      <c r="I31" s="1">
        <v>0.4</v>
      </c>
      <c r="J31" s="145">
        <v>0.6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 t="s">
        <v>466</v>
      </c>
      <c r="B32" s="142">
        <v>5.0</v>
      </c>
      <c r="C32" s="142">
        <v>20.0</v>
      </c>
      <c r="D32" s="1">
        <v>13.0</v>
      </c>
      <c r="E32" s="1">
        <f t="shared" si="3"/>
        <v>44</v>
      </c>
      <c r="F32" s="143">
        <v>8.8</v>
      </c>
      <c r="G32" s="1">
        <f t="shared" si="2"/>
        <v>0</v>
      </c>
      <c r="H32" s="143">
        <v>0.0</v>
      </c>
      <c r="I32" s="1">
        <v>0.4</v>
      </c>
      <c r="J32" s="145">
        <v>0.462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437</v>
      </c>
      <c r="B33" s="142">
        <v>5.0</v>
      </c>
      <c r="C33" s="142">
        <v>20.0</v>
      </c>
      <c r="D33" s="1">
        <v>15.0</v>
      </c>
      <c r="E33" s="1">
        <f t="shared" si="3"/>
        <v>42</v>
      </c>
      <c r="F33" s="143">
        <v>8.4</v>
      </c>
      <c r="G33" s="1">
        <f t="shared" si="2"/>
        <v>4</v>
      </c>
      <c r="H33" s="143">
        <v>0.8</v>
      </c>
      <c r="I33" s="1">
        <v>0.6</v>
      </c>
      <c r="J33" s="145">
        <v>0.467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467</v>
      </c>
      <c r="B34" s="142">
        <v>5.0</v>
      </c>
      <c r="C34" s="142">
        <v>20.0</v>
      </c>
      <c r="D34" s="1">
        <v>19.0</v>
      </c>
      <c r="E34" s="1">
        <f t="shared" si="3"/>
        <v>40</v>
      </c>
      <c r="F34" s="143">
        <v>8.0</v>
      </c>
      <c r="G34" s="1">
        <f t="shared" si="2"/>
        <v>2</v>
      </c>
      <c r="H34" s="143">
        <v>0.4</v>
      </c>
      <c r="I34" s="1">
        <v>0.4</v>
      </c>
      <c r="J34" s="145">
        <v>0.368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 t="s">
        <v>469</v>
      </c>
      <c r="B35" s="142">
        <v>5.0</v>
      </c>
      <c r="C35" s="142">
        <v>20.0</v>
      </c>
      <c r="D35" s="1">
        <v>9.0</v>
      </c>
      <c r="E35" s="1">
        <f t="shared" si="3"/>
        <v>36</v>
      </c>
      <c r="F35" s="143">
        <v>7.2</v>
      </c>
      <c r="G35" s="1">
        <f t="shared" si="2"/>
        <v>0</v>
      </c>
      <c r="H35" s="143">
        <v>0.0</v>
      </c>
      <c r="I35" s="1">
        <v>0.4</v>
      </c>
      <c r="J35" s="145">
        <v>0.444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 t="s">
        <v>463</v>
      </c>
      <c r="B36" s="142">
        <v>5.0</v>
      </c>
      <c r="C36" s="142">
        <v>20.0</v>
      </c>
      <c r="D36" s="1">
        <v>7.0</v>
      </c>
      <c r="E36" s="1">
        <f t="shared" si="3"/>
        <v>36</v>
      </c>
      <c r="F36" s="143">
        <v>7.2</v>
      </c>
      <c r="G36" s="1">
        <f t="shared" si="2"/>
        <v>0</v>
      </c>
      <c r="H36" s="143">
        <v>0.0</v>
      </c>
      <c r="I36" s="1">
        <v>0.4</v>
      </c>
      <c r="J36" s="145">
        <v>0.571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" t="s">
        <v>438</v>
      </c>
      <c r="B37" s="142">
        <v>5.0</v>
      </c>
      <c r="C37" s="142">
        <v>20.0</v>
      </c>
      <c r="D37" s="1">
        <v>9.0</v>
      </c>
      <c r="E37" s="1">
        <f t="shared" si="3"/>
        <v>32</v>
      </c>
      <c r="F37" s="143">
        <v>6.4</v>
      </c>
      <c r="G37" s="1">
        <f t="shared" si="2"/>
        <v>1</v>
      </c>
      <c r="H37" s="143">
        <v>0.2</v>
      </c>
      <c r="I37" s="1">
        <v>0.4</v>
      </c>
      <c r="J37" s="145">
        <v>0.444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470</v>
      </c>
      <c r="B38" s="142">
        <v>5.0</v>
      </c>
      <c r="C38" s="142">
        <v>20.0</v>
      </c>
      <c r="D38" s="1">
        <v>10.0</v>
      </c>
      <c r="E38" s="1">
        <f t="shared" si="3"/>
        <v>26</v>
      </c>
      <c r="F38" s="143">
        <v>5.2</v>
      </c>
      <c r="G38" s="1">
        <f t="shared" si="2"/>
        <v>0</v>
      </c>
      <c r="H38" s="143">
        <v>0.0</v>
      </c>
      <c r="I38" s="1">
        <v>0.2</v>
      </c>
      <c r="J38" s="145">
        <v>0.4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 t="s">
        <v>476</v>
      </c>
      <c r="B39" s="142">
        <v>5.0</v>
      </c>
      <c r="C39" s="142">
        <v>20.0</v>
      </c>
      <c r="D39" s="1">
        <v>8.0</v>
      </c>
      <c r="E39" s="1">
        <f t="shared" si="3"/>
        <v>26</v>
      </c>
      <c r="F39" s="143">
        <v>5.2</v>
      </c>
      <c r="G39" s="1">
        <f t="shared" si="2"/>
        <v>1</v>
      </c>
      <c r="H39" s="143">
        <v>0.2</v>
      </c>
      <c r="I39" s="1">
        <v>0.2</v>
      </c>
      <c r="J39" s="145">
        <v>0.625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459</v>
      </c>
      <c r="B40" s="142">
        <v>5.0</v>
      </c>
      <c r="C40" s="142">
        <v>20.0</v>
      </c>
      <c r="D40" s="1">
        <v>8.0</v>
      </c>
      <c r="E40" s="1">
        <f t="shared" si="3"/>
        <v>26</v>
      </c>
      <c r="F40" s="143">
        <v>5.2</v>
      </c>
      <c r="G40" s="1">
        <f t="shared" si="2"/>
        <v>0</v>
      </c>
      <c r="H40" s="143">
        <v>0.0</v>
      </c>
      <c r="I40" s="1">
        <v>0.2</v>
      </c>
      <c r="J40" s="145">
        <v>0.5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" t="s">
        <v>472</v>
      </c>
      <c r="B41" s="142">
        <v>5.0</v>
      </c>
      <c r="C41" s="142">
        <v>20.0</v>
      </c>
      <c r="D41" s="1">
        <v>9.0</v>
      </c>
      <c r="E41" s="1">
        <f t="shared" si="3"/>
        <v>24</v>
      </c>
      <c r="F41" s="143">
        <v>4.8</v>
      </c>
      <c r="G41" s="1">
        <f t="shared" si="2"/>
        <v>2</v>
      </c>
      <c r="H41" s="143">
        <v>0.4</v>
      </c>
      <c r="I41" s="1">
        <v>0.4</v>
      </c>
      <c r="J41" s="145">
        <v>0.333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" t="s">
        <v>447</v>
      </c>
      <c r="B42" s="142">
        <v>5.0</v>
      </c>
      <c r="C42" s="142">
        <v>20.0</v>
      </c>
      <c r="D42" s="1">
        <v>10.0</v>
      </c>
      <c r="E42" s="1">
        <f t="shared" si="3"/>
        <v>22</v>
      </c>
      <c r="F42" s="143">
        <v>4.4</v>
      </c>
      <c r="G42" s="1">
        <f t="shared" si="2"/>
        <v>2</v>
      </c>
      <c r="H42" s="143">
        <v>0.4</v>
      </c>
      <c r="I42" s="1">
        <v>0.2</v>
      </c>
      <c r="J42" s="145">
        <v>0.5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441</v>
      </c>
      <c r="B43" s="142">
        <v>5.0</v>
      </c>
      <c r="C43" s="142">
        <v>20.0</v>
      </c>
      <c r="D43" s="1">
        <v>15.0</v>
      </c>
      <c r="E43" s="1">
        <f t="shared" si="3"/>
        <v>18</v>
      </c>
      <c r="F43" s="143">
        <v>3.6</v>
      </c>
      <c r="G43" s="1">
        <f t="shared" si="2"/>
        <v>1</v>
      </c>
      <c r="H43" s="143">
        <v>0.2</v>
      </c>
      <c r="I43" s="1">
        <v>0.2</v>
      </c>
      <c r="J43" s="144">
        <v>0.2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445</v>
      </c>
      <c r="B44" s="142">
        <v>5.0</v>
      </c>
      <c r="C44" s="142">
        <v>20.0</v>
      </c>
      <c r="D44" s="1">
        <v>5.0</v>
      </c>
      <c r="E44" s="1">
        <f t="shared" si="3"/>
        <v>14</v>
      </c>
      <c r="F44" s="143">
        <v>2.8</v>
      </c>
      <c r="G44" s="1">
        <f t="shared" si="2"/>
        <v>1</v>
      </c>
      <c r="H44" s="143">
        <v>0.2</v>
      </c>
      <c r="I44" s="1">
        <v>0.2</v>
      </c>
      <c r="J44" s="145">
        <v>0.4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" t="s">
        <v>474</v>
      </c>
      <c r="B45" s="142">
        <v>5.0</v>
      </c>
      <c r="C45" s="142">
        <v>20.0</v>
      </c>
      <c r="D45" s="1">
        <v>6.0</v>
      </c>
      <c r="E45" s="1">
        <f t="shared" si="3"/>
        <v>14</v>
      </c>
      <c r="F45" s="143">
        <v>2.8</v>
      </c>
      <c r="G45" s="1">
        <f t="shared" si="2"/>
        <v>1</v>
      </c>
      <c r="H45" s="143">
        <v>0.2</v>
      </c>
      <c r="I45" s="1">
        <v>0.2</v>
      </c>
      <c r="J45" s="145">
        <v>0.333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" t="s">
        <v>475</v>
      </c>
      <c r="B46" s="142">
        <v>5.0</v>
      </c>
      <c r="C46" s="142">
        <v>20.0</v>
      </c>
      <c r="D46" s="1">
        <v>8.0</v>
      </c>
      <c r="E46" s="1">
        <f t="shared" si="3"/>
        <v>12</v>
      </c>
      <c r="F46" s="143">
        <v>2.4</v>
      </c>
      <c r="G46" s="1">
        <f t="shared" si="2"/>
        <v>0</v>
      </c>
      <c r="H46" s="143">
        <v>0.0</v>
      </c>
      <c r="I46" s="1">
        <v>0.0</v>
      </c>
      <c r="J46" s="144">
        <v>0.375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" t="s">
        <v>443</v>
      </c>
      <c r="B47" s="142">
        <v>5.0</v>
      </c>
      <c r="C47" s="142">
        <v>20.0</v>
      </c>
      <c r="D47" s="1">
        <v>9.0</v>
      </c>
      <c r="E47" s="1">
        <f t="shared" si="3"/>
        <v>10</v>
      </c>
      <c r="F47" s="143">
        <v>2.0</v>
      </c>
      <c r="G47" s="1">
        <f t="shared" si="2"/>
        <v>2</v>
      </c>
      <c r="H47" s="143">
        <v>0.4</v>
      </c>
      <c r="I47" s="1">
        <v>0.2</v>
      </c>
      <c r="J47" s="145">
        <v>0.222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" t="s">
        <v>468</v>
      </c>
      <c r="B48" s="142">
        <v>5.0</v>
      </c>
      <c r="C48" s="142">
        <v>20.0</v>
      </c>
      <c r="D48" s="1">
        <v>10.0</v>
      </c>
      <c r="E48" s="1">
        <v>8.0</v>
      </c>
      <c r="F48" s="143">
        <f>E48/C48*4</f>
        <v>1.6</v>
      </c>
      <c r="G48" s="1">
        <f t="shared" si="2"/>
        <v>2</v>
      </c>
      <c r="H48" s="143">
        <v>0.4</v>
      </c>
      <c r="I48" s="1">
        <v>0.0</v>
      </c>
      <c r="J48" s="145">
        <f>4/10</f>
        <v>0.4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473</v>
      </c>
      <c r="B49" s="142">
        <v>5.0</v>
      </c>
      <c r="C49" s="142">
        <v>20.0</v>
      </c>
      <c r="D49" s="1">
        <v>6.0</v>
      </c>
      <c r="E49" s="1">
        <f>F49/4*C49</f>
        <v>4</v>
      </c>
      <c r="F49" s="143">
        <v>0.8</v>
      </c>
      <c r="G49" s="1">
        <f t="shared" si="2"/>
        <v>0</v>
      </c>
      <c r="H49" s="143">
        <v>0.0</v>
      </c>
      <c r="I49" s="1">
        <v>0.0</v>
      </c>
      <c r="J49" s="145">
        <v>0.167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5"/>
  </cols>
  <sheetData>
    <row r="1">
      <c r="A1" s="138" t="s">
        <v>189</v>
      </c>
      <c r="B1" s="139" t="s">
        <v>425</v>
      </c>
      <c r="C1" s="139" t="s">
        <v>426</v>
      </c>
      <c r="D1" s="138" t="s">
        <v>194</v>
      </c>
      <c r="E1" s="138" t="s">
        <v>195</v>
      </c>
      <c r="F1" s="140" t="s">
        <v>421</v>
      </c>
      <c r="G1" s="138" t="s">
        <v>197</v>
      </c>
      <c r="H1" s="140" t="s">
        <v>422</v>
      </c>
      <c r="I1" s="138" t="s">
        <v>427</v>
      </c>
      <c r="J1" s="138" t="s">
        <v>428</v>
      </c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" t="s">
        <v>432</v>
      </c>
      <c r="B2" s="142">
        <v>5.0</v>
      </c>
      <c r="C2" s="142">
        <v>20.0</v>
      </c>
      <c r="D2" s="1">
        <v>19.0</v>
      </c>
      <c r="E2" s="1">
        <f t="shared" ref="E2:E14" si="1">F2/4*C2</f>
        <v>202</v>
      </c>
      <c r="F2" s="143">
        <v>40.4</v>
      </c>
      <c r="G2" s="1">
        <f t="shared" ref="G2:G49" si="2">H2/4*C2</f>
        <v>3</v>
      </c>
      <c r="H2" s="143">
        <v>0.6</v>
      </c>
      <c r="I2" s="1">
        <v>3.0</v>
      </c>
      <c r="J2" s="145">
        <v>0.842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457</v>
      </c>
      <c r="B3" s="142">
        <v>5.0</v>
      </c>
      <c r="C3" s="142">
        <v>20.0</v>
      </c>
      <c r="D3" s="1">
        <v>18.0</v>
      </c>
      <c r="E3" s="1">
        <f t="shared" si="1"/>
        <v>176</v>
      </c>
      <c r="F3" s="143">
        <v>35.2</v>
      </c>
      <c r="G3" s="1">
        <f t="shared" si="2"/>
        <v>1</v>
      </c>
      <c r="H3" s="143">
        <v>0.2</v>
      </c>
      <c r="I3" s="1">
        <v>2.4</v>
      </c>
      <c r="J3" s="145">
        <v>0.833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455</v>
      </c>
      <c r="B4" s="142">
        <v>5.0</v>
      </c>
      <c r="C4" s="142">
        <v>20.0</v>
      </c>
      <c r="D4" s="1">
        <v>16.0</v>
      </c>
      <c r="E4" s="1">
        <f t="shared" si="1"/>
        <v>174</v>
      </c>
      <c r="F4" s="143">
        <v>34.8</v>
      </c>
      <c r="G4" s="1">
        <f t="shared" si="2"/>
        <v>2</v>
      </c>
      <c r="H4" s="143">
        <v>0.4</v>
      </c>
      <c r="I4" s="1">
        <v>2.6</v>
      </c>
      <c r="J4" s="145">
        <v>0.813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451</v>
      </c>
      <c r="B5" s="142">
        <v>5.0</v>
      </c>
      <c r="C5" s="142">
        <v>20.0</v>
      </c>
      <c r="D5" s="1">
        <v>13.0</v>
      </c>
      <c r="E5" s="1">
        <f t="shared" si="1"/>
        <v>172</v>
      </c>
      <c r="F5" s="143">
        <v>34.4</v>
      </c>
      <c r="G5" s="1">
        <f t="shared" si="2"/>
        <v>0</v>
      </c>
      <c r="H5" s="143">
        <v>0.0</v>
      </c>
      <c r="I5" s="1">
        <v>2.4</v>
      </c>
      <c r="J5" s="145">
        <v>1.0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471</v>
      </c>
      <c r="B6" s="142">
        <v>5.0</v>
      </c>
      <c r="C6" s="142">
        <v>20.0</v>
      </c>
      <c r="D6" s="1">
        <v>14.0</v>
      </c>
      <c r="E6" s="1">
        <f t="shared" si="1"/>
        <v>156</v>
      </c>
      <c r="F6" s="143">
        <v>31.2</v>
      </c>
      <c r="G6" s="1">
        <f t="shared" si="2"/>
        <v>0</v>
      </c>
      <c r="H6" s="143">
        <v>0.0</v>
      </c>
      <c r="I6" s="1">
        <v>2.0</v>
      </c>
      <c r="J6" s="144">
        <v>1.0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465</v>
      </c>
      <c r="B7" s="142">
        <v>5.0</v>
      </c>
      <c r="C7" s="142">
        <v>20.0</v>
      </c>
      <c r="D7" s="1">
        <v>17.0</v>
      </c>
      <c r="E7" s="1">
        <f t="shared" si="1"/>
        <v>150</v>
      </c>
      <c r="F7" s="143">
        <v>30.0</v>
      </c>
      <c r="G7" s="1">
        <f t="shared" si="2"/>
        <v>3</v>
      </c>
      <c r="H7" s="143">
        <v>0.6</v>
      </c>
      <c r="I7" s="1">
        <v>2.2</v>
      </c>
      <c r="J7" s="144">
        <v>0.765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434</v>
      </c>
      <c r="B8" s="142">
        <v>5.0</v>
      </c>
      <c r="C8" s="142">
        <v>20.0</v>
      </c>
      <c r="D8" s="1">
        <v>15.0</v>
      </c>
      <c r="E8" s="1">
        <f t="shared" si="1"/>
        <v>150</v>
      </c>
      <c r="F8" s="143">
        <v>30.0</v>
      </c>
      <c r="G8" s="1">
        <f t="shared" si="2"/>
        <v>2</v>
      </c>
      <c r="H8" s="143">
        <v>0.4</v>
      </c>
      <c r="I8" s="1">
        <v>2.2</v>
      </c>
      <c r="J8" s="145">
        <v>0.8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452</v>
      </c>
      <c r="B9" s="142">
        <v>5.0</v>
      </c>
      <c r="C9" s="142">
        <v>20.0</v>
      </c>
      <c r="D9" s="1">
        <v>19.0</v>
      </c>
      <c r="E9" s="1">
        <f t="shared" si="1"/>
        <v>146</v>
      </c>
      <c r="F9" s="143">
        <v>29.2</v>
      </c>
      <c r="G9" s="1">
        <f t="shared" si="2"/>
        <v>5</v>
      </c>
      <c r="H9" s="143">
        <v>1.0</v>
      </c>
      <c r="I9" s="1">
        <v>2.2</v>
      </c>
      <c r="J9" s="144">
        <v>0.737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444</v>
      </c>
      <c r="B10" s="142">
        <v>5.0</v>
      </c>
      <c r="C10" s="142">
        <v>20.0</v>
      </c>
      <c r="D10" s="1">
        <v>19.0</v>
      </c>
      <c r="E10" s="1">
        <f t="shared" si="1"/>
        <v>142</v>
      </c>
      <c r="F10" s="143">
        <v>28.4</v>
      </c>
      <c r="G10" s="1">
        <f t="shared" si="2"/>
        <v>5</v>
      </c>
      <c r="H10" s="143">
        <v>1.0</v>
      </c>
      <c r="I10" s="1">
        <v>2.2</v>
      </c>
      <c r="J10" s="145">
        <v>0.684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439</v>
      </c>
      <c r="B11" s="142">
        <v>5.0</v>
      </c>
      <c r="C11" s="142">
        <v>20.0</v>
      </c>
      <c r="D11" s="1">
        <v>17.0</v>
      </c>
      <c r="E11" s="1">
        <f t="shared" si="1"/>
        <v>138</v>
      </c>
      <c r="F11" s="143">
        <v>27.6</v>
      </c>
      <c r="G11" s="1">
        <f t="shared" si="2"/>
        <v>1</v>
      </c>
      <c r="H11" s="143">
        <v>0.2</v>
      </c>
      <c r="I11" s="1">
        <v>1.8</v>
      </c>
      <c r="J11" s="144">
        <v>0.765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466</v>
      </c>
      <c r="B12" s="142">
        <v>5.0</v>
      </c>
      <c r="C12" s="142">
        <v>20.0</v>
      </c>
      <c r="D12" s="1">
        <v>15.0</v>
      </c>
      <c r="E12" s="1">
        <f t="shared" si="1"/>
        <v>116</v>
      </c>
      <c r="F12" s="143">
        <v>23.2</v>
      </c>
      <c r="G12" s="1">
        <f t="shared" si="2"/>
        <v>2</v>
      </c>
      <c r="H12" s="143">
        <v>0.4</v>
      </c>
      <c r="I12" s="1">
        <v>1.6</v>
      </c>
      <c r="J12" s="144">
        <v>0.733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435</v>
      </c>
      <c r="B13" s="142">
        <v>5.0</v>
      </c>
      <c r="C13" s="142">
        <v>20.0</v>
      </c>
      <c r="D13" s="1">
        <v>15.0</v>
      </c>
      <c r="E13" s="1">
        <f t="shared" si="1"/>
        <v>108</v>
      </c>
      <c r="F13" s="143">
        <v>21.6</v>
      </c>
      <c r="G13" s="1">
        <f t="shared" si="2"/>
        <v>0</v>
      </c>
      <c r="H13" s="143">
        <v>0.0</v>
      </c>
      <c r="I13" s="1">
        <v>1.2</v>
      </c>
      <c r="J13" s="145">
        <v>0.8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440</v>
      </c>
      <c r="B14" s="142">
        <v>5.0</v>
      </c>
      <c r="C14" s="142">
        <v>20.0</v>
      </c>
      <c r="D14" s="1">
        <v>11.0</v>
      </c>
      <c r="E14" s="1">
        <f t="shared" si="1"/>
        <v>104</v>
      </c>
      <c r="F14" s="143">
        <v>20.8</v>
      </c>
      <c r="G14" s="1">
        <f t="shared" si="2"/>
        <v>0</v>
      </c>
      <c r="H14" s="143">
        <v>0.0</v>
      </c>
      <c r="I14" s="1">
        <v>1.2</v>
      </c>
      <c r="J14" s="145">
        <v>1.0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468</v>
      </c>
      <c r="B15" s="142">
        <v>5.0</v>
      </c>
      <c r="C15" s="142">
        <v>20.0</v>
      </c>
      <c r="D15" s="1">
        <v>12.0</v>
      </c>
      <c r="E15" s="1">
        <v>102.0</v>
      </c>
      <c r="F15" s="143">
        <f>E15/C15*4</f>
        <v>20.4</v>
      </c>
      <c r="G15" s="1">
        <f t="shared" si="2"/>
        <v>0</v>
      </c>
      <c r="H15" s="143">
        <v>0.0</v>
      </c>
      <c r="I15" s="1">
        <v>1.4</v>
      </c>
      <c r="J15" s="145">
        <f>8/12</f>
        <v>0.6666666667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431</v>
      </c>
      <c r="B16" s="142">
        <v>5.0</v>
      </c>
      <c r="C16" s="142">
        <v>20.0</v>
      </c>
      <c r="D16" s="1">
        <v>15.0</v>
      </c>
      <c r="E16" s="1">
        <f t="shared" ref="E16:E29" si="3">F16/4*C16</f>
        <v>102</v>
      </c>
      <c r="F16" s="143">
        <v>20.4</v>
      </c>
      <c r="G16" s="1">
        <f t="shared" si="2"/>
        <v>1</v>
      </c>
      <c r="H16" s="143">
        <v>0.2</v>
      </c>
      <c r="I16" s="1">
        <v>1.4</v>
      </c>
      <c r="J16" s="145">
        <v>0.6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442</v>
      </c>
      <c r="B17" s="142">
        <v>5.0</v>
      </c>
      <c r="C17" s="142">
        <v>20.0</v>
      </c>
      <c r="D17" s="1">
        <v>15.0</v>
      </c>
      <c r="E17" s="1">
        <f t="shared" si="3"/>
        <v>96</v>
      </c>
      <c r="F17" s="143">
        <v>19.2</v>
      </c>
      <c r="G17" s="1">
        <f t="shared" si="2"/>
        <v>3</v>
      </c>
      <c r="H17" s="143">
        <v>0.6</v>
      </c>
      <c r="I17" s="1">
        <v>1.2</v>
      </c>
      <c r="J17" s="144">
        <v>0.8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460</v>
      </c>
      <c r="B18" s="142">
        <v>5.0</v>
      </c>
      <c r="C18" s="142">
        <v>20.0</v>
      </c>
      <c r="D18" s="1">
        <v>13.0</v>
      </c>
      <c r="E18" s="1">
        <f t="shared" si="3"/>
        <v>92</v>
      </c>
      <c r="F18" s="143">
        <v>18.4</v>
      </c>
      <c r="G18" s="1">
        <f t="shared" si="2"/>
        <v>1</v>
      </c>
      <c r="H18" s="143">
        <v>0.2</v>
      </c>
      <c r="I18" s="1">
        <v>1.2</v>
      </c>
      <c r="J18" s="144">
        <v>0.692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430</v>
      </c>
      <c r="B19" s="142">
        <v>5.0</v>
      </c>
      <c r="C19" s="142">
        <v>20.0</v>
      </c>
      <c r="D19" s="1">
        <v>18.0</v>
      </c>
      <c r="E19" s="1">
        <f t="shared" si="3"/>
        <v>90</v>
      </c>
      <c r="F19" s="143">
        <v>18.0</v>
      </c>
      <c r="G19" s="1">
        <f t="shared" si="2"/>
        <v>1</v>
      </c>
      <c r="H19" s="143">
        <v>0.2</v>
      </c>
      <c r="I19" s="1">
        <v>1.0</v>
      </c>
      <c r="J19" s="144">
        <v>0.611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449</v>
      </c>
      <c r="B20" s="142">
        <v>5.0</v>
      </c>
      <c r="C20" s="142">
        <v>20.0</v>
      </c>
      <c r="D20" s="1">
        <v>15.0</v>
      </c>
      <c r="E20" s="1">
        <f t="shared" si="3"/>
        <v>86</v>
      </c>
      <c r="F20" s="143">
        <v>17.2</v>
      </c>
      <c r="G20" s="1">
        <f t="shared" si="2"/>
        <v>2</v>
      </c>
      <c r="H20" s="143">
        <v>0.4</v>
      </c>
      <c r="I20" s="1">
        <v>1.0</v>
      </c>
      <c r="J20" s="145">
        <v>0.733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 t="s">
        <v>464</v>
      </c>
      <c r="B21" s="142">
        <v>5.0</v>
      </c>
      <c r="C21" s="142">
        <v>20.0</v>
      </c>
      <c r="D21" s="1">
        <v>14.0</v>
      </c>
      <c r="E21" s="1">
        <f t="shared" si="3"/>
        <v>82</v>
      </c>
      <c r="F21" s="143">
        <v>16.4</v>
      </c>
      <c r="G21" s="1">
        <f t="shared" si="2"/>
        <v>2</v>
      </c>
      <c r="H21" s="143">
        <v>0.4</v>
      </c>
      <c r="I21" s="1">
        <v>1.0</v>
      </c>
      <c r="J21" s="144">
        <v>0.714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429</v>
      </c>
      <c r="B22" s="142">
        <v>5.0</v>
      </c>
      <c r="C22" s="142">
        <v>20.0</v>
      </c>
      <c r="D22" s="1">
        <v>15.0</v>
      </c>
      <c r="E22" s="1">
        <f t="shared" si="3"/>
        <v>82</v>
      </c>
      <c r="F22" s="143">
        <v>16.4</v>
      </c>
      <c r="G22" s="1">
        <f t="shared" si="2"/>
        <v>0</v>
      </c>
      <c r="H22" s="143">
        <v>0.0</v>
      </c>
      <c r="I22" s="1">
        <v>1.0</v>
      </c>
      <c r="J22" s="144">
        <v>0.533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 t="s">
        <v>462</v>
      </c>
      <c r="B23" s="142">
        <v>5.0</v>
      </c>
      <c r="C23" s="142">
        <v>20.0</v>
      </c>
      <c r="D23" s="1">
        <v>12.0</v>
      </c>
      <c r="E23" s="1">
        <f t="shared" si="3"/>
        <v>78</v>
      </c>
      <c r="F23" s="143">
        <v>15.6</v>
      </c>
      <c r="G23" s="1">
        <f t="shared" si="2"/>
        <v>1</v>
      </c>
      <c r="H23" s="143">
        <v>0.2</v>
      </c>
      <c r="I23" s="1">
        <v>1.0</v>
      </c>
      <c r="J23" s="145">
        <v>0.667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" t="s">
        <v>450</v>
      </c>
      <c r="B24" s="142">
        <v>5.0</v>
      </c>
      <c r="C24" s="142">
        <v>20.0</v>
      </c>
      <c r="D24" s="1">
        <v>12.0</v>
      </c>
      <c r="E24" s="1">
        <f t="shared" si="3"/>
        <v>78</v>
      </c>
      <c r="F24" s="143">
        <v>15.6</v>
      </c>
      <c r="G24" s="1">
        <f t="shared" si="2"/>
        <v>5</v>
      </c>
      <c r="H24" s="143">
        <v>1.0</v>
      </c>
      <c r="I24" s="1">
        <v>1.4</v>
      </c>
      <c r="J24" s="145">
        <v>0.583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 t="s">
        <v>458</v>
      </c>
      <c r="B25" s="142">
        <v>5.0</v>
      </c>
      <c r="C25" s="142">
        <v>20.0</v>
      </c>
      <c r="D25" s="1">
        <v>15.0</v>
      </c>
      <c r="E25" s="1">
        <f t="shared" si="3"/>
        <v>76</v>
      </c>
      <c r="F25" s="143">
        <v>15.2</v>
      </c>
      <c r="G25" s="1">
        <f t="shared" si="2"/>
        <v>4</v>
      </c>
      <c r="H25" s="143">
        <v>0.8</v>
      </c>
      <c r="I25" s="1">
        <v>1.2</v>
      </c>
      <c r="J25" s="145">
        <v>0.533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448</v>
      </c>
      <c r="B26" s="142">
        <v>5.0</v>
      </c>
      <c r="C26" s="142">
        <v>20.0</v>
      </c>
      <c r="D26" s="1">
        <v>14.0</v>
      </c>
      <c r="E26" s="1">
        <f t="shared" si="3"/>
        <v>76</v>
      </c>
      <c r="F26" s="143">
        <v>15.2</v>
      </c>
      <c r="G26" s="1">
        <f t="shared" si="2"/>
        <v>5</v>
      </c>
      <c r="H26" s="143">
        <v>1.0</v>
      </c>
      <c r="I26" s="1">
        <v>1.2</v>
      </c>
      <c r="J26" s="145">
        <v>0.643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 t="s">
        <v>445</v>
      </c>
      <c r="B27" s="142">
        <v>5.0</v>
      </c>
      <c r="C27" s="142">
        <v>20.0</v>
      </c>
      <c r="D27" s="1">
        <v>12.0</v>
      </c>
      <c r="E27" s="1">
        <f t="shared" si="3"/>
        <v>72</v>
      </c>
      <c r="F27" s="143">
        <v>14.4</v>
      </c>
      <c r="G27" s="1">
        <f t="shared" si="2"/>
        <v>1</v>
      </c>
      <c r="H27" s="143">
        <v>0.2</v>
      </c>
      <c r="I27" s="1">
        <v>0.8</v>
      </c>
      <c r="J27" s="145">
        <v>0.75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467</v>
      </c>
      <c r="B28" s="142">
        <v>5.0</v>
      </c>
      <c r="C28" s="142">
        <v>20.0</v>
      </c>
      <c r="D28" s="1">
        <v>15.0</v>
      </c>
      <c r="E28" s="1">
        <f t="shared" si="3"/>
        <v>68</v>
      </c>
      <c r="F28" s="143">
        <v>13.6</v>
      </c>
      <c r="G28" s="1">
        <f t="shared" si="2"/>
        <v>2</v>
      </c>
      <c r="H28" s="143">
        <v>0.4</v>
      </c>
      <c r="I28" s="1">
        <v>0.8</v>
      </c>
      <c r="J28" s="145">
        <v>0.6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437</v>
      </c>
      <c r="B29" s="142">
        <v>5.0</v>
      </c>
      <c r="C29" s="142">
        <v>20.0</v>
      </c>
      <c r="D29" s="1">
        <v>14.0</v>
      </c>
      <c r="E29" s="1">
        <f t="shared" si="3"/>
        <v>68</v>
      </c>
      <c r="F29" s="143">
        <v>13.6</v>
      </c>
      <c r="G29" s="1">
        <f t="shared" si="2"/>
        <v>2</v>
      </c>
      <c r="H29" s="143">
        <v>0.4</v>
      </c>
      <c r="I29" s="1">
        <v>0.8</v>
      </c>
      <c r="J29" s="144">
        <v>0.643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 t="s">
        <v>446</v>
      </c>
      <c r="B30" s="142">
        <v>5.0</v>
      </c>
      <c r="C30" s="142">
        <v>20.0</v>
      </c>
      <c r="D30" s="1">
        <v>10.0</v>
      </c>
      <c r="E30" s="1">
        <v>68.0</v>
      </c>
      <c r="F30" s="143">
        <f>E30/C30*4</f>
        <v>13.6</v>
      </c>
      <c r="G30" s="1">
        <f t="shared" si="2"/>
        <v>1</v>
      </c>
      <c r="H30" s="143">
        <v>0.2</v>
      </c>
      <c r="I30" s="1">
        <v>1.0</v>
      </c>
      <c r="J30" s="145">
        <f>8/10</f>
        <v>0.8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 t="s">
        <v>433</v>
      </c>
      <c r="B31" s="142">
        <v>5.0</v>
      </c>
      <c r="C31" s="142">
        <v>20.0</v>
      </c>
      <c r="D31" s="1">
        <v>13.0</v>
      </c>
      <c r="E31" s="1">
        <f t="shared" ref="E31:E49" si="4">F31/4*C31</f>
        <v>62</v>
      </c>
      <c r="F31" s="143">
        <v>12.4</v>
      </c>
      <c r="G31" s="1">
        <f t="shared" si="2"/>
        <v>1</v>
      </c>
      <c r="H31" s="143">
        <v>0.2</v>
      </c>
      <c r="I31" s="1">
        <v>0.6</v>
      </c>
      <c r="J31" s="145">
        <v>0.692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 t="s">
        <v>470</v>
      </c>
      <c r="B32" s="142">
        <v>5.0</v>
      </c>
      <c r="C32" s="142">
        <v>20.0</v>
      </c>
      <c r="D32" s="1">
        <v>11.0</v>
      </c>
      <c r="E32" s="1">
        <f t="shared" si="4"/>
        <v>58</v>
      </c>
      <c r="F32" s="143">
        <v>11.6</v>
      </c>
      <c r="G32" s="1">
        <f t="shared" si="2"/>
        <v>0</v>
      </c>
      <c r="H32" s="143">
        <v>0.0</v>
      </c>
      <c r="I32" s="1">
        <v>0.6</v>
      </c>
      <c r="J32" s="144">
        <v>0.636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454</v>
      </c>
      <c r="B33" s="142">
        <v>5.0</v>
      </c>
      <c r="C33" s="142">
        <v>20.0</v>
      </c>
      <c r="D33" s="1">
        <v>17.0</v>
      </c>
      <c r="E33" s="1">
        <f t="shared" si="4"/>
        <v>56</v>
      </c>
      <c r="F33" s="143">
        <v>11.2</v>
      </c>
      <c r="G33" s="1">
        <f t="shared" si="2"/>
        <v>2</v>
      </c>
      <c r="H33" s="143">
        <v>0.4</v>
      </c>
      <c r="I33" s="1">
        <v>0.4</v>
      </c>
      <c r="J33" s="145">
        <v>0.647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438</v>
      </c>
      <c r="B34" s="142">
        <v>5.0</v>
      </c>
      <c r="C34" s="142">
        <v>20.0</v>
      </c>
      <c r="D34" s="1">
        <v>9.0</v>
      </c>
      <c r="E34" s="1">
        <f t="shared" si="4"/>
        <v>54</v>
      </c>
      <c r="F34" s="143">
        <v>10.8</v>
      </c>
      <c r="G34" s="1">
        <f t="shared" si="2"/>
        <v>0</v>
      </c>
      <c r="H34" s="143">
        <v>0.0</v>
      </c>
      <c r="I34" s="1">
        <v>0.6</v>
      </c>
      <c r="J34" s="145">
        <v>0.667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 t="s">
        <v>453</v>
      </c>
      <c r="B35" s="142">
        <v>5.0</v>
      </c>
      <c r="C35" s="142">
        <v>20.0</v>
      </c>
      <c r="D35" s="1">
        <v>19.0</v>
      </c>
      <c r="E35" s="1">
        <f t="shared" si="4"/>
        <v>48</v>
      </c>
      <c r="F35" s="143">
        <v>9.6</v>
      </c>
      <c r="G35" s="1">
        <f t="shared" si="2"/>
        <v>6</v>
      </c>
      <c r="H35" s="143">
        <v>1.2</v>
      </c>
      <c r="I35" s="1">
        <v>0.8</v>
      </c>
      <c r="J35" s="144">
        <v>0.421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 t="s">
        <v>447</v>
      </c>
      <c r="B36" s="142">
        <v>5.0</v>
      </c>
      <c r="C36" s="142">
        <v>20.0</v>
      </c>
      <c r="D36" s="1">
        <v>14.0</v>
      </c>
      <c r="E36" s="1">
        <f t="shared" si="4"/>
        <v>36</v>
      </c>
      <c r="F36" s="143">
        <v>7.2</v>
      </c>
      <c r="G36" s="1">
        <f t="shared" si="2"/>
        <v>4</v>
      </c>
      <c r="H36" s="143">
        <v>0.8</v>
      </c>
      <c r="I36" s="1">
        <v>0.4</v>
      </c>
      <c r="J36" s="145">
        <v>0.571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" t="s">
        <v>461</v>
      </c>
      <c r="B37" s="142">
        <v>5.0</v>
      </c>
      <c r="C37" s="142">
        <v>20.0</v>
      </c>
      <c r="D37" s="1">
        <v>10.0</v>
      </c>
      <c r="E37" s="1">
        <f t="shared" si="4"/>
        <v>36</v>
      </c>
      <c r="F37" s="143">
        <v>7.2</v>
      </c>
      <c r="G37" s="1">
        <f t="shared" si="2"/>
        <v>2</v>
      </c>
      <c r="H37" s="143">
        <v>0.4</v>
      </c>
      <c r="I37" s="1">
        <v>0.4</v>
      </c>
      <c r="J37" s="145">
        <v>0.6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441</v>
      </c>
      <c r="B38" s="142">
        <v>5.0</v>
      </c>
      <c r="C38" s="142">
        <v>20.0</v>
      </c>
      <c r="D38" s="1">
        <v>13.0</v>
      </c>
      <c r="E38" s="1">
        <f t="shared" si="4"/>
        <v>34</v>
      </c>
      <c r="F38" s="143">
        <v>6.8</v>
      </c>
      <c r="G38" s="1">
        <f t="shared" si="2"/>
        <v>1</v>
      </c>
      <c r="H38" s="143">
        <v>0.2</v>
      </c>
      <c r="I38" s="1">
        <v>0.2</v>
      </c>
      <c r="J38" s="145">
        <v>0.538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 t="s">
        <v>474</v>
      </c>
      <c r="B39" s="142">
        <v>5.0</v>
      </c>
      <c r="C39" s="142">
        <v>20.0</v>
      </c>
      <c r="D39" s="1">
        <v>13.0</v>
      </c>
      <c r="E39" s="1">
        <f t="shared" si="4"/>
        <v>30</v>
      </c>
      <c r="F39" s="143">
        <v>6.0</v>
      </c>
      <c r="G39" s="1">
        <f t="shared" si="2"/>
        <v>2</v>
      </c>
      <c r="H39" s="143">
        <v>0.4</v>
      </c>
      <c r="I39" s="1">
        <v>0.2</v>
      </c>
      <c r="J39" s="145">
        <v>0.538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443</v>
      </c>
      <c r="B40" s="142">
        <v>5.0</v>
      </c>
      <c r="C40" s="142">
        <v>20.0</v>
      </c>
      <c r="D40" s="1">
        <v>14.0</v>
      </c>
      <c r="E40" s="1">
        <f t="shared" si="4"/>
        <v>26</v>
      </c>
      <c r="F40" s="143">
        <v>5.2</v>
      </c>
      <c r="G40" s="1">
        <f t="shared" si="2"/>
        <v>2</v>
      </c>
      <c r="H40" s="143">
        <v>0.4</v>
      </c>
      <c r="I40" s="1">
        <v>0.2</v>
      </c>
      <c r="J40" s="145">
        <v>0.429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" t="s">
        <v>476</v>
      </c>
      <c r="B41" s="142">
        <v>5.0</v>
      </c>
      <c r="C41" s="142">
        <v>20.0</v>
      </c>
      <c r="D41" s="1">
        <v>10.0</v>
      </c>
      <c r="E41" s="1">
        <f t="shared" si="4"/>
        <v>26</v>
      </c>
      <c r="F41" s="143">
        <v>5.2</v>
      </c>
      <c r="G41" s="1">
        <f t="shared" si="2"/>
        <v>1</v>
      </c>
      <c r="H41" s="143">
        <v>0.2</v>
      </c>
      <c r="I41" s="1">
        <v>0.2</v>
      </c>
      <c r="J41" s="145">
        <v>0.5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" t="s">
        <v>436</v>
      </c>
      <c r="B42" s="142">
        <v>5.0</v>
      </c>
      <c r="C42" s="142">
        <v>20.0</v>
      </c>
      <c r="D42" s="1">
        <v>12.0</v>
      </c>
      <c r="E42" s="1">
        <f t="shared" si="4"/>
        <v>26</v>
      </c>
      <c r="F42" s="143">
        <v>5.2</v>
      </c>
      <c r="G42" s="1">
        <f t="shared" si="2"/>
        <v>2</v>
      </c>
      <c r="H42" s="143">
        <v>0.4</v>
      </c>
      <c r="I42" s="1">
        <v>0.2</v>
      </c>
      <c r="J42" s="144">
        <v>0.5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456</v>
      </c>
      <c r="B43" s="142">
        <v>5.0</v>
      </c>
      <c r="C43" s="142">
        <v>20.0</v>
      </c>
      <c r="D43" s="1">
        <v>12.0</v>
      </c>
      <c r="E43" s="1">
        <f t="shared" si="4"/>
        <v>22</v>
      </c>
      <c r="F43" s="143">
        <v>4.4</v>
      </c>
      <c r="G43" s="1">
        <f t="shared" si="2"/>
        <v>3</v>
      </c>
      <c r="H43" s="143">
        <v>0.6</v>
      </c>
      <c r="I43" s="1">
        <v>0.2</v>
      </c>
      <c r="J43" s="145">
        <v>0.5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463</v>
      </c>
      <c r="B44" s="142">
        <v>5.0</v>
      </c>
      <c r="C44" s="142">
        <v>20.0</v>
      </c>
      <c r="D44" s="1">
        <v>6.0</v>
      </c>
      <c r="E44" s="1">
        <f t="shared" si="4"/>
        <v>18</v>
      </c>
      <c r="F44" s="143">
        <v>3.6</v>
      </c>
      <c r="G44" s="1">
        <f t="shared" si="2"/>
        <v>0</v>
      </c>
      <c r="H44" s="143">
        <v>0.0</v>
      </c>
      <c r="I44" s="1">
        <v>0.2</v>
      </c>
      <c r="J44" s="145">
        <v>0.333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" t="s">
        <v>459</v>
      </c>
      <c r="B45" s="142">
        <v>5.0</v>
      </c>
      <c r="C45" s="142">
        <v>20.0</v>
      </c>
      <c r="D45" s="1">
        <v>6.0</v>
      </c>
      <c r="E45" s="1">
        <f t="shared" si="4"/>
        <v>18</v>
      </c>
      <c r="F45" s="143">
        <v>3.6</v>
      </c>
      <c r="G45" s="1">
        <f t="shared" si="2"/>
        <v>0</v>
      </c>
      <c r="H45" s="143">
        <v>0.0</v>
      </c>
      <c r="I45" s="1">
        <v>0.2</v>
      </c>
      <c r="J45" s="145">
        <v>0.333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" t="s">
        <v>473</v>
      </c>
      <c r="B46" s="142">
        <v>5.0</v>
      </c>
      <c r="C46" s="142">
        <v>20.0</v>
      </c>
      <c r="D46" s="1">
        <v>8.0</v>
      </c>
      <c r="E46" s="1">
        <f t="shared" si="4"/>
        <v>14</v>
      </c>
      <c r="F46" s="143">
        <v>2.8</v>
      </c>
      <c r="G46" s="1">
        <f t="shared" si="2"/>
        <v>0</v>
      </c>
      <c r="H46" s="143">
        <v>0.0</v>
      </c>
      <c r="I46" s="1">
        <v>0.2</v>
      </c>
      <c r="J46" s="145">
        <v>0.125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" t="s">
        <v>475</v>
      </c>
      <c r="B47" s="142">
        <v>5.0</v>
      </c>
      <c r="C47" s="142">
        <v>20.0</v>
      </c>
      <c r="D47" s="1">
        <v>8.0</v>
      </c>
      <c r="E47" s="1">
        <f t="shared" si="4"/>
        <v>12</v>
      </c>
      <c r="F47" s="143">
        <v>2.4</v>
      </c>
      <c r="G47" s="1">
        <f t="shared" si="2"/>
        <v>1</v>
      </c>
      <c r="H47" s="143">
        <v>0.2</v>
      </c>
      <c r="I47" s="1">
        <v>0.0</v>
      </c>
      <c r="J47" s="145">
        <v>0.5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" t="s">
        <v>469</v>
      </c>
      <c r="B48" s="142">
        <v>5.0</v>
      </c>
      <c r="C48" s="142">
        <v>20.0</v>
      </c>
      <c r="D48" s="1">
        <v>6.0</v>
      </c>
      <c r="E48" s="1">
        <f t="shared" si="4"/>
        <v>12</v>
      </c>
      <c r="F48" s="143">
        <v>2.4</v>
      </c>
      <c r="G48" s="1">
        <f t="shared" si="2"/>
        <v>0</v>
      </c>
      <c r="H48" s="143">
        <v>0.0</v>
      </c>
      <c r="I48" s="1">
        <v>0.0</v>
      </c>
      <c r="J48" s="144">
        <v>0.5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472</v>
      </c>
      <c r="B49" s="142">
        <v>5.0</v>
      </c>
      <c r="C49" s="142">
        <v>20.0</v>
      </c>
      <c r="D49" s="1">
        <v>9.0</v>
      </c>
      <c r="E49" s="1">
        <f t="shared" si="4"/>
        <v>4</v>
      </c>
      <c r="F49" s="143">
        <v>0.8</v>
      </c>
      <c r="G49" s="1">
        <f t="shared" si="2"/>
        <v>3</v>
      </c>
      <c r="H49" s="143">
        <v>0.6</v>
      </c>
      <c r="I49" s="1">
        <v>0.0</v>
      </c>
      <c r="J49" s="145">
        <v>0.444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25"/>
  </cols>
  <sheetData>
    <row r="1">
      <c r="A1" s="138" t="s">
        <v>189</v>
      </c>
      <c r="B1" s="139" t="s">
        <v>425</v>
      </c>
      <c r="C1" s="139" t="s">
        <v>426</v>
      </c>
      <c r="D1" s="138" t="s">
        <v>194</v>
      </c>
      <c r="E1" s="138" t="s">
        <v>195</v>
      </c>
      <c r="F1" s="140" t="s">
        <v>421</v>
      </c>
      <c r="G1" s="138" t="s">
        <v>197</v>
      </c>
      <c r="H1" s="140" t="s">
        <v>422</v>
      </c>
      <c r="I1" s="138" t="s">
        <v>427</v>
      </c>
      <c r="J1" s="138" t="s">
        <v>428</v>
      </c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" t="s">
        <v>440</v>
      </c>
      <c r="B2" s="142">
        <v>5.0</v>
      </c>
      <c r="C2" s="142">
        <v>20.0</v>
      </c>
      <c r="D2" s="1">
        <v>17.0</v>
      </c>
      <c r="E2" s="1">
        <f t="shared" ref="E2:E24" si="1">F2/4*C2</f>
        <v>194</v>
      </c>
      <c r="F2" s="143">
        <v>38.8</v>
      </c>
      <c r="G2" s="1">
        <f t="shared" ref="G2:G49" si="2">H2/4*C2</f>
        <v>0</v>
      </c>
      <c r="H2" s="143">
        <v>0.0</v>
      </c>
      <c r="I2" s="1">
        <v>2.6</v>
      </c>
      <c r="J2" s="145">
        <v>0.941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444</v>
      </c>
      <c r="B3" s="142">
        <v>5.0</v>
      </c>
      <c r="C3" s="142">
        <v>20.0</v>
      </c>
      <c r="D3" s="1">
        <v>19.0</v>
      </c>
      <c r="E3" s="1">
        <f t="shared" si="1"/>
        <v>184</v>
      </c>
      <c r="F3" s="143">
        <v>36.8</v>
      </c>
      <c r="G3" s="1">
        <f t="shared" si="2"/>
        <v>4</v>
      </c>
      <c r="H3" s="143">
        <v>0.8</v>
      </c>
      <c r="I3" s="1">
        <v>2.8</v>
      </c>
      <c r="J3" s="145">
        <v>0.789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439</v>
      </c>
      <c r="B4" s="142">
        <v>5.0</v>
      </c>
      <c r="C4" s="142">
        <v>20.0</v>
      </c>
      <c r="D4" s="1">
        <v>18.0</v>
      </c>
      <c r="E4" s="1">
        <f t="shared" si="1"/>
        <v>182</v>
      </c>
      <c r="F4" s="143">
        <v>36.4</v>
      </c>
      <c r="G4" s="1">
        <f t="shared" si="2"/>
        <v>2</v>
      </c>
      <c r="H4" s="143">
        <v>0.4</v>
      </c>
      <c r="I4" s="1">
        <v>2.6</v>
      </c>
      <c r="J4" s="145">
        <v>0.833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432</v>
      </c>
      <c r="B5" s="142">
        <v>5.0</v>
      </c>
      <c r="C5" s="142">
        <v>20.0</v>
      </c>
      <c r="D5" s="1">
        <v>18.0</v>
      </c>
      <c r="E5" s="1">
        <f t="shared" si="1"/>
        <v>158</v>
      </c>
      <c r="F5" s="143">
        <v>31.6</v>
      </c>
      <c r="G5" s="1">
        <f t="shared" si="2"/>
        <v>2</v>
      </c>
      <c r="H5" s="143">
        <v>0.4</v>
      </c>
      <c r="I5" s="1">
        <v>2.2</v>
      </c>
      <c r="J5" s="145">
        <v>0.778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433</v>
      </c>
      <c r="B6" s="142">
        <v>5.0</v>
      </c>
      <c r="C6" s="142">
        <v>20.0</v>
      </c>
      <c r="D6" s="1">
        <v>17.0</v>
      </c>
      <c r="E6" s="1">
        <f t="shared" si="1"/>
        <v>158</v>
      </c>
      <c r="F6" s="143">
        <v>31.6</v>
      </c>
      <c r="G6" s="1">
        <f t="shared" si="2"/>
        <v>1</v>
      </c>
      <c r="H6" s="143">
        <v>0.2</v>
      </c>
      <c r="I6" s="1">
        <v>2.2</v>
      </c>
      <c r="J6" s="144">
        <v>0.765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452</v>
      </c>
      <c r="B7" s="142">
        <v>5.0</v>
      </c>
      <c r="C7" s="142">
        <v>20.0</v>
      </c>
      <c r="D7" s="1">
        <v>14.0</v>
      </c>
      <c r="E7" s="1">
        <f t="shared" si="1"/>
        <v>140</v>
      </c>
      <c r="F7" s="143">
        <v>28.0</v>
      </c>
      <c r="G7" s="1">
        <f t="shared" si="2"/>
        <v>2</v>
      </c>
      <c r="H7" s="143">
        <v>0.4</v>
      </c>
      <c r="I7" s="1">
        <v>2.0</v>
      </c>
      <c r="J7" s="144">
        <v>0.857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435</v>
      </c>
      <c r="B8" s="142">
        <v>5.0</v>
      </c>
      <c r="C8" s="142">
        <v>20.0</v>
      </c>
      <c r="D8" s="1">
        <v>15.0</v>
      </c>
      <c r="E8" s="1">
        <f t="shared" si="1"/>
        <v>130</v>
      </c>
      <c r="F8" s="143">
        <v>26.0</v>
      </c>
      <c r="G8" s="1">
        <f t="shared" si="2"/>
        <v>1</v>
      </c>
      <c r="H8" s="143">
        <v>0.2</v>
      </c>
      <c r="I8" s="1">
        <v>1.8</v>
      </c>
      <c r="J8" s="145">
        <v>0.733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456</v>
      </c>
      <c r="B9" s="142">
        <v>5.0</v>
      </c>
      <c r="C9" s="142">
        <v>20.0</v>
      </c>
      <c r="D9" s="1">
        <v>14.0</v>
      </c>
      <c r="E9" s="1">
        <f t="shared" si="1"/>
        <v>120</v>
      </c>
      <c r="F9" s="143">
        <v>24.0</v>
      </c>
      <c r="G9" s="1">
        <f t="shared" si="2"/>
        <v>0</v>
      </c>
      <c r="H9" s="143">
        <v>0.0</v>
      </c>
      <c r="I9" s="1">
        <v>1.6</v>
      </c>
      <c r="J9" s="144">
        <v>0.714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437</v>
      </c>
      <c r="B10" s="142">
        <v>5.0</v>
      </c>
      <c r="C10" s="142">
        <v>20.0</v>
      </c>
      <c r="D10" s="1">
        <v>16.0</v>
      </c>
      <c r="E10" s="1">
        <f t="shared" si="1"/>
        <v>116</v>
      </c>
      <c r="F10" s="143">
        <v>23.2</v>
      </c>
      <c r="G10" s="1">
        <f t="shared" si="2"/>
        <v>2</v>
      </c>
      <c r="H10" s="143">
        <v>0.4</v>
      </c>
      <c r="I10" s="1">
        <v>1.6</v>
      </c>
      <c r="J10" s="145">
        <v>0.688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455</v>
      </c>
      <c r="B11" s="142">
        <v>5.0</v>
      </c>
      <c r="C11" s="142">
        <v>20.0</v>
      </c>
      <c r="D11" s="1">
        <v>17.0</v>
      </c>
      <c r="E11" s="1">
        <f t="shared" si="1"/>
        <v>114</v>
      </c>
      <c r="F11" s="143">
        <v>22.8</v>
      </c>
      <c r="G11" s="1">
        <f t="shared" si="2"/>
        <v>0</v>
      </c>
      <c r="H11" s="143">
        <v>0.0</v>
      </c>
      <c r="I11" s="1">
        <v>1.4</v>
      </c>
      <c r="J11" s="145">
        <v>0.647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451</v>
      </c>
      <c r="B12" s="142">
        <v>5.0</v>
      </c>
      <c r="C12" s="142">
        <v>20.0</v>
      </c>
      <c r="D12" s="1">
        <v>14.0</v>
      </c>
      <c r="E12" s="1">
        <f t="shared" si="1"/>
        <v>112</v>
      </c>
      <c r="F12" s="143">
        <v>22.4</v>
      </c>
      <c r="G12" s="1">
        <f t="shared" si="2"/>
        <v>2</v>
      </c>
      <c r="H12" s="143">
        <v>0.4</v>
      </c>
      <c r="I12" s="1">
        <v>1.6</v>
      </c>
      <c r="J12" s="144">
        <v>0.714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441</v>
      </c>
      <c r="B13" s="142">
        <v>5.0</v>
      </c>
      <c r="C13" s="142">
        <v>20.0</v>
      </c>
      <c r="D13" s="1">
        <v>15.0</v>
      </c>
      <c r="E13" s="1">
        <f t="shared" si="1"/>
        <v>108</v>
      </c>
      <c r="F13" s="143">
        <v>21.6</v>
      </c>
      <c r="G13" s="1">
        <f t="shared" si="2"/>
        <v>2</v>
      </c>
      <c r="H13" s="143">
        <v>0.4</v>
      </c>
      <c r="I13" s="1">
        <v>1.6</v>
      </c>
      <c r="J13" s="145">
        <v>0.6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460</v>
      </c>
      <c r="B14" s="142">
        <v>5.0</v>
      </c>
      <c r="C14" s="142">
        <v>20.0</v>
      </c>
      <c r="D14" s="1">
        <v>16.0</v>
      </c>
      <c r="E14" s="1">
        <f t="shared" si="1"/>
        <v>96</v>
      </c>
      <c r="F14" s="143">
        <v>19.2</v>
      </c>
      <c r="G14" s="1">
        <f t="shared" si="2"/>
        <v>1</v>
      </c>
      <c r="H14" s="143">
        <v>0.2</v>
      </c>
      <c r="I14" s="1">
        <v>1.2</v>
      </c>
      <c r="J14" s="145">
        <v>0.625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429</v>
      </c>
      <c r="B15" s="142">
        <v>5.0</v>
      </c>
      <c r="C15" s="142">
        <v>20.0</v>
      </c>
      <c r="D15" s="1">
        <v>16.0</v>
      </c>
      <c r="E15" s="1">
        <f t="shared" si="1"/>
        <v>92</v>
      </c>
      <c r="F15" s="143">
        <v>18.4</v>
      </c>
      <c r="G15" s="1">
        <f t="shared" si="2"/>
        <v>2</v>
      </c>
      <c r="H15" s="143">
        <v>0.4</v>
      </c>
      <c r="I15" s="1">
        <v>1.2</v>
      </c>
      <c r="J15" s="144">
        <v>0.625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442</v>
      </c>
      <c r="B16" s="142">
        <v>5.0</v>
      </c>
      <c r="C16" s="142">
        <v>20.0</v>
      </c>
      <c r="D16" s="1">
        <v>15.0</v>
      </c>
      <c r="E16" s="1">
        <f t="shared" si="1"/>
        <v>88</v>
      </c>
      <c r="F16" s="143">
        <v>17.6</v>
      </c>
      <c r="G16" s="1">
        <f t="shared" si="2"/>
        <v>2</v>
      </c>
      <c r="H16" s="143">
        <v>0.4</v>
      </c>
      <c r="I16" s="1">
        <v>1.2</v>
      </c>
      <c r="J16" s="144">
        <v>0.6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458</v>
      </c>
      <c r="B17" s="142">
        <v>5.0</v>
      </c>
      <c r="C17" s="142">
        <v>20.0</v>
      </c>
      <c r="D17" s="1">
        <v>14.0</v>
      </c>
      <c r="E17" s="1">
        <f t="shared" si="1"/>
        <v>86</v>
      </c>
      <c r="F17" s="143">
        <v>17.2</v>
      </c>
      <c r="G17" s="1">
        <f t="shared" si="2"/>
        <v>0</v>
      </c>
      <c r="H17" s="143">
        <v>0.0</v>
      </c>
      <c r="I17" s="1">
        <v>1.0</v>
      </c>
      <c r="J17" s="145">
        <v>0.643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448</v>
      </c>
      <c r="B18" s="142">
        <v>5.0</v>
      </c>
      <c r="C18" s="142">
        <v>20.0</v>
      </c>
      <c r="D18" s="1">
        <v>14.0</v>
      </c>
      <c r="E18" s="1">
        <f t="shared" si="1"/>
        <v>86</v>
      </c>
      <c r="F18" s="143">
        <v>17.2</v>
      </c>
      <c r="G18" s="1">
        <f t="shared" si="2"/>
        <v>1</v>
      </c>
      <c r="H18" s="143">
        <v>0.2</v>
      </c>
      <c r="I18" s="1">
        <v>1.0</v>
      </c>
      <c r="J18" s="144">
        <v>0.714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474</v>
      </c>
      <c r="B19" s="142">
        <v>5.0</v>
      </c>
      <c r="C19" s="142">
        <v>20.0</v>
      </c>
      <c r="D19" s="1">
        <v>14.0</v>
      </c>
      <c r="E19" s="1">
        <f t="shared" si="1"/>
        <v>86</v>
      </c>
      <c r="F19" s="143">
        <v>17.2</v>
      </c>
      <c r="G19" s="1">
        <f t="shared" si="2"/>
        <v>1</v>
      </c>
      <c r="H19" s="143">
        <v>0.2</v>
      </c>
      <c r="I19" s="1">
        <v>1.0</v>
      </c>
      <c r="J19" s="144">
        <v>0.714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471</v>
      </c>
      <c r="B20" s="142">
        <v>5.0</v>
      </c>
      <c r="C20" s="142">
        <v>20.0</v>
      </c>
      <c r="D20" s="1">
        <v>13.0</v>
      </c>
      <c r="E20" s="1">
        <f t="shared" si="1"/>
        <v>86</v>
      </c>
      <c r="F20" s="143">
        <v>17.2</v>
      </c>
      <c r="G20" s="1">
        <f t="shared" si="2"/>
        <v>0</v>
      </c>
      <c r="H20" s="143">
        <v>0.0</v>
      </c>
      <c r="I20" s="1">
        <v>1.0</v>
      </c>
      <c r="J20" s="145">
        <v>0.692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 t="s">
        <v>453</v>
      </c>
      <c r="B21" s="142">
        <v>5.0</v>
      </c>
      <c r="C21" s="142">
        <v>20.0</v>
      </c>
      <c r="D21" s="1">
        <v>16.0</v>
      </c>
      <c r="E21" s="1">
        <f t="shared" si="1"/>
        <v>84</v>
      </c>
      <c r="F21" s="143">
        <v>16.8</v>
      </c>
      <c r="G21" s="1">
        <f t="shared" si="2"/>
        <v>3</v>
      </c>
      <c r="H21" s="143">
        <v>0.6</v>
      </c>
      <c r="I21" s="1">
        <v>1.2</v>
      </c>
      <c r="J21" s="144">
        <v>0.563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465</v>
      </c>
      <c r="B22" s="142">
        <v>5.0</v>
      </c>
      <c r="C22" s="142">
        <v>20.0</v>
      </c>
      <c r="D22" s="1">
        <v>14.0</v>
      </c>
      <c r="E22" s="1">
        <f t="shared" si="1"/>
        <v>80</v>
      </c>
      <c r="F22" s="143">
        <v>16.0</v>
      </c>
      <c r="G22" s="1">
        <f t="shared" si="2"/>
        <v>1</v>
      </c>
      <c r="H22" s="143">
        <v>0.2</v>
      </c>
      <c r="I22" s="1">
        <v>0.8</v>
      </c>
      <c r="J22" s="145">
        <v>0.786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 t="s">
        <v>436</v>
      </c>
      <c r="B23" s="142">
        <v>5.0</v>
      </c>
      <c r="C23" s="142">
        <v>20.0</v>
      </c>
      <c r="D23" s="1">
        <v>15.0</v>
      </c>
      <c r="E23" s="1">
        <f t="shared" si="1"/>
        <v>76</v>
      </c>
      <c r="F23" s="143">
        <v>15.2</v>
      </c>
      <c r="G23" s="1">
        <f t="shared" si="2"/>
        <v>1</v>
      </c>
      <c r="H23" s="143">
        <v>0.2</v>
      </c>
      <c r="I23" s="1">
        <v>0.8</v>
      </c>
      <c r="J23" s="145">
        <v>0.667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" t="s">
        <v>472</v>
      </c>
      <c r="B24" s="142">
        <v>5.0</v>
      </c>
      <c r="C24" s="142">
        <v>20.0</v>
      </c>
      <c r="D24" s="1">
        <v>13.0</v>
      </c>
      <c r="E24" s="1">
        <f t="shared" si="1"/>
        <v>72</v>
      </c>
      <c r="F24" s="143">
        <v>14.4</v>
      </c>
      <c r="G24" s="1">
        <f t="shared" si="2"/>
        <v>1</v>
      </c>
      <c r="H24" s="143">
        <v>0.2</v>
      </c>
      <c r="I24" s="1">
        <v>0.8</v>
      </c>
      <c r="J24" s="145">
        <v>0.692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 t="s">
        <v>446</v>
      </c>
      <c r="B25" s="142">
        <v>5.0</v>
      </c>
      <c r="C25" s="142">
        <v>20.0</v>
      </c>
      <c r="D25" s="1">
        <v>15.0</v>
      </c>
      <c r="E25" s="1">
        <v>72.0</v>
      </c>
      <c r="F25" s="143">
        <f>E25/C25*4</f>
        <v>14.4</v>
      </c>
      <c r="G25" s="1">
        <f t="shared" si="2"/>
        <v>2</v>
      </c>
      <c r="H25" s="143">
        <v>0.4</v>
      </c>
      <c r="I25" s="1">
        <v>1.0</v>
      </c>
      <c r="J25" s="145">
        <f>10/15</f>
        <v>0.6666666667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457</v>
      </c>
      <c r="B26" s="142">
        <v>5.0</v>
      </c>
      <c r="C26" s="142">
        <v>20.0</v>
      </c>
      <c r="D26" s="1">
        <v>17.0</v>
      </c>
      <c r="E26" s="1">
        <f t="shared" ref="E26:E39" si="3">F26/4*C26</f>
        <v>70</v>
      </c>
      <c r="F26" s="143">
        <v>14.0</v>
      </c>
      <c r="G26" s="1">
        <f t="shared" si="2"/>
        <v>3</v>
      </c>
      <c r="H26" s="143">
        <v>0.6</v>
      </c>
      <c r="I26" s="1">
        <v>1.0</v>
      </c>
      <c r="J26" s="144">
        <v>0.471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 t="s">
        <v>434</v>
      </c>
      <c r="B27" s="142">
        <v>5.0</v>
      </c>
      <c r="C27" s="142">
        <v>20.0</v>
      </c>
      <c r="D27" s="1">
        <v>16.0</v>
      </c>
      <c r="E27" s="1">
        <f t="shared" si="3"/>
        <v>68</v>
      </c>
      <c r="F27" s="143">
        <v>13.6</v>
      </c>
      <c r="G27" s="1">
        <f t="shared" si="2"/>
        <v>3</v>
      </c>
      <c r="H27" s="143">
        <v>0.6</v>
      </c>
      <c r="I27" s="1">
        <v>0.8</v>
      </c>
      <c r="J27" s="145">
        <v>0.625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454</v>
      </c>
      <c r="B28" s="142">
        <v>5.0</v>
      </c>
      <c r="C28" s="142">
        <v>20.0</v>
      </c>
      <c r="D28" s="1">
        <v>16.0</v>
      </c>
      <c r="E28" s="1">
        <f t="shared" si="3"/>
        <v>68</v>
      </c>
      <c r="F28" s="143">
        <v>13.6</v>
      </c>
      <c r="G28" s="1">
        <f t="shared" si="2"/>
        <v>2</v>
      </c>
      <c r="H28" s="143">
        <v>0.4</v>
      </c>
      <c r="I28" s="1">
        <v>0.8</v>
      </c>
      <c r="J28" s="145">
        <v>0.563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461</v>
      </c>
      <c r="B29" s="142">
        <v>5.0</v>
      </c>
      <c r="C29" s="142">
        <v>20.0</v>
      </c>
      <c r="D29" s="1">
        <v>9.0</v>
      </c>
      <c r="E29" s="1">
        <f t="shared" si="3"/>
        <v>56</v>
      </c>
      <c r="F29" s="143">
        <v>11.2</v>
      </c>
      <c r="G29" s="1">
        <f t="shared" si="2"/>
        <v>1</v>
      </c>
      <c r="H29" s="143">
        <v>0.2</v>
      </c>
      <c r="I29" s="1">
        <v>0.8</v>
      </c>
      <c r="J29" s="145">
        <v>0.556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 t="s">
        <v>462</v>
      </c>
      <c r="B30" s="142">
        <v>5.0</v>
      </c>
      <c r="C30" s="142">
        <v>20.0</v>
      </c>
      <c r="D30" s="1">
        <v>11.0</v>
      </c>
      <c r="E30" s="1">
        <f t="shared" si="3"/>
        <v>50</v>
      </c>
      <c r="F30" s="143">
        <v>10.0</v>
      </c>
      <c r="G30" s="1">
        <f t="shared" si="2"/>
        <v>1</v>
      </c>
      <c r="H30" s="143">
        <v>0.2</v>
      </c>
      <c r="I30" s="1">
        <v>0.6</v>
      </c>
      <c r="J30" s="145">
        <v>0.545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 t="s">
        <v>438</v>
      </c>
      <c r="B31" s="142">
        <v>5.0</v>
      </c>
      <c r="C31" s="142">
        <v>20.0</v>
      </c>
      <c r="D31" s="1">
        <v>15.0</v>
      </c>
      <c r="E31" s="1">
        <f t="shared" si="3"/>
        <v>48</v>
      </c>
      <c r="F31" s="143">
        <v>9.6</v>
      </c>
      <c r="G31" s="1">
        <f t="shared" si="2"/>
        <v>1</v>
      </c>
      <c r="H31" s="143">
        <v>0.2</v>
      </c>
      <c r="I31" s="1">
        <v>0.4</v>
      </c>
      <c r="J31" s="145">
        <v>0.533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 t="s">
        <v>447</v>
      </c>
      <c r="B32" s="142">
        <v>5.0</v>
      </c>
      <c r="C32" s="142">
        <v>20.0</v>
      </c>
      <c r="D32" s="1">
        <v>11.0</v>
      </c>
      <c r="E32" s="1">
        <f t="shared" si="3"/>
        <v>46</v>
      </c>
      <c r="F32" s="143">
        <v>9.2</v>
      </c>
      <c r="G32" s="1">
        <f t="shared" si="2"/>
        <v>0</v>
      </c>
      <c r="H32" s="143">
        <v>0.0</v>
      </c>
      <c r="I32" s="1">
        <v>0.6</v>
      </c>
      <c r="J32" s="145">
        <v>0.364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467</v>
      </c>
      <c r="B33" s="142">
        <v>5.0</v>
      </c>
      <c r="C33" s="142">
        <v>20.0</v>
      </c>
      <c r="D33" s="1">
        <v>16.0</v>
      </c>
      <c r="E33" s="1">
        <f t="shared" si="3"/>
        <v>44</v>
      </c>
      <c r="F33" s="143">
        <v>8.8</v>
      </c>
      <c r="G33" s="1">
        <f t="shared" si="2"/>
        <v>1</v>
      </c>
      <c r="H33" s="143">
        <v>0.2</v>
      </c>
      <c r="I33" s="1">
        <v>0.4</v>
      </c>
      <c r="J33" s="145">
        <v>0.438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430</v>
      </c>
      <c r="B34" s="142">
        <v>5.0</v>
      </c>
      <c r="C34" s="142">
        <v>20.0</v>
      </c>
      <c r="D34" s="1">
        <v>12.0</v>
      </c>
      <c r="E34" s="1">
        <f t="shared" si="3"/>
        <v>44</v>
      </c>
      <c r="F34" s="143">
        <v>8.8</v>
      </c>
      <c r="G34" s="1">
        <f t="shared" si="2"/>
        <v>1</v>
      </c>
      <c r="H34" s="143">
        <v>0.2</v>
      </c>
      <c r="I34" s="1">
        <v>0.4</v>
      </c>
      <c r="J34" s="145">
        <v>0.583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 t="s">
        <v>449</v>
      </c>
      <c r="B35" s="142">
        <v>5.0</v>
      </c>
      <c r="C35" s="142">
        <v>20.0</v>
      </c>
      <c r="D35" s="1">
        <v>14.0</v>
      </c>
      <c r="E35" s="1">
        <f t="shared" si="3"/>
        <v>42</v>
      </c>
      <c r="F35" s="143">
        <v>8.4</v>
      </c>
      <c r="G35" s="1">
        <f t="shared" si="2"/>
        <v>0</v>
      </c>
      <c r="H35" s="143">
        <v>0.0</v>
      </c>
      <c r="I35" s="1">
        <v>0.2</v>
      </c>
      <c r="J35" s="145">
        <v>0.571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 t="s">
        <v>464</v>
      </c>
      <c r="B36" s="142">
        <v>5.0</v>
      </c>
      <c r="C36" s="142">
        <v>20.0</v>
      </c>
      <c r="D36" s="1">
        <v>13.0</v>
      </c>
      <c r="E36" s="1">
        <f t="shared" si="3"/>
        <v>40</v>
      </c>
      <c r="F36" s="143">
        <v>8.0</v>
      </c>
      <c r="G36" s="1">
        <f t="shared" si="2"/>
        <v>1</v>
      </c>
      <c r="H36" s="143">
        <v>0.2</v>
      </c>
      <c r="I36" s="1">
        <v>0.4</v>
      </c>
      <c r="J36" s="144">
        <v>0.462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" t="s">
        <v>463</v>
      </c>
      <c r="B37" s="142">
        <v>5.0</v>
      </c>
      <c r="C37" s="142">
        <v>20.0</v>
      </c>
      <c r="D37" s="1">
        <v>10.0</v>
      </c>
      <c r="E37" s="1">
        <f t="shared" si="3"/>
        <v>36</v>
      </c>
      <c r="F37" s="143">
        <v>7.2</v>
      </c>
      <c r="G37" s="1">
        <f t="shared" si="2"/>
        <v>0</v>
      </c>
      <c r="H37" s="143">
        <v>0.0</v>
      </c>
      <c r="I37" s="1">
        <v>0.4</v>
      </c>
      <c r="J37" s="145">
        <v>0.4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470</v>
      </c>
      <c r="B38" s="142">
        <v>5.0</v>
      </c>
      <c r="C38" s="142">
        <v>20.0</v>
      </c>
      <c r="D38" s="1">
        <v>10.0</v>
      </c>
      <c r="E38" s="1">
        <f t="shared" si="3"/>
        <v>34</v>
      </c>
      <c r="F38" s="143">
        <v>6.8</v>
      </c>
      <c r="G38" s="1">
        <f t="shared" si="2"/>
        <v>0</v>
      </c>
      <c r="H38" s="143">
        <v>0.0</v>
      </c>
      <c r="I38" s="1">
        <v>0.2</v>
      </c>
      <c r="J38" s="144">
        <v>0.6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 t="s">
        <v>443</v>
      </c>
      <c r="B39" s="142">
        <v>5.0</v>
      </c>
      <c r="C39" s="142">
        <v>20.0</v>
      </c>
      <c r="D39" s="1">
        <v>9.0</v>
      </c>
      <c r="E39" s="1">
        <f t="shared" si="3"/>
        <v>32</v>
      </c>
      <c r="F39" s="143">
        <v>6.4</v>
      </c>
      <c r="G39" s="1">
        <f t="shared" si="2"/>
        <v>1</v>
      </c>
      <c r="H39" s="143">
        <v>0.2</v>
      </c>
      <c r="I39" s="1">
        <v>0.4</v>
      </c>
      <c r="J39" s="144">
        <v>0.444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468</v>
      </c>
      <c r="B40" s="142">
        <v>5.0</v>
      </c>
      <c r="C40" s="142">
        <v>20.0</v>
      </c>
      <c r="D40" s="1">
        <v>9.0</v>
      </c>
      <c r="E40" s="1">
        <v>26.0</v>
      </c>
      <c r="F40" s="143">
        <f>E40/C40*4</f>
        <v>5.2</v>
      </c>
      <c r="G40" s="1">
        <f t="shared" si="2"/>
        <v>0</v>
      </c>
      <c r="H40" s="143">
        <v>0.0</v>
      </c>
      <c r="I40" s="1">
        <v>0.25</v>
      </c>
      <c r="J40" s="144">
        <f>4/9</f>
        <v>0.4444444444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" t="s">
        <v>459</v>
      </c>
      <c r="B41" s="142">
        <v>5.0</v>
      </c>
      <c r="C41" s="142">
        <v>20.0</v>
      </c>
      <c r="D41" s="1">
        <v>12.0</v>
      </c>
      <c r="E41" s="1">
        <f t="shared" ref="E41:E49" si="4">F41/4*C41</f>
        <v>18</v>
      </c>
      <c r="F41" s="143">
        <v>3.6</v>
      </c>
      <c r="G41" s="1">
        <f t="shared" si="2"/>
        <v>2</v>
      </c>
      <c r="H41" s="143">
        <v>0.4</v>
      </c>
      <c r="I41" s="1">
        <v>0.2</v>
      </c>
      <c r="J41" s="145">
        <v>0.333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" t="s">
        <v>475</v>
      </c>
      <c r="B42" s="142">
        <v>5.0</v>
      </c>
      <c r="C42" s="142">
        <v>20.0</v>
      </c>
      <c r="D42" s="1">
        <v>10.0</v>
      </c>
      <c r="E42" s="1">
        <f t="shared" si="4"/>
        <v>16</v>
      </c>
      <c r="F42" s="143">
        <v>3.2</v>
      </c>
      <c r="G42" s="1">
        <f t="shared" si="2"/>
        <v>0</v>
      </c>
      <c r="H42" s="143">
        <v>0.0</v>
      </c>
      <c r="I42" s="1">
        <v>0.0</v>
      </c>
      <c r="J42" s="145">
        <v>0.4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445</v>
      </c>
      <c r="B43" s="142">
        <v>5.0</v>
      </c>
      <c r="C43" s="142">
        <v>20.0</v>
      </c>
      <c r="D43" s="1">
        <v>12.0</v>
      </c>
      <c r="E43" s="1">
        <f t="shared" si="4"/>
        <v>16</v>
      </c>
      <c r="F43" s="143">
        <v>3.2</v>
      </c>
      <c r="G43" s="1">
        <f t="shared" si="2"/>
        <v>0</v>
      </c>
      <c r="H43" s="143">
        <v>0.0</v>
      </c>
      <c r="I43" s="1">
        <v>0.0</v>
      </c>
      <c r="J43" s="145">
        <v>0.333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450</v>
      </c>
      <c r="B44" s="142">
        <v>5.0</v>
      </c>
      <c r="C44" s="142">
        <v>20.0</v>
      </c>
      <c r="D44" s="1">
        <v>9.0</v>
      </c>
      <c r="E44" s="1">
        <f t="shared" si="4"/>
        <v>14</v>
      </c>
      <c r="F44" s="143">
        <v>2.8</v>
      </c>
      <c r="G44" s="1">
        <f t="shared" si="2"/>
        <v>0</v>
      </c>
      <c r="H44" s="143">
        <v>0.0</v>
      </c>
      <c r="I44" s="1">
        <v>0.2</v>
      </c>
      <c r="J44" s="145">
        <v>0.111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" t="s">
        <v>431</v>
      </c>
      <c r="B45" s="142">
        <v>5.0</v>
      </c>
      <c r="C45" s="142">
        <v>20.0</v>
      </c>
      <c r="D45" s="1">
        <v>8.0</v>
      </c>
      <c r="E45" s="1">
        <f t="shared" si="4"/>
        <v>12</v>
      </c>
      <c r="F45" s="143">
        <v>2.4</v>
      </c>
      <c r="G45" s="1">
        <f t="shared" si="2"/>
        <v>0</v>
      </c>
      <c r="H45" s="143">
        <v>0.0</v>
      </c>
      <c r="I45" s="1">
        <v>0.0</v>
      </c>
      <c r="J45" s="145">
        <v>0.375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" t="s">
        <v>466</v>
      </c>
      <c r="B46" s="142">
        <v>5.0</v>
      </c>
      <c r="C46" s="142">
        <v>20.0</v>
      </c>
      <c r="D46" s="1">
        <v>9.0</v>
      </c>
      <c r="E46" s="1">
        <f t="shared" si="4"/>
        <v>12</v>
      </c>
      <c r="F46" s="143">
        <v>2.4</v>
      </c>
      <c r="G46" s="1">
        <f t="shared" si="2"/>
        <v>0</v>
      </c>
      <c r="H46" s="143">
        <v>0.0</v>
      </c>
      <c r="I46" s="1">
        <v>0.0</v>
      </c>
      <c r="J46" s="145">
        <v>0.333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" t="s">
        <v>473</v>
      </c>
      <c r="B47" s="142">
        <v>5.0</v>
      </c>
      <c r="C47" s="142">
        <v>20.0</v>
      </c>
      <c r="D47" s="1">
        <v>9.0</v>
      </c>
      <c r="E47" s="1">
        <f t="shared" si="4"/>
        <v>8</v>
      </c>
      <c r="F47" s="143">
        <v>1.6</v>
      </c>
      <c r="G47" s="1">
        <f t="shared" si="2"/>
        <v>1</v>
      </c>
      <c r="H47" s="143">
        <v>0.2</v>
      </c>
      <c r="I47" s="1">
        <v>0.0</v>
      </c>
      <c r="J47" s="144">
        <v>0.333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" t="s">
        <v>469</v>
      </c>
      <c r="B48" s="142">
        <v>5.0</v>
      </c>
      <c r="C48" s="142">
        <v>20.0</v>
      </c>
      <c r="D48" s="1">
        <v>8.0</v>
      </c>
      <c r="E48" s="1">
        <f t="shared" si="4"/>
        <v>8</v>
      </c>
      <c r="F48" s="143">
        <v>1.6</v>
      </c>
      <c r="G48" s="1">
        <f t="shared" si="2"/>
        <v>0</v>
      </c>
      <c r="H48" s="143">
        <v>0.0</v>
      </c>
      <c r="I48" s="1">
        <v>0.0</v>
      </c>
      <c r="J48" s="145">
        <v>0.25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476</v>
      </c>
      <c r="B49" s="142">
        <v>5.0</v>
      </c>
      <c r="C49" s="142">
        <v>20.0</v>
      </c>
      <c r="D49" s="1">
        <v>3.0</v>
      </c>
      <c r="E49" s="1">
        <f t="shared" si="4"/>
        <v>-4</v>
      </c>
      <c r="F49" s="143">
        <v>-0.8</v>
      </c>
      <c r="G49" s="1">
        <f t="shared" si="2"/>
        <v>1</v>
      </c>
      <c r="H49" s="143">
        <v>0.2</v>
      </c>
      <c r="I49" s="1">
        <v>0.0</v>
      </c>
      <c r="J49" s="145">
        <v>0.0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25"/>
  </cols>
  <sheetData>
    <row r="1">
      <c r="A1" s="138" t="s">
        <v>189</v>
      </c>
      <c r="B1" s="139" t="s">
        <v>425</v>
      </c>
      <c r="C1" s="139" t="s">
        <v>426</v>
      </c>
      <c r="D1" s="138" t="s">
        <v>194</v>
      </c>
      <c r="E1" s="138" t="s">
        <v>195</v>
      </c>
      <c r="F1" s="140" t="s">
        <v>421</v>
      </c>
      <c r="G1" s="138" t="s">
        <v>197</v>
      </c>
      <c r="H1" s="140" t="s">
        <v>422</v>
      </c>
      <c r="I1" s="138" t="s">
        <v>427</v>
      </c>
      <c r="J1" s="138" t="s">
        <v>428</v>
      </c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" t="s">
        <v>452</v>
      </c>
      <c r="B2" s="142">
        <v>5.0</v>
      </c>
      <c r="C2" s="142">
        <v>20.0</v>
      </c>
      <c r="D2" s="1">
        <v>18.0</v>
      </c>
      <c r="E2" s="1">
        <f t="shared" ref="E2:E27" si="1">F2/4*C2</f>
        <v>168</v>
      </c>
      <c r="F2" s="143">
        <v>33.6</v>
      </c>
      <c r="G2" s="1">
        <f t="shared" ref="G2:G49" si="2">H2/4*C2</f>
        <v>2</v>
      </c>
      <c r="H2" s="143">
        <v>0.4</v>
      </c>
      <c r="I2" s="1">
        <v>2.4</v>
      </c>
      <c r="J2" s="145">
        <v>0.778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439</v>
      </c>
      <c r="B3" s="142">
        <v>5.0</v>
      </c>
      <c r="C3" s="142">
        <v>20.0</v>
      </c>
      <c r="D3" s="1">
        <v>13.0</v>
      </c>
      <c r="E3" s="1">
        <f t="shared" si="1"/>
        <v>168</v>
      </c>
      <c r="F3" s="143">
        <v>33.6</v>
      </c>
      <c r="G3" s="1">
        <f t="shared" si="2"/>
        <v>0</v>
      </c>
      <c r="H3" s="143">
        <v>0.0</v>
      </c>
      <c r="I3" s="1">
        <v>2.4</v>
      </c>
      <c r="J3" s="145">
        <v>0.923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432</v>
      </c>
      <c r="B4" s="142">
        <v>5.0</v>
      </c>
      <c r="C4" s="142">
        <v>20.0</v>
      </c>
      <c r="D4" s="1">
        <v>18.0</v>
      </c>
      <c r="E4" s="1">
        <f t="shared" si="1"/>
        <v>150</v>
      </c>
      <c r="F4" s="143">
        <v>30.0</v>
      </c>
      <c r="G4" s="1">
        <f t="shared" si="2"/>
        <v>3</v>
      </c>
      <c r="H4" s="143">
        <v>0.6</v>
      </c>
      <c r="I4" s="1">
        <v>2.2</v>
      </c>
      <c r="J4" s="145">
        <v>0.722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455</v>
      </c>
      <c r="B5" s="142">
        <v>5.0</v>
      </c>
      <c r="C5" s="142">
        <v>20.0</v>
      </c>
      <c r="D5" s="1">
        <v>17.0</v>
      </c>
      <c r="E5" s="1">
        <f t="shared" si="1"/>
        <v>136</v>
      </c>
      <c r="F5" s="143">
        <v>27.2</v>
      </c>
      <c r="G5" s="1">
        <f t="shared" si="2"/>
        <v>3</v>
      </c>
      <c r="H5" s="143">
        <v>0.6</v>
      </c>
      <c r="I5" s="1">
        <v>2.0</v>
      </c>
      <c r="J5" s="144">
        <v>0.706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442</v>
      </c>
      <c r="B6" s="142">
        <v>5.0</v>
      </c>
      <c r="C6" s="142">
        <v>20.0</v>
      </c>
      <c r="D6" s="1">
        <v>19.0</v>
      </c>
      <c r="E6" s="1">
        <f t="shared" si="1"/>
        <v>130</v>
      </c>
      <c r="F6" s="143">
        <v>26.0</v>
      </c>
      <c r="G6" s="1">
        <f t="shared" si="2"/>
        <v>0</v>
      </c>
      <c r="H6" s="143">
        <v>0.0</v>
      </c>
      <c r="I6" s="1">
        <v>1.4</v>
      </c>
      <c r="J6" s="144">
        <v>0.789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448</v>
      </c>
      <c r="B7" s="142">
        <v>5.0</v>
      </c>
      <c r="C7" s="142">
        <v>20.0</v>
      </c>
      <c r="D7" s="1">
        <v>16.0</v>
      </c>
      <c r="E7" s="1">
        <f t="shared" si="1"/>
        <v>130</v>
      </c>
      <c r="F7" s="143">
        <v>26.0</v>
      </c>
      <c r="G7" s="1">
        <f t="shared" si="2"/>
        <v>1</v>
      </c>
      <c r="H7" s="143">
        <v>0.2</v>
      </c>
      <c r="I7" s="1">
        <v>1.8</v>
      </c>
      <c r="J7" s="144">
        <v>0.688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457</v>
      </c>
      <c r="B8" s="142">
        <v>5.0</v>
      </c>
      <c r="C8" s="142">
        <v>20.0</v>
      </c>
      <c r="D8" s="1">
        <v>16.0</v>
      </c>
      <c r="E8" s="1">
        <f t="shared" si="1"/>
        <v>128</v>
      </c>
      <c r="F8" s="143">
        <v>25.6</v>
      </c>
      <c r="G8" s="1">
        <f t="shared" si="2"/>
        <v>1</v>
      </c>
      <c r="H8" s="143">
        <v>0.2</v>
      </c>
      <c r="I8" s="1">
        <v>1.6</v>
      </c>
      <c r="J8" s="145">
        <v>0.813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447</v>
      </c>
      <c r="B9" s="142">
        <v>5.0</v>
      </c>
      <c r="C9" s="142">
        <v>20.0</v>
      </c>
      <c r="D9" s="1">
        <v>18.0</v>
      </c>
      <c r="E9" s="1">
        <f t="shared" si="1"/>
        <v>120</v>
      </c>
      <c r="F9" s="143">
        <v>24.0</v>
      </c>
      <c r="G9" s="1">
        <f t="shared" si="2"/>
        <v>2</v>
      </c>
      <c r="H9" s="143">
        <v>0.4</v>
      </c>
      <c r="I9" s="1">
        <v>1.6</v>
      </c>
      <c r="J9" s="145">
        <v>0.667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435</v>
      </c>
      <c r="B10" s="142">
        <v>5.0</v>
      </c>
      <c r="C10" s="142">
        <v>20.0</v>
      </c>
      <c r="D10" s="1">
        <v>12.0</v>
      </c>
      <c r="E10" s="1">
        <f t="shared" si="1"/>
        <v>116</v>
      </c>
      <c r="F10" s="143">
        <v>23.2</v>
      </c>
      <c r="G10" s="1">
        <f t="shared" si="2"/>
        <v>0</v>
      </c>
      <c r="H10" s="143">
        <v>0.0</v>
      </c>
      <c r="I10" s="1">
        <v>1.6</v>
      </c>
      <c r="J10" s="145">
        <v>0.75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430</v>
      </c>
      <c r="B11" s="142">
        <v>5.0</v>
      </c>
      <c r="C11" s="142">
        <v>20.0</v>
      </c>
      <c r="D11" s="1">
        <v>14.0</v>
      </c>
      <c r="E11" s="1">
        <f t="shared" si="1"/>
        <v>114</v>
      </c>
      <c r="F11" s="143">
        <v>22.8</v>
      </c>
      <c r="G11" s="1">
        <f t="shared" si="2"/>
        <v>1</v>
      </c>
      <c r="H11" s="143">
        <v>0.2</v>
      </c>
      <c r="I11" s="1">
        <v>1.4</v>
      </c>
      <c r="J11" s="145">
        <v>0.857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464</v>
      </c>
      <c r="B12" s="142">
        <v>5.0</v>
      </c>
      <c r="C12" s="142">
        <v>20.0</v>
      </c>
      <c r="D12" s="1">
        <v>14.0</v>
      </c>
      <c r="E12" s="1">
        <f t="shared" si="1"/>
        <v>112</v>
      </c>
      <c r="F12" s="143">
        <v>22.4</v>
      </c>
      <c r="G12" s="1">
        <f t="shared" si="2"/>
        <v>2</v>
      </c>
      <c r="H12" s="143">
        <v>0.4</v>
      </c>
      <c r="I12" s="1">
        <v>1.6</v>
      </c>
      <c r="J12" s="145">
        <v>0.714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436</v>
      </c>
      <c r="B13" s="142">
        <v>5.0</v>
      </c>
      <c r="C13" s="142">
        <v>20.0</v>
      </c>
      <c r="D13" s="1">
        <v>19.0</v>
      </c>
      <c r="E13" s="1">
        <f t="shared" si="1"/>
        <v>112</v>
      </c>
      <c r="F13" s="143">
        <v>22.4</v>
      </c>
      <c r="G13" s="1">
        <f t="shared" si="2"/>
        <v>3</v>
      </c>
      <c r="H13" s="143">
        <v>0.6</v>
      </c>
      <c r="I13" s="1">
        <v>1.6</v>
      </c>
      <c r="J13" s="145">
        <v>0.579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465</v>
      </c>
      <c r="B14" s="142">
        <v>5.0</v>
      </c>
      <c r="C14" s="142">
        <v>20.0</v>
      </c>
      <c r="D14" s="1">
        <v>13.0</v>
      </c>
      <c r="E14" s="1">
        <f t="shared" si="1"/>
        <v>106</v>
      </c>
      <c r="F14" s="143">
        <v>21.2</v>
      </c>
      <c r="G14" s="1">
        <f t="shared" si="2"/>
        <v>1</v>
      </c>
      <c r="H14" s="143">
        <v>0.2</v>
      </c>
      <c r="I14" s="1">
        <v>1.4</v>
      </c>
      <c r="J14" s="145">
        <v>0.769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434</v>
      </c>
      <c r="B15" s="142">
        <v>5.0</v>
      </c>
      <c r="C15" s="142">
        <v>20.0</v>
      </c>
      <c r="D15" s="1">
        <v>12.0</v>
      </c>
      <c r="E15" s="1">
        <f t="shared" si="1"/>
        <v>106</v>
      </c>
      <c r="F15" s="143">
        <v>21.2</v>
      </c>
      <c r="G15" s="1">
        <f t="shared" si="2"/>
        <v>0</v>
      </c>
      <c r="H15" s="143">
        <v>0.0</v>
      </c>
      <c r="I15" s="1">
        <v>1.4</v>
      </c>
      <c r="J15" s="144">
        <v>0.75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471</v>
      </c>
      <c r="B16" s="142">
        <v>5.0</v>
      </c>
      <c r="C16" s="142">
        <v>20.0</v>
      </c>
      <c r="D16" s="1">
        <v>14.0</v>
      </c>
      <c r="E16" s="1">
        <f t="shared" si="1"/>
        <v>104</v>
      </c>
      <c r="F16" s="143">
        <v>20.8</v>
      </c>
      <c r="G16" s="1">
        <f t="shared" si="2"/>
        <v>2</v>
      </c>
      <c r="H16" s="143">
        <v>0.4</v>
      </c>
      <c r="I16" s="1">
        <v>1.6</v>
      </c>
      <c r="J16" s="145">
        <v>0.571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438</v>
      </c>
      <c r="B17" s="142">
        <v>5.0</v>
      </c>
      <c r="C17" s="142">
        <v>20.0</v>
      </c>
      <c r="D17" s="1">
        <v>13.0</v>
      </c>
      <c r="E17" s="1">
        <f t="shared" si="1"/>
        <v>100</v>
      </c>
      <c r="F17" s="143">
        <v>20.0</v>
      </c>
      <c r="G17" s="1">
        <f t="shared" si="2"/>
        <v>1</v>
      </c>
      <c r="H17" s="143">
        <v>0.2</v>
      </c>
      <c r="I17" s="1">
        <v>1.2</v>
      </c>
      <c r="J17" s="145">
        <v>0.846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451</v>
      </c>
      <c r="B18" s="142">
        <v>5.0</v>
      </c>
      <c r="C18" s="142">
        <v>20.0</v>
      </c>
      <c r="D18" s="1">
        <v>16.0</v>
      </c>
      <c r="E18" s="1">
        <f t="shared" si="1"/>
        <v>96</v>
      </c>
      <c r="F18" s="143">
        <v>19.2</v>
      </c>
      <c r="G18" s="1">
        <f t="shared" si="2"/>
        <v>2</v>
      </c>
      <c r="H18" s="143">
        <v>0.4</v>
      </c>
      <c r="I18" s="1">
        <v>1.2</v>
      </c>
      <c r="J18" s="145">
        <v>0.688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453</v>
      </c>
      <c r="B19" s="142">
        <v>5.0</v>
      </c>
      <c r="C19" s="142">
        <v>20.0</v>
      </c>
      <c r="D19" s="1">
        <v>16.0</v>
      </c>
      <c r="E19" s="1">
        <f t="shared" si="1"/>
        <v>94</v>
      </c>
      <c r="F19" s="143">
        <v>18.8</v>
      </c>
      <c r="G19" s="1">
        <f t="shared" si="2"/>
        <v>0</v>
      </c>
      <c r="H19" s="143">
        <v>0.0</v>
      </c>
      <c r="I19" s="1">
        <v>1.0</v>
      </c>
      <c r="J19" s="144">
        <v>0.688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467</v>
      </c>
      <c r="B20" s="142">
        <v>5.0</v>
      </c>
      <c r="C20" s="142">
        <v>20.0</v>
      </c>
      <c r="D20" s="1">
        <v>11.0</v>
      </c>
      <c r="E20" s="1">
        <f t="shared" si="1"/>
        <v>92</v>
      </c>
      <c r="F20" s="143">
        <v>18.4</v>
      </c>
      <c r="G20" s="1">
        <f t="shared" si="2"/>
        <v>1</v>
      </c>
      <c r="H20" s="143">
        <v>0.2</v>
      </c>
      <c r="I20" s="1">
        <v>1.2</v>
      </c>
      <c r="J20" s="145">
        <v>0.818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 t="s">
        <v>470</v>
      </c>
      <c r="B21" s="142">
        <v>5.0</v>
      </c>
      <c r="C21" s="142">
        <v>20.0</v>
      </c>
      <c r="D21" s="1">
        <v>12.0</v>
      </c>
      <c r="E21" s="1">
        <f t="shared" si="1"/>
        <v>90</v>
      </c>
      <c r="F21" s="143">
        <v>18.0</v>
      </c>
      <c r="G21" s="1">
        <f t="shared" si="2"/>
        <v>0</v>
      </c>
      <c r="H21" s="143">
        <v>0.0</v>
      </c>
      <c r="I21" s="1">
        <v>1.0</v>
      </c>
      <c r="J21" s="145">
        <v>0.833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440</v>
      </c>
      <c r="B22" s="142">
        <v>5.0</v>
      </c>
      <c r="C22" s="142">
        <v>20.0</v>
      </c>
      <c r="D22" s="1">
        <v>14.0</v>
      </c>
      <c r="E22" s="1">
        <f t="shared" si="1"/>
        <v>90</v>
      </c>
      <c r="F22" s="143">
        <v>18.0</v>
      </c>
      <c r="G22" s="1">
        <f t="shared" si="2"/>
        <v>1</v>
      </c>
      <c r="H22" s="143">
        <v>0.2</v>
      </c>
      <c r="I22" s="1">
        <v>1.0</v>
      </c>
      <c r="J22" s="145">
        <v>0.786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 t="s">
        <v>433</v>
      </c>
      <c r="B23" s="142">
        <v>5.0</v>
      </c>
      <c r="C23" s="142">
        <v>20.0</v>
      </c>
      <c r="D23" s="1">
        <v>11.0</v>
      </c>
      <c r="E23" s="1">
        <f t="shared" si="1"/>
        <v>86</v>
      </c>
      <c r="F23" s="143">
        <v>17.2</v>
      </c>
      <c r="G23" s="1">
        <f t="shared" si="2"/>
        <v>0</v>
      </c>
      <c r="H23" s="143">
        <v>0.0</v>
      </c>
      <c r="I23" s="1">
        <v>1.0</v>
      </c>
      <c r="J23" s="145">
        <v>0.818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" t="s">
        <v>444</v>
      </c>
      <c r="B24" s="142">
        <v>5.0</v>
      </c>
      <c r="C24" s="142">
        <v>20.0</v>
      </c>
      <c r="D24" s="1">
        <v>14.0</v>
      </c>
      <c r="E24" s="1">
        <f t="shared" si="1"/>
        <v>80</v>
      </c>
      <c r="F24" s="143">
        <v>16.0</v>
      </c>
      <c r="G24" s="1">
        <f t="shared" si="2"/>
        <v>4</v>
      </c>
      <c r="H24" s="143">
        <v>0.8</v>
      </c>
      <c r="I24" s="1">
        <v>1.2</v>
      </c>
      <c r="J24" s="145">
        <v>0.643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 t="s">
        <v>462</v>
      </c>
      <c r="B25" s="142">
        <v>5.0</v>
      </c>
      <c r="C25" s="142">
        <v>20.0</v>
      </c>
      <c r="D25" s="1">
        <v>10.0</v>
      </c>
      <c r="E25" s="1">
        <f t="shared" si="1"/>
        <v>78</v>
      </c>
      <c r="F25" s="143">
        <v>15.6</v>
      </c>
      <c r="G25" s="1">
        <f t="shared" si="2"/>
        <v>1</v>
      </c>
      <c r="H25" s="143">
        <v>0.2</v>
      </c>
      <c r="I25" s="1">
        <v>1.0</v>
      </c>
      <c r="J25" s="144">
        <v>0.8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431</v>
      </c>
      <c r="B26" s="142">
        <v>5.0</v>
      </c>
      <c r="C26" s="142">
        <v>20.0</v>
      </c>
      <c r="D26" s="1">
        <v>17.0</v>
      </c>
      <c r="E26" s="1">
        <f t="shared" si="1"/>
        <v>74</v>
      </c>
      <c r="F26" s="143">
        <v>14.8</v>
      </c>
      <c r="G26" s="1">
        <f t="shared" si="2"/>
        <v>3</v>
      </c>
      <c r="H26" s="143">
        <v>0.6</v>
      </c>
      <c r="I26" s="1">
        <v>1.0</v>
      </c>
      <c r="J26" s="145">
        <v>0.529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 t="s">
        <v>449</v>
      </c>
      <c r="B27" s="142">
        <v>5.0</v>
      </c>
      <c r="C27" s="142">
        <v>20.0</v>
      </c>
      <c r="D27" s="1">
        <v>15.0</v>
      </c>
      <c r="E27" s="1">
        <f t="shared" si="1"/>
        <v>68</v>
      </c>
      <c r="F27" s="143">
        <v>13.6</v>
      </c>
      <c r="G27" s="1">
        <f t="shared" si="2"/>
        <v>2</v>
      </c>
      <c r="H27" s="143">
        <v>0.4</v>
      </c>
      <c r="I27" s="1">
        <v>0.8</v>
      </c>
      <c r="J27" s="144">
        <v>0.6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446</v>
      </c>
      <c r="B28" s="142">
        <v>5.0</v>
      </c>
      <c r="C28" s="142">
        <v>20.0</v>
      </c>
      <c r="D28" s="1">
        <v>14.0</v>
      </c>
      <c r="E28" s="1">
        <v>64.0</v>
      </c>
      <c r="F28" s="143">
        <f>E28/C28*4</f>
        <v>12.8</v>
      </c>
      <c r="G28" s="1">
        <f t="shared" si="2"/>
        <v>0</v>
      </c>
      <c r="H28" s="143">
        <v>0.0</v>
      </c>
      <c r="I28" s="1">
        <v>0.5</v>
      </c>
      <c r="J28" s="145">
        <f>9/14</f>
        <v>0.6428571429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437</v>
      </c>
      <c r="B29" s="142">
        <v>5.0</v>
      </c>
      <c r="C29" s="142">
        <v>20.0</v>
      </c>
      <c r="D29" s="1">
        <v>10.0</v>
      </c>
      <c r="E29" s="1">
        <f t="shared" ref="E29:E42" si="3">F29/4*C29</f>
        <v>60</v>
      </c>
      <c r="F29" s="143">
        <v>12.0</v>
      </c>
      <c r="G29" s="1">
        <f t="shared" si="2"/>
        <v>2</v>
      </c>
      <c r="H29" s="143">
        <v>0.4</v>
      </c>
      <c r="I29" s="1">
        <v>0.8</v>
      </c>
      <c r="J29" s="145">
        <v>0.7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 t="s">
        <v>441</v>
      </c>
      <c r="B30" s="142">
        <v>5.0</v>
      </c>
      <c r="C30" s="142">
        <v>20.0</v>
      </c>
      <c r="D30" s="1">
        <v>16.0</v>
      </c>
      <c r="E30" s="1">
        <f t="shared" si="3"/>
        <v>60</v>
      </c>
      <c r="F30" s="143">
        <v>12.0</v>
      </c>
      <c r="G30" s="1">
        <f t="shared" si="2"/>
        <v>0</v>
      </c>
      <c r="H30" s="143">
        <v>0.0</v>
      </c>
      <c r="I30" s="1">
        <v>0.4</v>
      </c>
      <c r="J30" s="145">
        <v>0.625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 t="s">
        <v>458</v>
      </c>
      <c r="B31" s="142">
        <v>5.0</v>
      </c>
      <c r="C31" s="142">
        <v>20.0</v>
      </c>
      <c r="D31" s="1">
        <v>14.0</v>
      </c>
      <c r="E31" s="1">
        <f t="shared" si="3"/>
        <v>58</v>
      </c>
      <c r="F31" s="143">
        <v>11.6</v>
      </c>
      <c r="G31" s="1">
        <f t="shared" si="2"/>
        <v>1</v>
      </c>
      <c r="H31" s="143">
        <v>0.2</v>
      </c>
      <c r="I31" s="1">
        <v>0.6</v>
      </c>
      <c r="J31" s="145">
        <v>0.571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 t="s">
        <v>473</v>
      </c>
      <c r="B32" s="142">
        <v>5.0</v>
      </c>
      <c r="C32" s="142">
        <v>20.0</v>
      </c>
      <c r="D32" s="1">
        <v>8.0</v>
      </c>
      <c r="E32" s="1">
        <f t="shared" si="3"/>
        <v>58</v>
      </c>
      <c r="F32" s="143">
        <v>11.6</v>
      </c>
      <c r="G32" s="1">
        <f t="shared" si="2"/>
        <v>0</v>
      </c>
      <c r="H32" s="143">
        <v>0.0</v>
      </c>
      <c r="I32" s="1">
        <v>0.6</v>
      </c>
      <c r="J32" s="144">
        <v>0.875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443</v>
      </c>
      <c r="B33" s="142">
        <v>5.0</v>
      </c>
      <c r="C33" s="142">
        <v>20.0</v>
      </c>
      <c r="D33" s="1">
        <v>8.0</v>
      </c>
      <c r="E33" s="1">
        <f t="shared" si="3"/>
        <v>58</v>
      </c>
      <c r="F33" s="143">
        <v>11.6</v>
      </c>
      <c r="G33" s="1">
        <f t="shared" si="2"/>
        <v>0</v>
      </c>
      <c r="H33" s="143">
        <v>0.0</v>
      </c>
      <c r="I33" s="1">
        <v>0.6</v>
      </c>
      <c r="J33" s="144">
        <v>0.875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460</v>
      </c>
      <c r="B34" s="142">
        <v>5.0</v>
      </c>
      <c r="C34" s="142">
        <v>20.0</v>
      </c>
      <c r="D34" s="1">
        <v>14.0</v>
      </c>
      <c r="E34" s="1">
        <f t="shared" si="3"/>
        <v>54</v>
      </c>
      <c r="F34" s="143">
        <v>10.8</v>
      </c>
      <c r="G34" s="1">
        <f t="shared" si="2"/>
        <v>1</v>
      </c>
      <c r="H34" s="143">
        <v>0.2</v>
      </c>
      <c r="I34" s="1">
        <v>0.6</v>
      </c>
      <c r="J34" s="145">
        <v>0.5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 t="s">
        <v>429</v>
      </c>
      <c r="B35" s="142">
        <v>5.0</v>
      </c>
      <c r="C35" s="142">
        <v>20.0</v>
      </c>
      <c r="D35" s="1">
        <v>11.0</v>
      </c>
      <c r="E35" s="1">
        <f t="shared" si="3"/>
        <v>52</v>
      </c>
      <c r="F35" s="143">
        <v>10.4</v>
      </c>
      <c r="G35" s="1">
        <f t="shared" si="2"/>
        <v>2</v>
      </c>
      <c r="H35" s="143">
        <v>0.4</v>
      </c>
      <c r="I35" s="1">
        <v>0.8</v>
      </c>
      <c r="J35" s="144">
        <v>0.455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 t="s">
        <v>466</v>
      </c>
      <c r="B36" s="142">
        <v>5.0</v>
      </c>
      <c r="C36" s="142">
        <v>20.0</v>
      </c>
      <c r="D36" s="1">
        <v>11.0</v>
      </c>
      <c r="E36" s="1">
        <f t="shared" si="3"/>
        <v>50</v>
      </c>
      <c r="F36" s="143">
        <v>10.0</v>
      </c>
      <c r="G36" s="1">
        <f t="shared" si="2"/>
        <v>2</v>
      </c>
      <c r="H36" s="143">
        <v>0.4</v>
      </c>
      <c r="I36" s="1">
        <v>0.6</v>
      </c>
      <c r="J36" s="145">
        <v>0.636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" t="s">
        <v>450</v>
      </c>
      <c r="B37" s="142">
        <v>5.0</v>
      </c>
      <c r="C37" s="142">
        <v>20.0</v>
      </c>
      <c r="D37" s="1">
        <v>13.0</v>
      </c>
      <c r="E37" s="1">
        <f t="shared" si="3"/>
        <v>50</v>
      </c>
      <c r="F37" s="143">
        <v>10.0</v>
      </c>
      <c r="G37" s="1">
        <f t="shared" si="2"/>
        <v>1</v>
      </c>
      <c r="H37" s="143">
        <v>0.2</v>
      </c>
      <c r="I37" s="1">
        <v>0.6</v>
      </c>
      <c r="J37" s="145">
        <v>0.462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456</v>
      </c>
      <c r="B38" s="142">
        <v>5.0</v>
      </c>
      <c r="C38" s="142">
        <v>20.0</v>
      </c>
      <c r="D38" s="1">
        <v>15.0</v>
      </c>
      <c r="E38" s="1">
        <f t="shared" si="3"/>
        <v>46</v>
      </c>
      <c r="F38" s="143">
        <v>9.2</v>
      </c>
      <c r="G38" s="1">
        <f t="shared" si="2"/>
        <v>0</v>
      </c>
      <c r="H38" s="143">
        <v>0.0</v>
      </c>
      <c r="I38" s="1">
        <v>0.2</v>
      </c>
      <c r="J38" s="144">
        <v>0.6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 t="s">
        <v>461</v>
      </c>
      <c r="B39" s="142">
        <v>5.0</v>
      </c>
      <c r="C39" s="142">
        <v>20.0</v>
      </c>
      <c r="D39" s="1">
        <v>10.0</v>
      </c>
      <c r="E39" s="1">
        <f t="shared" si="3"/>
        <v>42</v>
      </c>
      <c r="F39" s="143">
        <v>8.4</v>
      </c>
      <c r="G39" s="1">
        <f t="shared" si="2"/>
        <v>1</v>
      </c>
      <c r="H39" s="143">
        <v>0.2</v>
      </c>
      <c r="I39" s="1">
        <v>0.6</v>
      </c>
      <c r="J39" s="145">
        <v>0.4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472</v>
      </c>
      <c r="B40" s="142">
        <v>5.0</v>
      </c>
      <c r="C40" s="142">
        <v>20.0</v>
      </c>
      <c r="D40" s="1">
        <v>7.0</v>
      </c>
      <c r="E40" s="1">
        <f t="shared" si="3"/>
        <v>40</v>
      </c>
      <c r="F40" s="143">
        <v>8.0</v>
      </c>
      <c r="G40" s="1">
        <f t="shared" si="2"/>
        <v>0</v>
      </c>
      <c r="H40" s="143">
        <v>0.0</v>
      </c>
      <c r="I40" s="1">
        <v>0.4</v>
      </c>
      <c r="J40" s="145">
        <v>0.714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" t="s">
        <v>476</v>
      </c>
      <c r="B41" s="142">
        <v>5.0</v>
      </c>
      <c r="C41" s="142">
        <v>20.0</v>
      </c>
      <c r="D41" s="1">
        <v>10.0</v>
      </c>
      <c r="E41" s="1">
        <f t="shared" si="3"/>
        <v>38</v>
      </c>
      <c r="F41" s="143">
        <v>7.6</v>
      </c>
      <c r="G41" s="1">
        <f t="shared" si="2"/>
        <v>1</v>
      </c>
      <c r="H41" s="143">
        <v>0.2</v>
      </c>
      <c r="I41" s="1">
        <v>0.2</v>
      </c>
      <c r="J41" s="145">
        <v>0.8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" t="s">
        <v>459</v>
      </c>
      <c r="B42" s="142">
        <v>5.0</v>
      </c>
      <c r="C42" s="142">
        <v>20.0</v>
      </c>
      <c r="D42" s="1">
        <v>9.0</v>
      </c>
      <c r="E42" s="1">
        <f t="shared" si="3"/>
        <v>22</v>
      </c>
      <c r="F42" s="143">
        <v>4.4</v>
      </c>
      <c r="G42" s="1">
        <f t="shared" si="2"/>
        <v>2</v>
      </c>
      <c r="H42" s="143">
        <v>0.4</v>
      </c>
      <c r="I42" s="1">
        <v>0.2</v>
      </c>
      <c r="J42" s="144">
        <v>0.556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468</v>
      </c>
      <c r="B43" s="142">
        <v>5.0</v>
      </c>
      <c r="C43" s="142">
        <v>20.0</v>
      </c>
      <c r="D43" s="1">
        <v>9.0</v>
      </c>
      <c r="E43" s="1">
        <v>22.0</v>
      </c>
      <c r="F43" s="143">
        <f>E43/C43*4</f>
        <v>4.4</v>
      </c>
      <c r="G43" s="1">
        <f t="shared" si="2"/>
        <v>0</v>
      </c>
      <c r="H43" s="143">
        <v>0.0</v>
      </c>
      <c r="I43" s="1">
        <v>0.2</v>
      </c>
      <c r="J43" s="145">
        <f>3/9</f>
        <v>0.3333333333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475</v>
      </c>
      <c r="B44" s="142">
        <v>5.0</v>
      </c>
      <c r="C44" s="142">
        <v>20.0</v>
      </c>
      <c r="D44" s="1">
        <v>7.0</v>
      </c>
      <c r="E44" s="1">
        <f t="shared" ref="E44:E49" si="4">F44/4*C44</f>
        <v>16</v>
      </c>
      <c r="F44" s="143">
        <v>3.2</v>
      </c>
      <c r="G44" s="1">
        <f t="shared" si="2"/>
        <v>0</v>
      </c>
      <c r="H44" s="143">
        <v>0.0</v>
      </c>
      <c r="I44" s="1">
        <v>0.0</v>
      </c>
      <c r="J44" s="145">
        <v>0.571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" t="s">
        <v>454</v>
      </c>
      <c r="B45" s="142">
        <v>5.0</v>
      </c>
      <c r="C45" s="142">
        <v>20.0</v>
      </c>
      <c r="D45" s="1">
        <v>12.0</v>
      </c>
      <c r="E45" s="1">
        <f t="shared" si="4"/>
        <v>16</v>
      </c>
      <c r="F45" s="143">
        <v>3.2</v>
      </c>
      <c r="G45" s="1">
        <f t="shared" si="2"/>
        <v>1</v>
      </c>
      <c r="H45" s="143">
        <v>0.2</v>
      </c>
      <c r="I45" s="1">
        <v>0.0</v>
      </c>
      <c r="J45" s="144">
        <v>0.417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" t="s">
        <v>445</v>
      </c>
      <c r="B46" s="142">
        <v>5.0</v>
      </c>
      <c r="C46" s="142">
        <v>20.0</v>
      </c>
      <c r="D46" s="1">
        <v>5.0</v>
      </c>
      <c r="E46" s="1">
        <f t="shared" si="4"/>
        <v>14</v>
      </c>
      <c r="F46" s="143">
        <v>2.8</v>
      </c>
      <c r="G46" s="1">
        <f t="shared" si="2"/>
        <v>1</v>
      </c>
      <c r="H46" s="143">
        <v>0.2</v>
      </c>
      <c r="I46" s="1">
        <v>0.2</v>
      </c>
      <c r="J46" s="145">
        <v>0.4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" t="s">
        <v>474</v>
      </c>
      <c r="B47" s="142">
        <v>5.0</v>
      </c>
      <c r="C47" s="142">
        <v>20.0</v>
      </c>
      <c r="D47" s="1">
        <v>5.0</v>
      </c>
      <c r="E47" s="1">
        <f t="shared" si="4"/>
        <v>12</v>
      </c>
      <c r="F47" s="143">
        <v>2.4</v>
      </c>
      <c r="G47" s="1">
        <f t="shared" si="2"/>
        <v>0</v>
      </c>
      <c r="H47" s="143">
        <v>0.0</v>
      </c>
      <c r="I47" s="1">
        <v>0.0</v>
      </c>
      <c r="J47" s="145">
        <v>0.6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" t="s">
        <v>469</v>
      </c>
      <c r="B48" s="142">
        <v>5.0</v>
      </c>
      <c r="C48" s="142">
        <v>20.0</v>
      </c>
      <c r="D48" s="1">
        <v>3.0</v>
      </c>
      <c r="E48" s="1">
        <f t="shared" si="4"/>
        <v>4</v>
      </c>
      <c r="F48" s="143">
        <v>0.8</v>
      </c>
      <c r="G48" s="1">
        <f t="shared" si="2"/>
        <v>0</v>
      </c>
      <c r="H48" s="143">
        <v>0.0</v>
      </c>
      <c r="I48" s="1">
        <v>0.0</v>
      </c>
      <c r="J48" s="144">
        <v>0.333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463</v>
      </c>
      <c r="B49" s="142">
        <v>5.0</v>
      </c>
      <c r="C49" s="142">
        <v>20.0</v>
      </c>
      <c r="D49" s="1">
        <v>5.0</v>
      </c>
      <c r="E49" s="1">
        <f t="shared" si="4"/>
        <v>4</v>
      </c>
      <c r="F49" s="143">
        <v>0.8</v>
      </c>
      <c r="G49" s="1">
        <f t="shared" si="2"/>
        <v>0</v>
      </c>
      <c r="H49" s="143">
        <v>0.0</v>
      </c>
      <c r="I49" s="1">
        <v>0.0</v>
      </c>
      <c r="J49" s="144">
        <v>0.2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9.88"/>
  </cols>
  <sheetData>
    <row r="1">
      <c r="A1" s="138" t="s">
        <v>189</v>
      </c>
      <c r="B1" s="139" t="s">
        <v>425</v>
      </c>
      <c r="C1" s="139" t="s">
        <v>426</v>
      </c>
      <c r="D1" s="138" t="s">
        <v>194</v>
      </c>
      <c r="E1" s="138" t="s">
        <v>195</v>
      </c>
      <c r="F1" s="140" t="s">
        <v>421</v>
      </c>
      <c r="G1" s="138" t="s">
        <v>197</v>
      </c>
      <c r="H1" s="140" t="s">
        <v>422</v>
      </c>
      <c r="I1" s="138" t="s">
        <v>427</v>
      </c>
      <c r="J1" s="138" t="s">
        <v>428</v>
      </c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</row>
    <row r="2">
      <c r="A2" s="1" t="s">
        <v>432</v>
      </c>
      <c r="B2" s="142">
        <v>5.0</v>
      </c>
      <c r="C2" s="142">
        <v>100.0</v>
      </c>
      <c r="D2" s="1">
        <v>92.0</v>
      </c>
      <c r="E2" s="1">
        <f t="shared" ref="E2:E17" si="1">F2/20*C2</f>
        <v>926</v>
      </c>
      <c r="F2" s="143">
        <v>185.2</v>
      </c>
      <c r="G2" s="1">
        <f t="shared" ref="G2:G49" si="2">H2/20*C2</f>
        <v>12</v>
      </c>
      <c r="H2" s="143">
        <v>2.4</v>
      </c>
      <c r="I2" s="1">
        <v>13.4</v>
      </c>
      <c r="J2" s="145">
        <v>0.826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 t="s">
        <v>439</v>
      </c>
      <c r="B3" s="142">
        <v>5.0</v>
      </c>
      <c r="C3" s="142">
        <v>100.0</v>
      </c>
      <c r="D3" s="1">
        <v>78.0</v>
      </c>
      <c r="E3" s="1">
        <f t="shared" si="1"/>
        <v>780</v>
      </c>
      <c r="F3" s="143">
        <v>156.0</v>
      </c>
      <c r="G3" s="1">
        <f t="shared" si="2"/>
        <v>5</v>
      </c>
      <c r="H3" s="143">
        <v>1.0</v>
      </c>
      <c r="I3" s="1">
        <v>10.8</v>
      </c>
      <c r="J3" s="145">
        <v>0.833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 t="s">
        <v>444</v>
      </c>
      <c r="B4" s="142">
        <v>5.0</v>
      </c>
      <c r="C4" s="142">
        <v>100.0</v>
      </c>
      <c r="D4" s="1">
        <v>88.0</v>
      </c>
      <c r="E4" s="1">
        <f t="shared" si="1"/>
        <v>686</v>
      </c>
      <c r="F4" s="143">
        <v>137.2</v>
      </c>
      <c r="G4" s="1">
        <f t="shared" si="2"/>
        <v>23</v>
      </c>
      <c r="H4" s="143">
        <v>4.6</v>
      </c>
      <c r="I4" s="1">
        <v>10.6</v>
      </c>
      <c r="J4" s="145">
        <v>0.705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 t="s">
        <v>435</v>
      </c>
      <c r="B5" s="142">
        <v>5.0</v>
      </c>
      <c r="C5" s="142">
        <v>100.0</v>
      </c>
      <c r="D5" s="1">
        <v>77.0</v>
      </c>
      <c r="E5" s="1">
        <f t="shared" si="1"/>
        <v>678</v>
      </c>
      <c r="F5" s="143">
        <v>135.6</v>
      </c>
      <c r="G5" s="1">
        <f t="shared" si="2"/>
        <v>5</v>
      </c>
      <c r="H5" s="143">
        <v>1.0</v>
      </c>
      <c r="I5" s="1">
        <v>9.0</v>
      </c>
      <c r="J5" s="145">
        <v>0.805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1" t="s">
        <v>452</v>
      </c>
      <c r="B6" s="142">
        <v>5.0</v>
      </c>
      <c r="C6" s="142">
        <v>100.0</v>
      </c>
      <c r="D6" s="1">
        <v>83.0</v>
      </c>
      <c r="E6" s="1">
        <f t="shared" si="1"/>
        <v>648</v>
      </c>
      <c r="F6" s="143">
        <v>129.6</v>
      </c>
      <c r="G6" s="1">
        <f t="shared" si="2"/>
        <v>14</v>
      </c>
      <c r="H6" s="143">
        <v>2.8</v>
      </c>
      <c r="I6" s="1">
        <v>9.2</v>
      </c>
      <c r="J6" s="145">
        <v>0.735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1" t="s">
        <v>440</v>
      </c>
      <c r="B7" s="142">
        <v>5.0</v>
      </c>
      <c r="C7" s="142">
        <v>100.0</v>
      </c>
      <c r="D7" s="1">
        <v>68.0</v>
      </c>
      <c r="E7" s="1">
        <f t="shared" si="1"/>
        <v>608</v>
      </c>
      <c r="F7" s="143">
        <v>121.6</v>
      </c>
      <c r="G7" s="1">
        <f t="shared" si="2"/>
        <v>3</v>
      </c>
      <c r="H7" s="143">
        <v>0.6</v>
      </c>
      <c r="I7" s="1">
        <v>7.6</v>
      </c>
      <c r="J7" s="144">
        <v>0.882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1" t="s">
        <v>455</v>
      </c>
      <c r="B8" s="142">
        <v>5.0</v>
      </c>
      <c r="C8" s="142">
        <v>100.0</v>
      </c>
      <c r="D8" s="1">
        <v>77.0</v>
      </c>
      <c r="E8" s="1">
        <f t="shared" si="1"/>
        <v>598</v>
      </c>
      <c r="F8" s="143">
        <v>119.6</v>
      </c>
      <c r="G8" s="1">
        <f t="shared" si="2"/>
        <v>10</v>
      </c>
      <c r="H8" s="143">
        <v>2.0</v>
      </c>
      <c r="I8" s="1">
        <v>8.6</v>
      </c>
      <c r="J8" s="145">
        <v>0.675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1" t="s">
        <v>434</v>
      </c>
      <c r="B9" s="142">
        <v>5.0</v>
      </c>
      <c r="C9" s="142">
        <v>100.0</v>
      </c>
      <c r="D9" s="1">
        <v>75.0</v>
      </c>
      <c r="E9" s="1">
        <f t="shared" si="1"/>
        <v>588</v>
      </c>
      <c r="F9" s="143">
        <v>117.6</v>
      </c>
      <c r="G9" s="1">
        <f t="shared" si="2"/>
        <v>9</v>
      </c>
      <c r="H9" s="143">
        <v>1.8</v>
      </c>
      <c r="I9" s="1">
        <v>8.0</v>
      </c>
      <c r="J9" s="145">
        <v>0.747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1" t="s">
        <v>451</v>
      </c>
      <c r="B10" s="142">
        <v>5.0</v>
      </c>
      <c r="C10" s="142">
        <v>100.0</v>
      </c>
      <c r="D10" s="1">
        <v>71.0</v>
      </c>
      <c r="E10" s="1">
        <f t="shared" si="1"/>
        <v>576</v>
      </c>
      <c r="F10" s="143">
        <v>115.2</v>
      </c>
      <c r="G10" s="1">
        <f t="shared" si="2"/>
        <v>6</v>
      </c>
      <c r="H10" s="143">
        <v>1.2</v>
      </c>
      <c r="I10" s="1">
        <v>7.6</v>
      </c>
      <c r="J10" s="145">
        <v>0.775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1" t="s">
        <v>433</v>
      </c>
      <c r="B11" s="142">
        <v>5.0</v>
      </c>
      <c r="C11" s="142">
        <v>100.0</v>
      </c>
      <c r="D11" s="1">
        <v>76.0</v>
      </c>
      <c r="E11" s="1">
        <f t="shared" si="1"/>
        <v>576</v>
      </c>
      <c r="F11" s="143">
        <v>115.2</v>
      </c>
      <c r="G11" s="1">
        <f t="shared" si="2"/>
        <v>7</v>
      </c>
      <c r="H11" s="143">
        <v>1.4</v>
      </c>
      <c r="I11" s="1">
        <v>7.6</v>
      </c>
      <c r="J11" s="144">
        <v>0.737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1" t="s">
        <v>429</v>
      </c>
      <c r="B12" s="142">
        <v>5.0</v>
      </c>
      <c r="C12" s="142">
        <v>100.0</v>
      </c>
      <c r="D12" s="1">
        <v>79.0</v>
      </c>
      <c r="E12" s="1">
        <f t="shared" si="1"/>
        <v>556</v>
      </c>
      <c r="F12" s="143">
        <v>111.2</v>
      </c>
      <c r="G12" s="1">
        <f t="shared" si="2"/>
        <v>5</v>
      </c>
      <c r="H12" s="143">
        <v>1.0</v>
      </c>
      <c r="I12" s="1">
        <v>7.2</v>
      </c>
      <c r="J12" s="145">
        <v>0.684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" t="s">
        <v>442</v>
      </c>
      <c r="B13" s="142">
        <v>5.0</v>
      </c>
      <c r="C13" s="142">
        <v>100.0</v>
      </c>
      <c r="D13" s="1">
        <v>81.0</v>
      </c>
      <c r="E13" s="1">
        <f t="shared" si="1"/>
        <v>546</v>
      </c>
      <c r="F13" s="143">
        <v>109.2</v>
      </c>
      <c r="G13" s="1">
        <f t="shared" si="2"/>
        <v>10</v>
      </c>
      <c r="H13" s="143">
        <v>2.0</v>
      </c>
      <c r="I13" s="1">
        <v>7.0</v>
      </c>
      <c r="J13" s="144">
        <v>0.728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" t="s">
        <v>431</v>
      </c>
      <c r="B14" s="142">
        <v>5.0</v>
      </c>
      <c r="C14" s="142">
        <v>100.0</v>
      </c>
      <c r="D14" s="1">
        <v>71.0</v>
      </c>
      <c r="E14" s="1">
        <f t="shared" si="1"/>
        <v>546</v>
      </c>
      <c r="F14" s="143">
        <v>109.2</v>
      </c>
      <c r="G14" s="1">
        <f t="shared" si="2"/>
        <v>6</v>
      </c>
      <c r="H14" s="143">
        <v>1.2</v>
      </c>
      <c r="I14" s="1">
        <v>7.4</v>
      </c>
      <c r="J14" s="145">
        <v>0.704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" t="s">
        <v>430</v>
      </c>
      <c r="B15" s="142">
        <v>5.0</v>
      </c>
      <c r="C15" s="142">
        <v>100.0</v>
      </c>
      <c r="D15" s="1">
        <v>78.0</v>
      </c>
      <c r="E15" s="1">
        <f t="shared" si="1"/>
        <v>532</v>
      </c>
      <c r="F15" s="143">
        <v>106.4</v>
      </c>
      <c r="G15" s="1">
        <f t="shared" si="2"/>
        <v>6</v>
      </c>
      <c r="H15" s="143">
        <v>1.2</v>
      </c>
      <c r="I15" s="1">
        <v>6.4</v>
      </c>
      <c r="J15" s="145">
        <v>0.756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" t="s">
        <v>448</v>
      </c>
      <c r="B16" s="142">
        <v>5.0</v>
      </c>
      <c r="C16" s="142">
        <v>100.0</v>
      </c>
      <c r="D16" s="1">
        <v>72.0</v>
      </c>
      <c r="E16" s="1">
        <f t="shared" si="1"/>
        <v>500</v>
      </c>
      <c r="F16" s="143">
        <v>100.0</v>
      </c>
      <c r="G16" s="1">
        <f t="shared" si="2"/>
        <v>9</v>
      </c>
      <c r="H16" s="143">
        <v>1.8</v>
      </c>
      <c r="I16" s="1">
        <v>6.8</v>
      </c>
      <c r="J16" s="145">
        <v>0.681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" t="s">
        <v>436</v>
      </c>
      <c r="B17" s="142">
        <v>5.0</v>
      </c>
      <c r="C17" s="142">
        <v>100.0</v>
      </c>
      <c r="D17" s="1">
        <v>78.0</v>
      </c>
      <c r="E17" s="1">
        <f t="shared" si="1"/>
        <v>496</v>
      </c>
      <c r="F17" s="143">
        <v>99.2</v>
      </c>
      <c r="G17" s="1">
        <f t="shared" si="2"/>
        <v>8</v>
      </c>
      <c r="H17" s="143">
        <v>1.6</v>
      </c>
      <c r="I17" s="1">
        <v>6.4</v>
      </c>
      <c r="J17" s="145">
        <v>0.667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" t="s">
        <v>446</v>
      </c>
      <c r="B18" s="142">
        <v>5.0</v>
      </c>
      <c r="C18" s="142">
        <v>100.0</v>
      </c>
      <c r="D18" s="1">
        <v>71.0</v>
      </c>
      <c r="E18" s="1">
        <v>492.0</v>
      </c>
      <c r="F18" s="143">
        <f>492/5</f>
        <v>98.4</v>
      </c>
      <c r="G18" s="1">
        <f t="shared" si="2"/>
        <v>6</v>
      </c>
      <c r="H18" s="143">
        <v>1.2</v>
      </c>
      <c r="I18" s="1">
        <v>5.25</v>
      </c>
      <c r="J18" s="144">
        <f>48/71</f>
        <v>0.676056338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" t="s">
        <v>457</v>
      </c>
      <c r="B19" s="142">
        <v>5.0</v>
      </c>
      <c r="C19" s="142">
        <v>100.0</v>
      </c>
      <c r="D19" s="1">
        <v>88.0</v>
      </c>
      <c r="E19" s="1">
        <f t="shared" ref="E19:E40" si="3">F19/20*C19</f>
        <v>490</v>
      </c>
      <c r="F19" s="143">
        <v>98.0</v>
      </c>
      <c r="G19" s="1">
        <f t="shared" si="2"/>
        <v>13</v>
      </c>
      <c r="H19" s="143">
        <v>2.6</v>
      </c>
      <c r="I19" s="1">
        <v>6.2</v>
      </c>
      <c r="J19" s="144">
        <v>0.659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" t="s">
        <v>465</v>
      </c>
      <c r="B20" s="142">
        <v>5.0</v>
      </c>
      <c r="C20" s="142">
        <v>100.0</v>
      </c>
      <c r="D20" s="1">
        <v>66.0</v>
      </c>
      <c r="E20" s="1">
        <f t="shared" si="3"/>
        <v>474</v>
      </c>
      <c r="F20" s="143">
        <v>94.8</v>
      </c>
      <c r="G20" s="1">
        <f t="shared" si="2"/>
        <v>7</v>
      </c>
      <c r="H20" s="143">
        <v>1.4</v>
      </c>
      <c r="I20" s="1">
        <v>6.2</v>
      </c>
      <c r="J20" s="144">
        <v>0.727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1" t="s">
        <v>462</v>
      </c>
      <c r="B21" s="142">
        <v>5.0</v>
      </c>
      <c r="C21" s="142">
        <v>100.0</v>
      </c>
      <c r="D21" s="1">
        <v>59.0</v>
      </c>
      <c r="E21" s="1">
        <f t="shared" si="3"/>
        <v>450</v>
      </c>
      <c r="F21" s="143">
        <v>90.0</v>
      </c>
      <c r="G21" s="1">
        <f t="shared" si="2"/>
        <v>3</v>
      </c>
      <c r="H21" s="143">
        <v>0.6</v>
      </c>
      <c r="I21" s="1">
        <v>5.8</v>
      </c>
      <c r="J21" s="144">
        <v>0.729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1" t="s">
        <v>471</v>
      </c>
      <c r="B22" s="142">
        <v>5.0</v>
      </c>
      <c r="C22" s="142">
        <v>100.0</v>
      </c>
      <c r="D22" s="1">
        <v>58.0</v>
      </c>
      <c r="E22" s="1">
        <f t="shared" si="3"/>
        <v>426</v>
      </c>
      <c r="F22" s="143">
        <v>85.2</v>
      </c>
      <c r="G22" s="1">
        <f t="shared" si="2"/>
        <v>2</v>
      </c>
      <c r="H22" s="143">
        <v>0.4</v>
      </c>
      <c r="I22" s="1">
        <v>5.4</v>
      </c>
      <c r="J22" s="145">
        <v>0.707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1" t="s">
        <v>437</v>
      </c>
      <c r="B23" s="142">
        <v>5.0</v>
      </c>
      <c r="C23" s="142">
        <v>100.0</v>
      </c>
      <c r="D23" s="1">
        <v>71.0</v>
      </c>
      <c r="E23" s="1">
        <f t="shared" si="3"/>
        <v>416</v>
      </c>
      <c r="F23" s="143">
        <v>83.2</v>
      </c>
      <c r="G23" s="1">
        <f t="shared" si="2"/>
        <v>12</v>
      </c>
      <c r="H23" s="143">
        <v>2.4</v>
      </c>
      <c r="I23" s="1">
        <v>5.6</v>
      </c>
      <c r="J23" s="145">
        <v>0.648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1" t="s">
        <v>460</v>
      </c>
      <c r="B24" s="142">
        <v>5.0</v>
      </c>
      <c r="C24" s="142">
        <v>100.0</v>
      </c>
      <c r="D24" s="1">
        <v>69.0</v>
      </c>
      <c r="E24" s="1">
        <f t="shared" si="3"/>
        <v>380</v>
      </c>
      <c r="F24" s="143">
        <v>76.0</v>
      </c>
      <c r="G24" s="1">
        <f t="shared" si="2"/>
        <v>4</v>
      </c>
      <c r="H24" s="143">
        <v>0.8</v>
      </c>
      <c r="I24" s="1">
        <v>4.4</v>
      </c>
      <c r="J24" s="145">
        <v>0.638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1" t="s">
        <v>464</v>
      </c>
      <c r="B25" s="142">
        <v>5.0</v>
      </c>
      <c r="C25" s="142">
        <v>100.0</v>
      </c>
      <c r="D25" s="1">
        <v>65.0</v>
      </c>
      <c r="E25" s="1">
        <f t="shared" si="3"/>
        <v>380</v>
      </c>
      <c r="F25" s="143">
        <v>76.0</v>
      </c>
      <c r="G25" s="1">
        <f t="shared" si="2"/>
        <v>7</v>
      </c>
      <c r="H25" s="143">
        <v>1.4</v>
      </c>
      <c r="I25" s="1">
        <v>4.8</v>
      </c>
      <c r="J25" s="145">
        <v>0.646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1" t="s">
        <v>453</v>
      </c>
      <c r="B26" s="142">
        <v>5.0</v>
      </c>
      <c r="C26" s="142">
        <v>100.0</v>
      </c>
      <c r="D26" s="1">
        <v>80.0</v>
      </c>
      <c r="E26" s="1">
        <f t="shared" si="3"/>
        <v>378</v>
      </c>
      <c r="F26" s="143">
        <v>75.6</v>
      </c>
      <c r="G26" s="1">
        <f t="shared" si="2"/>
        <v>16</v>
      </c>
      <c r="H26" s="143">
        <v>3.2</v>
      </c>
      <c r="I26" s="1">
        <v>5.0</v>
      </c>
      <c r="J26" s="145">
        <v>0.6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" t="s">
        <v>450</v>
      </c>
      <c r="B27" s="142">
        <v>5.0</v>
      </c>
      <c r="C27" s="142">
        <v>100.0</v>
      </c>
      <c r="D27" s="1">
        <v>63.0</v>
      </c>
      <c r="E27" s="1">
        <f t="shared" si="3"/>
        <v>370</v>
      </c>
      <c r="F27" s="143">
        <v>74.0</v>
      </c>
      <c r="G27" s="1">
        <f t="shared" si="2"/>
        <v>6</v>
      </c>
      <c r="H27" s="143">
        <v>1.2</v>
      </c>
      <c r="I27" s="1">
        <v>5.0</v>
      </c>
      <c r="J27" s="144">
        <v>0.571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" t="s">
        <v>438</v>
      </c>
      <c r="B28" s="142">
        <v>5.0</v>
      </c>
      <c r="C28" s="142">
        <v>100.0</v>
      </c>
      <c r="D28" s="1">
        <v>61.0</v>
      </c>
      <c r="E28" s="1">
        <f t="shared" si="3"/>
        <v>360</v>
      </c>
      <c r="F28" s="143">
        <v>72.0</v>
      </c>
      <c r="G28" s="1">
        <f t="shared" si="2"/>
        <v>6</v>
      </c>
      <c r="H28" s="143">
        <v>1.2</v>
      </c>
      <c r="I28" s="1">
        <v>4.4</v>
      </c>
      <c r="J28" s="145">
        <v>0.672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" t="s">
        <v>449</v>
      </c>
      <c r="B29" s="142">
        <v>5.0</v>
      </c>
      <c r="C29" s="142">
        <v>100.0</v>
      </c>
      <c r="D29" s="1">
        <v>71.0</v>
      </c>
      <c r="E29" s="1">
        <f t="shared" si="3"/>
        <v>348</v>
      </c>
      <c r="F29" s="143">
        <v>69.6</v>
      </c>
      <c r="G29" s="1">
        <f t="shared" si="2"/>
        <v>8</v>
      </c>
      <c r="H29" s="143">
        <v>1.6</v>
      </c>
      <c r="I29" s="1">
        <v>4.0</v>
      </c>
      <c r="J29" s="144">
        <v>0.634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" t="s">
        <v>458</v>
      </c>
      <c r="B30" s="142">
        <v>5.0</v>
      </c>
      <c r="C30" s="142">
        <v>100.0</v>
      </c>
      <c r="D30" s="1">
        <v>68.0</v>
      </c>
      <c r="E30" s="1">
        <f t="shared" si="3"/>
        <v>340</v>
      </c>
      <c r="F30" s="143">
        <v>68.0</v>
      </c>
      <c r="G30" s="1">
        <f t="shared" si="2"/>
        <v>5</v>
      </c>
      <c r="H30" s="143">
        <v>1.0</v>
      </c>
      <c r="I30" s="1">
        <v>4.0</v>
      </c>
      <c r="J30" s="145">
        <v>0.588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" t="s">
        <v>441</v>
      </c>
      <c r="B31" s="142">
        <v>5.0</v>
      </c>
      <c r="C31" s="142">
        <v>100.0</v>
      </c>
      <c r="D31" s="1">
        <v>72.0</v>
      </c>
      <c r="E31" s="1">
        <f t="shared" si="3"/>
        <v>340</v>
      </c>
      <c r="F31" s="143">
        <v>68.0</v>
      </c>
      <c r="G31" s="1">
        <f t="shared" si="2"/>
        <v>5</v>
      </c>
      <c r="H31" s="143">
        <v>1.0</v>
      </c>
      <c r="I31" s="1">
        <v>4.0</v>
      </c>
      <c r="J31" s="145">
        <v>0.556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" t="s">
        <v>456</v>
      </c>
      <c r="B32" s="142">
        <v>5.0</v>
      </c>
      <c r="C32" s="142">
        <v>100.0</v>
      </c>
      <c r="D32" s="1">
        <v>69.0</v>
      </c>
      <c r="E32" s="1">
        <f t="shared" si="3"/>
        <v>334</v>
      </c>
      <c r="F32" s="143">
        <v>66.8</v>
      </c>
      <c r="G32" s="1">
        <f t="shared" si="2"/>
        <v>5</v>
      </c>
      <c r="H32" s="143">
        <v>1.0</v>
      </c>
      <c r="I32" s="1">
        <v>3.8</v>
      </c>
      <c r="J32" s="145">
        <v>0.594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447</v>
      </c>
      <c r="B33" s="142">
        <v>5.0</v>
      </c>
      <c r="C33" s="142">
        <v>100.0</v>
      </c>
      <c r="D33" s="1">
        <v>67.0</v>
      </c>
      <c r="E33" s="1">
        <f t="shared" si="3"/>
        <v>324</v>
      </c>
      <c r="F33" s="143">
        <v>64.8</v>
      </c>
      <c r="G33" s="1">
        <f t="shared" si="2"/>
        <v>8</v>
      </c>
      <c r="H33" s="143">
        <v>1.6</v>
      </c>
      <c r="I33" s="1">
        <v>4.0</v>
      </c>
      <c r="J33" s="145">
        <v>0.582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" t="s">
        <v>467</v>
      </c>
      <c r="B34" s="142">
        <v>5.0</v>
      </c>
      <c r="C34" s="142">
        <v>100.0</v>
      </c>
      <c r="D34" s="1">
        <v>71.0</v>
      </c>
      <c r="E34" s="1">
        <f t="shared" si="3"/>
        <v>274</v>
      </c>
      <c r="F34" s="143">
        <v>54.8</v>
      </c>
      <c r="G34" s="1">
        <f t="shared" si="2"/>
        <v>7</v>
      </c>
      <c r="H34" s="143">
        <v>1.4</v>
      </c>
      <c r="I34" s="1">
        <v>3.0</v>
      </c>
      <c r="J34" s="145">
        <v>0.535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" t="s">
        <v>461</v>
      </c>
      <c r="B35" s="142">
        <v>5.0</v>
      </c>
      <c r="C35" s="142">
        <v>100.0</v>
      </c>
      <c r="D35" s="1">
        <v>51.0</v>
      </c>
      <c r="E35" s="1">
        <f t="shared" si="3"/>
        <v>268</v>
      </c>
      <c r="F35" s="143">
        <v>53.6</v>
      </c>
      <c r="G35" s="1">
        <f t="shared" si="2"/>
        <v>6</v>
      </c>
      <c r="H35" s="143">
        <v>1.2</v>
      </c>
      <c r="I35" s="1">
        <v>3.6</v>
      </c>
      <c r="J35" s="145">
        <v>0.549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" t="s">
        <v>454</v>
      </c>
      <c r="B36" s="142">
        <v>5.0</v>
      </c>
      <c r="C36" s="142">
        <v>100.0</v>
      </c>
      <c r="D36" s="1">
        <v>67.0</v>
      </c>
      <c r="E36" s="1">
        <f t="shared" si="3"/>
        <v>266</v>
      </c>
      <c r="F36" s="143">
        <v>53.2</v>
      </c>
      <c r="G36" s="1">
        <f t="shared" si="2"/>
        <v>6</v>
      </c>
      <c r="H36" s="143">
        <v>1.2</v>
      </c>
      <c r="I36" s="1">
        <v>2.6</v>
      </c>
      <c r="J36" s="145">
        <v>0.597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" t="s">
        <v>466</v>
      </c>
      <c r="B37" s="142">
        <v>5.0</v>
      </c>
      <c r="C37" s="142">
        <v>100.0</v>
      </c>
      <c r="D37" s="1">
        <v>59.0</v>
      </c>
      <c r="E37" s="1">
        <f t="shared" si="3"/>
        <v>254</v>
      </c>
      <c r="F37" s="143">
        <v>50.8</v>
      </c>
      <c r="G37" s="1">
        <f t="shared" si="2"/>
        <v>7</v>
      </c>
      <c r="H37" s="143">
        <v>1.4</v>
      </c>
      <c r="I37" s="1">
        <v>3.0</v>
      </c>
      <c r="J37" s="144">
        <v>0.559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" t="s">
        <v>443</v>
      </c>
      <c r="B38" s="142">
        <v>5.0</v>
      </c>
      <c r="C38" s="142">
        <v>100.0</v>
      </c>
      <c r="D38" s="1">
        <v>56.0</v>
      </c>
      <c r="E38" s="1">
        <f t="shared" si="3"/>
        <v>240</v>
      </c>
      <c r="F38" s="143">
        <v>48.0</v>
      </c>
      <c r="G38" s="1">
        <f t="shared" si="2"/>
        <v>7</v>
      </c>
      <c r="H38" s="143">
        <v>1.4</v>
      </c>
      <c r="I38" s="1">
        <v>2.8</v>
      </c>
      <c r="J38" s="145">
        <v>0.571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" t="s">
        <v>470</v>
      </c>
      <c r="B39" s="142">
        <v>5.0</v>
      </c>
      <c r="C39" s="142">
        <v>100.0</v>
      </c>
      <c r="D39" s="1">
        <v>51.0</v>
      </c>
      <c r="E39" s="1">
        <f t="shared" si="3"/>
        <v>226</v>
      </c>
      <c r="F39" s="143">
        <v>45.2</v>
      </c>
      <c r="G39" s="1">
        <f t="shared" si="2"/>
        <v>0</v>
      </c>
      <c r="H39" s="143">
        <v>0.0</v>
      </c>
      <c r="I39" s="1">
        <v>2.2</v>
      </c>
      <c r="J39" s="145">
        <v>0.569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" t="s">
        <v>445</v>
      </c>
      <c r="B40" s="142">
        <v>5.0</v>
      </c>
      <c r="C40" s="142">
        <v>100.0</v>
      </c>
      <c r="D40" s="1">
        <v>48.0</v>
      </c>
      <c r="E40" s="1">
        <f t="shared" si="3"/>
        <v>224</v>
      </c>
      <c r="F40" s="143">
        <v>44.8</v>
      </c>
      <c r="G40" s="1">
        <f t="shared" si="2"/>
        <v>3</v>
      </c>
      <c r="H40" s="143">
        <v>0.6</v>
      </c>
      <c r="I40" s="1">
        <v>2.4</v>
      </c>
      <c r="J40" s="145">
        <v>0.604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" t="s">
        <v>468</v>
      </c>
      <c r="B41" s="142">
        <v>5.0</v>
      </c>
      <c r="C41" s="142">
        <v>100.0</v>
      </c>
      <c r="D41" s="1">
        <v>49.0</v>
      </c>
      <c r="E41" s="1">
        <v>188.0</v>
      </c>
      <c r="F41" s="143">
        <f>188/100*20</f>
        <v>37.6</v>
      </c>
      <c r="G41" s="1">
        <f t="shared" si="2"/>
        <v>2</v>
      </c>
      <c r="H41" s="143">
        <v>0.4</v>
      </c>
      <c r="I41" s="1">
        <v>2.25</v>
      </c>
      <c r="J41" s="144">
        <f>24/49</f>
        <v>0.4897959184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" t="s">
        <v>474</v>
      </c>
      <c r="B42" s="142">
        <v>5.0</v>
      </c>
      <c r="C42" s="142">
        <v>100.0</v>
      </c>
      <c r="D42" s="1">
        <v>46.0</v>
      </c>
      <c r="E42" s="1">
        <f t="shared" ref="E42:E49" si="4">F42/20*C42</f>
        <v>154</v>
      </c>
      <c r="F42" s="143">
        <v>30.8</v>
      </c>
      <c r="G42" s="1">
        <f t="shared" si="2"/>
        <v>4</v>
      </c>
      <c r="H42" s="143">
        <v>0.8</v>
      </c>
      <c r="I42" s="1">
        <v>1.4</v>
      </c>
      <c r="J42" s="145">
        <v>0.543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472</v>
      </c>
      <c r="B43" s="142">
        <v>5.0</v>
      </c>
      <c r="C43" s="142">
        <v>100.0</v>
      </c>
      <c r="D43" s="1">
        <v>51.0</v>
      </c>
      <c r="E43" s="1">
        <f t="shared" si="4"/>
        <v>154</v>
      </c>
      <c r="F43" s="143">
        <v>30.8</v>
      </c>
      <c r="G43" s="1">
        <f t="shared" si="2"/>
        <v>9</v>
      </c>
      <c r="H43" s="143">
        <v>1.8</v>
      </c>
      <c r="I43" s="1">
        <v>1.8</v>
      </c>
      <c r="J43" s="145">
        <v>0.49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" t="s">
        <v>459</v>
      </c>
      <c r="B44" s="142">
        <v>5.0</v>
      </c>
      <c r="C44" s="142">
        <v>100.0</v>
      </c>
      <c r="D44" s="1">
        <v>44.0</v>
      </c>
      <c r="E44" s="1">
        <f t="shared" si="4"/>
        <v>146</v>
      </c>
      <c r="F44" s="143">
        <v>29.2</v>
      </c>
      <c r="G44" s="1">
        <f t="shared" si="2"/>
        <v>6</v>
      </c>
      <c r="H44" s="143">
        <v>1.2</v>
      </c>
      <c r="I44" s="1">
        <v>1.8</v>
      </c>
      <c r="J44" s="145">
        <v>0.455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" t="s">
        <v>463</v>
      </c>
      <c r="B45" s="142">
        <v>5.0</v>
      </c>
      <c r="C45" s="142">
        <v>100.0</v>
      </c>
      <c r="D45" s="1">
        <v>37.0</v>
      </c>
      <c r="E45" s="1">
        <f t="shared" si="4"/>
        <v>138</v>
      </c>
      <c r="F45" s="143">
        <v>27.6</v>
      </c>
      <c r="G45" s="1">
        <f t="shared" si="2"/>
        <v>0</v>
      </c>
      <c r="H45" s="143">
        <v>0.0</v>
      </c>
      <c r="I45" s="1">
        <v>1.4</v>
      </c>
      <c r="J45" s="144">
        <v>0.459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" t="s">
        <v>473</v>
      </c>
      <c r="B46" s="142">
        <v>5.0</v>
      </c>
      <c r="C46" s="142">
        <v>100.0</v>
      </c>
      <c r="D46" s="1">
        <v>35.0</v>
      </c>
      <c r="E46" s="1">
        <f t="shared" si="4"/>
        <v>96</v>
      </c>
      <c r="F46" s="143">
        <v>19.2</v>
      </c>
      <c r="G46" s="1">
        <f t="shared" si="2"/>
        <v>1</v>
      </c>
      <c r="H46" s="143">
        <v>0.2</v>
      </c>
      <c r="I46" s="1">
        <v>0.8</v>
      </c>
      <c r="J46" s="144">
        <v>0.429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" t="s">
        <v>476</v>
      </c>
      <c r="B47" s="142">
        <v>5.0</v>
      </c>
      <c r="C47" s="142">
        <v>100.0</v>
      </c>
      <c r="D47" s="1">
        <v>36.0</v>
      </c>
      <c r="E47" s="1">
        <f t="shared" si="4"/>
        <v>90</v>
      </c>
      <c r="F47" s="143">
        <v>18.0</v>
      </c>
      <c r="G47" s="1">
        <f t="shared" si="2"/>
        <v>5</v>
      </c>
      <c r="H47" s="143">
        <v>1.0</v>
      </c>
      <c r="I47" s="1">
        <v>0.6</v>
      </c>
      <c r="J47" s="144">
        <v>0.556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1" t="s">
        <v>469</v>
      </c>
      <c r="B48" s="142">
        <v>5.0</v>
      </c>
      <c r="C48" s="142">
        <v>100.0</v>
      </c>
      <c r="D48" s="1">
        <v>31.0</v>
      </c>
      <c r="E48" s="1">
        <f t="shared" si="4"/>
        <v>78</v>
      </c>
      <c r="F48" s="143">
        <v>15.6</v>
      </c>
      <c r="G48" s="1">
        <f t="shared" si="2"/>
        <v>0</v>
      </c>
      <c r="H48" s="143">
        <v>0.0</v>
      </c>
      <c r="I48" s="1">
        <v>0.6</v>
      </c>
      <c r="J48" s="144">
        <v>0.387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475</v>
      </c>
      <c r="B49" s="142">
        <v>5.0</v>
      </c>
      <c r="C49" s="142">
        <v>100.0</v>
      </c>
      <c r="D49" s="1">
        <v>42.0</v>
      </c>
      <c r="E49" s="1">
        <f t="shared" si="4"/>
        <v>64</v>
      </c>
      <c r="F49" s="143">
        <v>12.8</v>
      </c>
      <c r="G49" s="1">
        <f t="shared" si="2"/>
        <v>1</v>
      </c>
      <c r="H49" s="143">
        <v>0.2</v>
      </c>
      <c r="I49" s="1">
        <v>0.0</v>
      </c>
      <c r="J49" s="145">
        <v>0.405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