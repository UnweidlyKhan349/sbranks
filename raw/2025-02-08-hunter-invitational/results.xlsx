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Divisions" sheetId="1" r:id="rId5"/>
    <sheet state="visible" name="RR Games" sheetId="2" r:id="rId6"/>
    <sheet state="visible" name="RR Scores" sheetId="3" r:id="rId7"/>
    <sheet state="visible" name="Elimination Bracket" sheetId="4" r:id="rId8"/>
    <sheet state="visible" name="Tournament Schedule" sheetId="5" r:id="rId9"/>
    <sheet state="visible" name="Teams RosterPayment" sheetId="6" r:id="rId10"/>
    <sheet state="hidden" name="Sheet7" sheetId="7" r:id="rId11"/>
  </sheets>
  <definedNames/>
  <calcPr/>
</workbook>
</file>

<file path=xl/sharedStrings.xml><?xml version="1.0" encoding="utf-8"?>
<sst xmlns="http://schemas.openxmlformats.org/spreadsheetml/2006/main" count="369" uniqueCount="201">
  <si>
    <t>Team Name</t>
  </si>
  <si>
    <t>3:00 PM EST</t>
  </si>
  <si>
    <t>A1</t>
  </si>
  <si>
    <t>Berlin B</t>
  </si>
  <si>
    <t>3:30 PM EST</t>
  </si>
  <si>
    <t>A2</t>
  </si>
  <si>
    <t>4:00 PM EST</t>
  </si>
  <si>
    <t>Collierville A</t>
  </si>
  <si>
    <t>4:30 PM EST</t>
  </si>
  <si>
    <t>A3</t>
  </si>
  <si>
    <t>Exploding Kittens</t>
  </si>
  <si>
    <t>5:00 PM EST</t>
  </si>
  <si>
    <t>A4</t>
  </si>
  <si>
    <t>interlake 2</t>
  </si>
  <si>
    <t>5:30 PM EST</t>
  </si>
  <si>
    <t>A5</t>
  </si>
  <si>
    <t>JP Stevens A</t>
  </si>
  <si>
    <t>A6</t>
  </si>
  <si>
    <t>Lunar Legends</t>
  </si>
  <si>
    <t>Upper Bracket</t>
  </si>
  <si>
    <t>B1</t>
  </si>
  <si>
    <t xml:space="preserve">BTHS </t>
  </si>
  <si>
    <t>B2</t>
  </si>
  <si>
    <t>interlake 5</t>
  </si>
  <si>
    <t>B3</t>
  </si>
  <si>
    <t>JP Stevens B</t>
  </si>
  <si>
    <t>B4</t>
  </si>
  <si>
    <t>Lexington HS</t>
  </si>
  <si>
    <t>B5</t>
  </si>
  <si>
    <t>SUN</t>
  </si>
  <si>
    <t>B6</t>
  </si>
  <si>
    <t>West Brunswick</t>
  </si>
  <si>
    <t>C1</t>
  </si>
  <si>
    <t>D2 - Beltway Beavers</t>
  </si>
  <si>
    <t>Berlin A</t>
  </si>
  <si>
    <t>C2</t>
  </si>
  <si>
    <t>TJHSST</t>
  </si>
  <si>
    <t>C3</t>
  </si>
  <si>
    <t>Timberline A</t>
  </si>
  <si>
    <t>C4</t>
  </si>
  <si>
    <t>WUKONG</t>
  </si>
  <si>
    <t>C5</t>
  </si>
  <si>
    <t>Rickards A</t>
  </si>
  <si>
    <t>C6</t>
  </si>
  <si>
    <t>Anthracite 1</t>
  </si>
  <si>
    <t>D1</t>
  </si>
  <si>
    <t>Barometer Juice</t>
  </si>
  <si>
    <t>D2</t>
  </si>
  <si>
    <t>Beltway Beavers</t>
  </si>
  <si>
    <t>Gabe</t>
  </si>
  <si>
    <t>D3</t>
  </si>
  <si>
    <t>Collierville B</t>
  </si>
  <si>
    <t>D4</t>
  </si>
  <si>
    <t>JP Stevens C</t>
  </si>
  <si>
    <t>D5</t>
  </si>
  <si>
    <t>Northville Mustangs</t>
  </si>
  <si>
    <t>D6</t>
  </si>
  <si>
    <t>A3 - Exploding Kittens</t>
  </si>
  <si>
    <t>JETS JESTERS</t>
  </si>
  <si>
    <t>B5 - SUN</t>
  </si>
  <si>
    <t>Anthracite 2</t>
  </si>
  <si>
    <t>🏆</t>
  </si>
  <si>
    <t xml:space="preserve">Melody </t>
  </si>
  <si>
    <t>Interlake 2</t>
  </si>
  <si>
    <t>C5 - Rickards A</t>
  </si>
  <si>
    <t>Lower Bracket</t>
  </si>
  <si>
    <t>C2 - TJHSST</t>
  </si>
  <si>
    <t xml:space="preserve">Bauxite 1 </t>
  </si>
  <si>
    <t>Bauxite 1</t>
  </si>
  <si>
    <t>A4 - interlake 2</t>
  </si>
  <si>
    <t>Camille</t>
  </si>
  <si>
    <t>Kieran</t>
  </si>
  <si>
    <t>Alex Y</t>
  </si>
  <si>
    <t>D1 - Barometer Juice</t>
  </si>
  <si>
    <t>Simone</t>
  </si>
  <si>
    <t>B2 - interlake 5</t>
  </si>
  <si>
    <t>Bauxite 2</t>
  </si>
  <si>
    <t>Melody</t>
  </si>
  <si>
    <t xml:space="preserve">Ethan </t>
  </si>
  <si>
    <t xml:space="preserve">Room </t>
  </si>
  <si>
    <t>Credit to TSB for the code and format!!</t>
  </si>
  <si>
    <t>Team</t>
  </si>
  <si>
    <t xml:space="preserve">HSB Tournament Schedule </t>
  </si>
  <si>
    <t>All times listed below in EST</t>
  </si>
  <si>
    <t>Credit to TSB for bracket format!</t>
  </si>
  <si>
    <t>START TIME</t>
  </si>
  <si>
    <t>EVENT</t>
  </si>
  <si>
    <t>Opening Ceremony</t>
  </si>
  <si>
    <t>Game 1</t>
  </si>
  <si>
    <t>Room 1</t>
  </si>
  <si>
    <t>Room 2</t>
  </si>
  <si>
    <t>Room 3</t>
  </si>
  <si>
    <t>Game 2</t>
  </si>
  <si>
    <t>RR1</t>
  </si>
  <si>
    <t>1vs4</t>
  </si>
  <si>
    <t>2vs3</t>
  </si>
  <si>
    <t>PPG</t>
  </si>
  <si>
    <t>5vs6</t>
  </si>
  <si>
    <t>Game 3</t>
  </si>
  <si>
    <t>RR2</t>
  </si>
  <si>
    <t>1vs3</t>
  </si>
  <si>
    <t>2vs5</t>
  </si>
  <si>
    <t>4vs6</t>
  </si>
  <si>
    <t>RR3</t>
  </si>
  <si>
    <t>1vs2</t>
  </si>
  <si>
    <t>4vs5</t>
  </si>
  <si>
    <t>3vs6</t>
  </si>
  <si>
    <t>RR4</t>
  </si>
  <si>
    <t>1vs5</t>
  </si>
  <si>
    <t>Game 4</t>
  </si>
  <si>
    <t>Match Points</t>
  </si>
  <si>
    <t>3vs4</t>
  </si>
  <si>
    <t>2vs6</t>
  </si>
  <si>
    <t>RR5</t>
  </si>
  <si>
    <t>2vs4</t>
  </si>
  <si>
    <t>3vs5</t>
  </si>
  <si>
    <t>1vs6</t>
  </si>
  <si>
    <t>Rank</t>
  </si>
  <si>
    <t>Game 5</t>
  </si>
  <si>
    <t>Bracket</t>
  </si>
  <si>
    <t xml:space="preserve">Break </t>
  </si>
  <si>
    <t>DE QUALIFIERS</t>
  </si>
  <si>
    <t>Upper 1 + Lower 1</t>
  </si>
  <si>
    <t>GAME SCHEDULE (EST)</t>
  </si>
  <si>
    <t>Lower 2</t>
  </si>
  <si>
    <t>Upper 2 + Lower 3</t>
  </si>
  <si>
    <t>Lower 4</t>
  </si>
  <si>
    <t>Finals 1</t>
  </si>
  <si>
    <t>GAME SCHEDULE (CST)</t>
  </si>
  <si>
    <t>Finals 2</t>
  </si>
  <si>
    <t>Closing Remarks</t>
  </si>
  <si>
    <t>A1 vs A4</t>
  </si>
  <si>
    <t>A1 vs A3</t>
  </si>
  <si>
    <t>A1 vs A2</t>
  </si>
  <si>
    <t>A1 vs A5</t>
  </si>
  <si>
    <t>A2 vs A4</t>
  </si>
  <si>
    <t>A2 vs A3</t>
  </si>
  <si>
    <t>A2 vs A5</t>
  </si>
  <si>
    <t>A4 vs A5</t>
  </si>
  <si>
    <t>A3 vs A4</t>
  </si>
  <si>
    <t>A3 vs A5</t>
  </si>
  <si>
    <t>A5 vs A6</t>
  </si>
  <si>
    <t>A4 vs A6</t>
  </si>
  <si>
    <t>A3 vs A6</t>
  </si>
  <si>
    <t>A2 vs A6</t>
  </si>
  <si>
    <t>A1 vs A6</t>
  </si>
  <si>
    <t>GAME SCHEDULE (MST)</t>
  </si>
  <si>
    <t>GAME SCHEDULE (PST)</t>
  </si>
  <si>
    <t>B1 vs B4</t>
  </si>
  <si>
    <t>B1 vs B3</t>
  </si>
  <si>
    <t>B1 vs B2</t>
  </si>
  <si>
    <t>B1 vs B5</t>
  </si>
  <si>
    <t>B2 vs B4</t>
  </si>
  <si>
    <t>B2 vs B3</t>
  </si>
  <si>
    <t>B2 vs B5</t>
  </si>
  <si>
    <t>B4 vs B5</t>
  </si>
  <si>
    <t>B3 vs B4</t>
  </si>
  <si>
    <t>B3 vs B5</t>
  </si>
  <si>
    <t>B5 vs B6</t>
  </si>
  <si>
    <t>B4 vs B6</t>
  </si>
  <si>
    <t>B3 vs B6</t>
  </si>
  <si>
    <t>B2 vs B6</t>
  </si>
  <si>
    <t>B1 vs B6</t>
  </si>
  <si>
    <t>GAME SCHEDULE (HST)</t>
  </si>
  <si>
    <t>C1 vs C4</t>
  </si>
  <si>
    <t>C1 vs C3</t>
  </si>
  <si>
    <t>C1 vs C2</t>
  </si>
  <si>
    <t>C1 vs C5</t>
  </si>
  <si>
    <t>C2 vs C4</t>
  </si>
  <si>
    <t>C2 vs C3</t>
  </si>
  <si>
    <t>C2 vs C5</t>
  </si>
  <si>
    <t>C4 vs C5</t>
  </si>
  <si>
    <t>C3 vs C4</t>
  </si>
  <si>
    <t>C3 vs C5</t>
  </si>
  <si>
    <t>Teams:</t>
  </si>
  <si>
    <t>BYE</t>
  </si>
  <si>
    <t>Paid?</t>
  </si>
  <si>
    <t>Arcadia High School</t>
  </si>
  <si>
    <t>Canyon Crest Academy A</t>
  </si>
  <si>
    <t>D1 vs D4</t>
  </si>
  <si>
    <t>Canyon Crest Academy B</t>
  </si>
  <si>
    <t>D1 vs D3</t>
  </si>
  <si>
    <t>D1 vs D2</t>
  </si>
  <si>
    <t>BTHS A</t>
  </si>
  <si>
    <t>D1 vs D5</t>
  </si>
  <si>
    <t>BTHS B</t>
  </si>
  <si>
    <t>D2 vs D4</t>
  </si>
  <si>
    <t>D2 vs D3</t>
  </si>
  <si>
    <t>D2 vs D5</t>
  </si>
  <si>
    <t>Iolani</t>
  </si>
  <si>
    <t>D4 vs D5</t>
  </si>
  <si>
    <t>D3 vs D4</t>
  </si>
  <si>
    <t>Montgomery Blair</t>
  </si>
  <si>
    <t>D3 vs D5</t>
  </si>
  <si>
    <t>D5 vs D6</t>
  </si>
  <si>
    <t>D4 vs D6</t>
  </si>
  <si>
    <t>D3 vs D6</t>
  </si>
  <si>
    <t>D2 vs D6</t>
  </si>
  <si>
    <t>TAMS</t>
  </si>
  <si>
    <t>D1 vs D6</t>
  </si>
  <si>
    <t>Community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</si>
</sst>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 am/pm"/>
    <numFmt numFmtId="165" formatCode="h:mm:ss am/pm"/>
  </numFmts>
  <fonts count="1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sz val="12.0"/>
      <color theme="1"/>
      <name val="Arial"/>
      <scheme val="minor"/>
    </font>
    <font>
      <sz val="16.0"/>
      <color theme="1"/>
      <name val="Spectral"/>
    </font>
    <font>
      <b/>
      <sz val="12.0"/>
      <color theme="1"/>
      <name val="Spectral"/>
    </font>
    <font>
      <sz val="12.0"/>
      <color theme="1"/>
      <name val="Spectral"/>
    </font>
    <font>
      <color theme="1"/>
      <name val="Arial"/>
      <scheme val="minor"/>
    </font>
    <font>
      <sz val="29.0"/>
      <color theme="1"/>
      <name val="Spectral"/>
    </font>
    <font>
      <b/>
      <sz val="30.0"/>
      <color theme="1"/>
      <name val="Arial"/>
    </font>
    <font>
      <sz val="14.0"/>
      <color theme="1"/>
      <name val="Arial"/>
    </font>
    <font>
      <b/>
      <sz val="18.0"/>
      <color theme="1"/>
      <name val="Arial"/>
    </font>
    <font>
      <sz val="18.0"/>
      <color theme="1"/>
      <name val="Arial"/>
      <scheme val="minor"/>
    </font>
    <font>
      <b/>
      <color theme="1"/>
      <name val="Arial"/>
      <scheme val="minor"/>
    </font>
    <font>
      <sz val="18.0"/>
      <color theme="1"/>
      <name val="Arial"/>
    </font>
    <font>
      <b/>
      <sz val="18.0"/>
      <color theme="1"/>
      <name val="Arial"/>
      <scheme val="minor"/>
    </font>
    <font>
      <sz val="12.0"/>
      <color theme="1"/>
      <name val="Arial"/>
    </font>
    <font>
      <b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1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ck">
        <color rgb="FF000000"/>
      </bottom>
    </border>
    <border>
      <right style="thick">
        <color rgb="FF000000"/>
      </right>
    </border>
    <border>
      <bottom style="double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vertical="bottom"/>
    </xf>
    <xf borderId="2" fillId="0" fontId="1" numFmtId="0" xfId="0" applyAlignment="1" applyBorder="1" applyFont="1">
      <alignment readingOrder="0"/>
    </xf>
    <xf borderId="3" fillId="2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 vertical="bottom"/>
    </xf>
    <xf borderId="4" fillId="2" fontId="3" numFmtId="0" xfId="0" applyAlignment="1" applyBorder="1" applyFill="1" applyFont="1">
      <alignment readingOrder="0"/>
    </xf>
    <xf borderId="5" fillId="2" fontId="3" numFmtId="0" xfId="0" applyAlignment="1" applyBorder="1" applyFill="1" applyFont="1">
      <alignment horizontal="center" readingOrder="0"/>
    </xf>
    <xf borderId="6" fillId="2" fontId="3" numFmtId="0" xfId="0" applyAlignment="1" applyBorder="1" applyFill="1" applyFont="1">
      <alignment readingOrder="0"/>
    </xf>
    <xf borderId="7" fillId="2" fontId="3" numFmtId="0" xfId="0" applyAlignment="1" applyBorder="1" applyFill="1" applyFont="1">
      <alignment horizontal="center" readingOrder="0"/>
    </xf>
    <xf borderId="8" fillId="2" fontId="3" numFmtId="0" xfId="0" applyAlignment="1" applyBorder="1" applyFill="1" applyFont="1">
      <alignment readingOrder="0"/>
    </xf>
    <xf borderId="3" fillId="3" fontId="3" numFmtId="0" xfId="0" applyAlignment="1" applyBorder="1" applyFill="1" applyFont="1">
      <alignment horizontal="center" readingOrder="0"/>
    </xf>
    <xf borderId="0" fillId="0" fontId="5" numFmtId="0" xfId="0" applyAlignment="1" applyFont="1">
      <alignment vertical="bottom"/>
    </xf>
    <xf borderId="4" fillId="3" fontId="3" numFmtId="0" xfId="0" applyAlignment="1" applyBorder="1" applyFill="1" applyFont="1">
      <alignment readingOrder="0"/>
    </xf>
    <xf borderId="5" fillId="3" fontId="3" numFmtId="0" xfId="0" applyAlignment="1" applyBorder="1" applyFill="1" applyFont="1">
      <alignment horizontal="center" readingOrder="0"/>
    </xf>
    <xf borderId="6" fillId="3" fontId="3" numFmtId="0" xfId="0" applyAlignment="1" applyBorder="1" applyFill="1" applyFont="1">
      <alignment readingOrder="0"/>
    </xf>
    <xf borderId="7" fillId="3" fontId="3" numFmtId="0" xfId="0" applyAlignment="1" applyBorder="1" applyFill="1" applyFont="1">
      <alignment horizontal="center" readingOrder="0"/>
    </xf>
    <xf borderId="8" fillId="3" fontId="3" numFmtId="0" xfId="0" applyAlignment="1" applyBorder="1" applyFill="1" applyFont="1">
      <alignment readingOrder="0"/>
    </xf>
    <xf borderId="0" fillId="0" fontId="6" numFmtId="0" xfId="0" applyAlignment="1" applyFont="1">
      <alignment horizontal="right" vertical="bottom"/>
    </xf>
    <xf borderId="3" fillId="4" fontId="3" numFmtId="0" xfId="0" applyAlignment="1" applyBorder="1" applyFill="1" applyFont="1">
      <alignment horizontal="center" readingOrder="0"/>
    </xf>
    <xf borderId="9" fillId="5" fontId="6" numFmtId="0" xfId="0" applyAlignment="1" applyBorder="1" applyFill="1" applyFont="1">
      <alignment readingOrder="0" vertical="bottom"/>
    </xf>
    <xf borderId="4" fillId="4" fontId="3" numFmtId="0" xfId="0" applyAlignment="1" applyBorder="1" applyFill="1" applyFont="1">
      <alignment readingOrder="0"/>
    </xf>
    <xf borderId="9" fillId="6" fontId="6" numFmtId="0" xfId="0" applyAlignment="1" applyBorder="1" applyFill="1" applyFont="1">
      <alignment readingOrder="0" vertical="bottom"/>
    </xf>
    <xf borderId="5" fillId="4" fontId="3" numFmtId="0" xfId="0" applyAlignment="1" applyBorder="1" applyFill="1" applyFont="1">
      <alignment horizontal="center" readingOrder="0"/>
    </xf>
    <xf borderId="6" fillId="4" fontId="3" numFmtId="0" xfId="0" applyAlignment="1" applyBorder="1" applyFill="1" applyFont="1">
      <alignment readingOrder="0"/>
    </xf>
    <xf borderId="10" fillId="0" fontId="2" numFmtId="0" xfId="0" applyAlignment="1" applyBorder="1" applyFont="1">
      <alignment vertical="bottom"/>
    </xf>
    <xf borderId="0" fillId="4" fontId="7" numFmtId="0" xfId="0" applyFill="1" applyFont="1"/>
    <xf borderId="0" fillId="0" fontId="6" numFmtId="0" xfId="0" applyAlignment="1" applyFont="1">
      <alignment vertical="bottom"/>
    </xf>
    <xf borderId="3" fillId="7" fontId="3" numFmtId="0" xfId="0" applyAlignment="1" applyBorder="1" applyFill="1" applyFont="1">
      <alignment horizontal="center" readingOrder="0"/>
    </xf>
    <xf borderId="11" fillId="0" fontId="2" numFmtId="0" xfId="0" applyAlignment="1" applyBorder="1" applyFont="1">
      <alignment vertical="bottom"/>
    </xf>
    <xf borderId="4" fillId="7" fontId="3" numFmtId="0" xfId="0" applyAlignment="1" applyBorder="1" applyFill="1" applyFont="1">
      <alignment readingOrder="0"/>
    </xf>
    <xf borderId="5" fillId="7" fontId="3" numFmtId="0" xfId="0" applyAlignment="1" applyBorder="1" applyFill="1" applyFont="1">
      <alignment horizontal="center" readingOrder="0"/>
    </xf>
    <xf borderId="6" fillId="7" fontId="3" numFmtId="0" xfId="0" applyAlignment="1" applyBorder="1" applyFill="1" applyFont="1">
      <alignment readingOrder="0"/>
    </xf>
    <xf borderId="0" fillId="0" fontId="2" numFmtId="0" xfId="0" applyAlignment="1" applyFont="1">
      <alignment readingOrder="0" vertical="bottom"/>
    </xf>
    <xf borderId="7" fillId="7" fontId="3" numFmtId="0" xfId="0" applyAlignment="1" applyBorder="1" applyFill="1" applyFont="1">
      <alignment horizontal="center" readingOrder="0"/>
    </xf>
    <xf borderId="8" fillId="7" fontId="3" numFmtId="0" xfId="0" applyAlignment="1" applyBorder="1" applyFill="1" applyFont="1">
      <alignment readingOrder="0"/>
    </xf>
    <xf borderId="12" fillId="6" fontId="6" numFmtId="0" xfId="0" applyAlignment="1" applyBorder="1" applyFill="1" applyFont="1">
      <alignment readingOrder="0" vertical="bottom"/>
    </xf>
    <xf borderId="0" fillId="0" fontId="8" numFmtId="0" xfId="0" applyAlignment="1" applyFont="1">
      <alignment vertical="bottom"/>
    </xf>
    <xf borderId="9" fillId="0" fontId="2" numFmtId="0" xfId="0" applyAlignment="1" applyBorder="1" applyFont="1">
      <alignment readingOrder="0" vertical="bottom"/>
    </xf>
    <xf borderId="0" fillId="0" fontId="7" numFmtId="0" xfId="0" applyAlignment="1" applyFont="1">
      <alignment readingOrder="0"/>
    </xf>
    <xf borderId="9" fillId="8" fontId="6" numFmtId="0" xfId="0" applyAlignment="1" applyBorder="1" applyFill="1" applyFont="1">
      <alignment readingOrder="0" vertical="bottom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6" numFmtId="0" xfId="0" applyAlignment="1" applyFont="1">
      <alignment readingOrder="0" vertical="bottom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vertical="bottom"/>
    </xf>
    <xf borderId="0" fillId="0" fontId="12" numFmtId="0" xfId="0" applyFont="1"/>
    <xf borderId="0" fillId="5" fontId="12" numFmtId="164" xfId="0" applyAlignment="1" applyFill="1" applyFont="1" applyNumberFormat="1">
      <alignment readingOrder="0"/>
    </xf>
    <xf borderId="13" fillId="0" fontId="7" numFmtId="0" xfId="0" applyAlignment="1" applyBorder="1" applyFont="1">
      <alignment horizontal="left" readingOrder="0" shrinkToFit="0" vertical="center" wrapText="0"/>
    </xf>
    <xf borderId="14" fillId="0" fontId="13" numFmtId="0" xfId="0" applyAlignment="1" applyBorder="1" applyFont="1">
      <alignment horizontal="left" readingOrder="0" shrinkToFit="0" vertical="center" wrapText="0"/>
    </xf>
    <xf borderId="15" fillId="0" fontId="3" numFmtId="0" xfId="0" applyAlignment="1" applyBorder="1" applyFont="1">
      <alignment horizontal="center" readingOrder="0" shrinkToFit="0" vertical="center" wrapText="0"/>
    </xf>
    <xf borderId="0" fillId="5" fontId="14" numFmtId="0" xfId="0" applyAlignment="1" applyFill="1" applyFont="1">
      <alignment readingOrder="0" vertical="bottom"/>
    </xf>
    <xf borderId="0" fillId="0" fontId="15" numFmtId="0" xfId="0" applyAlignment="1" applyFont="1">
      <alignment readingOrder="0"/>
    </xf>
    <xf borderId="14" fillId="0" fontId="7" numFmtId="0" xfId="0" applyAlignment="1" applyBorder="1" applyFont="1">
      <alignment horizontal="left" readingOrder="0" shrinkToFit="0" vertical="center" wrapText="0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2" numFmtId="0" xfId="0" applyAlignment="1" applyFont="1">
      <alignment readingOrder="0"/>
    </xf>
    <xf borderId="14" fillId="0" fontId="7" numFmtId="0" xfId="0" applyAlignment="1" applyBorder="1" applyFont="1">
      <alignment horizontal="left" readingOrder="0" shrinkToFit="0" vertical="center" wrapText="0"/>
    </xf>
    <xf borderId="0" fillId="0" fontId="14" numFmtId="0" xfId="0" applyAlignment="1" applyFont="1">
      <alignment readingOrder="0" vertical="bottom"/>
    </xf>
    <xf borderId="0" fillId="0" fontId="7" numFmtId="0" xfId="0" applyAlignment="1" applyFont="1">
      <alignment horizontal="left" readingOrder="0" shrinkToFit="0" vertical="center" wrapText="0"/>
    </xf>
    <xf borderId="0" fillId="9" fontId="14" numFmtId="164" xfId="0" applyAlignment="1" applyFill="1" applyFont="1" applyNumberFormat="1">
      <alignment horizontal="right" vertical="bottom"/>
    </xf>
    <xf borderId="0" fillId="9" fontId="14" numFmtId="0" xfId="0" applyAlignment="1" applyFill="1" applyFont="1">
      <alignment vertical="bottom"/>
    </xf>
    <xf borderId="0" fillId="0" fontId="7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center" vertical="bottom"/>
    </xf>
    <xf borderId="0" fillId="10" fontId="1" numFmtId="0" xfId="0" applyAlignment="1" applyFill="1" applyFont="1">
      <alignment horizontal="center" readingOrder="0"/>
    </xf>
    <xf borderId="0" fillId="0" fontId="14" numFmtId="164" xfId="0" applyAlignment="1" applyFont="1" applyNumberFormat="1">
      <alignment readingOrder="0" vertical="bottom"/>
    </xf>
    <xf borderId="0" fillId="0" fontId="12" numFmtId="164" xfId="0" applyAlignment="1" applyFont="1" applyNumberFormat="1">
      <alignment readingOrder="0"/>
    </xf>
    <xf borderId="0" fillId="11" fontId="1" numFmtId="0" xfId="0" applyAlignment="1" applyFill="1" applyFont="1">
      <alignment horizontal="center" readingOrder="0"/>
    </xf>
    <xf borderId="0" fillId="5" fontId="14" numFmtId="0" xfId="0" applyAlignment="1" applyFill="1" applyFont="1">
      <alignment vertical="bottom"/>
    </xf>
    <xf borderId="16" fillId="0" fontId="3" numFmtId="0" xfId="0" applyAlignment="1" applyBorder="1" applyFont="1">
      <alignment horizontal="center" readingOrder="0" shrinkToFit="0" vertical="center" wrapText="0"/>
    </xf>
    <xf borderId="14" fillId="12" fontId="7" numFmtId="0" xfId="0" applyAlignment="1" applyBorder="1" applyFill="1" applyFont="1">
      <alignment shrinkToFit="0" vertical="center" wrapText="0"/>
    </xf>
    <xf borderId="14" fillId="0" fontId="7" numFmtId="0" xfId="0" applyAlignment="1" applyBorder="1" applyFont="1">
      <alignment readingOrder="0" shrinkToFit="0" vertical="center" wrapText="0"/>
    </xf>
    <xf borderId="0" fillId="10" fontId="16" numFmtId="164" xfId="0" applyAlignment="1" applyFill="1" applyFont="1" applyNumberFormat="1">
      <alignment horizontal="right" readingOrder="0" vertical="bottom"/>
    </xf>
    <xf borderId="0" fillId="10" fontId="16" numFmtId="0" xfId="0" applyAlignment="1" applyFill="1" applyFont="1">
      <alignment vertical="bottom"/>
    </xf>
    <xf borderId="0" fillId="11" fontId="16" numFmtId="164" xfId="0" applyAlignment="1" applyFill="1" applyFont="1" applyNumberFormat="1">
      <alignment horizontal="right" readingOrder="0" vertical="bottom"/>
    </xf>
    <xf borderId="0" fillId="11" fontId="16" numFmtId="0" xfId="0" applyAlignment="1" applyFill="1" applyFont="1">
      <alignment vertical="bottom"/>
    </xf>
    <xf borderId="14" fillId="0" fontId="7" numFmtId="0" xfId="0" applyAlignment="1" applyBorder="1" applyFont="1">
      <alignment shrinkToFit="0" vertical="center" wrapText="0"/>
    </xf>
    <xf borderId="0" fillId="10" fontId="16" numFmtId="164" xfId="0" applyAlignment="1" applyFill="1" applyFont="1" applyNumberFormat="1">
      <alignment horizontal="right" vertical="bottom"/>
    </xf>
    <xf borderId="0" fillId="10" fontId="16" numFmtId="165" xfId="0" applyAlignment="1" applyFill="1" applyFont="1" applyNumberFormat="1">
      <alignment horizontal="right" readingOrder="0" vertical="bottom"/>
    </xf>
    <xf borderId="0" fillId="10" fontId="16" numFmtId="0" xfId="0" applyAlignment="1" applyFill="1" applyFont="1">
      <alignment readingOrder="0" vertical="bottom"/>
    </xf>
    <xf borderId="0" fillId="11" fontId="16" numFmtId="0" xfId="0" applyAlignment="1" applyFill="1" applyFont="1">
      <alignment readingOrder="0" vertical="bottom"/>
    </xf>
    <xf borderId="0" fillId="13" fontId="1" numFmtId="0" xfId="0" applyAlignment="1" applyFill="1" applyFont="1">
      <alignment horizontal="center" readingOrder="0"/>
    </xf>
    <xf borderId="0" fillId="14" fontId="1" numFmtId="0" xfId="0" applyAlignment="1" applyFill="1" applyFont="1">
      <alignment horizontal="center" readingOrder="0"/>
    </xf>
    <xf borderId="0" fillId="0" fontId="16" numFmtId="164" xfId="0" applyAlignment="1" applyFont="1" applyNumberFormat="1">
      <alignment horizontal="right" readingOrder="0" vertical="bottom"/>
    </xf>
    <xf borderId="0" fillId="13" fontId="16" numFmtId="164" xfId="0" applyAlignment="1" applyFill="1" applyFont="1" applyNumberFormat="1">
      <alignment horizontal="right" readingOrder="0" vertical="bottom"/>
    </xf>
    <xf borderId="0" fillId="13" fontId="16" numFmtId="0" xfId="0" applyAlignment="1" applyFill="1" applyFont="1">
      <alignment vertical="bottom"/>
    </xf>
    <xf borderId="0" fillId="14" fontId="16" numFmtId="164" xfId="0" applyAlignment="1" applyFill="1" applyFont="1" applyNumberFormat="1">
      <alignment horizontal="right" readingOrder="0" vertical="bottom"/>
    </xf>
    <xf borderId="0" fillId="14" fontId="16" numFmtId="0" xfId="0" applyAlignment="1" applyFill="1" applyFont="1">
      <alignment vertical="bottom"/>
    </xf>
    <xf borderId="0" fillId="13" fontId="16" numFmtId="0" xfId="0" applyAlignment="1" applyFill="1" applyFont="1">
      <alignment readingOrder="0" vertical="bottom"/>
    </xf>
    <xf borderId="0" fillId="14" fontId="16" numFmtId="0" xfId="0" applyAlignment="1" applyFill="1" applyFont="1">
      <alignment readingOrder="0" vertical="bottom"/>
    </xf>
    <xf borderId="0" fillId="15" fontId="1" numFmtId="0" xfId="0" applyAlignment="1" applyFill="1" applyFont="1">
      <alignment horizontal="center" readingOrder="0"/>
    </xf>
    <xf borderId="0" fillId="15" fontId="16" numFmtId="164" xfId="0" applyAlignment="1" applyFill="1" applyFont="1" applyNumberFormat="1">
      <alignment horizontal="right" readingOrder="0" vertical="bottom"/>
    </xf>
    <xf borderId="0" fillId="15" fontId="16" numFmtId="0" xfId="0" applyAlignment="1" applyFill="1" applyFont="1">
      <alignment vertical="bottom"/>
    </xf>
    <xf borderId="0" fillId="0" fontId="17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0" fontId="13" numFmtId="0" xfId="0" applyFont="1"/>
    <xf borderId="0" fillId="15" fontId="16" numFmtId="0" xfId="0" applyAlignment="1" applyFill="1" applyFont="1">
      <alignment readingOrder="0" vertical="bottom"/>
    </xf>
    <xf borderId="0" fillId="0" fontId="7" numFmtId="0" xfId="0" applyFont="1"/>
    <xf borderId="14" fillId="0" fontId="7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15" fillId="0" fontId="3" numFmtId="0" xfId="0" applyAlignment="1" applyBorder="1" applyFont="1">
      <alignment horizontal="center" readingOrder="0" shrinkToFit="0" vertical="center" wrapText="0"/>
    </xf>
    <xf borderId="14" fillId="12" fontId="7" numFmtId="0" xfId="0" applyAlignment="1" applyBorder="1" applyFill="1" applyFont="1">
      <alignment readingOrder="0" shrinkToFit="0" vertical="center" wrapText="0"/>
    </xf>
    <xf borderId="0" fillId="12" fontId="7" numFmtId="0" xfId="0" applyAlignment="1" applyFill="1" applyFont="1">
      <alignment shrinkToFit="0" vertical="center" wrapText="0"/>
    </xf>
    <xf borderId="0" fillId="12" fontId="7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</dxfs>
  <tableStyles count="8">
    <tableStyle count="4" pivot="0" name="RR Sc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R Gam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R Scores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RR Games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RR Scores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RR Games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RR Scores-style 4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RR Games-style 4">
      <tableStyleElement dxfId="7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4" displayName="Anthracite" name="Anthracite" id="2">
  <tableColumns count="6">
    <tableColumn name="Room " id="1"/>
    <tableColumn name="Game 1" id="2"/>
    <tableColumn name="Game 2" id="3"/>
    <tableColumn name="Game 3" id="4"/>
    <tableColumn name="Game 4" id="5"/>
    <tableColumn name="Game 5" id="6"/>
  </tableColumns>
  <tableStyleInfo name="RR Games-style" showColumnStripes="0" showFirstColumn="1" showLastColumn="1" showRowStripes="1"/>
</table>
</file>

<file path=xl/tables/table2.xml><?xml version="1.0" encoding="utf-8"?>
<table xmlns="http://schemas.openxmlformats.org/spreadsheetml/2006/main" ref="A7:F10" displayName="Bauxite" name="Bauxite" id="4">
  <tableColumns count="6">
    <tableColumn name="Room " id="1"/>
    <tableColumn name="Game 1" id="2"/>
    <tableColumn name="Game 2" id="3"/>
    <tableColumn name="Game 3" id="4"/>
    <tableColumn name="Game 4" id="5"/>
    <tableColumn name="Game 5" id="6"/>
  </tableColumns>
  <tableStyleInfo name="RR Games-style 2" showColumnStripes="0" showFirstColumn="1" showLastColumn="1" showRowStripes="1"/>
</table>
</file>

<file path=xl/tables/table3.xml><?xml version="1.0" encoding="utf-8"?>
<table xmlns="http://schemas.openxmlformats.org/spreadsheetml/2006/main" ref="A13:F16" displayName="Coquina" name="Coquina" id="6">
  <tableColumns count="6">
    <tableColumn name="Room " id="1"/>
    <tableColumn name="Game 1" id="2"/>
    <tableColumn name="Game 2" id="3"/>
    <tableColumn name="Game 3" id="4"/>
    <tableColumn name="Game 4" id="5"/>
    <tableColumn name="Game 5" id="6"/>
  </tableColumns>
  <tableStyleInfo name="RR Games-style 3" showColumnStripes="0" showFirstColumn="1" showLastColumn="1" showRowStripes="1"/>
</table>
</file>

<file path=xl/tables/table4.xml><?xml version="1.0" encoding="utf-8"?>
<table xmlns="http://schemas.openxmlformats.org/spreadsheetml/2006/main" ref="A19:F22" displayName="Dolostone" name="Dolostone" id="7">
  <tableColumns count="6">
    <tableColumn name="Room " id="1"/>
    <tableColumn name="Game 1" id="2"/>
    <tableColumn name="Game 2" id="3"/>
    <tableColumn name="Game 3" id="4"/>
    <tableColumn name="Game 4" id="5"/>
    <tableColumn name="Game 5" id="6"/>
  </tableColumns>
  <tableStyleInfo name="RR Games-style 4" showColumnStripes="0" showFirstColumn="1" showLastColumn="1" showRowStripes="1"/>
</table>
</file>

<file path=xl/tables/table5.xml><?xml version="1.0" encoding="utf-8"?>
<table xmlns="http://schemas.openxmlformats.org/spreadsheetml/2006/main" ref="A2:K8" displayName="Anthracite_Scores" name="Anthracite_Scores" id="1">
  <tableColumns count="11">
    <tableColumn name="Team" id="1"/>
    <tableColumn name="A1" id="2"/>
    <tableColumn name="A2" id="3"/>
    <tableColumn name="A3" id="4"/>
    <tableColumn name="A4" id="5"/>
    <tableColumn name="A5" id="6"/>
    <tableColumn name="A6" id="7"/>
    <tableColumn name="PPG" id="8"/>
    <tableColumn name="Match Points" id="9"/>
    <tableColumn name="Rank" id="10"/>
    <tableColumn name="Bracket" id="11"/>
  </tableColumns>
  <tableStyleInfo name="RR Scores-style" showColumnStripes="0" showFirstColumn="1" showLastColumn="1" showRowStripes="1"/>
</table>
</file>

<file path=xl/tables/table6.xml><?xml version="1.0" encoding="utf-8"?>
<table xmlns="http://schemas.openxmlformats.org/spreadsheetml/2006/main" ref="A11:K17" displayName="Bauxite_Scores" name="Bauxite_Scores" id="3">
  <tableColumns count="11">
    <tableColumn name="Team" id="1"/>
    <tableColumn name="B1" id="2"/>
    <tableColumn name="B2" id="3"/>
    <tableColumn name="B3" id="4"/>
    <tableColumn name="B4" id="5"/>
    <tableColumn name="B5" id="6"/>
    <tableColumn name="B6" id="7"/>
    <tableColumn name="PPG" id="8"/>
    <tableColumn name="Match Points" id="9"/>
    <tableColumn name="Rank" id="10"/>
    <tableColumn name="Bracket" id="11"/>
  </tableColumns>
  <tableStyleInfo name="RR Scores-style 2" showColumnStripes="0" showFirstColumn="1" showLastColumn="1" showRowStripes="1"/>
</table>
</file>

<file path=xl/tables/table7.xml><?xml version="1.0" encoding="utf-8"?>
<table xmlns="http://schemas.openxmlformats.org/spreadsheetml/2006/main" ref="A20:K26" displayName="Coquina_Scores" name="Coquina_Scores" id="5">
  <tableColumns count="11">
    <tableColumn name="Team" id="1"/>
    <tableColumn name="C1" id="2"/>
    <tableColumn name="C2" id="3"/>
    <tableColumn name="C3" id="4"/>
    <tableColumn name="C4" id="5"/>
    <tableColumn name="C5" id="6"/>
    <tableColumn name="C6" id="7"/>
    <tableColumn name="PPG" id="8"/>
    <tableColumn name="Match Points" id="9"/>
    <tableColumn name="Rank" id="10"/>
    <tableColumn name="Bracket" id="11"/>
  </tableColumns>
  <tableStyleInfo name="RR Scores-style 3" showColumnStripes="0" showFirstColumn="1" showLastColumn="1" showRowStripes="1"/>
</table>
</file>

<file path=xl/tables/table8.xml><?xml version="1.0" encoding="utf-8"?>
<table xmlns="http://schemas.openxmlformats.org/spreadsheetml/2006/main" ref="A29:K35" displayName="Dolostone_Scores" name="Dolostone_Scores" id="8">
  <tableColumns count="11">
    <tableColumn name="Team" id="1"/>
    <tableColumn name="D1" id="2"/>
    <tableColumn name="D2" id="3"/>
    <tableColumn name="D3" id="4"/>
    <tableColumn name="D4" id="5"/>
    <tableColumn name="D5" id="6"/>
    <tableColumn name="D6" id="7"/>
    <tableColumn name="PPG" id="8"/>
    <tableColumn name="Match Points" id="9"/>
    <tableColumn name="Rank" id="10"/>
    <tableColumn name="Bracket" id="11"/>
  </tableColumns>
  <tableStyleInfo name="RR Score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1">
      <c r="A1" s="1"/>
      <c r="B1" s="3" t="s">
        <v>0</v>
      </c>
    </row>
    <row r="2">
      <c r="A2" s="4" t="s">
        <v>2</v>
      </c>
      <c r="B2" s="6" t="s">
        <v>3</v>
      </c>
    </row>
    <row r="3">
      <c r="A3" s="7" t="s">
        <v>5</v>
      </c>
      <c r="B3" s="8" t="s">
        <v>7</v>
      </c>
    </row>
    <row r="4">
      <c r="A4" s="7" t="s">
        <v>9</v>
      </c>
      <c r="B4" s="8" t="s">
        <v>10</v>
      </c>
    </row>
    <row r="5">
      <c r="A5" s="7" t="s">
        <v>12</v>
      </c>
      <c r="B5" s="8" t="s">
        <v>13</v>
      </c>
    </row>
    <row r="6">
      <c r="A6" s="7" t="s">
        <v>15</v>
      </c>
      <c r="B6" s="8" t="s">
        <v>16</v>
      </c>
    </row>
    <row r="7">
      <c r="A7" s="9" t="s">
        <v>17</v>
      </c>
      <c r="B7" s="10" t="s">
        <v>18</v>
      </c>
    </row>
    <row r="8">
      <c r="A8" s="11" t="s">
        <v>20</v>
      </c>
      <c r="B8" s="13" t="s">
        <v>21</v>
      </c>
    </row>
    <row r="9">
      <c r="A9" s="14" t="s">
        <v>22</v>
      </c>
      <c r="B9" s="15" t="s">
        <v>23</v>
      </c>
    </row>
    <row r="10">
      <c r="A10" s="14" t="s">
        <v>24</v>
      </c>
      <c r="B10" s="15" t="s">
        <v>25</v>
      </c>
    </row>
    <row r="11">
      <c r="A11" s="14" t="s">
        <v>26</v>
      </c>
      <c r="B11" s="15" t="s">
        <v>27</v>
      </c>
    </row>
    <row r="12">
      <c r="A12" s="14" t="s">
        <v>28</v>
      </c>
      <c r="B12" s="15" t="s">
        <v>29</v>
      </c>
    </row>
    <row r="13">
      <c r="A13" s="16" t="s">
        <v>30</v>
      </c>
      <c r="B13" s="17" t="s">
        <v>31</v>
      </c>
    </row>
    <row r="14">
      <c r="A14" s="19" t="s">
        <v>32</v>
      </c>
      <c r="B14" s="21" t="s">
        <v>34</v>
      </c>
    </row>
    <row r="15">
      <c r="A15" s="23" t="s">
        <v>35</v>
      </c>
      <c r="B15" s="24" t="s">
        <v>36</v>
      </c>
    </row>
    <row r="16">
      <c r="A16" s="23" t="s">
        <v>37</v>
      </c>
      <c r="B16" s="24" t="s">
        <v>38</v>
      </c>
    </row>
    <row r="17">
      <c r="A17" s="23" t="s">
        <v>39</v>
      </c>
      <c r="B17" s="24" t="s">
        <v>40</v>
      </c>
    </row>
    <row r="18">
      <c r="A18" s="23" t="s">
        <v>41</v>
      </c>
      <c r="B18" s="24" t="s">
        <v>42</v>
      </c>
    </row>
    <row r="19">
      <c r="A19" s="23" t="s">
        <v>43</v>
      </c>
      <c r="B19" s="26"/>
    </row>
    <row r="20">
      <c r="A20" s="28" t="s">
        <v>45</v>
      </c>
      <c r="B20" s="30" t="s">
        <v>46</v>
      </c>
    </row>
    <row r="21">
      <c r="A21" s="31" t="s">
        <v>47</v>
      </c>
      <c r="B21" s="32" t="s">
        <v>48</v>
      </c>
    </row>
    <row r="22">
      <c r="A22" s="31" t="s">
        <v>50</v>
      </c>
      <c r="B22" s="32" t="s">
        <v>51</v>
      </c>
    </row>
    <row r="23">
      <c r="A23" s="31" t="s">
        <v>52</v>
      </c>
      <c r="B23" s="32" t="s">
        <v>53</v>
      </c>
    </row>
    <row r="24">
      <c r="A24" s="31" t="s">
        <v>54</v>
      </c>
      <c r="B24" s="32" t="s">
        <v>55</v>
      </c>
    </row>
    <row r="25">
      <c r="A25" s="34" t="s">
        <v>56</v>
      </c>
      <c r="B25" s="35" t="s">
        <v>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52" t="s">
        <v>79</v>
      </c>
      <c r="B1" s="56" t="s">
        <v>88</v>
      </c>
      <c r="C1" s="56" t="s">
        <v>92</v>
      </c>
      <c r="D1" s="56" t="s">
        <v>98</v>
      </c>
      <c r="E1" s="56" t="s">
        <v>109</v>
      </c>
      <c r="F1" s="56" t="s">
        <v>118</v>
      </c>
      <c r="H1" s="67" t="s">
        <v>123</v>
      </c>
      <c r="J1" s="70" t="s">
        <v>128</v>
      </c>
    </row>
    <row r="2" ht="22.5" customHeight="1">
      <c r="A2" s="74">
        <v>1.0</v>
      </c>
      <c r="B2" s="74" t="s">
        <v>131</v>
      </c>
      <c r="C2" s="74" t="s">
        <v>132</v>
      </c>
      <c r="D2" s="74" t="s">
        <v>133</v>
      </c>
      <c r="E2" s="74" t="s">
        <v>134</v>
      </c>
      <c r="F2" s="74" t="s">
        <v>135</v>
      </c>
      <c r="H2" s="75">
        <v>0.4791666666666667</v>
      </c>
      <c r="I2" s="76" t="s">
        <v>93</v>
      </c>
      <c r="J2" s="77">
        <v>0.4166666666666667</v>
      </c>
      <c r="K2" s="78" t="s">
        <v>93</v>
      </c>
    </row>
    <row r="3" ht="22.5" customHeight="1">
      <c r="A3" s="74">
        <v>2.0</v>
      </c>
      <c r="B3" s="74" t="s">
        <v>136</v>
      </c>
      <c r="C3" s="74" t="s">
        <v>137</v>
      </c>
      <c r="D3" s="74" t="s">
        <v>138</v>
      </c>
      <c r="E3" s="74" t="s">
        <v>139</v>
      </c>
      <c r="F3" s="74" t="s">
        <v>140</v>
      </c>
      <c r="H3" s="80">
        <f>H2+TIME(0,30,0)</f>
        <v>0.5</v>
      </c>
      <c r="I3" s="76" t="s">
        <v>99</v>
      </c>
      <c r="J3" s="77">
        <v>0.4375</v>
      </c>
      <c r="K3" s="78" t="s">
        <v>99</v>
      </c>
    </row>
    <row r="4" ht="22.5" customHeight="1">
      <c r="A4" s="74">
        <v>3.0</v>
      </c>
      <c r="B4" s="74" t="s">
        <v>141</v>
      </c>
      <c r="C4" s="74" t="s">
        <v>142</v>
      </c>
      <c r="D4" s="74" t="s">
        <v>143</v>
      </c>
      <c r="E4" s="74" t="s">
        <v>144</v>
      </c>
      <c r="F4" s="74" t="s">
        <v>145</v>
      </c>
      <c r="H4" s="75">
        <v>0.5208333333333334</v>
      </c>
      <c r="I4" s="76" t="s">
        <v>103</v>
      </c>
      <c r="J4" s="77">
        <v>0.4583333333333333</v>
      </c>
      <c r="K4" s="78" t="s">
        <v>103</v>
      </c>
    </row>
    <row r="5">
      <c r="H5" s="81">
        <v>0.5416666666666666</v>
      </c>
      <c r="I5" s="76" t="s">
        <v>107</v>
      </c>
      <c r="J5" s="77">
        <v>0.4791666666666667</v>
      </c>
      <c r="K5" s="78" t="s">
        <v>107</v>
      </c>
    </row>
    <row r="6">
      <c r="H6" s="75">
        <v>0.5625</v>
      </c>
      <c r="I6" s="82" t="s">
        <v>113</v>
      </c>
      <c r="J6" s="77">
        <v>0.5</v>
      </c>
      <c r="K6" s="83" t="s">
        <v>113</v>
      </c>
    </row>
    <row r="7" ht="22.5" customHeight="1">
      <c r="A7" s="52" t="s">
        <v>79</v>
      </c>
      <c r="B7" s="56" t="s">
        <v>88</v>
      </c>
      <c r="C7" s="56" t="s">
        <v>92</v>
      </c>
      <c r="D7" s="56" t="s">
        <v>98</v>
      </c>
      <c r="E7" s="56" t="s">
        <v>109</v>
      </c>
      <c r="F7" s="56" t="s">
        <v>118</v>
      </c>
      <c r="H7" s="84" t="s">
        <v>146</v>
      </c>
      <c r="J7" s="85" t="s">
        <v>147</v>
      </c>
      <c r="L7" s="86"/>
    </row>
    <row r="8" ht="22.5" customHeight="1">
      <c r="A8" s="74">
        <v>1.0</v>
      </c>
      <c r="B8" s="74" t="s">
        <v>148</v>
      </c>
      <c r="C8" s="74" t="s">
        <v>149</v>
      </c>
      <c r="D8" s="74" t="s">
        <v>150</v>
      </c>
      <c r="E8" s="74" t="s">
        <v>151</v>
      </c>
      <c r="F8" s="74" t="s">
        <v>152</v>
      </c>
      <c r="H8" s="87">
        <v>0.375</v>
      </c>
      <c r="I8" s="88" t="s">
        <v>93</v>
      </c>
      <c r="J8" s="89">
        <v>0.3333333333333333</v>
      </c>
      <c r="K8" s="90" t="s">
        <v>93</v>
      </c>
      <c r="L8" s="86"/>
    </row>
    <row r="9" ht="22.5" customHeight="1">
      <c r="A9" s="74">
        <v>2.0</v>
      </c>
      <c r="B9" s="74" t="s">
        <v>153</v>
      </c>
      <c r="C9" s="74" t="s">
        <v>154</v>
      </c>
      <c r="D9" s="74" t="s">
        <v>155</v>
      </c>
      <c r="E9" s="74" t="s">
        <v>156</v>
      </c>
      <c r="F9" s="74" t="s">
        <v>157</v>
      </c>
      <c r="H9" s="87">
        <v>0.3958333333333333</v>
      </c>
      <c r="I9" s="88" t="s">
        <v>99</v>
      </c>
      <c r="J9" s="89">
        <v>0.3541666666666667</v>
      </c>
      <c r="K9" s="90" t="s">
        <v>99</v>
      </c>
    </row>
    <row r="10" ht="22.5" customHeight="1">
      <c r="A10" s="74">
        <v>3.0</v>
      </c>
      <c r="B10" s="74" t="s">
        <v>158</v>
      </c>
      <c r="C10" s="74" t="s">
        <v>159</v>
      </c>
      <c r="D10" s="74" t="s">
        <v>160</v>
      </c>
      <c r="E10" s="74" t="s">
        <v>161</v>
      </c>
      <c r="F10" s="74" t="s">
        <v>162</v>
      </c>
      <c r="H10" s="87">
        <v>0.4166666666666667</v>
      </c>
      <c r="I10" s="88" t="s">
        <v>103</v>
      </c>
      <c r="J10" s="89">
        <v>0.375</v>
      </c>
      <c r="K10" s="90" t="s">
        <v>103</v>
      </c>
    </row>
    <row r="11">
      <c r="H11" s="87">
        <v>0.4375</v>
      </c>
      <c r="I11" s="88" t="s">
        <v>107</v>
      </c>
      <c r="J11" s="89">
        <v>0.3958333333333333</v>
      </c>
      <c r="K11" s="90" t="s">
        <v>107</v>
      </c>
    </row>
    <row r="12">
      <c r="H12" s="87">
        <v>0.4583333333333333</v>
      </c>
      <c r="I12" s="91" t="s">
        <v>113</v>
      </c>
      <c r="J12" s="89">
        <v>0.4166666666666667</v>
      </c>
      <c r="K12" s="92" t="s">
        <v>113</v>
      </c>
    </row>
    <row r="13" ht="22.5" customHeight="1">
      <c r="A13" s="52" t="s">
        <v>79</v>
      </c>
      <c r="B13" s="56" t="s">
        <v>88</v>
      </c>
      <c r="C13" s="56" t="s">
        <v>92</v>
      </c>
      <c r="D13" s="56" t="s">
        <v>98</v>
      </c>
      <c r="E13" s="56" t="s">
        <v>109</v>
      </c>
      <c r="F13" s="56" t="s">
        <v>118</v>
      </c>
      <c r="H13" s="93" t="s">
        <v>163</v>
      </c>
      <c r="J13" s="86"/>
    </row>
    <row r="14" ht="22.5" customHeight="1">
      <c r="A14" s="74">
        <v>1.0</v>
      </c>
      <c r="B14" s="74" t="s">
        <v>164</v>
      </c>
      <c r="C14" s="74" t="s">
        <v>165</v>
      </c>
      <c r="D14" s="74" t="s">
        <v>166</v>
      </c>
      <c r="E14" s="74" t="s">
        <v>167</v>
      </c>
      <c r="F14" s="74" t="s">
        <v>168</v>
      </c>
      <c r="H14" s="94">
        <v>0.25</v>
      </c>
      <c r="I14" s="95" t="s">
        <v>93</v>
      </c>
      <c r="J14" s="86"/>
    </row>
    <row r="15" ht="22.5" customHeight="1">
      <c r="A15" s="74">
        <v>2.0</v>
      </c>
      <c r="B15" s="74" t="s">
        <v>169</v>
      </c>
      <c r="C15" s="74" t="s">
        <v>170</v>
      </c>
      <c r="D15" s="74" t="s">
        <v>171</v>
      </c>
      <c r="E15" s="74" t="s">
        <v>172</v>
      </c>
      <c r="F15" s="74" t="s">
        <v>173</v>
      </c>
      <c r="H15" s="94">
        <v>0.2708333333333333</v>
      </c>
      <c r="I15" s="95" t="s">
        <v>99</v>
      </c>
    </row>
    <row r="16" ht="22.5" customHeight="1">
      <c r="A16" s="74">
        <v>3.0</v>
      </c>
      <c r="B16" s="74" t="s">
        <v>175</v>
      </c>
      <c r="C16" s="74" t="s">
        <v>175</v>
      </c>
      <c r="D16" s="74" t="s">
        <v>175</v>
      </c>
      <c r="E16" s="74" t="s">
        <v>175</v>
      </c>
      <c r="F16" s="74" t="s">
        <v>175</v>
      </c>
      <c r="H16" s="94">
        <v>0.2916666666666667</v>
      </c>
      <c r="I16" s="95" t="s">
        <v>103</v>
      </c>
    </row>
    <row r="17">
      <c r="C17" s="98"/>
      <c r="H17" s="94">
        <v>0.3125</v>
      </c>
      <c r="I17" s="95" t="s">
        <v>107</v>
      </c>
    </row>
    <row r="18">
      <c r="H18" s="94">
        <v>0.3333333333333333</v>
      </c>
      <c r="I18" s="99" t="s">
        <v>113</v>
      </c>
    </row>
    <row r="19" ht="22.5" customHeight="1">
      <c r="A19" s="52" t="s">
        <v>79</v>
      </c>
      <c r="B19" s="56" t="s">
        <v>88</v>
      </c>
      <c r="C19" s="56" t="s">
        <v>92</v>
      </c>
      <c r="D19" s="56" t="s">
        <v>98</v>
      </c>
      <c r="E19" s="56" t="s">
        <v>109</v>
      </c>
      <c r="F19" s="56" t="s">
        <v>118</v>
      </c>
      <c r="H19" s="86"/>
    </row>
    <row r="20" ht="22.5" customHeight="1">
      <c r="A20" s="74">
        <v>1.0</v>
      </c>
      <c r="B20" s="74" t="s">
        <v>179</v>
      </c>
      <c r="C20" s="74" t="s">
        <v>181</v>
      </c>
      <c r="D20" s="74" t="s">
        <v>182</v>
      </c>
      <c r="E20" s="74" t="s">
        <v>184</v>
      </c>
      <c r="F20" s="74" t="s">
        <v>186</v>
      </c>
      <c r="H20" s="86"/>
    </row>
    <row r="21" ht="22.5" customHeight="1">
      <c r="A21" s="74">
        <v>2.0</v>
      </c>
      <c r="B21" s="74" t="s">
        <v>187</v>
      </c>
      <c r="C21" s="74" t="s">
        <v>188</v>
      </c>
      <c r="D21" s="74" t="s">
        <v>190</v>
      </c>
      <c r="E21" s="74" t="s">
        <v>191</v>
      </c>
      <c r="F21" s="74" t="s">
        <v>193</v>
      </c>
      <c r="H21" s="86"/>
    </row>
    <row r="22" ht="22.5" customHeight="1">
      <c r="A22" s="74">
        <v>3.0</v>
      </c>
      <c r="B22" s="74" t="s">
        <v>194</v>
      </c>
      <c r="C22" s="74" t="s">
        <v>195</v>
      </c>
      <c r="D22" s="74" t="s">
        <v>196</v>
      </c>
      <c r="E22" s="74" t="s">
        <v>197</v>
      </c>
      <c r="F22" s="74" t="s">
        <v>199</v>
      </c>
      <c r="H22" s="86"/>
    </row>
  </sheetData>
  <mergeCells count="5">
    <mergeCell ref="H1:I1"/>
    <mergeCell ref="J1:K1"/>
    <mergeCell ref="H7:I7"/>
    <mergeCell ref="J7:K7"/>
    <mergeCell ref="H13:I13"/>
  </mergeCell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30.0"/>
    <col customWidth="1" min="15" max="15" width="30.0"/>
  </cols>
  <sheetData>
    <row r="1">
      <c r="A1" s="39"/>
      <c r="B1" s="41"/>
      <c r="C1" s="42" t="s">
        <v>80</v>
      </c>
      <c r="D1" s="41"/>
      <c r="E1" s="41"/>
      <c r="F1" s="41"/>
      <c r="G1" s="41"/>
      <c r="L1" s="43"/>
      <c r="M1" s="43"/>
      <c r="N1" s="43"/>
      <c r="O1" s="43"/>
    </row>
    <row r="2" ht="22.5" customHeight="1">
      <c r="A2" s="51" t="s">
        <v>81</v>
      </c>
      <c r="B2" s="53" t="s">
        <v>2</v>
      </c>
      <c r="C2" s="53" t="s">
        <v>5</v>
      </c>
      <c r="D2" s="53" t="s">
        <v>9</v>
      </c>
      <c r="E2" s="53" t="s">
        <v>12</v>
      </c>
      <c r="F2" s="53" t="s">
        <v>15</v>
      </c>
      <c r="G2" s="53" t="s">
        <v>17</v>
      </c>
      <c r="H2" s="60" t="s">
        <v>96</v>
      </c>
      <c r="I2" s="62" t="s">
        <v>110</v>
      </c>
      <c r="J2" s="62" t="s">
        <v>117</v>
      </c>
      <c r="K2" s="65" t="s">
        <v>119</v>
      </c>
      <c r="L2" s="66" t="s">
        <v>121</v>
      </c>
    </row>
    <row r="3" ht="22.5" customHeight="1">
      <c r="A3" s="72" t="s">
        <v>2</v>
      </c>
      <c r="B3" s="73"/>
      <c r="C3" s="74">
        <v>4.0</v>
      </c>
      <c r="D3" s="74">
        <v>8.0</v>
      </c>
      <c r="E3" s="74">
        <v>36.0</v>
      </c>
      <c r="F3" s="74">
        <v>-4.0</v>
      </c>
      <c r="G3" s="74">
        <v>0.0</v>
      </c>
      <c r="H3" s="79">
        <f>IFERROR(AVERAGE(B3:G3),0)</f>
        <v>8.8</v>
      </c>
      <c r="I3" s="101">
        <f t="array" ref="I3">COUNTIF(INDEX(Anthracite_Scores[[A1]:[A6]] &gt; TRANSPOSE(Anthracite_Scores[[A1]:[A6]]), ROW()-2, 0), TRUE) * 2 + COUNTIF(INDEX(IF(ISBLANK(Anthracite_Scores[[A1]:[A6]]) + ISBLANK(TRANSPOSE(Anthracite_Scores[[A1]:[A6]])), FALSE, Anthracite_Scores[[A1]:[A6]] = TRANSPOSE(Anthracite_Scores[[A1]:[A6]])), ROW()-2, 0), TRUE)</f>
        <v>0</v>
      </c>
      <c r="J3" s="101">
        <f>RANK(I3,Anthracite_Scores[Match Points])</f>
        <v>6</v>
      </c>
      <c r="K3" s="102"/>
      <c r="L3" s="66" t="s">
        <v>19</v>
      </c>
      <c r="N3" s="66" t="s">
        <v>65</v>
      </c>
    </row>
    <row r="4" ht="22.5" customHeight="1">
      <c r="A4" s="72" t="s">
        <v>5</v>
      </c>
      <c r="B4" s="74">
        <v>64.0</v>
      </c>
      <c r="C4" s="73"/>
      <c r="D4" s="74">
        <v>40.0</v>
      </c>
      <c r="E4" s="74">
        <v>26.0</v>
      </c>
      <c r="F4" s="74">
        <v>32.0</v>
      </c>
      <c r="G4" s="74">
        <v>106.0</v>
      </c>
      <c r="H4" s="79">
        <f t="shared" ref="H4:H8" si="1">IFERROR(average(B4:G4),0)</f>
        <v>53.6</v>
      </c>
      <c r="I4" s="101">
        <f t="array" ref="I4">COUNTIF(INDEX(Anthracite_Scores[[A1]:[A6]] &gt; TRANSPOSE(Anthracite_Scores[[A1]:[A6]]), ROW()-2, 0), TRUE) * 2 + COUNTIF(INDEX(IF(ISBLANK(Anthracite_Scores[[A1]:[A6]]) + ISBLANK(TRANSPOSE(Anthracite_Scores[[A1]:[A6]])), FALSE, Anthracite_Scores[[A1]:[A6]] = TRANSPOSE(Anthracite_Scores[[A1]:[A6]])), ROW()-2, 0), TRUE)</f>
        <v>4</v>
      </c>
      <c r="J4" s="101">
        <f>RANK(I4,Anthracite_Scores[Match Points])</f>
        <v>4</v>
      </c>
      <c r="K4" s="102"/>
      <c r="L4" s="27" t="s">
        <v>117</v>
      </c>
      <c r="M4" s="27" t="s">
        <v>0</v>
      </c>
      <c r="N4" s="27" t="s">
        <v>117</v>
      </c>
      <c r="O4" s="27" t="s">
        <v>0</v>
      </c>
    </row>
    <row r="5" ht="22.5" customHeight="1">
      <c r="A5" s="72" t="s">
        <v>9</v>
      </c>
      <c r="B5" s="74">
        <v>102.0</v>
      </c>
      <c r="C5" s="74">
        <v>80.0</v>
      </c>
      <c r="D5" s="73"/>
      <c r="E5" s="74">
        <v>78.0</v>
      </c>
      <c r="F5" s="74">
        <v>22.0</v>
      </c>
      <c r="G5" s="74">
        <v>98.0</v>
      </c>
      <c r="H5" s="79">
        <f t="shared" si="1"/>
        <v>76</v>
      </c>
      <c r="I5" s="101">
        <f t="array" ref="I5">COUNTIF(INDEX(Anthracite_Scores[[A1]:[A6]] &gt; TRANSPOSE(Anthracite_Scores[[A1]:[A6]]), ROW()-2, 0), TRUE) * 2 + COUNTIF(INDEX(IF(ISBLANK(Anthracite_Scores[[A1]:[A6]]) + ISBLANK(TRANSPOSE(Anthracite_Scores[[A1]:[A6]])), FALSE, Anthracite_Scores[[A1]:[A6]] = TRANSPOSE(Anthracite_Scores[[A1]:[A6]])), ROW()-2, 0), TRUE)</f>
        <v>8</v>
      </c>
      <c r="J5" s="101">
        <f>RANK(I5,Anthracite_Scores[Match Points])</f>
        <v>1</v>
      </c>
      <c r="K5" s="103">
        <v>1.0</v>
      </c>
      <c r="L5" s="18">
        <v>1.0</v>
      </c>
      <c r="M5" s="46" t="s">
        <v>33</v>
      </c>
      <c r="N5" s="18">
        <v>5.0</v>
      </c>
      <c r="O5" s="46" t="s">
        <v>66</v>
      </c>
    </row>
    <row r="6" ht="22.5" customHeight="1">
      <c r="A6" s="72" t="s">
        <v>12</v>
      </c>
      <c r="B6" s="74">
        <v>64.0</v>
      </c>
      <c r="C6" s="74">
        <v>66.0</v>
      </c>
      <c r="D6" s="74">
        <v>56.0</v>
      </c>
      <c r="E6" s="73"/>
      <c r="F6" s="74">
        <v>78.0</v>
      </c>
      <c r="G6" s="74">
        <v>104.0</v>
      </c>
      <c r="H6" s="79">
        <f t="shared" si="1"/>
        <v>73.6</v>
      </c>
      <c r="I6" s="101">
        <f t="array" ref="I6">COUNTIF(INDEX(Anthracite_Scores[[A1]:[A6]] &gt; TRANSPOSE(Anthracite_Scores[[A1]:[A6]]), ROW()-2, 0), TRUE) * 2 + COUNTIF(INDEX(IF(ISBLANK(Anthracite_Scores[[A1]:[A6]]) + ISBLANK(TRANSPOSE(Anthracite_Scores[[A1]:[A6]])), FALSE, Anthracite_Scores[[A1]:[A6]] = TRANSPOSE(Anthracite_Scores[[A1]:[A6]])), ROW()-2, 0), TRUE)</f>
        <v>8</v>
      </c>
      <c r="J6" s="101">
        <f>RANK(I6,Anthracite_Scores[Match Points])</f>
        <v>1</v>
      </c>
      <c r="K6" s="103">
        <v>2.0</v>
      </c>
      <c r="L6" s="18">
        <v>2.0</v>
      </c>
      <c r="M6" s="46" t="s">
        <v>59</v>
      </c>
      <c r="N6" s="18">
        <v>6.0</v>
      </c>
      <c r="O6" s="46" t="s">
        <v>75</v>
      </c>
    </row>
    <row r="7" ht="22.5" customHeight="1">
      <c r="A7" s="72" t="s">
        <v>15</v>
      </c>
      <c r="B7" s="74">
        <v>68.0</v>
      </c>
      <c r="C7" s="74">
        <v>114.0</v>
      </c>
      <c r="D7" s="104">
        <v>36.0</v>
      </c>
      <c r="E7" s="74">
        <v>72.0</v>
      </c>
      <c r="F7" s="73"/>
      <c r="G7" s="74">
        <v>56.0</v>
      </c>
      <c r="H7" s="79">
        <f t="shared" si="1"/>
        <v>69.2</v>
      </c>
      <c r="I7" s="101">
        <f t="array" ref="I7">COUNTIF(INDEX(Anthracite_Scores[[A1]:[A6]] &gt; TRANSPOSE(Anthracite_Scores[[A1]:[A6]]), ROW()-2, 0), TRUE) * 2 + COUNTIF(INDEX(IF(ISBLANK(Anthracite_Scores[[A1]:[A6]]) + ISBLANK(TRANSPOSE(Anthracite_Scores[[A1]:[A6]])), FALSE, Anthracite_Scores[[A1]:[A6]] = TRANSPOSE(Anthracite_Scores[[A1]:[A6]])), ROW()-2, 0), TRUE)</f>
        <v>8</v>
      </c>
      <c r="J7" s="101">
        <f>RANK(I7,Anthracite_Scores[Match Points])</f>
        <v>1</v>
      </c>
      <c r="K7" s="102"/>
      <c r="L7" s="18">
        <v>3.0</v>
      </c>
      <c r="M7" s="46" t="s">
        <v>64</v>
      </c>
      <c r="N7" s="18">
        <v>7.0</v>
      </c>
      <c r="O7" s="46" t="s">
        <v>69</v>
      </c>
    </row>
    <row r="8" ht="22.5" customHeight="1">
      <c r="A8" s="72" t="s">
        <v>17</v>
      </c>
      <c r="B8" s="74">
        <v>4.0</v>
      </c>
      <c r="C8" s="74">
        <v>6.0</v>
      </c>
      <c r="D8" s="74">
        <v>0.0</v>
      </c>
      <c r="E8" s="74">
        <v>18.0</v>
      </c>
      <c r="F8" s="74">
        <v>18.0</v>
      </c>
      <c r="G8" s="73"/>
      <c r="H8" s="79">
        <f t="shared" si="1"/>
        <v>9.2</v>
      </c>
      <c r="I8" s="79">
        <f t="array" ref="I8">COUNTIF(INDEX(Anthracite_Scores[[A1]:[A6]] &gt; TRANSPOSE(Anthracite_Scores[[A1]:[A6]]), ROW()-2, 0), TRUE) * 2 + COUNTIF(INDEX(IF(ISBLANK(Anthracite_Scores[[A1]:[A6]]) + ISBLANK(TRANSPOSE(Anthracite_Scores[[A1]:[A6]])), FALSE, Anthracite_Scores[[A1]:[A6]] = TRANSPOSE(Anthracite_Scores[[A1]:[A6]])), ROW()-2, 0), TRUE)</f>
        <v>2</v>
      </c>
      <c r="J8" s="79">
        <f>RANK(I8,Anthracite_Scores[Match Points])</f>
        <v>5</v>
      </c>
      <c r="K8" s="105"/>
      <c r="L8" s="18">
        <v>4.0</v>
      </c>
      <c r="M8" s="46" t="s">
        <v>57</v>
      </c>
      <c r="N8" s="18">
        <v>8.0</v>
      </c>
      <c r="O8" s="46" t="s">
        <v>73</v>
      </c>
    </row>
    <row r="9">
      <c r="L9" s="43"/>
      <c r="M9" s="43"/>
      <c r="N9" s="43"/>
      <c r="O9" s="43"/>
    </row>
    <row r="10">
      <c r="L10" s="43"/>
      <c r="M10" s="43"/>
      <c r="N10" s="43"/>
      <c r="O10" s="43"/>
    </row>
    <row r="11" ht="22.5" customHeight="1">
      <c r="A11" s="51" t="s">
        <v>81</v>
      </c>
      <c r="B11" s="53" t="s">
        <v>20</v>
      </c>
      <c r="C11" s="53" t="s">
        <v>22</v>
      </c>
      <c r="D11" s="53" t="s">
        <v>24</v>
      </c>
      <c r="E11" s="53" t="s">
        <v>26</v>
      </c>
      <c r="F11" s="53" t="s">
        <v>28</v>
      </c>
      <c r="G11" s="106" t="s">
        <v>30</v>
      </c>
      <c r="H11" s="60" t="s">
        <v>96</v>
      </c>
      <c r="I11" s="62" t="s">
        <v>110</v>
      </c>
      <c r="J11" s="62" t="s">
        <v>117</v>
      </c>
      <c r="K11" s="62" t="s">
        <v>119</v>
      </c>
      <c r="L11" s="43"/>
      <c r="M11" s="43"/>
      <c r="N11" s="43"/>
      <c r="O11" s="43"/>
    </row>
    <row r="12" ht="22.5" customHeight="1">
      <c r="A12" s="72" t="s">
        <v>20</v>
      </c>
      <c r="B12" s="73"/>
      <c r="C12" s="74">
        <v>8.0</v>
      </c>
      <c r="D12" s="74">
        <v>102.0</v>
      </c>
      <c r="E12" s="74">
        <v>94.0</v>
      </c>
      <c r="F12" s="74">
        <v>0.0</v>
      </c>
      <c r="G12" s="101">
        <v>40.0</v>
      </c>
      <c r="H12" s="79">
        <f t="shared" ref="H12:H17" si="2">IFERROR(average(B12:G12),0)</f>
        <v>48.8</v>
      </c>
      <c r="I12" s="101">
        <f t="array" ref="I12">COUNTIF(INDEX(Bauxite_Scores[[B1]:[B6]] &gt; TRANSPOSE(Bauxite_Scores[[B1]:[B6]]), ROW()-11, 0), TRUE) * 2 + COUNTIF(INDEX(IF(ISBLANK(Bauxite_Scores[[B1]:[B6]]) + ISBLANK(TRANSPOSE(Bauxite_Scores[[B1]:[B6]])), FALSE, Bauxite_Scores[[B1]:[B6]] = TRANSPOSE(Bauxite_Scores[[B1]:[B6]])), ROW()-11, 0), TRUE)</f>
        <v>6</v>
      </c>
      <c r="J12" s="101">
        <f>RANK(I12,Bauxite_Scores[Match Points])</f>
        <v>3</v>
      </c>
      <c r="K12" s="102"/>
    </row>
    <row r="13" ht="22.5" customHeight="1">
      <c r="A13" s="72" t="s">
        <v>22</v>
      </c>
      <c r="B13" s="74">
        <v>90.0</v>
      </c>
      <c r="C13" s="73"/>
      <c r="D13" s="74">
        <v>116.0</v>
      </c>
      <c r="E13" s="74">
        <v>52.0</v>
      </c>
      <c r="F13" s="74">
        <v>70.0</v>
      </c>
      <c r="G13" s="101">
        <v>74.0</v>
      </c>
      <c r="H13" s="79">
        <f t="shared" si="2"/>
        <v>80.4</v>
      </c>
      <c r="I13" s="101">
        <f t="array" ref="I13">COUNTIF(INDEX(Bauxite_Scores[[B1]:[B6]] &gt; TRANSPOSE(Bauxite_Scores[[B1]:[B6]]), ROW()-11, 0), TRUE) * 2 + COUNTIF(INDEX(IF(ISBLANK(Bauxite_Scores[[B1]:[B6]]) + ISBLANK(TRANSPOSE(Bauxite_Scores[[B1]:[B6]])), FALSE, Bauxite_Scores[[B1]:[B6]] = TRANSPOSE(Bauxite_Scores[[B1]:[B6]])), ROW()-11, 0), TRUE)</f>
        <v>9</v>
      </c>
      <c r="J13" s="101">
        <f>RANK(I13,Bauxite_Scores[Match Points])</f>
        <v>1</v>
      </c>
      <c r="K13" s="103">
        <v>2.0</v>
      </c>
    </row>
    <row r="14" ht="22.5" customHeight="1">
      <c r="A14" s="72" t="s">
        <v>24</v>
      </c>
      <c r="B14" s="74">
        <v>46.0</v>
      </c>
      <c r="C14" s="74">
        <v>12.0</v>
      </c>
      <c r="D14" s="73"/>
      <c r="E14" s="74">
        <v>18.0</v>
      </c>
      <c r="F14" s="74">
        <v>30.0</v>
      </c>
      <c r="G14" s="101">
        <v>58.0</v>
      </c>
      <c r="H14" s="79">
        <f t="shared" si="2"/>
        <v>32.8</v>
      </c>
      <c r="I14" s="101">
        <f t="array" ref="I14">COUNTIF(INDEX(Bauxite_Scores[[B1]:[B6]] &gt; TRANSPOSE(Bauxite_Scores[[B1]:[B6]]), ROW()-11, 0), TRUE) * 2 + COUNTIF(INDEX(IF(ISBLANK(Bauxite_Scores[[B1]:[B6]]) + ISBLANK(TRANSPOSE(Bauxite_Scores[[B1]:[B6]])), FALSE, Bauxite_Scores[[B1]:[B6]] = TRANSPOSE(Bauxite_Scores[[B1]:[B6]])), ROW()-11, 0), TRUE)</f>
        <v>2</v>
      </c>
      <c r="J14" s="101">
        <f>RANK(I14,Bauxite_Scores[Match Points])</f>
        <v>5</v>
      </c>
      <c r="K14" s="102"/>
    </row>
    <row r="15" ht="22.5" customHeight="1">
      <c r="A15" s="72" t="s">
        <v>26</v>
      </c>
      <c r="B15" s="74">
        <v>56.0</v>
      </c>
      <c r="C15" s="74">
        <v>16.0</v>
      </c>
      <c r="D15" s="74">
        <v>68.0</v>
      </c>
      <c r="E15" s="73"/>
      <c r="F15" s="74">
        <v>18.0</v>
      </c>
      <c r="G15" s="101">
        <v>50.0</v>
      </c>
      <c r="H15" s="79">
        <f t="shared" si="2"/>
        <v>41.6</v>
      </c>
      <c r="I15" s="101">
        <f t="array" ref="I15">COUNTIF(INDEX(Bauxite_Scores[[B1]:[B6]] &gt; TRANSPOSE(Bauxite_Scores[[B1]:[B6]]), ROW()-11, 0), TRUE) * 2 + COUNTIF(INDEX(IF(ISBLANK(Bauxite_Scores[[B1]:[B6]]) + ISBLANK(TRANSPOSE(Bauxite_Scores[[B1]:[B6]])), FALSE, Bauxite_Scores[[B1]:[B6]] = TRANSPOSE(Bauxite_Scores[[B1]:[B6]])), ROW()-11, 0), TRUE)</f>
        <v>4</v>
      </c>
      <c r="J15" s="101">
        <f>RANK(I15,Bauxite_Scores[Match Points])</f>
        <v>4</v>
      </c>
      <c r="K15" s="102"/>
    </row>
    <row r="16" ht="22.5" customHeight="1">
      <c r="A16" s="72" t="s">
        <v>28</v>
      </c>
      <c r="B16" s="74">
        <v>132.0</v>
      </c>
      <c r="C16" s="74">
        <v>70.0</v>
      </c>
      <c r="D16" s="74">
        <v>64.0</v>
      </c>
      <c r="E16" s="74">
        <v>108.0</v>
      </c>
      <c r="F16" s="73"/>
      <c r="G16" s="101">
        <v>152.0</v>
      </c>
      <c r="H16" s="79">
        <f t="shared" si="2"/>
        <v>105.2</v>
      </c>
      <c r="I16" s="101">
        <f t="array" ref="I16">COUNTIF(INDEX(Bauxite_Scores[[B1]:[B6]] &gt; TRANSPOSE(Bauxite_Scores[[B1]:[B6]]), ROW()-11, 0), TRUE) * 2 + COUNTIF(INDEX(IF(ISBLANK(Bauxite_Scores[[B1]:[B6]]) + ISBLANK(TRANSPOSE(Bauxite_Scores[[B1]:[B6]])), FALSE, Bauxite_Scores[[B1]:[B6]] = TRANSPOSE(Bauxite_Scores[[B1]:[B6]])), ROW()-11, 0), TRUE)</f>
        <v>9</v>
      </c>
      <c r="J16" s="101">
        <f>RANK(I16,Bauxite_Scores[Match Points])</f>
        <v>1</v>
      </c>
      <c r="K16" s="103">
        <v>1.0</v>
      </c>
    </row>
    <row r="17" ht="22.5" customHeight="1">
      <c r="A17" s="72" t="s">
        <v>30</v>
      </c>
      <c r="B17" s="74">
        <v>4.0</v>
      </c>
      <c r="C17" s="74">
        <v>8.0</v>
      </c>
      <c r="D17" s="74">
        <v>8.0</v>
      </c>
      <c r="E17" s="74">
        <v>34.0</v>
      </c>
      <c r="F17" s="104">
        <v>22.0</v>
      </c>
      <c r="G17" s="73"/>
      <c r="H17" s="79">
        <f t="shared" si="2"/>
        <v>15.2</v>
      </c>
      <c r="I17" s="101">
        <f t="array" ref="I17">COUNTIF(INDEX(Bauxite_Scores[[B1]:[B6]] &gt; TRANSPOSE(Bauxite_Scores[[B1]:[B6]]), ROW()-11, 0), TRUE) * 2 + COUNTIF(INDEX(IF(ISBLANK(Bauxite_Scores[[B1]:[B6]]) + ISBLANK(TRANSPOSE(Bauxite_Scores[[B1]:[B6]])), FALSE, Bauxite_Scores[[B1]:[B6]] = TRANSPOSE(Bauxite_Scores[[B1]:[B6]])), ROW()-11, 0), TRUE)</f>
        <v>0</v>
      </c>
      <c r="J17" s="79">
        <f>RANK(I17,Bauxite_Scores[Match Points])</f>
        <v>6</v>
      </c>
      <c r="K17" s="105"/>
    </row>
    <row r="20" ht="22.5" customHeight="1">
      <c r="A20" s="51" t="s">
        <v>81</v>
      </c>
      <c r="B20" s="53" t="s">
        <v>32</v>
      </c>
      <c r="C20" s="53" t="s">
        <v>35</v>
      </c>
      <c r="D20" s="53" t="s">
        <v>37</v>
      </c>
      <c r="E20" s="53" t="s">
        <v>39</v>
      </c>
      <c r="F20" s="53" t="s">
        <v>41</v>
      </c>
      <c r="G20" s="106" t="s">
        <v>43</v>
      </c>
      <c r="H20" s="60" t="s">
        <v>96</v>
      </c>
      <c r="I20" s="62" t="s">
        <v>110</v>
      </c>
      <c r="J20" s="62" t="s">
        <v>117</v>
      </c>
      <c r="K20" s="62" t="s">
        <v>119</v>
      </c>
    </row>
    <row r="21" ht="22.5" customHeight="1">
      <c r="A21" s="72" t="s">
        <v>32</v>
      </c>
      <c r="B21" s="73"/>
      <c r="C21" s="74">
        <v>36.0</v>
      </c>
      <c r="D21" s="74">
        <v>30.0</v>
      </c>
      <c r="E21" s="74">
        <v>30.0</v>
      </c>
      <c r="F21" s="74">
        <v>-8.0</v>
      </c>
      <c r="G21" s="107"/>
      <c r="H21" s="79">
        <f t="shared" ref="H21:H25" si="3">IFERROR(average(B21:G21),0)</f>
        <v>22</v>
      </c>
      <c r="I21" s="101">
        <f t="array" ref="I21">COUNTIF(INDEX(Coquina_Scores[[C1]:[C6]] &gt; TRANSPOSE(Coquina_Scores[[C1]:[C6]]), ROW()-20, 0), TRUE) * 2 + COUNTIF(INDEX(IF(ISBLANK(Coquina_Scores[[C1]:[C6]]) + ISBLANK(TRANSPOSE(Coquina_Scores[[C1]:[C6]])), FALSE, Coquina_Scores[[C1]:[C6]] = TRANSPOSE(Coquina_Scores[[C1]:[C6]])), ROW()-20, 0), TRUE)</f>
        <v>0</v>
      </c>
      <c r="J21" s="101">
        <f>RANK(I21,Coquina_Scores[Match Points])</f>
        <v>5</v>
      </c>
      <c r="K21" s="102"/>
    </row>
    <row r="22" ht="22.5" customHeight="1">
      <c r="A22" s="72" t="s">
        <v>35</v>
      </c>
      <c r="B22" s="74">
        <v>100.0</v>
      </c>
      <c r="C22" s="73"/>
      <c r="D22" s="74">
        <v>110.0</v>
      </c>
      <c r="E22" s="74">
        <v>8.0</v>
      </c>
      <c r="F22" s="74">
        <v>144.0</v>
      </c>
      <c r="G22" s="107"/>
      <c r="H22" s="79">
        <f t="shared" si="3"/>
        <v>90.5</v>
      </c>
      <c r="I22" s="101">
        <f t="array" ref="I22">COUNTIF(INDEX(Coquina_Scores[[C1]:[C6]] &gt; TRANSPOSE(Coquina_Scores[[C1]:[C6]]), ROW()-20, 0), TRUE) * 2 + COUNTIF(INDEX(IF(ISBLANK(Coquina_Scores[[C1]:[C6]]) + ISBLANK(TRANSPOSE(Coquina_Scores[[C1]:[C6]])), FALSE, Coquina_Scores[[C1]:[C6]] = TRANSPOSE(Coquina_Scores[[C1]:[C6]])), ROW()-20, 0), TRUE)</f>
        <v>6</v>
      </c>
      <c r="J22" s="101">
        <f>RANK(I22,Coquina_Scores[Match Points])</f>
        <v>1</v>
      </c>
      <c r="K22" s="103">
        <v>2.0</v>
      </c>
    </row>
    <row r="23" ht="22.5" customHeight="1">
      <c r="A23" s="72" t="s">
        <v>37</v>
      </c>
      <c r="B23" s="74">
        <v>116.0</v>
      </c>
      <c r="C23" s="74">
        <v>68.0</v>
      </c>
      <c r="D23" s="73"/>
      <c r="E23" s="74">
        <v>68.0</v>
      </c>
      <c r="F23" s="74">
        <v>26.0</v>
      </c>
      <c r="G23" s="107"/>
      <c r="H23" s="79">
        <f t="shared" si="3"/>
        <v>69.5</v>
      </c>
      <c r="I23" s="101">
        <f t="array" ref="I23">COUNTIF(INDEX(Coquina_Scores[[C1]:[C6]] &gt; TRANSPOSE(Coquina_Scores[[C1]:[C6]]), ROW()-20, 0), TRUE) * 2 + COUNTIF(INDEX(IF(ISBLANK(Coquina_Scores[[C1]:[C6]]) + ISBLANK(TRANSPOSE(Coquina_Scores[[C1]:[C6]])), FALSE, Coquina_Scores[[C1]:[C6]] = TRANSPOSE(Coquina_Scores[[C1]:[C6]])), ROW()-20, 0), TRUE)</f>
        <v>4</v>
      </c>
      <c r="J23" s="101">
        <f>RANK(I23,Coquina_Scores[Match Points])</f>
        <v>3</v>
      </c>
      <c r="K23" s="102"/>
    </row>
    <row r="24" ht="22.5" customHeight="1">
      <c r="A24" s="72" t="s">
        <v>39</v>
      </c>
      <c r="B24" s="74">
        <v>70.0</v>
      </c>
      <c r="C24" s="74">
        <v>40.0</v>
      </c>
      <c r="D24" s="74">
        <v>28.0</v>
      </c>
      <c r="E24" s="73"/>
      <c r="F24" s="74">
        <v>4.0</v>
      </c>
      <c r="G24" s="73"/>
      <c r="H24" s="79">
        <f t="shared" si="3"/>
        <v>35.5</v>
      </c>
      <c r="I24" s="101">
        <f t="array" ref="I24">COUNTIF(INDEX(Coquina_Scores[[C1]:[C6]] &gt; TRANSPOSE(Coquina_Scores[[C1]:[C6]]), ROW()-20, 0), TRUE) * 2 + COUNTIF(INDEX(IF(ISBLANK(Coquina_Scores[[C1]:[C6]]) + ISBLANK(TRANSPOSE(Coquina_Scores[[C1]:[C6]])), FALSE, Coquina_Scores[[C1]:[C6]] = TRANSPOSE(Coquina_Scores[[C1]:[C6]])), ROW()-20, 0), TRUE)</f>
        <v>4</v>
      </c>
      <c r="J24" s="101">
        <f>RANK(I24,Coquina_Scores[Match Points])</f>
        <v>3</v>
      </c>
      <c r="K24" s="102"/>
    </row>
    <row r="25" ht="22.5" customHeight="1">
      <c r="A25" s="72" t="s">
        <v>41</v>
      </c>
      <c r="B25" s="74">
        <v>138.0</v>
      </c>
      <c r="C25" s="74">
        <v>46.0</v>
      </c>
      <c r="D25" s="74">
        <v>34.0</v>
      </c>
      <c r="E25" s="74">
        <v>148.0</v>
      </c>
      <c r="F25" s="73"/>
      <c r="G25" s="73"/>
      <c r="H25" s="79">
        <f t="shared" si="3"/>
        <v>91.5</v>
      </c>
      <c r="I25" s="101">
        <f t="array" ref="I25">COUNTIF(INDEX(Coquina_Scores[[C1]:[C6]] &gt; TRANSPOSE(Coquina_Scores[[C1]:[C6]]), ROW()-20, 0), TRUE) * 2 + COUNTIF(INDEX(IF(ISBLANK(Coquina_Scores[[C1]:[C6]]) + ISBLANK(TRANSPOSE(Coquina_Scores[[C1]:[C6]])), FALSE, Coquina_Scores[[C1]:[C6]] = TRANSPOSE(Coquina_Scores[[C1]:[C6]])), ROW()-20, 0), TRUE)</f>
        <v>6</v>
      </c>
      <c r="J25" s="101">
        <f>RANK(I25,Coquina_Scores[Match Points])</f>
        <v>1</v>
      </c>
      <c r="K25" s="103">
        <v>1.0</v>
      </c>
    </row>
    <row r="26" ht="22.5" customHeight="1">
      <c r="A26" s="72" t="s">
        <v>43</v>
      </c>
      <c r="B26" s="73"/>
      <c r="C26" s="73"/>
      <c r="D26" s="73"/>
      <c r="E26" s="73"/>
      <c r="F26" s="108"/>
      <c r="G26" s="73"/>
      <c r="H26" s="73"/>
      <c r="I26" s="107"/>
      <c r="J26" s="107"/>
      <c r="K26" s="109"/>
    </row>
    <row r="29" ht="22.5" customHeight="1">
      <c r="A29" s="51" t="s">
        <v>81</v>
      </c>
      <c r="B29" s="53" t="s">
        <v>45</v>
      </c>
      <c r="C29" s="53" t="s">
        <v>47</v>
      </c>
      <c r="D29" s="53" t="s">
        <v>50</v>
      </c>
      <c r="E29" s="53" t="s">
        <v>52</v>
      </c>
      <c r="F29" s="53" t="s">
        <v>54</v>
      </c>
      <c r="G29" s="106" t="s">
        <v>56</v>
      </c>
      <c r="H29" s="60" t="s">
        <v>96</v>
      </c>
      <c r="I29" s="62" t="s">
        <v>110</v>
      </c>
      <c r="J29" s="62" t="s">
        <v>117</v>
      </c>
      <c r="K29" s="62" t="s">
        <v>119</v>
      </c>
    </row>
    <row r="30" ht="22.5" customHeight="1">
      <c r="A30" s="72" t="s">
        <v>45</v>
      </c>
      <c r="B30" s="73"/>
      <c r="C30" s="74">
        <v>26.0</v>
      </c>
      <c r="D30" s="74">
        <v>94.0</v>
      </c>
      <c r="E30" s="74">
        <v>90.0</v>
      </c>
      <c r="F30" s="74">
        <v>68.0</v>
      </c>
      <c r="G30" s="101">
        <v>60.0</v>
      </c>
      <c r="H30" s="79">
        <f t="shared" ref="H30:H35" si="4">IFERROR(average(B30:G30),0)</f>
        <v>67.6</v>
      </c>
      <c r="I30" s="101">
        <f t="array" ref="I30">COUNTIF(INDEX(Dolostone_Scores[[D1]:[D6]] &gt; TRANSPOSE(Dolostone_Scores[[D1]:[D6]]), ROW()-29, 0), TRUE) * 2 + COUNTIF(INDEX(IF(ISBLANK(Dolostone_Scores[[D1]:[D6]]) + ISBLANK(TRANSPOSE(Dolostone_Scores[[D1]:[D6]])), FALSE, Dolostone_Scores[[D1]:[D6]] = TRANSPOSE(Dolostone_Scores[[D1]:[D6]])), ROW()-29, 0), TRUE)</f>
        <v>8</v>
      </c>
      <c r="J30" s="101">
        <f>RANK(I30,Dolostone_Scores[Match Points])</f>
        <v>2</v>
      </c>
      <c r="K30" s="103">
        <v>2.0</v>
      </c>
    </row>
    <row r="31" ht="22.5" customHeight="1">
      <c r="A31" s="72" t="s">
        <v>47</v>
      </c>
      <c r="B31" s="74">
        <v>152.0</v>
      </c>
      <c r="C31" s="73"/>
      <c r="D31" s="74">
        <v>176.0</v>
      </c>
      <c r="E31" s="74">
        <v>108.0</v>
      </c>
      <c r="F31" s="74">
        <v>176.0</v>
      </c>
      <c r="G31" s="101">
        <v>60.0</v>
      </c>
      <c r="H31" s="79">
        <f t="shared" si="4"/>
        <v>134.4</v>
      </c>
      <c r="I31" s="101">
        <f t="array" ref="I31">COUNTIF(INDEX(Dolostone_Scores[[D1]:[D6]] &gt; TRANSPOSE(Dolostone_Scores[[D1]:[D6]]), ROW()-29, 0), TRUE) * 2 + COUNTIF(INDEX(IF(ISBLANK(Dolostone_Scores[[D1]:[D6]]) + ISBLANK(TRANSPOSE(Dolostone_Scores[[D1]:[D6]])), FALSE, Dolostone_Scores[[D1]:[D6]] = TRANSPOSE(Dolostone_Scores[[D1]:[D6]])), ROW()-29, 0), TRUE)</f>
        <v>10</v>
      </c>
      <c r="J31" s="101">
        <f>RANK(I31,Dolostone_Scores[Match Points])</f>
        <v>1</v>
      </c>
      <c r="K31" s="103">
        <v>1.0</v>
      </c>
    </row>
    <row r="32" ht="22.5" customHeight="1">
      <c r="A32" s="72" t="s">
        <v>50</v>
      </c>
      <c r="B32" s="74">
        <v>8.0</v>
      </c>
      <c r="C32" s="74">
        <v>14.0</v>
      </c>
      <c r="D32" s="73"/>
      <c r="E32" s="74">
        <v>26.0</v>
      </c>
      <c r="F32" s="74">
        <v>16.0</v>
      </c>
      <c r="G32" s="101">
        <v>60.0</v>
      </c>
      <c r="H32" s="79">
        <f t="shared" si="4"/>
        <v>24.8</v>
      </c>
      <c r="I32" s="101">
        <f t="array" ref="I32">COUNTIF(INDEX(Dolostone_Scores[[D1]:[D6]] &gt; TRANSPOSE(Dolostone_Scores[[D1]:[D6]]), ROW()-29, 0), TRUE) * 2 + COUNTIF(INDEX(IF(ISBLANK(Dolostone_Scores[[D1]:[D6]]) + ISBLANK(TRANSPOSE(Dolostone_Scores[[D1]:[D6]])), FALSE, Dolostone_Scores[[D1]:[D6]] = TRANSPOSE(Dolostone_Scores[[D1]:[D6]])), ROW()-29, 0), TRUE)</f>
        <v>2</v>
      </c>
      <c r="J32" s="101">
        <f>RANK(I32,Dolostone_Scores[Match Points])</f>
        <v>5</v>
      </c>
      <c r="K32" s="102"/>
    </row>
    <row r="33" ht="22.5" customHeight="1">
      <c r="A33" s="72" t="s">
        <v>52</v>
      </c>
      <c r="B33" s="74">
        <v>24.0</v>
      </c>
      <c r="C33" s="74">
        <v>4.0</v>
      </c>
      <c r="D33" s="74">
        <v>82.0</v>
      </c>
      <c r="E33" s="73"/>
      <c r="F33" s="74">
        <v>50.0</v>
      </c>
      <c r="G33" s="101">
        <v>60.0</v>
      </c>
      <c r="H33" s="79">
        <f t="shared" si="4"/>
        <v>44</v>
      </c>
      <c r="I33" s="101">
        <f t="array" ref="I33">COUNTIF(INDEX(Dolostone_Scores[[D1]:[D6]] &gt; TRANSPOSE(Dolostone_Scores[[D1]:[D6]]), ROW()-29, 0), TRUE) * 2 + COUNTIF(INDEX(IF(ISBLANK(Dolostone_Scores[[D1]:[D6]]) + ISBLANK(TRANSPOSE(Dolostone_Scores[[D1]:[D6]])), FALSE, Dolostone_Scores[[D1]:[D6]] = TRANSPOSE(Dolostone_Scores[[D1]:[D6]])), ROW()-29, 0), TRUE)</f>
        <v>4</v>
      </c>
      <c r="J33" s="101">
        <f>RANK(I33,Dolostone_Scores[Match Points])</f>
        <v>4</v>
      </c>
      <c r="K33" s="102"/>
    </row>
    <row r="34" ht="22.5" customHeight="1">
      <c r="A34" s="72" t="s">
        <v>54</v>
      </c>
      <c r="B34" s="74">
        <v>12.0</v>
      </c>
      <c r="C34" s="74">
        <v>4.0</v>
      </c>
      <c r="D34" s="74">
        <v>20.0</v>
      </c>
      <c r="E34" s="74">
        <v>58.0</v>
      </c>
      <c r="F34" s="73"/>
      <c r="G34" s="101">
        <v>60.0</v>
      </c>
      <c r="H34" s="79">
        <f t="shared" si="4"/>
        <v>30.8</v>
      </c>
      <c r="I34" s="101">
        <f t="array" ref="I34">COUNTIF(INDEX(Dolostone_Scores[[D1]:[D6]] &gt; TRANSPOSE(Dolostone_Scores[[D1]:[D6]]), ROW()-29, 0), TRUE) * 2 + COUNTIF(INDEX(IF(ISBLANK(Dolostone_Scores[[D1]:[D6]]) + ISBLANK(TRANSPOSE(Dolostone_Scores[[D1]:[D6]])), FALSE, Dolostone_Scores[[D1]:[D6]] = TRANSPOSE(Dolostone_Scores[[D1]:[D6]])), ROW()-29, 0), TRUE)</f>
        <v>6</v>
      </c>
      <c r="J34" s="101">
        <f>RANK(I34,Dolostone_Scores[Match Points])</f>
        <v>3</v>
      </c>
      <c r="K34" s="102"/>
    </row>
    <row r="35" ht="22.5" customHeight="1">
      <c r="A35" s="72" t="s">
        <v>56</v>
      </c>
      <c r="B35" s="74">
        <v>0.0</v>
      </c>
      <c r="C35" s="74">
        <v>0.0</v>
      </c>
      <c r="D35" s="74">
        <v>0.0</v>
      </c>
      <c r="E35" s="74">
        <v>0.0</v>
      </c>
      <c r="F35" s="104">
        <v>0.0</v>
      </c>
      <c r="G35" s="73"/>
      <c r="H35" s="79">
        <f t="shared" si="4"/>
        <v>0</v>
      </c>
      <c r="I35" s="79">
        <f t="array" ref="I35">COUNTIF(INDEX(Dolostone_Scores[[D1]:[D6]] &gt; TRANSPOSE(Dolostone_Scores[[D1]:[D6]]), ROW()-29, 0), TRUE) * 2 + COUNTIF(INDEX(IF(ISBLANK(Dolostone_Scores[[D1]:[D6]]) + ISBLANK(TRANSPOSE(Dolostone_Scores[[D1]:[D6]])), FALSE, Dolostone_Scores[[D1]:[D6]] = TRANSPOSE(Dolostone_Scores[[D1]:[D6]])), ROW()-29, 0), TRUE)</f>
        <v>0</v>
      </c>
      <c r="J35" s="101">
        <f>RANK(I35,Dolostone_Scores[Match Points])</f>
        <v>6</v>
      </c>
      <c r="K35" s="102"/>
    </row>
  </sheetData>
  <mergeCells count="3">
    <mergeCell ref="L2:O2"/>
    <mergeCell ref="L3:M3"/>
    <mergeCell ref="N3:O3"/>
  </mergeCells>
  <conditionalFormatting sqref="J2:J8 J11:J17 J20:J26 I28 J29:J35">
    <cfRule type="containsText" dxfId="8" priority="1" operator="containsText" text="1">
      <formula>NOT(ISERROR(SEARCH(("1"),(J2))))</formula>
    </cfRule>
  </conditionalFormatting>
  <conditionalFormatting sqref="J2:J8 J11:J17 J20:J26 I28 J29:J35">
    <cfRule type="containsText" dxfId="9" priority="2" operator="containsText" text="2">
      <formula>NOT(ISERROR(SEARCH(("2"),(J2))))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8.0"/>
    <col customWidth="1" min="4" max="4" width="21.63"/>
    <col customWidth="1" min="5" max="5" width="8.0"/>
    <col customWidth="1" min="6" max="6" width="21.63"/>
    <col customWidth="1" min="7" max="7" width="8.0"/>
    <col customWidth="1" min="8" max="8" width="21.63"/>
    <col customWidth="1" min="9" max="9" width="8.0"/>
    <col customWidth="1" min="10" max="10" width="21.63"/>
    <col customWidth="1" min="11" max="11" width="8.0"/>
    <col customWidth="1" min="12" max="12" width="21.63"/>
    <col customWidth="1" min="13" max="13" width="8.0"/>
  </cols>
  <sheetData>
    <row r="1">
      <c r="A1" s="2"/>
      <c r="B1" s="5" t="s">
        <v>1</v>
      </c>
      <c r="D1" s="5" t="s">
        <v>4</v>
      </c>
      <c r="F1" s="5" t="s">
        <v>6</v>
      </c>
      <c r="H1" s="5" t="s">
        <v>8</v>
      </c>
      <c r="J1" s="5" t="s">
        <v>11</v>
      </c>
      <c r="L1" s="5" t="s">
        <v>14</v>
      </c>
      <c r="N1" s="2"/>
      <c r="O1" s="2"/>
      <c r="Q1" s="2"/>
      <c r="R1" s="2"/>
      <c r="S1" s="2"/>
      <c r="T1" s="2"/>
      <c r="U1" s="2"/>
      <c r="V1" s="2"/>
      <c r="W1" s="2"/>
      <c r="X1" s="2"/>
      <c r="Y1" s="2"/>
    </row>
    <row r="2">
      <c r="A2" s="1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8">
        <v>1.0</v>
      </c>
      <c r="B4" s="20" t="s">
        <v>33</v>
      </c>
      <c r="C4" s="22">
        <v>120.0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7" t="s">
        <v>44</v>
      </c>
      <c r="C6" s="25"/>
      <c r="D6" s="29"/>
      <c r="E6" s="29"/>
      <c r="F6" s="20" t="s">
        <v>33</v>
      </c>
      <c r="G6" s="22">
        <v>48.0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33" t="s">
        <v>49</v>
      </c>
      <c r="C7" s="25"/>
      <c r="D7" s="2"/>
      <c r="E7" s="2"/>
      <c r="F7" s="2"/>
      <c r="G7" s="2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8">
        <v>4.0</v>
      </c>
      <c r="B8" s="20" t="s">
        <v>57</v>
      </c>
      <c r="C8" s="36">
        <v>54.0</v>
      </c>
      <c r="D8" s="2"/>
      <c r="E8" s="2"/>
      <c r="F8" s="2"/>
      <c r="G8" s="2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7" t="s">
        <v>44</v>
      </c>
      <c r="G10" s="25"/>
      <c r="H10" s="29"/>
      <c r="I10" s="29"/>
      <c r="J10" s="20" t="s">
        <v>59</v>
      </c>
      <c r="K10" s="22">
        <v>26.0</v>
      </c>
      <c r="L10" s="20" t="s">
        <v>59</v>
      </c>
      <c r="M10" s="22">
        <v>26.0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33" t="s">
        <v>49</v>
      </c>
      <c r="G11" s="25"/>
      <c r="H11" s="2"/>
      <c r="I11" s="2"/>
      <c r="J11" s="2"/>
      <c r="K11" s="2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8">
        <v>2.0</v>
      </c>
      <c r="B12" s="20" t="s">
        <v>59</v>
      </c>
      <c r="C12" s="22">
        <v>110.0</v>
      </c>
      <c r="D12" s="2"/>
      <c r="E12" s="2"/>
      <c r="F12" s="2"/>
      <c r="G12" s="25"/>
      <c r="H12" s="2"/>
      <c r="I12" s="2"/>
      <c r="J12" s="2"/>
      <c r="K12" s="2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5"/>
      <c r="D13" s="2"/>
      <c r="E13" s="2"/>
      <c r="F13" s="2"/>
      <c r="G13" s="25"/>
      <c r="H13" s="2"/>
      <c r="I13" s="2"/>
      <c r="J13" s="2"/>
      <c r="K13" s="25"/>
      <c r="L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7" t="s">
        <v>60</v>
      </c>
      <c r="C14" s="25"/>
      <c r="D14" s="29"/>
      <c r="E14" s="29"/>
      <c r="F14" s="20" t="s">
        <v>59</v>
      </c>
      <c r="G14" s="36">
        <v>68.0</v>
      </c>
      <c r="H14" s="2"/>
      <c r="I14" s="2"/>
      <c r="J14" s="2"/>
      <c r="K14" s="25"/>
      <c r="N14" s="2"/>
      <c r="O14" s="37" t="s">
        <v>61</v>
      </c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33" t="s">
        <v>62</v>
      </c>
      <c r="C15" s="25"/>
      <c r="D15" s="2"/>
      <c r="E15" s="2"/>
      <c r="F15" s="2"/>
      <c r="G15" s="2"/>
      <c r="H15" s="2"/>
      <c r="I15" s="2"/>
      <c r="J15" s="27" t="s">
        <v>44</v>
      </c>
      <c r="K15" s="25"/>
      <c r="L15" s="27" t="s">
        <v>44</v>
      </c>
      <c r="N15" s="38" t="s">
        <v>63</v>
      </c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8">
        <v>3.0</v>
      </c>
      <c r="B16" s="20" t="s">
        <v>64</v>
      </c>
      <c r="C16" s="36">
        <v>46.0</v>
      </c>
      <c r="D16" s="2"/>
      <c r="E16" s="2"/>
      <c r="F16" s="2"/>
      <c r="G16" s="2"/>
      <c r="H16" s="2"/>
      <c r="I16" s="2"/>
      <c r="J16" s="33" t="s">
        <v>49</v>
      </c>
      <c r="K16" s="25"/>
      <c r="L16" s="39" t="s">
        <v>49</v>
      </c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0" t="s">
        <v>33</v>
      </c>
      <c r="I17" s="22">
        <v>48.0</v>
      </c>
      <c r="J17" s="2"/>
      <c r="K17" s="25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5"/>
      <c r="J18" s="2"/>
      <c r="K18" s="2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2" t="s">
        <v>65</v>
      </c>
      <c r="B19" s="2"/>
      <c r="C19" s="2"/>
      <c r="D19" s="40" t="s">
        <v>57</v>
      </c>
      <c r="E19" s="22">
        <v>22.0</v>
      </c>
      <c r="F19" s="2"/>
      <c r="G19" s="2"/>
      <c r="H19" s="2"/>
      <c r="I19" s="25"/>
      <c r="J19" s="2"/>
      <c r="K19" s="2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5"/>
      <c r="F20" s="2"/>
      <c r="G20" s="2"/>
      <c r="H20" s="2"/>
      <c r="I20" s="25"/>
      <c r="J20" s="2"/>
      <c r="K20" s="2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8">
        <v>5.0</v>
      </c>
      <c r="B21" s="40" t="s">
        <v>66</v>
      </c>
      <c r="C21" s="22">
        <v>86.0</v>
      </c>
      <c r="D21" s="27" t="s">
        <v>67</v>
      </c>
      <c r="E21" s="25"/>
      <c r="F21" s="40" t="s">
        <v>66</v>
      </c>
      <c r="G21" s="22">
        <v>24.0</v>
      </c>
      <c r="H21" s="27" t="s">
        <v>68</v>
      </c>
      <c r="I21" s="25"/>
      <c r="J21" s="40" t="s">
        <v>69</v>
      </c>
      <c r="K21" s="36">
        <v>80.0</v>
      </c>
      <c r="L21" s="40" t="s">
        <v>69</v>
      </c>
      <c r="M21" s="22">
        <v>66.0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5"/>
      <c r="D22" s="33" t="s">
        <v>70</v>
      </c>
      <c r="E22" s="25"/>
      <c r="F22" s="2"/>
      <c r="G22" s="25"/>
      <c r="H22" s="33" t="s">
        <v>71</v>
      </c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7" t="s">
        <v>68</v>
      </c>
      <c r="C23" s="25"/>
      <c r="D23" s="40" t="s">
        <v>66</v>
      </c>
      <c r="E23" s="36">
        <v>78.0</v>
      </c>
      <c r="F23" s="2"/>
      <c r="G23" s="25"/>
      <c r="H23" s="2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33" t="s">
        <v>72</v>
      </c>
      <c r="C24" s="25"/>
      <c r="D24" s="2"/>
      <c r="E24" s="2"/>
      <c r="F24" s="2"/>
      <c r="G24" s="25"/>
      <c r="H24" s="2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8">
        <v>8.0</v>
      </c>
      <c r="B25" s="40" t="s">
        <v>73</v>
      </c>
      <c r="C25" s="36">
        <v>50.0</v>
      </c>
      <c r="D25" s="2"/>
      <c r="E25" s="2"/>
      <c r="F25" s="27" t="s">
        <v>68</v>
      </c>
      <c r="G25" s="25"/>
      <c r="H25" s="40" t="s">
        <v>69</v>
      </c>
      <c r="I25" s="36">
        <v>74.0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39" t="s">
        <v>74</v>
      </c>
      <c r="G26" s="2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40" t="s">
        <v>64</v>
      </c>
      <c r="E27" s="22">
        <v>36.0</v>
      </c>
      <c r="F27" s="2"/>
      <c r="G27" s="2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5"/>
      <c r="F28" s="2"/>
      <c r="G28" s="2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8">
        <v>6.0</v>
      </c>
      <c r="B29" s="40" t="s">
        <v>75</v>
      </c>
      <c r="C29" s="22">
        <v>44.0</v>
      </c>
      <c r="D29" s="27" t="s">
        <v>76</v>
      </c>
      <c r="E29" s="25"/>
      <c r="F29" s="40" t="s">
        <v>69</v>
      </c>
      <c r="G29" s="36">
        <v>64.0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5"/>
      <c r="D30" s="33" t="s">
        <v>77</v>
      </c>
      <c r="E30" s="2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7" t="s">
        <v>76</v>
      </c>
      <c r="C31" s="25"/>
      <c r="D31" s="40" t="s">
        <v>69</v>
      </c>
      <c r="E31" s="36">
        <v>90.0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33" t="s">
        <v>78</v>
      </c>
      <c r="C32" s="2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8">
        <v>7.0</v>
      </c>
      <c r="B33" s="40" t="s">
        <v>69</v>
      </c>
      <c r="C33" s="36">
        <v>96.0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46" t="s">
        <v>84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</sheetData>
  <mergeCells count="8">
    <mergeCell ref="B1:C1"/>
    <mergeCell ref="D1:E1"/>
    <mergeCell ref="F1:G1"/>
    <mergeCell ref="H1:I1"/>
    <mergeCell ref="J1:K1"/>
    <mergeCell ref="L1:M1"/>
    <mergeCell ref="O1:P1"/>
    <mergeCell ref="O14:O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3.13"/>
    <col customWidth="1" min="3" max="5" width="17.0"/>
  </cols>
  <sheetData>
    <row r="1">
      <c r="A1" s="44" t="s">
        <v>82</v>
      </c>
    </row>
    <row r="2">
      <c r="A2" s="45" t="s">
        <v>83</v>
      </c>
    </row>
    <row r="3">
      <c r="A3" s="47" t="s">
        <v>85</v>
      </c>
      <c r="B3" s="48" t="s">
        <v>86</v>
      </c>
      <c r="C3" s="49"/>
      <c r="D3" s="49"/>
      <c r="E3" s="49"/>
    </row>
    <row r="4">
      <c r="A4" s="50">
        <v>0.46875</v>
      </c>
      <c r="B4" s="54" t="s">
        <v>87</v>
      </c>
      <c r="C4" s="55" t="s">
        <v>89</v>
      </c>
      <c r="D4" s="55" t="s">
        <v>90</v>
      </c>
      <c r="E4" s="55" t="s">
        <v>91</v>
      </c>
    </row>
    <row r="5">
      <c r="A5" s="57">
        <v>0.4791666666666667</v>
      </c>
      <c r="B5" s="58" t="s">
        <v>93</v>
      </c>
      <c r="C5" s="59" t="s">
        <v>94</v>
      </c>
      <c r="D5" s="59" t="s">
        <v>95</v>
      </c>
      <c r="E5" s="59" t="s">
        <v>97</v>
      </c>
    </row>
    <row r="6">
      <c r="A6" s="57">
        <v>0.5</v>
      </c>
      <c r="B6" s="58" t="s">
        <v>99</v>
      </c>
      <c r="C6" s="59" t="s">
        <v>100</v>
      </c>
      <c r="D6" s="59" t="s">
        <v>101</v>
      </c>
      <c r="E6" s="59" t="s">
        <v>102</v>
      </c>
    </row>
    <row r="7">
      <c r="A7" s="57">
        <v>0.5208333333333334</v>
      </c>
      <c r="B7" s="58" t="s">
        <v>103</v>
      </c>
      <c r="C7" s="59" t="s">
        <v>104</v>
      </c>
      <c r="D7" s="59" t="s">
        <v>105</v>
      </c>
      <c r="E7" s="59" t="s">
        <v>106</v>
      </c>
    </row>
    <row r="8">
      <c r="A8" s="57">
        <v>0.5416666666666666</v>
      </c>
      <c r="B8" s="58" t="s">
        <v>107</v>
      </c>
      <c r="C8" s="59" t="s">
        <v>108</v>
      </c>
      <c r="D8" s="59" t="s">
        <v>111</v>
      </c>
      <c r="E8" s="59" t="s">
        <v>112</v>
      </c>
    </row>
    <row r="9">
      <c r="A9" s="57">
        <v>0.5625</v>
      </c>
      <c r="B9" s="61" t="s">
        <v>113</v>
      </c>
      <c r="C9" s="59" t="s">
        <v>114</v>
      </c>
      <c r="D9" s="59" t="s">
        <v>115</v>
      </c>
      <c r="E9" s="59" t="s">
        <v>116</v>
      </c>
    </row>
    <row r="10">
      <c r="A10" s="63">
        <v>0.5833333333333334</v>
      </c>
      <c r="B10" s="64" t="s">
        <v>120</v>
      </c>
      <c r="C10" s="49"/>
      <c r="D10" s="49"/>
      <c r="E10" s="49"/>
    </row>
    <row r="11">
      <c r="A11" s="57">
        <v>0.625</v>
      </c>
      <c r="B11" s="61" t="s">
        <v>122</v>
      </c>
      <c r="C11" s="49"/>
      <c r="D11" s="49"/>
      <c r="E11" s="49"/>
    </row>
    <row r="12">
      <c r="A12" s="57">
        <v>0.6458333333333334</v>
      </c>
      <c r="B12" s="61" t="s">
        <v>124</v>
      </c>
      <c r="C12" s="49"/>
      <c r="D12" s="49"/>
      <c r="E12" s="49"/>
    </row>
    <row r="13">
      <c r="A13" s="57">
        <v>0.6666666666666666</v>
      </c>
      <c r="B13" s="61" t="s">
        <v>125</v>
      </c>
      <c r="C13" s="49"/>
      <c r="D13" s="49"/>
      <c r="E13" s="49"/>
    </row>
    <row r="14">
      <c r="A14" s="57">
        <v>0.6875</v>
      </c>
      <c r="B14" s="61" t="s">
        <v>126</v>
      </c>
      <c r="C14" s="49"/>
      <c r="D14" s="49"/>
      <c r="E14" s="49"/>
    </row>
    <row r="15">
      <c r="A15" s="68">
        <v>0.7083333333333334</v>
      </c>
      <c r="B15" s="61" t="s">
        <v>127</v>
      </c>
      <c r="C15" s="49"/>
      <c r="D15" s="49"/>
      <c r="E15" s="49"/>
    </row>
    <row r="16">
      <c r="A16" s="69">
        <v>0.7291666666666666</v>
      </c>
      <c r="B16" s="61" t="s">
        <v>129</v>
      </c>
      <c r="C16" s="49"/>
      <c r="D16" s="49"/>
      <c r="E16" s="49"/>
    </row>
    <row r="17">
      <c r="B17" s="71" t="s">
        <v>130</v>
      </c>
      <c r="C17" s="49"/>
      <c r="D17" s="49"/>
      <c r="E17" s="49"/>
    </row>
    <row r="18">
      <c r="A18" s="49"/>
      <c r="B18" s="49"/>
      <c r="C18" s="49"/>
      <c r="D18" s="49"/>
      <c r="E18" s="49"/>
    </row>
  </sheetData>
  <mergeCells count="2">
    <mergeCell ref="A1:B1"/>
    <mergeCell ref="A2:B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96" t="s">
        <v>174</v>
      </c>
      <c r="B1" s="97" t="s">
        <v>176</v>
      </c>
    </row>
    <row r="2">
      <c r="A2" s="2" t="s">
        <v>10</v>
      </c>
      <c r="B2" s="100" t="b">
        <v>0</v>
      </c>
      <c r="C2" s="39" t="s">
        <v>177</v>
      </c>
    </row>
    <row r="3">
      <c r="A3" s="2" t="s">
        <v>27</v>
      </c>
      <c r="B3" s="100" t="b">
        <v>0</v>
      </c>
    </row>
    <row r="4">
      <c r="A4" s="2" t="s">
        <v>29</v>
      </c>
      <c r="B4" s="100" t="b">
        <v>0</v>
      </c>
      <c r="C4" s="39" t="s">
        <v>178</v>
      </c>
    </row>
    <row r="5">
      <c r="A5" s="2" t="s">
        <v>40</v>
      </c>
      <c r="B5" s="100" t="b">
        <v>0</v>
      </c>
      <c r="C5" s="39" t="s">
        <v>180</v>
      </c>
    </row>
    <row r="6">
      <c r="A6" s="39" t="s">
        <v>42</v>
      </c>
      <c r="B6" s="100" t="b">
        <v>0</v>
      </c>
    </row>
    <row r="7">
      <c r="A7" s="2" t="s">
        <v>183</v>
      </c>
      <c r="B7" s="39" t="b">
        <v>1</v>
      </c>
    </row>
    <row r="8">
      <c r="A8" s="2" t="s">
        <v>185</v>
      </c>
      <c r="B8" s="39" t="b">
        <v>1</v>
      </c>
    </row>
    <row r="9">
      <c r="A9" s="2" t="s">
        <v>7</v>
      </c>
      <c r="B9" s="39" t="b">
        <v>1</v>
      </c>
    </row>
    <row r="10">
      <c r="A10" s="2" t="s">
        <v>46</v>
      </c>
      <c r="B10" s="39" t="b">
        <v>1</v>
      </c>
      <c r="C10" s="39" t="s">
        <v>189</v>
      </c>
    </row>
    <row r="11">
      <c r="A11" s="2" t="s">
        <v>48</v>
      </c>
      <c r="B11" s="39" t="b">
        <v>1</v>
      </c>
      <c r="C11" s="39" t="s">
        <v>192</v>
      </c>
    </row>
    <row r="12">
      <c r="A12" s="2" t="s">
        <v>34</v>
      </c>
      <c r="B12" s="39" t="b">
        <v>1</v>
      </c>
    </row>
    <row r="13">
      <c r="A13" s="2" t="s">
        <v>3</v>
      </c>
      <c r="B13" s="39" t="b">
        <v>1</v>
      </c>
    </row>
    <row r="14">
      <c r="A14" s="2" t="s">
        <v>51</v>
      </c>
      <c r="B14" s="39" t="b">
        <v>1</v>
      </c>
    </row>
    <row r="15">
      <c r="A15" s="33" t="s">
        <v>13</v>
      </c>
      <c r="B15" s="39" t="b">
        <v>1</v>
      </c>
    </row>
    <row r="16">
      <c r="A16" s="33" t="s">
        <v>23</v>
      </c>
      <c r="B16" s="39" t="b">
        <v>1</v>
      </c>
    </row>
    <row r="17">
      <c r="A17" s="39" t="s">
        <v>58</v>
      </c>
      <c r="B17" s="39" t="b">
        <v>1</v>
      </c>
      <c r="C17" s="39" t="s">
        <v>198</v>
      </c>
    </row>
    <row r="18">
      <c r="A18" s="2" t="s">
        <v>16</v>
      </c>
      <c r="B18" s="39" t="b">
        <v>1</v>
      </c>
    </row>
    <row r="19">
      <c r="A19" s="2" t="s">
        <v>25</v>
      </c>
      <c r="B19" s="39" t="b">
        <v>1</v>
      </c>
    </row>
    <row r="20">
      <c r="A20" s="2" t="s">
        <v>53</v>
      </c>
      <c r="B20" s="39" t="b">
        <v>1</v>
      </c>
    </row>
    <row r="21">
      <c r="A21" s="2" t="s">
        <v>18</v>
      </c>
      <c r="B21" s="39" t="b">
        <v>1</v>
      </c>
      <c r="C21" s="39" t="s">
        <v>200</v>
      </c>
    </row>
    <row r="22">
      <c r="A22" s="2" t="s">
        <v>55</v>
      </c>
      <c r="B22" s="39" t="b">
        <v>1</v>
      </c>
    </row>
    <row r="23">
      <c r="A23" s="2" t="s">
        <v>38</v>
      </c>
      <c r="B23" s="39" t="b">
        <v>1</v>
      </c>
    </row>
    <row r="24">
      <c r="A24" s="100" t="s">
        <v>31</v>
      </c>
      <c r="B24" s="39" t="b">
        <v>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