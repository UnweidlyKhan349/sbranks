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llierville A (A2)" sheetId="1" r:id="rId5"/>
    <sheet state="visible" name="RR Indiv Stats" sheetId="2" r:id="rId6"/>
    <sheet state="hidden" name="RR Team Stats" sheetId="3" r:id="rId7"/>
    <sheet state="hidden" name="Berlin B (A1)" sheetId="4" r:id="rId8"/>
    <sheet state="hidden" name="Exploding Kittens (A3)" sheetId="5" r:id="rId9"/>
    <sheet state="hidden" name="interlake 2 (A4)" sheetId="6" r:id="rId10"/>
    <sheet state="hidden" name="JP Stevens A (A5)" sheetId="7" r:id="rId11"/>
    <sheet state="hidden" name="Lunar Legends (A6)" sheetId="8" r:id="rId12"/>
    <sheet state="hidden" name="BTHS (B1)" sheetId="9" r:id="rId13"/>
    <sheet state="hidden" name="interlake 5 (B2)" sheetId="10" r:id="rId14"/>
    <sheet state="hidden" name="JP Stevens B (B3)" sheetId="11" r:id="rId15"/>
    <sheet state="hidden" name="Lexington (B4)" sheetId="12" r:id="rId16"/>
    <sheet state="hidden" name="SUN(B5)" sheetId="13" r:id="rId17"/>
    <sheet state="hidden" name="West Brunswick (B6)" sheetId="14" r:id="rId18"/>
    <sheet state="hidden" name="Berlin A (C1)" sheetId="15" r:id="rId19"/>
    <sheet state="hidden" name="TJHSST (C2)" sheetId="16" r:id="rId20"/>
    <sheet state="hidden" name="Timberline A (C3)" sheetId="17" r:id="rId21"/>
    <sheet state="hidden" name="WUKONG (C4)" sheetId="18" r:id="rId22"/>
    <sheet state="hidden" name="Rickards (C5)" sheetId="19" r:id="rId23"/>
    <sheet state="hidden" name="Barometer Juice (D1)" sheetId="20" r:id="rId24"/>
    <sheet state="hidden" name="Beltway Beavers (D2)" sheetId="21" r:id="rId25"/>
    <sheet state="hidden" name="Collierville B (D3)" sheetId="22" r:id="rId26"/>
    <sheet state="hidden" name="JP Stevens C (D4)" sheetId="23" r:id="rId27"/>
    <sheet state="hidden" name="Northville Mustangs (D5)" sheetId="24" r:id="rId28"/>
  </sheets>
  <definedNames/>
  <calcPr/>
</workbook>
</file>

<file path=xl/sharedStrings.xml><?xml version="1.0" encoding="utf-8"?>
<sst xmlns="http://schemas.openxmlformats.org/spreadsheetml/2006/main" count="3255" uniqueCount="351">
  <si>
    <t>category</t>
  </si>
  <si>
    <t>sumin y [collierville a]</t>
  </si>
  <si>
    <t>Rehan CHS A</t>
  </si>
  <si>
    <t>Collierville A Bonus</t>
  </si>
  <si>
    <t>a2 Bonus</t>
  </si>
  <si>
    <t>sumin y chs a</t>
  </si>
  <si>
    <t>A2 Bonus</t>
  </si>
  <si>
    <t>Colliervillle A Bonus</t>
  </si>
  <si>
    <t>P</t>
  </si>
  <si>
    <t>I</t>
  </si>
  <si>
    <t>C</t>
  </si>
  <si>
    <t>B</t>
  </si>
  <si>
    <t>ES</t>
  </si>
  <si>
    <t>M</t>
  </si>
  <si>
    <t>sumin</t>
  </si>
  <si>
    <t>rehan</t>
  </si>
  <si>
    <t>BONUS HEARD</t>
  </si>
  <si>
    <t>BONUS POINTS</t>
  </si>
  <si>
    <t>GP</t>
  </si>
  <si>
    <t>TEAM</t>
  </si>
  <si>
    <t>NAME</t>
  </si>
  <si>
    <t>GP (RR)</t>
  </si>
  <si>
    <t>Total</t>
  </si>
  <si>
    <t>Total PPG</t>
  </si>
  <si>
    <t>Physics</t>
  </si>
  <si>
    <t>Phys PPG</t>
  </si>
  <si>
    <t>Biology</t>
  </si>
  <si>
    <t>Biology PPG</t>
  </si>
  <si>
    <t>ESS</t>
  </si>
  <si>
    <t>ESS PPG</t>
  </si>
  <si>
    <t>Chemistry</t>
  </si>
  <si>
    <t>Chem PPG</t>
  </si>
  <si>
    <t>Math</t>
  </si>
  <si>
    <t>Math PPG</t>
  </si>
  <si>
    <t>interlake 2 (A4)</t>
  </si>
  <si>
    <t>daniel</t>
  </si>
  <si>
    <t>Timberline A (C3)</t>
  </si>
  <si>
    <t>james</t>
  </si>
  <si>
    <t>Beltway Beavers (D2)</t>
  </si>
  <si>
    <t>yunyi</t>
  </si>
  <si>
    <t>kian</t>
  </si>
  <si>
    <t>TJHSST (C2)</t>
  </si>
  <si>
    <t>aaryan</t>
  </si>
  <si>
    <t>evan</t>
  </si>
  <si>
    <t>sophia</t>
  </si>
  <si>
    <t>Rickards (C5)</t>
  </si>
  <si>
    <t>ashvin</t>
  </si>
  <si>
    <t>terry</t>
  </si>
  <si>
    <t>Barometer Juice (D1)</t>
  </si>
  <si>
    <t>ryan</t>
  </si>
  <si>
    <t>Lexington (B4)</t>
  </si>
  <si>
    <t>simon</t>
  </si>
  <si>
    <t>WUKONG (C4)</t>
  </si>
  <si>
    <t>ishank</t>
  </si>
  <si>
    <t>Collierville A (A2)</t>
  </si>
  <si>
    <t>SUN (B5)</t>
  </si>
  <si>
    <t>sean</t>
  </si>
  <si>
    <t>Exploding Kittens (A3)</t>
  </si>
  <si>
    <t>avani</t>
  </si>
  <si>
    <t>flora</t>
  </si>
  <si>
    <t>owen</t>
  </si>
  <si>
    <t>JP Stevens C (D4)</t>
  </si>
  <si>
    <t>pranesh</t>
  </si>
  <si>
    <t>rishabh</t>
  </si>
  <si>
    <t>interlake 5 (B2)</t>
  </si>
  <si>
    <t>leya</t>
  </si>
  <si>
    <t>austin</t>
  </si>
  <si>
    <t>BTHS (B1)</t>
  </si>
  <si>
    <t>adeeb</t>
  </si>
  <si>
    <t>JP Stevens B (B3)</t>
  </si>
  <si>
    <t>piyush</t>
  </si>
  <si>
    <t>JP Stevens A (A5)</t>
  </si>
  <si>
    <t>srikrishna</t>
  </si>
  <si>
    <t>Northville Mustangs (D5)</t>
  </si>
  <si>
    <t>jungchul</t>
  </si>
  <si>
    <t>varshan</t>
  </si>
  <si>
    <t>kai</t>
  </si>
  <si>
    <t>kevin</t>
  </si>
  <si>
    <t>Berlin A (C1)</t>
  </si>
  <si>
    <t>pranay</t>
  </si>
  <si>
    <t>hong jin</t>
  </si>
  <si>
    <t>ethan</t>
  </si>
  <si>
    <t>patrick</t>
  </si>
  <si>
    <t>dhruhi</t>
  </si>
  <si>
    <t>maxwell</t>
  </si>
  <si>
    <t>vibav</t>
  </si>
  <si>
    <t>jason</t>
  </si>
  <si>
    <t>ayden</t>
  </si>
  <si>
    <t xml:space="preserve">om </t>
  </si>
  <si>
    <t>kanishka</t>
  </si>
  <si>
    <t>Collierville B (D3)</t>
  </si>
  <si>
    <t>amrutha</t>
  </si>
  <si>
    <t>bethany</t>
  </si>
  <si>
    <t>West Brunswick (B6)</t>
  </si>
  <si>
    <t>aarush</t>
  </si>
  <si>
    <t>eric</t>
  </si>
  <si>
    <t>vraj</t>
  </si>
  <si>
    <t>krishay</t>
  </si>
  <si>
    <t>fiona</t>
  </si>
  <si>
    <t>aryan</t>
  </si>
  <si>
    <t>manha</t>
  </si>
  <si>
    <t>rohan</t>
  </si>
  <si>
    <t>sreehaas</t>
  </si>
  <si>
    <t>emma</t>
  </si>
  <si>
    <t>achintya</t>
  </si>
  <si>
    <t>krishna</t>
  </si>
  <si>
    <t>vaneesha</t>
  </si>
  <si>
    <t>herrick</t>
  </si>
  <si>
    <t>Lunar Legends (A6)</t>
  </si>
  <si>
    <t>deepak</t>
  </si>
  <si>
    <t>milo</t>
  </si>
  <si>
    <t>harsh</t>
  </si>
  <si>
    <t>angeline</t>
  </si>
  <si>
    <t>andrew</t>
  </si>
  <si>
    <t>michelle</t>
  </si>
  <si>
    <t>Berlin B (A1)</t>
  </si>
  <si>
    <t>raheed</t>
  </si>
  <si>
    <t>alex</t>
  </si>
  <si>
    <t>mano</t>
  </si>
  <si>
    <t>isaac</t>
  </si>
  <si>
    <t>donovan</t>
  </si>
  <si>
    <t>ansh</t>
  </si>
  <si>
    <t>akhil</t>
  </si>
  <si>
    <t>randy</t>
  </si>
  <si>
    <t>ishan a</t>
  </si>
  <si>
    <t>ishan c</t>
  </si>
  <si>
    <t>rishit</t>
  </si>
  <si>
    <t>daniyal</t>
  </si>
  <si>
    <t>Raheed</t>
  </si>
  <si>
    <t>Ansh</t>
  </si>
  <si>
    <t>Mano Vegendla</t>
  </si>
  <si>
    <t>Ishan Agarwal</t>
  </si>
  <si>
    <t>a1 Bonus</t>
  </si>
  <si>
    <t>Ishan c Berlin b</t>
  </si>
  <si>
    <t>Ishan chahande Berlin b</t>
  </si>
  <si>
    <t>Ishan A\.</t>
  </si>
  <si>
    <t>Mano v</t>
  </si>
  <si>
    <t>Ishan A</t>
  </si>
  <si>
    <t>A1 Bonus</t>
  </si>
  <si>
    <t>RAHEED</t>
  </si>
  <si>
    <t>ANSH</t>
  </si>
  <si>
    <t>MANO</t>
  </si>
  <si>
    <t>ISHAN A</t>
  </si>
  <si>
    <t>ISHAN C</t>
  </si>
  <si>
    <t>Herrick W [Arcadia]</t>
  </si>
  <si>
    <t>Maxwell Kim [Exploding Kittens]</t>
  </si>
  <si>
    <t>Kevin W [Exploding Kittens]</t>
  </si>
  <si>
    <t>Avani A [Exploding Kittens]</t>
  </si>
  <si>
    <t>a3 Bonus</t>
  </si>
  <si>
    <t>A3 Bonus</t>
  </si>
  <si>
    <t>Exploding Kittens Bonus</t>
  </si>
  <si>
    <t>Ethan Wang [Exploding Kittens]</t>
  </si>
  <si>
    <t>Herrick W [Exploding Kittens]</t>
  </si>
  <si>
    <t>HERRICK</t>
  </si>
  <si>
    <t>MAXWELL</t>
  </si>
  <si>
    <t>KEVIN</t>
  </si>
  <si>
    <t>AVANI</t>
  </si>
  <si>
    <t>ETHAN</t>
  </si>
  <si>
    <t>a4 Bonus</t>
  </si>
  <si>
    <t>A4 Bonus</t>
  </si>
  <si>
    <t>interlake 2 Bonus</t>
  </si>
  <si>
    <t>aryan a</t>
  </si>
  <si>
    <t>Evan [interlake 2]</t>
  </si>
  <si>
    <t>DANIEL</t>
  </si>
  <si>
    <t>ARYAN</t>
  </si>
  <si>
    <t>EVAN</t>
  </si>
  <si>
    <t>RISHABH</t>
  </si>
  <si>
    <t>Kai</t>
  </si>
  <si>
    <t>Srikrishna B</t>
  </si>
  <si>
    <t>Krishna R</t>
  </si>
  <si>
    <t>Om Lad</t>
  </si>
  <si>
    <t>JP A Bonus</t>
  </si>
  <si>
    <t>Srikrishna</t>
  </si>
  <si>
    <t>a5 Bonus</t>
  </si>
  <si>
    <t>JP Stevens A Bonus</t>
  </si>
  <si>
    <t>A5 Bonus</t>
  </si>
  <si>
    <t>KAI</t>
  </si>
  <si>
    <t>SRIKRISHNA</t>
  </si>
  <si>
    <t>KRISHNA R</t>
  </si>
  <si>
    <t>OM</t>
  </si>
  <si>
    <t>Deepak Praveen Kumar</t>
  </si>
  <si>
    <t>A6 Bonus</t>
  </si>
  <si>
    <t>DEEPAK</t>
  </si>
  <si>
    <t>Adeeb</t>
  </si>
  <si>
    <t>Emma</t>
  </si>
  <si>
    <t>Eric</t>
  </si>
  <si>
    <t>Milo</t>
  </si>
  <si>
    <t>BTHS (B1) Bonus</t>
  </si>
  <si>
    <t>B1 (BTHS) Bonus</t>
  </si>
  <si>
    <t>B1 (BTHS A) Bonus</t>
  </si>
  <si>
    <t>Mary S (BTHS A)</t>
  </si>
  <si>
    <t>ADEEB</t>
  </si>
  <si>
    <t>EMMA</t>
  </si>
  <si>
    <t>ERIC</t>
  </si>
  <si>
    <t>MILO</t>
  </si>
  <si>
    <t>Ayden L [B2]</t>
  </si>
  <si>
    <t>leya b [b2]</t>
  </si>
  <si>
    <t>Andrew C [B2]</t>
  </si>
  <si>
    <t>Fiona B [B2]</t>
  </si>
  <si>
    <t>Krishay S [B2]</t>
  </si>
  <si>
    <t>B2 Bonus</t>
  </si>
  <si>
    <t>leya b[b2]</t>
  </si>
  <si>
    <t>B2 (INTERLAKE 5) Bonus</t>
  </si>
  <si>
    <t>B2 (interlake 5) Bonus</t>
  </si>
  <si>
    <t>AYDEN</t>
  </si>
  <si>
    <t>LEYA</t>
  </si>
  <si>
    <t>ANDREW</t>
  </si>
  <si>
    <t>FIONA</t>
  </si>
  <si>
    <t>KRISHAY</t>
  </si>
  <si>
    <t>Piyush A [b3]</t>
  </si>
  <si>
    <t>Rishit R [JP B]</t>
  </si>
  <si>
    <t>Aryan A [JP B]</t>
  </si>
  <si>
    <t>B3 Bonus</t>
  </si>
  <si>
    <t>Sreehaas M [B3]</t>
  </si>
  <si>
    <t>Piyush</t>
  </si>
  <si>
    <t>JP STEVENS (B3) Bonus</t>
  </si>
  <si>
    <t>Dhruhi P [B3]</t>
  </si>
  <si>
    <t>Aryan A</t>
  </si>
  <si>
    <t>Rishit R [JP]</t>
  </si>
  <si>
    <t>Piyush A</t>
  </si>
  <si>
    <t>Dhruhi [B3]</t>
  </si>
  <si>
    <t>B3 (JP Stevens B) Bonus</t>
  </si>
  <si>
    <t>PIYUSH</t>
  </si>
  <si>
    <t>RISHIT</t>
  </si>
  <si>
    <t>SREEHAAS</t>
  </si>
  <si>
    <t>DHRUHI</t>
  </si>
  <si>
    <t>B4 Simon Z</t>
  </si>
  <si>
    <t>Manha S</t>
  </si>
  <si>
    <t>B4 (Lexington) Bonus</t>
  </si>
  <si>
    <t>Simon</t>
  </si>
  <si>
    <t>B4 Bonus</t>
  </si>
  <si>
    <t>simon z</t>
  </si>
  <si>
    <t>B4 (LEXINGTON) Bonus</t>
  </si>
  <si>
    <t>LEXINGTON (B4) Bonus</t>
  </si>
  <si>
    <t>SIMON</t>
  </si>
  <si>
    <t>MANHA</t>
  </si>
  <si>
    <t>Austin X [SUN]</t>
  </si>
  <si>
    <t>Sean Y [SUN]</t>
  </si>
  <si>
    <t>Flora J [SUN]</t>
  </si>
  <si>
    <t>Jason Y\. [CCA]</t>
  </si>
  <si>
    <t>B5 Bonus</t>
  </si>
  <si>
    <t>B5 (SUN) Bonus</t>
  </si>
  <si>
    <t>AUSTIN</t>
  </si>
  <si>
    <t>SEAN</t>
  </si>
  <si>
    <t>FLORA</t>
  </si>
  <si>
    <t>JASON</t>
  </si>
  <si>
    <t>Aarush M</t>
  </si>
  <si>
    <t>B6 Bonus</t>
  </si>
  <si>
    <t>Vraj</t>
  </si>
  <si>
    <t>AARUSH M</t>
  </si>
  <si>
    <t>B6 (West Brunswick) Bonus</t>
  </si>
  <si>
    <t>Aarush Mandala</t>
  </si>
  <si>
    <t>Michelle M\.</t>
  </si>
  <si>
    <t>Aarush</t>
  </si>
  <si>
    <t>AARUSH</t>
  </si>
  <si>
    <t>VRAJ</t>
  </si>
  <si>
    <t>MICHELLE</t>
  </si>
  <si>
    <t>Akhil U [Berlin A]</t>
  </si>
  <si>
    <t>Pranay B [Berlin A]</t>
  </si>
  <si>
    <t>Harsh Bhangale</t>
  </si>
  <si>
    <t>c1 Bonus</t>
  </si>
  <si>
    <t>Rohan N[Berlin A]</t>
  </si>
  <si>
    <t>C1 Bonus</t>
  </si>
  <si>
    <t>akhil [berlin a]</t>
  </si>
  <si>
    <t>Harsh B [Berlin A]</t>
  </si>
  <si>
    <t>akhil [ berlin a]</t>
  </si>
  <si>
    <t>AKHIL</t>
  </si>
  <si>
    <t>PRANAY</t>
  </si>
  <si>
    <t>HARSH</t>
  </si>
  <si>
    <t>ROHAN</t>
  </si>
  <si>
    <t>Aaryan [TJ]</t>
  </si>
  <si>
    <t>C2 Bonus</t>
  </si>
  <si>
    <t>sophia [tj]</t>
  </si>
  <si>
    <t>Patrick [TJ]</t>
  </si>
  <si>
    <t>C2  Bonus</t>
  </si>
  <si>
    <t>Patrick [TJ}</t>
  </si>
  <si>
    <t>aaaryan</t>
  </si>
  <si>
    <t>AARYAN</t>
  </si>
  <si>
    <t>SOPHIA</t>
  </si>
  <si>
    <t>PATRICK</t>
  </si>
  <si>
    <t>James Wei</t>
  </si>
  <si>
    <t>C3 Bonus</t>
  </si>
  <si>
    <t>Isaac Levesque</t>
  </si>
  <si>
    <t>Isaac</t>
  </si>
  <si>
    <t>JAMES</t>
  </si>
  <si>
    <t>RANDY</t>
  </si>
  <si>
    <t>ISAAC</t>
  </si>
  <si>
    <t>Alex</t>
  </si>
  <si>
    <t>Daniel Lee</t>
  </si>
  <si>
    <t>c4 Bonus</t>
  </si>
  <si>
    <t>Alex d</t>
  </si>
  <si>
    <t>Daniel l</t>
  </si>
  <si>
    <t>C4 Bonus</t>
  </si>
  <si>
    <t>ISHANK</t>
  </si>
  <si>
    <t>ALEX</t>
  </si>
  <si>
    <t>Vibav T [Rickards]</t>
  </si>
  <si>
    <t>Terry L [Rickards A]</t>
  </si>
  <si>
    <t>Ashvin [Rickards A]</t>
  </si>
  <si>
    <t>C5 Bonus</t>
  </si>
  <si>
    <t>Ashvin S [Rickards]</t>
  </si>
  <si>
    <t>Terry L [Rickards]</t>
  </si>
  <si>
    <t>Ashvin [Rickards]</t>
  </si>
  <si>
    <t>Vibav [Rickards]</t>
  </si>
  <si>
    <t>Terry [Rickards]</t>
  </si>
  <si>
    <t>Vaneesha S [Rickards]</t>
  </si>
  <si>
    <t>VIBAV</t>
  </si>
  <si>
    <t>TERRY</t>
  </si>
  <si>
    <t>ASHVIN</t>
  </si>
  <si>
    <t>VANEESHA</t>
  </si>
  <si>
    <t>Ryan E</t>
  </si>
  <si>
    <t>Owen B</t>
  </si>
  <si>
    <t>Hong Jin K</t>
  </si>
  <si>
    <t>D1 Bonus</t>
  </si>
  <si>
    <t>Donovan H</t>
  </si>
  <si>
    <t>Daniel Y</t>
  </si>
  <si>
    <t>RYAN</t>
  </si>
  <si>
    <t>OWEN</t>
  </si>
  <si>
    <t>HONG JIN</t>
  </si>
  <si>
    <t>DONOVAN</t>
  </si>
  <si>
    <t>Yunyi</t>
  </si>
  <si>
    <t>Evan</t>
  </si>
  <si>
    <t>Kian</t>
  </si>
  <si>
    <t>D2 Bonus</t>
  </si>
  <si>
    <t>Jason</t>
  </si>
  <si>
    <t>YUNYI</t>
  </si>
  <si>
    <t>KIAN</t>
  </si>
  <si>
    <t>amrutha g (collierville b)</t>
  </si>
  <si>
    <t>Bethany C (Collierville B)</t>
  </si>
  <si>
    <t>D3 Bonus</t>
  </si>
  <si>
    <t>amrutha g</t>
  </si>
  <si>
    <t>Bethany C</t>
  </si>
  <si>
    <t>Angeline C</t>
  </si>
  <si>
    <t>bethany c</t>
  </si>
  <si>
    <t>AMRUTHA</t>
  </si>
  <si>
    <t>BETHANY</t>
  </si>
  <si>
    <t>ANGELINE</t>
  </si>
  <si>
    <t>Pranesh</t>
  </si>
  <si>
    <t>Aryan B</t>
  </si>
  <si>
    <t>D4 Bonus</t>
  </si>
  <si>
    <t>Kanishka J</t>
  </si>
  <si>
    <t>Achintya M</t>
  </si>
  <si>
    <t>PRANESH</t>
  </si>
  <si>
    <t>KANISHKA</t>
  </si>
  <si>
    <t>ACHINTYA</t>
  </si>
  <si>
    <t>Varshan M [Northville]</t>
  </si>
  <si>
    <t>Daniyal Marvi</t>
  </si>
  <si>
    <t>D5 Bonus</t>
  </si>
  <si>
    <t>Jungchul L [Northville Mustangs]</t>
  </si>
  <si>
    <t>VARSHAN</t>
  </si>
  <si>
    <t>DANIYAL</t>
  </si>
  <si>
    <t>JUNGCHUL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</si>
</sst>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49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2" xfId="0" applyAlignment="1" applyBorder="1" applyFont="1" applyNumberFormat="1">
      <alignment shrinkToFit="0" vertical="center" wrapText="0"/>
    </xf>
    <xf borderId="4" fillId="0" fontId="1" numFmtId="2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2" xfId="0" applyAlignment="1" applyBorder="1" applyFont="1" applyNumberFormat="1">
      <alignment readingOrder="0" shrinkToFit="0" vertical="center" wrapText="0"/>
    </xf>
    <xf borderId="4" fillId="0" fontId="1" numFmtId="2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R Indiv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2" displayName="Table1" name="Table1" id="1">
  <tableColumns count="15">
    <tableColumn name="TEAM" id="1"/>
    <tableColumn name="NAME" id="2"/>
    <tableColumn name="GP (RR)" id="3"/>
    <tableColumn name="Total" id="4"/>
    <tableColumn name="Total PPG" id="5"/>
    <tableColumn name="Physics" id="6"/>
    <tableColumn name="Phys PPG" id="7"/>
    <tableColumn name="Biology" id="8"/>
    <tableColumn name="Biology PPG" id="9"/>
    <tableColumn name="ESS" id="10"/>
    <tableColumn name="ESS PPG" id="11"/>
    <tableColumn name="Chemistry" id="12"/>
    <tableColumn name="Chem PPG" id="13"/>
    <tableColumn name="Math" id="14"/>
    <tableColumn name="Math PPG" id="15"/>
  </tableColumns>
  <tableStyleInfo name="RR Indiv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1</v>
      </c>
      <c r="G1" s="1" t="s">
        <v>4</v>
      </c>
      <c r="H1" s="1" t="s">
        <v>2</v>
      </c>
      <c r="I1" s="1" t="s">
        <v>5</v>
      </c>
      <c r="J1" s="1" t="s">
        <v>6</v>
      </c>
      <c r="K1" s="1" t="s">
        <v>5</v>
      </c>
      <c r="L1" s="1" t="s">
        <v>2</v>
      </c>
      <c r="M1" s="1" t="s">
        <v>4</v>
      </c>
      <c r="N1" s="1" t="s">
        <v>2</v>
      </c>
      <c r="O1" s="1" t="s">
        <v>1</v>
      </c>
      <c r="P1" s="1" t="s">
        <v>7</v>
      </c>
    </row>
    <row r="2">
      <c r="A2" s="1" t="s">
        <v>8</v>
      </c>
      <c r="E2" s="1" t="s">
        <v>9</v>
      </c>
      <c r="H2" s="1" t="s">
        <v>10</v>
      </c>
      <c r="J2" s="1" t="s">
        <v>10</v>
      </c>
      <c r="N2" s="1" t="s">
        <v>9</v>
      </c>
    </row>
    <row r="3">
      <c r="A3" s="1" t="s">
        <v>11</v>
      </c>
      <c r="E3" s="1" t="s">
        <v>10</v>
      </c>
      <c r="G3" s="1" t="s">
        <v>10</v>
      </c>
      <c r="I3" s="1" t="s">
        <v>10</v>
      </c>
      <c r="J3" s="1" t="s">
        <v>9</v>
      </c>
      <c r="N3" s="1" t="s">
        <v>10</v>
      </c>
      <c r="P3" s="1" t="s">
        <v>10</v>
      </c>
    </row>
    <row r="4">
      <c r="A4" s="1" t="s">
        <v>12</v>
      </c>
      <c r="B4" s="1" t="s">
        <v>10</v>
      </c>
      <c r="D4" s="1" t="s">
        <v>10</v>
      </c>
      <c r="F4" s="1" t="s">
        <v>10</v>
      </c>
      <c r="G4" s="1" t="s">
        <v>9</v>
      </c>
      <c r="I4" s="1" t="s">
        <v>10</v>
      </c>
      <c r="J4" s="1" t="s">
        <v>10</v>
      </c>
    </row>
    <row r="5">
      <c r="A5" s="1" t="s">
        <v>10</v>
      </c>
      <c r="C5" s="1" t="s">
        <v>10</v>
      </c>
      <c r="D5" s="1" t="s">
        <v>9</v>
      </c>
      <c r="E5" s="1" t="s">
        <v>10</v>
      </c>
      <c r="G5" s="1" t="s">
        <v>9</v>
      </c>
      <c r="H5" s="1" t="s">
        <v>8</v>
      </c>
      <c r="N5" s="1" t="s">
        <v>9</v>
      </c>
    </row>
    <row r="6">
      <c r="A6" s="1" t="s">
        <v>13</v>
      </c>
      <c r="B6" s="1" t="s">
        <v>9</v>
      </c>
      <c r="E6" s="1" t="s">
        <v>8</v>
      </c>
      <c r="H6" s="1" t="s">
        <v>10</v>
      </c>
      <c r="J6" s="1" t="s">
        <v>9</v>
      </c>
      <c r="K6" s="1" t="s">
        <v>9</v>
      </c>
    </row>
    <row r="7">
      <c r="A7" s="1" t="s">
        <v>8</v>
      </c>
      <c r="E7" s="1" t="s">
        <v>9</v>
      </c>
      <c r="H7" s="1" t="s">
        <v>9</v>
      </c>
      <c r="N7" s="1" t="s">
        <v>9</v>
      </c>
    </row>
    <row r="8">
      <c r="A8" s="1" t="s">
        <v>11</v>
      </c>
      <c r="C8" s="1" t="s">
        <v>8</v>
      </c>
      <c r="E8" s="1" t="s">
        <v>10</v>
      </c>
      <c r="G8" s="1" t="s">
        <v>10</v>
      </c>
      <c r="H8" s="1" t="s">
        <v>10</v>
      </c>
      <c r="J8" s="1" t="s">
        <v>10</v>
      </c>
      <c r="L8" s="1" t="s">
        <v>9</v>
      </c>
      <c r="N8" s="1" t="s">
        <v>10</v>
      </c>
      <c r="P8" s="1" t="s">
        <v>10</v>
      </c>
    </row>
    <row r="9">
      <c r="A9" s="1" t="s">
        <v>12</v>
      </c>
      <c r="B9" s="1" t="s">
        <v>9</v>
      </c>
      <c r="I9" s="1" t="s">
        <v>10</v>
      </c>
      <c r="J9" s="1" t="s">
        <v>10</v>
      </c>
      <c r="K9" s="1" t="s">
        <v>10</v>
      </c>
      <c r="M9" s="1" t="s">
        <v>10</v>
      </c>
    </row>
    <row r="10">
      <c r="A10" s="1" t="s">
        <v>10</v>
      </c>
      <c r="E10" s="1" t="s">
        <v>10</v>
      </c>
      <c r="G10" s="1" t="s">
        <v>10</v>
      </c>
      <c r="H10" s="1" t="s">
        <v>9</v>
      </c>
    </row>
    <row r="11">
      <c r="A11" s="1" t="s">
        <v>13</v>
      </c>
      <c r="N11" s="1" t="s">
        <v>10</v>
      </c>
      <c r="P11" s="1" t="s">
        <v>9</v>
      </c>
    </row>
    <row r="12">
      <c r="A12" s="1" t="s">
        <v>8</v>
      </c>
      <c r="E12" s="1" t="s">
        <v>9</v>
      </c>
      <c r="H12" s="1" t="s">
        <v>9</v>
      </c>
      <c r="L12" s="1" t="s">
        <v>9</v>
      </c>
    </row>
    <row r="13">
      <c r="A13" s="1" t="s">
        <v>11</v>
      </c>
      <c r="C13" s="1" t="s">
        <v>9</v>
      </c>
      <c r="E13" s="1" t="s">
        <v>10</v>
      </c>
      <c r="G13" s="1" t="s">
        <v>9</v>
      </c>
      <c r="H13" s="1" t="s">
        <v>10</v>
      </c>
      <c r="J13" s="1" t="s">
        <v>10</v>
      </c>
      <c r="L13" s="1" t="s">
        <v>10</v>
      </c>
      <c r="M13" s="1" t="s">
        <v>9</v>
      </c>
      <c r="N13" s="1" t="s">
        <v>8</v>
      </c>
    </row>
    <row r="14">
      <c r="A14" s="1" t="s">
        <v>12</v>
      </c>
      <c r="B14" s="1" t="s">
        <v>10</v>
      </c>
      <c r="D14" s="1" t="s">
        <v>10</v>
      </c>
      <c r="F14" s="1" t="s">
        <v>8</v>
      </c>
      <c r="I14" s="1" t="s">
        <v>8</v>
      </c>
      <c r="K14" s="1" t="s">
        <v>9</v>
      </c>
    </row>
    <row r="15">
      <c r="A15" s="1" t="s">
        <v>10</v>
      </c>
      <c r="I15" s="1" t="s">
        <v>9</v>
      </c>
      <c r="L15" s="1" t="s">
        <v>9</v>
      </c>
      <c r="N15" s="1" t="s">
        <v>10</v>
      </c>
      <c r="P15" s="1" t="s">
        <v>9</v>
      </c>
    </row>
    <row r="16">
      <c r="A16" s="1" t="s">
        <v>13</v>
      </c>
      <c r="F16" s="1" t="s">
        <v>9</v>
      </c>
      <c r="O16" s="1" t="s">
        <v>10</v>
      </c>
      <c r="P16" s="1" t="s">
        <v>9</v>
      </c>
    </row>
    <row r="17">
      <c r="A17" s="1" t="s">
        <v>8</v>
      </c>
      <c r="C17" s="1" t="s">
        <v>9</v>
      </c>
      <c r="E17" s="1" t="s">
        <v>9</v>
      </c>
      <c r="I17" s="1" t="s">
        <v>10</v>
      </c>
      <c r="J17" s="1" t="s">
        <v>9</v>
      </c>
      <c r="L17" s="1" t="s">
        <v>10</v>
      </c>
      <c r="M17" s="1" t="s">
        <v>9</v>
      </c>
      <c r="O17" s="1" t="s">
        <v>9</v>
      </c>
    </row>
    <row r="18">
      <c r="A18" s="1" t="s">
        <v>11</v>
      </c>
      <c r="E18" s="1" t="s">
        <v>10</v>
      </c>
      <c r="G18" s="1" t="s">
        <v>10</v>
      </c>
      <c r="H18" s="1" t="s">
        <v>10</v>
      </c>
      <c r="J18" s="1" t="s">
        <v>9</v>
      </c>
      <c r="L18" s="1" t="s">
        <v>10</v>
      </c>
      <c r="M18" s="1" t="s">
        <v>9</v>
      </c>
      <c r="N18" s="1" t="s">
        <v>8</v>
      </c>
    </row>
    <row r="19">
      <c r="A19" s="1" t="s">
        <v>12</v>
      </c>
      <c r="F19" s="1" t="s">
        <v>9</v>
      </c>
      <c r="I19" s="1" t="s">
        <v>10</v>
      </c>
      <c r="J19" s="1" t="s">
        <v>10</v>
      </c>
      <c r="O19" s="1" t="s">
        <v>8</v>
      </c>
    </row>
    <row r="20">
      <c r="A20" s="1" t="s">
        <v>10</v>
      </c>
      <c r="C20" s="1" t="s">
        <v>9</v>
      </c>
      <c r="F20" s="1" t="s">
        <v>10</v>
      </c>
      <c r="G20" s="1" t="s">
        <v>9</v>
      </c>
      <c r="H20" s="1" t="s">
        <v>10</v>
      </c>
      <c r="J20" s="1" t="s">
        <v>10</v>
      </c>
      <c r="N20" s="1" t="s">
        <v>10</v>
      </c>
      <c r="P20" s="1" t="s">
        <v>10</v>
      </c>
    </row>
    <row r="21">
      <c r="A21" s="1" t="s">
        <v>13</v>
      </c>
      <c r="I21" s="1" t="s">
        <v>9</v>
      </c>
      <c r="K21" s="1" t="s">
        <v>9</v>
      </c>
    </row>
    <row r="23">
      <c r="A23" s="1"/>
      <c r="B23" s="1" t="s">
        <v>14</v>
      </c>
      <c r="C23" s="1" t="s">
        <v>15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C24" si="1">COUNTIF($A1:Z1,"*"&amp;B23&amp;"*")</f>
        <v>5</v>
      </c>
      <c r="C24" s="2">
        <f t="shared" si="1"/>
        <v>5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"),8.0)</f>
        <v>8</v>
      </c>
      <c r="H26" s="2">
        <f>IFERROR(__xludf.DUMMYFUNCTION("SUMPRODUCT(
  ($B$2:$AA$21 = ""C"") *
  ($A$2:$A$21 = $A26)*NOT(REGEXMATCH($B$1:$AA$1, ""(?i)bonus"")
)
)"),3.0)</f>
        <v>3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"),32.0)</f>
        <v>32</v>
      </c>
      <c r="H27" s="2">
        <f>IFERROR(__xludf.DUMMYFUNCTION("SUMPRODUCT(
  ($B$2:$AA$21 = ""C"") *
  ($A$2:$A$21 = $A27)*NOT(REGEXMATCH($B$1:$AA$1, ""(?i)bonus"")
)
)"),12.0)</f>
        <v>12</v>
      </c>
      <c r="I27" s="2">
        <f>IFERROR(__xludf.DUMMYFUNCTION("10*SUMPRODUCT(
  ($B$2:$AA$21 = ""C"") *
  ($A$2:$A$21 = $A27) *
  (REGEXMATCH($B$1:$AA$1, ""(?i) BONUS""))
)
"),70.0)</f>
        <v>70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"),16.0)</f>
        <v>16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H28" s="2">
        <f>IFERROR(__xludf.DUMMYFUNCTION("SUMPRODUCT(
  ($B$2:$AA$21 = ""C"") *
  ($A$2:$A$21 = $A28)*NOT(REGEXMATCH($B$1:$AA$1, ""(?i)bonus"")
)
)"),7.0)</f>
        <v>7</v>
      </c>
      <c r="I28" s="2">
        <f>IFERROR(__xludf.DUMMYFUNCTION("10*SUMPRODUCT(
  ($B$2:$AA$21 = ""C"") *
  ($A$2:$A$21 = $A28) *
  (REGEXMATCH($B$1:$AA$1, ""(?i) BONUS""))
)
"),60.0)</f>
        <v>60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"),20.0)</f>
        <v>20</v>
      </c>
      <c r="H29" s="2">
        <f>IFERROR(__xludf.DUMMYFUNCTION("SUMPRODUCT(
  ($B$2:$AA$21 = ""C"") *
  ($A$2:$A$21 = $A29)*NOT(REGEXMATCH($B$1:$AA$1, ""(?i)bonus"")
)
)"),7.0)</f>
        <v>7</v>
      </c>
      <c r="I29" s="2">
        <f>IFERROR(__xludf.DUMMYFUNCTION("10*SUMPRODUCT(
  ($B$2:$AA$21 = ""C"") *
  ($A$2:$A$21 = $A29) *
  (REGEXMATCH($B$1:$AA$1, ""(?i) BONUS""))
)
"),30.0)</f>
        <v>30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"),4.0)</f>
        <v>4</v>
      </c>
      <c r="H30" s="2">
        <f>IFERROR(__xludf.DUMMYFUNCTION("SUMPRODUCT(
  ($B$2:$AA$21 = ""C"") *
  ($A$2:$A$21 = $A30)*NOT(REGEXMATCH($B$1:$AA$1, ""(?i)bonus"")
)
)"),3.0)</f>
        <v>3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75"/>
    <col customWidth="1" min="4" max="4" width="9.75"/>
    <col customWidth="1" min="6" max="7" width="11.5"/>
    <col customWidth="1" min="8" max="8" width="10.38"/>
    <col customWidth="1" min="9" max="9" width="14.25"/>
    <col customWidth="1" min="10" max="10" width="8.63"/>
    <col customWidth="1" min="11" max="11" width="12.25"/>
    <col customWidth="1" min="12" max="12" width="11.88"/>
    <col customWidth="1" min="13" max="13" width="13.75"/>
    <col customWidth="1" min="14" max="14" width="10.88"/>
    <col customWidth="1" min="15" max="15" width="13.25"/>
  </cols>
  <sheetData>
    <row r="1" ht="22.5" customHeight="1">
      <c r="A1" s="3" t="s">
        <v>19</v>
      </c>
      <c r="B1" s="4" t="s">
        <v>20</v>
      </c>
      <c r="C1" s="3" t="s">
        <v>21</v>
      </c>
      <c r="D1" s="5" t="s">
        <v>22</v>
      </c>
      <c r="E1" s="6" t="s">
        <v>23</v>
      </c>
      <c r="F1" s="3" t="s">
        <v>24</v>
      </c>
      <c r="G1" s="6" t="s">
        <v>25</v>
      </c>
      <c r="H1" s="3" t="s">
        <v>26</v>
      </c>
      <c r="I1" s="6" t="s">
        <v>27</v>
      </c>
      <c r="J1" s="3" t="s">
        <v>28</v>
      </c>
      <c r="K1" s="6" t="s">
        <v>29</v>
      </c>
      <c r="L1" s="3" t="s">
        <v>30</v>
      </c>
      <c r="M1" s="6" t="s">
        <v>31</v>
      </c>
      <c r="N1" s="3" t="s">
        <v>32</v>
      </c>
      <c r="O1" s="7" t="s">
        <v>33</v>
      </c>
    </row>
    <row r="2" ht="22.5" customHeight="1">
      <c r="A2" s="8" t="s">
        <v>34</v>
      </c>
      <c r="B2" s="9" t="s">
        <v>35</v>
      </c>
      <c r="C2" s="10">
        <v>5.0</v>
      </c>
      <c r="D2" s="11">
        <f t="shared" ref="D2:D82" si="1">F2+H2+J2+L2+N2</f>
        <v>156</v>
      </c>
      <c r="E2" s="12">
        <f t="shared" ref="E2:E82" si="2">D2/C2</f>
        <v>31.2</v>
      </c>
      <c r="F2" s="10">
        <v>32.0</v>
      </c>
      <c r="G2" s="12">
        <f t="shared" ref="G2:G82" si="3">F2/C2</f>
        <v>6.4</v>
      </c>
      <c r="H2" s="10">
        <v>12.0</v>
      </c>
      <c r="I2" s="12">
        <f t="shared" ref="I2:I82" si="4">H2/C2</f>
        <v>2.4</v>
      </c>
      <c r="J2" s="10">
        <v>28.0</v>
      </c>
      <c r="K2" s="12">
        <f t="shared" ref="K2:K82" si="5">J2/C2</f>
        <v>5.6</v>
      </c>
      <c r="L2" s="10">
        <v>52.0</v>
      </c>
      <c r="M2" s="12">
        <f t="shared" ref="M2:M82" si="6">L2/C2</f>
        <v>10.4</v>
      </c>
      <c r="N2" s="10">
        <v>32.0</v>
      </c>
      <c r="O2" s="13">
        <f t="shared" ref="O2:O82" si="7">N2/C2</f>
        <v>6.4</v>
      </c>
    </row>
    <row r="3" ht="22.5" customHeight="1">
      <c r="A3" s="8" t="s">
        <v>36</v>
      </c>
      <c r="B3" s="9" t="s">
        <v>37</v>
      </c>
      <c r="C3" s="8">
        <v>4.0</v>
      </c>
      <c r="D3" s="14">
        <f t="shared" si="1"/>
        <v>100</v>
      </c>
      <c r="E3" s="15">
        <f t="shared" si="2"/>
        <v>25</v>
      </c>
      <c r="F3" s="10">
        <v>32.0</v>
      </c>
      <c r="G3" s="12">
        <f t="shared" si="3"/>
        <v>8</v>
      </c>
      <c r="H3" s="10">
        <v>16.0</v>
      </c>
      <c r="I3" s="12">
        <f t="shared" si="4"/>
        <v>4</v>
      </c>
      <c r="J3" s="10">
        <v>8.0</v>
      </c>
      <c r="K3" s="12">
        <f t="shared" si="5"/>
        <v>2</v>
      </c>
      <c r="L3" s="10">
        <v>4.0</v>
      </c>
      <c r="M3" s="12">
        <f t="shared" si="6"/>
        <v>1</v>
      </c>
      <c r="N3" s="10">
        <v>40.0</v>
      </c>
      <c r="O3" s="13">
        <f t="shared" si="7"/>
        <v>10</v>
      </c>
    </row>
    <row r="4" ht="22.5" customHeight="1">
      <c r="A4" s="8" t="s">
        <v>38</v>
      </c>
      <c r="B4" s="9" t="s">
        <v>39</v>
      </c>
      <c r="C4" s="8">
        <v>4.0</v>
      </c>
      <c r="D4" s="14">
        <f t="shared" si="1"/>
        <v>68</v>
      </c>
      <c r="E4" s="15">
        <f t="shared" si="2"/>
        <v>17</v>
      </c>
      <c r="F4" s="10">
        <v>8.0</v>
      </c>
      <c r="G4" s="12">
        <f t="shared" si="3"/>
        <v>2</v>
      </c>
      <c r="H4" s="10">
        <v>8.0</v>
      </c>
      <c r="I4" s="12">
        <f t="shared" si="4"/>
        <v>2</v>
      </c>
      <c r="J4" s="10">
        <v>16.0</v>
      </c>
      <c r="K4" s="12">
        <f t="shared" si="5"/>
        <v>4</v>
      </c>
      <c r="L4" s="10">
        <v>24.0</v>
      </c>
      <c r="M4" s="12">
        <f t="shared" si="6"/>
        <v>6</v>
      </c>
      <c r="N4" s="10">
        <v>12.0</v>
      </c>
      <c r="O4" s="13">
        <f t="shared" si="7"/>
        <v>3</v>
      </c>
    </row>
    <row r="5" ht="22.5" customHeight="1">
      <c r="A5" s="8" t="s">
        <v>38</v>
      </c>
      <c r="B5" s="9" t="s">
        <v>40</v>
      </c>
      <c r="C5" s="8">
        <v>4.0</v>
      </c>
      <c r="D5" s="14">
        <f t="shared" si="1"/>
        <v>64</v>
      </c>
      <c r="E5" s="15">
        <f t="shared" si="2"/>
        <v>16</v>
      </c>
      <c r="F5" s="10">
        <v>8.0</v>
      </c>
      <c r="G5" s="12">
        <f t="shared" si="3"/>
        <v>2</v>
      </c>
      <c r="H5" s="10">
        <v>32.0</v>
      </c>
      <c r="I5" s="12">
        <f t="shared" si="4"/>
        <v>8</v>
      </c>
      <c r="J5" s="10">
        <v>4.0</v>
      </c>
      <c r="K5" s="12">
        <f t="shared" si="5"/>
        <v>1</v>
      </c>
      <c r="L5" s="10">
        <v>20.0</v>
      </c>
      <c r="M5" s="12">
        <f t="shared" si="6"/>
        <v>5</v>
      </c>
      <c r="N5" s="10">
        <v>0.0</v>
      </c>
      <c r="O5" s="13">
        <f t="shared" si="7"/>
        <v>0</v>
      </c>
    </row>
    <row r="6" ht="22.5" customHeight="1">
      <c r="A6" s="8" t="s">
        <v>41</v>
      </c>
      <c r="B6" s="9" t="s">
        <v>42</v>
      </c>
      <c r="C6" s="8">
        <v>4.0</v>
      </c>
      <c r="D6" s="14">
        <f t="shared" si="1"/>
        <v>64</v>
      </c>
      <c r="E6" s="15">
        <f t="shared" si="2"/>
        <v>16</v>
      </c>
      <c r="F6" s="10">
        <v>20.0</v>
      </c>
      <c r="G6" s="12">
        <f t="shared" si="3"/>
        <v>5</v>
      </c>
      <c r="H6" s="10">
        <v>4.0</v>
      </c>
      <c r="I6" s="12">
        <f t="shared" si="4"/>
        <v>1</v>
      </c>
      <c r="J6" s="10">
        <v>24.0</v>
      </c>
      <c r="K6" s="12">
        <f t="shared" si="5"/>
        <v>6</v>
      </c>
      <c r="L6" s="10">
        <v>16.0</v>
      </c>
      <c r="M6" s="12">
        <f t="shared" si="6"/>
        <v>4</v>
      </c>
      <c r="N6" s="10">
        <v>0.0</v>
      </c>
      <c r="O6" s="13">
        <f t="shared" si="7"/>
        <v>0</v>
      </c>
    </row>
    <row r="7" ht="22.5" customHeight="1">
      <c r="A7" s="8" t="s">
        <v>38</v>
      </c>
      <c r="B7" s="9" t="s">
        <v>43</v>
      </c>
      <c r="C7" s="8">
        <v>4.0</v>
      </c>
      <c r="D7" s="14">
        <f t="shared" si="1"/>
        <v>64</v>
      </c>
      <c r="E7" s="15">
        <f t="shared" si="2"/>
        <v>16</v>
      </c>
      <c r="F7" s="10">
        <v>12.0</v>
      </c>
      <c r="G7" s="12">
        <f t="shared" si="3"/>
        <v>3</v>
      </c>
      <c r="H7" s="10">
        <v>4.0</v>
      </c>
      <c r="I7" s="12">
        <f t="shared" si="4"/>
        <v>1</v>
      </c>
      <c r="J7" s="10">
        <v>12.0</v>
      </c>
      <c r="K7" s="12">
        <f t="shared" si="5"/>
        <v>3</v>
      </c>
      <c r="L7" s="10">
        <v>8.0</v>
      </c>
      <c r="M7" s="12">
        <f t="shared" si="6"/>
        <v>2</v>
      </c>
      <c r="N7" s="10">
        <v>28.0</v>
      </c>
      <c r="O7" s="13">
        <f t="shared" si="7"/>
        <v>7</v>
      </c>
    </row>
    <row r="8" ht="22.5" customHeight="1">
      <c r="A8" s="8" t="s">
        <v>41</v>
      </c>
      <c r="B8" s="9" t="s">
        <v>44</v>
      </c>
      <c r="C8" s="8">
        <v>1.0</v>
      </c>
      <c r="D8" s="14">
        <f t="shared" si="1"/>
        <v>16</v>
      </c>
      <c r="E8" s="15">
        <f t="shared" si="2"/>
        <v>16</v>
      </c>
      <c r="F8" s="10">
        <v>0.0</v>
      </c>
      <c r="G8" s="12">
        <f t="shared" si="3"/>
        <v>0</v>
      </c>
      <c r="H8" s="10">
        <v>8.0</v>
      </c>
      <c r="I8" s="12">
        <f t="shared" si="4"/>
        <v>8</v>
      </c>
      <c r="J8" s="10">
        <v>8.0</v>
      </c>
      <c r="K8" s="12">
        <f t="shared" si="5"/>
        <v>8</v>
      </c>
      <c r="L8" s="10">
        <v>0.0</v>
      </c>
      <c r="M8" s="12">
        <f t="shared" si="6"/>
        <v>0</v>
      </c>
      <c r="N8" s="10">
        <v>0.0</v>
      </c>
      <c r="O8" s="13">
        <f t="shared" si="7"/>
        <v>0</v>
      </c>
    </row>
    <row r="9" ht="22.5" customHeight="1">
      <c r="A9" s="8" t="s">
        <v>45</v>
      </c>
      <c r="B9" s="9" t="s">
        <v>46</v>
      </c>
      <c r="C9" s="8">
        <v>4.0</v>
      </c>
      <c r="D9" s="14">
        <f t="shared" si="1"/>
        <v>64</v>
      </c>
      <c r="E9" s="15">
        <f t="shared" si="2"/>
        <v>16</v>
      </c>
      <c r="F9" s="10">
        <v>20.0</v>
      </c>
      <c r="G9" s="12">
        <f t="shared" si="3"/>
        <v>5</v>
      </c>
      <c r="H9" s="10">
        <v>8.0</v>
      </c>
      <c r="I9" s="12">
        <f t="shared" si="4"/>
        <v>2</v>
      </c>
      <c r="J9" s="10">
        <v>4.0</v>
      </c>
      <c r="K9" s="12">
        <f t="shared" si="5"/>
        <v>1</v>
      </c>
      <c r="L9" s="10">
        <v>0.0</v>
      </c>
      <c r="M9" s="12">
        <f t="shared" si="6"/>
        <v>0</v>
      </c>
      <c r="N9" s="10">
        <v>32.0</v>
      </c>
      <c r="O9" s="13">
        <f t="shared" si="7"/>
        <v>8</v>
      </c>
    </row>
    <row r="10" ht="22.5" customHeight="1">
      <c r="A10" s="8" t="s">
        <v>45</v>
      </c>
      <c r="B10" s="9" t="s">
        <v>47</v>
      </c>
      <c r="C10" s="8">
        <v>4.0</v>
      </c>
      <c r="D10" s="14">
        <f t="shared" si="1"/>
        <v>60</v>
      </c>
      <c r="E10" s="15">
        <f t="shared" si="2"/>
        <v>15</v>
      </c>
      <c r="F10" s="10">
        <v>4.0</v>
      </c>
      <c r="G10" s="12">
        <f t="shared" si="3"/>
        <v>1</v>
      </c>
      <c r="H10" s="10">
        <v>4.0</v>
      </c>
      <c r="I10" s="12">
        <f t="shared" si="4"/>
        <v>1</v>
      </c>
      <c r="J10" s="10">
        <v>8.0</v>
      </c>
      <c r="K10" s="12">
        <f t="shared" si="5"/>
        <v>2</v>
      </c>
      <c r="L10" s="10">
        <v>44.0</v>
      </c>
      <c r="M10" s="12">
        <f t="shared" si="6"/>
        <v>11</v>
      </c>
      <c r="N10" s="10">
        <v>0.0</v>
      </c>
      <c r="O10" s="13">
        <f t="shared" si="7"/>
        <v>0</v>
      </c>
    </row>
    <row r="11" ht="22.5" customHeight="1">
      <c r="A11" s="8" t="s">
        <v>48</v>
      </c>
      <c r="B11" s="9" t="s">
        <v>49</v>
      </c>
      <c r="C11" s="8">
        <v>3.0</v>
      </c>
      <c r="D11" s="14">
        <f t="shared" si="1"/>
        <v>44</v>
      </c>
      <c r="E11" s="15">
        <f t="shared" si="2"/>
        <v>14.66666667</v>
      </c>
      <c r="F11" s="10">
        <v>4.0</v>
      </c>
      <c r="G11" s="12">
        <f t="shared" si="3"/>
        <v>1.333333333</v>
      </c>
      <c r="H11" s="10">
        <v>4.0</v>
      </c>
      <c r="I11" s="12">
        <f t="shared" si="4"/>
        <v>1.333333333</v>
      </c>
      <c r="J11" s="10">
        <v>24.0</v>
      </c>
      <c r="K11" s="12">
        <f t="shared" si="5"/>
        <v>8</v>
      </c>
      <c r="L11" s="10">
        <v>8.0</v>
      </c>
      <c r="M11" s="12">
        <f t="shared" si="6"/>
        <v>2.666666667</v>
      </c>
      <c r="N11" s="10">
        <v>4.0</v>
      </c>
      <c r="O11" s="13">
        <f t="shared" si="7"/>
        <v>1.333333333</v>
      </c>
    </row>
    <row r="12" ht="22.5" customHeight="1">
      <c r="A12" s="8" t="s">
        <v>50</v>
      </c>
      <c r="B12" s="9" t="s">
        <v>51</v>
      </c>
      <c r="C12" s="8">
        <v>5.0</v>
      </c>
      <c r="D12" s="14">
        <f t="shared" si="1"/>
        <v>72</v>
      </c>
      <c r="E12" s="15">
        <f t="shared" si="2"/>
        <v>14.4</v>
      </c>
      <c r="F12" s="10">
        <v>4.0</v>
      </c>
      <c r="G12" s="12">
        <f t="shared" si="3"/>
        <v>0.8</v>
      </c>
      <c r="H12" s="10">
        <v>32.0</v>
      </c>
      <c r="I12" s="12">
        <f t="shared" si="4"/>
        <v>6.4</v>
      </c>
      <c r="J12" s="10">
        <v>8.0</v>
      </c>
      <c r="K12" s="12">
        <f t="shared" si="5"/>
        <v>1.6</v>
      </c>
      <c r="L12" s="10">
        <v>24.0</v>
      </c>
      <c r="M12" s="12">
        <f t="shared" si="6"/>
        <v>4.8</v>
      </c>
      <c r="N12" s="10">
        <v>4.0</v>
      </c>
      <c r="O12" s="13">
        <f t="shared" si="7"/>
        <v>0.8</v>
      </c>
    </row>
    <row r="13" ht="22.5" customHeight="1">
      <c r="A13" s="8" t="s">
        <v>52</v>
      </c>
      <c r="B13" s="9" t="s">
        <v>53</v>
      </c>
      <c r="C13" s="8">
        <v>4.0</v>
      </c>
      <c r="D13" s="14">
        <f t="shared" si="1"/>
        <v>52</v>
      </c>
      <c r="E13" s="15">
        <f t="shared" si="2"/>
        <v>13</v>
      </c>
      <c r="F13" s="10">
        <v>20.0</v>
      </c>
      <c r="G13" s="12">
        <f t="shared" si="3"/>
        <v>5</v>
      </c>
      <c r="H13" s="10">
        <v>4.0</v>
      </c>
      <c r="I13" s="12">
        <f t="shared" si="4"/>
        <v>1</v>
      </c>
      <c r="J13" s="10">
        <v>16.0</v>
      </c>
      <c r="K13" s="12">
        <f t="shared" si="5"/>
        <v>4</v>
      </c>
      <c r="L13" s="10">
        <v>8.0</v>
      </c>
      <c r="M13" s="12">
        <f t="shared" si="6"/>
        <v>2</v>
      </c>
      <c r="N13" s="10">
        <v>4.0</v>
      </c>
      <c r="O13" s="13">
        <f t="shared" si="7"/>
        <v>1</v>
      </c>
    </row>
    <row r="14" ht="22.5" customHeight="1">
      <c r="A14" s="8" t="s">
        <v>54</v>
      </c>
      <c r="B14" s="9" t="s">
        <v>15</v>
      </c>
      <c r="C14" s="8">
        <v>5.0</v>
      </c>
      <c r="D14" s="14">
        <f t="shared" si="1"/>
        <v>64</v>
      </c>
      <c r="E14" s="15">
        <f t="shared" si="2"/>
        <v>12.8</v>
      </c>
      <c r="F14" s="10">
        <v>8.0</v>
      </c>
      <c r="G14" s="12">
        <f t="shared" si="3"/>
        <v>1.6</v>
      </c>
      <c r="H14" s="10">
        <v>32.0</v>
      </c>
      <c r="I14" s="12">
        <f t="shared" si="4"/>
        <v>6.4</v>
      </c>
      <c r="J14" s="10">
        <v>0.0</v>
      </c>
      <c r="K14" s="12">
        <f t="shared" si="5"/>
        <v>0</v>
      </c>
      <c r="L14" s="10">
        <v>20.0</v>
      </c>
      <c r="M14" s="12">
        <f t="shared" si="6"/>
        <v>4</v>
      </c>
      <c r="N14" s="10">
        <v>4.0</v>
      </c>
      <c r="O14" s="13">
        <f t="shared" si="7"/>
        <v>0.8</v>
      </c>
    </row>
    <row r="15" ht="22.5" customHeight="1">
      <c r="A15" s="8" t="s">
        <v>55</v>
      </c>
      <c r="B15" s="9" t="s">
        <v>56</v>
      </c>
      <c r="C15" s="8">
        <v>5.0</v>
      </c>
      <c r="D15" s="14">
        <f t="shared" si="1"/>
        <v>64</v>
      </c>
      <c r="E15" s="15">
        <f t="shared" si="2"/>
        <v>12.8</v>
      </c>
      <c r="F15" s="10">
        <v>4.0</v>
      </c>
      <c r="G15" s="12">
        <f t="shared" si="3"/>
        <v>0.8</v>
      </c>
      <c r="H15" s="10">
        <v>44.0</v>
      </c>
      <c r="I15" s="12">
        <f t="shared" si="4"/>
        <v>8.8</v>
      </c>
      <c r="J15" s="10">
        <v>0.0</v>
      </c>
      <c r="K15" s="12">
        <f t="shared" si="5"/>
        <v>0</v>
      </c>
      <c r="L15" s="10">
        <v>16.0</v>
      </c>
      <c r="M15" s="12">
        <f t="shared" si="6"/>
        <v>3.2</v>
      </c>
      <c r="N15" s="10">
        <v>0.0</v>
      </c>
      <c r="O15" s="13">
        <f t="shared" si="7"/>
        <v>0</v>
      </c>
    </row>
    <row r="16" ht="22.5" customHeight="1">
      <c r="A16" s="8" t="s">
        <v>57</v>
      </c>
      <c r="B16" s="9" t="s">
        <v>58</v>
      </c>
      <c r="C16" s="10">
        <v>5.0</v>
      </c>
      <c r="D16" s="11">
        <f t="shared" si="1"/>
        <v>64</v>
      </c>
      <c r="E16" s="12">
        <f t="shared" si="2"/>
        <v>12.8</v>
      </c>
      <c r="F16" s="10">
        <v>12.0</v>
      </c>
      <c r="G16" s="12">
        <f t="shared" si="3"/>
        <v>2.4</v>
      </c>
      <c r="H16" s="10">
        <v>36.0</v>
      </c>
      <c r="I16" s="12">
        <f t="shared" si="4"/>
        <v>7.2</v>
      </c>
      <c r="J16" s="10">
        <v>8.0</v>
      </c>
      <c r="K16" s="12">
        <f t="shared" si="5"/>
        <v>1.6</v>
      </c>
      <c r="L16" s="10">
        <v>4.0</v>
      </c>
      <c r="M16" s="12">
        <f t="shared" si="6"/>
        <v>0.8</v>
      </c>
      <c r="N16" s="10">
        <v>4.0</v>
      </c>
      <c r="O16" s="13">
        <f t="shared" si="7"/>
        <v>0.8</v>
      </c>
    </row>
    <row r="17" ht="22.5" customHeight="1">
      <c r="A17" s="8" t="s">
        <v>55</v>
      </c>
      <c r="B17" s="9" t="s">
        <v>59</v>
      </c>
      <c r="C17" s="8">
        <v>5.0</v>
      </c>
      <c r="D17" s="14">
        <f t="shared" si="1"/>
        <v>60</v>
      </c>
      <c r="E17" s="15">
        <f t="shared" si="2"/>
        <v>12</v>
      </c>
      <c r="F17" s="10">
        <v>0.0</v>
      </c>
      <c r="G17" s="12">
        <f t="shared" si="3"/>
        <v>0</v>
      </c>
      <c r="H17" s="10">
        <v>0.0</v>
      </c>
      <c r="I17" s="12">
        <f t="shared" si="4"/>
        <v>0</v>
      </c>
      <c r="J17" s="10">
        <v>60.0</v>
      </c>
      <c r="K17" s="12">
        <f t="shared" si="5"/>
        <v>12</v>
      </c>
      <c r="L17" s="10">
        <v>0.0</v>
      </c>
      <c r="M17" s="12">
        <f t="shared" si="6"/>
        <v>0</v>
      </c>
      <c r="N17" s="10">
        <v>0.0</v>
      </c>
      <c r="O17" s="13">
        <f t="shared" si="7"/>
        <v>0</v>
      </c>
    </row>
    <row r="18" ht="22.5" customHeight="1">
      <c r="A18" s="8" t="s">
        <v>48</v>
      </c>
      <c r="B18" s="9" t="s">
        <v>60</v>
      </c>
      <c r="C18" s="8">
        <v>4.0</v>
      </c>
      <c r="D18" s="14">
        <f t="shared" si="1"/>
        <v>44</v>
      </c>
      <c r="E18" s="15">
        <f t="shared" si="2"/>
        <v>11</v>
      </c>
      <c r="F18" s="10">
        <v>4.0</v>
      </c>
      <c r="G18" s="12">
        <f t="shared" si="3"/>
        <v>1</v>
      </c>
      <c r="H18" s="10">
        <v>20.0</v>
      </c>
      <c r="I18" s="12">
        <f t="shared" si="4"/>
        <v>5</v>
      </c>
      <c r="J18" s="10">
        <v>0.0</v>
      </c>
      <c r="K18" s="12">
        <f t="shared" si="5"/>
        <v>0</v>
      </c>
      <c r="L18" s="10">
        <v>20.0</v>
      </c>
      <c r="M18" s="12">
        <f t="shared" si="6"/>
        <v>5</v>
      </c>
      <c r="N18" s="10">
        <v>0.0</v>
      </c>
      <c r="O18" s="13">
        <f t="shared" si="7"/>
        <v>0</v>
      </c>
    </row>
    <row r="19" ht="22.5" customHeight="1">
      <c r="A19" s="8" t="s">
        <v>61</v>
      </c>
      <c r="B19" s="9" t="s">
        <v>62</v>
      </c>
      <c r="C19" s="8">
        <v>4.0</v>
      </c>
      <c r="D19" s="14">
        <f t="shared" si="1"/>
        <v>44</v>
      </c>
      <c r="E19" s="15">
        <f t="shared" si="2"/>
        <v>11</v>
      </c>
      <c r="F19" s="10">
        <v>16.0</v>
      </c>
      <c r="G19" s="12">
        <f t="shared" si="3"/>
        <v>4</v>
      </c>
      <c r="H19" s="10">
        <v>4.0</v>
      </c>
      <c r="I19" s="12">
        <f t="shared" si="4"/>
        <v>1</v>
      </c>
      <c r="J19" s="10">
        <v>12.0</v>
      </c>
      <c r="K19" s="12">
        <f t="shared" si="5"/>
        <v>3</v>
      </c>
      <c r="L19" s="10">
        <v>4.0</v>
      </c>
      <c r="M19" s="12">
        <f t="shared" si="6"/>
        <v>1</v>
      </c>
      <c r="N19" s="10">
        <v>8.0</v>
      </c>
      <c r="O19" s="13">
        <f t="shared" si="7"/>
        <v>2</v>
      </c>
    </row>
    <row r="20" ht="22.5" customHeight="1">
      <c r="A20" s="8" t="s">
        <v>41</v>
      </c>
      <c r="B20" s="9" t="s">
        <v>63</v>
      </c>
      <c r="C20" s="8">
        <v>3.0</v>
      </c>
      <c r="D20" s="14">
        <f t="shared" si="1"/>
        <v>32</v>
      </c>
      <c r="E20" s="15">
        <f t="shared" si="2"/>
        <v>10.66666667</v>
      </c>
      <c r="F20" s="10">
        <v>4.0</v>
      </c>
      <c r="G20" s="12">
        <f t="shared" si="3"/>
        <v>1.333333333</v>
      </c>
      <c r="H20" s="10">
        <v>0.0</v>
      </c>
      <c r="I20" s="12">
        <f t="shared" si="4"/>
        <v>0</v>
      </c>
      <c r="J20" s="10">
        <v>8.0</v>
      </c>
      <c r="K20" s="12">
        <f t="shared" si="5"/>
        <v>2.666666667</v>
      </c>
      <c r="L20" s="10">
        <v>0.0</v>
      </c>
      <c r="M20" s="12">
        <f t="shared" si="6"/>
        <v>0</v>
      </c>
      <c r="N20" s="10">
        <v>20.0</v>
      </c>
      <c r="O20" s="13">
        <f t="shared" si="7"/>
        <v>6.666666667</v>
      </c>
    </row>
    <row r="21" ht="22.5" customHeight="1">
      <c r="A21" s="8" t="s">
        <v>64</v>
      </c>
      <c r="B21" s="9" t="s">
        <v>65</v>
      </c>
      <c r="C21" s="8">
        <v>5.0</v>
      </c>
      <c r="D21" s="14">
        <f t="shared" si="1"/>
        <v>52</v>
      </c>
      <c r="E21" s="15">
        <f t="shared" si="2"/>
        <v>10.4</v>
      </c>
      <c r="F21" s="10">
        <v>4.0</v>
      </c>
      <c r="G21" s="12">
        <f t="shared" si="3"/>
        <v>0.8</v>
      </c>
      <c r="H21" s="10">
        <v>16.0</v>
      </c>
      <c r="I21" s="12">
        <f t="shared" si="4"/>
        <v>3.2</v>
      </c>
      <c r="J21" s="10">
        <v>8.0</v>
      </c>
      <c r="K21" s="12">
        <f t="shared" si="5"/>
        <v>1.6</v>
      </c>
      <c r="L21" s="10">
        <v>8.0</v>
      </c>
      <c r="M21" s="12">
        <f t="shared" si="6"/>
        <v>1.6</v>
      </c>
      <c r="N21" s="10">
        <v>16.0</v>
      </c>
      <c r="O21" s="13">
        <f t="shared" si="7"/>
        <v>3.2</v>
      </c>
    </row>
    <row r="22" ht="22.5" customHeight="1">
      <c r="A22" s="8" t="s">
        <v>55</v>
      </c>
      <c r="B22" s="9" t="s">
        <v>66</v>
      </c>
      <c r="C22" s="8">
        <v>5.0</v>
      </c>
      <c r="D22" s="14">
        <f t="shared" si="1"/>
        <v>52</v>
      </c>
      <c r="E22" s="15">
        <f t="shared" si="2"/>
        <v>10.4</v>
      </c>
      <c r="F22" s="10">
        <v>20.0</v>
      </c>
      <c r="G22" s="12">
        <f t="shared" si="3"/>
        <v>4</v>
      </c>
      <c r="H22" s="10">
        <v>0.0</v>
      </c>
      <c r="I22" s="12">
        <f t="shared" si="4"/>
        <v>0</v>
      </c>
      <c r="J22" s="10">
        <v>4.0</v>
      </c>
      <c r="K22" s="12">
        <f t="shared" si="5"/>
        <v>0.8</v>
      </c>
      <c r="L22" s="10">
        <v>8.0</v>
      </c>
      <c r="M22" s="12">
        <f t="shared" si="6"/>
        <v>1.6</v>
      </c>
      <c r="N22" s="10">
        <v>20.0</v>
      </c>
      <c r="O22" s="13">
        <f t="shared" si="7"/>
        <v>4</v>
      </c>
    </row>
    <row r="23" ht="22.5" customHeight="1">
      <c r="A23" s="8" t="s">
        <v>67</v>
      </c>
      <c r="B23" s="9" t="s">
        <v>68</v>
      </c>
      <c r="C23" s="8">
        <v>5.0</v>
      </c>
      <c r="D23" s="14">
        <f t="shared" si="1"/>
        <v>52</v>
      </c>
      <c r="E23" s="15">
        <f t="shared" si="2"/>
        <v>10.4</v>
      </c>
      <c r="F23" s="10">
        <v>24.0</v>
      </c>
      <c r="G23" s="12">
        <f t="shared" si="3"/>
        <v>4.8</v>
      </c>
      <c r="H23" s="10">
        <v>0.0</v>
      </c>
      <c r="I23" s="12">
        <f t="shared" si="4"/>
        <v>0</v>
      </c>
      <c r="J23" s="10">
        <v>24.0</v>
      </c>
      <c r="K23" s="12">
        <f t="shared" si="5"/>
        <v>4.8</v>
      </c>
      <c r="L23" s="10">
        <v>0.0</v>
      </c>
      <c r="M23" s="12">
        <f t="shared" si="6"/>
        <v>0</v>
      </c>
      <c r="N23" s="10">
        <v>4.0</v>
      </c>
      <c r="O23" s="13">
        <f t="shared" si="7"/>
        <v>0.8</v>
      </c>
    </row>
    <row r="24" ht="22.5" customHeight="1">
      <c r="A24" s="8" t="s">
        <v>69</v>
      </c>
      <c r="B24" s="9" t="s">
        <v>70</v>
      </c>
      <c r="C24" s="10">
        <v>4.0</v>
      </c>
      <c r="D24" s="11">
        <f t="shared" si="1"/>
        <v>40</v>
      </c>
      <c r="E24" s="12">
        <f t="shared" si="2"/>
        <v>10</v>
      </c>
      <c r="F24" s="10">
        <v>12.0</v>
      </c>
      <c r="G24" s="12">
        <f t="shared" si="3"/>
        <v>3</v>
      </c>
      <c r="H24" s="10">
        <v>4.0</v>
      </c>
      <c r="I24" s="12">
        <f t="shared" si="4"/>
        <v>1</v>
      </c>
      <c r="J24" s="10">
        <v>12.0</v>
      </c>
      <c r="K24" s="12">
        <f t="shared" si="5"/>
        <v>3</v>
      </c>
      <c r="L24" s="10">
        <v>12.0</v>
      </c>
      <c r="M24" s="12">
        <f t="shared" si="6"/>
        <v>3</v>
      </c>
      <c r="N24" s="10">
        <v>0.0</v>
      </c>
      <c r="O24" s="13">
        <f t="shared" si="7"/>
        <v>0</v>
      </c>
    </row>
    <row r="25" ht="22.5" customHeight="1">
      <c r="A25" s="8" t="s">
        <v>71</v>
      </c>
      <c r="B25" s="9" t="s">
        <v>72</v>
      </c>
      <c r="C25" s="8">
        <v>5.0</v>
      </c>
      <c r="D25" s="14">
        <f t="shared" si="1"/>
        <v>48</v>
      </c>
      <c r="E25" s="15">
        <f t="shared" si="2"/>
        <v>9.6</v>
      </c>
      <c r="F25" s="10">
        <v>0.0</v>
      </c>
      <c r="G25" s="12">
        <f t="shared" si="3"/>
        <v>0</v>
      </c>
      <c r="H25" s="10">
        <v>36.0</v>
      </c>
      <c r="I25" s="12">
        <f t="shared" si="4"/>
        <v>7.2</v>
      </c>
      <c r="J25" s="10">
        <v>12.0</v>
      </c>
      <c r="K25" s="12">
        <f t="shared" si="5"/>
        <v>2.4</v>
      </c>
      <c r="L25" s="10">
        <v>0.0</v>
      </c>
      <c r="M25" s="12">
        <f t="shared" si="6"/>
        <v>0</v>
      </c>
      <c r="N25" s="10">
        <v>0.0</v>
      </c>
      <c r="O25" s="13">
        <f t="shared" si="7"/>
        <v>0</v>
      </c>
    </row>
    <row r="26" ht="22.5" customHeight="1">
      <c r="A26" s="8" t="s">
        <v>73</v>
      </c>
      <c r="B26" s="9" t="s">
        <v>74</v>
      </c>
      <c r="C26" s="8">
        <v>3.0</v>
      </c>
      <c r="D26" s="14">
        <f t="shared" si="1"/>
        <v>28</v>
      </c>
      <c r="E26" s="15">
        <f t="shared" si="2"/>
        <v>9.333333333</v>
      </c>
      <c r="F26" s="10">
        <v>8.0</v>
      </c>
      <c r="G26" s="12">
        <f t="shared" si="3"/>
        <v>2.666666667</v>
      </c>
      <c r="H26" s="10">
        <v>0.0</v>
      </c>
      <c r="I26" s="12">
        <f t="shared" si="4"/>
        <v>0</v>
      </c>
      <c r="J26" s="10">
        <v>4.0</v>
      </c>
      <c r="K26" s="12">
        <f t="shared" si="5"/>
        <v>1.333333333</v>
      </c>
      <c r="L26" s="10">
        <v>0.0</v>
      </c>
      <c r="M26" s="12">
        <f t="shared" si="6"/>
        <v>0</v>
      </c>
      <c r="N26" s="10">
        <v>16.0</v>
      </c>
      <c r="O26" s="13">
        <f t="shared" si="7"/>
        <v>5.333333333</v>
      </c>
    </row>
    <row r="27" ht="22.5" customHeight="1">
      <c r="A27" s="8" t="s">
        <v>73</v>
      </c>
      <c r="B27" s="9" t="s">
        <v>75</v>
      </c>
      <c r="C27" s="8">
        <v>4.0</v>
      </c>
      <c r="D27" s="14">
        <f t="shared" si="1"/>
        <v>36</v>
      </c>
      <c r="E27" s="15">
        <f t="shared" si="2"/>
        <v>9</v>
      </c>
      <c r="F27" s="10">
        <v>8.0</v>
      </c>
      <c r="G27" s="12">
        <f t="shared" si="3"/>
        <v>2</v>
      </c>
      <c r="H27" s="10">
        <v>16.0</v>
      </c>
      <c r="I27" s="12">
        <f t="shared" si="4"/>
        <v>4</v>
      </c>
      <c r="J27" s="10">
        <v>8.0</v>
      </c>
      <c r="K27" s="12">
        <f t="shared" si="5"/>
        <v>2</v>
      </c>
      <c r="L27" s="10">
        <v>4.0</v>
      </c>
      <c r="M27" s="12">
        <f t="shared" si="6"/>
        <v>1</v>
      </c>
      <c r="N27" s="10">
        <v>0.0</v>
      </c>
      <c r="O27" s="13">
        <f t="shared" si="7"/>
        <v>0</v>
      </c>
    </row>
    <row r="28" ht="22.5" customHeight="1">
      <c r="A28" s="8" t="s">
        <v>71</v>
      </c>
      <c r="B28" s="9" t="s">
        <v>76</v>
      </c>
      <c r="C28" s="8">
        <v>5.0</v>
      </c>
      <c r="D28" s="14">
        <f t="shared" si="1"/>
        <v>40</v>
      </c>
      <c r="E28" s="15">
        <f t="shared" si="2"/>
        <v>8</v>
      </c>
      <c r="F28" s="10">
        <v>8.0</v>
      </c>
      <c r="G28" s="12">
        <f t="shared" si="3"/>
        <v>1.6</v>
      </c>
      <c r="H28" s="10">
        <v>-4.0</v>
      </c>
      <c r="I28" s="12">
        <f t="shared" si="4"/>
        <v>-0.8</v>
      </c>
      <c r="J28" s="10">
        <v>0.0</v>
      </c>
      <c r="K28" s="12">
        <f t="shared" si="5"/>
        <v>0</v>
      </c>
      <c r="L28" s="10">
        <v>32.0</v>
      </c>
      <c r="M28" s="12">
        <f t="shared" si="6"/>
        <v>6.4</v>
      </c>
      <c r="N28" s="10">
        <v>4.0</v>
      </c>
      <c r="O28" s="13">
        <f t="shared" si="7"/>
        <v>0.8</v>
      </c>
    </row>
    <row r="29" ht="22.5" customHeight="1">
      <c r="A29" s="8" t="s">
        <v>57</v>
      </c>
      <c r="B29" s="9" t="s">
        <v>77</v>
      </c>
      <c r="C29" s="10">
        <v>5.0</v>
      </c>
      <c r="D29" s="11">
        <f t="shared" si="1"/>
        <v>40</v>
      </c>
      <c r="E29" s="12">
        <f t="shared" si="2"/>
        <v>8</v>
      </c>
      <c r="F29" s="10">
        <v>0.0</v>
      </c>
      <c r="G29" s="12">
        <f t="shared" si="3"/>
        <v>0</v>
      </c>
      <c r="H29" s="10">
        <v>0.0</v>
      </c>
      <c r="I29" s="12">
        <f t="shared" si="4"/>
        <v>0</v>
      </c>
      <c r="J29" s="10">
        <v>0.0</v>
      </c>
      <c r="K29" s="12">
        <f t="shared" si="5"/>
        <v>0</v>
      </c>
      <c r="L29" s="10">
        <v>12.0</v>
      </c>
      <c r="M29" s="12">
        <f t="shared" si="6"/>
        <v>2.4</v>
      </c>
      <c r="N29" s="10">
        <v>28.0</v>
      </c>
      <c r="O29" s="13">
        <f t="shared" si="7"/>
        <v>5.6</v>
      </c>
    </row>
    <row r="30" ht="22.5" customHeight="1">
      <c r="A30" s="8" t="s">
        <v>78</v>
      </c>
      <c r="B30" s="9" t="s">
        <v>79</v>
      </c>
      <c r="C30" s="8">
        <v>4.0</v>
      </c>
      <c r="D30" s="14">
        <f t="shared" si="1"/>
        <v>32</v>
      </c>
      <c r="E30" s="15">
        <f t="shared" si="2"/>
        <v>8</v>
      </c>
      <c r="F30" s="10">
        <v>4.0</v>
      </c>
      <c r="G30" s="12">
        <f t="shared" si="3"/>
        <v>1</v>
      </c>
      <c r="H30" s="10">
        <v>8.0</v>
      </c>
      <c r="I30" s="12">
        <f t="shared" si="4"/>
        <v>2</v>
      </c>
      <c r="J30" s="10">
        <v>4.0</v>
      </c>
      <c r="K30" s="12">
        <f t="shared" si="5"/>
        <v>1</v>
      </c>
      <c r="L30" s="10">
        <v>4.0</v>
      </c>
      <c r="M30" s="12">
        <f t="shared" si="6"/>
        <v>1</v>
      </c>
      <c r="N30" s="10">
        <v>12.0</v>
      </c>
      <c r="O30" s="13">
        <f t="shared" si="7"/>
        <v>3</v>
      </c>
    </row>
    <row r="31" ht="22.5" customHeight="1">
      <c r="A31" s="8" t="s">
        <v>48</v>
      </c>
      <c r="B31" s="9" t="s">
        <v>80</v>
      </c>
      <c r="C31" s="8">
        <v>4.0</v>
      </c>
      <c r="D31" s="14">
        <f t="shared" si="1"/>
        <v>32</v>
      </c>
      <c r="E31" s="15">
        <f t="shared" si="2"/>
        <v>8</v>
      </c>
      <c r="F31" s="10">
        <v>4.0</v>
      </c>
      <c r="G31" s="12">
        <f t="shared" si="3"/>
        <v>1</v>
      </c>
      <c r="H31" s="10">
        <v>0.0</v>
      </c>
      <c r="I31" s="12">
        <f t="shared" si="4"/>
        <v>0</v>
      </c>
      <c r="J31" s="10">
        <v>0.0</v>
      </c>
      <c r="K31" s="12">
        <f t="shared" si="5"/>
        <v>0</v>
      </c>
      <c r="L31" s="10">
        <v>4.0</v>
      </c>
      <c r="M31" s="12">
        <f t="shared" si="6"/>
        <v>1</v>
      </c>
      <c r="N31" s="10">
        <v>24.0</v>
      </c>
      <c r="O31" s="13">
        <f t="shared" si="7"/>
        <v>6</v>
      </c>
    </row>
    <row r="32" ht="22.5" customHeight="1">
      <c r="A32" s="8" t="s">
        <v>57</v>
      </c>
      <c r="B32" s="9" t="s">
        <v>81</v>
      </c>
      <c r="C32" s="10">
        <v>1.0</v>
      </c>
      <c r="D32" s="11">
        <f t="shared" si="1"/>
        <v>8</v>
      </c>
      <c r="E32" s="12">
        <f t="shared" si="2"/>
        <v>8</v>
      </c>
      <c r="F32" s="10">
        <v>4.0</v>
      </c>
      <c r="G32" s="12">
        <f t="shared" si="3"/>
        <v>4</v>
      </c>
      <c r="H32" s="10">
        <v>-4.0</v>
      </c>
      <c r="I32" s="12">
        <f t="shared" si="4"/>
        <v>-4</v>
      </c>
      <c r="J32" s="10">
        <v>8.0</v>
      </c>
      <c r="K32" s="12">
        <f t="shared" si="5"/>
        <v>8</v>
      </c>
      <c r="L32" s="10">
        <v>0.0</v>
      </c>
      <c r="M32" s="12">
        <f t="shared" si="6"/>
        <v>0</v>
      </c>
      <c r="N32" s="10">
        <v>0.0</v>
      </c>
      <c r="O32" s="13">
        <f t="shared" si="7"/>
        <v>0</v>
      </c>
    </row>
    <row r="33" ht="22.5" customHeight="1">
      <c r="A33" s="8" t="s">
        <v>41</v>
      </c>
      <c r="B33" s="9" t="s">
        <v>82</v>
      </c>
      <c r="C33" s="8">
        <v>3.0</v>
      </c>
      <c r="D33" s="14">
        <f t="shared" si="1"/>
        <v>24</v>
      </c>
      <c r="E33" s="15">
        <f t="shared" si="2"/>
        <v>8</v>
      </c>
      <c r="F33" s="10">
        <v>0.0</v>
      </c>
      <c r="G33" s="12">
        <f t="shared" si="3"/>
        <v>0</v>
      </c>
      <c r="H33" s="10">
        <v>16.0</v>
      </c>
      <c r="I33" s="12">
        <f t="shared" si="4"/>
        <v>5.333333333</v>
      </c>
      <c r="J33" s="10">
        <v>8.0</v>
      </c>
      <c r="K33" s="12">
        <f t="shared" si="5"/>
        <v>2.666666667</v>
      </c>
      <c r="L33" s="10">
        <v>0.0</v>
      </c>
      <c r="M33" s="12">
        <f t="shared" si="6"/>
        <v>0</v>
      </c>
      <c r="N33" s="10">
        <v>0.0</v>
      </c>
      <c r="O33" s="13">
        <f t="shared" si="7"/>
        <v>0</v>
      </c>
    </row>
    <row r="34" ht="22.5" customHeight="1">
      <c r="A34" s="8" t="s">
        <v>69</v>
      </c>
      <c r="B34" s="9" t="s">
        <v>83</v>
      </c>
      <c r="C34" s="10">
        <v>2.0</v>
      </c>
      <c r="D34" s="11">
        <f t="shared" si="1"/>
        <v>16</v>
      </c>
      <c r="E34" s="12">
        <f t="shared" si="2"/>
        <v>8</v>
      </c>
      <c r="F34" s="10">
        <v>8.0</v>
      </c>
      <c r="G34" s="12">
        <f t="shared" si="3"/>
        <v>4</v>
      </c>
      <c r="H34" s="10">
        <v>4.0</v>
      </c>
      <c r="I34" s="12">
        <f t="shared" si="4"/>
        <v>2</v>
      </c>
      <c r="J34" s="10">
        <v>4.0</v>
      </c>
      <c r="K34" s="12">
        <f t="shared" si="5"/>
        <v>2</v>
      </c>
      <c r="L34" s="10">
        <v>0.0</v>
      </c>
      <c r="M34" s="12">
        <f t="shared" si="6"/>
        <v>0</v>
      </c>
      <c r="N34" s="10">
        <v>0.0</v>
      </c>
      <c r="O34" s="13">
        <f t="shared" si="7"/>
        <v>0</v>
      </c>
    </row>
    <row r="35" ht="22.5" customHeight="1">
      <c r="A35" s="8" t="s">
        <v>57</v>
      </c>
      <c r="B35" s="9" t="s">
        <v>84</v>
      </c>
      <c r="C35" s="10">
        <v>5.0</v>
      </c>
      <c r="D35" s="11">
        <f t="shared" si="1"/>
        <v>36</v>
      </c>
      <c r="E35" s="12">
        <f t="shared" si="2"/>
        <v>7.2</v>
      </c>
      <c r="F35" s="10">
        <v>0.0</v>
      </c>
      <c r="G35" s="12">
        <f t="shared" si="3"/>
        <v>0</v>
      </c>
      <c r="H35" s="10">
        <v>0.0</v>
      </c>
      <c r="I35" s="12">
        <f t="shared" si="4"/>
        <v>0</v>
      </c>
      <c r="J35" s="10">
        <v>36.0</v>
      </c>
      <c r="K35" s="12">
        <f t="shared" si="5"/>
        <v>7.2</v>
      </c>
      <c r="L35" s="10">
        <v>0.0</v>
      </c>
      <c r="M35" s="12">
        <f t="shared" si="6"/>
        <v>0</v>
      </c>
      <c r="N35" s="10">
        <v>0.0</v>
      </c>
      <c r="O35" s="13">
        <f t="shared" si="7"/>
        <v>0</v>
      </c>
    </row>
    <row r="36" ht="22.5" customHeight="1">
      <c r="A36" s="8" t="s">
        <v>45</v>
      </c>
      <c r="B36" s="9" t="s">
        <v>85</v>
      </c>
      <c r="C36" s="8">
        <v>4.0</v>
      </c>
      <c r="D36" s="14">
        <f t="shared" si="1"/>
        <v>28</v>
      </c>
      <c r="E36" s="15">
        <f t="shared" si="2"/>
        <v>7</v>
      </c>
      <c r="F36" s="10">
        <v>4.0</v>
      </c>
      <c r="G36" s="12">
        <f t="shared" si="3"/>
        <v>1</v>
      </c>
      <c r="H36" s="10">
        <v>16.0</v>
      </c>
      <c r="I36" s="12">
        <f t="shared" si="4"/>
        <v>4</v>
      </c>
      <c r="J36" s="10">
        <v>4.0</v>
      </c>
      <c r="K36" s="12">
        <f t="shared" si="5"/>
        <v>1</v>
      </c>
      <c r="L36" s="10">
        <v>4.0</v>
      </c>
      <c r="M36" s="12">
        <f t="shared" si="6"/>
        <v>1</v>
      </c>
      <c r="N36" s="10">
        <v>0.0</v>
      </c>
      <c r="O36" s="13">
        <f t="shared" si="7"/>
        <v>0</v>
      </c>
    </row>
    <row r="37" ht="22.5" customHeight="1">
      <c r="A37" s="8" t="s">
        <v>38</v>
      </c>
      <c r="B37" s="9" t="s">
        <v>86</v>
      </c>
      <c r="C37" s="8">
        <v>3.0</v>
      </c>
      <c r="D37" s="14">
        <f t="shared" si="1"/>
        <v>20</v>
      </c>
      <c r="E37" s="15">
        <f t="shared" si="2"/>
        <v>6.666666667</v>
      </c>
      <c r="F37" s="10">
        <v>8.0</v>
      </c>
      <c r="G37" s="12">
        <f t="shared" si="3"/>
        <v>2.666666667</v>
      </c>
      <c r="H37" s="10">
        <v>0.0</v>
      </c>
      <c r="I37" s="12">
        <f t="shared" si="4"/>
        <v>0</v>
      </c>
      <c r="J37" s="10">
        <v>4.0</v>
      </c>
      <c r="K37" s="12">
        <f t="shared" si="5"/>
        <v>1.333333333</v>
      </c>
      <c r="L37" s="10">
        <v>0.0</v>
      </c>
      <c r="M37" s="12">
        <f t="shared" si="6"/>
        <v>0</v>
      </c>
      <c r="N37" s="10">
        <v>8.0</v>
      </c>
      <c r="O37" s="13">
        <f t="shared" si="7"/>
        <v>2.666666667</v>
      </c>
    </row>
    <row r="38" ht="22.5" customHeight="1">
      <c r="A38" s="8" t="s">
        <v>64</v>
      </c>
      <c r="B38" s="9" t="s">
        <v>87</v>
      </c>
      <c r="C38" s="8">
        <v>5.0</v>
      </c>
      <c r="D38" s="14">
        <f t="shared" si="1"/>
        <v>32</v>
      </c>
      <c r="E38" s="15">
        <f t="shared" si="2"/>
        <v>6.4</v>
      </c>
      <c r="F38" s="10">
        <v>16.0</v>
      </c>
      <c r="G38" s="12">
        <f t="shared" si="3"/>
        <v>3.2</v>
      </c>
      <c r="H38" s="10">
        <v>-4.0</v>
      </c>
      <c r="I38" s="12">
        <f t="shared" si="4"/>
        <v>-0.8</v>
      </c>
      <c r="J38" s="10">
        <v>0.0</v>
      </c>
      <c r="K38" s="12">
        <f t="shared" si="5"/>
        <v>0</v>
      </c>
      <c r="L38" s="10">
        <v>12.0</v>
      </c>
      <c r="M38" s="12">
        <f t="shared" si="6"/>
        <v>2.4</v>
      </c>
      <c r="N38" s="10">
        <v>8.0</v>
      </c>
      <c r="O38" s="13">
        <f t="shared" si="7"/>
        <v>1.6</v>
      </c>
    </row>
    <row r="39" ht="22.5" customHeight="1">
      <c r="A39" s="8" t="s">
        <v>54</v>
      </c>
      <c r="B39" s="9" t="s">
        <v>14</v>
      </c>
      <c r="C39" s="8">
        <v>5.0</v>
      </c>
      <c r="D39" s="14">
        <f t="shared" si="1"/>
        <v>32</v>
      </c>
      <c r="E39" s="15">
        <f t="shared" si="2"/>
        <v>6.4</v>
      </c>
      <c r="F39" s="10">
        <v>4.0</v>
      </c>
      <c r="G39" s="12">
        <f t="shared" si="3"/>
        <v>0.8</v>
      </c>
      <c r="H39" s="10">
        <v>4.0</v>
      </c>
      <c r="I39" s="12">
        <f t="shared" si="4"/>
        <v>0.8</v>
      </c>
      <c r="J39" s="10">
        <v>16.0</v>
      </c>
      <c r="K39" s="12">
        <f t="shared" si="5"/>
        <v>3.2</v>
      </c>
      <c r="L39" s="10">
        <v>4.0</v>
      </c>
      <c r="M39" s="12">
        <f t="shared" si="6"/>
        <v>0.8</v>
      </c>
      <c r="N39" s="10">
        <v>4.0</v>
      </c>
      <c r="O39" s="13">
        <f t="shared" si="7"/>
        <v>0.8</v>
      </c>
    </row>
    <row r="40" ht="22.5" customHeight="1">
      <c r="A40" s="8" t="s">
        <v>71</v>
      </c>
      <c r="B40" s="9" t="s">
        <v>88</v>
      </c>
      <c r="C40" s="8">
        <v>5.0</v>
      </c>
      <c r="D40" s="14">
        <f t="shared" si="1"/>
        <v>32</v>
      </c>
      <c r="E40" s="15">
        <f t="shared" si="2"/>
        <v>6.4</v>
      </c>
      <c r="F40" s="10">
        <v>16.0</v>
      </c>
      <c r="G40" s="12">
        <f t="shared" si="3"/>
        <v>3.2</v>
      </c>
      <c r="H40" s="10">
        <v>0.0</v>
      </c>
      <c r="I40" s="12">
        <f t="shared" si="4"/>
        <v>0</v>
      </c>
      <c r="J40" s="10">
        <v>12.0</v>
      </c>
      <c r="K40" s="12">
        <f t="shared" si="5"/>
        <v>2.4</v>
      </c>
      <c r="L40" s="10">
        <v>0.0</v>
      </c>
      <c r="M40" s="12">
        <f t="shared" si="6"/>
        <v>0</v>
      </c>
      <c r="N40" s="10">
        <v>4.0</v>
      </c>
      <c r="O40" s="13">
        <f t="shared" si="7"/>
        <v>0.8</v>
      </c>
    </row>
    <row r="41" ht="22.5" customHeight="1">
      <c r="A41" s="8" t="s">
        <v>61</v>
      </c>
      <c r="B41" s="9" t="s">
        <v>89</v>
      </c>
      <c r="C41" s="8">
        <v>2.0</v>
      </c>
      <c r="D41" s="14">
        <f t="shared" si="1"/>
        <v>12</v>
      </c>
      <c r="E41" s="15">
        <f t="shared" si="2"/>
        <v>6</v>
      </c>
      <c r="F41" s="10">
        <v>0.0</v>
      </c>
      <c r="G41" s="12">
        <f t="shared" si="3"/>
        <v>0</v>
      </c>
      <c r="H41" s="10">
        <v>4.0</v>
      </c>
      <c r="I41" s="12">
        <f t="shared" si="4"/>
        <v>2</v>
      </c>
      <c r="J41" s="10">
        <v>4.0</v>
      </c>
      <c r="K41" s="12">
        <f t="shared" si="5"/>
        <v>2</v>
      </c>
      <c r="L41" s="10">
        <v>4.0</v>
      </c>
      <c r="M41" s="12">
        <f t="shared" si="6"/>
        <v>2</v>
      </c>
      <c r="N41" s="10">
        <v>0.0</v>
      </c>
      <c r="O41" s="13">
        <f t="shared" si="7"/>
        <v>0</v>
      </c>
    </row>
    <row r="42" ht="22.5" customHeight="1">
      <c r="A42" s="8" t="s">
        <v>90</v>
      </c>
      <c r="B42" s="9" t="s">
        <v>91</v>
      </c>
      <c r="C42" s="8">
        <v>2.0</v>
      </c>
      <c r="D42" s="14">
        <f t="shared" si="1"/>
        <v>12</v>
      </c>
      <c r="E42" s="15">
        <f t="shared" si="2"/>
        <v>6</v>
      </c>
      <c r="F42" s="10">
        <v>4.0</v>
      </c>
      <c r="G42" s="12">
        <f t="shared" si="3"/>
        <v>2</v>
      </c>
      <c r="H42" s="10">
        <v>0.0</v>
      </c>
      <c r="I42" s="12">
        <f t="shared" si="4"/>
        <v>0</v>
      </c>
      <c r="J42" s="10">
        <v>8.0</v>
      </c>
      <c r="K42" s="12">
        <f t="shared" si="5"/>
        <v>4</v>
      </c>
      <c r="L42" s="10">
        <v>0.0</v>
      </c>
      <c r="M42" s="12">
        <f t="shared" si="6"/>
        <v>0</v>
      </c>
      <c r="N42" s="10">
        <v>0.0</v>
      </c>
      <c r="O42" s="13">
        <f t="shared" si="7"/>
        <v>0</v>
      </c>
    </row>
    <row r="43" ht="22.5" customHeight="1">
      <c r="A43" s="8" t="s">
        <v>90</v>
      </c>
      <c r="B43" s="9" t="s">
        <v>92</v>
      </c>
      <c r="C43" s="8">
        <v>4.0</v>
      </c>
      <c r="D43" s="14">
        <f t="shared" si="1"/>
        <v>24</v>
      </c>
      <c r="E43" s="15">
        <f t="shared" si="2"/>
        <v>6</v>
      </c>
      <c r="F43" s="10">
        <v>4.0</v>
      </c>
      <c r="G43" s="12">
        <f t="shared" si="3"/>
        <v>1</v>
      </c>
      <c r="H43" s="10">
        <v>20.0</v>
      </c>
      <c r="I43" s="12">
        <f t="shared" si="4"/>
        <v>5</v>
      </c>
      <c r="J43" s="10">
        <v>0.0</v>
      </c>
      <c r="K43" s="12">
        <f t="shared" si="5"/>
        <v>0</v>
      </c>
      <c r="L43" s="10">
        <v>0.0</v>
      </c>
      <c r="M43" s="12">
        <f t="shared" si="6"/>
        <v>0</v>
      </c>
      <c r="N43" s="10">
        <v>0.0</v>
      </c>
      <c r="O43" s="13">
        <f t="shared" si="7"/>
        <v>0</v>
      </c>
    </row>
    <row r="44" ht="22.5" customHeight="1">
      <c r="A44" s="8" t="s">
        <v>93</v>
      </c>
      <c r="B44" s="9" t="s">
        <v>94</v>
      </c>
      <c r="C44" s="8">
        <v>5.0</v>
      </c>
      <c r="D44" s="14">
        <f t="shared" si="1"/>
        <v>28</v>
      </c>
      <c r="E44" s="15">
        <f t="shared" si="2"/>
        <v>5.6</v>
      </c>
      <c r="F44" s="10">
        <v>-4.0</v>
      </c>
      <c r="G44" s="12">
        <f t="shared" si="3"/>
        <v>-0.8</v>
      </c>
      <c r="H44" s="10">
        <v>12.0</v>
      </c>
      <c r="I44" s="12">
        <f t="shared" si="4"/>
        <v>2.4</v>
      </c>
      <c r="J44" s="10">
        <v>4.0</v>
      </c>
      <c r="K44" s="12">
        <f t="shared" si="5"/>
        <v>0.8</v>
      </c>
      <c r="L44" s="10">
        <v>8.0</v>
      </c>
      <c r="M44" s="12">
        <f t="shared" si="6"/>
        <v>1.6</v>
      </c>
      <c r="N44" s="10">
        <v>8.0</v>
      </c>
      <c r="O44" s="13">
        <f t="shared" si="7"/>
        <v>1.6</v>
      </c>
    </row>
    <row r="45" ht="22.5" customHeight="1">
      <c r="A45" s="8" t="s">
        <v>67</v>
      </c>
      <c r="B45" s="9" t="s">
        <v>95</v>
      </c>
      <c r="C45" s="8">
        <v>3.0</v>
      </c>
      <c r="D45" s="14">
        <f t="shared" si="1"/>
        <v>16</v>
      </c>
      <c r="E45" s="15">
        <f t="shared" si="2"/>
        <v>5.333333333</v>
      </c>
      <c r="F45" s="10">
        <v>0.0</v>
      </c>
      <c r="G45" s="12">
        <f t="shared" si="3"/>
        <v>0</v>
      </c>
      <c r="H45" s="10">
        <v>0.0</v>
      </c>
      <c r="I45" s="12">
        <f t="shared" si="4"/>
        <v>0</v>
      </c>
      <c r="J45" s="10">
        <v>0.0</v>
      </c>
      <c r="K45" s="12">
        <f t="shared" si="5"/>
        <v>0</v>
      </c>
      <c r="L45" s="10">
        <v>8.0</v>
      </c>
      <c r="M45" s="12">
        <f t="shared" si="6"/>
        <v>2.666666667</v>
      </c>
      <c r="N45" s="10">
        <v>8.0</v>
      </c>
      <c r="O45" s="13">
        <f t="shared" si="7"/>
        <v>2.666666667</v>
      </c>
    </row>
    <row r="46" ht="22.5" customHeight="1">
      <c r="A46" s="8" t="s">
        <v>93</v>
      </c>
      <c r="B46" s="9" t="s">
        <v>96</v>
      </c>
      <c r="C46" s="8">
        <v>4.0</v>
      </c>
      <c r="D46" s="14">
        <f t="shared" si="1"/>
        <v>20</v>
      </c>
      <c r="E46" s="15">
        <f t="shared" si="2"/>
        <v>5</v>
      </c>
      <c r="F46" s="10">
        <v>12.0</v>
      </c>
      <c r="G46" s="12">
        <f t="shared" si="3"/>
        <v>3</v>
      </c>
      <c r="H46" s="10">
        <v>0.0</v>
      </c>
      <c r="I46" s="12">
        <f t="shared" si="4"/>
        <v>0</v>
      </c>
      <c r="J46" s="10">
        <v>4.0</v>
      </c>
      <c r="K46" s="12">
        <f t="shared" si="5"/>
        <v>1</v>
      </c>
      <c r="L46" s="10">
        <v>0.0</v>
      </c>
      <c r="M46" s="12">
        <f t="shared" si="6"/>
        <v>0</v>
      </c>
      <c r="N46" s="10">
        <v>4.0</v>
      </c>
      <c r="O46" s="13">
        <f t="shared" si="7"/>
        <v>1</v>
      </c>
    </row>
    <row r="47" ht="22.5" customHeight="1">
      <c r="A47" s="8" t="s">
        <v>64</v>
      </c>
      <c r="B47" s="9" t="s">
        <v>97</v>
      </c>
      <c r="C47" s="8">
        <v>5.0</v>
      </c>
      <c r="D47" s="14">
        <f t="shared" si="1"/>
        <v>24</v>
      </c>
      <c r="E47" s="15">
        <f t="shared" si="2"/>
        <v>4.8</v>
      </c>
      <c r="F47" s="10">
        <v>0.0</v>
      </c>
      <c r="G47" s="12">
        <f t="shared" si="3"/>
        <v>0</v>
      </c>
      <c r="H47" s="10">
        <v>0.0</v>
      </c>
      <c r="I47" s="12">
        <f t="shared" si="4"/>
        <v>0</v>
      </c>
      <c r="J47" s="10">
        <v>20.0</v>
      </c>
      <c r="K47" s="12">
        <f t="shared" si="5"/>
        <v>4</v>
      </c>
      <c r="L47" s="10">
        <v>4.0</v>
      </c>
      <c r="M47" s="12">
        <f t="shared" si="6"/>
        <v>0.8</v>
      </c>
      <c r="N47" s="10">
        <v>0.0</v>
      </c>
      <c r="O47" s="13">
        <f t="shared" si="7"/>
        <v>0</v>
      </c>
    </row>
    <row r="48" ht="22.5" customHeight="1">
      <c r="A48" s="8" t="s">
        <v>64</v>
      </c>
      <c r="B48" s="9" t="s">
        <v>98</v>
      </c>
      <c r="C48" s="8">
        <v>5.0</v>
      </c>
      <c r="D48" s="14">
        <f t="shared" si="1"/>
        <v>24</v>
      </c>
      <c r="E48" s="15">
        <f t="shared" si="2"/>
        <v>4.8</v>
      </c>
      <c r="F48" s="10">
        <v>0.0</v>
      </c>
      <c r="G48" s="12">
        <f t="shared" si="3"/>
        <v>0</v>
      </c>
      <c r="H48" s="10">
        <v>24.0</v>
      </c>
      <c r="I48" s="12">
        <f t="shared" si="4"/>
        <v>4.8</v>
      </c>
      <c r="J48" s="10">
        <v>0.0</v>
      </c>
      <c r="K48" s="12">
        <f t="shared" si="5"/>
        <v>0</v>
      </c>
      <c r="L48" s="10">
        <v>0.0</v>
      </c>
      <c r="M48" s="12">
        <f t="shared" si="6"/>
        <v>0</v>
      </c>
      <c r="N48" s="10">
        <v>0.0</v>
      </c>
      <c r="O48" s="13">
        <f t="shared" si="7"/>
        <v>0</v>
      </c>
    </row>
    <row r="49" ht="22.5" customHeight="1">
      <c r="A49" s="8" t="s">
        <v>55</v>
      </c>
      <c r="B49" s="9" t="s">
        <v>86</v>
      </c>
      <c r="C49" s="8">
        <v>5.0</v>
      </c>
      <c r="D49" s="14">
        <f t="shared" si="1"/>
        <v>20</v>
      </c>
      <c r="E49" s="15">
        <f t="shared" si="2"/>
        <v>4</v>
      </c>
      <c r="F49" s="10">
        <v>0.0</v>
      </c>
      <c r="G49" s="12">
        <f t="shared" si="3"/>
        <v>0</v>
      </c>
      <c r="H49" s="10">
        <v>0.0</v>
      </c>
      <c r="I49" s="12">
        <f t="shared" si="4"/>
        <v>0</v>
      </c>
      <c r="J49" s="10">
        <v>0.0</v>
      </c>
      <c r="K49" s="12">
        <f t="shared" si="5"/>
        <v>0</v>
      </c>
      <c r="L49" s="10">
        <v>16.0</v>
      </c>
      <c r="M49" s="12">
        <f t="shared" si="6"/>
        <v>3.2</v>
      </c>
      <c r="N49" s="10">
        <v>4.0</v>
      </c>
      <c r="O49" s="13">
        <f t="shared" si="7"/>
        <v>0.8</v>
      </c>
    </row>
    <row r="50" ht="22.5" customHeight="1">
      <c r="A50" s="8" t="s">
        <v>61</v>
      </c>
      <c r="B50" s="9" t="s">
        <v>99</v>
      </c>
      <c r="C50" s="8">
        <v>3.0</v>
      </c>
      <c r="D50" s="14">
        <f t="shared" si="1"/>
        <v>12</v>
      </c>
      <c r="E50" s="15">
        <f t="shared" si="2"/>
        <v>4</v>
      </c>
      <c r="F50" s="10">
        <v>0.0</v>
      </c>
      <c r="G50" s="12">
        <f t="shared" si="3"/>
        <v>0</v>
      </c>
      <c r="H50" s="10">
        <v>4.0</v>
      </c>
      <c r="I50" s="12">
        <f t="shared" si="4"/>
        <v>1.333333333</v>
      </c>
      <c r="J50" s="10">
        <v>0.0</v>
      </c>
      <c r="K50" s="12">
        <f t="shared" si="5"/>
        <v>0</v>
      </c>
      <c r="L50" s="10">
        <v>8.0</v>
      </c>
      <c r="M50" s="12">
        <f t="shared" si="6"/>
        <v>2.666666667</v>
      </c>
      <c r="N50" s="10">
        <v>0.0</v>
      </c>
      <c r="O50" s="13">
        <f t="shared" si="7"/>
        <v>0</v>
      </c>
    </row>
    <row r="51" ht="22.5" customHeight="1">
      <c r="A51" s="8" t="s">
        <v>69</v>
      </c>
      <c r="B51" s="9" t="s">
        <v>99</v>
      </c>
      <c r="C51" s="10">
        <v>5.0</v>
      </c>
      <c r="D51" s="11">
        <f t="shared" si="1"/>
        <v>20</v>
      </c>
      <c r="E51" s="12">
        <f t="shared" si="2"/>
        <v>4</v>
      </c>
      <c r="F51" s="10">
        <v>0.0</v>
      </c>
      <c r="G51" s="12">
        <f t="shared" si="3"/>
        <v>0</v>
      </c>
      <c r="H51" s="10">
        <v>0.0</v>
      </c>
      <c r="I51" s="12">
        <f t="shared" si="4"/>
        <v>0</v>
      </c>
      <c r="J51" s="10">
        <v>0.0</v>
      </c>
      <c r="K51" s="12">
        <f t="shared" si="5"/>
        <v>0</v>
      </c>
      <c r="L51" s="10">
        <v>8.0</v>
      </c>
      <c r="M51" s="12">
        <f t="shared" si="6"/>
        <v>1.6</v>
      </c>
      <c r="N51" s="10">
        <v>12.0</v>
      </c>
      <c r="O51" s="13">
        <f t="shared" si="7"/>
        <v>2.4</v>
      </c>
    </row>
    <row r="52" ht="22.5" customHeight="1">
      <c r="A52" s="8" t="s">
        <v>34</v>
      </c>
      <c r="B52" s="9" t="s">
        <v>63</v>
      </c>
      <c r="C52" s="10">
        <v>1.0</v>
      </c>
      <c r="D52" s="11">
        <f t="shared" si="1"/>
        <v>4</v>
      </c>
      <c r="E52" s="12">
        <f t="shared" si="2"/>
        <v>4</v>
      </c>
      <c r="F52" s="10">
        <v>0.0</v>
      </c>
      <c r="G52" s="12">
        <f t="shared" si="3"/>
        <v>0</v>
      </c>
      <c r="H52" s="10">
        <v>0.0</v>
      </c>
      <c r="I52" s="12">
        <f t="shared" si="4"/>
        <v>0</v>
      </c>
      <c r="J52" s="10">
        <v>4.0</v>
      </c>
      <c r="K52" s="12">
        <f t="shared" si="5"/>
        <v>4</v>
      </c>
      <c r="L52" s="10">
        <v>0.0</v>
      </c>
      <c r="M52" s="12">
        <f t="shared" si="6"/>
        <v>0</v>
      </c>
      <c r="N52" s="10">
        <v>0.0</v>
      </c>
      <c r="O52" s="13">
        <f t="shared" si="7"/>
        <v>0</v>
      </c>
    </row>
    <row r="53" ht="22.5" customHeight="1">
      <c r="A53" s="8" t="s">
        <v>50</v>
      </c>
      <c r="B53" s="9" t="s">
        <v>100</v>
      </c>
      <c r="C53" s="8">
        <v>4.0</v>
      </c>
      <c r="D53" s="14">
        <f t="shared" si="1"/>
        <v>16</v>
      </c>
      <c r="E53" s="15">
        <f t="shared" si="2"/>
        <v>4</v>
      </c>
      <c r="F53" s="10">
        <v>0.0</v>
      </c>
      <c r="G53" s="12">
        <f t="shared" si="3"/>
        <v>0</v>
      </c>
      <c r="H53" s="10">
        <v>0.0</v>
      </c>
      <c r="I53" s="12">
        <f t="shared" si="4"/>
        <v>0</v>
      </c>
      <c r="J53" s="10">
        <v>16.0</v>
      </c>
      <c r="K53" s="12">
        <f t="shared" si="5"/>
        <v>4</v>
      </c>
      <c r="L53" s="10">
        <v>0.0</v>
      </c>
      <c r="M53" s="12">
        <f t="shared" si="6"/>
        <v>0</v>
      </c>
      <c r="N53" s="10">
        <v>0.0</v>
      </c>
      <c r="O53" s="13">
        <f t="shared" si="7"/>
        <v>0</v>
      </c>
    </row>
    <row r="54" ht="22.5" customHeight="1">
      <c r="A54" s="8" t="s">
        <v>78</v>
      </c>
      <c r="B54" s="9" t="s">
        <v>101</v>
      </c>
      <c r="C54" s="8">
        <v>2.0</v>
      </c>
      <c r="D54" s="14">
        <f t="shared" si="1"/>
        <v>8</v>
      </c>
      <c r="E54" s="15">
        <f t="shared" si="2"/>
        <v>4</v>
      </c>
      <c r="F54" s="10">
        <v>0.0</v>
      </c>
      <c r="G54" s="12">
        <f t="shared" si="3"/>
        <v>0</v>
      </c>
      <c r="H54" s="10">
        <v>0.0</v>
      </c>
      <c r="I54" s="12">
        <f t="shared" si="4"/>
        <v>0</v>
      </c>
      <c r="J54" s="10">
        <v>4.0</v>
      </c>
      <c r="K54" s="12">
        <f t="shared" si="5"/>
        <v>2</v>
      </c>
      <c r="L54" s="10">
        <v>0.0</v>
      </c>
      <c r="M54" s="12">
        <f t="shared" si="6"/>
        <v>0</v>
      </c>
      <c r="N54" s="10">
        <v>4.0</v>
      </c>
      <c r="O54" s="13">
        <f t="shared" si="7"/>
        <v>2</v>
      </c>
    </row>
    <row r="55" ht="22.5" customHeight="1">
      <c r="A55" s="8" t="s">
        <v>69</v>
      </c>
      <c r="B55" s="9" t="s">
        <v>102</v>
      </c>
      <c r="C55" s="10">
        <v>3.0</v>
      </c>
      <c r="D55" s="11">
        <f t="shared" si="1"/>
        <v>12</v>
      </c>
      <c r="E55" s="12">
        <f t="shared" si="2"/>
        <v>4</v>
      </c>
      <c r="F55" s="10">
        <v>0.0</v>
      </c>
      <c r="G55" s="12">
        <f t="shared" si="3"/>
        <v>0</v>
      </c>
      <c r="H55" s="10">
        <v>0.0</v>
      </c>
      <c r="I55" s="12">
        <f t="shared" si="4"/>
        <v>0</v>
      </c>
      <c r="J55" s="10">
        <v>4.0</v>
      </c>
      <c r="K55" s="12">
        <f t="shared" si="5"/>
        <v>1.333333333</v>
      </c>
      <c r="L55" s="10">
        <v>0.0</v>
      </c>
      <c r="M55" s="12">
        <f t="shared" si="6"/>
        <v>0</v>
      </c>
      <c r="N55" s="10">
        <v>8.0</v>
      </c>
      <c r="O55" s="13">
        <f t="shared" si="7"/>
        <v>2.666666667</v>
      </c>
    </row>
    <row r="56" ht="22.5" customHeight="1">
      <c r="A56" s="8" t="s">
        <v>34</v>
      </c>
      <c r="B56" s="9" t="s">
        <v>43</v>
      </c>
      <c r="C56" s="10">
        <v>1.0</v>
      </c>
      <c r="D56" s="11">
        <f t="shared" si="1"/>
        <v>4</v>
      </c>
      <c r="E56" s="12">
        <f t="shared" si="2"/>
        <v>4</v>
      </c>
      <c r="F56" s="10">
        <v>0.0</v>
      </c>
      <c r="G56" s="12">
        <f t="shared" si="3"/>
        <v>0</v>
      </c>
      <c r="H56" s="10">
        <v>4.0</v>
      </c>
      <c r="I56" s="12">
        <f t="shared" si="4"/>
        <v>4</v>
      </c>
      <c r="J56" s="10">
        <v>0.0</v>
      </c>
      <c r="K56" s="12">
        <f t="shared" si="5"/>
        <v>0</v>
      </c>
      <c r="L56" s="10">
        <v>0.0</v>
      </c>
      <c r="M56" s="12">
        <f t="shared" si="6"/>
        <v>0</v>
      </c>
      <c r="N56" s="10">
        <v>0.0</v>
      </c>
      <c r="O56" s="13">
        <f t="shared" si="7"/>
        <v>0</v>
      </c>
    </row>
    <row r="57" ht="22.5" customHeight="1">
      <c r="A57" s="8" t="s">
        <v>67</v>
      </c>
      <c r="B57" s="9" t="s">
        <v>103</v>
      </c>
      <c r="C57" s="8">
        <v>5.0</v>
      </c>
      <c r="D57" s="14">
        <f t="shared" si="1"/>
        <v>20</v>
      </c>
      <c r="E57" s="15">
        <f t="shared" si="2"/>
        <v>4</v>
      </c>
      <c r="F57" s="10">
        <v>0.0</v>
      </c>
      <c r="G57" s="12">
        <f t="shared" si="3"/>
        <v>0</v>
      </c>
      <c r="H57" s="10">
        <v>20.0</v>
      </c>
      <c r="I57" s="12">
        <f t="shared" si="4"/>
        <v>4</v>
      </c>
      <c r="J57" s="10">
        <v>0.0</v>
      </c>
      <c r="K57" s="12">
        <f t="shared" si="5"/>
        <v>0</v>
      </c>
      <c r="L57" s="10">
        <v>0.0</v>
      </c>
      <c r="M57" s="12">
        <f t="shared" si="6"/>
        <v>0</v>
      </c>
      <c r="N57" s="10">
        <v>0.0</v>
      </c>
      <c r="O57" s="13">
        <f t="shared" si="7"/>
        <v>0</v>
      </c>
    </row>
    <row r="58" ht="22.5" customHeight="1">
      <c r="A58" s="8" t="s">
        <v>61</v>
      </c>
      <c r="B58" s="9" t="s">
        <v>104</v>
      </c>
      <c r="C58" s="8">
        <v>3.0</v>
      </c>
      <c r="D58" s="14">
        <f t="shared" si="1"/>
        <v>12</v>
      </c>
      <c r="E58" s="15">
        <f t="shared" si="2"/>
        <v>4</v>
      </c>
      <c r="F58" s="10">
        <v>4.0</v>
      </c>
      <c r="G58" s="12">
        <f t="shared" si="3"/>
        <v>1.333333333</v>
      </c>
      <c r="H58" s="10">
        <v>4.0</v>
      </c>
      <c r="I58" s="12">
        <f t="shared" si="4"/>
        <v>1.333333333</v>
      </c>
      <c r="J58" s="10">
        <v>0.0</v>
      </c>
      <c r="K58" s="12">
        <f t="shared" si="5"/>
        <v>0</v>
      </c>
      <c r="L58" s="10">
        <v>0.0</v>
      </c>
      <c r="M58" s="12">
        <f t="shared" si="6"/>
        <v>0</v>
      </c>
      <c r="N58" s="10">
        <v>4.0</v>
      </c>
      <c r="O58" s="13">
        <f t="shared" si="7"/>
        <v>1.333333333</v>
      </c>
    </row>
    <row r="59" ht="22.5" customHeight="1">
      <c r="A59" s="8" t="s">
        <v>71</v>
      </c>
      <c r="B59" s="9" t="s">
        <v>105</v>
      </c>
      <c r="C59" s="8">
        <v>5.0</v>
      </c>
      <c r="D59" s="14">
        <f t="shared" si="1"/>
        <v>20</v>
      </c>
      <c r="E59" s="15">
        <f t="shared" si="2"/>
        <v>4</v>
      </c>
      <c r="F59" s="10">
        <v>0.0</v>
      </c>
      <c r="G59" s="12">
        <f t="shared" si="3"/>
        <v>0</v>
      </c>
      <c r="H59" s="10">
        <v>0.0</v>
      </c>
      <c r="I59" s="12">
        <f t="shared" si="4"/>
        <v>0</v>
      </c>
      <c r="J59" s="10">
        <v>0.0</v>
      </c>
      <c r="K59" s="12">
        <f t="shared" si="5"/>
        <v>0</v>
      </c>
      <c r="L59" s="10">
        <v>0.0</v>
      </c>
      <c r="M59" s="12">
        <f t="shared" si="6"/>
        <v>0</v>
      </c>
      <c r="N59" s="10">
        <v>20.0</v>
      </c>
      <c r="O59" s="13">
        <f t="shared" si="7"/>
        <v>4</v>
      </c>
    </row>
    <row r="60" ht="22.5" customHeight="1">
      <c r="A60" s="8" t="s">
        <v>45</v>
      </c>
      <c r="B60" s="9" t="s">
        <v>106</v>
      </c>
      <c r="C60" s="8">
        <v>1.0</v>
      </c>
      <c r="D60" s="14">
        <f t="shared" si="1"/>
        <v>4</v>
      </c>
      <c r="E60" s="15">
        <f t="shared" si="2"/>
        <v>4</v>
      </c>
      <c r="F60" s="10">
        <v>0.0</v>
      </c>
      <c r="G60" s="12">
        <f t="shared" si="3"/>
        <v>0</v>
      </c>
      <c r="H60" s="10">
        <v>0.0</v>
      </c>
      <c r="I60" s="12">
        <f t="shared" si="4"/>
        <v>0</v>
      </c>
      <c r="J60" s="10">
        <v>0.0</v>
      </c>
      <c r="K60" s="12">
        <f t="shared" si="5"/>
        <v>0</v>
      </c>
      <c r="L60" s="10">
        <v>0.0</v>
      </c>
      <c r="M60" s="12">
        <f t="shared" si="6"/>
        <v>0</v>
      </c>
      <c r="N60" s="10">
        <v>4.0</v>
      </c>
      <c r="O60" s="13">
        <f t="shared" si="7"/>
        <v>4</v>
      </c>
    </row>
    <row r="61" ht="22.5" customHeight="1">
      <c r="A61" s="8" t="s">
        <v>48</v>
      </c>
      <c r="B61" s="9" t="s">
        <v>35</v>
      </c>
      <c r="C61" s="8">
        <v>1.0</v>
      </c>
      <c r="D61" s="14">
        <f t="shared" si="1"/>
        <v>4</v>
      </c>
      <c r="E61" s="15">
        <f t="shared" si="2"/>
        <v>4</v>
      </c>
      <c r="F61" s="10">
        <v>0.0</v>
      </c>
      <c r="G61" s="12">
        <f t="shared" si="3"/>
        <v>0</v>
      </c>
      <c r="H61" s="10">
        <v>0.0</v>
      </c>
      <c r="I61" s="12">
        <f t="shared" si="4"/>
        <v>0</v>
      </c>
      <c r="J61" s="10">
        <v>0.0</v>
      </c>
      <c r="K61" s="12">
        <f t="shared" si="5"/>
        <v>0</v>
      </c>
      <c r="L61" s="10">
        <v>0.0</v>
      </c>
      <c r="M61" s="12">
        <f t="shared" si="6"/>
        <v>0</v>
      </c>
      <c r="N61" s="10">
        <v>4.0</v>
      </c>
      <c r="O61" s="13">
        <f t="shared" si="7"/>
        <v>4</v>
      </c>
    </row>
    <row r="62" ht="22.5" customHeight="1">
      <c r="A62" s="8" t="s">
        <v>57</v>
      </c>
      <c r="B62" s="9" t="s">
        <v>107</v>
      </c>
      <c r="C62" s="10">
        <v>5.0</v>
      </c>
      <c r="D62" s="11">
        <f t="shared" si="1"/>
        <v>16</v>
      </c>
      <c r="E62" s="12">
        <f t="shared" si="2"/>
        <v>3.2</v>
      </c>
      <c r="F62" s="10">
        <v>8.0</v>
      </c>
      <c r="G62" s="12">
        <f t="shared" si="3"/>
        <v>1.6</v>
      </c>
      <c r="H62" s="10">
        <v>0.0</v>
      </c>
      <c r="I62" s="12">
        <f t="shared" si="4"/>
        <v>0</v>
      </c>
      <c r="J62" s="10">
        <v>0.0</v>
      </c>
      <c r="K62" s="12">
        <f t="shared" si="5"/>
        <v>0</v>
      </c>
      <c r="L62" s="10">
        <v>8.0</v>
      </c>
      <c r="M62" s="12">
        <f t="shared" si="6"/>
        <v>1.6</v>
      </c>
      <c r="N62" s="10">
        <v>0.0</v>
      </c>
      <c r="O62" s="13">
        <f t="shared" si="7"/>
        <v>0</v>
      </c>
    </row>
    <row r="63" ht="22.5" customHeight="1">
      <c r="A63" s="8" t="s">
        <v>108</v>
      </c>
      <c r="B63" s="9" t="s">
        <v>109</v>
      </c>
      <c r="C63" s="8">
        <v>5.0</v>
      </c>
      <c r="D63" s="14">
        <f t="shared" si="1"/>
        <v>16</v>
      </c>
      <c r="E63" s="15">
        <f t="shared" si="2"/>
        <v>3.2</v>
      </c>
      <c r="F63" s="8">
        <v>4.0</v>
      </c>
      <c r="G63" s="12">
        <f t="shared" si="3"/>
        <v>0.8</v>
      </c>
      <c r="H63" s="8">
        <v>0.0</v>
      </c>
      <c r="I63" s="15">
        <f t="shared" si="4"/>
        <v>0</v>
      </c>
      <c r="J63" s="8">
        <v>12.0</v>
      </c>
      <c r="K63" s="15">
        <f t="shared" si="5"/>
        <v>2.4</v>
      </c>
      <c r="L63" s="8">
        <v>4.0</v>
      </c>
      <c r="M63" s="15">
        <f t="shared" si="6"/>
        <v>0.8</v>
      </c>
      <c r="N63" s="8">
        <v>-4.0</v>
      </c>
      <c r="O63" s="16">
        <f t="shared" si="7"/>
        <v>-0.8</v>
      </c>
    </row>
    <row r="64" ht="22.5" customHeight="1">
      <c r="A64" s="8" t="s">
        <v>67</v>
      </c>
      <c r="B64" s="9" t="s">
        <v>110</v>
      </c>
      <c r="C64" s="8">
        <v>4.0</v>
      </c>
      <c r="D64" s="14">
        <f t="shared" si="1"/>
        <v>12</v>
      </c>
      <c r="E64" s="15">
        <f t="shared" si="2"/>
        <v>3</v>
      </c>
      <c r="F64" s="10">
        <v>12.0</v>
      </c>
      <c r="G64" s="12">
        <f t="shared" si="3"/>
        <v>3</v>
      </c>
      <c r="H64" s="10">
        <v>0.0</v>
      </c>
      <c r="I64" s="12">
        <f t="shared" si="4"/>
        <v>0</v>
      </c>
      <c r="J64" s="10">
        <v>0.0</v>
      </c>
      <c r="K64" s="12">
        <f t="shared" si="5"/>
        <v>0</v>
      </c>
      <c r="L64" s="10">
        <v>0.0</v>
      </c>
      <c r="M64" s="12">
        <f t="shared" si="6"/>
        <v>0</v>
      </c>
      <c r="N64" s="10">
        <v>0.0</v>
      </c>
      <c r="O64" s="13">
        <f t="shared" si="7"/>
        <v>0</v>
      </c>
    </row>
    <row r="65" ht="22.5" customHeight="1">
      <c r="A65" s="8" t="s">
        <v>78</v>
      </c>
      <c r="B65" s="9" t="s">
        <v>111</v>
      </c>
      <c r="C65" s="8">
        <v>3.0</v>
      </c>
      <c r="D65" s="14">
        <f t="shared" si="1"/>
        <v>8</v>
      </c>
      <c r="E65" s="15">
        <f t="shared" si="2"/>
        <v>2.666666667</v>
      </c>
      <c r="F65" s="10">
        <v>4.0</v>
      </c>
      <c r="G65" s="12">
        <f t="shared" si="3"/>
        <v>1.333333333</v>
      </c>
      <c r="H65" s="10">
        <v>-4.0</v>
      </c>
      <c r="I65" s="12">
        <f t="shared" si="4"/>
        <v>-1.333333333</v>
      </c>
      <c r="J65" s="10">
        <v>0.0</v>
      </c>
      <c r="K65" s="12">
        <f t="shared" si="5"/>
        <v>0</v>
      </c>
      <c r="L65" s="10">
        <v>8.0</v>
      </c>
      <c r="M65" s="12">
        <f t="shared" si="6"/>
        <v>2.666666667</v>
      </c>
      <c r="N65" s="10">
        <v>0.0</v>
      </c>
      <c r="O65" s="13">
        <f t="shared" si="7"/>
        <v>0</v>
      </c>
    </row>
    <row r="66" ht="22.5" customHeight="1">
      <c r="A66" s="8" t="s">
        <v>90</v>
      </c>
      <c r="B66" s="9" t="s">
        <v>112</v>
      </c>
      <c r="C66" s="8">
        <v>3.0</v>
      </c>
      <c r="D66" s="14">
        <f t="shared" si="1"/>
        <v>8</v>
      </c>
      <c r="E66" s="15">
        <f t="shared" si="2"/>
        <v>2.666666667</v>
      </c>
      <c r="F66" s="10">
        <v>0.0</v>
      </c>
      <c r="G66" s="12">
        <f t="shared" si="3"/>
        <v>0</v>
      </c>
      <c r="H66" s="10">
        <v>0.0</v>
      </c>
      <c r="I66" s="12">
        <f t="shared" si="4"/>
        <v>0</v>
      </c>
      <c r="J66" s="10">
        <v>8.0</v>
      </c>
      <c r="K66" s="12">
        <f t="shared" si="5"/>
        <v>2.666666667</v>
      </c>
      <c r="L66" s="10">
        <v>0.0</v>
      </c>
      <c r="M66" s="12">
        <f t="shared" si="6"/>
        <v>0</v>
      </c>
      <c r="N66" s="10">
        <v>0.0</v>
      </c>
      <c r="O66" s="13">
        <f t="shared" si="7"/>
        <v>0</v>
      </c>
    </row>
    <row r="67" ht="22.5" customHeight="1">
      <c r="A67" s="8" t="s">
        <v>64</v>
      </c>
      <c r="B67" s="9" t="s">
        <v>113</v>
      </c>
      <c r="C67" s="8">
        <v>3.0</v>
      </c>
      <c r="D67" s="14">
        <f t="shared" si="1"/>
        <v>8</v>
      </c>
      <c r="E67" s="15">
        <f t="shared" si="2"/>
        <v>2.666666667</v>
      </c>
      <c r="F67" s="10">
        <v>4.0</v>
      </c>
      <c r="G67" s="12">
        <f t="shared" si="3"/>
        <v>1.333333333</v>
      </c>
      <c r="H67" s="10">
        <v>0.0</v>
      </c>
      <c r="I67" s="12">
        <f t="shared" si="4"/>
        <v>0</v>
      </c>
      <c r="J67" s="10">
        <v>4.0</v>
      </c>
      <c r="K67" s="12">
        <f t="shared" si="5"/>
        <v>1.333333333</v>
      </c>
      <c r="L67" s="10">
        <v>0.0</v>
      </c>
      <c r="M67" s="12">
        <f t="shared" si="6"/>
        <v>0</v>
      </c>
      <c r="N67" s="10">
        <v>0.0</v>
      </c>
      <c r="O67" s="13">
        <f t="shared" si="7"/>
        <v>0</v>
      </c>
    </row>
    <row r="68" ht="22.5" customHeight="1">
      <c r="A68" s="8" t="s">
        <v>93</v>
      </c>
      <c r="B68" s="9" t="s">
        <v>114</v>
      </c>
      <c r="C68" s="8">
        <v>3.0</v>
      </c>
      <c r="D68" s="14">
        <f t="shared" si="1"/>
        <v>8</v>
      </c>
      <c r="E68" s="15">
        <f t="shared" si="2"/>
        <v>2.666666667</v>
      </c>
      <c r="F68" s="10">
        <v>0.0</v>
      </c>
      <c r="G68" s="12">
        <f t="shared" si="3"/>
        <v>0</v>
      </c>
      <c r="H68" s="10">
        <v>0.0</v>
      </c>
      <c r="I68" s="12">
        <f t="shared" si="4"/>
        <v>0</v>
      </c>
      <c r="J68" s="10">
        <v>0.0</v>
      </c>
      <c r="K68" s="12">
        <f t="shared" si="5"/>
        <v>0</v>
      </c>
      <c r="L68" s="10">
        <v>0.0</v>
      </c>
      <c r="M68" s="12">
        <f t="shared" si="6"/>
        <v>0</v>
      </c>
      <c r="N68" s="10">
        <v>8.0</v>
      </c>
      <c r="O68" s="13">
        <f t="shared" si="7"/>
        <v>2.666666667</v>
      </c>
    </row>
    <row r="69" ht="22.5" customHeight="1">
      <c r="A69" s="8" t="s">
        <v>115</v>
      </c>
      <c r="B69" s="9" t="s">
        <v>116</v>
      </c>
      <c r="C69" s="10">
        <v>5.0</v>
      </c>
      <c r="D69" s="11">
        <f t="shared" si="1"/>
        <v>12</v>
      </c>
      <c r="E69" s="12">
        <f t="shared" si="2"/>
        <v>2.4</v>
      </c>
      <c r="F69" s="10">
        <v>8.0</v>
      </c>
      <c r="G69" s="12">
        <f t="shared" si="3"/>
        <v>1.6</v>
      </c>
      <c r="H69" s="10">
        <v>0.0</v>
      </c>
      <c r="I69" s="12">
        <f t="shared" si="4"/>
        <v>0</v>
      </c>
      <c r="J69" s="10">
        <v>4.0</v>
      </c>
      <c r="K69" s="12">
        <f t="shared" si="5"/>
        <v>0.8</v>
      </c>
      <c r="L69" s="10">
        <v>0.0</v>
      </c>
      <c r="M69" s="12">
        <f t="shared" si="6"/>
        <v>0</v>
      </c>
      <c r="N69" s="10">
        <v>0.0</v>
      </c>
      <c r="O69" s="13">
        <f t="shared" si="7"/>
        <v>0</v>
      </c>
    </row>
    <row r="70" ht="22.5" customHeight="1">
      <c r="A70" s="8" t="s">
        <v>52</v>
      </c>
      <c r="B70" s="9" t="s">
        <v>117</v>
      </c>
      <c r="C70" s="8">
        <v>4.0</v>
      </c>
      <c r="D70" s="14">
        <f t="shared" si="1"/>
        <v>8</v>
      </c>
      <c r="E70" s="15">
        <f t="shared" si="2"/>
        <v>2</v>
      </c>
      <c r="F70" s="10">
        <v>0.0</v>
      </c>
      <c r="G70" s="12">
        <f t="shared" si="3"/>
        <v>0</v>
      </c>
      <c r="H70" s="10">
        <v>4.0</v>
      </c>
      <c r="I70" s="12">
        <f t="shared" si="4"/>
        <v>1</v>
      </c>
      <c r="J70" s="10">
        <v>0.0</v>
      </c>
      <c r="K70" s="12">
        <f t="shared" si="5"/>
        <v>0</v>
      </c>
      <c r="L70" s="10">
        <v>4.0</v>
      </c>
      <c r="M70" s="12">
        <f t="shared" si="6"/>
        <v>1</v>
      </c>
      <c r="N70" s="10">
        <v>0.0</v>
      </c>
      <c r="O70" s="13">
        <f t="shared" si="7"/>
        <v>0</v>
      </c>
    </row>
    <row r="71" ht="22.5" customHeight="1">
      <c r="A71" s="8" t="s">
        <v>115</v>
      </c>
      <c r="B71" s="9" t="s">
        <v>118</v>
      </c>
      <c r="C71" s="10">
        <v>2.0</v>
      </c>
      <c r="D71" s="11">
        <f t="shared" si="1"/>
        <v>4</v>
      </c>
      <c r="E71" s="12">
        <f t="shared" si="2"/>
        <v>2</v>
      </c>
      <c r="F71" s="10">
        <v>0.0</v>
      </c>
      <c r="G71" s="12">
        <f t="shared" si="3"/>
        <v>0</v>
      </c>
      <c r="H71" s="10">
        <v>0.0</v>
      </c>
      <c r="I71" s="12">
        <f t="shared" si="4"/>
        <v>0</v>
      </c>
      <c r="J71" s="10">
        <v>4.0</v>
      </c>
      <c r="K71" s="12">
        <f t="shared" si="5"/>
        <v>2</v>
      </c>
      <c r="L71" s="10">
        <v>0.0</v>
      </c>
      <c r="M71" s="12">
        <f t="shared" si="6"/>
        <v>0</v>
      </c>
      <c r="N71" s="10">
        <v>0.0</v>
      </c>
      <c r="O71" s="13">
        <f t="shared" si="7"/>
        <v>0</v>
      </c>
    </row>
    <row r="72" ht="22.5" customHeight="1">
      <c r="A72" s="8" t="s">
        <v>36</v>
      </c>
      <c r="B72" s="9" t="s">
        <v>119</v>
      </c>
      <c r="C72" s="8">
        <v>2.0</v>
      </c>
      <c r="D72" s="14">
        <f t="shared" si="1"/>
        <v>4</v>
      </c>
      <c r="E72" s="15">
        <f t="shared" si="2"/>
        <v>2</v>
      </c>
      <c r="F72" s="10">
        <v>0.0</v>
      </c>
      <c r="G72" s="12">
        <f t="shared" si="3"/>
        <v>0</v>
      </c>
      <c r="H72" s="10">
        <v>0.0</v>
      </c>
      <c r="I72" s="12">
        <f t="shared" si="4"/>
        <v>0</v>
      </c>
      <c r="J72" s="10">
        <v>4.0</v>
      </c>
      <c r="K72" s="12">
        <f t="shared" si="5"/>
        <v>2</v>
      </c>
      <c r="L72" s="10">
        <v>0.0</v>
      </c>
      <c r="M72" s="12">
        <f t="shared" si="6"/>
        <v>0</v>
      </c>
      <c r="N72" s="10">
        <v>0.0</v>
      </c>
      <c r="O72" s="13">
        <f t="shared" si="7"/>
        <v>0</v>
      </c>
    </row>
    <row r="73" ht="22.5" customHeight="1">
      <c r="A73" s="8" t="s">
        <v>48</v>
      </c>
      <c r="B73" s="9" t="s">
        <v>120</v>
      </c>
      <c r="C73" s="8">
        <v>2.0</v>
      </c>
      <c r="D73" s="14">
        <f t="shared" si="1"/>
        <v>4</v>
      </c>
      <c r="E73" s="15">
        <f t="shared" si="2"/>
        <v>2</v>
      </c>
      <c r="F73" s="10">
        <v>4.0</v>
      </c>
      <c r="G73" s="12">
        <f t="shared" si="3"/>
        <v>2</v>
      </c>
      <c r="H73" s="10">
        <v>0.0</v>
      </c>
      <c r="I73" s="12">
        <f t="shared" si="4"/>
        <v>0</v>
      </c>
      <c r="J73" s="10">
        <v>0.0</v>
      </c>
      <c r="K73" s="12">
        <f t="shared" si="5"/>
        <v>0</v>
      </c>
      <c r="L73" s="10">
        <v>0.0</v>
      </c>
      <c r="M73" s="12">
        <f t="shared" si="6"/>
        <v>0</v>
      </c>
      <c r="N73" s="10">
        <v>0.0</v>
      </c>
      <c r="O73" s="13">
        <f t="shared" si="7"/>
        <v>0</v>
      </c>
    </row>
    <row r="74" ht="22.5" customHeight="1">
      <c r="A74" s="8" t="s">
        <v>34</v>
      </c>
      <c r="B74" s="9" t="s">
        <v>99</v>
      </c>
      <c r="C74" s="10">
        <v>2.0</v>
      </c>
      <c r="D74" s="11">
        <f t="shared" si="1"/>
        <v>4</v>
      </c>
      <c r="E74" s="12">
        <f t="shared" si="2"/>
        <v>2</v>
      </c>
      <c r="F74" s="10">
        <v>0.0</v>
      </c>
      <c r="G74" s="12">
        <f t="shared" si="3"/>
        <v>0</v>
      </c>
      <c r="H74" s="10">
        <v>0.0</v>
      </c>
      <c r="I74" s="12">
        <f t="shared" si="4"/>
        <v>0</v>
      </c>
      <c r="J74" s="10">
        <v>0.0</v>
      </c>
      <c r="K74" s="12">
        <f t="shared" si="5"/>
        <v>0</v>
      </c>
      <c r="L74" s="10">
        <v>0.0</v>
      </c>
      <c r="M74" s="12">
        <f t="shared" si="6"/>
        <v>0</v>
      </c>
      <c r="N74" s="10">
        <v>4.0</v>
      </c>
      <c r="O74" s="13">
        <f t="shared" si="7"/>
        <v>2</v>
      </c>
    </row>
    <row r="75" ht="22.5" customHeight="1">
      <c r="A75" s="8" t="s">
        <v>52</v>
      </c>
      <c r="B75" s="9" t="s">
        <v>35</v>
      </c>
      <c r="C75" s="8">
        <v>2.0</v>
      </c>
      <c r="D75" s="14">
        <f t="shared" si="1"/>
        <v>4</v>
      </c>
      <c r="E75" s="15">
        <f t="shared" si="2"/>
        <v>2</v>
      </c>
      <c r="F75" s="10">
        <v>0.0</v>
      </c>
      <c r="G75" s="12">
        <f t="shared" si="3"/>
        <v>0</v>
      </c>
      <c r="H75" s="10">
        <v>0.0</v>
      </c>
      <c r="I75" s="12">
        <f t="shared" si="4"/>
        <v>0</v>
      </c>
      <c r="J75" s="10">
        <v>0.0</v>
      </c>
      <c r="K75" s="12">
        <f t="shared" si="5"/>
        <v>0</v>
      </c>
      <c r="L75" s="10">
        <v>0.0</v>
      </c>
      <c r="M75" s="12">
        <f t="shared" si="6"/>
        <v>0</v>
      </c>
      <c r="N75" s="10">
        <v>4.0</v>
      </c>
      <c r="O75" s="13">
        <f t="shared" si="7"/>
        <v>2</v>
      </c>
    </row>
    <row r="76" ht="22.5" customHeight="1">
      <c r="A76" s="8" t="s">
        <v>115</v>
      </c>
      <c r="B76" s="9" t="s">
        <v>121</v>
      </c>
      <c r="C76" s="10">
        <v>5.0</v>
      </c>
      <c r="D76" s="11">
        <f t="shared" si="1"/>
        <v>8</v>
      </c>
      <c r="E76" s="12">
        <f t="shared" si="2"/>
        <v>1.6</v>
      </c>
      <c r="F76" s="10">
        <v>0.0</v>
      </c>
      <c r="G76" s="12">
        <f t="shared" si="3"/>
        <v>0</v>
      </c>
      <c r="H76" s="10">
        <v>4.0</v>
      </c>
      <c r="I76" s="12">
        <f t="shared" si="4"/>
        <v>0.8</v>
      </c>
      <c r="J76" s="10">
        <v>4.0</v>
      </c>
      <c r="K76" s="12">
        <f t="shared" si="5"/>
        <v>0.8</v>
      </c>
      <c r="L76" s="10">
        <v>0.0</v>
      </c>
      <c r="M76" s="12">
        <f t="shared" si="6"/>
        <v>0</v>
      </c>
      <c r="N76" s="10">
        <v>0.0</v>
      </c>
      <c r="O76" s="13">
        <f t="shared" si="7"/>
        <v>0</v>
      </c>
    </row>
    <row r="77" ht="22.5" customHeight="1">
      <c r="A77" s="8" t="s">
        <v>78</v>
      </c>
      <c r="B77" s="9" t="s">
        <v>122</v>
      </c>
      <c r="C77" s="8">
        <v>3.0</v>
      </c>
      <c r="D77" s="14">
        <f t="shared" si="1"/>
        <v>4</v>
      </c>
      <c r="E77" s="15">
        <f t="shared" si="2"/>
        <v>1.333333333</v>
      </c>
      <c r="F77" s="10">
        <v>4.0</v>
      </c>
      <c r="G77" s="12">
        <f t="shared" si="3"/>
        <v>1.333333333</v>
      </c>
      <c r="H77" s="10">
        <v>0.0</v>
      </c>
      <c r="I77" s="12">
        <f t="shared" si="4"/>
        <v>0</v>
      </c>
      <c r="J77" s="10">
        <v>4.0</v>
      </c>
      <c r="K77" s="12">
        <f t="shared" si="5"/>
        <v>1.333333333</v>
      </c>
      <c r="L77" s="10">
        <v>0.0</v>
      </c>
      <c r="M77" s="12">
        <f t="shared" si="6"/>
        <v>0</v>
      </c>
      <c r="N77" s="10">
        <v>-4.0</v>
      </c>
      <c r="O77" s="13">
        <f t="shared" si="7"/>
        <v>-1.333333333</v>
      </c>
    </row>
    <row r="78" ht="22.5" customHeight="1">
      <c r="A78" s="8" t="s">
        <v>36</v>
      </c>
      <c r="B78" s="9" t="s">
        <v>123</v>
      </c>
      <c r="C78" s="8">
        <v>4.0</v>
      </c>
      <c r="D78" s="14">
        <f t="shared" si="1"/>
        <v>4</v>
      </c>
      <c r="E78" s="15">
        <f t="shared" si="2"/>
        <v>1</v>
      </c>
      <c r="F78" s="10">
        <v>0.0</v>
      </c>
      <c r="G78" s="12">
        <f t="shared" si="3"/>
        <v>0</v>
      </c>
      <c r="H78" s="10">
        <v>4.0</v>
      </c>
      <c r="I78" s="12">
        <f t="shared" si="4"/>
        <v>1</v>
      </c>
      <c r="J78" s="10">
        <v>0.0</v>
      </c>
      <c r="K78" s="12">
        <f t="shared" si="5"/>
        <v>0</v>
      </c>
      <c r="L78" s="10">
        <v>0.0</v>
      </c>
      <c r="M78" s="12">
        <f t="shared" si="6"/>
        <v>0</v>
      </c>
      <c r="N78" s="10">
        <v>0.0</v>
      </c>
      <c r="O78" s="13">
        <f t="shared" si="7"/>
        <v>0</v>
      </c>
    </row>
    <row r="79" ht="22.5" customHeight="1">
      <c r="A79" s="8" t="s">
        <v>115</v>
      </c>
      <c r="B79" s="9" t="s">
        <v>124</v>
      </c>
      <c r="C79" s="10">
        <v>5.0</v>
      </c>
      <c r="D79" s="11">
        <f t="shared" si="1"/>
        <v>0</v>
      </c>
      <c r="E79" s="12">
        <f t="shared" si="2"/>
        <v>0</v>
      </c>
      <c r="F79" s="10">
        <v>-4.0</v>
      </c>
      <c r="G79" s="12">
        <f t="shared" si="3"/>
        <v>-0.8</v>
      </c>
      <c r="H79" s="10">
        <v>0.0</v>
      </c>
      <c r="I79" s="12">
        <f t="shared" si="4"/>
        <v>0</v>
      </c>
      <c r="J79" s="10">
        <v>0.0</v>
      </c>
      <c r="K79" s="12">
        <f t="shared" si="5"/>
        <v>0</v>
      </c>
      <c r="L79" s="10">
        <v>4.0</v>
      </c>
      <c r="M79" s="12">
        <f t="shared" si="6"/>
        <v>0.8</v>
      </c>
      <c r="N79" s="10">
        <v>0.0</v>
      </c>
      <c r="O79" s="13">
        <f t="shared" si="7"/>
        <v>0</v>
      </c>
    </row>
    <row r="80" ht="22.5" customHeight="1">
      <c r="A80" s="8" t="s">
        <v>115</v>
      </c>
      <c r="B80" s="9" t="s">
        <v>125</v>
      </c>
      <c r="C80" s="10">
        <v>4.0</v>
      </c>
      <c r="D80" s="11">
        <f t="shared" si="1"/>
        <v>0</v>
      </c>
      <c r="E80" s="12">
        <f t="shared" si="2"/>
        <v>0</v>
      </c>
      <c r="F80" s="10">
        <v>0.0</v>
      </c>
      <c r="G80" s="12">
        <f t="shared" si="3"/>
        <v>0</v>
      </c>
      <c r="H80" s="10">
        <v>0.0</v>
      </c>
      <c r="I80" s="12">
        <f t="shared" si="4"/>
        <v>0</v>
      </c>
      <c r="J80" s="10">
        <v>0.0</v>
      </c>
      <c r="K80" s="12">
        <f t="shared" si="5"/>
        <v>0</v>
      </c>
      <c r="L80" s="10">
        <v>0.0</v>
      </c>
      <c r="M80" s="12">
        <f t="shared" si="6"/>
        <v>0</v>
      </c>
      <c r="N80" s="10">
        <v>0.0</v>
      </c>
      <c r="O80" s="13">
        <f t="shared" si="7"/>
        <v>0</v>
      </c>
    </row>
    <row r="81" ht="22.5" customHeight="1">
      <c r="A81" s="8" t="s">
        <v>69</v>
      </c>
      <c r="B81" s="9" t="s">
        <v>126</v>
      </c>
      <c r="C81" s="10">
        <v>3.0</v>
      </c>
      <c r="D81" s="11">
        <f t="shared" si="1"/>
        <v>0</v>
      </c>
      <c r="E81" s="12">
        <f t="shared" si="2"/>
        <v>0</v>
      </c>
      <c r="F81" s="10">
        <v>0.0</v>
      </c>
      <c r="G81" s="12">
        <f t="shared" si="3"/>
        <v>0</v>
      </c>
      <c r="H81" s="10">
        <v>0.0</v>
      </c>
      <c r="I81" s="12">
        <f t="shared" si="4"/>
        <v>0</v>
      </c>
      <c r="J81" s="10">
        <v>0.0</v>
      </c>
      <c r="K81" s="12">
        <f t="shared" si="5"/>
        <v>0</v>
      </c>
      <c r="L81" s="10">
        <v>0.0</v>
      </c>
      <c r="M81" s="12">
        <f t="shared" si="6"/>
        <v>0</v>
      </c>
      <c r="N81" s="10">
        <v>0.0</v>
      </c>
      <c r="O81" s="13">
        <f t="shared" si="7"/>
        <v>0</v>
      </c>
    </row>
    <row r="82" ht="22.5" customHeight="1">
      <c r="A82" s="8" t="s">
        <v>73</v>
      </c>
      <c r="B82" s="9" t="s">
        <v>127</v>
      </c>
      <c r="C82" s="8">
        <v>3.0</v>
      </c>
      <c r="D82" s="14">
        <f t="shared" si="1"/>
        <v>0</v>
      </c>
      <c r="E82" s="15">
        <f t="shared" si="2"/>
        <v>0</v>
      </c>
      <c r="F82" s="10">
        <v>0.0</v>
      </c>
      <c r="G82" s="12">
        <f t="shared" si="3"/>
        <v>0</v>
      </c>
      <c r="H82" s="10">
        <v>0.0</v>
      </c>
      <c r="I82" s="12">
        <f t="shared" si="4"/>
        <v>0</v>
      </c>
      <c r="J82" s="10">
        <v>0.0</v>
      </c>
      <c r="K82" s="12">
        <f t="shared" si="5"/>
        <v>0</v>
      </c>
      <c r="L82" s="10">
        <v>0.0</v>
      </c>
      <c r="M82" s="12">
        <f t="shared" si="6"/>
        <v>0</v>
      </c>
      <c r="N82" s="10">
        <v>0.0</v>
      </c>
      <c r="O82" s="13">
        <f t="shared" si="7"/>
        <v>0</v>
      </c>
    </row>
  </sheetData>
  <dataValidations>
    <dataValidation type="custom" allowBlank="1" showDropDown="1" sqref="C2:C82 E2:O8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18</v>
      </c>
    </row>
    <row r="2">
      <c r="A2" s="1" t="s">
        <v>115</v>
      </c>
      <c r="B2" s="1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/>
      <c r="H1" s="1" t="s">
        <v>131</v>
      </c>
      <c r="I1" s="1" t="s">
        <v>133</v>
      </c>
      <c r="J1" s="1" t="s">
        <v>128</v>
      </c>
      <c r="K1" s="1" t="s">
        <v>129</v>
      </c>
      <c r="L1" s="1" t="s">
        <v>132</v>
      </c>
      <c r="M1" s="1" t="s">
        <v>131</v>
      </c>
      <c r="N1" s="1" t="s">
        <v>134</v>
      </c>
      <c r="O1" s="1" t="s">
        <v>128</v>
      </c>
      <c r="P1" s="1" t="s">
        <v>129</v>
      </c>
      <c r="Q1" s="1" t="s">
        <v>132</v>
      </c>
      <c r="R1" s="1" t="s">
        <v>128</v>
      </c>
      <c r="S1" s="1" t="s">
        <v>129</v>
      </c>
      <c r="T1" s="1" t="s">
        <v>135</v>
      </c>
      <c r="U1" s="1" t="s">
        <v>134</v>
      </c>
      <c r="V1" s="1" t="s">
        <v>136</v>
      </c>
      <c r="W1" s="1" t="s">
        <v>132</v>
      </c>
      <c r="X1" s="1" t="s">
        <v>134</v>
      </c>
      <c r="Y1" s="1" t="s">
        <v>129</v>
      </c>
      <c r="Z1" s="1" t="s">
        <v>137</v>
      </c>
      <c r="AA1" s="1" t="s">
        <v>128</v>
      </c>
      <c r="AB1" s="1" t="s">
        <v>138</v>
      </c>
    </row>
    <row r="2">
      <c r="A2" s="1" t="s">
        <v>8</v>
      </c>
      <c r="B2" s="1" t="s">
        <v>10</v>
      </c>
      <c r="F2" s="1" t="s">
        <v>10</v>
      </c>
      <c r="M2" s="1" t="s">
        <v>9</v>
      </c>
      <c r="R2" s="1" t="s">
        <v>9</v>
      </c>
    </row>
    <row r="3">
      <c r="A3" s="1" t="s">
        <v>11</v>
      </c>
      <c r="C3" s="1" t="s">
        <v>10</v>
      </c>
      <c r="F3" s="1" t="s">
        <v>10</v>
      </c>
      <c r="G3" s="1"/>
      <c r="H3" s="1" t="s">
        <v>10</v>
      </c>
      <c r="L3" s="1" t="s">
        <v>9</v>
      </c>
      <c r="S3" s="1" t="s">
        <v>8</v>
      </c>
    </row>
    <row r="4">
      <c r="A4" s="1" t="s">
        <v>12</v>
      </c>
      <c r="D4" s="1" t="s">
        <v>10</v>
      </c>
      <c r="F4" s="1" t="s">
        <v>9</v>
      </c>
      <c r="I4" s="1" t="s">
        <v>9</v>
      </c>
      <c r="S4" s="1" t="s">
        <v>9</v>
      </c>
    </row>
    <row r="5">
      <c r="A5" s="1" t="s">
        <v>10</v>
      </c>
      <c r="T5" s="1" t="s">
        <v>9</v>
      </c>
    </row>
    <row r="6">
      <c r="A6" s="1" t="s">
        <v>13</v>
      </c>
      <c r="I6" s="1" t="s">
        <v>9</v>
      </c>
      <c r="N6" s="1" t="s">
        <v>9</v>
      </c>
      <c r="X6" s="1" t="s">
        <v>9</v>
      </c>
    </row>
    <row r="7">
      <c r="A7" s="1" t="s">
        <v>8</v>
      </c>
      <c r="C7" s="1" t="s">
        <v>9</v>
      </c>
      <c r="M7" s="1" t="s">
        <v>8</v>
      </c>
    </row>
    <row r="8">
      <c r="A8" s="1" t="s">
        <v>11</v>
      </c>
      <c r="B8" s="1" t="s">
        <v>9</v>
      </c>
      <c r="G8" s="1"/>
      <c r="H8" s="1" t="s">
        <v>9</v>
      </c>
      <c r="Y8" s="1" t="s">
        <v>9</v>
      </c>
    </row>
    <row r="9">
      <c r="A9" s="1" t="s">
        <v>12</v>
      </c>
      <c r="O9" s="1" t="s">
        <v>10</v>
      </c>
      <c r="Q9" s="1" t="s">
        <v>9</v>
      </c>
      <c r="U9" s="1" t="s">
        <v>9</v>
      </c>
      <c r="X9" s="1" t="s">
        <v>9</v>
      </c>
    </row>
    <row r="10">
      <c r="A10" s="1" t="s">
        <v>10</v>
      </c>
    </row>
    <row r="11">
      <c r="A11" s="1" t="s">
        <v>13</v>
      </c>
      <c r="Z11" s="1" t="s">
        <v>9</v>
      </c>
    </row>
    <row r="12">
      <c r="A12" s="1" t="s">
        <v>8</v>
      </c>
      <c r="B12" s="1" t="s">
        <v>9</v>
      </c>
      <c r="J12" s="1" t="s">
        <v>10</v>
      </c>
      <c r="L12" s="1" t="s">
        <v>9</v>
      </c>
      <c r="O12" s="1" t="s">
        <v>9</v>
      </c>
      <c r="X12" s="1" t="s">
        <v>9</v>
      </c>
    </row>
    <row r="13">
      <c r="A13" s="1" t="s">
        <v>11</v>
      </c>
      <c r="T13" s="1" t="s">
        <v>8</v>
      </c>
      <c r="X13" s="1" t="s">
        <v>9</v>
      </c>
    </row>
    <row r="14">
      <c r="A14" s="1" t="s">
        <v>12</v>
      </c>
      <c r="N14" s="1" t="s">
        <v>9</v>
      </c>
      <c r="V14" s="1" t="s">
        <v>9</v>
      </c>
      <c r="X14" s="1" t="s">
        <v>9</v>
      </c>
    </row>
    <row r="15">
      <c r="A15" s="1" t="s">
        <v>10</v>
      </c>
      <c r="T15" s="1" t="s">
        <v>10</v>
      </c>
      <c r="W15" s="1" t="s">
        <v>9</v>
      </c>
      <c r="Z15" s="1" t="s">
        <v>9</v>
      </c>
    </row>
    <row r="16">
      <c r="A16" s="1" t="s">
        <v>13</v>
      </c>
      <c r="T16" s="1" t="s">
        <v>9</v>
      </c>
      <c r="X16" s="1" t="s">
        <v>9</v>
      </c>
    </row>
    <row r="17">
      <c r="A17" s="1" t="s">
        <v>8</v>
      </c>
      <c r="B17" s="1" t="s">
        <v>9</v>
      </c>
      <c r="N17" s="1" t="s">
        <v>9</v>
      </c>
      <c r="U17" s="1" t="s">
        <v>9</v>
      </c>
      <c r="AA17" s="1" t="s">
        <v>9</v>
      </c>
    </row>
    <row r="18">
      <c r="A18" s="1" t="s">
        <v>11</v>
      </c>
      <c r="C18" s="1" t="s">
        <v>10</v>
      </c>
      <c r="F18" s="1" t="s">
        <v>9</v>
      </c>
      <c r="Y18" s="1" t="s">
        <v>9</v>
      </c>
    </row>
    <row r="19">
      <c r="A19" s="1" t="s">
        <v>12</v>
      </c>
      <c r="P19" s="1" t="s">
        <v>10</v>
      </c>
      <c r="Q19" s="1" t="s">
        <v>9</v>
      </c>
      <c r="T19" s="1" t="s">
        <v>9</v>
      </c>
      <c r="Z19" s="1" t="s">
        <v>9</v>
      </c>
    </row>
    <row r="20">
      <c r="A20" s="1" t="s">
        <v>10</v>
      </c>
      <c r="E20" s="1" t="s">
        <v>9</v>
      </c>
      <c r="K20" s="1" t="s">
        <v>9</v>
      </c>
    </row>
    <row r="21">
      <c r="A21" s="1" t="s">
        <v>13</v>
      </c>
      <c r="E21" s="1" t="s">
        <v>9</v>
      </c>
      <c r="N21" s="1" t="s">
        <v>9</v>
      </c>
      <c r="Y21" s="1" t="s">
        <v>9</v>
      </c>
    </row>
    <row r="23">
      <c r="A23" s="1"/>
      <c r="B23" s="1" t="s">
        <v>139</v>
      </c>
      <c r="C23" s="1" t="s">
        <v>140</v>
      </c>
      <c r="D23" s="1" t="s">
        <v>141</v>
      </c>
      <c r="E23" s="1" t="s">
        <v>142</v>
      </c>
      <c r="F23" s="1" t="s">
        <v>143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F24" si="1">COUNTIF($A1:AB1,"*"&amp;B23&amp;"*")</f>
        <v>5</v>
      </c>
      <c r="C24" s="2">
        <f t="shared" si="1"/>
        <v>5</v>
      </c>
      <c r="D24" s="2">
        <f t="shared" si="1"/>
        <v>2</v>
      </c>
      <c r="E24" s="2">
        <f t="shared" si="1"/>
        <v>5</v>
      </c>
      <c r="F24" s="2">
        <f t="shared" si="1"/>
        <v>4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"),8.0)</f>
        <v>8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"),-4.0)</f>
        <v>-4</v>
      </c>
      <c r="F26" s="2">
        <f>IFERROR(__xludf.DUMMYFUNCTION("4*SUMPRODUCT(
  ($B$2:$AA$21 = ""C"") *
  ($A$2:$A$21 = $A26) *
  (REGEXMATCH($B$1:$AA$1, ""(?i)"" &amp; F$23))
)-4*SUMPRODUCT(
  ($B$2:$AA$21 = ""P"") *
  ($A$2:$A$21 = $A26) *
  (REGEXMATCH($B$1:$AA$1, ""(?i)"" &amp; F$23))
)
"),0.0)</f>
        <v>0</v>
      </c>
      <c r="H26" s="2">
        <f>IFERROR(__xludf.DUMMYFUNCTION("SUMPRODUCT(
  ($B$2:$AA$21 = ""C"") *
  ($A$2:$A$21 = $A26)*NOT(REGEXMATCH($B$1:$AA$1, ""(?i)bonus"")
)
)"),2.0)</f>
        <v>2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F27" s="2">
        <f>IFERROR(__xludf.DUMMYFUNCTION("4*SUMPRODUCT(
  ($B$2:$AA$21 = ""C"") *
  ($A$2:$A$21 = $A27) *
  (REGEXMATCH($B$1:$AA$1, ""(?i)"" &amp; F$23))
)-4*SUMPRODUCT(
  ($B$2:$AA$21 = ""P"") *
  ($A$2:$A$21 = $A27) *
  (REGEXMATCH($B$1:$AA$1, ""(?i)"" &amp; F$23))
)
"),0.0)</f>
        <v>0</v>
      </c>
      <c r="H27" s="2">
        <f>IFERROR(__xludf.DUMMYFUNCTION("SUMPRODUCT(
  ($B$2:$AA$21 = ""C"") *
  ($A$2:$A$21 = $A27)*NOT(REGEXMATCH($B$1:$AA$1, ""(?i)bonus"")
)
)"),3.0)</f>
        <v>3</v>
      </c>
      <c r="I27" s="2">
        <f>IFERROR(__xludf.DUMMYFUNCTION("10*SUMPRODUCT(
  ($B$2:$AA$21 = ""C"") *
  ($A$2:$A$21 = $A27) *
  (REGEXMATCH($B$1:$AA$1, ""(?i) BONUS""))
)
"),10.0)</f>
        <v>10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"),4.0)</f>
        <v>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"),4.0)</f>
        <v>4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F28" s="2">
        <f>IFERROR(__xludf.DUMMYFUNCTION("4*SUMPRODUCT(
  ($B$2:$AA$21 = ""C"") *
  ($A$2:$A$21 = $A28) *
  (REGEXMATCH($B$1:$AA$1, ""(?i)"" &amp; F$23))
)-4*SUMPRODUCT(
  ($B$2:$AA$21 = ""P"") *
  ($A$2:$A$21 = $A28) *
  (REGEXMATCH($B$1:$AA$1, ""(?i)"" &amp; F$23))
)
"),0.0)</f>
        <v>0</v>
      </c>
      <c r="H28" s="2">
        <f>IFERROR(__xludf.DUMMYFUNCTION("SUMPRODUCT(
  ($B$2:$AA$21 = ""C"") *
  ($A$2:$A$21 = $A28)*NOT(REGEXMATCH($B$1:$AA$1, ""(?i)bonus"")
)
)"),3.0)</f>
        <v>3</v>
      </c>
      <c r="I28" s="2">
        <f>IFERROR(__xludf.DUMMYFUNCTION("10*SUMPRODUCT(
  ($B$2:$AA$21 = ""C"") *
  ($A$2:$A$21 = $A28) *
  (REGEXMATCH($B$1:$AA$1, ""(?i) BONUS""))
)
"),0.0)</f>
        <v>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"),0.0)</f>
        <v>0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"),4.0)</f>
        <v>4</v>
      </c>
      <c r="F29" s="2">
        <f>IFERROR(__xludf.DUMMYFUNCTION("4*SUMPRODUCT(
  ($B$2:$AA$21 = ""C"") *
  ($A$2:$A$21 = $A29) *
  (REGEXMATCH($B$1:$AA$1, ""(?i)"" &amp; F$23))
)-4*SUMPRODUCT(
  ($B$2:$AA$21 = ""P"") *
  ($A$2:$A$21 = $A29) *
  (REGEXMATCH($B$1:$AA$1, ""(?i)"" &amp; F$23))
)
"),0.0)</f>
        <v>0</v>
      </c>
      <c r="H29" s="2">
        <f>IFERROR(__xludf.DUMMYFUNCTION("SUMPRODUCT(
  ($B$2:$AA$21 = ""C"") *
  ($A$2:$A$21 = $A29)*NOT(REGEXMATCH($B$1:$AA$1, ""(?i)bonus"")
)
)"),1.0)</f>
        <v>1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F30" s="2">
        <f>IFERROR(__xludf.DUMMYFUNCTION("4*SUMPRODUCT(
  ($B$2:$AA$21 = ""C"") *
  ($A$2:$A$21 = $A30) *
  (REGEXMATCH($B$1:$AA$1, ""(?i)"" &amp; F$23))
)-4*SUMPRODUCT(
  ($B$2:$AA$21 = ""P"") *
  ($A$2:$A$21 = $A30) *
  (REGEXMATCH($B$1:$AA$1, ""(?i)"" &amp; F$23))
)
"),0.0)</f>
        <v>0</v>
      </c>
      <c r="H30" s="2">
        <f>IFERROR(__xludf.DUMMYFUNCTION("SUMPRODUCT(
  ($B$2:$AA$21 = ""C"") *
  ($A$2:$A$21 = $A30)*NOT(REGEXMATCH($B$1:$AA$1, ""(?i)bonus"")
)
)"),0.0)</f>
        <v>0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147</v>
      </c>
      <c r="H1" s="1" t="s">
        <v>145</v>
      </c>
      <c r="I1" s="1" t="s">
        <v>146</v>
      </c>
      <c r="J1" s="1" t="s">
        <v>144</v>
      </c>
      <c r="K1" s="1" t="s">
        <v>149</v>
      </c>
      <c r="L1" s="1" t="s">
        <v>147</v>
      </c>
      <c r="M1" s="1" t="s">
        <v>144</v>
      </c>
      <c r="N1" s="1" t="s">
        <v>146</v>
      </c>
      <c r="O1" s="1" t="s">
        <v>145</v>
      </c>
      <c r="P1" s="1" t="s">
        <v>150</v>
      </c>
      <c r="Q1" s="1" t="s">
        <v>144</v>
      </c>
      <c r="R1" s="1" t="s">
        <v>147</v>
      </c>
      <c r="S1" s="1" t="s">
        <v>145</v>
      </c>
      <c r="T1" s="1" t="s">
        <v>146</v>
      </c>
      <c r="U1" s="1" t="s">
        <v>150</v>
      </c>
      <c r="V1" s="1" t="s">
        <v>151</v>
      </c>
      <c r="W1" s="1" t="s">
        <v>145</v>
      </c>
      <c r="X1" s="1" t="s">
        <v>146</v>
      </c>
      <c r="Y1" s="1" t="s">
        <v>147</v>
      </c>
      <c r="Z1" s="1" t="s">
        <v>152</v>
      </c>
      <c r="AA1" s="1" t="s">
        <v>150</v>
      </c>
    </row>
    <row r="2">
      <c r="A2" s="1" t="s">
        <v>8</v>
      </c>
      <c r="B2" s="1" t="s">
        <v>10</v>
      </c>
      <c r="C2" s="1"/>
      <c r="F2" s="1" t="s">
        <v>9</v>
      </c>
      <c r="G2" s="1" t="s">
        <v>9</v>
      </c>
      <c r="Q2" s="1" t="s">
        <v>10</v>
      </c>
      <c r="U2" s="1" t="s">
        <v>9</v>
      </c>
      <c r="V2" s="1" t="s">
        <v>10</v>
      </c>
      <c r="AA2" s="1" t="s">
        <v>10</v>
      </c>
    </row>
    <row r="3">
      <c r="A3" s="1" t="s">
        <v>11</v>
      </c>
      <c r="B3" s="1"/>
      <c r="D3" s="1"/>
      <c r="G3" s="1" t="s">
        <v>10</v>
      </c>
      <c r="K3" s="1" t="s">
        <v>9</v>
      </c>
      <c r="R3" s="1" t="s">
        <v>9</v>
      </c>
      <c r="V3" s="1" t="s">
        <v>8</v>
      </c>
    </row>
    <row r="4">
      <c r="A4" s="1" t="s">
        <v>12</v>
      </c>
      <c r="B4" s="1"/>
      <c r="C4" s="1" t="s">
        <v>9</v>
      </c>
      <c r="H4" s="1" t="s">
        <v>10</v>
      </c>
      <c r="K4" s="1" t="s">
        <v>10</v>
      </c>
      <c r="L4" s="1" t="s">
        <v>9</v>
      </c>
      <c r="S4" s="1" t="s">
        <v>9</v>
      </c>
      <c r="W4" s="1" t="s">
        <v>10</v>
      </c>
      <c r="AA4" s="1" t="s">
        <v>10</v>
      </c>
    </row>
    <row r="5">
      <c r="A5" s="1" t="s">
        <v>10</v>
      </c>
      <c r="B5" s="1" t="s">
        <v>10</v>
      </c>
      <c r="C5" s="1"/>
      <c r="D5" s="1"/>
      <c r="F5" s="1" t="s">
        <v>9</v>
      </c>
      <c r="G5" s="1" t="s">
        <v>10</v>
      </c>
      <c r="K5" s="1" t="s">
        <v>9</v>
      </c>
      <c r="M5" s="1" t="s">
        <v>9</v>
      </c>
      <c r="V5" s="1" t="s">
        <v>8</v>
      </c>
    </row>
    <row r="6">
      <c r="A6" s="1" t="s">
        <v>13</v>
      </c>
      <c r="B6" s="1"/>
      <c r="D6" s="1" t="s">
        <v>10</v>
      </c>
      <c r="F6" s="1" t="s">
        <v>9</v>
      </c>
      <c r="I6" s="1" t="s">
        <v>10</v>
      </c>
      <c r="K6" s="1" t="s">
        <v>9</v>
      </c>
      <c r="N6" s="1" t="s">
        <v>10</v>
      </c>
      <c r="R6" s="1" t="s">
        <v>9</v>
      </c>
      <c r="X6" s="1" t="s">
        <v>10</v>
      </c>
      <c r="AA6" s="1" t="s">
        <v>9</v>
      </c>
    </row>
    <row r="7">
      <c r="A7" s="1" t="s">
        <v>8</v>
      </c>
      <c r="B7" s="1"/>
      <c r="C7" s="1"/>
      <c r="E7" s="1" t="s">
        <v>10</v>
      </c>
      <c r="F7" s="1" t="s">
        <v>9</v>
      </c>
      <c r="J7" s="1" t="s">
        <v>8</v>
      </c>
      <c r="M7" s="1" t="s">
        <v>9</v>
      </c>
      <c r="Q7" s="1" t="s">
        <v>9</v>
      </c>
      <c r="Y7" s="1" t="s">
        <v>10</v>
      </c>
      <c r="AA7" s="1" t="s">
        <v>10</v>
      </c>
    </row>
    <row r="8">
      <c r="A8" s="1" t="s">
        <v>11</v>
      </c>
      <c r="B8" s="1"/>
      <c r="D8" s="1"/>
      <c r="E8" s="1" t="s">
        <v>9</v>
      </c>
      <c r="G8" s="1" t="s">
        <v>10</v>
      </c>
      <c r="K8" s="1" t="s">
        <v>10</v>
      </c>
      <c r="L8" s="1" t="s">
        <v>10</v>
      </c>
      <c r="P8" s="1" t="s">
        <v>10</v>
      </c>
      <c r="R8" s="1" t="s">
        <v>9</v>
      </c>
    </row>
    <row r="9">
      <c r="A9" s="1" t="s">
        <v>12</v>
      </c>
      <c r="C9" s="1" t="s">
        <v>10</v>
      </c>
      <c r="D9" s="1"/>
      <c r="E9" s="1"/>
      <c r="F9" s="1" t="s">
        <v>9</v>
      </c>
      <c r="G9" s="1" t="s">
        <v>10</v>
      </c>
      <c r="K9" s="1" t="s">
        <v>10</v>
      </c>
      <c r="O9" s="1" t="s">
        <v>10</v>
      </c>
      <c r="P9" s="1" t="s">
        <v>10</v>
      </c>
      <c r="S9" s="1" t="s">
        <v>9</v>
      </c>
      <c r="V9" s="1" t="s">
        <v>10</v>
      </c>
      <c r="AA9" s="1" t="s">
        <v>10</v>
      </c>
    </row>
    <row r="10">
      <c r="A10" s="1" t="s">
        <v>10</v>
      </c>
      <c r="B10" s="1" t="s">
        <v>10</v>
      </c>
      <c r="C10" s="1"/>
      <c r="F10" s="1" t="s">
        <v>10</v>
      </c>
      <c r="I10" s="1" t="s">
        <v>10</v>
      </c>
      <c r="K10" s="1" t="s">
        <v>9</v>
      </c>
      <c r="N10" s="1" t="s">
        <v>9</v>
      </c>
      <c r="Q10" s="1" t="s">
        <v>8</v>
      </c>
      <c r="V10" s="1" t="s">
        <v>10</v>
      </c>
      <c r="AA10" s="1" t="s">
        <v>10</v>
      </c>
    </row>
    <row r="11">
      <c r="A11" s="1" t="s">
        <v>13</v>
      </c>
      <c r="B11" s="1"/>
      <c r="C11" s="1"/>
      <c r="E11" s="1" t="s">
        <v>10</v>
      </c>
      <c r="F11" s="1" t="s">
        <v>10</v>
      </c>
      <c r="T11" s="1" t="s">
        <v>9</v>
      </c>
    </row>
    <row r="12">
      <c r="A12" s="1" t="s">
        <v>8</v>
      </c>
      <c r="B12" s="1"/>
      <c r="C12" s="1"/>
      <c r="D12" s="1"/>
      <c r="G12" s="1" t="s">
        <v>10</v>
      </c>
      <c r="K12" s="1" t="s">
        <v>9</v>
      </c>
    </row>
    <row r="13">
      <c r="A13" s="1" t="s">
        <v>11</v>
      </c>
      <c r="R13" s="1" t="s">
        <v>9</v>
      </c>
      <c r="Y13" s="1" t="s">
        <v>10</v>
      </c>
      <c r="AA13" s="1" t="s">
        <v>9</v>
      </c>
    </row>
    <row r="14">
      <c r="A14" s="1" t="s">
        <v>12</v>
      </c>
      <c r="B14" s="1"/>
      <c r="C14" s="1" t="s">
        <v>10</v>
      </c>
      <c r="F14" s="1" t="s">
        <v>10</v>
      </c>
      <c r="H14" s="1" t="s">
        <v>10</v>
      </c>
      <c r="K14" s="1" t="s">
        <v>9</v>
      </c>
      <c r="L14" s="1" t="s">
        <v>10</v>
      </c>
      <c r="P14" s="1" t="s">
        <v>9</v>
      </c>
      <c r="S14" s="1" t="s">
        <v>9</v>
      </c>
      <c r="V14" s="1" t="s">
        <v>10</v>
      </c>
      <c r="AA14" s="1" t="s">
        <v>10</v>
      </c>
    </row>
    <row r="15">
      <c r="A15" s="1" t="s">
        <v>10</v>
      </c>
      <c r="B15" s="1" t="s">
        <v>9</v>
      </c>
      <c r="C15" s="1"/>
      <c r="I15" s="1" t="s">
        <v>10</v>
      </c>
      <c r="K15" s="1" t="s">
        <v>9</v>
      </c>
      <c r="Q15" s="1" t="s">
        <v>10</v>
      </c>
      <c r="U15" s="1" t="s">
        <v>9</v>
      </c>
    </row>
    <row r="16">
      <c r="A16" s="1" t="s">
        <v>13</v>
      </c>
      <c r="B16" s="1"/>
      <c r="D16" s="1" t="s">
        <v>10</v>
      </c>
      <c r="F16" s="1" t="s">
        <v>9</v>
      </c>
      <c r="I16" s="1" t="s">
        <v>9</v>
      </c>
      <c r="T16" s="1" t="s">
        <v>10</v>
      </c>
      <c r="X16" s="1" t="s">
        <v>8</v>
      </c>
    </row>
    <row r="17">
      <c r="A17" s="1" t="s">
        <v>8</v>
      </c>
      <c r="B17" s="1" t="s">
        <v>10</v>
      </c>
      <c r="D17" s="1"/>
      <c r="E17" s="1"/>
      <c r="F17" s="1" t="s">
        <v>10</v>
      </c>
      <c r="J17" s="1" t="s">
        <v>9</v>
      </c>
      <c r="V17" s="1" t="s">
        <v>9</v>
      </c>
    </row>
    <row r="18">
      <c r="A18" s="1" t="s">
        <v>11</v>
      </c>
      <c r="B18" s="1"/>
      <c r="C18" s="1"/>
      <c r="E18" s="1" t="s">
        <v>10</v>
      </c>
      <c r="F18" s="1" t="s">
        <v>10</v>
      </c>
      <c r="G18" s="1" t="s">
        <v>10</v>
      </c>
      <c r="K18" s="1" t="s">
        <v>10</v>
      </c>
      <c r="L18" s="1" t="s">
        <v>10</v>
      </c>
      <c r="P18" s="1" t="s">
        <v>10</v>
      </c>
      <c r="R18" s="1" t="s">
        <v>10</v>
      </c>
      <c r="U18" s="1" t="s">
        <v>10</v>
      </c>
      <c r="Y18" s="1" t="s">
        <v>10</v>
      </c>
      <c r="AA18" s="1" t="s">
        <v>10</v>
      </c>
    </row>
    <row r="19">
      <c r="A19" s="1" t="s">
        <v>12</v>
      </c>
      <c r="C19" s="1" t="s">
        <v>10</v>
      </c>
      <c r="D19" s="1"/>
      <c r="F19" s="1" t="s">
        <v>9</v>
      </c>
      <c r="H19" s="1" t="s">
        <v>10</v>
      </c>
      <c r="K19" s="1" t="s">
        <v>9</v>
      </c>
      <c r="O19" s="1" t="s">
        <v>9</v>
      </c>
      <c r="S19" s="1" t="s">
        <v>9</v>
      </c>
      <c r="W19" s="1" t="s">
        <v>10</v>
      </c>
      <c r="AA19" s="1" t="s">
        <v>9</v>
      </c>
    </row>
    <row r="20">
      <c r="A20" s="1" t="s">
        <v>10</v>
      </c>
      <c r="B20" s="1"/>
      <c r="D20" s="1"/>
      <c r="E20" s="1" t="s">
        <v>9</v>
      </c>
      <c r="I20" s="1" t="s">
        <v>10</v>
      </c>
      <c r="K20" s="1" t="s">
        <v>10</v>
      </c>
      <c r="M20" s="1" t="s">
        <v>10</v>
      </c>
      <c r="P20" s="1" t="s">
        <v>10</v>
      </c>
      <c r="Z20" s="1" t="s">
        <v>8</v>
      </c>
    </row>
    <row r="21">
      <c r="A21" s="1" t="s">
        <v>13</v>
      </c>
      <c r="B21" s="1"/>
      <c r="C21" s="1"/>
      <c r="D21" s="1" t="s">
        <v>10</v>
      </c>
      <c r="F21" s="1" t="s">
        <v>9</v>
      </c>
      <c r="I21" s="1" t="s">
        <v>9</v>
      </c>
      <c r="N21" s="1" t="s">
        <v>10</v>
      </c>
      <c r="P21" s="1" t="s">
        <v>10</v>
      </c>
      <c r="T21" s="1" t="s">
        <v>9</v>
      </c>
    </row>
    <row r="23">
      <c r="A23" s="1"/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F24" si="1">COUNTIF($A1:AA1,"*"&amp;B23&amp;"*")</f>
        <v>5</v>
      </c>
      <c r="C24" s="2">
        <f t="shared" si="1"/>
        <v>5</v>
      </c>
      <c r="D24" s="2">
        <f t="shared" si="1"/>
        <v>5</v>
      </c>
      <c r="E24" s="2">
        <f t="shared" si="1"/>
        <v>5</v>
      </c>
      <c r="F24" s="2">
        <f t="shared" si="1"/>
        <v>1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"),8.0)</f>
        <v>8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"),12.0)</f>
        <v>12</v>
      </c>
      <c r="F26" s="2">
        <f>IFERROR(__xludf.DUMMYFUNCTION("4*SUMPRODUCT(
  ($B$2:$AA$21 = ""C"") *
  ($A$2:$A$21 = $A26) *
  (REGEXMATCH($B$1:$AA$1, ""(?i)"" &amp; F$23))
)-4*SUMPRODUCT(
  ($B$2:$AA$21 = ""P"") *
  ($A$2:$A$21 = $A26) *
  (REGEXMATCH($B$1:$AA$1, ""(?i)"" &amp; F$23))
)
"),4.0)</f>
        <v>4</v>
      </c>
      <c r="H26" s="2">
        <f>IFERROR(__xludf.DUMMYFUNCTION("SUMPRODUCT(
  ($B$2:$AA$21 = ""C"") *
  ($A$2:$A$21 = $A26)*NOT(REGEXMATCH($B$1:$AA$1, ""(?i)bonus"")
)
)"),7.0)</f>
        <v>7</v>
      </c>
      <c r="I26" s="2">
        <f>IFERROR(__xludf.DUMMYFUNCTION("10*SUMPRODUCT(
  ($B$2:$AA$21 = ""C"") *
  ($A$2:$A$21 = $A26) *
  (REGEXMATCH($B$1:$AA$1, ""(?i) BONUS""))
)
"),30.0)</f>
        <v>30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"),36.0)</f>
        <v>36</v>
      </c>
      <c r="F27" s="2">
        <f>IFERROR(__xludf.DUMMYFUNCTION("4*SUMPRODUCT(
  ($B$2:$AA$21 = ""C"") *
  ($A$2:$A$21 = $A27) *
  (REGEXMATCH($B$1:$AA$1, ""(?i)"" &amp; F$23))
)-4*SUMPRODUCT(
  ($B$2:$AA$21 = ""P"") *
  ($A$2:$A$21 = $A27) *
  (REGEXMATCH($B$1:$AA$1, ""(?i)"" &amp; F$23))
)
"),-4.0)</f>
        <v>-4</v>
      </c>
      <c r="H27" s="2">
        <f>IFERROR(__xludf.DUMMYFUNCTION("SUMPRODUCT(
  ($B$2:$AA$21 = ""C"") *
  ($A$2:$A$21 = $A27)*NOT(REGEXMATCH($B$1:$AA$1, ""(?i)bonus"")
)
)"),9.0)</f>
        <v>9</v>
      </c>
      <c r="I27" s="2">
        <f>IFERROR(__xludf.DUMMYFUNCTION("10*SUMPRODUCT(
  ($B$2:$AA$21 = ""C"") *
  ($A$2:$A$21 = $A27) *
  (REGEXMATCH($B$1:$AA$1, ""(?i) BONUS""))
)
"),70.0)</f>
        <v>70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"),0.0)</f>
        <v>0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"),36.0)</f>
        <v>36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"),8.0)</f>
        <v>8</v>
      </c>
      <c r="F28" s="2">
        <f>IFERROR(__xludf.DUMMYFUNCTION("4*SUMPRODUCT(
  ($B$2:$AA$21 = ""C"") *
  ($A$2:$A$21 = $A28) *
  (REGEXMATCH($B$1:$AA$1, ""(?i)"" &amp; F$23))
)-4*SUMPRODUCT(
  ($B$2:$AA$21 = ""P"") *
  ($A$2:$A$21 = $A28) *
  (REGEXMATCH($B$1:$AA$1, ""(?i)"" &amp; F$23))
)
"),8.0)</f>
        <v>8</v>
      </c>
      <c r="H28" s="2">
        <f>IFERROR(__xludf.DUMMYFUNCTION("SUMPRODUCT(
  ($B$2:$AA$21 = ""C"") *
  ($A$2:$A$21 = $A28)*NOT(REGEXMATCH($B$1:$AA$1, ""(?i)bonus"")
)
)"),13.0)</f>
        <v>13</v>
      </c>
      <c r="I28" s="2">
        <f>IFERROR(__xludf.DUMMYFUNCTION("10*SUMPRODUCT(
  ($B$2:$AA$21 = ""C"") *
  ($A$2:$A$21 = $A28) *
  (REGEXMATCH($B$1:$AA$1, ""(?i) BONUS""))
)
"),70.0)</f>
        <v>70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"),8.0)</f>
        <v>8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"),12.0)</f>
        <v>12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"),4.0)</f>
        <v>4</v>
      </c>
      <c r="F29" s="2">
        <f>IFERROR(__xludf.DUMMYFUNCTION("4*SUMPRODUCT(
  ($B$2:$AA$21 = ""C"") *
  ($A$2:$A$21 = $A29) *
  (REGEXMATCH($B$1:$AA$1, ""(?i)"" &amp; F$23))
)-4*SUMPRODUCT(
  ($B$2:$AA$21 = ""P"") *
  ($A$2:$A$21 = $A29) *
  (REGEXMATCH($B$1:$AA$1, ""(?i)"" &amp; F$23))
)
"),0.0)</f>
        <v>0</v>
      </c>
      <c r="H29" s="2">
        <f>IFERROR(__xludf.DUMMYFUNCTION("SUMPRODUCT(
  ($B$2:$AA$21 = ""C"") *
  ($A$2:$A$21 = $A29)*NOT(REGEXMATCH($B$1:$AA$1, ""(?i)bonus"")
)
)"),9.0)</f>
        <v>9</v>
      </c>
      <c r="I29" s="2">
        <f>IFERROR(__xludf.DUMMYFUNCTION("10*SUMPRODUCT(
  ($B$2:$AA$21 = ""C"") *
  ($A$2:$A$21 = $A29) *
  (REGEXMATCH($B$1:$AA$1, ""(?i) BONUS""))
)
"),40.0)</f>
        <v>40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"),28.0)</f>
        <v>28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F30" s="2">
        <f>IFERROR(__xludf.DUMMYFUNCTION("4*SUMPRODUCT(
  ($B$2:$AA$21 = ""C"") *
  ($A$2:$A$21 = $A30) *
  (REGEXMATCH($B$1:$AA$1, ""(?i)"" &amp; F$23))
)-4*SUMPRODUCT(
  ($B$2:$AA$21 = ""P"") *
  ($A$2:$A$21 = $A30) *
  (REGEXMATCH($B$1:$AA$1, ""(?i)"" &amp; F$23))
)
"),0.0)</f>
        <v>0</v>
      </c>
      <c r="H30" s="2">
        <f>IFERROR(__xludf.DUMMYFUNCTION("SUMPRODUCT(
  ($B$2:$AA$21 = ""C"") *
  ($A$2:$A$21 = $A30)*NOT(REGEXMATCH($B$1:$AA$1, ""(?i)bonus"")
)
)"),9.0)</f>
        <v>9</v>
      </c>
      <c r="I30" s="2">
        <f>IFERROR(__xludf.DUMMYFUNCTION("10*SUMPRODUCT(
  ($B$2:$AA$21 = ""C"") *
  ($A$2:$A$21 = $A30) *
  (REGEXMATCH($B$1:$AA$1, ""(?i) BONUS""))
)
"),20.0)</f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35</v>
      </c>
      <c r="C1" s="1" t="s">
        <v>158</v>
      </c>
      <c r="D1" s="1" t="s">
        <v>35</v>
      </c>
      <c r="E1" s="1" t="s">
        <v>159</v>
      </c>
      <c r="F1" s="1" t="s">
        <v>35</v>
      </c>
      <c r="G1" s="1" t="s">
        <v>160</v>
      </c>
      <c r="H1" s="1" t="s">
        <v>35</v>
      </c>
      <c r="I1" s="1" t="s">
        <v>161</v>
      </c>
      <c r="J1" s="1" t="s">
        <v>160</v>
      </c>
      <c r="K1" s="1" t="s">
        <v>35</v>
      </c>
      <c r="L1" s="1" t="s">
        <v>162</v>
      </c>
      <c r="M1" s="1" t="s">
        <v>161</v>
      </c>
      <c r="N1" s="1" t="s">
        <v>63</v>
      </c>
      <c r="O1" s="1" t="s">
        <v>158</v>
      </c>
    </row>
    <row r="2">
      <c r="A2" s="1" t="s">
        <v>8</v>
      </c>
      <c r="B2" s="1" t="s">
        <v>9</v>
      </c>
      <c r="D2" s="1" t="s">
        <v>10</v>
      </c>
      <c r="E2" s="1" t="s">
        <v>10</v>
      </c>
      <c r="F2" s="1" t="s">
        <v>9</v>
      </c>
      <c r="H2" s="1" t="s">
        <v>10</v>
      </c>
      <c r="J2" s="1" t="s">
        <v>10</v>
      </c>
      <c r="K2" s="1" t="s">
        <v>10</v>
      </c>
      <c r="O2" s="1" t="s">
        <v>9</v>
      </c>
    </row>
    <row r="3">
      <c r="A3" s="1" t="s">
        <v>11</v>
      </c>
      <c r="D3" s="1" t="s">
        <v>9</v>
      </c>
      <c r="H3" s="1" t="s">
        <v>10</v>
      </c>
      <c r="J3" s="1" t="s">
        <v>10</v>
      </c>
      <c r="L3" s="1" t="s">
        <v>10</v>
      </c>
      <c r="O3" s="1" t="s">
        <v>10</v>
      </c>
    </row>
    <row r="4">
      <c r="A4" s="1" t="s">
        <v>12</v>
      </c>
      <c r="B4" s="1" t="s">
        <v>9</v>
      </c>
      <c r="D4" s="1" t="s">
        <v>10</v>
      </c>
      <c r="E4" s="1" t="s">
        <v>9</v>
      </c>
      <c r="F4" s="1" t="s">
        <v>10</v>
      </c>
      <c r="G4" s="1" t="s">
        <v>9</v>
      </c>
      <c r="H4" s="1" t="s">
        <v>9</v>
      </c>
      <c r="K4" s="1" t="s">
        <v>10</v>
      </c>
      <c r="O4" s="1" t="s">
        <v>9</v>
      </c>
    </row>
    <row r="5">
      <c r="A5" s="1" t="s">
        <v>10</v>
      </c>
      <c r="B5" s="1" t="s">
        <v>10</v>
      </c>
      <c r="C5" s="1" t="s">
        <v>9</v>
      </c>
      <c r="D5" s="1" t="s">
        <v>10</v>
      </c>
      <c r="E5" s="1" t="s">
        <v>9</v>
      </c>
      <c r="F5" s="1" t="s">
        <v>10</v>
      </c>
      <c r="G5" s="1" t="s">
        <v>9</v>
      </c>
      <c r="H5" s="1" t="s">
        <v>8</v>
      </c>
      <c r="K5" s="1" t="s">
        <v>10</v>
      </c>
      <c r="O5" s="1" t="s">
        <v>10</v>
      </c>
    </row>
    <row r="6">
      <c r="A6" s="1" t="s">
        <v>13</v>
      </c>
      <c r="B6" s="1" t="s">
        <v>10</v>
      </c>
      <c r="C6" s="1" t="s">
        <v>9</v>
      </c>
      <c r="D6" s="1" t="s">
        <v>9</v>
      </c>
      <c r="F6" s="1" t="s">
        <v>10</v>
      </c>
      <c r="G6" s="1" t="s">
        <v>9</v>
      </c>
      <c r="I6" s="1" t="s">
        <v>8</v>
      </c>
      <c r="M6" s="1" t="s">
        <v>9</v>
      </c>
    </row>
    <row r="7">
      <c r="A7" s="1" t="s">
        <v>8</v>
      </c>
      <c r="B7" s="1" t="s">
        <v>9</v>
      </c>
      <c r="D7" s="1" t="s">
        <v>10</v>
      </c>
      <c r="E7" s="1" t="s">
        <v>9</v>
      </c>
      <c r="F7" s="1" t="s">
        <v>8</v>
      </c>
      <c r="H7" s="1" t="s">
        <v>9</v>
      </c>
      <c r="K7" s="1" t="s">
        <v>10</v>
      </c>
      <c r="O7" s="1" t="s">
        <v>9</v>
      </c>
    </row>
    <row r="8">
      <c r="A8" s="1" t="s">
        <v>11</v>
      </c>
      <c r="B8" s="1" t="s">
        <v>9</v>
      </c>
      <c r="D8" s="1" t="s">
        <v>9</v>
      </c>
      <c r="L8" s="1" t="s">
        <v>9</v>
      </c>
    </row>
    <row r="9">
      <c r="A9" s="1" t="s">
        <v>12</v>
      </c>
      <c r="B9" s="1" t="s">
        <v>10</v>
      </c>
      <c r="C9" s="1" t="s">
        <v>9</v>
      </c>
    </row>
    <row r="10">
      <c r="A10" s="1" t="s">
        <v>10</v>
      </c>
      <c r="B10" s="1" t="s">
        <v>10</v>
      </c>
      <c r="C10" s="1" t="s">
        <v>10</v>
      </c>
      <c r="D10" s="1" t="s">
        <v>10</v>
      </c>
      <c r="E10" s="1" t="s">
        <v>9</v>
      </c>
      <c r="F10" s="1" t="s">
        <v>10</v>
      </c>
      <c r="G10" s="1" t="s">
        <v>10</v>
      </c>
      <c r="H10" s="1" t="s">
        <v>9</v>
      </c>
      <c r="K10" s="1" t="s">
        <v>10</v>
      </c>
      <c r="O10" s="1" t="s">
        <v>9</v>
      </c>
    </row>
    <row r="11">
      <c r="A11" s="1" t="s">
        <v>13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I11" s="1" t="s">
        <v>10</v>
      </c>
      <c r="J11" s="1" t="s">
        <v>9</v>
      </c>
      <c r="M11" s="1" t="s">
        <v>10</v>
      </c>
      <c r="O11" s="1" t="s">
        <v>9</v>
      </c>
    </row>
    <row r="12">
      <c r="A12" s="1" t="s">
        <v>8</v>
      </c>
      <c r="B12" s="1" t="s">
        <v>8</v>
      </c>
      <c r="D12" s="1" t="s">
        <v>10</v>
      </c>
      <c r="E12" s="1" t="s">
        <v>10</v>
      </c>
      <c r="F12" s="1" t="s">
        <v>9</v>
      </c>
      <c r="H12" s="1" t="s">
        <v>10</v>
      </c>
      <c r="J12" s="1" t="s">
        <v>9</v>
      </c>
      <c r="M12" s="1" t="s">
        <v>9</v>
      </c>
    </row>
    <row r="13">
      <c r="A13" s="1" t="s">
        <v>11</v>
      </c>
      <c r="B13" s="1" t="s">
        <v>10</v>
      </c>
      <c r="C13" s="1" t="s">
        <v>9</v>
      </c>
    </row>
    <row r="14">
      <c r="A14" s="1" t="s">
        <v>12</v>
      </c>
      <c r="B14" s="1" t="s">
        <v>10</v>
      </c>
      <c r="C14" s="1" t="s">
        <v>9</v>
      </c>
      <c r="D14" s="1" t="s">
        <v>10</v>
      </c>
      <c r="E14" s="1" t="s">
        <v>9</v>
      </c>
      <c r="F14" s="1" t="s">
        <v>8</v>
      </c>
      <c r="K14" s="1" t="s">
        <v>9</v>
      </c>
    </row>
    <row r="15">
      <c r="A15" s="1" t="s">
        <v>10</v>
      </c>
      <c r="B15" s="1" t="s">
        <v>10</v>
      </c>
      <c r="C15" s="1" t="s">
        <v>9</v>
      </c>
      <c r="D15" s="1" t="s">
        <v>10</v>
      </c>
      <c r="E15" s="1" t="s">
        <v>10</v>
      </c>
      <c r="F15" s="1" t="s">
        <v>10</v>
      </c>
      <c r="G15" s="1" t="s">
        <v>9</v>
      </c>
      <c r="H15" s="1" t="s">
        <v>10</v>
      </c>
      <c r="J15" s="1" t="s">
        <v>10</v>
      </c>
      <c r="K15" s="1" t="s">
        <v>9</v>
      </c>
    </row>
    <row r="16">
      <c r="A16" s="1" t="s">
        <v>13</v>
      </c>
      <c r="B16" s="1" t="s">
        <v>10</v>
      </c>
      <c r="C16" s="1" t="s">
        <v>9</v>
      </c>
      <c r="D16" s="1" t="s">
        <v>9</v>
      </c>
      <c r="F16" s="1" t="s">
        <v>9</v>
      </c>
      <c r="I16" s="1" t="s">
        <v>10</v>
      </c>
      <c r="J16" s="1" t="s">
        <v>10</v>
      </c>
      <c r="K16" s="1" t="s">
        <v>10</v>
      </c>
      <c r="O16" s="1" t="s">
        <v>9</v>
      </c>
    </row>
    <row r="17">
      <c r="A17" s="1" t="s">
        <v>8</v>
      </c>
      <c r="B17" s="1" t="s">
        <v>10</v>
      </c>
      <c r="C17" s="1" t="s">
        <v>9</v>
      </c>
      <c r="F17" s="1" t="s">
        <v>10</v>
      </c>
      <c r="G17" s="1" t="s">
        <v>10</v>
      </c>
      <c r="H17" s="1" t="s">
        <v>10</v>
      </c>
      <c r="J17" s="1" t="s">
        <v>9</v>
      </c>
      <c r="K17" s="1" t="s">
        <v>9</v>
      </c>
    </row>
    <row r="18">
      <c r="A18" s="1" t="s">
        <v>11</v>
      </c>
      <c r="B18" s="1" t="s">
        <v>9</v>
      </c>
      <c r="D18" s="1" t="s">
        <v>10</v>
      </c>
      <c r="E18" s="1" t="s">
        <v>10</v>
      </c>
    </row>
    <row r="19">
      <c r="A19" s="1" t="s">
        <v>12</v>
      </c>
      <c r="B19" s="1" t="s">
        <v>10</v>
      </c>
      <c r="C19" s="1" t="s">
        <v>9</v>
      </c>
      <c r="F19" s="1" t="s">
        <v>10</v>
      </c>
      <c r="G19" s="1" t="s">
        <v>9</v>
      </c>
      <c r="H19" s="1" t="s">
        <v>9</v>
      </c>
      <c r="N19" s="1" t="s">
        <v>10</v>
      </c>
      <c r="O19" s="1" t="s">
        <v>10</v>
      </c>
    </row>
    <row r="20">
      <c r="A20" s="1" t="s">
        <v>10</v>
      </c>
      <c r="B20" s="1" t="s">
        <v>10</v>
      </c>
      <c r="C20" s="1" t="s">
        <v>9</v>
      </c>
      <c r="D20" s="1" t="s">
        <v>9</v>
      </c>
      <c r="F20" s="1" t="s">
        <v>9</v>
      </c>
      <c r="K20" s="1" t="s">
        <v>10</v>
      </c>
      <c r="O20" s="1" t="s">
        <v>9</v>
      </c>
    </row>
    <row r="21">
      <c r="A21" s="1" t="s">
        <v>13</v>
      </c>
      <c r="B21" s="1" t="s">
        <v>9</v>
      </c>
      <c r="D21" s="1" t="s">
        <v>10</v>
      </c>
      <c r="E21" s="1" t="s">
        <v>10</v>
      </c>
      <c r="F21" s="1" t="s">
        <v>10</v>
      </c>
      <c r="G21" s="1" t="s">
        <v>10</v>
      </c>
      <c r="I21" s="1" t="s">
        <v>8</v>
      </c>
      <c r="K21" s="1" t="s">
        <v>8</v>
      </c>
    </row>
    <row r="23">
      <c r="A23" s="1"/>
      <c r="B23" s="1" t="s">
        <v>163</v>
      </c>
      <c r="C23" s="1" t="s">
        <v>164</v>
      </c>
      <c r="D23" s="1" t="s">
        <v>165</v>
      </c>
      <c r="E23" s="1" t="s">
        <v>166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5</v>
      </c>
      <c r="C24" s="2">
        <f t="shared" si="1"/>
        <v>2</v>
      </c>
      <c r="D24" s="2">
        <f t="shared" si="1"/>
        <v>1</v>
      </c>
      <c r="E24" s="2">
        <f t="shared" si="1"/>
        <v>1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"),32.0)</f>
        <v>32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H26" s="2">
        <f>IFERROR(__xludf.DUMMYFUNCTION("SUMPRODUCT(
  ($B$2:$AA$21 = ""C"") *
  ($A$2:$A$21 = $A26)*NOT(REGEXMATCH($B$1:$AA$1, ""(?i)bonus"")
)
)"),10.0)</f>
        <v>10</v>
      </c>
      <c r="I26" s="2">
        <f>IFERROR(__xludf.DUMMYFUNCTION("10*SUMPRODUCT(
  ($B$2:$AA$21 = ""C"") *
  ($A$2:$A$21 = $A26) *
  (REGEXMATCH($B$1:$AA$1, ""(?i) BONUS""))
)
"),40.0)</f>
        <v>40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"),12.0)</f>
        <v>12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"),4.0)</f>
        <v>4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)"),4.0)</f>
        <v>4</v>
      </c>
      <c r="I27" s="2">
        <f>IFERROR(__xludf.DUMMYFUNCTION("10*SUMPRODUCT(
  ($B$2:$AA$21 = ""C"") *
  ($A$2:$A$21 = $A27) *
  (REGEXMATCH($B$1:$AA$1, ""(?i) BONUS""))
)
"),30.0)</f>
        <v>30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"),28.0)</f>
        <v>28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"),4.0)</f>
        <v>4</v>
      </c>
      <c r="H28" s="2">
        <f>IFERROR(__xludf.DUMMYFUNCTION("SUMPRODUCT(
  ($B$2:$AA$21 = ""C"") *
  ($A$2:$A$21 = $A28)*NOT(REGEXMATCH($B$1:$AA$1, ""(?i)bonus"")
)
)"),9.0)</f>
        <v>9</v>
      </c>
      <c r="I28" s="2">
        <f>IFERROR(__xludf.DUMMYFUNCTION("10*SUMPRODUCT(
  ($B$2:$AA$21 = ""C"") *
  ($A$2:$A$21 = $A28) *
  (REGEXMATCH($B$1:$AA$1, ""(?i) BONUS""))
)
"),10.0)</f>
        <v>10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"),52.0)</f>
        <v>52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)"),14.0)</f>
        <v>14</v>
      </c>
      <c r="I29" s="2">
        <f>IFERROR(__xludf.DUMMYFUNCTION("10*SUMPRODUCT(
  ($B$2:$AA$21 = ""C"") *
  ($A$2:$A$21 = $A29) *
  (REGEXMATCH($B$1:$AA$1, ""(?i) BONUS""))
)
"),50.0)</f>
        <v>50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"),32.0)</f>
        <v>32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"),4.0)</f>
        <v>4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H30" s="2">
        <f>IFERROR(__xludf.DUMMYFUNCTION("SUMPRODUCT(
  ($B$2:$AA$21 = ""C"") *
  ($A$2:$A$21 = $A30)*NOT(REGEXMATCH($B$1:$AA$1, ""(?i)bonus"")
)
)"),12.0)</f>
        <v>12</v>
      </c>
      <c r="I30" s="2">
        <f>IFERROR(__xludf.DUMMYFUNCTION("10*SUMPRODUCT(
  ($B$2:$AA$21 = ""C"") *
  ($A$2:$A$21 = $A30) *
  (REGEXMATCH($B$1:$AA$1, ""(?i) BONUS""))
)
"),60.0)</f>
        <v>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170</v>
      </c>
      <c r="H1" s="1" t="s">
        <v>168</v>
      </c>
      <c r="I1" s="1" t="s">
        <v>167</v>
      </c>
      <c r="J1" s="1" t="s">
        <v>169</v>
      </c>
      <c r="K1" s="1" t="s">
        <v>171</v>
      </c>
      <c r="L1" s="1" t="s">
        <v>170</v>
      </c>
      <c r="M1" s="1" t="s">
        <v>172</v>
      </c>
      <c r="N1" s="1" t="s">
        <v>167</v>
      </c>
      <c r="O1" s="1" t="s">
        <v>169</v>
      </c>
      <c r="P1" s="1" t="s">
        <v>173</v>
      </c>
      <c r="Q1" s="1" t="s">
        <v>168</v>
      </c>
      <c r="R1" s="1" t="s">
        <v>167</v>
      </c>
      <c r="S1" s="1" t="s">
        <v>169</v>
      </c>
      <c r="T1" s="1" t="s">
        <v>170</v>
      </c>
      <c r="U1" s="1" t="s">
        <v>174</v>
      </c>
      <c r="V1" s="1" t="s">
        <v>167</v>
      </c>
      <c r="W1" s="1" t="s">
        <v>168</v>
      </c>
      <c r="X1" s="1" t="s">
        <v>170</v>
      </c>
      <c r="Y1" s="1" t="s">
        <v>169</v>
      </c>
      <c r="Z1" s="1" t="s">
        <v>175</v>
      </c>
    </row>
    <row r="2">
      <c r="A2" s="1" t="s">
        <v>8</v>
      </c>
      <c r="B2" s="1" t="s">
        <v>10</v>
      </c>
      <c r="F2" s="1" t="s">
        <v>9</v>
      </c>
      <c r="G2" s="1" t="s">
        <v>10</v>
      </c>
      <c r="K2" s="1" t="s">
        <v>9</v>
      </c>
      <c r="L2" s="1" t="s">
        <v>9</v>
      </c>
      <c r="Q2" s="1" t="s">
        <v>9</v>
      </c>
      <c r="V2" s="1" t="s">
        <v>10</v>
      </c>
      <c r="Z2" s="1" t="s">
        <v>10</v>
      </c>
    </row>
    <row r="3">
      <c r="A3" s="1" t="s">
        <v>11</v>
      </c>
      <c r="C3" s="1" t="s">
        <v>10</v>
      </c>
      <c r="F3" s="1" t="s">
        <v>10</v>
      </c>
      <c r="H3" s="1" t="s">
        <v>10</v>
      </c>
      <c r="K3" s="1" t="s">
        <v>10</v>
      </c>
      <c r="M3" s="1" t="s">
        <v>10</v>
      </c>
      <c r="P3" s="1" t="s">
        <v>10</v>
      </c>
      <c r="Q3" s="1" t="s">
        <v>9</v>
      </c>
      <c r="W3" s="1" t="s">
        <v>9</v>
      </c>
    </row>
    <row r="4">
      <c r="A4" s="1" t="s">
        <v>12</v>
      </c>
      <c r="M4" s="1" t="s">
        <v>9</v>
      </c>
      <c r="R4" s="1" t="s">
        <v>9</v>
      </c>
      <c r="X4" s="1" t="s">
        <v>10</v>
      </c>
      <c r="Z4" s="1" t="s">
        <v>9</v>
      </c>
    </row>
    <row r="5">
      <c r="A5" s="1" t="s">
        <v>10</v>
      </c>
      <c r="N5" s="1" t="s">
        <v>9</v>
      </c>
      <c r="R5" s="1" t="s">
        <v>10</v>
      </c>
      <c r="U5" s="1" t="s">
        <v>9</v>
      </c>
      <c r="X5" s="1" t="s">
        <v>9</v>
      </c>
    </row>
    <row r="6">
      <c r="A6" s="1" t="s">
        <v>13</v>
      </c>
      <c r="D6" s="1" t="s">
        <v>9</v>
      </c>
      <c r="O6" s="1" t="s">
        <v>10</v>
      </c>
      <c r="P6" s="1" t="s">
        <v>9</v>
      </c>
      <c r="S6" s="1" t="s">
        <v>9</v>
      </c>
      <c r="Y6" s="1" t="s">
        <v>10</v>
      </c>
      <c r="Z6" s="1" t="s">
        <v>10</v>
      </c>
    </row>
    <row r="7">
      <c r="A7" s="1" t="s">
        <v>8</v>
      </c>
      <c r="E7" s="1" t="s">
        <v>10</v>
      </c>
      <c r="F7" s="1" t="s">
        <v>10</v>
      </c>
      <c r="G7" s="1" t="s">
        <v>9</v>
      </c>
      <c r="R7" s="1" t="s">
        <v>9</v>
      </c>
      <c r="W7" s="1" t="s">
        <v>9</v>
      </c>
    </row>
    <row r="8">
      <c r="A8" s="1" t="s">
        <v>11</v>
      </c>
      <c r="C8" s="1" t="s">
        <v>9</v>
      </c>
      <c r="H8" s="1" t="s">
        <v>10</v>
      </c>
      <c r="K8" s="1" t="s">
        <v>9</v>
      </c>
      <c r="M8" s="1" t="s">
        <v>10</v>
      </c>
      <c r="P8" s="1" t="s">
        <v>10</v>
      </c>
      <c r="Q8" s="1" t="s">
        <v>9</v>
      </c>
      <c r="X8" s="1" t="s">
        <v>10</v>
      </c>
      <c r="Z8" s="1" t="s">
        <v>10</v>
      </c>
    </row>
    <row r="9">
      <c r="A9" s="1" t="s">
        <v>12</v>
      </c>
      <c r="E9" s="1" t="s">
        <v>9</v>
      </c>
      <c r="H9" s="1" t="s">
        <v>10</v>
      </c>
      <c r="K9" s="1" t="s">
        <v>10</v>
      </c>
      <c r="N9" s="1" t="s">
        <v>9</v>
      </c>
      <c r="T9" s="1" t="s">
        <v>10</v>
      </c>
      <c r="U9" s="1" t="s">
        <v>10</v>
      </c>
      <c r="X9" s="1" t="s">
        <v>10</v>
      </c>
      <c r="Z9" s="1" t="s">
        <v>10</v>
      </c>
    </row>
    <row r="10">
      <c r="A10" s="1" t="s">
        <v>10</v>
      </c>
      <c r="B10" s="1" t="s">
        <v>10</v>
      </c>
      <c r="F10" s="1" t="s">
        <v>10</v>
      </c>
      <c r="N10" s="1" t="s">
        <v>10</v>
      </c>
      <c r="P10" s="1" t="s">
        <v>9</v>
      </c>
      <c r="R10" s="1" t="s">
        <v>9</v>
      </c>
      <c r="W10" s="1" t="s">
        <v>9</v>
      </c>
    </row>
    <row r="11">
      <c r="A11" s="1" t="s">
        <v>13</v>
      </c>
      <c r="B11" s="1" t="s">
        <v>10</v>
      </c>
      <c r="F11" s="1" t="s">
        <v>10</v>
      </c>
      <c r="S11" s="1" t="s">
        <v>9</v>
      </c>
      <c r="Y11" s="1" t="s">
        <v>9</v>
      </c>
    </row>
    <row r="12">
      <c r="A12" s="1" t="s">
        <v>8</v>
      </c>
      <c r="C12" s="1" t="s">
        <v>9</v>
      </c>
      <c r="I12" s="1" t="s">
        <v>9</v>
      </c>
      <c r="N12" s="1" t="s">
        <v>10</v>
      </c>
      <c r="P12" s="1" t="s">
        <v>9</v>
      </c>
      <c r="V12" s="1" t="s">
        <v>8</v>
      </c>
    </row>
    <row r="13">
      <c r="A13" s="1" t="s">
        <v>11</v>
      </c>
      <c r="H13" s="1" t="s">
        <v>10</v>
      </c>
      <c r="K13" s="1" t="s">
        <v>9</v>
      </c>
      <c r="N13" s="1" t="s">
        <v>8</v>
      </c>
      <c r="Q13" s="1" t="s">
        <v>9</v>
      </c>
      <c r="X13" s="1" t="s">
        <v>8</v>
      </c>
    </row>
    <row r="14">
      <c r="A14" s="1" t="s">
        <v>12</v>
      </c>
      <c r="H14" s="1" t="s">
        <v>10</v>
      </c>
      <c r="K14" s="1" t="s">
        <v>9</v>
      </c>
      <c r="M14" s="1" t="s">
        <v>9</v>
      </c>
      <c r="T14" s="1" t="s">
        <v>9</v>
      </c>
      <c r="W14" s="1" t="s">
        <v>9</v>
      </c>
    </row>
    <row r="15">
      <c r="A15" s="1" t="s">
        <v>10</v>
      </c>
      <c r="B15" s="1" t="s">
        <v>10</v>
      </c>
      <c r="F15" s="1" t="s">
        <v>9</v>
      </c>
      <c r="I15" s="1" t="s">
        <v>9</v>
      </c>
      <c r="V15" s="1" t="s">
        <v>10</v>
      </c>
      <c r="Z15" s="1" t="s">
        <v>9</v>
      </c>
    </row>
    <row r="16">
      <c r="A16" s="1" t="s">
        <v>13</v>
      </c>
      <c r="D16" s="1" t="s">
        <v>10</v>
      </c>
      <c r="F16" s="1" t="s">
        <v>9</v>
      </c>
      <c r="J16" s="1" t="s">
        <v>9</v>
      </c>
      <c r="N16" s="1" t="s">
        <v>9</v>
      </c>
      <c r="Y16" s="1" t="s">
        <v>10</v>
      </c>
      <c r="Z16" s="1" t="s">
        <v>9</v>
      </c>
    </row>
    <row r="17">
      <c r="A17" s="1" t="s">
        <v>8</v>
      </c>
      <c r="E17" s="1" t="s">
        <v>10</v>
      </c>
      <c r="F17" s="1" t="s">
        <v>10</v>
      </c>
      <c r="N17" s="1" t="s">
        <v>9</v>
      </c>
      <c r="T17" s="1" t="s">
        <v>10</v>
      </c>
      <c r="U17" s="1" t="s">
        <v>9</v>
      </c>
      <c r="X17" s="1" t="s">
        <v>9</v>
      </c>
    </row>
    <row r="18">
      <c r="A18" s="1" t="s">
        <v>11</v>
      </c>
      <c r="C18" s="1" t="s">
        <v>10</v>
      </c>
      <c r="F18" s="1" t="s">
        <v>10</v>
      </c>
      <c r="H18" s="1" t="s">
        <v>10</v>
      </c>
      <c r="K18" s="1" t="s">
        <v>10</v>
      </c>
      <c r="M18" s="1" t="s">
        <v>10</v>
      </c>
      <c r="P18" s="1" t="s">
        <v>10</v>
      </c>
    </row>
    <row r="19">
      <c r="A19" s="1" t="s">
        <v>12</v>
      </c>
      <c r="C19" s="1" t="s">
        <v>10</v>
      </c>
      <c r="F19" s="1" t="s">
        <v>10</v>
      </c>
      <c r="L19" s="1" t="s">
        <v>9</v>
      </c>
      <c r="T19" s="1" t="s">
        <v>9</v>
      </c>
    </row>
    <row r="20">
      <c r="A20" s="1" t="s">
        <v>10</v>
      </c>
      <c r="B20" s="1" t="s">
        <v>9</v>
      </c>
      <c r="I20" s="1" t="s">
        <v>10</v>
      </c>
      <c r="K20" s="1" t="s">
        <v>10</v>
      </c>
      <c r="N20" s="1" t="s">
        <v>10</v>
      </c>
      <c r="P20" s="1" t="s">
        <v>10</v>
      </c>
      <c r="R20" s="1" t="s">
        <v>10</v>
      </c>
      <c r="U20" s="1" t="s">
        <v>10</v>
      </c>
      <c r="X20" s="1" t="s">
        <v>9</v>
      </c>
    </row>
    <row r="21">
      <c r="A21" s="1" t="s">
        <v>13</v>
      </c>
      <c r="D21" s="1" t="s">
        <v>10</v>
      </c>
      <c r="F21" s="1" t="s">
        <v>9</v>
      </c>
      <c r="L21" s="1" t="s">
        <v>10</v>
      </c>
      <c r="P21" s="1" t="s">
        <v>9</v>
      </c>
      <c r="Q21" s="1" t="s">
        <v>9</v>
      </c>
      <c r="Y21" s="1" t="s">
        <v>9</v>
      </c>
    </row>
    <row r="23">
      <c r="A23" s="1"/>
      <c r="B23" s="1" t="s">
        <v>176</v>
      </c>
      <c r="C23" s="1" t="s">
        <v>177</v>
      </c>
      <c r="D23" s="1" t="s">
        <v>178</v>
      </c>
      <c r="E23" s="1" t="s">
        <v>179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5</v>
      </c>
      <c r="C24" s="2">
        <f t="shared" si="1"/>
        <v>5</v>
      </c>
      <c r="D24" s="2">
        <f t="shared" si="1"/>
        <v>5</v>
      </c>
      <c r="E24" s="2">
        <f t="shared" si="1"/>
        <v>5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"),8.0)</f>
        <v>8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"),16.0)</f>
        <v>16</v>
      </c>
      <c r="H26" s="2">
        <f>IFERROR(__xludf.DUMMYFUNCTION("SUMPRODUCT(
  ($B$2:$AA$21 = ""C"") *
  ($A$2:$A$21 = $A26)*NOT(REGEXMATCH($B$1:$AA$1, ""(?i)bonus"")
)
)"),7.0)</f>
        <v>7</v>
      </c>
      <c r="I26" s="2">
        <f>IFERROR(__xludf.DUMMYFUNCTION("10*SUMPRODUCT(
  ($B$2:$AA$21 = ""C"") *
  ($A$2:$A$21 = $A26) *
  (REGEXMATCH($B$1:$AA$1, ""(?i) BONUS""))
)
"),30.0)</f>
        <v>30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"),-4.0)</f>
        <v>-4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"),36.0)</f>
        <v>36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)"),10.0)</f>
        <v>10</v>
      </c>
      <c r="I27" s="2">
        <f>IFERROR(__xludf.DUMMYFUNCTION("10*SUMPRODUCT(
  ($B$2:$AA$21 = ""C"") *
  ($A$2:$A$21 = $A27) *
  (REGEXMATCH($B$1:$AA$1, ""(?i) BONUS""))
)
"),80.0)</f>
        <v>80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"),0.0)</f>
        <v>0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"),12.0)</f>
        <v>12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"),12.0)</f>
        <v>12</v>
      </c>
      <c r="H28" s="2">
        <f>IFERROR(__xludf.DUMMYFUNCTION("SUMPRODUCT(
  ($B$2:$AA$21 = ""C"") *
  ($A$2:$A$21 = $A28)*NOT(REGEXMATCH($B$1:$AA$1, ""(?i)bonus"")
)
)"),6.0)</f>
        <v>6</v>
      </c>
      <c r="I28" s="2">
        <f>IFERROR(__xludf.DUMMYFUNCTION("10*SUMPRODUCT(
  ($B$2:$AA$21 = ""C"") *
  ($A$2:$A$21 = $A28) *
  (REGEXMATCH($B$1:$AA$1, ""(?i) BONUS""))
)
"),40.0)</f>
        <v>40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"),32.0)</f>
        <v>32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)"),8.0)</f>
        <v>8</v>
      </c>
      <c r="I29" s="2">
        <f>IFERROR(__xludf.DUMMYFUNCTION("10*SUMPRODUCT(
  ($B$2:$AA$21 = ""C"") *
  ($A$2:$A$21 = $A29) *
  (REGEXMATCH($B$1:$AA$1, ""(?i) BONUS""))
)
"),40.0)</f>
        <v>40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"),20.0)</f>
        <v>20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H30" s="2">
        <f>IFERROR(__xludf.DUMMYFUNCTION("SUMPRODUCT(
  ($B$2:$AA$21 = ""C"") *
  ($A$2:$A$21 = $A30)*NOT(REGEXMATCH($B$1:$AA$1, ""(?i)bonus"")
)
)"),7.0)</f>
        <v>7</v>
      </c>
      <c r="I30" s="2">
        <f>IFERROR(__xludf.DUMMYFUNCTION("10*SUMPRODUCT(
  ($B$2:$AA$21 = ""C"") *
  ($A$2:$A$21 = $A30) *
  (REGEXMATCH($B$1:$AA$1, ""(?i) BONUS""))
)
"),20.0)</f>
        <v>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180</v>
      </c>
      <c r="C1" s="1" t="s">
        <v>181</v>
      </c>
      <c r="D1" s="1" t="s">
        <v>180</v>
      </c>
      <c r="E1" s="1" t="s">
        <v>181</v>
      </c>
      <c r="F1" s="1" t="s">
        <v>180</v>
      </c>
      <c r="G1" s="1" t="s">
        <v>181</v>
      </c>
      <c r="H1" s="1" t="s">
        <v>180</v>
      </c>
      <c r="I1" s="1" t="s">
        <v>181</v>
      </c>
      <c r="J1" s="1" t="s">
        <v>180</v>
      </c>
      <c r="K1" s="1" t="s">
        <v>181</v>
      </c>
    </row>
    <row r="2">
      <c r="A2" s="1" t="s">
        <v>8</v>
      </c>
      <c r="H2" s="1" t="s">
        <v>10</v>
      </c>
      <c r="I2" s="1" t="s">
        <v>9</v>
      </c>
    </row>
    <row r="3">
      <c r="A3" s="1" t="s">
        <v>11</v>
      </c>
      <c r="B3" s="1" t="s">
        <v>9</v>
      </c>
      <c r="J3" s="1" t="s">
        <v>9</v>
      </c>
    </row>
    <row r="4">
      <c r="A4" s="1" t="s">
        <v>12</v>
      </c>
      <c r="H4" s="1" t="s">
        <v>9</v>
      </c>
    </row>
    <row r="5">
      <c r="A5" s="1" t="s">
        <v>10</v>
      </c>
      <c r="B5" s="1" t="s">
        <v>9</v>
      </c>
      <c r="F5" s="1" t="s">
        <v>10</v>
      </c>
      <c r="G5" s="1" t="s">
        <v>10</v>
      </c>
      <c r="J5" s="1" t="s">
        <v>10</v>
      </c>
      <c r="K5" s="1" t="s">
        <v>9</v>
      </c>
    </row>
    <row r="6">
      <c r="A6" s="1" t="s">
        <v>13</v>
      </c>
      <c r="B6" s="1" t="s">
        <v>9</v>
      </c>
      <c r="D6" s="1" t="s">
        <v>8</v>
      </c>
    </row>
    <row r="7">
      <c r="A7" s="1" t="s">
        <v>8</v>
      </c>
      <c r="D7" s="1" t="s">
        <v>10</v>
      </c>
      <c r="E7" s="1" t="s">
        <v>9</v>
      </c>
      <c r="F7" s="1" t="s">
        <v>9</v>
      </c>
      <c r="J7" s="1" t="s">
        <v>9</v>
      </c>
    </row>
    <row r="8">
      <c r="A8" s="1" t="s">
        <v>11</v>
      </c>
      <c r="B8" s="1" t="s">
        <v>9</v>
      </c>
      <c r="H8" s="1" t="s">
        <v>9</v>
      </c>
      <c r="J8" s="1" t="s">
        <v>9</v>
      </c>
    </row>
    <row r="9">
      <c r="A9" s="1" t="s">
        <v>12</v>
      </c>
      <c r="B9" s="1" t="s">
        <v>10</v>
      </c>
      <c r="C9" s="1" t="s">
        <v>9</v>
      </c>
      <c r="H9" s="1" t="s">
        <v>9</v>
      </c>
    </row>
    <row r="10">
      <c r="A10" s="1" t="s">
        <v>10</v>
      </c>
      <c r="F10" s="1" t="s">
        <v>9</v>
      </c>
      <c r="H10" s="1" t="s">
        <v>9</v>
      </c>
    </row>
    <row r="11">
      <c r="A11" s="1" t="s">
        <v>13</v>
      </c>
      <c r="D11" s="1" t="s">
        <v>9</v>
      </c>
      <c r="H11" s="1" t="s">
        <v>9</v>
      </c>
    </row>
    <row r="12">
      <c r="A12" s="1" t="s">
        <v>8</v>
      </c>
      <c r="B12" s="1" t="s">
        <v>8</v>
      </c>
      <c r="D12" s="1" t="s">
        <v>9</v>
      </c>
      <c r="F12" s="1" t="s">
        <v>9</v>
      </c>
      <c r="H12" s="1" t="s">
        <v>9</v>
      </c>
      <c r="J12" s="1" t="s">
        <v>8</v>
      </c>
    </row>
    <row r="13">
      <c r="A13" s="1" t="s">
        <v>11</v>
      </c>
      <c r="F13" s="1" t="s">
        <v>8</v>
      </c>
      <c r="H13" s="1" t="s">
        <v>9</v>
      </c>
      <c r="J13" s="1" t="s">
        <v>9</v>
      </c>
    </row>
    <row r="14">
      <c r="A14" s="1" t="s">
        <v>12</v>
      </c>
      <c r="D14" s="1" t="s">
        <v>9</v>
      </c>
      <c r="F14" s="1" t="s">
        <v>9</v>
      </c>
      <c r="H14" s="1" t="s">
        <v>9</v>
      </c>
      <c r="J14" s="1" t="s">
        <v>9</v>
      </c>
    </row>
    <row r="15">
      <c r="A15" s="1" t="s">
        <v>10</v>
      </c>
      <c r="F15" s="1" t="s">
        <v>9</v>
      </c>
      <c r="H15" s="1" t="s">
        <v>9</v>
      </c>
    </row>
    <row r="16">
      <c r="A16" s="1" t="s">
        <v>13</v>
      </c>
      <c r="B16" s="1" t="s">
        <v>9</v>
      </c>
      <c r="D16" s="1" t="s">
        <v>9</v>
      </c>
      <c r="F16" s="1" t="s">
        <v>9</v>
      </c>
      <c r="H16" s="1" t="s">
        <v>9</v>
      </c>
    </row>
    <row r="17">
      <c r="A17" s="1" t="s">
        <v>8</v>
      </c>
      <c r="B17" s="1" t="s">
        <v>10</v>
      </c>
      <c r="C17" s="1" t="s">
        <v>10</v>
      </c>
      <c r="H17" s="1" t="s">
        <v>9</v>
      </c>
    </row>
    <row r="18">
      <c r="A18" s="1" t="s">
        <v>11</v>
      </c>
      <c r="H18" s="1" t="s">
        <v>9</v>
      </c>
      <c r="J18" s="1" t="s">
        <v>10</v>
      </c>
      <c r="K18" s="1" t="s">
        <v>10</v>
      </c>
    </row>
    <row r="19">
      <c r="A19" s="1" t="s">
        <v>12</v>
      </c>
      <c r="B19" s="1" t="s">
        <v>10</v>
      </c>
      <c r="H19" s="1" t="s">
        <v>9</v>
      </c>
      <c r="J19" s="1" t="s">
        <v>10</v>
      </c>
      <c r="K19" s="1" t="s">
        <v>9</v>
      </c>
    </row>
    <row r="20">
      <c r="A20" s="1" t="s">
        <v>10</v>
      </c>
      <c r="B20" s="1" t="s">
        <v>9</v>
      </c>
      <c r="F20" s="1" t="s">
        <v>8</v>
      </c>
      <c r="J20" s="1" t="s">
        <v>9</v>
      </c>
    </row>
    <row r="21">
      <c r="A21" s="1" t="s">
        <v>13</v>
      </c>
      <c r="D21" s="1" t="s">
        <v>9</v>
      </c>
      <c r="F21" s="1" t="s">
        <v>9</v>
      </c>
      <c r="H21" s="1" t="s">
        <v>9</v>
      </c>
    </row>
    <row r="23">
      <c r="A23" s="1"/>
      <c r="B23" s="1" t="s">
        <v>182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>COUNTIF($A1:Z1,"*"&amp;B23&amp;"*")</f>
        <v>5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H26" s="2">
        <f>IFERROR(__xludf.DUMMYFUNCTION("SUMPRODUCT(
  ($B$2:$AA$21 = ""C"") *
  ($A$2:$A$21 = $A26)*NOT(REGEXMATCH($B$1:$AA$1, ""(?i)bonus"")
)
)"),3.0)</f>
        <v>3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H27" s="2">
        <f>IFERROR(__xludf.DUMMYFUNCTION("SUMPRODUCT(
  ($B$2:$AA$21 = ""C"") *
  ($A$2:$A$21 = $A27)*NOT(REGEXMATCH($B$1:$AA$1, ""(?i)bonus"")
)
)"),1.0)</f>
        <v>1</v>
      </c>
      <c r="I27" s="2">
        <f>IFERROR(__xludf.DUMMYFUNCTION("10*SUMPRODUCT(
  ($B$2:$AA$21 = ""C"") *
  ($A$2:$A$21 = $A27) *
  (REGEXMATCH($B$1:$AA$1, ""(?i) BONUS""))
)
"),10.0)</f>
        <v>10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"),12.0)</f>
        <v>12</v>
      </c>
      <c r="H28" s="2">
        <f>IFERROR(__xludf.DUMMYFUNCTION("SUMPRODUCT(
  ($B$2:$AA$21 = ""C"") *
  ($A$2:$A$21 = $A28)*NOT(REGEXMATCH($B$1:$AA$1, ""(?i)bonus"")
)
)"),3.0)</f>
        <v>3</v>
      </c>
      <c r="I28" s="2">
        <f>IFERROR(__xludf.DUMMYFUNCTION("10*SUMPRODUCT(
  ($B$2:$AA$21 = ""C"") *
  ($A$2:$A$21 = $A28) *
  (REGEXMATCH($B$1:$AA$1, ""(?i) BONUS""))
)
"),0.0)</f>
        <v>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H29" s="2">
        <f>IFERROR(__xludf.DUMMYFUNCTION("SUMPRODUCT(
  ($B$2:$AA$21 = ""C"") *
  ($A$2:$A$21 = $A29)*NOT(REGEXMATCH($B$1:$AA$1, ""(?i)bonus"")
)
)"),2.0)</f>
        <v>2</v>
      </c>
      <c r="I29" s="2">
        <f>IFERROR(__xludf.DUMMYFUNCTION("10*SUMPRODUCT(
  ($B$2:$AA$21 = ""C"") *
  ($A$2:$A$21 = $A29) *
  (REGEXMATCH($B$1:$AA$1, ""(?i) BONUS""))
)
"),10.0)</f>
        <v>10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"),-4.0)</f>
        <v>-4</v>
      </c>
      <c r="H30" s="2">
        <f>IFERROR(__xludf.DUMMYFUNCTION("SUMPRODUCT(
  ($B$2:$AA$21 = ""C"") *
  ($A$2:$A$21 = $A30)*NOT(REGEXMATCH($B$1:$AA$1, ""(?i)bonus"")
)
)"),0.0)</f>
        <v>0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186</v>
      </c>
      <c r="H1" s="1" t="s">
        <v>183</v>
      </c>
      <c r="I1" s="1" t="s">
        <v>184</v>
      </c>
      <c r="J1" s="1" t="s">
        <v>188</v>
      </c>
      <c r="K1" s="1" t="s">
        <v>186</v>
      </c>
      <c r="L1" s="1" t="s">
        <v>184</v>
      </c>
      <c r="M1" s="1" t="s">
        <v>183</v>
      </c>
      <c r="N1" s="1" t="s">
        <v>188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189</v>
      </c>
      <c r="T1" s="1" t="s">
        <v>183</v>
      </c>
      <c r="U1" s="1" t="s">
        <v>185</v>
      </c>
      <c r="V1" s="1" t="s">
        <v>190</v>
      </c>
      <c r="W1" s="1" t="s">
        <v>184</v>
      </c>
      <c r="X1" s="1" t="s">
        <v>187</v>
      </c>
    </row>
    <row r="2">
      <c r="A2" s="1" t="s">
        <v>8</v>
      </c>
      <c r="B2" s="1" t="s">
        <v>10</v>
      </c>
      <c r="F2" s="1" t="s">
        <v>10</v>
      </c>
      <c r="G2" s="1" t="s">
        <v>9</v>
      </c>
      <c r="K2" s="1" t="s">
        <v>10</v>
      </c>
      <c r="N2" s="1" t="s">
        <v>9</v>
      </c>
      <c r="O2" s="1" t="s">
        <v>10</v>
      </c>
      <c r="S2" s="1" t="s">
        <v>9</v>
      </c>
      <c r="T2" s="1" t="s">
        <v>10</v>
      </c>
      <c r="X2" s="1" t="s">
        <v>10</v>
      </c>
    </row>
    <row r="3">
      <c r="A3" s="1" t="s">
        <v>11</v>
      </c>
      <c r="C3" s="1" t="s">
        <v>10</v>
      </c>
      <c r="F3" s="1" t="s">
        <v>9</v>
      </c>
      <c r="L3" s="1" t="s">
        <v>8</v>
      </c>
      <c r="P3" s="1" t="s">
        <v>9</v>
      </c>
    </row>
    <row r="4">
      <c r="A4" s="1" t="s">
        <v>12</v>
      </c>
      <c r="B4" s="1" t="s">
        <v>9</v>
      </c>
      <c r="H4" s="1" t="s">
        <v>10</v>
      </c>
      <c r="J4" s="1" t="s">
        <v>9</v>
      </c>
      <c r="O4" s="1" t="s">
        <v>9</v>
      </c>
    </row>
    <row r="5">
      <c r="A5" s="1" t="s">
        <v>10</v>
      </c>
      <c r="D5" s="1" t="s">
        <v>9</v>
      </c>
      <c r="M5" s="1" t="s">
        <v>9</v>
      </c>
      <c r="U5" s="1" t="s">
        <v>10</v>
      </c>
      <c r="X5" s="1" t="s">
        <v>9</v>
      </c>
    </row>
    <row r="6">
      <c r="A6" s="1" t="s">
        <v>13</v>
      </c>
      <c r="D6" s="1" t="s">
        <v>9</v>
      </c>
      <c r="Q6" s="1" t="s">
        <v>9</v>
      </c>
      <c r="U6" s="1" t="s">
        <v>10</v>
      </c>
      <c r="X6" s="1" t="s">
        <v>9</v>
      </c>
    </row>
    <row r="7">
      <c r="A7" s="1" t="s">
        <v>8</v>
      </c>
      <c r="E7" s="1" t="s">
        <v>10</v>
      </c>
      <c r="F7" s="1" t="s">
        <v>10</v>
      </c>
      <c r="H7" s="1" t="s">
        <v>10</v>
      </c>
      <c r="J7" s="1" t="s">
        <v>9</v>
      </c>
      <c r="O7" s="1" t="s">
        <v>9</v>
      </c>
      <c r="V7" s="1" t="s">
        <v>10</v>
      </c>
      <c r="X7" s="1" t="s">
        <v>9</v>
      </c>
    </row>
    <row r="8">
      <c r="A8" s="1" t="s">
        <v>11</v>
      </c>
      <c r="C8" s="1" t="s">
        <v>10</v>
      </c>
      <c r="F8" s="1" t="s">
        <v>10</v>
      </c>
      <c r="I8" s="1" t="s">
        <v>9</v>
      </c>
    </row>
    <row r="9">
      <c r="A9" s="1" t="s">
        <v>12</v>
      </c>
      <c r="B9" s="1" t="s">
        <v>9</v>
      </c>
      <c r="O9" s="1" t="s">
        <v>10</v>
      </c>
      <c r="S9" s="1" t="s">
        <v>10</v>
      </c>
      <c r="T9" s="1" t="s">
        <v>10</v>
      </c>
      <c r="X9" s="1" t="s">
        <v>10</v>
      </c>
    </row>
    <row r="10">
      <c r="A10" s="1" t="s">
        <v>10</v>
      </c>
      <c r="Q10" s="1" t="s">
        <v>10</v>
      </c>
      <c r="S10" s="1" t="s">
        <v>9</v>
      </c>
    </row>
    <row r="11">
      <c r="A11" s="1" t="s">
        <v>13</v>
      </c>
      <c r="Q11" s="1" t="s">
        <v>9</v>
      </c>
      <c r="T11" s="1" t="s">
        <v>10</v>
      </c>
      <c r="X11" s="1" t="s">
        <v>9</v>
      </c>
    </row>
    <row r="12">
      <c r="A12" s="1" t="s">
        <v>8</v>
      </c>
      <c r="B12" s="1" t="s">
        <v>10</v>
      </c>
      <c r="F12" s="1" t="s">
        <v>10</v>
      </c>
      <c r="H12" s="1" t="s">
        <v>9</v>
      </c>
      <c r="O12" s="1" t="s">
        <v>9</v>
      </c>
      <c r="T12" s="1" t="s">
        <v>9</v>
      </c>
    </row>
    <row r="13">
      <c r="A13" s="1" t="s">
        <v>11</v>
      </c>
      <c r="P13" s="1" t="s">
        <v>9</v>
      </c>
      <c r="W13" s="1" t="s">
        <v>10</v>
      </c>
      <c r="X13" s="1" t="s">
        <v>9</v>
      </c>
    </row>
    <row r="14">
      <c r="A14" s="1" t="s">
        <v>12</v>
      </c>
      <c r="B14" s="1" t="s">
        <v>10</v>
      </c>
      <c r="F14" s="1" t="s">
        <v>10</v>
      </c>
      <c r="H14" s="1" t="s">
        <v>10</v>
      </c>
      <c r="J14" s="1" t="s">
        <v>9</v>
      </c>
      <c r="M14" s="1" t="s">
        <v>9</v>
      </c>
      <c r="O14" s="1" t="s">
        <v>9</v>
      </c>
      <c r="T14" s="1" t="s">
        <v>9</v>
      </c>
    </row>
    <row r="15">
      <c r="A15" s="1" t="s">
        <v>10</v>
      </c>
    </row>
    <row r="16">
      <c r="A16" s="1" t="s">
        <v>13</v>
      </c>
      <c r="H16" s="1" t="s">
        <v>9</v>
      </c>
      <c r="Q16" s="1" t="s">
        <v>9</v>
      </c>
      <c r="U16" s="1" t="s">
        <v>10</v>
      </c>
      <c r="X16" s="1" t="s">
        <v>9</v>
      </c>
    </row>
    <row r="17">
      <c r="A17" s="1" t="s">
        <v>8</v>
      </c>
      <c r="B17" s="1" t="s">
        <v>10</v>
      </c>
      <c r="F17" s="1" t="s">
        <v>10</v>
      </c>
      <c r="H17" s="1" t="s">
        <v>8</v>
      </c>
      <c r="R17" s="1" t="s">
        <v>10</v>
      </c>
      <c r="S17" s="1" t="s">
        <v>9</v>
      </c>
      <c r="T17" s="1" t="s">
        <v>10</v>
      </c>
      <c r="X17" s="1" t="s">
        <v>10</v>
      </c>
    </row>
    <row r="18">
      <c r="A18" s="1" t="s">
        <v>11</v>
      </c>
      <c r="C18" s="1" t="s">
        <v>10</v>
      </c>
      <c r="F18" s="1" t="s">
        <v>10</v>
      </c>
      <c r="P18" s="1" t="s">
        <v>10</v>
      </c>
      <c r="S18" s="1" t="s">
        <v>10</v>
      </c>
      <c r="W18" s="1" t="s">
        <v>10</v>
      </c>
      <c r="X18" s="1" t="s">
        <v>10</v>
      </c>
    </row>
    <row r="19">
      <c r="A19" s="1" t="s">
        <v>12</v>
      </c>
      <c r="B19" s="1" t="s">
        <v>9</v>
      </c>
      <c r="M19" s="1" t="s">
        <v>9</v>
      </c>
      <c r="O19" s="1" t="s">
        <v>9</v>
      </c>
      <c r="T19" s="1" t="s">
        <v>10</v>
      </c>
      <c r="X19" s="1" t="s">
        <v>10</v>
      </c>
    </row>
    <row r="20">
      <c r="A20" s="1" t="s">
        <v>10</v>
      </c>
      <c r="I20" s="1" t="s">
        <v>9</v>
      </c>
      <c r="M20" s="1" t="s">
        <v>9</v>
      </c>
      <c r="Q20" s="1" t="s">
        <v>9</v>
      </c>
      <c r="T20" s="1" t="s">
        <v>9</v>
      </c>
    </row>
    <row r="21">
      <c r="A21" s="1" t="s">
        <v>13</v>
      </c>
      <c r="Q21" s="1" t="s">
        <v>9</v>
      </c>
    </row>
    <row r="23">
      <c r="A23" s="1"/>
      <c r="B23" s="1" t="s">
        <v>191</v>
      </c>
      <c r="C23" s="1" t="s">
        <v>192</v>
      </c>
      <c r="D23" s="1" t="s">
        <v>193</v>
      </c>
      <c r="E23" s="1" t="s">
        <v>194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5</v>
      </c>
      <c r="C24" s="2">
        <f t="shared" si="1"/>
        <v>5</v>
      </c>
      <c r="D24" s="2">
        <f t="shared" si="1"/>
        <v>3</v>
      </c>
      <c r="E24" s="2">
        <f t="shared" si="1"/>
        <v>4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"),24.0)</f>
        <v>24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"),12.0)</f>
        <v>12</v>
      </c>
      <c r="H26" s="2">
        <f>IFERROR(__xludf.DUMMYFUNCTION("SUMPRODUCT(
  ($B$2:$AA$21 = ""C"") *
  ($A$2:$A$21 = $A26)*NOT(REGEXMATCH($B$1:$AA$1, ""(?i)bonus"")
)
)"),11.0)</f>
        <v>11</v>
      </c>
      <c r="I26" s="2">
        <f>IFERROR(__xludf.DUMMYFUNCTION("10*SUMPRODUCT(
  ($B$2:$AA$21 = ""C"") *
  ($A$2:$A$21 = $A26) *
  (REGEXMATCH($B$1:$AA$1, ""(?i) BONUS""))
)
"),60.0)</f>
        <v>60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"),20.0)</f>
        <v>20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)"),6.0)</f>
        <v>6</v>
      </c>
      <c r="I27" s="2">
        <f>IFERROR(__xludf.DUMMYFUNCTION("10*SUMPRODUCT(
  ($B$2:$AA$21 = ""C"") *
  ($A$2:$A$21 = $A27) *
  (REGEXMATCH($B$1:$AA$1, ""(?i) BONUS""))
)
"),40.0)</f>
        <v>40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"),24.0)</f>
        <v>24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H28" s="2">
        <f>IFERROR(__xludf.DUMMYFUNCTION("SUMPRODUCT(
  ($B$2:$AA$21 = ""C"") *
  ($A$2:$A$21 = $A28)*NOT(REGEXMATCH($B$1:$AA$1, ""(?i)bonus"")
)
)"),6.0)</f>
        <v>6</v>
      </c>
      <c r="I28" s="2">
        <f>IFERROR(__xludf.DUMMYFUNCTION("10*SUMPRODUCT(
  ($B$2:$AA$21 = ""C"") *
  ($A$2:$A$21 = $A28) *
  (REGEXMATCH($B$1:$AA$1, ""(?i) BONUS""))
)
"),40.0)</f>
        <v>40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"),0.0)</f>
        <v>0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"),8.0)</f>
        <v>8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)"),2.0)</f>
        <v>2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"),8.0)</f>
        <v>8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H30" s="2">
        <f>IFERROR(__xludf.DUMMYFUNCTION("SUMPRODUCT(
  ($B$2:$AA$21 = ""C"") *
  ($A$2:$A$21 = $A30)*NOT(REGEXMATCH($B$1:$AA$1, ""(?i)bonus"")
)
)"),3.0)</f>
        <v>3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198</v>
      </c>
      <c r="I1" s="1" t="s">
        <v>199</v>
      </c>
      <c r="J1" s="1" t="s">
        <v>195</v>
      </c>
      <c r="K1" s="1" t="s">
        <v>197</v>
      </c>
      <c r="L1" s="1" t="s">
        <v>196</v>
      </c>
      <c r="M1" s="1" t="s">
        <v>200</v>
      </c>
      <c r="N1" s="1" t="s">
        <v>195</v>
      </c>
      <c r="O1" s="1" t="s">
        <v>198</v>
      </c>
      <c r="P1" s="1" t="s">
        <v>201</v>
      </c>
      <c r="Q1" s="1" t="s">
        <v>199</v>
      </c>
      <c r="R1" s="1" t="s">
        <v>197</v>
      </c>
      <c r="S1" s="1" t="s">
        <v>202</v>
      </c>
      <c r="T1" s="1" t="s">
        <v>195</v>
      </c>
      <c r="U1" s="1" t="s">
        <v>198</v>
      </c>
      <c r="V1" s="1" t="s">
        <v>199</v>
      </c>
      <c r="W1" s="1" t="s">
        <v>196</v>
      </c>
      <c r="X1" s="1" t="s">
        <v>203</v>
      </c>
      <c r="Y1" s="1" t="s">
        <v>195</v>
      </c>
      <c r="Z1" s="1" t="s">
        <v>198</v>
      </c>
      <c r="AA1" s="1" t="s">
        <v>199</v>
      </c>
      <c r="AB1" s="1" t="s">
        <v>196</v>
      </c>
      <c r="AC1" s="1" t="s">
        <v>202</v>
      </c>
    </row>
    <row r="2">
      <c r="A2" s="1" t="s">
        <v>8</v>
      </c>
      <c r="B2" s="1" t="s">
        <v>10</v>
      </c>
      <c r="G2" s="1" t="s">
        <v>10</v>
      </c>
      <c r="H2" s="1" t="s">
        <v>10</v>
      </c>
      <c r="M2" s="1" t="s">
        <v>10</v>
      </c>
      <c r="N2" s="1" t="s">
        <v>9</v>
      </c>
      <c r="T2" s="1" t="s">
        <v>9</v>
      </c>
      <c r="Y2" s="1" t="s">
        <v>9</v>
      </c>
    </row>
    <row r="3">
      <c r="A3" s="1" t="s">
        <v>11</v>
      </c>
      <c r="C3" s="1" t="s">
        <v>10</v>
      </c>
      <c r="G3" s="1" t="s">
        <v>10</v>
      </c>
      <c r="H3" s="1" t="s">
        <v>8</v>
      </c>
      <c r="O3" s="1" t="s">
        <v>10</v>
      </c>
      <c r="S3" s="1" t="s">
        <v>10</v>
      </c>
      <c r="U3" s="1" t="s">
        <v>10</v>
      </c>
      <c r="X3" s="1" t="s">
        <v>10</v>
      </c>
      <c r="Z3" s="1" t="s">
        <v>10</v>
      </c>
      <c r="AC3" s="1" t="s">
        <v>10</v>
      </c>
    </row>
    <row r="4">
      <c r="A4" s="1" t="s">
        <v>12</v>
      </c>
      <c r="I4" s="1" t="s">
        <v>9</v>
      </c>
      <c r="V4" s="1" t="s">
        <v>10</v>
      </c>
      <c r="X4" s="1" t="s">
        <v>10</v>
      </c>
      <c r="AA4" s="1" t="s">
        <v>9</v>
      </c>
    </row>
    <row r="5">
      <c r="A5" s="1" t="s">
        <v>10</v>
      </c>
      <c r="D5" s="1" t="s">
        <v>8</v>
      </c>
      <c r="J5" s="1" t="s">
        <v>9</v>
      </c>
      <c r="N5" s="1" t="s">
        <v>10</v>
      </c>
      <c r="S5" s="1" t="s">
        <v>9</v>
      </c>
      <c r="W5" s="1" t="s">
        <v>9</v>
      </c>
      <c r="AB5" s="1" t="s">
        <v>10</v>
      </c>
      <c r="AC5" s="1" t="s">
        <v>9</v>
      </c>
    </row>
    <row r="6">
      <c r="A6" s="1" t="s">
        <v>13</v>
      </c>
      <c r="B6" s="1" t="s">
        <v>10</v>
      </c>
      <c r="G6" s="1" t="s">
        <v>9</v>
      </c>
      <c r="J6" s="1" t="s">
        <v>9</v>
      </c>
      <c r="P6" s="1" t="s">
        <v>10</v>
      </c>
      <c r="S6" s="1" t="s">
        <v>9</v>
      </c>
      <c r="T6" s="1" t="s">
        <v>10</v>
      </c>
      <c r="X6" s="1" t="s">
        <v>9</v>
      </c>
      <c r="Y6" s="1" t="s">
        <v>9</v>
      </c>
    </row>
    <row r="7">
      <c r="A7" s="1" t="s">
        <v>8</v>
      </c>
      <c r="C7" s="1" t="s">
        <v>9</v>
      </c>
      <c r="J7" s="1" t="s">
        <v>10</v>
      </c>
      <c r="M7" s="1" t="s">
        <v>10</v>
      </c>
      <c r="O7" s="1" t="s">
        <v>8</v>
      </c>
      <c r="T7" s="1" t="s">
        <v>9</v>
      </c>
      <c r="AB7" s="1" t="s">
        <v>9</v>
      </c>
    </row>
    <row r="8">
      <c r="A8" s="1" t="s">
        <v>11</v>
      </c>
      <c r="E8" s="1" t="s">
        <v>10</v>
      </c>
      <c r="G8" s="1" t="s">
        <v>10</v>
      </c>
      <c r="H8" s="1" t="s">
        <v>9</v>
      </c>
      <c r="N8" s="1" t="s">
        <v>8</v>
      </c>
      <c r="U8" s="1" t="s">
        <v>10</v>
      </c>
      <c r="X8" s="1" t="s">
        <v>10</v>
      </c>
      <c r="Z8" s="1" t="s">
        <v>9</v>
      </c>
    </row>
    <row r="9">
      <c r="A9" s="1" t="s">
        <v>12</v>
      </c>
      <c r="C9" s="1" t="s">
        <v>10</v>
      </c>
      <c r="G9" s="1" t="s">
        <v>10</v>
      </c>
      <c r="J9" s="1" t="s">
        <v>9</v>
      </c>
      <c r="Q9" s="1" t="s">
        <v>10</v>
      </c>
      <c r="S9" s="1" t="s">
        <v>10</v>
      </c>
      <c r="T9" s="1" t="s">
        <v>9</v>
      </c>
      <c r="Y9" s="1" t="s">
        <v>9</v>
      </c>
    </row>
    <row r="10">
      <c r="A10" s="1" t="s">
        <v>10</v>
      </c>
      <c r="C10" s="1" t="s">
        <v>10</v>
      </c>
      <c r="G10" s="1" t="s">
        <v>10</v>
      </c>
      <c r="K10" s="1" t="s">
        <v>9</v>
      </c>
      <c r="N10" s="1" t="s">
        <v>10</v>
      </c>
      <c r="S10" s="1" t="s">
        <v>9</v>
      </c>
      <c r="V10" s="1" t="s">
        <v>10</v>
      </c>
      <c r="X10" s="1" t="s">
        <v>10</v>
      </c>
      <c r="AB10" s="1" t="s">
        <v>9</v>
      </c>
    </row>
    <row r="11">
      <c r="A11" s="1" t="s">
        <v>13</v>
      </c>
      <c r="B11" s="1" t="s">
        <v>10</v>
      </c>
      <c r="G11" s="1" t="s">
        <v>10</v>
      </c>
      <c r="L11" s="1" t="s">
        <v>10</v>
      </c>
      <c r="M11" s="1" t="s">
        <v>10</v>
      </c>
      <c r="P11" s="1" t="s">
        <v>10</v>
      </c>
      <c r="S11" s="1" t="s">
        <v>10</v>
      </c>
      <c r="T11" s="1" t="s">
        <v>9</v>
      </c>
      <c r="AB11" s="1" t="s">
        <v>10</v>
      </c>
      <c r="AC11" s="1" t="s">
        <v>9</v>
      </c>
    </row>
    <row r="12">
      <c r="A12" s="1" t="s">
        <v>8</v>
      </c>
      <c r="D12" s="1" t="s">
        <v>9</v>
      </c>
      <c r="J12" s="1" t="s">
        <v>10</v>
      </c>
      <c r="M12" s="1" t="s">
        <v>10</v>
      </c>
      <c r="R12" s="1" t="s">
        <v>10</v>
      </c>
      <c r="S12" s="1" t="s">
        <v>10</v>
      </c>
      <c r="Y12" s="1" t="s">
        <v>10</v>
      </c>
      <c r="AC12" s="1" t="s">
        <v>10</v>
      </c>
    </row>
    <row r="13">
      <c r="A13" s="1" t="s">
        <v>11</v>
      </c>
      <c r="E13" s="1" t="s">
        <v>10</v>
      </c>
      <c r="G13" s="1" t="s">
        <v>9</v>
      </c>
      <c r="J13" s="1" t="s">
        <v>9</v>
      </c>
      <c r="W13" s="1" t="s">
        <v>10</v>
      </c>
      <c r="X13" s="1" t="s">
        <v>9</v>
      </c>
      <c r="Z13" s="1" t="s">
        <v>9</v>
      </c>
    </row>
    <row r="14">
      <c r="A14" s="1" t="s">
        <v>12</v>
      </c>
      <c r="C14" s="1" t="s">
        <v>10</v>
      </c>
      <c r="G14" s="1" t="s">
        <v>10</v>
      </c>
      <c r="Q14" s="1" t="s">
        <v>9</v>
      </c>
      <c r="U14" s="1" t="s">
        <v>9</v>
      </c>
      <c r="AA14" s="1" t="s">
        <v>10</v>
      </c>
      <c r="AC14" s="1" t="s">
        <v>9</v>
      </c>
    </row>
    <row r="15">
      <c r="A15" s="1" t="s">
        <v>10</v>
      </c>
      <c r="C15" s="1" t="s">
        <v>10</v>
      </c>
      <c r="G15" s="1" t="s">
        <v>10</v>
      </c>
      <c r="R15" s="1" t="s">
        <v>10</v>
      </c>
      <c r="S15" s="1" t="s">
        <v>9</v>
      </c>
      <c r="T15" s="1" t="s">
        <v>9</v>
      </c>
      <c r="Y15" s="1" t="s">
        <v>9</v>
      </c>
    </row>
    <row r="16">
      <c r="A16" s="1" t="s">
        <v>13</v>
      </c>
      <c r="B16" s="1" t="s">
        <v>8</v>
      </c>
      <c r="N16" s="1" t="s">
        <v>9</v>
      </c>
      <c r="T16" s="1" t="s">
        <v>9</v>
      </c>
      <c r="Y16" s="1" t="s">
        <v>10</v>
      </c>
      <c r="AC16" s="1" t="s">
        <v>9</v>
      </c>
    </row>
    <row r="17">
      <c r="A17" s="1" t="s">
        <v>8</v>
      </c>
      <c r="B17" s="1" t="s">
        <v>9</v>
      </c>
      <c r="P17" s="1" t="s">
        <v>10</v>
      </c>
      <c r="S17" s="1" t="s">
        <v>9</v>
      </c>
      <c r="W17" s="1" t="s">
        <v>9</v>
      </c>
      <c r="AB17" s="1" t="s">
        <v>10</v>
      </c>
      <c r="AC17" s="1" t="s">
        <v>9</v>
      </c>
    </row>
    <row r="18">
      <c r="A18" s="1" t="s">
        <v>11</v>
      </c>
      <c r="E18" s="1" t="s">
        <v>10</v>
      </c>
      <c r="G18" s="1" t="s">
        <v>9</v>
      </c>
      <c r="P18" s="1" t="s">
        <v>10</v>
      </c>
      <c r="S18" s="1" t="s">
        <v>10</v>
      </c>
      <c r="W18" s="1" t="s">
        <v>10</v>
      </c>
      <c r="X18" s="1" t="s">
        <v>10</v>
      </c>
    </row>
    <row r="19">
      <c r="A19" s="1" t="s">
        <v>12</v>
      </c>
      <c r="F19" s="1" t="s">
        <v>10</v>
      </c>
      <c r="G19" s="1" t="s">
        <v>9</v>
      </c>
      <c r="I19" s="1" t="s">
        <v>10</v>
      </c>
      <c r="M19" s="1" t="s">
        <v>10</v>
      </c>
      <c r="R19" s="1" t="s">
        <v>10</v>
      </c>
      <c r="S19" s="1" t="s">
        <v>9</v>
      </c>
      <c r="T19" s="1" t="s">
        <v>9</v>
      </c>
      <c r="AA19" s="1" t="s">
        <v>9</v>
      </c>
    </row>
    <row r="20">
      <c r="A20" s="1" t="s">
        <v>10</v>
      </c>
      <c r="E20" s="1" t="s">
        <v>9</v>
      </c>
      <c r="J20" s="1" t="s">
        <v>9</v>
      </c>
      <c r="R20" s="1" t="s">
        <v>9</v>
      </c>
      <c r="T20" s="1" t="s">
        <v>9</v>
      </c>
      <c r="Y20" s="1" t="s">
        <v>10</v>
      </c>
      <c r="AC20" s="1" t="s">
        <v>9</v>
      </c>
    </row>
    <row r="21">
      <c r="A21" s="1" t="s">
        <v>13</v>
      </c>
      <c r="B21" s="1" t="s">
        <v>8</v>
      </c>
      <c r="L21" s="1" t="s">
        <v>10</v>
      </c>
      <c r="M21" s="1" t="s">
        <v>9</v>
      </c>
      <c r="N21" s="1" t="s">
        <v>10</v>
      </c>
      <c r="S21" s="1" t="s">
        <v>9</v>
      </c>
      <c r="T21" s="1" t="s">
        <v>8</v>
      </c>
      <c r="Y21" s="1" t="s">
        <v>9</v>
      </c>
    </row>
    <row r="23">
      <c r="A23" s="1"/>
      <c r="B23" s="1" t="s">
        <v>204</v>
      </c>
      <c r="C23" s="1" t="s">
        <v>205</v>
      </c>
      <c r="D23" s="1" t="s">
        <v>206</v>
      </c>
      <c r="E23" s="1" t="s">
        <v>207</v>
      </c>
      <c r="F23" s="1" t="s">
        <v>208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F24" si="1">COUNTIF($A1:AC1,"*"&amp;B23&amp;"*")</f>
        <v>5</v>
      </c>
      <c r="C24" s="2">
        <f t="shared" si="1"/>
        <v>5</v>
      </c>
      <c r="D24" s="2">
        <f t="shared" si="1"/>
        <v>3</v>
      </c>
      <c r="E24" s="2">
        <f t="shared" si="1"/>
        <v>5</v>
      </c>
      <c r="F24" s="2">
        <f t="shared" si="1"/>
        <v>5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"),16.0)</f>
        <v>16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"),4.0)</f>
        <v>4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F26" s="2">
        <f>IFERROR(__xludf.DUMMYFUNCTION("4*SUMPRODUCT(
  ($B$2:$AA$21 = ""C"") *
  ($A$2:$A$21 = $A26) *
  (REGEXMATCH($B$1:$AA$1, ""(?i)"" &amp; F$23))
)-4*SUMPRODUCT(
  ($B$2:$AA$21 = ""P"") *
  ($A$2:$A$21 = $A26) *
  (REGEXMATCH($B$1:$AA$1, ""(?i)"" &amp; F$23))
)
"),0.0)</f>
        <v>0</v>
      </c>
      <c r="H26" s="2">
        <f>IFERROR(__xludf.DUMMYFUNCTION("SUMPRODUCT(
  ($B$2:$AA$21 = ""C"") *
  ($A$2:$A$21 = $A26)*NOT(REGEXMATCH($B$1:$AA$1, ""(?i)bonus"")
)
)"),7.0)</f>
        <v>7</v>
      </c>
      <c r="I26" s="2">
        <f>IFERROR(__xludf.DUMMYFUNCTION("10*SUMPRODUCT(
  ($B$2:$AA$21 = ""C"") *
  ($A$2:$A$21 = $A26) *
  (REGEXMATCH($B$1:$AA$1, ""(?i) BONUS""))
)
"),50.0)</f>
        <v>50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"),-4.0)</f>
        <v>-4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"),16.0)</f>
        <v>16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"),24.0)</f>
        <v>24</v>
      </c>
      <c r="F27" s="2">
        <f>IFERROR(__xludf.DUMMYFUNCTION("4*SUMPRODUCT(
  ($B$2:$AA$21 = ""C"") *
  ($A$2:$A$21 = $A27) *
  (REGEXMATCH($B$1:$AA$1, ""(?i)"" &amp; F$23))
)-4*SUMPRODUCT(
  ($B$2:$AA$21 = ""P"") *
  ($A$2:$A$21 = $A27) *
  (REGEXMATCH($B$1:$AA$1, ""(?i)"" &amp; F$23))
)
"),0.0)</f>
        <v>0</v>
      </c>
      <c r="H27" s="2">
        <f>IFERROR(__xludf.DUMMYFUNCTION("SUMPRODUCT(
  ($B$2:$AA$21 = ""C"") *
  ($A$2:$A$21 = $A27)*NOT(REGEXMATCH($B$1:$AA$1, ""(?i)bonus"")
)
)"),11.0)</f>
        <v>11</v>
      </c>
      <c r="I27" s="2">
        <f>IFERROR(__xludf.DUMMYFUNCTION("10*SUMPRODUCT(
  ($B$2:$AA$21 = ""C"") *
  ($A$2:$A$21 = $A27) *
  (REGEXMATCH($B$1:$AA$1, ""(?i) BONUS""))
)
"),70.0)</f>
        <v>70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"),0.0)</f>
        <v>0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"),8.0)</f>
        <v>8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F28" s="2">
        <f>IFERROR(__xludf.DUMMYFUNCTION("4*SUMPRODUCT(
  ($B$2:$AA$21 = ""C"") *
  ($A$2:$A$21 = $A28) *
  (REGEXMATCH($B$1:$AA$1, ""(?i)"" &amp; F$23))
)-4*SUMPRODUCT(
  ($B$2:$AA$21 = ""P"") *
  ($A$2:$A$21 = $A28) *
  (REGEXMATCH($B$1:$AA$1, ""(?i)"" &amp; F$23))
)
"),20.0)</f>
        <v>20</v>
      </c>
      <c r="H28" s="2">
        <f>IFERROR(__xludf.DUMMYFUNCTION("SUMPRODUCT(
  ($B$2:$AA$21 = ""C"") *
  ($A$2:$A$21 = $A28)*NOT(REGEXMATCH($B$1:$AA$1, ""(?i)bonus"")
)
)"),8.0)</f>
        <v>8</v>
      </c>
      <c r="I28" s="2">
        <f>IFERROR(__xludf.DUMMYFUNCTION("10*SUMPRODUCT(
  ($B$2:$AA$21 = ""C"") *
  ($A$2:$A$21 = $A28) *
  (REGEXMATCH($B$1:$AA$1, ""(?i) BONUS""))
)
"),50.0)</f>
        <v>50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"),12.0)</f>
        <v>12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"),8.0)</f>
        <v>8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F29" s="2">
        <f>IFERROR(__xludf.DUMMYFUNCTION("4*SUMPRODUCT(
  ($B$2:$AA$21 = ""C"") *
  ($A$2:$A$21 = $A29) *
  (REGEXMATCH($B$1:$AA$1, ""(?i)"" &amp; F$23))
)-4*SUMPRODUCT(
  ($B$2:$AA$21 = ""P"") *
  ($A$2:$A$21 = $A29) *
  (REGEXMATCH($B$1:$AA$1, ""(?i)"" &amp; F$23))
)
"),4.0)</f>
        <v>4</v>
      </c>
      <c r="H29" s="2">
        <f>IFERROR(__xludf.DUMMYFUNCTION("SUMPRODUCT(
  ($B$2:$AA$21 = ""C"") *
  ($A$2:$A$21 = $A29)*NOT(REGEXMATCH($B$1:$AA$1, ""(?i)bonus"")
)
)"),7.0)</f>
        <v>7</v>
      </c>
      <c r="I29" s="2">
        <f>IFERROR(__xludf.DUMMYFUNCTION("10*SUMPRODUCT(
  ($B$2:$AA$21 = ""C"") *
  ($A$2:$A$21 = $A29) *
  (REGEXMATCH($B$1:$AA$1, ""(?i) BONUS""))
)
"),30.0)</f>
        <v>30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"),8.0)</f>
        <v>8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"),16.0)</f>
        <v>16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F30" s="2">
        <f>IFERROR(__xludf.DUMMYFUNCTION("4*SUMPRODUCT(
  ($B$2:$AA$21 = ""C"") *
  ($A$2:$A$21 = $A30) *
  (REGEXMATCH($B$1:$AA$1, ""(?i)"" &amp; F$23))
)-4*SUMPRODUCT(
  ($B$2:$AA$21 = ""P"") *
  ($A$2:$A$21 = $A30) *
  (REGEXMATCH($B$1:$AA$1, ""(?i)"" &amp; F$23))
)
"),0.0)</f>
        <v>0</v>
      </c>
      <c r="H30" s="2">
        <f>IFERROR(__xludf.DUMMYFUNCTION("SUMPRODUCT(
  ($B$2:$AA$21 = ""C"") *
  ($A$2:$A$21 = $A30)*NOT(REGEXMATCH($B$1:$AA$1, ""(?i)bonus"")
)
)"),9.0)</f>
        <v>9</v>
      </c>
      <c r="I30" s="2">
        <f>IFERROR(__xludf.DUMMYFUNCTION("10*SUMPRODUCT(
  ($B$2:$AA$21 = ""C"") *
  ($A$2:$A$21 = $A30) *
  (REGEXMATCH($B$1:$AA$1, ""(?i) BONUS""))
)
"),30.0)</f>
        <v>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211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212</v>
      </c>
      <c r="N1" s="1" t="s">
        <v>214</v>
      </c>
      <c r="O1" s="1" t="s">
        <v>217</v>
      </c>
      <c r="P1" s="1" t="s">
        <v>213</v>
      </c>
      <c r="Q1" s="1" t="s">
        <v>212</v>
      </c>
      <c r="R1" s="1" t="s">
        <v>210</v>
      </c>
      <c r="S1" s="1" t="s">
        <v>219</v>
      </c>
      <c r="T1" s="1" t="s">
        <v>217</v>
      </c>
      <c r="U1" s="1" t="s">
        <v>220</v>
      </c>
      <c r="V1" s="1" t="s">
        <v>213</v>
      </c>
      <c r="W1" s="1" t="s">
        <v>221</v>
      </c>
    </row>
    <row r="2">
      <c r="A2" s="1" t="s">
        <v>8</v>
      </c>
      <c r="N2" s="1" t="s">
        <v>10</v>
      </c>
      <c r="Q2" s="1" t="s">
        <v>9</v>
      </c>
      <c r="R2" s="1" t="s">
        <v>9</v>
      </c>
    </row>
    <row r="3">
      <c r="A3" s="1" t="s">
        <v>11</v>
      </c>
      <c r="F3" s="1" t="s">
        <v>9</v>
      </c>
      <c r="S3" s="1" t="s">
        <v>10</v>
      </c>
      <c r="W3" s="1" t="s">
        <v>9</v>
      </c>
    </row>
    <row r="4">
      <c r="A4" s="1" t="s">
        <v>12</v>
      </c>
      <c r="B4" s="1" t="s">
        <v>10</v>
      </c>
      <c r="E4" s="1" t="s">
        <v>9</v>
      </c>
      <c r="J4" s="1" t="s">
        <v>9</v>
      </c>
      <c r="S4" s="1" t="s">
        <v>10</v>
      </c>
      <c r="W4" s="1" t="s">
        <v>10</v>
      </c>
    </row>
    <row r="5">
      <c r="A5" s="1" t="s">
        <v>10</v>
      </c>
      <c r="B5" s="1" t="s">
        <v>10</v>
      </c>
      <c r="E5" s="1" t="s">
        <v>9</v>
      </c>
      <c r="J5" s="1" t="s">
        <v>9</v>
      </c>
      <c r="T5" s="1" t="s">
        <v>10</v>
      </c>
      <c r="W5" s="1" t="s">
        <v>9</v>
      </c>
    </row>
    <row r="6">
      <c r="A6" s="1" t="s">
        <v>13</v>
      </c>
      <c r="G6" s="1" t="s">
        <v>9</v>
      </c>
      <c r="K6" s="1" t="s">
        <v>10</v>
      </c>
      <c r="M6" s="1" t="s">
        <v>9</v>
      </c>
      <c r="O6" s="1" t="s">
        <v>9</v>
      </c>
      <c r="S6" s="1" t="s">
        <v>8</v>
      </c>
    </row>
    <row r="7">
      <c r="A7" s="1" t="s">
        <v>8</v>
      </c>
      <c r="N7" s="1" t="s">
        <v>9</v>
      </c>
      <c r="S7" s="1" t="s">
        <v>10</v>
      </c>
      <c r="W7" s="1" t="s">
        <v>10</v>
      </c>
    </row>
    <row r="8">
      <c r="A8" s="1" t="s">
        <v>11</v>
      </c>
      <c r="J8" s="1" t="s">
        <v>9</v>
      </c>
      <c r="P8" s="1" t="s">
        <v>9</v>
      </c>
      <c r="U8" s="1" t="s">
        <v>10</v>
      </c>
      <c r="W8" s="1" t="s">
        <v>9</v>
      </c>
    </row>
    <row r="9">
      <c r="A9" s="1" t="s">
        <v>12</v>
      </c>
      <c r="G9" s="1" t="s">
        <v>9</v>
      </c>
      <c r="J9" s="1" t="s">
        <v>10</v>
      </c>
      <c r="M9" s="1" t="s">
        <v>10</v>
      </c>
    </row>
    <row r="10">
      <c r="A10" s="1" t="s">
        <v>10</v>
      </c>
      <c r="G10" s="1" t="s">
        <v>10</v>
      </c>
      <c r="I10" s="1" t="s">
        <v>10</v>
      </c>
      <c r="N10" s="1" t="s">
        <v>9</v>
      </c>
      <c r="S10" s="1" t="s">
        <v>10</v>
      </c>
      <c r="W10" s="1" t="s">
        <v>9</v>
      </c>
    </row>
    <row r="11">
      <c r="A11" s="1" t="s">
        <v>13</v>
      </c>
      <c r="F11" s="1" t="s">
        <v>10</v>
      </c>
      <c r="I11" s="1" t="s">
        <v>10</v>
      </c>
      <c r="N11" s="1" t="s">
        <v>9</v>
      </c>
      <c r="S11" s="1" t="s">
        <v>9</v>
      </c>
    </row>
    <row r="12">
      <c r="A12" s="1" t="s">
        <v>8</v>
      </c>
      <c r="N12" s="1" t="s">
        <v>9</v>
      </c>
      <c r="U12" s="1" t="s">
        <v>10</v>
      </c>
      <c r="W12" s="1" t="s">
        <v>9</v>
      </c>
    </row>
    <row r="13">
      <c r="A13" s="1" t="s">
        <v>11</v>
      </c>
    </row>
    <row r="14">
      <c r="A14" s="1" t="s">
        <v>12</v>
      </c>
      <c r="N14" s="1" t="s">
        <v>10</v>
      </c>
      <c r="Q14" s="1" t="s">
        <v>10</v>
      </c>
      <c r="V14" s="1" t="s">
        <v>9</v>
      </c>
    </row>
    <row r="15">
      <c r="A15" s="1" t="s">
        <v>10</v>
      </c>
      <c r="H15" s="1" t="s">
        <v>10</v>
      </c>
      <c r="I15" s="1" t="s">
        <v>9</v>
      </c>
      <c r="S15" s="1" t="s">
        <v>9</v>
      </c>
    </row>
    <row r="16">
      <c r="A16" s="1" t="s">
        <v>13</v>
      </c>
      <c r="B16" s="1" t="s">
        <v>10</v>
      </c>
      <c r="E16" s="1" t="s">
        <v>9</v>
      </c>
      <c r="P16" s="1" t="s">
        <v>10</v>
      </c>
      <c r="Q16" s="1" t="s">
        <v>9</v>
      </c>
    </row>
    <row r="17">
      <c r="A17" s="1" t="s">
        <v>8</v>
      </c>
      <c r="B17" s="1" t="s">
        <v>9</v>
      </c>
      <c r="N17" s="1" t="s">
        <v>10</v>
      </c>
      <c r="Q17" s="1" t="s">
        <v>9</v>
      </c>
      <c r="U17" s="1" t="s">
        <v>10</v>
      </c>
      <c r="W17" s="1" t="s">
        <v>10</v>
      </c>
    </row>
    <row r="18">
      <c r="A18" s="1" t="s">
        <v>11</v>
      </c>
      <c r="C18" s="1" t="s">
        <v>9</v>
      </c>
    </row>
    <row r="19">
      <c r="A19" s="1" t="s">
        <v>12</v>
      </c>
      <c r="F19" s="1" t="s">
        <v>10</v>
      </c>
      <c r="I19" s="1" t="s">
        <v>9</v>
      </c>
    </row>
    <row r="20">
      <c r="A20" s="1" t="s">
        <v>10</v>
      </c>
      <c r="B20" s="1" t="s">
        <v>9</v>
      </c>
      <c r="J20" s="1" t="s">
        <v>9</v>
      </c>
      <c r="N20" s="1" t="s">
        <v>9</v>
      </c>
    </row>
    <row r="21">
      <c r="A21" s="1" t="s">
        <v>13</v>
      </c>
      <c r="D21" s="1" t="s">
        <v>9</v>
      </c>
      <c r="G21" s="1" t="s">
        <v>10</v>
      </c>
      <c r="I21" s="1" t="s">
        <v>10</v>
      </c>
      <c r="L21" s="1" t="s">
        <v>9</v>
      </c>
      <c r="O21" s="1" t="s">
        <v>10</v>
      </c>
      <c r="Q21" s="1" t="s">
        <v>9</v>
      </c>
    </row>
    <row r="23">
      <c r="A23" s="1"/>
      <c r="B23" s="1" t="s">
        <v>222</v>
      </c>
      <c r="C23" s="1" t="s">
        <v>223</v>
      </c>
      <c r="D23" s="1" t="s">
        <v>164</v>
      </c>
      <c r="E23" s="1" t="s">
        <v>224</v>
      </c>
      <c r="F23" s="1" t="s">
        <v>225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F24" si="1">COUNTIF($A1:Z1,"*"&amp;B23&amp;"*")</f>
        <v>4</v>
      </c>
      <c r="C24" s="2">
        <f t="shared" si="1"/>
        <v>3</v>
      </c>
      <c r="D24" s="2">
        <f t="shared" si="1"/>
        <v>5</v>
      </c>
      <c r="E24" s="2">
        <f t="shared" si="1"/>
        <v>3</v>
      </c>
      <c r="F24" s="2">
        <f t="shared" si="1"/>
        <v>2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"),12.0)</f>
        <v>12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F26" s="2">
        <f>IFERROR(__xludf.DUMMYFUNCTION("4*SUMPRODUCT(
  ($B$2:$AA$21 = ""C"") *
  ($A$2:$A$21 = $A26) *
  (REGEXMATCH($B$1:$AA$1, ""(?i)"" &amp; F$23))
)-4*SUMPRODUCT(
  ($B$2:$AA$21 = ""P"") *
  ($A$2:$A$21 = $A26) *
  (REGEXMATCH($B$1:$AA$1, ""(?i)"" &amp; F$23))
)
"),8.0)</f>
        <v>8</v>
      </c>
      <c r="H26" s="2">
        <f>IFERROR(__xludf.DUMMYFUNCTION("SUMPRODUCT(
  ($B$2:$AA$21 = ""C"") *
  ($A$2:$A$21 = $A26)*NOT(REGEXMATCH($B$1:$AA$1, ""(?i)bonus"")
)
)"),5.0)</f>
        <v>5</v>
      </c>
      <c r="I26" s="2">
        <f>IFERROR(__xludf.DUMMYFUNCTION("10*SUMPRODUCT(
  ($B$2:$AA$21 = ""C"") *
  ($A$2:$A$21 = $A26) *
  (REGEXMATCH($B$1:$AA$1, ""(?i) BONUS""))
)
"),20.0)</f>
        <v>20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F27" s="2">
        <f>IFERROR(__xludf.DUMMYFUNCTION("4*SUMPRODUCT(
  ($B$2:$AA$21 = ""C"") *
  ($A$2:$A$21 = $A27) *
  (REGEXMATCH($B$1:$AA$1, ""(?i)"" &amp; F$23))
)-4*SUMPRODUCT(
  ($B$2:$AA$21 = ""P"") *
  ($A$2:$A$21 = $A27) *
  (REGEXMATCH($B$1:$AA$1, ""(?i)"" &amp; F$23))
)
"),4.0)</f>
        <v>4</v>
      </c>
      <c r="H27" s="2">
        <f>IFERROR(__xludf.DUMMYFUNCTION("SUMPRODUCT(
  ($B$2:$AA$21 = ""C"") *
  ($A$2:$A$21 = $A27)*NOT(REGEXMATCH($B$1:$AA$1, ""(?i)bonus"")
)
)"),2.0)</f>
        <v>2</v>
      </c>
      <c r="I27" s="2">
        <f>IFERROR(__xludf.DUMMYFUNCTION("10*SUMPRODUCT(
  ($B$2:$AA$21 = ""C"") *
  ($A$2:$A$21 = $A27) *
  (REGEXMATCH($B$1:$AA$1, ""(?i) BONUS""))
)
"),0.0)</f>
        <v>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"),12.0)</f>
        <v>12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"),4.0)</f>
        <v>4</v>
      </c>
      <c r="F28" s="2">
        <f>IFERROR(__xludf.DUMMYFUNCTION("4*SUMPRODUCT(
  ($B$2:$AA$21 = ""C"") *
  ($A$2:$A$21 = $A28) *
  (REGEXMATCH($B$1:$AA$1, ""(?i)"" &amp; F$23))
)-4*SUMPRODUCT(
  ($B$2:$AA$21 = ""P"") *
  ($A$2:$A$21 = $A28) *
  (REGEXMATCH($B$1:$AA$1, ""(?i)"" &amp; F$23))
)
"),4.0)</f>
        <v>4</v>
      </c>
      <c r="H28" s="2">
        <f>IFERROR(__xludf.DUMMYFUNCTION("SUMPRODUCT(
  ($B$2:$AA$21 = ""C"") *
  ($A$2:$A$21 = $A28)*NOT(REGEXMATCH($B$1:$AA$1, ""(?i)bonus"")
)
)"),5.0)</f>
        <v>5</v>
      </c>
      <c r="I28" s="2">
        <f>IFERROR(__xludf.DUMMYFUNCTION("10*SUMPRODUCT(
  ($B$2:$AA$21 = ""C"") *
  ($A$2:$A$21 = $A28) *
  (REGEXMATCH($B$1:$AA$1, ""(?i) BONUS""))
)
"),30.0)</f>
        <v>30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"),12.0)</f>
        <v>12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"),8.0)</f>
        <v>8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F29" s="2">
        <f>IFERROR(__xludf.DUMMYFUNCTION("4*SUMPRODUCT(
  ($B$2:$AA$21 = ""C"") *
  ($A$2:$A$21 = $A29) *
  (REGEXMATCH($B$1:$AA$1, ""(?i)"" &amp; F$23))
)-4*SUMPRODUCT(
  ($B$2:$AA$21 = ""P"") *
  ($A$2:$A$21 = $A29) *
  (REGEXMATCH($B$1:$AA$1, ""(?i)"" &amp; F$23))
)
"),0.0)</f>
        <v>0</v>
      </c>
      <c r="H29" s="2">
        <f>IFERROR(__xludf.DUMMYFUNCTION("SUMPRODUCT(
  ($B$2:$AA$21 = ""C"") *
  ($A$2:$A$21 = $A29)*NOT(REGEXMATCH($B$1:$AA$1, ""(?i)bonus"")
)
)"),5.0)</f>
        <v>5</v>
      </c>
      <c r="I29" s="2">
        <f>IFERROR(__xludf.DUMMYFUNCTION("10*SUMPRODUCT(
  ($B$2:$AA$21 = ""C"") *
  ($A$2:$A$21 = $A29) *
  (REGEXMATCH($B$1:$AA$1, ""(?i) BONUS""))
)
"),10.0)</f>
        <v>10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"),12.0)</f>
        <v>12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"),8.0)</f>
        <v>8</v>
      </c>
      <c r="F30" s="2">
        <f>IFERROR(__xludf.DUMMYFUNCTION("4*SUMPRODUCT(
  ($B$2:$AA$21 = ""C"") *
  ($A$2:$A$21 = $A30) *
  (REGEXMATCH($B$1:$AA$1, ""(?i)"" &amp; F$23))
)-4*SUMPRODUCT(
  ($B$2:$AA$21 = ""P"") *
  ($A$2:$A$21 = $A30) *
  (REGEXMATCH($B$1:$AA$1, ""(?i)"" &amp; F$23))
)
"),0.0)</f>
        <v>0</v>
      </c>
      <c r="H30" s="2">
        <f>IFERROR(__xludf.DUMMYFUNCTION("SUMPRODUCT(
  ($B$2:$AA$21 = ""C"") *
  ($A$2:$A$21 = $A30)*NOT(REGEXMATCH($B$1:$AA$1, ""(?i)bonus"")
)
)"),6.0)</f>
        <v>6</v>
      </c>
      <c r="I30" s="2">
        <f>IFERROR(__xludf.DUMMYFUNCTION("10*SUMPRODUCT(
  ($B$2:$AA$21 = ""C"") *
  ($A$2:$A$21 = $A30) *
  (REGEXMATCH($B$1:$AA$1, ""(?i) BONUS""))
)
"),20.0)</f>
        <v>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51</v>
      </c>
      <c r="H1" s="1" t="s">
        <v>227</v>
      </c>
      <c r="I1" s="1" t="s">
        <v>230</v>
      </c>
      <c r="J1" s="1" t="s">
        <v>231</v>
      </c>
      <c r="K1" s="1" t="s">
        <v>227</v>
      </c>
      <c r="L1" s="1" t="s">
        <v>232</v>
      </c>
      <c r="M1" s="1" t="s">
        <v>226</v>
      </c>
      <c r="N1" s="1" t="s">
        <v>227</v>
      </c>
      <c r="O1" s="1" t="s">
        <v>233</v>
      </c>
    </row>
    <row r="2">
      <c r="A2" s="1" t="s">
        <v>8</v>
      </c>
      <c r="J2" s="1" t="s">
        <v>9</v>
      </c>
    </row>
    <row r="3">
      <c r="A3" s="1" t="s">
        <v>11</v>
      </c>
      <c r="B3" s="1" t="s">
        <v>10</v>
      </c>
      <c r="D3" s="1" t="s">
        <v>9</v>
      </c>
      <c r="G3" s="1" t="s">
        <v>10</v>
      </c>
      <c r="I3" s="1" t="s">
        <v>9</v>
      </c>
      <c r="M3" s="1" t="s">
        <v>10</v>
      </c>
      <c r="O3" s="1" t="s">
        <v>10</v>
      </c>
    </row>
    <row r="4">
      <c r="A4" s="1" t="s">
        <v>12</v>
      </c>
      <c r="C4" s="1" t="s">
        <v>9</v>
      </c>
      <c r="G4" s="1" t="s">
        <v>9</v>
      </c>
      <c r="K4" s="1" t="s">
        <v>10</v>
      </c>
      <c r="L4" s="1" t="s">
        <v>9</v>
      </c>
      <c r="N4" s="1" t="s">
        <v>10</v>
      </c>
      <c r="O4" s="1" t="s">
        <v>9</v>
      </c>
    </row>
    <row r="5">
      <c r="A5" s="1" t="s">
        <v>10</v>
      </c>
      <c r="E5" s="1" t="s">
        <v>10</v>
      </c>
      <c r="F5" s="1" t="s">
        <v>9</v>
      </c>
      <c r="G5" s="1" t="s">
        <v>9</v>
      </c>
      <c r="M5" s="1" t="s">
        <v>9</v>
      </c>
    </row>
    <row r="6">
      <c r="A6" s="1" t="s">
        <v>13</v>
      </c>
      <c r="B6" s="1" t="s">
        <v>9</v>
      </c>
    </row>
    <row r="7">
      <c r="A7" s="1" t="s">
        <v>8</v>
      </c>
      <c r="E7" s="1" t="s">
        <v>10</v>
      </c>
      <c r="F7" s="1" t="s">
        <v>9</v>
      </c>
      <c r="M7" s="1" t="s">
        <v>8</v>
      </c>
    </row>
    <row r="8">
      <c r="A8" s="1" t="s">
        <v>11</v>
      </c>
      <c r="B8" s="1" t="s">
        <v>9</v>
      </c>
      <c r="G8" s="1" t="s">
        <v>9</v>
      </c>
      <c r="M8" s="1" t="s">
        <v>10</v>
      </c>
      <c r="O8" s="1" t="s">
        <v>10</v>
      </c>
    </row>
    <row r="9">
      <c r="A9" s="1" t="s">
        <v>12</v>
      </c>
      <c r="C9" s="1" t="s">
        <v>9</v>
      </c>
      <c r="K9" s="1" t="s">
        <v>9</v>
      </c>
    </row>
    <row r="10">
      <c r="A10" s="1" t="s">
        <v>10</v>
      </c>
      <c r="B10" s="1" t="s">
        <v>9</v>
      </c>
      <c r="G10" s="1" t="s">
        <v>10</v>
      </c>
      <c r="I10" s="1" t="s">
        <v>10</v>
      </c>
      <c r="J10" s="1" t="s">
        <v>9</v>
      </c>
      <c r="M10" s="1" t="s">
        <v>10</v>
      </c>
      <c r="O10" s="1" t="s">
        <v>10</v>
      </c>
    </row>
    <row r="11">
      <c r="A11" s="1" t="s">
        <v>13</v>
      </c>
    </row>
    <row r="12">
      <c r="A12" s="1" t="s">
        <v>8</v>
      </c>
      <c r="N12" s="1" t="s">
        <v>9</v>
      </c>
    </row>
    <row r="13">
      <c r="A13" s="1" t="s">
        <v>11</v>
      </c>
      <c r="G13" s="1" t="s">
        <v>10</v>
      </c>
      <c r="I13" s="1" t="s">
        <v>10</v>
      </c>
      <c r="J13" s="1" t="s">
        <v>10</v>
      </c>
      <c r="L13" s="1" t="s">
        <v>9</v>
      </c>
      <c r="M13" s="1" t="s">
        <v>8</v>
      </c>
    </row>
    <row r="14">
      <c r="A14" s="1" t="s">
        <v>12</v>
      </c>
      <c r="C14" s="1" t="s">
        <v>10</v>
      </c>
      <c r="D14" s="1" t="s">
        <v>10</v>
      </c>
    </row>
    <row r="15">
      <c r="A15" s="1" t="s">
        <v>10</v>
      </c>
      <c r="M15" s="1" t="s">
        <v>10</v>
      </c>
      <c r="O15" s="1" t="s">
        <v>10</v>
      </c>
    </row>
    <row r="16">
      <c r="A16" s="1" t="s">
        <v>13</v>
      </c>
      <c r="B16" s="1" t="s">
        <v>9</v>
      </c>
    </row>
    <row r="17">
      <c r="A17" s="1" t="s">
        <v>8</v>
      </c>
      <c r="B17" s="1" t="s">
        <v>10</v>
      </c>
      <c r="D17" s="1" t="s">
        <v>10</v>
      </c>
    </row>
    <row r="18">
      <c r="A18" s="1" t="s">
        <v>11</v>
      </c>
      <c r="B18" s="1" t="s">
        <v>9</v>
      </c>
      <c r="E18" s="1" t="s">
        <v>10</v>
      </c>
      <c r="F18" s="1" t="s">
        <v>10</v>
      </c>
      <c r="G18" s="1" t="s">
        <v>10</v>
      </c>
      <c r="I18" s="1" t="s">
        <v>9</v>
      </c>
      <c r="J18" s="1" t="s">
        <v>10</v>
      </c>
      <c r="L18" s="1" t="s">
        <v>9</v>
      </c>
    </row>
    <row r="19">
      <c r="A19" s="1" t="s">
        <v>12</v>
      </c>
      <c r="B19" s="1" t="s">
        <v>10</v>
      </c>
      <c r="D19" s="1" t="s">
        <v>10</v>
      </c>
      <c r="H19" s="1" t="s">
        <v>10</v>
      </c>
      <c r="I19" s="1" t="s">
        <v>10</v>
      </c>
      <c r="J19" s="1" t="s">
        <v>10</v>
      </c>
      <c r="L19" s="1" t="s">
        <v>9</v>
      </c>
    </row>
    <row r="20">
      <c r="A20" s="1" t="s">
        <v>10</v>
      </c>
      <c r="G20" s="1" t="s">
        <v>10</v>
      </c>
      <c r="I20" s="1" t="s">
        <v>10</v>
      </c>
      <c r="M20" s="1" t="s">
        <v>10</v>
      </c>
      <c r="O20" s="1" t="s">
        <v>9</v>
      </c>
    </row>
    <row r="21">
      <c r="A21" s="1" t="s">
        <v>13</v>
      </c>
      <c r="B21" s="1" t="s">
        <v>10</v>
      </c>
      <c r="D21" s="1" t="s">
        <v>9</v>
      </c>
      <c r="E21" s="1" t="s">
        <v>8</v>
      </c>
      <c r="G21" s="1" t="s">
        <v>10</v>
      </c>
      <c r="I21" s="1" t="s">
        <v>9</v>
      </c>
      <c r="J21" s="1" t="s">
        <v>9</v>
      </c>
    </row>
    <row r="23">
      <c r="A23" s="1"/>
      <c r="B23" s="1" t="s">
        <v>234</v>
      </c>
      <c r="C23" s="1" t="s">
        <v>235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C24" si="1">COUNTIF($A1:Z1,"*"&amp;B23&amp;"*")</f>
        <v>5</v>
      </c>
      <c r="C24" s="2">
        <f t="shared" si="1"/>
        <v>4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H26" s="2">
        <f>IFERROR(__xludf.DUMMYFUNCTION("SUMPRODUCT(
  ($B$2:$AA$21 = ""C"") *
  ($A$2:$A$21 = $A26)*NOT(REGEXMATCH($B$1:$AA$1, ""(?i)bonus"")
)
)"),2.0)</f>
        <v>2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"),32.0)</f>
        <v>32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H27" s="2">
        <f>IFERROR(__xludf.DUMMYFUNCTION("SUMPRODUCT(
  ($B$2:$AA$21 = ""C"") *
  ($A$2:$A$21 = $A27)*NOT(REGEXMATCH($B$1:$AA$1, ""(?i)bonus"")
)
)"),9.0)</f>
        <v>9</v>
      </c>
      <c r="I27" s="2">
        <f>IFERROR(__xludf.DUMMYFUNCTION("10*SUMPRODUCT(
  ($B$2:$AA$21 = ""C"") *
  ($A$2:$A$21 = $A27) *
  (REGEXMATCH($B$1:$AA$1, ""(?i) BONUS""))
)
"),40.0)</f>
        <v>40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"),8.0)</f>
        <v>8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"),16.0)</f>
        <v>16</v>
      </c>
      <c r="H28" s="2">
        <f>IFERROR(__xludf.DUMMYFUNCTION("SUMPRODUCT(
  ($B$2:$AA$21 = ""C"") *
  ($A$2:$A$21 = $A28)*NOT(REGEXMATCH($B$1:$AA$1, ""(?i)bonus"")
)
)"),6.0)</f>
        <v>6</v>
      </c>
      <c r="I28" s="2">
        <f>IFERROR(__xludf.DUMMYFUNCTION("10*SUMPRODUCT(
  ($B$2:$AA$21 = ""C"") *
  ($A$2:$A$21 = $A28) *
  (REGEXMATCH($B$1:$AA$1, ""(?i) BONUS""))
)
"),30.0)</f>
        <v>30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"),24.0)</f>
        <v>24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H29" s="2">
        <f>IFERROR(__xludf.DUMMYFUNCTION("SUMPRODUCT(
  ($B$2:$AA$21 = ""C"") *
  ($A$2:$A$21 = $A29)*NOT(REGEXMATCH($B$1:$AA$1, ""(?i)bonus"")
)
)"),6.0)</f>
        <v>6</v>
      </c>
      <c r="I29" s="2">
        <f>IFERROR(__xludf.DUMMYFUNCTION("10*SUMPRODUCT(
  ($B$2:$AA$21 = ""C"") *
  ($A$2:$A$21 = $A29) *
  (REGEXMATCH($B$1:$AA$1, ""(?i) BONUS""))
)
"),40.0)</f>
        <v>40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H30" s="2">
        <f>IFERROR(__xludf.DUMMYFUNCTION("SUMPRODUCT(
  ($B$2:$AA$21 = ""C"") *
  ($A$2:$A$21 = $A30)*NOT(REGEXMATCH($B$1:$AA$1, ""(?i)bonus"")
)
)"),2.0)</f>
        <v>2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236</v>
      </c>
      <c r="H1" s="1" t="s">
        <v>238</v>
      </c>
      <c r="I1" s="1" t="s">
        <v>237</v>
      </c>
      <c r="J1" s="1" t="s">
        <v>239</v>
      </c>
      <c r="K1" s="1" t="s">
        <v>240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237</v>
      </c>
      <c r="R1" s="1" t="s">
        <v>238</v>
      </c>
      <c r="S1" s="1" t="s">
        <v>236</v>
      </c>
      <c r="T1" s="1" t="s">
        <v>239</v>
      </c>
      <c r="U1" s="1" t="s">
        <v>241</v>
      </c>
      <c r="V1" s="1" t="s">
        <v>236</v>
      </c>
      <c r="W1" s="1" t="s">
        <v>237</v>
      </c>
      <c r="X1" s="1" t="s">
        <v>238</v>
      </c>
      <c r="Y1" s="1" t="s">
        <v>239</v>
      </c>
      <c r="Z1" s="1" t="s">
        <v>240</v>
      </c>
    </row>
    <row r="2">
      <c r="A2" s="1" t="s">
        <v>8</v>
      </c>
      <c r="B2" s="1" t="s">
        <v>10</v>
      </c>
      <c r="F2" s="1" t="s">
        <v>10</v>
      </c>
      <c r="L2" s="1" t="s">
        <v>10</v>
      </c>
      <c r="P2" s="1" t="s">
        <v>9</v>
      </c>
      <c r="V2" s="1" t="s">
        <v>8</v>
      </c>
    </row>
    <row r="3">
      <c r="A3" s="1" t="s">
        <v>11</v>
      </c>
      <c r="C3" s="1" t="s">
        <v>9</v>
      </c>
      <c r="G3" s="1" t="s">
        <v>9</v>
      </c>
      <c r="M3" s="1" t="s">
        <v>10</v>
      </c>
      <c r="P3" s="1" t="s">
        <v>10</v>
      </c>
      <c r="Q3" s="1" t="s">
        <v>9</v>
      </c>
      <c r="W3" s="1" t="s">
        <v>10</v>
      </c>
      <c r="Z3" s="1" t="s">
        <v>9</v>
      </c>
    </row>
    <row r="4">
      <c r="A4" s="1" t="s">
        <v>12</v>
      </c>
      <c r="D4" s="1" t="s">
        <v>10</v>
      </c>
      <c r="F4" s="1" t="s">
        <v>9</v>
      </c>
      <c r="H4" s="1" t="s">
        <v>10</v>
      </c>
      <c r="K4" s="1" t="s">
        <v>10</v>
      </c>
      <c r="N4" s="1" t="s">
        <v>10</v>
      </c>
      <c r="P4" s="1" t="s">
        <v>10</v>
      </c>
      <c r="R4" s="1" t="s">
        <v>10</v>
      </c>
      <c r="U4" s="1" t="s">
        <v>10</v>
      </c>
      <c r="X4" s="1" t="s">
        <v>10</v>
      </c>
      <c r="Z4" s="1" t="s">
        <v>10</v>
      </c>
    </row>
    <row r="5">
      <c r="A5" s="1" t="s">
        <v>10</v>
      </c>
      <c r="I5" s="1" t="s">
        <v>10</v>
      </c>
      <c r="K5" s="1" t="s">
        <v>9</v>
      </c>
      <c r="M5" s="1" t="s">
        <v>9</v>
      </c>
      <c r="Q5" s="1" t="s">
        <v>9</v>
      </c>
    </row>
    <row r="6">
      <c r="A6" s="1" t="s">
        <v>13</v>
      </c>
      <c r="B6" s="1" t="s">
        <v>10</v>
      </c>
      <c r="G6" s="1" t="s">
        <v>10</v>
      </c>
      <c r="K6" s="1" t="s">
        <v>9</v>
      </c>
      <c r="L6" s="1" t="s">
        <v>10</v>
      </c>
      <c r="P6" s="1" t="s">
        <v>9</v>
      </c>
      <c r="S6" s="1" t="s">
        <v>10</v>
      </c>
      <c r="U6" s="1" t="s">
        <v>9</v>
      </c>
      <c r="V6" s="1" t="s">
        <v>9</v>
      </c>
    </row>
    <row r="7">
      <c r="A7" s="1" t="s">
        <v>8</v>
      </c>
      <c r="B7" s="1" t="s">
        <v>10</v>
      </c>
      <c r="F7" s="1" t="s">
        <v>10</v>
      </c>
      <c r="L7" s="1" t="s">
        <v>8</v>
      </c>
      <c r="V7" s="1" t="s">
        <v>9</v>
      </c>
    </row>
    <row r="8">
      <c r="A8" s="1" t="s">
        <v>11</v>
      </c>
      <c r="C8" s="1" t="s">
        <v>10</v>
      </c>
      <c r="F8" s="1" t="s">
        <v>10</v>
      </c>
      <c r="I8" s="1" t="s">
        <v>9</v>
      </c>
      <c r="M8" s="1" t="s">
        <v>10</v>
      </c>
      <c r="P8" s="1" t="s">
        <v>10</v>
      </c>
      <c r="Q8" s="1" t="s">
        <v>10</v>
      </c>
      <c r="U8" s="1" t="s">
        <v>10</v>
      </c>
      <c r="W8" s="1" t="s">
        <v>9</v>
      </c>
    </row>
    <row r="9">
      <c r="A9" s="1" t="s">
        <v>12</v>
      </c>
      <c r="D9" s="1" t="s">
        <v>10</v>
      </c>
      <c r="F9" s="1" t="s">
        <v>10</v>
      </c>
      <c r="H9" s="1" t="s">
        <v>9</v>
      </c>
      <c r="N9" s="1" t="s">
        <v>10</v>
      </c>
      <c r="P9" s="1" t="s">
        <v>10</v>
      </c>
      <c r="R9" s="1" t="s">
        <v>10</v>
      </c>
      <c r="U9" s="1" t="s">
        <v>10</v>
      </c>
      <c r="X9" s="1" t="s">
        <v>10</v>
      </c>
      <c r="Z9" s="1" t="s">
        <v>10</v>
      </c>
    </row>
    <row r="10">
      <c r="A10" s="1" t="s">
        <v>10</v>
      </c>
      <c r="C10" s="1" t="s">
        <v>10</v>
      </c>
      <c r="F10" s="1" t="s">
        <v>10</v>
      </c>
      <c r="I10" s="1" t="s">
        <v>8</v>
      </c>
      <c r="M10" s="1" t="s">
        <v>10</v>
      </c>
      <c r="P10" s="1" t="s">
        <v>9</v>
      </c>
      <c r="S10" s="1" t="s">
        <v>10</v>
      </c>
      <c r="U10" s="1" t="s">
        <v>9</v>
      </c>
      <c r="W10" s="1" t="s">
        <v>9</v>
      </c>
    </row>
    <row r="11">
      <c r="A11" s="1" t="s">
        <v>13</v>
      </c>
      <c r="B11" s="1" t="s">
        <v>10</v>
      </c>
      <c r="F11" s="1" t="s">
        <v>10</v>
      </c>
      <c r="G11" s="1" t="s">
        <v>8</v>
      </c>
      <c r="L11" s="1" t="s">
        <v>9</v>
      </c>
      <c r="Y11" s="1" t="s">
        <v>9</v>
      </c>
    </row>
    <row r="12">
      <c r="A12" s="1" t="s">
        <v>8</v>
      </c>
      <c r="E12" s="1" t="s">
        <v>8</v>
      </c>
      <c r="L12" s="1" t="s">
        <v>10</v>
      </c>
      <c r="P12" s="1" t="s">
        <v>9</v>
      </c>
      <c r="S12" s="1" t="s">
        <v>10</v>
      </c>
      <c r="U12" s="1" t="s">
        <v>9</v>
      </c>
      <c r="V12" s="1" t="s">
        <v>10</v>
      </c>
      <c r="Z12" s="1" t="s">
        <v>10</v>
      </c>
    </row>
    <row r="13">
      <c r="A13" s="1" t="s">
        <v>11</v>
      </c>
      <c r="C13" s="1" t="s">
        <v>10</v>
      </c>
      <c r="F13" s="1" t="s">
        <v>9</v>
      </c>
      <c r="I13" s="1" t="s">
        <v>9</v>
      </c>
      <c r="M13" s="1" t="s">
        <v>9</v>
      </c>
      <c r="Q13" s="1" t="s">
        <v>10</v>
      </c>
      <c r="U13" s="1" t="s">
        <v>10</v>
      </c>
      <c r="W13" s="1" t="s">
        <v>10</v>
      </c>
      <c r="Z13" s="1" t="s">
        <v>9</v>
      </c>
    </row>
    <row r="14">
      <c r="A14" s="1" t="s">
        <v>12</v>
      </c>
      <c r="B14" s="1" t="s">
        <v>10</v>
      </c>
      <c r="F14" s="1" t="s">
        <v>10</v>
      </c>
      <c r="H14" s="1" t="s">
        <v>10</v>
      </c>
      <c r="K14" s="1" t="s">
        <v>10</v>
      </c>
      <c r="N14" s="1" t="s">
        <v>10</v>
      </c>
      <c r="P14" s="1" t="s">
        <v>10</v>
      </c>
      <c r="R14" s="1" t="s">
        <v>9</v>
      </c>
      <c r="X14" s="1" t="s">
        <v>9</v>
      </c>
    </row>
    <row r="15">
      <c r="A15" s="1" t="s">
        <v>10</v>
      </c>
      <c r="B15" s="1" t="s">
        <v>10</v>
      </c>
      <c r="F15" s="1" t="s">
        <v>10</v>
      </c>
      <c r="I15" s="1" t="s">
        <v>10</v>
      </c>
      <c r="K15" s="1" t="s">
        <v>10</v>
      </c>
      <c r="O15" s="1" t="s">
        <v>10</v>
      </c>
      <c r="P15" s="1" t="s">
        <v>9</v>
      </c>
      <c r="T15" s="1" t="s">
        <v>10</v>
      </c>
      <c r="U15" s="1" t="s">
        <v>10</v>
      </c>
    </row>
    <row r="16">
      <c r="A16" s="1" t="s">
        <v>13</v>
      </c>
      <c r="B16" s="1" t="s">
        <v>10</v>
      </c>
      <c r="F16" s="1" t="s">
        <v>9</v>
      </c>
      <c r="J16" s="1" t="s">
        <v>10</v>
      </c>
      <c r="K16" s="1" t="s">
        <v>9</v>
      </c>
      <c r="L16" s="1" t="s">
        <v>9</v>
      </c>
      <c r="S16" s="1" t="s">
        <v>9</v>
      </c>
      <c r="V16" s="1" t="s">
        <v>9</v>
      </c>
    </row>
    <row r="17">
      <c r="A17" s="1" t="s">
        <v>8</v>
      </c>
      <c r="B17" s="1"/>
      <c r="F17" s="1"/>
      <c r="J17" s="1" t="s">
        <v>10</v>
      </c>
      <c r="K17" s="1" t="s">
        <v>10</v>
      </c>
      <c r="M17" s="1" t="s">
        <v>10</v>
      </c>
      <c r="P17" s="1" t="s">
        <v>9</v>
      </c>
      <c r="S17" s="1" t="s">
        <v>10</v>
      </c>
      <c r="U17" s="1" t="s">
        <v>9</v>
      </c>
      <c r="W17" s="1" t="s">
        <v>9</v>
      </c>
    </row>
    <row r="18">
      <c r="A18" s="1" t="s">
        <v>11</v>
      </c>
      <c r="I18" s="1" t="s">
        <v>10</v>
      </c>
      <c r="K18" s="1" t="s">
        <v>10</v>
      </c>
      <c r="Q18" s="1" t="s">
        <v>10</v>
      </c>
      <c r="U18" s="1" t="s">
        <v>10</v>
      </c>
      <c r="W18" s="1" t="s">
        <v>10</v>
      </c>
      <c r="Z18" s="1" t="s">
        <v>10</v>
      </c>
    </row>
    <row r="19">
      <c r="A19" s="1" t="s">
        <v>12</v>
      </c>
      <c r="D19" s="1" t="s">
        <v>10</v>
      </c>
      <c r="F19" s="1" t="s">
        <v>10</v>
      </c>
      <c r="N19" s="1" t="s">
        <v>10</v>
      </c>
      <c r="P19" s="1" t="s">
        <v>10</v>
      </c>
      <c r="R19" s="1" t="s">
        <v>10</v>
      </c>
      <c r="U19" s="1" t="s">
        <v>10</v>
      </c>
      <c r="X19" s="1" t="s">
        <v>10</v>
      </c>
      <c r="Z19" s="1" t="s">
        <v>9</v>
      </c>
    </row>
    <row r="20">
      <c r="A20" s="1" t="s">
        <v>10</v>
      </c>
      <c r="E20" s="1" t="s">
        <v>10</v>
      </c>
      <c r="F20" s="1" t="s">
        <v>10</v>
      </c>
      <c r="I20" s="1" t="s">
        <v>8</v>
      </c>
      <c r="M20" s="1" t="s">
        <v>10</v>
      </c>
      <c r="P20" s="1" t="s">
        <v>9</v>
      </c>
      <c r="Q20" s="1" t="s">
        <v>10</v>
      </c>
      <c r="U20" s="1" t="s">
        <v>10</v>
      </c>
      <c r="Y20" s="1" t="s">
        <v>10</v>
      </c>
      <c r="Z20" s="1" t="s">
        <v>9</v>
      </c>
    </row>
    <row r="21">
      <c r="A21" s="1" t="s">
        <v>13</v>
      </c>
      <c r="B21" s="1" t="s">
        <v>9</v>
      </c>
      <c r="L21" s="1" t="s">
        <v>9</v>
      </c>
      <c r="S21" s="1" t="s">
        <v>10</v>
      </c>
      <c r="U21" s="1" t="s">
        <v>9</v>
      </c>
      <c r="V21" s="1" t="s">
        <v>8</v>
      </c>
    </row>
    <row r="23">
      <c r="A23" s="1"/>
      <c r="B23" s="1" t="s">
        <v>242</v>
      </c>
      <c r="C23" s="1" t="s">
        <v>243</v>
      </c>
      <c r="D23" s="1" t="s">
        <v>244</v>
      </c>
      <c r="E23" s="1" t="s">
        <v>245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5</v>
      </c>
      <c r="C24" s="2">
        <f t="shared" si="1"/>
        <v>5</v>
      </c>
      <c r="D24" s="2">
        <f t="shared" si="1"/>
        <v>5</v>
      </c>
      <c r="E24" s="2">
        <f t="shared" si="1"/>
        <v>5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"),20.0)</f>
        <v>20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H26" s="2">
        <f>IFERROR(__xludf.DUMMYFUNCTION("SUMPRODUCT(
  ($B$2:$AA$21 = ""C"") *
  ($A$2:$A$21 = $A26)*NOT(REGEXMATCH($B$1:$AA$1, ""(?i)bonus"")
)
)"),9.0)</f>
        <v>9</v>
      </c>
      <c r="I26" s="2">
        <f>IFERROR(__xludf.DUMMYFUNCTION("10*SUMPRODUCT(
  ($B$2:$AA$21 = ""C"") *
  ($A$2:$A$21 = $A26) *
  (REGEXMATCH($B$1:$AA$1, ""(?i) BONUS""))
)
"),40.0)</f>
        <v>40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"),44.0)</f>
        <v>44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)"),11.0)</f>
        <v>11</v>
      </c>
      <c r="I27" s="2">
        <f>IFERROR(__xludf.DUMMYFUNCTION("10*SUMPRODUCT(
  ($B$2:$AA$21 = ""C"") *
  ($A$2:$A$21 = $A27) *
  (REGEXMATCH($B$1:$AA$1, ""(?i) BONUS""))
)
"),80.0)</f>
        <v>80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"),4.0)</f>
        <v>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"),60.0)</f>
        <v>60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H28" s="2">
        <f>IFERROR(__xludf.DUMMYFUNCTION("SUMPRODUCT(
  ($B$2:$AA$21 = ""C"") *
  ($A$2:$A$21 = $A28)*NOT(REGEXMATCH($B$1:$AA$1, ""(?i)bonus"")
)
)"),16.0)</f>
        <v>16</v>
      </c>
      <c r="I28" s="2">
        <f>IFERROR(__xludf.DUMMYFUNCTION("10*SUMPRODUCT(
  ($B$2:$AA$21 = ""C"") *
  ($A$2:$A$21 = $A28) *
  (REGEXMATCH($B$1:$AA$1, ""(?i) BONUS""))
)
"),140.0)</f>
        <v>140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"),8.0)</f>
        <v>8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"),16.0)</f>
        <v>16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"),16.0)</f>
        <v>16</v>
      </c>
      <c r="H29" s="2">
        <f>IFERROR(__xludf.DUMMYFUNCTION("SUMPRODUCT(
  ($B$2:$AA$21 = ""C"") *
  ($A$2:$A$21 = $A29)*NOT(REGEXMATCH($B$1:$AA$1, ""(?i)bonus"")
)
)"),12.0)</f>
        <v>12</v>
      </c>
      <c r="I29" s="2">
        <f>IFERROR(__xludf.DUMMYFUNCTION("10*SUMPRODUCT(
  ($B$2:$AA$21 = ""C"") *
  ($A$2:$A$21 = $A29) *
  (REGEXMATCH($B$1:$AA$1, ""(?i) BONUS""))
)
"),60.0)</f>
        <v>60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"),20.0)</f>
        <v>20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H30" s="2">
        <f>IFERROR(__xludf.DUMMYFUNCTION("SUMPRODUCT(
  ($B$2:$AA$21 = ""C"") *
  ($A$2:$A$21 = $A30)*NOT(REGEXMATCH($B$1:$AA$1, ""(?i)bonus"")
)
)"),8.0)</f>
        <v>8</v>
      </c>
      <c r="I30" s="2">
        <f>IFERROR(__xludf.DUMMYFUNCTION("10*SUMPRODUCT(
  ($B$2:$AA$21 = ""C"") *
  ($A$2:$A$21 = $A30) *
  (REGEXMATCH($B$1:$AA$1, ""(?i) BONUS""))
)
"),10.0)</f>
        <v>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248</v>
      </c>
      <c r="J1" s="1" t="s">
        <v>250</v>
      </c>
      <c r="K1" s="1" t="s">
        <v>251</v>
      </c>
      <c r="L1" s="1" t="s">
        <v>252</v>
      </c>
      <c r="M1" s="1" t="s">
        <v>248</v>
      </c>
      <c r="N1" s="1" t="s">
        <v>250</v>
      </c>
      <c r="O1" s="1" t="s">
        <v>253</v>
      </c>
      <c r="P1" s="1" t="s">
        <v>248</v>
      </c>
      <c r="Q1" s="1" t="s">
        <v>252</v>
      </c>
      <c r="R1" s="1" t="s">
        <v>250</v>
      </c>
    </row>
    <row r="2">
      <c r="A2" s="18" t="s">
        <v>8</v>
      </c>
      <c r="D2" s="1" t="s">
        <v>10</v>
      </c>
      <c r="F2" s="1" t="s">
        <v>9</v>
      </c>
      <c r="G2" s="1" t="s">
        <v>9</v>
      </c>
      <c r="O2" s="1" t="s">
        <v>9</v>
      </c>
    </row>
    <row r="3">
      <c r="A3" s="18" t="s">
        <v>11</v>
      </c>
      <c r="B3" s="1" t="s">
        <v>10</v>
      </c>
      <c r="C3" s="1" t="s">
        <v>10</v>
      </c>
      <c r="K3" s="1" t="s">
        <v>9</v>
      </c>
    </row>
    <row r="4">
      <c r="A4" s="19" t="s">
        <v>12</v>
      </c>
      <c r="E4" s="1" t="s">
        <v>9</v>
      </c>
      <c r="L4" s="1" t="s">
        <v>9</v>
      </c>
    </row>
    <row r="5">
      <c r="A5" s="19" t="s">
        <v>10</v>
      </c>
      <c r="B5" s="1" t="s">
        <v>10</v>
      </c>
      <c r="G5" s="1" t="s">
        <v>9</v>
      </c>
    </row>
    <row r="6">
      <c r="A6" s="19" t="s">
        <v>13</v>
      </c>
      <c r="E6" s="1" t="s">
        <v>9</v>
      </c>
      <c r="L6" s="1" t="s">
        <v>9</v>
      </c>
      <c r="P6" s="1" t="s">
        <v>9</v>
      </c>
    </row>
    <row r="7">
      <c r="A7" s="19" t="s">
        <v>8</v>
      </c>
      <c r="D7" s="1" t="s">
        <v>10</v>
      </c>
      <c r="F7" s="1" t="s">
        <v>9</v>
      </c>
      <c r="G7" s="1" t="s">
        <v>9</v>
      </c>
      <c r="K7" s="1" t="s">
        <v>9</v>
      </c>
    </row>
    <row r="8">
      <c r="A8" s="19" t="s">
        <v>11</v>
      </c>
      <c r="E8" s="1" t="s">
        <v>9</v>
      </c>
    </row>
    <row r="9">
      <c r="A9" s="19" t="s">
        <v>12</v>
      </c>
      <c r="D9" s="1" t="s">
        <v>10</v>
      </c>
      <c r="F9" s="1" t="s">
        <v>9</v>
      </c>
      <c r="G9" s="1" t="s">
        <v>9</v>
      </c>
      <c r="O9" s="1" t="s">
        <v>10</v>
      </c>
      <c r="R9" s="1" t="s">
        <v>9</v>
      </c>
    </row>
    <row r="10">
      <c r="A10" s="19" t="s">
        <v>10</v>
      </c>
      <c r="E10" s="1" t="s">
        <v>9</v>
      </c>
    </row>
    <row r="11">
      <c r="A11" s="19" t="s">
        <v>13</v>
      </c>
      <c r="E11" s="1" t="s">
        <v>10</v>
      </c>
      <c r="F11" s="1" t="s">
        <v>10</v>
      </c>
      <c r="K11" s="1" t="s">
        <v>9</v>
      </c>
      <c r="O11" s="1" t="s">
        <v>9</v>
      </c>
    </row>
    <row r="12">
      <c r="A12" s="19" t="s">
        <v>8</v>
      </c>
      <c r="B12" s="1" t="s">
        <v>9</v>
      </c>
      <c r="D12" s="1" t="s">
        <v>10</v>
      </c>
      <c r="F12" s="1" t="s">
        <v>9</v>
      </c>
      <c r="K12" s="1" t="s">
        <v>9</v>
      </c>
      <c r="Q12" s="1" t="s">
        <v>9</v>
      </c>
    </row>
    <row r="13">
      <c r="A13" s="19" t="s">
        <v>11</v>
      </c>
      <c r="O13" s="1" t="s">
        <v>10</v>
      </c>
      <c r="R13" s="1" t="s">
        <v>9</v>
      </c>
    </row>
    <row r="14">
      <c r="A14" s="19" t="s">
        <v>12</v>
      </c>
      <c r="G14" s="1" t="s">
        <v>9</v>
      </c>
      <c r="K14" s="1" t="s">
        <v>9</v>
      </c>
      <c r="O14" s="1" t="s">
        <v>9</v>
      </c>
    </row>
    <row r="15">
      <c r="A15" s="19" t="s">
        <v>10</v>
      </c>
      <c r="E15" s="1" t="s">
        <v>10</v>
      </c>
      <c r="F15" s="1" t="s">
        <v>9</v>
      </c>
    </row>
    <row r="16">
      <c r="A16" s="19" t="s">
        <v>13</v>
      </c>
      <c r="E16" s="1" t="s">
        <v>10</v>
      </c>
      <c r="F16" s="1" t="s">
        <v>9</v>
      </c>
      <c r="H16" s="1" t="s">
        <v>10</v>
      </c>
      <c r="J16" s="1" t="s">
        <v>9</v>
      </c>
      <c r="K16" s="1" t="s">
        <v>9</v>
      </c>
    </row>
    <row r="17">
      <c r="A17" s="19" t="s">
        <v>8</v>
      </c>
      <c r="E17" s="1" t="s">
        <v>8</v>
      </c>
      <c r="G17" s="1" t="s">
        <v>9</v>
      </c>
    </row>
    <row r="18">
      <c r="A18" s="18" t="s">
        <v>11</v>
      </c>
      <c r="B18" s="1" t="s">
        <v>10</v>
      </c>
      <c r="C18" s="1" t="s">
        <v>9</v>
      </c>
      <c r="E18" s="1" t="s">
        <v>9</v>
      </c>
    </row>
    <row r="19">
      <c r="A19" s="18" t="s">
        <v>12</v>
      </c>
      <c r="I19" s="1" t="s">
        <v>9</v>
      </c>
      <c r="K19" s="1" t="s">
        <v>9</v>
      </c>
    </row>
    <row r="20">
      <c r="A20" s="17" t="s">
        <v>10</v>
      </c>
      <c r="G20" s="1" t="s">
        <v>9</v>
      </c>
      <c r="K20" s="1" t="s">
        <v>9</v>
      </c>
    </row>
    <row r="21">
      <c r="A21" s="18" t="s">
        <v>13</v>
      </c>
      <c r="H21" s="1" t="s">
        <v>10</v>
      </c>
      <c r="M21" s="1" t="s">
        <v>10</v>
      </c>
      <c r="N21" s="1" t="s">
        <v>9</v>
      </c>
    </row>
    <row r="23">
      <c r="A23" s="1"/>
      <c r="B23" s="1" t="s">
        <v>254</v>
      </c>
      <c r="C23" s="1" t="s">
        <v>255</v>
      </c>
      <c r="D23" s="1" t="s">
        <v>256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D24" si="1">COUNTIF($A1:Z1,"*"&amp;B23&amp;"*")</f>
        <v>5</v>
      </c>
      <c r="C24" s="2">
        <f t="shared" si="1"/>
        <v>4</v>
      </c>
      <c r="D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"),-4.0)</f>
        <v>-4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"),12.0)</f>
        <v>12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H26" s="2">
        <f>IFERROR(__xludf.DUMMYFUNCTION("SUMPRODUCT(
  ($B$2:$AA$21 = ""C"") *
  ($A$2:$A$21 = $A26)*NOT(REGEXMATCH($B$1:$AA$1, ""(?i)bonus"")
)
)"),3.0)</f>
        <v>3</v>
      </c>
      <c r="I26" s="2">
        <f>IFERROR(__xludf.DUMMYFUNCTION("10*SUMPRODUCT(
  ($B$2:$AA$21 = ""C"") *
  ($A$2:$A$21 = $A26) *
  (REGEXMATCH($B$1:$AA$1, ""(?i) BONUS""))
)
"),0.0)</f>
        <v>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"),12.0)</f>
        <v>12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H27" s="2">
        <f>IFERROR(__xludf.DUMMYFUNCTION("SUMPRODUCT(
  ($B$2:$AA$21 = ""C"") *
  ($A$2:$A$21 = $A27)*NOT(REGEXMATCH($B$1:$AA$1, ""(?i)bonus"")
)
)"),3.0)</f>
        <v>3</v>
      </c>
      <c r="I27" s="2">
        <f>IFERROR(__xludf.DUMMYFUNCTION("10*SUMPRODUCT(
  ($B$2:$AA$21 = ""C"") *
  ($A$2:$A$21 = $A27) *
  (REGEXMATCH($B$1:$AA$1, ""(?i) BONUS""))
)
"),10.0)</f>
        <v>10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"),4.0)</f>
        <v>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"),4.0)</f>
        <v>4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H28" s="2">
        <f>IFERROR(__xludf.DUMMYFUNCTION("SUMPRODUCT(
  ($B$2:$AA$21 = ""C"") *
  ($A$2:$A$21 = $A28)*NOT(REGEXMATCH($B$1:$AA$1, ""(?i)bonus"")
)
)"),2.0)</f>
        <v>2</v>
      </c>
      <c r="I28" s="2">
        <f>IFERROR(__xludf.DUMMYFUNCTION("10*SUMPRODUCT(
  ($B$2:$AA$21 = ""C"") *
  ($A$2:$A$21 = $A28) *
  (REGEXMATCH($B$1:$AA$1, ""(?i) BONUS""))
)
"),0.0)</f>
        <v>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"),8.0)</f>
        <v>8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H29" s="2">
        <f>IFERROR(__xludf.DUMMYFUNCTION("SUMPRODUCT(
  ($B$2:$AA$21 = ""C"") *
  ($A$2:$A$21 = $A29)*NOT(REGEXMATCH($B$1:$AA$1, ""(?i)bonus"")
)
)"),2.0)</f>
        <v>2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"),8.0)</f>
        <v>8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"),4.0)</f>
        <v>4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"),8.0)</f>
        <v>8</v>
      </c>
      <c r="H30" s="2">
        <f>IFERROR(__xludf.DUMMYFUNCTION("SUMPRODUCT(
  ($B$2:$AA$21 = ""C"") *
  ($A$2:$A$21 = $A30)*NOT(REGEXMATCH($B$1:$AA$1, ""(?i)bonus"")
)
)"),5.0)</f>
        <v>5</v>
      </c>
      <c r="I30" s="2">
        <f>IFERROR(__xludf.DUMMYFUNCTION("10*SUMPRODUCT(
  ($B$2:$AA$21 = ""C"") *
  ($A$2:$A$21 = $A30) *
  (REGEXMATCH($B$1:$AA$1, ""(?i) BONUS""))
)
"),10.0)</f>
        <v>10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258</v>
      </c>
      <c r="G1" s="1" t="s">
        <v>261</v>
      </c>
      <c r="H1" s="1" t="s">
        <v>262</v>
      </c>
      <c r="I1" s="1" t="s">
        <v>263</v>
      </c>
      <c r="J1" s="1" t="s">
        <v>258</v>
      </c>
      <c r="K1" s="1" t="s">
        <v>264</v>
      </c>
      <c r="L1" s="1" t="s">
        <v>262</v>
      </c>
      <c r="M1" s="1" t="s">
        <v>265</v>
      </c>
      <c r="N1" s="1" t="s">
        <v>258</v>
      </c>
      <c r="O1" s="1" t="s">
        <v>264</v>
      </c>
      <c r="P1" s="1" t="s">
        <v>261</v>
      </c>
      <c r="Q1" s="1" t="s">
        <v>262</v>
      </c>
    </row>
    <row r="2">
      <c r="A2" s="1" t="s">
        <v>8</v>
      </c>
      <c r="I2" s="1" t="s">
        <v>9</v>
      </c>
    </row>
    <row r="3">
      <c r="A3" s="1" t="s">
        <v>11</v>
      </c>
      <c r="J3" s="1" t="s">
        <v>8</v>
      </c>
    </row>
    <row r="4">
      <c r="A4" s="1" t="s">
        <v>12</v>
      </c>
      <c r="J4" s="1" t="s">
        <v>9</v>
      </c>
    </row>
    <row r="5">
      <c r="A5" s="1" t="s">
        <v>10</v>
      </c>
      <c r="F5" s="1" t="s">
        <v>9</v>
      </c>
    </row>
    <row r="6">
      <c r="A6" s="1" t="s">
        <v>13</v>
      </c>
      <c r="F6" s="1" t="s">
        <v>10</v>
      </c>
      <c r="H6" s="1" t="s">
        <v>9</v>
      </c>
    </row>
    <row r="7">
      <c r="A7" s="1" t="s">
        <v>8</v>
      </c>
      <c r="B7" s="1" t="s">
        <v>9</v>
      </c>
      <c r="M7" s="1" t="s">
        <v>9</v>
      </c>
    </row>
    <row r="8">
      <c r="A8" s="1" t="s">
        <v>11</v>
      </c>
      <c r="C8" s="1" t="s">
        <v>10</v>
      </c>
      <c r="E8" s="1" t="s">
        <v>10</v>
      </c>
      <c r="F8" s="1" t="s">
        <v>9</v>
      </c>
      <c r="N8" s="1" t="s">
        <v>10</v>
      </c>
      <c r="Q8" s="1" t="s">
        <v>10</v>
      </c>
    </row>
    <row r="9">
      <c r="A9" s="1" t="s">
        <v>12</v>
      </c>
      <c r="G9" s="1" t="s">
        <v>10</v>
      </c>
      <c r="H9" s="1" t="s">
        <v>9</v>
      </c>
      <c r="J9" s="1" t="s">
        <v>9</v>
      </c>
    </row>
    <row r="10">
      <c r="A10" s="1" t="s">
        <v>10</v>
      </c>
      <c r="J10" s="1" t="s">
        <v>9</v>
      </c>
    </row>
    <row r="11">
      <c r="A11" s="1" t="s">
        <v>13</v>
      </c>
      <c r="C11" s="1" t="s">
        <v>10</v>
      </c>
      <c r="E11" s="1" t="s">
        <v>9</v>
      </c>
    </row>
    <row r="12">
      <c r="A12" s="1" t="s">
        <v>8</v>
      </c>
      <c r="C12" s="1" t="s">
        <v>9</v>
      </c>
      <c r="O12" s="1" t="s">
        <v>10</v>
      </c>
      <c r="Q12" s="1" t="s">
        <v>9</v>
      </c>
    </row>
    <row r="13">
      <c r="A13" s="1" t="s">
        <v>11</v>
      </c>
      <c r="D13" s="1" t="s">
        <v>9</v>
      </c>
      <c r="F13" s="1" t="s">
        <v>10</v>
      </c>
      <c r="H13" s="1" t="s">
        <v>9</v>
      </c>
      <c r="K13" s="1" t="s">
        <v>8</v>
      </c>
    </row>
    <row r="14">
      <c r="A14" s="1" t="s">
        <v>12</v>
      </c>
      <c r="B14" s="1" t="s">
        <v>10</v>
      </c>
      <c r="E14" s="1" t="s">
        <v>9</v>
      </c>
      <c r="J14" s="1" t="s">
        <v>10</v>
      </c>
      <c r="L14" s="1" t="s">
        <v>9</v>
      </c>
    </row>
    <row r="15">
      <c r="A15" s="1" t="s">
        <v>10</v>
      </c>
      <c r="D15" s="1" t="s">
        <v>10</v>
      </c>
      <c r="E15" s="1" t="s">
        <v>9</v>
      </c>
      <c r="F15" s="1" t="s">
        <v>10</v>
      </c>
      <c r="H15" s="1" t="s">
        <v>9</v>
      </c>
      <c r="N15" s="1" t="s">
        <v>9</v>
      </c>
    </row>
    <row r="16">
      <c r="A16" s="1" t="s">
        <v>13</v>
      </c>
      <c r="C16" s="1" t="s">
        <v>10</v>
      </c>
      <c r="E16" s="1" t="s">
        <v>9</v>
      </c>
      <c r="I16" s="1" t="s">
        <v>8</v>
      </c>
      <c r="P16" s="1" t="s">
        <v>10</v>
      </c>
      <c r="Q16" s="1" t="s">
        <v>10</v>
      </c>
    </row>
    <row r="17">
      <c r="A17" s="1" t="s">
        <v>8</v>
      </c>
      <c r="B17" s="1" t="s">
        <v>9</v>
      </c>
      <c r="F17" s="1" t="s">
        <v>10</v>
      </c>
      <c r="H17" s="1" t="s">
        <v>10</v>
      </c>
      <c r="I17" s="1" t="s">
        <v>10</v>
      </c>
      <c r="L17" s="1" t="s">
        <v>9</v>
      </c>
    </row>
    <row r="18">
      <c r="A18" s="1" t="s">
        <v>11</v>
      </c>
    </row>
    <row r="19">
      <c r="A19" s="1" t="s">
        <v>12</v>
      </c>
      <c r="C19" s="1" t="s">
        <v>9</v>
      </c>
      <c r="J19" s="1" t="s">
        <v>9</v>
      </c>
    </row>
    <row r="20">
      <c r="A20" s="1" t="s">
        <v>10</v>
      </c>
      <c r="D20" s="1" t="s">
        <v>10</v>
      </c>
      <c r="E20" s="1" t="s">
        <v>9</v>
      </c>
      <c r="N20" s="1" t="s">
        <v>9</v>
      </c>
    </row>
    <row r="21">
      <c r="A21" s="1" t="s">
        <v>13</v>
      </c>
      <c r="C21" s="1" t="s">
        <v>8</v>
      </c>
      <c r="J21" s="1" t="s">
        <v>9</v>
      </c>
      <c r="N21" s="1" t="s">
        <v>10</v>
      </c>
    </row>
    <row r="23">
      <c r="A23" s="1"/>
      <c r="B23" s="1" t="s">
        <v>266</v>
      </c>
      <c r="C23" s="1" t="s">
        <v>267</v>
      </c>
      <c r="D23" s="1" t="s">
        <v>268</v>
      </c>
      <c r="E23" s="1" t="s">
        <v>269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3</v>
      </c>
      <c r="C24" s="2">
        <f t="shared" si="1"/>
        <v>4</v>
      </c>
      <c r="D24" s="2">
        <f t="shared" si="1"/>
        <v>3</v>
      </c>
      <c r="E24" s="2">
        <f t="shared" si="1"/>
        <v>2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"),4.0)</f>
        <v>4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H26" s="2">
        <f>IFERROR(__xludf.DUMMYFUNCTION("SUMPRODUCT(
  ($B$2:$AA$21 = ""C"") *
  ($A$2:$A$21 = $A26)*NOT(REGEXMATCH($B$1:$AA$1, ""(?i)bonus"")
)
)"),3.0)</f>
        <v>3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"),8.0)</f>
        <v>8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"),-4.0)</f>
        <v>-4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)"),3.0)</f>
        <v>3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"),4.0)</f>
        <v>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"),4.0)</f>
        <v>4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"),4.0)</f>
        <v>4</v>
      </c>
      <c r="H28" s="2">
        <f>IFERROR(__xludf.DUMMYFUNCTION("SUMPRODUCT(
  ($B$2:$AA$21 = ""C"") *
  ($A$2:$A$21 = $A28)*NOT(REGEXMATCH($B$1:$AA$1, ""(?i)bonus"")
)
)"),3.0)</f>
        <v>3</v>
      </c>
      <c r="I28" s="2">
        <f>IFERROR(__xludf.DUMMYFUNCTION("10*SUMPRODUCT(
  ($B$2:$AA$21 = ""C"") *
  ($A$2:$A$21 = $A28) *
  (REGEXMATCH($B$1:$AA$1, ""(?i) BONUS""))
)
"),0.0)</f>
        <v>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"),0.0)</f>
        <v>0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"),4.0)</f>
        <v>4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"),8.0)</f>
        <v>8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)"),3.0)</f>
        <v>3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"),-4.0)</f>
        <v>-4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"),12.0)</f>
        <v>12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H30" s="2">
        <f>IFERROR(__xludf.DUMMYFUNCTION("SUMPRODUCT(
  ($B$2:$AA$21 = ""C"") *
  ($A$2:$A$21 = $A30)*NOT(REGEXMATCH($B$1:$AA$1, ""(?i)bonus"")
)
)"),5.0)</f>
        <v>5</v>
      </c>
      <c r="I30" s="2">
        <f>IFERROR(__xludf.DUMMYFUNCTION("10*SUMPRODUCT(
  ($B$2:$AA$21 = ""C"") *
  ($A$2:$A$21 = $A30) *
  (REGEXMATCH($B$1:$AA$1, ""(?i) BONUS""))
)
"),10.0)</f>
        <v>10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270</v>
      </c>
      <c r="C1" s="1" t="s">
        <v>271</v>
      </c>
      <c r="D1" s="1" t="s">
        <v>270</v>
      </c>
      <c r="E1" s="1" t="s">
        <v>272</v>
      </c>
      <c r="F1" s="1" t="s">
        <v>63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63</v>
      </c>
      <c r="L1" s="1" t="s">
        <v>271</v>
      </c>
      <c r="M1" s="1" t="s">
        <v>270</v>
      </c>
      <c r="N1" s="1" t="s">
        <v>273</v>
      </c>
      <c r="O1" s="1" t="s">
        <v>63</v>
      </c>
      <c r="P1" s="1" t="s">
        <v>271</v>
      </c>
    </row>
    <row r="2">
      <c r="A2" s="1" t="s">
        <v>8</v>
      </c>
      <c r="D2" s="1" t="s">
        <v>10</v>
      </c>
      <c r="H2" s="1" t="s">
        <v>10</v>
      </c>
      <c r="I2" s="1" t="s">
        <v>8</v>
      </c>
      <c r="M2" s="1" t="s">
        <v>10</v>
      </c>
      <c r="P2" s="1" t="s">
        <v>9</v>
      </c>
    </row>
    <row r="3">
      <c r="A3" s="1" t="s">
        <v>11</v>
      </c>
      <c r="B3" s="1" t="s">
        <v>10</v>
      </c>
      <c r="C3" s="1" t="s">
        <v>10</v>
      </c>
      <c r="E3" s="1" t="s">
        <v>10</v>
      </c>
      <c r="H3" s="1" t="s">
        <v>9</v>
      </c>
      <c r="I3" s="1" t="s">
        <v>10</v>
      </c>
      <c r="L3" s="1" t="s">
        <v>9</v>
      </c>
      <c r="N3" s="1" t="s">
        <v>10</v>
      </c>
      <c r="P3" s="1" t="s">
        <v>10</v>
      </c>
    </row>
    <row r="4">
      <c r="A4" s="1" t="s">
        <v>12</v>
      </c>
      <c r="E4" s="1" t="s">
        <v>10</v>
      </c>
      <c r="H4" s="1" t="s">
        <v>10</v>
      </c>
      <c r="M4" s="1" t="s">
        <v>10</v>
      </c>
      <c r="P4" s="1" t="s">
        <v>10</v>
      </c>
    </row>
    <row r="5">
      <c r="A5" s="1" t="s">
        <v>10</v>
      </c>
      <c r="B5" s="1" t="s">
        <v>10</v>
      </c>
      <c r="C5" s="1" t="s">
        <v>10</v>
      </c>
      <c r="D5" s="1" t="s">
        <v>8</v>
      </c>
      <c r="M5" s="1" t="s">
        <v>10</v>
      </c>
      <c r="P5" s="1" t="s">
        <v>9</v>
      </c>
    </row>
    <row r="6">
      <c r="A6" s="1" t="s">
        <v>13</v>
      </c>
      <c r="F6" s="1" t="s">
        <v>10</v>
      </c>
      <c r="H6" s="1" t="s">
        <v>10</v>
      </c>
      <c r="I6" s="1" t="s">
        <v>9</v>
      </c>
      <c r="O6" s="1" t="s">
        <v>10</v>
      </c>
      <c r="P6" s="1" t="s">
        <v>9</v>
      </c>
    </row>
    <row r="7">
      <c r="A7" s="1" t="s">
        <v>8</v>
      </c>
      <c r="B7" s="1" t="s">
        <v>10</v>
      </c>
      <c r="C7" s="1" t="s">
        <v>10</v>
      </c>
      <c r="I7" s="1" t="s">
        <v>9</v>
      </c>
      <c r="O7" s="1" t="s">
        <v>10</v>
      </c>
      <c r="P7" s="1" t="s">
        <v>9</v>
      </c>
    </row>
    <row r="8">
      <c r="A8" s="1" t="s">
        <v>11</v>
      </c>
      <c r="G8" s="1" t="s">
        <v>9</v>
      </c>
      <c r="I8" s="1" t="s">
        <v>9</v>
      </c>
      <c r="N8" s="1" t="s">
        <v>8</v>
      </c>
    </row>
    <row r="9">
      <c r="A9" s="1" t="s">
        <v>12</v>
      </c>
      <c r="B9" s="1" t="s">
        <v>10</v>
      </c>
      <c r="C9" s="1" t="s">
        <v>10</v>
      </c>
      <c r="E9" s="1" t="s">
        <v>10</v>
      </c>
      <c r="H9" s="1" t="s">
        <v>9</v>
      </c>
      <c r="M9" s="1" t="s">
        <v>10</v>
      </c>
      <c r="P9" s="1" t="s">
        <v>9</v>
      </c>
    </row>
    <row r="10">
      <c r="A10" s="1" t="s">
        <v>10</v>
      </c>
      <c r="B10" s="1" t="s">
        <v>10</v>
      </c>
      <c r="C10" s="1" t="s">
        <v>10</v>
      </c>
      <c r="I10" s="1" t="s">
        <v>9</v>
      </c>
      <c r="M10" s="1" t="s">
        <v>10</v>
      </c>
      <c r="P10" s="1" t="s">
        <v>10</v>
      </c>
    </row>
    <row r="11">
      <c r="A11" s="1" t="s">
        <v>13</v>
      </c>
      <c r="B11" s="1" t="s">
        <v>8</v>
      </c>
      <c r="F11" s="1" t="s">
        <v>10</v>
      </c>
      <c r="H11" s="1" t="s">
        <v>10</v>
      </c>
      <c r="O11" s="1" t="s">
        <v>9</v>
      </c>
    </row>
    <row r="12">
      <c r="A12" s="1" t="s">
        <v>8</v>
      </c>
      <c r="B12" s="1" t="s">
        <v>10</v>
      </c>
      <c r="C12" s="1" t="s">
        <v>9</v>
      </c>
      <c r="D12" s="1" t="s">
        <v>10</v>
      </c>
      <c r="H12" s="1" t="s">
        <v>10</v>
      </c>
      <c r="M12" s="1" t="s">
        <v>8</v>
      </c>
    </row>
    <row r="13">
      <c r="A13" s="1" t="s">
        <v>11</v>
      </c>
      <c r="B13" s="1" t="s">
        <v>8</v>
      </c>
      <c r="E13" s="1" t="s">
        <v>10</v>
      </c>
      <c r="H13" s="1" t="s">
        <v>10</v>
      </c>
      <c r="N13" s="1" t="s">
        <v>10</v>
      </c>
      <c r="P13" s="1" t="s">
        <v>9</v>
      </c>
    </row>
    <row r="14">
      <c r="A14" s="1" t="s">
        <v>12</v>
      </c>
      <c r="B14" s="1" t="s">
        <v>10</v>
      </c>
      <c r="C14" s="1" t="s">
        <v>9</v>
      </c>
      <c r="G14" s="1" t="s">
        <v>10</v>
      </c>
      <c r="H14" s="1" t="s">
        <v>10</v>
      </c>
      <c r="I14" s="1" t="s">
        <v>9</v>
      </c>
      <c r="O14" s="1" t="s">
        <v>10</v>
      </c>
      <c r="P14" s="1" t="s">
        <v>9</v>
      </c>
    </row>
    <row r="15">
      <c r="A15" s="1" t="s">
        <v>10</v>
      </c>
      <c r="B15" s="1" t="s">
        <v>10</v>
      </c>
      <c r="C15" s="1" t="s">
        <v>9</v>
      </c>
      <c r="D15" s="1" t="s">
        <v>9</v>
      </c>
      <c r="J15" s="1" t="s">
        <v>9</v>
      </c>
      <c r="N15" s="1" t="s">
        <v>9</v>
      </c>
    </row>
    <row r="16">
      <c r="A16" s="1" t="s">
        <v>13</v>
      </c>
      <c r="B16" s="1" t="s">
        <v>9</v>
      </c>
      <c r="F16" s="1" t="s">
        <v>10</v>
      </c>
      <c r="H16" s="1" t="s">
        <v>10</v>
      </c>
      <c r="K16" s="1" t="s">
        <v>10</v>
      </c>
      <c r="L16" s="1" t="s">
        <v>9</v>
      </c>
      <c r="N16" s="1" t="s">
        <v>9</v>
      </c>
    </row>
    <row r="17">
      <c r="A17" s="1" t="s">
        <v>8</v>
      </c>
      <c r="B17" s="1" t="s">
        <v>10</v>
      </c>
      <c r="C17" s="1" t="s">
        <v>10</v>
      </c>
      <c r="N17" s="1" t="s">
        <v>10</v>
      </c>
      <c r="P17" s="1" t="s">
        <v>10</v>
      </c>
    </row>
    <row r="18">
      <c r="A18" s="1" t="s">
        <v>11</v>
      </c>
      <c r="B18" s="1" t="s">
        <v>10</v>
      </c>
      <c r="C18" s="1" t="s">
        <v>9</v>
      </c>
      <c r="I18" s="1" t="s">
        <v>10</v>
      </c>
      <c r="L18" s="1" t="s">
        <v>9</v>
      </c>
      <c r="N18" s="1" t="s">
        <v>10</v>
      </c>
      <c r="P18" s="1" t="s">
        <v>10</v>
      </c>
    </row>
    <row r="19">
      <c r="A19" s="1" t="s">
        <v>12</v>
      </c>
      <c r="B19" s="1" t="s">
        <v>10</v>
      </c>
      <c r="C19" s="1" t="s">
        <v>9</v>
      </c>
      <c r="D19" s="1" t="s">
        <v>10</v>
      </c>
      <c r="H19" s="1" t="s">
        <v>10</v>
      </c>
      <c r="I19" s="1" t="s">
        <v>10</v>
      </c>
      <c r="L19" s="1" t="s">
        <v>9</v>
      </c>
      <c r="O19" s="1" t="s">
        <v>10</v>
      </c>
      <c r="P19" s="1" t="s">
        <v>9</v>
      </c>
    </row>
    <row r="20">
      <c r="A20" s="1" t="s">
        <v>10</v>
      </c>
      <c r="B20" s="1" t="s">
        <v>10</v>
      </c>
      <c r="C20" s="1" t="s">
        <v>10</v>
      </c>
      <c r="D20" s="1" t="s">
        <v>9</v>
      </c>
      <c r="M20" s="1" t="s">
        <v>8</v>
      </c>
    </row>
    <row r="21">
      <c r="A21" s="1" t="s">
        <v>13</v>
      </c>
      <c r="D21" s="1" t="s">
        <v>10</v>
      </c>
      <c r="H21" s="1" t="s">
        <v>10</v>
      </c>
      <c r="I21" s="1" t="s">
        <v>9</v>
      </c>
      <c r="O21" s="1" t="s">
        <v>9</v>
      </c>
    </row>
    <row r="23">
      <c r="A23" s="1"/>
      <c r="B23" s="1" t="s">
        <v>277</v>
      </c>
      <c r="C23" s="1" t="s">
        <v>278</v>
      </c>
      <c r="D23" s="1" t="s">
        <v>166</v>
      </c>
      <c r="E23" s="1" t="s">
        <v>279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4</v>
      </c>
      <c r="C24" s="2">
        <f t="shared" si="1"/>
        <v>1</v>
      </c>
      <c r="D24" s="2">
        <f t="shared" si="1"/>
        <v>3</v>
      </c>
      <c r="E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"),20.0)</f>
        <v>20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"),4.0)</f>
        <v>4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H26" s="2">
        <f>IFERROR(__xludf.DUMMYFUNCTION("SUMPRODUCT(
  ($B$2:$AA$21 = ""C"") *
  ($A$2:$A$21 = $A26)*NOT(REGEXMATCH($B$1:$AA$1, ""(?i)bonus"")
)
)"),8.0)</f>
        <v>8</v>
      </c>
      <c r="I26" s="2">
        <f>IFERROR(__xludf.DUMMYFUNCTION("10*SUMPRODUCT(
  ($B$2:$AA$21 = ""C"") *
  ($A$2:$A$21 = $A26) *
  (REGEXMATCH($B$1:$AA$1, ""(?i) BONUS""))
)
"),50.0)</f>
        <v>50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"),8.0)</f>
        <v>8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"),16.0)</f>
        <v>16</v>
      </c>
      <c r="H27" s="2">
        <f>IFERROR(__xludf.DUMMYFUNCTION("SUMPRODUCT(
  ($B$2:$AA$21 = ""C"") *
  ($A$2:$A$21 = $A27)*NOT(REGEXMATCH($B$1:$AA$1, ""(?i)bonus"")
)
)"),9.0)</f>
        <v>9</v>
      </c>
      <c r="I27" s="2">
        <f>IFERROR(__xludf.DUMMYFUNCTION("10*SUMPRODUCT(
  ($B$2:$AA$21 = ""C"") *
  ($A$2:$A$21 = $A27) *
  (REGEXMATCH($B$1:$AA$1, ""(?i) BONUS""))
)
"),40.0)</f>
        <v>40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"),24.0)</f>
        <v>24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"),8.0)</f>
        <v>8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"),8.0)</f>
        <v>8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"),8.0)</f>
        <v>8</v>
      </c>
      <c r="H28" s="2">
        <f>IFERROR(__xludf.DUMMYFUNCTION("SUMPRODUCT(
  ($B$2:$AA$21 = ""C"") *
  ($A$2:$A$21 = $A28)*NOT(REGEXMATCH($B$1:$AA$1, ""(?i)bonus"")
)
)"),12.0)</f>
        <v>12</v>
      </c>
      <c r="I28" s="2">
        <f>IFERROR(__xludf.DUMMYFUNCTION("10*SUMPRODUCT(
  ($B$2:$AA$21 = ""C"") *
  ($A$2:$A$21 = $A28) *
  (REGEXMATCH($B$1:$AA$1, ""(?i) BONUS""))
)
"),50.0)</f>
        <v>50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"),16.0)</f>
        <v>16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)"),6.0)</f>
        <v>6</v>
      </c>
      <c r="I29" s="2">
        <f>IFERROR(__xludf.DUMMYFUNCTION("10*SUMPRODUCT(
  ($B$2:$AA$21 = ""C"") *
  ($A$2:$A$21 = $A29) *
  (REGEXMATCH($B$1:$AA$1, ""(?i) BONUS""))
)
"),40.0)</f>
        <v>40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"),20.0)</f>
        <v>20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H30" s="2">
        <f>IFERROR(__xludf.DUMMYFUNCTION("SUMPRODUCT(
  ($B$2:$AA$21 = ""C"") *
  ($A$2:$A$21 = $A30)*NOT(REGEXMATCH($B$1:$AA$1, ""(?i)bonus"")
)
)"),6.0)</f>
        <v>6</v>
      </c>
      <c r="I30" s="2">
        <f>IFERROR(__xludf.DUMMYFUNCTION("10*SUMPRODUCT(
  ($B$2:$AA$21 = ""C"") *
  ($A$2:$A$21 = $A30) *
  (REGEXMATCH($B$1:$AA$1, ""(?i) BONUS""))
)
"),40.0)</f>
        <v>40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280</v>
      </c>
      <c r="C1" s="1" t="s">
        <v>123</v>
      </c>
      <c r="D1" s="1" t="s">
        <v>281</v>
      </c>
      <c r="E1" s="1" t="s">
        <v>280</v>
      </c>
      <c r="F1" s="1" t="s">
        <v>123</v>
      </c>
      <c r="G1" s="1" t="s">
        <v>281</v>
      </c>
      <c r="H1" s="1" t="s">
        <v>280</v>
      </c>
      <c r="I1" s="1" t="s">
        <v>282</v>
      </c>
      <c r="J1" s="1" t="s">
        <v>123</v>
      </c>
      <c r="K1" s="1" t="s">
        <v>281</v>
      </c>
      <c r="L1" s="1" t="s">
        <v>280</v>
      </c>
      <c r="M1" s="1" t="s">
        <v>123</v>
      </c>
      <c r="N1" s="1" t="s">
        <v>283</v>
      </c>
      <c r="O1" s="1" t="s">
        <v>281</v>
      </c>
    </row>
    <row r="2">
      <c r="A2" s="1" t="s">
        <v>8</v>
      </c>
      <c r="B2" s="1" t="s">
        <v>10</v>
      </c>
      <c r="D2" s="1" t="s">
        <v>10</v>
      </c>
      <c r="E2" s="1" t="s">
        <v>10</v>
      </c>
      <c r="G2" s="1" t="s">
        <v>10</v>
      </c>
      <c r="H2" s="1" t="s">
        <v>10</v>
      </c>
      <c r="K2" s="1" t="s">
        <v>9</v>
      </c>
    </row>
    <row r="3">
      <c r="A3" s="1" t="s">
        <v>11</v>
      </c>
      <c r="F3" s="1" t="s">
        <v>10</v>
      </c>
      <c r="G3" s="1" t="s">
        <v>9</v>
      </c>
      <c r="H3" s="1" t="s">
        <v>10</v>
      </c>
      <c r="K3" s="1" t="s">
        <v>10</v>
      </c>
      <c r="L3" s="1" t="s">
        <v>10</v>
      </c>
      <c r="O3" s="1" t="s">
        <v>9</v>
      </c>
    </row>
    <row r="4">
      <c r="A4" s="1" t="s">
        <v>12</v>
      </c>
      <c r="B4" s="1" t="s">
        <v>10</v>
      </c>
      <c r="I4" s="1" t="s">
        <v>9</v>
      </c>
      <c r="L4" s="1" t="s">
        <v>9</v>
      </c>
    </row>
    <row r="5">
      <c r="A5" s="1" t="s">
        <v>10</v>
      </c>
      <c r="E5" s="1" t="s">
        <v>10</v>
      </c>
      <c r="G5" s="1" t="s">
        <v>10</v>
      </c>
      <c r="H5" s="1" t="s">
        <v>8</v>
      </c>
      <c r="L5" s="1" t="s">
        <v>9</v>
      </c>
    </row>
    <row r="6">
      <c r="A6" s="1" t="s">
        <v>13</v>
      </c>
      <c r="B6" s="1" t="s">
        <v>10</v>
      </c>
      <c r="D6" s="1" t="s">
        <v>10</v>
      </c>
      <c r="E6" s="1" t="s">
        <v>9</v>
      </c>
      <c r="H6" s="1" t="s">
        <v>10</v>
      </c>
      <c r="K6" s="1" t="s">
        <v>10</v>
      </c>
      <c r="L6" s="1" t="s">
        <v>9</v>
      </c>
    </row>
    <row r="7">
      <c r="A7" s="1" t="s">
        <v>8</v>
      </c>
      <c r="E7" s="1" t="s">
        <v>10</v>
      </c>
      <c r="G7" s="1" t="s">
        <v>10</v>
      </c>
      <c r="H7" s="1" t="s">
        <v>9</v>
      </c>
      <c r="L7" s="1" t="s">
        <v>9</v>
      </c>
    </row>
    <row r="8">
      <c r="A8" s="1" t="s">
        <v>11</v>
      </c>
      <c r="B8" s="1" t="s">
        <v>10</v>
      </c>
      <c r="D8" s="1" t="s">
        <v>10</v>
      </c>
      <c r="E8" s="1" t="s">
        <v>9</v>
      </c>
      <c r="H8" s="1" t="s">
        <v>9</v>
      </c>
      <c r="M8" s="1" t="s">
        <v>9</v>
      </c>
    </row>
    <row r="9">
      <c r="A9" s="1" t="s">
        <v>12</v>
      </c>
      <c r="E9" s="1" t="s">
        <v>8</v>
      </c>
      <c r="I9" s="1" t="s">
        <v>10</v>
      </c>
      <c r="K9" s="1" t="s">
        <v>10</v>
      </c>
      <c r="L9" s="1" t="s">
        <v>9</v>
      </c>
    </row>
    <row r="10">
      <c r="A10" s="1" t="s">
        <v>10</v>
      </c>
      <c r="E10" s="1" t="s">
        <v>10</v>
      </c>
      <c r="G10" s="1" t="s">
        <v>10</v>
      </c>
      <c r="H10" s="1" t="s">
        <v>10</v>
      </c>
      <c r="K10" s="1" t="s">
        <v>10</v>
      </c>
      <c r="L10" s="1" t="s">
        <v>9</v>
      </c>
    </row>
    <row r="11">
      <c r="A11" s="1" t="s">
        <v>13</v>
      </c>
      <c r="B11" s="1" t="s">
        <v>10</v>
      </c>
      <c r="D11" s="1" t="s">
        <v>10</v>
      </c>
      <c r="E11" s="1" t="s">
        <v>10</v>
      </c>
      <c r="G11" s="1" t="s">
        <v>10</v>
      </c>
      <c r="H11" s="1" t="s">
        <v>10</v>
      </c>
      <c r="K11" s="1" t="s">
        <v>9</v>
      </c>
    </row>
    <row r="12">
      <c r="A12" s="1" t="s">
        <v>8</v>
      </c>
      <c r="B12" s="1" t="s">
        <v>9</v>
      </c>
      <c r="E12" s="1" t="s">
        <v>10</v>
      </c>
      <c r="G12" s="1" t="s">
        <v>10</v>
      </c>
      <c r="H12" s="1" t="s">
        <v>10</v>
      </c>
      <c r="K12" s="1" t="s">
        <v>9</v>
      </c>
      <c r="L12" s="1" t="s">
        <v>10</v>
      </c>
      <c r="O12" s="1" t="s">
        <v>10</v>
      </c>
    </row>
    <row r="13">
      <c r="A13" s="1" t="s">
        <v>11</v>
      </c>
      <c r="C13" s="1" t="s">
        <v>9</v>
      </c>
      <c r="J13" s="1" t="s">
        <v>9</v>
      </c>
    </row>
    <row r="14">
      <c r="A14" s="1" t="s">
        <v>12</v>
      </c>
      <c r="E14" s="1" t="s">
        <v>10</v>
      </c>
      <c r="G14" s="1" t="s">
        <v>9</v>
      </c>
      <c r="J14" s="1" t="s">
        <v>9</v>
      </c>
      <c r="N14" s="1" t="s">
        <v>9</v>
      </c>
    </row>
    <row r="15">
      <c r="A15" s="1" t="s">
        <v>10</v>
      </c>
      <c r="H15" s="1" t="s">
        <v>9</v>
      </c>
    </row>
    <row r="16">
      <c r="A16" s="1" t="s">
        <v>13</v>
      </c>
      <c r="B16" s="1" t="s">
        <v>10</v>
      </c>
      <c r="D16" s="1" t="s">
        <v>9</v>
      </c>
      <c r="E16" s="1" t="s">
        <v>10</v>
      </c>
      <c r="G16" s="1" t="s">
        <v>9</v>
      </c>
      <c r="H16" s="1" t="s">
        <v>9</v>
      </c>
      <c r="L16" s="1" t="s">
        <v>10</v>
      </c>
      <c r="O16" s="1" t="s">
        <v>9</v>
      </c>
    </row>
    <row r="17">
      <c r="A17" s="1" t="s">
        <v>8</v>
      </c>
      <c r="E17" s="1" t="s">
        <v>8</v>
      </c>
      <c r="H17" s="1" t="s">
        <v>10</v>
      </c>
      <c r="K17" s="1" t="s">
        <v>9</v>
      </c>
      <c r="L17" s="1" t="s">
        <v>10</v>
      </c>
      <c r="O17" s="1" t="s">
        <v>9</v>
      </c>
    </row>
    <row r="18">
      <c r="A18" s="1" t="s">
        <v>11</v>
      </c>
      <c r="E18" s="1" t="s">
        <v>10</v>
      </c>
      <c r="G18" s="1" t="s">
        <v>9</v>
      </c>
      <c r="H18" s="1" t="s">
        <v>9</v>
      </c>
    </row>
    <row r="19">
      <c r="A19" s="1" t="s">
        <v>12</v>
      </c>
      <c r="E19" s="1" t="s">
        <v>10</v>
      </c>
      <c r="G19" s="1" t="s">
        <v>10</v>
      </c>
      <c r="H19" s="1" t="s">
        <v>9</v>
      </c>
      <c r="N19" s="1" t="s">
        <v>9</v>
      </c>
    </row>
    <row r="20">
      <c r="A20" s="1" t="s">
        <v>10</v>
      </c>
      <c r="E20" s="1" t="s">
        <v>8</v>
      </c>
      <c r="J20" s="1" t="s">
        <v>9</v>
      </c>
    </row>
    <row r="21">
      <c r="A21" s="1" t="s">
        <v>13</v>
      </c>
      <c r="B21" s="1" t="s">
        <v>10</v>
      </c>
      <c r="D21" s="1" t="s">
        <v>10</v>
      </c>
      <c r="E21" s="1" t="s">
        <v>10</v>
      </c>
      <c r="G21" s="1" t="s">
        <v>10</v>
      </c>
      <c r="H21" s="1" t="s">
        <v>9</v>
      </c>
      <c r="L21" s="1" t="s">
        <v>9</v>
      </c>
    </row>
    <row r="23">
      <c r="A23" s="1"/>
      <c r="B23" s="1" t="s">
        <v>284</v>
      </c>
      <c r="C23" s="1" t="s">
        <v>285</v>
      </c>
      <c r="D23" s="1" t="s">
        <v>286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D24" si="1">COUNTIF($A1:Z1,"*"&amp;B23&amp;"*")</f>
        <v>4</v>
      </c>
      <c r="C24" s="2">
        <f t="shared" si="1"/>
        <v>4</v>
      </c>
      <c r="D24" s="2">
        <f t="shared" si="1"/>
        <v>2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"),32.0)</f>
        <v>32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H26" s="2">
        <f>IFERROR(__xludf.DUMMYFUNCTION("SUMPRODUCT(
  ($B$2:$AA$21 = ""C"") *
  ($A$2:$A$21 = $A26)*NOT(REGEXMATCH($B$1:$AA$1, ""(?i)bonus"")
)
)"),9.0)</f>
        <v>9</v>
      </c>
      <c r="I26" s="2">
        <f>IFERROR(__xludf.DUMMYFUNCTION("10*SUMPRODUCT(
  ($B$2:$AA$21 = ""C"") *
  ($A$2:$A$21 = $A26) *
  (REGEXMATCH($B$1:$AA$1, ""(?i) BONUS""))
)
"),50.0)</f>
        <v>50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"),16.0)</f>
        <v>16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H27" s="2">
        <f>IFERROR(__xludf.DUMMYFUNCTION("SUMPRODUCT(
  ($B$2:$AA$21 = ""C"") *
  ($A$2:$A$21 = $A27)*NOT(REGEXMATCH($B$1:$AA$1, ""(?i)bonus"")
)
)"),5.0)</f>
        <v>5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"),8.0)</f>
        <v>8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H28" s="2">
        <f>IFERROR(__xludf.DUMMYFUNCTION("SUMPRODUCT(
  ($B$2:$AA$21 = ""C"") *
  ($A$2:$A$21 = $A28)*NOT(REGEXMATCH($B$1:$AA$1, ""(?i)bonus"")
)
)"),4.0)</f>
        <v>4</v>
      </c>
      <c r="I28" s="2">
        <f>IFERROR(__xludf.DUMMYFUNCTION("10*SUMPRODUCT(
  ($B$2:$AA$21 = ""C"") *
  ($A$2:$A$21 = $A28) *
  (REGEXMATCH($B$1:$AA$1, ""(?i) BONUS""))
)
"),20.0)</f>
        <v>20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H29" s="2">
        <f>IFERROR(__xludf.DUMMYFUNCTION("SUMPRODUCT(
  ($B$2:$AA$21 = ""C"") *
  ($A$2:$A$21 = $A29)*NOT(REGEXMATCH($B$1:$AA$1, ""(?i)bonus"")
)
)"),3.0)</f>
        <v>3</v>
      </c>
      <c r="I29" s="2">
        <f>IFERROR(__xludf.DUMMYFUNCTION("10*SUMPRODUCT(
  ($B$2:$AA$21 = ""C"") *
  ($A$2:$A$21 = $A29) *
  (REGEXMATCH($B$1:$AA$1, ""(?i) BONUS""))
)
"),30.0)</f>
        <v>30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"),40.0)</f>
        <v>40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H30" s="2">
        <f>IFERROR(__xludf.DUMMYFUNCTION("SUMPRODUCT(
  ($B$2:$AA$21 = ""C"") *
  ($A$2:$A$21 = $A30)*NOT(REGEXMATCH($B$1:$AA$1, ""(?i)bonus"")
)
)"),10.0)</f>
        <v>10</v>
      </c>
      <c r="I30" s="2">
        <f>IFERROR(__xludf.DUMMYFUNCTION("10*SUMPRODUCT(
  ($B$2:$AA$21 = ""C"") *
  ($A$2:$A$21 = $A30) *
  (REGEXMATCH($B$1:$AA$1, ""(?i) BONUS""))
)
"),60.0)</f>
        <v>60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287</v>
      </c>
      <c r="D1" s="1" t="s">
        <v>288</v>
      </c>
      <c r="E1" s="1" t="s">
        <v>289</v>
      </c>
      <c r="F1" s="1" t="s">
        <v>53</v>
      </c>
      <c r="G1" s="1" t="s">
        <v>290</v>
      </c>
      <c r="H1" s="1" t="s">
        <v>291</v>
      </c>
      <c r="I1" s="1" t="s">
        <v>292</v>
      </c>
      <c r="J1" s="1" t="s">
        <v>53</v>
      </c>
      <c r="K1" s="1" t="s">
        <v>290</v>
      </c>
      <c r="L1" s="1" t="s">
        <v>292</v>
      </c>
      <c r="M1" s="1" t="s">
        <v>53</v>
      </c>
      <c r="N1" s="1" t="s">
        <v>290</v>
      </c>
      <c r="O1" s="1" t="s">
        <v>292</v>
      </c>
    </row>
    <row r="2">
      <c r="A2" s="1" t="s">
        <v>8</v>
      </c>
      <c r="B2" s="1" t="s">
        <v>10</v>
      </c>
      <c r="E2" s="1" t="s">
        <v>9</v>
      </c>
      <c r="J2" s="1" t="s">
        <v>10</v>
      </c>
      <c r="L2" s="1" t="s">
        <v>9</v>
      </c>
      <c r="M2" s="1" t="s">
        <v>9</v>
      </c>
    </row>
    <row r="3">
      <c r="A3" s="1" t="s">
        <v>11</v>
      </c>
      <c r="B3" s="1" t="s">
        <v>10</v>
      </c>
      <c r="E3" s="1" t="s">
        <v>10</v>
      </c>
    </row>
    <row r="4">
      <c r="A4" s="1" t="s">
        <v>12</v>
      </c>
      <c r="B4" s="1" t="s">
        <v>10</v>
      </c>
      <c r="E4" s="1" t="s">
        <v>9</v>
      </c>
      <c r="F4" s="1" t="s">
        <v>9</v>
      </c>
      <c r="J4" s="1" t="s">
        <v>10</v>
      </c>
      <c r="L4" s="1" t="s">
        <v>9</v>
      </c>
    </row>
    <row r="5">
      <c r="A5" s="1" t="s">
        <v>10</v>
      </c>
      <c r="B5" s="1" t="s">
        <v>10</v>
      </c>
      <c r="E5" s="1" t="s">
        <v>9</v>
      </c>
      <c r="F5" s="1" t="s">
        <v>9</v>
      </c>
    </row>
    <row r="6">
      <c r="A6" s="1" t="s">
        <v>13</v>
      </c>
      <c r="B6" s="1" t="s">
        <v>10</v>
      </c>
      <c r="E6" s="1" t="s">
        <v>9</v>
      </c>
      <c r="J6" s="1" t="s">
        <v>9</v>
      </c>
    </row>
    <row r="7">
      <c r="A7" s="1" t="s">
        <v>8</v>
      </c>
      <c r="B7" s="1" t="s">
        <v>10</v>
      </c>
      <c r="E7" s="1" t="s">
        <v>10</v>
      </c>
      <c r="F7" s="1" t="s">
        <v>9</v>
      </c>
      <c r="J7" s="1" t="s">
        <v>9</v>
      </c>
    </row>
    <row r="8">
      <c r="A8" s="1" t="s">
        <v>11</v>
      </c>
      <c r="G8" s="1" t="s">
        <v>10</v>
      </c>
      <c r="I8" s="1" t="s">
        <v>10</v>
      </c>
      <c r="J8" s="1" t="s">
        <v>9</v>
      </c>
      <c r="M8" s="1" t="s">
        <v>8</v>
      </c>
    </row>
    <row r="9">
      <c r="A9" s="1" t="s">
        <v>12</v>
      </c>
      <c r="B9" s="1" t="s">
        <v>10</v>
      </c>
      <c r="E9" s="1" t="s">
        <v>9</v>
      </c>
      <c r="J9" s="1" t="s">
        <v>10</v>
      </c>
      <c r="L9" s="1" t="s">
        <v>10</v>
      </c>
    </row>
    <row r="10">
      <c r="A10" s="1" t="s">
        <v>10</v>
      </c>
      <c r="C10" s="1" t="s">
        <v>10</v>
      </c>
      <c r="E10" s="1" t="s">
        <v>10</v>
      </c>
      <c r="F10" s="1" t="s">
        <v>9</v>
      </c>
      <c r="J10" s="1" t="s">
        <v>9</v>
      </c>
    </row>
    <row r="11">
      <c r="A11" s="1" t="s">
        <v>13</v>
      </c>
    </row>
    <row r="12">
      <c r="A12" s="1" t="s">
        <v>8</v>
      </c>
      <c r="B12" s="1" t="s">
        <v>9</v>
      </c>
      <c r="N12" s="1" t="s">
        <v>9</v>
      </c>
    </row>
    <row r="13">
      <c r="A13" s="1" t="s">
        <v>11</v>
      </c>
      <c r="B13" s="1" t="s">
        <v>9</v>
      </c>
      <c r="F13" s="1" t="s">
        <v>8</v>
      </c>
      <c r="J13" s="1" t="s">
        <v>10</v>
      </c>
      <c r="L13" s="1" t="s">
        <v>9</v>
      </c>
    </row>
    <row r="14">
      <c r="A14" s="1" t="s">
        <v>12</v>
      </c>
      <c r="G14" s="1" t="s">
        <v>9</v>
      </c>
      <c r="J14" s="1" t="s">
        <v>9</v>
      </c>
    </row>
    <row r="15">
      <c r="A15" s="1" t="s">
        <v>10</v>
      </c>
      <c r="K15" s="1" t="s">
        <v>9</v>
      </c>
    </row>
    <row r="16">
      <c r="A16" s="1" t="s">
        <v>13</v>
      </c>
    </row>
    <row r="17">
      <c r="A17" s="1" t="s">
        <v>8</v>
      </c>
      <c r="B17" s="1" t="s">
        <v>10</v>
      </c>
      <c r="E17" s="1" t="s">
        <v>9</v>
      </c>
      <c r="J17" s="1" t="s">
        <v>10</v>
      </c>
      <c r="L17" s="1" t="s">
        <v>9</v>
      </c>
    </row>
    <row r="18">
      <c r="A18" s="1" t="s">
        <v>11</v>
      </c>
      <c r="B18" s="1" t="s">
        <v>10</v>
      </c>
      <c r="E18" s="1" t="s">
        <v>9</v>
      </c>
      <c r="H18" s="1" t="s">
        <v>9</v>
      </c>
    </row>
    <row r="19">
      <c r="A19" s="1" t="s">
        <v>12</v>
      </c>
      <c r="D19" s="1" t="s">
        <v>9</v>
      </c>
      <c r="F19" s="1" t="s">
        <v>9</v>
      </c>
    </row>
    <row r="20">
      <c r="A20" s="1" t="s">
        <v>10</v>
      </c>
      <c r="F20" s="1" t="s">
        <v>10</v>
      </c>
      <c r="I20" s="1" t="s">
        <v>10</v>
      </c>
      <c r="J20" s="1" t="s">
        <v>9</v>
      </c>
    </row>
    <row r="21">
      <c r="A21" s="1" t="s">
        <v>13</v>
      </c>
      <c r="H21" s="1" t="s">
        <v>10</v>
      </c>
      <c r="I21" s="1" t="s">
        <v>9</v>
      </c>
      <c r="J21" s="1" t="s">
        <v>9</v>
      </c>
    </row>
    <row r="23">
      <c r="A23" s="1"/>
      <c r="B23" s="1" t="s">
        <v>293</v>
      </c>
      <c r="C23" s="1" t="s">
        <v>294</v>
      </c>
      <c r="D23" s="1" t="s">
        <v>163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D24" si="1">COUNTIF($A1:Z1,"*"&amp;B23&amp;"*")</f>
        <v>4</v>
      </c>
      <c r="C24" s="2">
        <f t="shared" si="1"/>
        <v>4</v>
      </c>
      <c r="D24" s="2">
        <f t="shared" si="1"/>
        <v>2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"),20.0)</f>
        <v>20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H26" s="2">
        <f>IFERROR(__xludf.DUMMYFUNCTION("SUMPRODUCT(
  ($B$2:$AA$21 = ""C"") *
  ($A$2:$A$21 = $A26)*NOT(REGEXMATCH($B$1:$AA$1, ""(?i)bonus"")
)
)"),5.0)</f>
        <v>5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H27" s="2">
        <f>IFERROR(__xludf.DUMMYFUNCTION("SUMPRODUCT(
  ($B$2:$AA$21 = ""C"") *
  ($A$2:$A$21 = $A27)*NOT(REGEXMATCH($B$1:$AA$1, ""(?i)bonus"")
)
)"),4.0)</f>
        <v>4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"),16.0)</f>
        <v>16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H28" s="2">
        <f>IFERROR(__xludf.DUMMYFUNCTION("SUMPRODUCT(
  ($B$2:$AA$21 = ""C"") *
  ($A$2:$A$21 = $A28)*NOT(REGEXMATCH($B$1:$AA$1, ""(?i)bonus"")
)
)"),4.0)</f>
        <v>4</v>
      </c>
      <c r="I28" s="2">
        <f>IFERROR(__xludf.DUMMYFUNCTION("10*SUMPRODUCT(
  ($B$2:$AA$21 = ""C"") *
  ($A$2:$A$21 = $A28) *
  (REGEXMATCH($B$1:$AA$1, ""(?i) BONUS""))
)
"),10.0)</f>
        <v>10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"),8.0)</f>
        <v>8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"),4.0)</f>
        <v>4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H29" s="2">
        <f>IFERROR(__xludf.DUMMYFUNCTION("SUMPRODUCT(
  ($B$2:$AA$21 = ""C"") *
  ($A$2:$A$21 = $A29)*NOT(REGEXMATCH($B$1:$AA$1, ""(?i)bonus"")
)
)"),3.0)</f>
        <v>3</v>
      </c>
      <c r="I29" s="2">
        <f>IFERROR(__xludf.DUMMYFUNCTION("10*SUMPRODUCT(
  ($B$2:$AA$21 = ""C"") *
  ($A$2:$A$21 = $A29) *
  (REGEXMATCH($B$1:$AA$1, ""(?i) BONUS""))
)
"),20.0)</f>
        <v>20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"),4.0)</f>
        <v>4</v>
      </c>
      <c r="H30" s="2">
        <f>IFERROR(__xludf.DUMMYFUNCTION("SUMPRODUCT(
  ($B$2:$AA$21 = ""C"") *
  ($A$2:$A$21 = $A30)*NOT(REGEXMATCH($B$1:$AA$1, ""(?i)bonus"")
)
)"),2.0)</f>
        <v>2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295</v>
      </c>
      <c r="I1" s="1" t="s">
        <v>298</v>
      </c>
      <c r="J1" s="1" t="s">
        <v>299</v>
      </c>
      <c r="K1" s="1" t="s">
        <v>296</v>
      </c>
      <c r="L1" s="1" t="s">
        <v>295</v>
      </c>
      <c r="M1" s="1" t="s">
        <v>298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298</v>
      </c>
    </row>
    <row r="2">
      <c r="A2" s="1" t="s">
        <v>8</v>
      </c>
      <c r="F2" s="1" t="s">
        <v>9</v>
      </c>
      <c r="J2" s="1" t="s">
        <v>10</v>
      </c>
      <c r="M2" s="1" t="s">
        <v>10</v>
      </c>
      <c r="N2" s="1" t="s">
        <v>10</v>
      </c>
      <c r="R2" s="1" t="s">
        <v>9</v>
      </c>
    </row>
    <row r="3">
      <c r="A3" s="1" t="s">
        <v>11</v>
      </c>
      <c r="B3" s="1" t="s">
        <v>8</v>
      </c>
      <c r="G3" s="1" t="s">
        <v>10</v>
      </c>
      <c r="I3" s="1" t="s">
        <v>10</v>
      </c>
      <c r="O3" s="1" t="s">
        <v>10</v>
      </c>
      <c r="R3" s="1" t="s">
        <v>10</v>
      </c>
    </row>
    <row r="4">
      <c r="A4" s="1" t="s">
        <v>12</v>
      </c>
      <c r="H4" s="1" t="s">
        <v>9</v>
      </c>
      <c r="K4" s="1" t="s">
        <v>9</v>
      </c>
      <c r="N4" s="1" t="s">
        <v>10</v>
      </c>
      <c r="R4" s="1" t="s">
        <v>9</v>
      </c>
    </row>
    <row r="5">
      <c r="A5" s="1" t="s">
        <v>10</v>
      </c>
      <c r="C5" s="1" t="s">
        <v>10</v>
      </c>
      <c r="E5" s="1" t="s">
        <v>10</v>
      </c>
      <c r="G5" s="1" t="s">
        <v>10</v>
      </c>
      <c r="I5" s="1" t="s">
        <v>10</v>
      </c>
      <c r="K5" s="1" t="s">
        <v>9</v>
      </c>
      <c r="P5" s="1" t="s">
        <v>10</v>
      </c>
      <c r="R5" s="1" t="s">
        <v>9</v>
      </c>
    </row>
    <row r="6">
      <c r="A6" s="1" t="s">
        <v>13</v>
      </c>
      <c r="B6" s="1" t="s">
        <v>9</v>
      </c>
      <c r="F6" s="1" t="s">
        <v>10</v>
      </c>
      <c r="J6" s="1" t="s">
        <v>9</v>
      </c>
      <c r="N6" s="1" t="s">
        <v>10</v>
      </c>
      <c r="R6" s="1" t="s">
        <v>9</v>
      </c>
    </row>
    <row r="7">
      <c r="A7" s="1" t="s">
        <v>8</v>
      </c>
      <c r="D7" s="1" t="s">
        <v>10</v>
      </c>
      <c r="E7" s="1" t="s">
        <v>9</v>
      </c>
      <c r="J7" s="1" t="s">
        <v>9</v>
      </c>
      <c r="N7" s="1" t="s">
        <v>10</v>
      </c>
      <c r="R7" s="1" t="s">
        <v>10</v>
      </c>
    </row>
    <row r="8">
      <c r="A8" s="1" t="s">
        <v>11</v>
      </c>
      <c r="C8" s="1" t="s">
        <v>9</v>
      </c>
      <c r="H8" s="1" t="s">
        <v>10</v>
      </c>
      <c r="I8" s="1" t="s">
        <v>10</v>
      </c>
      <c r="L8" s="1" t="s">
        <v>9</v>
      </c>
      <c r="O8" s="1" t="s">
        <v>9</v>
      </c>
    </row>
    <row r="9">
      <c r="A9" s="1" t="s">
        <v>12</v>
      </c>
      <c r="C9" s="1" t="s">
        <v>9</v>
      </c>
      <c r="H9" s="1" t="s">
        <v>9</v>
      </c>
      <c r="J9" s="1" t="s">
        <v>9</v>
      </c>
      <c r="P9" s="1" t="s">
        <v>10</v>
      </c>
      <c r="R9" s="1" t="s">
        <v>10</v>
      </c>
    </row>
    <row r="10">
      <c r="A10" s="1" t="s">
        <v>10</v>
      </c>
      <c r="C10" s="1" t="s">
        <v>10</v>
      </c>
      <c r="E10" s="1" t="s">
        <v>10</v>
      </c>
      <c r="G10" s="1" t="s">
        <v>10</v>
      </c>
      <c r="I10" s="1" t="s">
        <v>10</v>
      </c>
      <c r="K10" s="1" t="s">
        <v>9</v>
      </c>
      <c r="O10" s="1" t="s">
        <v>10</v>
      </c>
      <c r="R10" s="1" t="s">
        <v>9</v>
      </c>
    </row>
    <row r="11">
      <c r="A11" s="1" t="s">
        <v>13</v>
      </c>
      <c r="F11" s="1" t="s">
        <v>10</v>
      </c>
      <c r="I11" s="1" t="s">
        <v>9</v>
      </c>
      <c r="J11" s="1" t="s">
        <v>10</v>
      </c>
      <c r="M11" s="1" t="s">
        <v>9</v>
      </c>
      <c r="Q11" s="1" t="s">
        <v>10</v>
      </c>
      <c r="R11" s="1" t="s">
        <v>9</v>
      </c>
    </row>
    <row r="12">
      <c r="A12" s="1" t="s">
        <v>8</v>
      </c>
      <c r="D12" s="1" t="s">
        <v>9</v>
      </c>
      <c r="H12" s="1" t="s">
        <v>10</v>
      </c>
      <c r="I12" s="1" t="s">
        <v>9</v>
      </c>
      <c r="N12" s="1" t="s">
        <v>9</v>
      </c>
    </row>
    <row r="13">
      <c r="A13" s="1" t="s">
        <v>11</v>
      </c>
      <c r="G13" s="1" t="s">
        <v>9</v>
      </c>
      <c r="J13" s="1" t="s">
        <v>10</v>
      </c>
      <c r="M13" s="1" t="s">
        <v>9</v>
      </c>
      <c r="O13" s="1" t="s">
        <v>9</v>
      </c>
    </row>
    <row r="14">
      <c r="A14" s="1" t="s">
        <v>12</v>
      </c>
      <c r="H14" s="1" t="s">
        <v>9</v>
      </c>
      <c r="J14" s="1" t="s">
        <v>9</v>
      </c>
      <c r="O14" s="1" t="s">
        <v>10</v>
      </c>
      <c r="R14" s="1" t="s">
        <v>10</v>
      </c>
    </row>
    <row r="15">
      <c r="A15" s="1" t="s">
        <v>10</v>
      </c>
      <c r="G15" s="1" t="s">
        <v>10</v>
      </c>
      <c r="I15" s="1" t="s">
        <v>10</v>
      </c>
      <c r="K15" s="1" t="s">
        <v>10</v>
      </c>
      <c r="M15" s="1" t="s">
        <v>9</v>
      </c>
      <c r="P15" s="1" t="s">
        <v>10</v>
      </c>
      <c r="R15" s="1" t="s">
        <v>9</v>
      </c>
    </row>
    <row r="16">
      <c r="A16" s="1" t="s">
        <v>13</v>
      </c>
      <c r="F16" s="1" t="s">
        <v>10</v>
      </c>
      <c r="I16" s="1" t="s">
        <v>10</v>
      </c>
      <c r="N16" s="1" t="s">
        <v>10</v>
      </c>
      <c r="R16" s="1" t="s">
        <v>10</v>
      </c>
    </row>
    <row r="17">
      <c r="A17" s="1" t="s">
        <v>8</v>
      </c>
      <c r="C17" s="1" t="s">
        <v>10</v>
      </c>
      <c r="E17" s="1" t="s">
        <v>10</v>
      </c>
      <c r="N17" s="1" t="s">
        <v>10</v>
      </c>
      <c r="R17" s="1" t="s">
        <v>9</v>
      </c>
    </row>
    <row r="18">
      <c r="A18" s="1" t="s">
        <v>11</v>
      </c>
      <c r="B18" s="1" t="s">
        <v>10</v>
      </c>
      <c r="E18" s="1" t="s">
        <v>9</v>
      </c>
      <c r="H18" s="1" t="s">
        <v>10</v>
      </c>
      <c r="I18" s="1" t="s">
        <v>10</v>
      </c>
      <c r="J18" s="1" t="s">
        <v>10</v>
      </c>
      <c r="M18" s="1" t="s">
        <v>9</v>
      </c>
      <c r="O18" s="1" t="s">
        <v>10</v>
      </c>
      <c r="R18" s="1" t="s">
        <v>10</v>
      </c>
    </row>
    <row r="19">
      <c r="A19" s="1" t="s">
        <v>12</v>
      </c>
      <c r="G19" s="1" t="s">
        <v>9</v>
      </c>
      <c r="K19" s="1" t="s">
        <v>9</v>
      </c>
      <c r="P19" s="1" t="s">
        <v>10</v>
      </c>
      <c r="R19" s="1" t="s">
        <v>9</v>
      </c>
    </row>
    <row r="20">
      <c r="A20" s="1" t="s">
        <v>10</v>
      </c>
      <c r="C20" s="1" t="s">
        <v>9</v>
      </c>
      <c r="G20" s="1" t="s">
        <v>10</v>
      </c>
      <c r="I20" s="1" t="s">
        <v>10</v>
      </c>
      <c r="K20" s="1" t="s">
        <v>10</v>
      </c>
      <c r="M20" s="1" t="s">
        <v>9</v>
      </c>
      <c r="P20" s="1" t="s">
        <v>10</v>
      </c>
      <c r="R20" s="1" t="s">
        <v>10</v>
      </c>
    </row>
    <row r="21">
      <c r="A21" s="1" t="s">
        <v>13</v>
      </c>
      <c r="F21" s="1" t="s">
        <v>10</v>
      </c>
      <c r="I21" s="1" t="s">
        <v>10</v>
      </c>
      <c r="J21" s="1" t="s">
        <v>9</v>
      </c>
      <c r="N21" s="1" t="s">
        <v>10</v>
      </c>
      <c r="R21" s="1" t="s">
        <v>10</v>
      </c>
    </row>
    <row r="23">
      <c r="A23" s="1"/>
      <c r="B23" s="1" t="s">
        <v>305</v>
      </c>
      <c r="C23" s="1" t="s">
        <v>306</v>
      </c>
      <c r="D23" s="1" t="s">
        <v>307</v>
      </c>
      <c r="E23" s="1" t="s">
        <v>308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4</v>
      </c>
      <c r="C24" s="2">
        <f t="shared" si="1"/>
        <v>4</v>
      </c>
      <c r="D24" s="2">
        <f t="shared" si="1"/>
        <v>4</v>
      </c>
      <c r="E24" s="2">
        <f t="shared" si="1"/>
        <v>1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"),20.0)</f>
        <v>20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"),0.0)</f>
        <v>0</v>
      </c>
      <c r="H26" s="2">
        <f>IFERROR(__xludf.DUMMYFUNCTION("SUMPRODUCT(
  ($B$2:$AA$21 = ""C"") *
  ($A$2:$A$21 = $A26)*NOT(REGEXMATCH($B$1:$AA$1, ""(?i)bonus"")
)
)"),7.0)</f>
        <v>7</v>
      </c>
      <c r="I26" s="2">
        <f>IFERROR(__xludf.DUMMYFUNCTION("10*SUMPRODUCT(
  ($B$2:$AA$21 = ""C"") *
  ($A$2:$A$21 = $A26) *
  (REGEXMATCH($B$1:$AA$1, ""(?i) BONUS""))
)
"),30.0)</f>
        <v>30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"),16.0)</f>
        <v>16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"),8.0)</f>
        <v>8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)"),8.0)</f>
        <v>8</v>
      </c>
      <c r="I27" s="2">
        <f>IFERROR(__xludf.DUMMYFUNCTION("10*SUMPRODUCT(
  ($B$2:$AA$21 = ""C"") *
  ($A$2:$A$21 = $A27) *
  (REGEXMATCH($B$1:$AA$1, ""(?i) BONUS""))
)
"),50.0)</f>
        <v>50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"),4.0)</f>
        <v>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"),8.0)</f>
        <v>8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H28" s="2">
        <f>IFERROR(__xludf.DUMMYFUNCTION("SUMPRODUCT(
  ($B$2:$AA$21 = ""C"") *
  ($A$2:$A$21 = $A28)*NOT(REGEXMATCH($B$1:$AA$1, ""(?i)bonus"")
)
)"),4.0)</f>
        <v>4</v>
      </c>
      <c r="I28" s="2">
        <f>IFERROR(__xludf.DUMMYFUNCTION("10*SUMPRODUCT(
  ($B$2:$AA$21 = ""C"") *
  ($A$2:$A$21 = $A28) *
  (REGEXMATCH($B$1:$AA$1, ""(?i) BONUS""))
)
"),20.0)</f>
        <v>20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"),44.0)</f>
        <v>44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)"),12.0)</f>
        <v>12</v>
      </c>
      <c r="I29" s="2">
        <f>IFERROR(__xludf.DUMMYFUNCTION("10*SUMPRODUCT(
  ($B$2:$AA$21 = ""C"") *
  ($A$2:$A$21 = $A29) *
  (REGEXMATCH($B$1:$AA$1, ""(?i) BONUS""))
)
"),70.0)</f>
        <v>70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"),32.0)</f>
        <v>32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H30" s="2">
        <f>IFERROR(__xludf.DUMMYFUNCTION("SUMPRODUCT(
  ($B$2:$AA$21 = ""C"") *
  ($A$2:$A$21 = $A30)*NOT(REGEXMATCH($B$1:$AA$1, ""(?i)bonus"")
)
)"),9.0)</f>
        <v>9</v>
      </c>
      <c r="I30" s="2">
        <f>IFERROR(__xludf.DUMMYFUNCTION("10*SUMPRODUCT(
  ($B$2:$AA$21 = ""C"") *
  ($A$2:$A$21 = $A30) *
  (REGEXMATCH($B$1:$AA$1, ""(?i) BONUS""))
)
"),40.0)</f>
        <v>40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310</v>
      </c>
      <c r="H1" s="1" t="s">
        <v>311</v>
      </c>
      <c r="I1" s="1" t="s">
        <v>312</v>
      </c>
      <c r="J1" s="1" t="s">
        <v>310</v>
      </c>
      <c r="K1" s="1" t="s">
        <v>311</v>
      </c>
      <c r="L1" s="1" t="s">
        <v>313</v>
      </c>
      <c r="M1" s="1" t="s">
        <v>309</v>
      </c>
      <c r="N1" s="1" t="s">
        <v>312</v>
      </c>
      <c r="O1" s="1" t="s">
        <v>309</v>
      </c>
      <c r="P1" s="1" t="s">
        <v>310</v>
      </c>
      <c r="Q1" s="1" t="s">
        <v>314</v>
      </c>
      <c r="R1" s="1" t="s">
        <v>311</v>
      </c>
      <c r="S1" s="1" t="s">
        <v>312</v>
      </c>
    </row>
    <row r="2">
      <c r="A2" s="1" t="s">
        <v>8</v>
      </c>
      <c r="B2" s="1" t="s">
        <v>9</v>
      </c>
      <c r="F2" s="1" t="s">
        <v>10</v>
      </c>
      <c r="I2" s="1" t="s">
        <v>9</v>
      </c>
      <c r="O2" s="1" t="s">
        <v>9</v>
      </c>
    </row>
    <row r="3">
      <c r="A3" s="1" t="s">
        <v>11</v>
      </c>
      <c r="C3" s="1" t="s">
        <v>10</v>
      </c>
      <c r="E3" s="1" t="s">
        <v>10</v>
      </c>
      <c r="G3" s="1" t="s">
        <v>10</v>
      </c>
      <c r="I3" s="1" t="s">
        <v>9</v>
      </c>
      <c r="P3" s="1" t="s">
        <v>10</v>
      </c>
      <c r="S3" s="1" t="s">
        <v>10</v>
      </c>
    </row>
    <row r="4">
      <c r="A4" s="1" t="s">
        <v>12</v>
      </c>
      <c r="G4" s="1" t="s">
        <v>9</v>
      </c>
      <c r="O4" s="1" t="s">
        <v>10</v>
      </c>
      <c r="S4" s="1" t="s">
        <v>10</v>
      </c>
    </row>
    <row r="5">
      <c r="A5" s="1" t="s">
        <v>10</v>
      </c>
      <c r="B5" s="1" t="s">
        <v>10</v>
      </c>
      <c r="E5" s="1" t="s">
        <v>9</v>
      </c>
      <c r="G5" s="1" t="s">
        <v>10</v>
      </c>
      <c r="I5" s="1" t="s">
        <v>10</v>
      </c>
      <c r="J5" s="1" t="s">
        <v>10</v>
      </c>
      <c r="N5" s="1" t="s">
        <v>9</v>
      </c>
      <c r="Q5" s="1" t="s">
        <v>9</v>
      </c>
    </row>
    <row r="6">
      <c r="A6" s="1" t="s">
        <v>13</v>
      </c>
      <c r="B6" s="1" t="s">
        <v>10</v>
      </c>
      <c r="E6" s="1" t="s">
        <v>10</v>
      </c>
      <c r="H6" s="1" t="s">
        <v>10</v>
      </c>
      <c r="I6" s="1" t="s">
        <v>9</v>
      </c>
      <c r="K6" s="1" t="s">
        <v>10</v>
      </c>
      <c r="N6" s="1" t="s">
        <v>9</v>
      </c>
    </row>
    <row r="7">
      <c r="A7" s="1" t="s">
        <v>8</v>
      </c>
      <c r="B7" s="1" t="s">
        <v>10</v>
      </c>
      <c r="E7" s="1" t="s">
        <v>10</v>
      </c>
      <c r="G7" s="1" t="s">
        <v>10</v>
      </c>
      <c r="I7" s="1" t="s">
        <v>10</v>
      </c>
      <c r="K7" s="1" t="s">
        <v>9</v>
      </c>
      <c r="R7" s="1" t="s">
        <v>9</v>
      </c>
    </row>
    <row r="8">
      <c r="A8" s="1" t="s">
        <v>11</v>
      </c>
      <c r="G8" s="1" t="s">
        <v>9</v>
      </c>
      <c r="J8" s="1" t="s">
        <v>9</v>
      </c>
    </row>
    <row r="9">
      <c r="A9" s="1" t="s">
        <v>12</v>
      </c>
      <c r="B9" s="1" t="s">
        <v>10</v>
      </c>
      <c r="E9" s="1" t="s">
        <v>9</v>
      </c>
      <c r="G9" s="1" t="s">
        <v>9</v>
      </c>
      <c r="O9" s="1" t="s">
        <v>10</v>
      </c>
      <c r="S9" s="1" t="s">
        <v>10</v>
      </c>
    </row>
    <row r="10">
      <c r="A10" s="1" t="s">
        <v>10</v>
      </c>
      <c r="C10" s="1" t="s">
        <v>10</v>
      </c>
      <c r="E10" s="1" t="s">
        <v>10</v>
      </c>
      <c r="H10" s="1" t="s">
        <v>10</v>
      </c>
      <c r="I10" s="1" t="s">
        <v>10</v>
      </c>
      <c r="P10" s="1" t="s">
        <v>10</v>
      </c>
      <c r="S10" s="1" t="s">
        <v>9</v>
      </c>
    </row>
    <row r="11">
      <c r="A11" s="1" t="s">
        <v>13</v>
      </c>
      <c r="B11" s="1" t="s">
        <v>9</v>
      </c>
      <c r="H11" s="1" t="s">
        <v>10</v>
      </c>
      <c r="I11" s="1" t="s">
        <v>10</v>
      </c>
      <c r="Q11" s="1" t="s">
        <v>9</v>
      </c>
    </row>
    <row r="12">
      <c r="A12" s="1" t="s">
        <v>8</v>
      </c>
      <c r="B12" s="1" t="s">
        <v>9</v>
      </c>
      <c r="H12" s="1" t="s">
        <v>10</v>
      </c>
      <c r="I12" s="1" t="s">
        <v>10</v>
      </c>
      <c r="L12" s="1" t="s">
        <v>9</v>
      </c>
      <c r="O12" s="1" t="s">
        <v>9</v>
      </c>
    </row>
    <row r="13">
      <c r="A13" s="1" t="s">
        <v>11</v>
      </c>
      <c r="C13" s="1" t="s">
        <v>10</v>
      </c>
      <c r="E13" s="1" t="s">
        <v>9</v>
      </c>
      <c r="F13" s="1" t="s">
        <v>9</v>
      </c>
      <c r="L13" s="1" t="s">
        <v>9</v>
      </c>
      <c r="P13" s="1" t="s">
        <v>9</v>
      </c>
    </row>
    <row r="14">
      <c r="A14" s="1" t="s">
        <v>12</v>
      </c>
      <c r="B14" s="1" t="s">
        <v>10</v>
      </c>
      <c r="E14" s="1" t="s">
        <v>10</v>
      </c>
      <c r="R14" s="1" t="s">
        <v>9</v>
      </c>
    </row>
    <row r="15">
      <c r="A15" s="1" t="s">
        <v>10</v>
      </c>
      <c r="C15" s="1" t="s">
        <v>10</v>
      </c>
      <c r="G15" s="1" t="s">
        <v>9</v>
      </c>
      <c r="O15" s="1" t="s">
        <v>9</v>
      </c>
    </row>
    <row r="16">
      <c r="A16" s="1" t="s">
        <v>13</v>
      </c>
      <c r="D16" s="1" t="s">
        <v>10</v>
      </c>
      <c r="E16" s="1" t="s">
        <v>9</v>
      </c>
      <c r="H16" s="1" t="s">
        <v>10</v>
      </c>
      <c r="I16" s="1" t="s">
        <v>9</v>
      </c>
      <c r="Q16" s="1" t="s">
        <v>9</v>
      </c>
    </row>
    <row r="17">
      <c r="A17" s="1" t="s">
        <v>8</v>
      </c>
      <c r="D17" s="1" t="s">
        <v>9</v>
      </c>
      <c r="G17" s="1" t="s">
        <v>9</v>
      </c>
      <c r="R17" s="1" t="s">
        <v>9</v>
      </c>
    </row>
    <row r="18">
      <c r="A18" s="1" t="s">
        <v>11</v>
      </c>
      <c r="G18" s="1" t="s">
        <v>10</v>
      </c>
      <c r="I18" s="1" t="s">
        <v>9</v>
      </c>
      <c r="O18" s="1" t="s">
        <v>10</v>
      </c>
      <c r="S18" s="1" t="s">
        <v>9</v>
      </c>
    </row>
    <row r="19">
      <c r="A19" s="1" t="s">
        <v>12</v>
      </c>
      <c r="B19" s="1" t="s">
        <v>9</v>
      </c>
      <c r="M19" s="1" t="s">
        <v>10</v>
      </c>
      <c r="N19" s="1" t="s">
        <v>10</v>
      </c>
      <c r="O19" s="1" t="s">
        <v>10</v>
      </c>
      <c r="S19" s="1" t="s">
        <v>10</v>
      </c>
    </row>
    <row r="20">
      <c r="A20" s="1" t="s">
        <v>10</v>
      </c>
      <c r="G20" s="1" t="s">
        <v>9</v>
      </c>
      <c r="M20" s="1" t="s">
        <v>10</v>
      </c>
      <c r="N20" s="1" t="s">
        <v>9</v>
      </c>
      <c r="P20" s="1" t="s">
        <v>9</v>
      </c>
    </row>
    <row r="21">
      <c r="A21" s="1" t="s">
        <v>13</v>
      </c>
      <c r="D21" s="1" t="s">
        <v>9</v>
      </c>
      <c r="H21" s="1" t="s">
        <v>10</v>
      </c>
      <c r="I21" s="1" t="s">
        <v>9</v>
      </c>
      <c r="Q21" s="1" t="s">
        <v>10</v>
      </c>
    </row>
    <row r="23">
      <c r="A23" s="1"/>
      <c r="B23" s="1" t="s">
        <v>315</v>
      </c>
      <c r="C23" s="1" t="s">
        <v>316</v>
      </c>
      <c r="D23" s="1" t="s">
        <v>317</v>
      </c>
      <c r="E23" s="1" t="s">
        <v>318</v>
      </c>
      <c r="F23" s="1" t="s">
        <v>163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F24" si="1">COUNTIF($A1:Z1,"*"&amp;B23&amp;"*")</f>
        <v>3</v>
      </c>
      <c r="C24" s="2">
        <f t="shared" si="1"/>
        <v>4</v>
      </c>
      <c r="D24" s="2">
        <f t="shared" si="1"/>
        <v>4</v>
      </c>
      <c r="E24" s="2">
        <f t="shared" si="1"/>
        <v>2</v>
      </c>
      <c r="F24" s="2">
        <f t="shared" si="1"/>
        <v>1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"),4.0)</f>
        <v>4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"),4.0)</f>
        <v>4</v>
      </c>
      <c r="F26" s="2">
        <f>IFERROR(__xludf.DUMMYFUNCTION("4*SUMPRODUCT(
  ($B$2:$AA$21 = ""C"") *
  ($A$2:$A$21 = $A26) *
  (REGEXMATCH($B$1:$AA$1, ""(?i)"" &amp; F$23))
)-4*SUMPRODUCT(
  ($B$2:$AA$21 = ""P"") *
  ($A$2:$A$21 = $A26) *
  (REGEXMATCH($B$1:$AA$1, ""(?i)"" &amp; F$23))
)
"),0.0)</f>
        <v>0</v>
      </c>
      <c r="H26" s="2">
        <f>IFERROR(__xludf.DUMMYFUNCTION("SUMPRODUCT(
  ($B$2:$AA$21 = ""C"") *
  ($A$2:$A$21 = $A26)*NOT(REGEXMATCH($B$1:$AA$1, ""(?i)bonus"")
)
)"),4.0)</f>
        <v>4</v>
      </c>
      <c r="I26" s="2">
        <f>IFERROR(__xludf.DUMMYFUNCTION("10*SUMPRODUCT(
  ($B$2:$AA$21 = ""C"") *
  ($A$2:$A$21 = $A26) *
  (REGEXMATCH($B$1:$AA$1, ""(?i) BONUS""))
)
"),30.0)</f>
        <v>30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"),20.0)</f>
        <v>20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F27" s="2">
        <f>IFERROR(__xludf.DUMMYFUNCTION("4*SUMPRODUCT(
  ($B$2:$AA$21 = ""C"") *
  ($A$2:$A$21 = $A27) *
  (REGEXMATCH($B$1:$AA$1, ""(?i)"" &amp; F$23))
)-4*SUMPRODUCT(
  ($B$2:$AA$21 = ""P"") *
  ($A$2:$A$21 = $A27) *
  (REGEXMATCH($B$1:$AA$1, ""(?i)"" &amp; F$23))
)
"),0.0)</f>
        <v>0</v>
      </c>
      <c r="H27" s="2">
        <f>IFERROR(__xludf.DUMMYFUNCTION("SUMPRODUCT(
  ($B$2:$AA$21 = ""C"") *
  ($A$2:$A$21 = $A27)*NOT(REGEXMATCH($B$1:$AA$1, ""(?i)bonus"")
)
)"),6.0)</f>
        <v>6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"),24.0)</f>
        <v>24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"),0.0)</f>
        <v>0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F28" s="2">
        <f>IFERROR(__xludf.DUMMYFUNCTION("4*SUMPRODUCT(
  ($B$2:$AA$21 = ""C"") *
  ($A$2:$A$21 = $A28) *
  (REGEXMATCH($B$1:$AA$1, ""(?i)"" &amp; F$23))
)-4*SUMPRODUCT(
  ($B$2:$AA$21 = ""P"") *
  ($A$2:$A$21 = $A28) *
  (REGEXMATCH($B$1:$AA$1, ""(?i)"" &amp; F$23))
)
"),0.0)</f>
        <v>0</v>
      </c>
      <c r="H28" s="2">
        <f>IFERROR(__xludf.DUMMYFUNCTION("SUMPRODUCT(
  ($B$2:$AA$21 = ""C"") *
  ($A$2:$A$21 = $A28)*NOT(REGEXMATCH($B$1:$AA$1, ""(?i)bonus"")
)
)"),6.0)</f>
        <v>6</v>
      </c>
      <c r="I28" s="2">
        <f>IFERROR(__xludf.DUMMYFUNCTION("10*SUMPRODUCT(
  ($B$2:$AA$21 = ""C"") *
  ($A$2:$A$21 = $A28) *
  (REGEXMATCH($B$1:$AA$1, ""(?i) BONUS""))
)
"),50.0)</f>
        <v>50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"),8.0)</f>
        <v>8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"),20.0)</f>
        <v>20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"),4.0)</f>
        <v>4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F29" s="2">
        <f>IFERROR(__xludf.DUMMYFUNCTION("4*SUMPRODUCT(
  ($B$2:$AA$21 = ""C"") *
  ($A$2:$A$21 = $A29) *
  (REGEXMATCH($B$1:$AA$1, ""(?i)"" &amp; F$23))
)-4*SUMPRODUCT(
  ($B$2:$AA$21 = ""P"") *
  ($A$2:$A$21 = $A29) *
  (REGEXMATCH($B$1:$AA$1, ""(?i)"" &amp; F$23))
)
"),0.0)</f>
        <v>0</v>
      </c>
      <c r="H29" s="2">
        <f>IFERROR(__xludf.DUMMYFUNCTION("SUMPRODUCT(
  ($B$2:$AA$21 = ""C"") *
  ($A$2:$A$21 = $A29)*NOT(REGEXMATCH($B$1:$AA$1, ""(?i)bonus"")
)
)"),8.0)</f>
        <v>8</v>
      </c>
      <c r="I29" s="2">
        <f>IFERROR(__xludf.DUMMYFUNCTION("10*SUMPRODUCT(
  ($B$2:$AA$21 = ""C"") *
  ($A$2:$A$21 = $A29) *
  (REGEXMATCH($B$1:$AA$1, ""(?i) BONUS""))
)
"),30.0)</f>
        <v>30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"),4.0)</f>
        <v>4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"),24.0)</f>
        <v>24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"),0.0)</f>
        <v>0</v>
      </c>
      <c r="F30" s="2">
        <f>IFERROR(__xludf.DUMMYFUNCTION("4*SUMPRODUCT(
  ($B$2:$AA$21 = ""C"") *
  ($A$2:$A$21 = $A30) *
  (REGEXMATCH($B$1:$AA$1, ""(?i)"" &amp; F$23))
)-4*SUMPRODUCT(
  ($B$2:$AA$21 = ""P"") *
  ($A$2:$A$21 = $A30) *
  (REGEXMATCH($B$1:$AA$1, ""(?i)"" &amp; F$23))
)
"),4.0)</f>
        <v>4</v>
      </c>
      <c r="H30" s="2">
        <f>IFERROR(__xludf.DUMMYFUNCTION("SUMPRODUCT(
  ($B$2:$AA$21 = ""C"") *
  ($A$2:$A$21 = $A30)*NOT(REGEXMATCH($B$1:$AA$1, ""(?i)bonus"")
)
)"),8.0)</f>
        <v>8</v>
      </c>
      <c r="I30" s="2">
        <f>IFERROR(__xludf.DUMMYFUNCTION("10*SUMPRODUCT(
  ($B$2:$AA$21 = ""C"") *
  ($A$2:$A$21 = $A30) *
  (REGEXMATCH($B$1:$AA$1, ""(?i) BONUS""))
)
"),20.0)</f>
        <v>20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319</v>
      </c>
      <c r="G1" s="1" t="s">
        <v>321</v>
      </c>
      <c r="H1" s="1" t="s">
        <v>320</v>
      </c>
      <c r="I1" s="1" t="s">
        <v>323</v>
      </c>
      <c r="J1" s="1" t="s">
        <v>322</v>
      </c>
      <c r="K1" s="1" t="s">
        <v>320</v>
      </c>
      <c r="L1" s="1" t="s">
        <v>321</v>
      </c>
      <c r="M1" s="1" t="s">
        <v>323</v>
      </c>
      <c r="N1" s="1" t="s">
        <v>319</v>
      </c>
      <c r="O1" s="1" t="s">
        <v>322</v>
      </c>
      <c r="P1" s="1" t="s">
        <v>323</v>
      </c>
      <c r="Q1" s="1" t="s">
        <v>321</v>
      </c>
      <c r="R1" s="1" t="s">
        <v>320</v>
      </c>
      <c r="S1" s="1" t="s">
        <v>319</v>
      </c>
      <c r="T1" s="1" t="s">
        <v>322</v>
      </c>
    </row>
    <row r="2">
      <c r="A2" s="1" t="s">
        <v>8</v>
      </c>
      <c r="B2" s="1" t="s">
        <v>9</v>
      </c>
      <c r="F2" s="1" t="s">
        <v>9</v>
      </c>
      <c r="K2" s="1" t="s">
        <v>10</v>
      </c>
      <c r="O2" s="1" t="s">
        <v>9</v>
      </c>
      <c r="P2" s="1" t="s">
        <v>10</v>
      </c>
      <c r="T2" s="1" t="s">
        <v>9</v>
      </c>
    </row>
    <row r="3">
      <c r="A3" s="1" t="s">
        <v>11</v>
      </c>
      <c r="C3" s="1" t="s">
        <v>10</v>
      </c>
      <c r="E3" s="1" t="s">
        <v>10</v>
      </c>
      <c r="G3" s="1" t="s">
        <v>9</v>
      </c>
      <c r="L3" s="1" t="s">
        <v>10</v>
      </c>
      <c r="O3" s="1" t="s">
        <v>10</v>
      </c>
      <c r="Q3" s="1" t="s">
        <v>10</v>
      </c>
      <c r="T3" s="1" t="s">
        <v>10</v>
      </c>
    </row>
    <row r="4">
      <c r="A4" s="1" t="s">
        <v>12</v>
      </c>
      <c r="B4" s="1" t="s">
        <v>10</v>
      </c>
      <c r="E4" s="1" t="s">
        <v>10</v>
      </c>
      <c r="H4" s="1" t="s">
        <v>10</v>
      </c>
      <c r="J4" s="1" t="s">
        <v>10</v>
      </c>
      <c r="M4" s="1" t="s">
        <v>10</v>
      </c>
      <c r="O4" s="1" t="s">
        <v>9</v>
      </c>
      <c r="R4" s="1" t="s">
        <v>9</v>
      </c>
    </row>
    <row r="5">
      <c r="A5" s="1" t="s">
        <v>10</v>
      </c>
      <c r="D5" s="1" t="s">
        <v>10</v>
      </c>
      <c r="E5" s="1" t="s">
        <v>10</v>
      </c>
      <c r="F5" s="1" t="s">
        <v>10</v>
      </c>
      <c r="J5" s="1" t="s">
        <v>9</v>
      </c>
      <c r="N5" s="1" t="s">
        <v>9</v>
      </c>
      <c r="S5" s="1" t="s">
        <v>10</v>
      </c>
      <c r="T5" s="1" t="s">
        <v>10</v>
      </c>
    </row>
    <row r="6">
      <c r="A6" s="1" t="s">
        <v>13</v>
      </c>
      <c r="C6" s="1" t="s">
        <v>10</v>
      </c>
      <c r="E6" s="1" t="s">
        <v>10</v>
      </c>
      <c r="I6" s="1" t="s">
        <v>10</v>
      </c>
      <c r="J6" s="1" t="s">
        <v>10</v>
      </c>
      <c r="R6" s="1" t="s">
        <v>9</v>
      </c>
    </row>
    <row r="7">
      <c r="A7" s="1" t="s">
        <v>8</v>
      </c>
      <c r="B7" s="1" t="s">
        <v>10</v>
      </c>
      <c r="E7" s="1" t="s">
        <v>10</v>
      </c>
      <c r="I7" s="1" t="s">
        <v>10</v>
      </c>
      <c r="J7" s="1" t="s">
        <v>10</v>
      </c>
      <c r="M7" s="1" t="s">
        <v>9</v>
      </c>
      <c r="P7" s="1" t="s">
        <v>9</v>
      </c>
    </row>
    <row r="8">
      <c r="A8" s="1" t="s">
        <v>11</v>
      </c>
      <c r="D8" s="1" t="s">
        <v>10</v>
      </c>
      <c r="E8" s="1" t="s">
        <v>10</v>
      </c>
      <c r="F8" s="1" t="s">
        <v>10</v>
      </c>
      <c r="J8" s="1" t="s">
        <v>10</v>
      </c>
      <c r="L8" s="1" t="s">
        <v>10</v>
      </c>
      <c r="O8" s="1" t="s">
        <v>10</v>
      </c>
      <c r="Q8" s="1" t="s">
        <v>9</v>
      </c>
    </row>
    <row r="9">
      <c r="A9" s="1" t="s">
        <v>12</v>
      </c>
      <c r="B9" s="1" t="s">
        <v>10</v>
      </c>
      <c r="E9" s="1" t="s">
        <v>10</v>
      </c>
      <c r="H9" s="1" t="s">
        <v>8</v>
      </c>
      <c r="N9" s="1" t="s">
        <v>10</v>
      </c>
      <c r="O9" s="1" t="s">
        <v>10</v>
      </c>
      <c r="S9" s="1" t="s">
        <v>10</v>
      </c>
      <c r="T9" s="1" t="s">
        <v>10</v>
      </c>
    </row>
    <row r="10">
      <c r="A10" s="1" t="s">
        <v>10</v>
      </c>
      <c r="D10" s="1" t="s">
        <v>10</v>
      </c>
      <c r="E10" s="1" t="s">
        <v>10</v>
      </c>
      <c r="H10" s="1" t="s">
        <v>10</v>
      </c>
      <c r="J10" s="1" t="s">
        <v>10</v>
      </c>
      <c r="L10" s="1" t="s">
        <v>10</v>
      </c>
      <c r="O10" s="1" t="s">
        <v>10</v>
      </c>
      <c r="S10" s="1" t="s">
        <v>10</v>
      </c>
      <c r="T10" s="1" t="s">
        <v>9</v>
      </c>
    </row>
    <row r="11">
      <c r="A11" s="1" t="s">
        <v>13</v>
      </c>
      <c r="C11" s="1" t="s">
        <v>10</v>
      </c>
      <c r="E11" s="1" t="s">
        <v>10</v>
      </c>
      <c r="F11" s="1" t="s">
        <v>10</v>
      </c>
      <c r="J11" s="1" t="s">
        <v>10</v>
      </c>
      <c r="K11" s="1" t="s">
        <v>10</v>
      </c>
      <c r="O11" s="1" t="s">
        <v>10</v>
      </c>
      <c r="R11" s="1" t="s">
        <v>10</v>
      </c>
      <c r="T11" s="1" t="s">
        <v>9</v>
      </c>
    </row>
    <row r="12">
      <c r="A12" s="1" t="s">
        <v>8</v>
      </c>
      <c r="D12" s="1" t="s">
        <v>9</v>
      </c>
      <c r="G12" s="1" t="s">
        <v>10</v>
      </c>
      <c r="J12" s="1" t="s">
        <v>10</v>
      </c>
      <c r="N12" s="1" t="s">
        <v>9</v>
      </c>
    </row>
    <row r="13">
      <c r="A13" s="1" t="s">
        <v>11</v>
      </c>
      <c r="B13" s="1" t="s">
        <v>9</v>
      </c>
      <c r="G13" s="1" t="s">
        <v>9</v>
      </c>
      <c r="K13" s="1" t="s">
        <v>9</v>
      </c>
      <c r="Q13" s="1" t="s">
        <v>10</v>
      </c>
      <c r="T13" s="1" t="s">
        <v>10</v>
      </c>
    </row>
    <row r="14">
      <c r="A14" s="1" t="s">
        <v>12</v>
      </c>
      <c r="C14" s="1" t="s">
        <v>9</v>
      </c>
      <c r="H14" s="1" t="s">
        <v>10</v>
      </c>
      <c r="J14" s="1" t="s">
        <v>10</v>
      </c>
      <c r="L14" s="1" t="s">
        <v>10</v>
      </c>
      <c r="O14" s="1" t="s">
        <v>10</v>
      </c>
      <c r="R14" s="1" t="s">
        <v>9</v>
      </c>
    </row>
    <row r="15">
      <c r="A15" s="1" t="s">
        <v>10</v>
      </c>
      <c r="B15" s="1" t="s">
        <v>10</v>
      </c>
      <c r="E15" s="1" t="s">
        <v>10</v>
      </c>
      <c r="G15" s="1" t="s">
        <v>9</v>
      </c>
      <c r="L15" s="1" t="s">
        <v>10</v>
      </c>
      <c r="O15" s="1" t="s">
        <v>9</v>
      </c>
      <c r="Q15" s="1" t="s">
        <v>10</v>
      </c>
      <c r="T15" s="1" t="s">
        <v>9</v>
      </c>
    </row>
    <row r="16">
      <c r="A16" s="1" t="s">
        <v>13</v>
      </c>
      <c r="C16" s="1" t="s">
        <v>10</v>
      </c>
      <c r="E16" s="1" t="s">
        <v>9</v>
      </c>
      <c r="F16" s="1" t="s">
        <v>10</v>
      </c>
      <c r="J16" s="1" t="s">
        <v>10</v>
      </c>
      <c r="M16" s="1" t="s">
        <v>10</v>
      </c>
      <c r="O16" s="1" t="s">
        <v>10</v>
      </c>
      <c r="R16" s="1" t="s">
        <v>10</v>
      </c>
      <c r="T16" s="1" t="s">
        <v>9</v>
      </c>
    </row>
    <row r="17">
      <c r="A17" s="1" t="s">
        <v>8</v>
      </c>
      <c r="D17" s="1" t="s">
        <v>10</v>
      </c>
      <c r="E17" s="1" t="s">
        <v>10</v>
      </c>
      <c r="H17" s="1" t="s">
        <v>10</v>
      </c>
      <c r="J17" s="1" t="s">
        <v>9</v>
      </c>
      <c r="K17" s="1" t="s">
        <v>10</v>
      </c>
      <c r="O17" s="1" t="s">
        <v>10</v>
      </c>
      <c r="S17" s="1" t="s">
        <v>10</v>
      </c>
      <c r="T17" s="1" t="s">
        <v>9</v>
      </c>
    </row>
    <row r="18">
      <c r="A18" s="1" t="s">
        <v>11</v>
      </c>
      <c r="D18" s="1" t="s">
        <v>10</v>
      </c>
      <c r="E18" s="1" t="s">
        <v>10</v>
      </c>
      <c r="F18" s="1" t="s">
        <v>10</v>
      </c>
      <c r="J18" s="1" t="s">
        <v>10</v>
      </c>
      <c r="L18" s="1" t="s">
        <v>10</v>
      </c>
      <c r="O18" s="1" t="s">
        <v>10</v>
      </c>
      <c r="Q18" s="1" t="s">
        <v>10</v>
      </c>
      <c r="T18" s="1" t="s">
        <v>10</v>
      </c>
    </row>
    <row r="19">
      <c r="A19" s="1" t="s">
        <v>12</v>
      </c>
      <c r="C19" s="1" t="s">
        <v>10</v>
      </c>
      <c r="E19" s="1" t="s">
        <v>9</v>
      </c>
      <c r="H19" s="1" t="s">
        <v>10</v>
      </c>
      <c r="J19" s="1" t="s">
        <v>10</v>
      </c>
      <c r="R19" s="1" t="s">
        <v>9</v>
      </c>
    </row>
    <row r="20">
      <c r="A20" s="1" t="s">
        <v>10</v>
      </c>
      <c r="C20" s="1" t="s">
        <v>10</v>
      </c>
      <c r="E20" s="1" t="s">
        <v>9</v>
      </c>
      <c r="F20" s="1" t="s">
        <v>10</v>
      </c>
      <c r="J20" s="1" t="s">
        <v>10</v>
      </c>
      <c r="N20" s="1" t="s">
        <v>9</v>
      </c>
      <c r="S20" s="1" t="s">
        <v>10</v>
      </c>
      <c r="T20" s="1" t="s">
        <v>10</v>
      </c>
    </row>
    <row r="21">
      <c r="A21" s="1" t="s">
        <v>13</v>
      </c>
      <c r="D21" s="1" t="s">
        <v>9</v>
      </c>
      <c r="F21" s="1" t="s">
        <v>10</v>
      </c>
      <c r="J21" s="1" t="s">
        <v>10</v>
      </c>
      <c r="K21" s="1" t="s">
        <v>10</v>
      </c>
      <c r="O21" s="1" t="s">
        <v>10</v>
      </c>
      <c r="R21" s="1" t="s">
        <v>9</v>
      </c>
    </row>
    <row r="23">
      <c r="A23" s="1"/>
      <c r="B23" s="1" t="s">
        <v>324</v>
      </c>
      <c r="C23" s="1" t="s">
        <v>165</v>
      </c>
      <c r="D23" s="1" t="s">
        <v>325</v>
      </c>
      <c r="E23" s="1" t="s">
        <v>245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4</v>
      </c>
      <c r="C24" s="2">
        <f t="shared" si="1"/>
        <v>4</v>
      </c>
      <c r="D24" s="2">
        <f t="shared" si="1"/>
        <v>4</v>
      </c>
      <c r="E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"),8.0)</f>
        <v>8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"),12.0)</f>
        <v>12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"),8.0)</f>
        <v>8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"),8.0)</f>
        <v>8</v>
      </c>
      <c r="H26" s="2">
        <f>IFERROR(__xludf.DUMMYFUNCTION("SUMPRODUCT(
  ($B$2:$AA$21 = ""C"") *
  ($A$2:$A$21 = $A26)*NOT(REGEXMATCH($B$1:$AA$1, ""(?i)bonus"")
)
)"),9.0)</f>
        <v>9</v>
      </c>
      <c r="I26" s="2">
        <f>IFERROR(__xludf.DUMMYFUNCTION("10*SUMPRODUCT(
  ($B$2:$AA$21 = ""C"") *
  ($A$2:$A$21 = $A26) *
  (REGEXMATCH($B$1:$AA$1, ""(?i) BONUS""))
)
"),50.0)</f>
        <v>50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"),8.0)</f>
        <v>8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"),32.0)</f>
        <v>32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"),0.0)</f>
        <v>0</v>
      </c>
      <c r="H27" s="2">
        <f>IFERROR(__xludf.DUMMYFUNCTION("SUMPRODUCT(
  ($B$2:$AA$21 = ""C"") *
  ($A$2:$A$21 = $A27)*NOT(REGEXMATCH($B$1:$AA$1, ""(?i)bonus"")
)
)"),11.0)</f>
        <v>11</v>
      </c>
      <c r="I27" s="2">
        <f>IFERROR(__xludf.DUMMYFUNCTION("10*SUMPRODUCT(
  ($B$2:$AA$21 = ""C"") *
  ($A$2:$A$21 = $A27) *
  (REGEXMATCH($B$1:$AA$1, ""(?i) BONUS""))
)
"),110.0)</f>
        <v>110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"),16.0)</f>
        <v>16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"),12.0)</f>
        <v>12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"),4.0)</f>
        <v>4</v>
      </c>
      <c r="H28" s="2">
        <f>IFERROR(__xludf.DUMMYFUNCTION("SUMPRODUCT(
  ($B$2:$AA$21 = ""C"") *
  ($A$2:$A$21 = $A28)*NOT(REGEXMATCH($B$1:$AA$1, ""(?i)bonus"")
)
)"),10.0)</f>
        <v>10</v>
      </c>
      <c r="I28" s="2">
        <f>IFERROR(__xludf.DUMMYFUNCTION("10*SUMPRODUCT(
  ($B$2:$AA$21 = ""C"") *
  ($A$2:$A$21 = $A28) *
  (REGEXMATCH($B$1:$AA$1, ""(?i) BONUS""))
)
"),80.0)</f>
        <v>80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"),24.0)</f>
        <v>24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"),8.0)</f>
        <v>8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"),20.0)</f>
        <v>20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)"),13.0)</f>
        <v>13</v>
      </c>
      <c r="I29" s="2">
        <f>IFERROR(__xludf.DUMMYFUNCTION("10*SUMPRODUCT(
  ($B$2:$AA$21 = ""C"") *
  ($A$2:$A$21 = $A29) *
  (REGEXMATCH($B$1:$AA$1, ""(?i) BONUS""))
)
"),80.0)</f>
        <v>80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"),12.0)</f>
        <v>12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"),28.0)</f>
        <v>28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"),8.0)</f>
        <v>8</v>
      </c>
      <c r="H30" s="2">
        <f>IFERROR(__xludf.DUMMYFUNCTION("SUMPRODUCT(
  ($B$2:$AA$21 = ""C"") *
  ($A$2:$A$21 = $A30)*NOT(REGEXMATCH($B$1:$AA$1, ""(?i)bonus"")
)
)"),12.0)</f>
        <v>12</v>
      </c>
      <c r="I30" s="2">
        <f>IFERROR(__xludf.DUMMYFUNCTION("10*SUMPRODUCT(
  ($B$2:$AA$21 = ""C"") *
  ($A$2:$A$21 = $A30) *
  (REGEXMATCH($B$1:$AA$1, ""(?i) BONUS""))
)
"),90.0)</f>
        <v>90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328</v>
      </c>
      <c r="I1" s="1" t="s">
        <v>332</v>
      </c>
      <c r="J1" s="1" t="s">
        <v>331</v>
      </c>
      <c r="K1" s="1" t="s">
        <v>328</v>
      </c>
      <c r="L1" s="1" t="s">
        <v>332</v>
      </c>
      <c r="M1" s="1" t="s">
        <v>331</v>
      </c>
      <c r="N1" s="1" t="s">
        <v>328</v>
      </c>
    </row>
    <row r="2">
      <c r="A2" s="1" t="s">
        <v>8</v>
      </c>
      <c r="B2" s="1" t="s">
        <v>10</v>
      </c>
      <c r="D2" s="1" t="s">
        <v>10</v>
      </c>
      <c r="I2" s="1" t="s">
        <v>9</v>
      </c>
      <c r="L2" s="1" t="s">
        <v>10</v>
      </c>
      <c r="N2" s="1" t="s">
        <v>9</v>
      </c>
    </row>
    <row r="3">
      <c r="A3" s="1" t="s">
        <v>11</v>
      </c>
      <c r="I3" s="1" t="s">
        <v>10</v>
      </c>
      <c r="K3" s="1" t="s">
        <v>9</v>
      </c>
      <c r="L3" s="1" t="s">
        <v>10</v>
      </c>
      <c r="N3" s="1" t="s">
        <v>9</v>
      </c>
    </row>
    <row r="4">
      <c r="A4" s="1" t="s">
        <v>12</v>
      </c>
      <c r="E4" s="1" t="s">
        <v>9</v>
      </c>
      <c r="M4" s="1" t="s">
        <v>9</v>
      </c>
    </row>
    <row r="5">
      <c r="A5" s="1" t="s">
        <v>10</v>
      </c>
      <c r="I5" s="1" t="s">
        <v>9</v>
      </c>
    </row>
    <row r="6">
      <c r="A6" s="1" t="s">
        <v>13</v>
      </c>
      <c r="L6" s="1" t="s">
        <v>9</v>
      </c>
    </row>
    <row r="7">
      <c r="A7" s="1" t="s">
        <v>8</v>
      </c>
      <c r="L7" s="1" t="s">
        <v>9</v>
      </c>
    </row>
    <row r="8">
      <c r="A8" s="1" t="s">
        <v>11</v>
      </c>
      <c r="F8" s="1" t="s">
        <v>9</v>
      </c>
      <c r="I8" s="1" t="s">
        <v>10</v>
      </c>
      <c r="K8" s="1" t="s">
        <v>9</v>
      </c>
      <c r="L8" s="1" t="s">
        <v>9</v>
      </c>
    </row>
    <row r="9">
      <c r="A9" s="1" t="s">
        <v>12</v>
      </c>
      <c r="G9" s="1" t="s">
        <v>9</v>
      </c>
      <c r="J9" s="1" t="s">
        <v>9</v>
      </c>
      <c r="M9" s="1" t="s">
        <v>10</v>
      </c>
      <c r="N9" s="1" t="s">
        <v>9</v>
      </c>
    </row>
    <row r="10">
      <c r="A10" s="1" t="s">
        <v>10</v>
      </c>
      <c r="I10" s="1" t="s">
        <v>9</v>
      </c>
      <c r="L10" s="1" t="s">
        <v>9</v>
      </c>
    </row>
    <row r="11">
      <c r="A11" s="1" t="s">
        <v>13</v>
      </c>
      <c r="J11" s="1" t="s">
        <v>9</v>
      </c>
    </row>
    <row r="12">
      <c r="A12" s="1" t="s">
        <v>8</v>
      </c>
      <c r="C12" s="1" t="s">
        <v>9</v>
      </c>
      <c r="J12" s="1" t="s">
        <v>9</v>
      </c>
    </row>
    <row r="13">
      <c r="A13" s="1" t="s">
        <v>11</v>
      </c>
      <c r="I13" s="1" t="s">
        <v>10</v>
      </c>
      <c r="K13" s="1" t="s">
        <v>9</v>
      </c>
      <c r="L13" s="1" t="s">
        <v>9</v>
      </c>
    </row>
    <row r="14">
      <c r="A14" s="1" t="s">
        <v>12</v>
      </c>
      <c r="E14" s="1" t="s">
        <v>10</v>
      </c>
      <c r="H14" s="1" t="s">
        <v>9</v>
      </c>
      <c r="J14" s="1" t="s">
        <v>9</v>
      </c>
      <c r="M14" s="1" t="s">
        <v>9</v>
      </c>
    </row>
    <row r="15">
      <c r="A15" s="1" t="s">
        <v>10</v>
      </c>
      <c r="M15" s="1" t="s">
        <v>9</v>
      </c>
    </row>
    <row r="16">
      <c r="A16" s="1" t="s">
        <v>13</v>
      </c>
      <c r="L16" s="1" t="s">
        <v>9</v>
      </c>
    </row>
    <row r="17">
      <c r="A17" s="1" t="s">
        <v>8</v>
      </c>
      <c r="F17" s="1" t="s">
        <v>9</v>
      </c>
      <c r="J17" s="1" t="s">
        <v>9</v>
      </c>
    </row>
    <row r="18">
      <c r="A18" s="1" t="s">
        <v>11</v>
      </c>
      <c r="I18" s="1" t="s">
        <v>9</v>
      </c>
      <c r="L18" s="1" t="s">
        <v>10</v>
      </c>
      <c r="N18" s="1" t="s">
        <v>9</v>
      </c>
    </row>
    <row r="19">
      <c r="A19" s="1" t="s">
        <v>12</v>
      </c>
      <c r="E19" s="1" t="s">
        <v>10</v>
      </c>
      <c r="J19" s="1" t="s">
        <v>10</v>
      </c>
      <c r="K19" s="1" t="s">
        <v>10</v>
      </c>
      <c r="M19" s="1" t="s">
        <v>9</v>
      </c>
    </row>
    <row r="20">
      <c r="A20" s="1" t="s">
        <v>10</v>
      </c>
      <c r="F20" s="1" t="s">
        <v>9</v>
      </c>
      <c r="M20" s="1" t="s">
        <v>9</v>
      </c>
    </row>
    <row r="21">
      <c r="A21" s="1" t="s">
        <v>13</v>
      </c>
      <c r="I21" s="1" t="s">
        <v>9</v>
      </c>
      <c r="L21" s="1" t="s">
        <v>9</v>
      </c>
    </row>
    <row r="23">
      <c r="A23" s="1"/>
      <c r="B23" s="1" t="s">
        <v>333</v>
      </c>
      <c r="C23" s="1" t="s">
        <v>334</v>
      </c>
      <c r="D23" s="1" t="s">
        <v>335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D24" si="1">COUNTIF($A1:Z1,"*"&amp;B23&amp;"*")</f>
        <v>2</v>
      </c>
      <c r="C24" s="2">
        <f t="shared" si="1"/>
        <v>4</v>
      </c>
      <c r="D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"),4.0)</f>
        <v>4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"),4.0)</f>
        <v>4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H26" s="2">
        <f>IFERROR(__xludf.DUMMYFUNCTION("SUMPRODUCT(
  ($B$2:$AA$21 = ""C"") *
  ($A$2:$A$21 = $A26)*NOT(REGEXMATCH($B$1:$AA$1, ""(?i)bonus"")
)
)"),2.0)</f>
        <v>2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"),0.0)</f>
        <v>0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"),20.0)</f>
        <v>20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H27" s="2">
        <f>IFERROR(__xludf.DUMMYFUNCTION("SUMPRODUCT(
  ($B$2:$AA$21 = ""C"") *
  ($A$2:$A$21 = $A27)*NOT(REGEXMATCH($B$1:$AA$1, ""(?i)bonus"")
)
)"),5.0)</f>
        <v>5</v>
      </c>
      <c r="I27" s="2">
        <f>IFERROR(__xludf.DUMMYFUNCTION("10*SUMPRODUCT(
  ($B$2:$AA$21 = ""C"") *
  ($A$2:$A$21 = $A27) *
  (REGEXMATCH($B$1:$AA$1, ""(?i) BONUS""))
)
"),0.0)</f>
        <v>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"),8.0)</f>
        <v>8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"),8.0)</f>
        <v>8</v>
      </c>
      <c r="H28" s="2">
        <f>IFERROR(__xludf.DUMMYFUNCTION("SUMPRODUCT(
  ($B$2:$AA$21 = ""C"") *
  ($A$2:$A$21 = $A28)*NOT(REGEXMATCH($B$1:$AA$1, ""(?i)bonus"")
)
)"),4.0)</f>
        <v>4</v>
      </c>
      <c r="I28" s="2">
        <f>IFERROR(__xludf.DUMMYFUNCTION("10*SUMPRODUCT(
  ($B$2:$AA$21 = ""C"") *
  ($A$2:$A$21 = $A28) *
  (REGEXMATCH($B$1:$AA$1, ""(?i) BONUS""))
)
"),10.0)</f>
        <v>10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"),0.0)</f>
        <v>0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H29" s="2">
        <f>IFERROR(__xludf.DUMMYFUNCTION("SUMPRODUCT(
  ($B$2:$AA$21 = ""C"") *
  ($A$2:$A$21 = $A29)*NOT(REGEXMATCH($B$1:$AA$1, ""(?i)bonus"")
)
)"),0.0)</f>
        <v>0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H30" s="2">
        <f>IFERROR(__xludf.DUMMYFUNCTION("SUMPRODUCT(
  ($B$2:$AA$21 = ""C"") *
  ($A$2:$A$21 = $A30)*NOT(REGEXMATCH($B$1:$AA$1, ""(?i)bonus"")
)
)"),0.0)</f>
        <v>0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336</v>
      </c>
      <c r="G1" s="1" t="s">
        <v>337</v>
      </c>
      <c r="H1" s="1" t="s">
        <v>340</v>
      </c>
      <c r="I1" s="1" t="s">
        <v>338</v>
      </c>
      <c r="J1" s="1" t="s">
        <v>336</v>
      </c>
      <c r="K1" s="1" t="s">
        <v>340</v>
      </c>
      <c r="L1" s="1" t="s">
        <v>339</v>
      </c>
      <c r="M1" s="1" t="s">
        <v>337</v>
      </c>
      <c r="N1" s="1" t="s">
        <v>338</v>
      </c>
      <c r="O1" s="1" t="s">
        <v>336</v>
      </c>
      <c r="P1" s="1" t="s">
        <v>340</v>
      </c>
      <c r="Q1" s="1" t="s">
        <v>338</v>
      </c>
    </row>
    <row r="2">
      <c r="A2" s="1" t="s">
        <v>8</v>
      </c>
      <c r="B2" s="1" t="s">
        <v>9</v>
      </c>
      <c r="J2" s="1" t="s">
        <v>9</v>
      </c>
    </row>
    <row r="3">
      <c r="A3" s="1" t="s">
        <v>11</v>
      </c>
      <c r="E3" s="1" t="s">
        <v>9</v>
      </c>
    </row>
    <row r="4">
      <c r="A4" s="1" t="s">
        <v>12</v>
      </c>
      <c r="B4" s="1" t="s">
        <v>10</v>
      </c>
      <c r="D4" s="1" t="s">
        <v>9</v>
      </c>
      <c r="E4" s="1" t="s">
        <v>10</v>
      </c>
      <c r="I4" s="1" t="s">
        <v>10</v>
      </c>
      <c r="J4" s="1" t="s">
        <v>9</v>
      </c>
      <c r="O4" s="1" t="s">
        <v>9</v>
      </c>
    </row>
    <row r="5">
      <c r="A5" s="1" t="s">
        <v>10</v>
      </c>
      <c r="F5" s="1" t="s">
        <v>9</v>
      </c>
      <c r="J5" s="1" t="s">
        <v>9</v>
      </c>
    </row>
    <row r="6">
      <c r="A6" s="1" t="s">
        <v>13</v>
      </c>
      <c r="F6" s="1" t="s">
        <v>10</v>
      </c>
      <c r="I6" s="1" t="s">
        <v>10</v>
      </c>
      <c r="K6" s="1" t="s">
        <v>10</v>
      </c>
      <c r="N6" s="1" t="s">
        <v>9</v>
      </c>
      <c r="P6" s="1" t="s">
        <v>9</v>
      </c>
    </row>
    <row r="7">
      <c r="A7" s="1" t="s">
        <v>8</v>
      </c>
      <c r="F7" s="1" t="s">
        <v>10</v>
      </c>
      <c r="I7" s="1" t="s">
        <v>9</v>
      </c>
      <c r="J7" s="1" t="s">
        <v>9</v>
      </c>
      <c r="O7" s="1" t="s">
        <v>9</v>
      </c>
    </row>
    <row r="8">
      <c r="A8" s="1" t="s">
        <v>11</v>
      </c>
      <c r="B8" s="1" t="s">
        <v>10</v>
      </c>
      <c r="D8" s="1" t="s">
        <v>9</v>
      </c>
      <c r="O8" s="1" t="s">
        <v>9</v>
      </c>
    </row>
    <row r="9">
      <c r="A9" s="1" t="s">
        <v>12</v>
      </c>
      <c r="J9" s="1" t="s">
        <v>9</v>
      </c>
    </row>
    <row r="10">
      <c r="A10" s="1" t="s">
        <v>10</v>
      </c>
      <c r="B10" s="1" t="s">
        <v>9</v>
      </c>
      <c r="F10" s="1" t="s">
        <v>9</v>
      </c>
      <c r="L10" s="1" t="s">
        <v>10</v>
      </c>
      <c r="N10" s="1" t="s">
        <v>10</v>
      </c>
    </row>
    <row r="11">
      <c r="A11" s="1" t="s">
        <v>13</v>
      </c>
      <c r="B11" s="1" t="s">
        <v>9</v>
      </c>
      <c r="F11" s="1" t="s">
        <v>9</v>
      </c>
      <c r="J11" s="1" t="s">
        <v>9</v>
      </c>
    </row>
    <row r="12">
      <c r="A12" s="1" t="s">
        <v>8</v>
      </c>
      <c r="B12" s="1" t="s">
        <v>10</v>
      </c>
      <c r="D12" s="1" t="s">
        <v>9</v>
      </c>
      <c r="F12" s="1" t="s">
        <v>9</v>
      </c>
      <c r="J12" s="1" t="s">
        <v>10</v>
      </c>
      <c r="N12" s="1" t="s">
        <v>9</v>
      </c>
    </row>
    <row r="13">
      <c r="A13" s="1" t="s">
        <v>11</v>
      </c>
      <c r="G13" s="1" t="s">
        <v>9</v>
      </c>
      <c r="L13" s="1" t="s">
        <v>9</v>
      </c>
    </row>
    <row r="14">
      <c r="A14" s="1" t="s">
        <v>12</v>
      </c>
      <c r="F14" s="1" t="s">
        <v>9</v>
      </c>
      <c r="J14" s="1" t="s">
        <v>10</v>
      </c>
      <c r="N14" s="1" t="s">
        <v>9</v>
      </c>
      <c r="O14" s="1" t="s">
        <v>9</v>
      </c>
    </row>
    <row r="15">
      <c r="A15" s="1" t="s">
        <v>10</v>
      </c>
      <c r="H15" s="1" t="s">
        <v>9</v>
      </c>
      <c r="M15" s="1" t="s">
        <v>10</v>
      </c>
      <c r="N15" s="1" t="s">
        <v>10</v>
      </c>
    </row>
    <row r="16">
      <c r="A16" s="1" t="s">
        <v>13</v>
      </c>
      <c r="F16" s="1" t="s">
        <v>9</v>
      </c>
    </row>
    <row r="17">
      <c r="A17" s="1" t="s">
        <v>8</v>
      </c>
      <c r="B17" s="1" t="s">
        <v>9</v>
      </c>
      <c r="H17" s="1" t="s">
        <v>10</v>
      </c>
      <c r="I17" s="1" t="s">
        <v>9</v>
      </c>
      <c r="J17" s="1" t="s">
        <v>10</v>
      </c>
      <c r="N17" s="1" t="s">
        <v>10</v>
      </c>
    </row>
    <row r="18">
      <c r="A18" s="1" t="s">
        <v>11</v>
      </c>
      <c r="C18" s="1" t="s">
        <v>10</v>
      </c>
      <c r="D18" s="1" t="s">
        <v>9</v>
      </c>
      <c r="E18" s="1" t="s">
        <v>10</v>
      </c>
      <c r="I18" s="1" t="s">
        <v>10</v>
      </c>
      <c r="K18" s="1" t="s">
        <v>10</v>
      </c>
      <c r="N18" s="1" t="s">
        <v>10</v>
      </c>
    </row>
    <row r="19">
      <c r="A19" s="1" t="s">
        <v>12</v>
      </c>
      <c r="B19" s="1" t="s">
        <v>10</v>
      </c>
      <c r="O19" s="1" t="s">
        <v>9</v>
      </c>
    </row>
    <row r="20">
      <c r="A20" s="1" t="s">
        <v>10</v>
      </c>
      <c r="B20" s="1" t="s">
        <v>10</v>
      </c>
      <c r="F20" s="1" t="s">
        <v>9</v>
      </c>
      <c r="M20" s="1" t="s">
        <v>10</v>
      </c>
      <c r="N20" s="1" t="s">
        <v>10</v>
      </c>
    </row>
    <row r="21">
      <c r="A21" s="1" t="s">
        <v>13</v>
      </c>
      <c r="B21" s="1" t="s">
        <v>9</v>
      </c>
      <c r="F21" s="1" t="s">
        <v>9</v>
      </c>
      <c r="K21" s="1" t="s">
        <v>9</v>
      </c>
      <c r="O21" s="1" t="s">
        <v>10</v>
      </c>
    </row>
    <row r="23">
      <c r="A23" s="1"/>
      <c r="B23" s="1" t="s">
        <v>341</v>
      </c>
      <c r="C23" s="1" t="s">
        <v>164</v>
      </c>
      <c r="D23" s="1" t="s">
        <v>342</v>
      </c>
      <c r="E23" s="1" t="s">
        <v>343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E24" si="1">COUNTIF($A1:Z1,"*"&amp;B23&amp;"*")</f>
        <v>4</v>
      </c>
      <c r="C24" s="2">
        <f t="shared" si="1"/>
        <v>3</v>
      </c>
      <c r="D24" s="2">
        <f t="shared" si="1"/>
        <v>2</v>
      </c>
      <c r="E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"),16.0)</f>
        <v>16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"),0.0)</f>
        <v>0</v>
      </c>
      <c r="E26" s="2">
        <f>IFERROR(__xludf.DUMMYFUNCTION("4*SUMPRODUCT(
  ($B$2:$AA$21 = ""C"") *
  ($A$2:$A$21 = $A26) *
  (REGEXMATCH($B$1:$AA$1, ""(?i)"" &amp; E$23))
)-4*SUMPRODUCT(
  ($B$2:$AA$21 = ""P"") *
  ($A$2:$A$21 = $A26) *
  (REGEXMATCH($B$1:$AA$1, ""(?i)"" &amp; E$23))
)
"),4.0)</f>
        <v>4</v>
      </c>
      <c r="H26" s="2">
        <f>IFERROR(__xludf.DUMMYFUNCTION("SUMPRODUCT(
  ($B$2:$AA$21 = ""C"") *
  ($A$2:$A$21 = $A26)*NOT(REGEXMATCH($B$1:$AA$1, ""(?i)bonus"")
)
)"),5.0)</f>
        <v>5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"),4.0)</f>
        <v>4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"),4.0)</f>
        <v>4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"),4.0)</f>
        <v>4</v>
      </c>
      <c r="E27" s="2">
        <f>IFERROR(__xludf.DUMMYFUNCTION("4*SUMPRODUCT(
  ($B$2:$AA$21 = ""C"") *
  ($A$2:$A$21 = $A27) *
  (REGEXMATCH($B$1:$AA$1, ""(?i)"" &amp; E$23))
)-4*SUMPRODUCT(
  ($B$2:$AA$21 = ""P"") *
  ($A$2:$A$21 = $A27) *
  (REGEXMATCH($B$1:$AA$1, ""(?i)"" &amp; E$23))
)
"),4.0)</f>
        <v>4</v>
      </c>
      <c r="H27" s="2">
        <f>IFERROR(__xludf.DUMMYFUNCTION("SUMPRODUCT(
  ($B$2:$AA$21 = ""C"") *
  ($A$2:$A$21 = $A27)*NOT(REGEXMATCH($B$1:$AA$1, ""(?i)bonus"")
)
)"),4.0)</f>
        <v>4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"),12.0)</f>
        <v>12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E28" s="2">
        <f>IFERROR(__xludf.DUMMYFUNCTION("4*SUMPRODUCT(
  ($B$2:$AA$21 = ""C"") *
  ($A$2:$A$21 = $A28) *
  (REGEXMATCH($B$1:$AA$1, ""(?i)"" &amp; E$23))
)-4*SUMPRODUCT(
  ($B$2:$AA$21 = ""P"") *
  ($A$2:$A$21 = $A28) *
  (REGEXMATCH($B$1:$AA$1, ""(?i)"" &amp; E$23))
)
"),0.0)</f>
        <v>0</v>
      </c>
      <c r="H28" s="2">
        <f>IFERROR(__xludf.DUMMYFUNCTION("SUMPRODUCT(
  ($B$2:$AA$21 = ""C"") *
  ($A$2:$A$21 = $A28)*NOT(REGEXMATCH($B$1:$AA$1, ""(?i)bonus"")
)
)"),4.0)</f>
        <v>4</v>
      </c>
      <c r="I28" s="2">
        <f>IFERROR(__xludf.DUMMYFUNCTION("10*SUMPRODUCT(
  ($B$2:$AA$21 = ""C"") *
  ($A$2:$A$21 = $A28) *
  (REGEXMATCH($B$1:$AA$1, ""(?i) BONUS""))
)
"),10.0)</f>
        <v>10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"),8.0)</f>
        <v>8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"),4.0)</f>
        <v>4</v>
      </c>
      <c r="E29" s="2">
        <f>IFERROR(__xludf.DUMMYFUNCTION("4*SUMPRODUCT(
  ($B$2:$AA$21 = ""C"") *
  ($A$2:$A$21 = $A29) *
  (REGEXMATCH($B$1:$AA$1, ""(?i)"" &amp; E$23))
)-4*SUMPRODUCT(
  ($B$2:$AA$21 = ""P"") *
  ($A$2:$A$21 = $A29) *
  (REGEXMATCH($B$1:$AA$1, ""(?i)"" &amp; E$23))
)
"),0.0)</f>
        <v>0</v>
      </c>
      <c r="H29" s="2">
        <f>IFERROR(__xludf.DUMMYFUNCTION("SUMPRODUCT(
  ($B$2:$AA$21 = ""C"") *
  ($A$2:$A$21 = $A29)*NOT(REGEXMATCH($B$1:$AA$1, ""(?i)bonus"")
)
)"),4.0)</f>
        <v>4</v>
      </c>
      <c r="I29" s="2">
        <f>IFERROR(__xludf.DUMMYFUNCTION("10*SUMPRODUCT(
  ($B$2:$AA$21 = ""C"") *
  ($A$2:$A$21 = $A29) *
  (REGEXMATCH($B$1:$AA$1, ""(?i) BONUS""))
)
"),30.0)</f>
        <v>30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"),8.0)</f>
        <v>8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"),0.0)</f>
        <v>0</v>
      </c>
      <c r="E30" s="2">
        <f>IFERROR(__xludf.DUMMYFUNCTION("4*SUMPRODUCT(
  ($B$2:$AA$21 = ""C"") *
  ($A$2:$A$21 = $A30) *
  (REGEXMATCH($B$1:$AA$1, ""(?i)"" &amp; E$23))
)-4*SUMPRODUCT(
  ($B$2:$AA$21 = ""P"") *
  ($A$2:$A$21 = $A30) *
  (REGEXMATCH($B$1:$AA$1, ""(?i)"" &amp; E$23))
)
"),4.0)</f>
        <v>4</v>
      </c>
      <c r="H30" s="2">
        <f>IFERROR(__xludf.DUMMYFUNCTION("SUMPRODUCT(
  ($B$2:$AA$21 = ""C"") *
  ($A$2:$A$21 = $A30)*NOT(REGEXMATCH($B$1:$AA$1, ""(?i)bonus"")
)
)"),3.0)</f>
        <v>3</v>
      </c>
      <c r="I30" s="2">
        <f>IFERROR(__xludf.DUMMYFUNCTION("10*SUMPRODUCT(
  ($B$2:$AA$21 = ""C"") *
  ($A$2:$A$21 = $A30) *
  (REGEXMATCH($B$1:$AA$1, ""(?i) BONUS""))
)
"),10.0)</f>
        <v>10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344</v>
      </c>
      <c r="K1" s="1" t="s">
        <v>346</v>
      </c>
      <c r="L1" s="1" t="s">
        <v>344</v>
      </c>
      <c r="M1" s="1" t="s">
        <v>347</v>
      </c>
      <c r="N1" s="1" t="s">
        <v>345</v>
      </c>
      <c r="O1" s="1" t="s">
        <v>346</v>
      </c>
    </row>
    <row r="2">
      <c r="A2" s="1" t="s">
        <v>8</v>
      </c>
      <c r="B2" s="1" t="s">
        <v>10</v>
      </c>
      <c r="D2" s="1" t="s">
        <v>9</v>
      </c>
      <c r="E2" s="1" t="s">
        <v>10</v>
      </c>
      <c r="H2" s="1" t="s">
        <v>9</v>
      </c>
      <c r="I2" s="1" t="s">
        <v>9</v>
      </c>
    </row>
    <row r="3">
      <c r="A3" s="1" t="s">
        <v>11</v>
      </c>
      <c r="C3" s="1" t="s">
        <v>9</v>
      </c>
      <c r="F3" s="1" t="s">
        <v>10</v>
      </c>
      <c r="H3" s="1" t="s">
        <v>10</v>
      </c>
    </row>
    <row r="4">
      <c r="A4" s="1" t="s">
        <v>12</v>
      </c>
      <c r="F4" s="1" t="s">
        <v>9</v>
      </c>
      <c r="L4" s="1" t="s">
        <v>9</v>
      </c>
    </row>
    <row r="5">
      <c r="A5" s="1" t="s">
        <v>10</v>
      </c>
      <c r="F5" s="1" t="s">
        <v>9</v>
      </c>
      <c r="J5" s="1" t="s">
        <v>9</v>
      </c>
    </row>
    <row r="6">
      <c r="A6" s="1" t="s">
        <v>13</v>
      </c>
      <c r="I6" s="1" t="s">
        <v>10</v>
      </c>
      <c r="K6" s="1" t="s">
        <v>9</v>
      </c>
      <c r="L6" s="1" t="s">
        <v>9</v>
      </c>
    </row>
    <row r="7">
      <c r="A7" s="1" t="s">
        <v>8</v>
      </c>
      <c r="E7" s="1" t="s">
        <v>9</v>
      </c>
      <c r="L7" s="1" t="s">
        <v>9</v>
      </c>
    </row>
    <row r="8">
      <c r="A8" s="1" t="s">
        <v>11</v>
      </c>
      <c r="F8" s="1" t="s">
        <v>10</v>
      </c>
      <c r="H8" s="1" t="s">
        <v>10</v>
      </c>
      <c r="J8" s="1" t="s">
        <v>10</v>
      </c>
      <c r="K8" s="1" t="s">
        <v>9</v>
      </c>
      <c r="L8" s="1" t="s">
        <v>9</v>
      </c>
    </row>
    <row r="9">
      <c r="A9" s="1" t="s">
        <v>12</v>
      </c>
      <c r="B9" s="1" t="s">
        <v>9</v>
      </c>
      <c r="F9" s="1" t="s">
        <v>10</v>
      </c>
      <c r="H9" s="1" t="s">
        <v>9</v>
      </c>
      <c r="M9" s="1" t="s">
        <v>9</v>
      </c>
    </row>
    <row r="10">
      <c r="A10" s="1" t="s">
        <v>10</v>
      </c>
      <c r="F10" s="1" t="s">
        <v>9</v>
      </c>
      <c r="J10" s="1" t="s">
        <v>9</v>
      </c>
      <c r="L10" s="1" t="s">
        <v>9</v>
      </c>
    </row>
    <row r="11">
      <c r="A11" s="1" t="s">
        <v>13</v>
      </c>
      <c r="E11" s="1" t="s">
        <v>10</v>
      </c>
      <c r="H11" s="1" t="s">
        <v>9</v>
      </c>
      <c r="I11" s="1" t="s">
        <v>10</v>
      </c>
      <c r="K11" s="1" t="s">
        <v>9</v>
      </c>
      <c r="M11" s="1" t="s">
        <v>10</v>
      </c>
      <c r="O11" s="1" t="s">
        <v>9</v>
      </c>
    </row>
    <row r="12">
      <c r="A12" s="1" t="s">
        <v>8</v>
      </c>
      <c r="F12" s="1" t="s">
        <v>10</v>
      </c>
      <c r="H12" s="1" t="s">
        <v>10</v>
      </c>
      <c r="L12" s="1" t="s">
        <v>9</v>
      </c>
    </row>
    <row r="13">
      <c r="A13" s="1" t="s">
        <v>11</v>
      </c>
      <c r="G13" s="1" t="s">
        <v>9</v>
      </c>
      <c r="J13" s="1" t="s">
        <v>9</v>
      </c>
      <c r="L13" s="1" t="s">
        <v>10</v>
      </c>
      <c r="O13" s="1" t="s">
        <v>9</v>
      </c>
    </row>
    <row r="14">
      <c r="A14" s="1" t="s">
        <v>12</v>
      </c>
      <c r="F14" s="1" t="s">
        <v>9</v>
      </c>
      <c r="L14" s="1" t="s">
        <v>9</v>
      </c>
    </row>
    <row r="15">
      <c r="A15" s="1" t="s">
        <v>10</v>
      </c>
      <c r="F15" s="1" t="s">
        <v>9</v>
      </c>
      <c r="J15" s="1" t="s">
        <v>9</v>
      </c>
      <c r="L15" s="1" t="s">
        <v>9</v>
      </c>
    </row>
    <row r="16">
      <c r="A16" s="1" t="s">
        <v>13</v>
      </c>
      <c r="E16" s="1" t="s">
        <v>9</v>
      </c>
      <c r="N16" s="1" t="s">
        <v>9</v>
      </c>
    </row>
    <row r="17">
      <c r="A17" s="1" t="s">
        <v>8</v>
      </c>
      <c r="J17" s="1" t="s">
        <v>9</v>
      </c>
      <c r="M17" s="1" t="s">
        <v>10</v>
      </c>
      <c r="O17" s="1" t="s">
        <v>9</v>
      </c>
    </row>
    <row r="18">
      <c r="A18" s="1" t="s">
        <v>11</v>
      </c>
    </row>
    <row r="19">
      <c r="A19" s="1" t="s">
        <v>12</v>
      </c>
      <c r="F19" s="1" t="s">
        <v>10</v>
      </c>
      <c r="H19" s="1" t="s">
        <v>9</v>
      </c>
      <c r="M19" s="1" t="s">
        <v>10</v>
      </c>
      <c r="O19" s="1" t="s">
        <v>9</v>
      </c>
    </row>
    <row r="20">
      <c r="A20" s="1" t="s">
        <v>10</v>
      </c>
      <c r="F20" s="1" t="s">
        <v>9</v>
      </c>
      <c r="I20" s="1" t="s">
        <v>9</v>
      </c>
      <c r="L20" s="1" t="s">
        <v>10</v>
      </c>
      <c r="O20" s="1" t="s">
        <v>9</v>
      </c>
    </row>
    <row r="21">
      <c r="A21" s="1" t="s">
        <v>13</v>
      </c>
      <c r="F21" s="1" t="s">
        <v>9</v>
      </c>
      <c r="M21" s="1" t="s">
        <v>9</v>
      </c>
    </row>
    <row r="23">
      <c r="A23" s="1"/>
      <c r="B23" s="1" t="s">
        <v>348</v>
      </c>
      <c r="C23" s="1" t="s">
        <v>349</v>
      </c>
      <c r="D23" s="1" t="s">
        <v>350</v>
      </c>
      <c r="G23" s="1"/>
      <c r="H23" s="1" t="s">
        <v>16</v>
      </c>
      <c r="I23" s="1" t="s">
        <v>17</v>
      </c>
    </row>
    <row r="24">
      <c r="A24" s="1" t="s">
        <v>18</v>
      </c>
      <c r="B24" s="2">
        <f t="shared" ref="B24:D24" si="1">COUNTIF($A1:Z1,"*"&amp;B23&amp;"*")</f>
        <v>4</v>
      </c>
      <c r="C24" s="2">
        <f t="shared" si="1"/>
        <v>3</v>
      </c>
      <c r="D24" s="2">
        <f t="shared" si="1"/>
        <v>3</v>
      </c>
    </row>
    <row r="25">
      <c r="A25" s="1"/>
    </row>
    <row r="26">
      <c r="A26" s="1" t="s">
        <v>8</v>
      </c>
      <c r="B26" s="2">
        <f>IFERROR(__xludf.DUMMYFUNCTION("4*SUMPRODUCT(
  ($B$2:$AA$21 = ""C"") *
  ($A$2:$A$21 = $A26) *
  (REGEXMATCH($B$1:$AA$1, ""(?i)"" &amp; B$23))
)-4*SUMPRODUCT(
  ($B$2:$AA$21 = ""P"") *
  ($A$2:$A$21 = $A26) *
  (REGEXMATCH($B$1:$AA$1, ""(?i)"" &amp; B$23))
)
"),8.0)</f>
        <v>8</v>
      </c>
      <c r="C26" s="2">
        <f>IFERROR(__xludf.DUMMYFUNCTION("4*SUMPRODUCT(
  ($B$2:$AA$21 = ""C"") *
  ($A$2:$A$21 = $A26) *
  (REGEXMATCH($B$1:$AA$1, ""(?i)"" &amp; C$23))
)-4*SUMPRODUCT(
  ($B$2:$AA$21 = ""P"") *
  ($A$2:$A$21 = $A26) *
  (REGEXMATCH($B$1:$AA$1, ""(?i)"" &amp; C$23))
)
"),0.0)</f>
        <v>0</v>
      </c>
      <c r="D26" s="2">
        <f>IFERROR(__xludf.DUMMYFUNCTION("4*SUMPRODUCT(
  ($B$2:$AA$21 = ""C"") *
  ($A$2:$A$21 = $A26) *
  (REGEXMATCH($B$1:$AA$1, ""(?i)"" &amp; D$23))
)-4*SUMPRODUCT(
  ($B$2:$AA$21 = ""P"") *
  ($A$2:$A$21 = $A26) *
  (REGEXMATCH($B$1:$AA$1, ""(?i)"" &amp; D$23))
)
"),8.0)</f>
        <v>8</v>
      </c>
      <c r="H26" s="2">
        <f>IFERROR(__xludf.DUMMYFUNCTION("SUMPRODUCT(
  ($B$2:$AA$21 = ""C"") *
  ($A$2:$A$21 = $A26)*NOT(REGEXMATCH($B$1:$AA$1, ""(?i)bonus"")
)
)"),4.0)</f>
        <v>4</v>
      </c>
      <c r="I26" s="2">
        <f>IFERROR(__xludf.DUMMYFUNCTION("10*SUMPRODUCT(
  ($B$2:$AA$21 = ""C"") *
  ($A$2:$A$21 = $A26) *
  (REGEXMATCH($B$1:$AA$1, ""(?i) BONUS""))
)
"),10.0)</f>
        <v>10</v>
      </c>
    </row>
    <row r="27">
      <c r="A27" s="1" t="s">
        <v>11</v>
      </c>
      <c r="B27" s="2">
        <f>IFERROR(__xludf.DUMMYFUNCTION("4*SUMPRODUCT(
  ($B$2:$AA$21 = ""C"") *
  ($A$2:$A$21 = $A27) *
  (REGEXMATCH($B$1:$AA$1, ""(?i)"" &amp; B$23))
)-4*SUMPRODUCT(
  ($B$2:$AA$21 = ""P"") *
  ($A$2:$A$21 = $A27) *
  (REGEXMATCH($B$1:$AA$1, ""(?i)"" &amp; B$23))
)
"),16.0)</f>
        <v>16</v>
      </c>
      <c r="C27" s="2">
        <f>IFERROR(__xludf.DUMMYFUNCTION("4*SUMPRODUCT(
  ($B$2:$AA$21 = ""C"") *
  ($A$2:$A$21 = $A27) *
  (REGEXMATCH($B$1:$AA$1, ""(?i)"" &amp; C$23))
)-4*SUMPRODUCT(
  ($B$2:$AA$21 = ""P"") *
  ($A$2:$A$21 = $A27) *
  (REGEXMATCH($B$1:$AA$1, ""(?i)"" &amp; C$23))
)
"),0.0)</f>
        <v>0</v>
      </c>
      <c r="D27" s="2">
        <f>IFERROR(__xludf.DUMMYFUNCTION("4*SUMPRODUCT(
  ($B$2:$AA$21 = ""C"") *
  ($A$2:$A$21 = $A27) *
  (REGEXMATCH($B$1:$AA$1, ""(?i)"" &amp; D$23))
)-4*SUMPRODUCT(
  ($B$2:$AA$21 = ""P"") *
  ($A$2:$A$21 = $A27) *
  (REGEXMATCH($B$1:$AA$1, ""(?i)"" &amp; D$23))
)
"),0.0)</f>
        <v>0</v>
      </c>
      <c r="H27" s="2">
        <f>IFERROR(__xludf.DUMMYFUNCTION("SUMPRODUCT(
  ($B$2:$AA$21 = ""C"") *
  ($A$2:$A$21 = $A27)*NOT(REGEXMATCH($B$1:$AA$1, ""(?i)bonus"")
)
)"),4.0)</f>
        <v>4</v>
      </c>
      <c r="I27" s="2">
        <f>IFERROR(__xludf.DUMMYFUNCTION("10*SUMPRODUCT(
  ($B$2:$AA$21 = ""C"") *
  ($A$2:$A$21 = $A27) *
  (REGEXMATCH($B$1:$AA$1, ""(?i) BONUS""))
)
"),20.0)</f>
        <v>20</v>
      </c>
    </row>
    <row r="28">
      <c r="A28" s="1" t="s">
        <v>12</v>
      </c>
      <c r="B28" s="2">
        <f>IFERROR(__xludf.DUMMYFUNCTION("4*SUMPRODUCT(
  ($B$2:$AA$21 = ""C"") *
  ($A$2:$A$21 = $A28) *
  (REGEXMATCH($B$1:$AA$1, ""(?i)"" &amp; B$23))
)-4*SUMPRODUCT(
  ($B$2:$AA$21 = ""P"") *
  ($A$2:$A$21 = $A28) *
  (REGEXMATCH($B$1:$AA$1, ""(?i)"" &amp; B$23))
)
"),8.0)</f>
        <v>8</v>
      </c>
      <c r="C28" s="2">
        <f>IFERROR(__xludf.DUMMYFUNCTION("4*SUMPRODUCT(
  ($B$2:$AA$21 = ""C"") *
  ($A$2:$A$21 = $A28) *
  (REGEXMATCH($B$1:$AA$1, ""(?i)"" &amp; C$23))
)-4*SUMPRODUCT(
  ($B$2:$AA$21 = ""P"") *
  ($A$2:$A$21 = $A28) *
  (REGEXMATCH($B$1:$AA$1, ""(?i)"" &amp; C$23))
)
"),0.0)</f>
        <v>0</v>
      </c>
      <c r="D28" s="2">
        <f>IFERROR(__xludf.DUMMYFUNCTION("4*SUMPRODUCT(
  ($B$2:$AA$21 = ""C"") *
  ($A$2:$A$21 = $A28) *
  (REGEXMATCH($B$1:$AA$1, ""(?i)"" &amp; D$23))
)-4*SUMPRODUCT(
  ($B$2:$AA$21 = ""P"") *
  ($A$2:$A$21 = $A28) *
  (REGEXMATCH($B$1:$AA$1, ""(?i)"" &amp; D$23))
)
"),4.0)</f>
        <v>4</v>
      </c>
      <c r="H28" s="2">
        <f>IFERROR(__xludf.DUMMYFUNCTION("SUMPRODUCT(
  ($B$2:$AA$21 = ""C"") *
  ($A$2:$A$21 = $A28)*NOT(REGEXMATCH($B$1:$AA$1, ""(?i)bonus"")
)
)"),3.0)</f>
        <v>3</v>
      </c>
      <c r="I28" s="2">
        <f>IFERROR(__xludf.DUMMYFUNCTION("10*SUMPRODUCT(
  ($B$2:$AA$21 = ""C"") *
  ($A$2:$A$21 = $A28) *
  (REGEXMATCH($B$1:$AA$1, ""(?i) BONUS""))
)
"),0.0)</f>
        <v>0</v>
      </c>
    </row>
    <row r="29">
      <c r="A29" s="1" t="s">
        <v>10</v>
      </c>
      <c r="B29" s="2">
        <f>IFERROR(__xludf.DUMMYFUNCTION("4*SUMPRODUCT(
  ($B$2:$AA$21 = ""C"") *
  ($A$2:$A$21 = $A29) *
  (REGEXMATCH($B$1:$AA$1, ""(?i)"" &amp; B$23))
)-4*SUMPRODUCT(
  ($B$2:$AA$21 = ""P"") *
  ($A$2:$A$21 = $A29) *
  (REGEXMATCH($B$1:$AA$1, ""(?i)"" &amp; B$23))
)
"),4.0)</f>
        <v>4</v>
      </c>
      <c r="C29" s="2">
        <f>IFERROR(__xludf.DUMMYFUNCTION("4*SUMPRODUCT(
  ($B$2:$AA$21 = ""C"") *
  ($A$2:$A$21 = $A29) *
  (REGEXMATCH($B$1:$AA$1, ""(?i)"" &amp; C$23))
)-4*SUMPRODUCT(
  ($B$2:$AA$21 = ""P"") *
  ($A$2:$A$21 = $A29) *
  (REGEXMATCH($B$1:$AA$1, ""(?i)"" &amp; C$23))
)
"),0.0)</f>
        <v>0</v>
      </c>
      <c r="D29" s="2">
        <f>IFERROR(__xludf.DUMMYFUNCTION("4*SUMPRODUCT(
  ($B$2:$AA$21 = ""C"") *
  ($A$2:$A$21 = $A29) *
  (REGEXMATCH($B$1:$AA$1, ""(?i)"" &amp; D$23))
)-4*SUMPRODUCT(
  ($B$2:$AA$21 = ""P"") *
  ($A$2:$A$21 = $A29) *
  (REGEXMATCH($B$1:$AA$1, ""(?i)"" &amp; D$23))
)
"),0.0)</f>
        <v>0</v>
      </c>
      <c r="H29" s="2">
        <f>IFERROR(__xludf.DUMMYFUNCTION("SUMPRODUCT(
  ($B$2:$AA$21 = ""C"") *
  ($A$2:$A$21 = $A29)*NOT(REGEXMATCH($B$1:$AA$1, ""(?i)bonus"")
)
)"),1.0)</f>
        <v>1</v>
      </c>
      <c r="I29" s="2">
        <f>IFERROR(__xludf.DUMMYFUNCTION("10*SUMPRODUCT(
  ($B$2:$AA$21 = ""C"") *
  ($A$2:$A$21 = $A29) *
  (REGEXMATCH($B$1:$AA$1, ""(?i) BONUS""))
)
"),0.0)</f>
        <v>0</v>
      </c>
    </row>
    <row r="30">
      <c r="A30" s="1" t="s">
        <v>13</v>
      </c>
      <c r="B30" s="2">
        <f>IFERROR(__xludf.DUMMYFUNCTION("4*SUMPRODUCT(
  ($B$2:$AA$21 = ""C"") *
  ($A$2:$A$21 = $A30) *
  (REGEXMATCH($B$1:$AA$1, ""(?i)"" &amp; B$23))
)-4*SUMPRODUCT(
  ($B$2:$AA$21 = ""P"") *
  ($A$2:$A$21 = $A30) *
  (REGEXMATCH($B$1:$AA$1, ""(?i)"" &amp; B$23))
)
"),0.0)</f>
        <v>0</v>
      </c>
      <c r="C30" s="2">
        <f>IFERROR(__xludf.DUMMYFUNCTION("4*SUMPRODUCT(
  ($B$2:$AA$21 = ""C"") *
  ($A$2:$A$21 = $A30) *
  (REGEXMATCH($B$1:$AA$1, ""(?i)"" &amp; C$23))
)-4*SUMPRODUCT(
  ($B$2:$AA$21 = ""P"") *
  ($A$2:$A$21 = $A30) *
  (REGEXMATCH($B$1:$AA$1, ""(?i)"" &amp; C$23))
)
"),0.0)</f>
        <v>0</v>
      </c>
      <c r="D30" s="2">
        <f>IFERROR(__xludf.DUMMYFUNCTION("4*SUMPRODUCT(
  ($B$2:$AA$21 = ""C"") *
  ($A$2:$A$21 = $A30) *
  (REGEXMATCH($B$1:$AA$1, ""(?i)"" &amp; D$23))
)-4*SUMPRODUCT(
  ($B$2:$AA$21 = ""P"") *
  ($A$2:$A$21 = $A30) *
  (REGEXMATCH($B$1:$AA$1, ""(?i)"" &amp; D$23))
)
"),16.0)</f>
        <v>16</v>
      </c>
      <c r="H30" s="2">
        <f>IFERROR(__xludf.DUMMYFUNCTION("SUMPRODUCT(
  ($B$2:$AA$21 = ""C"") *
  ($A$2:$A$21 = $A30)*NOT(REGEXMATCH($B$1:$AA$1, ""(?i)bonus"")
)
)"),4.0)</f>
        <v>4</v>
      </c>
      <c r="I30" s="2">
        <f>IFERROR(__xludf.DUMMYFUNCTION("10*SUMPRODUCT(
  ($B$2:$AA$21 = ""C"") *
  ($A$2:$A$21 = $A30) *
  (REGEXMATCH($B$1:$AA$1, ""(?i) BONUS""))
)
"),0.0)</f>
        <v>0</v>
      </c>
    </row>
  </sheetData>
  <drawing r:id="rId1"/>
</worksheet>
</file>