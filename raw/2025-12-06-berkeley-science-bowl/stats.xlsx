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 PPG" sheetId="1" r:id="rId5"/>
    <sheet state="visible" name="All RR Scores" sheetId="2" r:id="rId6"/>
    <sheet state="visible" name="All RR Questions" sheetId="3" r:id="rId7"/>
  </sheets>
  <definedNames/>
  <calcPr/>
</workbook>
</file>

<file path=xl/sharedStrings.xml><?xml version="1.0" encoding="utf-8"?>
<sst xmlns="http://schemas.openxmlformats.org/spreadsheetml/2006/main" count="4414" uniqueCount="324">
  <si>
    <t>Team 1</t>
  </si>
  <si>
    <t>Biology Leaderboard</t>
  </si>
  <si>
    <t>Team 2</t>
  </si>
  <si>
    <t>Team 1 Score</t>
  </si>
  <si>
    <t>Team 2 Score</t>
  </si>
  <si>
    <t>Davidson A</t>
  </si>
  <si>
    <t>Chemistry Leaderboard</t>
  </si>
  <si>
    <t>Quarry Lane B</t>
  </si>
  <si>
    <t>Lynbrook A</t>
  </si>
  <si>
    <t>Saint Francis</t>
  </si>
  <si>
    <t>Earth and Space Leaderboard</t>
  </si>
  <si>
    <t>Mountain House</t>
  </si>
  <si>
    <t>Homestead</t>
  </si>
  <si>
    <t>Energy Leaderboard</t>
  </si>
  <si>
    <t>Abraham Lincoln</t>
  </si>
  <si>
    <t>University B</t>
  </si>
  <si>
    <t>Amador Valley B</t>
  </si>
  <si>
    <t>Irvington A</t>
  </si>
  <si>
    <t>Math Leaderboard</t>
  </si>
  <si>
    <t>BASIS Fremont</t>
  </si>
  <si>
    <t>Dougherty Valley A</t>
  </si>
  <si>
    <t>Davidson B</t>
  </si>
  <si>
    <t>Stanford Online</t>
  </si>
  <si>
    <t>Folsom City</t>
  </si>
  <si>
    <t>Physics Leaderboard</t>
  </si>
  <si>
    <t>University A</t>
  </si>
  <si>
    <t>Key</t>
  </si>
  <si>
    <t>Irvington B</t>
  </si>
  <si>
    <t>Mira Loma</t>
  </si>
  <si>
    <t>Overall Leaderboard</t>
  </si>
  <si>
    <t>Theenash S</t>
  </si>
  <si>
    <t>TU: Toss-up Correct</t>
  </si>
  <si>
    <t>Richard P</t>
  </si>
  <si>
    <t>Foothill B</t>
  </si>
  <si>
    <t>Portola</t>
  </si>
  <si>
    <t>Alexander W</t>
  </si>
  <si>
    <t>B: Toss-up and Bonus Correct</t>
  </si>
  <si>
    <t>North Hollywood B</t>
  </si>
  <si>
    <t>Palo Alto A</t>
  </si>
  <si>
    <t>P: Penalty</t>
  </si>
  <si>
    <t>San Gabriel</t>
  </si>
  <si>
    <t>Rohan G</t>
  </si>
  <si>
    <t>Palo Alto B</t>
  </si>
  <si>
    <t>Blank Cell: Incorrect/No answer</t>
  </si>
  <si>
    <t>Feodor Y</t>
  </si>
  <si>
    <t>Archbishop Mitty</t>
  </si>
  <si>
    <t>Suzuko O</t>
  </si>
  <si>
    <t>Dougherty Valley B</t>
  </si>
  <si>
    <t>BASIS Silicon Valley A</t>
  </si>
  <si>
    <t>Connor Z</t>
  </si>
  <si>
    <t>Cupertino B</t>
  </si>
  <si>
    <t>Sudhanva B</t>
  </si>
  <si>
    <t>Haiyue M</t>
  </si>
  <si>
    <t>Brooklyn</t>
  </si>
  <si>
    <t>Quarry Lane A</t>
  </si>
  <si>
    <t>Sola M</t>
  </si>
  <si>
    <t>Lucas Q</t>
  </si>
  <si>
    <t>BASIS Silicon Valley B</t>
  </si>
  <si>
    <t>North Hollywood A</t>
  </si>
  <si>
    <t>Andrew L</t>
  </si>
  <si>
    <t>Canyon Crest</t>
  </si>
  <si>
    <t>Cupertino A</t>
  </si>
  <si>
    <t>Joshua W</t>
  </si>
  <si>
    <t>Arnold O. Beckman</t>
  </si>
  <si>
    <t>Tokay</t>
  </si>
  <si>
    <t>Patrick L</t>
  </si>
  <si>
    <t>Kush G</t>
  </si>
  <si>
    <t>Iolani</t>
  </si>
  <si>
    <t>Saratoga A</t>
  </si>
  <si>
    <t>Angelina Y</t>
  </si>
  <si>
    <t>Lynbrook B</t>
  </si>
  <si>
    <t>Mission San Jose A</t>
  </si>
  <si>
    <t>Alex G</t>
  </si>
  <si>
    <t>Kensuke O</t>
  </si>
  <si>
    <t>Amador Valley A</t>
  </si>
  <si>
    <t>Saratoga B</t>
  </si>
  <si>
    <t>Mission San Jose B</t>
  </si>
  <si>
    <t>Andrew S</t>
  </si>
  <si>
    <t>Hillsdale</t>
  </si>
  <si>
    <t>Andrew W</t>
  </si>
  <si>
    <t>Brave Christian</t>
  </si>
  <si>
    <t>Foothill A</t>
  </si>
  <si>
    <t>Ethan W</t>
  </si>
  <si>
    <t>Larry Z</t>
  </si>
  <si>
    <t>Nathaniel O</t>
  </si>
  <si>
    <t>Kevin P</t>
  </si>
  <si>
    <t>Sohil R</t>
  </si>
  <si>
    <t>Athithan E</t>
  </si>
  <si>
    <t>Tannishtha C</t>
  </si>
  <si>
    <t>Alan C</t>
  </si>
  <si>
    <t>Keshav V</t>
  </si>
  <si>
    <t>Anish R</t>
  </si>
  <si>
    <t>Chico</t>
  </si>
  <si>
    <t>Soham C</t>
  </si>
  <si>
    <t>Round</t>
  </si>
  <si>
    <t>Yajur C</t>
  </si>
  <si>
    <t>Shashank V</t>
  </si>
  <si>
    <t>Kshitij B</t>
  </si>
  <si>
    <t>Roshan A</t>
  </si>
  <si>
    <t>Rasia Y</t>
  </si>
  <si>
    <t>Liam T</t>
  </si>
  <si>
    <t>Ian C</t>
  </si>
  <si>
    <t>Matthew W</t>
  </si>
  <si>
    <t>Ibrahim N</t>
  </si>
  <si>
    <t>Shubhi J</t>
  </si>
  <si>
    <t>Shayan S</t>
  </si>
  <si>
    <t>Seabert M</t>
  </si>
  <si>
    <t>Austin Z</t>
  </si>
  <si>
    <t>Abhinav KSK</t>
  </si>
  <si>
    <t>Rishabh G</t>
  </si>
  <si>
    <t>Shloke K</t>
  </si>
  <si>
    <t>Mingeon S</t>
  </si>
  <si>
    <t>Ashwin S</t>
  </si>
  <si>
    <t>Ching S</t>
  </si>
  <si>
    <t>Virat V</t>
  </si>
  <si>
    <t>Abhiraam G</t>
  </si>
  <si>
    <t>Lucas W</t>
  </si>
  <si>
    <t>Gaurav G</t>
  </si>
  <si>
    <t>Philip K</t>
  </si>
  <si>
    <t>Ryan B</t>
  </si>
  <si>
    <t>Haru G</t>
  </si>
  <si>
    <t>Carson G</t>
  </si>
  <si>
    <t>Ritwik A</t>
  </si>
  <si>
    <t>Category</t>
  </si>
  <si>
    <t>Bio</t>
  </si>
  <si>
    <t>Math</t>
  </si>
  <si>
    <t>Energy</t>
  </si>
  <si>
    <t>Chem</t>
  </si>
  <si>
    <t>Phys</t>
  </si>
  <si>
    <t>ESS</t>
  </si>
  <si>
    <t>Arjun P</t>
  </si>
  <si>
    <t>Diego P</t>
  </si>
  <si>
    <t>Quinn G</t>
  </si>
  <si>
    <t>Samarth J</t>
  </si>
  <si>
    <t>Ishaan K</t>
  </si>
  <si>
    <t>Owen M</t>
  </si>
  <si>
    <t>Suhrith M</t>
  </si>
  <si>
    <t>Neha P</t>
  </si>
  <si>
    <t>Aarush I</t>
  </si>
  <si>
    <t>Everett T</t>
  </si>
  <si>
    <t>Adrish B</t>
  </si>
  <si>
    <t>Christpoher X</t>
  </si>
  <si>
    <t>Jake R</t>
  </si>
  <si>
    <t>Alex M</t>
  </si>
  <si>
    <t>Olive L</t>
  </si>
  <si>
    <t>Julian K</t>
  </si>
  <si>
    <t>Krish S</t>
  </si>
  <si>
    <t>Kaison F</t>
  </si>
  <si>
    <t>Matthew Yuan</t>
  </si>
  <si>
    <t>Evan L</t>
  </si>
  <si>
    <t>Gautham D</t>
  </si>
  <si>
    <t>Terry H</t>
  </si>
  <si>
    <t>Abhiram K</t>
  </si>
  <si>
    <t>Ishank K</t>
  </si>
  <si>
    <t>Kayley W</t>
  </si>
  <si>
    <t>Toby W</t>
  </si>
  <si>
    <t>Elaine G</t>
  </si>
  <si>
    <t>Madeline B</t>
  </si>
  <si>
    <t>Question Number</t>
  </si>
  <si>
    <t>Total Toss-ups:</t>
  </si>
  <si>
    <t>Total Bonuses:</t>
  </si>
  <si>
    <t>Bella C</t>
  </si>
  <si>
    <t>Total Penalties:</t>
  </si>
  <si>
    <t>Jeffrey D</t>
  </si>
  <si>
    <t>Leo S</t>
  </si>
  <si>
    <t>Pranav B</t>
  </si>
  <si>
    <t>Jasper Z</t>
  </si>
  <si>
    <t>Ethan Z</t>
  </si>
  <si>
    <t>Ishaan S</t>
  </si>
  <si>
    <t>Naman S</t>
  </si>
  <si>
    <t>Brandon K</t>
  </si>
  <si>
    <t>Eunho N</t>
  </si>
  <si>
    <t>Max R</t>
  </si>
  <si>
    <t>Minghao G</t>
  </si>
  <si>
    <t>Dhruv S</t>
  </si>
  <si>
    <t>Sophia F</t>
  </si>
  <si>
    <t>Bryan N</t>
  </si>
  <si>
    <t>Neel G</t>
  </si>
  <si>
    <t>Aaron C</t>
  </si>
  <si>
    <t>Timothy C</t>
  </si>
  <si>
    <t>Charles H</t>
  </si>
  <si>
    <t>Josh T</t>
  </si>
  <si>
    <t>Gabriella L</t>
  </si>
  <si>
    <t>Vikrant C</t>
  </si>
  <si>
    <t>Greta N</t>
  </si>
  <si>
    <t>Ethan G</t>
  </si>
  <si>
    <t>Srijon M</t>
  </si>
  <si>
    <t>Nicole L</t>
  </si>
  <si>
    <t>Connor C</t>
  </si>
  <si>
    <t>Hasita VR</t>
  </si>
  <si>
    <t>Inderjit S</t>
  </si>
  <si>
    <t>Daniel G-P</t>
  </si>
  <si>
    <t xml:space="preserve">Samhita </t>
  </si>
  <si>
    <t>Kaylee Z</t>
  </si>
  <si>
    <t>Aarnav G</t>
  </si>
  <si>
    <t>Andy L</t>
  </si>
  <si>
    <t>Yulan C</t>
  </si>
  <si>
    <t>Namita G</t>
  </si>
  <si>
    <t>Ethan C</t>
  </si>
  <si>
    <t>Mahi K</t>
  </si>
  <si>
    <t>Sumedh C</t>
  </si>
  <si>
    <t>Annie L</t>
  </si>
  <si>
    <t>Srijan R</t>
  </si>
  <si>
    <t>Austin L</t>
  </si>
  <si>
    <t>Tyler L</t>
  </si>
  <si>
    <t>Sean W</t>
  </si>
  <si>
    <t>Daniel Y</t>
  </si>
  <si>
    <t>Rutvik A</t>
  </si>
  <si>
    <t>Pratham M</t>
  </si>
  <si>
    <t>B</t>
  </si>
  <si>
    <t>Jaevin G</t>
  </si>
  <si>
    <t>Melody B</t>
  </si>
  <si>
    <t>TU</t>
  </si>
  <si>
    <t>Zanda Z</t>
  </si>
  <si>
    <t>P</t>
  </si>
  <si>
    <t>Paulo R</t>
  </si>
  <si>
    <t>Mason Y</t>
  </si>
  <si>
    <t>Eric G</t>
  </si>
  <si>
    <t>Brandon S</t>
  </si>
  <si>
    <t>Sahana V</t>
  </si>
  <si>
    <t>Alex L</t>
  </si>
  <si>
    <t>Arman A</t>
  </si>
  <si>
    <t>Shulin L</t>
  </si>
  <si>
    <t>Gabriele LDP</t>
  </si>
  <si>
    <t>Iurii K</t>
  </si>
  <si>
    <t>Carmen L</t>
  </si>
  <si>
    <t>Aarav G</t>
  </si>
  <si>
    <t>Paxton L</t>
  </si>
  <si>
    <t>Lilianne T</t>
  </si>
  <si>
    <t>Vong P</t>
  </si>
  <si>
    <t>Timo Y</t>
  </si>
  <si>
    <t>Rosa L</t>
  </si>
  <si>
    <t>Carson L</t>
  </si>
  <si>
    <t>Minghao L</t>
  </si>
  <si>
    <t>Filip R</t>
  </si>
  <si>
    <t>Rayirth L</t>
  </si>
  <si>
    <t>Ruikang W</t>
  </si>
  <si>
    <t>Lucas L</t>
  </si>
  <si>
    <t>Trevor Y</t>
  </si>
  <si>
    <t>Nathan C</t>
  </si>
  <si>
    <t>Christopher C</t>
  </si>
  <si>
    <t>Aariv A</t>
  </si>
  <si>
    <t>Daniel K</t>
  </si>
  <si>
    <t>Armaan S</t>
  </si>
  <si>
    <t>Priya K-O</t>
  </si>
  <si>
    <t>Yingkai S</t>
  </si>
  <si>
    <t>Shreyas R</t>
  </si>
  <si>
    <t>Bourne Z</t>
  </si>
  <si>
    <t>Jonas B</t>
  </si>
  <si>
    <t>Sampriti B</t>
  </si>
  <si>
    <t>Nyles H</t>
  </si>
  <si>
    <t>Kiyan R</t>
  </si>
  <si>
    <t>Aryan D</t>
  </si>
  <si>
    <t>Spandan D</t>
  </si>
  <si>
    <t>Jaanya A</t>
  </si>
  <si>
    <t>Hank S</t>
  </si>
  <si>
    <t>Kartik S</t>
  </si>
  <si>
    <t>Anish A</t>
  </si>
  <si>
    <t>Zimeng D</t>
  </si>
  <si>
    <t>Inhoo C</t>
  </si>
  <si>
    <t>Brian Z</t>
  </si>
  <si>
    <t>Anya S</t>
  </si>
  <si>
    <t>Pradyun K</t>
  </si>
  <si>
    <t>Jacob G</t>
  </si>
  <si>
    <t>Jamie W</t>
  </si>
  <si>
    <t>YiLun(Aaron) L</t>
  </si>
  <si>
    <t>Archie D</t>
  </si>
  <si>
    <t>Kapilan K</t>
  </si>
  <si>
    <t>Phuong L</t>
  </si>
  <si>
    <t>Andy Z</t>
  </si>
  <si>
    <t>Kate L</t>
  </si>
  <si>
    <t>Dylan P</t>
  </si>
  <si>
    <t>Sayan S</t>
  </si>
  <si>
    <t>Edward C</t>
  </si>
  <si>
    <t>Micah R</t>
  </si>
  <si>
    <t>Adrian C</t>
  </si>
  <si>
    <t>Helaina H</t>
  </si>
  <si>
    <t>Fan J</t>
  </si>
  <si>
    <t>Ben Z</t>
  </si>
  <si>
    <t>Adithya S-G</t>
  </si>
  <si>
    <t>Jonathan Y</t>
  </si>
  <si>
    <t>Sahej B</t>
  </si>
  <si>
    <t>Casey F</t>
  </si>
  <si>
    <t>Bhagirath B</t>
  </si>
  <si>
    <t>Isha R</t>
  </si>
  <si>
    <t>Spencer D</t>
  </si>
  <si>
    <t>Aditya A</t>
  </si>
  <si>
    <t>Arya R</t>
  </si>
  <si>
    <t>Eesha R</t>
  </si>
  <si>
    <t>Neel R</t>
  </si>
  <si>
    <t>Matthew Yu</t>
  </si>
  <si>
    <t>Lily C</t>
  </si>
  <si>
    <t>Angad H</t>
  </si>
  <si>
    <t>Sharanya S</t>
  </si>
  <si>
    <t>Saksham S</t>
  </si>
  <si>
    <t>Varun G</t>
  </si>
  <si>
    <t>Han L</t>
  </si>
  <si>
    <t>Naveen P</t>
  </si>
  <si>
    <t>Cyrus M</t>
  </si>
  <si>
    <t>Stephanie Y</t>
  </si>
  <si>
    <t>Chenyue Z</t>
  </si>
  <si>
    <t>% TU</t>
  </si>
  <si>
    <t>% B</t>
  </si>
  <si>
    <t>% TU w/o B</t>
  </si>
  <si>
    <t>% P</t>
  </si>
  <si>
    <t>Hardest Toss-ups:</t>
  </si>
  <si>
    <t>15 different toss-ups were the easiest, being answered correctly by 48.94% of teams.</t>
  </si>
  <si>
    <t>Easiest Bonus</t>
  </si>
  <si>
    <t>Two different bonuses were not correctly answered by any team. One of them is Round 4 Question 23, whose toss-up was also never answered correctly. We believe this to be a result of it being the last question in its round.</t>
  </si>
  <si>
    <t>The hardest bonus was also the most disproportionately difficult bonus. No teams answered it correctly, but a very high 46.81% of teams answered its corresponding toss-up correctly.</t>
  </si>
  <si>
    <t>Most Toss-up:</t>
  </si>
  <si>
    <t>Round 4 Toss-up 22 and Round 5 Toss-up 1</t>
  </si>
  <si>
    <t>Round 1 Bonus 6</t>
  </si>
  <si>
    <t>An ideal pendulum is freely swinging under Earth’s gravity at a small angle with a certain frequency. If the pendulum is teleported to the Sun, which has a surface gravity 36 times greater than Earth, by which of the following factors is the frequency changed?
W) 36 X) 6 Y) 1/6 Z) 1/36</t>
  </si>
  <si>
    <t>Rank the following three stellar remnants in order of increasing average progenitor star mass: 1) White Dwarf; 2) Black Hole; 3) Neutron Star.</t>
  </si>
  <si>
    <t>Most Bonuses:</t>
  </si>
  <si>
    <t>Round 2 Bonus 11</t>
  </si>
  <si>
    <t>Round 2 Toss-up 11</t>
  </si>
  <si>
    <t>In interval notation, what real values of x satisfy the inequality 10 times the quantity two plus one over x is less than 5?</t>
  </si>
  <si>
    <t>At the BSB writing meeting, 10% of people are productive and 90% of people are unproductive. If there are 32 more unproductive people than productive people, how many people are at the meeting?</t>
  </si>
  <si>
    <t>Most Penalties:</t>
  </si>
  <si>
    <t>Answered correctly by 48.94% of teams</t>
  </si>
  <si>
    <t>A resistor transmits 4 amperes of current. If the resistor dissipates 60 watts of power, what is the resistance of the resistor in ohms?</t>
  </si>
  <si>
    <t>Answered correctly by 10.64% of teams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</si>
</sst>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9">
    <border/>
    <border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2" fillId="0" fontId="1" numFmtId="0" xfId="0" applyBorder="1" applyFont="1"/>
    <xf borderId="4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right" readingOrder="0"/>
    </xf>
    <xf borderId="6" fillId="0" fontId="1" numFmtId="2" xfId="0" applyAlignment="1" applyBorder="1" applyFont="1" applyNumberFormat="1">
      <alignment horizontal="center" readingOrder="0"/>
    </xf>
    <xf borderId="5" fillId="0" fontId="1" numFmtId="2" xfId="0" applyAlignment="1" applyBorder="1" applyFont="1" applyNumberFormat="1">
      <alignment horizontal="center" readingOrder="0"/>
    </xf>
    <xf borderId="7" fillId="0" fontId="1" numFmtId="2" xfId="0" applyAlignment="1" applyBorder="1" applyFont="1" applyNumberFormat="1">
      <alignment horizontal="center" readingOrder="0"/>
    </xf>
    <xf borderId="2" fillId="0" fontId="1" numFmtId="2" xfId="0" applyAlignment="1" applyBorder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3" fillId="0" fontId="1" numFmtId="2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right" readingOrder="0"/>
    </xf>
    <xf borderId="1" fillId="0" fontId="1" numFmtId="2" xfId="0" applyAlignment="1" applyBorder="1" applyFont="1" applyNumberFormat="1">
      <alignment horizontal="center" readingOrder="0"/>
    </xf>
    <xf borderId="8" fillId="0" fontId="1" numFmtId="2" xfId="0" applyAlignment="1" applyBorder="1" applyFont="1" applyNumberFormat="1">
      <alignment horizontal="center" readingOrder="0"/>
    </xf>
    <xf borderId="5" fillId="0" fontId="3" numFmtId="0" xfId="0" applyBorder="1" applyFont="1"/>
    <xf borderId="5" fillId="0" fontId="1" numFmtId="2" xfId="0" applyAlignment="1" applyBorder="1" applyFont="1" applyNumberFormat="1">
      <alignment horizontal="center" readingOrder="0" shrinkToFit="0" wrapText="1"/>
    </xf>
    <xf borderId="5" fillId="0" fontId="1" numFmtId="0" xfId="0" applyBorder="1" applyFont="1"/>
    <xf borderId="5" fillId="0" fontId="1" numFmtId="0" xfId="0" applyAlignment="1" applyBorder="1" applyFont="1">
      <alignment horizontal="center" readingOrder="0"/>
    </xf>
    <xf borderId="0" fillId="0" fontId="1" numFmtId="2" xfId="0" applyAlignment="1" applyFont="1" applyNumberFormat="1">
      <alignment horizontal="center" readingOrder="0" shrinkToFit="0" vertical="top" wrapText="1"/>
    </xf>
    <xf borderId="0" fillId="0" fontId="1" numFmtId="2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1.63"/>
    <col customWidth="1" min="3" max="3" width="6.38"/>
    <col customWidth="1" min="4" max="4" width="12.5"/>
    <col customWidth="1" min="5" max="5" width="11.63"/>
    <col customWidth="1" min="6" max="6" width="6.38"/>
    <col customWidth="1" min="7" max="7" width="12.5"/>
    <col customWidth="1" min="8" max="8" width="11.63"/>
    <col customWidth="1" min="9" max="9" width="6.38"/>
    <col customWidth="1" min="10" max="10" width="12.5"/>
    <col customWidth="1" min="11" max="11" width="11.63"/>
    <col customWidth="1" min="12" max="12" width="6.38"/>
    <col customWidth="1" min="13" max="13" width="12.5"/>
    <col customWidth="1" min="14" max="14" width="11.63"/>
    <col customWidth="1" min="15" max="15" width="6.38"/>
    <col customWidth="1" min="16" max="16" width="12.5"/>
    <col customWidth="1" min="17" max="17" width="11.63"/>
    <col customWidth="1" min="18" max="18" width="6.38"/>
    <col customWidth="1" min="19" max="19" width="12.5"/>
    <col customWidth="1" min="20" max="20" width="11.63"/>
  </cols>
  <sheetData>
    <row r="1">
      <c r="A1" s="2" t="s">
        <v>1</v>
      </c>
      <c r="B1" s="3"/>
      <c r="C1" s="4"/>
      <c r="D1" s="2" t="s">
        <v>6</v>
      </c>
      <c r="E1" s="3"/>
      <c r="F1" s="4"/>
      <c r="G1" s="2" t="s">
        <v>10</v>
      </c>
      <c r="H1" s="3"/>
      <c r="I1" s="4"/>
      <c r="J1" s="2" t="s">
        <v>13</v>
      </c>
      <c r="K1" s="3"/>
      <c r="L1" s="4"/>
      <c r="M1" s="2" t="s">
        <v>18</v>
      </c>
      <c r="N1" s="3"/>
      <c r="O1" s="4"/>
      <c r="P1" s="2" t="s">
        <v>24</v>
      </c>
      <c r="Q1" s="3"/>
      <c r="R1" s="4"/>
      <c r="S1" s="2" t="s">
        <v>29</v>
      </c>
      <c r="T1" s="3"/>
    </row>
    <row r="2">
      <c r="A2" s="8" t="s">
        <v>30</v>
      </c>
      <c r="B2" s="11">
        <v>4.0</v>
      </c>
      <c r="D2" s="8" t="s">
        <v>32</v>
      </c>
      <c r="E2" s="11">
        <v>3.5</v>
      </c>
      <c r="G2" s="8" t="s">
        <v>35</v>
      </c>
      <c r="H2" s="11">
        <v>3.7</v>
      </c>
      <c r="J2" s="8" t="s">
        <v>32</v>
      </c>
      <c r="K2" s="11">
        <v>3.0</v>
      </c>
      <c r="M2" s="8" t="s">
        <v>41</v>
      </c>
      <c r="N2" s="11">
        <v>3.7</v>
      </c>
      <c r="P2" s="8" t="s">
        <v>44</v>
      </c>
      <c r="Q2" s="11">
        <v>3.4</v>
      </c>
      <c r="S2" s="8" t="s">
        <v>46</v>
      </c>
      <c r="T2" s="11">
        <v>11.2</v>
      </c>
    </row>
    <row r="3">
      <c r="A3" s="8" t="s">
        <v>46</v>
      </c>
      <c r="B3" s="11">
        <v>3.8</v>
      </c>
      <c r="D3" s="8" t="s">
        <v>49</v>
      </c>
      <c r="E3" s="11">
        <v>3.5</v>
      </c>
      <c r="G3" s="8" t="s">
        <v>51</v>
      </c>
      <c r="H3" s="11">
        <v>3.4</v>
      </c>
      <c r="J3" s="8" t="s">
        <v>52</v>
      </c>
      <c r="K3" s="11">
        <v>2.2</v>
      </c>
      <c r="M3" s="8" t="s">
        <v>55</v>
      </c>
      <c r="N3" s="11">
        <v>3.0</v>
      </c>
      <c r="P3" s="8" t="s">
        <v>56</v>
      </c>
      <c r="Q3" s="11">
        <v>2.8</v>
      </c>
      <c r="S3" s="8" t="s">
        <v>44</v>
      </c>
      <c r="T3" s="11">
        <v>10.2</v>
      </c>
    </row>
    <row r="4">
      <c r="A4" s="8" t="s">
        <v>59</v>
      </c>
      <c r="B4" s="11">
        <v>3.7</v>
      </c>
      <c r="D4" s="8" t="s">
        <v>52</v>
      </c>
      <c r="E4" s="11">
        <v>3.0</v>
      </c>
      <c r="G4" s="8" t="s">
        <v>62</v>
      </c>
      <c r="H4" s="11">
        <v>3.0</v>
      </c>
      <c r="J4" s="8" t="s">
        <v>30</v>
      </c>
      <c r="K4" s="11">
        <v>2.2</v>
      </c>
      <c r="M4" s="8" t="s">
        <v>65</v>
      </c>
      <c r="N4" s="11">
        <v>2.8</v>
      </c>
      <c r="P4" s="8" t="s">
        <v>66</v>
      </c>
      <c r="Q4" s="11">
        <v>2.2</v>
      </c>
      <c r="S4" s="8" t="s">
        <v>52</v>
      </c>
      <c r="T4" s="11">
        <v>9.0</v>
      </c>
    </row>
    <row r="5">
      <c r="A5" s="8" t="s">
        <v>69</v>
      </c>
      <c r="B5" s="11">
        <v>3.7</v>
      </c>
      <c r="D5" s="8" t="s">
        <v>72</v>
      </c>
      <c r="E5" s="11">
        <v>2.7</v>
      </c>
      <c r="G5" s="8" t="s">
        <v>73</v>
      </c>
      <c r="H5" s="11">
        <v>2.9</v>
      </c>
      <c r="J5" s="8" t="s">
        <v>49</v>
      </c>
      <c r="K5" s="11">
        <v>2.2</v>
      </c>
      <c r="M5" s="8" t="s">
        <v>77</v>
      </c>
      <c r="N5" s="11">
        <v>2.7</v>
      </c>
      <c r="P5" s="8" t="s">
        <v>79</v>
      </c>
      <c r="Q5" s="11">
        <v>2.2</v>
      </c>
      <c r="S5" s="8" t="s">
        <v>82</v>
      </c>
      <c r="T5" s="11">
        <v>9.0</v>
      </c>
    </row>
    <row r="6">
      <c r="A6" s="8" t="s">
        <v>83</v>
      </c>
      <c r="B6" s="11">
        <v>3.2</v>
      </c>
      <c r="D6" s="8" t="s">
        <v>84</v>
      </c>
      <c r="E6" s="11">
        <v>2.6</v>
      </c>
      <c r="G6" s="8" t="s">
        <v>85</v>
      </c>
      <c r="H6" s="11">
        <v>2.9</v>
      </c>
      <c r="J6" s="8" t="s">
        <v>44</v>
      </c>
      <c r="K6" s="11">
        <v>2.2</v>
      </c>
      <c r="M6" s="8" t="s">
        <v>86</v>
      </c>
      <c r="N6" s="11">
        <v>2.6</v>
      </c>
      <c r="P6" s="8" t="s">
        <v>87</v>
      </c>
      <c r="Q6" s="11">
        <v>2.1</v>
      </c>
      <c r="S6" s="8" t="s">
        <v>32</v>
      </c>
      <c r="T6" s="11">
        <v>8.7</v>
      </c>
    </row>
    <row r="7">
      <c r="A7" s="8" t="s">
        <v>88</v>
      </c>
      <c r="B7" s="11">
        <v>3.1</v>
      </c>
      <c r="D7" s="8" t="s">
        <v>89</v>
      </c>
      <c r="E7" s="11">
        <v>2.4</v>
      </c>
      <c r="G7" s="8" t="s">
        <v>90</v>
      </c>
      <c r="H7" s="11">
        <v>2.8</v>
      </c>
      <c r="J7" s="8" t="s">
        <v>59</v>
      </c>
      <c r="K7" s="11">
        <v>1.9</v>
      </c>
      <c r="M7" s="8" t="s">
        <v>91</v>
      </c>
      <c r="N7" s="11">
        <v>2.5</v>
      </c>
      <c r="P7" s="8" t="s">
        <v>86</v>
      </c>
      <c r="Q7" s="11">
        <v>2.1</v>
      </c>
      <c r="S7" s="8" t="s">
        <v>49</v>
      </c>
      <c r="T7" s="11">
        <v>8.6</v>
      </c>
    </row>
    <row r="8">
      <c r="A8" s="8" t="s">
        <v>93</v>
      </c>
      <c r="B8" s="11">
        <v>2.9</v>
      </c>
      <c r="D8" s="8" t="s">
        <v>95</v>
      </c>
      <c r="E8" s="11">
        <v>2.3</v>
      </c>
      <c r="G8" s="8" t="s">
        <v>96</v>
      </c>
      <c r="H8" s="11">
        <v>2.4</v>
      </c>
      <c r="J8" s="8" t="s">
        <v>97</v>
      </c>
      <c r="K8" s="11">
        <v>1.7</v>
      </c>
      <c r="M8" s="8" t="s">
        <v>87</v>
      </c>
      <c r="N8" s="11">
        <v>2.5</v>
      </c>
      <c r="P8" s="8" t="s">
        <v>98</v>
      </c>
      <c r="Q8" s="11">
        <v>2.1</v>
      </c>
      <c r="S8" s="8" t="s">
        <v>30</v>
      </c>
      <c r="T8" s="11">
        <v>8.5</v>
      </c>
    </row>
    <row r="9">
      <c r="A9" s="8" t="s">
        <v>99</v>
      </c>
      <c r="B9" s="11">
        <v>2.9</v>
      </c>
      <c r="D9" s="8" t="s">
        <v>100</v>
      </c>
      <c r="E9" s="11">
        <v>2.2</v>
      </c>
      <c r="G9" s="8" t="s">
        <v>101</v>
      </c>
      <c r="H9" s="11">
        <v>2.3</v>
      </c>
      <c r="J9" s="8" t="s">
        <v>85</v>
      </c>
      <c r="K9" s="11">
        <v>1.7</v>
      </c>
      <c r="M9" s="8" t="s">
        <v>102</v>
      </c>
      <c r="N9" s="11">
        <v>2.3</v>
      </c>
      <c r="P9" s="8" t="s">
        <v>103</v>
      </c>
      <c r="Q9" s="11">
        <v>2.1</v>
      </c>
      <c r="S9" s="8" t="s">
        <v>72</v>
      </c>
      <c r="T9" s="11">
        <v>8.4</v>
      </c>
    </row>
    <row r="10">
      <c r="A10" s="8" t="s">
        <v>104</v>
      </c>
      <c r="B10" s="11">
        <v>2.8</v>
      </c>
      <c r="D10" s="8" t="s">
        <v>56</v>
      </c>
      <c r="E10" s="11">
        <v>2.1</v>
      </c>
      <c r="G10" s="8" t="s">
        <v>98</v>
      </c>
      <c r="H10" s="11">
        <v>2.3</v>
      </c>
      <c r="J10" s="8" t="s">
        <v>105</v>
      </c>
      <c r="K10" s="11">
        <v>1.6</v>
      </c>
      <c r="M10" s="8" t="s">
        <v>106</v>
      </c>
      <c r="N10" s="11">
        <v>2.2</v>
      </c>
      <c r="P10" s="8" t="s">
        <v>107</v>
      </c>
      <c r="Q10" s="11">
        <v>2.0</v>
      </c>
      <c r="S10" s="8" t="s">
        <v>41</v>
      </c>
      <c r="T10" s="11">
        <v>8.1</v>
      </c>
    </row>
    <row r="11">
      <c r="A11" s="8" t="s">
        <v>72</v>
      </c>
      <c r="B11" s="11">
        <v>2.8</v>
      </c>
      <c r="D11" s="8" t="s">
        <v>108</v>
      </c>
      <c r="E11" s="11">
        <v>2.1</v>
      </c>
      <c r="G11" s="8" t="s">
        <v>46</v>
      </c>
      <c r="H11" s="11">
        <v>2.3</v>
      </c>
      <c r="J11" s="8" t="s">
        <v>84</v>
      </c>
      <c r="K11" s="11">
        <v>1.6</v>
      </c>
      <c r="M11" s="8" t="s">
        <v>46</v>
      </c>
      <c r="N11" s="11">
        <v>2.1</v>
      </c>
      <c r="P11" s="8" t="s">
        <v>109</v>
      </c>
      <c r="Q11" s="11">
        <v>1.9</v>
      </c>
      <c r="S11" s="8" t="s">
        <v>56</v>
      </c>
      <c r="T11" s="11">
        <v>7.9</v>
      </c>
    </row>
    <row r="12">
      <c r="A12" s="8" t="s">
        <v>110</v>
      </c>
      <c r="B12" s="11">
        <v>2.7</v>
      </c>
      <c r="D12" s="8" t="s">
        <v>111</v>
      </c>
      <c r="E12" s="11">
        <v>1.9</v>
      </c>
      <c r="G12" s="8" t="s">
        <v>82</v>
      </c>
      <c r="H12" s="11">
        <v>2.2</v>
      </c>
      <c r="J12" s="8" t="s">
        <v>72</v>
      </c>
      <c r="K12" s="11">
        <v>1.6</v>
      </c>
      <c r="M12" s="8" t="s">
        <v>112</v>
      </c>
      <c r="N12" s="11">
        <v>2.0</v>
      </c>
      <c r="P12" s="8" t="s">
        <v>113</v>
      </c>
      <c r="Q12" s="11">
        <v>1.9</v>
      </c>
      <c r="S12" s="8" t="s">
        <v>59</v>
      </c>
      <c r="T12" s="11">
        <v>7.2</v>
      </c>
    </row>
    <row r="13">
      <c r="A13" s="8" t="s">
        <v>82</v>
      </c>
      <c r="B13" s="11">
        <v>2.2</v>
      </c>
      <c r="D13" s="8" t="s">
        <v>114</v>
      </c>
      <c r="E13" s="11">
        <v>1.9</v>
      </c>
      <c r="G13" s="8" t="s">
        <v>115</v>
      </c>
      <c r="H13" s="11">
        <v>2.1</v>
      </c>
      <c r="J13" s="8" t="s">
        <v>116</v>
      </c>
      <c r="K13" s="11">
        <v>1.5</v>
      </c>
      <c r="M13" s="8" t="s">
        <v>108</v>
      </c>
      <c r="N13" s="11">
        <v>2.0</v>
      </c>
      <c r="P13" s="8" t="s">
        <v>112</v>
      </c>
      <c r="Q13" s="11">
        <v>1.8</v>
      </c>
      <c r="S13" s="8" t="s">
        <v>69</v>
      </c>
      <c r="T13" s="11">
        <v>7.1</v>
      </c>
    </row>
    <row r="14">
      <c r="A14" s="8" t="s">
        <v>97</v>
      </c>
      <c r="B14" s="11">
        <v>2.1</v>
      </c>
      <c r="D14" s="8" t="s">
        <v>117</v>
      </c>
      <c r="E14" s="11">
        <v>1.8</v>
      </c>
      <c r="G14" s="8" t="s">
        <v>118</v>
      </c>
      <c r="H14" s="11">
        <v>2.0</v>
      </c>
      <c r="J14" s="8" t="s">
        <v>103</v>
      </c>
      <c r="K14" s="11">
        <v>1.3</v>
      </c>
      <c r="M14" s="8" t="s">
        <v>119</v>
      </c>
      <c r="N14" s="11">
        <v>1.6</v>
      </c>
      <c r="P14" s="8" t="s">
        <v>117</v>
      </c>
      <c r="Q14" s="11">
        <v>1.7</v>
      </c>
      <c r="S14" s="8" t="s">
        <v>87</v>
      </c>
      <c r="T14" s="11">
        <v>7.0</v>
      </c>
    </row>
    <row r="15">
      <c r="A15" s="8" t="s">
        <v>120</v>
      </c>
      <c r="B15" s="11">
        <v>2.1</v>
      </c>
      <c r="D15" s="8" t="s">
        <v>121</v>
      </c>
      <c r="E15" s="11">
        <v>1.8</v>
      </c>
      <c r="G15" s="8" t="s">
        <v>69</v>
      </c>
      <c r="H15" s="11">
        <v>2.0</v>
      </c>
      <c r="J15" s="8" t="s">
        <v>122</v>
      </c>
      <c r="K15" s="11">
        <v>1.2</v>
      </c>
      <c r="M15" s="8" t="s">
        <v>103</v>
      </c>
      <c r="N15" s="11">
        <v>1.5</v>
      </c>
      <c r="P15" s="8" t="s">
        <v>46</v>
      </c>
      <c r="Q15" s="11">
        <v>1.7</v>
      </c>
      <c r="S15" s="8" t="s">
        <v>103</v>
      </c>
      <c r="T15" s="11">
        <v>7.0</v>
      </c>
    </row>
    <row r="16">
      <c r="A16" s="8" t="s">
        <v>122</v>
      </c>
      <c r="B16" s="11">
        <v>2.0</v>
      </c>
      <c r="D16" s="8" t="s">
        <v>30</v>
      </c>
      <c r="E16" s="11">
        <v>1.8</v>
      </c>
      <c r="G16" s="8" t="s">
        <v>130</v>
      </c>
      <c r="H16" s="11">
        <v>1.9</v>
      </c>
      <c r="J16" s="8" t="s">
        <v>100</v>
      </c>
      <c r="K16" s="11">
        <v>1.2</v>
      </c>
      <c r="M16" s="8" t="s">
        <v>44</v>
      </c>
      <c r="N16" s="11">
        <v>1.5</v>
      </c>
      <c r="P16" s="8" t="s">
        <v>131</v>
      </c>
      <c r="Q16" s="11">
        <v>1.6</v>
      </c>
      <c r="S16" s="8" t="s">
        <v>86</v>
      </c>
      <c r="T16" s="11">
        <v>6.7</v>
      </c>
    </row>
    <row r="17">
      <c r="A17" s="8" t="s">
        <v>95</v>
      </c>
      <c r="B17" s="11">
        <v>2.0</v>
      </c>
      <c r="D17" s="8" t="s">
        <v>132</v>
      </c>
      <c r="E17" s="11">
        <v>1.8</v>
      </c>
      <c r="G17" s="8" t="s">
        <v>133</v>
      </c>
      <c r="H17" s="11">
        <v>1.8</v>
      </c>
      <c r="J17" s="8" t="s">
        <v>134</v>
      </c>
      <c r="K17" s="11">
        <v>1.2</v>
      </c>
      <c r="M17" s="8" t="s">
        <v>135</v>
      </c>
      <c r="N17" s="11">
        <v>1.4</v>
      </c>
      <c r="P17" s="8" t="s">
        <v>52</v>
      </c>
      <c r="Q17" s="11">
        <v>1.5</v>
      </c>
      <c r="S17" s="8" t="s">
        <v>105</v>
      </c>
      <c r="T17" s="11">
        <v>6.4</v>
      </c>
    </row>
    <row r="18">
      <c r="A18" s="8" t="s">
        <v>136</v>
      </c>
      <c r="B18" s="11">
        <v>1.9</v>
      </c>
      <c r="D18" s="8" t="s">
        <v>105</v>
      </c>
      <c r="E18" s="11">
        <v>1.7</v>
      </c>
      <c r="G18" s="8" t="s">
        <v>56</v>
      </c>
      <c r="H18" s="11">
        <v>1.5</v>
      </c>
      <c r="J18" s="8" t="s">
        <v>82</v>
      </c>
      <c r="K18" s="11">
        <v>1.2</v>
      </c>
      <c r="M18" s="8" t="s">
        <v>79</v>
      </c>
      <c r="N18" s="11">
        <v>1.4</v>
      </c>
      <c r="P18" s="8" t="s">
        <v>116</v>
      </c>
      <c r="Q18" s="11">
        <v>1.4</v>
      </c>
      <c r="S18" s="8" t="s">
        <v>108</v>
      </c>
      <c r="T18" s="11">
        <v>6.4</v>
      </c>
    </row>
    <row r="19">
      <c r="A19" s="8" t="s">
        <v>137</v>
      </c>
      <c r="B19" s="11">
        <v>1.9</v>
      </c>
      <c r="D19" s="8" t="s">
        <v>138</v>
      </c>
      <c r="E19" s="11">
        <v>1.7</v>
      </c>
      <c r="G19" s="8" t="s">
        <v>139</v>
      </c>
      <c r="H19" s="11">
        <v>1.5</v>
      </c>
      <c r="J19" s="8" t="s">
        <v>69</v>
      </c>
      <c r="K19" s="11">
        <v>1.2</v>
      </c>
      <c r="M19" s="8" t="s">
        <v>132</v>
      </c>
      <c r="N19" s="11">
        <v>1.3</v>
      </c>
      <c r="P19" s="8" t="s">
        <v>140</v>
      </c>
      <c r="Q19" s="11">
        <v>1.4</v>
      </c>
      <c r="S19" s="8" t="s">
        <v>100</v>
      </c>
      <c r="T19" s="11">
        <v>6.0</v>
      </c>
    </row>
    <row r="20">
      <c r="A20" s="8" t="s">
        <v>138</v>
      </c>
      <c r="B20" s="11">
        <v>1.7</v>
      </c>
      <c r="D20" s="8" t="s">
        <v>82</v>
      </c>
      <c r="E20" s="11">
        <v>1.7</v>
      </c>
      <c r="G20" s="8" t="s">
        <v>55</v>
      </c>
      <c r="H20" s="11">
        <v>1.5</v>
      </c>
      <c r="J20" s="8" t="s">
        <v>141</v>
      </c>
      <c r="K20" s="11">
        <v>1.1</v>
      </c>
      <c r="M20" s="8" t="s">
        <v>114</v>
      </c>
      <c r="N20" s="11">
        <v>1.3</v>
      </c>
      <c r="P20" s="8" t="s">
        <v>32</v>
      </c>
      <c r="Q20" s="11">
        <v>1.3</v>
      </c>
      <c r="S20" s="8" t="s">
        <v>35</v>
      </c>
      <c r="T20" s="11">
        <v>6.0</v>
      </c>
    </row>
    <row r="21">
      <c r="A21" s="8" t="s">
        <v>142</v>
      </c>
      <c r="B21" s="11">
        <v>1.6</v>
      </c>
      <c r="D21" s="8" t="s">
        <v>44</v>
      </c>
      <c r="E21" s="11">
        <v>1.7</v>
      </c>
      <c r="G21" s="8" t="s">
        <v>143</v>
      </c>
      <c r="H21" s="11">
        <v>1.5</v>
      </c>
      <c r="J21" s="8" t="s">
        <v>144</v>
      </c>
      <c r="K21" s="11">
        <v>1.0</v>
      </c>
      <c r="M21" s="8" t="s">
        <v>145</v>
      </c>
      <c r="N21" s="11">
        <v>1.2</v>
      </c>
      <c r="P21" s="8" t="s">
        <v>105</v>
      </c>
      <c r="Q21" s="11">
        <v>1.3</v>
      </c>
      <c r="S21" s="8" t="s">
        <v>62</v>
      </c>
      <c r="T21" s="11">
        <v>6.0</v>
      </c>
    </row>
    <row r="22">
      <c r="A22" s="8" t="s">
        <v>146</v>
      </c>
      <c r="B22" s="11">
        <v>1.2</v>
      </c>
      <c r="D22" s="8" t="s">
        <v>102</v>
      </c>
      <c r="E22" s="11">
        <v>1.3</v>
      </c>
      <c r="G22" s="8" t="s">
        <v>72</v>
      </c>
      <c r="H22" s="11">
        <v>1.5</v>
      </c>
      <c r="J22" s="8" t="s">
        <v>108</v>
      </c>
      <c r="K22" s="11">
        <v>1.0</v>
      </c>
      <c r="M22" s="8" t="s">
        <v>147</v>
      </c>
      <c r="N22" s="11">
        <v>1.2</v>
      </c>
      <c r="P22" s="8" t="s">
        <v>100</v>
      </c>
      <c r="Q22" s="11">
        <v>1.2</v>
      </c>
      <c r="S22" s="8" t="s">
        <v>84</v>
      </c>
      <c r="T22" s="11">
        <v>5.9</v>
      </c>
    </row>
    <row r="23">
      <c r="A23" s="8" t="s">
        <v>148</v>
      </c>
      <c r="B23" s="11">
        <v>1.1</v>
      </c>
      <c r="D23" s="8" t="s">
        <v>149</v>
      </c>
      <c r="E23" s="11">
        <v>1.3</v>
      </c>
      <c r="G23" s="8" t="s">
        <v>49</v>
      </c>
      <c r="H23" s="11">
        <v>1.4</v>
      </c>
      <c r="J23" s="8" t="s">
        <v>150</v>
      </c>
      <c r="K23" s="11">
        <v>1.0</v>
      </c>
      <c r="M23" s="8" t="s">
        <v>151</v>
      </c>
      <c r="N23" s="11">
        <v>1.2</v>
      </c>
      <c r="P23" s="8" t="s">
        <v>145</v>
      </c>
      <c r="Q23" s="11">
        <v>1.2</v>
      </c>
      <c r="S23" s="8" t="s">
        <v>116</v>
      </c>
      <c r="T23" s="11">
        <v>5.7</v>
      </c>
    </row>
    <row r="24">
      <c r="A24" s="8" t="s">
        <v>150</v>
      </c>
      <c r="B24" s="11">
        <v>1.1</v>
      </c>
      <c r="D24" s="8" t="s">
        <v>79</v>
      </c>
      <c r="E24" s="11">
        <v>1.2</v>
      </c>
      <c r="G24" s="8" t="s">
        <v>44</v>
      </c>
      <c r="H24" s="11">
        <v>1.4</v>
      </c>
      <c r="J24" s="8" t="s">
        <v>132</v>
      </c>
      <c r="K24" s="11">
        <v>1.0</v>
      </c>
      <c r="M24" s="8" t="s">
        <v>101</v>
      </c>
      <c r="N24" s="11">
        <v>1.1</v>
      </c>
      <c r="P24" s="8" t="s">
        <v>152</v>
      </c>
      <c r="Q24" s="11">
        <v>1.2</v>
      </c>
      <c r="S24" s="8" t="s">
        <v>95</v>
      </c>
      <c r="T24" s="11">
        <v>5.6</v>
      </c>
    </row>
    <row r="25">
      <c r="A25" s="8" t="s">
        <v>153</v>
      </c>
      <c r="B25" s="11">
        <v>1.0</v>
      </c>
      <c r="D25" s="8" t="s">
        <v>154</v>
      </c>
      <c r="E25" s="11">
        <v>1.2</v>
      </c>
      <c r="G25" s="8" t="s">
        <v>155</v>
      </c>
      <c r="H25" s="11">
        <v>1.3</v>
      </c>
      <c r="J25" s="8" t="s">
        <v>41</v>
      </c>
      <c r="K25" s="11">
        <v>0.9</v>
      </c>
      <c r="M25" s="8" t="s">
        <v>156</v>
      </c>
      <c r="N25" s="11">
        <v>1.1</v>
      </c>
      <c r="P25" s="8" t="s">
        <v>114</v>
      </c>
      <c r="Q25" s="11">
        <v>1.2</v>
      </c>
      <c r="S25" s="8" t="s">
        <v>79</v>
      </c>
      <c r="T25" s="11">
        <v>5.6</v>
      </c>
    </row>
    <row r="26">
      <c r="A26" s="8" t="s">
        <v>157</v>
      </c>
      <c r="B26" s="11">
        <v>1.0</v>
      </c>
      <c r="D26" s="8" t="s">
        <v>62</v>
      </c>
      <c r="E26" s="11">
        <v>1.1</v>
      </c>
      <c r="G26" s="8" t="s">
        <v>116</v>
      </c>
      <c r="H26" s="11">
        <v>1.2</v>
      </c>
      <c r="J26" s="8" t="s">
        <v>90</v>
      </c>
      <c r="K26" s="11">
        <v>0.9</v>
      </c>
      <c r="M26" s="8" t="s">
        <v>141</v>
      </c>
      <c r="N26" s="11">
        <v>1.1</v>
      </c>
      <c r="P26" s="8" t="s">
        <v>41</v>
      </c>
      <c r="Q26" s="11">
        <v>1.1</v>
      </c>
      <c r="S26" s="8" t="s">
        <v>98</v>
      </c>
      <c r="T26" s="11">
        <v>5.5</v>
      </c>
    </row>
    <row r="27">
      <c r="A27" s="8" t="s">
        <v>131</v>
      </c>
      <c r="B27" s="11">
        <v>0.9</v>
      </c>
      <c r="D27" s="8" t="s">
        <v>87</v>
      </c>
      <c r="E27" s="11">
        <v>1.1</v>
      </c>
      <c r="G27" s="8" t="s">
        <v>41</v>
      </c>
      <c r="H27" s="11">
        <v>1.1</v>
      </c>
      <c r="J27" s="8" t="s">
        <v>135</v>
      </c>
      <c r="K27" s="11">
        <v>0.8</v>
      </c>
      <c r="M27" s="8" t="s">
        <v>161</v>
      </c>
      <c r="N27" s="11">
        <v>1.1</v>
      </c>
      <c r="P27" s="8" t="s">
        <v>144</v>
      </c>
      <c r="Q27" s="11">
        <v>1.1</v>
      </c>
      <c r="S27" s="8" t="s">
        <v>85</v>
      </c>
      <c r="T27" s="11">
        <v>5.5</v>
      </c>
    </row>
    <row r="28">
      <c r="A28" s="8" t="s">
        <v>163</v>
      </c>
      <c r="B28" s="11">
        <v>0.9</v>
      </c>
      <c r="D28" s="8" t="s">
        <v>41</v>
      </c>
      <c r="E28" s="11">
        <v>1.0</v>
      </c>
      <c r="G28" s="8" t="s">
        <v>122</v>
      </c>
      <c r="H28" s="11">
        <v>1.1</v>
      </c>
      <c r="J28" s="8" t="s">
        <v>95</v>
      </c>
      <c r="K28" s="11">
        <v>0.8</v>
      </c>
      <c r="M28" s="8" t="s">
        <v>164</v>
      </c>
      <c r="N28" s="11">
        <v>1.0</v>
      </c>
      <c r="P28" s="8" t="s">
        <v>165</v>
      </c>
      <c r="Q28" s="11">
        <v>1.1</v>
      </c>
      <c r="S28" s="8" t="s">
        <v>117</v>
      </c>
      <c r="T28" s="11">
        <v>5.2</v>
      </c>
    </row>
    <row r="29">
      <c r="A29" s="8" t="s">
        <v>32</v>
      </c>
      <c r="B29" s="11">
        <v>0.8</v>
      </c>
      <c r="D29" s="8" t="s">
        <v>103</v>
      </c>
      <c r="E29" s="11">
        <v>1.0</v>
      </c>
      <c r="G29" s="8" t="s">
        <v>52</v>
      </c>
      <c r="H29" s="11">
        <v>1.1</v>
      </c>
      <c r="J29" s="8" t="s">
        <v>89</v>
      </c>
      <c r="K29" s="11">
        <v>0.8</v>
      </c>
      <c r="M29" s="8" t="s">
        <v>148</v>
      </c>
      <c r="N29" s="11">
        <v>1.0</v>
      </c>
      <c r="P29" s="8" t="s">
        <v>166</v>
      </c>
      <c r="Q29" s="11">
        <v>1.1</v>
      </c>
      <c r="S29" s="8" t="s">
        <v>55</v>
      </c>
      <c r="T29" s="11">
        <v>5.1</v>
      </c>
    </row>
    <row r="30">
      <c r="A30" s="8" t="s">
        <v>121</v>
      </c>
      <c r="B30" s="11">
        <v>0.8</v>
      </c>
      <c r="D30" s="8" t="s">
        <v>131</v>
      </c>
      <c r="E30" s="11">
        <v>0.9</v>
      </c>
      <c r="G30" s="8" t="s">
        <v>167</v>
      </c>
      <c r="H30" s="11">
        <v>1.1</v>
      </c>
      <c r="J30" s="8" t="s">
        <v>62</v>
      </c>
      <c r="K30" s="11">
        <v>0.8</v>
      </c>
      <c r="M30" s="8" t="s">
        <v>82</v>
      </c>
      <c r="N30" s="11">
        <v>1.0</v>
      </c>
      <c r="P30" s="8" t="s">
        <v>168</v>
      </c>
      <c r="Q30" s="11">
        <v>1.1</v>
      </c>
      <c r="S30" s="8" t="s">
        <v>132</v>
      </c>
      <c r="T30" s="11">
        <v>5.1</v>
      </c>
    </row>
    <row r="31">
      <c r="A31" s="8" t="s">
        <v>105</v>
      </c>
      <c r="B31" s="11">
        <v>0.8</v>
      </c>
      <c r="D31" s="8" t="s">
        <v>169</v>
      </c>
      <c r="E31" s="11">
        <v>0.9</v>
      </c>
      <c r="G31" s="8" t="s">
        <v>134</v>
      </c>
      <c r="H31" s="11">
        <v>1.1</v>
      </c>
      <c r="J31" s="8" t="s">
        <v>170</v>
      </c>
      <c r="K31" s="11">
        <v>0.8</v>
      </c>
      <c r="M31" s="8" t="s">
        <v>171</v>
      </c>
      <c r="N31" s="11">
        <v>0.9</v>
      </c>
      <c r="P31" s="8" t="s">
        <v>172</v>
      </c>
      <c r="Q31" s="11">
        <v>1.1</v>
      </c>
      <c r="S31" s="8" t="s">
        <v>102</v>
      </c>
      <c r="T31" s="11">
        <v>4.9</v>
      </c>
    </row>
    <row r="32">
      <c r="A32" s="8" t="s">
        <v>140</v>
      </c>
      <c r="B32" s="11">
        <v>0.8</v>
      </c>
      <c r="D32" s="8" t="s">
        <v>35</v>
      </c>
      <c r="E32" s="11">
        <v>0.9</v>
      </c>
      <c r="G32" s="8" t="s">
        <v>103</v>
      </c>
      <c r="H32" s="11">
        <v>1.1</v>
      </c>
      <c r="J32" s="8" t="s">
        <v>118</v>
      </c>
      <c r="K32" s="11">
        <v>0.8</v>
      </c>
      <c r="M32" s="8" t="s">
        <v>66</v>
      </c>
      <c r="N32" s="11">
        <v>0.9</v>
      </c>
      <c r="P32" s="8" t="s">
        <v>170</v>
      </c>
      <c r="Q32" s="11">
        <v>1.0</v>
      </c>
      <c r="S32" s="8" t="s">
        <v>101</v>
      </c>
      <c r="T32" s="11">
        <v>4.7</v>
      </c>
    </row>
    <row r="33">
      <c r="A33" s="8" t="s">
        <v>96</v>
      </c>
      <c r="B33" s="11">
        <v>0.8</v>
      </c>
      <c r="D33" s="8" t="s">
        <v>86</v>
      </c>
      <c r="E33" s="11">
        <v>0.9</v>
      </c>
      <c r="G33" s="8" t="s">
        <v>121</v>
      </c>
      <c r="H33" s="11">
        <v>1.0</v>
      </c>
      <c r="J33" s="8" t="s">
        <v>46</v>
      </c>
      <c r="K33" s="11">
        <v>0.8</v>
      </c>
      <c r="M33" s="8" t="s">
        <v>173</v>
      </c>
      <c r="N33" s="11">
        <v>0.9</v>
      </c>
      <c r="P33" s="8" t="s">
        <v>119</v>
      </c>
      <c r="Q33" s="11">
        <v>1.0</v>
      </c>
      <c r="S33" s="8" t="s">
        <v>114</v>
      </c>
      <c r="T33" s="11">
        <v>4.7</v>
      </c>
    </row>
    <row r="34">
      <c r="A34" s="8" t="s">
        <v>174</v>
      </c>
      <c r="B34" s="11">
        <v>0.8</v>
      </c>
      <c r="D34" s="8" t="s">
        <v>175</v>
      </c>
      <c r="E34" s="11">
        <v>0.9</v>
      </c>
      <c r="G34" s="8" t="s">
        <v>176</v>
      </c>
      <c r="H34" s="11">
        <v>1.0</v>
      </c>
      <c r="J34" s="8" t="s">
        <v>137</v>
      </c>
      <c r="K34" s="11">
        <v>0.8</v>
      </c>
      <c r="M34" s="8" t="s">
        <v>177</v>
      </c>
      <c r="N34" s="11">
        <v>0.9</v>
      </c>
      <c r="P34" s="8" t="s">
        <v>84</v>
      </c>
      <c r="Q34" s="11">
        <v>1.0</v>
      </c>
      <c r="S34" s="8" t="s">
        <v>122</v>
      </c>
      <c r="T34" s="11">
        <v>4.6</v>
      </c>
    </row>
    <row r="35">
      <c r="A35" s="8" t="s">
        <v>52</v>
      </c>
      <c r="B35" s="11">
        <v>0.7</v>
      </c>
      <c r="D35" s="8" t="s">
        <v>85</v>
      </c>
      <c r="E35" s="11">
        <v>0.9</v>
      </c>
      <c r="G35" s="8" t="s">
        <v>178</v>
      </c>
      <c r="H35" s="11">
        <v>0.9</v>
      </c>
      <c r="J35" s="8" t="s">
        <v>131</v>
      </c>
      <c r="K35" s="11">
        <v>0.7</v>
      </c>
      <c r="M35" s="8" t="s">
        <v>179</v>
      </c>
      <c r="N35" s="11">
        <v>0.9</v>
      </c>
      <c r="P35" s="8" t="s">
        <v>180</v>
      </c>
      <c r="Q35" s="11">
        <v>0.9</v>
      </c>
      <c r="S35" s="8" t="s">
        <v>51</v>
      </c>
      <c r="T35" s="11">
        <v>4.6</v>
      </c>
    </row>
    <row r="36">
      <c r="A36" s="8" t="s">
        <v>87</v>
      </c>
      <c r="B36" s="11">
        <v>0.7</v>
      </c>
      <c r="D36" s="8" t="s">
        <v>181</v>
      </c>
      <c r="E36" s="11">
        <v>0.9</v>
      </c>
      <c r="G36" s="8" t="s">
        <v>100</v>
      </c>
      <c r="H36" s="11">
        <v>0.9</v>
      </c>
      <c r="J36" s="8" t="s">
        <v>166</v>
      </c>
      <c r="K36" s="11">
        <v>0.7</v>
      </c>
      <c r="M36" s="8" t="s">
        <v>56</v>
      </c>
      <c r="N36" s="11">
        <v>0.8</v>
      </c>
      <c r="P36" s="8" t="s">
        <v>141</v>
      </c>
      <c r="Q36" s="11">
        <v>0.9</v>
      </c>
      <c r="S36" s="8" t="s">
        <v>150</v>
      </c>
      <c r="T36" s="11">
        <v>4.6</v>
      </c>
    </row>
    <row r="37">
      <c r="A37" s="8" t="s">
        <v>182</v>
      </c>
      <c r="B37" s="11">
        <v>0.7</v>
      </c>
      <c r="D37" s="8" t="s">
        <v>183</v>
      </c>
      <c r="E37" s="11">
        <v>0.9</v>
      </c>
      <c r="G37" s="8" t="s">
        <v>184</v>
      </c>
      <c r="H37" s="11">
        <v>0.9</v>
      </c>
      <c r="J37" s="8" t="s">
        <v>152</v>
      </c>
      <c r="K37" s="11">
        <v>0.7</v>
      </c>
      <c r="M37" s="8" t="s">
        <v>185</v>
      </c>
      <c r="N37" s="11">
        <v>0.8</v>
      </c>
      <c r="P37" s="8" t="s">
        <v>186</v>
      </c>
      <c r="Q37" s="11">
        <v>0.8</v>
      </c>
      <c r="S37" s="8" t="s">
        <v>121</v>
      </c>
      <c r="T37" s="11">
        <v>4.5</v>
      </c>
    </row>
    <row r="38">
      <c r="A38" s="8" t="s">
        <v>108</v>
      </c>
      <c r="B38" s="11">
        <v>0.7</v>
      </c>
      <c r="D38" s="8" t="s">
        <v>187</v>
      </c>
      <c r="E38" s="11">
        <v>0.8</v>
      </c>
      <c r="G38" s="8" t="s">
        <v>188</v>
      </c>
      <c r="H38" s="11">
        <v>0.9</v>
      </c>
      <c r="J38" s="8" t="s">
        <v>101</v>
      </c>
      <c r="K38" s="11">
        <v>0.7</v>
      </c>
      <c r="M38" s="8" t="s">
        <v>152</v>
      </c>
      <c r="N38" s="11">
        <v>0.8</v>
      </c>
      <c r="P38" s="8" t="s">
        <v>176</v>
      </c>
      <c r="Q38" s="11">
        <v>0.8</v>
      </c>
      <c r="S38" s="8" t="s">
        <v>130</v>
      </c>
      <c r="T38" s="11">
        <v>4.4</v>
      </c>
    </row>
    <row r="39">
      <c r="A39" s="8" t="s">
        <v>189</v>
      </c>
      <c r="B39" s="11">
        <v>0.7</v>
      </c>
      <c r="D39" s="8" t="s">
        <v>135</v>
      </c>
      <c r="E39" s="11">
        <v>0.8</v>
      </c>
      <c r="G39" s="8" t="s">
        <v>190</v>
      </c>
      <c r="H39" s="11">
        <v>0.9</v>
      </c>
      <c r="J39" s="8" t="s">
        <v>191</v>
      </c>
      <c r="K39" s="11">
        <v>0.7</v>
      </c>
      <c r="M39" s="8" t="s">
        <v>192</v>
      </c>
      <c r="N39" s="11">
        <v>0.8</v>
      </c>
      <c r="P39" s="8" t="s">
        <v>49</v>
      </c>
      <c r="Q39" s="11">
        <v>0.8</v>
      </c>
      <c r="S39" s="8" t="s">
        <v>97</v>
      </c>
      <c r="T39" s="11">
        <v>4.3</v>
      </c>
    </row>
    <row r="40">
      <c r="A40" s="8" t="s">
        <v>193</v>
      </c>
      <c r="B40" s="11">
        <v>0.7</v>
      </c>
      <c r="D40" s="8" t="s">
        <v>194</v>
      </c>
      <c r="E40" s="11">
        <v>0.8</v>
      </c>
      <c r="G40" s="8" t="s">
        <v>153</v>
      </c>
      <c r="H40" s="11">
        <v>0.8</v>
      </c>
      <c r="J40" s="8" t="s">
        <v>56</v>
      </c>
      <c r="K40" s="11">
        <v>0.6</v>
      </c>
      <c r="M40" s="8" t="s">
        <v>195</v>
      </c>
      <c r="N40" s="11">
        <v>0.8</v>
      </c>
      <c r="P40" s="8" t="s">
        <v>196</v>
      </c>
      <c r="Q40" s="11">
        <v>0.7</v>
      </c>
      <c r="S40" s="8" t="s">
        <v>88</v>
      </c>
      <c r="T40" s="11">
        <v>4.3</v>
      </c>
    </row>
    <row r="41">
      <c r="A41" s="8" t="s">
        <v>130</v>
      </c>
      <c r="B41" s="11">
        <v>0.6</v>
      </c>
      <c r="D41" s="8" t="s">
        <v>59</v>
      </c>
      <c r="E41" s="11">
        <v>0.8</v>
      </c>
      <c r="G41" s="8" t="s">
        <v>197</v>
      </c>
      <c r="H41" s="11">
        <v>0.8</v>
      </c>
      <c r="J41" s="8" t="s">
        <v>178</v>
      </c>
      <c r="K41" s="11">
        <v>0.6</v>
      </c>
      <c r="M41" s="8" t="s">
        <v>198</v>
      </c>
      <c r="N41" s="11">
        <v>0.7</v>
      </c>
      <c r="P41" s="8" t="s">
        <v>199</v>
      </c>
      <c r="Q41" s="11">
        <v>0.7</v>
      </c>
      <c r="S41" s="8" t="s">
        <v>138</v>
      </c>
      <c r="T41" s="11">
        <v>4.2</v>
      </c>
    </row>
    <row r="42">
      <c r="A42" s="8" t="s">
        <v>35</v>
      </c>
      <c r="B42" s="11">
        <v>0.6</v>
      </c>
      <c r="D42" s="8" t="s">
        <v>136</v>
      </c>
      <c r="E42" s="11">
        <v>0.8</v>
      </c>
      <c r="G42" s="8" t="s">
        <v>200</v>
      </c>
      <c r="H42" s="11">
        <v>0.8</v>
      </c>
      <c r="J42" s="8" t="s">
        <v>201</v>
      </c>
      <c r="K42" s="11">
        <v>0.6</v>
      </c>
      <c r="M42" s="8" t="s">
        <v>202</v>
      </c>
      <c r="N42" s="11">
        <v>0.7</v>
      </c>
      <c r="P42" s="8" t="s">
        <v>134</v>
      </c>
      <c r="Q42" s="11">
        <v>0.7</v>
      </c>
      <c r="S42" s="8" t="s">
        <v>93</v>
      </c>
      <c r="T42" s="11">
        <v>4.1</v>
      </c>
    </row>
    <row r="43">
      <c r="A43" s="8" t="s">
        <v>116</v>
      </c>
      <c r="B43" s="11">
        <v>0.6</v>
      </c>
      <c r="D43" s="8" t="s">
        <v>141</v>
      </c>
      <c r="E43" s="11">
        <v>0.8</v>
      </c>
      <c r="G43" s="8" t="s">
        <v>150</v>
      </c>
      <c r="H43" s="11">
        <v>0.8</v>
      </c>
      <c r="J43" s="8" t="s">
        <v>87</v>
      </c>
      <c r="K43" s="11">
        <v>0.6</v>
      </c>
      <c r="M43" s="8" t="s">
        <v>203</v>
      </c>
      <c r="N43" s="11">
        <v>0.7</v>
      </c>
      <c r="P43" s="8" t="s">
        <v>82</v>
      </c>
      <c r="Q43" s="11">
        <v>0.7</v>
      </c>
      <c r="S43" s="8" t="s">
        <v>112</v>
      </c>
      <c r="T43" s="11">
        <v>4.1</v>
      </c>
    </row>
    <row r="44">
      <c r="A44" s="8" t="s">
        <v>203</v>
      </c>
      <c r="B44" s="11">
        <v>0.6</v>
      </c>
      <c r="D44" s="8" t="s">
        <v>98</v>
      </c>
      <c r="E44" s="11">
        <v>0.7</v>
      </c>
      <c r="G44" s="8" t="s">
        <v>163</v>
      </c>
      <c r="H44" s="11">
        <v>0.8</v>
      </c>
      <c r="J44" s="8" t="s">
        <v>111</v>
      </c>
      <c r="K44" s="11">
        <v>0.6</v>
      </c>
      <c r="M44" s="8" t="s">
        <v>204</v>
      </c>
      <c r="N44" s="11">
        <v>0.7</v>
      </c>
      <c r="P44" s="8" t="s">
        <v>151</v>
      </c>
      <c r="Q44" s="11">
        <v>0.7</v>
      </c>
      <c r="S44" s="8" t="s">
        <v>131</v>
      </c>
      <c r="T44" s="11">
        <v>4.0</v>
      </c>
    </row>
    <row r="45">
      <c r="A45" s="8" t="s">
        <v>205</v>
      </c>
      <c r="B45" s="11">
        <v>0.6</v>
      </c>
      <c r="D45" s="8" t="s">
        <v>150</v>
      </c>
      <c r="E45" s="11">
        <v>0.7</v>
      </c>
      <c r="G45" s="8" t="s">
        <v>191</v>
      </c>
      <c r="H45" s="11">
        <v>0.8</v>
      </c>
      <c r="J45" s="8" t="s">
        <v>206</v>
      </c>
      <c r="K45" s="11">
        <v>0.6</v>
      </c>
      <c r="M45" s="8" t="s">
        <v>207</v>
      </c>
      <c r="N45" s="11">
        <v>0.7</v>
      </c>
      <c r="P45" s="8" t="s">
        <v>130</v>
      </c>
      <c r="Q45" s="11">
        <v>0.6</v>
      </c>
      <c r="S45" s="8" t="s">
        <v>104</v>
      </c>
      <c r="T45" s="11">
        <v>3.9</v>
      </c>
    </row>
    <row r="46">
      <c r="A46" s="8" t="s">
        <v>152</v>
      </c>
      <c r="B46" s="11">
        <v>0.6</v>
      </c>
      <c r="D46" s="8" t="s">
        <v>208</v>
      </c>
      <c r="E46" s="11">
        <v>0.6</v>
      </c>
      <c r="G46" s="8" t="s">
        <v>105</v>
      </c>
      <c r="H46" s="11">
        <v>0.7</v>
      </c>
      <c r="J46" s="8" t="s">
        <v>149</v>
      </c>
      <c r="K46" s="11">
        <v>0.6</v>
      </c>
      <c r="M46" s="8" t="s">
        <v>117</v>
      </c>
      <c r="N46" s="11">
        <v>0.6</v>
      </c>
      <c r="P46" s="8" t="s">
        <v>198</v>
      </c>
      <c r="Q46" s="11">
        <v>0.6</v>
      </c>
      <c r="S46" s="8" t="s">
        <v>73</v>
      </c>
      <c r="T46" s="11">
        <v>3.9</v>
      </c>
    </row>
    <row r="47">
      <c r="A47" s="8" t="s">
        <v>118</v>
      </c>
      <c r="B47" s="11">
        <v>0.6</v>
      </c>
      <c r="D47" s="8" t="s">
        <v>201</v>
      </c>
      <c r="E47" s="11">
        <v>0.6</v>
      </c>
      <c r="G47" s="8" t="s">
        <v>198</v>
      </c>
      <c r="H47" s="11">
        <v>0.7</v>
      </c>
      <c r="J47" s="8" t="s">
        <v>79</v>
      </c>
      <c r="K47" s="11">
        <v>0.6</v>
      </c>
      <c r="M47" s="8" t="s">
        <v>51</v>
      </c>
      <c r="N47" s="11">
        <v>0.6</v>
      </c>
      <c r="P47" s="8" t="s">
        <v>207</v>
      </c>
      <c r="Q47" s="11">
        <v>0.6</v>
      </c>
      <c r="S47" s="8" t="s">
        <v>141</v>
      </c>
      <c r="T47" s="11">
        <v>3.9</v>
      </c>
    </row>
    <row r="48">
      <c r="A48" s="8" t="s">
        <v>132</v>
      </c>
      <c r="B48" s="11">
        <v>0.6</v>
      </c>
      <c r="D48" s="8" t="s">
        <v>93</v>
      </c>
      <c r="E48" s="11">
        <v>0.6</v>
      </c>
      <c r="G48" s="8" t="s">
        <v>108</v>
      </c>
      <c r="H48" s="11">
        <v>0.7</v>
      </c>
      <c r="J48" s="8" t="s">
        <v>117</v>
      </c>
      <c r="K48" s="11">
        <v>0.5</v>
      </c>
      <c r="M48" s="8" t="s">
        <v>130</v>
      </c>
      <c r="N48" s="11">
        <v>0.6</v>
      </c>
      <c r="P48" s="8" t="s">
        <v>73</v>
      </c>
      <c r="Q48" s="11">
        <v>0.6</v>
      </c>
      <c r="S48" s="8" t="s">
        <v>89</v>
      </c>
      <c r="T48" s="11">
        <v>3.8</v>
      </c>
    </row>
    <row r="49">
      <c r="A49" s="8" t="s">
        <v>161</v>
      </c>
      <c r="B49" s="11">
        <v>0.6</v>
      </c>
      <c r="D49" s="8" t="s">
        <v>210</v>
      </c>
      <c r="E49" s="11">
        <v>0.6</v>
      </c>
      <c r="G49" s="8" t="s">
        <v>211</v>
      </c>
      <c r="H49" s="11">
        <v>0.7</v>
      </c>
      <c r="J49" s="8" t="s">
        <v>121</v>
      </c>
      <c r="K49" s="11">
        <v>0.5</v>
      </c>
      <c r="M49" s="8" t="s">
        <v>213</v>
      </c>
      <c r="N49" s="11">
        <v>0.6</v>
      </c>
      <c r="P49" s="8" t="s">
        <v>179</v>
      </c>
      <c r="Q49" s="11">
        <v>0.6</v>
      </c>
      <c r="S49" s="8" t="s">
        <v>152</v>
      </c>
      <c r="T49" s="11">
        <v>3.8</v>
      </c>
    </row>
    <row r="50">
      <c r="A50" s="8" t="s">
        <v>100</v>
      </c>
      <c r="B50" s="11">
        <v>0.5</v>
      </c>
      <c r="D50" s="8" t="s">
        <v>206</v>
      </c>
      <c r="E50" s="11">
        <v>0.6</v>
      </c>
      <c r="G50" s="8" t="s">
        <v>177</v>
      </c>
      <c r="H50" s="11">
        <v>0.7</v>
      </c>
      <c r="J50" s="8" t="s">
        <v>83</v>
      </c>
      <c r="K50" s="11">
        <v>0.5</v>
      </c>
      <c r="M50" s="8" t="s">
        <v>104</v>
      </c>
      <c r="N50" s="11">
        <v>0.6</v>
      </c>
      <c r="P50" s="8" t="s">
        <v>215</v>
      </c>
      <c r="Q50" s="11">
        <v>0.5</v>
      </c>
      <c r="S50" s="8" t="s">
        <v>134</v>
      </c>
      <c r="T50" s="11">
        <v>3.8</v>
      </c>
    </row>
    <row r="51">
      <c r="A51" s="8" t="s">
        <v>62</v>
      </c>
      <c r="B51" s="11">
        <v>0.5</v>
      </c>
      <c r="D51" s="8" t="s">
        <v>144</v>
      </c>
      <c r="E51" s="11">
        <v>0.5</v>
      </c>
      <c r="G51" s="8" t="s">
        <v>216</v>
      </c>
      <c r="H51" s="11">
        <v>0.7</v>
      </c>
      <c r="J51" s="8" t="s">
        <v>153</v>
      </c>
      <c r="K51" s="11">
        <v>0.5</v>
      </c>
      <c r="M51" s="8" t="s">
        <v>199</v>
      </c>
      <c r="N51" s="11">
        <v>0.6</v>
      </c>
      <c r="P51" s="8" t="s">
        <v>217</v>
      </c>
      <c r="Q51" s="11">
        <v>0.5</v>
      </c>
      <c r="S51" s="8" t="s">
        <v>83</v>
      </c>
      <c r="T51" s="11">
        <v>3.7</v>
      </c>
    </row>
    <row r="52">
      <c r="A52" s="8" t="s">
        <v>202</v>
      </c>
      <c r="B52" s="11">
        <v>0.5</v>
      </c>
      <c r="D52" s="8" t="s">
        <v>218</v>
      </c>
      <c r="E52" s="11">
        <v>0.5</v>
      </c>
      <c r="G52" s="8" t="s">
        <v>172</v>
      </c>
      <c r="H52" s="11">
        <v>0.7</v>
      </c>
      <c r="J52" s="8" t="s">
        <v>35</v>
      </c>
      <c r="K52" s="11">
        <v>0.5</v>
      </c>
      <c r="M52" s="8" t="s">
        <v>150</v>
      </c>
      <c r="N52" s="11">
        <v>0.6</v>
      </c>
      <c r="P52" s="8" t="s">
        <v>102</v>
      </c>
      <c r="Q52" s="11">
        <v>0.5</v>
      </c>
      <c r="S52" s="8" t="s">
        <v>90</v>
      </c>
      <c r="T52" s="11">
        <v>3.7</v>
      </c>
    </row>
    <row r="53">
      <c r="A53" s="8" t="s">
        <v>219</v>
      </c>
      <c r="B53" s="11">
        <v>0.5</v>
      </c>
      <c r="D53" s="8" t="s">
        <v>171</v>
      </c>
      <c r="E53" s="11">
        <v>0.5</v>
      </c>
      <c r="G53" s="8" t="s">
        <v>166</v>
      </c>
      <c r="H53" s="11">
        <v>0.6</v>
      </c>
      <c r="J53" s="8" t="s">
        <v>210</v>
      </c>
      <c r="K53" s="11">
        <v>0.5</v>
      </c>
      <c r="M53" s="8" t="s">
        <v>97</v>
      </c>
      <c r="N53" s="11">
        <v>0.5</v>
      </c>
      <c r="P53" s="8" t="s">
        <v>175</v>
      </c>
      <c r="Q53" s="11">
        <v>0.5</v>
      </c>
      <c r="S53" s="8" t="s">
        <v>118</v>
      </c>
      <c r="T53" s="11">
        <v>3.7</v>
      </c>
    </row>
    <row r="54">
      <c r="A54" s="8" t="s">
        <v>220</v>
      </c>
      <c r="B54" s="11">
        <v>0.4</v>
      </c>
      <c r="D54" s="8" t="s">
        <v>116</v>
      </c>
      <c r="E54" s="11">
        <v>0.5</v>
      </c>
      <c r="G54" s="8" t="s">
        <v>88</v>
      </c>
      <c r="H54" s="11">
        <v>0.6</v>
      </c>
      <c r="J54" s="8" t="s">
        <v>221</v>
      </c>
      <c r="K54" s="11">
        <v>0.5</v>
      </c>
      <c r="M54" s="8" t="s">
        <v>52</v>
      </c>
      <c r="N54" s="11">
        <v>0.5</v>
      </c>
      <c r="P54" s="8" t="s">
        <v>222</v>
      </c>
      <c r="Q54" s="11">
        <v>0.4</v>
      </c>
      <c r="S54" s="8" t="s">
        <v>110</v>
      </c>
      <c r="T54" s="11">
        <v>3.7</v>
      </c>
    </row>
    <row r="55">
      <c r="A55" s="8" t="s">
        <v>181</v>
      </c>
      <c r="B55" s="11">
        <v>0.4</v>
      </c>
      <c r="D55" s="8" t="s">
        <v>222</v>
      </c>
      <c r="E55" s="11">
        <v>0.5</v>
      </c>
      <c r="G55" s="8" t="s">
        <v>210</v>
      </c>
      <c r="H55" s="11">
        <v>0.6</v>
      </c>
      <c r="J55" s="8" t="s">
        <v>223</v>
      </c>
      <c r="K55" s="11">
        <v>0.5</v>
      </c>
      <c r="M55" s="8" t="s">
        <v>224</v>
      </c>
      <c r="N55" s="11">
        <v>0.5</v>
      </c>
      <c r="P55" s="8" t="s">
        <v>55</v>
      </c>
      <c r="Q55" s="11">
        <v>0.4</v>
      </c>
      <c r="S55" s="8" t="s">
        <v>66</v>
      </c>
      <c r="T55" s="11">
        <v>3.6</v>
      </c>
    </row>
    <row r="56">
      <c r="A56" s="8" t="s">
        <v>190</v>
      </c>
      <c r="B56" s="11">
        <v>0.4</v>
      </c>
      <c r="D56" s="8" t="s">
        <v>203</v>
      </c>
      <c r="E56" s="11">
        <v>0.5</v>
      </c>
      <c r="G56" s="8" t="s">
        <v>152</v>
      </c>
      <c r="H56" s="11">
        <v>0.6</v>
      </c>
      <c r="J56" s="8" t="s">
        <v>182</v>
      </c>
      <c r="K56" s="11">
        <v>0.5</v>
      </c>
      <c r="M56" s="8" t="s">
        <v>116</v>
      </c>
      <c r="N56" s="11">
        <v>0.5</v>
      </c>
      <c r="P56" s="8" t="s">
        <v>192</v>
      </c>
      <c r="Q56" s="11">
        <v>0.4</v>
      </c>
      <c r="S56" s="8" t="s">
        <v>137</v>
      </c>
      <c r="T56" s="11">
        <v>3.6</v>
      </c>
    </row>
    <row r="57">
      <c r="A57" s="8" t="s">
        <v>225</v>
      </c>
      <c r="B57" s="11">
        <v>0.3</v>
      </c>
      <c r="D57" s="8" t="s">
        <v>46</v>
      </c>
      <c r="E57" s="11">
        <v>0.5</v>
      </c>
      <c r="G57" s="8" t="s">
        <v>59</v>
      </c>
      <c r="H57" s="11">
        <v>0.6</v>
      </c>
      <c r="J57" s="8" t="s">
        <v>86</v>
      </c>
      <c r="K57" s="11">
        <v>0.5</v>
      </c>
      <c r="M57" s="8" t="s">
        <v>226</v>
      </c>
      <c r="N57" s="11">
        <v>0.5</v>
      </c>
      <c r="P57" s="8" t="s">
        <v>138</v>
      </c>
      <c r="Q57" s="11">
        <v>0.4</v>
      </c>
      <c r="S57" s="8" t="s">
        <v>136</v>
      </c>
      <c r="T57" s="11">
        <v>3.5</v>
      </c>
    </row>
    <row r="58">
      <c r="A58" s="8" t="s">
        <v>117</v>
      </c>
      <c r="B58" s="11">
        <v>0.3</v>
      </c>
      <c r="D58" s="8" t="s">
        <v>227</v>
      </c>
      <c r="E58" s="11">
        <v>0.5</v>
      </c>
      <c r="G58" s="8" t="s">
        <v>186</v>
      </c>
      <c r="H58" s="11">
        <v>0.5</v>
      </c>
      <c r="J58" s="8" t="s">
        <v>73</v>
      </c>
      <c r="K58" s="11">
        <v>0.5</v>
      </c>
      <c r="M58" s="8" t="s">
        <v>134</v>
      </c>
      <c r="N58" s="11">
        <v>0.5</v>
      </c>
      <c r="P58" s="8" t="s">
        <v>150</v>
      </c>
      <c r="Q58" s="11">
        <v>0.4</v>
      </c>
      <c r="S58" s="8" t="s">
        <v>96</v>
      </c>
      <c r="T58" s="11">
        <v>3.4</v>
      </c>
    </row>
    <row r="59">
      <c r="A59" s="8" t="s">
        <v>41</v>
      </c>
      <c r="B59" s="11">
        <v>0.3</v>
      </c>
      <c r="D59" s="8" t="s">
        <v>110</v>
      </c>
      <c r="E59" s="11">
        <v>0.5</v>
      </c>
      <c r="G59" s="8" t="s">
        <v>144</v>
      </c>
      <c r="H59" s="11">
        <v>0.5</v>
      </c>
      <c r="J59" s="8" t="s">
        <v>227</v>
      </c>
      <c r="K59" s="11">
        <v>0.5</v>
      </c>
      <c r="M59" s="8" t="s">
        <v>49</v>
      </c>
      <c r="N59" s="11">
        <v>0.5</v>
      </c>
      <c r="P59" s="8" t="s">
        <v>132</v>
      </c>
      <c r="Q59" s="11">
        <v>0.4</v>
      </c>
      <c r="S59" s="8" t="s">
        <v>144</v>
      </c>
      <c r="T59" s="11">
        <v>3.3</v>
      </c>
    </row>
    <row r="60">
      <c r="A60" s="8" t="s">
        <v>228</v>
      </c>
      <c r="B60" s="11">
        <v>0.3</v>
      </c>
      <c r="D60" s="8" t="s">
        <v>229</v>
      </c>
      <c r="E60" s="11">
        <v>0.4</v>
      </c>
      <c r="G60" s="8" t="s">
        <v>230</v>
      </c>
      <c r="H60" s="11">
        <v>0.5</v>
      </c>
      <c r="J60" s="8" t="s">
        <v>172</v>
      </c>
      <c r="K60" s="11">
        <v>0.5</v>
      </c>
      <c r="M60" s="8" t="s">
        <v>227</v>
      </c>
      <c r="N60" s="11">
        <v>0.5</v>
      </c>
      <c r="P60" s="8" t="s">
        <v>191</v>
      </c>
      <c r="Q60" s="11">
        <v>0.4</v>
      </c>
      <c r="S60" s="8" t="s">
        <v>77</v>
      </c>
      <c r="T60" s="11">
        <v>3.3</v>
      </c>
    </row>
    <row r="61">
      <c r="A61" s="8" t="s">
        <v>231</v>
      </c>
      <c r="B61" s="11">
        <v>0.3</v>
      </c>
      <c r="D61" s="8" t="s">
        <v>202</v>
      </c>
      <c r="E61" s="11">
        <v>0.4</v>
      </c>
      <c r="G61" s="8" t="s">
        <v>185</v>
      </c>
      <c r="H61" s="11">
        <v>0.5</v>
      </c>
      <c r="J61" s="8" t="s">
        <v>183</v>
      </c>
      <c r="K61" s="11">
        <v>0.5</v>
      </c>
      <c r="M61" s="8" t="s">
        <v>232</v>
      </c>
      <c r="N61" s="11">
        <v>0.4</v>
      </c>
      <c r="P61" s="8" t="s">
        <v>233</v>
      </c>
      <c r="Q61" s="11">
        <v>0.3</v>
      </c>
      <c r="S61" s="8" t="s">
        <v>99</v>
      </c>
      <c r="T61" s="11">
        <v>3.2</v>
      </c>
    </row>
    <row r="62">
      <c r="A62" s="8" t="s">
        <v>234</v>
      </c>
      <c r="B62" s="11">
        <v>0.3</v>
      </c>
      <c r="D62" s="8" t="s">
        <v>170</v>
      </c>
      <c r="E62" s="11">
        <v>0.4</v>
      </c>
      <c r="G62" s="8" t="s">
        <v>84</v>
      </c>
      <c r="H62" s="11">
        <v>0.5</v>
      </c>
      <c r="J62" s="8" t="s">
        <v>215</v>
      </c>
      <c r="K62" s="11">
        <v>0.4</v>
      </c>
      <c r="M62" s="8" t="s">
        <v>208</v>
      </c>
      <c r="N62" s="11">
        <v>0.4</v>
      </c>
      <c r="P62" s="8" t="s">
        <v>91</v>
      </c>
      <c r="Q62" s="11">
        <v>0.3</v>
      </c>
      <c r="S62" s="8" t="s">
        <v>65</v>
      </c>
      <c r="T62" s="11">
        <v>3.1</v>
      </c>
    </row>
    <row r="63">
      <c r="A63" s="8" t="s">
        <v>221</v>
      </c>
      <c r="B63" s="11">
        <v>0.3</v>
      </c>
      <c r="D63" s="8" t="s">
        <v>191</v>
      </c>
      <c r="E63" s="11">
        <v>0.4</v>
      </c>
      <c r="G63" s="8" t="s">
        <v>235</v>
      </c>
      <c r="H63" s="11">
        <v>0.5</v>
      </c>
      <c r="J63" s="8" t="s">
        <v>130</v>
      </c>
      <c r="K63" s="11">
        <v>0.4</v>
      </c>
      <c r="M63" s="8" t="s">
        <v>236</v>
      </c>
      <c r="N63" s="11">
        <v>0.4</v>
      </c>
      <c r="P63" s="8" t="s">
        <v>237</v>
      </c>
      <c r="Q63" s="11">
        <v>0.3</v>
      </c>
      <c r="S63" s="8" t="s">
        <v>135</v>
      </c>
      <c r="T63" s="11">
        <v>3.0</v>
      </c>
    </row>
    <row r="64">
      <c r="A64" s="8" t="s">
        <v>238</v>
      </c>
      <c r="B64" s="11">
        <v>0.3</v>
      </c>
      <c r="D64" s="8" t="s">
        <v>122</v>
      </c>
      <c r="E64" s="11">
        <v>0.3</v>
      </c>
      <c r="G64" s="8" t="s">
        <v>137</v>
      </c>
      <c r="H64" s="11">
        <v>0.5</v>
      </c>
      <c r="J64" s="8" t="s">
        <v>187</v>
      </c>
      <c r="K64" s="11">
        <v>0.4</v>
      </c>
      <c r="M64" s="8" t="s">
        <v>239</v>
      </c>
      <c r="N64" s="11">
        <v>0.4</v>
      </c>
      <c r="P64" s="8" t="s">
        <v>35</v>
      </c>
      <c r="Q64" s="11">
        <v>0.3</v>
      </c>
      <c r="S64" s="8" t="s">
        <v>109</v>
      </c>
      <c r="T64" s="11">
        <v>3.0</v>
      </c>
    </row>
    <row r="65">
      <c r="A65" s="8" t="s">
        <v>204</v>
      </c>
      <c r="B65" s="11">
        <v>0.3</v>
      </c>
      <c r="D65" s="8" t="s">
        <v>51</v>
      </c>
      <c r="E65" s="11">
        <v>0.3</v>
      </c>
      <c r="G65" s="8" t="s">
        <v>240</v>
      </c>
      <c r="H65" s="11">
        <v>0.5</v>
      </c>
      <c r="J65" s="8" t="s">
        <v>218</v>
      </c>
      <c r="K65" s="11">
        <v>0.4</v>
      </c>
      <c r="M65" s="8" t="s">
        <v>169</v>
      </c>
      <c r="N65" s="11">
        <v>0.4</v>
      </c>
      <c r="P65" s="8" t="s">
        <v>93</v>
      </c>
      <c r="Q65" s="11">
        <v>0.3</v>
      </c>
      <c r="S65" s="8" t="s">
        <v>191</v>
      </c>
      <c r="T65" s="11">
        <v>2.9</v>
      </c>
    </row>
    <row r="66">
      <c r="A66" s="8" t="s">
        <v>241</v>
      </c>
      <c r="B66" s="11">
        <v>0.3</v>
      </c>
      <c r="D66" s="8" t="s">
        <v>130</v>
      </c>
      <c r="E66" s="11">
        <v>0.3</v>
      </c>
      <c r="G66" s="8" t="s">
        <v>113</v>
      </c>
      <c r="H66" s="11">
        <v>0.5</v>
      </c>
      <c r="J66" s="8" t="s">
        <v>231</v>
      </c>
      <c r="K66" s="11">
        <v>0.4</v>
      </c>
      <c r="M66" s="8" t="s">
        <v>242</v>
      </c>
      <c r="N66" s="11">
        <v>0.4</v>
      </c>
      <c r="P66" s="8" t="s">
        <v>77</v>
      </c>
      <c r="Q66" s="11">
        <v>0.3</v>
      </c>
      <c r="S66" s="8" t="s">
        <v>91</v>
      </c>
      <c r="T66" s="11">
        <v>2.8</v>
      </c>
    </row>
    <row r="67">
      <c r="A67" s="8" t="s">
        <v>102</v>
      </c>
      <c r="B67" s="11">
        <v>0.3</v>
      </c>
      <c r="D67" s="8" t="s">
        <v>230</v>
      </c>
      <c r="E67" s="11">
        <v>0.3</v>
      </c>
      <c r="G67" s="8" t="s">
        <v>181</v>
      </c>
      <c r="H67" s="11">
        <v>0.5</v>
      </c>
      <c r="J67" s="8" t="s">
        <v>243</v>
      </c>
      <c r="K67" s="11">
        <v>0.4</v>
      </c>
      <c r="M67" s="8" t="s">
        <v>184</v>
      </c>
      <c r="N67" s="11">
        <v>0.4</v>
      </c>
      <c r="P67" s="8" t="s">
        <v>62</v>
      </c>
      <c r="Q67" s="11">
        <v>0.3</v>
      </c>
      <c r="S67" s="8" t="s">
        <v>140</v>
      </c>
      <c r="T67" s="11">
        <v>2.8</v>
      </c>
    </row>
    <row r="68">
      <c r="A68" s="8" t="s">
        <v>86</v>
      </c>
      <c r="B68" s="11">
        <v>0.3</v>
      </c>
      <c r="D68" s="8" t="s">
        <v>145</v>
      </c>
      <c r="E68" s="11">
        <v>0.3</v>
      </c>
      <c r="G68" s="8" t="s">
        <v>244</v>
      </c>
      <c r="H68" s="11">
        <v>0.5</v>
      </c>
      <c r="J68" s="8" t="s">
        <v>238</v>
      </c>
      <c r="K68" s="11">
        <v>0.4</v>
      </c>
      <c r="M68" s="8" t="s">
        <v>245</v>
      </c>
      <c r="N68" s="11">
        <v>0.4</v>
      </c>
      <c r="P68" s="8" t="s">
        <v>246</v>
      </c>
      <c r="Q68" s="11">
        <v>0.3</v>
      </c>
      <c r="S68" s="8" t="s">
        <v>119</v>
      </c>
      <c r="T68" s="11">
        <v>2.8</v>
      </c>
    </row>
    <row r="69">
      <c r="A69" s="8" t="s">
        <v>195</v>
      </c>
      <c r="B69" s="11">
        <v>0.3</v>
      </c>
      <c r="D69" s="8" t="s">
        <v>247</v>
      </c>
      <c r="E69" s="11">
        <v>0.3</v>
      </c>
      <c r="G69" s="8" t="s">
        <v>165</v>
      </c>
      <c r="H69" s="11">
        <v>0.4</v>
      </c>
      <c r="J69" s="8" t="s">
        <v>98</v>
      </c>
      <c r="K69" s="11">
        <v>0.4</v>
      </c>
      <c r="M69" s="8" t="s">
        <v>168</v>
      </c>
      <c r="N69" s="11">
        <v>0.4</v>
      </c>
      <c r="P69" s="8" t="s">
        <v>238</v>
      </c>
      <c r="Q69" s="11">
        <v>0.3</v>
      </c>
      <c r="S69" s="8" t="s">
        <v>145</v>
      </c>
      <c r="T69" s="11">
        <v>2.7</v>
      </c>
    </row>
    <row r="70">
      <c r="A70" s="8" t="s">
        <v>134</v>
      </c>
      <c r="B70" s="11">
        <v>0.3</v>
      </c>
      <c r="D70" s="8" t="s">
        <v>140</v>
      </c>
      <c r="E70" s="11">
        <v>0.3</v>
      </c>
      <c r="G70" s="8" t="s">
        <v>223</v>
      </c>
      <c r="H70" s="11">
        <v>0.4</v>
      </c>
      <c r="J70" s="8" t="s">
        <v>138</v>
      </c>
      <c r="K70" s="11">
        <v>0.4</v>
      </c>
      <c r="M70" s="8" t="s">
        <v>30</v>
      </c>
      <c r="N70" s="11">
        <v>0.4</v>
      </c>
      <c r="P70" s="8" t="s">
        <v>248</v>
      </c>
      <c r="Q70" s="11">
        <v>0.3</v>
      </c>
      <c r="S70" s="8" t="s">
        <v>120</v>
      </c>
      <c r="T70" s="11">
        <v>2.7</v>
      </c>
    </row>
    <row r="71">
      <c r="A71" s="8" t="s">
        <v>200</v>
      </c>
      <c r="B71" s="11">
        <v>0.3</v>
      </c>
      <c r="D71" s="8" t="s">
        <v>168</v>
      </c>
      <c r="E71" s="11">
        <v>0.3</v>
      </c>
      <c r="G71" s="8" t="s">
        <v>192</v>
      </c>
      <c r="H71" s="11">
        <v>0.4</v>
      </c>
      <c r="J71" s="8" t="s">
        <v>249</v>
      </c>
      <c r="K71" s="11">
        <v>0.4</v>
      </c>
      <c r="M71" s="8" t="s">
        <v>109</v>
      </c>
      <c r="N71" s="11">
        <v>0.4</v>
      </c>
      <c r="P71" s="8" t="s">
        <v>164</v>
      </c>
      <c r="Q71" s="11">
        <v>0.3</v>
      </c>
      <c r="S71" s="8" t="s">
        <v>181</v>
      </c>
      <c r="T71" s="11">
        <v>2.7</v>
      </c>
    </row>
    <row r="72">
      <c r="A72" s="8" t="s">
        <v>211</v>
      </c>
      <c r="B72" s="11">
        <v>0.3</v>
      </c>
      <c r="D72" s="8" t="s">
        <v>55</v>
      </c>
      <c r="E72" s="11">
        <v>0.3</v>
      </c>
      <c r="G72" s="8" t="s">
        <v>250</v>
      </c>
      <c r="H72" s="11">
        <v>0.4</v>
      </c>
      <c r="J72" s="8" t="s">
        <v>155</v>
      </c>
      <c r="K72" s="11">
        <v>0.4</v>
      </c>
      <c r="M72" s="8" t="s">
        <v>191</v>
      </c>
      <c r="N72" s="11">
        <v>0.4</v>
      </c>
      <c r="P72" s="8" t="s">
        <v>206</v>
      </c>
      <c r="Q72" s="11">
        <v>0.3</v>
      </c>
      <c r="S72" s="8" t="s">
        <v>166</v>
      </c>
      <c r="T72" s="11">
        <v>2.6</v>
      </c>
    </row>
    <row r="73">
      <c r="A73" s="8" t="s">
        <v>216</v>
      </c>
      <c r="B73" s="11">
        <v>0.3</v>
      </c>
      <c r="D73" s="8" t="s">
        <v>241</v>
      </c>
      <c r="E73" s="11">
        <v>0.3</v>
      </c>
      <c r="G73" s="8" t="s">
        <v>117</v>
      </c>
      <c r="H73" s="11">
        <v>0.3</v>
      </c>
      <c r="J73" s="8" t="s">
        <v>251</v>
      </c>
      <c r="K73" s="11">
        <v>0.3</v>
      </c>
      <c r="M73" s="8" t="s">
        <v>144</v>
      </c>
      <c r="N73" s="11">
        <v>0.3</v>
      </c>
      <c r="P73" s="8" t="s">
        <v>101</v>
      </c>
      <c r="Q73" s="11">
        <v>0.3</v>
      </c>
      <c r="S73" s="8" t="s">
        <v>148</v>
      </c>
      <c r="T73" s="11">
        <v>2.6</v>
      </c>
    </row>
    <row r="74">
      <c r="A74" s="8" t="s">
        <v>183</v>
      </c>
      <c r="B74" s="11">
        <v>0.3</v>
      </c>
      <c r="D74" s="8" t="s">
        <v>101</v>
      </c>
      <c r="E74" s="11">
        <v>0.3</v>
      </c>
      <c r="G74" s="8" t="s">
        <v>252</v>
      </c>
      <c r="H74" s="11">
        <v>0.3</v>
      </c>
      <c r="J74" s="8" t="s">
        <v>253</v>
      </c>
      <c r="K74" s="11">
        <v>0.3</v>
      </c>
      <c r="M74" s="8" t="s">
        <v>230</v>
      </c>
      <c r="N74" s="11">
        <v>0.3</v>
      </c>
      <c r="P74" s="8" t="s">
        <v>148</v>
      </c>
      <c r="Q74" s="11">
        <v>0.3</v>
      </c>
      <c r="S74" s="8" t="s">
        <v>115</v>
      </c>
      <c r="T74" s="11">
        <v>2.6</v>
      </c>
    </row>
    <row r="75">
      <c r="A75" s="8" t="s">
        <v>232</v>
      </c>
      <c r="B75" s="11">
        <v>0.2</v>
      </c>
      <c r="D75" s="8" t="s">
        <v>118</v>
      </c>
      <c r="E75" s="11">
        <v>0.3</v>
      </c>
      <c r="G75" s="8" t="s">
        <v>95</v>
      </c>
      <c r="H75" s="11">
        <v>0.3</v>
      </c>
      <c r="J75" s="8" t="s">
        <v>104</v>
      </c>
      <c r="K75" s="11">
        <v>0.3</v>
      </c>
      <c r="M75" s="8" t="s">
        <v>231</v>
      </c>
      <c r="N75" s="11">
        <v>0.3</v>
      </c>
      <c r="P75" s="8" t="s">
        <v>195</v>
      </c>
      <c r="Q75" s="11">
        <v>0.3</v>
      </c>
      <c r="S75" s="8" t="s">
        <v>113</v>
      </c>
      <c r="T75" s="11">
        <v>2.6</v>
      </c>
    </row>
    <row r="76">
      <c r="A76" s="8" t="s">
        <v>186</v>
      </c>
      <c r="B76" s="11">
        <v>0.2</v>
      </c>
      <c r="D76" s="8" t="s">
        <v>66</v>
      </c>
      <c r="E76" s="11">
        <v>0.3</v>
      </c>
      <c r="G76" s="8" t="s">
        <v>89</v>
      </c>
      <c r="H76" s="11">
        <v>0.3</v>
      </c>
      <c r="J76" s="8" t="s">
        <v>93</v>
      </c>
      <c r="K76" s="11">
        <v>0.3</v>
      </c>
      <c r="M76" s="8" t="s">
        <v>254</v>
      </c>
      <c r="N76" s="11">
        <v>0.3</v>
      </c>
      <c r="P76" s="8" t="s">
        <v>255</v>
      </c>
      <c r="Q76" s="11">
        <v>0.3</v>
      </c>
      <c r="S76" s="8" t="s">
        <v>111</v>
      </c>
      <c r="T76" s="11">
        <v>2.5</v>
      </c>
    </row>
    <row r="77">
      <c r="A77" s="8" t="s">
        <v>208</v>
      </c>
      <c r="B77" s="11">
        <v>0.2</v>
      </c>
      <c r="D77" s="8" t="s">
        <v>192</v>
      </c>
      <c r="E77" s="11">
        <v>0.3</v>
      </c>
      <c r="G77" s="8" t="s">
        <v>77</v>
      </c>
      <c r="H77" s="11">
        <v>0.3</v>
      </c>
      <c r="J77" s="8" t="s">
        <v>112</v>
      </c>
      <c r="K77" s="11">
        <v>0.3</v>
      </c>
      <c r="M77" s="8" t="s">
        <v>95</v>
      </c>
      <c r="N77" s="11">
        <v>0.3</v>
      </c>
      <c r="P77" s="8" t="s">
        <v>249</v>
      </c>
      <c r="Q77" s="11">
        <v>0.3</v>
      </c>
      <c r="S77" s="8" t="s">
        <v>107</v>
      </c>
      <c r="T77" s="11">
        <v>2.5</v>
      </c>
    </row>
    <row r="78">
      <c r="A78" s="8" t="s">
        <v>51</v>
      </c>
      <c r="B78" s="11">
        <v>0.2</v>
      </c>
      <c r="D78" s="8" t="s">
        <v>176</v>
      </c>
      <c r="E78" s="11">
        <v>0.3</v>
      </c>
      <c r="G78" s="8" t="s">
        <v>221</v>
      </c>
      <c r="H78" s="11">
        <v>0.3</v>
      </c>
      <c r="J78" s="8" t="s">
        <v>88</v>
      </c>
      <c r="K78" s="11">
        <v>0.3</v>
      </c>
      <c r="M78" s="8" t="s">
        <v>105</v>
      </c>
      <c r="N78" s="11">
        <v>0.3</v>
      </c>
      <c r="P78" s="8" t="s">
        <v>188</v>
      </c>
      <c r="Q78" s="11">
        <v>0.3</v>
      </c>
      <c r="S78" s="8" t="s">
        <v>106</v>
      </c>
      <c r="T78" s="11">
        <v>2.5</v>
      </c>
    </row>
    <row r="79">
      <c r="A79" s="8" t="s">
        <v>256</v>
      </c>
      <c r="B79" s="11">
        <v>0.2</v>
      </c>
      <c r="D79" s="8" t="s">
        <v>257</v>
      </c>
      <c r="E79" s="11">
        <v>0.3</v>
      </c>
      <c r="G79" s="8" t="s">
        <v>219</v>
      </c>
      <c r="H79" s="11">
        <v>0.3</v>
      </c>
      <c r="J79" s="8" t="s">
        <v>120</v>
      </c>
      <c r="K79" s="11">
        <v>0.3</v>
      </c>
      <c r="M79" s="8" t="s">
        <v>89</v>
      </c>
      <c r="N79" s="11">
        <v>0.3</v>
      </c>
      <c r="P79" s="8" t="s">
        <v>65</v>
      </c>
      <c r="Q79" s="11">
        <v>0.3</v>
      </c>
      <c r="S79" s="8" t="s">
        <v>153</v>
      </c>
      <c r="T79" s="11">
        <v>2.4</v>
      </c>
    </row>
    <row r="80">
      <c r="A80" s="8" t="s">
        <v>258</v>
      </c>
      <c r="B80" s="11">
        <v>0.2</v>
      </c>
      <c r="D80" s="8" t="s">
        <v>249</v>
      </c>
      <c r="E80" s="11">
        <v>0.3</v>
      </c>
      <c r="G80" s="8" t="s">
        <v>203</v>
      </c>
      <c r="H80" s="11">
        <v>0.3</v>
      </c>
      <c r="J80" s="8" t="s">
        <v>102</v>
      </c>
      <c r="K80" s="11">
        <v>0.3</v>
      </c>
      <c r="M80" s="8" t="s">
        <v>88</v>
      </c>
      <c r="N80" s="11">
        <v>0.3</v>
      </c>
      <c r="P80" s="8" t="s">
        <v>259</v>
      </c>
      <c r="Q80" s="11">
        <v>0.3</v>
      </c>
      <c r="S80" s="8" t="s">
        <v>198</v>
      </c>
      <c r="T80" s="11">
        <v>2.4</v>
      </c>
    </row>
    <row r="81">
      <c r="A81" s="8" t="s">
        <v>185</v>
      </c>
      <c r="B81" s="11">
        <v>0.2</v>
      </c>
      <c r="D81" s="8" t="s">
        <v>109</v>
      </c>
      <c r="E81" s="11">
        <v>0.3</v>
      </c>
      <c r="G81" s="8" t="s">
        <v>204</v>
      </c>
      <c r="H81" s="11">
        <v>0.3</v>
      </c>
      <c r="J81" s="8" t="s">
        <v>194</v>
      </c>
      <c r="K81" s="11">
        <v>0.3</v>
      </c>
      <c r="M81" s="8" t="s">
        <v>62</v>
      </c>
      <c r="N81" s="11">
        <v>0.3</v>
      </c>
      <c r="P81" s="8" t="s">
        <v>260</v>
      </c>
      <c r="Q81" s="11">
        <v>0.3</v>
      </c>
      <c r="S81" s="8" t="s">
        <v>176</v>
      </c>
      <c r="T81" s="11">
        <v>2.4</v>
      </c>
    </row>
    <row r="82">
      <c r="A82" s="8" t="s">
        <v>261</v>
      </c>
      <c r="B82" s="11">
        <v>0.2</v>
      </c>
      <c r="D82" s="8" t="s">
        <v>161</v>
      </c>
      <c r="E82" s="11">
        <v>0.3</v>
      </c>
      <c r="G82" s="8" t="s">
        <v>120</v>
      </c>
      <c r="H82" s="11">
        <v>0.3</v>
      </c>
      <c r="J82" s="8" t="s">
        <v>176</v>
      </c>
      <c r="K82" s="11">
        <v>0.3</v>
      </c>
      <c r="M82" s="8" t="s">
        <v>59</v>
      </c>
      <c r="N82" s="11">
        <v>0.3</v>
      </c>
      <c r="P82" s="8" t="s">
        <v>262</v>
      </c>
      <c r="Q82" s="11">
        <v>0.3</v>
      </c>
      <c r="S82" s="8" t="s">
        <v>172</v>
      </c>
      <c r="T82" s="11">
        <v>2.4</v>
      </c>
    </row>
    <row r="83">
      <c r="A83" s="8" t="s">
        <v>198</v>
      </c>
      <c r="B83" s="11">
        <v>0.2</v>
      </c>
      <c r="D83" s="8" t="s">
        <v>215</v>
      </c>
      <c r="E83" s="11">
        <v>0.2</v>
      </c>
      <c r="G83" s="8" t="s">
        <v>86</v>
      </c>
      <c r="H83" s="11">
        <v>0.3</v>
      </c>
      <c r="J83" s="8" t="s">
        <v>146</v>
      </c>
      <c r="K83" s="11">
        <v>0.3</v>
      </c>
      <c r="M83" s="8" t="s">
        <v>255</v>
      </c>
      <c r="N83" s="11">
        <v>0.3</v>
      </c>
      <c r="P83" s="8" t="s">
        <v>163</v>
      </c>
      <c r="Q83" s="11">
        <v>0.3</v>
      </c>
      <c r="S83" s="8" t="s">
        <v>170</v>
      </c>
      <c r="T83" s="11">
        <v>2.3</v>
      </c>
    </row>
    <row r="84">
      <c r="A84" s="8" t="s">
        <v>170</v>
      </c>
      <c r="B84" s="11">
        <v>0.2</v>
      </c>
      <c r="D84" s="8" t="s">
        <v>186</v>
      </c>
      <c r="E84" s="11">
        <v>0.2</v>
      </c>
      <c r="G84" s="8" t="s">
        <v>174</v>
      </c>
      <c r="H84" s="11">
        <v>0.3</v>
      </c>
      <c r="J84" s="8" t="s">
        <v>115</v>
      </c>
      <c r="K84" s="11">
        <v>0.3</v>
      </c>
      <c r="M84" s="8" t="s">
        <v>84</v>
      </c>
      <c r="N84" s="11">
        <v>0.3</v>
      </c>
      <c r="P84" s="8" t="s">
        <v>106</v>
      </c>
      <c r="Q84" s="11">
        <v>0.3</v>
      </c>
      <c r="S84" s="8" t="s">
        <v>203</v>
      </c>
      <c r="T84" s="11">
        <v>2.3</v>
      </c>
    </row>
    <row r="85">
      <c r="A85" s="8" t="s">
        <v>246</v>
      </c>
      <c r="B85" s="11">
        <v>0.2</v>
      </c>
      <c r="D85" s="8" t="s">
        <v>236</v>
      </c>
      <c r="E85" s="11">
        <v>0.2</v>
      </c>
      <c r="G85" s="8" t="s">
        <v>227</v>
      </c>
      <c r="H85" s="11">
        <v>0.3</v>
      </c>
      <c r="J85" s="8" t="s">
        <v>99</v>
      </c>
      <c r="K85" s="11">
        <v>0.3</v>
      </c>
      <c r="M85" s="8" t="s">
        <v>263</v>
      </c>
      <c r="N85" s="11">
        <v>0.3</v>
      </c>
      <c r="P85" s="8" t="s">
        <v>181</v>
      </c>
      <c r="Q85" s="11">
        <v>0.3</v>
      </c>
      <c r="S85" s="8" t="s">
        <v>163</v>
      </c>
      <c r="T85" s="11">
        <v>2.3</v>
      </c>
    </row>
    <row r="86">
      <c r="A86" s="8" t="s">
        <v>143</v>
      </c>
      <c r="B86" s="11">
        <v>0.2</v>
      </c>
      <c r="D86" s="8" t="s">
        <v>97</v>
      </c>
      <c r="E86" s="11">
        <v>0.2</v>
      </c>
      <c r="G86" s="8" t="s">
        <v>264</v>
      </c>
      <c r="H86" s="11">
        <v>0.3</v>
      </c>
      <c r="J86" s="8" t="s">
        <v>154</v>
      </c>
      <c r="K86" s="11">
        <v>0.3</v>
      </c>
      <c r="M86" s="8" t="s">
        <v>154</v>
      </c>
      <c r="N86" s="11">
        <v>0.3</v>
      </c>
      <c r="P86" s="8" t="s">
        <v>110</v>
      </c>
      <c r="Q86" s="11">
        <v>0.3</v>
      </c>
      <c r="S86" s="8" t="s">
        <v>155</v>
      </c>
      <c r="T86" s="11">
        <v>2.2</v>
      </c>
    </row>
    <row r="87">
      <c r="A87" s="8" t="s">
        <v>66</v>
      </c>
      <c r="B87" s="11">
        <v>0.2</v>
      </c>
      <c r="D87" s="8" t="s">
        <v>265</v>
      </c>
      <c r="E87" s="11">
        <v>0.2</v>
      </c>
      <c r="G87" s="8" t="s">
        <v>266</v>
      </c>
      <c r="H87" s="11">
        <v>0.3</v>
      </c>
      <c r="J87" s="8" t="s">
        <v>211</v>
      </c>
      <c r="K87" s="11">
        <v>0.3</v>
      </c>
      <c r="M87" s="8" t="s">
        <v>136</v>
      </c>
      <c r="N87" s="11">
        <v>0.3</v>
      </c>
      <c r="P87" s="8" t="s">
        <v>251</v>
      </c>
      <c r="Q87" s="11">
        <v>0.2</v>
      </c>
      <c r="S87" s="8" t="s">
        <v>165</v>
      </c>
      <c r="T87" s="11">
        <v>2.1</v>
      </c>
    </row>
    <row r="88">
      <c r="A88" s="8" t="s">
        <v>267</v>
      </c>
      <c r="B88" s="11">
        <v>0.2</v>
      </c>
      <c r="D88" s="8" t="s">
        <v>268</v>
      </c>
      <c r="E88" s="11">
        <v>0.2</v>
      </c>
      <c r="G88" s="8" t="s">
        <v>114</v>
      </c>
      <c r="H88" s="11">
        <v>0.3</v>
      </c>
      <c r="J88" s="8" t="s">
        <v>136</v>
      </c>
      <c r="K88" s="11">
        <v>0.3</v>
      </c>
      <c r="M88" s="8" t="s">
        <v>174</v>
      </c>
      <c r="N88" s="11">
        <v>0.3</v>
      </c>
      <c r="P88" s="8" t="s">
        <v>121</v>
      </c>
      <c r="Q88" s="11">
        <v>0.2</v>
      </c>
      <c r="S88" s="8" t="s">
        <v>161</v>
      </c>
      <c r="T88" s="11">
        <v>2.1</v>
      </c>
    </row>
    <row r="89">
      <c r="A89" s="8" t="s">
        <v>115</v>
      </c>
      <c r="B89" s="11">
        <v>0.2</v>
      </c>
      <c r="D89" s="8" t="s">
        <v>165</v>
      </c>
      <c r="E89" s="11">
        <v>0.2</v>
      </c>
      <c r="G89" s="8" t="s">
        <v>232</v>
      </c>
      <c r="H89" s="11">
        <v>0.2</v>
      </c>
      <c r="J89" s="8" t="s">
        <v>174</v>
      </c>
      <c r="K89" s="11">
        <v>0.3</v>
      </c>
      <c r="M89" s="8" t="s">
        <v>262</v>
      </c>
      <c r="N89" s="11">
        <v>0.3</v>
      </c>
      <c r="P89" s="8" t="s">
        <v>269</v>
      </c>
      <c r="Q89" s="11">
        <v>0.2</v>
      </c>
      <c r="S89" s="8" t="s">
        <v>168</v>
      </c>
      <c r="T89" s="11">
        <v>2.0</v>
      </c>
    </row>
    <row r="90">
      <c r="A90" s="8" t="s">
        <v>49</v>
      </c>
      <c r="B90" s="11">
        <v>0.2</v>
      </c>
      <c r="D90" s="8" t="s">
        <v>166</v>
      </c>
      <c r="E90" s="11">
        <v>0.2</v>
      </c>
      <c r="G90" s="8" t="s">
        <v>208</v>
      </c>
      <c r="H90" s="11">
        <v>0.2</v>
      </c>
      <c r="J90" s="8" t="s">
        <v>250</v>
      </c>
      <c r="K90" s="11">
        <v>0.3</v>
      </c>
      <c r="M90" s="8" t="s">
        <v>181</v>
      </c>
      <c r="N90" s="11">
        <v>0.3</v>
      </c>
      <c r="P90" s="8" t="s">
        <v>230</v>
      </c>
      <c r="Q90" s="11">
        <v>0.2</v>
      </c>
      <c r="S90" s="8" t="s">
        <v>227</v>
      </c>
      <c r="T90" s="11">
        <v>2.0</v>
      </c>
    </row>
    <row r="91">
      <c r="A91" s="8" t="s">
        <v>79</v>
      </c>
      <c r="B91" s="11">
        <v>0.2</v>
      </c>
      <c r="D91" s="8" t="s">
        <v>223</v>
      </c>
      <c r="E91" s="11">
        <v>0.2</v>
      </c>
      <c r="G91" s="8" t="s">
        <v>233</v>
      </c>
      <c r="H91" s="11">
        <v>0.2</v>
      </c>
      <c r="J91" s="8" t="s">
        <v>216</v>
      </c>
      <c r="K91" s="11">
        <v>0.3</v>
      </c>
      <c r="M91" s="8" t="s">
        <v>270</v>
      </c>
      <c r="N91" s="11">
        <v>0.3</v>
      </c>
      <c r="P91" s="8" t="s">
        <v>185</v>
      </c>
      <c r="Q91" s="11">
        <v>0.2</v>
      </c>
      <c r="S91" s="8" t="s">
        <v>179</v>
      </c>
      <c r="T91" s="11">
        <v>2.0</v>
      </c>
    </row>
    <row r="92">
      <c r="A92" s="8" t="s">
        <v>262</v>
      </c>
      <c r="B92" s="11">
        <v>0.2</v>
      </c>
      <c r="D92" s="8" t="s">
        <v>139</v>
      </c>
      <c r="E92" s="11">
        <v>0.2</v>
      </c>
      <c r="G92" s="8" t="s">
        <v>201</v>
      </c>
      <c r="H92" s="11">
        <v>0.2</v>
      </c>
      <c r="J92" s="8" t="s">
        <v>107</v>
      </c>
      <c r="K92" s="11">
        <v>0.3</v>
      </c>
      <c r="M92" s="8" t="s">
        <v>155</v>
      </c>
      <c r="N92" s="11">
        <v>0.3</v>
      </c>
      <c r="P92" s="8" t="s">
        <v>268</v>
      </c>
      <c r="Q92" s="11">
        <v>0.2</v>
      </c>
      <c r="S92" s="8" t="s">
        <v>151</v>
      </c>
      <c r="T92" s="11">
        <v>2.0</v>
      </c>
    </row>
    <row r="93">
      <c r="A93" s="8" t="s">
        <v>227</v>
      </c>
      <c r="B93" s="11">
        <v>0.2</v>
      </c>
      <c r="D93" s="8" t="s">
        <v>148</v>
      </c>
      <c r="E93" s="11">
        <v>0.2</v>
      </c>
      <c r="G93" s="8" t="s">
        <v>135</v>
      </c>
      <c r="H93" s="11">
        <v>0.2</v>
      </c>
      <c r="J93" s="8" t="s">
        <v>163</v>
      </c>
      <c r="K93" s="11">
        <v>0.3</v>
      </c>
      <c r="M93" s="8" t="s">
        <v>215</v>
      </c>
      <c r="N93" s="11">
        <v>0.2</v>
      </c>
      <c r="P93" s="8" t="s">
        <v>241</v>
      </c>
      <c r="Q93" s="11">
        <v>0.2</v>
      </c>
      <c r="S93" s="8" t="s">
        <v>185</v>
      </c>
      <c r="T93" s="11">
        <v>1.9</v>
      </c>
    </row>
    <row r="94">
      <c r="A94" s="8" t="s">
        <v>271</v>
      </c>
      <c r="B94" s="11">
        <v>0.2</v>
      </c>
      <c r="D94" s="8" t="s">
        <v>272</v>
      </c>
      <c r="E94" s="11">
        <v>0.2</v>
      </c>
      <c r="G94" s="8" t="s">
        <v>104</v>
      </c>
      <c r="H94" s="11">
        <v>0.2</v>
      </c>
      <c r="J94" s="8" t="s">
        <v>273</v>
      </c>
      <c r="K94" s="11">
        <v>0.3</v>
      </c>
      <c r="M94" s="8" t="s">
        <v>121</v>
      </c>
      <c r="N94" s="11">
        <v>0.2</v>
      </c>
      <c r="P94" s="8" t="s">
        <v>226</v>
      </c>
      <c r="Q94" s="11">
        <v>0.2</v>
      </c>
      <c r="S94" s="8" t="s">
        <v>149</v>
      </c>
      <c r="T94" s="11">
        <v>1.9</v>
      </c>
    </row>
    <row r="95">
      <c r="A95" s="8" t="s">
        <v>191</v>
      </c>
      <c r="B95" s="11">
        <v>0.2</v>
      </c>
      <c r="D95" s="8" t="s">
        <v>200</v>
      </c>
      <c r="E95" s="11">
        <v>0.2</v>
      </c>
      <c r="G95" s="8" t="s">
        <v>171</v>
      </c>
      <c r="H95" s="11">
        <v>0.2</v>
      </c>
      <c r="J95" s="8" t="s">
        <v>181</v>
      </c>
      <c r="K95" s="11">
        <v>0.3</v>
      </c>
      <c r="M95" s="8" t="s">
        <v>269</v>
      </c>
      <c r="N95" s="11">
        <v>0.2</v>
      </c>
      <c r="P95" s="8" t="s">
        <v>30</v>
      </c>
      <c r="Q95" s="11">
        <v>0.2</v>
      </c>
      <c r="S95" s="8" t="s">
        <v>192</v>
      </c>
      <c r="T95" s="11">
        <v>1.9</v>
      </c>
    </row>
    <row r="96">
      <c r="A96" s="8" t="s">
        <v>56</v>
      </c>
      <c r="B96" s="11">
        <v>0.1</v>
      </c>
      <c r="D96" s="8" t="s">
        <v>220</v>
      </c>
      <c r="E96" s="11">
        <v>0.2</v>
      </c>
      <c r="G96" s="8" t="s">
        <v>241</v>
      </c>
      <c r="H96" s="11">
        <v>0.2</v>
      </c>
      <c r="J96" s="8" t="s">
        <v>179</v>
      </c>
      <c r="K96" s="11">
        <v>0.3</v>
      </c>
      <c r="M96" s="8" t="s">
        <v>217</v>
      </c>
      <c r="N96" s="11">
        <v>0.2</v>
      </c>
      <c r="P96" s="8" t="s">
        <v>142</v>
      </c>
      <c r="Q96" s="11">
        <v>0.2</v>
      </c>
      <c r="S96" s="8" t="s">
        <v>174</v>
      </c>
      <c r="T96" s="11">
        <v>1.9</v>
      </c>
    </row>
    <row r="97">
      <c r="A97" s="8" t="s">
        <v>184</v>
      </c>
      <c r="B97" s="11">
        <v>0.1</v>
      </c>
      <c r="D97" s="8" t="s">
        <v>174</v>
      </c>
      <c r="E97" s="11">
        <v>0.2</v>
      </c>
      <c r="G97" s="8" t="s">
        <v>182</v>
      </c>
      <c r="H97" s="11">
        <v>0.2</v>
      </c>
      <c r="J97" s="8" t="s">
        <v>110</v>
      </c>
      <c r="K97" s="11">
        <v>0.3</v>
      </c>
      <c r="M97" s="8" t="s">
        <v>274</v>
      </c>
      <c r="N97" s="11">
        <v>0.2</v>
      </c>
      <c r="P97" s="8" t="s">
        <v>220</v>
      </c>
      <c r="Q97" s="11">
        <v>0.2</v>
      </c>
      <c r="S97" s="8" t="s">
        <v>177</v>
      </c>
      <c r="T97" s="11">
        <v>1.9</v>
      </c>
    </row>
    <row r="98">
      <c r="A98" s="8" t="s">
        <v>222</v>
      </c>
      <c r="B98" s="11">
        <v>0.1</v>
      </c>
      <c r="D98" s="8" t="s">
        <v>262</v>
      </c>
      <c r="E98" s="11">
        <v>0.2</v>
      </c>
      <c r="G98" s="8" t="s">
        <v>102</v>
      </c>
      <c r="H98" s="11">
        <v>0.2</v>
      </c>
      <c r="J98" s="8" t="s">
        <v>51</v>
      </c>
      <c r="K98" s="11">
        <v>0.2</v>
      </c>
      <c r="M98" s="8" t="s">
        <v>228</v>
      </c>
      <c r="N98" s="11">
        <v>0.2</v>
      </c>
      <c r="P98" s="8" t="s">
        <v>250</v>
      </c>
      <c r="Q98" s="11">
        <v>0.2</v>
      </c>
      <c r="S98" s="8" t="s">
        <v>183</v>
      </c>
      <c r="T98" s="11">
        <v>1.9</v>
      </c>
    </row>
    <row r="99">
      <c r="A99" s="8" t="s">
        <v>177</v>
      </c>
      <c r="B99" s="11">
        <v>0.1</v>
      </c>
      <c r="D99" s="8" t="s">
        <v>250</v>
      </c>
      <c r="E99" s="11">
        <v>0.2</v>
      </c>
      <c r="G99" s="8" t="s">
        <v>194</v>
      </c>
      <c r="H99" s="11">
        <v>0.2</v>
      </c>
      <c r="J99" s="8" t="s">
        <v>185</v>
      </c>
      <c r="K99" s="11">
        <v>0.2</v>
      </c>
      <c r="M99" s="8" t="s">
        <v>165</v>
      </c>
      <c r="N99" s="11">
        <v>0.2</v>
      </c>
      <c r="P99" s="8" t="s">
        <v>183</v>
      </c>
      <c r="Q99" s="11">
        <v>0.2</v>
      </c>
      <c r="S99" s="8" t="s">
        <v>133</v>
      </c>
      <c r="T99" s="11">
        <v>1.8</v>
      </c>
    </row>
    <row r="100">
      <c r="A100" s="8" t="s">
        <v>215</v>
      </c>
      <c r="B100" s="11">
        <v>0.0</v>
      </c>
      <c r="D100" s="8" t="s">
        <v>137</v>
      </c>
      <c r="E100" s="11">
        <v>0.2</v>
      </c>
      <c r="G100" s="8" t="s">
        <v>119</v>
      </c>
      <c r="H100" s="11">
        <v>0.2</v>
      </c>
      <c r="J100" s="8" t="s">
        <v>228</v>
      </c>
      <c r="K100" s="11">
        <v>0.2</v>
      </c>
      <c r="M100" s="8" t="s">
        <v>196</v>
      </c>
      <c r="N100" s="11">
        <v>0.2</v>
      </c>
      <c r="P100" s="8" t="s">
        <v>155</v>
      </c>
      <c r="Q100" s="11">
        <v>0.2</v>
      </c>
      <c r="S100" s="8" t="s">
        <v>186</v>
      </c>
      <c r="T100" s="11">
        <v>1.8</v>
      </c>
    </row>
    <row r="101">
      <c r="A101" s="8" t="s">
        <v>275</v>
      </c>
      <c r="B101" s="11">
        <v>0.0</v>
      </c>
      <c r="D101" s="8" t="s">
        <v>69</v>
      </c>
      <c r="E101" s="11">
        <v>0.2</v>
      </c>
      <c r="G101" s="8" t="s">
        <v>193</v>
      </c>
      <c r="H101" s="11">
        <v>0.2</v>
      </c>
      <c r="J101" s="8" t="s">
        <v>268</v>
      </c>
      <c r="K101" s="11">
        <v>0.2</v>
      </c>
      <c r="M101" s="8" t="s">
        <v>140</v>
      </c>
      <c r="N101" s="11">
        <v>0.2</v>
      </c>
      <c r="P101" s="8" t="s">
        <v>200</v>
      </c>
      <c r="Q101" s="11">
        <v>0.1</v>
      </c>
      <c r="S101" s="8" t="s">
        <v>171</v>
      </c>
      <c r="T101" s="11">
        <v>1.8</v>
      </c>
    </row>
    <row r="102">
      <c r="A102" s="8" t="s">
        <v>229</v>
      </c>
      <c r="B102" s="11">
        <v>0.0</v>
      </c>
      <c r="D102" s="8" t="s">
        <v>179</v>
      </c>
      <c r="E102" s="11">
        <v>0.2</v>
      </c>
      <c r="G102" s="8" t="s">
        <v>263</v>
      </c>
      <c r="H102" s="11">
        <v>0.2</v>
      </c>
      <c r="J102" s="8" t="s">
        <v>184</v>
      </c>
      <c r="K102" s="11">
        <v>0.2</v>
      </c>
      <c r="M102" s="8" t="s">
        <v>248</v>
      </c>
      <c r="N102" s="11">
        <v>0.2</v>
      </c>
      <c r="P102" s="8" t="s">
        <v>177</v>
      </c>
      <c r="Q102" s="11">
        <v>0.1</v>
      </c>
      <c r="S102" s="8" t="s">
        <v>142</v>
      </c>
      <c r="T102" s="11">
        <v>1.8</v>
      </c>
    </row>
    <row r="103">
      <c r="A103" s="8" t="s">
        <v>133</v>
      </c>
      <c r="B103" s="11">
        <v>0.0</v>
      </c>
      <c r="D103" s="8" t="s">
        <v>151</v>
      </c>
      <c r="E103" s="11">
        <v>0.2</v>
      </c>
      <c r="G103" s="8" t="s">
        <v>109</v>
      </c>
      <c r="H103" s="11">
        <v>0.2</v>
      </c>
      <c r="J103" s="8" t="s">
        <v>165</v>
      </c>
      <c r="K103" s="11">
        <v>0.2</v>
      </c>
      <c r="M103" s="8" t="s">
        <v>206</v>
      </c>
      <c r="N103" s="11">
        <v>0.2</v>
      </c>
      <c r="P103" s="8" t="s">
        <v>232</v>
      </c>
      <c r="Q103" s="11">
        <v>0.0</v>
      </c>
      <c r="S103" s="8" t="s">
        <v>154</v>
      </c>
      <c r="T103" s="11">
        <v>1.8</v>
      </c>
    </row>
    <row r="104">
      <c r="A104" s="8" t="s">
        <v>276</v>
      </c>
      <c r="B104" s="11">
        <v>0.0</v>
      </c>
      <c r="D104" s="8" t="s">
        <v>243</v>
      </c>
      <c r="E104" s="11">
        <v>0.1</v>
      </c>
      <c r="G104" s="8" t="s">
        <v>136</v>
      </c>
      <c r="H104" s="11">
        <v>0.2</v>
      </c>
      <c r="J104" s="8" t="s">
        <v>171</v>
      </c>
      <c r="K104" s="11">
        <v>0.2</v>
      </c>
      <c r="M104" s="8" t="s">
        <v>194</v>
      </c>
      <c r="N104" s="11">
        <v>0.2</v>
      </c>
      <c r="P104" s="8" t="s">
        <v>225</v>
      </c>
      <c r="Q104" s="11">
        <v>0.0</v>
      </c>
      <c r="S104" s="8" t="s">
        <v>210</v>
      </c>
      <c r="T104" s="11">
        <v>1.7</v>
      </c>
    </row>
    <row r="105">
      <c r="A105" s="8" t="s">
        <v>236</v>
      </c>
      <c r="B105" s="11">
        <v>0.0</v>
      </c>
      <c r="D105" s="8" t="s">
        <v>263</v>
      </c>
      <c r="E105" s="11">
        <v>0.1</v>
      </c>
      <c r="G105" s="8" t="s">
        <v>215</v>
      </c>
      <c r="H105" s="11">
        <v>0.0</v>
      </c>
      <c r="J105" s="8" t="s">
        <v>198</v>
      </c>
      <c r="K105" s="11">
        <v>0.2</v>
      </c>
      <c r="M105" s="8" t="s">
        <v>267</v>
      </c>
      <c r="N105" s="11">
        <v>0.2</v>
      </c>
      <c r="P105" s="8" t="s">
        <v>275</v>
      </c>
      <c r="Q105" s="11">
        <v>0.0</v>
      </c>
      <c r="S105" s="8" t="s">
        <v>139</v>
      </c>
      <c r="T105" s="11">
        <v>1.7</v>
      </c>
    </row>
    <row r="106">
      <c r="A106" s="8" t="s">
        <v>233</v>
      </c>
      <c r="B106" s="11">
        <v>0.0</v>
      </c>
      <c r="D106" s="8" t="s">
        <v>225</v>
      </c>
      <c r="E106" s="11">
        <v>0.0</v>
      </c>
      <c r="G106" s="8" t="s">
        <v>225</v>
      </c>
      <c r="H106" s="11">
        <v>0.0</v>
      </c>
      <c r="J106" s="8" t="s">
        <v>140</v>
      </c>
      <c r="K106" s="11">
        <v>0.2</v>
      </c>
      <c r="M106" s="8" t="s">
        <v>188</v>
      </c>
      <c r="N106" s="11">
        <v>0.2</v>
      </c>
      <c r="P106" s="8" t="s">
        <v>229</v>
      </c>
      <c r="Q106" s="11">
        <v>0.0</v>
      </c>
      <c r="S106" s="8" t="s">
        <v>206</v>
      </c>
      <c r="T106" s="11">
        <v>1.7</v>
      </c>
    </row>
    <row r="107">
      <c r="A107" s="8" t="s">
        <v>91</v>
      </c>
      <c r="B107" s="11">
        <v>0.0</v>
      </c>
      <c r="D107" s="8" t="s">
        <v>275</v>
      </c>
      <c r="E107" s="11">
        <v>0.0</v>
      </c>
      <c r="G107" s="8" t="s">
        <v>275</v>
      </c>
      <c r="H107" s="11">
        <v>0.0</v>
      </c>
      <c r="J107" s="8" t="s">
        <v>96</v>
      </c>
      <c r="K107" s="11">
        <v>0.2</v>
      </c>
      <c r="M107" s="8" t="s">
        <v>277</v>
      </c>
      <c r="N107" s="11">
        <v>0.2</v>
      </c>
      <c r="P107" s="8" t="s">
        <v>122</v>
      </c>
      <c r="Q107" s="11">
        <v>0.0</v>
      </c>
      <c r="S107" s="8" t="s">
        <v>143</v>
      </c>
      <c r="T107" s="11">
        <v>1.7</v>
      </c>
    </row>
    <row r="108">
      <c r="A108" s="8" t="s">
        <v>278</v>
      </c>
      <c r="B108" s="11">
        <v>0.0</v>
      </c>
      <c r="D108" s="8" t="s">
        <v>133</v>
      </c>
      <c r="E108" s="11">
        <v>0.0</v>
      </c>
      <c r="G108" s="8" t="s">
        <v>229</v>
      </c>
      <c r="H108" s="11">
        <v>0.0</v>
      </c>
      <c r="J108" s="8" t="s">
        <v>203</v>
      </c>
      <c r="K108" s="11">
        <v>0.2</v>
      </c>
      <c r="M108" s="8" t="s">
        <v>193</v>
      </c>
      <c r="N108" s="11">
        <v>0.2</v>
      </c>
      <c r="P108" s="8" t="s">
        <v>133</v>
      </c>
      <c r="Q108" s="11">
        <v>0.0</v>
      </c>
      <c r="S108" s="8" t="s">
        <v>190</v>
      </c>
      <c r="T108" s="11">
        <v>1.7</v>
      </c>
    </row>
    <row r="109">
      <c r="A109" s="8" t="s">
        <v>251</v>
      </c>
      <c r="B109" s="11">
        <v>0.0</v>
      </c>
      <c r="D109" s="8" t="s">
        <v>276</v>
      </c>
      <c r="E109" s="11">
        <v>0.0</v>
      </c>
      <c r="G109" s="8" t="s">
        <v>276</v>
      </c>
      <c r="H109" s="11">
        <v>0.0</v>
      </c>
      <c r="J109" s="8" t="s">
        <v>168</v>
      </c>
      <c r="K109" s="11">
        <v>0.2</v>
      </c>
      <c r="M109" s="8" t="s">
        <v>137</v>
      </c>
      <c r="N109" s="11">
        <v>0.2</v>
      </c>
      <c r="P109" s="8" t="s">
        <v>276</v>
      </c>
      <c r="Q109" s="11">
        <v>0.0</v>
      </c>
      <c r="S109" s="8" t="s">
        <v>184</v>
      </c>
      <c r="T109" s="11">
        <v>1.6</v>
      </c>
    </row>
    <row r="110">
      <c r="A110" s="8" t="s">
        <v>279</v>
      </c>
      <c r="B110" s="11">
        <v>0.0</v>
      </c>
      <c r="D110" s="8" t="s">
        <v>233</v>
      </c>
      <c r="E110" s="11">
        <v>0.0</v>
      </c>
      <c r="G110" s="8" t="s">
        <v>236</v>
      </c>
      <c r="H110" s="11">
        <v>0.0</v>
      </c>
      <c r="J110" s="8" t="s">
        <v>241</v>
      </c>
      <c r="K110" s="11">
        <v>0.2</v>
      </c>
      <c r="M110" s="8" t="s">
        <v>107</v>
      </c>
      <c r="N110" s="11">
        <v>0.2</v>
      </c>
      <c r="P110" s="8" t="s">
        <v>236</v>
      </c>
      <c r="Q110" s="11">
        <v>0.0</v>
      </c>
      <c r="S110" s="8" t="s">
        <v>202</v>
      </c>
      <c r="T110" s="11">
        <v>1.6</v>
      </c>
    </row>
    <row r="111">
      <c r="A111" s="8" t="s">
        <v>239</v>
      </c>
      <c r="B111" s="11">
        <v>0.0</v>
      </c>
      <c r="D111" s="8" t="s">
        <v>91</v>
      </c>
      <c r="E111" s="11">
        <v>0.0</v>
      </c>
      <c r="G111" s="8" t="s">
        <v>32</v>
      </c>
      <c r="H111" s="11">
        <v>0.0</v>
      </c>
      <c r="J111" s="8" t="s">
        <v>175</v>
      </c>
      <c r="K111" s="11">
        <v>0.2</v>
      </c>
      <c r="M111" s="8" t="s">
        <v>172</v>
      </c>
      <c r="N111" s="11">
        <v>0.2</v>
      </c>
      <c r="P111" s="8" t="s">
        <v>278</v>
      </c>
      <c r="Q111" s="11">
        <v>0.0</v>
      </c>
      <c r="S111" s="8" t="s">
        <v>175</v>
      </c>
      <c r="T111" s="11">
        <v>1.6</v>
      </c>
    </row>
    <row r="112">
      <c r="A112" s="8" t="s">
        <v>253</v>
      </c>
      <c r="B112" s="11">
        <v>0.0</v>
      </c>
      <c r="D112" s="8" t="s">
        <v>278</v>
      </c>
      <c r="E112" s="11">
        <v>0.0</v>
      </c>
      <c r="G112" s="8" t="s">
        <v>91</v>
      </c>
      <c r="H112" s="11">
        <v>0.0</v>
      </c>
      <c r="J112" s="8" t="s">
        <v>200</v>
      </c>
      <c r="K112" s="11">
        <v>0.2</v>
      </c>
      <c r="M112" s="8" t="s">
        <v>113</v>
      </c>
      <c r="N112" s="11">
        <v>0.2</v>
      </c>
      <c r="P112" s="8" t="s">
        <v>279</v>
      </c>
      <c r="Q112" s="11">
        <v>0.0</v>
      </c>
      <c r="S112" s="8" t="s">
        <v>200</v>
      </c>
      <c r="T112" s="11">
        <v>1.6</v>
      </c>
    </row>
    <row r="113">
      <c r="A113" s="8" t="s">
        <v>269</v>
      </c>
      <c r="B113" s="11">
        <v>0.0</v>
      </c>
      <c r="D113" s="8" t="s">
        <v>251</v>
      </c>
      <c r="E113" s="11">
        <v>0.0</v>
      </c>
      <c r="G113" s="8" t="s">
        <v>278</v>
      </c>
      <c r="H113" s="11">
        <v>0.0</v>
      </c>
      <c r="J113" s="8" t="s">
        <v>109</v>
      </c>
      <c r="K113" s="11">
        <v>0.2</v>
      </c>
      <c r="M113" s="8" t="s">
        <v>190</v>
      </c>
      <c r="N113" s="11">
        <v>0.2</v>
      </c>
      <c r="P113" s="8" t="s">
        <v>256</v>
      </c>
      <c r="Q113" s="11">
        <v>0.0</v>
      </c>
      <c r="S113" s="8" t="s">
        <v>178</v>
      </c>
      <c r="T113" s="11">
        <v>1.5</v>
      </c>
    </row>
    <row r="114">
      <c r="A114" s="8" t="s">
        <v>187</v>
      </c>
      <c r="B114" s="11">
        <v>0.0</v>
      </c>
      <c r="D114" s="8" t="s">
        <v>279</v>
      </c>
      <c r="E114" s="11">
        <v>0.0</v>
      </c>
      <c r="G114" s="8" t="s">
        <v>251</v>
      </c>
      <c r="H114" s="11">
        <v>0.0</v>
      </c>
      <c r="J114" s="8" t="s">
        <v>177</v>
      </c>
      <c r="K114" s="11">
        <v>0.2</v>
      </c>
      <c r="M114" s="8" t="s">
        <v>186</v>
      </c>
      <c r="N114" s="11">
        <v>0.1</v>
      </c>
      <c r="P114" s="8" t="s">
        <v>239</v>
      </c>
      <c r="Q114" s="11">
        <v>0.0</v>
      </c>
      <c r="S114" s="8" t="s">
        <v>201</v>
      </c>
      <c r="T114" s="11">
        <v>1.5</v>
      </c>
    </row>
    <row r="115">
      <c r="A115" s="8" t="s">
        <v>213</v>
      </c>
      <c r="B115" s="11">
        <v>0.0</v>
      </c>
      <c r="D115" s="8" t="s">
        <v>256</v>
      </c>
      <c r="E115" s="11">
        <v>0.0</v>
      </c>
      <c r="G115" s="8" t="s">
        <v>279</v>
      </c>
      <c r="H115" s="11">
        <v>0.0</v>
      </c>
      <c r="J115" s="8" t="s">
        <v>190</v>
      </c>
      <c r="K115" s="11">
        <v>0.2</v>
      </c>
      <c r="M115" s="8" t="s">
        <v>32</v>
      </c>
      <c r="N115" s="11">
        <v>0.1</v>
      </c>
      <c r="P115" s="8" t="s">
        <v>253</v>
      </c>
      <c r="Q115" s="11">
        <v>0.0</v>
      </c>
      <c r="S115" s="8" t="s">
        <v>146</v>
      </c>
      <c r="T115" s="11">
        <v>1.5</v>
      </c>
    </row>
    <row r="116">
      <c r="A116" s="8" t="s">
        <v>169</v>
      </c>
      <c r="B116" s="11">
        <v>0.0</v>
      </c>
      <c r="D116" s="8" t="s">
        <v>239</v>
      </c>
      <c r="E116" s="11">
        <v>0.0</v>
      </c>
      <c r="G116" s="8" t="s">
        <v>256</v>
      </c>
      <c r="H116" s="11">
        <v>0.0</v>
      </c>
      <c r="J116" s="8" t="s">
        <v>161</v>
      </c>
      <c r="K116" s="11">
        <v>0.1</v>
      </c>
      <c r="M116" s="8" t="s">
        <v>201</v>
      </c>
      <c r="N116" s="11">
        <v>0.1</v>
      </c>
      <c r="P116" s="8" t="s">
        <v>187</v>
      </c>
      <c r="Q116" s="11">
        <v>0.0</v>
      </c>
      <c r="S116" s="8" t="s">
        <v>194</v>
      </c>
      <c r="T116" s="11">
        <v>1.4</v>
      </c>
    </row>
    <row r="117">
      <c r="A117" s="8" t="s">
        <v>178</v>
      </c>
      <c r="B117" s="11">
        <v>0.0</v>
      </c>
      <c r="D117" s="8" t="s">
        <v>253</v>
      </c>
      <c r="E117" s="11">
        <v>0.0</v>
      </c>
      <c r="G117" s="8" t="s">
        <v>239</v>
      </c>
      <c r="H117" s="11">
        <v>0.0</v>
      </c>
      <c r="J117" s="8" t="s">
        <v>232</v>
      </c>
      <c r="K117" s="11">
        <v>0.0</v>
      </c>
      <c r="M117" s="8" t="s">
        <v>153</v>
      </c>
      <c r="N117" s="11">
        <v>0.1</v>
      </c>
      <c r="P117" s="8" t="s">
        <v>213</v>
      </c>
      <c r="Q117" s="11">
        <v>0.0</v>
      </c>
      <c r="S117" s="8" t="s">
        <v>188</v>
      </c>
      <c r="T117" s="11">
        <v>1.4</v>
      </c>
    </row>
    <row r="118">
      <c r="A118" s="8" t="s">
        <v>217</v>
      </c>
      <c r="B118" s="11">
        <v>0.0</v>
      </c>
      <c r="D118" s="8" t="s">
        <v>269</v>
      </c>
      <c r="E118" s="11">
        <v>0.0</v>
      </c>
      <c r="G118" s="8" t="s">
        <v>253</v>
      </c>
      <c r="H118" s="11">
        <v>0.0</v>
      </c>
      <c r="J118" s="8" t="s">
        <v>225</v>
      </c>
      <c r="K118" s="11">
        <v>0.0</v>
      </c>
      <c r="M118" s="8" t="s">
        <v>222</v>
      </c>
      <c r="N118" s="11">
        <v>0.1</v>
      </c>
      <c r="P118" s="8" t="s">
        <v>83</v>
      </c>
      <c r="Q118" s="11">
        <v>0.0</v>
      </c>
      <c r="S118" s="8" t="s">
        <v>215</v>
      </c>
      <c r="T118" s="11">
        <v>1.3</v>
      </c>
    </row>
    <row r="119">
      <c r="A119" s="8" t="s">
        <v>230</v>
      </c>
      <c r="B119" s="11">
        <v>0.0</v>
      </c>
      <c r="D119" s="8" t="s">
        <v>213</v>
      </c>
      <c r="E119" s="11">
        <v>0.0</v>
      </c>
      <c r="G119" s="8" t="s">
        <v>269</v>
      </c>
      <c r="H119" s="11">
        <v>0.0</v>
      </c>
      <c r="J119" s="8" t="s">
        <v>275</v>
      </c>
      <c r="K119" s="11">
        <v>0.0</v>
      </c>
      <c r="M119" s="8" t="s">
        <v>225</v>
      </c>
      <c r="N119" s="11">
        <v>0.0</v>
      </c>
      <c r="P119" s="8" t="s">
        <v>169</v>
      </c>
      <c r="Q119" s="11">
        <v>0.0</v>
      </c>
      <c r="S119" s="8" t="s">
        <v>169</v>
      </c>
      <c r="T119" s="11">
        <v>1.3</v>
      </c>
    </row>
    <row r="120">
      <c r="A120" s="8" t="s">
        <v>201</v>
      </c>
      <c r="B120" s="11">
        <v>0.0</v>
      </c>
      <c r="D120" s="8" t="s">
        <v>83</v>
      </c>
      <c r="E120" s="11">
        <v>0.0</v>
      </c>
      <c r="G120" s="8" t="s">
        <v>187</v>
      </c>
      <c r="H120" s="11">
        <v>0.0</v>
      </c>
      <c r="J120" s="8" t="s">
        <v>229</v>
      </c>
      <c r="K120" s="11">
        <v>0.0</v>
      </c>
      <c r="M120" s="8" t="s">
        <v>275</v>
      </c>
      <c r="N120" s="11">
        <v>0.0</v>
      </c>
      <c r="P120" s="8" t="s">
        <v>178</v>
      </c>
      <c r="Q120" s="11">
        <v>0.0</v>
      </c>
      <c r="S120" s="8" t="s">
        <v>230</v>
      </c>
      <c r="T120" s="11">
        <v>1.3</v>
      </c>
    </row>
    <row r="121">
      <c r="A121" s="8" t="s">
        <v>242</v>
      </c>
      <c r="B121" s="11">
        <v>0.0</v>
      </c>
      <c r="D121" s="8" t="s">
        <v>178</v>
      </c>
      <c r="E121" s="11">
        <v>0.0</v>
      </c>
      <c r="G121" s="8" t="s">
        <v>213</v>
      </c>
      <c r="H121" s="11">
        <v>0.0</v>
      </c>
      <c r="J121" s="8" t="s">
        <v>133</v>
      </c>
      <c r="K121" s="11">
        <v>0.0</v>
      </c>
      <c r="M121" s="8" t="s">
        <v>229</v>
      </c>
      <c r="N121" s="11">
        <v>0.0</v>
      </c>
      <c r="P121" s="8" t="s">
        <v>258</v>
      </c>
      <c r="Q121" s="11">
        <v>0.0</v>
      </c>
      <c r="S121" s="8" t="s">
        <v>204</v>
      </c>
      <c r="T121" s="11">
        <v>1.3</v>
      </c>
    </row>
    <row r="122">
      <c r="A122" s="8" t="s">
        <v>280</v>
      </c>
      <c r="B122" s="11">
        <v>0.0</v>
      </c>
      <c r="D122" s="8" t="s">
        <v>258</v>
      </c>
      <c r="E122" s="11">
        <v>0.0</v>
      </c>
      <c r="G122" s="8" t="s">
        <v>83</v>
      </c>
      <c r="H122" s="11">
        <v>0.0</v>
      </c>
      <c r="J122" s="8" t="s">
        <v>276</v>
      </c>
      <c r="K122" s="11">
        <v>0.0</v>
      </c>
      <c r="M122" s="8" t="s">
        <v>122</v>
      </c>
      <c r="N122" s="11">
        <v>0.0</v>
      </c>
      <c r="P122" s="8" t="s">
        <v>201</v>
      </c>
      <c r="Q122" s="11">
        <v>0.0</v>
      </c>
      <c r="S122" s="8" t="s">
        <v>164</v>
      </c>
      <c r="T122" s="11">
        <v>1.3</v>
      </c>
    </row>
    <row r="123">
      <c r="A123" s="8" t="s">
        <v>274</v>
      </c>
      <c r="B123" s="11">
        <v>0.0</v>
      </c>
      <c r="D123" s="8" t="s">
        <v>217</v>
      </c>
      <c r="E123" s="11">
        <v>0.0</v>
      </c>
      <c r="G123" s="8" t="s">
        <v>169</v>
      </c>
      <c r="H123" s="11">
        <v>0.0</v>
      </c>
      <c r="J123" s="8" t="s">
        <v>186</v>
      </c>
      <c r="K123" s="11">
        <v>0.0</v>
      </c>
      <c r="M123" s="8" t="s">
        <v>133</v>
      </c>
      <c r="N123" s="11">
        <v>0.0</v>
      </c>
      <c r="P123" s="8" t="s">
        <v>242</v>
      </c>
      <c r="Q123" s="11">
        <v>0.0</v>
      </c>
      <c r="S123" s="8" t="s">
        <v>199</v>
      </c>
      <c r="T123" s="11">
        <v>1.3</v>
      </c>
    </row>
    <row r="124">
      <c r="A124" s="8" t="s">
        <v>281</v>
      </c>
      <c r="B124" s="11">
        <v>0.0</v>
      </c>
      <c r="D124" s="8" t="s">
        <v>185</v>
      </c>
      <c r="E124" s="11">
        <v>0.0</v>
      </c>
      <c r="G124" s="8" t="s">
        <v>258</v>
      </c>
      <c r="H124" s="11">
        <v>0.0</v>
      </c>
      <c r="J124" s="8" t="s">
        <v>236</v>
      </c>
      <c r="K124" s="11">
        <v>0.0</v>
      </c>
      <c r="M124" s="8" t="s">
        <v>276</v>
      </c>
      <c r="N124" s="11">
        <v>0.0</v>
      </c>
      <c r="P124" s="8" t="s">
        <v>280</v>
      </c>
      <c r="Q124" s="11">
        <v>0.0</v>
      </c>
      <c r="S124" s="8" t="s">
        <v>182</v>
      </c>
      <c r="T124" s="11">
        <v>1.3</v>
      </c>
    </row>
    <row r="125">
      <c r="A125" s="8" t="s">
        <v>135</v>
      </c>
      <c r="B125" s="11">
        <v>0.0</v>
      </c>
      <c r="D125" s="8" t="s">
        <v>242</v>
      </c>
      <c r="E125" s="11">
        <v>0.0</v>
      </c>
      <c r="G125" s="8" t="s">
        <v>217</v>
      </c>
      <c r="H125" s="11">
        <v>0.0</v>
      </c>
      <c r="J125" s="8" t="s">
        <v>233</v>
      </c>
      <c r="K125" s="11">
        <v>0.0</v>
      </c>
      <c r="M125" s="8" t="s">
        <v>233</v>
      </c>
      <c r="N125" s="11">
        <v>0.0</v>
      </c>
      <c r="P125" s="8" t="s">
        <v>274</v>
      </c>
      <c r="Q125" s="11">
        <v>0.0</v>
      </c>
      <c r="S125" s="8" t="s">
        <v>195</v>
      </c>
      <c r="T125" s="11">
        <v>1.3</v>
      </c>
    </row>
    <row r="126">
      <c r="A126" s="8" t="s">
        <v>252</v>
      </c>
      <c r="B126" s="11">
        <v>0.0</v>
      </c>
      <c r="D126" s="8" t="s">
        <v>280</v>
      </c>
      <c r="E126" s="11">
        <v>0.0</v>
      </c>
      <c r="G126" s="8" t="s">
        <v>242</v>
      </c>
      <c r="H126" s="11">
        <v>0.0</v>
      </c>
      <c r="J126" s="8" t="s">
        <v>91</v>
      </c>
      <c r="K126" s="11">
        <v>0.0</v>
      </c>
      <c r="M126" s="8" t="s">
        <v>278</v>
      </c>
      <c r="N126" s="11">
        <v>0.0</v>
      </c>
      <c r="P126" s="8" t="s">
        <v>153</v>
      </c>
      <c r="Q126" s="11">
        <v>0.0</v>
      </c>
      <c r="S126" s="8" t="s">
        <v>211</v>
      </c>
      <c r="T126" s="11">
        <v>1.3</v>
      </c>
    </row>
    <row r="127">
      <c r="A127" s="8" t="s">
        <v>237</v>
      </c>
      <c r="B127" s="11">
        <v>0.0</v>
      </c>
      <c r="D127" s="8" t="s">
        <v>274</v>
      </c>
      <c r="E127" s="11">
        <v>0.0</v>
      </c>
      <c r="G127" s="8" t="s">
        <v>280</v>
      </c>
      <c r="H127" s="11">
        <v>0.0</v>
      </c>
      <c r="J127" s="8" t="s">
        <v>278</v>
      </c>
      <c r="K127" s="11">
        <v>0.0</v>
      </c>
      <c r="M127" s="8" t="s">
        <v>251</v>
      </c>
      <c r="N127" s="11">
        <v>0.0</v>
      </c>
      <c r="P127" s="8" t="s">
        <v>281</v>
      </c>
      <c r="Q127" s="11">
        <v>0.0</v>
      </c>
      <c r="S127" s="8" t="s">
        <v>216</v>
      </c>
      <c r="T127" s="11">
        <v>1.3</v>
      </c>
    </row>
    <row r="128">
      <c r="A128" s="8" t="s">
        <v>265</v>
      </c>
      <c r="B128" s="11">
        <v>0.0</v>
      </c>
      <c r="D128" s="8" t="s">
        <v>153</v>
      </c>
      <c r="E128" s="11">
        <v>0.0</v>
      </c>
      <c r="G128" s="8" t="s">
        <v>274</v>
      </c>
      <c r="H128" s="11">
        <v>0.0</v>
      </c>
      <c r="J128" s="8" t="s">
        <v>279</v>
      </c>
      <c r="K128" s="11">
        <v>0.0</v>
      </c>
      <c r="M128" s="8" t="s">
        <v>131</v>
      </c>
      <c r="N128" s="11">
        <v>0.0</v>
      </c>
      <c r="P128" s="8" t="s">
        <v>252</v>
      </c>
      <c r="Q128" s="11">
        <v>0.0</v>
      </c>
      <c r="S128" s="8" t="s">
        <v>208</v>
      </c>
      <c r="T128" s="11">
        <v>1.2</v>
      </c>
    </row>
    <row r="129">
      <c r="A129" s="8" t="s">
        <v>268</v>
      </c>
      <c r="B129" s="11">
        <v>0.0</v>
      </c>
      <c r="D129" s="8" t="s">
        <v>281</v>
      </c>
      <c r="E129" s="11">
        <v>0.0</v>
      </c>
      <c r="G129" s="8" t="s">
        <v>281</v>
      </c>
      <c r="H129" s="11">
        <v>0.0</v>
      </c>
      <c r="J129" s="8" t="s">
        <v>256</v>
      </c>
      <c r="K129" s="11">
        <v>0.0</v>
      </c>
      <c r="M129" s="8" t="s">
        <v>279</v>
      </c>
      <c r="N129" s="11">
        <v>0.0</v>
      </c>
      <c r="P129" s="8" t="s">
        <v>265</v>
      </c>
      <c r="Q129" s="11">
        <v>0.0</v>
      </c>
      <c r="S129" s="8" t="s">
        <v>187</v>
      </c>
      <c r="T129" s="11">
        <v>1.2</v>
      </c>
    </row>
    <row r="130">
      <c r="A130" s="8" t="s">
        <v>197</v>
      </c>
      <c r="B130" s="11">
        <v>0.0</v>
      </c>
      <c r="D130" s="8" t="s">
        <v>252</v>
      </c>
      <c r="E130" s="11">
        <v>0.0</v>
      </c>
      <c r="G130" s="8" t="s">
        <v>237</v>
      </c>
      <c r="H130" s="11">
        <v>0.0</v>
      </c>
      <c r="J130" s="8" t="s">
        <v>239</v>
      </c>
      <c r="K130" s="11">
        <v>0.0</v>
      </c>
      <c r="M130" s="8" t="s">
        <v>256</v>
      </c>
      <c r="N130" s="11">
        <v>0.0</v>
      </c>
      <c r="P130" s="8" t="s">
        <v>228</v>
      </c>
      <c r="Q130" s="11">
        <v>0.0</v>
      </c>
      <c r="S130" s="8" t="s">
        <v>147</v>
      </c>
      <c r="T130" s="11">
        <v>1.2</v>
      </c>
    </row>
    <row r="131">
      <c r="A131" s="8" t="s">
        <v>218</v>
      </c>
      <c r="B131" s="11">
        <v>0.0</v>
      </c>
      <c r="D131" s="8" t="s">
        <v>237</v>
      </c>
      <c r="E131" s="11">
        <v>0.0</v>
      </c>
      <c r="G131" s="8" t="s">
        <v>265</v>
      </c>
      <c r="H131" s="11">
        <v>0.0</v>
      </c>
      <c r="J131" s="8" t="s">
        <v>269</v>
      </c>
      <c r="K131" s="11">
        <v>0.0</v>
      </c>
      <c r="M131" s="8" t="s">
        <v>253</v>
      </c>
      <c r="N131" s="11">
        <v>0.0</v>
      </c>
      <c r="P131" s="8" t="s">
        <v>184</v>
      </c>
      <c r="Q131" s="11">
        <v>0.0</v>
      </c>
      <c r="S131" s="8" t="s">
        <v>241</v>
      </c>
      <c r="T131" s="11">
        <v>1.2</v>
      </c>
    </row>
    <row r="132">
      <c r="A132" s="8" t="s">
        <v>224</v>
      </c>
      <c r="B132" s="11">
        <v>0.0</v>
      </c>
      <c r="D132" s="8" t="s">
        <v>228</v>
      </c>
      <c r="E132" s="11">
        <v>0.0</v>
      </c>
      <c r="G132" s="8" t="s">
        <v>228</v>
      </c>
      <c r="H132" s="11">
        <v>0.0</v>
      </c>
      <c r="J132" s="8" t="s">
        <v>213</v>
      </c>
      <c r="K132" s="11">
        <v>0.0</v>
      </c>
      <c r="M132" s="8" t="s">
        <v>187</v>
      </c>
      <c r="N132" s="11">
        <v>0.0</v>
      </c>
      <c r="P132" s="8" t="s">
        <v>197</v>
      </c>
      <c r="Q132" s="11">
        <v>0.0</v>
      </c>
      <c r="S132" s="8" t="s">
        <v>221</v>
      </c>
      <c r="T132" s="11">
        <v>1.1</v>
      </c>
    </row>
    <row r="133">
      <c r="A133" s="8" t="s">
        <v>165</v>
      </c>
      <c r="B133" s="11">
        <v>0.0</v>
      </c>
      <c r="D133" s="8" t="s">
        <v>184</v>
      </c>
      <c r="E133" s="11">
        <v>0.0</v>
      </c>
      <c r="G133" s="8" t="s">
        <v>268</v>
      </c>
      <c r="H133" s="11">
        <v>0.0</v>
      </c>
      <c r="J133" s="8" t="s">
        <v>169</v>
      </c>
      <c r="K133" s="11">
        <v>0.0</v>
      </c>
      <c r="M133" s="8" t="s">
        <v>83</v>
      </c>
      <c r="N133" s="11">
        <v>0.0</v>
      </c>
      <c r="P133" s="8" t="s">
        <v>104</v>
      </c>
      <c r="Q133" s="11">
        <v>0.0</v>
      </c>
      <c r="S133" s="8" t="s">
        <v>222</v>
      </c>
      <c r="T133" s="11">
        <v>1.1</v>
      </c>
    </row>
    <row r="134">
      <c r="A134" s="8" t="s">
        <v>171</v>
      </c>
      <c r="B134" s="11">
        <v>0.0</v>
      </c>
      <c r="D134" s="8" t="s">
        <v>197</v>
      </c>
      <c r="E134" s="11">
        <v>0.0</v>
      </c>
      <c r="G134" s="8" t="s">
        <v>218</v>
      </c>
      <c r="H134" s="11">
        <v>0.0</v>
      </c>
      <c r="J134" s="8" t="s">
        <v>258</v>
      </c>
      <c r="K134" s="11">
        <v>0.0</v>
      </c>
      <c r="M134" s="8" t="s">
        <v>178</v>
      </c>
      <c r="N134" s="11">
        <v>0.0</v>
      </c>
      <c r="P134" s="8" t="s">
        <v>218</v>
      </c>
      <c r="Q134" s="11">
        <v>0.0</v>
      </c>
      <c r="S134" s="8" t="s">
        <v>167</v>
      </c>
      <c r="T134" s="11">
        <v>1.1</v>
      </c>
    </row>
    <row r="135">
      <c r="A135" s="8" t="s">
        <v>254</v>
      </c>
      <c r="B135" s="11">
        <v>0.0</v>
      </c>
      <c r="D135" s="8" t="s">
        <v>104</v>
      </c>
      <c r="E135" s="11">
        <v>0.0</v>
      </c>
      <c r="G135" s="8" t="s">
        <v>224</v>
      </c>
      <c r="H135" s="11">
        <v>0.0</v>
      </c>
      <c r="J135" s="8" t="s">
        <v>217</v>
      </c>
      <c r="K135" s="11">
        <v>0.0</v>
      </c>
      <c r="M135" s="8" t="s">
        <v>258</v>
      </c>
      <c r="N135" s="11">
        <v>0.0</v>
      </c>
      <c r="P135" s="8" t="s">
        <v>224</v>
      </c>
      <c r="Q135" s="11">
        <v>0.0</v>
      </c>
      <c r="S135" s="8" t="s">
        <v>193</v>
      </c>
      <c r="T135" s="11">
        <v>1.1</v>
      </c>
    </row>
    <row r="136">
      <c r="A136" s="8" t="s">
        <v>196</v>
      </c>
      <c r="B136" s="11">
        <v>0.0</v>
      </c>
      <c r="D136" s="8" t="s">
        <v>224</v>
      </c>
      <c r="E136" s="11">
        <v>0.0</v>
      </c>
      <c r="G136" s="8" t="s">
        <v>231</v>
      </c>
      <c r="H136" s="11">
        <v>0.0</v>
      </c>
      <c r="J136" s="8" t="s">
        <v>230</v>
      </c>
      <c r="K136" s="11">
        <v>0.0</v>
      </c>
      <c r="M136" s="8" t="s">
        <v>100</v>
      </c>
      <c r="N136" s="11">
        <v>0.0</v>
      </c>
      <c r="P136" s="8" t="s">
        <v>231</v>
      </c>
      <c r="Q136" s="11">
        <v>0.0</v>
      </c>
      <c r="S136" s="8" t="s">
        <v>250</v>
      </c>
      <c r="T136" s="11">
        <v>1.1</v>
      </c>
    </row>
    <row r="137">
      <c r="A137" s="8" t="s">
        <v>145</v>
      </c>
      <c r="B137" s="11">
        <v>0.0</v>
      </c>
      <c r="D137" s="8" t="s">
        <v>231</v>
      </c>
      <c r="E137" s="11">
        <v>0.0</v>
      </c>
      <c r="G137" s="8" t="s">
        <v>261</v>
      </c>
      <c r="H137" s="11">
        <v>0.0</v>
      </c>
      <c r="J137" s="8" t="s">
        <v>242</v>
      </c>
      <c r="K137" s="11">
        <v>0.0</v>
      </c>
      <c r="M137" s="8" t="s">
        <v>280</v>
      </c>
      <c r="N137" s="11">
        <v>0.0</v>
      </c>
      <c r="P137" s="8" t="s">
        <v>261</v>
      </c>
      <c r="Q137" s="11">
        <v>0.0</v>
      </c>
      <c r="S137" s="8" t="s">
        <v>231</v>
      </c>
      <c r="T137" s="11">
        <v>1.0</v>
      </c>
    </row>
    <row r="138">
      <c r="A138" s="8" t="s">
        <v>147</v>
      </c>
      <c r="B138" s="11">
        <v>0.0</v>
      </c>
      <c r="D138" s="8" t="s">
        <v>261</v>
      </c>
      <c r="E138" s="11">
        <v>0.0</v>
      </c>
      <c r="G138" s="8" t="s">
        <v>254</v>
      </c>
      <c r="H138" s="11">
        <v>0.0</v>
      </c>
      <c r="J138" s="8" t="s">
        <v>280</v>
      </c>
      <c r="K138" s="11">
        <v>0.0</v>
      </c>
      <c r="M138" s="8" t="s">
        <v>281</v>
      </c>
      <c r="N138" s="11">
        <v>0.0</v>
      </c>
      <c r="P138" s="8" t="s">
        <v>171</v>
      </c>
      <c r="Q138" s="11">
        <v>0.0</v>
      </c>
      <c r="S138" s="8" t="s">
        <v>238</v>
      </c>
      <c r="T138" s="11">
        <v>1.0</v>
      </c>
    </row>
    <row r="139">
      <c r="A139" s="8" t="s">
        <v>282</v>
      </c>
      <c r="B139" s="11">
        <v>0.0</v>
      </c>
      <c r="D139" s="8" t="s">
        <v>254</v>
      </c>
      <c r="E139" s="11">
        <v>0.0</v>
      </c>
      <c r="G139" s="8" t="s">
        <v>196</v>
      </c>
      <c r="H139" s="11">
        <v>0.0</v>
      </c>
      <c r="J139" s="8" t="s">
        <v>274</v>
      </c>
      <c r="K139" s="11">
        <v>0.0</v>
      </c>
      <c r="M139" s="8" t="s">
        <v>252</v>
      </c>
      <c r="N139" s="11">
        <v>0.0</v>
      </c>
      <c r="P139" s="8" t="s">
        <v>254</v>
      </c>
      <c r="Q139" s="11">
        <v>0.0</v>
      </c>
      <c r="S139" s="8" t="s">
        <v>223</v>
      </c>
      <c r="T139" s="11">
        <v>1.0</v>
      </c>
    </row>
    <row r="140">
      <c r="A140" s="8" t="s">
        <v>247</v>
      </c>
      <c r="B140" s="11">
        <v>0.0</v>
      </c>
      <c r="D140" s="8" t="s">
        <v>196</v>
      </c>
      <c r="E140" s="11">
        <v>0.0</v>
      </c>
      <c r="G140" s="8" t="s">
        <v>145</v>
      </c>
      <c r="H140" s="11">
        <v>0.0</v>
      </c>
      <c r="J140" s="8" t="s">
        <v>281</v>
      </c>
      <c r="K140" s="11">
        <v>0.0</v>
      </c>
      <c r="M140" s="8" t="s">
        <v>237</v>
      </c>
      <c r="N140" s="11">
        <v>0.0</v>
      </c>
      <c r="P140" s="8" t="s">
        <v>234</v>
      </c>
      <c r="Q140" s="11">
        <v>0.0</v>
      </c>
      <c r="S140" s="8" t="s">
        <v>157</v>
      </c>
      <c r="T140" s="11">
        <v>1.0</v>
      </c>
    </row>
    <row r="141">
      <c r="A141" s="8" t="s">
        <v>112</v>
      </c>
      <c r="B141" s="11">
        <v>0.0</v>
      </c>
      <c r="D141" s="8" t="s">
        <v>234</v>
      </c>
      <c r="E141" s="11">
        <v>0.0</v>
      </c>
      <c r="G141" s="8" t="s">
        <v>234</v>
      </c>
      <c r="H141" s="11">
        <v>0.0</v>
      </c>
      <c r="J141" s="8" t="s">
        <v>252</v>
      </c>
      <c r="K141" s="11">
        <v>0.0</v>
      </c>
      <c r="M141" s="8" t="s">
        <v>265</v>
      </c>
      <c r="N141" s="11">
        <v>0.0</v>
      </c>
      <c r="P141" s="8" t="s">
        <v>147</v>
      </c>
      <c r="Q141" s="11">
        <v>0.0</v>
      </c>
      <c r="S141" s="8" t="s">
        <v>207</v>
      </c>
      <c r="T141" s="11">
        <v>1.0</v>
      </c>
    </row>
    <row r="142">
      <c r="A142" s="8" t="s">
        <v>89</v>
      </c>
      <c r="B142" s="11">
        <v>0.0</v>
      </c>
      <c r="D142" s="8" t="s">
        <v>147</v>
      </c>
      <c r="E142" s="11">
        <v>0.0</v>
      </c>
      <c r="G142" s="8" t="s">
        <v>147</v>
      </c>
      <c r="H142" s="11">
        <v>0.0</v>
      </c>
      <c r="J142" s="8" t="s">
        <v>237</v>
      </c>
      <c r="K142" s="11">
        <v>0.0</v>
      </c>
      <c r="M142" s="8" t="s">
        <v>268</v>
      </c>
      <c r="N142" s="11">
        <v>0.0</v>
      </c>
      <c r="P142" s="8" t="s">
        <v>282</v>
      </c>
      <c r="Q142" s="11">
        <v>0.0</v>
      </c>
      <c r="S142" s="8" t="s">
        <v>249</v>
      </c>
      <c r="T142" s="11">
        <v>1.0</v>
      </c>
    </row>
    <row r="143">
      <c r="A143" s="8" t="s">
        <v>90</v>
      </c>
      <c r="B143" s="11">
        <v>0.0</v>
      </c>
      <c r="D143" s="8" t="s">
        <v>282</v>
      </c>
      <c r="E143" s="11">
        <v>0.0</v>
      </c>
      <c r="G143" s="8" t="s">
        <v>282</v>
      </c>
      <c r="H143" s="11">
        <v>0.0</v>
      </c>
      <c r="J143" s="8" t="s">
        <v>265</v>
      </c>
      <c r="K143" s="11">
        <v>0.0</v>
      </c>
      <c r="M143" s="8" t="s">
        <v>197</v>
      </c>
      <c r="N143" s="11">
        <v>0.0</v>
      </c>
      <c r="P143" s="8" t="s">
        <v>247</v>
      </c>
      <c r="Q143" s="11">
        <v>0.0</v>
      </c>
      <c r="S143" s="8" t="s">
        <v>156</v>
      </c>
      <c r="T143" s="11">
        <v>1.0</v>
      </c>
    </row>
    <row r="144">
      <c r="A144" s="8" t="s">
        <v>245</v>
      </c>
      <c r="B144" s="11">
        <v>0.0</v>
      </c>
      <c r="D144" s="8" t="s">
        <v>198</v>
      </c>
      <c r="E144" s="11">
        <v>0.0</v>
      </c>
      <c r="G144" s="8" t="s">
        <v>247</v>
      </c>
      <c r="H144" s="11">
        <v>0.0</v>
      </c>
      <c r="J144" s="8" t="s">
        <v>197</v>
      </c>
      <c r="K144" s="11">
        <v>0.0</v>
      </c>
      <c r="M144" s="8" t="s">
        <v>218</v>
      </c>
      <c r="N144" s="11">
        <v>0.0</v>
      </c>
      <c r="P144" s="8" t="s">
        <v>89</v>
      </c>
      <c r="Q144" s="11">
        <v>0.0</v>
      </c>
      <c r="S144" s="8" t="s">
        <v>262</v>
      </c>
      <c r="T144" s="11">
        <v>1.0</v>
      </c>
    </row>
    <row r="145">
      <c r="A145" s="8" t="s">
        <v>77</v>
      </c>
      <c r="B145" s="11">
        <v>0.0</v>
      </c>
      <c r="D145" s="8" t="s">
        <v>112</v>
      </c>
      <c r="E145" s="11">
        <v>0.0</v>
      </c>
      <c r="G145" s="8" t="s">
        <v>93</v>
      </c>
      <c r="H145" s="11">
        <v>0.0</v>
      </c>
      <c r="J145" s="8" t="s">
        <v>224</v>
      </c>
      <c r="K145" s="11">
        <v>0.0</v>
      </c>
      <c r="M145" s="8" t="s">
        <v>261</v>
      </c>
      <c r="N145" s="11">
        <v>0.0</v>
      </c>
      <c r="P145" s="8" t="s">
        <v>90</v>
      </c>
      <c r="Q145" s="11">
        <v>0.0</v>
      </c>
      <c r="S145" s="8" t="s">
        <v>218</v>
      </c>
      <c r="T145" s="11">
        <v>0.9</v>
      </c>
    </row>
    <row r="146">
      <c r="A146" s="8" t="s">
        <v>166</v>
      </c>
      <c r="B146" s="11">
        <v>0.0</v>
      </c>
      <c r="D146" s="8" t="s">
        <v>90</v>
      </c>
      <c r="E146" s="11">
        <v>0.0</v>
      </c>
      <c r="G146" s="8" t="s">
        <v>112</v>
      </c>
      <c r="H146" s="11">
        <v>0.0</v>
      </c>
      <c r="J146" s="8" t="s">
        <v>261</v>
      </c>
      <c r="K146" s="11">
        <v>0.0</v>
      </c>
      <c r="M146" s="8" t="s">
        <v>35</v>
      </c>
      <c r="N146" s="11">
        <v>0.0</v>
      </c>
      <c r="P146" s="8" t="s">
        <v>245</v>
      </c>
      <c r="Q146" s="11">
        <v>0.0</v>
      </c>
      <c r="S146" s="8" t="s">
        <v>196</v>
      </c>
      <c r="T146" s="11">
        <v>0.9</v>
      </c>
    </row>
    <row r="147">
      <c r="A147" s="8" t="s">
        <v>243</v>
      </c>
      <c r="B147" s="11">
        <v>0.0</v>
      </c>
      <c r="D147" s="8" t="s">
        <v>245</v>
      </c>
      <c r="E147" s="11">
        <v>0.0</v>
      </c>
      <c r="G147" s="8" t="s">
        <v>245</v>
      </c>
      <c r="H147" s="11">
        <v>0.0</v>
      </c>
      <c r="J147" s="8" t="s">
        <v>254</v>
      </c>
      <c r="K147" s="11">
        <v>0.0</v>
      </c>
      <c r="M147" s="8" t="s">
        <v>234</v>
      </c>
      <c r="N147" s="11">
        <v>0.0</v>
      </c>
      <c r="P147" s="8" t="s">
        <v>88</v>
      </c>
      <c r="Q147" s="11">
        <v>0.0</v>
      </c>
      <c r="S147" s="8" t="s">
        <v>173</v>
      </c>
      <c r="T147" s="11">
        <v>0.9</v>
      </c>
    </row>
    <row r="148">
      <c r="A148" s="8" t="s">
        <v>210</v>
      </c>
      <c r="B148" s="11">
        <v>0.0</v>
      </c>
      <c r="D148" s="8" t="s">
        <v>77</v>
      </c>
      <c r="E148" s="11">
        <v>0.0</v>
      </c>
      <c r="G148" s="8" t="s">
        <v>243</v>
      </c>
      <c r="H148" s="11">
        <v>0.0</v>
      </c>
      <c r="J148" s="8" t="s">
        <v>196</v>
      </c>
      <c r="K148" s="11">
        <v>0.0</v>
      </c>
      <c r="M148" s="8" t="s">
        <v>282</v>
      </c>
      <c r="N148" s="11">
        <v>0.0</v>
      </c>
      <c r="P148" s="8" t="s">
        <v>243</v>
      </c>
      <c r="Q148" s="11">
        <v>0.0</v>
      </c>
      <c r="S148" s="8" t="s">
        <v>197</v>
      </c>
      <c r="T148" s="11">
        <v>0.8</v>
      </c>
    </row>
    <row r="149">
      <c r="A149" s="8" t="s">
        <v>283</v>
      </c>
      <c r="B149" s="11">
        <v>0.0</v>
      </c>
      <c r="D149" s="8" t="s">
        <v>88</v>
      </c>
      <c r="E149" s="11">
        <v>0.0</v>
      </c>
      <c r="G149" s="8" t="s">
        <v>202</v>
      </c>
      <c r="H149" s="11">
        <v>0.0</v>
      </c>
      <c r="J149" s="8" t="s">
        <v>145</v>
      </c>
      <c r="K149" s="11">
        <v>0.0</v>
      </c>
      <c r="M149" s="8" t="s">
        <v>247</v>
      </c>
      <c r="N149" s="11">
        <v>0.0</v>
      </c>
      <c r="P149" s="8" t="s">
        <v>210</v>
      </c>
      <c r="Q149" s="11">
        <v>0.0</v>
      </c>
      <c r="S149" s="8" t="s">
        <v>219</v>
      </c>
      <c r="T149" s="11">
        <v>0.8</v>
      </c>
    </row>
    <row r="150">
      <c r="A150" s="8" t="s">
        <v>284</v>
      </c>
      <c r="B150" s="11">
        <v>0.0</v>
      </c>
      <c r="D150" s="8" t="s">
        <v>221</v>
      </c>
      <c r="E150" s="11">
        <v>0.0</v>
      </c>
      <c r="G150" s="8" t="s">
        <v>87</v>
      </c>
      <c r="H150" s="11">
        <v>0.0</v>
      </c>
      <c r="J150" s="8" t="s">
        <v>234</v>
      </c>
      <c r="K150" s="11">
        <v>0.0</v>
      </c>
      <c r="M150" s="8" t="s">
        <v>93</v>
      </c>
      <c r="N150" s="11">
        <v>0.0</v>
      </c>
      <c r="P150" s="8" t="s">
        <v>221</v>
      </c>
      <c r="Q150" s="11">
        <v>0.0</v>
      </c>
      <c r="S150" s="8" t="s">
        <v>220</v>
      </c>
      <c r="T150" s="11">
        <v>0.8</v>
      </c>
    </row>
    <row r="151">
      <c r="A151" s="8" t="s">
        <v>223</v>
      </c>
      <c r="B151" s="11">
        <v>0.0</v>
      </c>
      <c r="D151" s="8" t="s">
        <v>283</v>
      </c>
      <c r="E151" s="11">
        <v>0.0</v>
      </c>
      <c r="G151" s="8" t="s">
        <v>283</v>
      </c>
      <c r="H151" s="11">
        <v>0.0</v>
      </c>
      <c r="J151" s="8" t="s">
        <v>147</v>
      </c>
      <c r="K151" s="11">
        <v>0.0</v>
      </c>
      <c r="M151" s="8" t="s">
        <v>90</v>
      </c>
      <c r="N151" s="11">
        <v>0.0</v>
      </c>
      <c r="P151" s="8" t="s">
        <v>202</v>
      </c>
      <c r="Q151" s="11">
        <v>0.0</v>
      </c>
      <c r="S151" s="8" t="s">
        <v>232</v>
      </c>
      <c r="T151" s="11">
        <v>0.7</v>
      </c>
    </row>
    <row r="152">
      <c r="A152" s="8" t="s">
        <v>248</v>
      </c>
      <c r="B152" s="11">
        <v>0.0</v>
      </c>
      <c r="D152" s="8" t="s">
        <v>96</v>
      </c>
      <c r="E152" s="11">
        <v>0.0</v>
      </c>
      <c r="G152" s="8" t="s">
        <v>222</v>
      </c>
      <c r="H152" s="11">
        <v>0.0</v>
      </c>
      <c r="J152" s="8" t="s">
        <v>282</v>
      </c>
      <c r="K152" s="11">
        <v>0.0</v>
      </c>
      <c r="M152" s="8" t="s">
        <v>166</v>
      </c>
      <c r="N152" s="11">
        <v>0.0</v>
      </c>
      <c r="P152" s="8" t="s">
        <v>283</v>
      </c>
      <c r="Q152" s="11">
        <v>0.0</v>
      </c>
      <c r="S152" s="8" t="s">
        <v>217</v>
      </c>
      <c r="T152" s="11">
        <v>0.7</v>
      </c>
    </row>
    <row r="153">
      <c r="A153" s="8" t="s">
        <v>168</v>
      </c>
      <c r="B153" s="11">
        <v>0.0</v>
      </c>
      <c r="D153" s="8" t="s">
        <v>219</v>
      </c>
      <c r="E153" s="11">
        <v>0.0</v>
      </c>
      <c r="G153" s="8" t="s">
        <v>246</v>
      </c>
      <c r="H153" s="11">
        <v>0.0</v>
      </c>
      <c r="J153" s="8" t="s">
        <v>247</v>
      </c>
      <c r="K153" s="11">
        <v>0.0</v>
      </c>
      <c r="M153" s="8" t="s">
        <v>243</v>
      </c>
      <c r="N153" s="11">
        <v>0.0</v>
      </c>
      <c r="P153" s="8" t="s">
        <v>96</v>
      </c>
      <c r="Q153" s="11">
        <v>0.0</v>
      </c>
      <c r="S153" s="8" t="s">
        <v>228</v>
      </c>
      <c r="T153" s="11">
        <v>0.7</v>
      </c>
    </row>
    <row r="154">
      <c r="A154" s="8" t="s">
        <v>164</v>
      </c>
      <c r="B154" s="11">
        <v>0.0</v>
      </c>
      <c r="D154" s="8" t="s">
        <v>246</v>
      </c>
      <c r="E154" s="11">
        <v>0.0</v>
      </c>
      <c r="G154" s="8" t="s">
        <v>284</v>
      </c>
      <c r="H154" s="11">
        <v>0.0</v>
      </c>
      <c r="J154" s="8" t="s">
        <v>245</v>
      </c>
      <c r="K154" s="11">
        <v>0.0</v>
      </c>
      <c r="M154" s="8" t="s">
        <v>210</v>
      </c>
      <c r="N154" s="11">
        <v>0.0</v>
      </c>
      <c r="P154" s="8" t="s">
        <v>219</v>
      </c>
      <c r="Q154" s="11">
        <v>0.0</v>
      </c>
      <c r="S154" s="8" t="s">
        <v>226</v>
      </c>
      <c r="T154" s="11">
        <v>0.7</v>
      </c>
    </row>
    <row r="155">
      <c r="A155" s="8" t="s">
        <v>139</v>
      </c>
      <c r="B155" s="11">
        <v>0.0</v>
      </c>
      <c r="D155" s="8" t="s">
        <v>284</v>
      </c>
      <c r="E155" s="11">
        <v>0.0</v>
      </c>
      <c r="G155" s="8" t="s">
        <v>205</v>
      </c>
      <c r="H155" s="11">
        <v>0.0</v>
      </c>
      <c r="J155" s="8" t="s">
        <v>77</v>
      </c>
      <c r="K155" s="11">
        <v>0.0</v>
      </c>
      <c r="M155" s="8" t="s">
        <v>221</v>
      </c>
      <c r="N155" s="11">
        <v>0.0</v>
      </c>
      <c r="P155" s="8" t="s">
        <v>203</v>
      </c>
      <c r="Q155" s="11">
        <v>0.0</v>
      </c>
      <c r="S155" s="8" t="s">
        <v>189</v>
      </c>
      <c r="T155" s="11">
        <v>0.7</v>
      </c>
    </row>
    <row r="156">
      <c r="A156" s="8" t="s">
        <v>285</v>
      </c>
      <c r="B156" s="11">
        <v>0.0</v>
      </c>
      <c r="D156" s="8" t="s">
        <v>238</v>
      </c>
      <c r="E156" s="11">
        <v>0.0</v>
      </c>
      <c r="G156" s="8" t="s">
        <v>238</v>
      </c>
      <c r="H156" s="11">
        <v>0.0</v>
      </c>
      <c r="J156" s="8" t="s">
        <v>202</v>
      </c>
      <c r="K156" s="11">
        <v>0.0</v>
      </c>
      <c r="M156" s="8" t="s">
        <v>283</v>
      </c>
      <c r="N156" s="11">
        <v>0.0</v>
      </c>
      <c r="P156" s="8" t="s">
        <v>284</v>
      </c>
      <c r="Q156" s="11">
        <v>0.0</v>
      </c>
      <c r="S156" s="8" t="s">
        <v>180</v>
      </c>
      <c r="T156" s="11">
        <v>0.7</v>
      </c>
    </row>
    <row r="157">
      <c r="A157" s="8" t="s">
        <v>111</v>
      </c>
      <c r="B157" s="11">
        <v>0.0</v>
      </c>
      <c r="D157" s="8" t="s">
        <v>204</v>
      </c>
      <c r="E157" s="11">
        <v>0.0</v>
      </c>
      <c r="G157" s="8" t="s">
        <v>248</v>
      </c>
      <c r="H157" s="11">
        <v>0.0</v>
      </c>
      <c r="J157" s="8" t="s">
        <v>283</v>
      </c>
      <c r="K157" s="11">
        <v>0.0</v>
      </c>
      <c r="M157" s="8" t="s">
        <v>170</v>
      </c>
      <c r="N157" s="11">
        <v>0.0</v>
      </c>
      <c r="P157" s="8" t="s">
        <v>205</v>
      </c>
      <c r="Q157" s="11">
        <v>0.0</v>
      </c>
      <c r="S157" s="8" t="s">
        <v>236</v>
      </c>
      <c r="T157" s="11">
        <v>0.6</v>
      </c>
    </row>
    <row r="158">
      <c r="A158" s="8" t="s">
        <v>55</v>
      </c>
      <c r="B158" s="11">
        <v>0.0</v>
      </c>
      <c r="D158" s="8" t="s">
        <v>164</v>
      </c>
      <c r="E158" s="11">
        <v>0.0</v>
      </c>
      <c r="G158" s="8" t="s">
        <v>168</v>
      </c>
      <c r="H158" s="11">
        <v>0.0</v>
      </c>
      <c r="J158" s="8" t="s">
        <v>219</v>
      </c>
      <c r="K158" s="11">
        <v>0.0</v>
      </c>
      <c r="M158" s="8" t="s">
        <v>96</v>
      </c>
      <c r="N158" s="11">
        <v>0.0</v>
      </c>
      <c r="P158" s="8" t="s">
        <v>204</v>
      </c>
      <c r="Q158" s="11">
        <v>0.0</v>
      </c>
      <c r="S158" s="8" t="s">
        <v>213</v>
      </c>
      <c r="T158" s="11">
        <v>0.6</v>
      </c>
    </row>
    <row r="159">
      <c r="A159" s="8" t="s">
        <v>206</v>
      </c>
      <c r="B159" s="11">
        <v>0.0</v>
      </c>
      <c r="D159" s="8" t="s">
        <v>157</v>
      </c>
      <c r="E159" s="11">
        <v>0.0</v>
      </c>
      <c r="G159" s="8" t="s">
        <v>164</v>
      </c>
      <c r="H159" s="11">
        <v>0.0</v>
      </c>
      <c r="J159" s="8" t="s">
        <v>222</v>
      </c>
      <c r="K159" s="11">
        <v>0.0</v>
      </c>
      <c r="M159" s="8" t="s">
        <v>219</v>
      </c>
      <c r="N159" s="11">
        <v>0.0</v>
      </c>
      <c r="P159" s="8" t="s">
        <v>157</v>
      </c>
      <c r="Q159" s="11">
        <v>0.0</v>
      </c>
      <c r="S159" s="8" t="s">
        <v>268</v>
      </c>
      <c r="T159" s="11">
        <v>0.6</v>
      </c>
    </row>
    <row r="160">
      <c r="A160" s="8" t="s">
        <v>167</v>
      </c>
      <c r="B160" s="11">
        <v>0.0</v>
      </c>
      <c r="D160" s="8" t="s">
        <v>285</v>
      </c>
      <c r="E160" s="11">
        <v>0.0</v>
      </c>
      <c r="G160" s="8" t="s">
        <v>157</v>
      </c>
      <c r="H160" s="11">
        <v>0.0</v>
      </c>
      <c r="J160" s="8" t="s">
        <v>246</v>
      </c>
      <c r="K160" s="11">
        <v>0.0</v>
      </c>
      <c r="M160" s="8" t="s">
        <v>284</v>
      </c>
      <c r="N160" s="11">
        <v>0.0</v>
      </c>
      <c r="P160" s="8" t="s">
        <v>139</v>
      </c>
      <c r="Q160" s="11">
        <v>0.0</v>
      </c>
      <c r="S160" s="8" t="s">
        <v>255</v>
      </c>
      <c r="T160" s="11">
        <v>0.6</v>
      </c>
    </row>
    <row r="161">
      <c r="A161" s="8" t="s">
        <v>199</v>
      </c>
      <c r="B161" s="11">
        <v>0.0</v>
      </c>
      <c r="D161" s="8" t="s">
        <v>120</v>
      </c>
      <c r="E161" s="11">
        <v>0.0</v>
      </c>
      <c r="G161" s="8" t="s">
        <v>285</v>
      </c>
      <c r="H161" s="11">
        <v>0.0</v>
      </c>
      <c r="J161" s="8" t="s">
        <v>284</v>
      </c>
      <c r="K161" s="11">
        <v>0.0</v>
      </c>
      <c r="M161" s="8" t="s">
        <v>205</v>
      </c>
      <c r="N161" s="11">
        <v>0.0</v>
      </c>
      <c r="P161" s="8" t="s">
        <v>285</v>
      </c>
      <c r="Q161" s="11">
        <v>0.0</v>
      </c>
      <c r="S161" s="8" t="s">
        <v>263</v>
      </c>
      <c r="T161" s="11">
        <v>0.6</v>
      </c>
    </row>
    <row r="162">
      <c r="A162" s="8" t="s">
        <v>286</v>
      </c>
      <c r="B162" s="11">
        <v>0.0</v>
      </c>
      <c r="D162" s="8" t="s">
        <v>167</v>
      </c>
      <c r="E162" s="11">
        <v>0.0</v>
      </c>
      <c r="G162" s="8" t="s">
        <v>111</v>
      </c>
      <c r="H162" s="11">
        <v>0.0</v>
      </c>
      <c r="J162" s="8" t="s">
        <v>205</v>
      </c>
      <c r="K162" s="11">
        <v>0.0</v>
      </c>
      <c r="M162" s="8" t="s">
        <v>238</v>
      </c>
      <c r="N162" s="11">
        <v>0.0</v>
      </c>
      <c r="P162" s="8" t="s">
        <v>111</v>
      </c>
      <c r="Q162" s="11">
        <v>0.0</v>
      </c>
      <c r="S162" s="8" t="s">
        <v>233</v>
      </c>
      <c r="T162" s="11">
        <v>0.5</v>
      </c>
    </row>
    <row r="163">
      <c r="A163" s="8" t="s">
        <v>287</v>
      </c>
      <c r="B163" s="11">
        <v>0.0</v>
      </c>
      <c r="D163" s="8" t="s">
        <v>199</v>
      </c>
      <c r="E163" s="11">
        <v>0.0</v>
      </c>
      <c r="G163" s="8" t="s">
        <v>206</v>
      </c>
      <c r="H163" s="11">
        <v>0.0</v>
      </c>
      <c r="J163" s="8" t="s">
        <v>204</v>
      </c>
      <c r="K163" s="11">
        <v>0.0</v>
      </c>
      <c r="M163" s="8" t="s">
        <v>223</v>
      </c>
      <c r="N163" s="11">
        <v>0.0</v>
      </c>
      <c r="P163" s="8" t="s">
        <v>120</v>
      </c>
      <c r="Q163" s="11">
        <v>0.0</v>
      </c>
      <c r="S163" s="8" t="s">
        <v>251</v>
      </c>
      <c r="T163" s="11">
        <v>0.5</v>
      </c>
    </row>
    <row r="164">
      <c r="A164" s="8" t="s">
        <v>226</v>
      </c>
      <c r="B164" s="11">
        <v>0.0</v>
      </c>
      <c r="D164" s="8" t="s">
        <v>286</v>
      </c>
      <c r="E164" s="11">
        <v>0.0</v>
      </c>
      <c r="G164" s="8" t="s">
        <v>199</v>
      </c>
      <c r="H164" s="11">
        <v>0.0</v>
      </c>
      <c r="J164" s="8" t="s">
        <v>248</v>
      </c>
      <c r="K164" s="11">
        <v>0.0</v>
      </c>
      <c r="M164" s="8" t="s">
        <v>157</v>
      </c>
      <c r="N164" s="11">
        <v>0.0</v>
      </c>
      <c r="P164" s="8" t="s">
        <v>167</v>
      </c>
      <c r="Q164" s="11">
        <v>0.0</v>
      </c>
      <c r="S164" s="8" t="s">
        <v>224</v>
      </c>
      <c r="T164" s="11">
        <v>0.5</v>
      </c>
    </row>
    <row r="165">
      <c r="A165" s="8" t="s">
        <v>288</v>
      </c>
      <c r="B165" s="11">
        <v>0.0</v>
      </c>
      <c r="D165" s="8" t="s">
        <v>182</v>
      </c>
      <c r="E165" s="11">
        <v>0.0</v>
      </c>
      <c r="G165" s="8" t="s">
        <v>286</v>
      </c>
      <c r="H165" s="11">
        <v>0.0</v>
      </c>
      <c r="J165" s="8" t="s">
        <v>164</v>
      </c>
      <c r="K165" s="11">
        <v>0.0</v>
      </c>
      <c r="M165" s="8" t="s">
        <v>139</v>
      </c>
      <c r="N165" s="11">
        <v>0.0</v>
      </c>
      <c r="P165" s="8" t="s">
        <v>286</v>
      </c>
      <c r="Q165" s="11">
        <v>0.0</v>
      </c>
      <c r="S165" s="8" t="s">
        <v>243</v>
      </c>
      <c r="T165" s="11">
        <v>0.5</v>
      </c>
    </row>
    <row r="166">
      <c r="A166" s="8" t="s">
        <v>149</v>
      </c>
      <c r="B166" s="11">
        <v>0.0</v>
      </c>
      <c r="D166" s="8" t="s">
        <v>287</v>
      </c>
      <c r="E166" s="11">
        <v>0.0</v>
      </c>
      <c r="G166" s="8" t="s">
        <v>287</v>
      </c>
      <c r="H166" s="11">
        <v>0.0</v>
      </c>
      <c r="J166" s="8" t="s">
        <v>157</v>
      </c>
      <c r="K166" s="11">
        <v>0.0</v>
      </c>
      <c r="M166" s="8" t="s">
        <v>285</v>
      </c>
      <c r="N166" s="11">
        <v>0.0</v>
      </c>
      <c r="P166" s="8" t="s">
        <v>182</v>
      </c>
      <c r="Q166" s="11">
        <v>0.0</v>
      </c>
      <c r="S166" s="8" t="s">
        <v>205</v>
      </c>
      <c r="T166" s="11">
        <v>0.5</v>
      </c>
    </row>
    <row r="167">
      <c r="A167" s="8" t="s">
        <v>119</v>
      </c>
      <c r="B167" s="11">
        <v>0.0</v>
      </c>
      <c r="D167" s="8" t="s">
        <v>226</v>
      </c>
      <c r="E167" s="11">
        <v>0.0</v>
      </c>
      <c r="G167" s="8" t="s">
        <v>226</v>
      </c>
      <c r="H167" s="11">
        <v>0.0</v>
      </c>
      <c r="J167" s="8" t="s">
        <v>139</v>
      </c>
      <c r="K167" s="11">
        <v>0.0</v>
      </c>
      <c r="M167" s="8" t="s">
        <v>111</v>
      </c>
      <c r="N167" s="11">
        <v>0.0</v>
      </c>
      <c r="P167" s="8" t="s">
        <v>287</v>
      </c>
      <c r="Q167" s="11">
        <v>0.0</v>
      </c>
      <c r="S167" s="8" t="s">
        <v>235</v>
      </c>
      <c r="T167" s="11">
        <v>0.5</v>
      </c>
    </row>
    <row r="168">
      <c r="A168" s="8" t="s">
        <v>101</v>
      </c>
      <c r="B168" s="11">
        <v>0.0</v>
      </c>
      <c r="D168" s="8" t="s">
        <v>288</v>
      </c>
      <c r="E168" s="11">
        <v>0.0</v>
      </c>
      <c r="G168" s="8" t="s">
        <v>288</v>
      </c>
      <c r="H168" s="11">
        <v>0.0</v>
      </c>
      <c r="J168" s="8" t="s">
        <v>285</v>
      </c>
      <c r="K168" s="11">
        <v>0.0</v>
      </c>
      <c r="M168" s="8" t="s">
        <v>120</v>
      </c>
      <c r="N168" s="11">
        <v>0.0</v>
      </c>
      <c r="P168" s="8" t="s">
        <v>288</v>
      </c>
      <c r="Q168" s="11">
        <v>0.0</v>
      </c>
      <c r="S168" s="8" t="s">
        <v>240</v>
      </c>
      <c r="T168" s="11">
        <v>0.5</v>
      </c>
    </row>
    <row r="169">
      <c r="A169" s="8" t="s">
        <v>175</v>
      </c>
      <c r="B169" s="11">
        <v>0.0</v>
      </c>
      <c r="D169" s="8" t="s">
        <v>143</v>
      </c>
      <c r="E169" s="11">
        <v>0.0</v>
      </c>
      <c r="G169" s="8" t="s">
        <v>149</v>
      </c>
      <c r="H169" s="11">
        <v>0.0</v>
      </c>
      <c r="J169" s="8" t="s">
        <v>167</v>
      </c>
      <c r="K169" s="11">
        <v>0.0</v>
      </c>
      <c r="M169" s="8" t="s">
        <v>167</v>
      </c>
      <c r="N169" s="11">
        <v>0.0</v>
      </c>
      <c r="P169" s="8" t="s">
        <v>194</v>
      </c>
      <c r="Q169" s="11">
        <v>0.0</v>
      </c>
      <c r="S169" s="8" t="s">
        <v>244</v>
      </c>
      <c r="T169" s="11">
        <v>0.5</v>
      </c>
    </row>
    <row r="170">
      <c r="A170" s="8" t="s">
        <v>192</v>
      </c>
      <c r="B170" s="11">
        <v>0.0</v>
      </c>
      <c r="D170" s="8" t="s">
        <v>119</v>
      </c>
      <c r="E170" s="11">
        <v>0.0</v>
      </c>
      <c r="G170" s="8" t="s">
        <v>148</v>
      </c>
      <c r="H170" s="11">
        <v>0.0</v>
      </c>
      <c r="J170" s="8" t="s">
        <v>199</v>
      </c>
      <c r="K170" s="11">
        <v>0.0</v>
      </c>
      <c r="M170" s="8" t="s">
        <v>241</v>
      </c>
      <c r="N170" s="11">
        <v>0.0</v>
      </c>
      <c r="P170" s="8" t="s">
        <v>149</v>
      </c>
      <c r="Q170" s="11">
        <v>0.0</v>
      </c>
      <c r="S170" s="8" t="s">
        <v>229</v>
      </c>
      <c r="T170" s="11">
        <v>0.4</v>
      </c>
    </row>
    <row r="171">
      <c r="A171" s="8" t="s">
        <v>176</v>
      </c>
      <c r="B171" s="11">
        <v>0.0</v>
      </c>
      <c r="D171" s="8" t="s">
        <v>146</v>
      </c>
      <c r="E171" s="11">
        <v>0.0</v>
      </c>
      <c r="G171" s="8" t="s">
        <v>175</v>
      </c>
      <c r="H171" s="11">
        <v>0.0</v>
      </c>
      <c r="J171" s="8" t="s">
        <v>286</v>
      </c>
      <c r="K171" s="11">
        <v>0.0</v>
      </c>
      <c r="M171" s="8" t="s">
        <v>286</v>
      </c>
      <c r="N171" s="11">
        <v>0.0</v>
      </c>
      <c r="P171" s="8" t="s">
        <v>143</v>
      </c>
      <c r="Q171" s="11">
        <v>0.0</v>
      </c>
      <c r="S171" s="8" t="s">
        <v>239</v>
      </c>
      <c r="T171" s="11">
        <v>0.4</v>
      </c>
    </row>
    <row r="172">
      <c r="A172" s="8" t="s">
        <v>98</v>
      </c>
      <c r="B172" s="11">
        <v>0.0</v>
      </c>
      <c r="D172" s="8" t="s">
        <v>267</v>
      </c>
      <c r="E172" s="11">
        <v>0.0</v>
      </c>
      <c r="G172" s="8" t="s">
        <v>66</v>
      </c>
      <c r="H172" s="11">
        <v>0.0</v>
      </c>
      <c r="J172" s="8" t="s">
        <v>287</v>
      </c>
      <c r="K172" s="11">
        <v>0.0</v>
      </c>
      <c r="M172" s="8" t="s">
        <v>287</v>
      </c>
      <c r="N172" s="11">
        <v>0.0</v>
      </c>
      <c r="P172" s="8" t="s">
        <v>118</v>
      </c>
      <c r="Q172" s="11">
        <v>0.0</v>
      </c>
      <c r="S172" s="8" t="s">
        <v>269</v>
      </c>
      <c r="T172" s="11">
        <v>0.4</v>
      </c>
    </row>
    <row r="173">
      <c r="A173" s="8" t="s">
        <v>207</v>
      </c>
      <c r="B173" s="11">
        <v>0.0</v>
      </c>
      <c r="D173" s="8" t="s">
        <v>115</v>
      </c>
      <c r="E173" s="11">
        <v>0.0</v>
      </c>
      <c r="G173" s="8" t="s">
        <v>146</v>
      </c>
      <c r="H173" s="11">
        <v>0.0</v>
      </c>
      <c r="J173" s="8" t="s">
        <v>226</v>
      </c>
      <c r="K173" s="11">
        <v>0.0</v>
      </c>
      <c r="M173" s="8" t="s">
        <v>288</v>
      </c>
      <c r="N173" s="11">
        <v>0.0</v>
      </c>
      <c r="P173" s="8" t="s">
        <v>146</v>
      </c>
      <c r="Q173" s="11">
        <v>0.0</v>
      </c>
      <c r="S173" s="8" t="s">
        <v>242</v>
      </c>
      <c r="T173" s="11">
        <v>0.4</v>
      </c>
    </row>
    <row r="174">
      <c r="A174" s="8" t="s">
        <v>257</v>
      </c>
      <c r="B174" s="11">
        <v>0.0</v>
      </c>
      <c r="D174" s="8" t="s">
        <v>134</v>
      </c>
      <c r="E174" s="11">
        <v>0.0</v>
      </c>
      <c r="G174" s="8" t="s">
        <v>267</v>
      </c>
      <c r="H174" s="11">
        <v>0.0</v>
      </c>
      <c r="J174" s="8" t="s">
        <v>288</v>
      </c>
      <c r="K174" s="11">
        <v>0.0</v>
      </c>
      <c r="M174" s="8" t="s">
        <v>149</v>
      </c>
      <c r="N174" s="11">
        <v>0.0</v>
      </c>
      <c r="P174" s="8" t="s">
        <v>267</v>
      </c>
      <c r="Q174" s="11">
        <v>0.0</v>
      </c>
      <c r="S174" s="8" t="s">
        <v>245</v>
      </c>
      <c r="T174" s="11">
        <v>0.4</v>
      </c>
    </row>
    <row r="175">
      <c r="A175" s="8" t="s">
        <v>255</v>
      </c>
      <c r="B175" s="11">
        <v>0.0</v>
      </c>
      <c r="D175" s="8" t="s">
        <v>255</v>
      </c>
      <c r="E175" s="11">
        <v>0.0</v>
      </c>
      <c r="G175" s="8" t="s">
        <v>257</v>
      </c>
      <c r="H175" s="11">
        <v>0.0</v>
      </c>
      <c r="J175" s="8" t="s">
        <v>143</v>
      </c>
      <c r="K175" s="11">
        <v>0.0</v>
      </c>
      <c r="M175" s="8" t="s">
        <v>143</v>
      </c>
      <c r="N175" s="11">
        <v>0.0</v>
      </c>
      <c r="P175" s="8" t="s">
        <v>257</v>
      </c>
      <c r="Q175" s="11">
        <v>0.0</v>
      </c>
      <c r="S175" s="8" t="s">
        <v>246</v>
      </c>
      <c r="T175" s="11">
        <v>0.4</v>
      </c>
    </row>
    <row r="176">
      <c r="A176" s="8" t="s">
        <v>103</v>
      </c>
      <c r="B176" s="11">
        <v>0.0</v>
      </c>
      <c r="D176" s="8" t="s">
        <v>289</v>
      </c>
      <c r="E176" s="11">
        <v>0.0</v>
      </c>
      <c r="G176" s="8" t="s">
        <v>195</v>
      </c>
      <c r="H176" s="11">
        <v>0.0</v>
      </c>
      <c r="J176" s="8" t="s">
        <v>119</v>
      </c>
      <c r="K176" s="11">
        <v>0.0</v>
      </c>
      <c r="M176" s="8" t="s">
        <v>118</v>
      </c>
      <c r="N176" s="11">
        <v>0.0</v>
      </c>
      <c r="P176" s="8" t="s">
        <v>115</v>
      </c>
      <c r="Q176" s="11">
        <v>0.0</v>
      </c>
      <c r="S176" s="8" t="s">
        <v>248</v>
      </c>
      <c r="T176" s="11">
        <v>0.4</v>
      </c>
    </row>
    <row r="177">
      <c r="A177" s="8" t="s">
        <v>289</v>
      </c>
      <c r="B177" s="11">
        <v>0.0</v>
      </c>
      <c r="D177" s="8" t="s">
        <v>189</v>
      </c>
      <c r="E177" s="11">
        <v>0.0</v>
      </c>
      <c r="G177" s="8" t="s">
        <v>138</v>
      </c>
      <c r="H177" s="11">
        <v>0.0</v>
      </c>
      <c r="J177" s="8" t="s">
        <v>148</v>
      </c>
      <c r="K177" s="11">
        <v>0.0</v>
      </c>
      <c r="M177" s="8" t="s">
        <v>175</v>
      </c>
      <c r="N177" s="11">
        <v>0.0</v>
      </c>
      <c r="P177" s="8" t="s">
        <v>289</v>
      </c>
      <c r="Q177" s="11">
        <v>0.0</v>
      </c>
      <c r="S177" s="8" t="s">
        <v>267</v>
      </c>
      <c r="T177" s="11">
        <v>0.4</v>
      </c>
    </row>
    <row r="178">
      <c r="A178" s="8" t="s">
        <v>249</v>
      </c>
      <c r="B178" s="11">
        <v>0.0</v>
      </c>
      <c r="D178" s="8" t="s">
        <v>290</v>
      </c>
      <c r="E178" s="11">
        <v>0.0</v>
      </c>
      <c r="G178" s="8" t="s">
        <v>255</v>
      </c>
      <c r="H178" s="11">
        <v>0.0</v>
      </c>
      <c r="J178" s="8" t="s">
        <v>66</v>
      </c>
      <c r="K178" s="11">
        <v>0.0</v>
      </c>
      <c r="M178" s="8" t="s">
        <v>176</v>
      </c>
      <c r="N178" s="11">
        <v>0.0</v>
      </c>
      <c r="P178" s="8" t="s">
        <v>189</v>
      </c>
      <c r="Q178" s="11">
        <v>0.0</v>
      </c>
      <c r="S178" s="8" t="s">
        <v>225</v>
      </c>
      <c r="T178" s="11">
        <v>0.3</v>
      </c>
    </row>
    <row r="179">
      <c r="A179" s="12" t="s">
        <v>290</v>
      </c>
      <c r="B179" s="11">
        <v>0.0</v>
      </c>
      <c r="D179" s="12" t="s">
        <v>188</v>
      </c>
      <c r="E179" s="11">
        <v>0.0</v>
      </c>
      <c r="G179" s="12" t="s">
        <v>289</v>
      </c>
      <c r="H179" s="11">
        <v>0.0</v>
      </c>
      <c r="J179" s="12" t="s">
        <v>192</v>
      </c>
      <c r="K179" s="11">
        <v>0.0</v>
      </c>
      <c r="M179" s="12" t="s">
        <v>146</v>
      </c>
      <c r="N179" s="11">
        <v>0.0</v>
      </c>
      <c r="P179" s="12" t="s">
        <v>290</v>
      </c>
      <c r="Q179" s="11">
        <v>0.0</v>
      </c>
      <c r="S179" s="12" t="s">
        <v>253</v>
      </c>
      <c r="T179" s="11">
        <v>0.3</v>
      </c>
    </row>
    <row r="180">
      <c r="A180" s="8" t="s">
        <v>188</v>
      </c>
      <c r="B180" s="11">
        <v>0.0</v>
      </c>
      <c r="D180" s="8" t="s">
        <v>173</v>
      </c>
      <c r="E180" s="11">
        <v>0.0</v>
      </c>
      <c r="G180" s="8" t="s">
        <v>189</v>
      </c>
      <c r="H180" s="11">
        <v>0.0</v>
      </c>
      <c r="J180" s="8" t="s">
        <v>267</v>
      </c>
      <c r="K180" s="11">
        <v>0.0</v>
      </c>
      <c r="M180" s="8" t="s">
        <v>98</v>
      </c>
      <c r="N180" s="11">
        <v>0.0</v>
      </c>
      <c r="P180" s="8" t="s">
        <v>173</v>
      </c>
      <c r="Q180" s="11">
        <v>0.0</v>
      </c>
      <c r="S180" s="8" t="s">
        <v>252</v>
      </c>
      <c r="T180" s="11">
        <v>0.3</v>
      </c>
    </row>
    <row r="181">
      <c r="A181" s="8" t="s">
        <v>173</v>
      </c>
      <c r="B181" s="11">
        <v>0.0</v>
      </c>
      <c r="D181" s="8" t="s">
        <v>180</v>
      </c>
      <c r="E181" s="11">
        <v>0.0</v>
      </c>
      <c r="G181" s="8" t="s">
        <v>249</v>
      </c>
      <c r="H181" s="11">
        <v>0.0</v>
      </c>
      <c r="J181" s="8" t="s">
        <v>257</v>
      </c>
      <c r="K181" s="11">
        <v>0.0</v>
      </c>
      <c r="M181" s="8" t="s">
        <v>257</v>
      </c>
      <c r="N181" s="11">
        <v>0.0</v>
      </c>
      <c r="P181" s="8" t="s">
        <v>85</v>
      </c>
      <c r="Q181" s="11">
        <v>0.0</v>
      </c>
      <c r="S181" s="8" t="s">
        <v>237</v>
      </c>
      <c r="T181" s="11">
        <v>0.3</v>
      </c>
    </row>
    <row r="182">
      <c r="A182" s="8" t="s">
        <v>180</v>
      </c>
      <c r="B182" s="11">
        <v>0.0</v>
      </c>
      <c r="D182" s="8" t="s">
        <v>65</v>
      </c>
      <c r="E182" s="11">
        <v>0.0</v>
      </c>
      <c r="G182" s="8" t="s">
        <v>290</v>
      </c>
      <c r="H182" s="11">
        <v>0.0</v>
      </c>
      <c r="J182" s="8" t="s">
        <v>195</v>
      </c>
      <c r="K182" s="11">
        <v>0.0</v>
      </c>
      <c r="M182" s="8" t="s">
        <v>115</v>
      </c>
      <c r="N182" s="11">
        <v>0.0</v>
      </c>
      <c r="P182" s="8" t="s">
        <v>272</v>
      </c>
      <c r="Q182" s="11">
        <v>0.0</v>
      </c>
      <c r="S182" s="8" t="s">
        <v>254</v>
      </c>
      <c r="T182" s="11">
        <v>0.3</v>
      </c>
    </row>
    <row r="183">
      <c r="A183" s="8" t="s">
        <v>65</v>
      </c>
      <c r="B183" s="11">
        <v>0.0</v>
      </c>
      <c r="D183" s="8" t="s">
        <v>142</v>
      </c>
      <c r="E183" s="11">
        <v>0.0</v>
      </c>
      <c r="G183" s="8" t="s">
        <v>173</v>
      </c>
      <c r="H183" s="11">
        <v>0.0</v>
      </c>
      <c r="J183" s="8" t="s">
        <v>255</v>
      </c>
      <c r="K183" s="11">
        <v>0.0</v>
      </c>
      <c r="M183" s="8" t="s">
        <v>138</v>
      </c>
      <c r="N183" s="11">
        <v>0.0</v>
      </c>
      <c r="P183" s="8" t="s">
        <v>99</v>
      </c>
      <c r="Q183" s="11">
        <v>0.0</v>
      </c>
      <c r="S183" s="8" t="s">
        <v>234</v>
      </c>
      <c r="T183" s="11">
        <v>0.3</v>
      </c>
    </row>
    <row r="184">
      <c r="A184" s="8" t="s">
        <v>73</v>
      </c>
      <c r="B184" s="11">
        <v>0.0</v>
      </c>
      <c r="D184" s="8" t="s">
        <v>259</v>
      </c>
      <c r="E184" s="11">
        <v>0.0</v>
      </c>
      <c r="G184" s="8" t="s">
        <v>65</v>
      </c>
      <c r="H184" s="11">
        <v>0.0</v>
      </c>
      <c r="J184" s="8" t="s">
        <v>289</v>
      </c>
      <c r="K184" s="11">
        <v>0.0</v>
      </c>
      <c r="M184" s="8" t="s">
        <v>289</v>
      </c>
      <c r="N184" s="11">
        <v>0.0</v>
      </c>
      <c r="P184" s="8" t="s">
        <v>277</v>
      </c>
      <c r="Q184" s="11">
        <v>0.0</v>
      </c>
      <c r="S184" s="8" t="s">
        <v>247</v>
      </c>
      <c r="T184" s="11">
        <v>0.3</v>
      </c>
    </row>
    <row r="185">
      <c r="A185" s="8" t="s">
        <v>85</v>
      </c>
      <c r="B185" s="11">
        <v>0.0</v>
      </c>
      <c r="D185" s="8" t="s">
        <v>99</v>
      </c>
      <c r="E185" s="11">
        <v>0.0</v>
      </c>
      <c r="G185" s="8" t="s">
        <v>142</v>
      </c>
      <c r="H185" s="11">
        <v>0.0</v>
      </c>
      <c r="J185" s="8" t="s">
        <v>189</v>
      </c>
      <c r="K185" s="11">
        <v>0.0</v>
      </c>
      <c r="M185" s="8" t="s">
        <v>189</v>
      </c>
      <c r="N185" s="11">
        <v>0.0</v>
      </c>
      <c r="P185" s="8" t="s">
        <v>193</v>
      </c>
      <c r="Q185" s="11">
        <v>0.0</v>
      </c>
      <c r="S185" s="8" t="s">
        <v>257</v>
      </c>
      <c r="T185" s="11">
        <v>0.3</v>
      </c>
    </row>
    <row r="186">
      <c r="A186" s="8" t="s">
        <v>259</v>
      </c>
      <c r="B186" s="11">
        <v>0.0</v>
      </c>
      <c r="D186" s="8" t="s">
        <v>277</v>
      </c>
      <c r="E186" s="11">
        <v>0.0</v>
      </c>
      <c r="G186" s="8" t="s">
        <v>79</v>
      </c>
      <c r="H186" s="11">
        <v>0.0</v>
      </c>
      <c r="J186" s="8" t="s">
        <v>290</v>
      </c>
      <c r="K186" s="11">
        <v>0.0</v>
      </c>
      <c r="M186" s="8" t="s">
        <v>249</v>
      </c>
      <c r="N186" s="11">
        <v>0.0</v>
      </c>
      <c r="P186" s="8" t="s">
        <v>263</v>
      </c>
      <c r="Q186" s="11">
        <v>0.0</v>
      </c>
      <c r="S186" s="8" t="s">
        <v>264</v>
      </c>
      <c r="T186" s="11">
        <v>0.3</v>
      </c>
    </row>
    <row r="187">
      <c r="A187" s="8" t="s">
        <v>272</v>
      </c>
      <c r="B187" s="11">
        <v>0.0</v>
      </c>
      <c r="D187" s="8" t="s">
        <v>193</v>
      </c>
      <c r="E187" s="11">
        <v>0.0</v>
      </c>
      <c r="G187" s="8" t="s">
        <v>259</v>
      </c>
      <c r="H187" s="11">
        <v>0.0</v>
      </c>
      <c r="J187" s="8" t="s">
        <v>188</v>
      </c>
      <c r="K187" s="11">
        <v>0.0</v>
      </c>
      <c r="M187" s="8" t="s">
        <v>290</v>
      </c>
      <c r="N187" s="11">
        <v>0.0</v>
      </c>
      <c r="P187" s="8" t="s">
        <v>291</v>
      </c>
      <c r="Q187" s="11">
        <v>0.0</v>
      </c>
      <c r="S187" s="8" t="s">
        <v>270</v>
      </c>
      <c r="T187" s="11">
        <v>0.3</v>
      </c>
    </row>
    <row r="188">
      <c r="A188" s="8" t="s">
        <v>277</v>
      </c>
      <c r="B188" s="11">
        <v>0.0</v>
      </c>
      <c r="D188" s="8" t="s">
        <v>291</v>
      </c>
      <c r="E188" s="11">
        <v>0.0</v>
      </c>
      <c r="G188" s="8" t="s">
        <v>272</v>
      </c>
      <c r="H188" s="11">
        <v>0.0</v>
      </c>
      <c r="J188" s="8" t="s">
        <v>173</v>
      </c>
      <c r="K188" s="11">
        <v>0.0</v>
      </c>
      <c r="M188" s="8" t="s">
        <v>142</v>
      </c>
      <c r="N188" s="11">
        <v>0.0</v>
      </c>
      <c r="P188" s="8" t="s">
        <v>154</v>
      </c>
      <c r="Q188" s="11">
        <v>0.0</v>
      </c>
      <c r="S188" s="8" t="s">
        <v>256</v>
      </c>
      <c r="T188" s="11">
        <v>0.2</v>
      </c>
    </row>
    <row r="189">
      <c r="A189" s="8" t="s">
        <v>263</v>
      </c>
      <c r="B189" s="11">
        <v>0.0</v>
      </c>
      <c r="D189" s="8" t="s">
        <v>211</v>
      </c>
      <c r="E189" s="11">
        <v>0.0</v>
      </c>
      <c r="G189" s="8" t="s">
        <v>99</v>
      </c>
      <c r="H189" s="11">
        <v>0.0</v>
      </c>
      <c r="J189" s="8" t="s">
        <v>180</v>
      </c>
      <c r="K189" s="11">
        <v>0.0</v>
      </c>
      <c r="M189" s="8" t="s">
        <v>73</v>
      </c>
      <c r="N189" s="11">
        <v>0.0</v>
      </c>
      <c r="P189" s="8" t="s">
        <v>211</v>
      </c>
      <c r="Q189" s="11">
        <v>0.0</v>
      </c>
      <c r="S189" s="8" t="s">
        <v>258</v>
      </c>
      <c r="T189" s="11">
        <v>0.2</v>
      </c>
    </row>
    <row r="190">
      <c r="A190" s="8" t="s">
        <v>291</v>
      </c>
      <c r="B190" s="11">
        <v>0.0</v>
      </c>
      <c r="D190" s="8" t="s">
        <v>260</v>
      </c>
      <c r="E190" s="11">
        <v>0.0</v>
      </c>
      <c r="G190" s="8" t="s">
        <v>277</v>
      </c>
      <c r="H190" s="11">
        <v>0.0</v>
      </c>
      <c r="J190" s="8" t="s">
        <v>65</v>
      </c>
      <c r="K190" s="11">
        <v>0.0</v>
      </c>
      <c r="M190" s="8" t="s">
        <v>85</v>
      </c>
      <c r="N190" s="11">
        <v>0.0</v>
      </c>
      <c r="P190" s="8" t="s">
        <v>136</v>
      </c>
      <c r="Q190" s="11">
        <v>0.0</v>
      </c>
      <c r="S190" s="8" t="s">
        <v>274</v>
      </c>
      <c r="T190" s="11">
        <v>0.2</v>
      </c>
    </row>
    <row r="191">
      <c r="A191" s="8" t="s">
        <v>154</v>
      </c>
      <c r="B191" s="11">
        <v>0.0</v>
      </c>
      <c r="D191" s="8" t="s">
        <v>235</v>
      </c>
      <c r="E191" s="11">
        <v>0.0</v>
      </c>
      <c r="G191" s="8" t="s">
        <v>291</v>
      </c>
      <c r="H191" s="11">
        <v>0.0</v>
      </c>
      <c r="J191" s="8" t="s">
        <v>142</v>
      </c>
      <c r="K191" s="11">
        <v>0.0</v>
      </c>
      <c r="M191" s="8" t="s">
        <v>272</v>
      </c>
      <c r="N191" s="11">
        <v>0.0</v>
      </c>
      <c r="P191" s="8" t="s">
        <v>235</v>
      </c>
      <c r="Q191" s="11">
        <v>0.0</v>
      </c>
      <c r="S191" s="8" t="s">
        <v>265</v>
      </c>
      <c r="T191" s="11">
        <v>0.2</v>
      </c>
    </row>
    <row r="192">
      <c r="A192" s="8" t="s">
        <v>109</v>
      </c>
      <c r="B192" s="11">
        <v>0.0</v>
      </c>
      <c r="D192" s="8" t="s">
        <v>156</v>
      </c>
      <c r="E192" s="11">
        <v>0.0</v>
      </c>
      <c r="G192" s="8" t="s">
        <v>154</v>
      </c>
      <c r="H192" s="11">
        <v>0.0</v>
      </c>
      <c r="J192" s="8" t="s">
        <v>259</v>
      </c>
      <c r="K192" s="11">
        <v>0.0</v>
      </c>
      <c r="M192" s="8" t="s">
        <v>99</v>
      </c>
      <c r="N192" s="11">
        <v>0.0</v>
      </c>
      <c r="P192" s="8" t="s">
        <v>174</v>
      </c>
      <c r="Q192" s="11">
        <v>0.0</v>
      </c>
      <c r="S192" s="8" t="s">
        <v>261</v>
      </c>
      <c r="T192" s="11">
        <v>0.2</v>
      </c>
    </row>
    <row r="193">
      <c r="A193" s="8" t="s">
        <v>260</v>
      </c>
      <c r="B193" s="11">
        <v>0.0</v>
      </c>
      <c r="D193" s="8" t="s">
        <v>292</v>
      </c>
      <c r="E193" s="11">
        <v>0.0</v>
      </c>
      <c r="G193" s="8" t="s">
        <v>260</v>
      </c>
      <c r="H193" s="11">
        <v>0.0</v>
      </c>
      <c r="J193" s="8" t="s">
        <v>272</v>
      </c>
      <c r="K193" s="11">
        <v>0.0</v>
      </c>
      <c r="M193" s="8" t="s">
        <v>200</v>
      </c>
      <c r="N193" s="11">
        <v>0.0</v>
      </c>
      <c r="P193" s="8" t="s">
        <v>292</v>
      </c>
      <c r="Q193" s="11">
        <v>0.0</v>
      </c>
      <c r="S193" s="8" t="s">
        <v>259</v>
      </c>
      <c r="T193" s="11">
        <v>0.2</v>
      </c>
    </row>
    <row r="194">
      <c r="A194" s="8" t="s">
        <v>235</v>
      </c>
      <c r="B194" s="11">
        <v>0.0</v>
      </c>
      <c r="D194" s="8" t="s">
        <v>216</v>
      </c>
      <c r="E194" s="11">
        <v>0.0</v>
      </c>
      <c r="G194" s="8" t="s">
        <v>220</v>
      </c>
      <c r="H194" s="11">
        <v>0.0</v>
      </c>
      <c r="J194" s="8" t="s">
        <v>277</v>
      </c>
      <c r="K194" s="11">
        <v>0.0</v>
      </c>
      <c r="M194" s="8" t="s">
        <v>291</v>
      </c>
      <c r="N194" s="11">
        <v>0.0</v>
      </c>
      <c r="P194" s="8" t="s">
        <v>216</v>
      </c>
      <c r="Q194" s="11">
        <v>0.0</v>
      </c>
      <c r="S194" s="8" t="s">
        <v>272</v>
      </c>
      <c r="T194" s="11">
        <v>0.2</v>
      </c>
    </row>
    <row r="195">
      <c r="A195" s="8" t="s">
        <v>156</v>
      </c>
      <c r="B195" s="11">
        <v>0.0</v>
      </c>
      <c r="D195" s="8" t="s">
        <v>293</v>
      </c>
      <c r="E195" s="11">
        <v>0.0</v>
      </c>
      <c r="G195" s="8" t="s">
        <v>156</v>
      </c>
      <c r="H195" s="11">
        <v>0.0</v>
      </c>
      <c r="J195" s="8" t="s">
        <v>193</v>
      </c>
      <c r="K195" s="11">
        <v>0.0</v>
      </c>
      <c r="M195" s="8" t="s">
        <v>211</v>
      </c>
      <c r="N195" s="11">
        <v>0.0</v>
      </c>
      <c r="P195" s="8" t="s">
        <v>293</v>
      </c>
      <c r="Q195" s="11">
        <v>0.0</v>
      </c>
      <c r="S195" s="8" t="s">
        <v>277</v>
      </c>
      <c r="T195" s="11">
        <v>0.2</v>
      </c>
    </row>
    <row r="196">
      <c r="A196" s="8" t="s">
        <v>250</v>
      </c>
      <c r="B196" s="11">
        <v>0.0</v>
      </c>
      <c r="D196" s="8" t="s">
        <v>294</v>
      </c>
      <c r="E196" s="11">
        <v>0.0</v>
      </c>
      <c r="G196" s="8" t="s">
        <v>292</v>
      </c>
      <c r="H196" s="11">
        <v>0.0</v>
      </c>
      <c r="J196" s="8" t="s">
        <v>263</v>
      </c>
      <c r="K196" s="11">
        <v>0.0</v>
      </c>
      <c r="M196" s="8" t="s">
        <v>220</v>
      </c>
      <c r="N196" s="11">
        <v>0.0</v>
      </c>
      <c r="P196" s="8" t="s">
        <v>137</v>
      </c>
      <c r="Q196" s="11">
        <v>0.0</v>
      </c>
      <c r="S196" s="8" t="s">
        <v>260</v>
      </c>
      <c r="T196" s="11">
        <v>0.2</v>
      </c>
    </row>
    <row r="197">
      <c r="A197" s="8" t="s">
        <v>293</v>
      </c>
      <c r="B197" s="11">
        <v>0.0</v>
      </c>
      <c r="D197" s="8" t="s">
        <v>240</v>
      </c>
      <c r="E197" s="11">
        <v>0.0</v>
      </c>
      <c r="G197" s="8" t="s">
        <v>262</v>
      </c>
      <c r="H197" s="11">
        <v>0.0</v>
      </c>
      <c r="J197" s="8" t="s">
        <v>291</v>
      </c>
      <c r="K197" s="11">
        <v>0.0</v>
      </c>
      <c r="M197" s="8" t="s">
        <v>235</v>
      </c>
      <c r="N197" s="11">
        <v>0.0</v>
      </c>
      <c r="P197" s="8" t="s">
        <v>294</v>
      </c>
      <c r="Q197" s="11">
        <v>0.0</v>
      </c>
      <c r="S197" s="8" t="s">
        <v>271</v>
      </c>
      <c r="T197" s="11">
        <v>0.2</v>
      </c>
    </row>
    <row r="198">
      <c r="A198" s="8" t="s">
        <v>141</v>
      </c>
      <c r="B198" s="11">
        <v>0.0</v>
      </c>
      <c r="D198" s="8" t="s">
        <v>107</v>
      </c>
      <c r="E198" s="11">
        <v>0.0</v>
      </c>
      <c r="G198" s="8" t="s">
        <v>293</v>
      </c>
      <c r="H198" s="11">
        <v>0.0</v>
      </c>
      <c r="J198" s="8" t="s">
        <v>260</v>
      </c>
      <c r="K198" s="11">
        <v>0.0</v>
      </c>
      <c r="M198" s="8" t="s">
        <v>292</v>
      </c>
      <c r="N198" s="11">
        <v>0.0</v>
      </c>
      <c r="P198" s="8" t="s">
        <v>227</v>
      </c>
      <c r="Q198" s="11">
        <v>0.0</v>
      </c>
      <c r="S198" s="8" t="s">
        <v>273</v>
      </c>
      <c r="T198" s="11">
        <v>0.2</v>
      </c>
    </row>
    <row r="199">
      <c r="A199" s="8" t="s">
        <v>294</v>
      </c>
      <c r="B199" s="11">
        <v>0.0</v>
      </c>
      <c r="D199" s="8" t="s">
        <v>264</v>
      </c>
      <c r="E199" s="11">
        <v>0.0</v>
      </c>
      <c r="G199" s="8" t="s">
        <v>141</v>
      </c>
      <c r="H199" s="11">
        <v>0.0</v>
      </c>
      <c r="J199" s="8" t="s">
        <v>220</v>
      </c>
      <c r="K199" s="11">
        <v>0.0</v>
      </c>
      <c r="M199" s="8" t="s">
        <v>250</v>
      </c>
      <c r="N199" s="11">
        <v>0.0</v>
      </c>
      <c r="P199" s="8" t="s">
        <v>240</v>
      </c>
      <c r="Q199" s="11">
        <v>0.0</v>
      </c>
      <c r="S199" s="8" t="s">
        <v>266</v>
      </c>
      <c r="T199" s="11">
        <v>0.2</v>
      </c>
    </row>
    <row r="200">
      <c r="A200" s="8" t="s">
        <v>240</v>
      </c>
      <c r="B200" s="11">
        <v>0.0</v>
      </c>
      <c r="D200" s="8" t="s">
        <v>163</v>
      </c>
      <c r="E200" s="11">
        <v>0.0</v>
      </c>
      <c r="G200" s="8" t="s">
        <v>294</v>
      </c>
      <c r="H200" s="11">
        <v>0.0</v>
      </c>
      <c r="J200" s="8" t="s">
        <v>235</v>
      </c>
      <c r="K200" s="11">
        <v>0.0</v>
      </c>
      <c r="M200" s="8" t="s">
        <v>216</v>
      </c>
      <c r="N200" s="11">
        <v>0.0</v>
      </c>
      <c r="P200" s="8" t="s">
        <v>264</v>
      </c>
      <c r="Q200" s="11">
        <v>0.0</v>
      </c>
      <c r="S200" s="8" t="s">
        <v>275</v>
      </c>
      <c r="T200" s="11">
        <v>0.0</v>
      </c>
    </row>
    <row r="201">
      <c r="A201" s="8" t="s">
        <v>107</v>
      </c>
      <c r="B201" s="11">
        <v>0.0</v>
      </c>
      <c r="D201" s="8" t="s">
        <v>295</v>
      </c>
      <c r="E201" s="11">
        <v>0.0</v>
      </c>
      <c r="G201" s="8" t="s">
        <v>107</v>
      </c>
      <c r="H201" s="11">
        <v>0.0</v>
      </c>
      <c r="J201" s="8" t="s">
        <v>156</v>
      </c>
      <c r="K201" s="11">
        <v>0.0</v>
      </c>
      <c r="M201" s="8" t="s">
        <v>293</v>
      </c>
      <c r="N201" s="11">
        <v>0.0</v>
      </c>
      <c r="P201" s="8" t="s">
        <v>295</v>
      </c>
      <c r="Q201" s="11">
        <v>0.0</v>
      </c>
      <c r="S201" s="8" t="s">
        <v>276</v>
      </c>
      <c r="T201" s="11">
        <v>0.0</v>
      </c>
    </row>
    <row r="202">
      <c r="A202" s="8" t="s">
        <v>264</v>
      </c>
      <c r="B202" s="11">
        <v>0.0</v>
      </c>
      <c r="D202" s="8" t="s">
        <v>271</v>
      </c>
      <c r="E202" s="11">
        <v>0.0</v>
      </c>
      <c r="G202" s="8" t="s">
        <v>132</v>
      </c>
      <c r="H202" s="11">
        <v>0.0</v>
      </c>
      <c r="J202" s="8" t="s">
        <v>292</v>
      </c>
      <c r="K202" s="11">
        <v>0.0</v>
      </c>
      <c r="M202" s="8" t="s">
        <v>294</v>
      </c>
      <c r="N202" s="11">
        <v>0.0</v>
      </c>
      <c r="P202" s="8" t="s">
        <v>271</v>
      </c>
      <c r="Q202" s="11">
        <v>0.0</v>
      </c>
      <c r="S202" s="8" t="s">
        <v>278</v>
      </c>
      <c r="T202" s="11">
        <v>0.0</v>
      </c>
    </row>
    <row r="203">
      <c r="A203" s="8" t="s">
        <v>172</v>
      </c>
      <c r="B203" s="11">
        <v>0.0</v>
      </c>
      <c r="D203" s="8" t="s">
        <v>273</v>
      </c>
      <c r="E203" s="11">
        <v>0.0</v>
      </c>
      <c r="G203" s="8" t="s">
        <v>295</v>
      </c>
      <c r="H203" s="11">
        <v>0.0</v>
      </c>
      <c r="J203" s="8" t="s">
        <v>262</v>
      </c>
      <c r="K203" s="11">
        <v>0.0</v>
      </c>
      <c r="M203" s="8" t="s">
        <v>240</v>
      </c>
      <c r="N203" s="11">
        <v>0.0</v>
      </c>
      <c r="P203" s="8" t="s">
        <v>273</v>
      </c>
      <c r="Q203" s="11">
        <v>0.0</v>
      </c>
      <c r="S203" s="8" t="s">
        <v>279</v>
      </c>
      <c r="T203" s="11">
        <v>0.0</v>
      </c>
    </row>
    <row r="204">
      <c r="A204" s="8" t="s">
        <v>295</v>
      </c>
      <c r="B204" s="11">
        <v>0.0</v>
      </c>
      <c r="D204" s="8" t="s">
        <v>113</v>
      </c>
      <c r="E204" s="11">
        <v>0.0</v>
      </c>
      <c r="G204" s="8" t="s">
        <v>271</v>
      </c>
      <c r="H204" s="11">
        <v>0.0</v>
      </c>
      <c r="J204" s="8" t="s">
        <v>293</v>
      </c>
      <c r="K204" s="11">
        <v>0.0</v>
      </c>
      <c r="M204" s="8" t="s">
        <v>264</v>
      </c>
      <c r="N204" s="11">
        <v>0.0</v>
      </c>
      <c r="P204" s="8" t="s">
        <v>266</v>
      </c>
      <c r="Q204" s="11">
        <v>0.0</v>
      </c>
      <c r="S204" s="8" t="s">
        <v>280</v>
      </c>
      <c r="T204" s="11">
        <v>0.0</v>
      </c>
    </row>
    <row r="205">
      <c r="A205" s="8" t="s">
        <v>113</v>
      </c>
      <c r="B205" s="11">
        <v>0.0</v>
      </c>
      <c r="D205" s="8" t="s">
        <v>106</v>
      </c>
      <c r="E205" s="11">
        <v>0.0</v>
      </c>
      <c r="G205" s="8" t="s">
        <v>273</v>
      </c>
      <c r="H205" s="11">
        <v>0.0</v>
      </c>
      <c r="J205" s="8" t="s">
        <v>294</v>
      </c>
      <c r="K205" s="11">
        <v>0.0</v>
      </c>
      <c r="M205" s="8" t="s">
        <v>163</v>
      </c>
      <c r="N205" s="11">
        <v>0.0</v>
      </c>
      <c r="P205" s="8" t="s">
        <v>296</v>
      </c>
      <c r="Q205" s="11">
        <v>0.0</v>
      </c>
      <c r="S205" s="8" t="s">
        <v>281</v>
      </c>
      <c r="T205" s="11">
        <v>0.0</v>
      </c>
    </row>
    <row r="206">
      <c r="A206" s="8" t="s">
        <v>106</v>
      </c>
      <c r="B206" s="11">
        <v>0.0</v>
      </c>
      <c r="D206" s="8" t="s">
        <v>266</v>
      </c>
      <c r="E206" s="11">
        <v>0.0</v>
      </c>
      <c r="G206" s="8" t="s">
        <v>106</v>
      </c>
      <c r="H206" s="11">
        <v>0.0</v>
      </c>
      <c r="J206" s="8" t="s">
        <v>240</v>
      </c>
      <c r="K206" s="11">
        <v>0.0</v>
      </c>
      <c r="M206" s="8" t="s">
        <v>295</v>
      </c>
      <c r="N206" s="11">
        <v>0.0</v>
      </c>
      <c r="P206" s="8" t="s">
        <v>161</v>
      </c>
      <c r="Q206" s="11">
        <v>0.0</v>
      </c>
      <c r="S206" s="8" t="s">
        <v>282</v>
      </c>
      <c r="T206" s="11">
        <v>0.0</v>
      </c>
    </row>
    <row r="207">
      <c r="A207" s="8" t="s">
        <v>266</v>
      </c>
      <c r="B207" s="11">
        <v>0.0</v>
      </c>
      <c r="D207" s="8" t="s">
        <v>296</v>
      </c>
      <c r="E207" s="11">
        <v>0.0</v>
      </c>
      <c r="G207" s="8" t="s">
        <v>183</v>
      </c>
      <c r="H207" s="11">
        <v>0.0</v>
      </c>
      <c r="J207" s="8" t="s">
        <v>264</v>
      </c>
      <c r="K207" s="11">
        <v>0.0</v>
      </c>
      <c r="M207" s="8" t="s">
        <v>271</v>
      </c>
      <c r="N207" s="11">
        <v>0.0</v>
      </c>
      <c r="P207" s="8" t="s">
        <v>297</v>
      </c>
      <c r="Q207" s="11">
        <v>0.0</v>
      </c>
      <c r="S207" s="8" t="s">
        <v>283</v>
      </c>
      <c r="T207" s="11">
        <v>0.0</v>
      </c>
    </row>
    <row r="208">
      <c r="A208" s="8" t="s">
        <v>296</v>
      </c>
      <c r="B208" s="11">
        <v>0.0</v>
      </c>
      <c r="D208" s="8" t="s">
        <v>297</v>
      </c>
      <c r="E208" s="11">
        <v>0.0</v>
      </c>
      <c r="G208" s="8" t="s">
        <v>296</v>
      </c>
      <c r="H208" s="11">
        <v>0.0</v>
      </c>
      <c r="J208" s="8" t="s">
        <v>295</v>
      </c>
      <c r="K208" s="11">
        <v>0.0</v>
      </c>
      <c r="M208" s="8" t="s">
        <v>273</v>
      </c>
      <c r="N208" s="11">
        <v>0.0</v>
      </c>
      <c r="P208" s="8" t="s">
        <v>270</v>
      </c>
      <c r="Q208" s="11">
        <v>0.0</v>
      </c>
      <c r="S208" s="8" t="s">
        <v>284</v>
      </c>
      <c r="T208" s="11">
        <v>0.0</v>
      </c>
    </row>
    <row r="209">
      <c r="A209" s="8" t="s">
        <v>297</v>
      </c>
      <c r="B209" s="11">
        <v>0.0</v>
      </c>
      <c r="D209" s="8" t="s">
        <v>270</v>
      </c>
      <c r="E209" s="11">
        <v>0.0</v>
      </c>
      <c r="G209" s="8" t="s">
        <v>161</v>
      </c>
      <c r="H209" s="11">
        <v>0.0</v>
      </c>
      <c r="J209" s="8" t="s">
        <v>271</v>
      </c>
      <c r="K209" s="11">
        <v>0.0</v>
      </c>
      <c r="M209" s="8" t="s">
        <v>266</v>
      </c>
      <c r="N209" s="11">
        <v>0.0</v>
      </c>
      <c r="P209" s="8" t="s">
        <v>298</v>
      </c>
      <c r="Q209" s="11">
        <v>0.0</v>
      </c>
      <c r="S209" s="8" t="s">
        <v>285</v>
      </c>
      <c r="T209" s="11">
        <v>0.0</v>
      </c>
    </row>
    <row r="210">
      <c r="A210" s="8" t="s">
        <v>270</v>
      </c>
      <c r="B210" s="11">
        <v>0.0</v>
      </c>
      <c r="D210" s="8" t="s">
        <v>298</v>
      </c>
      <c r="E210" s="11">
        <v>0.0</v>
      </c>
      <c r="G210" s="8" t="s">
        <v>297</v>
      </c>
      <c r="H210" s="11">
        <v>0.0</v>
      </c>
      <c r="J210" s="8" t="s">
        <v>113</v>
      </c>
      <c r="K210" s="11">
        <v>0.0</v>
      </c>
      <c r="M210" s="8" t="s">
        <v>183</v>
      </c>
      <c r="N210" s="11">
        <v>0.0</v>
      </c>
      <c r="P210" s="8" t="s">
        <v>190</v>
      </c>
      <c r="Q210" s="11">
        <v>0.0</v>
      </c>
      <c r="S210" s="8" t="s">
        <v>286</v>
      </c>
      <c r="T210" s="11">
        <v>0.0</v>
      </c>
    </row>
    <row r="211">
      <c r="A211" s="8" t="s">
        <v>298</v>
      </c>
      <c r="B211" s="11">
        <v>0.0</v>
      </c>
      <c r="D211" s="8" t="s">
        <v>190</v>
      </c>
      <c r="E211" s="11">
        <v>0.0</v>
      </c>
      <c r="G211" s="8" t="s">
        <v>270</v>
      </c>
      <c r="H211" s="11">
        <v>0.0</v>
      </c>
      <c r="J211" s="8" t="s">
        <v>106</v>
      </c>
      <c r="K211" s="11">
        <v>0.0</v>
      </c>
      <c r="M211" s="8" t="s">
        <v>296</v>
      </c>
      <c r="N211" s="11">
        <v>0.0</v>
      </c>
      <c r="P211" s="8" t="s">
        <v>69</v>
      </c>
      <c r="Q211" s="11">
        <v>0.0</v>
      </c>
      <c r="S211" s="8" t="s">
        <v>287</v>
      </c>
      <c r="T211" s="11">
        <v>0.0</v>
      </c>
    </row>
    <row r="212">
      <c r="A212" s="8" t="s">
        <v>44</v>
      </c>
      <c r="B212" s="11">
        <v>0.0</v>
      </c>
      <c r="D212" s="8" t="s">
        <v>299</v>
      </c>
      <c r="E212" s="11">
        <v>0.0</v>
      </c>
      <c r="G212" s="8" t="s">
        <v>298</v>
      </c>
      <c r="H212" s="11">
        <v>0.0</v>
      </c>
      <c r="J212" s="8" t="s">
        <v>296</v>
      </c>
      <c r="K212" s="11">
        <v>0.0</v>
      </c>
      <c r="M212" s="8" t="s">
        <v>297</v>
      </c>
      <c r="N212" s="11">
        <v>0.0</v>
      </c>
      <c r="P212" s="8" t="s">
        <v>299</v>
      </c>
      <c r="Q212" s="11">
        <v>0.0</v>
      </c>
      <c r="S212" s="8" t="s">
        <v>288</v>
      </c>
      <c r="T212" s="11">
        <v>0.0</v>
      </c>
    </row>
    <row r="213">
      <c r="A213" s="8" t="s">
        <v>179</v>
      </c>
      <c r="B213" s="11">
        <v>0.0</v>
      </c>
      <c r="D213" s="8" t="s">
        <v>244</v>
      </c>
      <c r="E213" s="11">
        <v>0.0</v>
      </c>
      <c r="G213" s="8" t="s">
        <v>179</v>
      </c>
      <c r="H213" s="11">
        <v>0.0</v>
      </c>
      <c r="J213" s="8" t="s">
        <v>297</v>
      </c>
      <c r="K213" s="11">
        <v>0.0</v>
      </c>
      <c r="M213" s="8" t="s">
        <v>298</v>
      </c>
      <c r="N213" s="11">
        <v>0.0</v>
      </c>
      <c r="P213" s="8" t="s">
        <v>244</v>
      </c>
      <c r="Q213" s="11">
        <v>0.0</v>
      </c>
      <c r="S213" s="8" t="s">
        <v>289</v>
      </c>
      <c r="T213" s="11">
        <v>0.0</v>
      </c>
    </row>
    <row r="214">
      <c r="A214" s="8" t="s">
        <v>299</v>
      </c>
      <c r="B214" s="11">
        <v>0.0</v>
      </c>
      <c r="D214" s="8" t="s">
        <v>155</v>
      </c>
      <c r="E214" s="11">
        <v>0.0</v>
      </c>
      <c r="G214" s="8" t="s">
        <v>299</v>
      </c>
      <c r="H214" s="11">
        <v>0.0</v>
      </c>
      <c r="J214" s="8" t="s">
        <v>270</v>
      </c>
      <c r="K214" s="11">
        <v>0.0</v>
      </c>
      <c r="M214" s="8" t="s">
        <v>69</v>
      </c>
      <c r="N214" s="11">
        <v>0.0</v>
      </c>
      <c r="P214" s="8" t="s">
        <v>300</v>
      </c>
      <c r="Q214" s="11">
        <v>0.0</v>
      </c>
      <c r="S214" s="8" t="s">
        <v>290</v>
      </c>
      <c r="T214" s="11">
        <v>0.0</v>
      </c>
    </row>
    <row r="215">
      <c r="A215" s="8" t="s">
        <v>244</v>
      </c>
      <c r="B215" s="11">
        <v>0.0</v>
      </c>
      <c r="D215" s="8" t="s">
        <v>300</v>
      </c>
      <c r="E215" s="11">
        <v>0.0</v>
      </c>
      <c r="G215" s="8" t="s">
        <v>300</v>
      </c>
      <c r="H215" s="11">
        <v>0.0</v>
      </c>
      <c r="J215" s="8" t="s">
        <v>298</v>
      </c>
      <c r="K215" s="11">
        <v>0.0</v>
      </c>
      <c r="M215" s="8" t="s">
        <v>299</v>
      </c>
      <c r="N215" s="11">
        <v>0.0</v>
      </c>
      <c r="P215" s="8" t="s">
        <v>208</v>
      </c>
      <c r="Q215" s="11">
        <v>-0.1</v>
      </c>
      <c r="S215" s="8" t="s">
        <v>291</v>
      </c>
      <c r="T215" s="11">
        <v>0.0</v>
      </c>
    </row>
    <row r="216">
      <c r="A216" s="8" t="s">
        <v>114</v>
      </c>
      <c r="B216" s="11">
        <v>0.0</v>
      </c>
      <c r="D216" s="8" t="s">
        <v>232</v>
      </c>
      <c r="E216" s="11">
        <v>-0.1</v>
      </c>
      <c r="G216" s="8" t="s">
        <v>131</v>
      </c>
      <c r="H216" s="11">
        <v>-0.1</v>
      </c>
      <c r="J216" s="8" t="s">
        <v>299</v>
      </c>
      <c r="K216" s="11">
        <v>0.0</v>
      </c>
      <c r="M216" s="8" t="s">
        <v>244</v>
      </c>
      <c r="N216" s="11">
        <v>0.0</v>
      </c>
      <c r="P216" s="8" t="s">
        <v>51</v>
      </c>
      <c r="Q216" s="11">
        <v>-0.1</v>
      </c>
      <c r="S216" s="8" t="s">
        <v>293</v>
      </c>
      <c r="T216" s="11">
        <v>0.0</v>
      </c>
    </row>
    <row r="217">
      <c r="A217" s="8" t="s">
        <v>151</v>
      </c>
      <c r="B217" s="11">
        <v>0.0</v>
      </c>
      <c r="D217" s="8" t="s">
        <v>205</v>
      </c>
      <c r="E217" s="11">
        <v>-0.1</v>
      </c>
      <c r="G217" s="8" t="s">
        <v>97</v>
      </c>
      <c r="H217" s="11">
        <v>-0.1</v>
      </c>
      <c r="J217" s="8" t="s">
        <v>244</v>
      </c>
      <c r="K217" s="11">
        <v>0.0</v>
      </c>
      <c r="M217" s="8" t="s">
        <v>110</v>
      </c>
      <c r="N217" s="11">
        <v>0.0</v>
      </c>
      <c r="P217" s="8" t="s">
        <v>97</v>
      </c>
      <c r="Q217" s="11">
        <v>-0.1</v>
      </c>
      <c r="S217" s="8" t="s">
        <v>294</v>
      </c>
      <c r="T217" s="11">
        <v>0.0</v>
      </c>
    </row>
    <row r="218">
      <c r="A218" s="8" t="s">
        <v>155</v>
      </c>
      <c r="B218" s="11">
        <v>0.0</v>
      </c>
      <c r="D218" s="8" t="s">
        <v>248</v>
      </c>
      <c r="E218" s="11">
        <v>-0.1</v>
      </c>
      <c r="G218" s="8" t="s">
        <v>140</v>
      </c>
      <c r="H218" s="11">
        <v>-0.1</v>
      </c>
      <c r="J218" s="8" t="s">
        <v>114</v>
      </c>
      <c r="K218" s="11">
        <v>0.0</v>
      </c>
      <c r="M218" s="8" t="s">
        <v>300</v>
      </c>
      <c r="N218" s="11">
        <v>0.0</v>
      </c>
      <c r="P218" s="8" t="s">
        <v>95</v>
      </c>
      <c r="Q218" s="11">
        <v>-0.1</v>
      </c>
      <c r="S218" s="8" t="s">
        <v>295</v>
      </c>
      <c r="T218" s="11">
        <v>0.0</v>
      </c>
    </row>
    <row r="219">
      <c r="A219" s="8" t="s">
        <v>300</v>
      </c>
      <c r="B219" s="11">
        <v>0.0</v>
      </c>
      <c r="D219" s="8" t="s">
        <v>152</v>
      </c>
      <c r="E219" s="11">
        <v>-0.1</v>
      </c>
      <c r="G219" s="8" t="s">
        <v>170</v>
      </c>
      <c r="H219" s="11">
        <v>-0.1</v>
      </c>
      <c r="J219" s="8" t="s">
        <v>151</v>
      </c>
      <c r="K219" s="11">
        <v>0.0</v>
      </c>
      <c r="M219" s="8" t="s">
        <v>246</v>
      </c>
      <c r="N219" s="11">
        <v>-0.1</v>
      </c>
      <c r="P219" s="8" t="s">
        <v>223</v>
      </c>
      <c r="Q219" s="11">
        <v>-0.1</v>
      </c>
      <c r="S219" s="8" t="s">
        <v>296</v>
      </c>
      <c r="T219" s="11">
        <v>0.0</v>
      </c>
    </row>
    <row r="220">
      <c r="A220" s="8" t="s">
        <v>144</v>
      </c>
      <c r="B220" s="11">
        <v>-0.1</v>
      </c>
      <c r="D220" s="8" t="s">
        <v>207</v>
      </c>
      <c r="E220" s="11">
        <v>-0.1</v>
      </c>
      <c r="G220" s="8" t="s">
        <v>30</v>
      </c>
      <c r="H220" s="11">
        <v>-0.1</v>
      </c>
      <c r="J220" s="8" t="s">
        <v>300</v>
      </c>
      <c r="K220" s="11">
        <v>0.0</v>
      </c>
      <c r="M220" s="8" t="s">
        <v>182</v>
      </c>
      <c r="N220" s="11">
        <v>-0.1</v>
      </c>
      <c r="P220" s="8" t="s">
        <v>59</v>
      </c>
      <c r="Q220" s="11">
        <v>-0.1</v>
      </c>
      <c r="S220" s="8" t="s">
        <v>297</v>
      </c>
      <c r="T220" s="11">
        <v>0.0</v>
      </c>
    </row>
    <row r="221">
      <c r="A221" s="8" t="s">
        <v>194</v>
      </c>
      <c r="B221" s="11">
        <v>-0.1</v>
      </c>
      <c r="D221" s="8" t="s">
        <v>195</v>
      </c>
      <c r="E221" s="11">
        <v>-0.1</v>
      </c>
      <c r="G221" s="8" t="s">
        <v>207</v>
      </c>
      <c r="H221" s="11">
        <v>-0.1</v>
      </c>
      <c r="J221" s="8" t="s">
        <v>208</v>
      </c>
      <c r="K221" s="11">
        <v>-0.1</v>
      </c>
      <c r="M221" s="8" t="s">
        <v>180</v>
      </c>
      <c r="N221" s="11">
        <v>-0.1</v>
      </c>
      <c r="P221" s="8" t="s">
        <v>108</v>
      </c>
      <c r="Q221" s="11">
        <v>-0.1</v>
      </c>
      <c r="S221" s="8" t="s">
        <v>298</v>
      </c>
      <c r="T221" s="11">
        <v>0.0</v>
      </c>
    </row>
    <row r="222">
      <c r="A222" s="8" t="s">
        <v>84</v>
      </c>
      <c r="B222" s="11">
        <v>-0.1</v>
      </c>
      <c r="D222" s="8" t="s">
        <v>73</v>
      </c>
      <c r="E222" s="11">
        <v>-0.1</v>
      </c>
      <c r="G222" s="8" t="s">
        <v>180</v>
      </c>
      <c r="H222" s="11">
        <v>-0.1</v>
      </c>
      <c r="J222" s="8" t="s">
        <v>55</v>
      </c>
      <c r="K222" s="11">
        <v>-0.1</v>
      </c>
      <c r="M222" s="8" t="s">
        <v>259</v>
      </c>
      <c r="N222" s="11">
        <v>-0.1</v>
      </c>
      <c r="P222" s="8" t="s">
        <v>156</v>
      </c>
      <c r="Q222" s="11">
        <v>-0.1</v>
      </c>
      <c r="S222" s="8" t="s">
        <v>299</v>
      </c>
      <c r="T222" s="11">
        <v>0.0</v>
      </c>
    </row>
    <row r="223">
      <c r="A223" s="8" t="s">
        <v>292</v>
      </c>
      <c r="B223" s="11">
        <v>-0.1</v>
      </c>
      <c r="D223" s="8" t="s">
        <v>177</v>
      </c>
      <c r="E223" s="11">
        <v>-0.1</v>
      </c>
      <c r="G223" s="8" t="s">
        <v>110</v>
      </c>
      <c r="H223" s="11">
        <v>-0.1</v>
      </c>
      <c r="J223" s="8" t="s">
        <v>207</v>
      </c>
      <c r="K223" s="11">
        <v>-0.1</v>
      </c>
      <c r="M223" s="8" t="s">
        <v>260</v>
      </c>
      <c r="N223" s="11">
        <v>-0.1</v>
      </c>
      <c r="P223" s="8" t="s">
        <v>72</v>
      </c>
      <c r="Q223" s="11">
        <v>-0.1</v>
      </c>
      <c r="S223" s="8" t="s">
        <v>300</v>
      </c>
      <c r="T223" s="11">
        <v>0.0</v>
      </c>
    </row>
    <row r="224">
      <c r="A224" s="8" t="s">
        <v>273</v>
      </c>
      <c r="B224" s="11">
        <v>-0.1</v>
      </c>
      <c r="D224" s="8" t="s">
        <v>172</v>
      </c>
      <c r="E224" s="11">
        <v>-0.1</v>
      </c>
      <c r="G224" s="8" t="s">
        <v>151</v>
      </c>
      <c r="H224" s="11">
        <v>-0.1</v>
      </c>
      <c r="J224" s="8" t="s">
        <v>266</v>
      </c>
      <c r="K224" s="11">
        <v>-0.1</v>
      </c>
      <c r="M224" s="8" t="s">
        <v>72</v>
      </c>
      <c r="N224" s="11">
        <v>-0.1</v>
      </c>
      <c r="P224" s="8" t="s">
        <v>135</v>
      </c>
      <c r="Q224" s="11">
        <v>-0.2</v>
      </c>
      <c r="S224" s="8" t="s">
        <v>292</v>
      </c>
      <c r="T224" s="11">
        <v>-0.1</v>
      </c>
    </row>
  </sheetData>
  <mergeCells count="7">
    <mergeCell ref="A1:B1"/>
    <mergeCell ref="D1:E1"/>
    <mergeCell ref="G1:H1"/>
    <mergeCell ref="J1:K1"/>
    <mergeCell ref="M1:N1"/>
    <mergeCell ref="P1:Q1"/>
    <mergeCell ref="S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7.75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5" t="s">
        <v>5</v>
      </c>
      <c r="B2" s="5" t="s">
        <v>7</v>
      </c>
      <c r="C2" s="5">
        <v>236.0</v>
      </c>
      <c r="D2" s="5">
        <v>22.0</v>
      </c>
    </row>
    <row r="3">
      <c r="A3" s="5" t="s">
        <v>8</v>
      </c>
      <c r="B3" s="5" t="s">
        <v>9</v>
      </c>
      <c r="C3" s="5">
        <v>198.0</v>
      </c>
      <c r="D3" s="5">
        <v>46.0</v>
      </c>
    </row>
    <row r="4">
      <c r="A4" s="5" t="s">
        <v>11</v>
      </c>
      <c r="B4" s="5" t="s">
        <v>12</v>
      </c>
      <c r="C4" s="5">
        <v>78.0</v>
      </c>
      <c r="D4" s="5">
        <v>82.0</v>
      </c>
    </row>
    <row r="5">
      <c r="A5" s="5" t="s">
        <v>14</v>
      </c>
      <c r="B5" s="5" t="s">
        <v>15</v>
      </c>
      <c r="C5" s="5">
        <v>50.0</v>
      </c>
      <c r="D5" s="5">
        <v>104.0</v>
      </c>
    </row>
    <row r="6">
      <c r="A6" s="5" t="s">
        <v>16</v>
      </c>
      <c r="B6" s="5" t="s">
        <v>17</v>
      </c>
      <c r="C6" s="5">
        <v>138.0</v>
      </c>
      <c r="D6" s="5">
        <v>64.0</v>
      </c>
    </row>
    <row r="7">
      <c r="A7" s="5" t="s">
        <v>19</v>
      </c>
      <c r="B7" s="5" t="s">
        <v>20</v>
      </c>
      <c r="C7" s="5">
        <v>68.0</v>
      </c>
      <c r="D7" s="5">
        <v>194.0</v>
      </c>
    </row>
    <row r="8">
      <c r="A8" s="5" t="s">
        <v>21</v>
      </c>
      <c r="B8" s="5" t="s">
        <v>22</v>
      </c>
      <c r="C8" s="5">
        <v>160.0</v>
      </c>
      <c r="D8" s="5">
        <v>60.0</v>
      </c>
    </row>
    <row r="9">
      <c r="A9" s="5" t="s">
        <v>23</v>
      </c>
      <c r="B9" s="5" t="s">
        <v>25</v>
      </c>
      <c r="C9" s="5">
        <v>110.0</v>
      </c>
      <c r="D9" s="5">
        <v>196.0</v>
      </c>
    </row>
    <row r="10">
      <c r="A10" s="5" t="s">
        <v>27</v>
      </c>
      <c r="B10" s="5" t="s">
        <v>28</v>
      </c>
      <c r="C10" s="5">
        <v>40.0</v>
      </c>
      <c r="D10" s="5">
        <v>118.0</v>
      </c>
    </row>
    <row r="11">
      <c r="A11" s="5" t="s">
        <v>33</v>
      </c>
      <c r="B11" s="5" t="s">
        <v>34</v>
      </c>
      <c r="C11" s="5">
        <v>34.0</v>
      </c>
      <c r="D11" s="5">
        <v>170.0</v>
      </c>
    </row>
    <row r="12">
      <c r="A12" s="5" t="s">
        <v>37</v>
      </c>
      <c r="B12" s="5" t="s">
        <v>38</v>
      </c>
      <c r="C12" s="5">
        <v>132.0</v>
      </c>
      <c r="D12" s="5">
        <v>140.0</v>
      </c>
    </row>
    <row r="13">
      <c r="A13" s="5" t="s">
        <v>40</v>
      </c>
      <c r="B13" s="5" t="s">
        <v>42</v>
      </c>
      <c r="C13" s="5">
        <v>212.0</v>
      </c>
      <c r="D13" s="5">
        <v>4.0</v>
      </c>
    </row>
    <row r="14">
      <c r="A14" s="5" t="s">
        <v>45</v>
      </c>
      <c r="B14" s="5" t="s">
        <v>47</v>
      </c>
      <c r="C14" s="5">
        <v>86.0</v>
      </c>
      <c r="D14" s="5">
        <v>124.0</v>
      </c>
    </row>
    <row r="15">
      <c r="A15" s="5" t="s">
        <v>48</v>
      </c>
      <c r="B15" s="5" t="s">
        <v>50</v>
      </c>
      <c r="C15" s="5">
        <v>184.0</v>
      </c>
      <c r="D15" s="5">
        <v>16.0</v>
      </c>
    </row>
    <row r="16">
      <c r="A16" s="5" t="s">
        <v>53</v>
      </c>
      <c r="B16" s="5" t="s">
        <v>54</v>
      </c>
      <c r="C16" s="5">
        <v>16.0</v>
      </c>
      <c r="D16" s="5">
        <v>122.0</v>
      </c>
    </row>
    <row r="17">
      <c r="A17" s="5" t="s">
        <v>57</v>
      </c>
      <c r="B17" s="5" t="s">
        <v>58</v>
      </c>
      <c r="C17" s="5">
        <v>44.0</v>
      </c>
      <c r="D17" s="5">
        <v>232.0</v>
      </c>
    </row>
    <row r="18">
      <c r="A18" s="5" t="s">
        <v>60</v>
      </c>
      <c r="B18" s="5" t="s">
        <v>61</v>
      </c>
      <c r="C18" s="5">
        <v>128.0</v>
      </c>
      <c r="D18" s="5">
        <v>48.0</v>
      </c>
    </row>
    <row r="19">
      <c r="A19" s="5" t="s">
        <v>63</v>
      </c>
      <c r="B19" s="5" t="s">
        <v>64</v>
      </c>
      <c r="C19" s="5">
        <v>146.0</v>
      </c>
      <c r="D19" s="5">
        <v>30.0</v>
      </c>
    </row>
    <row r="20">
      <c r="A20" s="5" t="s">
        <v>67</v>
      </c>
      <c r="B20" s="5" t="s">
        <v>68</v>
      </c>
      <c r="C20" s="5">
        <v>138.0</v>
      </c>
      <c r="D20" s="5">
        <v>110.0</v>
      </c>
    </row>
    <row r="21">
      <c r="A21" s="5" t="s">
        <v>70</v>
      </c>
      <c r="B21" s="5" t="s">
        <v>71</v>
      </c>
      <c r="C21" s="5">
        <v>66.0</v>
      </c>
      <c r="D21" s="5">
        <v>204.0</v>
      </c>
    </row>
    <row r="22">
      <c r="A22" s="5" t="s">
        <v>74</v>
      </c>
      <c r="B22" s="5" t="s">
        <v>75</v>
      </c>
      <c r="C22" s="5">
        <v>192.0</v>
      </c>
      <c r="D22" s="5">
        <v>38.0</v>
      </c>
    </row>
    <row r="23">
      <c r="A23" s="5" t="s">
        <v>76</v>
      </c>
      <c r="B23" s="5" t="s">
        <v>78</v>
      </c>
      <c r="C23" s="5">
        <v>156.0</v>
      </c>
      <c r="D23" s="5">
        <v>56.0</v>
      </c>
    </row>
    <row r="24">
      <c r="A24" s="5" t="s">
        <v>80</v>
      </c>
      <c r="B24" s="5" t="s">
        <v>81</v>
      </c>
      <c r="C24" s="5">
        <v>26.0</v>
      </c>
      <c r="D24" s="5">
        <v>156.0</v>
      </c>
    </row>
    <row r="25">
      <c r="A25" s="5" t="s">
        <v>5</v>
      </c>
      <c r="B25" s="5" t="s">
        <v>9</v>
      </c>
      <c r="C25" s="5">
        <v>218.0</v>
      </c>
      <c r="D25" s="5">
        <v>38.0</v>
      </c>
    </row>
    <row r="26">
      <c r="A26" s="5" t="s">
        <v>11</v>
      </c>
      <c r="B26" s="5" t="s">
        <v>7</v>
      </c>
      <c r="C26" s="5">
        <v>102.0</v>
      </c>
      <c r="D26" s="5">
        <v>50.0</v>
      </c>
    </row>
    <row r="27">
      <c r="A27" s="5" t="s">
        <v>8</v>
      </c>
      <c r="B27" s="5" t="s">
        <v>12</v>
      </c>
      <c r="C27" s="5">
        <v>214.0</v>
      </c>
      <c r="D27" s="5">
        <v>58.0</v>
      </c>
    </row>
    <row r="28">
      <c r="A28" s="5" t="s">
        <v>14</v>
      </c>
      <c r="B28" s="5" t="s">
        <v>17</v>
      </c>
      <c r="C28" s="5">
        <v>34.0</v>
      </c>
      <c r="D28" s="5">
        <v>80.0</v>
      </c>
    </row>
    <row r="29">
      <c r="A29" s="5" t="s">
        <v>19</v>
      </c>
      <c r="B29" s="5" t="s">
        <v>15</v>
      </c>
      <c r="C29" s="5">
        <v>82.0</v>
      </c>
      <c r="D29" s="5">
        <v>122.0</v>
      </c>
    </row>
    <row r="30">
      <c r="A30" s="5" t="s">
        <v>16</v>
      </c>
      <c r="B30" s="5" t="s">
        <v>20</v>
      </c>
      <c r="C30" s="5">
        <v>48.0</v>
      </c>
      <c r="D30" s="5">
        <v>168.0</v>
      </c>
    </row>
    <row r="31">
      <c r="A31" s="5" t="s">
        <v>21</v>
      </c>
      <c r="B31" s="5" t="s">
        <v>25</v>
      </c>
      <c r="C31" s="5">
        <v>90.0</v>
      </c>
      <c r="D31" s="5">
        <v>174.0</v>
      </c>
    </row>
    <row r="32">
      <c r="A32" s="5" t="s">
        <v>27</v>
      </c>
      <c r="B32" s="5" t="s">
        <v>22</v>
      </c>
      <c r="C32" s="5">
        <v>36.0</v>
      </c>
      <c r="D32" s="5">
        <v>96.0</v>
      </c>
    </row>
    <row r="33">
      <c r="A33" s="5" t="s">
        <v>23</v>
      </c>
      <c r="B33" s="5" t="s">
        <v>28</v>
      </c>
      <c r="C33" s="5">
        <v>86.0</v>
      </c>
      <c r="D33" s="5">
        <v>76.0</v>
      </c>
    </row>
    <row r="34">
      <c r="A34" s="5" t="s">
        <v>92</v>
      </c>
      <c r="B34" s="5" t="s">
        <v>34</v>
      </c>
      <c r="C34" s="5">
        <v>8.0</v>
      </c>
      <c r="D34" s="5">
        <v>184.0</v>
      </c>
    </row>
    <row r="35">
      <c r="A35" s="5" t="s">
        <v>33</v>
      </c>
      <c r="B35" s="5" t="s">
        <v>38</v>
      </c>
      <c r="C35" s="5">
        <v>18.0</v>
      </c>
      <c r="D35" s="5">
        <v>210.0</v>
      </c>
    </row>
    <row r="36">
      <c r="A36" s="5" t="s">
        <v>40</v>
      </c>
      <c r="B36" s="5" t="s">
        <v>47</v>
      </c>
      <c r="C36" s="5">
        <v>146.0</v>
      </c>
      <c r="D36" s="5">
        <v>90.0</v>
      </c>
    </row>
    <row r="37">
      <c r="A37" s="5" t="s">
        <v>48</v>
      </c>
      <c r="B37" s="5" t="s">
        <v>42</v>
      </c>
      <c r="C37" s="5">
        <v>170.0</v>
      </c>
      <c r="D37" s="5">
        <v>20.0</v>
      </c>
    </row>
    <row r="38">
      <c r="A38" s="5" t="s">
        <v>45</v>
      </c>
      <c r="B38" s="5" t="s">
        <v>50</v>
      </c>
      <c r="C38" s="5">
        <v>188.0</v>
      </c>
      <c r="D38" s="5">
        <v>54.0</v>
      </c>
    </row>
    <row r="39">
      <c r="A39" s="5" t="s">
        <v>53</v>
      </c>
      <c r="B39" s="5" t="s">
        <v>58</v>
      </c>
      <c r="C39" s="5">
        <v>16.0</v>
      </c>
      <c r="D39" s="5">
        <v>202.0</v>
      </c>
    </row>
    <row r="40">
      <c r="A40" s="5" t="s">
        <v>60</v>
      </c>
      <c r="B40" s="5" t="s">
        <v>54</v>
      </c>
      <c r="C40" s="5">
        <v>150.0</v>
      </c>
      <c r="D40" s="5">
        <v>34.0</v>
      </c>
    </row>
    <row r="41">
      <c r="A41" s="5" t="s">
        <v>57</v>
      </c>
      <c r="B41" s="5" t="s">
        <v>61</v>
      </c>
      <c r="C41" s="5">
        <v>62.0</v>
      </c>
      <c r="D41" s="5">
        <v>82.0</v>
      </c>
    </row>
    <row r="42">
      <c r="A42" s="5" t="s">
        <v>63</v>
      </c>
      <c r="B42" s="5" t="s">
        <v>68</v>
      </c>
      <c r="C42" s="5">
        <v>72.0</v>
      </c>
      <c r="D42" s="5">
        <v>96.0</v>
      </c>
    </row>
    <row r="43">
      <c r="A43" s="5" t="s">
        <v>70</v>
      </c>
      <c r="B43" s="5" t="s">
        <v>64</v>
      </c>
      <c r="C43" s="5">
        <v>194.0</v>
      </c>
      <c r="D43" s="5">
        <v>26.0</v>
      </c>
    </row>
    <row r="44">
      <c r="A44" s="5" t="s">
        <v>67</v>
      </c>
      <c r="B44" s="5" t="s">
        <v>71</v>
      </c>
      <c r="C44" s="5">
        <v>102.0</v>
      </c>
      <c r="D44" s="5">
        <v>204.0</v>
      </c>
    </row>
    <row r="45">
      <c r="A45" s="5" t="s">
        <v>74</v>
      </c>
      <c r="B45" s="5" t="s">
        <v>78</v>
      </c>
      <c r="C45" s="5">
        <v>248.0</v>
      </c>
      <c r="D45" s="5">
        <v>26.0</v>
      </c>
    </row>
    <row r="46">
      <c r="A46" s="5" t="s">
        <v>80</v>
      </c>
      <c r="B46" s="5" t="s">
        <v>75</v>
      </c>
      <c r="C46" s="5">
        <v>8.0</v>
      </c>
      <c r="D46" s="5">
        <v>184.0</v>
      </c>
    </row>
    <row r="47">
      <c r="A47" s="5" t="s">
        <v>76</v>
      </c>
      <c r="B47" s="5" t="s">
        <v>81</v>
      </c>
      <c r="C47" s="5">
        <v>128.0</v>
      </c>
      <c r="D47" s="5">
        <v>90.0</v>
      </c>
    </row>
    <row r="48">
      <c r="A48" s="5" t="s">
        <v>12</v>
      </c>
      <c r="B48" s="5" t="s">
        <v>9</v>
      </c>
      <c r="C48" s="5">
        <v>36.0</v>
      </c>
      <c r="D48" s="5">
        <v>122.0</v>
      </c>
    </row>
    <row r="49">
      <c r="A49" s="5" t="s">
        <v>5</v>
      </c>
      <c r="B49" s="5" t="s">
        <v>11</v>
      </c>
      <c r="C49" s="5">
        <v>224.0</v>
      </c>
      <c r="D49" s="5">
        <v>22.0</v>
      </c>
    </row>
    <row r="50">
      <c r="A50" s="5" t="s">
        <v>8</v>
      </c>
      <c r="B50" s="5" t="s">
        <v>7</v>
      </c>
      <c r="C50" s="5">
        <v>194.0</v>
      </c>
      <c r="D50" s="5">
        <v>62.0</v>
      </c>
    </row>
    <row r="51">
      <c r="A51" s="5" t="s">
        <v>20</v>
      </c>
      <c r="B51" s="5" t="s">
        <v>17</v>
      </c>
      <c r="C51" s="5">
        <v>52.0</v>
      </c>
      <c r="D51" s="5">
        <v>70.0</v>
      </c>
    </row>
    <row r="52">
      <c r="A52" s="5" t="s">
        <v>14</v>
      </c>
      <c r="B52" s="5" t="s">
        <v>19</v>
      </c>
      <c r="C52" s="5">
        <v>12.0</v>
      </c>
      <c r="D52" s="5">
        <v>184.0</v>
      </c>
    </row>
    <row r="53">
      <c r="A53" s="5" t="s">
        <v>16</v>
      </c>
      <c r="B53" s="5" t="s">
        <v>15</v>
      </c>
      <c r="C53" s="5">
        <v>50.0</v>
      </c>
      <c r="D53" s="5">
        <v>138.0</v>
      </c>
    </row>
    <row r="54">
      <c r="A54" s="5" t="s">
        <v>28</v>
      </c>
      <c r="B54" s="5" t="s">
        <v>25</v>
      </c>
      <c r="C54" s="5">
        <v>22.0</v>
      </c>
      <c r="D54" s="5">
        <v>254.0</v>
      </c>
    </row>
    <row r="55">
      <c r="A55" s="5" t="s">
        <v>21</v>
      </c>
      <c r="B55" s="5" t="s">
        <v>27</v>
      </c>
      <c r="C55" s="5">
        <v>112.0</v>
      </c>
      <c r="D55" s="5">
        <v>48.0</v>
      </c>
    </row>
    <row r="56">
      <c r="A56" s="5" t="s">
        <v>23</v>
      </c>
      <c r="B56" s="5" t="s">
        <v>22</v>
      </c>
      <c r="C56" s="5">
        <v>108.0</v>
      </c>
      <c r="D56" s="5">
        <v>38.0</v>
      </c>
    </row>
    <row r="57">
      <c r="A57" s="5" t="s">
        <v>38</v>
      </c>
      <c r="B57" s="5" t="s">
        <v>34</v>
      </c>
      <c r="C57" s="5">
        <v>156.0</v>
      </c>
      <c r="D57" s="5">
        <v>66.0</v>
      </c>
    </row>
    <row r="58">
      <c r="A58" s="5" t="s">
        <v>92</v>
      </c>
      <c r="B58" s="5" t="s">
        <v>37</v>
      </c>
      <c r="C58" s="5">
        <v>44.0</v>
      </c>
      <c r="D58" s="5">
        <v>194.0</v>
      </c>
    </row>
    <row r="59">
      <c r="A59" s="5" t="s">
        <v>50</v>
      </c>
      <c r="B59" s="5" t="s">
        <v>47</v>
      </c>
      <c r="C59" s="5">
        <v>30.0</v>
      </c>
      <c r="D59" s="5">
        <v>136.0</v>
      </c>
    </row>
    <row r="60">
      <c r="A60" s="5" t="s">
        <v>40</v>
      </c>
      <c r="B60" s="5" t="s">
        <v>48</v>
      </c>
      <c r="C60" s="5">
        <v>90.0</v>
      </c>
      <c r="D60" s="5">
        <v>86.0</v>
      </c>
    </row>
    <row r="61">
      <c r="A61" s="5" t="s">
        <v>45</v>
      </c>
      <c r="B61" s="5" t="s">
        <v>42</v>
      </c>
      <c r="C61" s="5">
        <v>216.0</v>
      </c>
      <c r="D61" s="5">
        <v>26.0</v>
      </c>
    </row>
    <row r="62">
      <c r="A62" s="5" t="s">
        <v>61</v>
      </c>
      <c r="B62" s="5" t="s">
        <v>58</v>
      </c>
      <c r="C62" s="5">
        <v>26.0</v>
      </c>
      <c r="D62" s="5">
        <v>220.0</v>
      </c>
    </row>
    <row r="63">
      <c r="A63" s="5" t="s">
        <v>53</v>
      </c>
      <c r="B63" s="5" t="s">
        <v>60</v>
      </c>
      <c r="C63" s="5">
        <v>16.0</v>
      </c>
      <c r="D63" s="5">
        <v>164.0</v>
      </c>
    </row>
    <row r="64">
      <c r="A64" s="5" t="s">
        <v>57</v>
      </c>
      <c r="B64" s="5" t="s">
        <v>54</v>
      </c>
      <c r="C64" s="5">
        <v>106.0</v>
      </c>
      <c r="D64" s="5">
        <v>22.0</v>
      </c>
    </row>
    <row r="65">
      <c r="A65" s="5" t="s">
        <v>71</v>
      </c>
      <c r="B65" s="5" t="s">
        <v>68</v>
      </c>
      <c r="C65" s="5">
        <v>134.0</v>
      </c>
      <c r="D65" s="5">
        <v>64.0</v>
      </c>
    </row>
    <row r="66">
      <c r="A66" s="5" t="s">
        <v>63</v>
      </c>
      <c r="B66" s="5" t="s">
        <v>70</v>
      </c>
      <c r="C66" s="5">
        <v>76.0</v>
      </c>
      <c r="D66" s="5">
        <v>144.0</v>
      </c>
    </row>
    <row r="67">
      <c r="A67" s="5" t="s">
        <v>67</v>
      </c>
      <c r="B67" s="5" t="s">
        <v>64</v>
      </c>
      <c r="C67" s="5">
        <v>158.0</v>
      </c>
      <c r="D67" s="5">
        <v>68.0</v>
      </c>
    </row>
    <row r="68">
      <c r="A68" s="5" t="s">
        <v>81</v>
      </c>
      <c r="B68" s="5" t="s">
        <v>78</v>
      </c>
      <c r="C68" s="5">
        <v>190.0</v>
      </c>
      <c r="D68" s="5">
        <v>30.0</v>
      </c>
    </row>
    <row r="69">
      <c r="A69" s="5" t="s">
        <v>74</v>
      </c>
      <c r="B69" s="5" t="s">
        <v>80</v>
      </c>
      <c r="C69" s="5">
        <v>190.0</v>
      </c>
      <c r="D69" s="5">
        <v>34.0</v>
      </c>
    </row>
    <row r="70">
      <c r="A70" s="5" t="s">
        <v>76</v>
      </c>
      <c r="B70" s="5" t="s">
        <v>75</v>
      </c>
      <c r="C70" s="5">
        <v>94.0</v>
      </c>
      <c r="D70" s="5">
        <v>86.0</v>
      </c>
    </row>
    <row r="71">
      <c r="A71" s="5" t="s">
        <v>8</v>
      </c>
      <c r="B71" s="5" t="s">
        <v>11</v>
      </c>
      <c r="C71" s="5">
        <v>212.0</v>
      </c>
      <c r="D71" s="5">
        <v>46.0</v>
      </c>
    </row>
    <row r="72">
      <c r="A72" s="5" t="s">
        <v>5</v>
      </c>
      <c r="B72" s="5" t="s">
        <v>12</v>
      </c>
      <c r="C72" s="5">
        <v>136.0</v>
      </c>
      <c r="D72" s="5">
        <v>56.0</v>
      </c>
    </row>
    <row r="73">
      <c r="A73" s="5" t="s">
        <v>9</v>
      </c>
      <c r="B73" s="5" t="s">
        <v>7</v>
      </c>
      <c r="C73" s="5">
        <v>74.0</v>
      </c>
      <c r="D73" s="5">
        <v>42.0</v>
      </c>
    </row>
    <row r="74">
      <c r="A74" s="5" t="s">
        <v>16</v>
      </c>
      <c r="B74" s="5" t="s">
        <v>19</v>
      </c>
      <c r="C74" s="5">
        <v>56.0</v>
      </c>
      <c r="D74" s="5">
        <v>66.0</v>
      </c>
    </row>
    <row r="75">
      <c r="A75" s="5" t="s">
        <v>14</v>
      </c>
      <c r="B75" s="5" t="s">
        <v>20</v>
      </c>
      <c r="C75" s="5">
        <v>24.0</v>
      </c>
      <c r="D75" s="5">
        <v>164.0</v>
      </c>
    </row>
    <row r="76">
      <c r="A76" s="5" t="s">
        <v>17</v>
      </c>
      <c r="B76" s="5" t="s">
        <v>15</v>
      </c>
      <c r="C76" s="5">
        <v>70.0</v>
      </c>
      <c r="D76" s="5">
        <v>78.0</v>
      </c>
    </row>
    <row r="77">
      <c r="A77" s="5" t="s">
        <v>23</v>
      </c>
      <c r="B77" s="5" t="s">
        <v>27</v>
      </c>
      <c r="C77" s="5">
        <v>120.0</v>
      </c>
      <c r="D77" s="5">
        <v>34.0</v>
      </c>
    </row>
    <row r="78">
      <c r="A78" s="5" t="s">
        <v>21</v>
      </c>
      <c r="B78" s="5" t="s">
        <v>28</v>
      </c>
      <c r="C78" s="5">
        <v>40.0</v>
      </c>
      <c r="D78" s="5">
        <v>118.0</v>
      </c>
    </row>
    <row r="79">
      <c r="A79" s="5" t="s">
        <v>25</v>
      </c>
      <c r="B79" s="5" t="s">
        <v>22</v>
      </c>
      <c r="C79" s="5">
        <v>156.0</v>
      </c>
      <c r="D79" s="5">
        <v>56.0</v>
      </c>
    </row>
    <row r="80">
      <c r="A80" s="5" t="s">
        <v>33</v>
      </c>
      <c r="B80" s="5" t="s">
        <v>37</v>
      </c>
      <c r="C80" s="5">
        <v>8.0</v>
      </c>
      <c r="D80" s="5">
        <v>160.0</v>
      </c>
    </row>
    <row r="81">
      <c r="A81" s="5" t="s">
        <v>92</v>
      </c>
      <c r="B81" s="5" t="s">
        <v>38</v>
      </c>
      <c r="C81" s="5">
        <v>24.0</v>
      </c>
      <c r="D81" s="5">
        <v>166.0</v>
      </c>
    </row>
    <row r="82">
      <c r="A82" s="5" t="s">
        <v>45</v>
      </c>
      <c r="B82" s="5" t="s">
        <v>48</v>
      </c>
      <c r="C82" s="5">
        <v>114.0</v>
      </c>
      <c r="D82" s="5">
        <v>126.0</v>
      </c>
    </row>
    <row r="83">
      <c r="A83" s="5" t="s">
        <v>40</v>
      </c>
      <c r="B83" s="5" t="s">
        <v>50</v>
      </c>
      <c r="C83" s="5">
        <v>102.0</v>
      </c>
      <c r="D83" s="5">
        <v>46.0</v>
      </c>
    </row>
    <row r="84">
      <c r="A84" s="5" t="s">
        <v>47</v>
      </c>
      <c r="B84" s="5" t="s">
        <v>42</v>
      </c>
      <c r="C84" s="5">
        <v>112.0</v>
      </c>
      <c r="D84" s="5">
        <v>30.0</v>
      </c>
    </row>
    <row r="85">
      <c r="A85" s="5" t="s">
        <v>57</v>
      </c>
      <c r="B85" s="5" t="s">
        <v>60</v>
      </c>
      <c r="C85" s="5">
        <v>72.0</v>
      </c>
      <c r="D85" s="5">
        <v>96.0</v>
      </c>
    </row>
    <row r="86">
      <c r="A86" s="5" t="s">
        <v>53</v>
      </c>
      <c r="B86" s="5" t="s">
        <v>61</v>
      </c>
      <c r="C86" s="5">
        <v>22.0</v>
      </c>
      <c r="D86" s="5">
        <v>88.0</v>
      </c>
    </row>
    <row r="87">
      <c r="A87" s="5" t="s">
        <v>58</v>
      </c>
      <c r="B87" s="5" t="s">
        <v>54</v>
      </c>
      <c r="C87" s="5">
        <v>188.0</v>
      </c>
      <c r="D87" s="5">
        <v>12.0</v>
      </c>
    </row>
    <row r="88">
      <c r="A88" s="5" t="s">
        <v>67</v>
      </c>
      <c r="B88" s="5" t="s">
        <v>70</v>
      </c>
      <c r="C88" s="5">
        <v>90.0</v>
      </c>
      <c r="D88" s="5">
        <v>114.0</v>
      </c>
    </row>
    <row r="89">
      <c r="A89" s="5" t="s">
        <v>63</v>
      </c>
      <c r="B89" s="5" t="s">
        <v>71</v>
      </c>
      <c r="C89" s="5">
        <v>60.0</v>
      </c>
      <c r="D89" s="5">
        <v>174.0</v>
      </c>
    </row>
    <row r="90">
      <c r="A90" s="5" t="s">
        <v>68</v>
      </c>
      <c r="B90" s="5" t="s">
        <v>64</v>
      </c>
      <c r="C90" s="5">
        <v>178.0</v>
      </c>
      <c r="D90" s="5">
        <v>44.0</v>
      </c>
    </row>
    <row r="91">
      <c r="A91" s="5" t="s">
        <v>76</v>
      </c>
      <c r="B91" s="5" t="s">
        <v>80</v>
      </c>
      <c r="C91" s="5">
        <v>142.0</v>
      </c>
      <c r="D91" s="5">
        <v>24.0</v>
      </c>
    </row>
    <row r="92">
      <c r="A92" s="5" t="s">
        <v>74</v>
      </c>
      <c r="B92" s="5" t="s">
        <v>81</v>
      </c>
      <c r="C92" s="5">
        <v>128.0</v>
      </c>
      <c r="D92" s="5">
        <v>120.0</v>
      </c>
    </row>
    <row r="93">
      <c r="A93" s="5" t="s">
        <v>78</v>
      </c>
      <c r="B93" s="5" t="s">
        <v>75</v>
      </c>
      <c r="C93" s="5">
        <v>38.0</v>
      </c>
      <c r="D93" s="5">
        <v>166.0</v>
      </c>
    </row>
    <row r="94">
      <c r="A94" s="5" t="s">
        <v>11</v>
      </c>
      <c r="B94" s="5" t="s">
        <v>9</v>
      </c>
      <c r="C94" s="5">
        <v>100.0</v>
      </c>
      <c r="D94" s="5">
        <v>62.0</v>
      </c>
    </row>
    <row r="95">
      <c r="A95" s="5" t="s">
        <v>12</v>
      </c>
      <c r="B95" s="5" t="s">
        <v>7</v>
      </c>
      <c r="C95" s="5">
        <v>42.0</v>
      </c>
      <c r="D95" s="5">
        <v>76.0</v>
      </c>
    </row>
    <row r="96">
      <c r="A96" s="5" t="s">
        <v>5</v>
      </c>
      <c r="B96" s="5" t="s">
        <v>8</v>
      </c>
      <c r="C96" s="5">
        <v>144.0</v>
      </c>
      <c r="D96" s="5">
        <v>122.0</v>
      </c>
    </row>
    <row r="97">
      <c r="A97" s="5" t="s">
        <v>19</v>
      </c>
      <c r="B97" s="5" t="s">
        <v>17</v>
      </c>
      <c r="C97" s="5">
        <v>68.0</v>
      </c>
      <c r="D97" s="5">
        <v>80.0</v>
      </c>
    </row>
    <row r="98">
      <c r="A98" s="5" t="s">
        <v>20</v>
      </c>
      <c r="B98" s="5" t="s">
        <v>15</v>
      </c>
      <c r="C98" s="5">
        <v>142.0</v>
      </c>
      <c r="D98" s="5">
        <v>44.0</v>
      </c>
    </row>
    <row r="99">
      <c r="A99" s="5" t="s">
        <v>14</v>
      </c>
      <c r="B99" s="5" t="s">
        <v>16</v>
      </c>
      <c r="C99" s="5">
        <v>54.0</v>
      </c>
      <c r="D99" s="5">
        <v>40.0</v>
      </c>
    </row>
    <row r="100">
      <c r="A100" s="5" t="s">
        <v>27</v>
      </c>
      <c r="B100" s="5" t="s">
        <v>25</v>
      </c>
      <c r="C100" s="5">
        <v>60.0</v>
      </c>
      <c r="D100" s="5">
        <v>172.0</v>
      </c>
    </row>
    <row r="101">
      <c r="A101" s="5" t="s">
        <v>28</v>
      </c>
      <c r="B101" s="5" t="s">
        <v>22</v>
      </c>
      <c r="C101" s="5">
        <v>136.0</v>
      </c>
      <c r="D101" s="5">
        <v>66.0</v>
      </c>
    </row>
    <row r="102">
      <c r="A102" s="5" t="s">
        <v>21</v>
      </c>
      <c r="B102" s="5" t="s">
        <v>23</v>
      </c>
      <c r="C102" s="5">
        <v>64.0</v>
      </c>
      <c r="D102" s="5">
        <v>102.0</v>
      </c>
    </row>
    <row r="103">
      <c r="A103" s="5" t="s">
        <v>37</v>
      </c>
      <c r="B103" s="5" t="s">
        <v>34</v>
      </c>
      <c r="C103" s="5">
        <v>202.0</v>
      </c>
      <c r="D103" s="5">
        <v>12.0</v>
      </c>
    </row>
    <row r="104">
      <c r="A104" s="5" t="s">
        <v>92</v>
      </c>
      <c r="B104" s="5" t="s">
        <v>33</v>
      </c>
      <c r="C104" s="5">
        <v>46.0</v>
      </c>
      <c r="D104" s="5">
        <v>94.0</v>
      </c>
    </row>
    <row r="105">
      <c r="A105" s="5" t="s">
        <v>48</v>
      </c>
      <c r="B105" s="5" t="s">
        <v>47</v>
      </c>
      <c r="C105" s="5">
        <v>74.0</v>
      </c>
      <c r="D105" s="5">
        <v>100.0</v>
      </c>
    </row>
    <row r="106">
      <c r="A106" s="5" t="s">
        <v>50</v>
      </c>
      <c r="B106" s="5" t="s">
        <v>42</v>
      </c>
      <c r="C106" s="5">
        <v>40.0</v>
      </c>
      <c r="D106" s="5">
        <v>48.0</v>
      </c>
    </row>
    <row r="107">
      <c r="A107" s="5" t="s">
        <v>40</v>
      </c>
      <c r="B107" s="5" t="s">
        <v>45</v>
      </c>
      <c r="C107" s="5">
        <v>76.0</v>
      </c>
      <c r="D107" s="5">
        <v>174.0</v>
      </c>
    </row>
    <row r="108">
      <c r="A108" s="5" t="s">
        <v>60</v>
      </c>
      <c r="B108" s="5" t="s">
        <v>58</v>
      </c>
      <c r="C108" s="5">
        <v>70.0</v>
      </c>
      <c r="D108" s="5">
        <v>202.0</v>
      </c>
    </row>
    <row r="109">
      <c r="A109" s="5" t="s">
        <v>61</v>
      </c>
      <c r="B109" s="5" t="s">
        <v>54</v>
      </c>
      <c r="C109" s="5">
        <v>76.0</v>
      </c>
      <c r="D109" s="5">
        <v>108.0</v>
      </c>
    </row>
    <row r="110">
      <c r="A110" s="5" t="s">
        <v>53</v>
      </c>
      <c r="B110" s="5" t="s">
        <v>57</v>
      </c>
      <c r="C110" s="5">
        <v>12.0</v>
      </c>
      <c r="D110" s="5">
        <v>92.0</v>
      </c>
    </row>
    <row r="111">
      <c r="A111" s="5" t="s">
        <v>70</v>
      </c>
      <c r="B111" s="5" t="s">
        <v>68</v>
      </c>
      <c r="C111" s="5">
        <v>218.0</v>
      </c>
      <c r="D111" s="5">
        <v>32.0</v>
      </c>
    </row>
    <row r="112">
      <c r="A112" s="5" t="s">
        <v>71</v>
      </c>
      <c r="B112" s="5" t="s">
        <v>64</v>
      </c>
      <c r="C112" s="5">
        <v>148.0</v>
      </c>
      <c r="D112" s="5">
        <v>90.0</v>
      </c>
    </row>
    <row r="113">
      <c r="A113" s="5" t="s">
        <v>63</v>
      </c>
      <c r="B113" s="5" t="s">
        <v>67</v>
      </c>
      <c r="C113" s="5">
        <v>56.0</v>
      </c>
      <c r="D113" s="5">
        <v>150.0</v>
      </c>
    </row>
    <row r="114">
      <c r="A114" s="5" t="s">
        <v>80</v>
      </c>
      <c r="B114" s="5" t="s">
        <v>78</v>
      </c>
      <c r="C114" s="5">
        <v>12.0</v>
      </c>
      <c r="D114" s="5">
        <v>56.0</v>
      </c>
    </row>
    <row r="115">
      <c r="A115" s="5" t="s">
        <v>81</v>
      </c>
      <c r="B115" s="5" t="s">
        <v>75</v>
      </c>
      <c r="C115" s="5">
        <v>68.0</v>
      </c>
      <c r="D115" s="5">
        <v>180.0</v>
      </c>
    </row>
    <row r="116">
      <c r="A116" s="5" t="s">
        <v>74</v>
      </c>
      <c r="B116" s="5" t="s">
        <v>76</v>
      </c>
      <c r="C116" s="5">
        <v>230.0</v>
      </c>
      <c r="D116" s="5">
        <v>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7.88"/>
    <col customWidth="1" min="2" max="4" width="14.5"/>
    <col customWidth="1" min="5" max="119" width="6.5"/>
    <col customWidth="1" min="120" max="120" width="150.13"/>
  </cols>
  <sheetData>
    <row r="1">
      <c r="A1" s="6" t="s">
        <v>26</v>
      </c>
      <c r="B1" s="7"/>
      <c r="C1" s="9"/>
      <c r="D1" s="10"/>
      <c r="E1" s="7" t="s">
        <v>31</v>
      </c>
      <c r="H1" s="7" t="s">
        <v>36</v>
      </c>
      <c r="L1" s="7" t="s">
        <v>39</v>
      </c>
      <c r="N1" s="7" t="s">
        <v>43</v>
      </c>
      <c r="R1" s="7"/>
      <c r="S1" s="7"/>
      <c r="T1" s="7"/>
      <c r="U1" s="7"/>
      <c r="V1" s="7"/>
      <c r="W1" s="7"/>
      <c r="X1" s="7"/>
      <c r="Y1" s="7"/>
      <c r="Z1" s="7"/>
      <c r="AA1" s="10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10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10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10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10"/>
      <c r="DP1" s="7"/>
    </row>
    <row r="2">
      <c r="A2" s="6" t="s">
        <v>94</v>
      </c>
      <c r="B2" s="7"/>
      <c r="C2" s="9"/>
      <c r="D2" s="10"/>
      <c r="E2" s="7">
        <v>1.0</v>
      </c>
      <c r="F2" s="7">
        <v>1.0</v>
      </c>
      <c r="G2" s="7">
        <v>1.0</v>
      </c>
      <c r="H2" s="7">
        <v>1.0</v>
      </c>
      <c r="I2" s="7">
        <v>1.0</v>
      </c>
      <c r="J2" s="7">
        <v>1.0</v>
      </c>
      <c r="K2" s="7">
        <v>1.0</v>
      </c>
      <c r="L2" s="7">
        <v>1.0</v>
      </c>
      <c r="M2" s="7">
        <v>1.0</v>
      </c>
      <c r="N2" s="7">
        <v>1.0</v>
      </c>
      <c r="O2" s="7">
        <v>1.0</v>
      </c>
      <c r="P2" s="7">
        <v>1.0</v>
      </c>
      <c r="Q2" s="7">
        <v>1.0</v>
      </c>
      <c r="R2" s="7">
        <v>1.0</v>
      </c>
      <c r="S2" s="7">
        <v>1.0</v>
      </c>
      <c r="T2" s="7">
        <v>1.0</v>
      </c>
      <c r="U2" s="7">
        <v>1.0</v>
      </c>
      <c r="V2" s="7">
        <v>1.0</v>
      </c>
      <c r="W2" s="7">
        <v>1.0</v>
      </c>
      <c r="X2" s="7">
        <v>1.0</v>
      </c>
      <c r="Y2" s="7">
        <v>1.0</v>
      </c>
      <c r="Z2" s="7">
        <v>1.0</v>
      </c>
      <c r="AA2" s="10">
        <v>1.0</v>
      </c>
      <c r="AB2" s="7">
        <v>2.0</v>
      </c>
      <c r="AC2" s="7">
        <v>2.0</v>
      </c>
      <c r="AD2" s="7">
        <v>2.0</v>
      </c>
      <c r="AE2" s="7">
        <v>2.0</v>
      </c>
      <c r="AF2" s="7">
        <v>2.0</v>
      </c>
      <c r="AG2" s="7">
        <v>2.0</v>
      </c>
      <c r="AH2" s="7">
        <v>2.0</v>
      </c>
      <c r="AI2" s="7">
        <v>2.0</v>
      </c>
      <c r="AJ2" s="7">
        <v>2.0</v>
      </c>
      <c r="AK2" s="7">
        <v>2.0</v>
      </c>
      <c r="AL2" s="7">
        <v>2.0</v>
      </c>
      <c r="AM2" s="7">
        <v>2.0</v>
      </c>
      <c r="AN2" s="7">
        <v>2.0</v>
      </c>
      <c r="AO2" s="7">
        <v>2.0</v>
      </c>
      <c r="AP2" s="7">
        <v>2.0</v>
      </c>
      <c r="AQ2" s="7">
        <v>2.0</v>
      </c>
      <c r="AR2" s="7">
        <v>2.0</v>
      </c>
      <c r="AS2" s="7">
        <v>2.0</v>
      </c>
      <c r="AT2" s="7">
        <v>2.0</v>
      </c>
      <c r="AU2" s="7">
        <v>2.0</v>
      </c>
      <c r="AV2" s="7">
        <v>2.0</v>
      </c>
      <c r="AW2" s="7">
        <v>2.0</v>
      </c>
      <c r="AX2" s="10">
        <v>2.0</v>
      </c>
      <c r="AY2" s="7">
        <v>3.0</v>
      </c>
      <c r="AZ2" s="7">
        <v>3.0</v>
      </c>
      <c r="BA2" s="7">
        <v>3.0</v>
      </c>
      <c r="BB2" s="7">
        <v>3.0</v>
      </c>
      <c r="BC2" s="7">
        <v>3.0</v>
      </c>
      <c r="BD2" s="7">
        <v>3.0</v>
      </c>
      <c r="BE2" s="7">
        <v>3.0</v>
      </c>
      <c r="BF2" s="7">
        <v>3.0</v>
      </c>
      <c r="BG2" s="7">
        <v>3.0</v>
      </c>
      <c r="BH2" s="7">
        <v>3.0</v>
      </c>
      <c r="BI2" s="7">
        <v>3.0</v>
      </c>
      <c r="BJ2" s="7">
        <v>3.0</v>
      </c>
      <c r="BK2" s="7">
        <v>3.0</v>
      </c>
      <c r="BL2" s="7">
        <v>3.0</v>
      </c>
      <c r="BM2" s="7">
        <v>3.0</v>
      </c>
      <c r="BN2" s="7">
        <v>3.0</v>
      </c>
      <c r="BO2" s="7">
        <v>3.0</v>
      </c>
      <c r="BP2" s="7">
        <v>3.0</v>
      </c>
      <c r="BQ2" s="7">
        <v>3.0</v>
      </c>
      <c r="BR2" s="7">
        <v>3.0</v>
      </c>
      <c r="BS2" s="7">
        <v>3.0</v>
      </c>
      <c r="BT2" s="7">
        <v>3.0</v>
      </c>
      <c r="BU2" s="10">
        <v>3.0</v>
      </c>
      <c r="BV2" s="7">
        <v>4.0</v>
      </c>
      <c r="BW2" s="7">
        <v>4.0</v>
      </c>
      <c r="BX2" s="7">
        <v>4.0</v>
      </c>
      <c r="BY2" s="7">
        <v>4.0</v>
      </c>
      <c r="BZ2" s="7">
        <v>4.0</v>
      </c>
      <c r="CA2" s="7">
        <v>4.0</v>
      </c>
      <c r="CB2" s="7">
        <v>4.0</v>
      </c>
      <c r="CC2" s="7">
        <v>4.0</v>
      </c>
      <c r="CD2" s="7">
        <v>4.0</v>
      </c>
      <c r="CE2" s="7">
        <v>4.0</v>
      </c>
      <c r="CF2" s="7">
        <v>4.0</v>
      </c>
      <c r="CG2" s="7">
        <v>4.0</v>
      </c>
      <c r="CH2" s="7">
        <v>4.0</v>
      </c>
      <c r="CI2" s="7">
        <v>4.0</v>
      </c>
      <c r="CJ2" s="7">
        <v>4.0</v>
      </c>
      <c r="CK2" s="7">
        <v>4.0</v>
      </c>
      <c r="CL2" s="7">
        <v>4.0</v>
      </c>
      <c r="CM2" s="7">
        <v>4.0</v>
      </c>
      <c r="CN2" s="7">
        <v>4.0</v>
      </c>
      <c r="CO2" s="7">
        <v>4.0</v>
      </c>
      <c r="CP2" s="7">
        <v>4.0</v>
      </c>
      <c r="CQ2" s="7">
        <v>4.0</v>
      </c>
      <c r="CR2" s="10">
        <v>4.0</v>
      </c>
      <c r="CS2" s="7">
        <v>5.0</v>
      </c>
      <c r="CT2" s="7">
        <v>5.0</v>
      </c>
      <c r="CU2" s="7">
        <v>5.0</v>
      </c>
      <c r="CV2" s="7">
        <v>5.0</v>
      </c>
      <c r="CW2" s="7">
        <v>5.0</v>
      </c>
      <c r="CX2" s="7">
        <v>5.0</v>
      </c>
      <c r="CY2" s="7">
        <v>5.0</v>
      </c>
      <c r="CZ2" s="7">
        <v>5.0</v>
      </c>
      <c r="DA2" s="7">
        <v>5.0</v>
      </c>
      <c r="DB2" s="7">
        <v>5.0</v>
      </c>
      <c r="DC2" s="7">
        <v>5.0</v>
      </c>
      <c r="DD2" s="7">
        <v>5.0</v>
      </c>
      <c r="DE2" s="7">
        <v>5.0</v>
      </c>
      <c r="DF2" s="7">
        <v>5.0</v>
      </c>
      <c r="DG2" s="7">
        <v>5.0</v>
      </c>
      <c r="DH2" s="7">
        <v>5.0</v>
      </c>
      <c r="DI2" s="7">
        <v>5.0</v>
      </c>
      <c r="DJ2" s="7">
        <v>5.0</v>
      </c>
      <c r="DK2" s="7">
        <v>5.0</v>
      </c>
      <c r="DL2" s="7">
        <v>5.0</v>
      </c>
      <c r="DM2" s="7">
        <v>5.0</v>
      </c>
      <c r="DN2" s="7">
        <v>5.0</v>
      </c>
      <c r="DO2" s="10">
        <v>5.0</v>
      </c>
      <c r="DP2" s="7"/>
    </row>
    <row r="3">
      <c r="A3" s="6" t="s">
        <v>123</v>
      </c>
      <c r="B3" s="7"/>
      <c r="C3" s="9"/>
      <c r="D3" s="10"/>
      <c r="E3" s="7" t="s">
        <v>124</v>
      </c>
      <c r="F3" s="7" t="s">
        <v>125</v>
      </c>
      <c r="G3" s="7" t="s">
        <v>126</v>
      </c>
      <c r="H3" s="7" t="s">
        <v>127</v>
      </c>
      <c r="I3" s="7" t="s">
        <v>128</v>
      </c>
      <c r="J3" s="7" t="s">
        <v>129</v>
      </c>
      <c r="K3" s="7" t="s">
        <v>125</v>
      </c>
      <c r="L3" s="7" t="s">
        <v>128</v>
      </c>
      <c r="M3" s="7" t="s">
        <v>127</v>
      </c>
      <c r="N3" s="7" t="s">
        <v>124</v>
      </c>
      <c r="O3" s="7" t="s">
        <v>129</v>
      </c>
      <c r="P3" s="7" t="s">
        <v>126</v>
      </c>
      <c r="Q3" s="7" t="s">
        <v>126</v>
      </c>
      <c r="R3" s="7" t="s">
        <v>125</v>
      </c>
      <c r="S3" s="7" t="s">
        <v>127</v>
      </c>
      <c r="T3" s="7" t="s">
        <v>128</v>
      </c>
      <c r="U3" s="7" t="s">
        <v>124</v>
      </c>
      <c r="V3" s="7" t="s">
        <v>129</v>
      </c>
      <c r="W3" s="7" t="s">
        <v>125</v>
      </c>
      <c r="X3" s="7" t="s">
        <v>129</v>
      </c>
      <c r="Y3" s="7" t="s">
        <v>128</v>
      </c>
      <c r="Z3" s="7" t="s">
        <v>124</v>
      </c>
      <c r="AA3" s="10" t="s">
        <v>127</v>
      </c>
      <c r="AB3" s="7" t="s">
        <v>128</v>
      </c>
      <c r="AC3" s="7" t="s">
        <v>125</v>
      </c>
      <c r="AD3" s="7" t="s">
        <v>129</v>
      </c>
      <c r="AE3" s="7" t="s">
        <v>124</v>
      </c>
      <c r="AF3" s="7" t="s">
        <v>127</v>
      </c>
      <c r="AG3" s="7" t="s">
        <v>126</v>
      </c>
      <c r="AH3" s="7" t="s">
        <v>129</v>
      </c>
      <c r="AI3" s="7" t="s">
        <v>127</v>
      </c>
      <c r="AJ3" s="7" t="s">
        <v>124</v>
      </c>
      <c r="AK3" s="7" t="s">
        <v>126</v>
      </c>
      <c r="AL3" s="7" t="s">
        <v>125</v>
      </c>
      <c r="AM3" s="7" t="s">
        <v>128</v>
      </c>
      <c r="AN3" s="7" t="s">
        <v>126</v>
      </c>
      <c r="AO3" s="7" t="s">
        <v>127</v>
      </c>
      <c r="AP3" s="7" t="s">
        <v>128</v>
      </c>
      <c r="AQ3" s="7" t="s">
        <v>125</v>
      </c>
      <c r="AR3" s="7" t="s">
        <v>124</v>
      </c>
      <c r="AS3" s="7" t="s">
        <v>129</v>
      </c>
      <c r="AT3" s="7" t="s">
        <v>124</v>
      </c>
      <c r="AU3" s="7" t="s">
        <v>129</v>
      </c>
      <c r="AV3" s="7" t="s">
        <v>128</v>
      </c>
      <c r="AW3" s="7" t="s">
        <v>127</v>
      </c>
      <c r="AX3" s="10" t="s">
        <v>125</v>
      </c>
      <c r="AY3" s="7" t="s">
        <v>128</v>
      </c>
      <c r="AZ3" s="7" t="s">
        <v>125</v>
      </c>
      <c r="BA3" s="7" t="s">
        <v>124</v>
      </c>
      <c r="BB3" s="7" t="s">
        <v>126</v>
      </c>
      <c r="BC3" s="7" t="s">
        <v>127</v>
      </c>
      <c r="BD3" s="7" t="s">
        <v>129</v>
      </c>
      <c r="BE3" s="7" t="s">
        <v>124</v>
      </c>
      <c r="BF3" s="7" t="s">
        <v>127</v>
      </c>
      <c r="BG3" s="7" t="s">
        <v>126</v>
      </c>
      <c r="BH3" s="7" t="s">
        <v>128</v>
      </c>
      <c r="BI3" s="7" t="s">
        <v>129</v>
      </c>
      <c r="BJ3" s="7" t="s">
        <v>125</v>
      </c>
      <c r="BK3" s="7" t="s">
        <v>124</v>
      </c>
      <c r="BL3" s="7" t="s">
        <v>128</v>
      </c>
      <c r="BM3" s="7" t="s">
        <v>125</v>
      </c>
      <c r="BN3" s="7" t="s">
        <v>127</v>
      </c>
      <c r="BO3" s="7" t="s">
        <v>126</v>
      </c>
      <c r="BP3" s="7" t="s">
        <v>129</v>
      </c>
      <c r="BQ3" s="7" t="s">
        <v>127</v>
      </c>
      <c r="BR3" s="7" t="s">
        <v>124</v>
      </c>
      <c r="BS3" s="7" t="s">
        <v>128</v>
      </c>
      <c r="BT3" s="7" t="s">
        <v>129</v>
      </c>
      <c r="BU3" s="10" t="s">
        <v>125</v>
      </c>
      <c r="BV3" s="7" t="s">
        <v>129</v>
      </c>
      <c r="BW3" s="7" t="s">
        <v>124</v>
      </c>
      <c r="BX3" s="7" t="s">
        <v>125</v>
      </c>
      <c r="BY3" s="7" t="s">
        <v>128</v>
      </c>
      <c r="BZ3" s="7" t="s">
        <v>127</v>
      </c>
      <c r="CA3" s="7" t="s">
        <v>126</v>
      </c>
      <c r="CB3" s="7" t="s">
        <v>129</v>
      </c>
      <c r="CC3" s="7" t="s">
        <v>126</v>
      </c>
      <c r="CD3" s="7" t="s">
        <v>128</v>
      </c>
      <c r="CE3" s="7" t="s">
        <v>125</v>
      </c>
      <c r="CF3" s="7" t="s">
        <v>124</v>
      </c>
      <c r="CG3" s="7" t="s">
        <v>127</v>
      </c>
      <c r="CH3" s="7" t="s">
        <v>125</v>
      </c>
      <c r="CI3" s="7" t="s">
        <v>124</v>
      </c>
      <c r="CJ3" s="7" t="s">
        <v>128</v>
      </c>
      <c r="CK3" s="7" t="s">
        <v>126</v>
      </c>
      <c r="CL3" s="7" t="s">
        <v>129</v>
      </c>
      <c r="CM3" s="7" t="s">
        <v>127</v>
      </c>
      <c r="CN3" s="7" t="s">
        <v>125</v>
      </c>
      <c r="CO3" s="7" t="s">
        <v>129</v>
      </c>
      <c r="CP3" s="7" t="s">
        <v>124</v>
      </c>
      <c r="CQ3" s="7" t="s">
        <v>128</v>
      </c>
      <c r="CR3" s="10" t="s">
        <v>127</v>
      </c>
      <c r="CS3" s="7" t="s">
        <v>128</v>
      </c>
      <c r="CT3" s="7" t="s">
        <v>129</v>
      </c>
      <c r="CU3" s="7" t="s">
        <v>126</v>
      </c>
      <c r="CV3" s="7" t="s">
        <v>127</v>
      </c>
      <c r="CW3" s="7" t="s">
        <v>124</v>
      </c>
      <c r="CX3" s="7" t="s">
        <v>125</v>
      </c>
      <c r="CY3" s="7" t="s">
        <v>129</v>
      </c>
      <c r="CZ3" s="7" t="s">
        <v>124</v>
      </c>
      <c r="DA3" s="7" t="s">
        <v>126</v>
      </c>
      <c r="DB3" s="7" t="s">
        <v>125</v>
      </c>
      <c r="DC3" s="7" t="s">
        <v>127</v>
      </c>
      <c r="DD3" s="7" t="s">
        <v>128</v>
      </c>
      <c r="DE3" s="7" t="s">
        <v>127</v>
      </c>
      <c r="DF3" s="7" t="s">
        <v>124</v>
      </c>
      <c r="DG3" s="7" t="s">
        <v>126</v>
      </c>
      <c r="DH3" s="7" t="s">
        <v>128</v>
      </c>
      <c r="DI3" s="7" t="s">
        <v>129</v>
      </c>
      <c r="DJ3" s="7" t="s">
        <v>125</v>
      </c>
      <c r="DK3" s="7" t="s">
        <v>129</v>
      </c>
      <c r="DL3" s="7" t="s">
        <v>128</v>
      </c>
      <c r="DM3" s="7" t="s">
        <v>124</v>
      </c>
      <c r="DN3" s="7" t="s">
        <v>127</v>
      </c>
      <c r="DO3" s="10" t="s">
        <v>125</v>
      </c>
      <c r="DP3" s="7"/>
    </row>
    <row r="4">
      <c r="A4" s="6" t="s">
        <v>158</v>
      </c>
      <c r="B4" s="7" t="s">
        <v>159</v>
      </c>
      <c r="C4" s="9" t="s">
        <v>160</v>
      </c>
      <c r="D4" s="10" t="s">
        <v>162</v>
      </c>
      <c r="E4" s="7">
        <v>1.0</v>
      </c>
      <c r="F4" s="7">
        <v>2.0</v>
      </c>
      <c r="G4" s="7">
        <v>3.0</v>
      </c>
      <c r="H4" s="7">
        <v>4.0</v>
      </c>
      <c r="I4" s="7">
        <v>5.0</v>
      </c>
      <c r="J4" s="7">
        <v>6.0</v>
      </c>
      <c r="K4" s="7">
        <v>7.0</v>
      </c>
      <c r="L4" s="7">
        <v>8.0</v>
      </c>
      <c r="M4" s="7">
        <v>9.0</v>
      </c>
      <c r="N4" s="7">
        <v>10.0</v>
      </c>
      <c r="O4" s="7">
        <v>11.0</v>
      </c>
      <c r="P4" s="7">
        <v>12.0</v>
      </c>
      <c r="Q4" s="7">
        <v>13.0</v>
      </c>
      <c r="R4" s="7">
        <v>14.0</v>
      </c>
      <c r="S4" s="7">
        <v>15.0</v>
      </c>
      <c r="T4" s="7">
        <v>16.0</v>
      </c>
      <c r="U4" s="7">
        <v>17.0</v>
      </c>
      <c r="V4" s="7">
        <v>18.0</v>
      </c>
      <c r="W4" s="7">
        <v>19.0</v>
      </c>
      <c r="X4" s="7">
        <v>20.0</v>
      </c>
      <c r="Y4" s="7">
        <v>21.0</v>
      </c>
      <c r="Z4" s="7">
        <v>22.0</v>
      </c>
      <c r="AA4" s="10">
        <v>23.0</v>
      </c>
      <c r="AB4" s="7">
        <v>1.0</v>
      </c>
      <c r="AC4" s="7">
        <v>2.0</v>
      </c>
      <c r="AD4" s="7">
        <v>3.0</v>
      </c>
      <c r="AE4" s="7">
        <v>4.0</v>
      </c>
      <c r="AF4" s="7">
        <v>5.0</v>
      </c>
      <c r="AG4" s="7">
        <v>6.0</v>
      </c>
      <c r="AH4" s="7">
        <v>7.0</v>
      </c>
      <c r="AI4" s="7">
        <v>8.0</v>
      </c>
      <c r="AJ4" s="7">
        <v>9.0</v>
      </c>
      <c r="AK4" s="7">
        <v>10.0</v>
      </c>
      <c r="AL4" s="7">
        <v>11.0</v>
      </c>
      <c r="AM4" s="7">
        <v>12.0</v>
      </c>
      <c r="AN4" s="7">
        <v>13.0</v>
      </c>
      <c r="AO4" s="7">
        <v>14.0</v>
      </c>
      <c r="AP4" s="7">
        <v>15.0</v>
      </c>
      <c r="AQ4" s="7">
        <v>16.0</v>
      </c>
      <c r="AR4" s="7">
        <v>17.0</v>
      </c>
      <c r="AS4" s="7">
        <v>18.0</v>
      </c>
      <c r="AT4" s="7">
        <v>19.0</v>
      </c>
      <c r="AU4" s="7">
        <v>20.0</v>
      </c>
      <c r="AV4" s="7">
        <v>21.0</v>
      </c>
      <c r="AW4" s="7">
        <v>22.0</v>
      </c>
      <c r="AX4" s="10">
        <v>23.0</v>
      </c>
      <c r="AY4" s="7">
        <v>1.0</v>
      </c>
      <c r="AZ4" s="7">
        <v>2.0</v>
      </c>
      <c r="BA4" s="7">
        <v>3.0</v>
      </c>
      <c r="BB4" s="7">
        <v>4.0</v>
      </c>
      <c r="BC4" s="7">
        <v>5.0</v>
      </c>
      <c r="BD4" s="7">
        <v>6.0</v>
      </c>
      <c r="BE4" s="7">
        <v>7.0</v>
      </c>
      <c r="BF4" s="7">
        <v>8.0</v>
      </c>
      <c r="BG4" s="7">
        <v>9.0</v>
      </c>
      <c r="BH4" s="7">
        <v>10.0</v>
      </c>
      <c r="BI4" s="7">
        <v>11.0</v>
      </c>
      <c r="BJ4" s="7">
        <v>12.0</v>
      </c>
      <c r="BK4" s="7">
        <v>13.0</v>
      </c>
      <c r="BL4" s="7">
        <v>14.0</v>
      </c>
      <c r="BM4" s="7">
        <v>15.0</v>
      </c>
      <c r="BN4" s="7">
        <v>16.0</v>
      </c>
      <c r="BO4" s="7">
        <v>17.0</v>
      </c>
      <c r="BP4" s="7">
        <v>18.0</v>
      </c>
      <c r="BQ4" s="7">
        <v>19.0</v>
      </c>
      <c r="BR4" s="7">
        <v>20.0</v>
      </c>
      <c r="BS4" s="7">
        <v>21.0</v>
      </c>
      <c r="BT4" s="7">
        <v>22.0</v>
      </c>
      <c r="BU4" s="10">
        <v>23.0</v>
      </c>
      <c r="BV4" s="7">
        <v>1.0</v>
      </c>
      <c r="BW4" s="7">
        <v>2.0</v>
      </c>
      <c r="BX4" s="7">
        <v>3.0</v>
      </c>
      <c r="BY4" s="7">
        <v>4.0</v>
      </c>
      <c r="BZ4" s="7">
        <v>5.0</v>
      </c>
      <c r="CA4" s="7">
        <v>6.0</v>
      </c>
      <c r="CB4" s="7">
        <v>7.0</v>
      </c>
      <c r="CC4" s="7">
        <v>8.0</v>
      </c>
      <c r="CD4" s="7">
        <v>9.0</v>
      </c>
      <c r="CE4" s="7">
        <v>10.0</v>
      </c>
      <c r="CF4" s="7">
        <v>11.0</v>
      </c>
      <c r="CG4" s="7">
        <v>12.0</v>
      </c>
      <c r="CH4" s="7">
        <v>13.0</v>
      </c>
      <c r="CI4" s="7">
        <v>14.0</v>
      </c>
      <c r="CJ4" s="7">
        <v>15.0</v>
      </c>
      <c r="CK4" s="7">
        <v>16.0</v>
      </c>
      <c r="CL4" s="7">
        <v>17.0</v>
      </c>
      <c r="CM4" s="7">
        <v>18.0</v>
      </c>
      <c r="CN4" s="7">
        <v>19.0</v>
      </c>
      <c r="CO4" s="7">
        <v>20.0</v>
      </c>
      <c r="CP4" s="7">
        <v>21.0</v>
      </c>
      <c r="CQ4" s="7">
        <v>22.0</v>
      </c>
      <c r="CR4" s="10">
        <v>23.0</v>
      </c>
      <c r="CS4" s="7">
        <v>1.0</v>
      </c>
      <c r="CT4" s="7">
        <v>2.0</v>
      </c>
      <c r="CU4" s="7">
        <v>3.0</v>
      </c>
      <c r="CV4" s="7">
        <v>4.0</v>
      </c>
      <c r="CW4" s="7">
        <v>5.0</v>
      </c>
      <c r="CX4" s="7">
        <v>6.0</v>
      </c>
      <c r="CY4" s="7">
        <v>7.0</v>
      </c>
      <c r="CZ4" s="7">
        <v>8.0</v>
      </c>
      <c r="DA4" s="7">
        <v>9.0</v>
      </c>
      <c r="DB4" s="7">
        <v>10.0</v>
      </c>
      <c r="DC4" s="7">
        <v>11.0</v>
      </c>
      <c r="DD4" s="7">
        <v>12.0</v>
      </c>
      <c r="DE4" s="7">
        <v>13.0</v>
      </c>
      <c r="DF4" s="7">
        <v>14.0</v>
      </c>
      <c r="DG4" s="7">
        <v>15.0</v>
      </c>
      <c r="DH4" s="7">
        <v>16.0</v>
      </c>
      <c r="DI4" s="7">
        <v>17.0</v>
      </c>
      <c r="DJ4" s="7">
        <v>18.0</v>
      </c>
      <c r="DK4" s="7">
        <v>19.0</v>
      </c>
      <c r="DL4" s="7">
        <v>20.0</v>
      </c>
      <c r="DM4" s="7">
        <v>21.0</v>
      </c>
      <c r="DN4" s="7">
        <v>22.0</v>
      </c>
      <c r="DO4" s="10">
        <v>23.0</v>
      </c>
      <c r="DP4" s="7"/>
    </row>
    <row r="5">
      <c r="A5" s="6" t="s">
        <v>14</v>
      </c>
      <c r="B5" s="7">
        <f t="shared" ref="B5:B51" si="1">COUNTIF(E5:DO5,"TU")+COUNTIF(E5:DO5,"B")</f>
        <v>22</v>
      </c>
      <c r="C5" s="9">
        <f t="shared" ref="C5:C51" si="2">COUNTIF(E5:DO5,"B")</f>
        <v>5</v>
      </c>
      <c r="D5" s="10">
        <f t="shared" ref="D5:D51" si="3">COUNTIF(E5:DO5,"P")</f>
        <v>5</v>
      </c>
      <c r="E5" s="7"/>
      <c r="F5" s="7"/>
      <c r="G5" s="7"/>
      <c r="H5" s="7"/>
      <c r="I5" s="7"/>
      <c r="J5" s="7" t="s">
        <v>209</v>
      </c>
      <c r="K5" s="7"/>
      <c r="L5" s="7" t="s">
        <v>209</v>
      </c>
      <c r="M5" s="7"/>
      <c r="N5" s="7"/>
      <c r="O5" s="7"/>
      <c r="P5" s="7"/>
      <c r="Q5" s="7"/>
      <c r="R5" s="7"/>
      <c r="S5" s="7" t="s">
        <v>212</v>
      </c>
      <c r="T5" s="7"/>
      <c r="U5" s="7"/>
      <c r="V5" s="7" t="s">
        <v>209</v>
      </c>
      <c r="W5" s="7"/>
      <c r="X5" s="7"/>
      <c r="Y5" s="7"/>
      <c r="Z5" s="7"/>
      <c r="AA5" s="10"/>
      <c r="AB5" s="7" t="s">
        <v>214</v>
      </c>
      <c r="AC5" s="7"/>
      <c r="AD5" s="7" t="s">
        <v>212</v>
      </c>
      <c r="AE5" s="7"/>
      <c r="AF5" s="7" t="s">
        <v>214</v>
      </c>
      <c r="AG5" s="7"/>
      <c r="AH5" s="7" t="s">
        <v>209</v>
      </c>
      <c r="AI5" s="7"/>
      <c r="AJ5" s="7" t="s">
        <v>212</v>
      </c>
      <c r="AK5" s="7"/>
      <c r="AL5" s="7"/>
      <c r="AM5" s="7" t="s">
        <v>212</v>
      </c>
      <c r="AN5" s="7"/>
      <c r="AO5" s="7" t="s">
        <v>212</v>
      </c>
      <c r="AP5" s="7"/>
      <c r="AQ5" s="7"/>
      <c r="AR5" s="7"/>
      <c r="AS5" s="7"/>
      <c r="AT5" s="7"/>
      <c r="AU5" s="7"/>
      <c r="AV5" s="7"/>
      <c r="AW5" s="7"/>
      <c r="AX5" s="10"/>
      <c r="AY5" s="7" t="s">
        <v>212</v>
      </c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 t="s">
        <v>212</v>
      </c>
      <c r="BP5" s="7" t="s">
        <v>214</v>
      </c>
      <c r="BQ5" s="7"/>
      <c r="BR5" s="7"/>
      <c r="BS5" s="7"/>
      <c r="BT5" s="7"/>
      <c r="BU5" s="10"/>
      <c r="BV5" s="7"/>
      <c r="BW5" s="7"/>
      <c r="BX5" s="7"/>
      <c r="BY5" s="7" t="s">
        <v>212</v>
      </c>
      <c r="BZ5" s="7"/>
      <c r="CA5" s="7"/>
      <c r="CB5" s="7"/>
      <c r="CC5" s="7"/>
      <c r="CD5" s="7"/>
      <c r="CE5" s="7"/>
      <c r="CF5" s="7"/>
      <c r="CG5" s="7"/>
      <c r="CH5" s="7" t="s">
        <v>212</v>
      </c>
      <c r="CI5" s="7"/>
      <c r="CJ5" s="7" t="s">
        <v>214</v>
      </c>
      <c r="CK5" s="7"/>
      <c r="CL5" s="7"/>
      <c r="CM5" s="7" t="s">
        <v>212</v>
      </c>
      <c r="CN5" s="7"/>
      <c r="CO5" s="7" t="s">
        <v>212</v>
      </c>
      <c r="CP5" s="7"/>
      <c r="CQ5" s="7"/>
      <c r="CR5" s="10"/>
      <c r="CS5" s="7"/>
      <c r="CT5" s="7"/>
      <c r="CU5" s="7"/>
      <c r="CV5" s="7"/>
      <c r="CW5" s="7"/>
      <c r="CX5" s="7"/>
      <c r="CY5" s="7"/>
      <c r="CZ5" s="7"/>
      <c r="DA5" s="7" t="s">
        <v>212</v>
      </c>
      <c r="DB5" s="7" t="s">
        <v>212</v>
      </c>
      <c r="DC5" s="7"/>
      <c r="DD5" s="7"/>
      <c r="DE5" s="7" t="s">
        <v>212</v>
      </c>
      <c r="DF5" s="7" t="s">
        <v>209</v>
      </c>
      <c r="DG5" s="7"/>
      <c r="DH5" s="7"/>
      <c r="DI5" s="7" t="s">
        <v>212</v>
      </c>
      <c r="DJ5" s="7"/>
      <c r="DK5" s="7" t="s">
        <v>214</v>
      </c>
      <c r="DL5" s="7" t="s">
        <v>212</v>
      </c>
      <c r="DM5" s="7"/>
      <c r="DN5" s="7"/>
      <c r="DO5" s="10" t="s">
        <v>212</v>
      </c>
      <c r="DP5" s="7"/>
    </row>
    <row r="6">
      <c r="A6" s="6" t="s">
        <v>74</v>
      </c>
      <c r="B6" s="7">
        <f t="shared" si="1"/>
        <v>76</v>
      </c>
      <c r="C6" s="9">
        <f t="shared" si="2"/>
        <v>64</v>
      </c>
      <c r="D6" s="10">
        <f t="shared" si="3"/>
        <v>19</v>
      </c>
      <c r="E6" s="7" t="s">
        <v>212</v>
      </c>
      <c r="F6" s="7" t="s">
        <v>209</v>
      </c>
      <c r="G6" s="7"/>
      <c r="H6" s="7"/>
      <c r="I6" s="7" t="s">
        <v>212</v>
      </c>
      <c r="J6" s="7" t="s">
        <v>209</v>
      </c>
      <c r="K6" s="7" t="s">
        <v>209</v>
      </c>
      <c r="L6" s="7" t="s">
        <v>209</v>
      </c>
      <c r="M6" s="7" t="s">
        <v>209</v>
      </c>
      <c r="N6" s="7" t="s">
        <v>214</v>
      </c>
      <c r="O6" s="7"/>
      <c r="P6" s="7" t="s">
        <v>209</v>
      </c>
      <c r="Q6" s="7" t="s">
        <v>214</v>
      </c>
      <c r="R6" s="7" t="s">
        <v>209</v>
      </c>
      <c r="S6" s="7" t="s">
        <v>209</v>
      </c>
      <c r="T6" s="7" t="s">
        <v>209</v>
      </c>
      <c r="U6" s="7"/>
      <c r="V6" s="7" t="s">
        <v>214</v>
      </c>
      <c r="W6" s="7"/>
      <c r="X6" s="7" t="s">
        <v>209</v>
      </c>
      <c r="Y6" s="7" t="s">
        <v>212</v>
      </c>
      <c r="Z6" s="7" t="s">
        <v>209</v>
      </c>
      <c r="AA6" s="10" t="s">
        <v>209</v>
      </c>
      <c r="AB6" s="7" t="s">
        <v>209</v>
      </c>
      <c r="AC6" s="7" t="s">
        <v>214</v>
      </c>
      <c r="AD6" s="7" t="s">
        <v>212</v>
      </c>
      <c r="AE6" s="7" t="s">
        <v>214</v>
      </c>
      <c r="AF6" s="7" t="s">
        <v>209</v>
      </c>
      <c r="AG6" s="7" t="s">
        <v>209</v>
      </c>
      <c r="AH6" s="7" t="s">
        <v>209</v>
      </c>
      <c r="AI6" s="7" t="s">
        <v>209</v>
      </c>
      <c r="AJ6" s="7" t="s">
        <v>209</v>
      </c>
      <c r="AK6" s="7" t="s">
        <v>209</v>
      </c>
      <c r="AL6" s="7" t="s">
        <v>212</v>
      </c>
      <c r="AM6" s="7" t="s">
        <v>209</v>
      </c>
      <c r="AN6" s="7" t="s">
        <v>209</v>
      </c>
      <c r="AO6" s="7" t="s">
        <v>209</v>
      </c>
      <c r="AP6" s="7" t="s">
        <v>212</v>
      </c>
      <c r="AQ6" s="7" t="s">
        <v>209</v>
      </c>
      <c r="AR6" s="7" t="s">
        <v>209</v>
      </c>
      <c r="AS6" s="7" t="s">
        <v>209</v>
      </c>
      <c r="AT6" s="7" t="s">
        <v>209</v>
      </c>
      <c r="AU6" s="7" t="s">
        <v>209</v>
      </c>
      <c r="AV6" s="7" t="s">
        <v>212</v>
      </c>
      <c r="AW6" s="7" t="s">
        <v>214</v>
      </c>
      <c r="AX6" s="10" t="s">
        <v>209</v>
      </c>
      <c r="AY6" s="7"/>
      <c r="AZ6" s="7" t="s">
        <v>209</v>
      </c>
      <c r="BA6" s="7" t="s">
        <v>209</v>
      </c>
      <c r="BB6" s="7" t="s">
        <v>209</v>
      </c>
      <c r="BC6" s="7" t="s">
        <v>209</v>
      </c>
      <c r="BD6" s="7" t="s">
        <v>209</v>
      </c>
      <c r="BE6" s="7" t="s">
        <v>214</v>
      </c>
      <c r="BF6" s="7" t="s">
        <v>214</v>
      </c>
      <c r="BG6" s="7" t="s">
        <v>214</v>
      </c>
      <c r="BH6" s="7"/>
      <c r="BI6" s="7" t="s">
        <v>209</v>
      </c>
      <c r="BJ6" s="7" t="s">
        <v>209</v>
      </c>
      <c r="BK6" s="7" t="s">
        <v>214</v>
      </c>
      <c r="BL6" s="7" t="s">
        <v>214</v>
      </c>
      <c r="BM6" s="7" t="s">
        <v>209</v>
      </c>
      <c r="BN6" s="7" t="s">
        <v>209</v>
      </c>
      <c r="BO6" s="7" t="s">
        <v>212</v>
      </c>
      <c r="BP6" s="7" t="s">
        <v>209</v>
      </c>
      <c r="BQ6" s="7" t="s">
        <v>209</v>
      </c>
      <c r="BR6" s="7"/>
      <c r="BS6" s="7" t="s">
        <v>212</v>
      </c>
      <c r="BT6" s="7" t="s">
        <v>209</v>
      </c>
      <c r="BU6" s="10" t="s">
        <v>209</v>
      </c>
      <c r="BV6" s="7"/>
      <c r="BW6" s="7" t="s">
        <v>214</v>
      </c>
      <c r="BX6" s="7" t="s">
        <v>212</v>
      </c>
      <c r="BY6" s="7" t="s">
        <v>214</v>
      </c>
      <c r="BZ6" s="7" t="s">
        <v>209</v>
      </c>
      <c r="CA6" s="7" t="s">
        <v>209</v>
      </c>
      <c r="CB6" s="7" t="s">
        <v>209</v>
      </c>
      <c r="CC6" s="7" t="s">
        <v>209</v>
      </c>
      <c r="CD6" s="7"/>
      <c r="CE6" s="7" t="s">
        <v>214</v>
      </c>
      <c r="CF6" s="7" t="s">
        <v>209</v>
      </c>
      <c r="CG6" s="7" t="s">
        <v>214</v>
      </c>
      <c r="CH6" s="7" t="s">
        <v>209</v>
      </c>
      <c r="CI6" s="7"/>
      <c r="CJ6" s="7" t="s">
        <v>209</v>
      </c>
      <c r="CK6" s="7"/>
      <c r="CL6" s="7"/>
      <c r="CM6" s="7"/>
      <c r="CN6" s="7" t="s">
        <v>214</v>
      </c>
      <c r="CO6" s="7" t="s">
        <v>209</v>
      </c>
      <c r="CP6" s="7"/>
      <c r="CQ6" s="7"/>
      <c r="CR6" s="10"/>
      <c r="CS6" s="7" t="s">
        <v>214</v>
      </c>
      <c r="CT6" s="7" t="s">
        <v>209</v>
      </c>
      <c r="CU6" s="7" t="s">
        <v>209</v>
      </c>
      <c r="CV6" s="7" t="s">
        <v>214</v>
      </c>
      <c r="CW6" s="7" t="s">
        <v>209</v>
      </c>
      <c r="CX6" s="7" t="s">
        <v>209</v>
      </c>
      <c r="CY6" s="7"/>
      <c r="CZ6" s="7" t="s">
        <v>212</v>
      </c>
      <c r="DA6" s="7" t="s">
        <v>212</v>
      </c>
      <c r="DB6" s="7" t="s">
        <v>209</v>
      </c>
      <c r="DC6" s="7" t="s">
        <v>214</v>
      </c>
      <c r="DD6" s="7" t="s">
        <v>209</v>
      </c>
      <c r="DE6" s="7" t="s">
        <v>209</v>
      </c>
      <c r="DF6" s="7" t="s">
        <v>209</v>
      </c>
      <c r="DG6" s="7"/>
      <c r="DH6" s="7"/>
      <c r="DI6" s="7" t="s">
        <v>209</v>
      </c>
      <c r="DJ6" s="7" t="s">
        <v>209</v>
      </c>
      <c r="DK6" s="7" t="s">
        <v>209</v>
      </c>
      <c r="DL6" s="7" t="s">
        <v>209</v>
      </c>
      <c r="DM6" s="7" t="s">
        <v>209</v>
      </c>
      <c r="DN6" s="7" t="s">
        <v>209</v>
      </c>
      <c r="DO6" s="10" t="s">
        <v>209</v>
      </c>
      <c r="DP6" s="7"/>
    </row>
    <row r="7">
      <c r="A7" s="6" t="s">
        <v>16</v>
      </c>
      <c r="B7" s="7">
        <f t="shared" si="1"/>
        <v>34</v>
      </c>
      <c r="C7" s="9">
        <f t="shared" si="2"/>
        <v>18</v>
      </c>
      <c r="D7" s="10">
        <f t="shared" si="3"/>
        <v>12</v>
      </c>
      <c r="E7" s="7" t="s">
        <v>212</v>
      </c>
      <c r="F7" s="7" t="s">
        <v>214</v>
      </c>
      <c r="G7" s="7"/>
      <c r="H7" s="7" t="s">
        <v>212</v>
      </c>
      <c r="I7" s="7"/>
      <c r="J7" s="7" t="s">
        <v>209</v>
      </c>
      <c r="K7" s="7" t="s">
        <v>209</v>
      </c>
      <c r="L7" s="7" t="s">
        <v>214</v>
      </c>
      <c r="M7" s="7" t="s">
        <v>209</v>
      </c>
      <c r="N7" s="7"/>
      <c r="O7" s="7"/>
      <c r="P7" s="7" t="s">
        <v>209</v>
      </c>
      <c r="Q7" s="7"/>
      <c r="R7" s="7"/>
      <c r="S7" s="7" t="s">
        <v>209</v>
      </c>
      <c r="T7" s="7" t="s">
        <v>209</v>
      </c>
      <c r="U7" s="7"/>
      <c r="V7" s="7" t="s">
        <v>209</v>
      </c>
      <c r="W7" s="7"/>
      <c r="X7" s="7" t="s">
        <v>209</v>
      </c>
      <c r="Y7" s="7" t="s">
        <v>209</v>
      </c>
      <c r="Z7" s="7"/>
      <c r="AA7" s="10" t="s">
        <v>212</v>
      </c>
      <c r="AB7" s="7" t="s">
        <v>212</v>
      </c>
      <c r="AC7" s="7" t="s">
        <v>214</v>
      </c>
      <c r="AD7" s="7"/>
      <c r="AE7" s="7"/>
      <c r="AF7" s="7"/>
      <c r="AG7" s="7"/>
      <c r="AH7" s="7"/>
      <c r="AI7" s="7"/>
      <c r="AJ7" s="7"/>
      <c r="AK7" s="7" t="s">
        <v>214</v>
      </c>
      <c r="AL7" s="7" t="s">
        <v>212</v>
      </c>
      <c r="AM7" s="7" t="s">
        <v>209</v>
      </c>
      <c r="AN7" s="7" t="s">
        <v>209</v>
      </c>
      <c r="AO7" s="7"/>
      <c r="AP7" s="7" t="s">
        <v>212</v>
      </c>
      <c r="AQ7" s="7"/>
      <c r="AR7" s="7"/>
      <c r="AS7" s="7"/>
      <c r="AT7" s="7"/>
      <c r="AU7" s="7"/>
      <c r="AV7" s="7" t="s">
        <v>212</v>
      </c>
      <c r="AW7" s="7" t="s">
        <v>214</v>
      </c>
      <c r="AX7" s="10"/>
      <c r="AY7" s="7"/>
      <c r="AZ7" s="7" t="s">
        <v>209</v>
      </c>
      <c r="BA7" s="7"/>
      <c r="BB7" s="7"/>
      <c r="BC7" s="7"/>
      <c r="BD7" s="7"/>
      <c r="BE7" s="7"/>
      <c r="BF7" s="7"/>
      <c r="BG7" s="7" t="s">
        <v>214</v>
      </c>
      <c r="BH7" s="7"/>
      <c r="BI7" s="7"/>
      <c r="BJ7" s="7"/>
      <c r="BK7" s="7"/>
      <c r="BL7" s="7"/>
      <c r="BM7" s="7" t="s">
        <v>212</v>
      </c>
      <c r="BN7" s="7" t="s">
        <v>214</v>
      </c>
      <c r="BO7" s="7" t="s">
        <v>209</v>
      </c>
      <c r="BP7" s="7"/>
      <c r="BQ7" s="7"/>
      <c r="BR7" s="7"/>
      <c r="BS7" s="7" t="s">
        <v>209</v>
      </c>
      <c r="BT7" s="7"/>
      <c r="BU7" s="10"/>
      <c r="BV7" s="7"/>
      <c r="BW7" s="7"/>
      <c r="BX7" s="7" t="s">
        <v>214</v>
      </c>
      <c r="BY7" s="7" t="s">
        <v>209</v>
      </c>
      <c r="BZ7" s="7"/>
      <c r="CA7" s="7"/>
      <c r="CB7" s="7" t="s">
        <v>212</v>
      </c>
      <c r="CC7" s="7"/>
      <c r="CD7" s="7" t="s">
        <v>212</v>
      </c>
      <c r="CE7" s="7" t="s">
        <v>209</v>
      </c>
      <c r="CF7" s="7" t="s">
        <v>212</v>
      </c>
      <c r="CG7" s="7" t="s">
        <v>212</v>
      </c>
      <c r="CH7" s="7"/>
      <c r="CI7" s="7"/>
      <c r="CJ7" s="7"/>
      <c r="CK7" s="7"/>
      <c r="CL7" s="7" t="s">
        <v>212</v>
      </c>
      <c r="CM7" s="7" t="s">
        <v>212</v>
      </c>
      <c r="CN7" s="7"/>
      <c r="CO7" s="7"/>
      <c r="CP7" s="7"/>
      <c r="CQ7" s="7"/>
      <c r="CR7" s="10"/>
      <c r="CS7" s="7" t="s">
        <v>214</v>
      </c>
      <c r="CT7" s="7"/>
      <c r="CU7" s="7" t="s">
        <v>212</v>
      </c>
      <c r="CV7" s="7"/>
      <c r="CW7" s="7"/>
      <c r="CX7" s="7" t="s">
        <v>209</v>
      </c>
      <c r="CY7" s="7" t="s">
        <v>214</v>
      </c>
      <c r="CZ7" s="7"/>
      <c r="DA7" s="7"/>
      <c r="DB7" s="7"/>
      <c r="DC7" s="7" t="s">
        <v>209</v>
      </c>
      <c r="DD7" s="7"/>
      <c r="DE7" s="7"/>
      <c r="DF7" s="7" t="s">
        <v>214</v>
      </c>
      <c r="DG7" s="7"/>
      <c r="DH7" s="7"/>
      <c r="DI7" s="7"/>
      <c r="DJ7" s="7" t="s">
        <v>214</v>
      </c>
      <c r="DK7" s="7" t="s">
        <v>212</v>
      </c>
      <c r="DL7" s="7"/>
      <c r="DM7" s="7"/>
      <c r="DN7" s="7"/>
      <c r="DO7" s="10"/>
      <c r="DP7" s="7"/>
    </row>
    <row r="8">
      <c r="A8" s="6" t="s">
        <v>45</v>
      </c>
      <c r="B8" s="7">
        <f t="shared" si="1"/>
        <v>64</v>
      </c>
      <c r="C8" s="9">
        <f t="shared" si="2"/>
        <v>49</v>
      </c>
      <c r="D8" s="10">
        <f t="shared" si="3"/>
        <v>11</v>
      </c>
      <c r="E8" s="7" t="s">
        <v>214</v>
      </c>
      <c r="F8" s="7" t="s">
        <v>212</v>
      </c>
      <c r="G8" s="7" t="s">
        <v>209</v>
      </c>
      <c r="H8" s="7" t="s">
        <v>212</v>
      </c>
      <c r="I8" s="7" t="s">
        <v>209</v>
      </c>
      <c r="J8" s="7"/>
      <c r="K8" s="7" t="s">
        <v>212</v>
      </c>
      <c r="L8" s="7"/>
      <c r="M8" s="7"/>
      <c r="N8" s="7"/>
      <c r="O8" s="7"/>
      <c r="P8" s="7" t="s">
        <v>209</v>
      </c>
      <c r="Q8" s="7" t="s">
        <v>214</v>
      </c>
      <c r="R8" s="7"/>
      <c r="S8" s="7" t="s">
        <v>209</v>
      </c>
      <c r="T8" s="7"/>
      <c r="U8" s="7" t="s">
        <v>214</v>
      </c>
      <c r="V8" s="7" t="s">
        <v>209</v>
      </c>
      <c r="W8" s="7"/>
      <c r="X8" s="7"/>
      <c r="Y8" s="7"/>
      <c r="Z8" s="7"/>
      <c r="AA8" s="10"/>
      <c r="AB8" s="7" t="s">
        <v>209</v>
      </c>
      <c r="AC8" s="7" t="s">
        <v>214</v>
      </c>
      <c r="AD8" s="7" t="s">
        <v>209</v>
      </c>
      <c r="AE8" s="7"/>
      <c r="AF8" s="7" t="s">
        <v>209</v>
      </c>
      <c r="AG8" s="7" t="s">
        <v>209</v>
      </c>
      <c r="AH8" s="7" t="s">
        <v>209</v>
      </c>
      <c r="AI8" s="7" t="s">
        <v>209</v>
      </c>
      <c r="AJ8" s="7" t="s">
        <v>209</v>
      </c>
      <c r="AK8" s="7" t="s">
        <v>209</v>
      </c>
      <c r="AL8" s="7" t="s">
        <v>212</v>
      </c>
      <c r="AM8" s="7" t="s">
        <v>209</v>
      </c>
      <c r="AN8" s="7" t="s">
        <v>209</v>
      </c>
      <c r="AO8" s="7" t="s">
        <v>209</v>
      </c>
      <c r="AP8" s="7"/>
      <c r="AQ8" s="7"/>
      <c r="AR8" s="7" t="s">
        <v>214</v>
      </c>
      <c r="AS8" s="7" t="s">
        <v>209</v>
      </c>
      <c r="AT8" s="7" t="s">
        <v>212</v>
      </c>
      <c r="AU8" s="7"/>
      <c r="AV8" s="7" t="s">
        <v>212</v>
      </c>
      <c r="AW8" s="7" t="s">
        <v>214</v>
      </c>
      <c r="AX8" s="10" t="s">
        <v>212</v>
      </c>
      <c r="AY8" s="7"/>
      <c r="AZ8" s="7" t="s">
        <v>209</v>
      </c>
      <c r="BA8" s="7" t="s">
        <v>209</v>
      </c>
      <c r="BB8" s="7" t="s">
        <v>212</v>
      </c>
      <c r="BC8" s="7" t="s">
        <v>209</v>
      </c>
      <c r="BD8" s="7" t="s">
        <v>209</v>
      </c>
      <c r="BE8" s="7"/>
      <c r="BF8" s="7" t="s">
        <v>209</v>
      </c>
      <c r="BG8" s="7" t="s">
        <v>209</v>
      </c>
      <c r="BH8" s="7" t="s">
        <v>212</v>
      </c>
      <c r="BI8" s="7" t="s">
        <v>209</v>
      </c>
      <c r="BJ8" s="7" t="s">
        <v>209</v>
      </c>
      <c r="BK8" s="7"/>
      <c r="BL8" s="7" t="s">
        <v>212</v>
      </c>
      <c r="BM8" s="7" t="s">
        <v>209</v>
      </c>
      <c r="BN8" s="7" t="s">
        <v>209</v>
      </c>
      <c r="BO8" s="7" t="s">
        <v>212</v>
      </c>
      <c r="BP8" s="7" t="s">
        <v>209</v>
      </c>
      <c r="BQ8" s="7" t="s">
        <v>209</v>
      </c>
      <c r="BR8" s="7" t="s">
        <v>209</v>
      </c>
      <c r="BS8" s="7" t="s">
        <v>214</v>
      </c>
      <c r="BT8" s="7"/>
      <c r="BU8" s="10" t="s">
        <v>209</v>
      </c>
      <c r="BV8" s="7" t="s">
        <v>209</v>
      </c>
      <c r="BW8" s="7"/>
      <c r="BX8" s="7"/>
      <c r="BY8" s="7"/>
      <c r="BZ8" s="7" t="s">
        <v>209</v>
      </c>
      <c r="CA8" s="7" t="s">
        <v>212</v>
      </c>
      <c r="CB8" s="7"/>
      <c r="CC8" s="7"/>
      <c r="CD8" s="7"/>
      <c r="CE8" s="7" t="s">
        <v>209</v>
      </c>
      <c r="CF8" s="7"/>
      <c r="CG8" s="7" t="s">
        <v>214</v>
      </c>
      <c r="CH8" s="7"/>
      <c r="CI8" s="7" t="s">
        <v>214</v>
      </c>
      <c r="CJ8" s="7" t="s">
        <v>209</v>
      </c>
      <c r="CK8" s="7" t="s">
        <v>209</v>
      </c>
      <c r="CL8" s="7" t="s">
        <v>214</v>
      </c>
      <c r="CM8" s="7" t="s">
        <v>209</v>
      </c>
      <c r="CN8" s="7" t="s">
        <v>212</v>
      </c>
      <c r="CO8" s="7" t="s">
        <v>209</v>
      </c>
      <c r="CP8" s="7"/>
      <c r="CQ8" s="7"/>
      <c r="CR8" s="10"/>
      <c r="CS8" s="7"/>
      <c r="CT8" s="7" t="s">
        <v>209</v>
      </c>
      <c r="CU8" s="7" t="s">
        <v>209</v>
      </c>
      <c r="CV8" s="7" t="s">
        <v>212</v>
      </c>
      <c r="CW8" s="7"/>
      <c r="CX8" s="7" t="s">
        <v>209</v>
      </c>
      <c r="CY8" s="7" t="s">
        <v>214</v>
      </c>
      <c r="CZ8" s="7"/>
      <c r="DA8" s="7" t="s">
        <v>209</v>
      </c>
      <c r="DB8" s="7" t="s">
        <v>209</v>
      </c>
      <c r="DC8" s="7" t="s">
        <v>209</v>
      </c>
      <c r="DD8" s="7"/>
      <c r="DE8" s="7" t="s">
        <v>209</v>
      </c>
      <c r="DF8" s="7" t="s">
        <v>209</v>
      </c>
      <c r="DG8" s="7" t="s">
        <v>209</v>
      </c>
      <c r="DH8" s="7"/>
      <c r="DI8" s="7" t="s">
        <v>209</v>
      </c>
      <c r="DJ8" s="7"/>
      <c r="DK8" s="7" t="s">
        <v>209</v>
      </c>
      <c r="DL8" s="7"/>
      <c r="DM8" s="7"/>
      <c r="DN8" s="7"/>
      <c r="DO8" s="10" t="s">
        <v>212</v>
      </c>
      <c r="DP8" s="7"/>
    </row>
    <row r="9">
      <c r="A9" s="6" t="s">
        <v>63</v>
      </c>
      <c r="B9" s="7">
        <f t="shared" si="1"/>
        <v>40</v>
      </c>
      <c r="C9" s="9">
        <f t="shared" si="2"/>
        <v>21</v>
      </c>
      <c r="D9" s="10">
        <f t="shared" si="3"/>
        <v>10</v>
      </c>
      <c r="E9" s="7" t="s">
        <v>212</v>
      </c>
      <c r="F9" s="7" t="s">
        <v>214</v>
      </c>
      <c r="G9" s="7" t="s">
        <v>212</v>
      </c>
      <c r="H9" s="7" t="s">
        <v>209</v>
      </c>
      <c r="I9" s="7" t="s">
        <v>209</v>
      </c>
      <c r="J9" s="7" t="s">
        <v>209</v>
      </c>
      <c r="K9" s="7" t="s">
        <v>209</v>
      </c>
      <c r="L9" s="7" t="s">
        <v>209</v>
      </c>
      <c r="M9" s="7" t="s">
        <v>209</v>
      </c>
      <c r="N9" s="7" t="s">
        <v>209</v>
      </c>
      <c r="O9" s="7"/>
      <c r="P9" s="7" t="s">
        <v>209</v>
      </c>
      <c r="Q9" s="7" t="s">
        <v>214</v>
      </c>
      <c r="R9" s="7"/>
      <c r="S9" s="7" t="s">
        <v>209</v>
      </c>
      <c r="T9" s="7" t="s">
        <v>212</v>
      </c>
      <c r="U9" s="7" t="s">
        <v>214</v>
      </c>
      <c r="V9" s="7" t="s">
        <v>212</v>
      </c>
      <c r="W9" s="7"/>
      <c r="X9" s="7"/>
      <c r="Y9" s="7"/>
      <c r="Z9" s="7"/>
      <c r="AA9" s="10"/>
      <c r="AB9" s="7" t="s">
        <v>209</v>
      </c>
      <c r="AC9" s="7" t="s">
        <v>214</v>
      </c>
      <c r="AD9" s="7"/>
      <c r="AE9" s="7"/>
      <c r="AF9" s="7" t="s">
        <v>209</v>
      </c>
      <c r="AG9" s="7"/>
      <c r="AH9" s="7"/>
      <c r="AI9" s="7"/>
      <c r="AJ9" s="7" t="s">
        <v>212</v>
      </c>
      <c r="AK9" s="7" t="s">
        <v>212</v>
      </c>
      <c r="AL9" s="7"/>
      <c r="AM9" s="7"/>
      <c r="AN9" s="7"/>
      <c r="AO9" s="7" t="s">
        <v>209</v>
      </c>
      <c r="AP9" s="7"/>
      <c r="AQ9" s="7" t="s">
        <v>209</v>
      </c>
      <c r="AR9" s="7"/>
      <c r="AS9" s="7"/>
      <c r="AT9" s="7" t="s">
        <v>212</v>
      </c>
      <c r="AU9" s="7"/>
      <c r="AV9" s="7"/>
      <c r="AW9" s="7"/>
      <c r="AX9" s="10"/>
      <c r="AY9" s="7" t="s">
        <v>209</v>
      </c>
      <c r="AZ9" s="7" t="s">
        <v>212</v>
      </c>
      <c r="BA9" s="7"/>
      <c r="BB9" s="7"/>
      <c r="BC9" s="7"/>
      <c r="BD9" s="7"/>
      <c r="BE9" s="7"/>
      <c r="BF9" s="7" t="s">
        <v>209</v>
      </c>
      <c r="BG9" s="7" t="s">
        <v>214</v>
      </c>
      <c r="BH9" s="7"/>
      <c r="BI9" s="7"/>
      <c r="BJ9" s="7"/>
      <c r="BK9" s="7" t="s">
        <v>212</v>
      </c>
      <c r="BL9" s="7"/>
      <c r="BM9" s="7" t="s">
        <v>214</v>
      </c>
      <c r="BN9" s="7" t="s">
        <v>209</v>
      </c>
      <c r="BO9" s="7" t="s">
        <v>212</v>
      </c>
      <c r="BP9" s="7"/>
      <c r="BQ9" s="7"/>
      <c r="BR9" s="7" t="s">
        <v>209</v>
      </c>
      <c r="BS9" s="7" t="s">
        <v>214</v>
      </c>
      <c r="BT9" s="7"/>
      <c r="BU9" s="10"/>
      <c r="BV9" s="7"/>
      <c r="BW9" s="7"/>
      <c r="BX9" s="7" t="s">
        <v>212</v>
      </c>
      <c r="BY9" s="7"/>
      <c r="BZ9" s="7" t="s">
        <v>209</v>
      </c>
      <c r="CA9" s="7"/>
      <c r="CB9" s="7"/>
      <c r="CC9" s="7" t="s">
        <v>212</v>
      </c>
      <c r="CD9" s="7"/>
      <c r="CE9" s="7" t="s">
        <v>214</v>
      </c>
      <c r="CF9" s="7"/>
      <c r="CG9" s="7"/>
      <c r="CH9" s="7"/>
      <c r="CI9" s="7" t="s">
        <v>212</v>
      </c>
      <c r="CJ9" s="7"/>
      <c r="CK9" s="7"/>
      <c r="CL9" s="7" t="s">
        <v>209</v>
      </c>
      <c r="CM9" s="7"/>
      <c r="CN9" s="7"/>
      <c r="CO9" s="7" t="s">
        <v>212</v>
      </c>
      <c r="CP9" s="7"/>
      <c r="CQ9" s="7"/>
      <c r="CR9" s="10"/>
      <c r="CS9" s="7"/>
      <c r="CT9" s="7" t="s">
        <v>214</v>
      </c>
      <c r="CU9" s="7"/>
      <c r="CV9" s="7"/>
      <c r="CW9" s="7" t="s">
        <v>212</v>
      </c>
      <c r="CX9" s="7"/>
      <c r="CY9" s="7"/>
      <c r="CZ9" s="7"/>
      <c r="DA9" s="7" t="s">
        <v>209</v>
      </c>
      <c r="DB9" s="7"/>
      <c r="DC9" s="7" t="s">
        <v>214</v>
      </c>
      <c r="DD9" s="7" t="s">
        <v>209</v>
      </c>
      <c r="DE9" s="7" t="s">
        <v>212</v>
      </c>
      <c r="DF9" s="7"/>
      <c r="DG9" s="7"/>
      <c r="DH9" s="7" t="s">
        <v>212</v>
      </c>
      <c r="DI9" s="7"/>
      <c r="DJ9" s="7"/>
      <c r="DK9" s="7"/>
      <c r="DL9" s="7"/>
      <c r="DM9" s="7" t="s">
        <v>212</v>
      </c>
      <c r="DN9" s="7" t="s">
        <v>212</v>
      </c>
      <c r="DO9" s="10"/>
      <c r="DP9" s="7"/>
    </row>
    <row r="10">
      <c r="A10" s="6" t="s">
        <v>19</v>
      </c>
      <c r="B10" s="7">
        <f t="shared" si="1"/>
        <v>42</v>
      </c>
      <c r="C10" s="9">
        <f t="shared" si="2"/>
        <v>28</v>
      </c>
      <c r="D10" s="10">
        <f t="shared" si="3"/>
        <v>6</v>
      </c>
      <c r="E10" s="7" t="s">
        <v>209</v>
      </c>
      <c r="F10" s="7"/>
      <c r="G10" s="7"/>
      <c r="H10" s="7"/>
      <c r="I10" s="7" t="s">
        <v>214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 t="s">
        <v>214</v>
      </c>
      <c r="V10" s="7"/>
      <c r="W10" s="7" t="s">
        <v>212</v>
      </c>
      <c r="X10" s="7" t="s">
        <v>209</v>
      </c>
      <c r="Y10" s="7" t="s">
        <v>209</v>
      </c>
      <c r="Z10" s="7" t="s">
        <v>209</v>
      </c>
      <c r="AA10" s="10"/>
      <c r="AB10" s="7"/>
      <c r="AC10" s="7" t="s">
        <v>209</v>
      </c>
      <c r="AD10" s="7"/>
      <c r="AE10" s="7"/>
      <c r="AF10" s="7"/>
      <c r="AG10" s="7" t="s">
        <v>209</v>
      </c>
      <c r="AH10" s="7"/>
      <c r="AI10" s="7"/>
      <c r="AJ10" s="7"/>
      <c r="AK10" s="7" t="s">
        <v>209</v>
      </c>
      <c r="AL10" s="7"/>
      <c r="AM10" s="7"/>
      <c r="AN10" s="7" t="s">
        <v>209</v>
      </c>
      <c r="AO10" s="7" t="s">
        <v>212</v>
      </c>
      <c r="AP10" s="7"/>
      <c r="AQ10" s="7"/>
      <c r="AR10" s="7"/>
      <c r="AS10" s="7" t="s">
        <v>212</v>
      </c>
      <c r="AT10" s="7"/>
      <c r="AU10" s="7" t="s">
        <v>209</v>
      </c>
      <c r="AV10" s="7"/>
      <c r="AW10" s="7"/>
      <c r="AX10" s="10"/>
      <c r="AY10" s="7"/>
      <c r="AZ10" s="7" t="s">
        <v>209</v>
      </c>
      <c r="BA10" s="7" t="s">
        <v>209</v>
      </c>
      <c r="BB10" s="7" t="s">
        <v>209</v>
      </c>
      <c r="BC10" s="7" t="s">
        <v>209</v>
      </c>
      <c r="BD10" s="7" t="s">
        <v>209</v>
      </c>
      <c r="BE10" s="7" t="s">
        <v>209</v>
      </c>
      <c r="BF10" s="7" t="s">
        <v>209</v>
      </c>
      <c r="BG10" s="7" t="s">
        <v>212</v>
      </c>
      <c r="BH10" s="7" t="s">
        <v>212</v>
      </c>
      <c r="BI10" s="7"/>
      <c r="BJ10" s="7" t="s">
        <v>209</v>
      </c>
      <c r="BK10" s="7" t="s">
        <v>209</v>
      </c>
      <c r="BL10" s="7" t="s">
        <v>212</v>
      </c>
      <c r="BM10" s="7" t="s">
        <v>214</v>
      </c>
      <c r="BN10" s="7" t="s">
        <v>209</v>
      </c>
      <c r="BO10" s="7"/>
      <c r="BP10" s="7" t="s">
        <v>209</v>
      </c>
      <c r="BQ10" s="7" t="s">
        <v>209</v>
      </c>
      <c r="BR10" s="7"/>
      <c r="BS10" s="7"/>
      <c r="BT10" s="7"/>
      <c r="BU10" s="10"/>
      <c r="BV10" s="7" t="s">
        <v>212</v>
      </c>
      <c r="BW10" s="7" t="s">
        <v>212</v>
      </c>
      <c r="BX10" s="7" t="s">
        <v>209</v>
      </c>
      <c r="BY10" s="7"/>
      <c r="BZ10" s="7"/>
      <c r="CA10" s="7" t="s">
        <v>209</v>
      </c>
      <c r="CB10" s="7" t="s">
        <v>214</v>
      </c>
      <c r="CC10" s="7" t="s">
        <v>212</v>
      </c>
      <c r="CD10" s="7"/>
      <c r="CE10" s="7"/>
      <c r="CF10" s="7"/>
      <c r="CG10" s="7"/>
      <c r="CH10" s="7"/>
      <c r="CI10" s="7" t="s">
        <v>209</v>
      </c>
      <c r="CJ10" s="7" t="s">
        <v>212</v>
      </c>
      <c r="CK10" s="7" t="s">
        <v>212</v>
      </c>
      <c r="CL10" s="7"/>
      <c r="CM10" s="7"/>
      <c r="CN10" s="7"/>
      <c r="CO10" s="7"/>
      <c r="CP10" s="7"/>
      <c r="CQ10" s="7"/>
      <c r="CR10" s="10"/>
      <c r="CS10" s="7"/>
      <c r="CT10" s="7" t="s">
        <v>209</v>
      </c>
      <c r="CU10" s="7" t="s">
        <v>209</v>
      </c>
      <c r="CV10" s="7"/>
      <c r="CW10" s="7" t="s">
        <v>209</v>
      </c>
      <c r="CX10" s="7"/>
      <c r="CY10" s="7"/>
      <c r="CZ10" s="7" t="s">
        <v>212</v>
      </c>
      <c r="DA10" s="7" t="s">
        <v>212</v>
      </c>
      <c r="DB10" s="7"/>
      <c r="DC10" s="7" t="s">
        <v>214</v>
      </c>
      <c r="DD10" s="7"/>
      <c r="DE10" s="7"/>
      <c r="DF10" s="7" t="s">
        <v>209</v>
      </c>
      <c r="DG10" s="7" t="s">
        <v>212</v>
      </c>
      <c r="DH10" s="7" t="s">
        <v>214</v>
      </c>
      <c r="DI10" s="7"/>
      <c r="DJ10" s="7"/>
      <c r="DK10" s="7"/>
      <c r="DL10" s="7"/>
      <c r="DM10" s="7"/>
      <c r="DN10" s="7"/>
      <c r="DO10" s="10"/>
      <c r="DP10" s="7"/>
    </row>
    <row r="11">
      <c r="A11" s="6" t="s">
        <v>48</v>
      </c>
      <c r="B11" s="7">
        <f t="shared" si="1"/>
        <v>62</v>
      </c>
      <c r="C11" s="9">
        <f t="shared" si="2"/>
        <v>36</v>
      </c>
      <c r="D11" s="10">
        <f t="shared" si="3"/>
        <v>10</v>
      </c>
      <c r="E11" s="7" t="s">
        <v>212</v>
      </c>
      <c r="F11" s="7"/>
      <c r="G11" s="7" t="s">
        <v>212</v>
      </c>
      <c r="H11" s="7" t="s">
        <v>209</v>
      </c>
      <c r="I11" s="7" t="s">
        <v>209</v>
      </c>
      <c r="J11" s="7" t="s">
        <v>209</v>
      </c>
      <c r="K11" s="7" t="s">
        <v>209</v>
      </c>
      <c r="L11" s="7" t="s">
        <v>209</v>
      </c>
      <c r="M11" s="7" t="s">
        <v>209</v>
      </c>
      <c r="N11" s="7" t="s">
        <v>214</v>
      </c>
      <c r="O11" s="7"/>
      <c r="P11" s="7" t="s">
        <v>209</v>
      </c>
      <c r="Q11" s="7" t="s">
        <v>214</v>
      </c>
      <c r="R11" s="7" t="s">
        <v>209</v>
      </c>
      <c r="S11" s="7" t="s">
        <v>209</v>
      </c>
      <c r="T11" s="7" t="s">
        <v>209</v>
      </c>
      <c r="U11" s="7" t="s">
        <v>212</v>
      </c>
      <c r="V11" s="7"/>
      <c r="W11" s="7"/>
      <c r="X11" s="7" t="s">
        <v>209</v>
      </c>
      <c r="Y11" s="7" t="s">
        <v>212</v>
      </c>
      <c r="Z11" s="7" t="s">
        <v>209</v>
      </c>
      <c r="AA11" s="10"/>
      <c r="AB11" s="7" t="s">
        <v>209</v>
      </c>
      <c r="AC11" s="7" t="s">
        <v>209</v>
      </c>
      <c r="AD11" s="7" t="s">
        <v>212</v>
      </c>
      <c r="AE11" s="7" t="s">
        <v>214</v>
      </c>
      <c r="AF11" s="7" t="s">
        <v>209</v>
      </c>
      <c r="AG11" s="7" t="s">
        <v>209</v>
      </c>
      <c r="AH11" s="7" t="s">
        <v>209</v>
      </c>
      <c r="AI11" s="7" t="s">
        <v>209</v>
      </c>
      <c r="AJ11" s="7" t="s">
        <v>209</v>
      </c>
      <c r="AK11" s="7" t="s">
        <v>209</v>
      </c>
      <c r="AL11" s="7"/>
      <c r="AM11" s="7" t="s">
        <v>214</v>
      </c>
      <c r="AN11" s="7"/>
      <c r="AO11" s="7" t="s">
        <v>212</v>
      </c>
      <c r="AP11" s="7"/>
      <c r="AQ11" s="7"/>
      <c r="AR11" s="7" t="s">
        <v>209</v>
      </c>
      <c r="AS11" s="7"/>
      <c r="AT11" s="7" t="s">
        <v>209</v>
      </c>
      <c r="AU11" s="7" t="s">
        <v>209</v>
      </c>
      <c r="AV11" s="7" t="s">
        <v>212</v>
      </c>
      <c r="AW11" s="7" t="s">
        <v>214</v>
      </c>
      <c r="AX11" s="10" t="s">
        <v>212</v>
      </c>
      <c r="AY11" s="7"/>
      <c r="AZ11" s="7" t="s">
        <v>209</v>
      </c>
      <c r="BA11" s="7" t="s">
        <v>212</v>
      </c>
      <c r="BB11" s="7"/>
      <c r="BC11" s="7"/>
      <c r="BD11" s="7" t="s">
        <v>212</v>
      </c>
      <c r="BE11" s="7" t="s">
        <v>209</v>
      </c>
      <c r="BF11" s="7" t="s">
        <v>209</v>
      </c>
      <c r="BG11" s="7"/>
      <c r="BH11" s="7" t="s">
        <v>212</v>
      </c>
      <c r="BI11" s="7"/>
      <c r="BJ11" s="7"/>
      <c r="BK11" s="7" t="s">
        <v>214</v>
      </c>
      <c r="BL11" s="7" t="s">
        <v>214</v>
      </c>
      <c r="BM11" s="7" t="s">
        <v>212</v>
      </c>
      <c r="BN11" s="7" t="s">
        <v>212</v>
      </c>
      <c r="BO11" s="7" t="s">
        <v>212</v>
      </c>
      <c r="BP11" s="7"/>
      <c r="BQ11" s="7"/>
      <c r="BR11" s="7"/>
      <c r="BS11" s="7"/>
      <c r="BT11" s="7"/>
      <c r="BU11" s="10"/>
      <c r="BV11" s="7"/>
      <c r="BW11" s="7" t="s">
        <v>212</v>
      </c>
      <c r="BX11" s="7" t="s">
        <v>212</v>
      </c>
      <c r="BY11" s="7" t="s">
        <v>209</v>
      </c>
      <c r="BZ11" s="7"/>
      <c r="CA11" s="7"/>
      <c r="CB11" s="7" t="s">
        <v>209</v>
      </c>
      <c r="CC11" s="7" t="s">
        <v>209</v>
      </c>
      <c r="CD11" s="7" t="s">
        <v>212</v>
      </c>
      <c r="CE11" s="7"/>
      <c r="CF11" s="7" t="s">
        <v>209</v>
      </c>
      <c r="CG11" s="7" t="s">
        <v>209</v>
      </c>
      <c r="CH11" s="7"/>
      <c r="CI11" s="7" t="s">
        <v>209</v>
      </c>
      <c r="CJ11" s="7"/>
      <c r="CK11" s="7"/>
      <c r="CL11" s="7"/>
      <c r="CM11" s="7"/>
      <c r="CN11" s="7"/>
      <c r="CO11" s="7" t="s">
        <v>214</v>
      </c>
      <c r="CP11" s="7" t="s">
        <v>212</v>
      </c>
      <c r="CQ11" s="7" t="s">
        <v>209</v>
      </c>
      <c r="CR11" s="10"/>
      <c r="CS11" s="7"/>
      <c r="CT11" s="7"/>
      <c r="CU11" s="7" t="s">
        <v>209</v>
      </c>
      <c r="CV11" s="7" t="s">
        <v>212</v>
      </c>
      <c r="CW11" s="7" t="s">
        <v>212</v>
      </c>
      <c r="CX11" s="7"/>
      <c r="CY11" s="7" t="s">
        <v>212</v>
      </c>
      <c r="CZ11" s="7"/>
      <c r="DA11" s="7"/>
      <c r="DB11" s="7"/>
      <c r="DC11" s="7" t="s">
        <v>214</v>
      </c>
      <c r="DD11" s="7"/>
      <c r="DE11" s="7" t="s">
        <v>212</v>
      </c>
      <c r="DF11" s="7" t="s">
        <v>209</v>
      </c>
      <c r="DG11" s="7" t="s">
        <v>214</v>
      </c>
      <c r="DH11" s="7" t="s">
        <v>212</v>
      </c>
      <c r="DI11" s="7" t="s">
        <v>212</v>
      </c>
      <c r="DJ11" s="7"/>
      <c r="DK11" s="7" t="s">
        <v>212</v>
      </c>
      <c r="DL11" s="7" t="s">
        <v>212</v>
      </c>
      <c r="DM11" s="7"/>
      <c r="DN11" s="7" t="s">
        <v>209</v>
      </c>
      <c r="DO11" s="10"/>
      <c r="DP11" s="7"/>
    </row>
    <row r="12">
      <c r="A12" s="6" t="s">
        <v>57</v>
      </c>
      <c r="B12" s="7">
        <f t="shared" si="1"/>
        <v>43</v>
      </c>
      <c r="C12" s="9">
        <f t="shared" si="2"/>
        <v>18</v>
      </c>
      <c r="D12" s="10">
        <f t="shared" si="3"/>
        <v>3</v>
      </c>
      <c r="E12" s="7"/>
      <c r="F12" s="7"/>
      <c r="G12" s="7"/>
      <c r="H12" s="7"/>
      <c r="I12" s="7"/>
      <c r="J12" s="7" t="s">
        <v>209</v>
      </c>
      <c r="K12" s="7"/>
      <c r="L12" s="7"/>
      <c r="M12" s="7"/>
      <c r="N12" s="7"/>
      <c r="O12" s="7"/>
      <c r="P12" s="7"/>
      <c r="Q12" s="7" t="s">
        <v>214</v>
      </c>
      <c r="R12" s="7"/>
      <c r="S12" s="7" t="s">
        <v>212</v>
      </c>
      <c r="T12" s="7" t="s">
        <v>209</v>
      </c>
      <c r="U12" s="7"/>
      <c r="V12" s="7"/>
      <c r="W12" s="7"/>
      <c r="X12" s="7"/>
      <c r="Y12" s="7"/>
      <c r="Z12" s="7"/>
      <c r="AA12" s="10"/>
      <c r="AB12" s="7" t="s">
        <v>209</v>
      </c>
      <c r="AC12" s="7"/>
      <c r="AD12" s="7" t="s">
        <v>212</v>
      </c>
      <c r="AE12" s="7"/>
      <c r="AF12" s="7" t="s">
        <v>209</v>
      </c>
      <c r="AG12" s="7"/>
      <c r="AH12" s="7"/>
      <c r="AI12" s="7"/>
      <c r="AJ12" s="7"/>
      <c r="AK12" s="7"/>
      <c r="AL12" s="7" t="s">
        <v>212</v>
      </c>
      <c r="AM12" s="7"/>
      <c r="AN12" s="7" t="s">
        <v>209</v>
      </c>
      <c r="AO12" s="7" t="s">
        <v>212</v>
      </c>
      <c r="AP12" s="7" t="s">
        <v>212</v>
      </c>
      <c r="AQ12" s="7" t="s">
        <v>212</v>
      </c>
      <c r="AR12" s="7"/>
      <c r="AS12" s="7"/>
      <c r="AT12" s="7"/>
      <c r="AU12" s="7"/>
      <c r="AV12" s="7"/>
      <c r="AW12" s="7"/>
      <c r="AX12" s="10"/>
      <c r="AY12" s="7" t="s">
        <v>214</v>
      </c>
      <c r="AZ12" s="7" t="s">
        <v>212</v>
      </c>
      <c r="BA12" s="7"/>
      <c r="BB12" s="7" t="s">
        <v>209</v>
      </c>
      <c r="BC12" s="7" t="s">
        <v>212</v>
      </c>
      <c r="BD12" s="7" t="s">
        <v>212</v>
      </c>
      <c r="BE12" s="7"/>
      <c r="BF12" s="7" t="s">
        <v>209</v>
      </c>
      <c r="BG12" s="7" t="s">
        <v>212</v>
      </c>
      <c r="BH12" s="7" t="s">
        <v>212</v>
      </c>
      <c r="BI12" s="7"/>
      <c r="BJ12" s="7" t="s">
        <v>209</v>
      </c>
      <c r="BK12" s="7" t="s">
        <v>209</v>
      </c>
      <c r="BL12" s="7" t="s">
        <v>212</v>
      </c>
      <c r="BM12" s="7"/>
      <c r="BN12" s="7" t="s">
        <v>209</v>
      </c>
      <c r="BO12" s="7" t="s">
        <v>212</v>
      </c>
      <c r="BP12" s="7"/>
      <c r="BQ12" s="7"/>
      <c r="BR12" s="7"/>
      <c r="BS12" s="7"/>
      <c r="BT12" s="7"/>
      <c r="BU12" s="10"/>
      <c r="BV12" s="7" t="s">
        <v>209</v>
      </c>
      <c r="BW12" s="7" t="s">
        <v>212</v>
      </c>
      <c r="BX12" s="7"/>
      <c r="BY12" s="7" t="s">
        <v>209</v>
      </c>
      <c r="BZ12" s="7" t="s">
        <v>209</v>
      </c>
      <c r="CA12" s="7"/>
      <c r="CB12" s="7" t="s">
        <v>209</v>
      </c>
      <c r="CC12" s="7"/>
      <c r="CD12" s="7"/>
      <c r="CE12" s="7"/>
      <c r="CF12" s="7"/>
      <c r="CG12" s="7"/>
      <c r="CH12" s="7"/>
      <c r="CI12" s="7"/>
      <c r="CJ12" s="7" t="s">
        <v>212</v>
      </c>
      <c r="CK12" s="7"/>
      <c r="CL12" s="7"/>
      <c r="CM12" s="7" t="s">
        <v>212</v>
      </c>
      <c r="CN12" s="7" t="s">
        <v>214</v>
      </c>
      <c r="CO12" s="7"/>
      <c r="CP12" s="7"/>
      <c r="CQ12" s="7"/>
      <c r="CR12" s="10"/>
      <c r="CS12" s="7"/>
      <c r="CT12" s="7" t="s">
        <v>212</v>
      </c>
      <c r="CU12" s="7" t="s">
        <v>212</v>
      </c>
      <c r="CV12" s="7" t="s">
        <v>209</v>
      </c>
      <c r="CW12" s="7" t="s">
        <v>212</v>
      </c>
      <c r="CX12" s="7" t="s">
        <v>212</v>
      </c>
      <c r="CY12" s="7"/>
      <c r="CZ12" s="7" t="s">
        <v>212</v>
      </c>
      <c r="DA12" s="7" t="s">
        <v>209</v>
      </c>
      <c r="DB12" s="7"/>
      <c r="DC12" s="7"/>
      <c r="DD12" s="7" t="s">
        <v>209</v>
      </c>
      <c r="DE12" s="7" t="s">
        <v>212</v>
      </c>
      <c r="DF12" s="7"/>
      <c r="DG12" s="7"/>
      <c r="DH12" s="7" t="s">
        <v>212</v>
      </c>
      <c r="DI12" s="7" t="s">
        <v>212</v>
      </c>
      <c r="DJ12" s="7" t="s">
        <v>209</v>
      </c>
      <c r="DK12" s="7" t="s">
        <v>212</v>
      </c>
      <c r="DL12" s="7"/>
      <c r="DM12" s="7"/>
      <c r="DN12" s="7"/>
      <c r="DO12" s="10"/>
      <c r="DP12" s="7"/>
    </row>
    <row r="13">
      <c r="A13" s="6" t="s">
        <v>80</v>
      </c>
      <c r="B13" s="7">
        <f t="shared" si="1"/>
        <v>10</v>
      </c>
      <c r="C13" s="9">
        <f t="shared" si="2"/>
        <v>2</v>
      </c>
      <c r="D13" s="10">
        <f t="shared" si="3"/>
        <v>1</v>
      </c>
      <c r="E13" s="7"/>
      <c r="F13" s="7"/>
      <c r="G13" s="7" t="s">
        <v>212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 t="s">
        <v>209</v>
      </c>
      <c r="T13" s="7"/>
      <c r="U13" s="7"/>
      <c r="V13" s="7"/>
      <c r="W13" s="7"/>
      <c r="X13" s="7"/>
      <c r="Y13" s="7"/>
      <c r="Z13" s="7"/>
      <c r="AA13" s="10"/>
      <c r="AB13" s="7"/>
      <c r="AC13" s="7" t="s">
        <v>214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 t="s">
        <v>212</v>
      </c>
      <c r="AR13" s="7"/>
      <c r="AS13" s="7"/>
      <c r="AT13" s="7"/>
      <c r="AU13" s="7"/>
      <c r="AV13" s="7"/>
      <c r="AW13" s="7"/>
      <c r="AX13" s="10"/>
      <c r="AY13" s="7"/>
      <c r="AZ13" s="7"/>
      <c r="BA13" s="7"/>
      <c r="BB13" s="7"/>
      <c r="BC13" s="7"/>
      <c r="BD13" s="7"/>
      <c r="BE13" s="7"/>
      <c r="BF13" s="7" t="s">
        <v>209</v>
      </c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10"/>
      <c r="BV13" s="7"/>
      <c r="BW13" s="7"/>
      <c r="BX13" s="7" t="s">
        <v>212</v>
      </c>
      <c r="BY13" s="7"/>
      <c r="BZ13" s="7"/>
      <c r="CA13" s="7"/>
      <c r="CB13" s="7" t="s">
        <v>212</v>
      </c>
      <c r="CC13" s="7"/>
      <c r="CD13" s="7"/>
      <c r="CE13" s="7"/>
      <c r="CF13" s="7"/>
      <c r="CG13" s="7"/>
      <c r="CH13" s="7"/>
      <c r="CI13" s="7"/>
      <c r="CJ13" s="7"/>
      <c r="CK13" s="7" t="s">
        <v>212</v>
      </c>
      <c r="CL13" s="7"/>
      <c r="CM13" s="7"/>
      <c r="CN13" s="7"/>
      <c r="CO13" s="7"/>
      <c r="CP13" s="7"/>
      <c r="CQ13" s="7"/>
      <c r="CR13" s="10"/>
      <c r="CS13" s="7"/>
      <c r="CT13" s="7"/>
      <c r="CU13" s="7" t="s">
        <v>212</v>
      </c>
      <c r="CV13" s="7"/>
      <c r="CW13" s="7"/>
      <c r="CX13" s="7" t="s">
        <v>212</v>
      </c>
      <c r="CY13" s="7"/>
      <c r="CZ13" s="7"/>
      <c r="DA13" s="7"/>
      <c r="DB13" s="7" t="s">
        <v>212</v>
      </c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10"/>
      <c r="DP13" s="7"/>
    </row>
    <row r="14">
      <c r="A14" s="6" t="s">
        <v>60</v>
      </c>
      <c r="B14" s="7">
        <f t="shared" si="1"/>
        <v>61</v>
      </c>
      <c r="C14" s="9">
        <f t="shared" si="2"/>
        <v>34</v>
      </c>
      <c r="D14" s="10">
        <f t="shared" si="3"/>
        <v>9</v>
      </c>
      <c r="E14" s="7" t="s">
        <v>212</v>
      </c>
      <c r="F14" s="7"/>
      <c r="G14" s="7" t="s">
        <v>209</v>
      </c>
      <c r="H14" s="7" t="s">
        <v>209</v>
      </c>
      <c r="I14" s="7"/>
      <c r="J14" s="7" t="s">
        <v>209</v>
      </c>
      <c r="K14" s="7" t="s">
        <v>212</v>
      </c>
      <c r="L14" s="7" t="s">
        <v>209</v>
      </c>
      <c r="M14" s="7" t="s">
        <v>209</v>
      </c>
      <c r="N14" s="7"/>
      <c r="O14" s="7"/>
      <c r="P14" s="7" t="s">
        <v>209</v>
      </c>
      <c r="Q14" s="7" t="s">
        <v>209</v>
      </c>
      <c r="R14" s="7" t="s">
        <v>212</v>
      </c>
      <c r="S14" s="7" t="s">
        <v>209</v>
      </c>
      <c r="T14" s="7" t="s">
        <v>212</v>
      </c>
      <c r="U14" s="7" t="s">
        <v>214</v>
      </c>
      <c r="V14" s="7"/>
      <c r="W14" s="7"/>
      <c r="X14" s="7"/>
      <c r="Y14" s="7" t="s">
        <v>214</v>
      </c>
      <c r="Z14" s="7"/>
      <c r="AA14" s="10"/>
      <c r="AB14" s="7"/>
      <c r="AC14" s="7" t="s">
        <v>209</v>
      </c>
      <c r="AD14" s="7" t="s">
        <v>212</v>
      </c>
      <c r="AE14" s="7"/>
      <c r="AF14" s="7" t="s">
        <v>209</v>
      </c>
      <c r="AG14" s="7" t="s">
        <v>209</v>
      </c>
      <c r="AH14" s="7" t="s">
        <v>209</v>
      </c>
      <c r="AI14" s="7" t="s">
        <v>212</v>
      </c>
      <c r="AJ14" s="7" t="s">
        <v>209</v>
      </c>
      <c r="AK14" s="7" t="s">
        <v>209</v>
      </c>
      <c r="AL14" s="7" t="s">
        <v>212</v>
      </c>
      <c r="AM14" s="7" t="s">
        <v>214</v>
      </c>
      <c r="AN14" s="7" t="s">
        <v>214</v>
      </c>
      <c r="AO14" s="7" t="s">
        <v>209</v>
      </c>
      <c r="AP14" s="7"/>
      <c r="AQ14" s="7"/>
      <c r="AR14" s="7"/>
      <c r="AS14" s="7" t="s">
        <v>209</v>
      </c>
      <c r="AT14" s="7" t="s">
        <v>212</v>
      </c>
      <c r="AU14" s="7"/>
      <c r="AV14" s="7" t="s">
        <v>212</v>
      </c>
      <c r="AW14" s="7" t="s">
        <v>209</v>
      </c>
      <c r="AX14" s="10" t="s">
        <v>212</v>
      </c>
      <c r="AY14" s="7" t="s">
        <v>209</v>
      </c>
      <c r="AZ14" s="7" t="s">
        <v>214</v>
      </c>
      <c r="BA14" s="7" t="s">
        <v>212</v>
      </c>
      <c r="BB14" s="7" t="s">
        <v>209</v>
      </c>
      <c r="BC14" s="7" t="s">
        <v>209</v>
      </c>
      <c r="BD14" s="7" t="s">
        <v>209</v>
      </c>
      <c r="BE14" s="7"/>
      <c r="BF14" s="7" t="s">
        <v>209</v>
      </c>
      <c r="BG14" s="7" t="s">
        <v>209</v>
      </c>
      <c r="BH14" s="7" t="s">
        <v>214</v>
      </c>
      <c r="BI14" s="7" t="s">
        <v>209</v>
      </c>
      <c r="BJ14" s="7" t="s">
        <v>212</v>
      </c>
      <c r="BK14" s="7" t="s">
        <v>209</v>
      </c>
      <c r="BL14" s="7" t="s">
        <v>212</v>
      </c>
      <c r="BM14" s="7"/>
      <c r="BN14" s="7" t="s">
        <v>212</v>
      </c>
      <c r="BO14" s="7" t="s">
        <v>212</v>
      </c>
      <c r="BP14" s="7"/>
      <c r="BQ14" s="7" t="s">
        <v>209</v>
      </c>
      <c r="BR14" s="7"/>
      <c r="BS14" s="7" t="s">
        <v>209</v>
      </c>
      <c r="BT14" s="7"/>
      <c r="BU14" s="10"/>
      <c r="BV14" s="7"/>
      <c r="BW14" s="7" t="s">
        <v>214</v>
      </c>
      <c r="BX14" s="7" t="s">
        <v>212</v>
      </c>
      <c r="BY14" s="7"/>
      <c r="BZ14" s="7"/>
      <c r="CA14" s="7" t="s">
        <v>209</v>
      </c>
      <c r="CB14" s="7"/>
      <c r="CC14" s="7" t="s">
        <v>212</v>
      </c>
      <c r="CD14" s="7" t="s">
        <v>212</v>
      </c>
      <c r="CE14" s="7" t="s">
        <v>212</v>
      </c>
      <c r="CF14" s="7" t="s">
        <v>209</v>
      </c>
      <c r="CG14" s="7" t="s">
        <v>209</v>
      </c>
      <c r="CH14" s="7" t="s">
        <v>212</v>
      </c>
      <c r="CI14" s="7" t="s">
        <v>212</v>
      </c>
      <c r="CJ14" s="7"/>
      <c r="CK14" s="7" t="s">
        <v>212</v>
      </c>
      <c r="CL14" s="7" t="s">
        <v>209</v>
      </c>
      <c r="CM14" s="7"/>
      <c r="CN14" s="7" t="s">
        <v>212</v>
      </c>
      <c r="CO14" s="7" t="s">
        <v>212</v>
      </c>
      <c r="CP14" s="7"/>
      <c r="CQ14" s="7"/>
      <c r="CR14" s="10"/>
      <c r="CS14" s="7"/>
      <c r="CT14" s="7"/>
      <c r="CU14" s="7" t="s">
        <v>209</v>
      </c>
      <c r="CV14" s="7" t="s">
        <v>212</v>
      </c>
      <c r="CW14" s="7"/>
      <c r="CX14" s="7"/>
      <c r="CY14" s="7" t="s">
        <v>212</v>
      </c>
      <c r="CZ14" s="7"/>
      <c r="DA14" s="7"/>
      <c r="DB14" s="7"/>
      <c r="DC14" s="7" t="s">
        <v>209</v>
      </c>
      <c r="DD14" s="7" t="s">
        <v>214</v>
      </c>
      <c r="DE14" s="7" t="s">
        <v>214</v>
      </c>
      <c r="DF14" s="7" t="s">
        <v>212</v>
      </c>
      <c r="DG14" s="7" t="s">
        <v>209</v>
      </c>
      <c r="DH14" s="7"/>
      <c r="DI14" s="7"/>
      <c r="DJ14" s="7"/>
      <c r="DK14" s="7"/>
      <c r="DL14" s="7"/>
      <c r="DM14" s="7"/>
      <c r="DN14" s="7"/>
      <c r="DO14" s="10"/>
      <c r="DP14" s="7"/>
    </row>
    <row r="15">
      <c r="A15" s="6" t="s">
        <v>92</v>
      </c>
      <c r="B15" s="7">
        <f t="shared" si="1"/>
        <v>16</v>
      </c>
      <c r="C15" s="9">
        <f t="shared" si="2"/>
        <v>3</v>
      </c>
      <c r="D15" s="10">
        <f t="shared" si="3"/>
        <v>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10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 t="s">
        <v>212</v>
      </c>
      <c r="AT15" s="7"/>
      <c r="AU15" s="7" t="s">
        <v>212</v>
      </c>
      <c r="AV15" s="7"/>
      <c r="AW15" s="7"/>
      <c r="AX15" s="10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 t="s">
        <v>209</v>
      </c>
      <c r="BL15" s="7"/>
      <c r="BM15" s="7"/>
      <c r="BN15" s="7"/>
      <c r="BO15" s="7"/>
      <c r="BP15" s="7"/>
      <c r="BQ15" s="7"/>
      <c r="BR15" s="7"/>
      <c r="BS15" s="7" t="s">
        <v>209</v>
      </c>
      <c r="BT15" s="7"/>
      <c r="BU15" s="10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 t="s">
        <v>212</v>
      </c>
      <c r="CH15" s="7" t="s">
        <v>212</v>
      </c>
      <c r="CI15" s="7" t="s">
        <v>212</v>
      </c>
      <c r="CJ15" s="7"/>
      <c r="CK15" s="7" t="s">
        <v>212</v>
      </c>
      <c r="CL15" s="7"/>
      <c r="CM15" s="7" t="s">
        <v>212</v>
      </c>
      <c r="CN15" s="7"/>
      <c r="CO15" s="7"/>
      <c r="CP15" s="7"/>
      <c r="CQ15" s="7"/>
      <c r="CR15" s="10"/>
      <c r="CS15" s="7"/>
      <c r="CT15" s="7"/>
      <c r="CU15" s="7" t="s">
        <v>212</v>
      </c>
      <c r="CV15" s="7"/>
      <c r="CW15" s="7"/>
      <c r="CX15" s="7"/>
      <c r="CY15" s="7" t="s">
        <v>212</v>
      </c>
      <c r="CZ15" s="7"/>
      <c r="DA15" s="7"/>
      <c r="DB15" s="7"/>
      <c r="DC15" s="7"/>
      <c r="DD15" s="7"/>
      <c r="DE15" s="7"/>
      <c r="DF15" s="7" t="s">
        <v>214</v>
      </c>
      <c r="DG15" s="7" t="s">
        <v>212</v>
      </c>
      <c r="DH15" s="7"/>
      <c r="DI15" s="7"/>
      <c r="DJ15" s="7" t="s">
        <v>212</v>
      </c>
      <c r="DK15" s="7" t="s">
        <v>209</v>
      </c>
      <c r="DL15" s="7" t="s">
        <v>212</v>
      </c>
      <c r="DM15" s="7"/>
      <c r="DN15" s="7"/>
      <c r="DO15" s="10" t="s">
        <v>212</v>
      </c>
      <c r="DP15" s="7"/>
    </row>
    <row r="16">
      <c r="A16" s="6" t="s">
        <v>61</v>
      </c>
      <c r="B16" s="7">
        <f t="shared" si="1"/>
        <v>35</v>
      </c>
      <c r="C16" s="9">
        <f t="shared" si="2"/>
        <v>16</v>
      </c>
      <c r="D16" s="10">
        <f t="shared" si="3"/>
        <v>4</v>
      </c>
      <c r="E16" s="7"/>
      <c r="F16" s="7"/>
      <c r="G16" s="7"/>
      <c r="H16" s="7"/>
      <c r="I16" s="7"/>
      <c r="J16" s="7"/>
      <c r="K16" s="7"/>
      <c r="L16" s="7"/>
      <c r="M16" s="7"/>
      <c r="N16" s="7" t="s">
        <v>209</v>
      </c>
      <c r="O16" s="7"/>
      <c r="P16" s="7"/>
      <c r="Q16" s="7"/>
      <c r="R16" s="7"/>
      <c r="S16" s="7"/>
      <c r="T16" s="7"/>
      <c r="U16" s="7" t="s">
        <v>209</v>
      </c>
      <c r="V16" s="7" t="s">
        <v>212</v>
      </c>
      <c r="W16" s="7"/>
      <c r="X16" s="7" t="s">
        <v>212</v>
      </c>
      <c r="Y16" s="7" t="s">
        <v>212</v>
      </c>
      <c r="Z16" s="7"/>
      <c r="AA16" s="10"/>
      <c r="AB16" s="7"/>
      <c r="AC16" s="7" t="s">
        <v>209</v>
      </c>
      <c r="AD16" s="7"/>
      <c r="AE16" s="7" t="s">
        <v>212</v>
      </c>
      <c r="AF16" s="7"/>
      <c r="AG16" s="7" t="s">
        <v>209</v>
      </c>
      <c r="AH16" s="7" t="s">
        <v>209</v>
      </c>
      <c r="AI16" s="7" t="s">
        <v>209</v>
      </c>
      <c r="AJ16" s="7"/>
      <c r="AK16" s="7"/>
      <c r="AL16" s="7"/>
      <c r="AM16" s="7" t="s">
        <v>212</v>
      </c>
      <c r="AN16" s="7"/>
      <c r="AO16" s="7"/>
      <c r="AP16" s="7"/>
      <c r="AQ16" s="7"/>
      <c r="AR16" s="7"/>
      <c r="AS16" s="7" t="s">
        <v>212</v>
      </c>
      <c r="AT16" s="7" t="s">
        <v>209</v>
      </c>
      <c r="AU16" s="7"/>
      <c r="AV16" s="7"/>
      <c r="AW16" s="7"/>
      <c r="AX16" s="10"/>
      <c r="AY16" s="7"/>
      <c r="AZ16" s="7" t="s">
        <v>209</v>
      </c>
      <c r="BA16" s="7"/>
      <c r="BB16" s="7"/>
      <c r="BC16" s="7"/>
      <c r="BD16" s="7"/>
      <c r="BE16" s="7"/>
      <c r="BF16" s="7"/>
      <c r="BG16" s="7"/>
      <c r="BH16" s="7"/>
      <c r="BI16" s="7"/>
      <c r="BJ16" s="7" t="s">
        <v>214</v>
      </c>
      <c r="BK16" s="7" t="s">
        <v>214</v>
      </c>
      <c r="BL16" s="7"/>
      <c r="BM16" s="7"/>
      <c r="BN16" s="7"/>
      <c r="BO16" s="7" t="s">
        <v>212</v>
      </c>
      <c r="BP16" s="7"/>
      <c r="BQ16" s="7"/>
      <c r="BR16" s="7"/>
      <c r="BS16" s="7"/>
      <c r="BT16" s="7"/>
      <c r="BU16" s="10"/>
      <c r="BV16" s="7"/>
      <c r="BW16" s="7" t="s">
        <v>212</v>
      </c>
      <c r="BX16" s="7" t="s">
        <v>212</v>
      </c>
      <c r="BY16" s="7"/>
      <c r="BZ16" s="7"/>
      <c r="CA16" s="7" t="s">
        <v>212</v>
      </c>
      <c r="CB16" s="7" t="s">
        <v>209</v>
      </c>
      <c r="CC16" s="7" t="s">
        <v>212</v>
      </c>
      <c r="CD16" s="7"/>
      <c r="CE16" s="7"/>
      <c r="CF16" s="7" t="s">
        <v>209</v>
      </c>
      <c r="CG16" s="7"/>
      <c r="CH16" s="7" t="s">
        <v>209</v>
      </c>
      <c r="CI16" s="7" t="s">
        <v>212</v>
      </c>
      <c r="CJ16" s="7" t="s">
        <v>212</v>
      </c>
      <c r="CK16" s="7"/>
      <c r="CL16" s="7"/>
      <c r="CM16" s="7" t="s">
        <v>209</v>
      </c>
      <c r="CN16" s="7"/>
      <c r="CO16" s="7"/>
      <c r="CP16" s="7" t="s">
        <v>212</v>
      </c>
      <c r="CQ16" s="7" t="s">
        <v>212</v>
      </c>
      <c r="CR16" s="10"/>
      <c r="CS16" s="7"/>
      <c r="CT16" s="7" t="s">
        <v>214</v>
      </c>
      <c r="CU16" s="7"/>
      <c r="CV16" s="7"/>
      <c r="CW16" s="7" t="s">
        <v>209</v>
      </c>
      <c r="CX16" s="7"/>
      <c r="CY16" s="7"/>
      <c r="CZ16" s="7" t="s">
        <v>212</v>
      </c>
      <c r="DA16" s="7"/>
      <c r="DB16" s="7"/>
      <c r="DC16" s="7" t="s">
        <v>214</v>
      </c>
      <c r="DD16" s="7"/>
      <c r="DE16" s="7" t="s">
        <v>212</v>
      </c>
      <c r="DF16" s="7" t="s">
        <v>212</v>
      </c>
      <c r="DG16" s="7"/>
      <c r="DH16" s="7"/>
      <c r="DI16" s="7"/>
      <c r="DJ16" s="7" t="s">
        <v>209</v>
      </c>
      <c r="DK16" s="7" t="s">
        <v>209</v>
      </c>
      <c r="DL16" s="7" t="s">
        <v>209</v>
      </c>
      <c r="DM16" s="7" t="s">
        <v>212</v>
      </c>
      <c r="DN16" s="7"/>
      <c r="DO16" s="10"/>
      <c r="DP16" s="7"/>
    </row>
    <row r="17">
      <c r="A17" s="6" t="s">
        <v>50</v>
      </c>
      <c r="B17" s="7">
        <f t="shared" si="1"/>
        <v>19</v>
      </c>
      <c r="C17" s="9">
        <f t="shared" si="2"/>
        <v>7</v>
      </c>
      <c r="D17" s="10">
        <f t="shared" si="3"/>
        <v>3</v>
      </c>
      <c r="E17" s="7"/>
      <c r="F17" s="7" t="s">
        <v>212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10" t="s">
        <v>212</v>
      </c>
      <c r="AB17" s="7"/>
      <c r="AC17" s="7" t="s">
        <v>209</v>
      </c>
      <c r="AD17" s="7"/>
      <c r="AE17" s="7" t="s">
        <v>209</v>
      </c>
      <c r="AF17" s="7"/>
      <c r="AG17" s="7"/>
      <c r="AH17" s="7"/>
      <c r="AI17" s="7"/>
      <c r="AJ17" s="7" t="s">
        <v>214</v>
      </c>
      <c r="AK17" s="7"/>
      <c r="AL17" s="7"/>
      <c r="AM17" s="7"/>
      <c r="AN17" s="7"/>
      <c r="AO17" s="7"/>
      <c r="AP17" s="7"/>
      <c r="AQ17" s="7" t="s">
        <v>209</v>
      </c>
      <c r="AR17" s="7"/>
      <c r="AS17" s="7"/>
      <c r="AT17" s="7"/>
      <c r="AU17" s="7"/>
      <c r="AV17" s="7"/>
      <c r="AW17" s="7"/>
      <c r="AX17" s="10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 t="s">
        <v>214</v>
      </c>
      <c r="BL17" s="7" t="s">
        <v>212</v>
      </c>
      <c r="BM17" s="7"/>
      <c r="BN17" s="7"/>
      <c r="BO17" s="7"/>
      <c r="BP17" s="7"/>
      <c r="BQ17" s="7"/>
      <c r="BR17" s="7" t="s">
        <v>209</v>
      </c>
      <c r="BS17" s="7"/>
      <c r="BT17" s="7"/>
      <c r="BU17" s="10"/>
      <c r="BV17" s="7"/>
      <c r="BW17" s="7"/>
      <c r="BX17" s="7" t="s">
        <v>212</v>
      </c>
      <c r="BY17" s="7"/>
      <c r="BZ17" s="7"/>
      <c r="CA17" s="7"/>
      <c r="CB17" s="7"/>
      <c r="CC17" s="7"/>
      <c r="CD17" s="7"/>
      <c r="CE17" s="7"/>
      <c r="CF17" s="7" t="s">
        <v>212</v>
      </c>
      <c r="CG17" s="7" t="s">
        <v>209</v>
      </c>
      <c r="CH17" s="7" t="s">
        <v>212</v>
      </c>
      <c r="CI17" s="7"/>
      <c r="CJ17" s="7" t="s">
        <v>212</v>
      </c>
      <c r="CK17" s="7" t="s">
        <v>212</v>
      </c>
      <c r="CL17" s="7"/>
      <c r="CM17" s="7"/>
      <c r="CN17" s="7"/>
      <c r="CO17" s="7" t="s">
        <v>212</v>
      </c>
      <c r="CP17" s="7"/>
      <c r="CQ17" s="7"/>
      <c r="CR17" s="10"/>
      <c r="CS17" s="7"/>
      <c r="CT17" s="7"/>
      <c r="CU17" s="7" t="s">
        <v>212</v>
      </c>
      <c r="CV17" s="7"/>
      <c r="CW17" s="7"/>
      <c r="CX17" s="7"/>
      <c r="CY17" s="7"/>
      <c r="CZ17" s="7"/>
      <c r="DA17" s="7"/>
      <c r="DB17" s="7" t="s">
        <v>212</v>
      </c>
      <c r="DC17" s="7"/>
      <c r="DD17" s="7"/>
      <c r="DE17" s="7"/>
      <c r="DF17" s="7"/>
      <c r="DG17" s="7" t="s">
        <v>212</v>
      </c>
      <c r="DH17" s="7"/>
      <c r="DI17" s="7"/>
      <c r="DJ17" s="7"/>
      <c r="DK17" s="7"/>
      <c r="DL17" s="7" t="s">
        <v>209</v>
      </c>
      <c r="DM17" s="7" t="s">
        <v>214</v>
      </c>
      <c r="DN17" s="7"/>
      <c r="DO17" s="10" t="s">
        <v>209</v>
      </c>
      <c r="DP17" s="7"/>
    </row>
    <row r="18">
      <c r="A18" s="6" t="s">
        <v>5</v>
      </c>
      <c r="B18" s="7">
        <f t="shared" si="1"/>
        <v>76</v>
      </c>
      <c r="C18" s="9">
        <f t="shared" si="2"/>
        <v>63</v>
      </c>
      <c r="D18" s="10">
        <f t="shared" si="3"/>
        <v>12</v>
      </c>
      <c r="E18" s="7" t="s">
        <v>209</v>
      </c>
      <c r="F18" s="7"/>
      <c r="G18" s="7" t="s">
        <v>212</v>
      </c>
      <c r="H18" s="7" t="s">
        <v>209</v>
      </c>
      <c r="I18" s="7" t="s">
        <v>209</v>
      </c>
      <c r="J18" s="7" t="s">
        <v>209</v>
      </c>
      <c r="K18" s="7"/>
      <c r="L18" s="7" t="s">
        <v>209</v>
      </c>
      <c r="M18" s="7" t="s">
        <v>209</v>
      </c>
      <c r="N18" s="7" t="s">
        <v>209</v>
      </c>
      <c r="O18" s="7" t="s">
        <v>209</v>
      </c>
      <c r="P18" s="7" t="s">
        <v>209</v>
      </c>
      <c r="Q18" s="7" t="s">
        <v>214</v>
      </c>
      <c r="R18" s="7" t="s">
        <v>209</v>
      </c>
      <c r="S18" s="7" t="s">
        <v>209</v>
      </c>
      <c r="T18" s="7"/>
      <c r="U18" s="7" t="s">
        <v>209</v>
      </c>
      <c r="V18" s="7" t="s">
        <v>209</v>
      </c>
      <c r="W18" s="7"/>
      <c r="X18" s="7" t="s">
        <v>209</v>
      </c>
      <c r="Y18" s="7" t="s">
        <v>209</v>
      </c>
      <c r="Z18" s="7" t="s">
        <v>209</v>
      </c>
      <c r="AA18" s="10" t="s">
        <v>212</v>
      </c>
      <c r="AB18" s="7" t="s">
        <v>209</v>
      </c>
      <c r="AC18" s="7" t="s">
        <v>209</v>
      </c>
      <c r="AD18" s="7" t="s">
        <v>209</v>
      </c>
      <c r="AE18" s="7" t="s">
        <v>214</v>
      </c>
      <c r="AF18" s="7" t="s">
        <v>209</v>
      </c>
      <c r="AG18" s="7" t="s">
        <v>209</v>
      </c>
      <c r="AH18" s="7" t="s">
        <v>209</v>
      </c>
      <c r="AI18" s="7" t="s">
        <v>209</v>
      </c>
      <c r="AJ18" s="7"/>
      <c r="AK18" s="7"/>
      <c r="AL18" s="7"/>
      <c r="AM18" s="7" t="s">
        <v>209</v>
      </c>
      <c r="AN18" s="7" t="s">
        <v>209</v>
      </c>
      <c r="AO18" s="7" t="s">
        <v>212</v>
      </c>
      <c r="AP18" s="7" t="s">
        <v>214</v>
      </c>
      <c r="AQ18" s="7"/>
      <c r="AR18" s="7" t="s">
        <v>209</v>
      </c>
      <c r="AS18" s="7" t="s">
        <v>209</v>
      </c>
      <c r="AT18" s="7" t="s">
        <v>209</v>
      </c>
      <c r="AU18" s="7" t="s">
        <v>209</v>
      </c>
      <c r="AV18" s="7" t="s">
        <v>209</v>
      </c>
      <c r="AW18" s="7" t="s">
        <v>214</v>
      </c>
      <c r="AX18" s="10" t="s">
        <v>209</v>
      </c>
      <c r="AY18" s="7"/>
      <c r="AZ18" s="7" t="s">
        <v>209</v>
      </c>
      <c r="BA18" s="7" t="s">
        <v>209</v>
      </c>
      <c r="BB18" s="7"/>
      <c r="BC18" s="7" t="s">
        <v>209</v>
      </c>
      <c r="BD18" s="7" t="s">
        <v>209</v>
      </c>
      <c r="BE18" s="7" t="s">
        <v>212</v>
      </c>
      <c r="BF18" s="7" t="s">
        <v>209</v>
      </c>
      <c r="BG18" s="7" t="s">
        <v>209</v>
      </c>
      <c r="BH18" s="7" t="s">
        <v>212</v>
      </c>
      <c r="BI18" s="7" t="s">
        <v>209</v>
      </c>
      <c r="BJ18" s="7" t="s">
        <v>209</v>
      </c>
      <c r="BK18" s="7" t="s">
        <v>214</v>
      </c>
      <c r="BL18" s="7" t="s">
        <v>209</v>
      </c>
      <c r="BM18" s="7" t="s">
        <v>209</v>
      </c>
      <c r="BN18" s="7" t="s">
        <v>212</v>
      </c>
      <c r="BO18" s="7" t="s">
        <v>212</v>
      </c>
      <c r="BP18" s="7" t="s">
        <v>209</v>
      </c>
      <c r="BQ18" s="7" t="s">
        <v>209</v>
      </c>
      <c r="BR18" s="7"/>
      <c r="BS18" s="7"/>
      <c r="BT18" s="7" t="s">
        <v>209</v>
      </c>
      <c r="BU18" s="10" t="s">
        <v>209</v>
      </c>
      <c r="BV18" s="7" t="s">
        <v>212</v>
      </c>
      <c r="BW18" s="7" t="s">
        <v>212</v>
      </c>
      <c r="BX18" s="7"/>
      <c r="BY18" s="7" t="s">
        <v>214</v>
      </c>
      <c r="BZ18" s="7" t="s">
        <v>209</v>
      </c>
      <c r="CA18" s="7" t="s">
        <v>209</v>
      </c>
      <c r="CB18" s="7" t="s">
        <v>209</v>
      </c>
      <c r="CC18" s="7" t="s">
        <v>212</v>
      </c>
      <c r="CD18" s="7" t="s">
        <v>214</v>
      </c>
      <c r="CE18" s="7" t="s">
        <v>212</v>
      </c>
      <c r="CF18" s="7" t="s">
        <v>209</v>
      </c>
      <c r="CG18" s="7" t="s">
        <v>209</v>
      </c>
      <c r="CH18" s="7" t="s">
        <v>214</v>
      </c>
      <c r="CI18" s="7" t="s">
        <v>209</v>
      </c>
      <c r="CJ18" s="7" t="s">
        <v>209</v>
      </c>
      <c r="CK18" s="7" t="s">
        <v>212</v>
      </c>
      <c r="CL18" s="7" t="s">
        <v>209</v>
      </c>
      <c r="CM18" s="7"/>
      <c r="CN18" s="7" t="s">
        <v>214</v>
      </c>
      <c r="CO18" s="7"/>
      <c r="CP18" s="7"/>
      <c r="CQ18" s="7"/>
      <c r="CR18" s="10"/>
      <c r="CS18" s="7" t="s">
        <v>209</v>
      </c>
      <c r="CT18" s="7" t="s">
        <v>212</v>
      </c>
      <c r="CU18" s="7"/>
      <c r="CV18" s="7" t="s">
        <v>214</v>
      </c>
      <c r="CW18" s="7"/>
      <c r="CX18" s="7"/>
      <c r="CY18" s="7" t="s">
        <v>209</v>
      </c>
      <c r="CZ18" s="7"/>
      <c r="DA18" s="7" t="s">
        <v>209</v>
      </c>
      <c r="DB18" s="7"/>
      <c r="DC18" s="7" t="s">
        <v>209</v>
      </c>
      <c r="DD18" s="7"/>
      <c r="DE18" s="7"/>
      <c r="DF18" s="7" t="s">
        <v>209</v>
      </c>
      <c r="DG18" s="7" t="s">
        <v>209</v>
      </c>
      <c r="DH18" s="7" t="s">
        <v>214</v>
      </c>
      <c r="DI18" s="7" t="s">
        <v>209</v>
      </c>
      <c r="DJ18" s="7" t="s">
        <v>214</v>
      </c>
      <c r="DK18" s="7"/>
      <c r="DL18" s="7" t="s">
        <v>209</v>
      </c>
      <c r="DM18" s="7" t="s">
        <v>209</v>
      </c>
      <c r="DN18" s="7" t="s">
        <v>209</v>
      </c>
      <c r="DO18" s="10"/>
      <c r="DP18" s="7"/>
    </row>
    <row r="19">
      <c r="A19" s="6" t="s">
        <v>21</v>
      </c>
      <c r="B19" s="7">
        <f t="shared" si="1"/>
        <v>43</v>
      </c>
      <c r="C19" s="9">
        <f t="shared" si="2"/>
        <v>27</v>
      </c>
      <c r="D19" s="10">
        <f t="shared" si="3"/>
        <v>10</v>
      </c>
      <c r="E19" s="7" t="s">
        <v>212</v>
      </c>
      <c r="F19" s="7" t="s">
        <v>209</v>
      </c>
      <c r="G19" s="7" t="s">
        <v>209</v>
      </c>
      <c r="H19" s="7" t="s">
        <v>212</v>
      </c>
      <c r="I19" s="7" t="s">
        <v>209</v>
      </c>
      <c r="J19" s="7" t="s">
        <v>209</v>
      </c>
      <c r="K19" s="7"/>
      <c r="L19" s="7" t="s">
        <v>209</v>
      </c>
      <c r="M19" s="7"/>
      <c r="N19" s="7"/>
      <c r="O19" s="7"/>
      <c r="P19" s="7" t="s">
        <v>209</v>
      </c>
      <c r="Q19" s="7" t="s">
        <v>214</v>
      </c>
      <c r="R19" s="7"/>
      <c r="S19" s="7" t="s">
        <v>209</v>
      </c>
      <c r="T19" s="7" t="s">
        <v>212</v>
      </c>
      <c r="U19" s="7" t="s">
        <v>212</v>
      </c>
      <c r="V19" s="7"/>
      <c r="W19" s="7" t="s">
        <v>209</v>
      </c>
      <c r="X19" s="7" t="s">
        <v>209</v>
      </c>
      <c r="Y19" s="7" t="s">
        <v>209</v>
      </c>
      <c r="Z19" s="7"/>
      <c r="AA19" s="10"/>
      <c r="AB19" s="7" t="s">
        <v>209</v>
      </c>
      <c r="AC19" s="7" t="s">
        <v>209</v>
      </c>
      <c r="AD19" s="7"/>
      <c r="AE19" s="7"/>
      <c r="AF19" s="7" t="s">
        <v>209</v>
      </c>
      <c r="AG19" s="7"/>
      <c r="AH19" s="7"/>
      <c r="AI19" s="7" t="s">
        <v>209</v>
      </c>
      <c r="AJ19" s="7"/>
      <c r="AK19" s="7"/>
      <c r="AL19" s="7"/>
      <c r="AM19" s="7"/>
      <c r="AN19" s="7"/>
      <c r="AO19" s="7"/>
      <c r="AP19" s="7" t="s">
        <v>212</v>
      </c>
      <c r="AQ19" s="7" t="s">
        <v>209</v>
      </c>
      <c r="AR19" s="7"/>
      <c r="AS19" s="7"/>
      <c r="AT19" s="7"/>
      <c r="AU19" s="7"/>
      <c r="AV19" s="7"/>
      <c r="AW19" s="7"/>
      <c r="AX19" s="10"/>
      <c r="AY19" s="7"/>
      <c r="AZ19" s="7" t="s">
        <v>209</v>
      </c>
      <c r="BA19" s="7"/>
      <c r="BB19" s="7" t="s">
        <v>212</v>
      </c>
      <c r="BC19" s="7" t="s">
        <v>212</v>
      </c>
      <c r="BD19" s="7" t="s">
        <v>212</v>
      </c>
      <c r="BE19" s="7"/>
      <c r="BF19" s="7" t="s">
        <v>214</v>
      </c>
      <c r="BG19" s="7" t="s">
        <v>209</v>
      </c>
      <c r="BH19" s="7" t="s">
        <v>212</v>
      </c>
      <c r="BI19" s="7" t="s">
        <v>209</v>
      </c>
      <c r="BJ19" s="7"/>
      <c r="BK19" s="7" t="s">
        <v>209</v>
      </c>
      <c r="BL19" s="7" t="s">
        <v>214</v>
      </c>
      <c r="BM19" s="7"/>
      <c r="BN19" s="7" t="s">
        <v>212</v>
      </c>
      <c r="BO19" s="7"/>
      <c r="BP19" s="7" t="s">
        <v>209</v>
      </c>
      <c r="BQ19" s="7" t="s">
        <v>209</v>
      </c>
      <c r="BR19" s="7" t="s">
        <v>212</v>
      </c>
      <c r="BS19" s="7"/>
      <c r="BT19" s="7"/>
      <c r="BU19" s="10"/>
      <c r="BV19" s="7"/>
      <c r="BW19" s="7" t="s">
        <v>214</v>
      </c>
      <c r="BX19" s="7" t="s">
        <v>214</v>
      </c>
      <c r="BY19" s="7"/>
      <c r="BZ19" s="7"/>
      <c r="CA19" s="7"/>
      <c r="CB19" s="7"/>
      <c r="CC19" s="7" t="s">
        <v>212</v>
      </c>
      <c r="CD19" s="7"/>
      <c r="CE19" s="7"/>
      <c r="CF19" s="7"/>
      <c r="CG19" s="7" t="s">
        <v>209</v>
      </c>
      <c r="CH19" s="7"/>
      <c r="CI19" s="7" t="s">
        <v>209</v>
      </c>
      <c r="CJ19" s="7"/>
      <c r="CK19" s="7" t="s">
        <v>212</v>
      </c>
      <c r="CL19" s="7" t="s">
        <v>212</v>
      </c>
      <c r="CM19" s="7"/>
      <c r="CN19" s="7" t="s">
        <v>214</v>
      </c>
      <c r="CO19" s="7" t="s">
        <v>214</v>
      </c>
      <c r="CP19" s="7"/>
      <c r="CQ19" s="7"/>
      <c r="CR19" s="10"/>
      <c r="CS19" s="7"/>
      <c r="CT19" s="7"/>
      <c r="CU19" s="7" t="s">
        <v>212</v>
      </c>
      <c r="CV19" s="7"/>
      <c r="CW19" s="7" t="s">
        <v>214</v>
      </c>
      <c r="CX19" s="7" t="s">
        <v>209</v>
      </c>
      <c r="CY19" s="7" t="s">
        <v>214</v>
      </c>
      <c r="CZ19" s="7"/>
      <c r="DA19" s="7" t="s">
        <v>209</v>
      </c>
      <c r="DB19" s="7" t="s">
        <v>209</v>
      </c>
      <c r="DC19" s="7"/>
      <c r="DD19" s="7"/>
      <c r="DE19" s="7"/>
      <c r="DF19" s="7"/>
      <c r="DG19" s="7" t="s">
        <v>214</v>
      </c>
      <c r="DH19" s="7" t="s">
        <v>212</v>
      </c>
      <c r="DI19" s="7"/>
      <c r="DJ19" s="7" t="s">
        <v>209</v>
      </c>
      <c r="DK19" s="7"/>
      <c r="DL19" s="7"/>
      <c r="DM19" s="7"/>
      <c r="DN19" s="7"/>
      <c r="DO19" s="10"/>
      <c r="DP19" s="7"/>
    </row>
    <row r="20">
      <c r="A20" s="6" t="s">
        <v>20</v>
      </c>
      <c r="B20" s="7">
        <f t="shared" si="1"/>
        <v>63</v>
      </c>
      <c r="C20" s="9">
        <f t="shared" si="2"/>
        <v>44</v>
      </c>
      <c r="D20" s="10">
        <f t="shared" si="3"/>
        <v>9</v>
      </c>
      <c r="E20" s="7"/>
      <c r="F20" s="7"/>
      <c r="G20" s="7" t="s">
        <v>209</v>
      </c>
      <c r="H20" s="7" t="s">
        <v>212</v>
      </c>
      <c r="I20" s="7" t="s">
        <v>209</v>
      </c>
      <c r="J20" s="7" t="s">
        <v>209</v>
      </c>
      <c r="K20" s="7" t="s">
        <v>209</v>
      </c>
      <c r="L20" s="7" t="s">
        <v>209</v>
      </c>
      <c r="M20" s="7" t="s">
        <v>209</v>
      </c>
      <c r="N20" s="7" t="s">
        <v>209</v>
      </c>
      <c r="O20" s="7" t="s">
        <v>214</v>
      </c>
      <c r="P20" s="7" t="s">
        <v>209</v>
      </c>
      <c r="Q20" s="7" t="s">
        <v>214</v>
      </c>
      <c r="R20" s="7" t="s">
        <v>209</v>
      </c>
      <c r="S20" s="7" t="s">
        <v>209</v>
      </c>
      <c r="T20" s="7" t="s">
        <v>209</v>
      </c>
      <c r="U20" s="7" t="s">
        <v>209</v>
      </c>
      <c r="V20" s="7" t="s">
        <v>209</v>
      </c>
      <c r="W20" s="7"/>
      <c r="X20" s="7"/>
      <c r="Y20" s="7"/>
      <c r="Z20" s="7"/>
      <c r="AA20" s="10"/>
      <c r="AB20" s="7"/>
      <c r="AC20" s="7" t="s">
        <v>209</v>
      </c>
      <c r="AD20" s="7" t="s">
        <v>209</v>
      </c>
      <c r="AE20" s="7"/>
      <c r="AF20" s="7" t="s">
        <v>209</v>
      </c>
      <c r="AG20" s="7" t="s">
        <v>209</v>
      </c>
      <c r="AH20" s="7" t="s">
        <v>209</v>
      </c>
      <c r="AI20" s="7" t="s">
        <v>209</v>
      </c>
      <c r="AJ20" s="7" t="s">
        <v>209</v>
      </c>
      <c r="AK20" s="7" t="s">
        <v>209</v>
      </c>
      <c r="AL20" s="7"/>
      <c r="AM20" s="7"/>
      <c r="AN20" s="7" t="s">
        <v>214</v>
      </c>
      <c r="AO20" s="7" t="s">
        <v>212</v>
      </c>
      <c r="AP20" s="7"/>
      <c r="AQ20" s="7" t="s">
        <v>212</v>
      </c>
      <c r="AR20" s="7" t="s">
        <v>209</v>
      </c>
      <c r="AS20" s="7" t="s">
        <v>212</v>
      </c>
      <c r="AT20" s="7" t="s">
        <v>209</v>
      </c>
      <c r="AU20" s="7"/>
      <c r="AV20" s="7"/>
      <c r="AW20" s="7"/>
      <c r="AX20" s="10" t="s">
        <v>212</v>
      </c>
      <c r="AY20" s="7"/>
      <c r="AZ20" s="7" t="s">
        <v>214</v>
      </c>
      <c r="BA20" s="7" t="s">
        <v>212</v>
      </c>
      <c r="BB20" s="7" t="s">
        <v>212</v>
      </c>
      <c r="BC20" s="7"/>
      <c r="BD20" s="7" t="s">
        <v>212</v>
      </c>
      <c r="BE20" s="7" t="s">
        <v>209</v>
      </c>
      <c r="BF20" s="7" t="s">
        <v>214</v>
      </c>
      <c r="BG20" s="7" t="s">
        <v>212</v>
      </c>
      <c r="BH20" s="7"/>
      <c r="BI20" s="7" t="s">
        <v>209</v>
      </c>
      <c r="BJ20" s="7" t="s">
        <v>212</v>
      </c>
      <c r="BK20" s="7" t="s">
        <v>214</v>
      </c>
      <c r="BL20" s="7" t="s">
        <v>214</v>
      </c>
      <c r="BM20" s="7" t="s">
        <v>212</v>
      </c>
      <c r="BN20" s="7"/>
      <c r="BO20" s="7"/>
      <c r="BP20" s="7"/>
      <c r="BQ20" s="7"/>
      <c r="BR20" s="7"/>
      <c r="BS20" s="7"/>
      <c r="BT20" s="7"/>
      <c r="BU20" s="10"/>
      <c r="BV20" s="7" t="s">
        <v>209</v>
      </c>
      <c r="BW20" s="7" t="s">
        <v>214</v>
      </c>
      <c r="BX20" s="7" t="s">
        <v>209</v>
      </c>
      <c r="BY20" s="7"/>
      <c r="BZ20" s="7" t="s">
        <v>209</v>
      </c>
      <c r="CA20" s="7" t="s">
        <v>209</v>
      </c>
      <c r="CB20" s="7" t="s">
        <v>209</v>
      </c>
      <c r="CC20" s="7" t="s">
        <v>212</v>
      </c>
      <c r="CD20" s="7" t="s">
        <v>209</v>
      </c>
      <c r="CE20" s="7" t="s">
        <v>209</v>
      </c>
      <c r="CF20" s="7" t="s">
        <v>209</v>
      </c>
      <c r="CG20" s="7" t="s">
        <v>209</v>
      </c>
      <c r="CH20" s="7"/>
      <c r="CI20" s="7" t="s">
        <v>209</v>
      </c>
      <c r="CJ20" s="7" t="s">
        <v>212</v>
      </c>
      <c r="CK20" s="7" t="s">
        <v>212</v>
      </c>
      <c r="CL20" s="7" t="s">
        <v>212</v>
      </c>
      <c r="CM20" s="7"/>
      <c r="CN20" s="7" t="s">
        <v>212</v>
      </c>
      <c r="CO20" s="7" t="s">
        <v>214</v>
      </c>
      <c r="CP20" s="7"/>
      <c r="CQ20" s="7"/>
      <c r="CR20" s="10"/>
      <c r="CS20" s="7" t="s">
        <v>209</v>
      </c>
      <c r="CT20" s="7" t="s">
        <v>209</v>
      </c>
      <c r="CU20" s="7"/>
      <c r="CV20" s="7" t="s">
        <v>209</v>
      </c>
      <c r="CW20" s="7" t="s">
        <v>209</v>
      </c>
      <c r="CX20" s="7"/>
      <c r="CY20" s="7"/>
      <c r="CZ20" s="7"/>
      <c r="DA20" s="7" t="s">
        <v>212</v>
      </c>
      <c r="DB20" s="7" t="s">
        <v>209</v>
      </c>
      <c r="DC20" s="7" t="s">
        <v>209</v>
      </c>
      <c r="DD20" s="7" t="s">
        <v>212</v>
      </c>
      <c r="DE20" s="7" t="s">
        <v>209</v>
      </c>
      <c r="DF20" s="7" t="s">
        <v>212</v>
      </c>
      <c r="DG20" s="7"/>
      <c r="DH20" s="7" t="s">
        <v>209</v>
      </c>
      <c r="DI20" s="7"/>
      <c r="DJ20" s="7"/>
      <c r="DK20" s="7" t="s">
        <v>209</v>
      </c>
      <c r="DL20" s="7"/>
      <c r="DM20" s="7"/>
      <c r="DN20" s="7"/>
      <c r="DO20" s="10"/>
      <c r="DP20" s="7"/>
    </row>
    <row r="21">
      <c r="A21" s="6" t="s">
        <v>47</v>
      </c>
      <c r="B21" s="7">
        <f t="shared" si="1"/>
        <v>48</v>
      </c>
      <c r="C21" s="9">
        <f t="shared" si="2"/>
        <v>33</v>
      </c>
      <c r="D21" s="10">
        <f t="shared" si="3"/>
        <v>5</v>
      </c>
      <c r="E21" s="7" t="s">
        <v>209</v>
      </c>
      <c r="F21" s="7" t="s">
        <v>214</v>
      </c>
      <c r="G21" s="7"/>
      <c r="H21" s="7"/>
      <c r="I21" s="7"/>
      <c r="J21" s="7" t="s">
        <v>209</v>
      </c>
      <c r="K21" s="7"/>
      <c r="L21" s="7" t="s">
        <v>209</v>
      </c>
      <c r="M21" s="7" t="s">
        <v>209</v>
      </c>
      <c r="N21" s="7" t="s">
        <v>209</v>
      </c>
      <c r="O21" s="7"/>
      <c r="P21" s="7"/>
      <c r="Q21" s="7"/>
      <c r="R21" s="7" t="s">
        <v>209</v>
      </c>
      <c r="S21" s="7"/>
      <c r="T21" s="7" t="s">
        <v>209</v>
      </c>
      <c r="U21" s="7" t="s">
        <v>209</v>
      </c>
      <c r="V21" s="7"/>
      <c r="W21" s="7"/>
      <c r="X21" s="7"/>
      <c r="Y21" s="7"/>
      <c r="Z21" s="7"/>
      <c r="AA21" s="10"/>
      <c r="AB21" s="7"/>
      <c r="AC21" s="7" t="s">
        <v>209</v>
      </c>
      <c r="AD21" s="7"/>
      <c r="AE21" s="7"/>
      <c r="AF21" s="7"/>
      <c r="AG21" s="7" t="s">
        <v>212</v>
      </c>
      <c r="AH21" s="7"/>
      <c r="AI21" s="7"/>
      <c r="AJ21" s="7" t="s">
        <v>209</v>
      </c>
      <c r="AK21" s="7"/>
      <c r="AL21" s="7" t="s">
        <v>212</v>
      </c>
      <c r="AM21" s="7" t="s">
        <v>209</v>
      </c>
      <c r="AN21" s="7"/>
      <c r="AO21" s="7" t="s">
        <v>212</v>
      </c>
      <c r="AP21" s="7"/>
      <c r="AQ21" s="7" t="s">
        <v>209</v>
      </c>
      <c r="AR21" s="7" t="s">
        <v>209</v>
      </c>
      <c r="AS21" s="7"/>
      <c r="AT21" s="7" t="s">
        <v>214</v>
      </c>
      <c r="AU21" s="7"/>
      <c r="AV21" s="7"/>
      <c r="AW21" s="7" t="s">
        <v>214</v>
      </c>
      <c r="AX21" s="10"/>
      <c r="AY21" s="7" t="s">
        <v>214</v>
      </c>
      <c r="AZ21" s="7"/>
      <c r="BA21" s="7" t="s">
        <v>209</v>
      </c>
      <c r="BB21" s="7" t="s">
        <v>209</v>
      </c>
      <c r="BC21" s="7"/>
      <c r="BD21" s="7" t="s">
        <v>209</v>
      </c>
      <c r="BE21" s="7" t="s">
        <v>212</v>
      </c>
      <c r="BF21" s="7" t="s">
        <v>212</v>
      </c>
      <c r="BG21" s="7" t="s">
        <v>212</v>
      </c>
      <c r="BH21" s="7" t="s">
        <v>212</v>
      </c>
      <c r="BI21" s="7" t="s">
        <v>209</v>
      </c>
      <c r="BJ21" s="7" t="s">
        <v>209</v>
      </c>
      <c r="BK21" s="7"/>
      <c r="BL21" s="7" t="s">
        <v>214</v>
      </c>
      <c r="BM21" s="7"/>
      <c r="BN21" s="7"/>
      <c r="BO21" s="7" t="s">
        <v>212</v>
      </c>
      <c r="BP21" s="7" t="s">
        <v>209</v>
      </c>
      <c r="BQ21" s="7" t="s">
        <v>209</v>
      </c>
      <c r="BR21" s="7"/>
      <c r="BS21" s="7" t="s">
        <v>209</v>
      </c>
      <c r="BT21" s="7"/>
      <c r="BU21" s="10"/>
      <c r="BV21" s="7" t="s">
        <v>209</v>
      </c>
      <c r="BW21" s="7" t="s">
        <v>209</v>
      </c>
      <c r="BX21" s="7" t="s">
        <v>212</v>
      </c>
      <c r="BY21" s="7"/>
      <c r="BZ21" s="7"/>
      <c r="CA21" s="7"/>
      <c r="CB21" s="7"/>
      <c r="CC21" s="7" t="s">
        <v>212</v>
      </c>
      <c r="CD21" s="7"/>
      <c r="CE21" s="7" t="s">
        <v>212</v>
      </c>
      <c r="CF21" s="7" t="s">
        <v>209</v>
      </c>
      <c r="CG21" s="7"/>
      <c r="CH21" s="7" t="s">
        <v>209</v>
      </c>
      <c r="CI21" s="7"/>
      <c r="CJ21" s="7" t="s">
        <v>212</v>
      </c>
      <c r="CK21" s="7" t="s">
        <v>209</v>
      </c>
      <c r="CL21" s="7"/>
      <c r="CM21" s="7"/>
      <c r="CN21" s="7" t="s">
        <v>212</v>
      </c>
      <c r="CO21" s="7" t="s">
        <v>209</v>
      </c>
      <c r="CP21" s="7"/>
      <c r="CQ21" s="7"/>
      <c r="CR21" s="10"/>
      <c r="CS21" s="7"/>
      <c r="CT21" s="7" t="s">
        <v>209</v>
      </c>
      <c r="CU21" s="7"/>
      <c r="CV21" s="7"/>
      <c r="CW21" s="7"/>
      <c r="CX21" s="7" t="s">
        <v>209</v>
      </c>
      <c r="CY21" s="7"/>
      <c r="CZ21" s="7" t="s">
        <v>209</v>
      </c>
      <c r="DA21" s="7" t="s">
        <v>212</v>
      </c>
      <c r="DB21" s="7" t="s">
        <v>212</v>
      </c>
      <c r="DC21" s="7"/>
      <c r="DD21" s="7"/>
      <c r="DE21" s="7"/>
      <c r="DF21" s="7"/>
      <c r="DG21" s="7" t="s">
        <v>209</v>
      </c>
      <c r="DH21" s="7"/>
      <c r="DI21" s="7"/>
      <c r="DJ21" s="7" t="s">
        <v>209</v>
      </c>
      <c r="DK21" s="7"/>
      <c r="DL21" s="7"/>
      <c r="DM21" s="7" t="s">
        <v>209</v>
      </c>
      <c r="DN21" s="7"/>
      <c r="DO21" s="10"/>
      <c r="DP21" s="7"/>
    </row>
    <row r="22">
      <c r="A22" s="6" t="s">
        <v>23</v>
      </c>
      <c r="B22" s="7">
        <f t="shared" si="1"/>
        <v>45</v>
      </c>
      <c r="C22" s="9">
        <f t="shared" si="2"/>
        <v>29</v>
      </c>
      <c r="D22" s="10">
        <f t="shared" si="3"/>
        <v>4</v>
      </c>
      <c r="E22" s="7" t="s">
        <v>209</v>
      </c>
      <c r="F22" s="7"/>
      <c r="G22" s="7"/>
      <c r="H22" s="7" t="s">
        <v>209</v>
      </c>
      <c r="I22" s="7"/>
      <c r="J22" s="7" t="s">
        <v>209</v>
      </c>
      <c r="K22" s="7"/>
      <c r="L22" s="7"/>
      <c r="M22" s="7"/>
      <c r="N22" s="7"/>
      <c r="O22" s="7" t="s">
        <v>209</v>
      </c>
      <c r="P22" s="7"/>
      <c r="Q22" s="7"/>
      <c r="R22" s="7"/>
      <c r="S22" s="7" t="s">
        <v>209</v>
      </c>
      <c r="T22" s="7" t="s">
        <v>209</v>
      </c>
      <c r="U22" s="7"/>
      <c r="V22" s="7"/>
      <c r="W22" s="7"/>
      <c r="X22" s="7"/>
      <c r="Y22" s="7"/>
      <c r="Z22" s="7" t="s">
        <v>209</v>
      </c>
      <c r="AA22" s="10"/>
      <c r="AB22" s="7" t="s">
        <v>212</v>
      </c>
      <c r="AC22" s="7"/>
      <c r="AD22" s="7"/>
      <c r="AE22" s="7"/>
      <c r="AF22" s="7" t="s">
        <v>209</v>
      </c>
      <c r="AG22" s="7" t="s">
        <v>209</v>
      </c>
      <c r="AH22" s="7" t="s">
        <v>209</v>
      </c>
      <c r="AI22" s="7"/>
      <c r="AJ22" s="7"/>
      <c r="AK22" s="7"/>
      <c r="AL22" s="7"/>
      <c r="AM22" s="7" t="s">
        <v>209</v>
      </c>
      <c r="AN22" s="7"/>
      <c r="AO22" s="7"/>
      <c r="AP22" s="7"/>
      <c r="AQ22" s="7"/>
      <c r="AR22" s="7" t="s">
        <v>209</v>
      </c>
      <c r="AS22" s="7"/>
      <c r="AT22" s="7"/>
      <c r="AU22" s="7"/>
      <c r="AV22" s="7"/>
      <c r="AW22" s="7"/>
      <c r="AX22" s="10"/>
      <c r="AY22" s="7" t="s">
        <v>209</v>
      </c>
      <c r="AZ22" s="7" t="s">
        <v>209</v>
      </c>
      <c r="BA22" s="7" t="s">
        <v>209</v>
      </c>
      <c r="BB22" s="7" t="s">
        <v>212</v>
      </c>
      <c r="BC22" s="7"/>
      <c r="BD22" s="7" t="s">
        <v>209</v>
      </c>
      <c r="BE22" s="7" t="s">
        <v>214</v>
      </c>
      <c r="BF22" s="7" t="s">
        <v>212</v>
      </c>
      <c r="BG22" s="7"/>
      <c r="BH22" s="7"/>
      <c r="BI22" s="7" t="s">
        <v>209</v>
      </c>
      <c r="BJ22" s="7" t="s">
        <v>209</v>
      </c>
      <c r="BK22" s="7" t="s">
        <v>214</v>
      </c>
      <c r="BL22" s="7"/>
      <c r="BM22" s="7"/>
      <c r="BN22" s="7"/>
      <c r="BO22" s="7"/>
      <c r="BP22" s="7"/>
      <c r="BQ22" s="7"/>
      <c r="BR22" s="7"/>
      <c r="BS22" s="7"/>
      <c r="BT22" s="7"/>
      <c r="BU22" s="10"/>
      <c r="BV22" s="7" t="s">
        <v>209</v>
      </c>
      <c r="BW22" s="7" t="s">
        <v>214</v>
      </c>
      <c r="BX22" s="7" t="s">
        <v>212</v>
      </c>
      <c r="BY22" s="7" t="s">
        <v>212</v>
      </c>
      <c r="BZ22" s="7" t="s">
        <v>212</v>
      </c>
      <c r="CA22" s="7" t="s">
        <v>209</v>
      </c>
      <c r="CB22" s="7" t="s">
        <v>209</v>
      </c>
      <c r="CC22" s="7" t="s">
        <v>209</v>
      </c>
      <c r="CD22" s="7" t="s">
        <v>212</v>
      </c>
      <c r="CE22" s="7" t="s">
        <v>212</v>
      </c>
      <c r="CF22" s="7" t="s">
        <v>209</v>
      </c>
      <c r="CG22" s="7"/>
      <c r="CH22" s="7"/>
      <c r="CI22" s="7" t="s">
        <v>209</v>
      </c>
      <c r="CJ22" s="7" t="s">
        <v>212</v>
      </c>
      <c r="CK22" s="7" t="s">
        <v>212</v>
      </c>
      <c r="CL22" s="7" t="s">
        <v>214</v>
      </c>
      <c r="CM22" s="7"/>
      <c r="CN22" s="7" t="s">
        <v>212</v>
      </c>
      <c r="CO22" s="7"/>
      <c r="CP22" s="7"/>
      <c r="CQ22" s="7"/>
      <c r="CR22" s="10"/>
      <c r="CS22" s="7"/>
      <c r="CT22" s="7" t="s">
        <v>209</v>
      </c>
      <c r="CU22" s="7"/>
      <c r="CV22" s="7"/>
      <c r="CW22" s="7" t="s">
        <v>212</v>
      </c>
      <c r="CX22" s="7"/>
      <c r="CY22" s="7" t="s">
        <v>209</v>
      </c>
      <c r="CZ22" s="7" t="s">
        <v>212</v>
      </c>
      <c r="DA22" s="7"/>
      <c r="DB22" s="7"/>
      <c r="DC22" s="7" t="s">
        <v>212</v>
      </c>
      <c r="DD22" s="7"/>
      <c r="DE22" s="7" t="s">
        <v>209</v>
      </c>
      <c r="DF22" s="7" t="s">
        <v>212</v>
      </c>
      <c r="DG22" s="7" t="s">
        <v>212</v>
      </c>
      <c r="DH22" s="7"/>
      <c r="DI22" s="7" t="s">
        <v>209</v>
      </c>
      <c r="DJ22" s="7"/>
      <c r="DK22" s="7" t="s">
        <v>209</v>
      </c>
      <c r="DL22" s="7"/>
      <c r="DM22" s="7"/>
      <c r="DN22" s="7"/>
      <c r="DO22" s="10"/>
      <c r="DP22" s="7"/>
    </row>
    <row r="23">
      <c r="A23" s="6" t="s">
        <v>81</v>
      </c>
      <c r="B23" s="7">
        <f t="shared" si="1"/>
        <v>54</v>
      </c>
      <c r="C23" s="9">
        <f t="shared" si="2"/>
        <v>36</v>
      </c>
      <c r="D23" s="10">
        <f t="shared" si="3"/>
        <v>9</v>
      </c>
      <c r="E23" s="7" t="s">
        <v>212</v>
      </c>
      <c r="F23" s="7"/>
      <c r="G23" s="7"/>
      <c r="H23" s="7" t="s">
        <v>212</v>
      </c>
      <c r="I23" s="7" t="s">
        <v>209</v>
      </c>
      <c r="J23" s="7" t="s">
        <v>209</v>
      </c>
      <c r="K23" s="7" t="s">
        <v>212</v>
      </c>
      <c r="L23" s="7" t="s">
        <v>209</v>
      </c>
      <c r="M23" s="7"/>
      <c r="N23" s="7" t="s">
        <v>209</v>
      </c>
      <c r="O23" s="7"/>
      <c r="P23" s="7" t="s">
        <v>209</v>
      </c>
      <c r="Q23" s="7" t="s">
        <v>214</v>
      </c>
      <c r="R23" s="7" t="s">
        <v>209</v>
      </c>
      <c r="S23" s="7"/>
      <c r="T23" s="7" t="s">
        <v>209</v>
      </c>
      <c r="U23" s="7"/>
      <c r="V23" s="7" t="s">
        <v>214</v>
      </c>
      <c r="W23" s="7"/>
      <c r="X23" s="7" t="s">
        <v>209</v>
      </c>
      <c r="Y23" s="7" t="s">
        <v>209</v>
      </c>
      <c r="Z23" s="7" t="s">
        <v>209</v>
      </c>
      <c r="AA23" s="10" t="s">
        <v>212</v>
      </c>
      <c r="AB23" s="7" t="s">
        <v>209</v>
      </c>
      <c r="AC23" s="7" t="s">
        <v>209</v>
      </c>
      <c r="AD23" s="7"/>
      <c r="AE23" s="7"/>
      <c r="AF23" s="7"/>
      <c r="AG23" s="7"/>
      <c r="AH23" s="7"/>
      <c r="AI23" s="7"/>
      <c r="AJ23" s="7" t="s">
        <v>212</v>
      </c>
      <c r="AK23" s="7" t="s">
        <v>214</v>
      </c>
      <c r="AL23" s="7"/>
      <c r="AM23" s="7" t="s">
        <v>209</v>
      </c>
      <c r="AN23" s="7" t="s">
        <v>209</v>
      </c>
      <c r="AO23" s="7"/>
      <c r="AP23" s="7" t="s">
        <v>212</v>
      </c>
      <c r="AQ23" s="7" t="s">
        <v>209</v>
      </c>
      <c r="AR23" s="7"/>
      <c r="AS23" s="7"/>
      <c r="AT23" s="7"/>
      <c r="AU23" s="7"/>
      <c r="AV23" s="7" t="s">
        <v>212</v>
      </c>
      <c r="AW23" s="7"/>
      <c r="AX23" s="10"/>
      <c r="AY23" s="7" t="s">
        <v>212</v>
      </c>
      <c r="AZ23" s="7" t="s">
        <v>209</v>
      </c>
      <c r="BA23" s="7" t="s">
        <v>209</v>
      </c>
      <c r="BB23" s="7"/>
      <c r="BC23" s="7" t="s">
        <v>212</v>
      </c>
      <c r="BD23" s="7" t="s">
        <v>209</v>
      </c>
      <c r="BE23" s="7" t="s">
        <v>212</v>
      </c>
      <c r="BF23" s="7" t="s">
        <v>209</v>
      </c>
      <c r="BG23" s="7"/>
      <c r="BH23" s="7" t="s">
        <v>214</v>
      </c>
      <c r="BI23" s="7" t="s">
        <v>209</v>
      </c>
      <c r="BJ23" s="7" t="s">
        <v>209</v>
      </c>
      <c r="BK23" s="7" t="s">
        <v>209</v>
      </c>
      <c r="BL23" s="7" t="s">
        <v>214</v>
      </c>
      <c r="BM23" s="7" t="s">
        <v>209</v>
      </c>
      <c r="BN23" s="7" t="s">
        <v>212</v>
      </c>
      <c r="BO23" s="7" t="s">
        <v>209</v>
      </c>
      <c r="BP23" s="7" t="s">
        <v>209</v>
      </c>
      <c r="BQ23" s="7" t="s">
        <v>209</v>
      </c>
      <c r="BR23" s="7"/>
      <c r="BS23" s="7" t="s">
        <v>212</v>
      </c>
      <c r="BT23" s="7"/>
      <c r="BU23" s="10"/>
      <c r="BV23" s="7" t="s">
        <v>209</v>
      </c>
      <c r="BW23" s="7" t="s">
        <v>212</v>
      </c>
      <c r="BX23" s="7"/>
      <c r="BY23" s="7" t="s">
        <v>209</v>
      </c>
      <c r="BZ23" s="7"/>
      <c r="CA23" s="7"/>
      <c r="CB23" s="7" t="s">
        <v>214</v>
      </c>
      <c r="CC23" s="7"/>
      <c r="CD23" s="7" t="s">
        <v>212</v>
      </c>
      <c r="CE23" s="7" t="s">
        <v>209</v>
      </c>
      <c r="CF23" s="7" t="s">
        <v>214</v>
      </c>
      <c r="CG23" s="7" t="s">
        <v>212</v>
      </c>
      <c r="CH23" s="7"/>
      <c r="CI23" s="7" t="s">
        <v>209</v>
      </c>
      <c r="CJ23" s="7"/>
      <c r="CK23" s="7" t="s">
        <v>209</v>
      </c>
      <c r="CL23" s="7" t="s">
        <v>212</v>
      </c>
      <c r="CM23" s="7" t="s">
        <v>214</v>
      </c>
      <c r="CN23" s="7" t="s">
        <v>209</v>
      </c>
      <c r="CO23" s="7"/>
      <c r="CP23" s="7"/>
      <c r="CQ23" s="7"/>
      <c r="CR23" s="10"/>
      <c r="CS23" s="7"/>
      <c r="CT23" s="7" t="s">
        <v>209</v>
      </c>
      <c r="CU23" s="7"/>
      <c r="CV23" s="7"/>
      <c r="CW23" s="7"/>
      <c r="CX23" s="7"/>
      <c r="CY23" s="7" t="s">
        <v>209</v>
      </c>
      <c r="CZ23" s="7"/>
      <c r="DA23" s="7" t="s">
        <v>209</v>
      </c>
      <c r="DB23" s="7"/>
      <c r="DC23" s="7"/>
      <c r="DD23" s="7"/>
      <c r="DE23" s="7"/>
      <c r="DF23" s="7"/>
      <c r="DG23" s="7" t="s">
        <v>209</v>
      </c>
      <c r="DH23" s="7"/>
      <c r="DI23" s="7" t="s">
        <v>212</v>
      </c>
      <c r="DJ23" s="7" t="s">
        <v>214</v>
      </c>
      <c r="DK23" s="7"/>
      <c r="DL23" s="7" t="s">
        <v>212</v>
      </c>
      <c r="DM23" s="7"/>
      <c r="DN23" s="7"/>
      <c r="DO23" s="10"/>
      <c r="DP23" s="7"/>
    </row>
    <row r="24">
      <c r="A24" s="6" t="s">
        <v>33</v>
      </c>
      <c r="B24" s="7">
        <f t="shared" si="1"/>
        <v>18</v>
      </c>
      <c r="C24" s="9">
        <f t="shared" si="2"/>
        <v>7</v>
      </c>
      <c r="D24" s="10">
        <f t="shared" si="3"/>
        <v>5</v>
      </c>
      <c r="E24" s="7"/>
      <c r="F24" s="7"/>
      <c r="G24" s="7"/>
      <c r="H24" s="7"/>
      <c r="I24" s="7"/>
      <c r="J24" s="7"/>
      <c r="K24" s="7" t="s">
        <v>212</v>
      </c>
      <c r="L24" s="7"/>
      <c r="M24" s="7"/>
      <c r="N24" s="7"/>
      <c r="O24" s="7"/>
      <c r="P24" s="7"/>
      <c r="Q24" s="7"/>
      <c r="R24" s="7"/>
      <c r="S24" s="7"/>
      <c r="T24" s="7" t="s">
        <v>212</v>
      </c>
      <c r="U24" s="7"/>
      <c r="V24" s="7" t="s">
        <v>212</v>
      </c>
      <c r="W24" s="7"/>
      <c r="X24" s="7"/>
      <c r="Y24" s="7"/>
      <c r="Z24" s="7" t="s">
        <v>209</v>
      </c>
      <c r="AA24" s="10"/>
      <c r="AB24" s="7" t="s">
        <v>214</v>
      </c>
      <c r="AC24" s="7" t="s">
        <v>214</v>
      </c>
      <c r="AD24" s="7"/>
      <c r="AE24" s="7"/>
      <c r="AF24" s="7"/>
      <c r="AG24" s="7"/>
      <c r="AH24" s="7"/>
      <c r="AI24" s="7" t="s">
        <v>209</v>
      </c>
      <c r="AJ24" s="7"/>
      <c r="AK24" s="7"/>
      <c r="AL24" s="7"/>
      <c r="AM24" s="7"/>
      <c r="AN24" s="7"/>
      <c r="AO24" s="7"/>
      <c r="AP24" s="7"/>
      <c r="AQ24" s="7"/>
      <c r="AR24" s="7"/>
      <c r="AS24" s="7" t="s">
        <v>212</v>
      </c>
      <c r="AT24" s="7"/>
      <c r="AU24" s="7"/>
      <c r="AV24" s="7"/>
      <c r="AW24" s="7"/>
      <c r="AX24" s="10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10"/>
      <c r="BV24" s="7"/>
      <c r="BW24" s="7" t="s">
        <v>214</v>
      </c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 t="s">
        <v>212</v>
      </c>
      <c r="CI24" s="7" t="s">
        <v>212</v>
      </c>
      <c r="CJ24" s="7"/>
      <c r="CK24" s="7"/>
      <c r="CL24" s="7"/>
      <c r="CM24" s="7"/>
      <c r="CN24" s="7"/>
      <c r="CO24" s="7"/>
      <c r="CP24" s="7"/>
      <c r="CQ24" s="7"/>
      <c r="CR24" s="10"/>
      <c r="CS24" s="7"/>
      <c r="CT24" s="7" t="s">
        <v>214</v>
      </c>
      <c r="CU24" s="7"/>
      <c r="CV24" s="7" t="s">
        <v>209</v>
      </c>
      <c r="CW24" s="7" t="s">
        <v>212</v>
      </c>
      <c r="CX24" s="7" t="s">
        <v>209</v>
      </c>
      <c r="CY24" s="7"/>
      <c r="CZ24" s="7"/>
      <c r="DA24" s="7" t="s">
        <v>212</v>
      </c>
      <c r="DB24" s="7" t="s">
        <v>212</v>
      </c>
      <c r="DC24" s="7" t="s">
        <v>212</v>
      </c>
      <c r="DD24" s="7" t="s">
        <v>209</v>
      </c>
      <c r="DE24" s="7" t="s">
        <v>212</v>
      </c>
      <c r="DF24" s="7" t="s">
        <v>209</v>
      </c>
      <c r="DG24" s="7"/>
      <c r="DH24" s="7" t="s">
        <v>209</v>
      </c>
      <c r="DI24" s="7"/>
      <c r="DJ24" s="7" t="s">
        <v>214</v>
      </c>
      <c r="DK24" s="7"/>
      <c r="DL24" s="7"/>
      <c r="DM24" s="7"/>
      <c r="DN24" s="7"/>
      <c r="DO24" s="10"/>
      <c r="DP24" s="7"/>
    </row>
    <row r="25">
      <c r="A25" s="6" t="s">
        <v>78</v>
      </c>
      <c r="B25" s="7">
        <f t="shared" si="1"/>
        <v>21</v>
      </c>
      <c r="C25" s="9">
        <f t="shared" si="2"/>
        <v>7</v>
      </c>
      <c r="D25" s="10">
        <f t="shared" si="3"/>
        <v>7</v>
      </c>
      <c r="E25" s="7" t="s">
        <v>212</v>
      </c>
      <c r="F25" s="7"/>
      <c r="G25" s="7"/>
      <c r="H25" s="7"/>
      <c r="I25" s="7" t="s">
        <v>214</v>
      </c>
      <c r="J25" s="7"/>
      <c r="K25" s="7"/>
      <c r="L25" s="7" t="s">
        <v>209</v>
      </c>
      <c r="M25" s="7"/>
      <c r="N25" s="7"/>
      <c r="O25" s="7" t="s">
        <v>209</v>
      </c>
      <c r="P25" s="7"/>
      <c r="Q25" s="7" t="s">
        <v>212</v>
      </c>
      <c r="R25" s="7"/>
      <c r="S25" s="7"/>
      <c r="T25" s="7"/>
      <c r="U25" s="7"/>
      <c r="V25" s="7"/>
      <c r="W25" s="7"/>
      <c r="X25" s="7"/>
      <c r="Y25" s="7"/>
      <c r="Z25" s="7"/>
      <c r="AA25" s="10"/>
      <c r="AB25" s="7"/>
      <c r="AC25" s="7" t="s">
        <v>209</v>
      </c>
      <c r="AD25" s="7"/>
      <c r="AE25" s="7"/>
      <c r="AF25" s="7"/>
      <c r="AG25" s="7"/>
      <c r="AH25" s="7"/>
      <c r="AI25" s="7"/>
      <c r="AJ25" s="7"/>
      <c r="AK25" s="7" t="s">
        <v>214</v>
      </c>
      <c r="AL25" s="7"/>
      <c r="AM25" s="7"/>
      <c r="AN25" s="7"/>
      <c r="AO25" s="7" t="s">
        <v>214</v>
      </c>
      <c r="AP25" s="7"/>
      <c r="AQ25" s="7"/>
      <c r="AR25" s="7"/>
      <c r="AS25" s="7"/>
      <c r="AT25" s="7"/>
      <c r="AU25" s="7"/>
      <c r="AV25" s="7"/>
      <c r="AW25" s="7"/>
      <c r="AX25" s="10"/>
      <c r="AY25" s="7" t="s">
        <v>214</v>
      </c>
      <c r="AZ25" s="7"/>
      <c r="BA25" s="7"/>
      <c r="BB25" s="7" t="s">
        <v>212</v>
      </c>
      <c r="BC25" s="7"/>
      <c r="BD25" s="7"/>
      <c r="BE25" s="7"/>
      <c r="BF25" s="7"/>
      <c r="BG25" s="7" t="s">
        <v>212</v>
      </c>
      <c r="BH25" s="7" t="s">
        <v>209</v>
      </c>
      <c r="BI25" s="7"/>
      <c r="BJ25" s="7" t="s">
        <v>214</v>
      </c>
      <c r="BK25" s="7"/>
      <c r="BL25" s="7"/>
      <c r="BM25" s="7"/>
      <c r="BN25" s="7"/>
      <c r="BO25" s="7"/>
      <c r="BP25" s="7"/>
      <c r="BQ25" s="7" t="s">
        <v>214</v>
      </c>
      <c r="BR25" s="7"/>
      <c r="BS25" s="7" t="s">
        <v>214</v>
      </c>
      <c r="BT25" s="7"/>
      <c r="BU25" s="10"/>
      <c r="BV25" s="7"/>
      <c r="BW25" s="7" t="s">
        <v>212</v>
      </c>
      <c r="BX25" s="7" t="s">
        <v>212</v>
      </c>
      <c r="BY25" s="7"/>
      <c r="BZ25" s="7"/>
      <c r="CA25" s="7"/>
      <c r="CB25" s="7"/>
      <c r="CC25" s="7" t="s">
        <v>212</v>
      </c>
      <c r="CD25" s="7"/>
      <c r="CE25" s="7" t="s">
        <v>209</v>
      </c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10"/>
      <c r="CS25" s="7"/>
      <c r="CT25" s="7"/>
      <c r="CU25" s="7"/>
      <c r="CV25" s="7"/>
      <c r="CW25" s="7" t="s">
        <v>209</v>
      </c>
      <c r="CX25" s="7"/>
      <c r="CY25" s="7"/>
      <c r="CZ25" s="7"/>
      <c r="DA25" s="7" t="s">
        <v>212</v>
      </c>
      <c r="DB25" s="7"/>
      <c r="DC25" s="7"/>
      <c r="DD25" s="7"/>
      <c r="DE25" s="7" t="s">
        <v>212</v>
      </c>
      <c r="DF25" s="7" t="s">
        <v>212</v>
      </c>
      <c r="DG25" s="7"/>
      <c r="DH25" s="7"/>
      <c r="DI25" s="7" t="s">
        <v>212</v>
      </c>
      <c r="DJ25" s="7"/>
      <c r="DK25" s="7" t="s">
        <v>212</v>
      </c>
      <c r="DL25" s="7" t="s">
        <v>212</v>
      </c>
      <c r="DM25" s="7" t="s">
        <v>209</v>
      </c>
      <c r="DN25" s="7"/>
      <c r="DO25" s="10" t="s">
        <v>212</v>
      </c>
      <c r="DP25" s="7"/>
    </row>
    <row r="26">
      <c r="A26" s="6" t="s">
        <v>12</v>
      </c>
      <c r="B26" s="7">
        <f t="shared" si="1"/>
        <v>26</v>
      </c>
      <c r="C26" s="9">
        <f t="shared" si="2"/>
        <v>13</v>
      </c>
      <c r="D26" s="10">
        <f t="shared" si="3"/>
        <v>5</v>
      </c>
      <c r="E26" s="7"/>
      <c r="F26" s="7"/>
      <c r="G26" s="7"/>
      <c r="H26" s="7"/>
      <c r="I26" s="7"/>
      <c r="J26" s="7" t="s">
        <v>209</v>
      </c>
      <c r="K26" s="7" t="s">
        <v>212</v>
      </c>
      <c r="L26" s="7" t="s">
        <v>209</v>
      </c>
      <c r="M26" s="7"/>
      <c r="N26" s="7"/>
      <c r="O26" s="7"/>
      <c r="P26" s="7"/>
      <c r="Q26" s="7"/>
      <c r="R26" s="7"/>
      <c r="S26" s="7" t="s">
        <v>209</v>
      </c>
      <c r="T26" s="7"/>
      <c r="U26" s="7" t="s">
        <v>209</v>
      </c>
      <c r="V26" s="7" t="s">
        <v>209</v>
      </c>
      <c r="W26" s="7"/>
      <c r="X26" s="7"/>
      <c r="Y26" s="7" t="s">
        <v>214</v>
      </c>
      <c r="Z26" s="7"/>
      <c r="AA26" s="10"/>
      <c r="AB26" s="7"/>
      <c r="AC26" s="7"/>
      <c r="AD26" s="7" t="s">
        <v>209</v>
      </c>
      <c r="AE26" s="7"/>
      <c r="AF26" s="7"/>
      <c r="AG26" s="7"/>
      <c r="AH26" s="7"/>
      <c r="AI26" s="7"/>
      <c r="AJ26" s="7"/>
      <c r="AK26" s="7"/>
      <c r="AL26" s="7"/>
      <c r="AM26" s="7" t="s">
        <v>209</v>
      </c>
      <c r="AN26" s="7"/>
      <c r="AO26" s="7"/>
      <c r="AP26" s="7"/>
      <c r="AQ26" s="7" t="s">
        <v>209</v>
      </c>
      <c r="AR26" s="7"/>
      <c r="AS26" s="7"/>
      <c r="AT26" s="7"/>
      <c r="AU26" s="7" t="s">
        <v>212</v>
      </c>
      <c r="AV26" s="7" t="s">
        <v>212</v>
      </c>
      <c r="AW26" s="7"/>
      <c r="AX26" s="10"/>
      <c r="AY26" s="7" t="s">
        <v>212</v>
      </c>
      <c r="AZ26" s="7"/>
      <c r="BA26" s="7"/>
      <c r="BB26" s="7"/>
      <c r="BC26" s="7"/>
      <c r="BD26" s="7" t="s">
        <v>209</v>
      </c>
      <c r="BE26" s="7" t="s">
        <v>209</v>
      </c>
      <c r="BF26" s="7"/>
      <c r="BG26" s="7"/>
      <c r="BH26" s="7"/>
      <c r="BI26" s="7"/>
      <c r="BJ26" s="7"/>
      <c r="BK26" s="7" t="s">
        <v>214</v>
      </c>
      <c r="BL26" s="7" t="s">
        <v>212</v>
      </c>
      <c r="BM26" s="7"/>
      <c r="BN26" s="7"/>
      <c r="BO26" s="7"/>
      <c r="BP26" s="7"/>
      <c r="BQ26" s="7"/>
      <c r="BR26" s="7"/>
      <c r="BS26" s="7"/>
      <c r="BT26" s="7"/>
      <c r="BU26" s="10"/>
      <c r="BV26" s="7"/>
      <c r="BW26" s="7"/>
      <c r="BX26" s="7" t="s">
        <v>212</v>
      </c>
      <c r="BY26" s="7" t="s">
        <v>209</v>
      </c>
      <c r="BZ26" s="7"/>
      <c r="CA26" s="7"/>
      <c r="CB26" s="7"/>
      <c r="CC26" s="7"/>
      <c r="CD26" s="7"/>
      <c r="CE26" s="7"/>
      <c r="CF26" s="7" t="s">
        <v>214</v>
      </c>
      <c r="CG26" s="7"/>
      <c r="CH26" s="7" t="s">
        <v>209</v>
      </c>
      <c r="CI26" s="7"/>
      <c r="CJ26" s="7"/>
      <c r="CK26" s="7"/>
      <c r="CL26" s="7"/>
      <c r="CM26" s="7" t="s">
        <v>212</v>
      </c>
      <c r="CN26" s="7" t="s">
        <v>212</v>
      </c>
      <c r="CO26" s="7"/>
      <c r="CP26" s="7"/>
      <c r="CQ26" s="7"/>
      <c r="CR26" s="10"/>
      <c r="CS26" s="7"/>
      <c r="CT26" s="7" t="s">
        <v>214</v>
      </c>
      <c r="CU26" s="7"/>
      <c r="CV26" s="7"/>
      <c r="CW26" s="7" t="s">
        <v>212</v>
      </c>
      <c r="CX26" s="7" t="s">
        <v>212</v>
      </c>
      <c r="CY26" s="7" t="s">
        <v>209</v>
      </c>
      <c r="CZ26" s="7" t="s">
        <v>212</v>
      </c>
      <c r="DA26" s="7" t="s">
        <v>212</v>
      </c>
      <c r="DB26" s="7"/>
      <c r="DC26" s="7"/>
      <c r="DD26" s="7"/>
      <c r="DE26" s="7"/>
      <c r="DF26" s="7" t="s">
        <v>212</v>
      </c>
      <c r="DG26" s="7"/>
      <c r="DH26" s="7"/>
      <c r="DI26" s="7"/>
      <c r="DJ26" s="7"/>
      <c r="DK26" s="7" t="s">
        <v>214</v>
      </c>
      <c r="DL26" s="7"/>
      <c r="DM26" s="7"/>
      <c r="DN26" s="7"/>
      <c r="DO26" s="10"/>
      <c r="DP26" s="7"/>
    </row>
    <row r="27">
      <c r="A27" s="6" t="s">
        <v>67</v>
      </c>
      <c r="B27" s="7">
        <f t="shared" si="1"/>
        <v>52</v>
      </c>
      <c r="C27" s="9">
        <f t="shared" si="2"/>
        <v>39</v>
      </c>
      <c r="D27" s="10">
        <f t="shared" si="3"/>
        <v>12</v>
      </c>
      <c r="E27" s="7"/>
      <c r="F27" s="7" t="s">
        <v>214</v>
      </c>
      <c r="G27" s="7"/>
      <c r="H27" s="7" t="s">
        <v>209</v>
      </c>
      <c r="I27" s="7"/>
      <c r="J27" s="7" t="s">
        <v>209</v>
      </c>
      <c r="K27" s="7" t="s">
        <v>209</v>
      </c>
      <c r="L27" s="7" t="s">
        <v>209</v>
      </c>
      <c r="M27" s="7" t="s">
        <v>209</v>
      </c>
      <c r="N27" s="7" t="s">
        <v>209</v>
      </c>
      <c r="O27" s="7" t="s">
        <v>209</v>
      </c>
      <c r="P27" s="7"/>
      <c r="Q27" s="7"/>
      <c r="R27" s="7"/>
      <c r="S27" s="7"/>
      <c r="T27" s="7"/>
      <c r="U27" s="7" t="s">
        <v>209</v>
      </c>
      <c r="V27" s="7"/>
      <c r="W27" s="7" t="s">
        <v>212</v>
      </c>
      <c r="X27" s="7" t="s">
        <v>209</v>
      </c>
      <c r="Y27" s="7"/>
      <c r="Z27" s="7"/>
      <c r="AA27" s="10"/>
      <c r="AB27" s="7"/>
      <c r="AC27" s="7" t="s">
        <v>209</v>
      </c>
      <c r="AD27" s="7" t="s">
        <v>209</v>
      </c>
      <c r="AE27" s="7"/>
      <c r="AF27" s="7"/>
      <c r="AG27" s="7"/>
      <c r="AH27" s="7" t="s">
        <v>214</v>
      </c>
      <c r="AI27" s="7" t="s">
        <v>214</v>
      </c>
      <c r="AJ27" s="7"/>
      <c r="AK27" s="7" t="s">
        <v>209</v>
      </c>
      <c r="AL27" s="7" t="s">
        <v>212</v>
      </c>
      <c r="AM27" s="7"/>
      <c r="AN27" s="7"/>
      <c r="AO27" s="7" t="s">
        <v>209</v>
      </c>
      <c r="AP27" s="7"/>
      <c r="AQ27" s="7"/>
      <c r="AR27" s="7"/>
      <c r="AS27" s="7"/>
      <c r="AT27" s="7"/>
      <c r="AU27" s="7" t="s">
        <v>209</v>
      </c>
      <c r="AV27" s="7" t="s">
        <v>212</v>
      </c>
      <c r="AW27" s="7"/>
      <c r="AX27" s="10" t="s">
        <v>212</v>
      </c>
      <c r="AY27" s="7"/>
      <c r="AZ27" s="7" t="s">
        <v>209</v>
      </c>
      <c r="BA27" s="7" t="s">
        <v>209</v>
      </c>
      <c r="BB27" s="7" t="s">
        <v>209</v>
      </c>
      <c r="BC27" s="7" t="s">
        <v>209</v>
      </c>
      <c r="BD27" s="7" t="s">
        <v>209</v>
      </c>
      <c r="BE27" s="7" t="s">
        <v>209</v>
      </c>
      <c r="BF27" s="7" t="s">
        <v>214</v>
      </c>
      <c r="BG27" s="7" t="s">
        <v>209</v>
      </c>
      <c r="BH27" s="7" t="s">
        <v>214</v>
      </c>
      <c r="BI27" s="7" t="s">
        <v>209</v>
      </c>
      <c r="BJ27" s="7"/>
      <c r="BK27" s="7" t="s">
        <v>214</v>
      </c>
      <c r="BL27" s="7" t="s">
        <v>214</v>
      </c>
      <c r="BM27" s="7" t="s">
        <v>212</v>
      </c>
      <c r="BN27" s="7" t="s">
        <v>209</v>
      </c>
      <c r="BO27" s="7"/>
      <c r="BP27" s="7" t="s">
        <v>209</v>
      </c>
      <c r="BQ27" s="7" t="s">
        <v>209</v>
      </c>
      <c r="BR27" s="7"/>
      <c r="BS27" s="7" t="s">
        <v>214</v>
      </c>
      <c r="BT27" s="7" t="s">
        <v>214</v>
      </c>
      <c r="BU27" s="10"/>
      <c r="BV27" s="7"/>
      <c r="BW27" s="7" t="s">
        <v>212</v>
      </c>
      <c r="BX27" s="7"/>
      <c r="BY27" s="7" t="s">
        <v>214</v>
      </c>
      <c r="BZ27" s="7" t="s">
        <v>209</v>
      </c>
      <c r="CA27" s="7" t="s">
        <v>209</v>
      </c>
      <c r="CB27" s="7"/>
      <c r="CC27" s="7"/>
      <c r="CD27" s="7" t="s">
        <v>212</v>
      </c>
      <c r="CE27" s="7" t="s">
        <v>212</v>
      </c>
      <c r="CF27" s="7" t="s">
        <v>209</v>
      </c>
      <c r="CG27" s="7" t="s">
        <v>209</v>
      </c>
      <c r="CH27" s="7" t="s">
        <v>209</v>
      </c>
      <c r="CI27" s="7"/>
      <c r="CJ27" s="7"/>
      <c r="CK27" s="7"/>
      <c r="CL27" s="7"/>
      <c r="CM27" s="7"/>
      <c r="CN27" s="7" t="s">
        <v>212</v>
      </c>
      <c r="CO27" s="7"/>
      <c r="CP27" s="7"/>
      <c r="CQ27" s="7"/>
      <c r="CR27" s="10"/>
      <c r="CS27" s="7" t="s">
        <v>209</v>
      </c>
      <c r="CT27" s="7" t="s">
        <v>212</v>
      </c>
      <c r="CU27" s="7"/>
      <c r="CV27" s="7" t="s">
        <v>209</v>
      </c>
      <c r="CW27" s="7"/>
      <c r="CX27" s="7" t="s">
        <v>209</v>
      </c>
      <c r="CY27" s="7" t="s">
        <v>209</v>
      </c>
      <c r="CZ27" s="7" t="s">
        <v>212</v>
      </c>
      <c r="DA27" s="7" t="s">
        <v>214</v>
      </c>
      <c r="DB27" s="7" t="s">
        <v>209</v>
      </c>
      <c r="DC27" s="7" t="s">
        <v>209</v>
      </c>
      <c r="DD27" s="7"/>
      <c r="DE27" s="7"/>
      <c r="DF27" s="7" t="s">
        <v>209</v>
      </c>
      <c r="DG27" s="7" t="s">
        <v>209</v>
      </c>
      <c r="DH27" s="7" t="s">
        <v>214</v>
      </c>
      <c r="DI27" s="7"/>
      <c r="DJ27" s="7" t="s">
        <v>209</v>
      </c>
      <c r="DK27" s="7" t="s">
        <v>212</v>
      </c>
      <c r="DL27" s="7" t="s">
        <v>212</v>
      </c>
      <c r="DM27" s="7"/>
      <c r="DN27" s="7"/>
      <c r="DO27" s="10"/>
      <c r="DP27" s="7"/>
    </row>
    <row r="28">
      <c r="A28" s="6" t="s">
        <v>17</v>
      </c>
      <c r="B28" s="7">
        <f t="shared" si="1"/>
        <v>35</v>
      </c>
      <c r="C28" s="9">
        <f t="shared" si="2"/>
        <v>18</v>
      </c>
      <c r="D28" s="10">
        <f t="shared" si="3"/>
        <v>1</v>
      </c>
      <c r="E28" s="7"/>
      <c r="F28" s="7"/>
      <c r="G28" s="7" t="s">
        <v>209</v>
      </c>
      <c r="H28" s="7"/>
      <c r="I28" s="7"/>
      <c r="J28" s="7"/>
      <c r="K28" s="7"/>
      <c r="L28" s="7" t="s">
        <v>209</v>
      </c>
      <c r="M28" s="7"/>
      <c r="N28" s="7" t="s">
        <v>209</v>
      </c>
      <c r="O28" s="7"/>
      <c r="P28" s="7"/>
      <c r="Q28" s="7"/>
      <c r="R28" s="7" t="s">
        <v>209</v>
      </c>
      <c r="S28" s="7"/>
      <c r="T28" s="7"/>
      <c r="U28" s="7"/>
      <c r="V28" s="7"/>
      <c r="W28" s="7"/>
      <c r="X28" s="7"/>
      <c r="Y28" s="7"/>
      <c r="Z28" s="7"/>
      <c r="AA28" s="10"/>
      <c r="AB28" s="7" t="s">
        <v>212</v>
      </c>
      <c r="AC28" s="7" t="s">
        <v>214</v>
      </c>
      <c r="AD28" s="7"/>
      <c r="AE28" s="7"/>
      <c r="AF28" s="7" t="s">
        <v>209</v>
      </c>
      <c r="AG28" s="7" t="s">
        <v>209</v>
      </c>
      <c r="AH28" s="7"/>
      <c r="AI28" s="7" t="s">
        <v>209</v>
      </c>
      <c r="AJ28" s="7"/>
      <c r="AK28" s="7" t="s">
        <v>212</v>
      </c>
      <c r="AL28" s="7" t="s">
        <v>212</v>
      </c>
      <c r="AM28" s="7"/>
      <c r="AN28" s="7"/>
      <c r="AO28" s="7"/>
      <c r="AP28" s="7"/>
      <c r="AQ28" s="7" t="s">
        <v>209</v>
      </c>
      <c r="AR28" s="7" t="s">
        <v>212</v>
      </c>
      <c r="AS28" s="7"/>
      <c r="AT28" s="7"/>
      <c r="AU28" s="7"/>
      <c r="AV28" s="7"/>
      <c r="AW28" s="7"/>
      <c r="AX28" s="10"/>
      <c r="AY28" s="7" t="s">
        <v>212</v>
      </c>
      <c r="AZ28" s="7" t="s">
        <v>209</v>
      </c>
      <c r="BA28" s="7"/>
      <c r="BB28" s="7"/>
      <c r="BC28" s="7"/>
      <c r="BD28" s="7"/>
      <c r="BE28" s="7"/>
      <c r="BF28" s="7" t="s">
        <v>209</v>
      </c>
      <c r="BG28" s="7"/>
      <c r="BH28" s="7" t="s">
        <v>212</v>
      </c>
      <c r="BI28" s="7"/>
      <c r="BJ28" s="7"/>
      <c r="BK28" s="7" t="s">
        <v>209</v>
      </c>
      <c r="BL28" s="7" t="s">
        <v>212</v>
      </c>
      <c r="BM28" s="7"/>
      <c r="BN28" s="7"/>
      <c r="BO28" s="7"/>
      <c r="BP28" s="7"/>
      <c r="BQ28" s="7"/>
      <c r="BR28" s="7"/>
      <c r="BS28" s="7"/>
      <c r="BT28" s="7"/>
      <c r="BU28" s="10"/>
      <c r="BV28" s="7"/>
      <c r="BW28" s="7"/>
      <c r="BX28" s="7" t="s">
        <v>212</v>
      </c>
      <c r="BY28" s="7"/>
      <c r="BZ28" s="7" t="s">
        <v>212</v>
      </c>
      <c r="CA28" s="7"/>
      <c r="CB28" s="7"/>
      <c r="CC28" s="7"/>
      <c r="CD28" s="7"/>
      <c r="CE28" s="7" t="s">
        <v>209</v>
      </c>
      <c r="CF28" s="7"/>
      <c r="CG28" s="7"/>
      <c r="CH28" s="7" t="s">
        <v>209</v>
      </c>
      <c r="CI28" s="7" t="s">
        <v>209</v>
      </c>
      <c r="CJ28" s="7"/>
      <c r="CK28" s="7" t="s">
        <v>212</v>
      </c>
      <c r="CL28" s="7"/>
      <c r="CM28" s="7"/>
      <c r="CN28" s="7" t="s">
        <v>212</v>
      </c>
      <c r="CO28" s="7" t="s">
        <v>212</v>
      </c>
      <c r="CP28" s="7" t="s">
        <v>212</v>
      </c>
      <c r="CQ28" s="7"/>
      <c r="CR28" s="10"/>
      <c r="CS28" s="7"/>
      <c r="CT28" s="7"/>
      <c r="CU28" s="7"/>
      <c r="CV28" s="7"/>
      <c r="CW28" s="7"/>
      <c r="CX28" s="7" t="s">
        <v>209</v>
      </c>
      <c r="CY28" s="7" t="s">
        <v>212</v>
      </c>
      <c r="CZ28" s="7"/>
      <c r="DA28" s="7"/>
      <c r="DB28" s="7" t="s">
        <v>212</v>
      </c>
      <c r="DC28" s="7" t="s">
        <v>212</v>
      </c>
      <c r="DD28" s="7"/>
      <c r="DE28" s="7" t="s">
        <v>209</v>
      </c>
      <c r="DF28" s="7"/>
      <c r="DG28" s="7"/>
      <c r="DH28" s="7" t="s">
        <v>209</v>
      </c>
      <c r="DI28" s="7" t="s">
        <v>212</v>
      </c>
      <c r="DJ28" s="7" t="s">
        <v>209</v>
      </c>
      <c r="DK28" s="7"/>
      <c r="DL28" s="7"/>
      <c r="DM28" s="7"/>
      <c r="DN28" s="7"/>
      <c r="DO28" s="10"/>
      <c r="DP28" s="7"/>
    </row>
    <row r="29">
      <c r="A29" s="6" t="s">
        <v>27</v>
      </c>
      <c r="B29" s="7">
        <f t="shared" si="1"/>
        <v>27</v>
      </c>
      <c r="C29" s="9">
        <f t="shared" si="2"/>
        <v>7</v>
      </c>
      <c r="D29" s="10">
        <f t="shared" si="3"/>
        <v>2</v>
      </c>
      <c r="E29" s="7"/>
      <c r="F29" s="7"/>
      <c r="G29" s="7"/>
      <c r="H29" s="7"/>
      <c r="I29" s="7"/>
      <c r="J29" s="7"/>
      <c r="K29" s="7" t="s">
        <v>212</v>
      </c>
      <c r="L29" s="7" t="s">
        <v>209</v>
      </c>
      <c r="M29" s="7"/>
      <c r="N29" s="7"/>
      <c r="O29" s="7"/>
      <c r="P29" s="7" t="s">
        <v>209</v>
      </c>
      <c r="Q29" s="7" t="s">
        <v>212</v>
      </c>
      <c r="R29" s="7"/>
      <c r="S29" s="7"/>
      <c r="T29" s="7"/>
      <c r="U29" s="7"/>
      <c r="V29" s="7" t="s">
        <v>212</v>
      </c>
      <c r="W29" s="7"/>
      <c r="X29" s="7"/>
      <c r="Y29" s="7"/>
      <c r="Z29" s="7"/>
      <c r="AA29" s="10"/>
      <c r="AB29" s="7" t="s">
        <v>212</v>
      </c>
      <c r="AC29" s="7" t="s">
        <v>212</v>
      </c>
      <c r="AD29" s="7" t="s">
        <v>212</v>
      </c>
      <c r="AE29" s="7" t="s">
        <v>212</v>
      </c>
      <c r="AF29" s="7"/>
      <c r="AG29" s="7"/>
      <c r="AH29" s="7"/>
      <c r="AI29" s="7"/>
      <c r="AJ29" s="7"/>
      <c r="AK29" s="7" t="s">
        <v>212</v>
      </c>
      <c r="AL29" s="7" t="s">
        <v>212</v>
      </c>
      <c r="AM29" s="7"/>
      <c r="AN29" s="7"/>
      <c r="AO29" s="7"/>
      <c r="AP29" s="7"/>
      <c r="AQ29" s="7"/>
      <c r="AR29" s="7" t="s">
        <v>212</v>
      </c>
      <c r="AS29" s="7"/>
      <c r="AT29" s="7"/>
      <c r="AU29" s="7"/>
      <c r="AV29" s="7"/>
      <c r="AW29" s="7"/>
      <c r="AX29" s="10"/>
      <c r="AY29" s="7" t="s">
        <v>212</v>
      </c>
      <c r="AZ29" s="7"/>
      <c r="BA29" s="7"/>
      <c r="BB29" s="7"/>
      <c r="BC29" s="7"/>
      <c r="BD29" s="7"/>
      <c r="BE29" s="7"/>
      <c r="BF29" s="7" t="s">
        <v>209</v>
      </c>
      <c r="BG29" s="7"/>
      <c r="BH29" s="7"/>
      <c r="BI29" s="7"/>
      <c r="BJ29" s="7" t="s">
        <v>212</v>
      </c>
      <c r="BK29" s="7"/>
      <c r="BL29" s="7" t="s">
        <v>212</v>
      </c>
      <c r="BM29" s="7"/>
      <c r="BN29" s="7"/>
      <c r="BO29" s="7" t="s">
        <v>209</v>
      </c>
      <c r="BP29" s="7"/>
      <c r="BQ29" s="7" t="s">
        <v>214</v>
      </c>
      <c r="BR29" s="7"/>
      <c r="BS29" s="7"/>
      <c r="BT29" s="7"/>
      <c r="BU29" s="10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 t="s">
        <v>214</v>
      </c>
      <c r="CG29" s="7" t="s">
        <v>212</v>
      </c>
      <c r="CH29" s="7" t="s">
        <v>212</v>
      </c>
      <c r="CI29" s="7"/>
      <c r="CJ29" s="7"/>
      <c r="CK29" s="7"/>
      <c r="CL29" s="7" t="s">
        <v>212</v>
      </c>
      <c r="CM29" s="7" t="s">
        <v>209</v>
      </c>
      <c r="CN29" s="7"/>
      <c r="CO29" s="7"/>
      <c r="CP29" s="7"/>
      <c r="CQ29" s="7"/>
      <c r="CR29" s="10"/>
      <c r="CS29" s="7"/>
      <c r="CT29" s="7"/>
      <c r="CU29" s="7"/>
      <c r="CV29" s="7"/>
      <c r="CW29" s="7"/>
      <c r="CX29" s="7"/>
      <c r="CY29" s="7"/>
      <c r="CZ29" s="7"/>
      <c r="DA29" s="7"/>
      <c r="DB29" s="7" t="s">
        <v>212</v>
      </c>
      <c r="DC29" s="7"/>
      <c r="DD29" s="7" t="s">
        <v>209</v>
      </c>
      <c r="DE29" s="7"/>
      <c r="DF29" s="7" t="s">
        <v>212</v>
      </c>
      <c r="DG29" s="7"/>
      <c r="DH29" s="7"/>
      <c r="DI29" s="7" t="s">
        <v>212</v>
      </c>
      <c r="DJ29" s="7" t="s">
        <v>209</v>
      </c>
      <c r="DK29" s="7"/>
      <c r="DL29" s="7" t="s">
        <v>212</v>
      </c>
      <c r="DM29" s="7"/>
      <c r="DN29" s="7"/>
      <c r="DO29" s="10"/>
      <c r="DP29" s="7"/>
    </row>
    <row r="30">
      <c r="A30" s="6" t="s">
        <v>8</v>
      </c>
      <c r="B30" s="7">
        <f t="shared" si="1"/>
        <v>74</v>
      </c>
      <c r="C30" s="9">
        <f t="shared" si="2"/>
        <v>62</v>
      </c>
      <c r="D30" s="10">
        <f t="shared" si="3"/>
        <v>7</v>
      </c>
      <c r="E30" s="7" t="s">
        <v>209</v>
      </c>
      <c r="F30" s="7" t="s">
        <v>209</v>
      </c>
      <c r="G30" s="7" t="s">
        <v>209</v>
      </c>
      <c r="H30" s="7" t="s">
        <v>212</v>
      </c>
      <c r="I30" s="7" t="s">
        <v>212</v>
      </c>
      <c r="J30" s="7"/>
      <c r="K30" s="7" t="s">
        <v>209</v>
      </c>
      <c r="L30" s="7" t="s">
        <v>209</v>
      </c>
      <c r="M30" s="7"/>
      <c r="N30" s="7" t="s">
        <v>209</v>
      </c>
      <c r="O30" s="7"/>
      <c r="P30" s="7"/>
      <c r="Q30" s="7" t="s">
        <v>214</v>
      </c>
      <c r="R30" s="7" t="s">
        <v>209</v>
      </c>
      <c r="S30" s="7" t="s">
        <v>209</v>
      </c>
      <c r="T30" s="7" t="s">
        <v>209</v>
      </c>
      <c r="U30" s="7" t="s">
        <v>212</v>
      </c>
      <c r="V30" s="7" t="s">
        <v>209</v>
      </c>
      <c r="W30" s="7"/>
      <c r="X30" s="7" t="s">
        <v>209</v>
      </c>
      <c r="Y30" s="7" t="s">
        <v>209</v>
      </c>
      <c r="Z30" s="7" t="s">
        <v>209</v>
      </c>
      <c r="AA30" s="10"/>
      <c r="AB30" s="7" t="s">
        <v>209</v>
      </c>
      <c r="AC30" s="7" t="s">
        <v>209</v>
      </c>
      <c r="AD30" s="7"/>
      <c r="AE30" s="7" t="s">
        <v>209</v>
      </c>
      <c r="AF30" s="7" t="s">
        <v>209</v>
      </c>
      <c r="AG30" s="7" t="s">
        <v>209</v>
      </c>
      <c r="AH30" s="7" t="s">
        <v>209</v>
      </c>
      <c r="AI30" s="7" t="s">
        <v>209</v>
      </c>
      <c r="AJ30" s="7" t="s">
        <v>209</v>
      </c>
      <c r="AK30" s="7" t="s">
        <v>209</v>
      </c>
      <c r="AL30" s="7" t="s">
        <v>212</v>
      </c>
      <c r="AM30" s="7" t="s">
        <v>214</v>
      </c>
      <c r="AN30" s="7" t="s">
        <v>209</v>
      </c>
      <c r="AO30" s="7" t="s">
        <v>209</v>
      </c>
      <c r="AP30" s="7"/>
      <c r="AQ30" s="7"/>
      <c r="AR30" s="7" t="s">
        <v>209</v>
      </c>
      <c r="AS30" s="7" t="s">
        <v>209</v>
      </c>
      <c r="AT30" s="7" t="s">
        <v>209</v>
      </c>
      <c r="AU30" s="7"/>
      <c r="AV30" s="7"/>
      <c r="AW30" s="7" t="s">
        <v>214</v>
      </c>
      <c r="AX30" s="10" t="s">
        <v>209</v>
      </c>
      <c r="AY30" s="7" t="s">
        <v>209</v>
      </c>
      <c r="AZ30" s="7" t="s">
        <v>209</v>
      </c>
      <c r="BA30" s="7"/>
      <c r="BB30" s="7" t="s">
        <v>209</v>
      </c>
      <c r="BC30" s="7" t="s">
        <v>209</v>
      </c>
      <c r="BD30" s="7"/>
      <c r="BE30" s="7" t="s">
        <v>209</v>
      </c>
      <c r="BF30" s="7" t="s">
        <v>209</v>
      </c>
      <c r="BG30" s="7" t="s">
        <v>212</v>
      </c>
      <c r="BH30" s="7" t="s">
        <v>212</v>
      </c>
      <c r="BI30" s="7" t="s">
        <v>209</v>
      </c>
      <c r="BJ30" s="7" t="s">
        <v>209</v>
      </c>
      <c r="BK30" s="7" t="s">
        <v>209</v>
      </c>
      <c r="BL30" s="7" t="s">
        <v>214</v>
      </c>
      <c r="BM30" s="7" t="s">
        <v>209</v>
      </c>
      <c r="BN30" s="7" t="s">
        <v>214</v>
      </c>
      <c r="BO30" s="7" t="s">
        <v>209</v>
      </c>
      <c r="BP30" s="7"/>
      <c r="BQ30" s="7" t="s">
        <v>209</v>
      </c>
      <c r="BR30" s="7"/>
      <c r="BS30" s="7" t="s">
        <v>214</v>
      </c>
      <c r="BT30" s="7"/>
      <c r="BU30" s="10" t="s">
        <v>209</v>
      </c>
      <c r="BV30" s="7"/>
      <c r="BW30" s="7" t="s">
        <v>212</v>
      </c>
      <c r="BX30" s="7" t="s">
        <v>209</v>
      </c>
      <c r="BY30" s="7" t="s">
        <v>209</v>
      </c>
      <c r="BZ30" s="7" t="s">
        <v>209</v>
      </c>
      <c r="CA30" s="7" t="s">
        <v>209</v>
      </c>
      <c r="CB30" s="7" t="s">
        <v>209</v>
      </c>
      <c r="CC30" s="7" t="s">
        <v>209</v>
      </c>
      <c r="CD30" s="7" t="s">
        <v>209</v>
      </c>
      <c r="CE30" s="7" t="s">
        <v>209</v>
      </c>
      <c r="CF30" s="7" t="s">
        <v>209</v>
      </c>
      <c r="CG30" s="7" t="s">
        <v>209</v>
      </c>
      <c r="CH30" s="7" t="s">
        <v>209</v>
      </c>
      <c r="CI30" s="7" t="s">
        <v>209</v>
      </c>
      <c r="CJ30" s="7"/>
      <c r="CK30" s="7" t="s">
        <v>212</v>
      </c>
      <c r="CL30" s="7" t="s">
        <v>212</v>
      </c>
      <c r="CM30" s="7"/>
      <c r="CN30" s="7" t="s">
        <v>214</v>
      </c>
      <c r="CO30" s="7" t="s">
        <v>209</v>
      </c>
      <c r="CP30" s="7"/>
      <c r="CQ30" s="7" t="s">
        <v>209</v>
      </c>
      <c r="CR30" s="10"/>
      <c r="CS30" s="7"/>
      <c r="CT30" s="7"/>
      <c r="CU30" s="7" t="s">
        <v>209</v>
      </c>
      <c r="CV30" s="7"/>
      <c r="CW30" s="7" t="s">
        <v>209</v>
      </c>
      <c r="CX30" s="7" t="s">
        <v>209</v>
      </c>
      <c r="CY30" s="7"/>
      <c r="CZ30" s="7" t="s">
        <v>212</v>
      </c>
      <c r="DA30" s="7"/>
      <c r="DB30" s="7" t="s">
        <v>212</v>
      </c>
      <c r="DC30" s="7"/>
      <c r="DD30" s="7" t="s">
        <v>209</v>
      </c>
      <c r="DE30" s="7" t="s">
        <v>209</v>
      </c>
      <c r="DF30" s="7"/>
      <c r="DG30" s="7"/>
      <c r="DH30" s="7" t="s">
        <v>212</v>
      </c>
      <c r="DI30" s="7"/>
      <c r="DJ30" s="7" t="s">
        <v>209</v>
      </c>
      <c r="DK30" s="7" t="s">
        <v>209</v>
      </c>
      <c r="DL30" s="7"/>
      <c r="DM30" s="7"/>
      <c r="DN30" s="7"/>
      <c r="DO30" s="10"/>
      <c r="DP30" s="7"/>
    </row>
    <row r="31">
      <c r="A31" s="6" t="s">
        <v>70</v>
      </c>
      <c r="B31" s="7">
        <f t="shared" si="1"/>
        <v>61</v>
      </c>
      <c r="C31" s="9">
        <f t="shared" si="2"/>
        <v>44</v>
      </c>
      <c r="D31" s="10">
        <f t="shared" si="3"/>
        <v>4</v>
      </c>
      <c r="E31" s="7"/>
      <c r="F31" s="7" t="s">
        <v>209</v>
      </c>
      <c r="G31" s="7"/>
      <c r="H31" s="7"/>
      <c r="I31" s="7"/>
      <c r="J31" s="7" t="s">
        <v>209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 t="s">
        <v>212</v>
      </c>
      <c r="Y31" s="7" t="s">
        <v>212</v>
      </c>
      <c r="Z31" s="7" t="s">
        <v>209</v>
      </c>
      <c r="AA31" s="10" t="s">
        <v>212</v>
      </c>
      <c r="AB31" s="7" t="s">
        <v>209</v>
      </c>
      <c r="AC31" s="7" t="s">
        <v>209</v>
      </c>
      <c r="AD31" s="7" t="s">
        <v>209</v>
      </c>
      <c r="AE31" s="7"/>
      <c r="AF31" s="7" t="s">
        <v>209</v>
      </c>
      <c r="AG31" s="7"/>
      <c r="AH31" s="7" t="s">
        <v>209</v>
      </c>
      <c r="AI31" s="7"/>
      <c r="AJ31" s="7" t="s">
        <v>209</v>
      </c>
      <c r="AK31" s="7"/>
      <c r="AL31" s="7" t="s">
        <v>212</v>
      </c>
      <c r="AM31" s="7" t="s">
        <v>209</v>
      </c>
      <c r="AN31" s="7" t="s">
        <v>209</v>
      </c>
      <c r="AO31" s="7"/>
      <c r="AP31" s="7" t="s">
        <v>212</v>
      </c>
      <c r="AQ31" s="7" t="s">
        <v>209</v>
      </c>
      <c r="AR31" s="7" t="s">
        <v>209</v>
      </c>
      <c r="AS31" s="7" t="s">
        <v>209</v>
      </c>
      <c r="AT31" s="7" t="s">
        <v>209</v>
      </c>
      <c r="AU31" s="7" t="s">
        <v>214</v>
      </c>
      <c r="AV31" s="7" t="s">
        <v>212</v>
      </c>
      <c r="AW31" s="7"/>
      <c r="AX31" s="10" t="s">
        <v>209</v>
      </c>
      <c r="AY31" s="7"/>
      <c r="AZ31" s="7"/>
      <c r="BA31" s="7"/>
      <c r="BB31" s="7" t="s">
        <v>212</v>
      </c>
      <c r="BC31" s="7" t="s">
        <v>209</v>
      </c>
      <c r="BD31" s="7" t="s">
        <v>209</v>
      </c>
      <c r="BE31" s="7" t="s">
        <v>209</v>
      </c>
      <c r="BF31" s="7"/>
      <c r="BG31" s="7" t="s">
        <v>212</v>
      </c>
      <c r="BH31" s="7" t="s">
        <v>212</v>
      </c>
      <c r="BI31" s="7" t="s">
        <v>209</v>
      </c>
      <c r="BJ31" s="7" t="s">
        <v>209</v>
      </c>
      <c r="BK31" s="7" t="s">
        <v>214</v>
      </c>
      <c r="BL31" s="7" t="s">
        <v>212</v>
      </c>
      <c r="BM31" s="7" t="s">
        <v>209</v>
      </c>
      <c r="BN31" s="7" t="s">
        <v>214</v>
      </c>
      <c r="BO31" s="7"/>
      <c r="BP31" s="7" t="s">
        <v>209</v>
      </c>
      <c r="BQ31" s="7" t="s">
        <v>212</v>
      </c>
      <c r="BR31" s="7"/>
      <c r="BS31" s="7" t="s">
        <v>209</v>
      </c>
      <c r="BT31" s="7"/>
      <c r="BU31" s="10"/>
      <c r="BV31" s="7" t="s">
        <v>209</v>
      </c>
      <c r="BW31" s="7"/>
      <c r="BX31" s="7" t="s">
        <v>212</v>
      </c>
      <c r="BY31" s="7" t="s">
        <v>212</v>
      </c>
      <c r="BZ31" s="7"/>
      <c r="CA31" s="7"/>
      <c r="CB31" s="7" t="s">
        <v>209</v>
      </c>
      <c r="CC31" s="7" t="s">
        <v>209</v>
      </c>
      <c r="CD31" s="7"/>
      <c r="CE31" s="7"/>
      <c r="CF31" s="7"/>
      <c r="CG31" s="7"/>
      <c r="CH31" s="7"/>
      <c r="CI31" s="7" t="s">
        <v>209</v>
      </c>
      <c r="CJ31" s="7" t="s">
        <v>209</v>
      </c>
      <c r="CK31" s="7" t="s">
        <v>212</v>
      </c>
      <c r="CL31" s="7" t="s">
        <v>209</v>
      </c>
      <c r="CM31" s="7" t="s">
        <v>209</v>
      </c>
      <c r="CN31" s="7" t="s">
        <v>214</v>
      </c>
      <c r="CO31" s="7"/>
      <c r="CP31" s="7"/>
      <c r="CQ31" s="7"/>
      <c r="CR31" s="10"/>
      <c r="CS31" s="7" t="s">
        <v>209</v>
      </c>
      <c r="CT31" s="7" t="s">
        <v>209</v>
      </c>
      <c r="CU31" s="7" t="s">
        <v>209</v>
      </c>
      <c r="CV31" s="7" t="s">
        <v>209</v>
      </c>
      <c r="CW31" s="7"/>
      <c r="CX31" s="7" t="s">
        <v>209</v>
      </c>
      <c r="CY31" s="7" t="s">
        <v>209</v>
      </c>
      <c r="CZ31" s="7" t="s">
        <v>212</v>
      </c>
      <c r="DA31" s="7" t="s">
        <v>212</v>
      </c>
      <c r="DB31" s="7" t="s">
        <v>209</v>
      </c>
      <c r="DC31" s="7" t="s">
        <v>209</v>
      </c>
      <c r="DD31" s="7" t="s">
        <v>209</v>
      </c>
      <c r="DE31" s="7" t="s">
        <v>212</v>
      </c>
      <c r="DF31" s="7"/>
      <c r="DG31" s="7"/>
      <c r="DH31" s="7" t="s">
        <v>209</v>
      </c>
      <c r="DI31" s="7" t="s">
        <v>209</v>
      </c>
      <c r="DJ31" s="7" t="s">
        <v>209</v>
      </c>
      <c r="DK31" s="7" t="s">
        <v>209</v>
      </c>
      <c r="DL31" s="7"/>
      <c r="DM31" s="7"/>
      <c r="DN31" s="7"/>
      <c r="DO31" s="10"/>
      <c r="DP31" s="7"/>
    </row>
    <row r="32">
      <c r="A32" s="6" t="s">
        <v>53</v>
      </c>
      <c r="B32" s="7">
        <f t="shared" si="1"/>
        <v>10</v>
      </c>
      <c r="C32" s="9">
        <f t="shared" si="2"/>
        <v>1</v>
      </c>
      <c r="D32" s="10">
        <f t="shared" si="3"/>
        <v>2</v>
      </c>
      <c r="E32" s="7"/>
      <c r="F32" s="7"/>
      <c r="G32" s="7"/>
      <c r="H32" s="7"/>
      <c r="I32" s="7" t="s">
        <v>212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 t="s">
        <v>214</v>
      </c>
      <c r="V32" s="7" t="s">
        <v>212</v>
      </c>
      <c r="W32" s="7"/>
      <c r="X32" s="7"/>
      <c r="Y32" s="7"/>
      <c r="Z32" s="7"/>
      <c r="AA32" s="10"/>
      <c r="AB32" s="7"/>
      <c r="AC32" s="7" t="s">
        <v>212</v>
      </c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 t="s">
        <v>212</v>
      </c>
      <c r="AS32" s="7"/>
      <c r="AT32" s="7"/>
      <c r="AU32" s="7"/>
      <c r="AV32" s="7"/>
      <c r="AW32" s="7"/>
      <c r="AX32" s="10"/>
      <c r="AY32" s="7"/>
      <c r="AZ32" s="7" t="s">
        <v>212</v>
      </c>
      <c r="BA32" s="7"/>
      <c r="BB32" s="7"/>
      <c r="BC32" s="7"/>
      <c r="BD32" s="7"/>
      <c r="BE32" s="7"/>
      <c r="BF32" s="7"/>
      <c r="BG32" s="7"/>
      <c r="BH32" s="7" t="s">
        <v>212</v>
      </c>
      <c r="BI32" s="7"/>
      <c r="BJ32" s="7"/>
      <c r="BK32" s="7" t="s">
        <v>214</v>
      </c>
      <c r="BL32" s="7"/>
      <c r="BM32" s="7"/>
      <c r="BN32" s="7"/>
      <c r="BO32" s="7"/>
      <c r="BP32" s="7"/>
      <c r="BQ32" s="7"/>
      <c r="BR32" s="7"/>
      <c r="BS32" s="7"/>
      <c r="BT32" s="7"/>
      <c r="BU32" s="10"/>
      <c r="BV32" s="7"/>
      <c r="BW32" s="7"/>
      <c r="BX32" s="7"/>
      <c r="BY32" s="7"/>
      <c r="BZ32" s="7"/>
      <c r="CA32" s="7"/>
      <c r="CB32" s="7"/>
      <c r="CC32" s="7"/>
      <c r="CD32" s="7"/>
      <c r="CE32" s="7" t="s">
        <v>212</v>
      </c>
      <c r="CF32" s="7"/>
      <c r="CG32" s="7" t="s">
        <v>209</v>
      </c>
      <c r="CH32" s="7"/>
      <c r="CI32" s="7"/>
      <c r="CJ32" s="7"/>
      <c r="CK32" s="7"/>
      <c r="CL32" s="7"/>
      <c r="CM32" s="7"/>
      <c r="CN32" s="7"/>
      <c r="CO32" s="7" t="s">
        <v>212</v>
      </c>
      <c r="CP32" s="7"/>
      <c r="CQ32" s="7"/>
      <c r="CR32" s="10"/>
      <c r="CS32" s="7"/>
      <c r="CT32" s="7"/>
      <c r="CU32" s="7"/>
      <c r="CV32" s="7"/>
      <c r="CW32" s="7"/>
      <c r="CX32" s="7"/>
      <c r="CY32" s="7"/>
      <c r="CZ32" s="7"/>
      <c r="DA32" s="7"/>
      <c r="DB32" s="7" t="s">
        <v>212</v>
      </c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10"/>
      <c r="DP32" s="7"/>
    </row>
    <row r="33">
      <c r="A33" s="6" t="s">
        <v>28</v>
      </c>
      <c r="B33" s="7">
        <f t="shared" si="1"/>
        <v>44</v>
      </c>
      <c r="C33" s="9">
        <f t="shared" si="2"/>
        <v>25</v>
      </c>
      <c r="D33" s="10">
        <f t="shared" si="3"/>
        <v>6</v>
      </c>
      <c r="E33" s="7" t="s">
        <v>212</v>
      </c>
      <c r="F33" s="7" t="s">
        <v>212</v>
      </c>
      <c r="G33" s="7" t="s">
        <v>212</v>
      </c>
      <c r="H33" s="7" t="s">
        <v>209</v>
      </c>
      <c r="I33" s="7" t="s">
        <v>209</v>
      </c>
      <c r="J33" s="7" t="s">
        <v>209</v>
      </c>
      <c r="K33" s="7"/>
      <c r="L33" s="7"/>
      <c r="M33" s="7" t="s">
        <v>209</v>
      </c>
      <c r="N33" s="7" t="s">
        <v>209</v>
      </c>
      <c r="O33" s="7"/>
      <c r="P33" s="7"/>
      <c r="Q33" s="7"/>
      <c r="R33" s="7" t="s">
        <v>209</v>
      </c>
      <c r="S33" s="7" t="s">
        <v>209</v>
      </c>
      <c r="T33" s="7" t="s">
        <v>212</v>
      </c>
      <c r="U33" s="7" t="s">
        <v>212</v>
      </c>
      <c r="V33" s="7"/>
      <c r="W33" s="7"/>
      <c r="X33" s="7"/>
      <c r="Y33" s="7"/>
      <c r="Z33" s="7"/>
      <c r="AA33" s="10"/>
      <c r="AB33" s="7" t="s">
        <v>214</v>
      </c>
      <c r="AC33" s="7" t="s">
        <v>212</v>
      </c>
      <c r="AD33" s="7" t="s">
        <v>212</v>
      </c>
      <c r="AE33" s="7"/>
      <c r="AF33" s="7" t="s">
        <v>214</v>
      </c>
      <c r="AG33" s="7"/>
      <c r="AH33" s="7"/>
      <c r="AI33" s="7" t="s">
        <v>209</v>
      </c>
      <c r="AJ33" s="7" t="s">
        <v>212</v>
      </c>
      <c r="AK33" s="7" t="s">
        <v>209</v>
      </c>
      <c r="AL33" s="7" t="s">
        <v>212</v>
      </c>
      <c r="AM33" s="7" t="s">
        <v>214</v>
      </c>
      <c r="AN33" s="7" t="s">
        <v>212</v>
      </c>
      <c r="AO33" s="7" t="s">
        <v>209</v>
      </c>
      <c r="AP33" s="7"/>
      <c r="AQ33" s="7" t="s">
        <v>209</v>
      </c>
      <c r="AR33" s="7"/>
      <c r="AS33" s="7"/>
      <c r="AT33" s="7"/>
      <c r="AU33" s="7"/>
      <c r="AV33" s="7"/>
      <c r="AW33" s="7"/>
      <c r="AX33" s="10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 t="s">
        <v>209</v>
      </c>
      <c r="BJ33" s="7"/>
      <c r="BK33" s="7"/>
      <c r="BL33" s="7"/>
      <c r="BM33" s="7"/>
      <c r="BN33" s="7"/>
      <c r="BO33" s="7"/>
      <c r="BP33" s="7" t="s">
        <v>214</v>
      </c>
      <c r="BQ33" s="7"/>
      <c r="BR33" s="7"/>
      <c r="BS33" s="7" t="s">
        <v>214</v>
      </c>
      <c r="BT33" s="7"/>
      <c r="BU33" s="10"/>
      <c r="BV33" s="7" t="s">
        <v>212</v>
      </c>
      <c r="BW33" s="7" t="s">
        <v>212</v>
      </c>
      <c r="BX33" s="7" t="s">
        <v>212</v>
      </c>
      <c r="BY33" s="7" t="s">
        <v>209</v>
      </c>
      <c r="BZ33" s="7" t="s">
        <v>209</v>
      </c>
      <c r="CA33" s="7" t="s">
        <v>209</v>
      </c>
      <c r="CB33" s="7" t="s">
        <v>209</v>
      </c>
      <c r="CC33" s="7"/>
      <c r="CD33" s="7"/>
      <c r="CE33" s="7" t="s">
        <v>212</v>
      </c>
      <c r="CF33" s="7" t="s">
        <v>212</v>
      </c>
      <c r="CG33" s="7"/>
      <c r="CH33" s="7" t="s">
        <v>209</v>
      </c>
      <c r="CI33" s="7"/>
      <c r="CJ33" s="7" t="s">
        <v>212</v>
      </c>
      <c r="CK33" s="7"/>
      <c r="CL33" s="7"/>
      <c r="CM33" s="7" t="s">
        <v>212</v>
      </c>
      <c r="CN33" s="7"/>
      <c r="CO33" s="7" t="s">
        <v>212</v>
      </c>
      <c r="CP33" s="7"/>
      <c r="CQ33" s="7"/>
      <c r="CR33" s="10"/>
      <c r="CS33" s="7"/>
      <c r="CT33" s="7"/>
      <c r="CU33" s="7" t="s">
        <v>209</v>
      </c>
      <c r="CV33" s="7" t="s">
        <v>209</v>
      </c>
      <c r="CW33" s="7"/>
      <c r="CX33" s="7"/>
      <c r="CY33" s="7"/>
      <c r="CZ33" s="7" t="s">
        <v>212</v>
      </c>
      <c r="DA33" s="7"/>
      <c r="DB33" s="7"/>
      <c r="DC33" s="7" t="s">
        <v>214</v>
      </c>
      <c r="DD33" s="7"/>
      <c r="DE33" s="7" t="s">
        <v>209</v>
      </c>
      <c r="DF33" s="7" t="s">
        <v>209</v>
      </c>
      <c r="DG33" s="7" t="s">
        <v>209</v>
      </c>
      <c r="DH33" s="7"/>
      <c r="DI33" s="7"/>
      <c r="DJ33" s="7" t="s">
        <v>209</v>
      </c>
      <c r="DK33" s="7" t="s">
        <v>209</v>
      </c>
      <c r="DL33" s="7"/>
      <c r="DM33" s="7" t="s">
        <v>209</v>
      </c>
      <c r="DN33" s="7"/>
      <c r="DO33" s="10"/>
      <c r="DP33" s="7"/>
    </row>
    <row r="34">
      <c r="A34" s="6" t="s">
        <v>71</v>
      </c>
      <c r="B34" s="7">
        <f t="shared" si="1"/>
        <v>67</v>
      </c>
      <c r="C34" s="9">
        <f t="shared" si="2"/>
        <v>58</v>
      </c>
      <c r="D34" s="10">
        <f t="shared" si="3"/>
        <v>26</v>
      </c>
      <c r="E34" s="7"/>
      <c r="F34" s="7" t="s">
        <v>214</v>
      </c>
      <c r="G34" s="7" t="s">
        <v>209</v>
      </c>
      <c r="H34" s="7" t="s">
        <v>209</v>
      </c>
      <c r="I34" s="7" t="s">
        <v>209</v>
      </c>
      <c r="J34" s="7" t="s">
        <v>214</v>
      </c>
      <c r="K34" s="7" t="s">
        <v>209</v>
      </c>
      <c r="L34" s="7" t="s">
        <v>209</v>
      </c>
      <c r="M34" s="7" t="s">
        <v>209</v>
      </c>
      <c r="N34" s="7" t="s">
        <v>209</v>
      </c>
      <c r="O34" s="7" t="s">
        <v>209</v>
      </c>
      <c r="P34" s="7" t="s">
        <v>209</v>
      </c>
      <c r="Q34" s="7" t="s">
        <v>209</v>
      </c>
      <c r="R34" s="7" t="s">
        <v>209</v>
      </c>
      <c r="S34" s="7" t="s">
        <v>209</v>
      </c>
      <c r="T34" s="7" t="s">
        <v>209</v>
      </c>
      <c r="U34" s="7" t="s">
        <v>212</v>
      </c>
      <c r="V34" s="7" t="s">
        <v>209</v>
      </c>
      <c r="W34" s="7" t="s">
        <v>212</v>
      </c>
      <c r="X34" s="7"/>
      <c r="Y34" s="7" t="s">
        <v>214</v>
      </c>
      <c r="Z34" s="7"/>
      <c r="AA34" s="10"/>
      <c r="AB34" s="7" t="s">
        <v>209</v>
      </c>
      <c r="AC34" s="7" t="s">
        <v>214</v>
      </c>
      <c r="AD34" s="7"/>
      <c r="AE34" s="7" t="s">
        <v>209</v>
      </c>
      <c r="AF34" s="7" t="s">
        <v>209</v>
      </c>
      <c r="AG34" s="7" t="s">
        <v>209</v>
      </c>
      <c r="AH34" s="7" t="s">
        <v>209</v>
      </c>
      <c r="AI34" s="7" t="s">
        <v>209</v>
      </c>
      <c r="AJ34" s="7" t="s">
        <v>209</v>
      </c>
      <c r="AK34" s="7" t="s">
        <v>214</v>
      </c>
      <c r="AL34" s="7"/>
      <c r="AM34" s="7" t="s">
        <v>209</v>
      </c>
      <c r="AN34" s="7" t="s">
        <v>209</v>
      </c>
      <c r="AO34" s="7" t="s">
        <v>214</v>
      </c>
      <c r="AP34" s="7" t="s">
        <v>209</v>
      </c>
      <c r="AQ34" s="7" t="s">
        <v>209</v>
      </c>
      <c r="AR34" s="7" t="s">
        <v>209</v>
      </c>
      <c r="AS34" s="7" t="s">
        <v>209</v>
      </c>
      <c r="AT34" s="7" t="s">
        <v>209</v>
      </c>
      <c r="AU34" s="7"/>
      <c r="AV34" s="7"/>
      <c r="AW34" s="7" t="s">
        <v>214</v>
      </c>
      <c r="AX34" s="10" t="s">
        <v>214</v>
      </c>
      <c r="AY34" s="7" t="s">
        <v>209</v>
      </c>
      <c r="AZ34" s="7" t="s">
        <v>209</v>
      </c>
      <c r="BA34" s="7" t="s">
        <v>209</v>
      </c>
      <c r="BB34" s="7" t="s">
        <v>209</v>
      </c>
      <c r="BC34" s="7" t="s">
        <v>212</v>
      </c>
      <c r="BD34" s="7" t="s">
        <v>209</v>
      </c>
      <c r="BE34" s="7" t="s">
        <v>209</v>
      </c>
      <c r="BF34" s="7" t="s">
        <v>214</v>
      </c>
      <c r="BG34" s="7" t="s">
        <v>209</v>
      </c>
      <c r="BH34" s="7" t="s">
        <v>214</v>
      </c>
      <c r="BI34" s="7" t="s">
        <v>214</v>
      </c>
      <c r="BJ34" s="7" t="s">
        <v>209</v>
      </c>
      <c r="BK34" s="7" t="s">
        <v>214</v>
      </c>
      <c r="BL34" s="7"/>
      <c r="BM34" s="7" t="s">
        <v>214</v>
      </c>
      <c r="BN34" s="7" t="s">
        <v>209</v>
      </c>
      <c r="BO34" s="7"/>
      <c r="BP34" s="7"/>
      <c r="BQ34" s="7"/>
      <c r="BR34" s="7"/>
      <c r="BS34" s="7"/>
      <c r="BT34" s="7"/>
      <c r="BU34" s="10"/>
      <c r="BV34" s="7" t="s">
        <v>212</v>
      </c>
      <c r="BW34" s="7" t="s">
        <v>209</v>
      </c>
      <c r="BX34" s="7" t="s">
        <v>214</v>
      </c>
      <c r="BY34" s="7" t="s">
        <v>209</v>
      </c>
      <c r="BZ34" s="7" t="s">
        <v>214</v>
      </c>
      <c r="CA34" s="7" t="s">
        <v>209</v>
      </c>
      <c r="CB34" s="7" t="s">
        <v>209</v>
      </c>
      <c r="CC34" s="7" t="s">
        <v>214</v>
      </c>
      <c r="CD34" s="7" t="s">
        <v>209</v>
      </c>
      <c r="CE34" s="7" t="s">
        <v>212</v>
      </c>
      <c r="CF34" s="7" t="s">
        <v>209</v>
      </c>
      <c r="CG34" s="7" t="s">
        <v>209</v>
      </c>
      <c r="CH34" s="7" t="s">
        <v>212</v>
      </c>
      <c r="CI34" s="7"/>
      <c r="CJ34" s="7" t="s">
        <v>209</v>
      </c>
      <c r="CK34" s="7" t="s">
        <v>212</v>
      </c>
      <c r="CL34" s="7"/>
      <c r="CM34" s="7" t="s">
        <v>209</v>
      </c>
      <c r="CN34" s="7" t="s">
        <v>209</v>
      </c>
      <c r="CO34" s="7" t="s">
        <v>214</v>
      </c>
      <c r="CP34" s="7" t="s">
        <v>209</v>
      </c>
      <c r="CQ34" s="7"/>
      <c r="CR34" s="10"/>
      <c r="CS34" s="7" t="s">
        <v>214</v>
      </c>
      <c r="CT34" s="7" t="s">
        <v>214</v>
      </c>
      <c r="CU34" s="7" t="s">
        <v>214</v>
      </c>
      <c r="CV34" s="7" t="s">
        <v>209</v>
      </c>
      <c r="CW34" s="7" t="s">
        <v>209</v>
      </c>
      <c r="CX34" s="7" t="s">
        <v>209</v>
      </c>
      <c r="CY34" s="7"/>
      <c r="CZ34" s="7" t="s">
        <v>209</v>
      </c>
      <c r="DA34" s="7" t="s">
        <v>214</v>
      </c>
      <c r="DB34" s="7" t="s">
        <v>214</v>
      </c>
      <c r="DC34" s="7" t="s">
        <v>214</v>
      </c>
      <c r="DD34" s="7"/>
      <c r="DE34" s="7" t="s">
        <v>214</v>
      </c>
      <c r="DF34" s="7" t="s">
        <v>209</v>
      </c>
      <c r="DG34" s="7" t="s">
        <v>209</v>
      </c>
      <c r="DH34" s="7" t="s">
        <v>212</v>
      </c>
      <c r="DI34" s="7" t="s">
        <v>209</v>
      </c>
      <c r="DJ34" s="7" t="s">
        <v>214</v>
      </c>
      <c r="DK34" s="7" t="s">
        <v>212</v>
      </c>
      <c r="DL34" s="7" t="s">
        <v>209</v>
      </c>
      <c r="DM34" s="7" t="s">
        <v>209</v>
      </c>
      <c r="DN34" s="7" t="s">
        <v>209</v>
      </c>
      <c r="DO34" s="10" t="s">
        <v>214</v>
      </c>
      <c r="DP34" s="7"/>
    </row>
    <row r="35">
      <c r="A35" s="6" t="s">
        <v>76</v>
      </c>
      <c r="B35" s="7">
        <f t="shared" si="1"/>
        <v>47</v>
      </c>
      <c r="C35" s="9">
        <f t="shared" si="2"/>
        <v>33</v>
      </c>
      <c r="D35" s="10">
        <f t="shared" si="3"/>
        <v>15</v>
      </c>
      <c r="E35" s="7"/>
      <c r="F35" s="7" t="s">
        <v>214</v>
      </c>
      <c r="G35" s="7" t="s">
        <v>209</v>
      </c>
      <c r="H35" s="7" t="s">
        <v>212</v>
      </c>
      <c r="I35" s="7" t="s">
        <v>209</v>
      </c>
      <c r="J35" s="7" t="s">
        <v>209</v>
      </c>
      <c r="K35" s="7" t="s">
        <v>214</v>
      </c>
      <c r="L35" s="7"/>
      <c r="M35" s="7"/>
      <c r="N35" s="7" t="s">
        <v>209</v>
      </c>
      <c r="O35" s="7" t="s">
        <v>214</v>
      </c>
      <c r="P35" s="7" t="s">
        <v>209</v>
      </c>
      <c r="Q35" s="7" t="s">
        <v>214</v>
      </c>
      <c r="R35" s="7" t="s">
        <v>209</v>
      </c>
      <c r="S35" s="7" t="s">
        <v>209</v>
      </c>
      <c r="T35" s="7" t="s">
        <v>212</v>
      </c>
      <c r="U35" s="7" t="s">
        <v>214</v>
      </c>
      <c r="V35" s="7" t="s">
        <v>212</v>
      </c>
      <c r="W35" s="7"/>
      <c r="X35" s="7" t="s">
        <v>209</v>
      </c>
      <c r="Y35" s="7" t="s">
        <v>209</v>
      </c>
      <c r="Z35" s="7" t="s">
        <v>209</v>
      </c>
      <c r="AA35" s="10"/>
      <c r="AB35" s="7"/>
      <c r="AC35" s="7"/>
      <c r="AD35" s="7" t="s">
        <v>209</v>
      </c>
      <c r="AE35" s="7" t="s">
        <v>214</v>
      </c>
      <c r="AF35" s="7" t="s">
        <v>209</v>
      </c>
      <c r="AG35" s="7" t="s">
        <v>209</v>
      </c>
      <c r="AH35" s="7" t="s">
        <v>209</v>
      </c>
      <c r="AI35" s="7" t="s">
        <v>209</v>
      </c>
      <c r="AJ35" s="7"/>
      <c r="AK35" s="7"/>
      <c r="AL35" s="7" t="s">
        <v>212</v>
      </c>
      <c r="AM35" s="7" t="s">
        <v>214</v>
      </c>
      <c r="AN35" s="7"/>
      <c r="AO35" s="7" t="s">
        <v>212</v>
      </c>
      <c r="AP35" s="7"/>
      <c r="AQ35" s="7"/>
      <c r="AR35" s="7" t="s">
        <v>209</v>
      </c>
      <c r="AS35" s="7" t="s">
        <v>212</v>
      </c>
      <c r="AT35" s="7" t="s">
        <v>209</v>
      </c>
      <c r="AU35" s="7" t="s">
        <v>209</v>
      </c>
      <c r="AV35" s="7"/>
      <c r="AW35" s="7"/>
      <c r="AX35" s="10"/>
      <c r="AY35" s="7"/>
      <c r="AZ35" s="7"/>
      <c r="BA35" s="7"/>
      <c r="BB35" s="7" t="s">
        <v>212</v>
      </c>
      <c r="BC35" s="7"/>
      <c r="BD35" s="7" t="s">
        <v>209</v>
      </c>
      <c r="BE35" s="7" t="s">
        <v>209</v>
      </c>
      <c r="BF35" s="7" t="s">
        <v>212</v>
      </c>
      <c r="BG35" s="7"/>
      <c r="BH35" s="7" t="s">
        <v>212</v>
      </c>
      <c r="BI35" s="7" t="s">
        <v>209</v>
      </c>
      <c r="BJ35" s="7" t="s">
        <v>209</v>
      </c>
      <c r="BK35" s="7" t="s">
        <v>214</v>
      </c>
      <c r="BL35" s="7"/>
      <c r="BM35" s="7" t="s">
        <v>212</v>
      </c>
      <c r="BN35" s="7"/>
      <c r="BO35" s="7" t="s">
        <v>209</v>
      </c>
      <c r="BP35" s="7" t="s">
        <v>214</v>
      </c>
      <c r="BQ35" s="7"/>
      <c r="BR35" s="7"/>
      <c r="BS35" s="7"/>
      <c r="BT35" s="7"/>
      <c r="BU35" s="10"/>
      <c r="BV35" s="7" t="s">
        <v>209</v>
      </c>
      <c r="BW35" s="7" t="s">
        <v>212</v>
      </c>
      <c r="BX35" s="7" t="s">
        <v>214</v>
      </c>
      <c r="BY35" s="7" t="s">
        <v>212</v>
      </c>
      <c r="BZ35" s="7"/>
      <c r="CA35" s="7" t="s">
        <v>209</v>
      </c>
      <c r="CB35" s="7" t="s">
        <v>214</v>
      </c>
      <c r="CC35" s="7" t="s">
        <v>209</v>
      </c>
      <c r="CD35" s="7"/>
      <c r="CE35" s="7" t="s">
        <v>209</v>
      </c>
      <c r="CF35" s="7" t="s">
        <v>209</v>
      </c>
      <c r="CG35" s="7"/>
      <c r="CH35" s="7" t="s">
        <v>214</v>
      </c>
      <c r="CI35" s="7" t="s">
        <v>209</v>
      </c>
      <c r="CJ35" s="7"/>
      <c r="CK35" s="7"/>
      <c r="CL35" s="7" t="s">
        <v>209</v>
      </c>
      <c r="CM35" s="7" t="s">
        <v>212</v>
      </c>
      <c r="CN35" s="7"/>
      <c r="CO35" s="7" t="s">
        <v>209</v>
      </c>
      <c r="CP35" s="7" t="s">
        <v>212</v>
      </c>
      <c r="CQ35" s="7" t="s">
        <v>209</v>
      </c>
      <c r="CR35" s="10"/>
      <c r="CS35" s="7"/>
      <c r="CT35" s="7" t="s">
        <v>214</v>
      </c>
      <c r="CU35" s="7"/>
      <c r="CV35" s="7"/>
      <c r="CW35" s="7"/>
      <c r="CX35" s="7"/>
      <c r="CY35" s="7" t="s">
        <v>209</v>
      </c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 t="s">
        <v>214</v>
      </c>
      <c r="DK35" s="7" t="s">
        <v>214</v>
      </c>
      <c r="DL35" s="7"/>
      <c r="DM35" s="7"/>
      <c r="DN35" s="7"/>
      <c r="DO35" s="10"/>
      <c r="DP35" s="7"/>
    </row>
    <row r="36">
      <c r="A36" s="6" t="s">
        <v>11</v>
      </c>
      <c r="B36" s="7">
        <f t="shared" si="1"/>
        <v>38</v>
      </c>
      <c r="C36" s="9">
        <f t="shared" si="2"/>
        <v>18</v>
      </c>
      <c r="D36" s="10">
        <f t="shared" si="3"/>
        <v>7</v>
      </c>
      <c r="E36" s="7"/>
      <c r="F36" s="7" t="s">
        <v>214</v>
      </c>
      <c r="G36" s="7" t="s">
        <v>212</v>
      </c>
      <c r="H36" s="7" t="s">
        <v>212</v>
      </c>
      <c r="I36" s="7" t="s">
        <v>209</v>
      </c>
      <c r="J36" s="7"/>
      <c r="K36" s="7"/>
      <c r="L36" s="7" t="s">
        <v>214</v>
      </c>
      <c r="M36" s="7" t="s">
        <v>212</v>
      </c>
      <c r="N36" s="7" t="s">
        <v>209</v>
      </c>
      <c r="O36" s="7"/>
      <c r="P36" s="7" t="s">
        <v>212</v>
      </c>
      <c r="Q36" s="7" t="s">
        <v>212</v>
      </c>
      <c r="R36" s="7" t="s">
        <v>209</v>
      </c>
      <c r="S36" s="7"/>
      <c r="T36" s="7" t="s">
        <v>212</v>
      </c>
      <c r="U36" s="7"/>
      <c r="V36" s="7"/>
      <c r="W36" s="7"/>
      <c r="X36" s="7" t="s">
        <v>212</v>
      </c>
      <c r="Y36" s="7" t="s">
        <v>212</v>
      </c>
      <c r="Z36" s="7"/>
      <c r="AA36" s="10"/>
      <c r="AB36" s="7" t="s">
        <v>209</v>
      </c>
      <c r="AC36" s="7"/>
      <c r="AD36" s="7" t="s">
        <v>209</v>
      </c>
      <c r="AE36" s="7" t="s">
        <v>212</v>
      </c>
      <c r="AF36" s="7" t="s">
        <v>212</v>
      </c>
      <c r="AG36" s="7"/>
      <c r="AH36" s="7" t="s">
        <v>212</v>
      </c>
      <c r="AI36" s="7" t="s">
        <v>214</v>
      </c>
      <c r="AJ36" s="7"/>
      <c r="AK36" s="7" t="s">
        <v>209</v>
      </c>
      <c r="AL36" s="7" t="s">
        <v>212</v>
      </c>
      <c r="AM36" s="7" t="s">
        <v>212</v>
      </c>
      <c r="AN36" s="7" t="s">
        <v>209</v>
      </c>
      <c r="AO36" s="7"/>
      <c r="AP36" s="7" t="s">
        <v>212</v>
      </c>
      <c r="AQ36" s="7" t="s">
        <v>209</v>
      </c>
      <c r="AR36" s="7"/>
      <c r="AS36" s="7"/>
      <c r="AT36" s="7" t="s">
        <v>212</v>
      </c>
      <c r="AU36" s="7"/>
      <c r="AV36" s="7"/>
      <c r="AW36" s="7"/>
      <c r="AX36" s="10"/>
      <c r="AY36" s="7"/>
      <c r="AZ36" s="7"/>
      <c r="BA36" s="7"/>
      <c r="BB36" s="7" t="s">
        <v>212</v>
      </c>
      <c r="BC36" s="7"/>
      <c r="BD36" s="7"/>
      <c r="BE36" s="7"/>
      <c r="BF36" s="7"/>
      <c r="BG36" s="7"/>
      <c r="BH36" s="7"/>
      <c r="BI36" s="7" t="s">
        <v>214</v>
      </c>
      <c r="BJ36" s="7"/>
      <c r="BK36" s="7"/>
      <c r="BL36" s="7"/>
      <c r="BM36" s="7"/>
      <c r="BN36" s="7"/>
      <c r="BO36" s="7"/>
      <c r="BP36" s="7"/>
      <c r="BQ36" s="7"/>
      <c r="BR36" s="7" t="s">
        <v>214</v>
      </c>
      <c r="BS36" s="7" t="s">
        <v>209</v>
      </c>
      <c r="BT36" s="7"/>
      <c r="BU36" s="10"/>
      <c r="BV36" s="7" t="s">
        <v>209</v>
      </c>
      <c r="BW36" s="7"/>
      <c r="BX36" s="7" t="s">
        <v>214</v>
      </c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 t="s">
        <v>209</v>
      </c>
      <c r="CK36" s="7"/>
      <c r="CL36" s="7"/>
      <c r="CM36" s="7" t="s">
        <v>209</v>
      </c>
      <c r="CN36" s="7"/>
      <c r="CO36" s="7"/>
      <c r="CP36" s="7"/>
      <c r="CQ36" s="7"/>
      <c r="CR36" s="10"/>
      <c r="CS36" s="7"/>
      <c r="CT36" s="7" t="s">
        <v>212</v>
      </c>
      <c r="CU36" s="7"/>
      <c r="CV36" s="7"/>
      <c r="CW36" s="7" t="s">
        <v>212</v>
      </c>
      <c r="CX36" s="7" t="s">
        <v>209</v>
      </c>
      <c r="CY36" s="7"/>
      <c r="CZ36" s="7"/>
      <c r="DA36" s="7" t="s">
        <v>209</v>
      </c>
      <c r="DB36" s="7" t="s">
        <v>209</v>
      </c>
      <c r="DC36" s="7" t="s">
        <v>212</v>
      </c>
      <c r="DD36" s="7" t="s">
        <v>209</v>
      </c>
      <c r="DE36" s="7" t="s">
        <v>209</v>
      </c>
      <c r="DF36" s="7" t="s">
        <v>214</v>
      </c>
      <c r="DG36" s="7"/>
      <c r="DH36" s="7" t="s">
        <v>212</v>
      </c>
      <c r="DI36" s="7"/>
      <c r="DJ36" s="7" t="s">
        <v>209</v>
      </c>
      <c r="DK36" s="7"/>
      <c r="DL36" s="7"/>
      <c r="DM36" s="7"/>
      <c r="DN36" s="7"/>
      <c r="DO36" s="10"/>
      <c r="DP36" s="7"/>
    </row>
    <row r="37">
      <c r="A37" s="6" t="s">
        <v>58</v>
      </c>
      <c r="B37" s="7">
        <f t="shared" si="1"/>
        <v>86</v>
      </c>
      <c r="C37" s="9">
        <f t="shared" si="2"/>
        <v>68</v>
      </c>
      <c r="D37" s="10">
        <f t="shared" si="3"/>
        <v>12</v>
      </c>
      <c r="E37" s="7" t="s">
        <v>209</v>
      </c>
      <c r="F37" s="7" t="s">
        <v>214</v>
      </c>
      <c r="G37" s="7" t="s">
        <v>209</v>
      </c>
      <c r="H37" s="7" t="s">
        <v>209</v>
      </c>
      <c r="I37" s="7" t="s">
        <v>209</v>
      </c>
      <c r="J37" s="7" t="s">
        <v>214</v>
      </c>
      <c r="K37" s="7" t="s">
        <v>209</v>
      </c>
      <c r="L37" s="7" t="s">
        <v>209</v>
      </c>
      <c r="M37" s="7" t="s">
        <v>209</v>
      </c>
      <c r="N37" s="7" t="s">
        <v>209</v>
      </c>
      <c r="O37" s="7"/>
      <c r="P37" s="7" t="s">
        <v>209</v>
      </c>
      <c r="Q37" s="7" t="s">
        <v>209</v>
      </c>
      <c r="R37" s="7" t="s">
        <v>209</v>
      </c>
      <c r="S37" s="7" t="s">
        <v>214</v>
      </c>
      <c r="T37" s="7"/>
      <c r="U37" s="7" t="s">
        <v>212</v>
      </c>
      <c r="V37" s="7" t="s">
        <v>209</v>
      </c>
      <c r="W37" s="7"/>
      <c r="X37" s="7" t="s">
        <v>209</v>
      </c>
      <c r="Y37" s="7" t="s">
        <v>209</v>
      </c>
      <c r="Z37" s="7" t="s">
        <v>209</v>
      </c>
      <c r="AA37" s="10" t="s">
        <v>209</v>
      </c>
      <c r="AB37" s="7" t="s">
        <v>209</v>
      </c>
      <c r="AC37" s="7" t="s">
        <v>214</v>
      </c>
      <c r="AD37" s="7" t="s">
        <v>209</v>
      </c>
      <c r="AE37" s="7" t="s">
        <v>209</v>
      </c>
      <c r="AF37" s="7" t="s">
        <v>209</v>
      </c>
      <c r="AG37" s="7" t="s">
        <v>209</v>
      </c>
      <c r="AH37" s="7" t="s">
        <v>209</v>
      </c>
      <c r="AI37" s="7" t="s">
        <v>209</v>
      </c>
      <c r="AJ37" s="7"/>
      <c r="AK37" s="7"/>
      <c r="AL37" s="7" t="s">
        <v>212</v>
      </c>
      <c r="AM37" s="7" t="s">
        <v>212</v>
      </c>
      <c r="AN37" s="7" t="s">
        <v>209</v>
      </c>
      <c r="AO37" s="7" t="s">
        <v>209</v>
      </c>
      <c r="AP37" s="7" t="s">
        <v>212</v>
      </c>
      <c r="AQ37" s="7" t="s">
        <v>209</v>
      </c>
      <c r="AR37" s="7" t="s">
        <v>214</v>
      </c>
      <c r="AS37" s="7" t="s">
        <v>209</v>
      </c>
      <c r="AT37" s="7" t="s">
        <v>209</v>
      </c>
      <c r="AU37" s="7" t="s">
        <v>209</v>
      </c>
      <c r="AV37" s="7" t="s">
        <v>212</v>
      </c>
      <c r="AW37" s="7" t="s">
        <v>212</v>
      </c>
      <c r="AX37" s="10"/>
      <c r="AY37" s="7" t="s">
        <v>209</v>
      </c>
      <c r="AZ37" s="7" t="s">
        <v>214</v>
      </c>
      <c r="BA37" s="7" t="s">
        <v>212</v>
      </c>
      <c r="BB37" s="7" t="s">
        <v>209</v>
      </c>
      <c r="BC37" s="7" t="s">
        <v>212</v>
      </c>
      <c r="BD37" s="7" t="s">
        <v>209</v>
      </c>
      <c r="BE37" s="7" t="s">
        <v>209</v>
      </c>
      <c r="BF37" s="7" t="s">
        <v>209</v>
      </c>
      <c r="BG37" s="7" t="s">
        <v>209</v>
      </c>
      <c r="BH37" s="7" t="s">
        <v>212</v>
      </c>
      <c r="BI37" s="7" t="s">
        <v>209</v>
      </c>
      <c r="BJ37" s="7" t="s">
        <v>209</v>
      </c>
      <c r="BK37" s="7" t="s">
        <v>209</v>
      </c>
      <c r="BL37" s="7" t="s">
        <v>212</v>
      </c>
      <c r="BM37" s="7"/>
      <c r="BN37" s="7" t="s">
        <v>209</v>
      </c>
      <c r="BO37" s="7"/>
      <c r="BP37" s="7" t="s">
        <v>214</v>
      </c>
      <c r="BQ37" s="7" t="s">
        <v>209</v>
      </c>
      <c r="BR37" s="7"/>
      <c r="BS37" s="7" t="s">
        <v>209</v>
      </c>
      <c r="BT37" s="7" t="s">
        <v>209</v>
      </c>
      <c r="BU37" s="10" t="s">
        <v>209</v>
      </c>
      <c r="BV37" s="7" t="s">
        <v>209</v>
      </c>
      <c r="BW37" s="7" t="s">
        <v>209</v>
      </c>
      <c r="BX37" s="7" t="s">
        <v>212</v>
      </c>
      <c r="BY37" s="7" t="s">
        <v>209</v>
      </c>
      <c r="BZ37" s="7" t="s">
        <v>209</v>
      </c>
      <c r="CA37" s="7" t="s">
        <v>209</v>
      </c>
      <c r="CB37" s="7" t="s">
        <v>209</v>
      </c>
      <c r="CC37" s="7" t="s">
        <v>212</v>
      </c>
      <c r="CD37" s="7" t="s">
        <v>214</v>
      </c>
      <c r="CE37" s="7" t="s">
        <v>209</v>
      </c>
      <c r="CF37" s="7" t="s">
        <v>212</v>
      </c>
      <c r="CG37" s="7" t="s">
        <v>209</v>
      </c>
      <c r="CH37" s="7" t="s">
        <v>212</v>
      </c>
      <c r="CI37" s="7" t="s">
        <v>209</v>
      </c>
      <c r="CJ37" s="7"/>
      <c r="CK37" s="7" t="s">
        <v>212</v>
      </c>
      <c r="CL37" s="7" t="s">
        <v>209</v>
      </c>
      <c r="CM37" s="7"/>
      <c r="CN37" s="7" t="s">
        <v>209</v>
      </c>
      <c r="CO37" s="7" t="s">
        <v>209</v>
      </c>
      <c r="CP37" s="7"/>
      <c r="CQ37" s="7"/>
      <c r="CR37" s="10"/>
      <c r="CS37" s="7"/>
      <c r="CT37" s="7" t="s">
        <v>209</v>
      </c>
      <c r="CU37" s="7"/>
      <c r="CV37" s="7" t="s">
        <v>214</v>
      </c>
      <c r="CW37" s="7" t="s">
        <v>209</v>
      </c>
      <c r="CX37" s="7" t="s">
        <v>209</v>
      </c>
      <c r="CY37" s="7"/>
      <c r="CZ37" s="7" t="s">
        <v>209</v>
      </c>
      <c r="DA37" s="7" t="s">
        <v>209</v>
      </c>
      <c r="DB37" s="7" t="s">
        <v>209</v>
      </c>
      <c r="DC37" s="7" t="s">
        <v>214</v>
      </c>
      <c r="DD37" s="7" t="s">
        <v>209</v>
      </c>
      <c r="DE37" s="7" t="s">
        <v>209</v>
      </c>
      <c r="DF37" s="7" t="s">
        <v>214</v>
      </c>
      <c r="DG37" s="7" t="s">
        <v>214</v>
      </c>
      <c r="DH37" s="7" t="s">
        <v>212</v>
      </c>
      <c r="DI37" s="7" t="s">
        <v>209</v>
      </c>
      <c r="DJ37" s="7" t="s">
        <v>209</v>
      </c>
      <c r="DK37" s="7" t="s">
        <v>212</v>
      </c>
      <c r="DL37" s="7" t="s">
        <v>212</v>
      </c>
      <c r="DM37" s="7" t="s">
        <v>209</v>
      </c>
      <c r="DN37" s="7" t="s">
        <v>209</v>
      </c>
      <c r="DO37" s="10" t="s">
        <v>209</v>
      </c>
      <c r="DP37" s="7"/>
    </row>
    <row r="38">
      <c r="A38" s="6" t="s">
        <v>37</v>
      </c>
      <c r="B38" s="7">
        <f t="shared" si="1"/>
        <v>56</v>
      </c>
      <c r="C38" s="9">
        <f t="shared" si="2"/>
        <v>44</v>
      </c>
      <c r="D38" s="10">
        <f t="shared" si="3"/>
        <v>9</v>
      </c>
      <c r="E38" s="7"/>
      <c r="F38" s="7" t="s">
        <v>209</v>
      </c>
      <c r="G38" s="7"/>
      <c r="H38" s="7" t="s">
        <v>214</v>
      </c>
      <c r="I38" s="7" t="s">
        <v>209</v>
      </c>
      <c r="J38" s="7" t="s">
        <v>209</v>
      </c>
      <c r="K38" s="7" t="s">
        <v>209</v>
      </c>
      <c r="L38" s="7"/>
      <c r="M38" s="7" t="s">
        <v>212</v>
      </c>
      <c r="N38" s="7" t="s">
        <v>214</v>
      </c>
      <c r="O38" s="7" t="s">
        <v>214</v>
      </c>
      <c r="P38" s="7"/>
      <c r="Q38" s="7"/>
      <c r="R38" s="7" t="s">
        <v>212</v>
      </c>
      <c r="S38" s="7" t="s">
        <v>209</v>
      </c>
      <c r="T38" s="7" t="s">
        <v>209</v>
      </c>
      <c r="U38" s="7"/>
      <c r="V38" s="7"/>
      <c r="W38" s="7"/>
      <c r="X38" s="7" t="s">
        <v>209</v>
      </c>
      <c r="Y38" s="7" t="s">
        <v>209</v>
      </c>
      <c r="Z38" s="7"/>
      <c r="AA38" s="10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10"/>
      <c r="AY38" s="7" t="s">
        <v>214</v>
      </c>
      <c r="AZ38" s="7" t="s">
        <v>209</v>
      </c>
      <c r="BA38" s="7" t="s">
        <v>209</v>
      </c>
      <c r="BB38" s="7" t="s">
        <v>209</v>
      </c>
      <c r="BC38" s="7" t="s">
        <v>214</v>
      </c>
      <c r="BD38" s="7" t="s">
        <v>209</v>
      </c>
      <c r="BE38" s="7" t="s">
        <v>209</v>
      </c>
      <c r="BF38" s="7" t="s">
        <v>209</v>
      </c>
      <c r="BG38" s="7" t="s">
        <v>209</v>
      </c>
      <c r="BH38" s="7" t="s">
        <v>212</v>
      </c>
      <c r="BI38" s="7" t="s">
        <v>209</v>
      </c>
      <c r="BJ38" s="7" t="s">
        <v>209</v>
      </c>
      <c r="BK38" s="7" t="s">
        <v>214</v>
      </c>
      <c r="BL38" s="7" t="s">
        <v>212</v>
      </c>
      <c r="BM38" s="7" t="s">
        <v>209</v>
      </c>
      <c r="BN38" s="7" t="s">
        <v>209</v>
      </c>
      <c r="BO38" s="7" t="s">
        <v>212</v>
      </c>
      <c r="BP38" s="7" t="s">
        <v>209</v>
      </c>
      <c r="BQ38" s="7" t="s">
        <v>209</v>
      </c>
      <c r="BR38" s="7"/>
      <c r="BS38" s="7" t="s">
        <v>214</v>
      </c>
      <c r="BT38" s="7"/>
      <c r="BU38" s="10"/>
      <c r="BV38" s="7" t="s">
        <v>209</v>
      </c>
      <c r="BW38" s="7" t="s">
        <v>212</v>
      </c>
      <c r="BX38" s="7" t="s">
        <v>209</v>
      </c>
      <c r="BY38" s="7" t="s">
        <v>212</v>
      </c>
      <c r="BZ38" s="7" t="s">
        <v>209</v>
      </c>
      <c r="CA38" s="7" t="s">
        <v>209</v>
      </c>
      <c r="CB38" s="7" t="s">
        <v>209</v>
      </c>
      <c r="CC38" s="7" t="s">
        <v>212</v>
      </c>
      <c r="CD38" s="7"/>
      <c r="CE38" s="7" t="s">
        <v>212</v>
      </c>
      <c r="CF38" s="7" t="s">
        <v>209</v>
      </c>
      <c r="CG38" s="7" t="s">
        <v>209</v>
      </c>
      <c r="CH38" s="7"/>
      <c r="CI38" s="7"/>
      <c r="CJ38" s="7" t="s">
        <v>209</v>
      </c>
      <c r="CK38" s="7"/>
      <c r="CL38" s="7" t="s">
        <v>209</v>
      </c>
      <c r="CM38" s="7" t="s">
        <v>209</v>
      </c>
      <c r="CN38" s="7"/>
      <c r="CO38" s="7"/>
      <c r="CP38" s="7"/>
      <c r="CQ38" s="7"/>
      <c r="CR38" s="10"/>
      <c r="CS38" s="7" t="s">
        <v>214</v>
      </c>
      <c r="CT38" s="7" t="s">
        <v>209</v>
      </c>
      <c r="CU38" s="7" t="s">
        <v>209</v>
      </c>
      <c r="CV38" s="7" t="s">
        <v>212</v>
      </c>
      <c r="CW38" s="7" t="s">
        <v>209</v>
      </c>
      <c r="CX38" s="7" t="s">
        <v>209</v>
      </c>
      <c r="CY38" s="7" t="s">
        <v>209</v>
      </c>
      <c r="CZ38" s="7"/>
      <c r="DA38" s="7" t="s">
        <v>209</v>
      </c>
      <c r="DB38" s="7" t="s">
        <v>209</v>
      </c>
      <c r="DC38" s="7" t="s">
        <v>214</v>
      </c>
      <c r="DD38" s="7"/>
      <c r="DE38" s="7" t="s">
        <v>209</v>
      </c>
      <c r="DF38" s="7" t="s">
        <v>209</v>
      </c>
      <c r="DG38" s="7" t="s">
        <v>212</v>
      </c>
      <c r="DH38" s="7" t="s">
        <v>209</v>
      </c>
      <c r="DI38" s="7" t="s">
        <v>209</v>
      </c>
      <c r="DJ38" s="7" t="s">
        <v>209</v>
      </c>
      <c r="DK38" s="7" t="s">
        <v>212</v>
      </c>
      <c r="DL38" s="7" t="s">
        <v>209</v>
      </c>
      <c r="DM38" s="7"/>
      <c r="DN38" s="7"/>
      <c r="DO38" s="10"/>
      <c r="DP38" s="7"/>
    </row>
    <row r="39">
      <c r="A39" s="6" t="s">
        <v>38</v>
      </c>
      <c r="B39" s="7">
        <f t="shared" si="1"/>
        <v>56</v>
      </c>
      <c r="C39" s="9">
        <f t="shared" si="2"/>
        <v>42</v>
      </c>
      <c r="D39" s="10">
        <f t="shared" si="3"/>
        <v>7</v>
      </c>
      <c r="E39" s="7" t="s">
        <v>212</v>
      </c>
      <c r="F39" s="7" t="s">
        <v>214</v>
      </c>
      <c r="G39" s="7" t="s">
        <v>212</v>
      </c>
      <c r="H39" s="7" t="s">
        <v>209</v>
      </c>
      <c r="I39" s="7"/>
      <c r="J39" s="7"/>
      <c r="K39" s="7" t="s">
        <v>214</v>
      </c>
      <c r="L39" s="7" t="s">
        <v>209</v>
      </c>
      <c r="M39" s="7"/>
      <c r="N39" s="7" t="s">
        <v>209</v>
      </c>
      <c r="O39" s="7" t="s">
        <v>209</v>
      </c>
      <c r="P39" s="7" t="s">
        <v>209</v>
      </c>
      <c r="Q39" s="7" t="s">
        <v>209</v>
      </c>
      <c r="R39" s="7" t="s">
        <v>214</v>
      </c>
      <c r="S39" s="7"/>
      <c r="T39" s="7"/>
      <c r="U39" s="7" t="s">
        <v>212</v>
      </c>
      <c r="V39" s="7" t="s">
        <v>209</v>
      </c>
      <c r="W39" s="7"/>
      <c r="X39" s="7"/>
      <c r="Y39" s="7"/>
      <c r="Z39" s="7" t="s">
        <v>209</v>
      </c>
      <c r="AA39" s="10" t="s">
        <v>212</v>
      </c>
      <c r="AB39" s="7" t="s">
        <v>209</v>
      </c>
      <c r="AC39" s="7" t="s">
        <v>209</v>
      </c>
      <c r="AD39" s="7" t="s">
        <v>209</v>
      </c>
      <c r="AE39" s="7" t="s">
        <v>212</v>
      </c>
      <c r="AF39" s="7" t="s">
        <v>209</v>
      </c>
      <c r="AG39" s="7" t="s">
        <v>209</v>
      </c>
      <c r="AH39" s="7" t="s">
        <v>209</v>
      </c>
      <c r="AI39" s="7"/>
      <c r="AJ39" s="7" t="s">
        <v>209</v>
      </c>
      <c r="AK39" s="7"/>
      <c r="AL39" s="7" t="s">
        <v>212</v>
      </c>
      <c r="AM39" s="7" t="s">
        <v>209</v>
      </c>
      <c r="AN39" s="7" t="s">
        <v>209</v>
      </c>
      <c r="AO39" s="7" t="s">
        <v>212</v>
      </c>
      <c r="AP39" s="7"/>
      <c r="AQ39" s="7"/>
      <c r="AR39" s="7" t="s">
        <v>209</v>
      </c>
      <c r="AS39" s="7"/>
      <c r="AT39" s="7" t="s">
        <v>209</v>
      </c>
      <c r="AU39" s="7" t="s">
        <v>209</v>
      </c>
      <c r="AV39" s="7" t="s">
        <v>212</v>
      </c>
      <c r="AW39" s="7" t="s">
        <v>209</v>
      </c>
      <c r="AX39" s="10" t="s">
        <v>212</v>
      </c>
      <c r="AY39" s="7"/>
      <c r="AZ39" s="7" t="s">
        <v>214</v>
      </c>
      <c r="BA39" s="7"/>
      <c r="BB39" s="7" t="s">
        <v>209</v>
      </c>
      <c r="BC39" s="7" t="s">
        <v>212</v>
      </c>
      <c r="BD39" s="7"/>
      <c r="BE39" s="7" t="s">
        <v>209</v>
      </c>
      <c r="BF39" s="7" t="s">
        <v>209</v>
      </c>
      <c r="BG39" s="7" t="s">
        <v>209</v>
      </c>
      <c r="BH39" s="7" t="s">
        <v>209</v>
      </c>
      <c r="BI39" s="7" t="s">
        <v>209</v>
      </c>
      <c r="BJ39" s="7" t="s">
        <v>209</v>
      </c>
      <c r="BK39" s="7" t="s">
        <v>209</v>
      </c>
      <c r="BL39" s="7" t="s">
        <v>212</v>
      </c>
      <c r="BM39" s="7"/>
      <c r="BN39" s="7" t="s">
        <v>214</v>
      </c>
      <c r="BO39" s="7"/>
      <c r="BP39" s="7" t="s">
        <v>209</v>
      </c>
      <c r="BQ39" s="7" t="s">
        <v>209</v>
      </c>
      <c r="BR39" s="7" t="s">
        <v>214</v>
      </c>
      <c r="BS39" s="7"/>
      <c r="BT39" s="7"/>
      <c r="BU39" s="10"/>
      <c r="BV39" s="7" t="s">
        <v>209</v>
      </c>
      <c r="BW39" s="7" t="s">
        <v>209</v>
      </c>
      <c r="BX39" s="7" t="s">
        <v>209</v>
      </c>
      <c r="BY39" s="7" t="s">
        <v>209</v>
      </c>
      <c r="BZ39" s="7" t="s">
        <v>209</v>
      </c>
      <c r="CA39" s="7" t="s">
        <v>209</v>
      </c>
      <c r="CB39" s="7" t="s">
        <v>209</v>
      </c>
      <c r="CC39" s="7" t="s">
        <v>209</v>
      </c>
      <c r="CD39" s="7" t="s">
        <v>209</v>
      </c>
      <c r="CE39" s="7" t="s">
        <v>212</v>
      </c>
      <c r="CF39" s="7" t="s">
        <v>212</v>
      </c>
      <c r="CG39" s="7"/>
      <c r="CH39" s="7" t="s">
        <v>214</v>
      </c>
      <c r="CI39" s="7"/>
      <c r="CJ39" s="7" t="s">
        <v>209</v>
      </c>
      <c r="CK39" s="7"/>
      <c r="CL39" s="7" t="s">
        <v>212</v>
      </c>
      <c r="CM39" s="7"/>
      <c r="CN39" s="7" t="s">
        <v>209</v>
      </c>
      <c r="CO39" s="7"/>
      <c r="CP39" s="7"/>
      <c r="CQ39" s="7"/>
      <c r="CR39" s="10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10"/>
      <c r="DP39" s="7"/>
    </row>
    <row r="40">
      <c r="A40" s="6" t="s">
        <v>42</v>
      </c>
      <c r="B40" s="7">
        <f t="shared" si="1"/>
        <v>17</v>
      </c>
      <c r="C40" s="9">
        <f t="shared" si="2"/>
        <v>4</v>
      </c>
      <c r="D40" s="10">
        <f t="shared" si="3"/>
        <v>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 t="s">
        <v>212</v>
      </c>
      <c r="V40" s="7"/>
      <c r="W40" s="7"/>
      <c r="X40" s="7"/>
      <c r="Y40" s="7"/>
      <c r="Z40" s="7"/>
      <c r="AA40" s="10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 t="s">
        <v>212</v>
      </c>
      <c r="AM40" s="7"/>
      <c r="AN40" s="7"/>
      <c r="AO40" s="7"/>
      <c r="AP40" s="7"/>
      <c r="AQ40" s="7"/>
      <c r="AR40" s="7"/>
      <c r="AS40" s="7" t="s">
        <v>212</v>
      </c>
      <c r="AT40" s="7"/>
      <c r="AU40" s="7"/>
      <c r="AV40" s="7"/>
      <c r="AW40" s="7"/>
      <c r="AX40" s="10"/>
      <c r="AY40" s="7" t="s">
        <v>212</v>
      </c>
      <c r="AZ40" s="7"/>
      <c r="BA40" s="7"/>
      <c r="BB40" s="7"/>
      <c r="BC40" s="7"/>
      <c r="BD40" s="7"/>
      <c r="BE40" s="7" t="s">
        <v>212</v>
      </c>
      <c r="BF40" s="7"/>
      <c r="BG40" s="7"/>
      <c r="BH40" s="7"/>
      <c r="BI40" s="7"/>
      <c r="BJ40" s="7"/>
      <c r="BK40" s="7"/>
      <c r="BL40" s="7" t="s">
        <v>214</v>
      </c>
      <c r="BM40" s="7"/>
      <c r="BN40" s="7"/>
      <c r="BO40" s="7"/>
      <c r="BP40" s="7"/>
      <c r="BQ40" s="7"/>
      <c r="BR40" s="7"/>
      <c r="BS40" s="7"/>
      <c r="BT40" s="7" t="s">
        <v>209</v>
      </c>
      <c r="BU40" s="10"/>
      <c r="BV40" s="7"/>
      <c r="BW40" s="7" t="s">
        <v>214</v>
      </c>
      <c r="BX40" s="7"/>
      <c r="BY40" s="7"/>
      <c r="BZ40" s="7" t="s">
        <v>212</v>
      </c>
      <c r="CA40" s="7"/>
      <c r="CB40" s="7" t="s">
        <v>212</v>
      </c>
      <c r="CC40" s="7"/>
      <c r="CD40" s="7"/>
      <c r="CE40" s="7"/>
      <c r="CF40" s="7"/>
      <c r="CG40" s="7" t="s">
        <v>212</v>
      </c>
      <c r="CH40" s="7"/>
      <c r="CI40" s="7" t="s">
        <v>212</v>
      </c>
      <c r="CJ40" s="7"/>
      <c r="CK40" s="7"/>
      <c r="CL40" s="7" t="s">
        <v>209</v>
      </c>
      <c r="CM40" s="7" t="s">
        <v>214</v>
      </c>
      <c r="CN40" s="7"/>
      <c r="CO40" s="7"/>
      <c r="CP40" s="7"/>
      <c r="CQ40" s="7"/>
      <c r="CR40" s="10"/>
      <c r="CS40" s="7"/>
      <c r="CT40" s="7" t="s">
        <v>212</v>
      </c>
      <c r="CU40" s="7"/>
      <c r="CV40" s="7"/>
      <c r="CW40" s="7"/>
      <c r="CX40" s="7" t="s">
        <v>212</v>
      </c>
      <c r="CY40" s="7"/>
      <c r="CZ40" s="7"/>
      <c r="DA40" s="7" t="s">
        <v>212</v>
      </c>
      <c r="DB40" s="7"/>
      <c r="DC40" s="7"/>
      <c r="DD40" s="7"/>
      <c r="DE40" s="7"/>
      <c r="DF40" s="7" t="s">
        <v>212</v>
      </c>
      <c r="DG40" s="7"/>
      <c r="DH40" s="7"/>
      <c r="DI40" s="7"/>
      <c r="DJ40" s="7" t="s">
        <v>209</v>
      </c>
      <c r="DK40" s="7"/>
      <c r="DL40" s="7"/>
      <c r="DM40" s="7" t="s">
        <v>209</v>
      </c>
      <c r="DN40" s="7"/>
      <c r="DO40" s="10"/>
      <c r="DP40" s="7"/>
    </row>
    <row r="41">
      <c r="A41" s="6" t="s">
        <v>34</v>
      </c>
      <c r="B41" s="7">
        <f t="shared" si="1"/>
        <v>38</v>
      </c>
      <c r="C41" s="9">
        <f t="shared" si="2"/>
        <v>26</v>
      </c>
      <c r="D41" s="10">
        <f t="shared" si="3"/>
        <v>6</v>
      </c>
      <c r="E41" s="7" t="s">
        <v>212</v>
      </c>
      <c r="F41" s="7" t="s">
        <v>212</v>
      </c>
      <c r="G41" s="7" t="s">
        <v>209</v>
      </c>
      <c r="H41" s="7" t="s">
        <v>212</v>
      </c>
      <c r="I41" s="7" t="s">
        <v>209</v>
      </c>
      <c r="J41" s="7" t="s">
        <v>209</v>
      </c>
      <c r="K41" s="7"/>
      <c r="L41" s="7" t="s">
        <v>209</v>
      </c>
      <c r="M41" s="7" t="s">
        <v>209</v>
      </c>
      <c r="N41" s="7" t="s">
        <v>209</v>
      </c>
      <c r="O41" s="7"/>
      <c r="P41" s="7" t="s">
        <v>209</v>
      </c>
      <c r="Q41" s="7"/>
      <c r="R41" s="7" t="s">
        <v>209</v>
      </c>
      <c r="S41" s="7" t="s">
        <v>209</v>
      </c>
      <c r="T41" s="7"/>
      <c r="U41" s="7" t="s">
        <v>214</v>
      </c>
      <c r="V41" s="7" t="s">
        <v>214</v>
      </c>
      <c r="W41" s="7"/>
      <c r="X41" s="7" t="s">
        <v>209</v>
      </c>
      <c r="Y41" s="7" t="s">
        <v>209</v>
      </c>
      <c r="Z41" s="7"/>
      <c r="AA41" s="10" t="s">
        <v>212</v>
      </c>
      <c r="AB41" s="7" t="s">
        <v>209</v>
      </c>
      <c r="AC41" s="7"/>
      <c r="AD41" s="7" t="s">
        <v>209</v>
      </c>
      <c r="AE41" s="7" t="s">
        <v>212</v>
      </c>
      <c r="AF41" s="7" t="s">
        <v>209</v>
      </c>
      <c r="AG41" s="7" t="s">
        <v>209</v>
      </c>
      <c r="AH41" s="7" t="s">
        <v>209</v>
      </c>
      <c r="AI41" s="7" t="s">
        <v>209</v>
      </c>
      <c r="AJ41" s="7" t="s">
        <v>209</v>
      </c>
      <c r="AK41" s="7"/>
      <c r="AL41" s="7"/>
      <c r="AM41" s="7" t="s">
        <v>209</v>
      </c>
      <c r="AN41" s="7"/>
      <c r="AO41" s="7" t="s">
        <v>212</v>
      </c>
      <c r="AP41" s="7"/>
      <c r="AQ41" s="7" t="s">
        <v>209</v>
      </c>
      <c r="AR41" s="7" t="s">
        <v>209</v>
      </c>
      <c r="AS41" s="7"/>
      <c r="AT41" s="7" t="s">
        <v>209</v>
      </c>
      <c r="AU41" s="7"/>
      <c r="AV41" s="7" t="s">
        <v>212</v>
      </c>
      <c r="AW41" s="7" t="s">
        <v>209</v>
      </c>
      <c r="AX41" s="10" t="s">
        <v>212</v>
      </c>
      <c r="AY41" s="7" t="s">
        <v>212</v>
      </c>
      <c r="AZ41" s="7"/>
      <c r="BA41" s="7" t="s">
        <v>209</v>
      </c>
      <c r="BB41" s="7"/>
      <c r="BC41" s="7"/>
      <c r="BD41" s="7" t="s">
        <v>209</v>
      </c>
      <c r="BE41" s="7"/>
      <c r="BF41" s="7"/>
      <c r="BG41" s="7"/>
      <c r="BH41" s="7"/>
      <c r="BI41" s="7" t="s">
        <v>214</v>
      </c>
      <c r="BJ41" s="7"/>
      <c r="BK41" s="7" t="s">
        <v>214</v>
      </c>
      <c r="BL41" s="7"/>
      <c r="BM41" s="7"/>
      <c r="BN41" s="7" t="s">
        <v>212</v>
      </c>
      <c r="BO41" s="7" t="s">
        <v>212</v>
      </c>
      <c r="BP41" s="7"/>
      <c r="BQ41" s="7"/>
      <c r="BR41" s="7" t="s">
        <v>209</v>
      </c>
      <c r="BS41" s="7"/>
      <c r="BT41" s="7"/>
      <c r="BU41" s="10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10"/>
      <c r="CS41" s="7"/>
      <c r="CT41" s="7"/>
      <c r="CU41" s="7"/>
      <c r="CV41" s="7"/>
      <c r="CW41" s="7"/>
      <c r="CX41" s="7"/>
      <c r="CY41" s="7" t="s">
        <v>214</v>
      </c>
      <c r="CZ41" s="7" t="s">
        <v>212</v>
      </c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 t="s">
        <v>214</v>
      </c>
      <c r="DL41" s="7"/>
      <c r="DM41" s="7"/>
      <c r="DN41" s="7"/>
      <c r="DO41" s="10"/>
      <c r="DP41" s="7"/>
    </row>
    <row r="42">
      <c r="A42" s="6" t="s">
        <v>54</v>
      </c>
      <c r="B42" s="7">
        <f t="shared" si="1"/>
        <v>30</v>
      </c>
      <c r="C42" s="9">
        <f t="shared" si="2"/>
        <v>15</v>
      </c>
      <c r="D42" s="10">
        <f t="shared" si="3"/>
        <v>4</v>
      </c>
      <c r="E42" s="7" t="s">
        <v>212</v>
      </c>
      <c r="F42" s="7" t="s">
        <v>209</v>
      </c>
      <c r="G42" s="7" t="s">
        <v>209</v>
      </c>
      <c r="H42" s="7" t="s">
        <v>212</v>
      </c>
      <c r="I42" s="7" t="s">
        <v>214</v>
      </c>
      <c r="J42" s="7" t="s">
        <v>209</v>
      </c>
      <c r="K42" s="7" t="s">
        <v>212</v>
      </c>
      <c r="L42" s="7"/>
      <c r="M42" s="7"/>
      <c r="N42" s="7" t="s">
        <v>212</v>
      </c>
      <c r="O42" s="7"/>
      <c r="P42" s="7" t="s">
        <v>209</v>
      </c>
      <c r="Q42" s="7"/>
      <c r="R42" s="7" t="s">
        <v>209</v>
      </c>
      <c r="S42" s="7" t="s">
        <v>209</v>
      </c>
      <c r="T42" s="7"/>
      <c r="U42" s="7" t="s">
        <v>209</v>
      </c>
      <c r="V42" s="7"/>
      <c r="W42" s="7"/>
      <c r="X42" s="7" t="s">
        <v>212</v>
      </c>
      <c r="Y42" s="7" t="s">
        <v>214</v>
      </c>
      <c r="Z42" s="7"/>
      <c r="AA42" s="10"/>
      <c r="AB42" s="7" t="s">
        <v>212</v>
      </c>
      <c r="AC42" s="7"/>
      <c r="AD42" s="7"/>
      <c r="AE42" s="7" t="s">
        <v>212</v>
      </c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 t="s">
        <v>209</v>
      </c>
      <c r="AR42" s="7" t="s">
        <v>212</v>
      </c>
      <c r="AS42" s="7"/>
      <c r="AT42" s="7"/>
      <c r="AU42" s="7"/>
      <c r="AV42" s="7"/>
      <c r="AW42" s="7"/>
      <c r="AX42" s="10"/>
      <c r="AY42" s="7"/>
      <c r="AZ42" s="7"/>
      <c r="BA42" s="7" t="s">
        <v>209</v>
      </c>
      <c r="BB42" s="7"/>
      <c r="BC42" s="7"/>
      <c r="BD42" s="7"/>
      <c r="BE42" s="7" t="s">
        <v>212</v>
      </c>
      <c r="BF42" s="7"/>
      <c r="BG42" s="7"/>
      <c r="BH42" s="7"/>
      <c r="BI42" s="7"/>
      <c r="BJ42" s="7"/>
      <c r="BK42" s="7" t="s">
        <v>214</v>
      </c>
      <c r="BL42" s="7"/>
      <c r="BM42" s="7"/>
      <c r="BN42" s="7"/>
      <c r="BO42" s="7"/>
      <c r="BP42" s="7"/>
      <c r="BQ42" s="7"/>
      <c r="BR42" s="7"/>
      <c r="BS42" s="7"/>
      <c r="BT42" s="7"/>
      <c r="BU42" s="10"/>
      <c r="BV42" s="7"/>
      <c r="BW42" s="7"/>
      <c r="BX42" s="7"/>
      <c r="BY42" s="7"/>
      <c r="BZ42" s="7"/>
      <c r="CA42" s="7"/>
      <c r="CB42" s="7"/>
      <c r="CC42" s="7"/>
      <c r="CD42" s="7" t="s">
        <v>212</v>
      </c>
      <c r="CE42" s="7"/>
      <c r="CF42" s="7"/>
      <c r="CG42" s="7"/>
      <c r="CH42" s="7"/>
      <c r="CI42" s="7"/>
      <c r="CJ42" s="7"/>
      <c r="CK42" s="7"/>
      <c r="CL42" s="7"/>
      <c r="CM42" s="7" t="s">
        <v>212</v>
      </c>
      <c r="CN42" s="7"/>
      <c r="CO42" s="7"/>
      <c r="CP42" s="7"/>
      <c r="CQ42" s="7"/>
      <c r="CR42" s="10"/>
      <c r="CS42" s="7"/>
      <c r="CT42" s="7" t="s">
        <v>209</v>
      </c>
      <c r="CU42" s="7"/>
      <c r="CV42" s="7"/>
      <c r="CW42" s="7"/>
      <c r="CX42" s="7" t="s">
        <v>209</v>
      </c>
      <c r="CY42" s="7" t="s">
        <v>209</v>
      </c>
      <c r="CZ42" s="7"/>
      <c r="DA42" s="7" t="s">
        <v>212</v>
      </c>
      <c r="DB42" s="7" t="s">
        <v>209</v>
      </c>
      <c r="DC42" s="7" t="s">
        <v>212</v>
      </c>
      <c r="DD42" s="7" t="s">
        <v>209</v>
      </c>
      <c r="DE42" s="7"/>
      <c r="DF42" s="7"/>
      <c r="DG42" s="7" t="s">
        <v>212</v>
      </c>
      <c r="DH42" s="7" t="s">
        <v>209</v>
      </c>
      <c r="DI42" s="7" t="s">
        <v>212</v>
      </c>
      <c r="DJ42" s="7" t="s">
        <v>214</v>
      </c>
      <c r="DK42" s="7"/>
      <c r="DL42" s="7"/>
      <c r="DM42" s="7"/>
      <c r="DN42" s="7"/>
      <c r="DO42" s="10"/>
      <c r="DP42" s="7"/>
    </row>
    <row r="43">
      <c r="A43" s="6" t="s">
        <v>7</v>
      </c>
      <c r="B43" s="7">
        <f t="shared" si="1"/>
        <v>26</v>
      </c>
      <c r="C43" s="9">
        <f t="shared" si="2"/>
        <v>12</v>
      </c>
      <c r="D43" s="10">
        <f t="shared" si="3"/>
        <v>6</v>
      </c>
      <c r="E43" s="7"/>
      <c r="F43" s="7"/>
      <c r="G43" s="7"/>
      <c r="H43" s="7"/>
      <c r="I43" s="7"/>
      <c r="J43" s="7"/>
      <c r="K43" s="7" t="s">
        <v>209</v>
      </c>
      <c r="L43" s="7"/>
      <c r="M43" s="7"/>
      <c r="N43" s="7"/>
      <c r="O43" s="7"/>
      <c r="P43" s="7"/>
      <c r="Q43" s="7"/>
      <c r="R43" s="7"/>
      <c r="S43" s="7" t="s">
        <v>214</v>
      </c>
      <c r="T43" s="7" t="s">
        <v>212</v>
      </c>
      <c r="U43" s="7"/>
      <c r="V43" s="7"/>
      <c r="W43" s="7"/>
      <c r="X43" s="7"/>
      <c r="Y43" s="7"/>
      <c r="Z43" s="7"/>
      <c r="AA43" s="10"/>
      <c r="AB43" s="7"/>
      <c r="AC43" s="7" t="s">
        <v>209</v>
      </c>
      <c r="AD43" s="7"/>
      <c r="AE43" s="7"/>
      <c r="AF43" s="7"/>
      <c r="AG43" s="7" t="s">
        <v>209</v>
      </c>
      <c r="AH43" s="7"/>
      <c r="AI43" s="7"/>
      <c r="AJ43" s="7" t="s">
        <v>209</v>
      </c>
      <c r="AK43" s="7" t="s">
        <v>214</v>
      </c>
      <c r="AL43" s="7"/>
      <c r="AM43" s="7"/>
      <c r="AN43" s="7"/>
      <c r="AO43" s="7" t="s">
        <v>212</v>
      </c>
      <c r="AP43" s="7"/>
      <c r="AQ43" s="7"/>
      <c r="AR43" s="7"/>
      <c r="AS43" s="7"/>
      <c r="AT43" s="7"/>
      <c r="AU43" s="7"/>
      <c r="AV43" s="7"/>
      <c r="AW43" s="7"/>
      <c r="AX43" s="10"/>
      <c r="AY43" s="7"/>
      <c r="AZ43" s="7"/>
      <c r="BA43" s="7" t="s">
        <v>209</v>
      </c>
      <c r="BB43" s="7"/>
      <c r="BC43" s="7"/>
      <c r="BD43" s="7" t="s">
        <v>212</v>
      </c>
      <c r="BE43" s="7"/>
      <c r="BF43" s="7"/>
      <c r="BG43" s="7"/>
      <c r="BH43" s="7"/>
      <c r="BI43" s="7"/>
      <c r="BJ43" s="7"/>
      <c r="BK43" s="7" t="s">
        <v>214</v>
      </c>
      <c r="BL43" s="7"/>
      <c r="BM43" s="7"/>
      <c r="BN43" s="7"/>
      <c r="BO43" s="7"/>
      <c r="BP43" s="7" t="s">
        <v>209</v>
      </c>
      <c r="BQ43" s="7"/>
      <c r="BR43" s="7" t="s">
        <v>212</v>
      </c>
      <c r="BS43" s="7" t="s">
        <v>209</v>
      </c>
      <c r="BT43" s="7"/>
      <c r="BU43" s="10"/>
      <c r="BV43" s="7" t="s">
        <v>212</v>
      </c>
      <c r="BW43" s="7"/>
      <c r="BX43" s="7" t="s">
        <v>212</v>
      </c>
      <c r="BY43" s="7"/>
      <c r="BZ43" s="7"/>
      <c r="CA43" s="7"/>
      <c r="CB43" s="7" t="s">
        <v>212</v>
      </c>
      <c r="CC43" s="7" t="s">
        <v>209</v>
      </c>
      <c r="CD43" s="7" t="s">
        <v>212</v>
      </c>
      <c r="CE43" s="7" t="s">
        <v>212</v>
      </c>
      <c r="CF43" s="7" t="s">
        <v>214</v>
      </c>
      <c r="CG43" s="7"/>
      <c r="CH43" s="7"/>
      <c r="CI43" s="7" t="s">
        <v>212</v>
      </c>
      <c r="CJ43" s="7"/>
      <c r="CK43" s="7"/>
      <c r="CL43" s="7"/>
      <c r="CM43" s="7" t="s">
        <v>212</v>
      </c>
      <c r="CN43" s="7"/>
      <c r="CO43" s="7"/>
      <c r="CP43" s="7"/>
      <c r="CQ43" s="7"/>
      <c r="CR43" s="10"/>
      <c r="CS43" s="7" t="s">
        <v>214</v>
      </c>
      <c r="CT43" s="7"/>
      <c r="CU43" s="7"/>
      <c r="CV43" s="7"/>
      <c r="CW43" s="7"/>
      <c r="CX43" s="7"/>
      <c r="CY43" s="7"/>
      <c r="CZ43" s="7"/>
      <c r="DA43" s="7"/>
      <c r="DB43" s="7" t="s">
        <v>212</v>
      </c>
      <c r="DC43" s="7" t="s">
        <v>212</v>
      </c>
      <c r="DD43" s="7"/>
      <c r="DE43" s="7"/>
      <c r="DF43" s="7" t="s">
        <v>214</v>
      </c>
      <c r="DG43" s="7" t="s">
        <v>209</v>
      </c>
      <c r="DH43" s="7"/>
      <c r="DI43" s="7" t="s">
        <v>212</v>
      </c>
      <c r="DJ43" s="7" t="s">
        <v>209</v>
      </c>
      <c r="DK43" s="7" t="s">
        <v>209</v>
      </c>
      <c r="DL43" s="7"/>
      <c r="DM43" s="7" t="s">
        <v>209</v>
      </c>
      <c r="DN43" s="7"/>
      <c r="DO43" s="10"/>
      <c r="DP43" s="7"/>
    </row>
    <row r="44">
      <c r="A44" s="6" t="s">
        <v>9</v>
      </c>
      <c r="B44" s="7">
        <f t="shared" si="1"/>
        <v>36</v>
      </c>
      <c r="C44" s="9">
        <f t="shared" si="2"/>
        <v>17</v>
      </c>
      <c r="D44" s="10">
        <f t="shared" si="3"/>
        <v>1</v>
      </c>
      <c r="E44" s="7"/>
      <c r="F44" s="7"/>
      <c r="G44" s="7"/>
      <c r="H44" s="7"/>
      <c r="I44" s="7"/>
      <c r="J44" s="7" t="s">
        <v>209</v>
      </c>
      <c r="K44" s="7"/>
      <c r="L44" s="7"/>
      <c r="M44" s="7"/>
      <c r="N44" s="7"/>
      <c r="O44" s="7"/>
      <c r="P44" s="7" t="s">
        <v>209</v>
      </c>
      <c r="Q44" s="7" t="s">
        <v>209</v>
      </c>
      <c r="R44" s="7"/>
      <c r="S44" s="7" t="s">
        <v>214</v>
      </c>
      <c r="T44" s="7"/>
      <c r="U44" s="7"/>
      <c r="V44" s="7"/>
      <c r="W44" s="7"/>
      <c r="X44" s="7"/>
      <c r="Y44" s="7"/>
      <c r="Z44" s="7"/>
      <c r="AA44" s="10"/>
      <c r="AB44" s="7"/>
      <c r="AC44" s="7"/>
      <c r="AD44" s="7"/>
      <c r="AE44" s="7" t="s">
        <v>212</v>
      </c>
      <c r="AF44" s="7"/>
      <c r="AG44" s="7"/>
      <c r="AH44" s="7"/>
      <c r="AI44" s="7"/>
      <c r="AJ44" s="7" t="s">
        <v>209</v>
      </c>
      <c r="AK44" s="7"/>
      <c r="AL44" s="7" t="s">
        <v>212</v>
      </c>
      <c r="AM44" s="7"/>
      <c r="AN44" s="7"/>
      <c r="AO44" s="7"/>
      <c r="AP44" s="7"/>
      <c r="AQ44" s="7" t="s">
        <v>212</v>
      </c>
      <c r="AR44" s="7"/>
      <c r="AS44" s="7"/>
      <c r="AT44" s="7"/>
      <c r="AU44" s="7"/>
      <c r="AV44" s="7"/>
      <c r="AW44" s="7"/>
      <c r="AX44" s="10"/>
      <c r="AY44" s="7"/>
      <c r="AZ44" s="7" t="s">
        <v>209</v>
      </c>
      <c r="BA44" s="7" t="s">
        <v>212</v>
      </c>
      <c r="BB44" s="7" t="s">
        <v>209</v>
      </c>
      <c r="BC44" s="7"/>
      <c r="BD44" s="7"/>
      <c r="BE44" s="7"/>
      <c r="BF44" s="7" t="s">
        <v>209</v>
      </c>
      <c r="BG44" s="7" t="s">
        <v>212</v>
      </c>
      <c r="BH44" s="7"/>
      <c r="BI44" s="7" t="s">
        <v>212</v>
      </c>
      <c r="BJ44" s="7" t="s">
        <v>209</v>
      </c>
      <c r="BK44" s="7" t="s">
        <v>209</v>
      </c>
      <c r="BL44" s="7"/>
      <c r="BM44" s="7"/>
      <c r="BN44" s="7" t="s">
        <v>212</v>
      </c>
      <c r="BO44" s="7" t="s">
        <v>209</v>
      </c>
      <c r="BP44" s="7"/>
      <c r="BQ44" s="7" t="s">
        <v>212</v>
      </c>
      <c r="BR44" s="7"/>
      <c r="BS44" s="7" t="s">
        <v>209</v>
      </c>
      <c r="BT44" s="7"/>
      <c r="BU44" s="10"/>
      <c r="BV44" s="7"/>
      <c r="BW44" s="7" t="s">
        <v>212</v>
      </c>
      <c r="BX44" s="7"/>
      <c r="BY44" s="7" t="s">
        <v>212</v>
      </c>
      <c r="BZ44" s="7" t="s">
        <v>212</v>
      </c>
      <c r="CA44" s="7" t="s">
        <v>209</v>
      </c>
      <c r="CB44" s="7"/>
      <c r="CC44" s="7"/>
      <c r="CD44" s="7"/>
      <c r="CE44" s="7"/>
      <c r="CF44" s="7" t="s">
        <v>209</v>
      </c>
      <c r="CG44" s="7" t="s">
        <v>212</v>
      </c>
      <c r="CH44" s="7" t="s">
        <v>209</v>
      </c>
      <c r="CI44" s="7"/>
      <c r="CJ44" s="7" t="s">
        <v>212</v>
      </c>
      <c r="CK44" s="7" t="s">
        <v>212</v>
      </c>
      <c r="CL44" s="7" t="s">
        <v>212</v>
      </c>
      <c r="CM44" s="7"/>
      <c r="CN44" s="7"/>
      <c r="CO44" s="7"/>
      <c r="CP44" s="7"/>
      <c r="CQ44" s="7"/>
      <c r="CR44" s="10"/>
      <c r="CS44" s="7"/>
      <c r="CT44" s="7"/>
      <c r="CU44" s="7" t="s">
        <v>209</v>
      </c>
      <c r="CV44" s="7"/>
      <c r="CW44" s="7"/>
      <c r="CX44" s="7"/>
      <c r="CY44" s="7" t="s">
        <v>212</v>
      </c>
      <c r="CZ44" s="7" t="s">
        <v>212</v>
      </c>
      <c r="DA44" s="7"/>
      <c r="DB44" s="7"/>
      <c r="DC44" s="7"/>
      <c r="DD44" s="7"/>
      <c r="DE44" s="7"/>
      <c r="DF44" s="7" t="s">
        <v>212</v>
      </c>
      <c r="DG44" s="7"/>
      <c r="DH44" s="7"/>
      <c r="DI44" s="7"/>
      <c r="DJ44" s="7"/>
      <c r="DK44" s="7" t="s">
        <v>209</v>
      </c>
      <c r="DL44" s="7" t="s">
        <v>212</v>
      </c>
      <c r="DM44" s="7" t="s">
        <v>209</v>
      </c>
      <c r="DN44" s="7"/>
      <c r="DO44" s="10"/>
      <c r="DP44" s="7"/>
    </row>
    <row r="45">
      <c r="A45" s="6" t="s">
        <v>40</v>
      </c>
      <c r="B45" s="7">
        <f t="shared" si="1"/>
        <v>59</v>
      </c>
      <c r="C45" s="9">
        <f t="shared" si="2"/>
        <v>37</v>
      </c>
      <c r="D45" s="10">
        <f t="shared" si="3"/>
        <v>12</v>
      </c>
      <c r="E45" s="7" t="s">
        <v>209</v>
      </c>
      <c r="F45" s="7"/>
      <c r="G45" s="7" t="s">
        <v>212</v>
      </c>
      <c r="H45" s="7" t="s">
        <v>212</v>
      </c>
      <c r="I45" s="7" t="s">
        <v>209</v>
      </c>
      <c r="J45" s="7" t="s">
        <v>209</v>
      </c>
      <c r="K45" s="7" t="s">
        <v>209</v>
      </c>
      <c r="L45" s="7" t="s">
        <v>209</v>
      </c>
      <c r="M45" s="7"/>
      <c r="N45" s="7" t="s">
        <v>209</v>
      </c>
      <c r="O45" s="7"/>
      <c r="P45" s="7" t="s">
        <v>209</v>
      </c>
      <c r="Q45" s="7" t="s">
        <v>209</v>
      </c>
      <c r="R45" s="7" t="s">
        <v>209</v>
      </c>
      <c r="S45" s="7" t="s">
        <v>212</v>
      </c>
      <c r="T45" s="7" t="s">
        <v>209</v>
      </c>
      <c r="U45" s="7"/>
      <c r="V45" s="7" t="s">
        <v>212</v>
      </c>
      <c r="W45" s="7"/>
      <c r="X45" s="7" t="s">
        <v>209</v>
      </c>
      <c r="Y45" s="7" t="s">
        <v>209</v>
      </c>
      <c r="Z45" s="7" t="s">
        <v>209</v>
      </c>
      <c r="AA45" s="10" t="s">
        <v>209</v>
      </c>
      <c r="AB45" s="7" t="s">
        <v>209</v>
      </c>
      <c r="AC45" s="7"/>
      <c r="AD45" s="7" t="s">
        <v>212</v>
      </c>
      <c r="AE45" s="7" t="s">
        <v>214</v>
      </c>
      <c r="AF45" s="7" t="s">
        <v>209</v>
      </c>
      <c r="AG45" s="7"/>
      <c r="AH45" s="7" t="s">
        <v>209</v>
      </c>
      <c r="AI45" s="7" t="s">
        <v>209</v>
      </c>
      <c r="AJ45" s="7"/>
      <c r="AK45" s="7" t="s">
        <v>209</v>
      </c>
      <c r="AL45" s="7"/>
      <c r="AM45" s="7"/>
      <c r="AN45" s="7" t="s">
        <v>209</v>
      </c>
      <c r="AO45" s="7" t="s">
        <v>214</v>
      </c>
      <c r="AP45" s="7"/>
      <c r="AQ45" s="7"/>
      <c r="AR45" s="7"/>
      <c r="AS45" s="7" t="s">
        <v>209</v>
      </c>
      <c r="AT45" s="7"/>
      <c r="AU45" s="7" t="s">
        <v>209</v>
      </c>
      <c r="AV45" s="7" t="s">
        <v>212</v>
      </c>
      <c r="AW45" s="7" t="s">
        <v>209</v>
      </c>
      <c r="AX45" s="10" t="s">
        <v>212</v>
      </c>
      <c r="AY45" s="7" t="s">
        <v>214</v>
      </c>
      <c r="AZ45" s="7"/>
      <c r="BA45" s="7"/>
      <c r="BB45" s="7" t="s">
        <v>209</v>
      </c>
      <c r="BC45" s="7" t="s">
        <v>209</v>
      </c>
      <c r="BD45" s="7" t="s">
        <v>214</v>
      </c>
      <c r="BE45" s="7"/>
      <c r="BF45" s="7"/>
      <c r="BG45" s="7" t="s">
        <v>214</v>
      </c>
      <c r="BH45" s="7" t="s">
        <v>214</v>
      </c>
      <c r="BI45" s="7" t="s">
        <v>209</v>
      </c>
      <c r="BJ45" s="7" t="s">
        <v>212</v>
      </c>
      <c r="BK45" s="7" t="s">
        <v>209</v>
      </c>
      <c r="BL45" s="7" t="s">
        <v>212</v>
      </c>
      <c r="BM45" s="7"/>
      <c r="BN45" s="7" t="s">
        <v>214</v>
      </c>
      <c r="BO45" s="7"/>
      <c r="BP45" s="7" t="s">
        <v>209</v>
      </c>
      <c r="BQ45" s="7" t="s">
        <v>212</v>
      </c>
      <c r="BR45" s="7"/>
      <c r="BS45" s="7"/>
      <c r="BT45" s="7"/>
      <c r="BU45" s="10"/>
      <c r="BV45" s="7" t="s">
        <v>212</v>
      </c>
      <c r="BW45" s="7" t="s">
        <v>212</v>
      </c>
      <c r="BX45" s="7"/>
      <c r="BY45" s="7" t="s">
        <v>209</v>
      </c>
      <c r="BZ45" s="7"/>
      <c r="CA45" s="7" t="s">
        <v>212</v>
      </c>
      <c r="CB45" s="7" t="s">
        <v>209</v>
      </c>
      <c r="CC45" s="7" t="s">
        <v>209</v>
      </c>
      <c r="CD45" s="7" t="s">
        <v>212</v>
      </c>
      <c r="CE45" s="7" t="s">
        <v>212</v>
      </c>
      <c r="CF45" s="7" t="s">
        <v>214</v>
      </c>
      <c r="CG45" s="7"/>
      <c r="CH45" s="7"/>
      <c r="CI45" s="7" t="s">
        <v>209</v>
      </c>
      <c r="CJ45" s="7"/>
      <c r="CK45" s="7"/>
      <c r="CL45" s="7" t="s">
        <v>212</v>
      </c>
      <c r="CM45" s="7" t="s">
        <v>209</v>
      </c>
      <c r="CN45" s="7" t="s">
        <v>212</v>
      </c>
      <c r="CO45" s="7" t="s">
        <v>214</v>
      </c>
      <c r="CP45" s="7" t="s">
        <v>212</v>
      </c>
      <c r="CQ45" s="7"/>
      <c r="CR45" s="10"/>
      <c r="CS45" s="7"/>
      <c r="CT45" s="7"/>
      <c r="CU45" s="7"/>
      <c r="CV45" s="7"/>
      <c r="CW45" s="7" t="s">
        <v>209</v>
      </c>
      <c r="CX45" s="7"/>
      <c r="CY45" s="7" t="s">
        <v>209</v>
      </c>
      <c r="CZ45" s="7" t="s">
        <v>212</v>
      </c>
      <c r="DA45" s="7" t="s">
        <v>214</v>
      </c>
      <c r="DB45" s="7"/>
      <c r="DC45" s="7" t="s">
        <v>214</v>
      </c>
      <c r="DD45" s="7"/>
      <c r="DE45" s="7" t="s">
        <v>214</v>
      </c>
      <c r="DF45" s="7"/>
      <c r="DG45" s="7"/>
      <c r="DH45" s="7" t="s">
        <v>212</v>
      </c>
      <c r="DI45" s="7"/>
      <c r="DJ45" s="7" t="s">
        <v>209</v>
      </c>
      <c r="DK45" s="7"/>
      <c r="DL45" s="7" t="s">
        <v>209</v>
      </c>
      <c r="DM45" s="7" t="s">
        <v>212</v>
      </c>
      <c r="DN45" s="7" t="s">
        <v>212</v>
      </c>
      <c r="DO45" s="10"/>
      <c r="DP45" s="7"/>
    </row>
    <row r="46">
      <c r="A46" s="6" t="s">
        <v>68</v>
      </c>
      <c r="B46" s="7">
        <f t="shared" si="1"/>
        <v>42</v>
      </c>
      <c r="C46" s="9">
        <f t="shared" si="2"/>
        <v>28</v>
      </c>
      <c r="D46" s="10">
        <f t="shared" si="3"/>
        <v>12</v>
      </c>
      <c r="E46" s="7" t="s">
        <v>212</v>
      </c>
      <c r="F46" s="7"/>
      <c r="G46" s="7" t="s">
        <v>209</v>
      </c>
      <c r="H46" s="7"/>
      <c r="I46" s="7" t="s">
        <v>209</v>
      </c>
      <c r="J46" s="7"/>
      <c r="K46" s="7" t="s">
        <v>214</v>
      </c>
      <c r="L46" s="7"/>
      <c r="M46" s="7"/>
      <c r="N46" s="7"/>
      <c r="O46" s="7"/>
      <c r="P46" s="7" t="s">
        <v>209</v>
      </c>
      <c r="Q46" s="7" t="s">
        <v>212</v>
      </c>
      <c r="R46" s="7" t="s">
        <v>209</v>
      </c>
      <c r="S46" s="7" t="s">
        <v>209</v>
      </c>
      <c r="T46" s="7" t="s">
        <v>209</v>
      </c>
      <c r="U46" s="7" t="s">
        <v>214</v>
      </c>
      <c r="V46" s="7"/>
      <c r="W46" s="7"/>
      <c r="X46" s="7"/>
      <c r="Y46" s="7" t="s">
        <v>209</v>
      </c>
      <c r="Z46" s="7"/>
      <c r="AA46" s="10"/>
      <c r="AB46" s="7" t="s">
        <v>214</v>
      </c>
      <c r="AC46" s="7"/>
      <c r="AD46" s="7" t="s">
        <v>209</v>
      </c>
      <c r="AE46" s="7"/>
      <c r="AF46" s="7"/>
      <c r="AG46" s="7"/>
      <c r="AH46" s="7" t="s">
        <v>209</v>
      </c>
      <c r="AI46" s="7" t="s">
        <v>209</v>
      </c>
      <c r="AJ46" s="7"/>
      <c r="AK46" s="7"/>
      <c r="AL46" s="7" t="s">
        <v>212</v>
      </c>
      <c r="AM46" s="7" t="s">
        <v>209</v>
      </c>
      <c r="AN46" s="7" t="s">
        <v>209</v>
      </c>
      <c r="AO46" s="7"/>
      <c r="AP46" s="7"/>
      <c r="AQ46" s="7"/>
      <c r="AR46" s="7" t="s">
        <v>209</v>
      </c>
      <c r="AS46" s="7" t="s">
        <v>212</v>
      </c>
      <c r="AT46" s="7"/>
      <c r="AU46" s="7"/>
      <c r="AV46" s="7"/>
      <c r="AW46" s="7"/>
      <c r="AX46" s="10"/>
      <c r="AY46" s="7"/>
      <c r="AZ46" s="7" t="s">
        <v>214</v>
      </c>
      <c r="BA46" s="7"/>
      <c r="BB46" s="7"/>
      <c r="BC46" s="7"/>
      <c r="BD46" s="7"/>
      <c r="BE46" s="7"/>
      <c r="BF46" s="7" t="s">
        <v>209</v>
      </c>
      <c r="BG46" s="7"/>
      <c r="BH46" s="7" t="s">
        <v>212</v>
      </c>
      <c r="BI46" s="7" t="s">
        <v>209</v>
      </c>
      <c r="BJ46" s="7"/>
      <c r="BK46" s="7" t="s">
        <v>212</v>
      </c>
      <c r="BL46" s="7" t="s">
        <v>212</v>
      </c>
      <c r="BM46" s="7" t="s">
        <v>212</v>
      </c>
      <c r="BN46" s="7"/>
      <c r="BO46" s="7"/>
      <c r="BP46" s="7"/>
      <c r="BQ46" s="7"/>
      <c r="BR46" s="7"/>
      <c r="BS46" s="7"/>
      <c r="BT46" s="7"/>
      <c r="BU46" s="10"/>
      <c r="BV46" s="7" t="s">
        <v>209</v>
      </c>
      <c r="BW46" s="7"/>
      <c r="BX46" s="7" t="s">
        <v>212</v>
      </c>
      <c r="BY46" s="7" t="s">
        <v>209</v>
      </c>
      <c r="BZ46" s="7" t="s">
        <v>209</v>
      </c>
      <c r="CA46" s="7" t="s">
        <v>209</v>
      </c>
      <c r="CB46" s="7"/>
      <c r="CC46" s="7" t="s">
        <v>209</v>
      </c>
      <c r="CD46" s="7"/>
      <c r="CE46" s="7" t="s">
        <v>212</v>
      </c>
      <c r="CF46" s="7" t="s">
        <v>209</v>
      </c>
      <c r="CG46" s="7" t="s">
        <v>209</v>
      </c>
      <c r="CH46" s="7" t="s">
        <v>209</v>
      </c>
      <c r="CI46" s="7" t="s">
        <v>212</v>
      </c>
      <c r="CJ46" s="7" t="s">
        <v>214</v>
      </c>
      <c r="CK46" s="7" t="s">
        <v>212</v>
      </c>
      <c r="CL46" s="7" t="s">
        <v>214</v>
      </c>
      <c r="CM46" s="7" t="s">
        <v>209</v>
      </c>
      <c r="CN46" s="7" t="s">
        <v>209</v>
      </c>
      <c r="CO46" s="7" t="s">
        <v>209</v>
      </c>
      <c r="CP46" s="7" t="s">
        <v>212</v>
      </c>
      <c r="CQ46" s="7"/>
      <c r="CR46" s="10"/>
      <c r="CS46" s="7" t="s">
        <v>214</v>
      </c>
      <c r="CT46" s="7" t="s">
        <v>214</v>
      </c>
      <c r="CU46" s="7"/>
      <c r="CV46" s="7"/>
      <c r="CW46" s="7" t="s">
        <v>209</v>
      </c>
      <c r="CX46" s="7"/>
      <c r="CY46" s="7"/>
      <c r="CZ46" s="7" t="s">
        <v>214</v>
      </c>
      <c r="DA46" s="7" t="s">
        <v>214</v>
      </c>
      <c r="DB46" s="7"/>
      <c r="DC46" s="7" t="s">
        <v>214</v>
      </c>
      <c r="DD46" s="7"/>
      <c r="DE46" s="7"/>
      <c r="DF46" s="7" t="s">
        <v>212</v>
      </c>
      <c r="DG46" s="7"/>
      <c r="DH46" s="7" t="s">
        <v>214</v>
      </c>
      <c r="DI46" s="7"/>
      <c r="DJ46" s="7"/>
      <c r="DK46" s="7"/>
      <c r="DL46" s="7" t="s">
        <v>209</v>
      </c>
      <c r="DM46" s="7"/>
      <c r="DN46" s="7"/>
      <c r="DO46" s="10"/>
      <c r="DP46" s="7"/>
    </row>
    <row r="47">
      <c r="A47" s="6" t="s">
        <v>75</v>
      </c>
      <c r="B47" s="7">
        <f t="shared" si="1"/>
        <v>54</v>
      </c>
      <c r="C47" s="9">
        <f t="shared" si="2"/>
        <v>41</v>
      </c>
      <c r="D47" s="10">
        <f t="shared" si="3"/>
        <v>10</v>
      </c>
      <c r="E47" s="7"/>
      <c r="F47" s="7" t="s">
        <v>214</v>
      </c>
      <c r="G47" s="7" t="s">
        <v>212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 t="s">
        <v>214</v>
      </c>
      <c r="T47" s="7"/>
      <c r="U47" s="7" t="s">
        <v>212</v>
      </c>
      <c r="V47" s="7" t="s">
        <v>209</v>
      </c>
      <c r="W47" s="7" t="s">
        <v>212</v>
      </c>
      <c r="X47" s="7"/>
      <c r="Y47" s="7" t="s">
        <v>214</v>
      </c>
      <c r="Z47" s="7"/>
      <c r="AA47" s="10"/>
      <c r="AB47" s="7" t="s">
        <v>209</v>
      </c>
      <c r="AC47" s="7" t="s">
        <v>209</v>
      </c>
      <c r="AD47" s="7" t="s">
        <v>209</v>
      </c>
      <c r="AE47" s="7"/>
      <c r="AF47" s="7" t="s">
        <v>209</v>
      </c>
      <c r="AG47" s="7" t="s">
        <v>209</v>
      </c>
      <c r="AH47" s="7" t="s">
        <v>209</v>
      </c>
      <c r="AI47" s="7" t="s">
        <v>209</v>
      </c>
      <c r="AJ47" s="7"/>
      <c r="AK47" s="7" t="s">
        <v>214</v>
      </c>
      <c r="AL47" s="7" t="s">
        <v>212</v>
      </c>
      <c r="AM47" s="7" t="s">
        <v>209</v>
      </c>
      <c r="AN47" s="7" t="s">
        <v>209</v>
      </c>
      <c r="AO47" s="7"/>
      <c r="AP47" s="7"/>
      <c r="AQ47" s="7"/>
      <c r="AR47" s="7" t="s">
        <v>209</v>
      </c>
      <c r="AS47" s="7"/>
      <c r="AT47" s="7" t="s">
        <v>209</v>
      </c>
      <c r="AU47" s="7"/>
      <c r="AV47" s="7" t="s">
        <v>212</v>
      </c>
      <c r="AW47" s="7" t="s">
        <v>209</v>
      </c>
      <c r="AX47" s="10" t="s">
        <v>212</v>
      </c>
      <c r="AY47" s="7"/>
      <c r="AZ47" s="7" t="s">
        <v>209</v>
      </c>
      <c r="BA47" s="7" t="s">
        <v>209</v>
      </c>
      <c r="BB47" s="7"/>
      <c r="BC47" s="7"/>
      <c r="BD47" s="7"/>
      <c r="BE47" s="7" t="s">
        <v>214</v>
      </c>
      <c r="BF47" s="7"/>
      <c r="BG47" s="7" t="s">
        <v>209</v>
      </c>
      <c r="BH47" s="7"/>
      <c r="BI47" s="7"/>
      <c r="BJ47" s="7"/>
      <c r="BK47" s="7" t="s">
        <v>212</v>
      </c>
      <c r="BL47" s="7" t="s">
        <v>212</v>
      </c>
      <c r="BM47" s="7" t="s">
        <v>214</v>
      </c>
      <c r="BN47" s="7" t="s">
        <v>209</v>
      </c>
      <c r="BO47" s="7"/>
      <c r="BP47" s="7"/>
      <c r="BQ47" s="7" t="s">
        <v>209</v>
      </c>
      <c r="BR47" s="7"/>
      <c r="BS47" s="7"/>
      <c r="BT47" s="7"/>
      <c r="BU47" s="10"/>
      <c r="BV47" s="7" t="s">
        <v>209</v>
      </c>
      <c r="BW47" s="7" t="s">
        <v>214</v>
      </c>
      <c r="BX47" s="7"/>
      <c r="BY47" s="7" t="s">
        <v>209</v>
      </c>
      <c r="BZ47" s="7" t="s">
        <v>209</v>
      </c>
      <c r="CA47" s="7" t="s">
        <v>209</v>
      </c>
      <c r="CB47" s="7" t="s">
        <v>209</v>
      </c>
      <c r="CC47" s="7"/>
      <c r="CD47" s="7"/>
      <c r="CE47" s="7" t="s">
        <v>214</v>
      </c>
      <c r="CF47" s="7" t="s">
        <v>209</v>
      </c>
      <c r="CG47" s="7" t="s">
        <v>209</v>
      </c>
      <c r="CH47" s="7" t="s">
        <v>214</v>
      </c>
      <c r="CI47" s="7" t="s">
        <v>209</v>
      </c>
      <c r="CJ47" s="7" t="s">
        <v>209</v>
      </c>
      <c r="CK47" s="7" t="s">
        <v>212</v>
      </c>
      <c r="CL47" s="7" t="s">
        <v>212</v>
      </c>
      <c r="CM47" s="7" t="s">
        <v>212</v>
      </c>
      <c r="CN47" s="7" t="s">
        <v>209</v>
      </c>
      <c r="CO47" s="7" t="s">
        <v>209</v>
      </c>
      <c r="CP47" s="7"/>
      <c r="CQ47" s="7"/>
      <c r="CR47" s="10"/>
      <c r="CS47" s="7"/>
      <c r="CT47" s="7"/>
      <c r="CU47" s="7" t="s">
        <v>209</v>
      </c>
      <c r="CV47" s="7"/>
      <c r="CW47" s="7" t="s">
        <v>209</v>
      </c>
      <c r="CX47" s="7" t="s">
        <v>209</v>
      </c>
      <c r="CY47" s="7"/>
      <c r="CZ47" s="7" t="s">
        <v>212</v>
      </c>
      <c r="DA47" s="7"/>
      <c r="DB47" s="7" t="s">
        <v>209</v>
      </c>
      <c r="DC47" s="7" t="s">
        <v>214</v>
      </c>
      <c r="DD47" s="7" t="s">
        <v>209</v>
      </c>
      <c r="DE47" s="7" t="s">
        <v>209</v>
      </c>
      <c r="DF47" s="7" t="s">
        <v>212</v>
      </c>
      <c r="DG47" s="7"/>
      <c r="DH47" s="7" t="s">
        <v>209</v>
      </c>
      <c r="DI47" s="7"/>
      <c r="DJ47" s="7" t="s">
        <v>209</v>
      </c>
      <c r="DK47" s="7" t="s">
        <v>209</v>
      </c>
      <c r="DL47" s="7"/>
      <c r="DM47" s="7" t="s">
        <v>209</v>
      </c>
      <c r="DN47" s="7" t="s">
        <v>209</v>
      </c>
      <c r="DO47" s="10" t="s">
        <v>209</v>
      </c>
      <c r="DP47" s="7"/>
    </row>
    <row r="48">
      <c r="A48" s="6" t="s">
        <v>22</v>
      </c>
      <c r="B48" s="7">
        <f t="shared" si="1"/>
        <v>32</v>
      </c>
      <c r="C48" s="9">
        <f t="shared" si="2"/>
        <v>16</v>
      </c>
      <c r="D48" s="10">
        <f t="shared" si="3"/>
        <v>13</v>
      </c>
      <c r="E48" s="7"/>
      <c r="F48" s="7"/>
      <c r="G48" s="7"/>
      <c r="H48" s="7"/>
      <c r="I48" s="7"/>
      <c r="J48" s="7"/>
      <c r="K48" s="7" t="s">
        <v>209</v>
      </c>
      <c r="L48" s="7"/>
      <c r="M48" s="7" t="s">
        <v>209</v>
      </c>
      <c r="N48" s="7"/>
      <c r="O48" s="7"/>
      <c r="P48" s="7"/>
      <c r="Q48" s="7"/>
      <c r="R48" s="7" t="s">
        <v>209</v>
      </c>
      <c r="S48" s="7"/>
      <c r="T48" s="7"/>
      <c r="U48" s="7"/>
      <c r="V48" s="7" t="s">
        <v>214</v>
      </c>
      <c r="W48" s="7"/>
      <c r="X48" s="7"/>
      <c r="Y48" s="7"/>
      <c r="Z48" s="7" t="s">
        <v>209</v>
      </c>
      <c r="AA48" s="10"/>
      <c r="AB48" s="7"/>
      <c r="AC48" s="7" t="s">
        <v>214</v>
      </c>
      <c r="AD48" s="7"/>
      <c r="AE48" s="7"/>
      <c r="AF48" s="7" t="s">
        <v>209</v>
      </c>
      <c r="AG48" s="7" t="s">
        <v>209</v>
      </c>
      <c r="AH48" s="7" t="s">
        <v>212</v>
      </c>
      <c r="AI48" s="7" t="s">
        <v>209</v>
      </c>
      <c r="AJ48" s="7"/>
      <c r="AK48" s="7" t="s">
        <v>214</v>
      </c>
      <c r="AL48" s="7"/>
      <c r="AM48" s="7" t="s">
        <v>209</v>
      </c>
      <c r="AN48" s="7" t="s">
        <v>209</v>
      </c>
      <c r="AO48" s="7" t="s">
        <v>212</v>
      </c>
      <c r="AP48" s="7"/>
      <c r="AQ48" s="7" t="s">
        <v>209</v>
      </c>
      <c r="AR48" s="7"/>
      <c r="AS48" s="7" t="s">
        <v>212</v>
      </c>
      <c r="AT48" s="7"/>
      <c r="AU48" s="7"/>
      <c r="AV48" s="7"/>
      <c r="AW48" s="7"/>
      <c r="AX48" s="10"/>
      <c r="AY48" s="7" t="s">
        <v>214</v>
      </c>
      <c r="AZ48" s="7"/>
      <c r="BA48" s="7"/>
      <c r="BB48" s="7"/>
      <c r="BC48" s="7" t="s">
        <v>214</v>
      </c>
      <c r="BD48" s="7"/>
      <c r="BE48" s="7" t="s">
        <v>212</v>
      </c>
      <c r="BF48" s="7" t="s">
        <v>214</v>
      </c>
      <c r="BG48" s="7" t="s">
        <v>212</v>
      </c>
      <c r="BH48" s="7"/>
      <c r="BI48" s="7"/>
      <c r="BJ48" s="7"/>
      <c r="BK48" s="7" t="s">
        <v>209</v>
      </c>
      <c r="BL48" s="7" t="s">
        <v>212</v>
      </c>
      <c r="BM48" s="7" t="s">
        <v>214</v>
      </c>
      <c r="BN48" s="7" t="s">
        <v>212</v>
      </c>
      <c r="BO48" s="7"/>
      <c r="BP48" s="7"/>
      <c r="BQ48" s="7"/>
      <c r="BR48" s="7"/>
      <c r="BS48" s="7"/>
      <c r="BT48" s="7"/>
      <c r="BU48" s="10"/>
      <c r="BV48" s="7" t="s">
        <v>212</v>
      </c>
      <c r="BW48" s="7"/>
      <c r="BX48" s="7" t="s">
        <v>212</v>
      </c>
      <c r="BY48" s="7"/>
      <c r="BZ48" s="7"/>
      <c r="CA48" s="7"/>
      <c r="CB48" s="7"/>
      <c r="CC48" s="7" t="s">
        <v>212</v>
      </c>
      <c r="CD48" s="7"/>
      <c r="CE48" s="7" t="s">
        <v>214</v>
      </c>
      <c r="CF48" s="7"/>
      <c r="CG48" s="7" t="s">
        <v>212</v>
      </c>
      <c r="CH48" s="7"/>
      <c r="CI48" s="7" t="s">
        <v>209</v>
      </c>
      <c r="CJ48" s="7"/>
      <c r="CK48" s="7"/>
      <c r="CL48" s="7"/>
      <c r="CM48" s="7" t="s">
        <v>209</v>
      </c>
      <c r="CN48" s="7"/>
      <c r="CO48" s="7"/>
      <c r="CP48" s="7"/>
      <c r="CQ48" s="7"/>
      <c r="CR48" s="10"/>
      <c r="CS48" s="7" t="s">
        <v>214</v>
      </c>
      <c r="CT48" s="7"/>
      <c r="CU48" s="7" t="s">
        <v>214</v>
      </c>
      <c r="CV48" s="7"/>
      <c r="CW48" s="7" t="s">
        <v>212</v>
      </c>
      <c r="CX48" s="7" t="s">
        <v>209</v>
      </c>
      <c r="CY48" s="7" t="s">
        <v>214</v>
      </c>
      <c r="CZ48" s="7"/>
      <c r="DA48" s="7" t="s">
        <v>212</v>
      </c>
      <c r="DB48" s="7" t="s">
        <v>209</v>
      </c>
      <c r="DC48" s="7" t="s">
        <v>212</v>
      </c>
      <c r="DD48" s="7"/>
      <c r="DE48" s="7"/>
      <c r="DF48" s="7"/>
      <c r="DG48" s="7" t="s">
        <v>214</v>
      </c>
      <c r="DH48" s="7"/>
      <c r="DI48" s="7" t="s">
        <v>212</v>
      </c>
      <c r="DJ48" s="7"/>
      <c r="DK48" s="7" t="s">
        <v>214</v>
      </c>
      <c r="DL48" s="7" t="s">
        <v>212</v>
      </c>
      <c r="DM48" s="7"/>
      <c r="DN48" s="7" t="s">
        <v>209</v>
      </c>
      <c r="DO48" s="10"/>
      <c r="DP48" s="7"/>
    </row>
    <row r="49">
      <c r="A49" s="6" t="s">
        <v>64</v>
      </c>
      <c r="B49" s="7">
        <f t="shared" si="1"/>
        <v>21</v>
      </c>
      <c r="C49" s="9">
        <f t="shared" si="2"/>
        <v>9</v>
      </c>
      <c r="D49" s="10">
        <f t="shared" si="3"/>
        <v>2</v>
      </c>
      <c r="E49" s="7" t="s">
        <v>214</v>
      </c>
      <c r="F49" s="7" t="s">
        <v>212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209</v>
      </c>
      <c r="V49" s="7"/>
      <c r="W49" s="7"/>
      <c r="X49" s="7"/>
      <c r="Y49" s="7"/>
      <c r="Z49" s="7"/>
      <c r="AA49" s="10"/>
      <c r="AB49" s="7"/>
      <c r="AC49" s="7"/>
      <c r="AD49" s="7"/>
      <c r="AE49" s="7"/>
      <c r="AF49" s="7"/>
      <c r="AG49" s="7" t="s">
        <v>212</v>
      </c>
      <c r="AH49" s="7"/>
      <c r="AI49" s="7"/>
      <c r="AJ49" s="7"/>
      <c r="AK49" s="7" t="s">
        <v>212</v>
      </c>
      <c r="AL49" s="7"/>
      <c r="AM49" s="7"/>
      <c r="AN49" s="7"/>
      <c r="AO49" s="7"/>
      <c r="AP49" s="7"/>
      <c r="AQ49" s="7"/>
      <c r="AR49" s="7"/>
      <c r="AS49" s="7"/>
      <c r="AT49" s="7"/>
      <c r="AU49" s="7" t="s">
        <v>209</v>
      </c>
      <c r="AV49" s="7"/>
      <c r="AW49" s="7"/>
      <c r="AX49" s="10"/>
      <c r="AY49" s="7"/>
      <c r="AZ49" s="7"/>
      <c r="BA49" s="7"/>
      <c r="BB49" s="7"/>
      <c r="BC49" s="7"/>
      <c r="BD49" s="7"/>
      <c r="BE49" s="7"/>
      <c r="BF49" s="7" t="s">
        <v>212</v>
      </c>
      <c r="BG49" s="7"/>
      <c r="BH49" s="7"/>
      <c r="BI49" s="7"/>
      <c r="BJ49" s="7" t="s">
        <v>212</v>
      </c>
      <c r="BK49" s="7" t="s">
        <v>209</v>
      </c>
      <c r="BL49" s="7"/>
      <c r="BM49" s="7"/>
      <c r="BN49" s="7"/>
      <c r="BO49" s="7" t="s">
        <v>212</v>
      </c>
      <c r="BP49" s="7"/>
      <c r="BQ49" s="7"/>
      <c r="BR49" s="7"/>
      <c r="BS49" s="7" t="s">
        <v>212</v>
      </c>
      <c r="BT49" s="7" t="s">
        <v>209</v>
      </c>
      <c r="BU49" s="10"/>
      <c r="BV49" s="7"/>
      <c r="BW49" s="7" t="s">
        <v>212</v>
      </c>
      <c r="BX49" s="7"/>
      <c r="BY49" s="7"/>
      <c r="BZ49" s="7"/>
      <c r="CA49" s="7"/>
      <c r="CB49" s="7" t="s">
        <v>209</v>
      </c>
      <c r="CC49" s="7"/>
      <c r="CD49" s="7"/>
      <c r="CE49" s="7"/>
      <c r="CF49" s="7" t="s">
        <v>214</v>
      </c>
      <c r="CG49" s="7"/>
      <c r="CH49" s="7"/>
      <c r="CI49" s="7"/>
      <c r="CJ49" s="7" t="s">
        <v>212</v>
      </c>
      <c r="CK49" s="7"/>
      <c r="CL49" s="7" t="s">
        <v>209</v>
      </c>
      <c r="CM49" s="7"/>
      <c r="CN49" s="7"/>
      <c r="CO49" s="7"/>
      <c r="CP49" s="7"/>
      <c r="CQ49" s="7"/>
      <c r="CR49" s="10"/>
      <c r="CS49" s="7"/>
      <c r="CT49" s="7" t="s">
        <v>209</v>
      </c>
      <c r="CU49" s="7"/>
      <c r="CV49" s="7"/>
      <c r="CW49" s="7"/>
      <c r="CX49" s="7"/>
      <c r="CY49" s="7" t="s">
        <v>212</v>
      </c>
      <c r="CZ49" s="7"/>
      <c r="DA49" s="7" t="s">
        <v>209</v>
      </c>
      <c r="DB49" s="7"/>
      <c r="DC49" s="7"/>
      <c r="DD49" s="7"/>
      <c r="DE49" s="7" t="s">
        <v>212</v>
      </c>
      <c r="DF49" s="7"/>
      <c r="DG49" s="7"/>
      <c r="DH49" s="7"/>
      <c r="DI49" s="7"/>
      <c r="DJ49" s="7" t="s">
        <v>209</v>
      </c>
      <c r="DK49" s="7"/>
      <c r="DL49" s="7"/>
      <c r="DM49" s="7"/>
      <c r="DN49" s="7"/>
      <c r="DO49" s="10" t="s">
        <v>212</v>
      </c>
      <c r="DP49" s="7"/>
    </row>
    <row r="50">
      <c r="A50" s="6" t="s">
        <v>25</v>
      </c>
      <c r="B50" s="7">
        <f t="shared" si="1"/>
        <v>75</v>
      </c>
      <c r="C50" s="9">
        <f t="shared" si="2"/>
        <v>64</v>
      </c>
      <c r="D50" s="10">
        <f t="shared" si="3"/>
        <v>16</v>
      </c>
      <c r="E50" s="7" t="s">
        <v>214</v>
      </c>
      <c r="F50" s="7" t="s">
        <v>209</v>
      </c>
      <c r="G50" s="7" t="s">
        <v>209</v>
      </c>
      <c r="H50" s="7" t="s">
        <v>214</v>
      </c>
      <c r="I50" s="7" t="s">
        <v>209</v>
      </c>
      <c r="J50" s="7" t="s">
        <v>214</v>
      </c>
      <c r="K50" s="7" t="s">
        <v>209</v>
      </c>
      <c r="L50" s="7" t="s">
        <v>209</v>
      </c>
      <c r="M50" s="7" t="s">
        <v>209</v>
      </c>
      <c r="N50" s="7" t="s">
        <v>209</v>
      </c>
      <c r="O50" s="7"/>
      <c r="P50" s="7" t="s">
        <v>209</v>
      </c>
      <c r="Q50" s="7" t="s">
        <v>209</v>
      </c>
      <c r="R50" s="7" t="s">
        <v>209</v>
      </c>
      <c r="S50" s="7"/>
      <c r="T50" s="7"/>
      <c r="U50" s="7" t="s">
        <v>209</v>
      </c>
      <c r="V50" s="7" t="s">
        <v>209</v>
      </c>
      <c r="W50" s="7"/>
      <c r="X50" s="7" t="s">
        <v>209</v>
      </c>
      <c r="Y50" s="7" t="s">
        <v>209</v>
      </c>
      <c r="Z50" s="7"/>
      <c r="AA50" s="10"/>
      <c r="AB50" s="7"/>
      <c r="AC50" s="7"/>
      <c r="AD50" s="7" t="s">
        <v>209</v>
      </c>
      <c r="AE50" s="7" t="s">
        <v>212</v>
      </c>
      <c r="AF50" s="7" t="s">
        <v>214</v>
      </c>
      <c r="AG50" s="7" t="s">
        <v>209</v>
      </c>
      <c r="AH50" s="7" t="s">
        <v>209</v>
      </c>
      <c r="AI50" s="7" t="s">
        <v>214</v>
      </c>
      <c r="AJ50" s="7" t="s">
        <v>209</v>
      </c>
      <c r="AK50" s="7" t="s">
        <v>209</v>
      </c>
      <c r="AL50" s="7" t="s">
        <v>212</v>
      </c>
      <c r="AM50" s="7" t="s">
        <v>209</v>
      </c>
      <c r="AN50" s="7" t="s">
        <v>209</v>
      </c>
      <c r="AO50" s="7" t="s">
        <v>209</v>
      </c>
      <c r="AP50" s="7" t="s">
        <v>214</v>
      </c>
      <c r="AQ50" s="7"/>
      <c r="AR50" s="7" t="s">
        <v>212</v>
      </c>
      <c r="AS50" s="7" t="s">
        <v>209</v>
      </c>
      <c r="AT50" s="7" t="s">
        <v>209</v>
      </c>
      <c r="AU50" s="7" t="s">
        <v>209</v>
      </c>
      <c r="AV50" s="7" t="s">
        <v>212</v>
      </c>
      <c r="AW50" s="7" t="s">
        <v>214</v>
      </c>
      <c r="AX50" s="10" t="s">
        <v>212</v>
      </c>
      <c r="AY50" s="7" t="s">
        <v>209</v>
      </c>
      <c r="AZ50" s="7" t="s">
        <v>209</v>
      </c>
      <c r="BA50" s="7" t="s">
        <v>209</v>
      </c>
      <c r="BB50" s="7" t="s">
        <v>214</v>
      </c>
      <c r="BC50" s="7" t="s">
        <v>212</v>
      </c>
      <c r="BD50" s="7" t="s">
        <v>209</v>
      </c>
      <c r="BE50" s="7" t="s">
        <v>212</v>
      </c>
      <c r="BF50" s="7" t="s">
        <v>209</v>
      </c>
      <c r="BG50" s="7" t="s">
        <v>209</v>
      </c>
      <c r="BH50" s="7" t="s">
        <v>209</v>
      </c>
      <c r="BI50" s="7" t="s">
        <v>214</v>
      </c>
      <c r="BJ50" s="7" t="s">
        <v>209</v>
      </c>
      <c r="BK50" s="7" t="s">
        <v>209</v>
      </c>
      <c r="BL50" s="7" t="s">
        <v>209</v>
      </c>
      <c r="BM50" s="7"/>
      <c r="BN50" s="7" t="s">
        <v>209</v>
      </c>
      <c r="BO50" s="7" t="s">
        <v>209</v>
      </c>
      <c r="BP50" s="7" t="s">
        <v>209</v>
      </c>
      <c r="BQ50" s="7" t="s">
        <v>209</v>
      </c>
      <c r="BR50" s="7"/>
      <c r="BS50" s="7" t="s">
        <v>209</v>
      </c>
      <c r="BT50" s="7" t="s">
        <v>209</v>
      </c>
      <c r="BU50" s="10" t="s">
        <v>209</v>
      </c>
      <c r="BV50" s="7"/>
      <c r="BW50" s="7" t="s">
        <v>212</v>
      </c>
      <c r="BX50" s="7" t="s">
        <v>214</v>
      </c>
      <c r="BY50" s="7" t="s">
        <v>209</v>
      </c>
      <c r="BZ50" s="7" t="s">
        <v>209</v>
      </c>
      <c r="CA50" s="7" t="s">
        <v>212</v>
      </c>
      <c r="CB50" s="7" t="s">
        <v>209</v>
      </c>
      <c r="CC50" s="7"/>
      <c r="CD50" s="7" t="s">
        <v>209</v>
      </c>
      <c r="CE50" s="7" t="s">
        <v>209</v>
      </c>
      <c r="CF50" s="7" t="s">
        <v>209</v>
      </c>
      <c r="CG50" s="7"/>
      <c r="CH50" s="7" t="s">
        <v>214</v>
      </c>
      <c r="CI50" s="7"/>
      <c r="CJ50" s="7" t="s">
        <v>209</v>
      </c>
      <c r="CK50" s="7" t="s">
        <v>209</v>
      </c>
      <c r="CL50" s="7" t="s">
        <v>209</v>
      </c>
      <c r="CM50" s="7"/>
      <c r="CN50" s="7" t="s">
        <v>214</v>
      </c>
      <c r="CO50" s="7" t="s">
        <v>209</v>
      </c>
      <c r="CP50" s="7" t="s">
        <v>212</v>
      </c>
      <c r="CQ50" s="7"/>
      <c r="CR50" s="10"/>
      <c r="CS50" s="7" t="s">
        <v>209</v>
      </c>
      <c r="CT50" s="7" t="s">
        <v>209</v>
      </c>
      <c r="CU50" s="7" t="s">
        <v>209</v>
      </c>
      <c r="CV50" s="7" t="s">
        <v>209</v>
      </c>
      <c r="CW50" s="7" t="s">
        <v>209</v>
      </c>
      <c r="CX50" s="7" t="s">
        <v>209</v>
      </c>
      <c r="CY50" s="7" t="s">
        <v>214</v>
      </c>
      <c r="CZ50" s="7" t="s">
        <v>212</v>
      </c>
      <c r="DA50" s="7" t="s">
        <v>209</v>
      </c>
      <c r="DB50" s="7"/>
      <c r="DC50" s="7" t="s">
        <v>214</v>
      </c>
      <c r="DD50" s="7"/>
      <c r="DE50" s="7" t="s">
        <v>209</v>
      </c>
      <c r="DF50" s="7" t="s">
        <v>214</v>
      </c>
      <c r="DG50" s="7" t="s">
        <v>209</v>
      </c>
      <c r="DH50" s="7" t="s">
        <v>209</v>
      </c>
      <c r="DI50" s="7"/>
      <c r="DJ50" s="7" t="s">
        <v>214</v>
      </c>
      <c r="DK50" s="7" t="s">
        <v>209</v>
      </c>
      <c r="DL50" s="7"/>
      <c r="DM50" s="7" t="s">
        <v>209</v>
      </c>
      <c r="DN50" s="7"/>
      <c r="DO50" s="10"/>
      <c r="DP50" s="7"/>
    </row>
    <row r="51">
      <c r="A51" s="6" t="s">
        <v>15</v>
      </c>
      <c r="B51" s="7">
        <f t="shared" si="1"/>
        <v>52</v>
      </c>
      <c r="C51" s="9">
        <f t="shared" si="2"/>
        <v>27</v>
      </c>
      <c r="D51" s="10">
        <f t="shared" si="3"/>
        <v>5</v>
      </c>
      <c r="E51" s="7"/>
      <c r="F51" s="7" t="s">
        <v>212</v>
      </c>
      <c r="G51" s="7" t="s">
        <v>209</v>
      </c>
      <c r="H51" s="7" t="s">
        <v>212</v>
      </c>
      <c r="I51" s="7" t="s">
        <v>209</v>
      </c>
      <c r="J51" s="7"/>
      <c r="K51" s="7" t="s">
        <v>209</v>
      </c>
      <c r="L51" s="7"/>
      <c r="M51" s="7" t="s">
        <v>212</v>
      </c>
      <c r="N51" s="7" t="s">
        <v>209</v>
      </c>
      <c r="O51" s="7"/>
      <c r="P51" s="7"/>
      <c r="Q51" s="7"/>
      <c r="R51" s="7" t="s">
        <v>209</v>
      </c>
      <c r="S51" s="7"/>
      <c r="T51" s="7" t="s">
        <v>209</v>
      </c>
      <c r="U51" s="7" t="s">
        <v>212</v>
      </c>
      <c r="V51" s="7" t="s">
        <v>214</v>
      </c>
      <c r="W51" s="7" t="s">
        <v>212</v>
      </c>
      <c r="X51" s="7"/>
      <c r="Y51" s="7"/>
      <c r="Z51" s="7"/>
      <c r="AA51" s="10"/>
      <c r="AB51" s="7" t="s">
        <v>209</v>
      </c>
      <c r="AC51" s="7" t="s">
        <v>214</v>
      </c>
      <c r="AD51" s="7" t="s">
        <v>212</v>
      </c>
      <c r="AE51" s="7" t="s">
        <v>209</v>
      </c>
      <c r="AF51" s="7" t="s">
        <v>209</v>
      </c>
      <c r="AG51" s="7"/>
      <c r="AH51" s="7"/>
      <c r="AI51" s="7" t="s">
        <v>209</v>
      </c>
      <c r="AJ51" s="7" t="s">
        <v>209</v>
      </c>
      <c r="AK51" s="7"/>
      <c r="AL51" s="7" t="s">
        <v>212</v>
      </c>
      <c r="AM51" s="7" t="s">
        <v>209</v>
      </c>
      <c r="AN51" s="7"/>
      <c r="AO51" s="7"/>
      <c r="AP51" s="7"/>
      <c r="AQ51" s="7" t="s">
        <v>209</v>
      </c>
      <c r="AR51" s="7" t="s">
        <v>212</v>
      </c>
      <c r="AS51" s="7"/>
      <c r="AT51" s="7" t="s">
        <v>212</v>
      </c>
      <c r="AU51" s="7"/>
      <c r="AV51" s="7" t="s">
        <v>212</v>
      </c>
      <c r="AW51" s="7"/>
      <c r="AX51" s="10" t="s">
        <v>212</v>
      </c>
      <c r="AY51" s="7"/>
      <c r="AZ51" s="7"/>
      <c r="BA51" s="7" t="s">
        <v>209</v>
      </c>
      <c r="BB51" s="7" t="s">
        <v>212</v>
      </c>
      <c r="BC51" s="7" t="s">
        <v>212</v>
      </c>
      <c r="BD51" s="7" t="s">
        <v>212</v>
      </c>
      <c r="BE51" s="7" t="s">
        <v>212</v>
      </c>
      <c r="BF51" s="7" t="s">
        <v>209</v>
      </c>
      <c r="BG51" s="7" t="s">
        <v>212</v>
      </c>
      <c r="BH51" s="7"/>
      <c r="BI51" s="7" t="s">
        <v>209</v>
      </c>
      <c r="BJ51" s="7" t="s">
        <v>209</v>
      </c>
      <c r="BK51" s="7" t="s">
        <v>212</v>
      </c>
      <c r="BL51" s="7" t="s">
        <v>212</v>
      </c>
      <c r="BM51" s="7"/>
      <c r="BN51" s="7" t="s">
        <v>212</v>
      </c>
      <c r="BO51" s="7"/>
      <c r="BP51" s="7" t="s">
        <v>209</v>
      </c>
      <c r="BQ51" s="7" t="s">
        <v>209</v>
      </c>
      <c r="BR51" s="7"/>
      <c r="BS51" s="7" t="s">
        <v>214</v>
      </c>
      <c r="BT51" s="7"/>
      <c r="BU51" s="10" t="s">
        <v>209</v>
      </c>
      <c r="BV51" s="7" t="s">
        <v>209</v>
      </c>
      <c r="BW51" s="7"/>
      <c r="BX51" s="7"/>
      <c r="BY51" s="7" t="s">
        <v>212</v>
      </c>
      <c r="BZ51" s="7"/>
      <c r="CA51" s="7"/>
      <c r="CB51" s="7"/>
      <c r="CC51" s="7"/>
      <c r="CD51" s="7"/>
      <c r="CE51" s="7"/>
      <c r="CF51" s="7" t="s">
        <v>209</v>
      </c>
      <c r="CG51" s="7" t="s">
        <v>209</v>
      </c>
      <c r="CH51" s="7"/>
      <c r="CI51" s="7"/>
      <c r="CJ51" s="7" t="s">
        <v>212</v>
      </c>
      <c r="CK51" s="7"/>
      <c r="CL51" s="7"/>
      <c r="CM51" s="7" t="s">
        <v>209</v>
      </c>
      <c r="CN51" s="7"/>
      <c r="CO51" s="7" t="s">
        <v>214</v>
      </c>
      <c r="CP51" s="7"/>
      <c r="CQ51" s="7" t="s">
        <v>209</v>
      </c>
      <c r="CR51" s="10"/>
      <c r="CS51" s="7"/>
      <c r="CT51" s="7" t="s">
        <v>214</v>
      </c>
      <c r="CU51" s="7"/>
      <c r="CV51" s="7"/>
      <c r="CW51" s="7"/>
      <c r="CX51" s="7" t="s">
        <v>209</v>
      </c>
      <c r="CY51" s="7" t="s">
        <v>212</v>
      </c>
      <c r="CZ51" s="7" t="s">
        <v>212</v>
      </c>
      <c r="DA51" s="7"/>
      <c r="DB51" s="7"/>
      <c r="DC51" s="7"/>
      <c r="DD51" s="7"/>
      <c r="DE51" s="7"/>
      <c r="DF51" s="7"/>
      <c r="DG51" s="7"/>
      <c r="DH51" s="7"/>
      <c r="DI51" s="7" t="s">
        <v>212</v>
      </c>
      <c r="DJ51" s="7" t="s">
        <v>209</v>
      </c>
      <c r="DK51" s="7"/>
      <c r="DL51" s="7" t="s">
        <v>212</v>
      </c>
      <c r="DM51" s="7"/>
      <c r="DN51" s="7"/>
      <c r="DO51" s="10"/>
      <c r="DP51" s="7"/>
    </row>
    <row r="52">
      <c r="A52" s="13" t="s">
        <v>301</v>
      </c>
      <c r="B52" s="14"/>
      <c r="C52" s="15"/>
      <c r="D52" s="16"/>
      <c r="E52" s="15">
        <f t="shared" ref="E52:DO52" si="4">LET(scores,E$5:E$51,100*(COUNTIF(scores,"TU")+COUNTIF(scores,"B"))/47)</f>
        <v>42.55319149</v>
      </c>
      <c r="F52" s="15">
        <f t="shared" si="4"/>
        <v>27.65957447</v>
      </c>
      <c r="G52" s="15">
        <f t="shared" si="4"/>
        <v>48.93617021</v>
      </c>
      <c r="H52" s="15">
        <f t="shared" si="4"/>
        <v>46.80851064</v>
      </c>
      <c r="I52" s="15">
        <f t="shared" si="4"/>
        <v>44.68085106</v>
      </c>
      <c r="J52" s="15">
        <f t="shared" si="4"/>
        <v>48.93617021</v>
      </c>
      <c r="K52" s="15">
        <f t="shared" si="4"/>
        <v>46.80851064</v>
      </c>
      <c r="L52" s="15">
        <f t="shared" si="4"/>
        <v>46.80851064</v>
      </c>
      <c r="M52" s="15">
        <f t="shared" si="4"/>
        <v>38.29787234</v>
      </c>
      <c r="N52" s="15">
        <f t="shared" si="4"/>
        <v>42.55319149</v>
      </c>
      <c r="O52" s="15">
        <f t="shared" si="4"/>
        <v>12.76595745</v>
      </c>
      <c r="P52" s="15">
        <f t="shared" si="4"/>
        <v>46.80851064</v>
      </c>
      <c r="Q52" s="15">
        <f t="shared" si="4"/>
        <v>23.40425532</v>
      </c>
      <c r="R52" s="15">
        <f t="shared" si="4"/>
        <v>46.80851064</v>
      </c>
      <c r="S52" s="15">
        <f t="shared" si="4"/>
        <v>48.93617021</v>
      </c>
      <c r="T52" s="15">
        <f t="shared" si="4"/>
        <v>46.80851064</v>
      </c>
      <c r="U52" s="15">
        <f t="shared" si="4"/>
        <v>40.42553191</v>
      </c>
      <c r="V52" s="15">
        <f t="shared" si="4"/>
        <v>40.42553191</v>
      </c>
      <c r="W52" s="15">
        <f t="shared" si="4"/>
        <v>12.76595745</v>
      </c>
      <c r="X52" s="15">
        <f t="shared" si="4"/>
        <v>40.42553191</v>
      </c>
      <c r="Y52" s="15">
        <f t="shared" si="4"/>
        <v>38.29787234</v>
      </c>
      <c r="Z52" s="15">
        <f t="shared" si="4"/>
        <v>29.78723404</v>
      </c>
      <c r="AA52" s="15">
        <f t="shared" si="4"/>
        <v>21.27659574</v>
      </c>
      <c r="AB52" s="15">
        <f t="shared" si="4"/>
        <v>48.93617021</v>
      </c>
      <c r="AC52" s="15">
        <f t="shared" si="4"/>
        <v>42.55319149</v>
      </c>
      <c r="AD52" s="15">
        <f t="shared" si="4"/>
        <v>48.93617021</v>
      </c>
      <c r="AE52" s="15">
        <f t="shared" si="4"/>
        <v>27.65957447</v>
      </c>
      <c r="AF52" s="15">
        <f t="shared" si="4"/>
        <v>48.93617021</v>
      </c>
      <c r="AG52" s="15">
        <f t="shared" si="4"/>
        <v>46.80851064</v>
      </c>
      <c r="AH52" s="15">
        <f t="shared" si="4"/>
        <v>46.80851064</v>
      </c>
      <c r="AI52" s="15">
        <f t="shared" si="4"/>
        <v>44.68085106</v>
      </c>
      <c r="AJ52" s="15">
        <f t="shared" si="4"/>
        <v>40.42553191</v>
      </c>
      <c r="AK52" s="15">
        <f t="shared" si="4"/>
        <v>34.04255319</v>
      </c>
      <c r="AL52" s="15">
        <f t="shared" si="4"/>
        <v>46.80851064</v>
      </c>
      <c r="AM52" s="15">
        <f t="shared" si="4"/>
        <v>44.68085106</v>
      </c>
      <c r="AN52" s="15">
        <f t="shared" si="4"/>
        <v>40.42553191</v>
      </c>
      <c r="AO52" s="15">
        <f t="shared" si="4"/>
        <v>44.68085106</v>
      </c>
      <c r="AP52" s="15">
        <f t="shared" si="4"/>
        <v>19.14893617</v>
      </c>
      <c r="AQ52" s="15">
        <f t="shared" si="4"/>
        <v>44.68085106</v>
      </c>
      <c r="AR52" s="15">
        <f t="shared" si="4"/>
        <v>42.55319149</v>
      </c>
      <c r="AS52" s="15">
        <f t="shared" si="4"/>
        <v>40.42553191</v>
      </c>
      <c r="AT52" s="15">
        <f t="shared" si="4"/>
        <v>40.42553191</v>
      </c>
      <c r="AU52" s="15">
        <f t="shared" si="4"/>
        <v>27.65957447</v>
      </c>
      <c r="AV52" s="15">
        <f t="shared" si="4"/>
        <v>36.17021277</v>
      </c>
      <c r="AW52" s="15">
        <f t="shared" si="4"/>
        <v>12.76595745</v>
      </c>
      <c r="AX52" s="15">
        <f t="shared" si="4"/>
        <v>31.91489362</v>
      </c>
      <c r="AY52" s="15">
        <f t="shared" si="4"/>
        <v>29.78723404</v>
      </c>
      <c r="AZ52" s="15">
        <f t="shared" si="4"/>
        <v>44.68085106</v>
      </c>
      <c r="BA52" s="15">
        <f t="shared" si="4"/>
        <v>44.68085106</v>
      </c>
      <c r="BB52" s="15">
        <f t="shared" si="4"/>
        <v>46.80851064</v>
      </c>
      <c r="BC52" s="15">
        <f t="shared" si="4"/>
        <v>36.17021277</v>
      </c>
      <c r="BD52" s="15">
        <f t="shared" si="4"/>
        <v>48.93617021</v>
      </c>
      <c r="BE52" s="15">
        <f t="shared" si="4"/>
        <v>42.55319149</v>
      </c>
      <c r="BF52" s="15">
        <f t="shared" si="4"/>
        <v>48.93617021</v>
      </c>
      <c r="BG52" s="15">
        <f t="shared" si="4"/>
        <v>44.68085106</v>
      </c>
      <c r="BH52" s="15">
        <f t="shared" si="4"/>
        <v>38.29787234</v>
      </c>
      <c r="BI52" s="15">
        <f t="shared" si="4"/>
        <v>44.68085106</v>
      </c>
      <c r="BJ52" s="15">
        <f t="shared" si="4"/>
        <v>48.93617021</v>
      </c>
      <c r="BK52" s="15">
        <f t="shared" si="4"/>
        <v>40.42553191</v>
      </c>
      <c r="BL52" s="15">
        <f t="shared" si="4"/>
        <v>40.42553191</v>
      </c>
      <c r="BM52" s="15">
        <f t="shared" si="4"/>
        <v>27.65957447</v>
      </c>
      <c r="BN52" s="15">
        <f t="shared" si="4"/>
        <v>42.55319149</v>
      </c>
      <c r="BO52" s="15">
        <f t="shared" si="4"/>
        <v>42.55319149</v>
      </c>
      <c r="BP52" s="15">
        <f t="shared" si="4"/>
        <v>31.91489362</v>
      </c>
      <c r="BQ52" s="15">
        <f t="shared" si="4"/>
        <v>40.42553191</v>
      </c>
      <c r="BR52" s="15">
        <f t="shared" si="4"/>
        <v>12.76595745</v>
      </c>
      <c r="BS52" s="15">
        <f t="shared" si="4"/>
        <v>27.65957447</v>
      </c>
      <c r="BT52" s="15">
        <f t="shared" si="4"/>
        <v>12.76595745</v>
      </c>
      <c r="BU52" s="15">
        <f t="shared" si="4"/>
        <v>14.89361702</v>
      </c>
      <c r="BV52" s="15">
        <f t="shared" si="4"/>
        <v>46.80851064</v>
      </c>
      <c r="BW52" s="15">
        <f t="shared" si="4"/>
        <v>42.55319149</v>
      </c>
      <c r="BX52" s="15">
        <f t="shared" si="4"/>
        <v>48.93617021</v>
      </c>
      <c r="BY52" s="15">
        <f t="shared" si="4"/>
        <v>44.68085106</v>
      </c>
      <c r="BZ52" s="15">
        <f t="shared" si="4"/>
        <v>40.42553191</v>
      </c>
      <c r="CA52" s="15">
        <f t="shared" si="4"/>
        <v>44.68085106</v>
      </c>
      <c r="CB52" s="15">
        <f t="shared" si="4"/>
        <v>46.80851064</v>
      </c>
      <c r="CC52" s="15">
        <f t="shared" si="4"/>
        <v>46.80851064</v>
      </c>
      <c r="CD52" s="15">
        <f t="shared" si="4"/>
        <v>29.78723404</v>
      </c>
      <c r="CE52" s="15">
        <f t="shared" si="4"/>
        <v>48.93617021</v>
      </c>
      <c r="CF52" s="15">
        <f t="shared" si="4"/>
        <v>48.93617021</v>
      </c>
      <c r="CG52" s="15">
        <f t="shared" si="4"/>
        <v>46.80851064</v>
      </c>
      <c r="CH52" s="15">
        <f t="shared" si="4"/>
        <v>38.29787234</v>
      </c>
      <c r="CI52" s="15">
        <f t="shared" si="4"/>
        <v>48.93617021</v>
      </c>
      <c r="CJ52" s="15">
        <f t="shared" si="4"/>
        <v>44.68085106</v>
      </c>
      <c r="CK52" s="15">
        <f t="shared" si="4"/>
        <v>44.68085106</v>
      </c>
      <c r="CL52" s="15">
        <f t="shared" si="4"/>
        <v>42.55319149</v>
      </c>
      <c r="CM52" s="15">
        <f t="shared" si="4"/>
        <v>44.68085106</v>
      </c>
      <c r="CN52" s="15">
        <f t="shared" si="4"/>
        <v>31.91489362</v>
      </c>
      <c r="CO52" s="15">
        <f t="shared" si="4"/>
        <v>34.04255319</v>
      </c>
      <c r="CP52" s="15">
        <f t="shared" si="4"/>
        <v>17.0212766</v>
      </c>
      <c r="CQ52" s="15">
        <f t="shared" si="4"/>
        <v>10.63829787</v>
      </c>
      <c r="CR52" s="15">
        <f t="shared" si="4"/>
        <v>0</v>
      </c>
      <c r="CS52" s="15">
        <f t="shared" si="4"/>
        <v>10.63829787</v>
      </c>
      <c r="CT52" s="15">
        <f t="shared" si="4"/>
        <v>38.29787234</v>
      </c>
      <c r="CU52" s="15">
        <f t="shared" si="4"/>
        <v>38.29787234</v>
      </c>
      <c r="CV52" s="15">
        <f t="shared" si="4"/>
        <v>25.53191489</v>
      </c>
      <c r="CW52" s="15">
        <f t="shared" si="4"/>
        <v>44.68085106</v>
      </c>
      <c r="CX52" s="15">
        <f t="shared" si="4"/>
        <v>48.93617021</v>
      </c>
      <c r="CY52" s="15">
        <f t="shared" si="4"/>
        <v>36.17021277</v>
      </c>
      <c r="CZ52" s="15">
        <f t="shared" si="4"/>
        <v>40.42553191</v>
      </c>
      <c r="DA52" s="15">
        <f t="shared" si="4"/>
        <v>48.93617021</v>
      </c>
      <c r="DB52" s="15">
        <f t="shared" si="4"/>
        <v>46.80851064</v>
      </c>
      <c r="DC52" s="15">
        <f t="shared" si="4"/>
        <v>29.78723404</v>
      </c>
      <c r="DD52" s="15">
        <f t="shared" si="4"/>
        <v>25.53191489</v>
      </c>
      <c r="DE52" s="15">
        <f t="shared" si="4"/>
        <v>44.68085106</v>
      </c>
      <c r="DF52" s="15">
        <f t="shared" si="4"/>
        <v>46.80851064</v>
      </c>
      <c r="DG52" s="15">
        <f t="shared" si="4"/>
        <v>34.04255319</v>
      </c>
      <c r="DH52" s="15">
        <f t="shared" si="4"/>
        <v>36.17021277</v>
      </c>
      <c r="DI52" s="15">
        <f t="shared" si="4"/>
        <v>40.42553191</v>
      </c>
      <c r="DJ52" s="15">
        <f t="shared" si="4"/>
        <v>44.68085106</v>
      </c>
      <c r="DK52" s="15">
        <f t="shared" si="4"/>
        <v>44.68085106</v>
      </c>
      <c r="DL52" s="15">
        <f t="shared" si="4"/>
        <v>40.42553191</v>
      </c>
      <c r="DM52" s="15">
        <f t="shared" si="4"/>
        <v>31.91489362</v>
      </c>
      <c r="DN52" s="15">
        <f t="shared" si="4"/>
        <v>19.14893617</v>
      </c>
      <c r="DO52" s="16">
        <f t="shared" si="4"/>
        <v>19.14893617</v>
      </c>
      <c r="DP52" s="15"/>
    </row>
    <row r="53">
      <c r="A53" s="6" t="s">
        <v>302</v>
      </c>
      <c r="B53" s="17"/>
      <c r="C53" s="18"/>
      <c r="D53" s="19"/>
      <c r="E53" s="18">
        <f t="shared" ref="E53:DO53" si="5">LET(scores,E$5:E$51,100*COUNTIF(scores,"B")/47)</f>
        <v>14.89361702</v>
      </c>
      <c r="F53" s="18">
        <f t="shared" si="5"/>
        <v>14.89361702</v>
      </c>
      <c r="G53" s="18">
        <f t="shared" si="5"/>
        <v>29.78723404</v>
      </c>
      <c r="H53" s="18">
        <f t="shared" si="5"/>
        <v>21.27659574</v>
      </c>
      <c r="I53" s="18">
        <f t="shared" si="5"/>
        <v>38.29787234</v>
      </c>
      <c r="J53" s="18">
        <f t="shared" si="5"/>
        <v>48.93617021</v>
      </c>
      <c r="K53" s="18">
        <f t="shared" si="5"/>
        <v>31.91489362</v>
      </c>
      <c r="L53" s="18">
        <f t="shared" si="5"/>
        <v>46.80851064</v>
      </c>
      <c r="M53" s="18">
        <f t="shared" si="5"/>
        <v>31.91489362</v>
      </c>
      <c r="N53" s="18">
        <f t="shared" si="5"/>
        <v>40.42553191</v>
      </c>
      <c r="O53" s="18">
        <f t="shared" si="5"/>
        <v>12.76595745</v>
      </c>
      <c r="P53" s="18">
        <f t="shared" si="5"/>
        <v>44.68085106</v>
      </c>
      <c r="Q53" s="18">
        <f t="shared" si="5"/>
        <v>14.89361702</v>
      </c>
      <c r="R53" s="18">
        <f t="shared" si="5"/>
        <v>42.55319149</v>
      </c>
      <c r="S53" s="18">
        <f t="shared" si="5"/>
        <v>42.55319149</v>
      </c>
      <c r="T53" s="18">
        <f t="shared" si="5"/>
        <v>29.78723404</v>
      </c>
      <c r="U53" s="18">
        <f t="shared" si="5"/>
        <v>19.14893617</v>
      </c>
      <c r="V53" s="18">
        <f t="shared" si="5"/>
        <v>25.53191489</v>
      </c>
      <c r="W53" s="18">
        <f t="shared" si="5"/>
        <v>2.127659574</v>
      </c>
      <c r="X53" s="18">
        <f t="shared" si="5"/>
        <v>31.91489362</v>
      </c>
      <c r="Y53" s="18">
        <f t="shared" si="5"/>
        <v>27.65957447</v>
      </c>
      <c r="Z53" s="18">
        <f t="shared" si="5"/>
        <v>29.78723404</v>
      </c>
      <c r="AA53" s="18">
        <f t="shared" si="5"/>
        <v>6.382978723</v>
      </c>
      <c r="AB53" s="18">
        <f t="shared" si="5"/>
        <v>38.29787234</v>
      </c>
      <c r="AC53" s="18">
        <f t="shared" si="5"/>
        <v>36.17021277</v>
      </c>
      <c r="AD53" s="18">
        <f t="shared" si="5"/>
        <v>29.78723404</v>
      </c>
      <c r="AE53" s="18">
        <f t="shared" si="5"/>
        <v>10.63829787</v>
      </c>
      <c r="AF53" s="18">
        <f t="shared" si="5"/>
        <v>46.80851064</v>
      </c>
      <c r="AG53" s="18">
        <f t="shared" si="5"/>
        <v>42.55319149</v>
      </c>
      <c r="AH53" s="18">
        <f t="shared" si="5"/>
        <v>42.55319149</v>
      </c>
      <c r="AI53" s="18">
        <f t="shared" si="5"/>
        <v>42.55319149</v>
      </c>
      <c r="AJ53" s="18">
        <f t="shared" si="5"/>
        <v>31.91489362</v>
      </c>
      <c r="AK53" s="18">
        <f t="shared" si="5"/>
        <v>25.53191489</v>
      </c>
      <c r="AL53" s="18">
        <f t="shared" si="5"/>
        <v>0</v>
      </c>
      <c r="AM53" s="18">
        <f t="shared" si="5"/>
        <v>36.17021277</v>
      </c>
      <c r="AN53" s="18">
        <f t="shared" si="5"/>
        <v>38.29787234</v>
      </c>
      <c r="AO53" s="18">
        <f t="shared" si="5"/>
        <v>19.14893617</v>
      </c>
      <c r="AP53" s="18">
        <f t="shared" si="5"/>
        <v>2.127659574</v>
      </c>
      <c r="AQ53" s="18">
        <f t="shared" si="5"/>
        <v>36.17021277</v>
      </c>
      <c r="AR53" s="18">
        <f t="shared" si="5"/>
        <v>29.78723404</v>
      </c>
      <c r="AS53" s="18">
        <f t="shared" si="5"/>
        <v>21.27659574</v>
      </c>
      <c r="AT53" s="18">
        <f t="shared" si="5"/>
        <v>29.78723404</v>
      </c>
      <c r="AU53" s="18">
        <f t="shared" si="5"/>
        <v>23.40425532</v>
      </c>
      <c r="AV53" s="18">
        <f t="shared" si="5"/>
        <v>2.127659574</v>
      </c>
      <c r="AW53" s="18">
        <f t="shared" si="5"/>
        <v>10.63829787</v>
      </c>
      <c r="AX53" s="18">
        <f t="shared" si="5"/>
        <v>8.510638298</v>
      </c>
      <c r="AY53" s="18">
        <f t="shared" si="5"/>
        <v>14.89361702</v>
      </c>
      <c r="AZ53" s="18">
        <f t="shared" si="5"/>
        <v>38.29787234</v>
      </c>
      <c r="BA53" s="18">
        <f t="shared" si="5"/>
        <v>34.04255319</v>
      </c>
      <c r="BB53" s="18">
        <f t="shared" si="5"/>
        <v>27.65957447</v>
      </c>
      <c r="BC53" s="18">
        <f t="shared" si="5"/>
        <v>19.14893617</v>
      </c>
      <c r="BD53" s="18">
        <f t="shared" si="5"/>
        <v>36.17021277</v>
      </c>
      <c r="BE53" s="18">
        <f t="shared" si="5"/>
        <v>25.53191489</v>
      </c>
      <c r="BF53" s="18">
        <f t="shared" si="5"/>
        <v>40.42553191</v>
      </c>
      <c r="BG53" s="18">
        <f t="shared" si="5"/>
        <v>23.40425532</v>
      </c>
      <c r="BH53" s="18">
        <f t="shared" si="5"/>
        <v>6.382978723</v>
      </c>
      <c r="BI53" s="18">
        <f t="shared" si="5"/>
        <v>42.55319149</v>
      </c>
      <c r="BJ53" s="18">
        <f t="shared" si="5"/>
        <v>38.29787234</v>
      </c>
      <c r="BK53" s="18">
        <f t="shared" si="5"/>
        <v>31.91489362</v>
      </c>
      <c r="BL53" s="18">
        <f t="shared" si="5"/>
        <v>4.255319149</v>
      </c>
      <c r="BM53" s="18">
        <f t="shared" si="5"/>
        <v>14.89361702</v>
      </c>
      <c r="BN53" s="18">
        <f t="shared" si="5"/>
        <v>23.40425532</v>
      </c>
      <c r="BO53" s="18">
        <f t="shared" si="5"/>
        <v>14.89361702</v>
      </c>
      <c r="BP53" s="18">
        <f t="shared" si="5"/>
        <v>31.91489362</v>
      </c>
      <c r="BQ53" s="18">
        <f t="shared" si="5"/>
        <v>34.04255319</v>
      </c>
      <c r="BR53" s="18">
        <f t="shared" si="5"/>
        <v>8.510638298</v>
      </c>
      <c r="BS53" s="18">
        <f t="shared" si="5"/>
        <v>21.27659574</v>
      </c>
      <c r="BT53" s="18">
        <f t="shared" si="5"/>
        <v>12.76595745</v>
      </c>
      <c r="BU53" s="18">
        <f t="shared" si="5"/>
        <v>14.89361702</v>
      </c>
      <c r="BV53" s="18">
        <f t="shared" si="5"/>
        <v>31.91489362</v>
      </c>
      <c r="BW53" s="18">
        <f t="shared" si="5"/>
        <v>8.510638298</v>
      </c>
      <c r="BX53" s="18">
        <f t="shared" si="5"/>
        <v>10.63829787</v>
      </c>
      <c r="BY53" s="18">
        <f t="shared" si="5"/>
        <v>29.78723404</v>
      </c>
      <c r="BZ53" s="18">
        <f t="shared" si="5"/>
        <v>31.91489362</v>
      </c>
      <c r="CA53" s="18">
        <f t="shared" si="5"/>
        <v>36.17021277</v>
      </c>
      <c r="CB53" s="18">
        <f t="shared" si="5"/>
        <v>38.29787234</v>
      </c>
      <c r="CC53" s="18">
        <f t="shared" si="5"/>
        <v>21.27659574</v>
      </c>
      <c r="CD53" s="18">
        <f t="shared" si="5"/>
        <v>10.63829787</v>
      </c>
      <c r="CE53" s="18">
        <f t="shared" si="5"/>
        <v>21.27659574</v>
      </c>
      <c r="CF53" s="18">
        <f t="shared" si="5"/>
        <v>38.29787234</v>
      </c>
      <c r="CG53" s="18">
        <f t="shared" si="5"/>
        <v>31.91489362</v>
      </c>
      <c r="CH53" s="18">
        <f t="shared" si="5"/>
        <v>21.27659574</v>
      </c>
      <c r="CI53" s="18">
        <f t="shared" si="5"/>
        <v>31.91489362</v>
      </c>
      <c r="CJ53" s="18">
        <f t="shared" si="5"/>
        <v>21.27659574</v>
      </c>
      <c r="CK53" s="18">
        <f t="shared" si="5"/>
        <v>8.510638298</v>
      </c>
      <c r="CL53" s="18">
        <f t="shared" si="5"/>
        <v>21.27659574</v>
      </c>
      <c r="CM53" s="18">
        <f t="shared" si="5"/>
        <v>23.40425532</v>
      </c>
      <c r="CN53" s="18">
        <f t="shared" si="5"/>
        <v>12.76595745</v>
      </c>
      <c r="CO53" s="18">
        <f t="shared" si="5"/>
        <v>19.14893617</v>
      </c>
      <c r="CP53" s="18">
        <f t="shared" si="5"/>
        <v>2.127659574</v>
      </c>
      <c r="CQ53" s="18">
        <f t="shared" si="5"/>
        <v>8.510638298</v>
      </c>
      <c r="CR53" s="18">
        <f t="shared" si="5"/>
        <v>0</v>
      </c>
      <c r="CS53" s="18">
        <f t="shared" si="5"/>
        <v>10.63829787</v>
      </c>
      <c r="CT53" s="18">
        <f t="shared" si="5"/>
        <v>27.65957447</v>
      </c>
      <c r="CU53" s="18">
        <f t="shared" si="5"/>
        <v>25.53191489</v>
      </c>
      <c r="CV53" s="18">
        <f t="shared" si="5"/>
        <v>17.0212766</v>
      </c>
      <c r="CW53" s="18">
        <f t="shared" si="5"/>
        <v>27.65957447</v>
      </c>
      <c r="CX53" s="18">
        <f t="shared" si="5"/>
        <v>40.42553191</v>
      </c>
      <c r="CY53" s="18">
        <f t="shared" si="5"/>
        <v>21.27659574</v>
      </c>
      <c r="CZ53" s="18">
        <f t="shared" si="5"/>
        <v>6.382978723</v>
      </c>
      <c r="DA53" s="18">
        <f t="shared" si="5"/>
        <v>23.40425532</v>
      </c>
      <c r="DB53" s="18">
        <f t="shared" si="5"/>
        <v>25.53191489</v>
      </c>
      <c r="DC53" s="18">
        <f t="shared" si="5"/>
        <v>14.89361702</v>
      </c>
      <c r="DD53" s="18">
        <f t="shared" si="5"/>
        <v>23.40425532</v>
      </c>
      <c r="DE53" s="18">
        <f t="shared" si="5"/>
        <v>25.53191489</v>
      </c>
      <c r="DF53" s="18">
        <f t="shared" si="5"/>
        <v>23.40425532</v>
      </c>
      <c r="DG53" s="18">
        <f t="shared" si="5"/>
        <v>21.27659574</v>
      </c>
      <c r="DH53" s="18">
        <f t="shared" si="5"/>
        <v>17.0212766</v>
      </c>
      <c r="DI53" s="18">
        <f t="shared" si="5"/>
        <v>17.0212766</v>
      </c>
      <c r="DJ53" s="18">
        <f t="shared" si="5"/>
        <v>42.55319149</v>
      </c>
      <c r="DK53" s="18">
        <f t="shared" si="5"/>
        <v>27.65957447</v>
      </c>
      <c r="DL53" s="18">
        <f t="shared" si="5"/>
        <v>17.0212766</v>
      </c>
      <c r="DM53" s="18">
        <f t="shared" si="5"/>
        <v>25.53191489</v>
      </c>
      <c r="DN53" s="18">
        <f t="shared" si="5"/>
        <v>14.89361702</v>
      </c>
      <c r="DO53" s="19">
        <f t="shared" si="5"/>
        <v>8.510638298</v>
      </c>
      <c r="DP53" s="18"/>
    </row>
    <row r="54">
      <c r="A54" s="6" t="s">
        <v>303</v>
      </c>
      <c r="B54" s="17"/>
      <c r="C54" s="18"/>
      <c r="D54" s="19"/>
      <c r="E54" s="18">
        <f t="shared" ref="E54:DO54" si="6">LET(scores,E$5:E$51,100*COUNTIF(scores,"TU")/47)</f>
        <v>27.65957447</v>
      </c>
      <c r="F54" s="18">
        <f t="shared" si="6"/>
        <v>12.76595745</v>
      </c>
      <c r="G54" s="18">
        <f t="shared" si="6"/>
        <v>19.14893617</v>
      </c>
      <c r="H54" s="18">
        <f t="shared" si="6"/>
        <v>25.53191489</v>
      </c>
      <c r="I54" s="18">
        <f t="shared" si="6"/>
        <v>6.382978723</v>
      </c>
      <c r="J54" s="18">
        <f t="shared" si="6"/>
        <v>0</v>
      </c>
      <c r="K54" s="18">
        <f t="shared" si="6"/>
        <v>14.89361702</v>
      </c>
      <c r="L54" s="18">
        <f t="shared" si="6"/>
        <v>0</v>
      </c>
      <c r="M54" s="18">
        <f t="shared" si="6"/>
        <v>6.382978723</v>
      </c>
      <c r="N54" s="18">
        <f t="shared" si="6"/>
        <v>2.127659574</v>
      </c>
      <c r="O54" s="18">
        <f t="shared" si="6"/>
        <v>0</v>
      </c>
      <c r="P54" s="18">
        <f t="shared" si="6"/>
        <v>2.127659574</v>
      </c>
      <c r="Q54" s="18">
        <f t="shared" si="6"/>
        <v>8.510638298</v>
      </c>
      <c r="R54" s="18">
        <f t="shared" si="6"/>
        <v>4.255319149</v>
      </c>
      <c r="S54" s="18">
        <f t="shared" si="6"/>
        <v>6.382978723</v>
      </c>
      <c r="T54" s="18">
        <f t="shared" si="6"/>
        <v>17.0212766</v>
      </c>
      <c r="U54" s="18">
        <f t="shared" si="6"/>
        <v>21.27659574</v>
      </c>
      <c r="V54" s="18">
        <f t="shared" si="6"/>
        <v>14.89361702</v>
      </c>
      <c r="W54" s="18">
        <f t="shared" si="6"/>
        <v>10.63829787</v>
      </c>
      <c r="X54" s="18">
        <f t="shared" si="6"/>
        <v>8.510638298</v>
      </c>
      <c r="Y54" s="18">
        <f t="shared" si="6"/>
        <v>10.63829787</v>
      </c>
      <c r="Z54" s="18">
        <f t="shared" si="6"/>
        <v>0</v>
      </c>
      <c r="AA54" s="18">
        <f t="shared" si="6"/>
        <v>14.89361702</v>
      </c>
      <c r="AB54" s="18">
        <f t="shared" si="6"/>
        <v>10.63829787</v>
      </c>
      <c r="AC54" s="18">
        <f t="shared" si="6"/>
        <v>6.382978723</v>
      </c>
      <c r="AD54" s="18">
        <f t="shared" si="6"/>
        <v>19.14893617</v>
      </c>
      <c r="AE54" s="18">
        <f t="shared" si="6"/>
        <v>17.0212766</v>
      </c>
      <c r="AF54" s="18">
        <f t="shared" si="6"/>
        <v>2.127659574</v>
      </c>
      <c r="AG54" s="18">
        <f t="shared" si="6"/>
        <v>4.255319149</v>
      </c>
      <c r="AH54" s="18">
        <f t="shared" si="6"/>
        <v>4.255319149</v>
      </c>
      <c r="AI54" s="18">
        <f t="shared" si="6"/>
        <v>2.127659574</v>
      </c>
      <c r="AJ54" s="18">
        <f t="shared" si="6"/>
        <v>8.510638298</v>
      </c>
      <c r="AK54" s="18">
        <f t="shared" si="6"/>
        <v>8.510638298</v>
      </c>
      <c r="AL54" s="18">
        <f t="shared" si="6"/>
        <v>46.80851064</v>
      </c>
      <c r="AM54" s="18">
        <f t="shared" si="6"/>
        <v>8.510638298</v>
      </c>
      <c r="AN54" s="18">
        <f t="shared" si="6"/>
        <v>2.127659574</v>
      </c>
      <c r="AO54" s="18">
        <f t="shared" si="6"/>
        <v>25.53191489</v>
      </c>
      <c r="AP54" s="18">
        <f t="shared" si="6"/>
        <v>17.0212766</v>
      </c>
      <c r="AQ54" s="18">
        <f t="shared" si="6"/>
        <v>8.510638298</v>
      </c>
      <c r="AR54" s="18">
        <f t="shared" si="6"/>
        <v>12.76595745</v>
      </c>
      <c r="AS54" s="18">
        <f t="shared" si="6"/>
        <v>19.14893617</v>
      </c>
      <c r="AT54" s="18">
        <f t="shared" si="6"/>
        <v>10.63829787</v>
      </c>
      <c r="AU54" s="18">
        <f t="shared" si="6"/>
        <v>4.255319149</v>
      </c>
      <c r="AV54" s="18">
        <f t="shared" si="6"/>
        <v>34.04255319</v>
      </c>
      <c r="AW54" s="18">
        <f t="shared" si="6"/>
        <v>2.127659574</v>
      </c>
      <c r="AX54" s="18">
        <f t="shared" si="6"/>
        <v>23.40425532</v>
      </c>
      <c r="AY54" s="18">
        <f t="shared" si="6"/>
        <v>14.89361702</v>
      </c>
      <c r="AZ54" s="18">
        <f t="shared" si="6"/>
        <v>6.382978723</v>
      </c>
      <c r="BA54" s="18">
        <f t="shared" si="6"/>
        <v>10.63829787</v>
      </c>
      <c r="BB54" s="18">
        <f t="shared" si="6"/>
        <v>19.14893617</v>
      </c>
      <c r="BC54" s="18">
        <f t="shared" si="6"/>
        <v>17.0212766</v>
      </c>
      <c r="BD54" s="18">
        <f t="shared" si="6"/>
        <v>12.76595745</v>
      </c>
      <c r="BE54" s="18">
        <f t="shared" si="6"/>
        <v>17.0212766</v>
      </c>
      <c r="BF54" s="18">
        <f t="shared" si="6"/>
        <v>8.510638298</v>
      </c>
      <c r="BG54" s="18">
        <f t="shared" si="6"/>
        <v>21.27659574</v>
      </c>
      <c r="BH54" s="18">
        <f t="shared" si="6"/>
        <v>31.91489362</v>
      </c>
      <c r="BI54" s="18">
        <f t="shared" si="6"/>
        <v>2.127659574</v>
      </c>
      <c r="BJ54" s="18">
        <f t="shared" si="6"/>
        <v>10.63829787</v>
      </c>
      <c r="BK54" s="18">
        <f t="shared" si="6"/>
        <v>8.510638298</v>
      </c>
      <c r="BL54" s="18">
        <f t="shared" si="6"/>
        <v>36.17021277</v>
      </c>
      <c r="BM54" s="18">
        <f t="shared" si="6"/>
        <v>12.76595745</v>
      </c>
      <c r="BN54" s="18">
        <f t="shared" si="6"/>
        <v>19.14893617</v>
      </c>
      <c r="BO54" s="18">
        <f t="shared" si="6"/>
        <v>27.65957447</v>
      </c>
      <c r="BP54" s="18">
        <f t="shared" si="6"/>
        <v>0</v>
      </c>
      <c r="BQ54" s="18">
        <f t="shared" si="6"/>
        <v>6.382978723</v>
      </c>
      <c r="BR54" s="18">
        <f t="shared" si="6"/>
        <v>4.255319149</v>
      </c>
      <c r="BS54" s="18">
        <f t="shared" si="6"/>
        <v>6.382978723</v>
      </c>
      <c r="BT54" s="18">
        <f t="shared" si="6"/>
        <v>0</v>
      </c>
      <c r="BU54" s="18">
        <f t="shared" si="6"/>
        <v>0</v>
      </c>
      <c r="BV54" s="18">
        <f t="shared" si="6"/>
        <v>14.89361702</v>
      </c>
      <c r="BW54" s="18">
        <f t="shared" si="6"/>
        <v>34.04255319</v>
      </c>
      <c r="BX54" s="18">
        <f t="shared" si="6"/>
        <v>38.29787234</v>
      </c>
      <c r="BY54" s="18">
        <f t="shared" si="6"/>
        <v>14.89361702</v>
      </c>
      <c r="BZ54" s="18">
        <f t="shared" si="6"/>
        <v>8.510638298</v>
      </c>
      <c r="CA54" s="18">
        <f t="shared" si="6"/>
        <v>8.510638298</v>
      </c>
      <c r="CB54" s="18">
        <f t="shared" si="6"/>
        <v>8.510638298</v>
      </c>
      <c r="CC54" s="18">
        <f t="shared" si="6"/>
        <v>25.53191489</v>
      </c>
      <c r="CD54" s="18">
        <f t="shared" si="6"/>
        <v>19.14893617</v>
      </c>
      <c r="CE54" s="18">
        <f t="shared" si="6"/>
        <v>27.65957447</v>
      </c>
      <c r="CF54" s="18">
        <f t="shared" si="6"/>
        <v>10.63829787</v>
      </c>
      <c r="CG54" s="18">
        <f t="shared" si="6"/>
        <v>14.89361702</v>
      </c>
      <c r="CH54" s="18">
        <f t="shared" si="6"/>
        <v>17.0212766</v>
      </c>
      <c r="CI54" s="18">
        <f t="shared" si="6"/>
        <v>17.0212766</v>
      </c>
      <c r="CJ54" s="18">
        <f t="shared" si="6"/>
        <v>23.40425532</v>
      </c>
      <c r="CK54" s="18">
        <f t="shared" si="6"/>
        <v>36.17021277</v>
      </c>
      <c r="CL54" s="18">
        <f t="shared" si="6"/>
        <v>21.27659574</v>
      </c>
      <c r="CM54" s="18">
        <f t="shared" si="6"/>
        <v>21.27659574</v>
      </c>
      <c r="CN54" s="18">
        <f t="shared" si="6"/>
        <v>19.14893617</v>
      </c>
      <c r="CO54" s="18">
        <f t="shared" si="6"/>
        <v>14.89361702</v>
      </c>
      <c r="CP54" s="18">
        <f t="shared" si="6"/>
        <v>14.89361702</v>
      </c>
      <c r="CQ54" s="18">
        <f t="shared" si="6"/>
        <v>2.127659574</v>
      </c>
      <c r="CR54" s="18">
        <f t="shared" si="6"/>
        <v>0</v>
      </c>
      <c r="CS54" s="18">
        <f t="shared" si="6"/>
        <v>0</v>
      </c>
      <c r="CT54" s="18">
        <f t="shared" si="6"/>
        <v>10.63829787</v>
      </c>
      <c r="CU54" s="18">
        <f t="shared" si="6"/>
        <v>12.76595745</v>
      </c>
      <c r="CV54" s="18">
        <f t="shared" si="6"/>
        <v>8.510638298</v>
      </c>
      <c r="CW54" s="18">
        <f t="shared" si="6"/>
        <v>17.0212766</v>
      </c>
      <c r="CX54" s="18">
        <f t="shared" si="6"/>
        <v>8.510638298</v>
      </c>
      <c r="CY54" s="18">
        <f t="shared" si="6"/>
        <v>14.89361702</v>
      </c>
      <c r="CZ54" s="18">
        <f t="shared" si="6"/>
        <v>34.04255319</v>
      </c>
      <c r="DA54" s="18">
        <f t="shared" si="6"/>
        <v>25.53191489</v>
      </c>
      <c r="DB54" s="18">
        <f t="shared" si="6"/>
        <v>21.27659574</v>
      </c>
      <c r="DC54" s="18">
        <f t="shared" si="6"/>
        <v>14.89361702</v>
      </c>
      <c r="DD54" s="18">
        <f t="shared" si="6"/>
        <v>2.127659574</v>
      </c>
      <c r="DE54" s="18">
        <f t="shared" si="6"/>
        <v>19.14893617</v>
      </c>
      <c r="DF54" s="18">
        <f t="shared" si="6"/>
        <v>23.40425532</v>
      </c>
      <c r="DG54" s="18">
        <f t="shared" si="6"/>
        <v>12.76595745</v>
      </c>
      <c r="DH54" s="18">
        <f t="shared" si="6"/>
        <v>19.14893617</v>
      </c>
      <c r="DI54" s="18">
        <f t="shared" si="6"/>
        <v>23.40425532</v>
      </c>
      <c r="DJ54" s="18">
        <f t="shared" si="6"/>
        <v>2.127659574</v>
      </c>
      <c r="DK54" s="18">
        <f t="shared" si="6"/>
        <v>17.0212766</v>
      </c>
      <c r="DL54" s="18">
        <f t="shared" si="6"/>
        <v>23.40425532</v>
      </c>
      <c r="DM54" s="18">
        <f t="shared" si="6"/>
        <v>6.382978723</v>
      </c>
      <c r="DN54" s="18">
        <f t="shared" si="6"/>
        <v>4.255319149</v>
      </c>
      <c r="DO54" s="19">
        <f t="shared" si="6"/>
        <v>10.63829787</v>
      </c>
      <c r="DP54" s="18"/>
    </row>
    <row r="55">
      <c r="A55" s="20" t="s">
        <v>304</v>
      </c>
      <c r="B55" s="17"/>
      <c r="C55" s="18"/>
      <c r="D55" s="19"/>
      <c r="E55" s="21">
        <f t="shared" ref="E55:DO55" si="7">LET(scores,E$5:E$51,100*COUNTIF(scores,"P")/47)</f>
        <v>6.382978723</v>
      </c>
      <c r="F55" s="21">
        <f t="shared" si="7"/>
        <v>21.27659574</v>
      </c>
      <c r="G55" s="21">
        <f t="shared" si="7"/>
        <v>0</v>
      </c>
      <c r="H55" s="21">
        <f t="shared" si="7"/>
        <v>4.255319149</v>
      </c>
      <c r="I55" s="21">
        <f t="shared" si="7"/>
        <v>6.382978723</v>
      </c>
      <c r="J55" s="21">
        <f t="shared" si="7"/>
        <v>6.382978723</v>
      </c>
      <c r="K55" s="21">
        <f t="shared" si="7"/>
        <v>6.382978723</v>
      </c>
      <c r="L55" s="21">
        <f t="shared" si="7"/>
        <v>4.255319149</v>
      </c>
      <c r="M55" s="21">
        <f t="shared" si="7"/>
        <v>0</v>
      </c>
      <c r="N55" s="21">
        <f t="shared" si="7"/>
        <v>6.382978723</v>
      </c>
      <c r="O55" s="21">
        <f t="shared" si="7"/>
        <v>6.382978723</v>
      </c>
      <c r="P55" s="21">
        <f t="shared" si="7"/>
        <v>0</v>
      </c>
      <c r="Q55" s="21">
        <f t="shared" si="7"/>
        <v>23.40425532</v>
      </c>
      <c r="R55" s="21">
        <f t="shared" si="7"/>
        <v>2.127659574</v>
      </c>
      <c r="S55" s="21">
        <f t="shared" si="7"/>
        <v>8.510638298</v>
      </c>
      <c r="T55" s="21">
        <f t="shared" si="7"/>
        <v>0</v>
      </c>
      <c r="U55" s="21">
        <f t="shared" si="7"/>
        <v>17.0212766</v>
      </c>
      <c r="V55" s="21">
        <f t="shared" si="7"/>
        <v>10.63829787</v>
      </c>
      <c r="W55" s="21">
        <f t="shared" si="7"/>
        <v>0</v>
      </c>
      <c r="X55" s="21">
        <f t="shared" si="7"/>
        <v>0</v>
      </c>
      <c r="Y55" s="21">
        <f t="shared" si="7"/>
        <v>10.63829787</v>
      </c>
      <c r="Z55" s="21">
        <f t="shared" si="7"/>
        <v>0</v>
      </c>
      <c r="AA55" s="21">
        <f t="shared" si="7"/>
        <v>0</v>
      </c>
      <c r="AB55" s="21">
        <f t="shared" si="7"/>
        <v>8.510638298</v>
      </c>
      <c r="AC55" s="21">
        <f t="shared" si="7"/>
        <v>23.40425532</v>
      </c>
      <c r="AD55" s="21">
        <f t="shared" si="7"/>
        <v>0</v>
      </c>
      <c r="AE55" s="21">
        <f t="shared" si="7"/>
        <v>10.63829787</v>
      </c>
      <c r="AF55" s="21">
        <f t="shared" si="7"/>
        <v>6.382978723</v>
      </c>
      <c r="AG55" s="21">
        <f t="shared" si="7"/>
        <v>0</v>
      </c>
      <c r="AH55" s="21">
        <f t="shared" si="7"/>
        <v>2.127659574</v>
      </c>
      <c r="AI55" s="21">
        <f t="shared" si="7"/>
        <v>6.382978723</v>
      </c>
      <c r="AJ55" s="21">
        <f t="shared" si="7"/>
        <v>2.127659574</v>
      </c>
      <c r="AK55" s="21">
        <f t="shared" si="7"/>
        <v>14.89361702</v>
      </c>
      <c r="AL55" s="21">
        <f t="shared" si="7"/>
        <v>0</v>
      </c>
      <c r="AM55" s="21">
        <f t="shared" si="7"/>
        <v>10.63829787</v>
      </c>
      <c r="AN55" s="21">
        <f t="shared" si="7"/>
        <v>4.255319149</v>
      </c>
      <c r="AO55" s="21">
        <f t="shared" si="7"/>
        <v>6.382978723</v>
      </c>
      <c r="AP55" s="21">
        <f t="shared" si="7"/>
        <v>4.255319149</v>
      </c>
      <c r="AQ55" s="21">
        <f t="shared" si="7"/>
        <v>0</v>
      </c>
      <c r="AR55" s="21">
        <f t="shared" si="7"/>
        <v>4.255319149</v>
      </c>
      <c r="AS55" s="21">
        <f t="shared" si="7"/>
        <v>0</v>
      </c>
      <c r="AT55" s="21">
        <f t="shared" si="7"/>
        <v>2.127659574</v>
      </c>
      <c r="AU55" s="21">
        <f t="shared" si="7"/>
        <v>2.127659574</v>
      </c>
      <c r="AV55" s="21">
        <f t="shared" si="7"/>
        <v>0</v>
      </c>
      <c r="AW55" s="21">
        <f t="shared" si="7"/>
        <v>19.14893617</v>
      </c>
      <c r="AX55" s="21">
        <f t="shared" si="7"/>
        <v>2.127659574</v>
      </c>
      <c r="AY55" s="21">
        <f t="shared" si="7"/>
        <v>12.76595745</v>
      </c>
      <c r="AZ55" s="21">
        <f t="shared" si="7"/>
        <v>10.63829787</v>
      </c>
      <c r="BA55" s="21">
        <f t="shared" si="7"/>
        <v>0</v>
      </c>
      <c r="BB55" s="21">
        <f t="shared" si="7"/>
        <v>2.127659574</v>
      </c>
      <c r="BC55" s="21">
        <f t="shared" si="7"/>
        <v>4.255319149</v>
      </c>
      <c r="BD55" s="21">
        <f t="shared" si="7"/>
        <v>2.127659574</v>
      </c>
      <c r="BE55" s="21">
        <f t="shared" si="7"/>
        <v>6.382978723</v>
      </c>
      <c r="BF55" s="21">
        <f t="shared" si="7"/>
        <v>12.76595745</v>
      </c>
      <c r="BG55" s="21">
        <f t="shared" si="7"/>
        <v>8.510638298</v>
      </c>
      <c r="BH55" s="21">
        <f t="shared" si="7"/>
        <v>10.63829787</v>
      </c>
      <c r="BI55" s="21">
        <f t="shared" si="7"/>
        <v>8.510638298</v>
      </c>
      <c r="BJ55" s="21">
        <f t="shared" si="7"/>
        <v>4.255319149</v>
      </c>
      <c r="BK55" s="21">
        <f t="shared" si="7"/>
        <v>36.17021277</v>
      </c>
      <c r="BL55" s="21">
        <f t="shared" si="7"/>
        <v>19.14893617</v>
      </c>
      <c r="BM55" s="21">
        <f t="shared" si="7"/>
        <v>10.63829787</v>
      </c>
      <c r="BN55" s="21">
        <f t="shared" si="7"/>
        <v>10.63829787</v>
      </c>
      <c r="BO55" s="21">
        <f t="shared" si="7"/>
        <v>0</v>
      </c>
      <c r="BP55" s="21">
        <f t="shared" si="7"/>
        <v>8.510638298</v>
      </c>
      <c r="BQ55" s="21">
        <f t="shared" si="7"/>
        <v>4.255319149</v>
      </c>
      <c r="BR55" s="21">
        <f t="shared" si="7"/>
        <v>4.255319149</v>
      </c>
      <c r="BS55" s="21">
        <f t="shared" si="7"/>
        <v>17.0212766</v>
      </c>
      <c r="BT55" s="21">
        <f t="shared" si="7"/>
        <v>2.127659574</v>
      </c>
      <c r="BU55" s="21">
        <f t="shared" si="7"/>
        <v>0</v>
      </c>
      <c r="BV55" s="21">
        <f t="shared" si="7"/>
        <v>0</v>
      </c>
      <c r="BW55" s="21">
        <f t="shared" si="7"/>
        <v>17.0212766</v>
      </c>
      <c r="BX55" s="21">
        <f t="shared" si="7"/>
        <v>12.76595745</v>
      </c>
      <c r="BY55" s="21">
        <f t="shared" si="7"/>
        <v>6.382978723</v>
      </c>
      <c r="BZ55" s="21">
        <f t="shared" si="7"/>
        <v>2.127659574</v>
      </c>
      <c r="CA55" s="21">
        <f t="shared" si="7"/>
        <v>0</v>
      </c>
      <c r="CB55" s="21">
        <f t="shared" si="7"/>
        <v>6.382978723</v>
      </c>
      <c r="CC55" s="21">
        <f t="shared" si="7"/>
        <v>2.127659574</v>
      </c>
      <c r="CD55" s="21">
        <f t="shared" si="7"/>
        <v>4.255319149</v>
      </c>
      <c r="CE55" s="21">
        <f t="shared" si="7"/>
        <v>8.510638298</v>
      </c>
      <c r="CF55" s="21">
        <f t="shared" si="7"/>
        <v>12.76595745</v>
      </c>
      <c r="CG55" s="21">
        <f t="shared" si="7"/>
        <v>4.255319149</v>
      </c>
      <c r="CH55" s="21">
        <f t="shared" si="7"/>
        <v>10.63829787</v>
      </c>
      <c r="CI55" s="21">
        <f t="shared" si="7"/>
        <v>2.127659574</v>
      </c>
      <c r="CJ55" s="21">
        <f t="shared" si="7"/>
        <v>4.255319149</v>
      </c>
      <c r="CK55" s="21">
        <f t="shared" si="7"/>
        <v>0</v>
      </c>
      <c r="CL55" s="21">
        <f t="shared" si="7"/>
        <v>6.382978723</v>
      </c>
      <c r="CM55" s="21">
        <f t="shared" si="7"/>
        <v>4.255319149</v>
      </c>
      <c r="CN55" s="21">
        <f t="shared" si="7"/>
        <v>14.89361702</v>
      </c>
      <c r="CO55" s="21">
        <f t="shared" si="7"/>
        <v>12.76595745</v>
      </c>
      <c r="CP55" s="21">
        <f t="shared" si="7"/>
        <v>0</v>
      </c>
      <c r="CQ55" s="21">
        <f t="shared" si="7"/>
        <v>0</v>
      </c>
      <c r="CR55" s="21">
        <f t="shared" si="7"/>
        <v>0</v>
      </c>
      <c r="CS55" s="21">
        <f t="shared" si="7"/>
        <v>14.89361702</v>
      </c>
      <c r="CT55" s="21">
        <f t="shared" si="7"/>
        <v>17.0212766</v>
      </c>
      <c r="CU55" s="21">
        <f t="shared" si="7"/>
        <v>4.255319149</v>
      </c>
      <c r="CV55" s="21">
        <f t="shared" si="7"/>
        <v>6.382978723</v>
      </c>
      <c r="CW55" s="21">
        <f t="shared" si="7"/>
        <v>2.127659574</v>
      </c>
      <c r="CX55" s="21">
        <f t="shared" si="7"/>
        <v>0</v>
      </c>
      <c r="CY55" s="21">
        <f t="shared" si="7"/>
        <v>12.76595745</v>
      </c>
      <c r="CZ55" s="21">
        <f t="shared" si="7"/>
        <v>2.127659574</v>
      </c>
      <c r="DA55" s="21">
        <f t="shared" si="7"/>
        <v>8.510638298</v>
      </c>
      <c r="DB55" s="21">
        <f t="shared" si="7"/>
        <v>2.127659574</v>
      </c>
      <c r="DC55" s="21">
        <f t="shared" si="7"/>
        <v>27.65957447</v>
      </c>
      <c r="DD55" s="21">
        <f t="shared" si="7"/>
        <v>2.127659574</v>
      </c>
      <c r="DE55" s="21">
        <f t="shared" si="7"/>
        <v>6.382978723</v>
      </c>
      <c r="DF55" s="21">
        <f t="shared" si="7"/>
        <v>12.76595745</v>
      </c>
      <c r="DG55" s="21">
        <f t="shared" si="7"/>
        <v>8.510638298</v>
      </c>
      <c r="DH55" s="21">
        <f t="shared" si="7"/>
        <v>8.510638298</v>
      </c>
      <c r="DI55" s="21">
        <f t="shared" si="7"/>
        <v>0</v>
      </c>
      <c r="DJ55" s="21">
        <f t="shared" si="7"/>
        <v>17.0212766</v>
      </c>
      <c r="DK55" s="21">
        <f t="shared" si="7"/>
        <v>10.63829787</v>
      </c>
      <c r="DL55" s="21">
        <f t="shared" si="7"/>
        <v>0</v>
      </c>
      <c r="DM55" s="21">
        <f t="shared" si="7"/>
        <v>2.127659574</v>
      </c>
      <c r="DN55" s="21">
        <f t="shared" si="7"/>
        <v>0</v>
      </c>
      <c r="DO55" s="22">
        <f t="shared" si="7"/>
        <v>2.127659574</v>
      </c>
      <c r="DP55" s="21"/>
    </row>
    <row r="56">
      <c r="A56" s="13"/>
      <c r="B56" s="15" t="s">
        <v>305</v>
      </c>
      <c r="C56" s="23"/>
      <c r="D56" s="23"/>
      <c r="E56" s="23"/>
      <c r="F56" s="23"/>
      <c r="G56" s="23"/>
      <c r="H56" s="24" t="s">
        <v>306</v>
      </c>
      <c r="I56" s="23"/>
      <c r="J56" s="23"/>
      <c r="K56" s="23"/>
      <c r="L56" s="15" t="s">
        <v>307</v>
      </c>
      <c r="M56" s="23"/>
      <c r="N56" s="23"/>
      <c r="O56" s="23"/>
      <c r="P56" s="23"/>
      <c r="Q56" s="24" t="s">
        <v>308</v>
      </c>
      <c r="R56" s="23"/>
      <c r="S56" s="23"/>
      <c r="T56" s="23"/>
      <c r="U56" s="24" t="s">
        <v>309</v>
      </c>
      <c r="V56" s="23"/>
      <c r="W56" s="23"/>
      <c r="X56" s="23"/>
      <c r="Y56" s="23"/>
      <c r="Z56" s="23"/>
      <c r="AA56" s="23"/>
      <c r="AB56" s="23"/>
      <c r="AC56" s="25"/>
      <c r="AD56" s="26" t="s">
        <v>310</v>
      </c>
      <c r="AE56" s="23"/>
      <c r="AF56" s="23"/>
      <c r="AG56" s="23"/>
      <c r="AO56" s="25"/>
      <c r="AP56" s="25"/>
      <c r="AQ56" s="25"/>
      <c r="AR56" s="25"/>
      <c r="AS56" s="2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6"/>
      <c r="DP56" s="18"/>
    </row>
    <row r="57">
      <c r="A57" s="6"/>
      <c r="B57" s="18" t="s">
        <v>311</v>
      </c>
      <c r="L57" s="18" t="s">
        <v>312</v>
      </c>
      <c r="AD57" s="7" t="s">
        <v>58</v>
      </c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9"/>
      <c r="DP57" s="18"/>
    </row>
    <row r="58">
      <c r="A58" s="6"/>
      <c r="B58" s="27" t="s">
        <v>313</v>
      </c>
      <c r="L58" s="28" t="s">
        <v>314</v>
      </c>
      <c r="AD58" s="7" t="s">
        <v>315</v>
      </c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9"/>
      <c r="DP58" s="18"/>
    </row>
    <row r="59">
      <c r="A59" s="6"/>
      <c r="H59" s="28"/>
      <c r="I59" s="28"/>
      <c r="J59" s="28"/>
      <c r="K59" s="28"/>
      <c r="U59" s="18" t="s">
        <v>316</v>
      </c>
      <c r="Y59" s="28" t="s">
        <v>317</v>
      </c>
      <c r="AD59" s="7" t="s">
        <v>58</v>
      </c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9"/>
      <c r="DP59" s="18"/>
    </row>
    <row r="60">
      <c r="A60" s="6"/>
      <c r="H60" s="28"/>
      <c r="I60" s="28"/>
      <c r="J60" s="28"/>
      <c r="K60" s="28"/>
      <c r="U60" s="28" t="s">
        <v>318</v>
      </c>
      <c r="Y60" s="28" t="s">
        <v>319</v>
      </c>
      <c r="AD60" s="7" t="s">
        <v>320</v>
      </c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9"/>
      <c r="DP60" s="18"/>
    </row>
    <row r="61">
      <c r="A61" s="6"/>
      <c r="H61" s="28"/>
      <c r="I61" s="28"/>
      <c r="J61" s="28"/>
      <c r="K61" s="28"/>
      <c r="AD61" s="7" t="s">
        <v>71</v>
      </c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9"/>
      <c r="DP61" s="18"/>
    </row>
    <row r="62">
      <c r="A62" s="6"/>
      <c r="H62" s="28"/>
      <c r="I62" s="28"/>
      <c r="J62" s="28"/>
      <c r="K62" s="28"/>
      <c r="L62" s="18" t="s">
        <v>321</v>
      </c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9"/>
      <c r="DP62" s="18"/>
    </row>
    <row r="63">
      <c r="A63" s="6"/>
      <c r="H63" s="28"/>
      <c r="I63" s="28"/>
      <c r="J63" s="28"/>
      <c r="K63" s="28"/>
      <c r="L63" s="18"/>
      <c r="M63" s="18"/>
      <c r="N63" s="18"/>
      <c r="O63" s="18"/>
      <c r="Q63" s="18"/>
      <c r="R63" s="18"/>
      <c r="S63" s="18"/>
      <c r="T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9"/>
      <c r="DP63" s="18"/>
    </row>
    <row r="64">
      <c r="A64" s="6"/>
      <c r="B64" s="27" t="s">
        <v>322</v>
      </c>
      <c r="H64" s="18"/>
      <c r="I64" s="18"/>
      <c r="J64" s="18"/>
      <c r="K64" s="18"/>
      <c r="L64" s="18"/>
      <c r="M64" s="18"/>
      <c r="N64" s="18"/>
      <c r="O64" s="18"/>
      <c r="Q64" s="18"/>
      <c r="R64" s="18"/>
      <c r="S64" s="18"/>
      <c r="T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9"/>
      <c r="DP64" s="18"/>
    </row>
    <row r="65">
      <c r="A65" s="6"/>
      <c r="H65" s="18"/>
      <c r="I65" s="18"/>
      <c r="J65" s="18"/>
      <c r="K65" s="18"/>
      <c r="L65" s="18"/>
      <c r="M65" s="18"/>
      <c r="N65" s="18"/>
      <c r="O65" s="18"/>
      <c r="Q65" s="18"/>
      <c r="R65" s="18"/>
      <c r="S65" s="18"/>
      <c r="T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9"/>
      <c r="DP65" s="18"/>
    </row>
    <row r="66">
      <c r="A66" s="6"/>
      <c r="H66" s="18"/>
      <c r="I66" s="18"/>
      <c r="J66" s="18"/>
      <c r="L66" s="18"/>
      <c r="M66" s="18"/>
      <c r="N66" s="18"/>
      <c r="O66" s="18"/>
      <c r="P66" s="18"/>
      <c r="Q66" s="18"/>
      <c r="R66" s="18"/>
      <c r="S66" s="18"/>
      <c r="U66" s="18"/>
      <c r="V66" s="18"/>
      <c r="W66" s="18"/>
      <c r="X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9"/>
      <c r="DP66" s="18"/>
    </row>
    <row r="67">
      <c r="A67" s="6"/>
      <c r="B67" s="27" t="s">
        <v>323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9"/>
      <c r="DP67" s="18"/>
    </row>
  </sheetData>
  <mergeCells count="26">
    <mergeCell ref="B57:G57"/>
    <mergeCell ref="B58:G63"/>
    <mergeCell ref="B64:G66"/>
    <mergeCell ref="B67:G67"/>
    <mergeCell ref="AD58:AG58"/>
    <mergeCell ref="AD59:AG59"/>
    <mergeCell ref="U60:X63"/>
    <mergeCell ref="Y60:AB65"/>
    <mergeCell ref="AD60:AG60"/>
    <mergeCell ref="AD61:AG61"/>
    <mergeCell ref="L56:P56"/>
    <mergeCell ref="U56:AB58"/>
    <mergeCell ref="AD56:AG56"/>
    <mergeCell ref="L57:P57"/>
    <mergeCell ref="AD57:AG57"/>
    <mergeCell ref="U59:X59"/>
    <mergeCell ref="Y59:AB59"/>
    <mergeCell ref="L58:P61"/>
    <mergeCell ref="L62:P62"/>
    <mergeCell ref="E1:G1"/>
    <mergeCell ref="H1:K1"/>
    <mergeCell ref="L1:M1"/>
    <mergeCell ref="N1:Q1"/>
    <mergeCell ref="B56:G56"/>
    <mergeCell ref="H56:K58"/>
    <mergeCell ref="Q56:T62"/>
  </mergeCells>
  <drawing r:id="rId1"/>
</worksheet>
</file>